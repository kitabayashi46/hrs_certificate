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929BA8FF-0114-4AA8-9291-9B38B061F663}" xr6:coauthVersionLast="47" xr6:coauthVersionMax="47" xr10:uidLastSave="{00000000-0000-0000-0000-000000000000}"/>
  <bookViews>
    <workbookView xWindow="38820" yWindow="3495" windowWidth="17145" windowHeight="10650" tabRatio="859" xr2:uid="{00000000-000D-0000-FFFF-FFFF00000000}"/>
  </bookViews>
  <sheets>
    <sheet name="表紙" sheetId="2" r:id="rId1"/>
    <sheet name="変更来歴" sheetId="3" r:id="rId2"/>
    <sheet name="化学物質データ申請確認画面" sheetId="67" r:id="rId3"/>
    <sheet name="画面項目" sheetId="70" r:id="rId4"/>
    <sheet name="処理詳細" sheetId="74" r:id="rId5"/>
    <sheet name="選択画面" sheetId="63" state="hidden" r:id="rId6"/>
    <sheet name="円(PPM)" sheetId="16" state="hidden" r:id="rId7"/>
    <sheet name="円(技術原計)" sheetId="59" state="hidden" r:id="rId8"/>
    <sheet name="円(コリア原計)" sheetId="61" state="hidden" r:id="rId9"/>
    <sheet name="外貨(PPM)" sheetId="64" state="hidden" r:id="rId10"/>
    <sheet name="外貨(技術原計)" sheetId="65" state="hidden" r:id="rId11"/>
    <sheet name="外貨(コリア原計)" sheetId="66" state="hidden" r:id="rId12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6">'円(PPM)'!$A$1:$BC$106</definedName>
    <definedName name="_xlnm.Print_Area" localSheetId="8">'円(コリア原計)'!$A$1:$BC$116</definedName>
    <definedName name="_xlnm.Print_Area" localSheetId="7">'円(技術原計)'!$A$1:$BC$106</definedName>
    <definedName name="_xlnm.Print_Area" localSheetId="2">化学物質データ申請確認画面!$A$1:$BC$86</definedName>
    <definedName name="_xlnm.Print_Area" localSheetId="3">画面項目!$A$1:$CA$29</definedName>
    <definedName name="_xlnm.Print_Area" localSheetId="9">'外貨(PPM)'!$A$1:$BC$150</definedName>
    <definedName name="_xlnm.Print_Area" localSheetId="11">'外貨(コリア原計)'!$A$1:$BC$113</definedName>
    <definedName name="_xlnm.Print_Area" localSheetId="10">'外貨(技術原計)'!$A$1:$BC$117</definedName>
    <definedName name="_xlnm.Print_Area" localSheetId="4">処理詳細!$A$1:$CH$325</definedName>
    <definedName name="_xlnm.Print_Area" localSheetId="5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  <definedName name="画面遷移new_1" localSheetId="4" hidden="1">{"'画面仕様'!$C$22:$BY$40","'画面仕様'!$C$28:$BY$39"}</definedName>
    <definedName name="画面遷移new_1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7" l="1"/>
  <c r="AA3" i="67"/>
  <c r="M3" i="67"/>
  <c r="A3" i="67"/>
  <c r="AZ2" i="67"/>
  <c r="M2" i="67"/>
  <c r="AV1" i="67"/>
  <c r="AN1" i="67"/>
  <c r="AA1" i="67"/>
  <c r="M1" i="67"/>
  <c r="BM58" i="66"/>
  <c r="AV2" i="67"/>
  <c r="AN2" i="67"/>
  <c r="AV3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V3" i="66"/>
  <c r="AV2" i="65"/>
  <c r="AN2" i="65"/>
  <c r="AV2" i="66"/>
  <c r="AN2" i="66"/>
  <c r="AV3" i="65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N2" i="61"/>
  <c r="AN2" i="64"/>
  <c r="AV3" i="63"/>
  <c r="AV2" i="59"/>
  <c r="AV3" i="59"/>
  <c r="AV2" i="61"/>
  <c r="AV3" i="64"/>
  <c r="AV2" i="64"/>
  <c r="AN2" i="63"/>
  <c r="AV2" i="63"/>
  <c r="AN2" i="59"/>
  <c r="AV3" i="61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V2" i="16"/>
  <c r="AV3" i="16"/>
  <c r="AN2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35A995DF-5821-4213-A260-9350A0F53582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67858B71-2687-4CE5-8C4C-92FA0CD9720D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17CA0F34-1279-4A93-9F48-C9F28889DCF1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FFBA843D-F9CA-4F42-A5BF-5EDD25E879EA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570D1AB7-B68C-404F-BC7F-D7FEBEBEC26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<sst xmlns="http://schemas.openxmlformats.org/spreadsheetml/2006/main" count="2092" uniqueCount="646">
  <si>
    <t>HRS殿</t>
    <rPh sb="3" eb="4">
      <t>ドノ</t>
    </rPh>
    <phoneticPr fontId="13"/>
  </si>
  <si>
    <t>作成</t>
    <rPh sb="0" eb="2">
      <t>サクセイ</t>
    </rPh>
    <phoneticPr fontId="13"/>
  </si>
  <si>
    <t>照査</t>
    <rPh sb="0" eb="2">
      <t>ショウサ</t>
    </rPh>
    <phoneticPr fontId="13"/>
  </si>
  <si>
    <t>承認</t>
    <rPh sb="0" eb="2">
      <t>ショウニン</t>
    </rPh>
    <phoneticPr fontId="13"/>
  </si>
  <si>
    <t>文書名：</t>
    <rPh sb="0" eb="2">
      <t>ブンショ</t>
    </rPh>
    <rPh sb="2" eb="3">
      <t>メイ</t>
    </rPh>
    <phoneticPr fontId="13"/>
  </si>
  <si>
    <t>顧客名</t>
    <rPh sb="0" eb="2">
      <t>コキャク</t>
    </rPh>
    <rPh sb="2" eb="3">
      <t>メイ</t>
    </rPh>
    <phoneticPr fontId="13"/>
  </si>
  <si>
    <t>ヒロセ電機株式会社</t>
    <rPh sb="3" eb="5">
      <t>デンキ</t>
    </rPh>
    <rPh sb="5" eb="7">
      <t>カブシキ</t>
    </rPh>
    <rPh sb="7" eb="9">
      <t>カイシャ</t>
    </rPh>
    <phoneticPr fontId="13"/>
  </si>
  <si>
    <t>システム</t>
    <phoneticPr fontId="13"/>
  </si>
  <si>
    <t>作成者</t>
    <rPh sb="0" eb="2">
      <t>サクセイ</t>
    </rPh>
    <rPh sb="2" eb="3">
      <t>シャ</t>
    </rPh>
    <phoneticPr fontId="13"/>
  </si>
  <si>
    <t>作成日</t>
    <rPh sb="0" eb="3">
      <t>サクセイビ</t>
    </rPh>
    <phoneticPr fontId="13"/>
  </si>
  <si>
    <t>書類番号</t>
    <rPh sb="0" eb="2">
      <t>ショルイ</t>
    </rPh>
    <rPh sb="2" eb="4">
      <t>バンゴウ</t>
    </rPh>
    <phoneticPr fontId="13"/>
  </si>
  <si>
    <t>プロジェクト</t>
    <phoneticPr fontId="13"/>
  </si>
  <si>
    <t>修正者</t>
    <rPh sb="0" eb="2">
      <t>シュウセイ</t>
    </rPh>
    <rPh sb="2" eb="3">
      <t>シャ</t>
    </rPh>
    <phoneticPr fontId="13"/>
  </si>
  <si>
    <t>修正日</t>
    <rPh sb="0" eb="2">
      <t>シュウセイ</t>
    </rPh>
    <rPh sb="2" eb="3">
      <t>ビ</t>
    </rPh>
    <phoneticPr fontId="13"/>
  </si>
  <si>
    <t>内容</t>
    <rPh sb="0" eb="2">
      <t>ナイヨウ</t>
    </rPh>
    <phoneticPr fontId="13"/>
  </si>
  <si>
    <t>Rev</t>
    <phoneticPr fontId="13"/>
  </si>
  <si>
    <t>intra-mart Accel Platform</t>
    <phoneticPr fontId="13"/>
  </si>
  <si>
    <t>変更内容</t>
    <rPh sb="0" eb="2">
      <t>ヘンコウ</t>
    </rPh>
    <rPh sb="2" eb="4">
      <t>ナイヨウ</t>
    </rPh>
    <phoneticPr fontId="12"/>
  </si>
  <si>
    <t>変更・追加箇所</t>
    <rPh sb="0" eb="2">
      <t>ヘンコウ</t>
    </rPh>
    <rPh sb="3" eb="5">
      <t>ツイカ</t>
    </rPh>
    <rPh sb="5" eb="7">
      <t>カショ</t>
    </rPh>
    <phoneticPr fontId="12"/>
  </si>
  <si>
    <t>提出日</t>
    <rPh sb="0" eb="2">
      <t>テイシュツ</t>
    </rPh>
    <rPh sb="2" eb="3">
      <t>ビ</t>
    </rPh>
    <phoneticPr fontId="12"/>
  </si>
  <si>
    <t>作成者</t>
    <rPh sb="0" eb="3">
      <t>サクセイシャ</t>
    </rPh>
    <phoneticPr fontId="12"/>
  </si>
  <si>
    <t>承認者</t>
    <rPh sb="0" eb="2">
      <t>ショウニン</t>
    </rPh>
    <rPh sb="2" eb="3">
      <t>シャ</t>
    </rPh>
    <phoneticPr fontId="12"/>
  </si>
  <si>
    <t>備考</t>
    <rPh sb="0" eb="2">
      <t>ビコウ</t>
    </rPh>
    <phoneticPr fontId="12"/>
  </si>
  <si>
    <t>新規作成</t>
    <rPh sb="0" eb="2">
      <t>シンキ</t>
    </rPh>
    <rPh sb="2" eb="4">
      <t>サクセイ</t>
    </rPh>
    <phoneticPr fontId="50"/>
  </si>
  <si>
    <t>Rev.</t>
    <phoneticPr fontId="12"/>
  </si>
  <si>
    <t>変更来歴</t>
    <phoneticPr fontId="50"/>
  </si>
  <si>
    <t>画面設計書</t>
    <rPh sb="0" eb="2">
      <t>ガメン</t>
    </rPh>
    <rPh sb="2" eb="5">
      <t>セッケイショ</t>
    </rPh>
    <phoneticPr fontId="13"/>
  </si>
  <si>
    <t>画面名</t>
    <rPh sb="0" eb="2">
      <t>ガメン</t>
    </rPh>
    <rPh sb="2" eb="3">
      <t>メイ</t>
    </rPh>
    <phoneticPr fontId="50"/>
  </si>
  <si>
    <t>アメージングアクティビティ(株)</t>
    <rPh sb="13" eb="16">
      <t>カブシキガイシャ</t>
    </rPh>
    <phoneticPr fontId="13"/>
  </si>
  <si>
    <t>　</t>
    <phoneticPr fontId="50"/>
  </si>
  <si>
    <t/>
  </si>
  <si>
    <t>IMWF-53</t>
    <phoneticPr fontId="50"/>
  </si>
  <si>
    <t>No</t>
    <phoneticPr fontId="56"/>
  </si>
  <si>
    <t>▼</t>
    <phoneticPr fontId="56"/>
  </si>
  <si>
    <t>品名</t>
    <rPh sb="0" eb="1">
      <t>ヒンメイ</t>
    </rPh>
    <phoneticPr fontId="56"/>
  </si>
  <si>
    <t>○</t>
    <phoneticPr fontId="56"/>
  </si>
  <si>
    <t>◎</t>
    <phoneticPr fontId="56"/>
  </si>
  <si>
    <t>▲</t>
    <phoneticPr fontId="56"/>
  </si>
  <si>
    <t>ファイル名</t>
    <rPh sb="4" eb="5">
      <t>メイ</t>
    </rPh>
    <phoneticPr fontId="56"/>
  </si>
  <si>
    <t>得意先コード</t>
    <rPh sb="0" eb="3">
      <t>トクイサキ</t>
    </rPh>
    <phoneticPr fontId="56"/>
  </si>
  <si>
    <t>サイズ</t>
    <phoneticPr fontId="56"/>
  </si>
  <si>
    <t>102 KB</t>
    <phoneticPr fontId="56"/>
  </si>
  <si>
    <t>得意先</t>
    <rPh sb="0" eb="3">
      <t>トクイサキ</t>
    </rPh>
    <phoneticPr fontId="60"/>
  </si>
  <si>
    <t>　</t>
    <phoneticPr fontId="56"/>
  </si>
  <si>
    <t>クリア</t>
    <phoneticPr fontId="56"/>
  </si>
  <si>
    <t>ファイル001.xlsx</t>
    <phoneticPr fontId="56"/>
  </si>
  <si>
    <t>CD-1234567</t>
    <phoneticPr fontId="56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</si>
  <si>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6"/>
  </si>
  <si>
    <t>過去の申請から内容コピー</t>
    <rPh sb="0" eb="2">
      <t>カコ</t>
    </rPh>
    <rPh sb="3" eb="5">
      <t>シンセイ</t>
    </rPh>
    <rPh sb="7" eb="9">
      <t>ナイヨウ</t>
    </rPh>
    <phoneticPr fontId="56"/>
  </si>
  <si>
    <t>起票日</t>
    <rPh sb="0" eb="3">
      <t>キヒョウビ</t>
    </rPh>
    <phoneticPr fontId="56"/>
  </si>
  <si>
    <t>所属</t>
    <rPh sb="0" eb="2">
      <t>ショゾク</t>
    </rPh>
    <phoneticPr fontId="56"/>
  </si>
  <si>
    <t>社員番号</t>
    <rPh sb="0" eb="2">
      <t>シャイン</t>
    </rPh>
    <rPh sb="2" eb="4">
      <t>バンゴウ</t>
    </rPh>
    <phoneticPr fontId="56"/>
  </si>
  <si>
    <t>2022/09/29</t>
    <phoneticPr fontId="56"/>
  </si>
  <si>
    <t>：</t>
    <phoneticPr fontId="56"/>
  </si>
  <si>
    <t>ヒロセ電機株式会社/管理本部/ＩＴ統括部/情報システム企画課</t>
    <phoneticPr fontId="56"/>
  </si>
  <si>
    <t>hirose</t>
    <phoneticPr fontId="56"/>
  </si>
  <si>
    <t>氏名　：</t>
    <rPh sb="0" eb="2">
      <t>シメイ</t>
    </rPh>
    <phoneticPr fontId="56"/>
  </si>
  <si>
    <t>システム担当者</t>
    <rPh sb="4" eb="7">
      <t>タントウシャ</t>
    </rPh>
    <phoneticPr fontId="56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</si>
  <si>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6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</si>
  <si>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6"/>
  </si>
  <si>
    <t>客先担当者名</t>
    <rPh sb="0" eb="2">
      <t>キャクサキ</t>
    </rPh>
    <rPh sb="2" eb="6">
      <t>タントウシャメイ</t>
    </rPh>
    <phoneticPr fontId="56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</si>
  <si>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6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</si>
  <si>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6"/>
  </si>
  <si>
    <t>申請価格入力</t>
    <rPh sb="0" eb="2">
      <t>シンセイ</t>
    </rPh>
    <rPh sb="2" eb="4">
      <t>カカク</t>
    </rPh>
    <rPh sb="4" eb="6">
      <t>ニュウリョク</t>
    </rPh>
    <phoneticPr fontId="56"/>
  </si>
  <si>
    <t>CL</t>
    <phoneticPr fontId="60"/>
  </si>
  <si>
    <t>得意先要求価格</t>
    <rPh sb="0" eb="3">
      <t>トクイサキ</t>
    </rPh>
    <rPh sb="3" eb="5">
      <t>ヨウキュウ</t>
    </rPh>
    <rPh sb="5" eb="7">
      <t>カカク</t>
    </rPh>
    <phoneticPr fontId="60"/>
  </si>
  <si>
    <t>申請価格</t>
    <rPh sb="0" eb="2">
      <t>シンセイ</t>
    </rPh>
    <rPh sb="2" eb="4">
      <t>カカク</t>
    </rPh>
    <phoneticPr fontId="60"/>
  </si>
  <si>
    <t>原計タイプ</t>
    <rPh sb="0" eb="2">
      <t>ゲンケイ</t>
    </rPh>
    <phoneticPr fontId="60"/>
  </si>
  <si>
    <t>従来価格</t>
    <rPh sb="0" eb="2">
      <t>ジュウライ</t>
    </rPh>
    <rPh sb="2" eb="4">
      <t>カカク</t>
    </rPh>
    <phoneticPr fontId="60"/>
  </si>
  <si>
    <t>備考</t>
    <rPh sb="0" eb="2">
      <t>ビコウ</t>
    </rPh>
    <phoneticPr fontId="60"/>
  </si>
  <si>
    <t>2022/9/29</t>
    <phoneticPr fontId="56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</si>
  <si>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6"/>
  </si>
  <si>
    <t>通貨：JPY</t>
    <rPh sb="0" eb="2">
      <t>ツウカ</t>
    </rPh>
    <phoneticPr fontId="56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</si>
  <si>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6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</si>
  <si>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60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</si>
  <si>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60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</si>
  <si>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60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</si>
  <si>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6"/>
  </si>
  <si>
    <t>承認者確認用</t>
    <rPh sb="0" eb="3">
      <t>ショウニンシャ</t>
    </rPh>
    <rPh sb="3" eb="6">
      <t>カクニンヨウ</t>
    </rPh>
    <phoneticPr fontId="56"/>
  </si>
  <si>
    <t>数量pcs/月</t>
    <rPh sb="0" eb="2">
      <t>スウリョウ</t>
    </rPh>
    <rPh sb="6" eb="7">
      <t>ツキ</t>
    </rPh>
    <phoneticPr fontId="60"/>
  </si>
  <si>
    <t>コスト</t>
    <phoneticPr fontId="60"/>
  </si>
  <si>
    <t>貢献率</t>
    <rPh sb="0" eb="2">
      <t>コウケン</t>
    </rPh>
    <rPh sb="2" eb="3">
      <t>リツ</t>
    </rPh>
    <phoneticPr fontId="56"/>
  </si>
  <si>
    <t>値引き率</t>
    <rPh sb="0" eb="2">
      <t>ネビ</t>
    </rPh>
    <rPh sb="3" eb="4">
      <t>リツ</t>
    </rPh>
    <phoneticPr fontId="60"/>
  </si>
  <si>
    <t>代理店売価</t>
    <rPh sb="0" eb="3">
      <t>ダイリテン</t>
    </rPh>
    <rPh sb="3" eb="5">
      <t>バイカ</t>
    </rPh>
    <phoneticPr fontId="60"/>
  </si>
  <si>
    <t>代理店粗利率</t>
    <rPh sb="0" eb="3">
      <t>ダイリテン</t>
    </rPh>
    <rPh sb="3" eb="6">
      <t>アラリリツ</t>
    </rPh>
    <phoneticPr fontId="60"/>
  </si>
  <si>
    <t>ピン@</t>
    <phoneticPr fontId="60"/>
  </si>
  <si>
    <t>競合名</t>
    <rPh sb="0" eb="3">
      <t>キョウゴウメイ</t>
    </rPh>
    <phoneticPr fontId="60"/>
  </si>
  <si>
    <t>得意先要求</t>
    <rPh sb="0" eb="3">
      <t>トクイサキ</t>
    </rPh>
    <rPh sb="3" eb="5">
      <t>ヨウキュウ</t>
    </rPh>
    <phoneticPr fontId="60"/>
  </si>
  <si>
    <t>価格</t>
    <rPh sb="0" eb="1">
      <t>カカク</t>
    </rPh>
    <phoneticPr fontId="56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</si>
  <si>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60"/>
  </si>
  <si>
    <t>1130511471</t>
    <phoneticPr fontId="56"/>
  </si>
  <si>
    <t>RP17-13RA-12SD(71)</t>
    <phoneticPr fontId="56"/>
  </si>
  <si>
    <t>R</t>
    <phoneticPr fontId="56"/>
  </si>
  <si>
    <t>PPM原計</t>
    <rPh sb="2" eb="4">
      <t>ゲンケイ</t>
    </rPh>
    <phoneticPr fontId="56"/>
  </si>
  <si>
    <t>1135042200</t>
    <phoneticPr fontId="56"/>
  </si>
  <si>
    <t>RP34-8R-3PDL</t>
    <phoneticPr fontId="56"/>
  </si>
  <si>
    <t>SMK</t>
    <phoneticPr fontId="56"/>
  </si>
  <si>
    <t>中国</t>
    <rPh sb="0" eb="1">
      <t>チュウゴク</t>
    </rPh>
    <phoneticPr fontId="56"/>
  </si>
  <si>
    <t>売上</t>
    <rPh sb="0" eb="2">
      <t>ウリアゲ</t>
    </rPh>
    <phoneticPr fontId="60"/>
  </si>
  <si>
    <t>貢献額</t>
    <rPh sb="0" eb="2">
      <t>コウケン</t>
    </rPh>
    <rPh sb="2" eb="3">
      <t>ガク</t>
    </rPh>
    <phoneticPr fontId="60"/>
  </si>
  <si>
    <t>値引き額</t>
    <rPh sb="0" eb="2">
      <t>ネビ</t>
    </rPh>
    <rPh sb="3" eb="4">
      <t>ガク</t>
    </rPh>
    <phoneticPr fontId="60"/>
  </si>
  <si>
    <t>値引き前売上</t>
    <rPh sb="0" eb="2">
      <t>ネビ</t>
    </rPh>
    <rPh sb="3" eb="4">
      <t>マエ</t>
    </rPh>
    <rPh sb="4" eb="6">
      <t>ウリアゲ</t>
    </rPh>
    <phoneticPr fontId="60"/>
  </si>
  <si>
    <t>売上</t>
    <rPh sb="0" eb="2">
      <t>ウリアゲ</t>
    </rPh>
    <phoneticPr fontId="56"/>
  </si>
  <si>
    <t>申請内容</t>
    <rPh sb="0" eb="2">
      <t>シンセイ</t>
    </rPh>
    <rPh sb="2" eb="4">
      <t>ナイヨウ</t>
    </rPh>
    <phoneticPr fontId="56"/>
  </si>
  <si>
    <t>起票区分</t>
    <rPh sb="0" eb="2">
      <t>キヒョウ</t>
    </rPh>
    <rPh sb="2" eb="4">
      <t>クブン</t>
    </rPh>
    <phoneticPr fontId="56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</si>
  <si>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60"/>
  </si>
  <si>
    <t>口銭率</t>
    <rPh sb="0" eb="2">
      <t>コウセン</t>
    </rPh>
    <rPh sb="2" eb="3">
      <t>リツ</t>
    </rPh>
    <phoneticPr fontId="56"/>
  </si>
  <si>
    <t>☑ 口銭申請有り</t>
    <rPh sb="2" eb="4">
      <t>コウセン</t>
    </rPh>
    <rPh sb="4" eb="6">
      <t>シンセイ</t>
    </rPh>
    <rPh sb="6" eb="7">
      <t>アリ</t>
    </rPh>
    <phoneticPr fontId="56"/>
  </si>
  <si>
    <t>プロジェクト情報</t>
    <rPh sb="6" eb="8">
      <t>ジョウホウ</t>
    </rPh>
    <phoneticPr fontId="56"/>
  </si>
  <si>
    <t>工事金額</t>
    <rPh sb="0" eb="4">
      <t>コウジキンガク</t>
    </rPh>
    <phoneticPr fontId="56"/>
  </si>
  <si>
    <t>万円/月</t>
    <rPh sb="0" eb="2">
      <t>マンエン</t>
    </rPh>
    <rPh sb="3" eb="4">
      <t>ツキ</t>
    </rPh>
    <phoneticPr fontId="56"/>
  </si>
  <si>
    <t>MFC PJ番号</t>
    <rPh sb="6" eb="8">
      <t>バンゴウ</t>
    </rPh>
    <phoneticPr fontId="56"/>
  </si>
  <si>
    <t>ヵ月</t>
    <rPh sb="1" eb="2">
      <t>ゲツ</t>
    </rPh>
    <phoneticPr fontId="56"/>
  </si>
  <si>
    <t>総工事金額</t>
    <rPh sb="0" eb="5">
      <t>ソウコウジキンガク</t>
    </rPh>
    <phoneticPr fontId="56"/>
  </si>
  <si>
    <t>万円</t>
    <rPh sb="0" eb="2">
      <t>マンエン</t>
    </rPh>
    <phoneticPr fontId="56"/>
  </si>
  <si>
    <t>MFC OPPORTUNITY番号</t>
    <rPh sb="15" eb="17">
      <t>バンゴウ</t>
    </rPh>
    <phoneticPr fontId="56"/>
  </si>
  <si>
    <t>機種A</t>
    <rPh sb="0" eb="2">
      <t>キシュ</t>
    </rPh>
    <phoneticPr fontId="56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</si>
  <si>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6"/>
  </si>
  <si>
    <t>競合名</t>
    <rPh sb="0" eb="3">
      <t>キョウゴウメイ</t>
    </rPh>
    <phoneticPr fontId="56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</si>
  <si>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6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</si>
  <si>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6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</si>
  <si>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6"/>
  </si>
  <si>
    <t>大分類A</t>
    <rPh sb="0" eb="3">
      <t>ダイブンルイ</t>
    </rPh>
    <phoneticPr fontId="56"/>
  </si>
  <si>
    <t>中分類B</t>
    <rPh sb="0" eb="3">
      <t>チュウブンルイ</t>
    </rPh>
    <phoneticPr fontId="56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</si>
  <si>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6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</si>
  <si>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6"/>
  </si>
  <si>
    <t>値引補填工事</t>
    <rPh sb="0" eb="2">
      <t>ネビ</t>
    </rPh>
    <rPh sb="2" eb="4">
      <t>ホテン</t>
    </rPh>
    <rPh sb="4" eb="6">
      <t>コウジ</t>
    </rPh>
    <phoneticPr fontId="56"/>
  </si>
  <si>
    <t>備考欄</t>
    <rPh sb="0" eb="3">
      <t>ビコウラン</t>
    </rPh>
    <phoneticPr fontId="56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</si>
  <si>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6"/>
  </si>
  <si>
    <t>/月</t>
    <rPh sb="1" eb="2">
      <t>ゲツ</t>
    </rPh>
    <phoneticPr fontId="56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</si>
  <si>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6"/>
  </si>
  <si>
    <t>添付書類</t>
    <rPh sb="0" eb="2">
      <t>テンプ</t>
    </rPh>
    <rPh sb="2" eb="4">
      <t>ショルイ</t>
    </rPh>
    <phoneticPr fontId="56"/>
  </si>
  <si>
    <t>一般品</t>
    <rPh sb="0" eb="3">
      <t>イッパンヒン</t>
    </rPh>
    <phoneticPr fontId="56"/>
  </si>
  <si>
    <t>円販売</t>
    <rPh sb="0" eb="3">
      <t>エンハンバイ</t>
    </rPh>
    <phoneticPr fontId="56"/>
  </si>
  <si>
    <t>外貨販売</t>
    <rPh sb="0" eb="2">
      <t>ガイカ</t>
    </rPh>
    <rPh sb="2" eb="4">
      <t>ハンバイ</t>
    </rPh>
    <phoneticPr fontId="56"/>
  </si>
  <si>
    <t>1250103874</t>
    <phoneticPr fontId="56"/>
  </si>
  <si>
    <t>1250109471</t>
    <phoneticPr fontId="56"/>
  </si>
  <si>
    <t>HR25-9TP-16P(74)</t>
    <phoneticPr fontId="56"/>
  </si>
  <si>
    <t>HR25-9TR-16S(71)</t>
    <phoneticPr fontId="56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</si>
  <si>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6"/>
  </si>
  <si>
    <t>サンウー</t>
    <phoneticPr fontId="56"/>
  </si>
  <si>
    <t>総原価利益率</t>
    <rPh sb="0" eb="3">
      <t>ソウゲンカ</t>
    </rPh>
    <rPh sb="3" eb="6">
      <t>リエキリツ</t>
    </rPh>
    <phoneticPr fontId="56"/>
  </si>
  <si>
    <t>総原価利益額</t>
    <rPh sb="0" eb="3">
      <t>ソウゲンカ</t>
    </rPh>
    <rPh sb="3" eb="5">
      <t>リエキ</t>
    </rPh>
    <rPh sb="5" eb="6">
      <t>ガク</t>
    </rPh>
    <phoneticPr fontId="60"/>
  </si>
  <si>
    <t>総原価利益率</t>
    <rPh sb="0" eb="3">
      <t>ソウゲンカ</t>
    </rPh>
    <rPh sb="3" eb="5">
      <t>リエキ</t>
    </rPh>
    <rPh sb="5" eb="6">
      <t>リツ</t>
    </rPh>
    <phoneticPr fontId="56"/>
  </si>
  <si>
    <t>技術原計</t>
    <rPh sb="0" eb="2">
      <t>ギジュツ</t>
    </rPh>
    <rPh sb="2" eb="4">
      <t>ゲンケイ</t>
    </rPh>
    <phoneticPr fontId="56"/>
  </si>
  <si>
    <t>総原価合計</t>
    <rPh sb="0" eb="3">
      <t>ソウゲンカ</t>
    </rPh>
    <rPh sb="3" eb="5">
      <t>ゴウケイ</t>
    </rPh>
    <phoneticPr fontId="60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</si>
  <si>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6"/>
  </si>
  <si>
    <t>コリア術原計</t>
    <rPh sb="2" eb="3">
      <t>ジュツ</t>
    </rPh>
    <rPh sb="3" eb="5">
      <t>ゲンケイ</t>
    </rPh>
    <phoneticPr fontId="56"/>
  </si>
  <si>
    <t>USD</t>
    <phoneticPr fontId="56"/>
  </si>
  <si>
    <t>コリア原計</t>
    <rPh sb="2" eb="4">
      <t>ゲンケイ</t>
    </rPh>
    <phoneticPr fontId="56"/>
  </si>
  <si>
    <t>純原価</t>
    <rPh sb="0" eb="1">
      <t>ジュン</t>
    </rPh>
    <rPh sb="1" eb="3">
      <t>ゲンカ</t>
    </rPh>
    <phoneticPr fontId="60"/>
  </si>
  <si>
    <t>申請通貨</t>
    <rPh sb="0" eb="2">
      <t>シンセイ</t>
    </rPh>
    <rPh sb="2" eb="4">
      <t>ツウカ</t>
    </rPh>
    <phoneticPr fontId="60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</si>
  <si>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60"/>
  </si>
  <si>
    <t>物流コスト率%</t>
    <rPh sb="0" eb="2">
      <t>ブツリュウ</t>
    </rPh>
    <rPh sb="5" eb="6">
      <t>リツ</t>
    </rPh>
    <phoneticPr fontId="60"/>
  </si>
  <si>
    <t>販社売価</t>
    <rPh sb="0" eb="2">
      <t>ハンシャ</t>
    </rPh>
    <rPh sb="2" eb="4">
      <t>バイカ</t>
    </rPh>
    <phoneticPr fontId="56"/>
  </si>
  <si>
    <t>(外貨)</t>
    <rPh sb="0" eb="2">
      <t>ガイカ</t>
    </rPh>
    <phoneticPr fontId="56"/>
  </si>
  <si>
    <t>ピン@FOB</t>
    <phoneticPr fontId="60"/>
  </si>
  <si>
    <t>価格基準</t>
    <rPh sb="0" eb="1">
      <t>カカク</t>
    </rPh>
    <rPh sb="2" eb="4">
      <t>キジュン</t>
    </rPh>
    <phoneticPr fontId="56"/>
  </si>
  <si>
    <t>4800215830</t>
    <phoneticPr fontId="56"/>
  </si>
  <si>
    <t>TF38-20S-0.5SV(830)</t>
    <phoneticPr fontId="56"/>
  </si>
  <si>
    <t>KFH</t>
    <phoneticPr fontId="56"/>
  </si>
  <si>
    <t>総連結利益率</t>
    <rPh sb="0" eb="3">
      <t>ソウレンケツ</t>
    </rPh>
    <rPh sb="3" eb="6">
      <t>リエキリツ</t>
    </rPh>
    <phoneticPr fontId="56"/>
  </si>
  <si>
    <t>FOB価格</t>
    <rPh sb="3" eb="5">
      <t>カカク</t>
    </rPh>
    <phoneticPr fontId="60"/>
  </si>
  <si>
    <t>連結粗利額</t>
    <rPh sb="0" eb="1">
      <t>レンケツ</t>
    </rPh>
    <rPh sb="1" eb="3">
      <t>アラリ</t>
    </rPh>
    <rPh sb="3" eb="4">
      <t>ガク</t>
    </rPh>
    <phoneticPr fontId="56"/>
  </si>
  <si>
    <t>連結粗利率</t>
    <rPh sb="0" eb="1">
      <t>レンケツ</t>
    </rPh>
    <rPh sb="1" eb="3">
      <t>アラリ</t>
    </rPh>
    <rPh sb="3" eb="4">
      <t>リツ</t>
    </rPh>
    <phoneticPr fontId="56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</si>
  <si>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6"/>
  </si>
  <si>
    <t>販売単価上申書</t>
    <rPh sb="0" eb="2">
      <t>ハンバイ</t>
    </rPh>
    <rPh sb="2" eb="4">
      <t>タンカ</t>
    </rPh>
    <rPh sb="4" eb="7">
      <t>ジョウシンショ</t>
    </rPh>
    <phoneticPr fontId="56"/>
  </si>
  <si>
    <t>Step ２： 一般品またはカスタムのいずれかを選択してください</t>
    <rPh sb="8" eb="11">
      <t>イッパンヒン</t>
    </rPh>
    <rPh sb="24" eb="26">
      <t>センタク</t>
    </rPh>
    <phoneticPr fontId="56"/>
  </si>
  <si>
    <t>カスタム</t>
    <phoneticPr fontId="56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</si>
  <si>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6"/>
  </si>
  <si>
    <t>◎ 単価上申書</t>
    <rPh sb="2" eb="4">
      <t>タンカ</t>
    </rPh>
    <rPh sb="4" eb="6">
      <t>ジョウシン</t>
    </rPh>
    <rPh sb="6" eb="7">
      <t>ショ</t>
    </rPh>
    <phoneticPr fontId="56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</si>
  <si>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6"/>
  </si>
  <si>
    <t>カスタム品申請情報</t>
    <rPh sb="4" eb="5">
      <t>ヒン</t>
    </rPh>
    <rPh sb="5" eb="7">
      <t>シンセイ</t>
    </rPh>
    <rPh sb="7" eb="9">
      <t>ジョウホウ</t>
    </rPh>
    <phoneticPr fontId="56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</si>
  <si>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6"/>
  </si>
  <si>
    <t>金型</t>
    <rPh sb="0" eb="2">
      <t>カナガタ</t>
    </rPh>
    <phoneticPr fontId="56"/>
  </si>
  <si>
    <t>有償or無償</t>
    <rPh sb="0" eb="2">
      <t>ユウショウ</t>
    </rPh>
    <rPh sb="4" eb="6">
      <t>ムショウ</t>
    </rPh>
    <phoneticPr fontId="60"/>
  </si>
  <si>
    <t>個品名称</t>
    <rPh sb="0" eb="1">
      <t>コヒン</t>
    </rPh>
    <rPh sb="1" eb="3">
      <t>メイショウ</t>
    </rPh>
    <phoneticPr fontId="56"/>
  </si>
  <si>
    <t>個品実費価格</t>
    <rPh sb="0" eb="2">
      <t>コヒン</t>
    </rPh>
    <rPh sb="2" eb="4">
      <t>ジッピ</t>
    </rPh>
    <rPh sb="4" eb="6">
      <t>カカク</t>
    </rPh>
    <phoneticPr fontId="60"/>
  </si>
  <si>
    <t>個品販売価格</t>
    <rPh sb="0" eb="2">
      <t>コヒン</t>
    </rPh>
    <rPh sb="2" eb="4">
      <t>ハンバイ</t>
    </rPh>
    <rPh sb="4" eb="6">
      <t>カカク</t>
    </rPh>
    <phoneticPr fontId="60"/>
  </si>
  <si>
    <t>倍率</t>
    <rPh sb="0" eb="2">
      <t>バイリツ</t>
    </rPh>
    <phoneticPr fontId="60"/>
  </si>
  <si>
    <t>有償</t>
    <rPh sb="0" eb="1">
      <t>ユウショウ</t>
    </rPh>
    <phoneticPr fontId="56"/>
  </si>
  <si>
    <t>治工具</t>
    <rPh sb="0" eb="3">
      <t>チコウグ</t>
    </rPh>
    <phoneticPr fontId="56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</si>
  <si>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60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</si>
  <si>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6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</si>
  <si>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60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</si>
  <si>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60"/>
  </si>
  <si>
    <t>治工具名称</t>
    <phoneticPr fontId="56"/>
  </si>
  <si>
    <t>治工具実費価格</t>
    <rPh sb="3" eb="5">
      <t>ジッピ</t>
    </rPh>
    <rPh sb="5" eb="7">
      <t>カカク</t>
    </rPh>
    <phoneticPr fontId="60"/>
  </si>
  <si>
    <t>治工具販売価格</t>
    <rPh sb="3" eb="5">
      <t>ハンバイ</t>
    </rPh>
    <rPh sb="5" eb="7">
      <t>カカク</t>
    </rPh>
    <phoneticPr fontId="60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</si>
  <si>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6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</si>
  <si>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60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</si>
  <si>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60"/>
  </si>
  <si>
    <t>個品A</t>
    <rPh sb="0" eb="1">
      <t>コヒン</t>
    </rPh>
    <phoneticPr fontId="56"/>
  </si>
  <si>
    <t>償却数量</t>
    <rPh sb="0" eb="2">
      <t>ショウキャク</t>
    </rPh>
    <rPh sb="2" eb="4">
      <t>スウリョウ</t>
    </rPh>
    <phoneticPr fontId="56"/>
  </si>
  <si>
    <t>一個当たりの償却金額</t>
    <rPh sb="0" eb="3">
      <t>イッコア</t>
    </rPh>
    <rPh sb="6" eb="8">
      <t>ショウキャク</t>
    </rPh>
    <rPh sb="8" eb="10">
      <t>キンガク</t>
    </rPh>
    <phoneticPr fontId="56"/>
  </si>
  <si>
    <t>未償却リスク</t>
    <rPh sb="0" eb="1">
      <t>ミ</t>
    </rPh>
    <rPh sb="1" eb="3">
      <t>ショウキャク</t>
    </rPh>
    <phoneticPr fontId="56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</si>
  <si>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6"/>
  </si>
  <si>
    <t>物流コスト率</t>
    <rPh sb="0" eb="2">
      <t>ブツリュウ</t>
    </rPh>
    <rPh sb="5" eb="6">
      <t>リツ</t>
    </rPh>
    <phoneticPr fontId="60"/>
  </si>
  <si>
    <t>(%)</t>
    <phoneticPr fontId="56"/>
  </si>
  <si>
    <t>販社売価</t>
    <rPh sb="0" eb="2">
      <t>ハンシャ</t>
    </rPh>
    <rPh sb="2" eb="4">
      <t>バイカ</t>
    </rPh>
    <phoneticPr fontId="60"/>
  </si>
  <si>
    <t>要求価格</t>
    <rPh sb="0" eb="1">
      <t>ヨウキュウ</t>
    </rPh>
    <rPh sb="1" eb="3">
      <t>カカク</t>
    </rPh>
    <phoneticPr fontId="56"/>
  </si>
  <si>
    <t>価格基準</t>
    <rPh sb="0" eb="1">
      <t>カカク</t>
    </rPh>
    <rPh sb="1" eb="3">
      <t>キジュン</t>
    </rPh>
    <phoneticPr fontId="56"/>
  </si>
  <si>
    <t>5802922450</t>
    <phoneticPr fontId="56"/>
  </si>
  <si>
    <t>5801232050</t>
    <phoneticPr fontId="56"/>
  </si>
  <si>
    <t>FH35C-21S-0.3SHW(50)</t>
    <phoneticPr fontId="56"/>
  </si>
  <si>
    <t>FH34SRJ-30S-0.5SH(50)</t>
    <phoneticPr fontId="56"/>
  </si>
  <si>
    <t>FH</t>
    <phoneticPr fontId="56"/>
  </si>
  <si>
    <t>JPY</t>
    <phoneticPr fontId="56"/>
  </si>
  <si>
    <t>JAE</t>
    <phoneticPr fontId="56"/>
  </si>
  <si>
    <t>TE</t>
    <phoneticPr fontId="56"/>
  </si>
  <si>
    <t>従来FOB価格</t>
    <rPh sb="0" eb="2">
      <t>ジュウライ</t>
    </rPh>
    <rPh sb="5" eb="7">
      <t>カカク</t>
    </rPh>
    <phoneticPr fontId="60"/>
  </si>
  <si>
    <t>CIF価格</t>
    <rPh sb="3" eb="5">
      <t>カカク</t>
    </rPh>
    <phoneticPr fontId="60"/>
  </si>
  <si>
    <t>国内収益性</t>
    <rPh sb="0" eb="2">
      <t>コクナイ</t>
    </rPh>
    <rPh sb="2" eb="5">
      <t>シュウエキセイ</t>
    </rPh>
    <phoneticPr fontId="56"/>
  </si>
  <si>
    <t>FOB値引き率</t>
    <rPh sb="3" eb="5">
      <t>ネビ</t>
    </rPh>
    <rPh sb="6" eb="7">
      <t>リツ</t>
    </rPh>
    <phoneticPr fontId="60"/>
  </si>
  <si>
    <t>販社粗利率</t>
    <rPh sb="0" eb="2">
      <t>ハンシャ</t>
    </rPh>
    <rPh sb="2" eb="5">
      <t>アラリリツ</t>
    </rPh>
    <phoneticPr fontId="60"/>
  </si>
  <si>
    <t>連結収益性</t>
    <rPh sb="0" eb="2">
      <t>レンケツ</t>
    </rPh>
    <rPh sb="2" eb="5">
      <t>シュウエキセイ</t>
    </rPh>
    <phoneticPr fontId="60"/>
  </si>
  <si>
    <t>売上(国内)</t>
    <rPh sb="0" eb="2">
      <t>ウリアゲ</t>
    </rPh>
    <rPh sb="3" eb="5">
      <t>コクナイ</t>
    </rPh>
    <phoneticPr fontId="56"/>
  </si>
  <si>
    <t>直接コスト合計</t>
    <rPh sb="0" eb="2">
      <t>チョクセツ</t>
    </rPh>
    <rPh sb="5" eb="7">
      <t>ゴウケイ</t>
    </rPh>
    <phoneticPr fontId="60"/>
  </si>
  <si>
    <t>貢献額</t>
    <rPh sb="0" eb="3">
      <t>コウケンガク</t>
    </rPh>
    <phoneticPr fontId="60"/>
  </si>
  <si>
    <t>国内収益性</t>
    <rPh sb="0" eb="2">
      <t>コクナイ</t>
    </rPh>
    <rPh sb="2" eb="5">
      <t>シュウエキセイ</t>
    </rPh>
    <phoneticPr fontId="60"/>
  </si>
  <si>
    <t>値引き率(FOB)</t>
    <rPh sb="0" eb="2">
      <t>ネビ</t>
    </rPh>
    <rPh sb="3" eb="4">
      <t>リツ</t>
    </rPh>
    <phoneticPr fontId="56"/>
  </si>
  <si>
    <t>値引き額(FOB)</t>
    <rPh sb="0" eb="2">
      <t>ネビ</t>
    </rPh>
    <rPh sb="3" eb="4">
      <t>ガク</t>
    </rPh>
    <phoneticPr fontId="56"/>
  </si>
  <si>
    <t>売上(連結)</t>
    <rPh sb="0" eb="1">
      <t>ウリアゲ</t>
    </rPh>
    <rPh sb="2" eb="4">
      <t>レンケツ</t>
    </rPh>
    <phoneticPr fontId="56"/>
  </si>
  <si>
    <t>連結収益性</t>
    <rPh sb="0" eb="1">
      <t>レンケツ</t>
    </rPh>
    <rPh sb="1" eb="4">
      <t>シュウエキセイ</t>
    </rPh>
    <phoneticPr fontId="56"/>
  </si>
  <si>
    <t>総原価</t>
    <rPh sb="0" eb="3">
      <t>ソウゲンカ</t>
    </rPh>
    <phoneticPr fontId="60"/>
  </si>
  <si>
    <t>8311308000</t>
    <phoneticPr fontId="56"/>
  </si>
  <si>
    <t>8311309000</t>
    <phoneticPr fontId="56"/>
  </si>
  <si>
    <t>BF4MC-(375161-01)</t>
    <phoneticPr fontId="56"/>
  </si>
  <si>
    <t>BF4MC-(375168-01)</t>
    <phoneticPr fontId="56"/>
  </si>
  <si>
    <t>OPT</t>
    <phoneticPr fontId="56"/>
  </si>
  <si>
    <t>総原価利益率</t>
    <rPh sb="0" eb="3">
      <t>ソウゲンカ</t>
    </rPh>
    <rPh sb="3" eb="6">
      <t>リエキリツ</t>
    </rPh>
    <phoneticPr fontId="60"/>
  </si>
  <si>
    <t>(国内)</t>
    <phoneticPr fontId="56"/>
  </si>
  <si>
    <t>(粗利)</t>
    <rPh sb="0" eb="2">
      <t>アラリ</t>
    </rPh>
    <phoneticPr fontId="56"/>
  </si>
  <si>
    <t>(国内)</t>
    <rPh sb="1" eb="3">
      <t>コクナイ</t>
    </rPh>
    <phoneticPr fontId="56"/>
  </si>
  <si>
    <t>純原価合計</t>
    <rPh sb="0" eb="1">
      <t>ジュン</t>
    </rPh>
    <rPh sb="1" eb="3">
      <t>ゲンカ</t>
    </rPh>
    <rPh sb="3" eb="5">
      <t>ゴウケイ</t>
    </rPh>
    <phoneticPr fontId="60"/>
  </si>
  <si>
    <t>連結粗利額</t>
    <rPh sb="0" eb="2">
      <t>レンケツ</t>
    </rPh>
    <rPh sb="2" eb="5">
      <t>アラリガク</t>
    </rPh>
    <phoneticPr fontId="60"/>
  </si>
  <si>
    <t>連結粗利率</t>
    <rPh sb="0" eb="2">
      <t>レンケツ</t>
    </rPh>
    <rPh sb="2" eb="5">
      <t>アラリリツ</t>
    </rPh>
    <phoneticPr fontId="60"/>
  </si>
  <si>
    <t>値引き率</t>
    <rPh sb="0" eb="2">
      <t>ネビ</t>
    </rPh>
    <rPh sb="3" eb="4">
      <t>リツ</t>
    </rPh>
    <phoneticPr fontId="56"/>
  </si>
  <si>
    <t>値引き額</t>
    <rPh sb="0" eb="2">
      <t>ネビ</t>
    </rPh>
    <rPh sb="3" eb="4">
      <t>ガク</t>
    </rPh>
    <phoneticPr fontId="56"/>
  </si>
  <si>
    <t>売上(連結)</t>
    <rPh sb="0" eb="2">
      <t>ウリアゲ</t>
    </rPh>
    <rPh sb="3" eb="5">
      <t>レンケツ</t>
    </rPh>
    <phoneticPr fontId="56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</si>
  <si>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6"/>
  </si>
  <si>
    <t>10347008</t>
    <phoneticPr fontId="56"/>
  </si>
  <si>
    <t>関　博一</t>
    <phoneticPr fontId="56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</si>
  <si>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6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</si>
  <si>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6"/>
  </si>
  <si>
    <t>10637000</t>
    <phoneticPr fontId="56"/>
  </si>
  <si>
    <t>古川　福待</t>
    <phoneticPr fontId="56"/>
  </si>
  <si>
    <t>承認者設定</t>
    <rPh sb="0" eb="3">
      <t>ショウニンシャ</t>
    </rPh>
    <rPh sb="3" eb="5">
      <t>セッテイ</t>
    </rPh>
    <phoneticPr fontId="56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</si>
  <si>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6"/>
  </si>
  <si>
    <t>確認者設定</t>
    <rPh sb="0" eb="3">
      <t>カクニンシャ</t>
    </rPh>
    <rPh sb="3" eb="5">
      <t>セッテイ</t>
    </rPh>
    <phoneticPr fontId="56"/>
  </si>
  <si>
    <t>確認者一覧</t>
    <rPh sb="0" eb="3">
      <t>カクニンシャ</t>
    </rPh>
    <rPh sb="3" eb="5">
      <t>イチラン</t>
    </rPh>
    <phoneticPr fontId="56"/>
  </si>
  <si>
    <t>部門</t>
    <rPh sb="0" eb="2">
      <t>ブモン</t>
    </rPh>
    <phoneticPr fontId="56"/>
  </si>
  <si>
    <t>確認者名</t>
    <rPh sb="0" eb="4">
      <t>カクニンシャメイ</t>
    </rPh>
    <phoneticPr fontId="56"/>
  </si>
  <si>
    <t>ヒロセ電機株式会社/管理本部/ＩＴ統括部</t>
    <phoneticPr fontId="56"/>
  </si>
  <si>
    <t>部長</t>
    <rPh sb="0" eb="2">
      <t>ブチョウ</t>
    </rPh>
    <phoneticPr fontId="56"/>
  </si>
  <si>
    <t>志村 亜里沙</t>
    <rPh sb="0" eb="1">
      <t>シムラ</t>
    </rPh>
    <rPh sb="2" eb="5">
      <t>アリサ</t>
    </rPh>
    <phoneticPr fontId="56"/>
  </si>
  <si>
    <t>出水 瞳</t>
    <rPh sb="0" eb="1">
      <t>デミズ</t>
    </rPh>
    <rPh sb="2" eb="3">
      <t>ヒトミ</t>
    </rPh>
    <phoneticPr fontId="56"/>
  </si>
  <si>
    <t>松澤 朱海</t>
    <rPh sb="0" eb="1">
      <t>マツザワ</t>
    </rPh>
    <rPh sb="2" eb="3">
      <t>シュ</t>
    </rPh>
    <rPh sb="3" eb="4">
      <t>ウミ</t>
    </rPh>
    <phoneticPr fontId="56"/>
  </si>
  <si>
    <t>ｒ1.0</t>
    <phoneticPr fontId="50"/>
  </si>
  <si>
    <t>コスト合計</t>
    <rPh sb="3" eb="5">
      <t>ゴウケイ</t>
    </rPh>
    <phoneticPr fontId="60"/>
  </si>
  <si>
    <t>形</t>
    <rPh sb="0" eb="1">
      <t>カタ</t>
    </rPh>
    <phoneticPr fontId="60"/>
  </si>
  <si>
    <t>無償</t>
    <rPh sb="0" eb="1">
      <t>ムショウ</t>
    </rPh>
    <phoneticPr fontId="56"/>
  </si>
  <si>
    <t>通貨</t>
    <rPh sb="0" eb="2">
      <t>ツウカ</t>
    </rPh>
    <phoneticPr fontId="60"/>
  </si>
  <si>
    <t>EUR</t>
    <phoneticPr fontId="56"/>
  </si>
  <si>
    <t>精算通貨</t>
    <rPh sb="0" eb="2">
      <t>セイサン</t>
    </rPh>
    <rPh sb="2" eb="4">
      <t>ツウカ</t>
    </rPh>
    <phoneticPr fontId="56"/>
  </si>
  <si>
    <t>SFDC工事番号</t>
    <rPh sb="4" eb="6">
      <t>コウジ</t>
    </rPh>
    <rPh sb="6" eb="8">
      <t>バンゴウ</t>
    </rPh>
    <phoneticPr fontId="56"/>
  </si>
  <si>
    <t>円/月</t>
    <rPh sb="0" eb="1">
      <t>エン</t>
    </rPh>
    <rPh sb="2" eb="3">
      <t>ツキ</t>
    </rPh>
    <phoneticPr fontId="56"/>
  </si>
  <si>
    <t>海外販社</t>
    <rPh sb="0" eb="2">
      <t>カイガイ</t>
    </rPh>
    <rPh sb="2" eb="4">
      <t>ハンシャ</t>
    </rPh>
    <phoneticPr fontId="56"/>
  </si>
  <si>
    <t>レップ社名</t>
    <rPh sb="3" eb="4">
      <t>シャ</t>
    </rPh>
    <rPh sb="4" eb="5">
      <t>メイ</t>
    </rPh>
    <phoneticPr fontId="56"/>
  </si>
  <si>
    <t>量産時期</t>
    <rPh sb="0" eb="2">
      <t>リョウサン</t>
    </rPh>
    <rPh sb="2" eb="4">
      <t>ジキ</t>
    </rPh>
    <phoneticPr fontId="56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</si>
  <si>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6"/>
  </si>
  <si>
    <t>生産セット台数</t>
    <rPh sb="0" eb="2">
      <t>セイサン</t>
    </rPh>
    <rPh sb="5" eb="7">
      <t>ダイスウ</t>
    </rPh>
    <phoneticPr fontId="56"/>
  </si>
  <si>
    <t>プロジェクトピーク金額</t>
    <rPh sb="9" eb="11">
      <t>キンガク</t>
    </rPh>
    <phoneticPr fontId="56"/>
  </si>
  <si>
    <t>大分類</t>
    <rPh sb="0" eb="3">
      <t>ダイブンルイ</t>
    </rPh>
    <phoneticPr fontId="56"/>
  </si>
  <si>
    <t>中分類</t>
    <rPh sb="0" eb="3">
      <t>チュウブンルイ</t>
    </rPh>
    <phoneticPr fontId="56"/>
  </si>
  <si>
    <t>技術原計</t>
    <rPh sb="0" eb="1">
      <t>ギジュツ</t>
    </rPh>
    <rPh sb="1" eb="3">
      <t>ゲンケイ</t>
    </rPh>
    <phoneticPr fontId="56"/>
  </si>
  <si>
    <t>レート</t>
    <phoneticPr fontId="56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</si>
  <si>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6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</si>
  <si>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60"/>
  </si>
  <si>
    <t>総合計</t>
    <rPh sb="0" eb="3">
      <t>ソウゴウケイ</t>
    </rPh>
    <phoneticPr fontId="56"/>
  </si>
  <si>
    <t>形</t>
    <rPh sb="0" eb="1">
      <t>カタ</t>
    </rPh>
    <phoneticPr fontId="56"/>
  </si>
  <si>
    <t>形小計</t>
    <rPh sb="0" eb="1">
      <t>カタ</t>
    </rPh>
    <rPh sb="1" eb="3">
      <t>ショウケイ</t>
    </rPh>
    <phoneticPr fontId="56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</si>
  <si>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6"/>
  </si>
  <si>
    <t>有</t>
    <rPh sb="0" eb="1">
      <t>ア</t>
    </rPh>
    <phoneticPr fontId="56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</si>
  <si>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6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</si>
  <si>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6"/>
  </si>
  <si>
    <t>SA-PR123456</t>
    <phoneticPr fontId="56"/>
  </si>
  <si>
    <t>案件番号：</t>
    <phoneticPr fontId="56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</si>
  <si>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6"/>
  </si>
  <si>
    <t>コメント</t>
    <phoneticPr fontId="56"/>
  </si>
  <si>
    <t>コメント入力</t>
    <rPh sb="3" eb="5">
      <t>ニュウリョク</t>
    </rPh>
    <phoneticPr fontId="56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</si>
  <si>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6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</si>
  <si>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60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</si>
  <si>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60"/>
  </si>
  <si>
    <t>表示通貨</t>
    <rPh sb="0" eb="1">
      <t>ヒョウジ</t>
    </rPh>
    <rPh sb="1" eb="3">
      <t>ツウカ</t>
    </rPh>
    <phoneticPr fontId="56"/>
  </si>
  <si>
    <t>表示通貨</t>
    <rPh sb="0" eb="2">
      <t>ヒョウジ</t>
    </rPh>
    <rPh sb="2" eb="4">
      <t>ツウカ</t>
    </rPh>
    <phoneticPr fontId="56"/>
  </si>
  <si>
    <t>表示通貨</t>
    <rPh sb="0" eb="4">
      <t>ヒョウジツウカ</t>
    </rPh>
    <phoneticPr fontId="56"/>
  </si>
  <si>
    <t>r.1.1</t>
    <phoneticPr fontId="56"/>
  </si>
  <si>
    <t>古竹</t>
    <rPh sb="0" eb="2">
      <t>フルタケ</t>
    </rPh>
    <phoneticPr fontId="50"/>
  </si>
  <si>
    <t>-</t>
    <phoneticPr fontId="56"/>
  </si>
  <si>
    <t>機能仕様</t>
    <rPh sb="0" eb="4">
      <t>キノウシヨウ</t>
    </rPh>
    <phoneticPr fontId="56"/>
  </si>
  <si>
    <t>製品名</t>
    <rPh sb="0" eb="3">
      <t>セイヒンメイ</t>
    </rPh>
    <phoneticPr fontId="60"/>
  </si>
  <si>
    <t>新製品区分</t>
    <rPh sb="0" eb="3">
      <t>シンセイヒン</t>
    </rPh>
    <rPh sb="3" eb="5">
      <t>クブン</t>
    </rPh>
    <phoneticPr fontId="60"/>
  </si>
  <si>
    <t>製品販売状況</t>
    <rPh sb="0" eb="2">
      <t>セイヒン</t>
    </rPh>
    <rPh sb="2" eb="4">
      <t>ハンバイ</t>
    </rPh>
    <rPh sb="4" eb="6">
      <t>ジョウキョウ</t>
    </rPh>
    <phoneticPr fontId="60"/>
  </si>
  <si>
    <t>PCN番号</t>
    <rPh sb="3" eb="5">
      <t>バンゴウ</t>
    </rPh>
    <phoneticPr fontId="60"/>
  </si>
  <si>
    <t>-</t>
    <phoneticPr fontId="60"/>
  </si>
  <si>
    <t>画面項目(Screen Items)</t>
    <rPh sb="0" eb="4">
      <t>ガメンコウモク</t>
    </rPh>
    <phoneticPr fontId="12"/>
  </si>
  <si>
    <t>必須記入</t>
    <rPh sb="0" eb="2">
      <t>ヒッス</t>
    </rPh>
    <rPh sb="2" eb="4">
      <t>キニュウ</t>
    </rPh>
    <phoneticPr fontId="12"/>
  </si>
  <si>
    <t>項番
(No)</t>
    <phoneticPr fontId="12"/>
  </si>
  <si>
    <t>項目名(Item Name)</t>
    <phoneticPr fontId="12"/>
  </si>
  <si>
    <t>初期値
(Default Value)</t>
    <rPh sb="0" eb="3">
      <t>ショキチ</t>
    </rPh>
    <phoneticPr fontId="12"/>
  </si>
  <si>
    <t>備考
(Comment)</t>
    <rPh sb="0" eb="2">
      <t>ビコウ</t>
    </rPh>
    <phoneticPr fontId="12"/>
  </si>
  <si>
    <t>エリア
（Area）</t>
    <phoneticPr fontId="12"/>
  </si>
  <si>
    <t>項目名
(Item Name)</t>
    <phoneticPr fontId="12"/>
  </si>
  <si>
    <t>1</t>
  </si>
  <si>
    <t>パンくずリストエリア</t>
  </si>
  <si>
    <t>1.1</t>
  </si>
  <si>
    <t>パンくずリスト</t>
  </si>
  <si>
    <t>-</t>
  </si>
  <si>
    <t>エンドユーザー</t>
    <phoneticPr fontId="60"/>
  </si>
  <si>
    <t>提出先企業名</t>
    <phoneticPr fontId="60"/>
  </si>
  <si>
    <t>利用可能な論理項目種別</t>
    <rPh sb="0" eb="11">
      <t>リヨウカノウロンリコウモクシュベツ</t>
    </rPh>
    <phoneticPr fontId="12"/>
  </si>
  <si>
    <t>固定/可変</t>
    <rPh sb="0" eb="2">
      <t>コテイ</t>
    </rPh>
    <rPh sb="3" eb="5">
      <t>カヘン</t>
    </rPh>
    <phoneticPr fontId="12"/>
  </si>
  <si>
    <t>Label</t>
    <phoneticPr fontId="12"/>
  </si>
  <si>
    <t>Fixed</t>
    <phoneticPr fontId="12"/>
  </si>
  <si>
    <t>Manual Operation Button</t>
    <phoneticPr fontId="12"/>
  </si>
  <si>
    <t>Variable</t>
    <phoneticPr fontId="12"/>
  </si>
  <si>
    <t>Image Button</t>
    <phoneticPr fontId="12"/>
  </si>
  <si>
    <t>Anchor Text</t>
    <phoneticPr fontId="12"/>
  </si>
  <si>
    <t>Textbox</t>
    <phoneticPr fontId="12"/>
  </si>
  <si>
    <t>Text Box (with spin button)</t>
    <phoneticPr fontId="12"/>
  </si>
  <si>
    <t>Password</t>
    <phoneticPr fontId="12"/>
  </si>
  <si>
    <t>Text Area</t>
    <phoneticPr fontId="12"/>
  </si>
  <si>
    <t>File field</t>
    <phoneticPr fontId="12"/>
  </si>
  <si>
    <t>Radio Button</t>
    <phoneticPr fontId="12"/>
  </si>
  <si>
    <t>Dropdown List</t>
    <phoneticPr fontId="12"/>
  </si>
  <si>
    <t>Checkbox</t>
    <phoneticPr fontId="12"/>
  </si>
  <si>
    <t>Calendar</t>
    <phoneticPr fontId="12"/>
  </si>
  <si>
    <t>Time Input</t>
    <phoneticPr fontId="12"/>
  </si>
  <si>
    <t>Loop Table</t>
    <phoneticPr fontId="12"/>
  </si>
  <si>
    <t>Image</t>
    <phoneticPr fontId="12"/>
  </si>
  <si>
    <t>Hidden Field</t>
    <phoneticPr fontId="12"/>
  </si>
  <si>
    <t>Included Screen</t>
    <phoneticPr fontId="12"/>
  </si>
  <si>
    <t>Text Output</t>
    <phoneticPr fontId="12"/>
  </si>
  <si>
    <t>Other</t>
    <phoneticPr fontId="12"/>
  </si>
  <si>
    <t>2</t>
  </si>
  <si>
    <t>申請確認エリア</t>
    <rPh sb="0" eb="2">
      <t>シンセイ</t>
    </rPh>
    <rPh sb="2" eb="4">
      <t>カクニン</t>
    </rPh>
    <phoneticPr fontId="60"/>
  </si>
  <si>
    <t>2.1</t>
    <phoneticPr fontId="60"/>
  </si>
  <si>
    <t>初期申請製品数</t>
    <rPh sb="0" eb="2">
      <t>ショキ</t>
    </rPh>
    <rPh sb="2" eb="4">
      <t>シンセイ</t>
    </rPh>
    <rPh sb="4" eb="6">
      <t>セイヒン</t>
    </rPh>
    <rPh sb="6" eb="7">
      <t>スウ</t>
    </rPh>
    <phoneticPr fontId="60"/>
  </si>
  <si>
    <t>申請確認画面で表示された製品数
※重複、製品データ該当なしの件数も含む</t>
    <phoneticPr fontId="60"/>
  </si>
  <si>
    <t>2.2</t>
    <phoneticPr fontId="60"/>
  </si>
  <si>
    <t>申請に対するチェック結果の説明</t>
    <phoneticPr fontId="60"/>
  </si>
  <si>
    <t>2.3</t>
  </si>
  <si>
    <t>2.4</t>
  </si>
  <si>
    <t>申請画面からフォーム送信される「エンドユーザー」パラメータの値</t>
    <phoneticPr fontId="60"/>
  </si>
  <si>
    <t>2.5</t>
  </si>
  <si>
    <t>CSVダウンロードボタン</t>
    <phoneticPr fontId="60"/>
  </si>
  <si>
    <t>2.6</t>
    <phoneticPr fontId="60"/>
  </si>
  <si>
    <t>申請チェックボックス</t>
    <phoneticPr fontId="60"/>
  </si>
  <si>
    <t>申請可否の情報</t>
    <rPh sb="0" eb="2">
      <t>シンセイ</t>
    </rPh>
    <rPh sb="2" eb="4">
      <t>カヒ</t>
    </rPh>
    <rPh sb="5" eb="7">
      <t>ジョウホウ</t>
    </rPh>
    <phoneticPr fontId="60"/>
  </si>
  <si>
    <t>※画面表示フォーマットは「処理詳細」シートの「■A－１－７－２．製品証明書情報取得処理よりエラーハンドリングフォーマット」を参照する</t>
    <rPh sb="1" eb="3">
      <t>ガメン</t>
    </rPh>
    <rPh sb="3" eb="5">
      <t>ヒョウジ</t>
    </rPh>
    <rPh sb="62" eb="64">
      <t>サンショウ</t>
    </rPh>
    <phoneticPr fontId="60"/>
  </si>
  <si>
    <t>2.7</t>
    <phoneticPr fontId="60"/>
  </si>
  <si>
    <t>申請画面からフォーム送信される「製品名/CL-No」の配列パラメータの値、または、「環境証明書申請製品情報」の「製品名」の値</t>
    <rPh sb="0" eb="2">
      <t>シンセイ</t>
    </rPh>
    <rPh sb="2" eb="4">
      <t>ガメン</t>
    </rPh>
    <rPh sb="10" eb="12">
      <t>ソウシン</t>
    </rPh>
    <rPh sb="16" eb="19">
      <t>セイヒンメイ</t>
    </rPh>
    <rPh sb="56" eb="59">
      <t>セイヒンメイ</t>
    </rPh>
    <rPh sb="61" eb="62">
      <t>アタイ</t>
    </rPh>
    <phoneticPr fontId="60"/>
  </si>
  <si>
    <t>&lt;表示内容&gt;（製品名とCLコード）
　①申請画面からフォーム送信される「製品名/CL-No」を基に「環境証明書申請製品情報」を取得できた場合
　　　・画面項目.製品名：データ「環境証明書申請製品情報」の「製品名」を表示する
　　　・画面項目.CLコード：データ「環境証明書申請製品情報」の「CLコード」を表示する
　②上記①でない場合
　　　1）申請画面からフォーム送信される「製品名/CL-No」の配列パラメータ値が
　　　　　　「HrsNo形式」（数値11桁）、または、「CLコード形式」（CL9999-9999-9-99）の場合
　　　　　　・画面項目.製品名："-"（ハイフン）を表示する
　　　　　　・画面項目.CLコード：申請画面からフォーム送信される「製品名/CL-No」の配列パラメータ値を表示する。
　　　2）上記1）でない場合
　　　　　　・画面項目.製品名：申請画面からフォーム送信される「製品名/CL-No」の配列パラメータ値を表示する。
　　　　　　・画面項目.CLコード："-"（ハイフン）を表示する
　※値がないときは"-"（ハイフン）を表示する。
　　（値がないときとはレコードなしや値がnullの場合を指す。従って、例えば値がスペースなどのときは、スペースという値があると判定）</t>
    <rPh sb="1" eb="3">
      <t>ヒョウジ</t>
    </rPh>
    <rPh sb="3" eb="5">
      <t>ナイヨウ</t>
    </rPh>
    <rPh sb="7" eb="10">
      <t>セイヒンメイ</t>
    </rPh>
    <rPh sb="75" eb="77">
      <t>ガメン</t>
    </rPh>
    <rPh sb="77" eb="79">
      <t>コウモク</t>
    </rPh>
    <rPh sb="80" eb="83">
      <t>セイヒンメイ</t>
    </rPh>
    <rPh sb="102" eb="105">
      <t>セイヒンメイ</t>
    </rPh>
    <rPh sb="160" eb="162">
      <t>ジョウキ</t>
    </rPh>
    <rPh sb="166" eb="168">
      <t>バアイ</t>
    </rPh>
    <rPh sb="345" eb="347">
      <t>ハイレツ</t>
    </rPh>
    <rPh sb="352" eb="353">
      <t>チ</t>
    </rPh>
    <rPh sb="354" eb="356">
      <t>ヒョウジ</t>
    </rPh>
    <rPh sb="366" eb="368">
      <t>ジョウキ</t>
    </rPh>
    <rPh sb="373" eb="375">
      <t>バアイ</t>
    </rPh>
    <rPh sb="496" eb="497">
      <t>アタイ</t>
    </rPh>
    <rPh sb="511" eb="512">
      <t>アタイ</t>
    </rPh>
    <rPh sb="518" eb="520">
      <t>バアイ</t>
    </rPh>
    <rPh sb="521" eb="522">
      <t>サ</t>
    </rPh>
    <rPh sb="524" eb="525">
      <t>シタガ</t>
    </rPh>
    <rPh sb="528" eb="529">
      <t>タト</t>
    </rPh>
    <phoneticPr fontId="60"/>
  </si>
  <si>
    <t>2.8</t>
    <phoneticPr fontId="60"/>
  </si>
  <si>
    <t>CL（製品番号）</t>
    <phoneticPr fontId="60"/>
  </si>
  <si>
    <t>申請画面からフォーム送信される「製品名/CL-No」の配列パラメータの値、または、「環境証明書申請製品情報」の「CLコード」の値</t>
    <phoneticPr fontId="60"/>
  </si>
  <si>
    <t>&lt;表示内容&gt;
　上記の「製品名」の「&lt;表示内容&gt;（製品名とCLコード）」を参照
※画面表示フォーマットは「処理詳細」シートの「■A－１－７－２．製品証明書情報取得処理よりエラーハンドリングフォーマット」を参照する</t>
    <rPh sb="103" eb="105">
      <t>サンショウ</t>
    </rPh>
    <phoneticPr fontId="60"/>
  </si>
  <si>
    <t>2.9</t>
    <phoneticPr fontId="60"/>
  </si>
  <si>
    <t>取得した「製品」の「新製品区分」の値</t>
    <rPh sb="0" eb="2">
      <t>シュトク</t>
    </rPh>
    <rPh sb="5" eb="7">
      <t>セイヒン</t>
    </rPh>
    <rPh sb="10" eb="13">
      <t>シンセイヒン</t>
    </rPh>
    <rPh sb="13" eb="15">
      <t>クブン</t>
    </rPh>
    <rPh sb="17" eb="18">
      <t>アタイ</t>
    </rPh>
    <phoneticPr fontId="60"/>
  </si>
  <si>
    <t>※値がないときは"-"（ハイフン）を表示する。
　（値がないときとはレコードなしや値がnullの場合を指す。従って、例えば値がスペースなどのときは、スペースという値があると判定）</t>
    <phoneticPr fontId="60"/>
  </si>
  <si>
    <t>2.10</t>
    <phoneticPr fontId="60"/>
  </si>
  <si>
    <t>取得した「製品」より判定した「製品販売状況区分」のラベル値</t>
    <rPh sb="0" eb="2">
      <t>シュトク</t>
    </rPh>
    <rPh sb="5" eb="7">
      <t>セイヒン</t>
    </rPh>
    <rPh sb="10" eb="12">
      <t>ハンテイ</t>
    </rPh>
    <rPh sb="15" eb="17">
      <t>セイヒン</t>
    </rPh>
    <rPh sb="17" eb="19">
      <t>ハンバイ</t>
    </rPh>
    <rPh sb="19" eb="21">
      <t>ジョウキョウ</t>
    </rPh>
    <rPh sb="21" eb="23">
      <t>クブン</t>
    </rPh>
    <rPh sb="28" eb="29">
      <t>アタイ</t>
    </rPh>
    <phoneticPr fontId="60"/>
  </si>
  <si>
    <t>2.11</t>
    <phoneticPr fontId="60"/>
  </si>
  <si>
    <t>取得した「製品」の「変更通知No.」の値</t>
    <rPh sb="0" eb="2">
      <t>シュトク</t>
    </rPh>
    <rPh sb="5" eb="7">
      <t>セイヒン</t>
    </rPh>
    <rPh sb="10" eb="12">
      <t>ヘンコウ</t>
    </rPh>
    <rPh sb="12" eb="14">
      <t>ツウチ</t>
    </rPh>
    <rPh sb="19" eb="20">
      <t>アタイ</t>
    </rPh>
    <phoneticPr fontId="60"/>
  </si>
  <si>
    <t>※値がないときは"-"（ハイフン）を表示する。
　（値がないときとはnullの場合を指す。従って、例えば値がスペースなどのときは、スペースという値があると判定）</t>
    <rPh sb="1" eb="2">
      <t>アタイ</t>
    </rPh>
    <rPh sb="18" eb="20">
      <t>ヒョウジ</t>
    </rPh>
    <phoneticPr fontId="60"/>
  </si>
  <si>
    <t>2.12</t>
    <phoneticPr fontId="60"/>
  </si>
  <si>
    <t>申請された証明書種類</t>
    <phoneticPr fontId="60"/>
  </si>
  <si>
    <t>申請画面からフォーム送信される「化学物質データ選択」配列パラメータの値</t>
    <phoneticPr fontId="60"/>
  </si>
  <si>
    <t>2.13</t>
    <phoneticPr fontId="60"/>
  </si>
  <si>
    <t>製品毎の申請可否チェック結果</t>
    <phoneticPr fontId="60"/>
  </si>
  <si>
    <t>2.8の製品番号に対応する証明書毎のチェック結果</t>
    <rPh sb="4" eb="6">
      <t>セイヒン</t>
    </rPh>
    <rPh sb="6" eb="8">
      <t>バンゴウ</t>
    </rPh>
    <rPh sb="9" eb="11">
      <t>タイオウ</t>
    </rPh>
    <rPh sb="13" eb="16">
      <t>ショウメイショ</t>
    </rPh>
    <rPh sb="16" eb="17">
      <t>ゴト</t>
    </rPh>
    <rPh sb="22" eb="24">
      <t>ケッカ</t>
    </rPh>
    <phoneticPr fontId="60"/>
  </si>
  <si>
    <t>2.14</t>
    <phoneticPr fontId="60"/>
  </si>
  <si>
    <t>戻る</t>
    <phoneticPr fontId="60"/>
  </si>
  <si>
    <t>申請</t>
    <phoneticPr fontId="60"/>
  </si>
  <si>
    <t>いいえボタン</t>
    <phoneticPr fontId="60"/>
  </si>
  <si>
    <t>2.17</t>
    <phoneticPr fontId="60"/>
  </si>
  <si>
    <t>はいボタン</t>
    <phoneticPr fontId="60"/>
  </si>
  <si>
    <t>2.18</t>
    <phoneticPr fontId="60"/>
  </si>
  <si>
    <t>申請製品数</t>
    <phoneticPr fontId="60"/>
  </si>
  <si>
    <t>選択された製品の件数を表示する。</t>
    <rPh sb="0" eb="2">
      <t>センタク</t>
    </rPh>
    <rPh sb="5" eb="7">
      <t>セイヒン</t>
    </rPh>
    <rPh sb="8" eb="10">
      <t>ケンスウ</t>
    </rPh>
    <rPh sb="11" eb="13">
      <t>ヒョウジ</t>
    </rPh>
    <phoneticPr fontId="60"/>
  </si>
  <si>
    <t>2.19</t>
    <phoneticPr fontId="60"/>
  </si>
  <si>
    <t>エラーメッセージ</t>
    <phoneticPr fontId="60"/>
  </si>
  <si>
    <t>申請確認ダイアログをクローズする。
※処理詳細の「Ａ－３．申請について」を参照する。
※「申請処理」エラー時
　　・入力チェックエラーが発生する場合、該当のエラーメッセージを2.19の画面項目に表示する。　※「入力チェック」シート参照
　　・処理エラーが発生する場合、message.E.F.000031で定義されているエラーメッセージを2.19の画面項目に表示する。</t>
    <rPh sb="19" eb="21">
      <t>ショリ</t>
    </rPh>
    <rPh sb="21" eb="23">
      <t>ショウサイ</t>
    </rPh>
    <rPh sb="37" eb="39">
      <t>サンショウ</t>
    </rPh>
    <rPh sb="45" eb="47">
      <t>シンセイ</t>
    </rPh>
    <rPh sb="47" eb="49">
      <t>ショリ</t>
    </rPh>
    <rPh sb="53" eb="54">
      <t>ジ</t>
    </rPh>
    <rPh sb="121" eb="123">
      <t>ショリ</t>
    </rPh>
    <rPh sb="127" eb="129">
      <t>ハッセイ</t>
    </rPh>
    <rPh sb="131" eb="133">
      <t>バアイ</t>
    </rPh>
    <phoneticPr fontId="60"/>
  </si>
  <si>
    <t>No</t>
    <phoneticPr fontId="60"/>
  </si>
  <si>
    <t>修飾子</t>
    <rPh sb="0" eb="3">
      <t>シュウショクシ</t>
    </rPh>
    <phoneticPr fontId="60"/>
  </si>
  <si>
    <t>clCode</t>
    <phoneticPr fontId="60"/>
  </si>
  <si>
    <t>partNo</t>
    <phoneticPr fontId="60"/>
  </si>
  <si>
    <t>CLコード</t>
    <phoneticPr fontId="60"/>
  </si>
  <si>
    <t>Non-compliant</t>
    <phoneticPr fontId="60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</si>
  <si>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化学物質データ申請確認</t>
    </r>
    <rPh sb="5" eb="9">
      <t>カガクブッシツ</t>
    </rPh>
    <rPh sb="13" eb="17">
      <t>シンセイカクニン</t>
    </rPh>
    <phoneticPr fontId="56"/>
  </si>
  <si>
    <t xml:space="preserve"> A社</t>
    <rPh sb="2" eb="3">
      <t>シャ</t>
    </rPh>
    <phoneticPr fontId="56"/>
  </si>
  <si>
    <t>CL</t>
    <phoneticPr fontId="56"/>
  </si>
  <si>
    <t>SDS</t>
    <phoneticPr fontId="56"/>
  </si>
  <si>
    <t>☑</t>
    <phoneticPr fontId="56"/>
  </si>
  <si>
    <t>NameA</t>
    <phoneticPr fontId="56"/>
  </si>
  <si>
    <t>NameB</t>
    <phoneticPr fontId="56"/>
  </si>
  <si>
    <t>NameC</t>
    <phoneticPr fontId="56"/>
  </si>
  <si>
    <t>NameD</t>
    <phoneticPr fontId="56"/>
  </si>
  <si>
    <t>NameE</t>
    <phoneticPr fontId="56"/>
  </si>
  <si>
    <t>NameF</t>
    <phoneticPr fontId="56"/>
  </si>
  <si>
    <t>CL0123-
4567-8-90</t>
    <phoneticPr fontId="56"/>
  </si>
  <si>
    <t>CL0123-
4567-8-91</t>
    <phoneticPr fontId="56"/>
  </si>
  <si>
    <t>CL0123-
4567-8-92</t>
    <phoneticPr fontId="56"/>
  </si>
  <si>
    <t>CL0123-
4567-8-93</t>
    <phoneticPr fontId="56"/>
  </si>
  <si>
    <t>CL0123-
4567-8-94</t>
    <phoneticPr fontId="56"/>
  </si>
  <si>
    <t>CL0123-
4567-8-95</t>
    <phoneticPr fontId="56"/>
  </si>
  <si>
    <t>CL0123-
4567-8-96</t>
    <phoneticPr fontId="56"/>
  </si>
  <si>
    <t>2024-01</t>
    <phoneticPr fontId="56"/>
  </si>
  <si>
    <t>2023-12</t>
    <phoneticPr fontId="56"/>
  </si>
  <si>
    <t>2023-10</t>
    <phoneticPr fontId="56"/>
  </si>
  <si>
    <t>2023-11</t>
    <phoneticPr fontId="56"/>
  </si>
  <si>
    <t>YES</t>
    <phoneticPr fontId="56"/>
  </si>
  <si>
    <t>Non-complia
nt</t>
    <phoneticPr fontId="56"/>
  </si>
  <si>
    <t>Contact</t>
    <phoneticPr fontId="56"/>
  </si>
  <si>
    <t>Request</t>
    <phoneticPr fontId="56"/>
  </si>
  <si>
    <t>申請確認ダイアログ</t>
    <rPh sb="0" eb="4">
      <t>シンセイカクニン</t>
    </rPh>
    <phoneticPr fontId="56"/>
  </si>
  <si>
    <t>化学物質データ新規申請を行いますか</t>
    <rPh sb="0" eb="4">
      <t>カガクブッシツ</t>
    </rPh>
    <rPh sb="7" eb="11">
      <t>シンキシンセイ</t>
    </rPh>
    <rPh sb="12" eb="13">
      <t>オコナ</t>
    </rPh>
    <phoneticPr fontId="56"/>
  </si>
  <si>
    <t>(○○　件)</t>
    <rPh sb="4" eb="5">
      <t>ケン</t>
    </rPh>
    <phoneticPr fontId="56"/>
  </si>
  <si>
    <t>1. パンくずリストエリア</t>
  </si>
  <si>
    <t>1.1　パンくずリスト</t>
  </si>
  <si>
    <r>
      <t xml:space="preserve">提出先企業名
</t>
    </r>
    <r>
      <rPr>
        <sz val="7"/>
        <rFont val="Meiryo UI"/>
        <family val="3"/>
        <charset val="128"/>
      </rPr>
      <t xml:space="preserve">Submission_company </t>
    </r>
    <rPh sb="0" eb="3">
      <t>テイシュツサキ</t>
    </rPh>
    <rPh sb="3" eb="6">
      <t>キギョウメイ</t>
    </rPh>
    <phoneticPr fontId="56"/>
  </si>
  <si>
    <r>
      <t xml:space="preserve">エンドユーザー
</t>
    </r>
    <r>
      <rPr>
        <sz val="7"/>
        <rFont val="Meiryo UI"/>
        <family val="3"/>
        <charset val="128"/>
      </rPr>
      <t>End user</t>
    </r>
    <phoneticPr fontId="56"/>
  </si>
  <si>
    <r>
      <rPr>
        <sz val="7"/>
        <rFont val="Meiryo UI"/>
        <family val="3"/>
        <charset val="128"/>
      </rPr>
      <t>製品名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name</t>
    </r>
    <rPh sb="0" eb="3">
      <t>セイヒンメイ</t>
    </rPh>
    <phoneticPr fontId="56"/>
  </si>
  <si>
    <r>
      <t xml:space="preserve">生産終了
予定品
</t>
    </r>
    <r>
      <rPr>
        <sz val="5"/>
        <rFont val="Meiryo UI"/>
        <family val="3"/>
        <charset val="128"/>
      </rPr>
      <t>Products to be discontinued</t>
    </r>
    <rPh sb="0" eb="2">
      <t>セイサン</t>
    </rPh>
    <rPh sb="2" eb="4">
      <t>シュウリョウ</t>
    </rPh>
    <rPh sb="5" eb="7">
      <t>ヨテイ</t>
    </rPh>
    <rPh sb="7" eb="8">
      <t>ヒン</t>
    </rPh>
    <phoneticPr fontId="56"/>
  </si>
  <si>
    <r>
      <t xml:space="preserve">カスタム(他
社販売可)
</t>
    </r>
    <r>
      <rPr>
        <sz val="5"/>
        <rFont val="Meiryo UI"/>
        <family val="3"/>
        <charset val="128"/>
      </rPr>
      <t>Custom(Can be sold by other companies)</t>
    </r>
    <rPh sb="5" eb="6">
      <t>ホカ</t>
    </rPh>
    <rPh sb="7" eb="8">
      <t>シャ</t>
    </rPh>
    <rPh sb="8" eb="10">
      <t>ハンバイ</t>
    </rPh>
    <rPh sb="10" eb="11">
      <t>カ</t>
    </rPh>
    <phoneticPr fontId="56"/>
  </si>
  <si>
    <r>
      <t xml:space="preserve">オリジナル
(特定社)
</t>
    </r>
    <r>
      <rPr>
        <sz val="5"/>
        <rFont val="Meiryo UI"/>
        <family val="3"/>
        <charset val="128"/>
      </rPr>
      <t>Original(Specified company)</t>
    </r>
    <rPh sb="7" eb="9">
      <t>トクテイ</t>
    </rPh>
    <rPh sb="9" eb="10">
      <t>シャ</t>
    </rPh>
    <phoneticPr fontId="56"/>
  </si>
  <si>
    <r>
      <t xml:space="preserve">オリジナル
</t>
    </r>
    <r>
      <rPr>
        <sz val="5"/>
        <rFont val="Meiryo UI"/>
        <family val="3"/>
        <charset val="128"/>
      </rPr>
      <t>Original</t>
    </r>
    <phoneticPr fontId="56"/>
  </si>
  <si>
    <r>
      <t xml:space="preserve">カスタム(他
社販売不可)
</t>
    </r>
    <r>
      <rPr>
        <sz val="5"/>
        <rFont val="Meiryo UI"/>
        <family val="3"/>
        <charset val="128"/>
      </rPr>
      <t>Custom(Cannot be sold by other companies)</t>
    </r>
    <rPh sb="5" eb="6">
      <t>ホカ</t>
    </rPh>
    <rPh sb="7" eb="8">
      <t>シャ</t>
    </rPh>
    <rPh sb="8" eb="10">
      <t>ハンバイ</t>
    </rPh>
    <rPh sb="10" eb="12">
      <t>フカ</t>
    </rPh>
    <phoneticPr fontId="56"/>
  </si>
  <si>
    <r>
      <t xml:space="preserve">新規設計
非推奨
</t>
    </r>
    <r>
      <rPr>
        <sz val="5"/>
        <rFont val="Meiryo UI"/>
        <family val="3"/>
        <charset val="128"/>
      </rPr>
      <t>New designs are not recommended</t>
    </r>
    <rPh sb="0" eb="4">
      <t>シンキセッケイ</t>
    </rPh>
    <rPh sb="5" eb="8">
      <t>ヒスイショウ</t>
    </rPh>
    <phoneticPr fontId="56"/>
  </si>
  <si>
    <t>販売品
Items for sales</t>
    <rPh sb="0" eb="3">
      <t>ハンバイヒン</t>
    </rPh>
    <phoneticPr fontId="56"/>
  </si>
  <si>
    <t>Application confirmation dialog</t>
    <phoneticPr fontId="56"/>
  </si>
  <si>
    <t>(○○　Items)</t>
    <phoneticPr fontId="56"/>
  </si>
  <si>
    <r>
      <t xml:space="preserve">製品選択フォーム
</t>
    </r>
    <r>
      <rPr>
        <sz val="8"/>
        <color theme="1"/>
        <rFont val="Meiryo UI"/>
        <family val="3"/>
        <charset val="128"/>
      </rPr>
      <t>Product selection form</t>
    </r>
    <rPh sb="0" eb="4">
      <t>セイヒンセンタク</t>
    </rPh>
    <phoneticPr fontId="56"/>
  </si>
  <si>
    <t>化学物質データ/Chemical substance data</t>
    <rPh sb="0" eb="2">
      <t>カガクブッシツ</t>
    </rPh>
    <phoneticPr fontId="56"/>
  </si>
  <si>
    <t>以下のようにパンくずリストを表示する。</t>
    <rPh sb="0" eb="2">
      <t>イカ</t>
    </rPh>
    <rPh sb="14" eb="16">
      <t>ヒョウジ</t>
    </rPh>
    <phoneticPr fontId="2"/>
  </si>
  <si>
    <t>『製品トップ &gt; 化学物質データ申請確認』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カクニン</t>
    </rPh>
    <phoneticPr fontId="2"/>
  </si>
  <si>
    <t>r1.1</t>
    <phoneticPr fontId="12"/>
  </si>
  <si>
    <t>古竹</t>
    <rPh sb="0" eb="2">
      <t>フルタケ</t>
    </rPh>
    <phoneticPr fontId="12"/>
  </si>
  <si>
    <t>化学物質データ申請確認画面の内容を日英併記に変更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2"/>
  </si>
  <si>
    <t>Items</t>
    <phoneticPr fontId="56"/>
  </si>
  <si>
    <t>日本語</t>
    <rPh sb="0" eb="3">
      <t>ニホンゴ</t>
    </rPh>
    <phoneticPr fontId="56"/>
  </si>
  <si>
    <t>English</t>
    <phoneticPr fontId="56"/>
  </si>
  <si>
    <t>Non-compliant</t>
    <phoneticPr fontId="56"/>
  </si>
  <si>
    <t>We can't submit the certificate for non-compliant.</t>
    <phoneticPr fontId="56"/>
  </si>
  <si>
    <t>ヒロセ営業担当へご連絡、または環境各種要求書を発行</t>
    <rPh sb="3" eb="5">
      <t>エイギョウ</t>
    </rPh>
    <rPh sb="5" eb="7">
      <t>タントウ</t>
    </rPh>
    <rPh sb="9" eb="11">
      <t>レンラク</t>
    </rPh>
    <phoneticPr fontId="56"/>
  </si>
  <si>
    <t>Please contact to Hirose sales or request on the environment data base.</t>
    <phoneticPr fontId="56"/>
  </si>
  <si>
    <t>グレー背景
Gray background</t>
    <phoneticPr fontId="56"/>
  </si>
  <si>
    <t>重複した製品</t>
    <phoneticPr fontId="56"/>
  </si>
  <si>
    <t>Duplicate products</t>
    <phoneticPr fontId="56"/>
  </si>
  <si>
    <t>赤背景
Red background</t>
    <phoneticPr fontId="56"/>
  </si>
  <si>
    <t>システムに製品の該当なし</t>
    <phoneticPr fontId="56"/>
  </si>
  <si>
    <t>Products are not registered in the system.</t>
    <phoneticPr fontId="56"/>
  </si>
  <si>
    <t>申請した製品数: 5 件
Number of products applied: 5 products</t>
    <rPh sb="0" eb="2">
      <t>シンセイ</t>
    </rPh>
    <rPh sb="4" eb="7">
      <t>セイヒンスウ</t>
    </rPh>
    <rPh sb="11" eb="12">
      <t>ケン</t>
    </rPh>
    <phoneticPr fontId="56"/>
  </si>
  <si>
    <t>高精度分析データ(ICP)
Analysis Data(ICP)</t>
    <phoneticPr fontId="56"/>
  </si>
  <si>
    <t>chemSHERPA</t>
    <phoneticPr fontId="56"/>
  </si>
  <si>
    <t>Do you want to apply?</t>
    <phoneticPr fontId="56"/>
  </si>
  <si>
    <r>
      <rPr>
        <sz val="7"/>
        <rFont val="Meiryo UI"/>
        <family val="3"/>
        <charset val="128"/>
      </rPr>
      <t xml:space="preserve">新製品区分
</t>
    </r>
    <r>
      <rPr>
        <sz val="6"/>
        <rFont val="Meiryo UI"/>
        <family val="3"/>
        <charset val="128"/>
      </rPr>
      <t>New Product Class</t>
    </r>
    <rPh sb="0" eb="3">
      <t>シンセイヒン</t>
    </rPh>
    <rPh sb="3" eb="4">
      <t>ク</t>
    </rPh>
    <rPh sb="4" eb="5">
      <t>フン</t>
    </rPh>
    <phoneticPr fontId="56"/>
  </si>
  <si>
    <r>
      <t xml:space="preserve">製品販売
状況
</t>
    </r>
    <r>
      <rPr>
        <sz val="6"/>
        <rFont val="Meiryo UI"/>
        <family val="3"/>
        <charset val="128"/>
      </rPr>
      <t>Product Sales Status</t>
    </r>
    <phoneticPr fontId="56"/>
  </si>
  <si>
    <r>
      <t xml:space="preserve">PCN番号
</t>
    </r>
    <r>
      <rPr>
        <sz val="6"/>
        <rFont val="Meiryo UI"/>
        <family val="3"/>
        <charset val="128"/>
      </rPr>
      <t>PCN No</t>
    </r>
    <rPh sb="3" eb="5">
      <t>バンゴウ</t>
    </rPh>
    <phoneticPr fontId="56"/>
  </si>
  <si>
    <r>
      <rPr>
        <sz val="7"/>
        <rFont val="Meiryo UI"/>
        <family val="3"/>
        <charset val="128"/>
      </rPr>
      <t>RoHS証明書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RoHS Certificate</t>
    </r>
    <rPh sb="4" eb="7">
      <t>ショウメイショ</t>
    </rPh>
    <phoneticPr fontId="56"/>
  </si>
  <si>
    <r>
      <rPr>
        <sz val="7"/>
        <rFont val="Meiryo UI"/>
        <family val="3"/>
        <charset val="128"/>
      </rPr>
      <t>ハロゲンフリー証明書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Certificate of Halogen Free</t>
    </r>
    <rPh sb="7" eb="10">
      <t>ショウメイショ</t>
    </rPh>
    <phoneticPr fontId="56"/>
  </si>
  <si>
    <r>
      <rPr>
        <sz val="7"/>
        <rFont val="Meiryo UI"/>
        <family val="3"/>
        <charset val="128"/>
      </rPr>
      <t>成分表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Chemical Substances Table</t>
    </r>
    <rPh sb="0" eb="3">
      <t>セイブンヒョウ</t>
    </rPh>
    <phoneticPr fontId="56"/>
  </si>
  <si>
    <r>
      <t xml:space="preserve">SVHC調査報告書
</t>
    </r>
    <r>
      <rPr>
        <sz val="6"/>
        <rFont val="Meiryo UI"/>
        <family val="3"/>
        <charset val="128"/>
      </rPr>
      <t>Report of SVHC</t>
    </r>
    <rPh sb="4" eb="5">
      <t>チョウ</t>
    </rPh>
    <rPh sb="5" eb="6">
      <t>サ</t>
    </rPh>
    <rPh sb="6" eb="9">
      <t>ホウコクショ</t>
    </rPh>
    <phoneticPr fontId="56"/>
  </si>
  <si>
    <t>化学物質データ申請確認</t>
    <phoneticPr fontId="50"/>
  </si>
  <si>
    <t>化学物質データ申請</t>
    <phoneticPr fontId="50"/>
  </si>
  <si>
    <t>r1.2</t>
    <phoneticPr fontId="50"/>
  </si>
  <si>
    <t>英語表記を現行の英語表記に変更、項目変更</t>
    <rPh sb="0" eb="4">
      <t>エイゴヒョウキ</t>
    </rPh>
    <rPh sb="5" eb="7">
      <t>ゲンコウ</t>
    </rPh>
    <rPh sb="8" eb="12">
      <t>エイゴヒョウキ</t>
    </rPh>
    <rPh sb="13" eb="15">
      <t>ヘンコウ</t>
    </rPh>
    <rPh sb="16" eb="20">
      <t>コウモクヘンコウ</t>
    </rPh>
    <phoneticPr fontId="50"/>
  </si>
  <si>
    <t>「化学物質データ申請確認画面」シート</t>
    <phoneticPr fontId="50"/>
  </si>
  <si>
    <t>■チェックボックスが一つも選択されない場合、
　　　「申請」ボタンは非活性となる。
■チェックボックスが一つ以上選択さてている場合、
　　　「申請確認ダイアログ」がポップアップで表示される。</t>
    <rPh sb="13" eb="15">
      <t>センタク</t>
    </rPh>
    <rPh sb="52" eb="53">
      <t>ヒト</t>
    </rPh>
    <rPh sb="54" eb="56">
      <t>イジョウ</t>
    </rPh>
    <rPh sb="56" eb="58">
      <t>センタク</t>
    </rPh>
    <rPh sb="63" eb="65">
      <t>バアイ</t>
    </rPh>
    <rPh sb="89" eb="91">
      <t>ヒョウジ</t>
    </rPh>
    <phoneticPr fontId="60"/>
  </si>
  <si>
    <t>処理詳細</t>
    <rPh sb="0" eb="2">
      <t>ショリ</t>
    </rPh>
    <rPh sb="2" eb="4">
      <t>ショウサイ</t>
    </rPh>
    <phoneticPr fontId="12"/>
  </si>
  <si>
    <t>Ａ－１．画面初期表示について</t>
    <rPh sb="4" eb="6">
      <t>ガメン</t>
    </rPh>
    <rPh sb="6" eb="8">
      <t>ショキ</t>
    </rPh>
    <rPh sb="8" eb="10">
      <t>ヒョウジ</t>
    </rPh>
    <phoneticPr fontId="12"/>
  </si>
  <si>
    <t>※以下のフロー図を参照する</t>
    <rPh sb="1" eb="3">
      <t>イカ</t>
    </rPh>
    <rPh sb="7" eb="8">
      <t>ズ</t>
    </rPh>
    <rPh sb="9" eb="11">
      <t>サンショウ</t>
    </rPh>
    <phoneticPr fontId="60"/>
  </si>
  <si>
    <t>A－１－１．</t>
    <phoneticPr fontId="60"/>
  </si>
  <si>
    <t>申請画面からのHTTPパラメータで製品名/CLコードリスト取得</t>
    <rPh sb="17" eb="20">
      <t>セイヒンメイ</t>
    </rPh>
    <phoneticPr fontId="60"/>
  </si>
  <si>
    <t>A－１－２．</t>
    <phoneticPr fontId="60"/>
  </si>
  <si>
    <t>製品名/CLコードより証明書の情報取得</t>
    <rPh sb="0" eb="3">
      <t>セイヒンメイ</t>
    </rPh>
    <rPh sb="11" eb="14">
      <t>ショウメイショ</t>
    </rPh>
    <rPh sb="15" eb="17">
      <t>ジョウホウ</t>
    </rPh>
    <rPh sb="17" eb="19">
      <t>シュトク</t>
    </rPh>
    <phoneticPr fontId="60"/>
  </si>
  <si>
    <t>主Type</t>
    <rPh sb="0" eb="1">
      <t>シュ</t>
    </rPh>
    <phoneticPr fontId="60"/>
  </si>
  <si>
    <t>HrsChemicalSubstanceProduct</t>
    <phoneticPr fontId="60"/>
  </si>
  <si>
    <t>抽出条件（OR）</t>
    <rPh sb="0" eb="2">
      <t>チュウシュツ</t>
    </rPh>
    <rPh sb="2" eb="4">
      <t>ジョウケン</t>
    </rPh>
    <phoneticPr fontId="60"/>
  </si>
  <si>
    <t>HrsChemicalSubstanceProduct.clCode=入力リスト.製品名/CLコード　※1</t>
    <rPh sb="35" eb="37">
      <t>ニュウリョク</t>
    </rPh>
    <rPh sb="41" eb="44">
      <t>セイヒンメイ</t>
    </rPh>
    <phoneticPr fontId="60"/>
  </si>
  <si>
    <t>HrsChemicalSubstanceProduct.partNo=入力リスト.製品名/CLコード　※2</t>
    <rPh sb="35" eb="37">
      <t>ニュウリョク</t>
    </rPh>
    <rPh sb="41" eb="44">
      <t>セイヒンメイ</t>
    </rPh>
    <phoneticPr fontId="60"/>
  </si>
  <si>
    <t>※1　入力値の形式がHRS-No（数字11桁）の場合はCLコードの形式（CL9999-9999-9-99）に変換</t>
    <phoneticPr fontId="60"/>
  </si>
  <si>
    <t>※2　入力値に以下の全角記号が含まれる場合は半角に変換</t>
    <rPh sb="7" eb="9">
      <t>イカ</t>
    </rPh>
    <rPh sb="12" eb="14">
      <t>キゴウ</t>
    </rPh>
    <phoneticPr fontId="60"/>
  </si>
  <si>
    <t>－　→　-</t>
  </si>
  <si>
    <t>（　→　(</t>
  </si>
  <si>
    <t>）　→　)</t>
  </si>
  <si>
    <t>＋　→　+</t>
  </si>
  <si>
    <t>＊　→　*</t>
  </si>
  <si>
    <t>／　→　/</t>
  </si>
  <si>
    <t>■A－１－２－１．環境証明書申請製品情報テーブル（HrsChemicalSubstanceProduct）</t>
    <phoneticPr fontId="60"/>
  </si>
  <si>
    <t>項目名</t>
    <rPh sb="0" eb="2">
      <t>コウモク</t>
    </rPh>
    <rPh sb="2" eb="3">
      <t>メイ</t>
    </rPh>
    <phoneticPr fontId="60"/>
  </si>
  <si>
    <t>hrsNo</t>
    <phoneticPr fontId="60"/>
  </si>
  <si>
    <t>HRS No</t>
    <phoneticPr fontId="60"/>
  </si>
  <si>
    <t>製品名</t>
    <phoneticPr fontId="60"/>
  </si>
  <si>
    <t>available</t>
    <phoneticPr fontId="60"/>
  </si>
  <si>
    <t>申請可能</t>
    <phoneticPr fontId="60"/>
  </si>
  <si>
    <t>request</t>
    <phoneticPr fontId="60"/>
  </si>
  <si>
    <t>Request</t>
    <phoneticPr fontId="60"/>
  </si>
  <si>
    <t>nonCompliant</t>
    <phoneticPr fontId="60"/>
  </si>
  <si>
    <t>■A－１－２－２．取得した製品照明書の情報と画面表示のマッピング</t>
    <rPh sb="9" eb="11">
      <t>シュトク</t>
    </rPh>
    <rPh sb="13" eb="15">
      <t>セイヒン</t>
    </rPh>
    <rPh sb="15" eb="17">
      <t>ショウメイ</t>
    </rPh>
    <rPh sb="17" eb="18">
      <t>ショ</t>
    </rPh>
    <rPh sb="19" eb="21">
      <t>ジョウホウ</t>
    </rPh>
    <rPh sb="22" eb="24">
      <t>ガメン</t>
    </rPh>
    <rPh sb="24" eb="26">
      <t>ヒョウジ</t>
    </rPh>
    <phoneticPr fontId="12"/>
  </si>
  <si>
    <t>A－１－３．</t>
    <phoneticPr fontId="60"/>
  </si>
  <si>
    <t>製品名/CLコードの重複チェック</t>
    <rPh sb="0" eb="3">
      <t>セイヒンメイ</t>
    </rPh>
    <rPh sb="10" eb="12">
      <t>チョウフク</t>
    </rPh>
    <phoneticPr fontId="12"/>
  </si>
  <si>
    <t>・A－１－２．で環境証明書申請製品情報を取得できた場合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5" eb="27">
      <t>バアイ</t>
    </rPh>
    <phoneticPr fontId="60"/>
  </si>
  <si>
    <t>：</t>
    <phoneticPr fontId="60"/>
  </si>
  <si>
    <t>環境証明書申請製品情報の「CLコード」を基に重複チェックを実施</t>
    <rPh sb="20" eb="21">
      <t>モト</t>
    </rPh>
    <rPh sb="22" eb="24">
      <t>チョウフク</t>
    </rPh>
    <rPh sb="29" eb="31">
      <t>ジッシ</t>
    </rPh>
    <phoneticPr fontId="60"/>
  </si>
  <si>
    <t>・A－１－２．で環境証明書申請製品情報を取得できなかった場合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8" eb="30">
      <t>バアイ</t>
    </rPh>
    <phoneticPr fontId="60"/>
  </si>
  <si>
    <t>入力リスト.製品名/CLコードを基に重複チェックを実施</t>
    <rPh sb="0" eb="2">
      <t>ニュウリョク</t>
    </rPh>
    <rPh sb="6" eb="9">
      <t>セイヒンメイ</t>
    </rPh>
    <rPh sb="16" eb="17">
      <t>モト</t>
    </rPh>
    <rPh sb="18" eb="20">
      <t>チョウフク</t>
    </rPh>
    <rPh sb="25" eb="27">
      <t>ジッシ</t>
    </rPh>
    <phoneticPr fontId="60"/>
  </si>
  <si>
    <t>A－１－４．</t>
    <phoneticPr fontId="60"/>
  </si>
  <si>
    <t>製品名/CLコードごとにの存在チェック</t>
    <rPh sb="0" eb="3">
      <t>セイヒンメイ</t>
    </rPh>
    <rPh sb="13" eb="15">
      <t>ソンザイ</t>
    </rPh>
    <phoneticPr fontId="60"/>
  </si>
  <si>
    <t>A－１－５．</t>
    <phoneticPr fontId="60"/>
  </si>
  <si>
    <t>CLコードより製品マスター情報取得</t>
    <rPh sb="7" eb="9">
      <t>セイヒン</t>
    </rPh>
    <rPh sb="13" eb="15">
      <t>ジョウホウ</t>
    </rPh>
    <rPh sb="15" eb="17">
      <t>シュトク</t>
    </rPh>
    <phoneticPr fontId="60"/>
  </si>
  <si>
    <t>HrsProduct</t>
    <phoneticPr fontId="60"/>
  </si>
  <si>
    <t>HrsProduct.code=A－１－２．で取得した「環境証明書申請製品情報」の「CLコード」</t>
    <rPh sb="23" eb="25">
      <t>シュトク</t>
    </rPh>
    <phoneticPr fontId="60"/>
  </si>
  <si>
    <t>■A－１－５－１．製品マスターテーブル抜粋（HrsProduct）</t>
    <rPh sb="9" eb="11">
      <t>セイヒン</t>
    </rPh>
    <rPh sb="19" eb="21">
      <t>バッスイ</t>
    </rPh>
    <phoneticPr fontId="60"/>
  </si>
  <si>
    <t>code</t>
    <phoneticPr fontId="60"/>
  </si>
  <si>
    <t>newProductClass[lang]</t>
    <phoneticPr fontId="60"/>
  </si>
  <si>
    <t>discontinued</t>
    <phoneticPr fontId="60"/>
  </si>
  <si>
    <t>廃図フラグ</t>
    <phoneticPr fontId="60"/>
  </si>
  <si>
    <t>lastOrderDate</t>
    <phoneticPr fontId="60"/>
  </si>
  <si>
    <t>最終受注受付日</t>
    <phoneticPr fontId="60"/>
  </si>
  <si>
    <t>nrndPriorityFlag</t>
    <phoneticPr fontId="60"/>
  </si>
  <si>
    <t>新規設計非推奨（手動優先フラグ）</t>
    <phoneticPr fontId="60"/>
  </si>
  <si>
    <t>nrndManualFlag</t>
    <phoneticPr fontId="60"/>
  </si>
  <si>
    <t>新規設計非推奨（手動設定フラグ）</t>
    <rPh sb="0" eb="2">
      <t>シンキ</t>
    </rPh>
    <rPh sb="2" eb="4">
      <t>セッケイ</t>
    </rPh>
    <rPh sb="4" eb="5">
      <t>ヒ</t>
    </rPh>
    <rPh sb="5" eb="7">
      <t>スイショウ</t>
    </rPh>
    <rPh sb="8" eb="10">
      <t>シュドウ</t>
    </rPh>
    <rPh sb="10" eb="12">
      <t>セッテイ</t>
    </rPh>
    <phoneticPr fontId="60"/>
  </si>
  <si>
    <t>salesCondition</t>
    <phoneticPr fontId="60"/>
  </si>
  <si>
    <t>新規受注制限</t>
    <rPh sb="0" eb="2">
      <t>シンキ</t>
    </rPh>
    <rPh sb="2" eb="4">
      <t>ジュチュウ</t>
    </rPh>
    <rPh sb="4" eb="6">
      <t>セイゲン</t>
    </rPh>
    <phoneticPr fontId="60"/>
  </si>
  <si>
    <t>terminationPlanDocumentNo</t>
    <phoneticPr fontId="60"/>
  </si>
  <si>
    <t>変更通知No.</t>
    <rPh sb="0" eb="2">
      <t>ヘンコウ</t>
    </rPh>
    <rPh sb="2" eb="4">
      <t>ツウチ</t>
    </rPh>
    <phoneticPr fontId="60"/>
  </si>
  <si>
    <t>A－１－６．</t>
    <phoneticPr fontId="60"/>
  </si>
  <si>
    <t>申請可能条件よりチェック</t>
    <rPh sb="0" eb="2">
      <t>シンセイ</t>
    </rPh>
    <rPh sb="2" eb="4">
      <t>カノウ</t>
    </rPh>
    <rPh sb="4" eb="6">
      <t>ジョウケン</t>
    </rPh>
    <phoneticPr fontId="60"/>
  </si>
  <si>
    <t>前提：A－１－５．で「製品マスター情報」のレコードを取得した場合に本処理を実施</t>
    <rPh sb="0" eb="2">
      <t>ゼンテイ</t>
    </rPh>
    <rPh sb="11" eb="13">
      <t>セイヒン</t>
    </rPh>
    <rPh sb="17" eb="19">
      <t>ジョウホウ</t>
    </rPh>
    <rPh sb="26" eb="28">
      <t>シュトク</t>
    </rPh>
    <rPh sb="30" eb="32">
      <t>バアイ</t>
    </rPh>
    <rPh sb="33" eb="34">
      <t>ホン</t>
    </rPh>
    <rPh sb="34" eb="36">
      <t>ショリ</t>
    </rPh>
    <rPh sb="37" eb="39">
      <t>ジッシ</t>
    </rPh>
    <phoneticPr fontId="60"/>
  </si>
  <si>
    <t>※本処理を実施しない場合は「申請可能チェック結果OK」扱いとなる。</t>
    <rPh sb="1" eb="2">
      <t>ホン</t>
    </rPh>
    <rPh sb="2" eb="4">
      <t>ショリ</t>
    </rPh>
    <rPh sb="5" eb="7">
      <t>ジッシ</t>
    </rPh>
    <rPh sb="10" eb="12">
      <t>バアイ</t>
    </rPh>
    <rPh sb="27" eb="28">
      <t>アツカ</t>
    </rPh>
    <phoneticPr fontId="60"/>
  </si>
  <si>
    <t>■A－１－６－１．申請可能条件</t>
    <phoneticPr fontId="60"/>
  </si>
  <si>
    <t>・A－１－５．で取得した「製品マスター情報」の「新製品区分」[en]==Original[固定値]の場合</t>
    <rPh sb="8" eb="10">
      <t>シュトク</t>
    </rPh>
    <rPh sb="13" eb="15">
      <t>セイヒン</t>
    </rPh>
    <rPh sb="19" eb="21">
      <t>ジョウホウ</t>
    </rPh>
    <rPh sb="24" eb="27">
      <t>シンセイヒン</t>
    </rPh>
    <rPh sb="27" eb="29">
      <t>クブン</t>
    </rPh>
    <rPh sb="50" eb="52">
      <t>バアイ</t>
    </rPh>
    <phoneticPr fontId="60"/>
  </si>
  <si>
    <t>申請可能チェック結果OK</t>
    <rPh sb="0" eb="2">
      <t>シンセイ</t>
    </rPh>
    <rPh sb="2" eb="4">
      <t>カノウ</t>
    </rPh>
    <rPh sb="8" eb="10">
      <t>ケッカ</t>
    </rPh>
    <phoneticPr fontId="60"/>
  </si>
  <si>
    <t>・A－１－５．で取得した「製品マスター情報」の「新製品区分」[en]==Original[固定値]でない場合</t>
    <rPh sb="19" eb="21">
      <t>ジョウホウ</t>
    </rPh>
    <rPh sb="52" eb="54">
      <t>バアイ</t>
    </rPh>
    <phoneticPr fontId="60"/>
  </si>
  <si>
    <t>申請可能チェック結果NG</t>
    <rPh sb="0" eb="2">
      <t>シンセイ</t>
    </rPh>
    <rPh sb="2" eb="4">
      <t>カノウ</t>
    </rPh>
    <rPh sb="8" eb="10">
      <t>ケッカ</t>
    </rPh>
    <phoneticPr fontId="60"/>
  </si>
  <si>
    <t>A－１－７．申請可能チェック結果取得</t>
    <phoneticPr fontId="60"/>
  </si>
  <si>
    <t>■A－１－７－１．判断結果より処理について</t>
    <rPh sb="9" eb="11">
      <t>ハンダン</t>
    </rPh>
    <rPh sb="11" eb="13">
      <t>ケッカ</t>
    </rPh>
    <rPh sb="15" eb="17">
      <t>ショリ</t>
    </rPh>
    <phoneticPr fontId="12"/>
  </si>
  <si>
    <t>社員と販売と代理店権限</t>
    <rPh sb="0" eb="2">
      <t>シャイン</t>
    </rPh>
    <rPh sb="3" eb="5">
      <t>ハンバイ</t>
    </rPh>
    <rPh sb="6" eb="9">
      <t>ダイリテン</t>
    </rPh>
    <rPh sb="9" eb="11">
      <t>ケンゲン</t>
    </rPh>
    <phoneticPr fontId="60"/>
  </si>
  <si>
    <t>代理店権限</t>
    <rPh sb="0" eb="3">
      <t>ダイリテン</t>
    </rPh>
    <rPh sb="3" eb="5">
      <t>ケンゲン</t>
    </rPh>
    <phoneticPr fontId="60"/>
  </si>
  <si>
    <t>A－１－４．CLコードより一致する製品証明書の情報を取得　まで処理結果</t>
    <rPh sb="13" eb="15">
      <t>イッチ</t>
    </rPh>
    <rPh sb="17" eb="19">
      <t>セイヒン</t>
    </rPh>
    <rPh sb="19" eb="22">
      <t>ショウメイショ</t>
    </rPh>
    <rPh sb="23" eb="25">
      <t>ジョウホウ</t>
    </rPh>
    <rPh sb="26" eb="28">
      <t>シュトク</t>
    </rPh>
    <rPh sb="31" eb="33">
      <t>ショリ</t>
    </rPh>
    <rPh sb="33" eb="35">
      <t>ケッカ</t>
    </rPh>
    <phoneticPr fontId="60"/>
  </si>
  <si>
    <t>A－１－６．申請可能チェック結果OK</t>
    <phoneticPr fontId="60"/>
  </si>
  <si>
    <t>A－１－６．申請可能チェック結果NG</t>
    <rPh sb="6" eb="8">
      <t>シンセイ</t>
    </rPh>
    <rPh sb="8" eb="10">
      <t>カノウ</t>
    </rPh>
    <rPh sb="14" eb="16">
      <t>ケッカ</t>
    </rPh>
    <phoneticPr fontId="60"/>
  </si>
  <si>
    <t>環境証明書申請製品情報テーブルに存在する</t>
    <phoneticPr fontId="60"/>
  </si>
  <si>
    <t>すべての証明書が（Non-compliant ）申請不可</t>
    <phoneticPr fontId="60"/>
  </si>
  <si>
    <t>なにもしない</t>
    <phoneticPr fontId="60"/>
  </si>
  <si>
    <t>証明書は１件以上申請可能
※「YES : 申請可能」または「Request : 問い合わせ可否はシステムで判断できない」）</t>
    <phoneticPr fontId="60"/>
  </si>
  <si>
    <r>
      <t>「</t>
    </r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」に書き直す</t>
    </r>
    <phoneticPr fontId="60"/>
  </si>
  <si>
    <t>環境証明書申請製品情報テーブルに存在しない</t>
    <phoneticPr fontId="60"/>
  </si>
  <si>
    <t>製品が重複する</t>
    <phoneticPr fontId="60"/>
  </si>
  <si>
    <t>■A－１－７－２．製品証明書情報取得処理よりエラーハンドリングフォーマット</t>
    <rPh sb="9" eb="11">
      <t>セイヒン</t>
    </rPh>
    <rPh sb="11" eb="14">
      <t>ショウメイショ</t>
    </rPh>
    <rPh sb="14" eb="16">
      <t>ジョウホウ</t>
    </rPh>
    <rPh sb="16" eb="18">
      <t>シュトク</t>
    </rPh>
    <rPh sb="18" eb="20">
      <t>ショリ</t>
    </rPh>
    <phoneticPr fontId="12"/>
  </si>
  <si>
    <t>条件</t>
    <rPh sb="0" eb="2">
      <t>ジョウケン</t>
    </rPh>
    <phoneticPr fontId="60"/>
  </si>
  <si>
    <t>背景色</t>
    <phoneticPr fontId="60"/>
  </si>
  <si>
    <t>文字列</t>
    <rPh sb="0" eb="3">
      <t>モジレツ</t>
    </rPh>
    <phoneticPr fontId="60"/>
  </si>
  <si>
    <t>チェックボックス</t>
    <phoneticPr fontId="60"/>
  </si>
  <si>
    <t>パターン</t>
    <phoneticPr fontId="60"/>
  </si>
  <si>
    <t>申請可能製品
※オリジナル製品</t>
    <phoneticPr fontId="60"/>
  </si>
  <si>
    <t>申請不可製品
※オリジナル製品以外</t>
    <rPh sb="15" eb="17">
      <t>イガイ</t>
    </rPh>
    <phoneticPr fontId="60"/>
  </si>
  <si>
    <t>灰色</t>
    <phoneticPr fontId="60"/>
  </si>
  <si>
    <t>表示しない</t>
    <phoneticPr fontId="60"/>
  </si>
  <si>
    <t>①</t>
    <phoneticPr fontId="60"/>
  </si>
  <si>
    <t>左と同様※①</t>
    <rPh sb="0" eb="1">
      <t>ヒダリ</t>
    </rPh>
    <rPh sb="2" eb="4">
      <t>ドウヨウ</t>
    </rPh>
    <phoneticPr fontId="60"/>
  </si>
  <si>
    <t>申請可能（YES）の証明書がない
※「Non-compliant : 申請不可」または「Request : 問い合わせ可否はシステムで判断できない」）</t>
    <phoneticPr fontId="60"/>
  </si>
  <si>
    <t>なし</t>
    <phoneticPr fontId="60"/>
  </si>
  <si>
    <t>Request(+)/Non-compliant(*)</t>
    <phoneticPr fontId="60"/>
  </si>
  <si>
    <t>②</t>
    <phoneticPr fontId="60"/>
  </si>
  <si>
    <t>左と同様※②</t>
    <rPh sb="0" eb="1">
      <t>ヒダリ</t>
    </rPh>
    <rPh sb="2" eb="4">
      <t>ドウヨウ</t>
    </rPh>
    <phoneticPr fontId="60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</si>
  <si>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※⑥</t>
    </r>
    <phoneticPr fontId="60"/>
  </si>
  <si>
    <t>証明書は１件以上申請可能
※「YES : 申請可能」</t>
    <phoneticPr fontId="60"/>
  </si>
  <si>
    <t>YES(+)/Request(*)/Non-compliant(*)</t>
    <phoneticPr fontId="60"/>
  </si>
  <si>
    <t>表示</t>
    <phoneticPr fontId="60"/>
  </si>
  <si>
    <t>③</t>
    <phoneticPr fontId="60"/>
  </si>
  <si>
    <t>左と同様※③</t>
    <rPh sb="0" eb="1">
      <t>ヒダリ</t>
    </rPh>
    <rPh sb="2" eb="4">
      <t>ドウヨウ</t>
    </rPh>
    <phoneticPr fontId="60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</si>
  <si>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 xml:space="preserve">※⑥
</t>
    </r>
    <r>
      <rPr>
        <b/>
        <sz val="11"/>
        <rFont val="Meiryo UI"/>
        <family val="3"/>
        <charset val="128"/>
      </rPr>
      <t>※チェックボックス表示しない</t>
    </r>
    <rPh sb="19" eb="21">
      <t>ヒョウジ</t>
    </rPh>
    <phoneticPr fontId="60"/>
  </si>
  <si>
    <t>赤</t>
    <phoneticPr fontId="60"/>
  </si>
  <si>
    <t>空白</t>
    <rPh sb="0" eb="2">
      <t>クウハク</t>
    </rPh>
    <phoneticPr fontId="60"/>
  </si>
  <si>
    <t>④</t>
    <phoneticPr fontId="60"/>
  </si>
  <si>
    <t>左と同様※④</t>
    <rPh sb="0" eb="1">
      <t>ヒダリ</t>
    </rPh>
    <rPh sb="2" eb="4">
      <t>ドウヨウ</t>
    </rPh>
    <phoneticPr fontId="60"/>
  </si>
  <si>
    <t>⑤</t>
    <phoneticPr fontId="60"/>
  </si>
  <si>
    <t>左と同様※⑤</t>
    <rPh sb="0" eb="1">
      <t>ヒダリ</t>
    </rPh>
    <rPh sb="2" eb="4">
      <t>ドウヨウ</t>
    </rPh>
    <phoneticPr fontId="60"/>
  </si>
  <si>
    <t>A－１－８．製品マスター情報を表示内容として設定</t>
    <rPh sb="15" eb="17">
      <t>ヒョウジ</t>
    </rPh>
    <rPh sb="17" eb="19">
      <t>ナイヨウ</t>
    </rPh>
    <phoneticPr fontId="60"/>
  </si>
  <si>
    <t>※別シート「画面項目」を参照</t>
    <rPh sb="1" eb="2">
      <t>ベツ</t>
    </rPh>
    <phoneticPr fontId="60"/>
  </si>
  <si>
    <t>Ａ－２．CSVダウンロードについて</t>
    <phoneticPr fontId="12"/>
  </si>
  <si>
    <t>■A－２－１ダウンロードCSVファイルのフォーマット</t>
    <phoneticPr fontId="12"/>
  </si>
  <si>
    <t>※「ダウンロードCSVファイルについて」のシートを参照する</t>
    <rPh sb="25" eb="27">
      <t>サンショウ</t>
    </rPh>
    <phoneticPr fontId="60"/>
  </si>
  <si>
    <t>■Ａ－２－２データ情報取得</t>
    <rPh sb="9" eb="11">
      <t>ジョウホウ</t>
    </rPh>
    <rPh sb="11" eb="13">
      <t>シュトク</t>
    </rPh>
    <phoneticPr fontId="60"/>
  </si>
  <si>
    <t>※対応するデータ情報の取得について、「A－１－２．製品名/CLコードより証明書の情報取得 」を参照する</t>
    <rPh sb="1" eb="3">
      <t>タイオウ</t>
    </rPh>
    <rPh sb="8" eb="10">
      <t>ジョウホウ</t>
    </rPh>
    <rPh sb="11" eb="13">
      <t>シュトク</t>
    </rPh>
    <rPh sb="25" eb="28">
      <t>セイヒンメイ</t>
    </rPh>
    <rPh sb="47" eb="49">
      <t>サンショウ</t>
    </rPh>
    <phoneticPr fontId="60"/>
  </si>
  <si>
    <t>※対応するデータ情報の取得について、「A－１－５．製品名/CLコードより製品マスター情報取得 」を参照する</t>
    <rPh sb="1" eb="3">
      <t>タイオウ</t>
    </rPh>
    <rPh sb="8" eb="10">
      <t>ジョウホウ</t>
    </rPh>
    <rPh sb="11" eb="13">
      <t>シュトク</t>
    </rPh>
    <rPh sb="49" eb="51">
      <t>サンショウ</t>
    </rPh>
    <phoneticPr fontId="60"/>
  </si>
  <si>
    <t>■A－２－３取得した製品証明書の情報とダウンロードCSV項目のマッピング</t>
    <rPh sb="6" eb="8">
      <t>シュトク</t>
    </rPh>
    <rPh sb="10" eb="12">
      <t>セイヒン</t>
    </rPh>
    <rPh sb="12" eb="15">
      <t>ショウメイショ</t>
    </rPh>
    <rPh sb="16" eb="18">
      <t>ジョウホウ</t>
    </rPh>
    <rPh sb="28" eb="30">
      <t>コウモク</t>
    </rPh>
    <phoneticPr fontId="12"/>
  </si>
  <si>
    <t>■A－２－４取得した製品マスターの情報と画面表示のマッピング</t>
    <rPh sb="6" eb="8">
      <t>シュトク</t>
    </rPh>
    <rPh sb="10" eb="12">
      <t>セイヒン</t>
    </rPh>
    <rPh sb="17" eb="19">
      <t>ジョウホウ</t>
    </rPh>
    <rPh sb="20" eb="22">
      <t>ガメン</t>
    </rPh>
    <rPh sb="22" eb="24">
      <t>ヒョウジ</t>
    </rPh>
    <phoneticPr fontId="12"/>
  </si>
  <si>
    <t>※別ブック「SERP110_帳票定義書_環境証明書申請製品一覧.xlsx」を参照</t>
    <phoneticPr fontId="60"/>
  </si>
  <si>
    <t>◆CSVヘッダーのファイル出力例と導出元</t>
    <phoneticPr fontId="60"/>
  </si>
  <si>
    <t>項目</t>
    <rPh sb="0" eb="2">
      <t>コウモク</t>
    </rPh>
    <phoneticPr fontId="60"/>
  </si>
  <si>
    <t>導出元(Source)</t>
    <rPh sb="0" eb="2">
      <t>ドウシュツ</t>
    </rPh>
    <rPh sb="2" eb="3">
      <t>モト</t>
    </rPh>
    <phoneticPr fontId="60"/>
  </si>
  <si>
    <t>◆CSV本文のファイル出力例と導出元</t>
    <rPh sb="4" eb="6">
      <t>ホンブン</t>
    </rPh>
    <phoneticPr fontId="60"/>
  </si>
  <si>
    <t>Ａ－３．申請について</t>
    <rPh sb="4" eb="6">
      <t>シンセイ</t>
    </rPh>
    <phoneticPr fontId="12"/>
  </si>
  <si>
    <t>Ａ－３－１．</t>
    <phoneticPr fontId="60"/>
  </si>
  <si>
    <t>申請データをinsertする処理</t>
    <phoneticPr fontId="60"/>
  </si>
  <si>
    <t>※処理詳細は「出力編集仕様（DB）」のシートを参照する</t>
    <rPh sb="1" eb="3">
      <t>ショリ</t>
    </rPh>
    <rPh sb="3" eb="5">
      <t>ショウサイ</t>
    </rPh>
    <rPh sb="7" eb="9">
      <t>シュツリョク</t>
    </rPh>
    <rPh sb="9" eb="11">
      <t>ヘンシュウ</t>
    </rPh>
    <rPh sb="11" eb="13">
      <t>シヨウ</t>
    </rPh>
    <rPh sb="23" eb="25">
      <t>サンショウ</t>
    </rPh>
    <phoneticPr fontId="60"/>
  </si>
  <si>
    <t>Ａ－３－２．</t>
    <phoneticPr fontId="60"/>
  </si>
  <si>
    <t>申請CSVファイル出力</t>
  </si>
  <si>
    <t>■ファイル出力例と導出元</t>
    <phoneticPr fontId="60"/>
  </si>
  <si>
    <t>行番号</t>
    <rPh sb="0" eb="3">
      <t>ギョウバンゴウ</t>
    </rPh>
    <phoneticPr fontId="60"/>
  </si>
  <si>
    <t>説明</t>
    <rPh sb="0" eb="2">
      <t>セツメイ</t>
    </rPh>
    <phoneticPr fontId="60"/>
  </si>
  <si>
    <t>2018-00001</t>
    <phoneticPr fontId="60"/>
  </si>
  <si>
    <t>申請番号</t>
    <phoneticPr fontId="60"/>
  </si>
  <si>
    <t>HrsChemicalSubstance.appNo</t>
    <phoneticPr fontId="60"/>
  </si>
  <si>
    <t>DB自動採番</t>
    <rPh sb="2" eb="4">
      <t>ジドウ</t>
    </rPh>
    <rPh sb="4" eb="6">
      <t>サイバン</t>
    </rPh>
    <phoneticPr fontId="60"/>
  </si>
  <si>
    <t>"1","1","0","1","0","1","0"</t>
    <phoneticPr fontId="60"/>
  </si>
  <si>
    <t>申請する化学物質証明書</t>
    <phoneticPr fontId="60"/>
  </si>
  <si>
    <t>HTTPリクエストパラメータの「化学物質データ選択」の配列数分ループ。
1件のパラメータについて、
RoHS適合証明書→ハロゲンフリー証明書→ICP→SDS→AIS→chemSHERPA→SVHC調査報告書
の順番で照合し、マッチした場合は"1"、アンマッチの場合は"0"
※証明書順番の情報はシステムマスタの対応するキーを参照する
　　　　Key：chemicalsubstancedata.csv.sort
　　　　Value：rohc,ais,halogen_free   ..etc</t>
    <rPh sb="144" eb="146">
      <t>ジョウホウ</t>
    </rPh>
    <rPh sb="155" eb="157">
      <t>タイオウ</t>
    </rPh>
    <rPh sb="162" eb="164">
      <t>サンショウ</t>
    </rPh>
    <phoneticPr fontId="60"/>
  </si>
  <si>
    <t>例：
・RoHS、ハロゲンフリ、証明書、ICP、SDS、AIS、chemSHERPA、SVHC調査報告書を申請する場合、「RoHS適合証明書→ハロゲンフリー証明書→ICP→SDS→AIS→chemSHERPA→SVHC調査報告書」とぴったりマッチするため、「"1","1","1","1","1","1","1","1"」になります。
・RoHS、ICP、AIS、chemSHERPAを申請する場合、「RoHS適合証明書→ハロゲンフリー証明書→ICP→SDS→AIS→chemSHERPA→SVHC調査報告書」とマッチして、太字の項目がマッチしないため、「"1","0","0","1","0","1","1","0"」になります。</t>
    <rPh sb="0" eb="1">
      <t>タト</t>
    </rPh>
    <rPh sb="265" eb="267">
      <t>コウモク</t>
    </rPh>
    <phoneticPr fontId="60"/>
  </si>
  <si>
    <t>CL0222-4567-8-90</t>
    <phoneticPr fontId="60"/>
  </si>
  <si>
    <t>申請したCL番号</t>
    <rPh sb="0" eb="2">
      <t>シンセイ</t>
    </rPh>
    <rPh sb="6" eb="8">
      <t>バンゴウ</t>
    </rPh>
    <phoneticPr fontId="60"/>
  </si>
  <si>
    <t>画面.CLコードリスト
※画面で選択されたCLコードが対象となる</t>
    <rPh sb="13" eb="15">
      <t>ガメン</t>
    </rPh>
    <rPh sb="16" eb="18">
      <t>センタク</t>
    </rPh>
    <rPh sb="27" eb="29">
      <t>タイショウ</t>
    </rPh>
    <phoneticPr fontId="60"/>
  </si>
  <si>
    <t>CL0222-4567-8-91</t>
    <phoneticPr fontId="60"/>
  </si>
  <si>
    <t>CL0222-4567-8-92</t>
    <phoneticPr fontId="60"/>
  </si>
  <si>
    <t>Ａ－３－３．</t>
    <phoneticPr fontId="60"/>
  </si>
  <si>
    <t>環境証明書申請完了お知らせメール送信</t>
  </si>
  <si>
    <t>「SEML030　環境証明書申請完了お知らせメール」を送信する。</t>
    <phoneticPr fontId="60"/>
  </si>
  <si>
    <t>また、申請者のサイト言語(HrsCustomer.sessionLanguage)に対応するメールテンプレートを使用する。</t>
    <rPh sb="42" eb="44">
      <t>タイオウ</t>
    </rPh>
    <phoneticPr fontId="60"/>
  </si>
  <si>
    <t>■区分値（証明書単位）のセット仕様	
・YES : 申請可能
・Non-compliant : 申請不可
・Request : 別途問合せしてください、の意味
・Contact：既存の問い合わせルートでの申請に促す											
■行（製品単位）のセット仕様：							
・グレー背景色：重複した製品名/CL番号
・赤背景色：システムに製品の該当なし
※画面表示フォーマットは「処理詳細」シートの「■A－１－７－２．製品証明書情報取得処理よりエラーハンドリングフォーマット」を参照する</t>
    <phoneticPr fontId="60"/>
  </si>
  <si>
    <t>非適合の為、提出できません。</t>
    <phoneticPr fontId="56"/>
  </si>
  <si>
    <t>申請確認ダイアログをクローズして、申請処理は実行しない。</t>
    <phoneticPr fontId="56"/>
  </si>
  <si>
    <t>フォーマット
(Format)</t>
    <phoneticPr fontId="12"/>
  </si>
  <si>
    <t>導出元
(Source)</t>
    <rPh sb="0" eb="3">
      <t>ドウシュツモト</t>
    </rPh>
    <phoneticPr fontId="12"/>
  </si>
  <si>
    <t>申請画面のHTTPパラメータ</t>
    <rPh sb="0" eb="4">
      <t>シンセイガメン</t>
    </rPh>
    <phoneticPr fontId="56"/>
  </si>
  <si>
    <t>申請画面からフォーム送信される「提出先企業名」パラメータの値</t>
    <phoneticPr fontId="60"/>
  </si>
  <si>
    <t>処理項目：項番1参照</t>
    <phoneticPr fontId="56"/>
  </si>
  <si>
    <t>申請製品情報マスタ 製品名</t>
    <rPh sb="0" eb="2">
      <t>シンセイ</t>
    </rPh>
    <rPh sb="2" eb="4">
      <t>セイヒン</t>
    </rPh>
    <rPh sb="4" eb="6">
      <t>ジョウホウ</t>
    </rPh>
    <rPh sb="10" eb="13">
      <t>セイヒンメイ</t>
    </rPh>
    <phoneticPr fontId="56"/>
  </si>
  <si>
    <t>申請製品情報マスタ CLコード</t>
    <rPh sb="0" eb="2">
      <t>シンセイ</t>
    </rPh>
    <rPh sb="2" eb="4">
      <t>セイヒン</t>
    </rPh>
    <rPh sb="4" eb="6">
      <t>ジョウホウ</t>
    </rPh>
    <phoneticPr fontId="56"/>
  </si>
  <si>
    <t>製品マスタ 新製品区分</t>
    <rPh sb="0" eb="2">
      <t>セイヒン</t>
    </rPh>
    <rPh sb="6" eb="11">
      <t>シンセイヒンクブン</t>
    </rPh>
    <phoneticPr fontId="56"/>
  </si>
  <si>
    <t>製品マスタ 製品販売状況</t>
    <rPh sb="0" eb="2">
      <t>セイヒン</t>
    </rPh>
    <rPh sb="6" eb="8">
      <t>セイヒン</t>
    </rPh>
    <rPh sb="8" eb="10">
      <t>ハンバイ</t>
    </rPh>
    <rPh sb="10" eb="12">
      <t>ジョウキョウ</t>
    </rPh>
    <phoneticPr fontId="56"/>
  </si>
  <si>
    <t>製品マスタ PCN No</t>
    <rPh sb="0" eb="2">
      <t>セイヒン</t>
    </rPh>
    <phoneticPr fontId="5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</si>
</sst>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</numFmts>
  <fonts count="122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b/>
      <sz val="9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12"/>
      <name val="Meiryo UI"/>
      <family val="3"/>
      <charset val="128"/>
    </font>
    <font>
      <sz val="7.5"/>
      <name val="Meiryo UI"/>
      <family val="3"/>
      <charset val="128"/>
    </font>
    <font>
      <sz val="6.5"/>
      <name val="Meiryo UI"/>
      <family val="3"/>
      <charset val="128"/>
    </font>
    <font>
      <b/>
      <sz val="6"/>
      <name val="Meiryo UI"/>
      <family val="3"/>
      <charset val="128"/>
    </font>
    <font>
      <sz val="7"/>
      <name val="Meiryo UI"/>
      <family val="3"/>
      <charset val="128"/>
    </font>
    <font>
      <sz val="5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0.5"/>
      <name val="Calibri"/>
      <family val="2"/>
    </font>
    <font>
      <sz val="10.5"/>
      <name val="ＭＳ Ｐゴシック"/>
      <family val="3"/>
      <charset val="128"/>
      <scheme val="minor"/>
    </font>
    <font>
      <b/>
      <sz val="11"/>
      <name val="ＭＳ Ｐゴシック"/>
      <family val="2"/>
      <charset val="128"/>
      <scheme val="minor"/>
    </font>
  </fonts>
  <fills count="39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F3F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8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88">
    <xf numFmtId="0" fontId="0" fillId="0" borderId="0">
      <alignment vertical="center"/>
    </xf>
    <xf numFmtId="0" fontId="23" fillId="0" borderId="0"/>
    <xf numFmtId="0" fontId="23" fillId="0" borderId="0"/>
    <xf numFmtId="176" fontId="24" fillId="0" borderId="0" applyFill="0" applyBorder="0" applyAlignment="0"/>
    <xf numFmtId="0" fontId="25" fillId="3" borderId="0">
      <alignment horizontal="left"/>
    </xf>
    <xf numFmtId="0" fontId="26" fillId="3" borderId="0">
      <alignment horizontal="right"/>
    </xf>
    <xf numFmtId="0" fontId="27" fillId="4" borderId="0">
      <alignment horizontal="center"/>
    </xf>
    <xf numFmtId="0" fontId="26" fillId="3" borderId="0">
      <alignment horizontal="right"/>
    </xf>
    <xf numFmtId="0" fontId="27" fillId="4" borderId="0">
      <alignment horizontal="left"/>
    </xf>
    <xf numFmtId="0" fontId="28" fillId="0" borderId="0">
      <alignment horizontal="left"/>
    </xf>
    <xf numFmtId="38" fontId="29" fillId="5" borderId="0" applyNumberFormat="0" applyBorder="0" applyAlignment="0" applyProtection="0"/>
    <xf numFmtId="0" fontId="30" fillId="0" borderId="1" applyNumberFormat="0" applyAlignment="0" applyProtection="0">
      <alignment horizontal="left" vertical="center"/>
    </xf>
    <xf numFmtId="0" fontId="30" fillId="0" borderId="2">
      <alignment horizontal="left" vertical="center"/>
    </xf>
    <xf numFmtId="10" fontId="29" fillId="6" borderId="3" applyNumberFormat="0" applyBorder="0" applyAlignment="0" applyProtection="0"/>
    <xf numFmtId="0" fontId="25" fillId="3" borderId="0">
      <alignment horizontal="left"/>
    </xf>
    <xf numFmtId="0" fontId="31" fillId="4" borderId="0">
      <alignment horizontal="left"/>
    </xf>
    <xf numFmtId="177" fontId="32" fillId="0" borderId="0"/>
    <xf numFmtId="0" fontId="33" fillId="0" borderId="0"/>
    <xf numFmtId="178" fontId="34" fillId="4" borderId="0">
      <alignment horizontal="right"/>
    </xf>
    <xf numFmtId="0" fontId="35" fillId="7" borderId="0">
      <alignment horizontal="center"/>
    </xf>
    <xf numFmtId="0" fontId="36" fillId="8" borderId="0"/>
    <xf numFmtId="0" fontId="37" fillId="4" borderId="0" applyBorder="0">
      <alignment horizontal="centerContinuous"/>
    </xf>
    <xf numFmtId="0" fontId="38" fillId="8" borderId="0" applyBorder="0">
      <alignment horizontal="centerContinuous"/>
    </xf>
    <xf numFmtId="10" fontId="33" fillId="0" borderId="0" applyFont="0" applyFill="0" applyBorder="0" applyAlignment="0" applyProtection="0"/>
    <xf numFmtId="4" fontId="28" fillId="0" borderId="0">
      <alignment horizontal="right"/>
    </xf>
    <xf numFmtId="0" fontId="31" fillId="9" borderId="0">
      <alignment horizontal="center"/>
    </xf>
    <xf numFmtId="49" fontId="39" fillId="4" borderId="0">
      <alignment horizontal="center"/>
    </xf>
    <xf numFmtId="4" fontId="40" fillId="0" borderId="0">
      <alignment horizontal="right"/>
    </xf>
    <xf numFmtId="0" fontId="26" fillId="3" borderId="0">
      <alignment horizontal="center"/>
    </xf>
    <xf numFmtId="0" fontId="26" fillId="3" borderId="0">
      <alignment horizontal="centerContinuous"/>
    </xf>
    <xf numFmtId="0" fontId="41" fillId="4" borderId="0">
      <alignment horizontal="left"/>
    </xf>
    <xf numFmtId="49" fontId="41" fillId="4" borderId="0">
      <alignment horizontal="center"/>
    </xf>
    <xf numFmtId="0" fontId="25" fillId="3" borderId="0">
      <alignment horizontal="left"/>
    </xf>
    <xf numFmtId="49" fontId="41" fillId="4" borderId="0">
      <alignment horizontal="left"/>
    </xf>
    <xf numFmtId="0" fontId="25" fillId="3" borderId="0">
      <alignment horizontal="centerContinuous"/>
    </xf>
    <xf numFmtId="0" fontId="25" fillId="3" borderId="0">
      <alignment horizontal="right"/>
    </xf>
    <xf numFmtId="49" fontId="31" fillId="4" borderId="0">
      <alignment horizontal="left"/>
    </xf>
    <xf numFmtId="0" fontId="26" fillId="3" borderId="0">
      <alignment horizontal="right"/>
    </xf>
    <xf numFmtId="0" fontId="41" fillId="2" borderId="0">
      <alignment horizontal="center"/>
    </xf>
    <xf numFmtId="0" fontId="42" fillId="2" borderId="0">
      <alignment horizontal="center"/>
    </xf>
    <xf numFmtId="0" fontId="43" fillId="0" borderId="0">
      <alignment horizontal="left"/>
    </xf>
    <xf numFmtId="0" fontId="44" fillId="0" borderId="0"/>
    <xf numFmtId="0" fontId="45" fillId="0" borderId="0">
      <alignment horizontal="center"/>
    </xf>
    <xf numFmtId="0" fontId="46" fillId="4" borderId="0">
      <alignment horizontal="center"/>
    </xf>
    <xf numFmtId="0" fontId="47" fillId="0" borderId="0"/>
    <xf numFmtId="0" fontId="14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>
      <alignment vertical="center"/>
    </xf>
    <xf numFmtId="0" fontId="48" fillId="0" borderId="0"/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9" fillId="0" borderId="0"/>
    <xf numFmtId="0" fontId="5" fillId="0" borderId="0">
      <alignment vertical="center"/>
    </xf>
    <xf numFmtId="0" fontId="62" fillId="0" borderId="0">
      <alignment vertical="center"/>
    </xf>
    <xf numFmtId="0" fontId="14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058">
    <xf numFmtId="0" fontId="0" fillId="0" borderId="0" xfId="0">
      <alignment vertical="center"/>
    </xf>
    <xf numFmtId="0" fontId="14" fillId="0" borderId="0" xfId="48"/>
    <xf numFmtId="0" fontId="15" fillId="0" borderId="0" xfId="48" applyFont="1"/>
    <xf numFmtId="0" fontId="16" fillId="0" borderId="3" xfId="48" applyFont="1" applyBorder="1" applyAlignment="1">
      <alignment horizontal="center"/>
    </xf>
    <xf numFmtId="14" fontId="16" fillId="0" borderId="4" xfId="48" applyNumberFormat="1" applyFont="1" applyBorder="1" applyAlignment="1">
      <alignment horizontal="center"/>
    </xf>
    <xf numFmtId="0" fontId="16" fillId="0" borderId="4" xfId="48" applyFont="1" applyBorder="1" applyAlignment="1">
      <alignment horizontal="center"/>
    </xf>
    <xf numFmtId="0" fontId="16" fillId="0" borderId="5" xfId="48" applyFont="1" applyBorder="1" applyAlignment="1">
      <alignment horizontal="center"/>
    </xf>
    <xf numFmtId="0" fontId="17" fillId="0" borderId="0" xfId="48" applyFont="1"/>
    <xf numFmtId="0" fontId="20" fillId="0" borderId="0" xfId="48" applyFont="1" applyAlignment="1">
      <alignment vertical="center"/>
    </xf>
    <xf numFmtId="0" fontId="16" fillId="14" borderId="0" xfId="48" applyFont="1" applyFill="1" applyAlignment="1">
      <alignment horizontal="center"/>
    </xf>
    <xf numFmtId="14" fontId="16" fillId="14" borderId="0" xfId="48" applyNumberFormat="1" applyFont="1" applyFill="1" applyAlignment="1">
      <alignment horizontal="center"/>
    </xf>
    <xf numFmtId="0" fontId="18" fillId="11" borderId="0" xfId="48" applyFont="1" applyFill="1" applyAlignment="1">
      <alignment vertical="center"/>
    </xf>
    <xf numFmtId="0" fontId="19" fillId="12" borderId="0" xfId="48" applyFont="1" applyFill="1" applyAlignment="1">
      <alignment vertical="center"/>
    </xf>
    <xf numFmtId="0" fontId="20" fillId="0" borderId="0" xfId="48" applyFont="1" applyAlignment="1">
      <alignment horizontal="left" vertical="center"/>
    </xf>
    <xf numFmtId="0" fontId="19" fillId="12" borderId="0" xfId="48" applyFont="1" applyFill="1" applyAlignment="1">
      <alignment horizontal="center" vertical="center"/>
    </xf>
    <xf numFmtId="0" fontId="20" fillId="0" borderId="0" xfId="48" applyFont="1" applyAlignment="1">
      <alignment horizontal="center" vertical="center"/>
    </xf>
    <xf numFmtId="14" fontId="20" fillId="0" borderId="0" xfId="48" applyNumberFormat="1" applyFont="1" applyAlignment="1">
      <alignment horizontal="center" vertical="center"/>
    </xf>
    <xf numFmtId="0" fontId="19" fillId="11" borderId="0" xfId="48" applyFont="1" applyFill="1" applyAlignment="1">
      <alignment vertical="center"/>
    </xf>
    <xf numFmtId="0" fontId="21" fillId="0" borderId="0" xfId="48" applyFont="1" applyAlignment="1">
      <alignment vertical="center"/>
    </xf>
    <xf numFmtId="49" fontId="20" fillId="0" borderId="0" xfId="48" applyNumberFormat="1" applyFont="1" applyAlignment="1">
      <alignment horizontal="center" vertical="center"/>
    </xf>
    <xf numFmtId="0" fontId="22" fillId="0" borderId="0" xfId="48" applyFont="1" applyAlignment="1">
      <alignment vertical="center"/>
    </xf>
    <xf numFmtId="49" fontId="20" fillId="14" borderId="13" xfId="0" applyNumberFormat="1" applyFont="1" applyFill="1" applyBorder="1" applyAlignment="1">
      <alignment vertical="top"/>
    </xf>
    <xf numFmtId="0" fontId="20" fillId="10" borderId="6" xfId="49" applyFont="1" applyFill="1" applyBorder="1" applyAlignment="1">
      <alignment horizontal="right" vertical="center"/>
    </xf>
    <xf numFmtId="0" fontId="52" fillId="14" borderId="6" xfId="49" applyFont="1" applyFill="1" applyBorder="1" applyAlignment="1">
      <alignment horizontal="right" vertical="center"/>
    </xf>
    <xf numFmtId="0" fontId="54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3" fillId="14" borderId="8" xfId="0" applyFont="1" applyFill="1" applyBorder="1">
      <alignment vertical="center"/>
    </xf>
    <xf numFmtId="49" fontId="20" fillId="10" borderId="15" xfId="0" applyNumberFormat="1" applyFont="1" applyFill="1" applyBorder="1" applyAlignment="1">
      <alignment horizontal="center" vertical="center"/>
    </xf>
    <xf numFmtId="0" fontId="53" fillId="14" borderId="0" xfId="0" applyFont="1" applyFill="1">
      <alignment vertical="center"/>
    </xf>
    <xf numFmtId="49" fontId="20" fillId="10" borderId="6" xfId="0" applyNumberFormat="1" applyFont="1" applyFill="1" applyBorder="1" applyAlignment="1">
      <alignment horizontal="left" vertical="center"/>
    </xf>
    <xf numFmtId="0" fontId="58" fillId="14" borderId="0" xfId="161" applyFont="1" applyFill="1">
      <alignment vertical="center"/>
    </xf>
    <xf numFmtId="0" fontId="53" fillId="14" borderId="0" xfId="161" applyFont="1" applyFill="1">
      <alignment vertical="center"/>
    </xf>
    <xf numFmtId="0" fontId="53" fillId="14" borderId="6" xfId="161" applyFont="1" applyFill="1" applyBorder="1">
      <alignment vertical="center"/>
    </xf>
    <xf numFmtId="0" fontId="53" fillId="14" borderId="11" xfId="161" applyFont="1" applyFill="1" applyBorder="1">
      <alignment vertical="center"/>
    </xf>
    <xf numFmtId="0" fontId="20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7" fillId="18" borderId="2" xfId="161" applyFont="1" applyFill="1" applyBorder="1">
      <alignment vertical="center"/>
    </xf>
    <xf numFmtId="0" fontId="53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3" fillId="14" borderId="12" xfId="0" applyFont="1" applyFill="1" applyBorder="1">
      <alignment vertical="center"/>
    </xf>
    <xf numFmtId="0" fontId="20" fillId="10" borderId="22" xfId="46" applyFont="1" applyFill="1" applyBorder="1" applyAlignment="1">
      <alignment horizontal="centerContinuous"/>
    </xf>
    <xf numFmtId="0" fontId="53" fillId="14" borderId="0" xfId="161" applyFont="1" applyFill="1" applyAlignment="1">
      <alignment horizontal="left" vertical="center"/>
    </xf>
    <xf numFmtId="0" fontId="20" fillId="10" borderId="20" xfId="46" applyFont="1" applyFill="1" applyBorder="1" applyAlignment="1">
      <alignment horizontal="centerContinuous"/>
    </xf>
    <xf numFmtId="0" fontId="54" fillId="14" borderId="0" xfId="161" applyFont="1" applyFill="1">
      <alignment vertical="center"/>
    </xf>
    <xf numFmtId="0" fontId="53" fillId="14" borderId="0" xfId="161" applyFont="1" applyFill="1" applyAlignment="1">
      <alignment horizontal="center" vertical="center"/>
    </xf>
    <xf numFmtId="0" fontId="58" fillId="14" borderId="6" xfId="161" quotePrefix="1" applyFont="1" applyFill="1" applyBorder="1">
      <alignment vertical="center"/>
    </xf>
    <xf numFmtId="0" fontId="58" fillId="14" borderId="11" xfId="161" applyFont="1" applyFill="1" applyBorder="1">
      <alignment vertical="center"/>
    </xf>
    <xf numFmtId="0" fontId="68" fillId="18" borderId="10" xfId="161" applyFont="1" applyFill="1" applyBorder="1">
      <alignment vertical="center"/>
    </xf>
    <xf numFmtId="0" fontId="66" fillId="18" borderId="2" xfId="161" applyFont="1" applyFill="1" applyBorder="1">
      <alignment vertical="center"/>
    </xf>
    <xf numFmtId="0" fontId="67" fillId="18" borderId="2" xfId="161" applyFont="1" applyFill="1" applyBorder="1">
      <alignment vertical="center"/>
    </xf>
    <xf numFmtId="0" fontId="57" fillId="18" borderId="2" xfId="161" applyFont="1" applyFill="1" applyBorder="1" applyAlignment="1">
      <alignment horizontal="centerContinuous" vertical="center"/>
    </xf>
    <xf numFmtId="0" fontId="57" fillId="18" borderId="17" xfId="161" applyFont="1" applyFill="1" applyBorder="1" applyAlignment="1">
      <alignment horizontal="centerContinuous" vertical="center"/>
    </xf>
    <xf numFmtId="0" fontId="53" fillId="14" borderId="8" xfId="161" applyFont="1" applyFill="1" applyBorder="1">
      <alignment vertical="center"/>
    </xf>
    <xf numFmtId="0" fontId="53" fillId="14" borderId="12" xfId="161" applyFont="1" applyFill="1" applyBorder="1">
      <alignment vertical="center"/>
    </xf>
    <xf numFmtId="0" fontId="53" fillId="19" borderId="10" xfId="161" quotePrefix="1" applyFont="1" applyFill="1" applyBorder="1">
      <alignment vertical="center"/>
    </xf>
    <xf numFmtId="0" fontId="53" fillId="19" borderId="2" xfId="161" applyFont="1" applyFill="1" applyBorder="1">
      <alignment vertical="center"/>
    </xf>
    <xf numFmtId="0" fontId="53" fillId="19" borderId="2" xfId="161" applyFont="1" applyFill="1" applyBorder="1" applyAlignment="1">
      <alignment horizontal="center" vertical="center"/>
    </xf>
    <xf numFmtId="0" fontId="53" fillId="19" borderId="2" xfId="0" applyFont="1" applyFill="1" applyBorder="1">
      <alignment vertical="center"/>
    </xf>
    <xf numFmtId="0" fontId="53" fillId="0" borderId="10" xfId="161" quotePrefix="1" applyFont="1" applyBorder="1">
      <alignment vertical="center"/>
    </xf>
    <xf numFmtId="0" fontId="53" fillId="0" borderId="2" xfId="161" applyFont="1" applyBorder="1">
      <alignment vertical="center"/>
    </xf>
    <xf numFmtId="0" fontId="53" fillId="0" borderId="2" xfId="161" applyFont="1" applyBorder="1" applyAlignment="1">
      <alignment horizontal="center" vertical="center"/>
    </xf>
    <xf numFmtId="0" fontId="53" fillId="0" borderId="2" xfId="0" applyFont="1" applyBorder="1">
      <alignment vertical="center"/>
    </xf>
    <xf numFmtId="0" fontId="53" fillId="0" borderId="0" xfId="161" quotePrefix="1" applyFont="1">
      <alignment vertical="center"/>
    </xf>
    <xf numFmtId="0" fontId="53" fillId="0" borderId="0" xfId="161" applyFont="1">
      <alignment vertical="center"/>
    </xf>
    <xf numFmtId="0" fontId="53" fillId="0" borderId="0" xfId="161" applyFont="1" applyAlignment="1">
      <alignment horizontal="center" vertical="center"/>
    </xf>
    <xf numFmtId="0" fontId="53" fillId="0" borderId="0" xfId="0" applyFont="1">
      <alignment vertical="center"/>
    </xf>
    <xf numFmtId="0" fontId="53" fillId="19" borderId="17" xfId="0" applyFont="1" applyFill="1" applyBorder="1">
      <alignment vertical="center"/>
    </xf>
    <xf numFmtId="0" fontId="53" fillId="0" borderId="8" xfId="0" applyFont="1" applyBorder="1">
      <alignment vertical="center"/>
    </xf>
    <xf numFmtId="0" fontId="53" fillId="0" borderId="0" xfId="161" applyFont="1" applyAlignment="1">
      <alignment horizontal="centerContinuous" vertical="center"/>
    </xf>
    <xf numFmtId="0" fontId="53" fillId="0" borderId="0" xfId="161" applyFont="1" applyAlignment="1">
      <alignment horizontal="left" vertical="center"/>
    </xf>
    <xf numFmtId="0" fontId="53" fillId="0" borderId="17" xfId="0" applyFont="1" applyBorder="1">
      <alignment vertical="center"/>
    </xf>
    <xf numFmtId="0" fontId="54" fillId="0" borderId="0" xfId="161" applyFont="1" applyAlignment="1">
      <alignment horizontal="centerContinuous" vertical="center"/>
    </xf>
    <xf numFmtId="0" fontId="53" fillId="14" borderId="28" xfId="0" applyFont="1" applyFill="1" applyBorder="1">
      <alignment vertical="center"/>
    </xf>
    <xf numFmtId="0" fontId="53" fillId="14" borderId="31" xfId="0" applyFont="1" applyFill="1" applyBorder="1">
      <alignment vertical="center"/>
    </xf>
    <xf numFmtId="0" fontId="53" fillId="0" borderId="12" xfId="0" applyFont="1" applyBorder="1">
      <alignment vertical="center"/>
    </xf>
    <xf numFmtId="0" fontId="54" fillId="0" borderId="0" xfId="161" applyFont="1">
      <alignment vertical="center"/>
    </xf>
    <xf numFmtId="0" fontId="53" fillId="14" borderId="0" xfId="0" applyFont="1" applyFill="1" applyAlignment="1">
      <alignment horizontal="center" vertical="center"/>
    </xf>
    <xf numFmtId="0" fontId="20" fillId="10" borderId="19" xfId="46" applyFont="1" applyFill="1" applyBorder="1" applyAlignment="1">
      <alignment horizontal="centerContinuous"/>
    </xf>
    <xf numFmtId="0" fontId="20" fillId="10" borderId="16" xfId="46" applyFont="1" applyFill="1" applyBorder="1" applyAlignment="1">
      <alignment horizontal="centerContinuous"/>
    </xf>
    <xf numFmtId="0" fontId="20" fillId="10" borderId="21" xfId="46" applyFont="1" applyFill="1" applyBorder="1" applyAlignment="1">
      <alignment horizontal="centerContinuous"/>
    </xf>
    <xf numFmtId="0" fontId="57" fillId="14" borderId="11" xfId="161" quotePrefix="1" applyFont="1" applyFill="1" applyBorder="1" applyAlignment="1">
      <alignment horizontal="centerContinuous" vertical="center"/>
    </xf>
    <xf numFmtId="0" fontId="53" fillId="14" borderId="0" xfId="0" applyFont="1" applyFill="1" applyAlignment="1">
      <alignment vertical="center" wrapText="1"/>
    </xf>
    <xf numFmtId="0" fontId="54" fillId="14" borderId="0" xfId="161" applyFont="1" applyFill="1" applyAlignment="1">
      <alignment horizontal="center" vertical="center"/>
    </xf>
    <xf numFmtId="0" fontId="54" fillId="0" borderId="0" xfId="161" applyFont="1" applyAlignment="1">
      <alignment horizontal="left" vertical="center"/>
    </xf>
    <xf numFmtId="0" fontId="54" fillId="0" borderId="0" xfId="0" applyFont="1">
      <alignment vertical="center"/>
    </xf>
    <xf numFmtId="0" fontId="54" fillId="0" borderId="0" xfId="161" applyFont="1" applyAlignment="1">
      <alignment horizontal="center" vertical="center"/>
    </xf>
    <xf numFmtId="0" fontId="54" fillId="14" borderId="8" xfId="0" applyFont="1" applyFill="1" applyBorder="1">
      <alignment vertical="center"/>
    </xf>
    <xf numFmtId="0" fontId="54" fillId="0" borderId="8" xfId="161" applyFont="1" applyBorder="1">
      <alignment vertical="center"/>
    </xf>
    <xf numFmtId="0" fontId="54" fillId="0" borderId="8" xfId="0" applyFont="1" applyBorder="1">
      <alignment vertical="center"/>
    </xf>
    <xf numFmtId="0" fontId="54" fillId="0" borderId="8" xfId="161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3" fillId="0" borderId="0" xfId="161" quotePrefix="1" applyFont="1" applyAlignment="1">
      <alignment horizontal="centerContinuous" vertical="center"/>
    </xf>
    <xf numFmtId="0" fontId="58" fillId="14" borderId="2" xfId="161" applyFont="1" applyFill="1" applyBorder="1">
      <alignment vertical="center"/>
    </xf>
    <xf numFmtId="0" fontId="58" fillId="14" borderId="8" xfId="161" applyFont="1" applyFill="1" applyBorder="1">
      <alignment vertical="center"/>
    </xf>
    <xf numFmtId="0" fontId="53" fillId="0" borderId="6" xfId="0" applyFont="1" applyBorder="1">
      <alignment vertical="center"/>
    </xf>
    <xf numFmtId="0" fontId="53" fillId="14" borderId="2" xfId="161" applyFont="1" applyFill="1" applyBorder="1">
      <alignment vertical="center"/>
    </xf>
    <xf numFmtId="0" fontId="53" fillId="14" borderId="2" xfId="161" applyFont="1" applyFill="1" applyBorder="1" applyAlignment="1">
      <alignment horizontal="center" vertical="center"/>
    </xf>
    <xf numFmtId="0" fontId="53" fillId="14" borderId="17" xfId="0" applyFont="1" applyFill="1" applyBorder="1">
      <alignment vertical="center"/>
    </xf>
    <xf numFmtId="0" fontId="53" fillId="14" borderId="10" xfId="0" applyFont="1" applyFill="1" applyBorder="1">
      <alignment vertical="center"/>
    </xf>
    <xf numFmtId="0" fontId="54" fillId="14" borderId="3" xfId="161" applyFont="1" applyFill="1" applyBorder="1" applyAlignment="1">
      <alignment horizontal="center" vertical="center"/>
    </xf>
    <xf numFmtId="0" fontId="53" fillId="0" borderId="8" xfId="161" applyFont="1" applyBorder="1">
      <alignment vertical="center"/>
    </xf>
    <xf numFmtId="0" fontId="53" fillId="0" borderId="8" xfId="161" applyFont="1" applyBorder="1" applyAlignment="1">
      <alignment horizontal="center" vertical="center"/>
    </xf>
    <xf numFmtId="0" fontId="53" fillId="0" borderId="12" xfId="161" quotePrefix="1" applyFont="1" applyBorder="1">
      <alignment vertical="center"/>
    </xf>
    <xf numFmtId="0" fontId="53" fillId="0" borderId="12" xfId="161" applyFont="1" applyBorder="1">
      <alignment vertical="center"/>
    </xf>
    <xf numFmtId="0" fontId="53" fillId="0" borderId="12" xfId="161" applyFont="1" applyBorder="1" applyAlignment="1">
      <alignment horizontal="center" vertical="center"/>
    </xf>
    <xf numFmtId="0" fontId="53" fillId="0" borderId="8" xfId="161" quotePrefix="1" applyFont="1" applyBorder="1">
      <alignment vertical="center"/>
    </xf>
    <xf numFmtId="0" fontId="61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3" fillId="0" borderId="0" xfId="161" applyFont="1">
      <alignment vertical="center"/>
    </xf>
    <xf numFmtId="0" fontId="73" fillId="0" borderId="0" xfId="0" applyFont="1">
      <alignment vertical="center"/>
    </xf>
    <xf numFmtId="0" fontId="73" fillId="14" borderId="0" xfId="0" applyFont="1" applyFill="1">
      <alignment vertical="center"/>
    </xf>
    <xf numFmtId="0" fontId="54" fillId="14" borderId="12" xfId="161" applyFont="1" applyFill="1" applyBorder="1">
      <alignment vertical="center"/>
    </xf>
    <xf numFmtId="0" fontId="20" fillId="10" borderId="18" xfId="46" applyFont="1" applyFill="1" applyBorder="1" applyAlignment="1">
      <alignment horizontal="centerContinuous"/>
    </xf>
    <xf numFmtId="0" fontId="53" fillId="14" borderId="0" xfId="0" applyFont="1" applyFill="1" applyAlignment="1">
      <alignment horizontal="left" vertical="center"/>
    </xf>
    <xf numFmtId="0" fontId="61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61" fillId="0" borderId="10" xfId="161" quotePrefix="1" applyFont="1" applyBorder="1">
      <alignment vertical="center"/>
    </xf>
    <xf numFmtId="0" fontId="61" fillId="0" borderId="2" xfId="161" quotePrefix="1" applyFont="1" applyBorder="1">
      <alignment vertical="center"/>
    </xf>
    <xf numFmtId="0" fontId="53" fillId="0" borderId="0" xfId="161" quotePrefix="1" applyFont="1" applyAlignment="1">
      <alignment horizontal="left" vertical="center"/>
    </xf>
    <xf numFmtId="0" fontId="53" fillId="0" borderId="25" xfId="161" applyFont="1" applyBorder="1" applyAlignment="1">
      <alignment horizontal="center" vertical="center"/>
    </xf>
    <xf numFmtId="0" fontId="53" fillId="0" borderId="2" xfId="161" quotePrefix="1" applyFont="1" applyBorder="1">
      <alignment vertical="center"/>
    </xf>
    <xf numFmtId="14" fontId="53" fillId="0" borderId="10" xfId="161" quotePrefix="1" applyNumberFormat="1" applyFont="1" applyBorder="1">
      <alignment vertical="center"/>
    </xf>
    <xf numFmtId="0" fontId="53" fillId="0" borderId="0" xfId="0" applyFont="1" applyAlignment="1">
      <alignment vertical="center" wrapText="1"/>
    </xf>
    <xf numFmtId="0" fontId="53" fillId="0" borderId="0" xfId="0" applyFont="1" applyAlignment="1">
      <alignment horizontal="center" vertical="center"/>
    </xf>
    <xf numFmtId="0" fontId="54" fillId="0" borderId="0" xfId="161" quotePrefix="1" applyFont="1">
      <alignment vertical="center"/>
    </xf>
    <xf numFmtId="0" fontId="54" fillId="0" borderId="2" xfId="161" applyFont="1" applyBorder="1">
      <alignment vertical="center"/>
    </xf>
    <xf numFmtId="0" fontId="58" fillId="14" borderId="6" xfId="180" quotePrefix="1" applyFont="1" applyFill="1" applyBorder="1">
      <alignment vertical="center"/>
    </xf>
    <xf numFmtId="0" fontId="53" fillId="14" borderId="0" xfId="180" applyFont="1" applyFill="1">
      <alignment vertical="center"/>
    </xf>
    <xf numFmtId="0" fontId="54" fillId="19" borderId="2" xfId="180" applyFont="1" applyFill="1" applyBorder="1" applyAlignment="1">
      <alignment horizontal="centerContinuous" vertical="center"/>
    </xf>
    <xf numFmtId="0" fontId="61" fillId="19" borderId="2" xfId="180" applyFont="1" applyFill="1" applyBorder="1" applyAlignment="1">
      <alignment horizontal="centerContinuous" vertical="center"/>
    </xf>
    <xf numFmtId="0" fontId="54" fillId="19" borderId="10" xfId="180" applyFont="1" applyFill="1" applyBorder="1" applyAlignment="1">
      <alignment horizontal="centerContinuous" vertical="center"/>
    </xf>
    <xf numFmtId="0" fontId="53" fillId="19" borderId="2" xfId="180" applyFont="1" applyFill="1" applyBorder="1" applyAlignment="1">
      <alignment horizontal="centerContinuous" vertical="center"/>
    </xf>
    <xf numFmtId="0" fontId="53" fillId="0" borderId="0" xfId="180" applyFont="1">
      <alignment vertical="center"/>
    </xf>
    <xf numFmtId="0" fontId="65" fillId="14" borderId="0" xfId="180" applyFont="1" applyFill="1">
      <alignment vertical="center"/>
    </xf>
    <xf numFmtId="0" fontId="77" fillId="14" borderId="2" xfId="180" quotePrefix="1" applyFont="1" applyFill="1" applyBorder="1">
      <alignment vertical="center"/>
    </xf>
    <xf numFmtId="0" fontId="53" fillId="14" borderId="10" xfId="180" applyFont="1" applyFill="1" applyBorder="1" applyAlignment="1">
      <alignment horizontal="centerContinuous" vertical="center"/>
    </xf>
    <xf numFmtId="0" fontId="53" fillId="14" borderId="2" xfId="180" applyFont="1" applyFill="1" applyBorder="1" applyAlignment="1">
      <alignment horizontal="centerContinuous" vertical="center"/>
    </xf>
    <xf numFmtId="0" fontId="74" fillId="14" borderId="10" xfId="180" applyFont="1" applyFill="1" applyBorder="1" applyAlignment="1">
      <alignment horizontal="center" vertical="center"/>
    </xf>
    <xf numFmtId="0" fontId="53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8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4" fillId="14" borderId="2" xfId="180" applyFont="1" applyFill="1" applyBorder="1" applyAlignment="1">
      <alignment horizontal="centerContinuous" vertical="center"/>
    </xf>
    <xf numFmtId="0" fontId="53" fillId="14" borderId="0" xfId="180" applyFont="1" applyFill="1" applyAlignment="1">
      <alignment horizontal="center" vertical="center"/>
    </xf>
    <xf numFmtId="0" fontId="53" fillId="14" borderId="0" xfId="180" quotePrefix="1" applyFont="1" applyFill="1">
      <alignment vertical="center"/>
    </xf>
    <xf numFmtId="14" fontId="61" fillId="0" borderId="10" xfId="161" quotePrefix="1" applyNumberFormat="1" applyFont="1" applyBorder="1" applyAlignment="1">
      <alignment horizontal="centerContinuous" vertical="center"/>
    </xf>
    <xf numFmtId="14" fontId="61" fillId="0" borderId="2" xfId="161" quotePrefix="1" applyNumberFormat="1" applyFont="1" applyBorder="1" applyAlignment="1">
      <alignment horizontal="centerContinuous" vertical="center"/>
    </xf>
    <xf numFmtId="0" fontId="61" fillId="0" borderId="2" xfId="161" quotePrefix="1" applyFont="1" applyBorder="1" applyAlignment="1">
      <alignment horizontal="centerContinuous" vertical="center"/>
    </xf>
    <xf numFmtId="0" fontId="61" fillId="0" borderId="17" xfId="161" quotePrefix="1" applyFont="1" applyBorder="1" applyAlignment="1">
      <alignment horizontal="centerContinuous" vertical="center"/>
    </xf>
    <xf numFmtId="0" fontId="61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20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8" fillId="14" borderId="14" xfId="161" applyFont="1" applyFill="1" applyBorder="1">
      <alignment vertical="center"/>
    </xf>
    <xf numFmtId="0" fontId="79" fillId="0" borderId="0" xfId="0" applyFont="1">
      <alignment vertical="center"/>
    </xf>
    <xf numFmtId="0" fontId="20" fillId="10" borderId="26" xfId="46" applyFont="1" applyFill="1" applyBorder="1" applyAlignment="1">
      <alignment horizontal="centerContinuous"/>
    </xf>
    <xf numFmtId="0" fontId="53" fillId="0" borderId="23" xfId="161" applyFont="1" applyBorder="1" applyAlignment="1">
      <alignment horizontal="center" vertical="center"/>
    </xf>
    <xf numFmtId="0" fontId="63" fillId="0" borderId="2" xfId="161" applyFont="1" applyBorder="1" applyAlignment="1">
      <alignment horizontal="centerContinuous" vertical="center"/>
    </xf>
    <xf numFmtId="0" fontId="63" fillId="0" borderId="17" xfId="161" applyFont="1" applyBorder="1" applyAlignment="1">
      <alignment horizontal="centerContinuous" vertical="center"/>
    </xf>
    <xf numFmtId="0" fontId="69" fillId="0" borderId="15" xfId="161" applyFont="1" applyBorder="1" applyAlignment="1">
      <alignment horizontal="left" vertical="center"/>
    </xf>
    <xf numFmtId="0" fontId="69" fillId="0" borderId="12" xfId="161" applyFont="1" applyBorder="1" applyAlignment="1">
      <alignment horizontal="left" vertical="center"/>
    </xf>
    <xf numFmtId="0" fontId="69" fillId="0" borderId="12" xfId="0" applyFont="1" applyBorder="1">
      <alignment vertical="center"/>
    </xf>
    <xf numFmtId="0" fontId="69" fillId="0" borderId="12" xfId="161" applyFont="1" applyBorder="1" applyAlignment="1">
      <alignment horizontal="center" vertical="center"/>
    </xf>
    <xf numFmtId="0" fontId="69" fillId="0" borderId="12" xfId="161" applyFont="1" applyBorder="1">
      <alignment vertical="center"/>
    </xf>
    <xf numFmtId="0" fontId="69" fillId="0" borderId="12" xfId="0" applyFont="1" applyBorder="1" applyAlignment="1">
      <alignment horizontal="center" vertical="center"/>
    </xf>
    <xf numFmtId="0" fontId="69" fillId="0" borderId="7" xfId="161" applyFont="1" applyBorder="1" applyAlignment="1">
      <alignment horizontal="left" vertical="center"/>
    </xf>
    <xf numFmtId="0" fontId="69" fillId="0" borderId="8" xfId="161" applyFont="1" applyBorder="1" applyAlignment="1">
      <alignment horizontal="left" vertical="center"/>
    </xf>
    <xf numFmtId="0" fontId="69" fillId="0" borderId="8" xfId="0" applyFont="1" applyBorder="1">
      <alignment vertical="center"/>
    </xf>
    <xf numFmtId="0" fontId="69" fillId="0" borderId="8" xfId="161" applyFont="1" applyBorder="1" applyAlignment="1">
      <alignment horizontal="center" vertical="center"/>
    </xf>
    <xf numFmtId="0" fontId="69" fillId="0" borderId="8" xfId="161" applyFont="1" applyBorder="1">
      <alignment vertical="center"/>
    </xf>
    <xf numFmtId="0" fontId="69" fillId="0" borderId="8" xfId="0" applyFont="1" applyBorder="1" applyAlignment="1">
      <alignment horizontal="center" vertical="center"/>
    </xf>
    <xf numFmtId="0" fontId="20" fillId="10" borderId="0" xfId="46" applyFont="1" applyFill="1" applyAlignment="1">
      <alignment horizontal="centerContinuous"/>
    </xf>
    <xf numFmtId="0" fontId="58" fillId="19" borderId="10" xfId="180" applyFont="1" applyFill="1" applyBorder="1">
      <alignment vertical="center"/>
    </xf>
    <xf numFmtId="0" fontId="58" fillId="19" borderId="2" xfId="180" applyFont="1" applyFill="1" applyBorder="1">
      <alignment vertical="center"/>
    </xf>
    <xf numFmtId="0" fontId="53" fillId="19" borderId="2" xfId="180" applyFont="1" applyFill="1" applyBorder="1">
      <alignment vertical="center"/>
    </xf>
    <xf numFmtId="0" fontId="53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3" fillId="19" borderId="2" xfId="180" quotePrefix="1" applyFont="1" applyFill="1" applyBorder="1">
      <alignment vertical="center"/>
    </xf>
    <xf numFmtId="0" fontId="65" fillId="19" borderId="2" xfId="161" applyFont="1" applyFill="1" applyBorder="1">
      <alignment vertical="center"/>
    </xf>
    <xf numFmtId="0" fontId="53" fillId="19" borderId="2" xfId="0" applyFont="1" applyFill="1" applyBorder="1" applyAlignment="1">
      <alignment vertical="center" wrapText="1"/>
    </xf>
    <xf numFmtId="0" fontId="53" fillId="19" borderId="2" xfId="161" quotePrefix="1" applyFont="1" applyFill="1" applyBorder="1">
      <alignment vertical="center"/>
    </xf>
    <xf numFmtId="0" fontId="58" fillId="19" borderId="17" xfId="180" applyFont="1" applyFill="1" applyBorder="1">
      <alignment vertical="center"/>
    </xf>
    <xf numFmtId="0" fontId="20" fillId="0" borderId="2" xfId="0" applyFont="1" applyBorder="1" applyAlignment="1">
      <alignment horizontal="center" vertical="top"/>
    </xf>
    <xf numFmtId="0" fontId="20" fillId="22" borderId="2" xfId="0" applyFont="1" applyFill="1" applyBorder="1" applyAlignment="1">
      <alignment horizontal="center" vertical="top"/>
    </xf>
    <xf numFmtId="0" fontId="20" fillId="23" borderId="2" xfId="0" applyFont="1" applyFill="1" applyBorder="1" applyAlignment="1">
      <alignment horizontal="center" vertical="top"/>
    </xf>
    <xf numFmtId="0" fontId="53" fillId="0" borderId="15" xfId="0" applyFont="1" applyBorder="1">
      <alignment vertical="center"/>
    </xf>
    <xf numFmtId="0" fontId="81" fillId="0" borderId="0" xfId="161" applyFont="1">
      <alignment vertical="center"/>
    </xf>
    <xf numFmtId="0" fontId="81" fillId="0" borderId="0" xfId="0" applyFont="1">
      <alignment vertical="center"/>
    </xf>
    <xf numFmtId="0" fontId="81" fillId="0" borderId="0" xfId="161" applyFont="1" applyAlignment="1">
      <alignment horizontal="center" vertical="center"/>
    </xf>
    <xf numFmtId="0" fontId="69" fillId="0" borderId="0" xfId="161" applyFont="1" applyAlignment="1">
      <alignment horizontal="left" vertical="center"/>
    </xf>
    <xf numFmtId="0" fontId="69" fillId="0" borderId="0" xfId="0" applyFont="1">
      <alignment vertical="center"/>
    </xf>
    <xf numFmtId="0" fontId="69" fillId="0" borderId="0" xfId="161" applyFont="1" applyAlignment="1">
      <alignment horizontal="center" vertical="center"/>
    </xf>
    <xf numFmtId="0" fontId="69" fillId="0" borderId="0" xfId="161" applyFont="1">
      <alignment vertical="center"/>
    </xf>
    <xf numFmtId="0" fontId="69" fillId="0" borderId="0" xfId="0" applyFont="1" applyAlignment="1">
      <alignment horizontal="center" vertical="center"/>
    </xf>
    <xf numFmtId="0" fontId="53" fillId="0" borderId="0" xfId="0" applyFont="1" applyAlignment="1">
      <alignment horizontal="left" vertical="center"/>
    </xf>
    <xf numFmtId="0" fontId="70" fillId="0" borderId="0" xfId="161" applyFont="1" applyAlignment="1">
      <alignment horizontal="left" vertical="center"/>
    </xf>
    <xf numFmtId="0" fontId="70" fillId="0" borderId="0" xfId="0" applyFont="1">
      <alignment vertical="center"/>
    </xf>
    <xf numFmtId="0" fontId="53" fillId="14" borderId="6" xfId="161" quotePrefix="1" applyFont="1" applyFill="1" applyBorder="1">
      <alignment vertical="center"/>
    </xf>
    <xf numFmtId="0" fontId="79" fillId="14" borderId="6" xfId="161" quotePrefix="1" applyFont="1" applyFill="1" applyBorder="1">
      <alignment vertical="center"/>
    </xf>
    <xf numFmtId="0" fontId="79" fillId="14" borderId="0" xfId="161" applyFont="1" applyFill="1">
      <alignment vertical="center"/>
    </xf>
    <xf numFmtId="0" fontId="76" fillId="14" borderId="0" xfId="0" applyFont="1" applyFill="1">
      <alignment vertical="center"/>
    </xf>
    <xf numFmtId="0" fontId="54" fillId="24" borderId="15" xfId="161" applyFont="1" applyFill="1" applyBorder="1" applyAlignment="1">
      <alignment horizontal="centerContinuous" vertical="center"/>
    </xf>
    <xf numFmtId="0" fontId="54" fillId="24" borderId="12" xfId="161" applyFont="1" applyFill="1" applyBorder="1" applyAlignment="1">
      <alignment horizontal="centerContinuous" vertical="center"/>
    </xf>
    <xf numFmtId="0" fontId="54" fillId="24" borderId="13" xfId="161" applyFont="1" applyFill="1" applyBorder="1" applyAlignment="1">
      <alignment horizontal="centerContinuous" vertical="center"/>
    </xf>
    <xf numFmtId="0" fontId="54" fillId="24" borderId="15" xfId="161" quotePrefix="1" applyFont="1" applyFill="1" applyBorder="1" applyAlignment="1">
      <alignment horizontal="centerContinuous" vertical="center"/>
    </xf>
    <xf numFmtId="0" fontId="54" fillId="24" borderId="12" xfId="161" quotePrefix="1" applyFont="1" applyFill="1" applyBorder="1" applyAlignment="1">
      <alignment horizontal="centerContinuous" vertical="center"/>
    </xf>
    <xf numFmtId="0" fontId="61" fillId="24" borderId="15" xfId="161" applyFont="1" applyFill="1" applyBorder="1" applyAlignment="1">
      <alignment horizontal="centerContinuous" vertical="center"/>
    </xf>
    <xf numFmtId="0" fontId="61" fillId="24" borderId="12" xfId="161" applyFont="1" applyFill="1" applyBorder="1" applyAlignment="1">
      <alignment horizontal="centerContinuous" vertical="center"/>
    </xf>
    <xf numFmtId="0" fontId="61" fillId="24" borderId="13" xfId="161" applyFont="1" applyFill="1" applyBorder="1" applyAlignment="1">
      <alignment horizontal="centerContinuous" vertical="center"/>
    </xf>
    <xf numFmtId="0" fontId="54" fillId="24" borderId="7" xfId="161" quotePrefix="1" applyFont="1" applyFill="1" applyBorder="1" applyAlignment="1">
      <alignment horizontal="centerContinuous" vertical="center"/>
    </xf>
    <xf numFmtId="0" fontId="54" fillId="24" borderId="8" xfId="161" applyFont="1" applyFill="1" applyBorder="1" applyAlignment="1">
      <alignment horizontal="centerContinuous" vertical="center"/>
    </xf>
    <xf numFmtId="0" fontId="54" fillId="24" borderId="14" xfId="161" applyFont="1" applyFill="1" applyBorder="1" applyAlignment="1">
      <alignment horizontal="centerContinuous" vertical="center"/>
    </xf>
    <xf numFmtId="0" fontId="54" fillId="24" borderId="8" xfId="161" quotePrefix="1" applyFont="1" applyFill="1" applyBorder="1" applyAlignment="1">
      <alignment horizontal="centerContinuous" vertical="center"/>
    </xf>
    <xf numFmtId="0" fontId="61" fillId="24" borderId="7" xfId="161" quotePrefix="1" applyFont="1" applyFill="1" applyBorder="1" applyAlignment="1">
      <alignment horizontal="centerContinuous" vertical="center"/>
    </xf>
    <xf numFmtId="0" fontId="61" fillId="24" borderId="8" xfId="161" quotePrefix="1" applyFont="1" applyFill="1" applyBorder="1" applyAlignment="1">
      <alignment horizontal="centerContinuous" vertical="center"/>
    </xf>
    <xf numFmtId="0" fontId="61" fillId="24" borderId="8" xfId="161" applyFont="1" applyFill="1" applyBorder="1" applyAlignment="1">
      <alignment horizontal="centerContinuous" vertical="center"/>
    </xf>
    <xf numFmtId="0" fontId="61" fillId="24" borderId="14" xfId="161" applyFont="1" applyFill="1" applyBorder="1" applyAlignment="1">
      <alignment horizontal="centerContinuous" vertical="center"/>
    </xf>
    <xf numFmtId="0" fontId="61" fillId="0" borderId="10" xfId="161" quotePrefix="1" applyFont="1" applyBorder="1" applyAlignment="1">
      <alignment horizontal="left" vertical="center"/>
    </xf>
    <xf numFmtId="0" fontId="61" fillId="0" borderId="2" xfId="161" quotePrefix="1" applyFont="1" applyBorder="1" applyAlignment="1">
      <alignment horizontal="left" vertical="center"/>
    </xf>
    <xf numFmtId="0" fontId="53" fillId="25" borderId="2" xfId="161" quotePrefix="1" applyFont="1" applyFill="1" applyBorder="1">
      <alignment vertical="center"/>
    </xf>
    <xf numFmtId="0" fontId="53" fillId="25" borderId="2" xfId="161" applyFont="1" applyFill="1" applyBorder="1">
      <alignment vertical="center"/>
    </xf>
    <xf numFmtId="0" fontId="54" fillId="25" borderId="2" xfId="0" applyFont="1" applyFill="1" applyBorder="1">
      <alignment vertical="center"/>
    </xf>
    <xf numFmtId="0" fontId="53" fillId="25" borderId="2" xfId="0" quotePrefix="1" applyFont="1" applyFill="1" applyBorder="1">
      <alignment vertical="center"/>
    </xf>
    <xf numFmtId="0" fontId="53" fillId="25" borderId="2" xfId="0" applyFont="1" applyFill="1" applyBorder="1">
      <alignment vertical="center"/>
    </xf>
    <xf numFmtId="0" fontId="53" fillId="25" borderId="2" xfId="0" applyFont="1" applyFill="1" applyBorder="1" applyAlignment="1">
      <alignment horizontal="center" vertical="center"/>
    </xf>
    <xf numFmtId="0" fontId="53" fillId="25" borderId="2" xfId="0" applyFont="1" applyFill="1" applyBorder="1" applyAlignment="1">
      <alignment horizontal="left" vertical="center"/>
    </xf>
    <xf numFmtId="0" fontId="53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79" fillId="25" borderId="2" xfId="0" applyFont="1" applyFill="1" applyBorder="1">
      <alignment vertical="center"/>
    </xf>
    <xf numFmtId="0" fontId="80" fillId="14" borderId="0" xfId="0" applyFont="1" applyFill="1">
      <alignment vertical="center"/>
    </xf>
    <xf numFmtId="0" fontId="54" fillId="21" borderId="15" xfId="161" applyFont="1" applyFill="1" applyBorder="1" applyAlignment="1">
      <alignment horizontal="centerContinuous" vertical="center"/>
    </xf>
    <xf numFmtId="0" fontId="54" fillId="21" borderId="12" xfId="161" applyFont="1" applyFill="1" applyBorder="1" applyAlignment="1">
      <alignment horizontal="centerContinuous" vertical="center"/>
    </xf>
    <xf numFmtId="0" fontId="54" fillId="21" borderId="13" xfId="161" applyFont="1" applyFill="1" applyBorder="1" applyAlignment="1">
      <alignment horizontal="centerContinuous" vertical="center"/>
    </xf>
    <xf numFmtId="0" fontId="54" fillId="21" borderId="15" xfId="161" quotePrefix="1" applyFont="1" applyFill="1" applyBorder="1" applyAlignment="1">
      <alignment horizontal="centerContinuous" vertical="center"/>
    </xf>
    <xf numFmtId="0" fontId="54" fillId="21" borderId="12" xfId="161" quotePrefix="1" applyFont="1" applyFill="1" applyBorder="1" applyAlignment="1">
      <alignment horizontal="centerContinuous" vertical="center"/>
    </xf>
    <xf numFmtId="0" fontId="61" fillId="21" borderId="15" xfId="161" applyFont="1" applyFill="1" applyBorder="1" applyAlignment="1">
      <alignment horizontal="centerContinuous" vertical="center"/>
    </xf>
    <xf numFmtId="0" fontId="61" fillId="21" borderId="12" xfId="161" applyFont="1" applyFill="1" applyBorder="1" applyAlignment="1">
      <alignment horizontal="centerContinuous" vertical="center"/>
    </xf>
    <xf numFmtId="0" fontId="61" fillId="21" borderId="13" xfId="161" applyFont="1" applyFill="1" applyBorder="1" applyAlignment="1">
      <alignment horizontal="centerContinuous" vertical="center"/>
    </xf>
    <xf numFmtId="0" fontId="61" fillId="0" borderId="10" xfId="161" quotePrefix="1" applyFont="1" applyBorder="1" applyAlignment="1">
      <alignment horizontal="centerContinuous" vertical="center"/>
    </xf>
    <xf numFmtId="0" fontId="54" fillId="26" borderId="15" xfId="161" applyFont="1" applyFill="1" applyBorder="1" applyAlignment="1">
      <alignment horizontal="centerContinuous" vertical="center"/>
    </xf>
    <xf numFmtId="0" fontId="54" fillId="26" borderId="12" xfId="161" applyFont="1" applyFill="1" applyBorder="1" applyAlignment="1">
      <alignment horizontal="centerContinuous" vertical="center"/>
    </xf>
    <xf numFmtId="0" fontId="54" fillId="26" borderId="13" xfId="161" applyFont="1" applyFill="1" applyBorder="1" applyAlignment="1">
      <alignment horizontal="centerContinuous" vertical="center"/>
    </xf>
    <xf numFmtId="0" fontId="54" fillId="26" borderId="15" xfId="161" quotePrefix="1" applyFont="1" applyFill="1" applyBorder="1" applyAlignment="1">
      <alignment horizontal="centerContinuous" vertical="center"/>
    </xf>
    <xf numFmtId="0" fontId="54" fillId="26" borderId="12" xfId="161" quotePrefix="1" applyFont="1" applyFill="1" applyBorder="1" applyAlignment="1">
      <alignment horizontal="centerContinuous" vertical="center"/>
    </xf>
    <xf numFmtId="0" fontId="61" fillId="26" borderId="15" xfId="161" applyFont="1" applyFill="1" applyBorder="1" applyAlignment="1">
      <alignment horizontal="centerContinuous" vertical="center"/>
    </xf>
    <xf numFmtId="0" fontId="61" fillId="26" borderId="12" xfId="161" applyFont="1" applyFill="1" applyBorder="1" applyAlignment="1">
      <alignment horizontal="centerContinuous" vertical="center"/>
    </xf>
    <xf numFmtId="0" fontId="61" fillId="26" borderId="13" xfId="161" applyFont="1" applyFill="1" applyBorder="1" applyAlignment="1">
      <alignment horizontal="centerContinuous" vertical="center"/>
    </xf>
    <xf numFmtId="0" fontId="61" fillId="26" borderId="12" xfId="161" quotePrefix="1" applyFont="1" applyFill="1" applyBorder="1" applyAlignment="1">
      <alignment horizontal="centerContinuous" vertical="center"/>
    </xf>
    <xf numFmtId="183" fontId="61" fillId="0" borderId="2" xfId="161" quotePrefix="1" applyNumberFormat="1" applyFont="1" applyBorder="1" applyAlignment="1">
      <alignment horizontal="right" vertical="center"/>
    </xf>
    <xf numFmtId="0" fontId="61" fillId="26" borderId="15" xfId="161" quotePrefix="1" applyFont="1" applyFill="1" applyBorder="1" applyAlignment="1">
      <alignment horizontal="centerContinuous" vertical="center"/>
    </xf>
    <xf numFmtId="0" fontId="88" fillId="0" borderId="0" xfId="0" applyFont="1">
      <alignment vertical="center"/>
    </xf>
    <xf numFmtId="0" fontId="73" fillId="14" borderId="8" xfId="0" applyFont="1" applyFill="1" applyBorder="1">
      <alignment vertical="center"/>
    </xf>
    <xf numFmtId="0" fontId="53" fillId="14" borderId="6" xfId="180" applyFont="1" applyFill="1" applyBorder="1">
      <alignment vertical="center"/>
    </xf>
    <xf numFmtId="0" fontId="53" fillId="14" borderId="2" xfId="180" quotePrefix="1" applyFont="1" applyFill="1" applyBorder="1">
      <alignment vertical="center"/>
    </xf>
    <xf numFmtId="0" fontId="53" fillId="14" borderId="2" xfId="180" applyFont="1" applyFill="1" applyBorder="1">
      <alignment vertical="center"/>
    </xf>
    <xf numFmtId="0" fontId="53" fillId="14" borderId="2" xfId="180" applyFont="1" applyFill="1" applyBorder="1" applyAlignment="1">
      <alignment horizontal="center" vertical="center"/>
    </xf>
    <xf numFmtId="0" fontId="54" fillId="14" borderId="3" xfId="180" applyFont="1" applyFill="1" applyBorder="1" applyAlignment="1">
      <alignment horizontal="center" vertical="center"/>
    </xf>
    <xf numFmtId="0" fontId="53" fillId="14" borderId="3" xfId="180" applyFont="1" applyFill="1" applyBorder="1" applyAlignment="1">
      <alignment horizontal="center" vertical="center"/>
    </xf>
    <xf numFmtId="0" fontId="64" fillId="14" borderId="3" xfId="180" applyFont="1" applyFill="1" applyBorder="1" applyAlignment="1">
      <alignment horizontal="center" vertical="center"/>
    </xf>
    <xf numFmtId="0" fontId="53" fillId="0" borderId="28" xfId="0" applyFont="1" applyBorder="1">
      <alignment vertical="center"/>
    </xf>
    <xf numFmtId="0" fontId="53" fillId="14" borderId="28" xfId="161" applyFont="1" applyFill="1" applyBorder="1">
      <alignment vertical="center"/>
    </xf>
    <xf numFmtId="0" fontId="53" fillId="14" borderId="29" xfId="161" applyFont="1" applyFill="1" applyBorder="1">
      <alignment vertical="center"/>
    </xf>
    <xf numFmtId="0" fontId="54" fillId="14" borderId="33" xfId="161" applyFont="1" applyFill="1" applyBorder="1">
      <alignment vertical="center"/>
    </xf>
    <xf numFmtId="0" fontId="53" fillId="14" borderId="34" xfId="161" applyFont="1" applyFill="1" applyBorder="1">
      <alignment vertical="center"/>
    </xf>
    <xf numFmtId="0" fontId="54" fillId="14" borderId="30" xfId="161" applyFont="1" applyFill="1" applyBorder="1">
      <alignment vertical="center"/>
    </xf>
    <xf numFmtId="0" fontId="53" fillId="14" borderId="31" xfId="161" applyFont="1" applyFill="1" applyBorder="1">
      <alignment vertical="center"/>
    </xf>
    <xf numFmtId="0" fontId="53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4" fillId="0" borderId="31" xfId="161" applyFont="1" applyBorder="1">
      <alignment vertical="center"/>
    </xf>
    <xf numFmtId="0" fontId="53" fillId="0" borderId="31" xfId="161" applyFont="1" applyBorder="1">
      <alignment vertical="center"/>
    </xf>
    <xf numFmtId="0" fontId="53" fillId="0" borderId="31" xfId="0" applyFont="1" applyBorder="1" applyAlignment="1">
      <alignment vertical="center" wrapText="1"/>
    </xf>
    <xf numFmtId="0" fontId="53" fillId="0" borderId="31" xfId="161" quotePrefix="1" applyFont="1" applyBorder="1">
      <alignment vertical="center"/>
    </xf>
    <xf numFmtId="0" fontId="53" fillId="0" borderId="31" xfId="161" applyFont="1" applyBorder="1" applyAlignment="1">
      <alignment horizontal="center" vertical="center"/>
    </xf>
    <xf numFmtId="0" fontId="53" fillId="14" borderId="32" xfId="161" applyFont="1" applyFill="1" applyBorder="1">
      <alignment vertical="center"/>
    </xf>
    <xf numFmtId="0" fontId="53" fillId="0" borderId="28" xfId="161" quotePrefix="1" applyFont="1" applyBorder="1">
      <alignment vertical="center"/>
    </xf>
    <xf numFmtId="0" fontId="53" fillId="0" borderId="28" xfId="161" applyFont="1" applyBorder="1">
      <alignment vertical="center"/>
    </xf>
    <xf numFmtId="0" fontId="53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3" fillId="14" borderId="33" xfId="0" applyFont="1" applyFill="1" applyBorder="1">
      <alignment vertical="center"/>
    </xf>
    <xf numFmtId="0" fontId="53" fillId="0" borderId="34" xfId="161" applyFont="1" applyBorder="1">
      <alignment vertical="center"/>
    </xf>
    <xf numFmtId="0" fontId="64" fillId="0" borderId="33" xfId="180" applyFont="1" applyBorder="1" applyAlignment="1">
      <alignment vertical="top"/>
    </xf>
    <xf numFmtId="0" fontId="53" fillId="0" borderId="0" xfId="180" applyFont="1" applyAlignment="1">
      <alignment vertical="top"/>
    </xf>
    <xf numFmtId="0" fontId="53" fillId="14" borderId="34" xfId="180" applyFont="1" applyFill="1" applyBorder="1">
      <alignment vertical="center"/>
    </xf>
    <xf numFmtId="0" fontId="53" fillId="14" borderId="33" xfId="161" applyFont="1" applyFill="1" applyBorder="1" applyAlignment="1">
      <alignment horizontal="left" vertical="center"/>
    </xf>
    <xf numFmtId="0" fontId="53" fillId="14" borderId="30" xfId="161" applyFont="1" applyFill="1" applyBorder="1" applyAlignment="1">
      <alignment horizontal="left" vertical="center"/>
    </xf>
    <xf numFmtId="0" fontId="53" fillId="14" borderId="31" xfId="161" applyFont="1" applyFill="1" applyBorder="1" applyAlignment="1">
      <alignment horizontal="left" vertical="center"/>
    </xf>
    <xf numFmtId="0" fontId="69" fillId="0" borderId="31" xfId="161" applyFont="1" applyBorder="1" applyAlignment="1">
      <alignment horizontal="left" vertical="center"/>
    </xf>
    <xf numFmtId="0" fontId="69" fillId="0" borderId="31" xfId="0" applyFont="1" applyBorder="1">
      <alignment vertical="center"/>
    </xf>
    <xf numFmtId="0" fontId="69" fillId="0" borderId="31" xfId="161" applyFont="1" applyBorder="1" applyAlignment="1">
      <alignment horizontal="center" vertical="center"/>
    </xf>
    <xf numFmtId="0" fontId="69" fillId="0" borderId="31" xfId="161" applyFont="1" applyBorder="1">
      <alignment vertical="center"/>
    </xf>
    <xf numFmtId="0" fontId="69" fillId="0" borderId="31" xfId="0" applyFont="1" applyBorder="1" applyAlignment="1">
      <alignment horizontal="center" vertical="center"/>
    </xf>
    <xf numFmtId="0" fontId="53" fillId="0" borderId="32" xfId="161" applyFont="1" applyBorder="1">
      <alignment vertical="center"/>
    </xf>
    <xf numFmtId="0" fontId="76" fillId="14" borderId="27" xfId="0" applyFont="1" applyFill="1" applyBorder="1">
      <alignment vertical="center"/>
    </xf>
    <xf numFmtId="0" fontId="53" fillId="0" borderId="28" xfId="161" quotePrefix="1" applyFont="1" applyBorder="1" applyAlignment="1">
      <alignment horizontal="left" vertical="center"/>
    </xf>
    <xf numFmtId="0" fontId="53" fillId="0" borderId="28" xfId="161" applyFont="1" applyBorder="1" applyAlignment="1">
      <alignment horizontal="left" vertical="center"/>
    </xf>
    <xf numFmtId="0" fontId="54" fillId="0" borderId="15" xfId="161" applyFont="1" applyBorder="1">
      <alignment vertical="center"/>
    </xf>
    <xf numFmtId="0" fontId="80" fillId="14" borderId="28" xfId="0" applyFont="1" applyFill="1" applyBorder="1">
      <alignment vertical="center"/>
    </xf>
    <xf numFmtId="0" fontId="58" fillId="14" borderId="28" xfId="161" applyFont="1" applyFill="1" applyBorder="1">
      <alignment vertical="center"/>
    </xf>
    <xf numFmtId="0" fontId="20" fillId="10" borderId="28" xfId="46" applyFont="1" applyFill="1" applyBorder="1" applyAlignment="1">
      <alignment horizontal="centerContinuous"/>
    </xf>
    <xf numFmtId="0" fontId="20" fillId="10" borderId="29" xfId="46" applyFont="1" applyFill="1" applyBorder="1" applyAlignment="1">
      <alignment horizontal="centerContinuous"/>
    </xf>
    <xf numFmtId="0" fontId="61" fillId="19" borderId="35" xfId="161" applyFont="1" applyFill="1" applyBorder="1" applyAlignment="1">
      <alignment horizontal="center" vertical="center"/>
    </xf>
    <xf numFmtId="0" fontId="61" fillId="24" borderId="36" xfId="161" applyFont="1" applyFill="1" applyBorder="1" applyAlignment="1">
      <alignment horizontal="centerContinuous" vertical="center"/>
    </xf>
    <xf numFmtId="0" fontId="54" fillId="19" borderId="37" xfId="161" applyFont="1" applyFill="1" applyBorder="1" applyAlignment="1">
      <alignment horizontal="centerContinuous" vertical="center"/>
    </xf>
    <xf numFmtId="0" fontId="61" fillId="24" borderId="38" xfId="161" quotePrefix="1" applyFont="1" applyFill="1" applyBorder="1" applyAlignment="1">
      <alignment horizontal="centerContinuous" vertical="center"/>
    </xf>
    <xf numFmtId="0" fontId="53" fillId="19" borderId="39" xfId="161" quotePrefix="1" applyFont="1" applyFill="1" applyBorder="1" applyAlignment="1">
      <alignment horizontal="center" vertical="center"/>
    </xf>
    <xf numFmtId="14" fontId="61" fillId="0" borderId="40" xfId="161" quotePrefix="1" applyNumberFormat="1" applyFont="1" applyBorder="1" applyAlignment="1">
      <alignment horizontal="centerContinuous" vertical="center"/>
    </xf>
    <xf numFmtId="0" fontId="64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3" fillId="0" borderId="33" xfId="0" applyFont="1" applyBorder="1">
      <alignment vertical="center"/>
    </xf>
    <xf numFmtId="0" fontId="85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6" fillId="14" borderId="30" xfId="0" applyFont="1" applyFill="1" applyBorder="1">
      <alignment vertical="center"/>
    </xf>
    <xf numFmtId="0" fontId="53" fillId="0" borderId="31" xfId="161" quotePrefix="1" applyFont="1" applyBorder="1" applyAlignment="1">
      <alignment horizontal="left" vertical="center"/>
    </xf>
    <xf numFmtId="0" fontId="53" fillId="0" borderId="31" xfId="161" applyFont="1" applyBorder="1" applyAlignment="1">
      <alignment horizontal="left" vertical="center"/>
    </xf>
    <xf numFmtId="0" fontId="80" fillId="14" borderId="31" xfId="0" applyFont="1" applyFill="1" applyBorder="1">
      <alignment vertical="center"/>
    </xf>
    <xf numFmtId="0" fontId="58" fillId="14" borderId="31" xfId="161" applyFont="1" applyFill="1" applyBorder="1">
      <alignment vertical="center"/>
    </xf>
    <xf numFmtId="0" fontId="20" fillId="10" borderId="31" xfId="46" applyFont="1" applyFill="1" applyBorder="1" applyAlignment="1">
      <alignment horizontal="centerContinuous"/>
    </xf>
    <xf numFmtId="0" fontId="20" fillId="10" borderId="32" xfId="46" applyFont="1" applyFill="1" applyBorder="1" applyAlignment="1">
      <alignment horizontal="centerContinuous"/>
    </xf>
    <xf numFmtId="0" fontId="54" fillId="0" borderId="8" xfId="161" quotePrefix="1" applyFont="1" applyBorder="1">
      <alignment vertical="center"/>
    </xf>
    <xf numFmtId="0" fontId="58" fillId="14" borderId="12" xfId="161" applyFont="1" applyFill="1" applyBorder="1">
      <alignment vertical="center"/>
    </xf>
    <xf numFmtId="0" fontId="20" fillId="10" borderId="12" xfId="46" applyFont="1" applyFill="1" applyBorder="1" applyAlignment="1">
      <alignment horizontal="centerContinuous"/>
    </xf>
    <xf numFmtId="0" fontId="20" fillId="10" borderId="36" xfId="46" applyFont="1" applyFill="1" applyBorder="1" applyAlignment="1">
      <alignment horizontal="centerContinuous"/>
    </xf>
    <xf numFmtId="0" fontId="20" fillId="10" borderId="34" xfId="46" applyFont="1" applyFill="1" applyBorder="1" applyAlignment="1">
      <alignment horizontal="centerContinuous"/>
    </xf>
    <xf numFmtId="0" fontId="20" fillId="10" borderId="8" xfId="46" applyFont="1" applyFill="1" applyBorder="1" applyAlignment="1">
      <alignment horizontal="centerContinuous"/>
    </xf>
    <xf numFmtId="0" fontId="20" fillId="10" borderId="38" xfId="46" applyFont="1" applyFill="1" applyBorder="1" applyAlignment="1">
      <alignment horizontal="centerContinuous"/>
    </xf>
    <xf numFmtId="0" fontId="20" fillId="10" borderId="2" xfId="46" applyFont="1" applyFill="1" applyBorder="1" applyAlignment="1">
      <alignment horizontal="centerContinuous"/>
    </xf>
    <xf numFmtId="0" fontId="61" fillId="26" borderId="10" xfId="161" applyFont="1" applyFill="1" applyBorder="1" applyAlignment="1">
      <alignment horizontal="centerContinuous" vertical="center"/>
    </xf>
    <xf numFmtId="0" fontId="53" fillId="0" borderId="0" xfId="161" quotePrefix="1" applyFont="1" applyAlignment="1">
      <alignment horizontal="center" vertical="center"/>
    </xf>
    <xf numFmtId="0" fontId="74" fillId="0" borderId="0" xfId="0" applyFont="1">
      <alignment vertical="center"/>
    </xf>
    <xf numFmtId="179" fontId="61" fillId="0" borderId="0" xfId="161" quotePrefix="1" applyNumberFormat="1" applyFont="1" applyAlignment="1">
      <alignment horizontal="right" vertical="center"/>
    </xf>
    <xf numFmtId="0" fontId="61" fillId="0" borderId="0" xfId="161" quotePrefix="1" applyFont="1" applyAlignment="1">
      <alignment horizontal="right" vertical="center"/>
    </xf>
    <xf numFmtId="0" fontId="20" fillId="10" borderId="16" xfId="46" applyFont="1" applyFill="1" applyBorder="1" applyAlignment="1">
      <alignment horizontal="center"/>
    </xf>
    <xf numFmtId="0" fontId="20" fillId="10" borderId="9" xfId="46" applyFont="1" applyFill="1" applyBorder="1" applyAlignment="1">
      <alignment horizontal="center"/>
    </xf>
    <xf numFmtId="0" fontId="76" fillId="14" borderId="33" xfId="0" applyFont="1" applyFill="1" applyBorder="1">
      <alignment vertical="center"/>
    </xf>
    <xf numFmtId="0" fontId="20" fillId="10" borderId="40" xfId="46" applyFont="1" applyFill="1" applyBorder="1" applyAlignment="1">
      <alignment horizontal="centerContinuous"/>
    </xf>
    <xf numFmtId="0" fontId="54" fillId="0" borderId="33" xfId="161" applyFont="1" applyBorder="1">
      <alignment vertical="center"/>
    </xf>
    <xf numFmtId="0" fontId="76" fillId="0" borderId="33" xfId="0" applyFont="1" applyBorder="1">
      <alignment vertical="center"/>
    </xf>
    <xf numFmtId="0" fontId="61" fillId="0" borderId="33" xfId="161" applyFont="1" applyBorder="1" applyAlignment="1">
      <alignment horizontal="center" vertical="center"/>
    </xf>
    <xf numFmtId="0" fontId="53" fillId="0" borderId="33" xfId="161" quotePrefix="1" applyFont="1" applyBorder="1" applyAlignment="1">
      <alignment horizontal="center" vertical="center"/>
    </xf>
    <xf numFmtId="0" fontId="20" fillId="10" borderId="42" xfId="46" applyFont="1" applyFill="1" applyBorder="1" applyAlignment="1">
      <alignment horizontal="centerContinuous"/>
    </xf>
    <xf numFmtId="0" fontId="20" fillId="10" borderId="43" xfId="46" applyFont="1" applyFill="1" applyBorder="1" applyAlignment="1">
      <alignment horizontal="centerContinuous"/>
    </xf>
    <xf numFmtId="0" fontId="20" fillId="10" borderId="11" xfId="46" applyFont="1" applyFill="1" applyBorder="1" applyAlignment="1">
      <alignment horizontal="centerContinuous"/>
    </xf>
    <xf numFmtId="0" fontId="75" fillId="14" borderId="0" xfId="180" applyFont="1" applyFill="1">
      <alignment vertical="center"/>
    </xf>
    <xf numFmtId="0" fontId="53" fillId="0" borderId="34" xfId="0" applyFont="1" applyBorder="1">
      <alignment vertical="center"/>
    </xf>
    <xf numFmtId="0" fontId="65" fillId="19" borderId="41" xfId="180" applyFont="1" applyFill="1" applyBorder="1" applyAlignment="1">
      <alignment horizontal="centerContinuous" vertical="center"/>
    </xf>
    <xf numFmtId="0" fontId="77" fillId="14" borderId="41" xfId="180" quotePrefix="1" applyFont="1" applyFill="1" applyBorder="1">
      <alignment vertical="center"/>
    </xf>
    <xf numFmtId="14" fontId="53" fillId="14" borderId="2" xfId="180" applyNumberFormat="1" applyFont="1" applyFill="1" applyBorder="1" applyAlignment="1">
      <alignment horizontal="centerContinuous" vertical="center"/>
    </xf>
    <xf numFmtId="0" fontId="53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3" fillId="14" borderId="44" xfId="161" applyFont="1" applyFill="1" applyBorder="1">
      <alignment vertical="center"/>
    </xf>
    <xf numFmtId="185" fontId="61" fillId="0" borderId="0" xfId="161" quotePrefix="1" applyNumberFormat="1" applyFont="1" applyAlignment="1">
      <alignment horizontal="right" vertical="center"/>
    </xf>
    <xf numFmtId="0" fontId="20" fillId="10" borderId="21" xfId="46" applyFont="1" applyFill="1" applyBorder="1" applyAlignment="1">
      <alignment horizontal="center"/>
    </xf>
    <xf numFmtId="0" fontId="20" fillId="10" borderId="22" xfId="46" applyFont="1" applyFill="1" applyBorder="1" applyAlignment="1">
      <alignment horizontal="center"/>
    </xf>
    <xf numFmtId="0" fontId="61" fillId="21" borderId="10" xfId="161" applyFont="1" applyFill="1" applyBorder="1" applyAlignment="1">
      <alignment horizontal="centerContinuous" vertical="center"/>
    </xf>
    <xf numFmtId="0" fontId="61" fillId="26" borderId="10" xfId="161" quotePrefix="1" applyFont="1" applyFill="1" applyBorder="1" applyAlignment="1">
      <alignment horizontal="centerContinuous" vertical="center"/>
    </xf>
    <xf numFmtId="0" fontId="78" fillId="14" borderId="0" xfId="161" applyFont="1" applyFill="1">
      <alignment vertical="center"/>
    </xf>
    <xf numFmtId="14" fontId="53" fillId="0" borderId="0" xfId="161" quotePrefix="1" applyNumberFormat="1" applyFont="1">
      <alignment vertical="center"/>
    </xf>
    <xf numFmtId="0" fontId="64" fillId="0" borderId="0" xfId="180" applyFont="1" applyAlignment="1">
      <alignment vertical="top"/>
    </xf>
    <xf numFmtId="0" fontId="54" fillId="14" borderId="0" xfId="180" applyFont="1" applyFill="1" applyAlignment="1">
      <alignment horizontal="center" vertical="center"/>
    </xf>
    <xf numFmtId="0" fontId="64" fillId="14" borderId="0" xfId="180" applyFont="1" applyFill="1" applyAlignment="1">
      <alignment horizontal="center" vertical="center"/>
    </xf>
    <xf numFmtId="0" fontId="69" fillId="0" borderId="28" xfId="161" applyFont="1" applyBorder="1" applyAlignment="1">
      <alignment horizontal="left" vertical="center"/>
    </xf>
    <xf numFmtId="0" fontId="69" fillId="0" borderId="28" xfId="0" applyFont="1" applyBorder="1">
      <alignment vertical="center"/>
    </xf>
    <xf numFmtId="0" fontId="69" fillId="0" borderId="28" xfId="161" applyFont="1" applyBorder="1" applyAlignment="1">
      <alignment horizontal="center" vertical="center"/>
    </xf>
    <xf numFmtId="0" fontId="69" fillId="0" borderId="28" xfId="161" applyFont="1" applyBorder="1">
      <alignment vertical="center"/>
    </xf>
    <xf numFmtId="0" fontId="69" fillId="0" borderId="28" xfId="0" applyFont="1" applyBorder="1" applyAlignment="1">
      <alignment horizontal="center" vertical="center"/>
    </xf>
    <xf numFmtId="0" fontId="76" fillId="27" borderId="27" xfId="0" applyFont="1" applyFill="1" applyBorder="1">
      <alignment vertical="center"/>
    </xf>
    <xf numFmtId="0" fontId="53" fillId="27" borderId="28" xfId="0" applyFont="1" applyFill="1" applyBorder="1">
      <alignment vertical="center"/>
    </xf>
    <xf numFmtId="0" fontId="53" fillId="27" borderId="28" xfId="161" quotePrefix="1" applyFont="1" applyFill="1" applyBorder="1" applyAlignment="1">
      <alignment horizontal="left" vertical="center"/>
    </xf>
    <xf numFmtId="0" fontId="53" fillId="27" borderId="28" xfId="161" quotePrefix="1" applyFont="1" applyFill="1" applyBorder="1">
      <alignment vertical="center"/>
    </xf>
    <xf numFmtId="0" fontId="53" fillId="27" borderId="28" xfId="161" applyFont="1" applyFill="1" applyBorder="1">
      <alignment vertical="center"/>
    </xf>
    <xf numFmtId="0" fontId="53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3" fillId="27" borderId="28" xfId="161" applyFont="1" applyFill="1" applyBorder="1" applyAlignment="1">
      <alignment horizontal="center" vertical="center"/>
    </xf>
    <xf numFmtId="0" fontId="54" fillId="27" borderId="33" xfId="161" applyFont="1" applyFill="1" applyBorder="1">
      <alignment vertical="center"/>
    </xf>
    <xf numFmtId="0" fontId="53" fillId="27" borderId="0" xfId="0" applyFont="1" applyFill="1">
      <alignment vertical="center"/>
    </xf>
    <xf numFmtId="0" fontId="53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3" fillId="27" borderId="0" xfId="161" applyFont="1" applyFill="1" applyAlignment="1">
      <alignment horizontal="center" vertical="center"/>
    </xf>
    <xf numFmtId="0" fontId="53" fillId="27" borderId="0" xfId="161" applyFont="1" applyFill="1">
      <alignment vertical="center"/>
    </xf>
    <xf numFmtId="0" fontId="53" fillId="27" borderId="0" xfId="161" quotePrefix="1" applyFont="1" applyFill="1">
      <alignment vertical="center"/>
    </xf>
    <xf numFmtId="0" fontId="53" fillId="27" borderId="30" xfId="161" applyFont="1" applyFill="1" applyBorder="1" applyAlignment="1">
      <alignment horizontal="left" vertical="center"/>
    </xf>
    <xf numFmtId="0" fontId="53" fillId="27" borderId="31" xfId="161" applyFont="1" applyFill="1" applyBorder="1" applyAlignment="1">
      <alignment horizontal="left" vertical="center"/>
    </xf>
    <xf numFmtId="0" fontId="69" fillId="27" borderId="31" xfId="161" applyFont="1" applyFill="1" applyBorder="1" applyAlignment="1">
      <alignment horizontal="left" vertical="center"/>
    </xf>
    <xf numFmtId="0" fontId="69" fillId="27" borderId="31" xfId="0" applyFont="1" applyFill="1" applyBorder="1">
      <alignment vertical="center"/>
    </xf>
    <xf numFmtId="0" fontId="69" fillId="27" borderId="31" xfId="161" applyFont="1" applyFill="1" applyBorder="1" applyAlignment="1">
      <alignment horizontal="center" vertical="center"/>
    </xf>
    <xf numFmtId="0" fontId="69" fillId="27" borderId="31" xfId="161" applyFont="1" applyFill="1" applyBorder="1">
      <alignment vertical="center"/>
    </xf>
    <xf numFmtId="0" fontId="69" fillId="27" borderId="31" xfId="0" applyFont="1" applyFill="1" applyBorder="1" applyAlignment="1">
      <alignment horizontal="center" vertical="center"/>
    </xf>
    <xf numFmtId="0" fontId="53" fillId="27" borderId="31" xfId="161" applyFont="1" applyFill="1" applyBorder="1" applyAlignment="1">
      <alignment horizontal="center" vertical="center"/>
    </xf>
    <xf numFmtId="0" fontId="53" fillId="14" borderId="10" xfId="161" quotePrefix="1" applyFont="1" applyFill="1" applyBorder="1">
      <alignment vertical="center"/>
    </xf>
    <xf numFmtId="0" fontId="89" fillId="14" borderId="33" xfId="161" applyFont="1" applyFill="1" applyBorder="1">
      <alignment vertical="center"/>
    </xf>
    <xf numFmtId="0" fontId="85" fillId="0" borderId="33" xfId="161" quotePrefix="1" applyFont="1" applyBorder="1" applyAlignment="1">
      <alignment horizontal="left" vertical="center"/>
    </xf>
    <xf numFmtId="0" fontId="53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4" fillId="0" borderId="12" xfId="0" applyFont="1" applyBorder="1">
      <alignment vertical="center"/>
    </xf>
    <xf numFmtId="0" fontId="53" fillId="0" borderId="12" xfId="0" quotePrefix="1" applyFont="1" applyBorder="1">
      <alignment vertical="center"/>
    </xf>
    <xf numFmtId="0" fontId="53" fillId="0" borderId="12" xfId="0" applyFont="1" applyBorder="1" applyAlignment="1">
      <alignment horizontal="center" vertical="center"/>
    </xf>
    <xf numFmtId="0" fontId="53" fillId="0" borderId="12" xfId="0" applyFont="1" applyBorder="1" applyAlignment="1">
      <alignment horizontal="left" vertical="center"/>
    </xf>
    <xf numFmtId="0" fontId="61" fillId="19" borderId="45" xfId="161" applyFont="1" applyFill="1" applyBorder="1" applyAlignment="1">
      <alignment horizontal="center" vertical="center"/>
    </xf>
    <xf numFmtId="0" fontId="54" fillId="28" borderId="46" xfId="161" applyFont="1" applyFill="1" applyBorder="1" applyAlignment="1">
      <alignment horizontal="centerContinuous" vertical="center"/>
    </xf>
    <xf numFmtId="0" fontId="54" fillId="28" borderId="28" xfId="161" applyFont="1" applyFill="1" applyBorder="1" applyAlignment="1">
      <alignment horizontal="centerContinuous" vertical="center"/>
    </xf>
    <xf numFmtId="0" fontId="54" fillId="28" borderId="42" xfId="161" applyFont="1" applyFill="1" applyBorder="1" applyAlignment="1">
      <alignment horizontal="centerContinuous" vertical="center"/>
    </xf>
    <xf numFmtId="0" fontId="54" fillId="28" borderId="46" xfId="161" quotePrefix="1" applyFont="1" applyFill="1" applyBorder="1" applyAlignment="1">
      <alignment horizontal="centerContinuous" vertical="center"/>
    </xf>
    <xf numFmtId="0" fontId="54" fillId="28" borderId="28" xfId="161" quotePrefix="1" applyFont="1" applyFill="1" applyBorder="1" applyAlignment="1">
      <alignment horizontal="centerContinuous" vertical="center"/>
    </xf>
    <xf numFmtId="0" fontId="61" fillId="28" borderId="46" xfId="161" applyFont="1" applyFill="1" applyBorder="1" applyAlignment="1">
      <alignment horizontal="centerContinuous" vertical="center"/>
    </xf>
    <xf numFmtId="0" fontId="61" fillId="28" borderId="28" xfId="161" applyFont="1" applyFill="1" applyBorder="1" applyAlignment="1">
      <alignment horizontal="centerContinuous" vertical="center"/>
    </xf>
    <xf numFmtId="0" fontId="61" fillId="28" borderId="42" xfId="161" applyFont="1" applyFill="1" applyBorder="1" applyAlignment="1">
      <alignment horizontal="centerContinuous" vertical="center"/>
    </xf>
    <xf numFmtId="0" fontId="54" fillId="20" borderId="46" xfId="161" applyFont="1" applyFill="1" applyBorder="1" applyAlignment="1">
      <alignment horizontal="centerContinuous" vertical="center"/>
    </xf>
    <xf numFmtId="0" fontId="54" fillId="20" borderId="28" xfId="161" applyFont="1" applyFill="1" applyBorder="1" applyAlignment="1">
      <alignment horizontal="centerContinuous" vertical="center"/>
    </xf>
    <xf numFmtId="0" fontId="54" fillId="20" borderId="42" xfId="161" applyFont="1" applyFill="1" applyBorder="1" applyAlignment="1">
      <alignment horizontal="centerContinuous" vertical="center"/>
    </xf>
    <xf numFmtId="0" fontId="54" fillId="20" borderId="46" xfId="161" quotePrefix="1" applyFont="1" applyFill="1" applyBorder="1" applyAlignment="1">
      <alignment horizontal="centerContinuous" vertical="center"/>
    </xf>
    <xf numFmtId="0" fontId="54" fillId="20" borderId="28" xfId="161" quotePrefix="1" applyFont="1" applyFill="1" applyBorder="1" applyAlignment="1">
      <alignment horizontal="centerContinuous" vertical="center"/>
    </xf>
    <xf numFmtId="0" fontId="61" fillId="20" borderId="46" xfId="161" applyFont="1" applyFill="1" applyBorder="1" applyAlignment="1">
      <alignment horizontal="centerContinuous" vertical="center"/>
    </xf>
    <xf numFmtId="0" fontId="61" fillId="20" borderId="28" xfId="161" applyFont="1" applyFill="1" applyBorder="1" applyAlignment="1">
      <alignment horizontal="centerContinuous" vertical="center"/>
    </xf>
    <xf numFmtId="0" fontId="61" fillId="20" borderId="42" xfId="161" applyFont="1" applyFill="1" applyBorder="1" applyAlignment="1">
      <alignment horizontal="centerContinuous" vertical="center"/>
    </xf>
    <xf numFmtId="0" fontId="53" fillId="19" borderId="35" xfId="161" quotePrefix="1" applyFont="1" applyFill="1" applyBorder="1" applyAlignment="1">
      <alignment horizontal="center" vertical="center"/>
    </xf>
    <xf numFmtId="0" fontId="61" fillId="0" borderId="15" xfId="161" quotePrefix="1" applyFont="1" applyBorder="1" applyAlignment="1">
      <alignment horizontal="centerContinuous" vertical="center"/>
    </xf>
    <xf numFmtId="0" fontId="63" fillId="0" borderId="12" xfId="161" applyFont="1" applyBorder="1" applyAlignment="1">
      <alignment horizontal="centerContinuous" vertical="center"/>
    </xf>
    <xf numFmtId="0" fontId="63" fillId="0" borderId="13" xfId="161" applyFont="1" applyBorder="1" applyAlignment="1">
      <alignment horizontal="centerContinuous" vertical="center"/>
    </xf>
    <xf numFmtId="14" fontId="61" fillId="0" borderId="28" xfId="161" quotePrefix="1" applyNumberFormat="1" applyFont="1" applyBorder="1" applyAlignment="1">
      <alignment horizontal="centerContinuous" vertical="center"/>
    </xf>
    <xf numFmtId="0" fontId="61" fillId="0" borderId="28" xfId="161" quotePrefix="1" applyFont="1" applyBorder="1" applyAlignment="1">
      <alignment horizontal="centerContinuous" vertical="center"/>
    </xf>
    <xf numFmtId="0" fontId="63" fillId="0" borderId="28" xfId="161" applyFont="1" applyBorder="1" applyAlignment="1">
      <alignment horizontal="centerContinuous" vertical="center"/>
    </xf>
    <xf numFmtId="0" fontId="54" fillId="0" borderId="28" xfId="161" applyFont="1" applyBorder="1" applyAlignment="1">
      <alignment horizontal="center" vertical="center"/>
    </xf>
    <xf numFmtId="14" fontId="61" fillId="0" borderId="47" xfId="161" quotePrefix="1" applyNumberFormat="1" applyFont="1" applyBorder="1" applyAlignment="1">
      <alignment horizontal="centerContinuous" vertical="center"/>
    </xf>
    <xf numFmtId="14" fontId="61" fillId="0" borderId="48" xfId="161" quotePrefix="1" applyNumberFormat="1" applyFont="1" applyBorder="1" applyAlignment="1">
      <alignment horizontal="centerContinuous" vertical="center"/>
    </xf>
    <xf numFmtId="0" fontId="54" fillId="14" borderId="49" xfId="161" applyFont="1" applyFill="1" applyBorder="1" applyAlignment="1">
      <alignment horizontal="centerContinuous" vertical="center"/>
    </xf>
    <xf numFmtId="0" fontId="53" fillId="0" borderId="27" xfId="161" quotePrefix="1" applyFont="1" applyBorder="1" applyAlignment="1">
      <alignment horizontal="center" vertical="center"/>
    </xf>
    <xf numFmtId="0" fontId="61" fillId="19" borderId="23" xfId="161" applyFont="1" applyFill="1" applyBorder="1" applyAlignment="1">
      <alignment horizontal="center" vertical="center"/>
    </xf>
    <xf numFmtId="0" fontId="54" fillId="28" borderId="15" xfId="161" applyFont="1" applyFill="1" applyBorder="1" applyAlignment="1">
      <alignment horizontal="centerContinuous" vertical="center"/>
    </xf>
    <xf numFmtId="0" fontId="54" fillId="28" borderId="12" xfId="161" applyFont="1" applyFill="1" applyBorder="1" applyAlignment="1">
      <alignment horizontal="centerContinuous" vertical="center"/>
    </xf>
    <xf numFmtId="0" fontId="54" fillId="28" borderId="13" xfId="161" applyFont="1" applyFill="1" applyBorder="1" applyAlignment="1">
      <alignment horizontal="centerContinuous" vertical="center"/>
    </xf>
    <xf numFmtId="0" fontId="54" fillId="28" borderId="15" xfId="161" quotePrefix="1" applyFont="1" applyFill="1" applyBorder="1" applyAlignment="1">
      <alignment horizontal="centerContinuous" vertical="center"/>
    </xf>
    <xf numFmtId="0" fontId="54" fillId="28" borderId="12" xfId="161" quotePrefix="1" applyFont="1" applyFill="1" applyBorder="1" applyAlignment="1">
      <alignment horizontal="centerContinuous" vertical="center"/>
    </xf>
    <xf numFmtId="0" fontId="61" fillId="28" borderId="15" xfId="161" applyFont="1" applyFill="1" applyBorder="1" applyAlignment="1">
      <alignment horizontal="centerContinuous" vertical="center"/>
    </xf>
    <xf numFmtId="0" fontId="61" fillId="28" borderId="12" xfId="161" applyFont="1" applyFill="1" applyBorder="1" applyAlignment="1">
      <alignment horizontal="centerContinuous" vertical="center"/>
    </xf>
    <xf numFmtId="0" fontId="61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3" fillId="19" borderId="3" xfId="161" quotePrefix="1" applyFont="1" applyFill="1" applyBorder="1" applyAlignment="1">
      <alignment horizontal="center" vertical="center"/>
    </xf>
    <xf numFmtId="0" fontId="53" fillId="0" borderId="11" xfId="0" applyFont="1" applyBorder="1">
      <alignment vertical="center"/>
    </xf>
    <xf numFmtId="0" fontId="85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4" fillId="20" borderId="12" xfId="161" applyFont="1" applyFill="1" applyBorder="1" applyAlignment="1">
      <alignment horizontal="centerContinuous" vertical="center"/>
    </xf>
    <xf numFmtId="0" fontId="54" fillId="20" borderId="13" xfId="161" applyFont="1" applyFill="1" applyBorder="1" applyAlignment="1">
      <alignment horizontal="centerContinuous" vertical="center"/>
    </xf>
    <xf numFmtId="0" fontId="54" fillId="20" borderId="15" xfId="161" quotePrefix="1" applyFont="1" applyFill="1" applyBorder="1" applyAlignment="1">
      <alignment horizontal="centerContinuous" vertical="center"/>
    </xf>
    <xf numFmtId="0" fontId="54" fillId="20" borderId="12" xfId="161" quotePrefix="1" applyFont="1" applyFill="1" applyBorder="1" applyAlignment="1">
      <alignment horizontal="centerContinuous" vertical="center"/>
    </xf>
    <xf numFmtId="0" fontId="54" fillId="20" borderId="15" xfId="161" applyFont="1" applyFill="1" applyBorder="1" applyAlignment="1">
      <alignment horizontal="centerContinuous" vertical="center"/>
    </xf>
    <xf numFmtId="0" fontId="61" fillId="20" borderId="15" xfId="161" applyFont="1" applyFill="1" applyBorder="1" applyAlignment="1">
      <alignment horizontal="centerContinuous" vertical="center"/>
    </xf>
    <xf numFmtId="0" fontId="61" fillId="20" borderId="12" xfId="161" applyFont="1" applyFill="1" applyBorder="1" applyAlignment="1">
      <alignment horizontal="centerContinuous" vertical="center"/>
    </xf>
    <xf numFmtId="0" fontId="61" fillId="20" borderId="13" xfId="161" applyFont="1" applyFill="1" applyBorder="1" applyAlignment="1">
      <alignment horizontal="centerContinuous" vertical="center"/>
    </xf>
    <xf numFmtId="0" fontId="53" fillId="0" borderId="7" xfId="0" applyFont="1" applyBorder="1">
      <alignment vertical="center"/>
    </xf>
    <xf numFmtId="0" fontId="53" fillId="0" borderId="8" xfId="0" applyFont="1" applyBorder="1" applyAlignment="1">
      <alignment vertical="center" wrapText="1"/>
    </xf>
    <xf numFmtId="0" fontId="73" fillId="0" borderId="8" xfId="0" applyFont="1" applyBorder="1">
      <alignment vertical="center"/>
    </xf>
    <xf numFmtId="9" fontId="53" fillId="0" borderId="2" xfId="161" applyNumberFormat="1" applyFont="1" applyBorder="1">
      <alignment vertical="center"/>
    </xf>
    <xf numFmtId="0" fontId="61" fillId="26" borderId="7" xfId="161" quotePrefix="1" applyFont="1" applyFill="1" applyBorder="1" applyAlignment="1">
      <alignment horizontal="centerContinuous" vertical="center"/>
    </xf>
    <xf numFmtId="0" fontId="61" fillId="26" borderId="8" xfId="161" applyFont="1" applyFill="1" applyBorder="1" applyAlignment="1">
      <alignment horizontal="centerContinuous" vertical="center"/>
    </xf>
    <xf numFmtId="0" fontId="61" fillId="26" borderId="14" xfId="161" applyFont="1" applyFill="1" applyBorder="1" applyAlignment="1">
      <alignment horizontal="centerContinuous" vertical="center"/>
    </xf>
    <xf numFmtId="0" fontId="61" fillId="26" borderId="8" xfId="161" quotePrefix="1" applyFont="1" applyFill="1" applyBorder="1" applyAlignment="1">
      <alignment horizontal="centerContinuous" vertical="center"/>
    </xf>
    <xf numFmtId="0" fontId="61" fillId="19" borderId="37" xfId="161" applyFont="1" applyFill="1" applyBorder="1" applyAlignment="1">
      <alignment horizontal="center" vertical="center"/>
    </xf>
    <xf numFmtId="0" fontId="54" fillId="26" borderId="7" xfId="161" applyFont="1" applyFill="1" applyBorder="1" applyAlignment="1">
      <alignment horizontal="centerContinuous" vertical="center"/>
    </xf>
    <xf numFmtId="0" fontId="54" fillId="26" borderId="8" xfId="161" applyFont="1" applyFill="1" applyBorder="1" applyAlignment="1">
      <alignment horizontal="centerContinuous" vertical="center"/>
    </xf>
    <xf numFmtId="0" fontId="54" fillId="26" borderId="14" xfId="161" applyFont="1" applyFill="1" applyBorder="1" applyAlignment="1">
      <alignment horizontal="centerContinuous" vertical="center"/>
    </xf>
    <xf numFmtId="0" fontId="54" fillId="26" borderId="7" xfId="161" quotePrefix="1" applyFont="1" applyFill="1" applyBorder="1" applyAlignment="1">
      <alignment horizontal="centerContinuous" vertical="center"/>
    </xf>
    <xf numFmtId="0" fontId="54" fillId="26" borderId="8" xfId="161" quotePrefix="1" applyFont="1" applyFill="1" applyBorder="1" applyAlignment="1">
      <alignment horizontal="centerContinuous" vertical="center"/>
    </xf>
    <xf numFmtId="0" fontId="61" fillId="26" borderId="7" xfId="161" applyFont="1" applyFill="1" applyBorder="1" applyAlignment="1">
      <alignment horizontal="centerContinuous" vertical="center"/>
    </xf>
    <xf numFmtId="0" fontId="53" fillId="14" borderId="10" xfId="0" quotePrefix="1" applyFont="1" applyFill="1" applyBorder="1">
      <alignment vertical="center"/>
    </xf>
    <xf numFmtId="0" fontId="53" fillId="29" borderId="10" xfId="0" quotePrefix="1" applyFont="1" applyFill="1" applyBorder="1">
      <alignment vertical="center"/>
    </xf>
    <xf numFmtId="0" fontId="53" fillId="29" borderId="2" xfId="180" quotePrefix="1" applyFont="1" applyFill="1" applyBorder="1">
      <alignment vertical="center"/>
    </xf>
    <xf numFmtId="0" fontId="53" fillId="29" borderId="2" xfId="180" applyFont="1" applyFill="1" applyBorder="1">
      <alignment vertical="center"/>
    </xf>
    <xf numFmtId="0" fontId="53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3" fillId="29" borderId="17" xfId="180" applyFont="1" applyFill="1" applyBorder="1" applyAlignment="1">
      <alignment horizontal="center" vertical="center"/>
    </xf>
    <xf numFmtId="0" fontId="90" fillId="25" borderId="41" xfId="161" quotePrefix="1" applyFont="1" applyFill="1" applyBorder="1" applyAlignment="1">
      <alignment horizontal="left" vertical="center"/>
    </xf>
    <xf numFmtId="0" fontId="76" fillId="14" borderId="28" xfId="0" applyFont="1" applyFill="1" applyBorder="1">
      <alignment vertical="center"/>
    </xf>
    <xf numFmtId="185" fontId="61" fillId="0" borderId="0" xfId="161" quotePrefix="1" applyNumberFormat="1" applyFont="1">
      <alignment vertical="center"/>
    </xf>
    <xf numFmtId="0" fontId="91" fillId="0" borderId="0" xfId="0" applyFont="1">
      <alignment vertical="center"/>
    </xf>
    <xf numFmtId="0" fontId="53" fillId="29" borderId="2" xfId="0" applyFont="1" applyFill="1" applyBorder="1">
      <alignment vertical="center"/>
    </xf>
    <xf numFmtId="0" fontId="65" fillId="29" borderId="2" xfId="180" applyFont="1" applyFill="1" applyBorder="1">
      <alignment vertical="center"/>
    </xf>
    <xf numFmtId="0" fontId="53" fillId="29" borderId="2" xfId="0" applyFont="1" applyFill="1" applyBorder="1" applyAlignment="1">
      <alignment vertical="center" wrapText="1"/>
    </xf>
    <xf numFmtId="0" fontId="53" fillId="29" borderId="17" xfId="0" applyFont="1" applyFill="1" applyBorder="1">
      <alignment vertical="center"/>
    </xf>
    <xf numFmtId="0" fontId="53" fillId="0" borderId="24" xfId="180" applyFont="1" applyBorder="1">
      <alignment vertical="center"/>
    </xf>
    <xf numFmtId="0" fontId="53" fillId="29" borderId="2" xfId="180" applyFont="1" applyFill="1" applyBorder="1" applyAlignment="1">
      <alignment horizontal="left" vertical="center"/>
    </xf>
    <xf numFmtId="0" fontId="54" fillId="14" borderId="41" xfId="180" quotePrefix="1" applyFont="1" applyFill="1" applyBorder="1">
      <alignment vertical="center"/>
    </xf>
    <xf numFmtId="0" fontId="53" fillId="14" borderId="10" xfId="180" quotePrefix="1" applyFont="1" applyFill="1" applyBorder="1" applyAlignment="1">
      <alignment horizontal="left" vertical="center"/>
    </xf>
    <xf numFmtId="0" fontId="53" fillId="0" borderId="33" xfId="161" applyFont="1" applyBorder="1">
      <alignment vertical="center"/>
    </xf>
    <xf numFmtId="0" fontId="92" fillId="0" borderId="0" xfId="0" applyFont="1">
      <alignment vertical="center"/>
    </xf>
    <xf numFmtId="0" fontId="79" fillId="14" borderId="44" xfId="161" quotePrefix="1" applyFont="1" applyFill="1" applyBorder="1">
      <alignment vertical="center"/>
    </xf>
    <xf numFmtId="0" fontId="53" fillId="14" borderId="50" xfId="161" applyFont="1" applyFill="1" applyBorder="1">
      <alignment vertical="center"/>
    </xf>
    <xf numFmtId="0" fontId="53" fillId="14" borderId="11" xfId="0" applyFont="1" applyFill="1" applyBorder="1">
      <alignment vertical="center"/>
    </xf>
    <xf numFmtId="0" fontId="64" fillId="0" borderId="28" xfId="0" applyFont="1" applyBorder="1">
      <alignment vertical="center"/>
    </xf>
    <xf numFmtId="0" fontId="53" fillId="14" borderId="8" xfId="180" quotePrefix="1" applyFont="1" applyFill="1" applyBorder="1">
      <alignment vertical="center"/>
    </xf>
    <xf numFmtId="0" fontId="53" fillId="14" borderId="8" xfId="180" applyFont="1" applyFill="1" applyBorder="1">
      <alignment vertical="center"/>
    </xf>
    <xf numFmtId="0" fontId="53" fillId="14" borderId="8" xfId="180" applyFont="1" applyFill="1" applyBorder="1" applyAlignment="1">
      <alignment horizontal="center" vertical="center"/>
    </xf>
    <xf numFmtId="0" fontId="53" fillId="14" borderId="25" xfId="180" applyFont="1" applyFill="1" applyBorder="1" applyAlignment="1">
      <alignment horizontal="center" vertical="center"/>
    </xf>
    <xf numFmtId="0" fontId="54" fillId="0" borderId="33" xfId="180" applyFont="1" applyBorder="1" applyAlignment="1">
      <alignment vertical="top"/>
    </xf>
    <xf numFmtId="0" fontId="54" fillId="14" borderId="17" xfId="180" applyFont="1" applyFill="1" applyBorder="1" applyAlignment="1">
      <alignment horizontal="center" vertical="center"/>
    </xf>
    <xf numFmtId="0" fontId="64" fillId="14" borderId="8" xfId="180" applyFont="1" applyFill="1" applyBorder="1" applyAlignment="1">
      <alignment horizontal="center" vertical="center"/>
    </xf>
    <xf numFmtId="0" fontId="93" fillId="24" borderId="8" xfId="161" quotePrefix="1" applyFont="1" applyFill="1" applyBorder="1" applyAlignment="1">
      <alignment horizontal="centerContinuous" vertical="center"/>
    </xf>
    <xf numFmtId="0" fontId="53" fillId="14" borderId="51" xfId="0" applyFont="1" applyFill="1" applyBorder="1">
      <alignment vertical="center"/>
    </xf>
    <xf numFmtId="0" fontId="54" fillId="30" borderId="15" xfId="161" applyFont="1" applyFill="1" applyBorder="1" applyAlignment="1">
      <alignment horizontal="centerContinuous" vertical="center"/>
    </xf>
    <xf numFmtId="0" fontId="54" fillId="30" borderId="12" xfId="161" applyFont="1" applyFill="1" applyBorder="1" applyAlignment="1">
      <alignment horizontal="centerContinuous" vertical="center"/>
    </xf>
    <xf numFmtId="0" fontId="54" fillId="30" borderId="15" xfId="161" quotePrefix="1" applyFont="1" applyFill="1" applyBorder="1" applyAlignment="1">
      <alignment horizontal="centerContinuous" vertical="center"/>
    </xf>
    <xf numFmtId="0" fontId="54" fillId="30" borderId="13" xfId="161" applyFont="1" applyFill="1" applyBorder="1" applyAlignment="1">
      <alignment horizontal="centerContinuous" vertical="center"/>
    </xf>
    <xf numFmtId="0" fontId="54" fillId="30" borderId="12" xfId="161" quotePrefix="1" applyFont="1" applyFill="1" applyBorder="1" applyAlignment="1">
      <alignment horizontal="centerContinuous" vertical="center"/>
    </xf>
    <xf numFmtId="0" fontId="61" fillId="30" borderId="15" xfId="161" applyFont="1" applyFill="1" applyBorder="1" applyAlignment="1">
      <alignment horizontal="centerContinuous" vertical="center"/>
    </xf>
    <xf numFmtId="0" fontId="61" fillId="30" borderId="12" xfId="161" applyFont="1" applyFill="1" applyBorder="1" applyAlignment="1">
      <alignment horizontal="centerContinuous" vertical="center"/>
    </xf>
    <xf numFmtId="0" fontId="61" fillId="30" borderId="13" xfId="161" applyFont="1" applyFill="1" applyBorder="1" applyAlignment="1">
      <alignment horizontal="centerContinuous" vertical="center"/>
    </xf>
    <xf numFmtId="0" fontId="61" fillId="30" borderId="10" xfId="161" applyFont="1" applyFill="1" applyBorder="1" applyAlignment="1">
      <alignment horizontal="centerContinuous" vertical="center"/>
    </xf>
    <xf numFmtId="0" fontId="61" fillId="30" borderId="15" xfId="161" quotePrefix="1" applyFont="1" applyFill="1" applyBorder="1" applyAlignment="1">
      <alignment horizontal="centerContinuous" vertical="center"/>
    </xf>
    <xf numFmtId="0" fontId="94" fillId="0" borderId="0" xfId="0" applyFont="1">
      <alignment vertical="center"/>
    </xf>
    <xf numFmtId="0" fontId="61" fillId="30" borderId="12" xfId="161" quotePrefix="1" applyFont="1" applyFill="1" applyBorder="1" applyAlignment="1">
      <alignment horizontal="centerContinuous" vertical="center"/>
    </xf>
    <xf numFmtId="0" fontId="61" fillId="30" borderId="10" xfId="161" quotePrefix="1" applyFont="1" applyFill="1" applyBorder="1" applyAlignment="1">
      <alignment horizontal="centerContinuous" vertical="center"/>
    </xf>
    <xf numFmtId="0" fontId="53" fillId="14" borderId="6" xfId="0" applyFont="1" applyFill="1" applyBorder="1">
      <alignment vertical="center"/>
    </xf>
    <xf numFmtId="0" fontId="64" fillId="0" borderId="10" xfId="161" quotePrefix="1" applyFont="1" applyBorder="1">
      <alignment vertical="center"/>
    </xf>
    <xf numFmtId="0" fontId="54" fillId="30" borderId="7" xfId="161" applyFont="1" applyFill="1" applyBorder="1" applyAlignment="1">
      <alignment horizontal="centerContinuous" vertical="center"/>
    </xf>
    <xf numFmtId="0" fontId="54" fillId="30" borderId="8" xfId="161" applyFont="1" applyFill="1" applyBorder="1" applyAlignment="1">
      <alignment horizontal="centerContinuous" vertical="center"/>
    </xf>
    <xf numFmtId="0" fontId="54" fillId="30" borderId="14" xfId="161" applyFont="1" applyFill="1" applyBorder="1" applyAlignment="1">
      <alignment horizontal="centerContinuous" vertical="center"/>
    </xf>
    <xf numFmtId="0" fontId="54" fillId="30" borderId="7" xfId="161" quotePrefix="1" applyFont="1" applyFill="1" applyBorder="1" applyAlignment="1">
      <alignment horizontal="centerContinuous" vertical="center"/>
    </xf>
    <xf numFmtId="0" fontId="54" fillId="30" borderId="8" xfId="161" quotePrefix="1" applyFont="1" applyFill="1" applyBorder="1" applyAlignment="1">
      <alignment horizontal="centerContinuous" vertical="center"/>
    </xf>
    <xf numFmtId="0" fontId="61" fillId="30" borderId="7" xfId="161" applyFont="1" applyFill="1" applyBorder="1" applyAlignment="1">
      <alignment horizontal="centerContinuous" vertical="center"/>
    </xf>
    <xf numFmtId="0" fontId="61" fillId="30" borderId="8" xfId="161" applyFont="1" applyFill="1" applyBorder="1" applyAlignment="1">
      <alignment horizontal="centerContinuous" vertical="center"/>
    </xf>
    <xf numFmtId="0" fontId="61" fillId="30" borderId="14" xfId="161" applyFont="1" applyFill="1" applyBorder="1" applyAlignment="1">
      <alignment horizontal="centerContinuous" vertical="center"/>
    </xf>
    <xf numFmtId="0" fontId="61" fillId="30" borderId="7" xfId="161" quotePrefix="1" applyFont="1" applyFill="1" applyBorder="1" applyAlignment="1">
      <alignment horizontal="centerContinuous" vertical="center"/>
    </xf>
    <xf numFmtId="0" fontId="61" fillId="30" borderId="8" xfId="161" quotePrefix="1" applyFont="1" applyFill="1" applyBorder="1" applyAlignment="1">
      <alignment horizontal="centerContinuous" vertical="center"/>
    </xf>
    <xf numFmtId="0" fontId="64" fillId="14" borderId="33" xfId="161" applyFont="1" applyFill="1" applyBorder="1">
      <alignment vertical="center"/>
    </xf>
    <xf numFmtId="0" fontId="61" fillId="24" borderId="15" xfId="161" quotePrefix="1" applyFont="1" applyFill="1" applyBorder="1" applyAlignment="1">
      <alignment horizontal="centerContinuous" vertical="center"/>
    </xf>
    <xf numFmtId="0" fontId="53" fillId="0" borderId="10" xfId="0" quotePrefix="1" applyFont="1" applyBorder="1">
      <alignment vertical="center"/>
    </xf>
    <xf numFmtId="0" fontId="53" fillId="0" borderId="2" xfId="180" quotePrefix="1" applyFont="1" applyBorder="1">
      <alignment vertical="center"/>
    </xf>
    <xf numFmtId="0" fontId="53" fillId="0" borderId="2" xfId="180" applyFont="1" applyBorder="1">
      <alignment vertical="center"/>
    </xf>
    <xf numFmtId="0" fontId="53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5" fillId="0" borderId="2" xfId="180" applyFont="1" applyBorder="1">
      <alignment vertical="center"/>
    </xf>
    <xf numFmtId="0" fontId="53" fillId="0" borderId="2" xfId="0" applyFont="1" applyBorder="1" applyAlignment="1">
      <alignment vertical="center" wrapText="1"/>
    </xf>
    <xf numFmtId="0" fontId="96" fillId="10" borderId="16" xfId="46" applyFont="1" applyFill="1" applyBorder="1" applyAlignment="1">
      <alignment horizontal="centerContinuous"/>
    </xf>
    <xf numFmtId="0" fontId="96" fillId="10" borderId="9" xfId="46" applyFont="1" applyFill="1" applyBorder="1" applyAlignment="1">
      <alignment horizontal="centerContinuous"/>
    </xf>
    <xf numFmtId="0" fontId="97" fillId="14" borderId="0" xfId="0" applyFont="1" applyFill="1">
      <alignment vertical="center"/>
    </xf>
    <xf numFmtId="0" fontId="98" fillId="14" borderId="0" xfId="0" applyFont="1" applyFill="1">
      <alignment vertical="center"/>
    </xf>
    <xf numFmtId="0" fontId="96" fillId="10" borderId="6" xfId="49" applyFont="1" applyFill="1" applyBorder="1" applyAlignment="1">
      <alignment horizontal="right" vertical="center"/>
    </xf>
    <xf numFmtId="0" fontId="97" fillId="14" borderId="6" xfId="161" quotePrefix="1" applyFont="1" applyFill="1" applyBorder="1">
      <alignment vertical="center"/>
    </xf>
    <xf numFmtId="0" fontId="97" fillId="14" borderId="0" xfId="161" applyFont="1" applyFill="1">
      <alignment vertical="center"/>
    </xf>
    <xf numFmtId="0" fontId="97" fillId="14" borderId="11" xfId="161" applyFont="1" applyFill="1" applyBorder="1">
      <alignment vertical="center"/>
    </xf>
    <xf numFmtId="0" fontId="97" fillId="0" borderId="0" xfId="161" applyFont="1">
      <alignment vertical="center"/>
    </xf>
    <xf numFmtId="0" fontId="97" fillId="0" borderId="0" xfId="161" quotePrefix="1" applyFont="1">
      <alignment vertical="center"/>
    </xf>
    <xf numFmtId="0" fontId="97" fillId="0" borderId="0" xfId="161" applyFont="1" applyAlignment="1">
      <alignment horizontal="center" vertical="center"/>
    </xf>
    <xf numFmtId="0" fontId="97" fillId="0" borderId="0" xfId="0" applyFont="1">
      <alignment vertical="center"/>
    </xf>
    <xf numFmtId="0" fontId="95" fillId="14" borderId="6" xfId="161" quotePrefix="1" applyFont="1" applyFill="1" applyBorder="1">
      <alignment vertical="center"/>
    </xf>
    <xf numFmtId="0" fontId="97" fillId="0" borderId="0" xfId="161" quotePrefix="1" applyFont="1" applyAlignment="1">
      <alignment horizontal="left" vertical="center"/>
    </xf>
    <xf numFmtId="0" fontId="97" fillId="0" borderId="0" xfId="161" applyFont="1" applyAlignment="1">
      <alignment horizontal="left" vertical="center"/>
    </xf>
    <xf numFmtId="0" fontId="96" fillId="10" borderId="16" xfId="46" applyFont="1" applyFill="1" applyBorder="1" applyAlignment="1">
      <alignment horizontal="center"/>
    </xf>
    <xf numFmtId="0" fontId="96" fillId="10" borderId="9" xfId="46" applyFont="1" applyFill="1" applyBorder="1" applyAlignment="1">
      <alignment horizontal="center"/>
    </xf>
    <xf numFmtId="0" fontId="97" fillId="14" borderId="0" xfId="0" applyFont="1" applyFill="1" applyAlignment="1">
      <alignment vertical="center" wrapText="1"/>
    </xf>
    <xf numFmtId="0" fontId="96" fillId="10" borderId="7" xfId="49" applyFont="1" applyFill="1" applyBorder="1" applyAlignment="1">
      <alignment horizontal="right" vertical="center"/>
    </xf>
    <xf numFmtId="0" fontId="96" fillId="10" borderId="21" xfId="46" applyFont="1" applyFill="1" applyBorder="1" applyAlignment="1">
      <alignment horizontal="center"/>
    </xf>
    <xf numFmtId="0" fontId="96" fillId="10" borderId="22" xfId="46" applyFont="1" applyFill="1" applyBorder="1" applyAlignment="1">
      <alignment horizontal="center"/>
    </xf>
    <xf numFmtId="0" fontId="98" fillId="14" borderId="0" xfId="0" applyFont="1" applyFill="1" applyAlignment="1">
      <alignment vertical="center" wrapText="1"/>
    </xf>
    <xf numFmtId="0" fontId="101" fillId="0" borderId="52" xfId="161" quotePrefix="1" applyFont="1" applyBorder="1">
      <alignment vertical="center"/>
    </xf>
    <xf numFmtId="0" fontId="96" fillId="0" borderId="52" xfId="161" applyFont="1" applyBorder="1">
      <alignment vertical="center"/>
    </xf>
    <xf numFmtId="0" fontId="97" fillId="0" borderId="52" xfId="161" applyFont="1" applyBorder="1">
      <alignment vertical="center"/>
    </xf>
    <xf numFmtId="0" fontId="97" fillId="0" borderId="52" xfId="161" quotePrefix="1" applyFont="1" applyBorder="1">
      <alignment vertical="center"/>
    </xf>
    <xf numFmtId="0" fontId="97" fillId="0" borderId="52" xfId="161" applyFont="1" applyBorder="1" applyAlignment="1">
      <alignment horizontal="center" vertical="center"/>
    </xf>
    <xf numFmtId="0" fontId="97" fillId="0" borderId="52" xfId="0" applyFont="1" applyBorder="1">
      <alignment vertical="center"/>
    </xf>
    <xf numFmtId="0" fontId="97" fillId="0" borderId="52" xfId="0" applyFont="1" applyBorder="1" applyAlignment="1">
      <alignment vertical="center" wrapText="1"/>
    </xf>
    <xf numFmtId="0" fontId="96" fillId="0" borderId="0" xfId="161" applyFont="1">
      <alignment vertical="center"/>
    </xf>
    <xf numFmtId="0" fontId="96" fillId="0" borderId="6" xfId="161" quotePrefix="1" applyFont="1" applyBorder="1">
      <alignment vertical="center"/>
    </xf>
    <xf numFmtId="0" fontId="96" fillId="0" borderId="0" xfId="161" quotePrefix="1" applyFont="1">
      <alignment vertical="center"/>
    </xf>
    <xf numFmtId="0" fontId="96" fillId="0" borderId="0" xfId="0" applyFont="1">
      <alignment vertical="center"/>
    </xf>
    <xf numFmtId="0" fontId="96" fillId="0" borderId="11" xfId="161" applyFont="1" applyBorder="1">
      <alignment vertical="center"/>
    </xf>
    <xf numFmtId="0" fontId="100" fillId="0" borderId="0" xfId="161" applyFont="1">
      <alignment vertical="center"/>
    </xf>
    <xf numFmtId="0" fontId="96" fillId="0" borderId="0" xfId="161" applyFont="1" applyAlignment="1">
      <alignment horizontal="center" vertical="center"/>
    </xf>
    <xf numFmtId="0" fontId="102" fillId="0" borderId="0" xfId="0" applyFont="1">
      <alignment vertical="center"/>
    </xf>
    <xf numFmtId="0" fontId="96" fillId="0" borderId="0" xfId="0" applyFont="1" applyAlignment="1">
      <alignment vertical="center" wrapText="1"/>
    </xf>
    <xf numFmtId="0" fontId="96" fillId="0" borderId="6" xfId="161" applyFont="1" applyBorder="1">
      <alignment vertical="center"/>
    </xf>
    <xf numFmtId="0" fontId="96" fillId="0" borderId="0" xfId="161" quotePrefix="1" applyFont="1" applyAlignment="1">
      <alignment horizontal="center" vertical="center"/>
    </xf>
    <xf numFmtId="0" fontId="99" fillId="0" borderId="0" xfId="0" applyFont="1">
      <alignment vertical="center"/>
    </xf>
    <xf numFmtId="0" fontId="96" fillId="0" borderId="0" xfId="0" applyFont="1" applyAlignment="1">
      <alignment horizontal="left" vertical="center"/>
    </xf>
    <xf numFmtId="0" fontId="96" fillId="0" borderId="14" xfId="161" applyFont="1" applyBorder="1">
      <alignment vertical="center"/>
    </xf>
    <xf numFmtId="0" fontId="103" fillId="14" borderId="0" xfId="0" applyFont="1" applyFill="1">
      <alignment vertical="center"/>
    </xf>
    <xf numFmtId="0" fontId="103" fillId="14" borderId="0" xfId="161" applyFont="1" applyFill="1">
      <alignment vertical="center"/>
    </xf>
    <xf numFmtId="0" fontId="103" fillId="14" borderId="0" xfId="0" applyFont="1" applyFill="1" applyAlignment="1">
      <alignment horizontal="left" vertical="center"/>
    </xf>
    <xf numFmtId="0" fontId="103" fillId="14" borderId="0" xfId="161" applyFont="1" applyFill="1" applyAlignment="1">
      <alignment horizontal="left" vertical="center"/>
    </xf>
    <xf numFmtId="0" fontId="103" fillId="14" borderId="0" xfId="161" applyFont="1" applyFill="1" applyAlignment="1">
      <alignment horizontal="center" vertical="center"/>
    </xf>
    <xf numFmtId="0" fontId="103" fillId="14" borderId="0" xfId="0" applyFont="1" applyFill="1" applyAlignment="1">
      <alignment horizontal="center" vertical="center"/>
    </xf>
    <xf numFmtId="0" fontId="103" fillId="19" borderId="0" xfId="0" applyFont="1" applyFill="1">
      <alignment vertical="center"/>
    </xf>
    <xf numFmtId="0" fontId="103" fillId="19" borderId="0" xfId="161" applyFont="1" applyFill="1">
      <alignment vertical="center"/>
    </xf>
    <xf numFmtId="0" fontId="103" fillId="19" borderId="0" xfId="161" applyFont="1" applyFill="1" applyAlignment="1">
      <alignment horizontal="center" vertical="center"/>
    </xf>
    <xf numFmtId="0" fontId="103" fillId="19" borderId="0" xfId="161" applyFont="1" applyFill="1" applyAlignment="1">
      <alignment horizontal="left" vertical="center"/>
    </xf>
    <xf numFmtId="0" fontId="96" fillId="19" borderId="6" xfId="161" quotePrefix="1" applyFont="1" applyFill="1" applyBorder="1">
      <alignment vertical="center"/>
    </xf>
    <xf numFmtId="0" fontId="99" fillId="19" borderId="0" xfId="0" applyFont="1" applyFill="1">
      <alignment vertical="center"/>
    </xf>
    <xf numFmtId="0" fontId="96" fillId="19" borderId="0" xfId="0" applyFont="1" applyFill="1">
      <alignment vertical="center"/>
    </xf>
    <xf numFmtId="0" fontId="103" fillId="19" borderId="0" xfId="0" applyFont="1" applyFill="1" applyAlignment="1">
      <alignment horizontal="center" vertical="center"/>
    </xf>
    <xf numFmtId="0" fontId="96" fillId="19" borderId="11" xfId="161" applyFont="1" applyFill="1" applyBorder="1">
      <alignment vertical="center"/>
    </xf>
    <xf numFmtId="0" fontId="96" fillId="19" borderId="0" xfId="161" quotePrefix="1" applyFont="1" applyFill="1">
      <alignment vertical="center"/>
    </xf>
    <xf numFmtId="0" fontId="74" fillId="14" borderId="0" xfId="0" applyFont="1" applyFill="1">
      <alignment vertical="center"/>
    </xf>
    <xf numFmtId="0" fontId="108" fillId="14" borderId="0" xfId="0" applyFont="1" applyFill="1">
      <alignment vertical="center"/>
    </xf>
    <xf numFmtId="0" fontId="99" fillId="31" borderId="0" xfId="0" applyFont="1" applyFill="1" applyAlignment="1">
      <alignment horizontal="left" vertical="center"/>
    </xf>
    <xf numFmtId="0" fontId="99" fillId="14" borderId="0" xfId="0" applyFont="1" applyFill="1">
      <alignment vertical="center"/>
    </xf>
    <xf numFmtId="0" fontId="96" fillId="0" borderId="8" xfId="161" applyFont="1" applyBorder="1">
      <alignment vertical="center"/>
    </xf>
    <xf numFmtId="0" fontId="100" fillId="0" borderId="8" xfId="0" applyFont="1" applyBorder="1">
      <alignment vertical="center"/>
    </xf>
    <xf numFmtId="0" fontId="100" fillId="0" borderId="8" xfId="0" applyFont="1" applyBorder="1" applyAlignment="1">
      <alignment vertical="center" wrapText="1"/>
    </xf>
    <xf numFmtId="0" fontId="96" fillId="0" borderId="12" xfId="161" applyFont="1" applyBorder="1">
      <alignment vertical="center"/>
    </xf>
    <xf numFmtId="0" fontId="96" fillId="10" borderId="53" xfId="46" applyFont="1" applyFill="1" applyBorder="1" applyAlignment="1">
      <alignment horizontal="center"/>
    </xf>
    <xf numFmtId="0" fontId="100" fillId="31" borderId="0" xfId="185" applyFont="1" applyFill="1">
      <alignment vertical="center"/>
    </xf>
    <xf numFmtId="0" fontId="100" fillId="14" borderId="0" xfId="185" applyFont="1" applyFill="1">
      <alignment vertical="center"/>
    </xf>
    <xf numFmtId="0" fontId="100" fillId="0" borderId="0" xfId="185" applyFont="1">
      <alignment vertical="center"/>
    </xf>
    <xf numFmtId="0" fontId="96" fillId="0" borderId="55" xfId="185" applyFont="1" applyBorder="1" applyAlignment="1" applyProtection="1">
      <alignment vertical="center" wrapText="1"/>
      <protection locked="0"/>
    </xf>
    <xf numFmtId="0" fontId="96" fillId="0" borderId="56" xfId="185" applyFont="1" applyBorder="1" applyAlignment="1" applyProtection="1">
      <alignment vertical="center" wrapText="1"/>
      <protection locked="0"/>
    </xf>
    <xf numFmtId="0" fontId="96" fillId="0" borderId="57" xfId="185" applyFont="1" applyBorder="1" applyAlignment="1" applyProtection="1">
      <alignment vertical="center" wrapText="1"/>
      <protection locked="0"/>
    </xf>
    <xf numFmtId="0" fontId="96" fillId="0" borderId="2" xfId="185" applyFont="1" applyBorder="1" applyAlignment="1">
      <alignment horizontal="left" vertical="center" wrapText="1"/>
    </xf>
    <xf numFmtId="0" fontId="96" fillId="0" borderId="54" xfId="185" applyFont="1" applyBorder="1" applyAlignment="1">
      <alignment horizontal="left" vertical="center" wrapText="1"/>
    </xf>
    <xf numFmtId="0" fontId="96" fillId="0" borderId="10" xfId="185" applyFont="1" applyBorder="1" applyAlignment="1">
      <alignment horizontal="left" vertical="center" wrapText="1"/>
    </xf>
    <xf numFmtId="0" fontId="96" fillId="0" borderId="17" xfId="185" applyFont="1" applyBorder="1" applyAlignment="1">
      <alignment horizontal="left" vertical="center" wrapText="1"/>
    </xf>
    <xf numFmtId="0" fontId="102" fillId="0" borderId="59" xfId="185" applyFont="1" applyBorder="1" applyAlignment="1">
      <alignment horizontal="left" vertical="center"/>
    </xf>
    <xf numFmtId="0" fontId="102" fillId="0" borderId="60" xfId="185" applyFont="1" applyBorder="1" applyAlignment="1">
      <alignment horizontal="left" vertical="center"/>
    </xf>
    <xf numFmtId="0" fontId="96" fillId="0" borderId="60" xfId="185" applyFont="1" applyBorder="1" applyAlignment="1">
      <alignment horizontal="left" vertical="center"/>
    </xf>
    <xf numFmtId="0" fontId="100" fillId="0" borderId="60" xfId="185" applyFont="1" applyBorder="1">
      <alignment vertical="center"/>
    </xf>
    <xf numFmtId="0" fontId="100" fillId="0" borderId="61" xfId="185" applyFont="1" applyBorder="1">
      <alignment vertical="center"/>
    </xf>
    <xf numFmtId="0" fontId="109" fillId="0" borderId="10" xfId="185" applyFont="1" applyBorder="1" applyProtection="1">
      <alignment vertical="center"/>
      <protection locked="0"/>
    </xf>
    <xf numFmtId="0" fontId="96" fillId="0" borderId="59" xfId="185" applyFont="1" applyBorder="1" applyAlignment="1">
      <alignment horizontal="left" vertical="center"/>
    </xf>
    <xf numFmtId="0" fontId="100" fillId="0" borderId="10" xfId="185" applyFont="1" applyBorder="1" applyProtection="1">
      <alignment vertical="center"/>
      <protection locked="0"/>
    </xf>
    <xf numFmtId="0" fontId="102" fillId="14" borderId="0" xfId="185" applyFont="1" applyFill="1">
      <alignment vertical="center"/>
    </xf>
    <xf numFmtId="0" fontId="110" fillId="14" borderId="0" xfId="185" applyFont="1" applyFill="1">
      <alignment vertical="center"/>
    </xf>
    <xf numFmtId="0" fontId="100" fillId="14" borderId="0" xfId="185" applyFont="1" applyFill="1" applyAlignment="1">
      <alignment vertical="center" wrapText="1"/>
    </xf>
    <xf numFmtId="0" fontId="99" fillId="14" borderId="0" xfId="185" applyFont="1" applyFill="1" applyAlignment="1">
      <alignment vertical="center" wrapText="1"/>
    </xf>
    <xf numFmtId="0" fontId="96" fillId="14" borderId="0" xfId="185" applyFont="1" applyFill="1" applyAlignment="1">
      <alignment vertical="center" wrapText="1"/>
    </xf>
    <xf numFmtId="0" fontId="97" fillId="0" borderId="70" xfId="161" applyFont="1" applyBorder="1" applyAlignment="1">
      <alignment horizontal="center" vertical="center"/>
    </xf>
    <xf numFmtId="0" fontId="97" fillId="0" borderId="70" xfId="161" applyFont="1" applyBorder="1">
      <alignment vertical="center"/>
    </xf>
    <xf numFmtId="0" fontId="97" fillId="0" borderId="70" xfId="0" applyFont="1" applyBorder="1">
      <alignment vertical="center"/>
    </xf>
    <xf numFmtId="0" fontId="97" fillId="14" borderId="70" xfId="161" applyFont="1" applyFill="1" applyBorder="1">
      <alignment vertical="center"/>
    </xf>
    <xf numFmtId="0" fontId="97" fillId="14" borderId="69" xfId="161" applyFont="1" applyFill="1" applyBorder="1">
      <alignment vertical="center"/>
    </xf>
    <xf numFmtId="0" fontId="96" fillId="0" borderId="71" xfId="161" applyFont="1" applyBorder="1">
      <alignment vertical="center"/>
    </xf>
    <xf numFmtId="0" fontId="96" fillId="0" borderId="7" xfId="161" applyFont="1" applyBorder="1">
      <alignment vertical="center"/>
    </xf>
    <xf numFmtId="0" fontId="96" fillId="0" borderId="65" xfId="0" applyFont="1" applyBorder="1">
      <alignment vertical="center"/>
    </xf>
    <xf numFmtId="0" fontId="96" fillId="0" borderId="65" xfId="0" applyFont="1" applyBorder="1" applyAlignment="1">
      <alignment vertical="center" wrapText="1"/>
    </xf>
    <xf numFmtId="0" fontId="106" fillId="14" borderId="65" xfId="0" applyFont="1" applyFill="1" applyBorder="1">
      <alignment vertical="center"/>
    </xf>
    <xf numFmtId="0" fontId="96" fillId="0" borderId="65" xfId="161" applyFont="1" applyBorder="1">
      <alignment vertical="center"/>
    </xf>
    <xf numFmtId="0" fontId="112" fillId="0" borderId="0" xfId="0" applyFont="1">
      <alignment vertical="center"/>
    </xf>
    <xf numFmtId="0" fontId="96" fillId="36" borderId="0" xfId="161" quotePrefix="1" applyFont="1" applyFill="1">
      <alignment vertical="center"/>
    </xf>
    <xf numFmtId="0" fontId="96" fillId="36" borderId="0" xfId="0" applyFont="1" applyFill="1">
      <alignment vertical="center"/>
    </xf>
    <xf numFmtId="0" fontId="103" fillId="36" borderId="0" xfId="0" applyFont="1" applyFill="1">
      <alignment vertical="center"/>
    </xf>
    <xf numFmtId="0" fontId="103" fillId="36" borderId="0" xfId="161" applyFont="1" applyFill="1" applyAlignment="1">
      <alignment horizontal="left" vertical="center"/>
    </xf>
    <xf numFmtId="0" fontId="103" fillId="36" borderId="0" xfId="161" applyFont="1" applyFill="1" applyAlignment="1">
      <alignment horizontal="center" vertical="center"/>
    </xf>
    <xf numFmtId="0" fontId="103" fillId="36" borderId="0" xfId="0" applyFont="1" applyFill="1" applyAlignment="1">
      <alignment horizontal="centerContinuous" vertical="center"/>
    </xf>
    <xf numFmtId="0" fontId="113" fillId="36" borderId="0" xfId="0" applyFont="1" applyFill="1" applyAlignment="1">
      <alignment horizontal="centerContinuous" vertical="center"/>
    </xf>
    <xf numFmtId="185" fontId="103" fillId="36" borderId="0" xfId="161" quotePrefix="1" applyNumberFormat="1" applyFont="1" applyFill="1">
      <alignment vertical="center"/>
    </xf>
    <xf numFmtId="0" fontId="96" fillId="0" borderId="12" xfId="161" quotePrefix="1" applyFont="1" applyBorder="1">
      <alignment vertical="center"/>
    </xf>
    <xf numFmtId="0" fontId="96" fillId="0" borderId="12" xfId="161" quotePrefix="1" applyFont="1" applyBorder="1" applyAlignment="1">
      <alignment horizontal="center" vertical="center"/>
    </xf>
    <xf numFmtId="0" fontId="99" fillId="0" borderId="12" xfId="0" applyFont="1" applyBorder="1">
      <alignment vertical="center"/>
    </xf>
    <xf numFmtId="0" fontId="96" fillId="0" borderId="12" xfId="0" applyFont="1" applyBorder="1">
      <alignment vertical="center"/>
    </xf>
    <xf numFmtId="0" fontId="103" fillId="14" borderId="12" xfId="0" applyFont="1" applyFill="1" applyBorder="1">
      <alignment vertical="center"/>
    </xf>
    <xf numFmtId="0" fontId="103" fillId="14" borderId="12" xfId="161" applyFont="1" applyFill="1" applyBorder="1" applyAlignment="1">
      <alignment horizontal="left" vertical="center"/>
    </xf>
    <xf numFmtId="0" fontId="103" fillId="14" borderId="12" xfId="161" applyFont="1" applyFill="1" applyBorder="1" applyAlignment="1">
      <alignment horizontal="center" vertical="center"/>
    </xf>
    <xf numFmtId="0" fontId="103" fillId="14" borderId="12" xfId="161" applyFont="1" applyFill="1" applyBorder="1">
      <alignment vertical="center"/>
    </xf>
    <xf numFmtId="0" fontId="103" fillId="14" borderId="12" xfId="0" applyFont="1" applyFill="1" applyBorder="1" applyAlignment="1">
      <alignment horizontal="center" vertical="center"/>
    </xf>
    <xf numFmtId="0" fontId="96" fillId="0" borderId="8" xfId="161" quotePrefix="1" applyFont="1" applyBorder="1">
      <alignment vertical="center"/>
    </xf>
    <xf numFmtId="0" fontId="96" fillId="0" borderId="8" xfId="161" quotePrefix="1" applyFont="1" applyBorder="1" applyAlignment="1">
      <alignment horizontal="center" vertical="center"/>
    </xf>
    <xf numFmtId="0" fontId="99" fillId="0" borderId="8" xfId="0" applyFont="1" applyBorder="1">
      <alignment vertical="center"/>
    </xf>
    <xf numFmtId="0" fontId="96" fillId="0" borderId="8" xfId="0" applyFont="1" applyBorder="1">
      <alignment vertical="center"/>
    </xf>
    <xf numFmtId="0" fontId="103" fillId="14" borderId="8" xfId="0" applyFont="1" applyFill="1" applyBorder="1">
      <alignment vertical="center"/>
    </xf>
    <xf numFmtId="185" fontId="103" fillId="14" borderId="8" xfId="161" quotePrefix="1" applyNumberFormat="1" applyFont="1" applyFill="1" applyBorder="1">
      <alignment vertical="center"/>
    </xf>
    <xf numFmtId="0" fontId="103" fillId="14" borderId="8" xfId="161" applyFont="1" applyFill="1" applyBorder="1" applyAlignment="1">
      <alignment horizontal="left" vertical="center"/>
    </xf>
    <xf numFmtId="0" fontId="103" fillId="14" borderId="8" xfId="161" applyFont="1" applyFill="1" applyBorder="1" applyAlignment="1">
      <alignment horizontal="center" vertical="center"/>
    </xf>
    <xf numFmtId="0" fontId="103" fillId="14" borderId="8" xfId="161" applyFont="1" applyFill="1" applyBorder="1">
      <alignment vertical="center"/>
    </xf>
    <xf numFmtId="0" fontId="103" fillId="14" borderId="8" xfId="0" applyFont="1" applyFill="1" applyBorder="1" applyAlignment="1">
      <alignment horizontal="center" vertical="center"/>
    </xf>
    <xf numFmtId="0" fontId="101" fillId="0" borderId="52" xfId="161" quotePrefix="1" applyFont="1" applyBorder="1" applyAlignment="1">
      <alignment horizontal="center" vertical="center"/>
    </xf>
    <xf numFmtId="185" fontId="103" fillId="14" borderId="0" xfId="161" quotePrefix="1" applyNumberFormat="1" applyFont="1" applyFill="1">
      <alignment vertical="center"/>
    </xf>
    <xf numFmtId="0" fontId="109" fillId="0" borderId="0" xfId="186" applyFont="1">
      <alignment vertical="center"/>
    </xf>
    <xf numFmtId="0" fontId="100" fillId="0" borderId="11" xfId="186" applyFont="1" applyBorder="1">
      <alignment vertical="center"/>
    </xf>
    <xf numFmtId="0" fontId="100" fillId="0" borderId="0" xfId="186" applyFont="1">
      <alignment vertical="center"/>
    </xf>
    <xf numFmtId="0" fontId="100" fillId="0" borderId="15" xfId="186" applyFont="1" applyBorder="1">
      <alignment vertical="center"/>
    </xf>
    <xf numFmtId="0" fontId="100" fillId="0" borderId="12" xfId="186" applyFont="1" applyBorder="1">
      <alignment vertical="center"/>
    </xf>
    <xf numFmtId="0" fontId="100" fillId="0" borderId="13" xfId="186" applyFont="1" applyBorder="1">
      <alignment vertical="center"/>
    </xf>
    <xf numFmtId="0" fontId="100" fillId="0" borderId="6" xfId="186" applyFont="1" applyBorder="1">
      <alignment vertical="center"/>
    </xf>
    <xf numFmtId="0" fontId="109" fillId="0" borderId="0" xfId="187" applyFont="1">
      <alignment vertical="center"/>
    </xf>
    <xf numFmtId="0" fontId="100" fillId="0" borderId="0" xfId="187" applyFont="1">
      <alignment vertical="center"/>
    </xf>
    <xf numFmtId="0" fontId="100" fillId="14" borderId="0" xfId="186" applyFont="1" applyFill="1" applyAlignment="1">
      <alignment horizontal="left" vertical="center"/>
    </xf>
    <xf numFmtId="0" fontId="100" fillId="14" borderId="0" xfId="187" applyFont="1" applyFill="1">
      <alignment vertical="center"/>
    </xf>
    <xf numFmtId="0" fontId="100" fillId="34" borderId="3" xfId="186" applyFont="1" applyFill="1" applyBorder="1" applyAlignment="1">
      <alignment vertical="center" shrinkToFit="1"/>
    </xf>
    <xf numFmtId="0" fontId="100" fillId="0" borderId="3" xfId="186" applyFont="1" applyBorder="1" applyAlignment="1">
      <alignment vertical="center" shrinkToFit="1"/>
    </xf>
    <xf numFmtId="0" fontId="119" fillId="0" borderId="0" xfId="186" applyFont="1" applyAlignment="1">
      <alignment horizontal="left" vertical="center"/>
    </xf>
    <xf numFmtId="0" fontId="120" fillId="0" borderId="0" xfId="186" applyFont="1" applyAlignment="1">
      <alignment horizontal="left" vertical="center"/>
    </xf>
    <xf numFmtId="0" fontId="100" fillId="0" borderId="0" xfId="186" applyFont="1" applyAlignment="1">
      <alignment vertical="center" shrinkToFit="1"/>
    </xf>
    <xf numFmtId="0" fontId="100" fillId="0" borderId="0" xfId="186" applyFont="1" applyAlignment="1">
      <alignment horizontal="left" vertical="center"/>
    </xf>
    <xf numFmtId="0" fontId="121" fillId="0" borderId="0" xfId="186" applyFont="1">
      <alignment vertical="center"/>
    </xf>
    <xf numFmtId="0" fontId="100" fillId="0" borderId="7" xfId="186" applyFont="1" applyBorder="1">
      <alignment vertical="center"/>
    </xf>
    <xf numFmtId="0" fontId="100" fillId="0" borderId="8" xfId="186" applyFont="1" applyBorder="1">
      <alignment vertical="center"/>
    </xf>
    <xf numFmtId="0" fontId="100" fillId="0" borderId="14" xfId="186" applyFont="1" applyBorder="1">
      <alignment vertical="center"/>
    </xf>
    <xf numFmtId="0" fontId="100" fillId="31" borderId="0" xfId="184" applyFont="1" applyFill="1">
      <alignment vertical="center"/>
    </xf>
    <xf numFmtId="0" fontId="96" fillId="0" borderId="58" xfId="184" applyFont="1" applyBorder="1" applyAlignment="1">
      <alignment horizontal="left" vertical="center" wrapText="1"/>
    </xf>
    <xf numFmtId="0" fontId="96" fillId="0" borderId="2" xfId="184" applyFont="1" applyBorder="1" applyAlignment="1">
      <alignment horizontal="left" vertical="center" wrapText="1"/>
    </xf>
    <xf numFmtId="0" fontId="100" fillId="0" borderId="0" xfId="184" applyFont="1">
      <alignment vertical="center"/>
    </xf>
    <xf numFmtId="0" fontId="102" fillId="14" borderId="0" xfId="184" applyFont="1" applyFill="1">
      <alignment vertical="center"/>
    </xf>
    <xf numFmtId="0" fontId="110" fillId="14" borderId="0" xfId="184" applyFont="1" applyFill="1">
      <alignment vertical="center"/>
    </xf>
    <xf numFmtId="0" fontId="100" fillId="14" borderId="0" xfId="184" applyFont="1" applyFill="1" applyAlignment="1">
      <alignment vertical="center" wrapText="1"/>
    </xf>
    <xf numFmtId="0" fontId="99" fillId="14" borderId="0" xfId="184" applyFont="1" applyFill="1" applyAlignment="1">
      <alignment vertical="center" wrapText="1"/>
    </xf>
    <xf numFmtId="0" fontId="99" fillId="0" borderId="62" xfId="0" applyFont="1" applyBorder="1">
      <alignment vertical="center"/>
    </xf>
    <xf numFmtId="0" fontId="99" fillId="0" borderId="63" xfId="0" applyFont="1" applyBorder="1">
      <alignment vertical="center"/>
    </xf>
    <xf numFmtId="0" fontId="99" fillId="31" borderId="63" xfId="0" applyFont="1" applyFill="1" applyBorder="1" applyAlignment="1">
      <alignment horizontal="left" vertical="center"/>
    </xf>
    <xf numFmtId="0" fontId="108" fillId="14" borderId="63" xfId="0" applyFont="1" applyFill="1" applyBorder="1">
      <alignment vertical="center"/>
    </xf>
    <xf numFmtId="0" fontId="108" fillId="14" borderId="64" xfId="0" applyFont="1" applyFill="1" applyBorder="1">
      <alignment vertical="center"/>
    </xf>
    <xf numFmtId="0" fontId="99" fillId="31" borderId="6" xfId="0" applyFont="1" applyFill="1" applyBorder="1" applyAlignment="1">
      <alignment horizontal="left" vertical="center"/>
    </xf>
    <xf numFmtId="0" fontId="108" fillId="14" borderId="11" xfId="0" applyFont="1" applyFill="1" applyBorder="1">
      <alignment vertical="center"/>
    </xf>
    <xf numFmtId="0" fontId="99" fillId="0" borderId="6" xfId="0" applyFont="1" applyBorder="1">
      <alignment vertical="center"/>
    </xf>
    <xf numFmtId="0" fontId="99" fillId="31" borderId="0" xfId="0" applyFont="1" applyFill="1">
      <alignment vertical="center"/>
    </xf>
    <xf numFmtId="0" fontId="108" fillId="14" borderId="6" xfId="0" applyFont="1" applyFill="1" applyBorder="1">
      <alignment vertical="center"/>
    </xf>
    <xf numFmtId="0" fontId="99" fillId="14" borderId="85" xfId="0" applyFont="1" applyFill="1" applyBorder="1">
      <alignment vertical="center"/>
    </xf>
    <xf numFmtId="0" fontId="99" fillId="0" borderId="65" xfId="0" applyFont="1" applyBorder="1">
      <alignment vertical="center"/>
    </xf>
    <xf numFmtId="0" fontId="108" fillId="14" borderId="65" xfId="0" applyFont="1" applyFill="1" applyBorder="1">
      <alignment vertical="center"/>
    </xf>
    <xf numFmtId="0" fontId="108" fillId="14" borderId="66" xfId="0" applyFont="1" applyFill="1" applyBorder="1">
      <alignment vertical="center"/>
    </xf>
    <xf numFmtId="14" fontId="82" fillId="14" borderId="0" xfId="48" applyNumberFormat="1" applyFont="1" applyFill="1" applyAlignment="1">
      <alignment horizontal="center" vertical="center"/>
    </xf>
    <xf numFmtId="0" fontId="82" fillId="14" borderId="0" xfId="48" applyFont="1" applyFill="1" applyAlignment="1">
      <alignment horizontal="center" vertical="center"/>
    </xf>
    <xf numFmtId="0" fontId="20" fillId="0" borderId="0" xfId="48" applyFont="1" applyAlignment="1">
      <alignment horizontal="center" vertical="center" wrapText="1"/>
    </xf>
    <xf numFmtId="0" fontId="16" fillId="0" borderId="3" xfId="48" applyFont="1" applyBorder="1" applyAlignment="1">
      <alignment horizontal="center"/>
    </xf>
    <xf numFmtId="0" fontId="16" fillId="14" borderId="0" xfId="48" applyFont="1" applyFill="1" applyAlignment="1">
      <alignment horizontal="center"/>
    </xf>
    <xf numFmtId="0" fontId="20" fillId="0" borderId="0" xfId="48" applyFont="1" applyAlignment="1">
      <alignment horizontal="center" vertical="center"/>
    </xf>
    <xf numFmtId="14" fontId="53" fillId="0" borderId="3" xfId="0" applyNumberFormat="1" applyFont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53" fillId="0" borderId="3" xfId="0" applyFont="1" applyBorder="1">
      <alignment vertical="center"/>
    </xf>
    <xf numFmtId="0" fontId="53" fillId="0" borderId="3" xfId="0" applyFont="1" applyBorder="1" applyAlignment="1">
      <alignment vertical="center" wrapText="1"/>
    </xf>
    <xf numFmtId="0" fontId="53" fillId="0" borderId="23" xfId="0" applyFont="1" applyBorder="1">
      <alignment vertical="center"/>
    </xf>
    <xf numFmtId="0" fontId="0" fillId="0" borderId="3" xfId="0" applyBorder="1">
      <alignment vertical="center"/>
    </xf>
    <xf numFmtId="14" fontId="20" fillId="0" borderId="3" xfId="50" applyNumberFormat="1" applyFont="1" applyBorder="1" applyAlignment="1">
      <alignment horizontal="center" vertical="center"/>
    </xf>
    <xf numFmtId="0" fontId="20" fillId="0" borderId="3" xfId="50" applyFont="1" applyBorder="1" applyAlignment="1">
      <alignment horizontal="center" vertical="center"/>
    </xf>
    <xf numFmtId="14" fontId="20" fillId="0" borderId="10" xfId="50" applyNumberFormat="1" applyFont="1" applyBorder="1" applyAlignment="1">
      <alignment horizontal="center" vertical="center"/>
    </xf>
    <xf numFmtId="14" fontId="20" fillId="0" borderId="2" xfId="50" applyNumberFormat="1" applyFont="1" applyBorder="1" applyAlignment="1">
      <alignment horizontal="center" vertical="center"/>
    </xf>
    <xf numFmtId="14" fontId="20" fillId="0" borderId="17" xfId="50" applyNumberFormat="1" applyFont="1" applyBorder="1" applyAlignment="1">
      <alignment horizontal="center" vertical="center"/>
    </xf>
    <xf numFmtId="14" fontId="53" fillId="0" borderId="23" xfId="0" applyNumberFormat="1" applyFont="1" applyBorder="1" applyAlignment="1">
      <alignment horizontal="center" vertical="center"/>
    </xf>
    <xf numFmtId="0" fontId="53" fillId="0" borderId="23" xfId="0" applyFont="1" applyBorder="1" applyAlignment="1">
      <alignment horizontal="center" vertical="center"/>
    </xf>
    <xf numFmtId="0" fontId="53" fillId="0" borderId="10" xfId="0" applyFont="1" applyBorder="1" applyAlignment="1">
      <alignment vertical="center" wrapText="1"/>
    </xf>
    <xf numFmtId="0" fontId="53" fillId="0" borderId="2" xfId="0" applyFont="1" applyBorder="1">
      <alignment vertical="center"/>
    </xf>
    <xf numFmtId="0" fontId="53" fillId="0" borderId="17" xfId="0" applyFont="1" applyBorder="1">
      <alignment vertical="center"/>
    </xf>
    <xf numFmtId="0" fontId="53" fillId="0" borderId="15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9" fillId="12" borderId="10" xfId="48" applyFont="1" applyFill="1" applyBorder="1" applyAlignment="1">
      <alignment horizontal="left" vertical="center"/>
    </xf>
    <xf numFmtId="0" fontId="19" fillId="12" borderId="2" xfId="48" applyFont="1" applyFill="1" applyBorder="1" applyAlignment="1">
      <alignment horizontal="left" vertical="center"/>
    </xf>
    <xf numFmtId="0" fontId="19" fillId="12" borderId="17" xfId="48" applyFont="1" applyFill="1" applyBorder="1" applyAlignment="1">
      <alignment horizontal="left" vertical="center"/>
    </xf>
    <xf numFmtId="0" fontId="49" fillId="15" borderId="24" xfId="48" applyFont="1" applyFill="1" applyBorder="1" applyAlignment="1">
      <alignment vertical="center"/>
    </xf>
    <xf numFmtId="0" fontId="19" fillId="12" borderId="3" xfId="48" applyFont="1" applyFill="1" applyBorder="1" applyAlignment="1">
      <alignment vertical="center"/>
    </xf>
    <xf numFmtId="0" fontId="21" fillId="0" borderId="10" xfId="48" applyFont="1" applyBorder="1" applyAlignment="1">
      <alignment vertical="center"/>
    </xf>
    <xf numFmtId="0" fontId="21" fillId="0" borderId="2" xfId="48" applyFont="1" applyBorder="1" applyAlignment="1">
      <alignment vertical="center"/>
    </xf>
    <xf numFmtId="0" fontId="21" fillId="0" borderId="17" xfId="48" applyFont="1" applyBorder="1" applyAlignment="1">
      <alignment vertical="center"/>
    </xf>
    <xf numFmtId="0" fontId="19" fillId="12" borderId="3" xfId="48" applyFont="1" applyFill="1" applyBorder="1" applyAlignment="1">
      <alignment horizontal="left" vertical="center"/>
    </xf>
    <xf numFmtId="0" fontId="20" fillId="0" borderId="3" xfId="48" applyFont="1" applyBorder="1" applyAlignment="1">
      <alignment horizontal="left" vertical="center"/>
    </xf>
    <xf numFmtId="0" fontId="14" fillId="16" borderId="3" xfId="50" applyFill="1" applyBorder="1" applyAlignment="1">
      <alignment horizontal="left" vertical="center"/>
    </xf>
    <xf numFmtId="14" fontId="20" fillId="0" borderId="3" xfId="48" applyNumberFormat="1" applyFont="1" applyBorder="1" applyAlignment="1">
      <alignment horizontal="center" vertical="center"/>
    </xf>
    <xf numFmtId="0" fontId="53" fillId="14" borderId="15" xfId="0" applyFont="1" applyFill="1" applyBorder="1" applyAlignment="1">
      <alignment vertical="center" wrapText="1"/>
    </xf>
    <xf numFmtId="0" fontId="53" fillId="14" borderId="12" xfId="0" applyFont="1" applyFill="1" applyBorder="1" applyAlignment="1">
      <alignment vertical="center" wrapText="1"/>
    </xf>
    <xf numFmtId="0" fontId="53" fillId="14" borderId="13" xfId="0" applyFont="1" applyFill="1" applyBorder="1" applyAlignment="1">
      <alignment vertical="center" wrapText="1"/>
    </xf>
    <xf numFmtId="0" fontId="53" fillId="14" borderId="7" xfId="0" applyFont="1" applyFill="1" applyBorder="1" applyAlignment="1">
      <alignment vertical="center" wrapText="1"/>
    </xf>
    <xf numFmtId="0" fontId="53" fillId="14" borderId="8" xfId="0" applyFont="1" applyFill="1" applyBorder="1" applyAlignment="1">
      <alignment vertical="center" wrapText="1"/>
    </xf>
    <xf numFmtId="0" fontId="53" fillId="14" borderId="14" xfId="0" applyFont="1" applyFill="1" applyBorder="1" applyAlignment="1">
      <alignment vertical="center" wrapText="1"/>
    </xf>
    <xf numFmtId="0" fontId="19" fillId="15" borderId="25" xfId="48" applyFont="1" applyFill="1" applyBorder="1" applyAlignment="1">
      <alignment vertical="center"/>
    </xf>
    <xf numFmtId="0" fontId="20" fillId="0" borderId="3" xfId="48" applyFont="1" applyBorder="1" applyAlignment="1">
      <alignment vertical="center"/>
    </xf>
    <xf numFmtId="0" fontId="53" fillId="14" borderId="3" xfId="0" applyFont="1" applyFill="1" applyBorder="1">
      <alignment vertical="center"/>
    </xf>
    <xf numFmtId="0" fontId="18" fillId="15" borderId="23" xfId="48" applyFont="1" applyFill="1" applyBorder="1" applyAlignment="1">
      <alignment vertical="center"/>
    </xf>
    <xf numFmtId="0" fontId="55" fillId="17" borderId="8" xfId="0" applyFont="1" applyFill="1" applyBorder="1" applyAlignment="1">
      <alignment horizontal="center" vertical="center"/>
    </xf>
    <xf numFmtId="0" fontId="53" fillId="14" borderId="3" xfId="0" applyFont="1" applyFill="1" applyBorder="1" applyAlignment="1">
      <alignment vertical="center" wrapText="1"/>
    </xf>
    <xf numFmtId="0" fontId="20" fillId="0" borderId="3" xfId="48" applyFont="1" applyBorder="1" applyAlignment="1">
      <alignment horizontal="center" vertical="center"/>
    </xf>
    <xf numFmtId="0" fontId="14" fillId="16" borderId="10" xfId="50" applyFill="1" applyBorder="1" applyAlignment="1">
      <alignment horizontal="center" vertical="center"/>
    </xf>
    <xf numFmtId="0" fontId="14" fillId="16" borderId="17" xfId="50" applyFill="1" applyBorder="1" applyAlignment="1">
      <alignment horizontal="center" vertical="center"/>
    </xf>
    <xf numFmtId="0" fontId="108" fillId="35" borderId="62" xfId="0" applyFont="1" applyFill="1" applyBorder="1" applyAlignment="1">
      <alignment horizontal="center" vertical="center"/>
    </xf>
    <xf numFmtId="0" fontId="108" fillId="35" borderId="63" xfId="0" applyFont="1" applyFill="1" applyBorder="1" applyAlignment="1">
      <alignment horizontal="center" vertical="center"/>
    </xf>
    <xf numFmtId="0" fontId="108" fillId="35" borderId="64" xfId="0" applyFont="1" applyFill="1" applyBorder="1" applyAlignment="1">
      <alignment horizontal="center" vertical="center"/>
    </xf>
    <xf numFmtId="0" fontId="96" fillId="0" borderId="10" xfId="161" applyFont="1" applyBorder="1" applyAlignment="1">
      <alignment horizontal="left" vertical="center"/>
    </xf>
    <xf numFmtId="0" fontId="96" fillId="0" borderId="2" xfId="161" applyFont="1" applyBorder="1" applyAlignment="1">
      <alignment horizontal="left" vertical="center"/>
    </xf>
    <xf numFmtId="0" fontId="96" fillId="0" borderId="17" xfId="161" applyFont="1" applyBorder="1" applyAlignment="1">
      <alignment horizontal="left" vertical="center"/>
    </xf>
    <xf numFmtId="0" fontId="105" fillId="36" borderId="0" xfId="0" applyFont="1" applyFill="1" applyAlignment="1">
      <alignment horizontal="center" vertical="center"/>
    </xf>
    <xf numFmtId="0" fontId="96" fillId="19" borderId="10" xfId="161" applyFont="1" applyFill="1" applyBorder="1" applyAlignment="1">
      <alignment horizontal="left" vertical="center"/>
    </xf>
    <xf numFmtId="0" fontId="96" fillId="19" borderId="2" xfId="161" applyFont="1" applyFill="1" applyBorder="1" applyAlignment="1">
      <alignment horizontal="left" vertical="center"/>
    </xf>
    <xf numFmtId="0" fontId="96" fillId="19" borderId="17" xfId="161" applyFont="1" applyFill="1" applyBorder="1" applyAlignment="1">
      <alignment horizontal="left" vertical="center"/>
    </xf>
    <xf numFmtId="0" fontId="96" fillId="0" borderId="10" xfId="161" applyFont="1" applyBorder="1" applyAlignment="1">
      <alignment horizontal="left" vertical="center" wrapText="1"/>
    </xf>
    <xf numFmtId="0" fontId="96" fillId="0" borderId="2" xfId="161" applyFont="1" applyBorder="1" applyAlignment="1">
      <alignment horizontal="left" vertical="center" wrapText="1"/>
    </xf>
    <xf numFmtId="0" fontId="96" fillId="0" borderId="17" xfId="161" applyFont="1" applyBorder="1" applyAlignment="1">
      <alignment horizontal="left" vertical="center" wrapText="1"/>
    </xf>
    <xf numFmtId="0" fontId="114" fillId="0" borderId="74" xfId="0" applyFont="1" applyBorder="1" applyAlignment="1">
      <alignment horizontal="center" vertical="center"/>
    </xf>
    <xf numFmtId="17" fontId="105" fillId="0" borderId="74" xfId="0" quotePrefix="1" applyNumberFormat="1" applyFont="1" applyBorder="1" applyAlignment="1">
      <alignment horizontal="left" vertical="center"/>
    </xf>
    <xf numFmtId="0" fontId="105" fillId="0" borderId="74" xfId="0" applyFont="1" applyBorder="1" applyAlignment="1">
      <alignment horizontal="left" vertical="center"/>
    </xf>
    <xf numFmtId="0" fontId="103" fillId="14" borderId="73" xfId="0" applyFont="1" applyFill="1" applyBorder="1" applyAlignment="1">
      <alignment horizontal="left" vertical="center"/>
    </xf>
    <xf numFmtId="0" fontId="105" fillId="0" borderId="81" xfId="0" applyFont="1" applyBorder="1" applyAlignment="1">
      <alignment horizontal="left" vertical="center"/>
    </xf>
    <xf numFmtId="0" fontId="105" fillId="0" borderId="76" xfId="0" applyFont="1" applyBorder="1" applyAlignment="1">
      <alignment horizontal="left" vertical="center"/>
    </xf>
    <xf numFmtId="0" fontId="105" fillId="0" borderId="80" xfId="0" applyFont="1" applyBorder="1" applyAlignment="1">
      <alignment horizontal="left" vertical="center"/>
    </xf>
    <xf numFmtId="0" fontId="105" fillId="0" borderId="83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5" fillId="0" borderId="84" xfId="0" applyFont="1" applyBorder="1" applyAlignment="1">
      <alignment horizontal="left" vertical="center"/>
    </xf>
    <xf numFmtId="0" fontId="105" fillId="0" borderId="79" xfId="0" applyFont="1" applyBorder="1" applyAlignment="1">
      <alignment horizontal="left" vertical="center"/>
    </xf>
    <xf numFmtId="0" fontId="105" fillId="0" borderId="82" xfId="0" applyFont="1" applyBorder="1" applyAlignment="1">
      <alignment horizontal="left" vertical="center"/>
    </xf>
    <xf numFmtId="0" fontId="105" fillId="0" borderId="78" xfId="0" applyFont="1" applyBorder="1" applyAlignment="1">
      <alignment horizontal="left" vertical="center"/>
    </xf>
    <xf numFmtId="0" fontId="21" fillId="0" borderId="3" xfId="48" applyFont="1" applyBorder="1" applyAlignment="1">
      <alignment vertical="center"/>
    </xf>
    <xf numFmtId="0" fontId="20" fillId="10" borderId="10" xfId="46" applyFont="1" applyFill="1" applyBorder="1" applyAlignment="1">
      <alignment horizontal="center"/>
    </xf>
    <xf numFmtId="0" fontId="20" fillId="10" borderId="17" xfId="46" applyFont="1" applyFill="1" applyBorder="1" applyAlignment="1">
      <alignment horizontal="center"/>
    </xf>
    <xf numFmtId="185" fontId="103" fillId="14" borderId="0" xfId="161" quotePrefix="1" applyNumberFormat="1" applyFont="1" applyFill="1" applyAlignment="1">
      <alignment horizontal="right" vertical="center"/>
    </xf>
    <xf numFmtId="0" fontId="51" fillId="13" borderId="10" xfId="49" applyFont="1" applyFill="1" applyBorder="1" applyAlignment="1">
      <alignment horizontal="center" vertical="center"/>
    </xf>
    <xf numFmtId="0" fontId="51" fillId="13" borderId="2" xfId="49" applyFont="1" applyFill="1" applyBorder="1" applyAlignment="1">
      <alignment horizontal="center" vertical="center"/>
    </xf>
    <xf numFmtId="0" fontId="51" fillId="13" borderId="17" xfId="49" applyFont="1" applyFill="1" applyBorder="1" applyAlignment="1">
      <alignment horizontal="center" vertical="center"/>
    </xf>
    <xf numFmtId="0" fontId="116" fillId="36" borderId="75" xfId="0" applyFont="1" applyFill="1" applyBorder="1" applyAlignment="1">
      <alignment horizontal="left" vertical="center" wrapText="1"/>
    </xf>
    <xf numFmtId="0" fontId="116" fillId="36" borderId="77" xfId="0" applyFont="1" applyFill="1" applyBorder="1" applyAlignment="1">
      <alignment horizontal="left" vertical="center" wrapText="1"/>
    </xf>
    <xf numFmtId="0" fontId="116" fillId="19" borderId="75" xfId="161" applyFont="1" applyFill="1" applyBorder="1" applyAlignment="1">
      <alignment horizontal="left" vertical="center" wrapText="1"/>
    </xf>
    <xf numFmtId="0" fontId="113" fillId="19" borderId="75" xfId="161" applyFont="1" applyFill="1" applyBorder="1" applyAlignment="1">
      <alignment horizontal="left" vertical="center"/>
    </xf>
    <xf numFmtId="0" fontId="113" fillId="19" borderId="77" xfId="161" applyFont="1" applyFill="1" applyBorder="1" applyAlignment="1">
      <alignment horizontal="left" vertical="center"/>
    </xf>
    <xf numFmtId="0" fontId="113" fillId="36" borderId="75" xfId="0" applyFont="1" applyFill="1" applyBorder="1" applyAlignment="1">
      <alignment horizontal="left" vertical="center" wrapText="1"/>
    </xf>
    <xf numFmtId="0" fontId="113" fillId="36" borderId="77" xfId="0" applyFont="1" applyFill="1" applyBorder="1" applyAlignment="1">
      <alignment horizontal="left" vertical="center" wrapText="1"/>
    </xf>
    <xf numFmtId="0" fontId="96" fillId="36" borderId="75" xfId="161" applyFont="1" applyFill="1" applyBorder="1" applyAlignment="1">
      <alignment horizontal="center" vertical="center"/>
    </xf>
    <xf numFmtId="0" fontId="96" fillId="36" borderId="77" xfId="161" applyFont="1" applyFill="1" applyBorder="1" applyAlignment="1">
      <alignment horizontal="center" vertical="center"/>
    </xf>
    <xf numFmtId="0" fontId="118" fillId="14" borderId="72" xfId="0" applyFont="1" applyFill="1" applyBorder="1" applyAlignment="1">
      <alignment horizontal="center" vertical="center" wrapText="1"/>
    </xf>
    <xf numFmtId="0" fontId="118" fillId="14" borderId="72" xfId="0" applyFont="1" applyFill="1" applyBorder="1" applyAlignment="1">
      <alignment horizontal="center" vertical="center"/>
    </xf>
    <xf numFmtId="0" fontId="118" fillId="14" borderId="0" xfId="0" applyFont="1" applyFill="1" applyAlignment="1">
      <alignment horizontal="center" vertical="center"/>
    </xf>
    <xf numFmtId="0" fontId="100" fillId="19" borderId="0" xfId="161" applyFont="1" applyFill="1" applyAlignment="1">
      <alignment horizontal="left" vertical="center" wrapText="1"/>
    </xf>
    <xf numFmtId="0" fontId="100" fillId="19" borderId="0" xfId="161" applyFont="1" applyFill="1" applyAlignment="1">
      <alignment horizontal="left" vertical="center"/>
    </xf>
    <xf numFmtId="0" fontId="103" fillId="36" borderId="73" xfId="161" applyFont="1" applyFill="1" applyBorder="1" applyAlignment="1">
      <alignment horizontal="left" vertical="center" wrapText="1"/>
    </xf>
    <xf numFmtId="0" fontId="103" fillId="36" borderId="73" xfId="161" applyFont="1" applyFill="1" applyBorder="1" applyAlignment="1">
      <alignment horizontal="left" vertical="center"/>
    </xf>
    <xf numFmtId="185" fontId="103" fillId="19" borderId="0" xfId="161" quotePrefix="1" applyNumberFormat="1" applyFont="1" applyFill="1" applyAlignment="1">
      <alignment horizontal="right" vertical="center"/>
    </xf>
    <xf numFmtId="0" fontId="113" fillId="19" borderId="75" xfId="161" applyFont="1" applyFill="1" applyBorder="1" applyAlignment="1">
      <alignment horizontal="left" vertical="center" wrapText="1"/>
    </xf>
    <xf numFmtId="0" fontId="113" fillId="19" borderId="77" xfId="161" applyFont="1" applyFill="1" applyBorder="1" applyAlignment="1">
      <alignment horizontal="left" vertical="center" wrapText="1"/>
    </xf>
    <xf numFmtId="0" fontId="105" fillId="0" borderId="74" xfId="0" applyFont="1" applyBorder="1" applyAlignment="1">
      <alignment horizontal="left" vertical="center" wrapText="1"/>
    </xf>
    <xf numFmtId="0" fontId="115" fillId="0" borderId="74" xfId="0" applyFont="1" applyBorder="1" applyAlignment="1">
      <alignment horizontal="left" vertical="center"/>
    </xf>
    <xf numFmtId="185" fontId="103" fillId="36" borderId="0" xfId="161" quotePrefix="1" applyNumberFormat="1" applyFont="1" applyFill="1" applyAlignment="1">
      <alignment horizontal="right" vertical="center"/>
    </xf>
    <xf numFmtId="185" fontId="103" fillId="14" borderId="12" xfId="161" quotePrefix="1" applyNumberFormat="1" applyFont="1" applyFill="1" applyBorder="1" applyAlignment="1">
      <alignment horizontal="right" vertical="center"/>
    </xf>
    <xf numFmtId="0" fontId="96" fillId="0" borderId="0" xfId="184" applyFont="1" applyAlignment="1" applyProtection="1">
      <alignment horizontal="left" vertical="center" wrapText="1"/>
      <protection locked="0"/>
    </xf>
    <xf numFmtId="0" fontId="96" fillId="0" borderId="58" xfId="184" applyFont="1" applyBorder="1" applyAlignment="1" applyProtection="1">
      <alignment horizontal="left" vertical="center" wrapText="1"/>
      <protection locked="0"/>
    </xf>
    <xf numFmtId="0" fontId="96" fillId="0" borderId="2" xfId="184" applyFont="1" applyBorder="1" applyAlignment="1" applyProtection="1">
      <alignment horizontal="left" vertical="center" wrapText="1"/>
      <protection locked="0"/>
    </xf>
    <xf numFmtId="0" fontId="96" fillId="0" borderId="63" xfId="184" applyFont="1" applyBorder="1" applyAlignment="1" applyProtection="1">
      <alignment horizontal="left" vertical="center" wrapText="1"/>
      <protection locked="0"/>
    </xf>
    <xf numFmtId="0" fontId="96" fillId="0" borderId="58" xfId="185" applyFont="1" applyBorder="1" applyAlignment="1">
      <alignment horizontal="left" vertical="center" wrapText="1"/>
    </xf>
    <xf numFmtId="0" fontId="96" fillId="0" borderId="2" xfId="185" applyFont="1" applyBorder="1" applyAlignment="1">
      <alignment horizontal="left" vertical="center" wrapText="1"/>
    </xf>
    <xf numFmtId="0" fontId="96" fillId="0" borderId="17" xfId="185" applyFont="1" applyBorder="1" applyAlignment="1">
      <alignment horizontal="left" vertical="center" wrapText="1"/>
    </xf>
    <xf numFmtId="0" fontId="96" fillId="0" borderId="10" xfId="185" applyFont="1" applyBorder="1" applyAlignment="1">
      <alignment horizontal="left" vertical="center" wrapText="1"/>
    </xf>
    <xf numFmtId="49" fontId="96" fillId="0" borderId="10" xfId="45" applyNumberFormat="1" applyFont="1" applyBorder="1" applyAlignment="1">
      <alignment horizontal="left" vertical="center" wrapText="1"/>
    </xf>
    <xf numFmtId="49" fontId="96" fillId="0" borderId="54" xfId="45" applyNumberFormat="1" applyFont="1" applyBorder="1" applyAlignment="1">
      <alignment horizontal="left" vertical="center" wrapText="1"/>
    </xf>
    <xf numFmtId="0" fontId="96" fillId="0" borderId="55" xfId="185" applyFont="1" applyBorder="1" applyAlignment="1" applyProtection="1">
      <alignment vertical="center" wrapText="1"/>
      <protection locked="0"/>
    </xf>
    <xf numFmtId="0" fontId="96" fillId="0" borderId="56" xfId="185" applyFont="1" applyBorder="1" applyAlignment="1" applyProtection="1">
      <alignment vertical="center" wrapText="1"/>
      <protection locked="0"/>
    </xf>
    <xf numFmtId="0" fontId="96" fillId="0" borderId="57" xfId="185" applyFont="1" applyBorder="1" applyAlignment="1" applyProtection="1">
      <alignment vertical="center" wrapText="1"/>
      <protection locked="0"/>
    </xf>
    <xf numFmtId="0" fontId="96" fillId="0" borderId="58" xfId="185" applyFont="1" applyBorder="1" applyAlignment="1" applyProtection="1">
      <alignment vertical="center" wrapText="1"/>
      <protection locked="0"/>
    </xf>
    <xf numFmtId="0" fontId="96" fillId="0" borderId="2" xfId="185" applyFont="1" applyBorder="1" applyAlignment="1" applyProtection="1">
      <alignment vertical="center" wrapText="1"/>
      <protection locked="0"/>
    </xf>
    <xf numFmtId="0" fontId="96" fillId="0" borderId="54" xfId="185" applyFont="1" applyBorder="1" applyAlignment="1" applyProtection="1">
      <alignment vertical="center" wrapText="1"/>
      <protection locked="0"/>
    </xf>
    <xf numFmtId="0" fontId="96" fillId="0" borderId="58" xfId="184" applyFont="1" applyBorder="1" applyAlignment="1">
      <alignment horizontal="left" vertical="center" wrapText="1"/>
    </xf>
    <xf numFmtId="0" fontId="96" fillId="0" borderId="2" xfId="184" applyFont="1" applyBorder="1" applyAlignment="1">
      <alignment horizontal="left" vertical="center" wrapText="1"/>
    </xf>
    <xf numFmtId="0" fontId="102" fillId="33" borderId="23" xfId="185" applyFont="1" applyFill="1" applyBorder="1" applyAlignment="1">
      <alignment horizontal="center" vertical="center"/>
    </xf>
    <xf numFmtId="0" fontId="102" fillId="34" borderId="3" xfId="185" applyFont="1" applyFill="1" applyBorder="1" applyAlignment="1">
      <alignment horizontal="center" vertical="center"/>
    </xf>
    <xf numFmtId="0" fontId="96" fillId="34" borderId="3" xfId="185" applyFont="1" applyFill="1" applyBorder="1" applyAlignment="1">
      <alignment horizontal="center" vertical="center"/>
    </xf>
    <xf numFmtId="0" fontId="102" fillId="34" borderId="3" xfId="185" applyFont="1" applyFill="1" applyBorder="1" applyAlignment="1" applyProtection="1">
      <alignment horizontal="center" vertical="center" wrapText="1"/>
      <protection locked="0"/>
    </xf>
    <xf numFmtId="0" fontId="102" fillId="32" borderId="3" xfId="185" applyFont="1" applyFill="1" applyBorder="1" applyAlignment="1">
      <alignment horizontal="center" vertical="center" wrapText="1"/>
    </xf>
    <xf numFmtId="0" fontId="102" fillId="32" borderId="3" xfId="185" applyFont="1" applyFill="1" applyBorder="1" applyAlignment="1">
      <alignment horizontal="center" vertical="center"/>
    </xf>
    <xf numFmtId="0" fontId="102" fillId="32" borderId="62" xfId="185" applyFont="1" applyFill="1" applyBorder="1" applyAlignment="1">
      <alignment horizontal="center" vertical="center" wrapText="1"/>
    </xf>
    <xf numFmtId="0" fontId="102" fillId="32" borderId="63" xfId="185" applyFont="1" applyFill="1" applyBorder="1" applyAlignment="1">
      <alignment horizontal="center" vertical="center" wrapText="1"/>
    </xf>
    <xf numFmtId="0" fontId="102" fillId="32" borderId="64" xfId="185" applyFont="1" applyFill="1" applyBorder="1" applyAlignment="1">
      <alignment horizontal="center" vertical="center" wrapText="1"/>
    </xf>
    <xf numFmtId="0" fontId="102" fillId="32" borderId="85" xfId="185" applyFont="1" applyFill="1" applyBorder="1" applyAlignment="1">
      <alignment horizontal="center" vertical="center" wrapText="1"/>
    </xf>
    <xf numFmtId="0" fontId="102" fillId="32" borderId="65" xfId="185" applyFont="1" applyFill="1" applyBorder="1" applyAlignment="1">
      <alignment horizontal="center" vertical="center" wrapText="1"/>
    </xf>
    <xf numFmtId="0" fontId="102" fillId="32" borderId="66" xfId="185" applyFont="1" applyFill="1" applyBorder="1" applyAlignment="1">
      <alignment horizontal="center" vertical="center" wrapText="1"/>
    </xf>
    <xf numFmtId="0" fontId="102" fillId="32" borderId="62" xfId="184" applyFont="1" applyFill="1" applyBorder="1" applyAlignment="1">
      <alignment horizontal="center" vertical="center" wrapText="1"/>
    </xf>
    <xf numFmtId="0" fontId="102" fillId="32" borderId="63" xfId="184" applyFont="1" applyFill="1" applyBorder="1" applyAlignment="1">
      <alignment horizontal="center" vertical="center" wrapText="1"/>
    </xf>
    <xf numFmtId="0" fontId="102" fillId="32" borderId="7" xfId="184" applyFont="1" applyFill="1" applyBorder="1" applyAlignment="1">
      <alignment horizontal="center" vertical="center" wrapText="1"/>
    </xf>
    <xf numFmtId="0" fontId="102" fillId="32" borderId="65" xfId="184" applyFont="1" applyFill="1" applyBorder="1" applyAlignment="1">
      <alignment horizontal="center" vertical="center" wrapText="1"/>
    </xf>
    <xf numFmtId="0" fontId="96" fillId="0" borderId="10" xfId="45" applyFont="1" applyBorder="1" applyAlignment="1">
      <alignment horizontal="left" vertical="center" wrapText="1"/>
    </xf>
    <xf numFmtId="0" fontId="96" fillId="0" borderId="2" xfId="45" applyFont="1" applyBorder="1" applyAlignment="1">
      <alignment horizontal="left" vertical="center" wrapText="1"/>
    </xf>
    <xf numFmtId="0" fontId="96" fillId="0" borderId="17" xfId="45" applyFont="1" applyBorder="1" applyAlignment="1">
      <alignment horizontal="left" vertical="center" wrapText="1"/>
    </xf>
    <xf numFmtId="0" fontId="96" fillId="0" borderId="59" xfId="45" applyFont="1" applyBorder="1" applyAlignment="1" applyProtection="1">
      <alignment vertical="center" wrapText="1"/>
      <protection locked="0"/>
    </xf>
    <xf numFmtId="0" fontId="96" fillId="0" borderId="60" xfId="45" applyFont="1" applyBorder="1" applyAlignment="1" applyProtection="1">
      <alignment vertical="center" wrapText="1"/>
      <protection locked="0"/>
    </xf>
    <xf numFmtId="0" fontId="96" fillId="0" borderId="67" xfId="45" applyFont="1" applyBorder="1" applyAlignment="1" applyProtection="1">
      <alignment vertical="center" wrapText="1"/>
      <protection locked="0"/>
    </xf>
    <xf numFmtId="0" fontId="96" fillId="0" borderId="68" xfId="45" applyFont="1" applyBorder="1" applyAlignment="1" applyProtection="1">
      <alignment horizontal="left" vertical="center" wrapText="1"/>
      <protection locked="0"/>
    </xf>
    <xf numFmtId="0" fontId="96" fillId="0" borderId="58" xfId="45" applyFont="1" applyBorder="1" applyAlignment="1" applyProtection="1">
      <alignment horizontal="center" vertical="center" wrapText="1"/>
      <protection locked="0"/>
    </xf>
    <xf numFmtId="0" fontId="96" fillId="0" borderId="2" xfId="45" applyFont="1" applyBorder="1" applyAlignment="1" applyProtection="1">
      <alignment horizontal="center" vertical="center" wrapText="1"/>
      <protection locked="0"/>
    </xf>
    <xf numFmtId="0" fontId="96" fillId="0" borderId="17" xfId="45" applyFont="1" applyBorder="1" applyAlignment="1" applyProtection="1">
      <alignment horizontal="center" vertical="center" wrapText="1"/>
      <protection locked="0"/>
    </xf>
    <xf numFmtId="0" fontId="96" fillId="0" borderId="59" xfId="185" applyFont="1" applyBorder="1" applyAlignment="1" applyProtection="1">
      <alignment vertical="center" wrapText="1"/>
      <protection locked="0"/>
    </xf>
    <xf numFmtId="0" fontId="96" fillId="0" borderId="60" xfId="185" applyFont="1" applyBorder="1" applyAlignment="1" applyProtection="1">
      <alignment vertical="center" wrapText="1"/>
      <protection locked="0"/>
    </xf>
    <xf numFmtId="0" fontId="96" fillId="0" borderId="61" xfId="185" applyFont="1" applyBorder="1" applyAlignment="1" applyProtection="1">
      <alignment vertical="center" wrapText="1"/>
      <protection locked="0"/>
    </xf>
    <xf numFmtId="0" fontId="96" fillId="0" borderId="10" xfId="185" applyFont="1" applyBorder="1" applyAlignment="1">
      <alignment horizontal="left" vertical="top" wrapText="1"/>
    </xf>
    <xf numFmtId="0" fontId="96" fillId="0" borderId="2" xfId="185" applyFont="1" applyBorder="1" applyAlignment="1">
      <alignment horizontal="left" vertical="top" wrapText="1"/>
    </xf>
    <xf numFmtId="0" fontId="96" fillId="0" borderId="17" xfId="185" applyFont="1" applyBorder="1" applyAlignment="1">
      <alignment horizontal="left" vertical="top" wrapText="1"/>
    </xf>
    <xf numFmtId="0" fontId="96" fillId="0" borderId="58" xfId="184" applyFont="1" applyBorder="1" applyAlignment="1">
      <alignment horizontal="center" vertical="center" wrapText="1"/>
    </xf>
    <xf numFmtId="0" fontId="96" fillId="0" borderId="2" xfId="184" applyFont="1" applyBorder="1" applyAlignment="1">
      <alignment horizontal="center" vertical="center" wrapText="1"/>
    </xf>
    <xf numFmtId="0" fontId="96" fillId="0" borderId="54" xfId="184" applyFont="1" applyBorder="1" applyAlignment="1">
      <alignment horizontal="center" vertical="center" wrapText="1"/>
    </xf>
    <xf numFmtId="0" fontId="96" fillId="0" borderId="58" xfId="185" applyFont="1" applyBorder="1" applyAlignment="1">
      <alignment horizontal="center" vertical="center" wrapText="1"/>
    </xf>
    <xf numFmtId="0" fontId="96" fillId="0" borderId="2" xfId="185" applyFont="1" applyBorder="1" applyAlignment="1">
      <alignment horizontal="center" vertical="center" wrapText="1"/>
    </xf>
    <xf numFmtId="0" fontId="96" fillId="0" borderId="17" xfId="185" applyFont="1" applyBorder="1" applyAlignment="1">
      <alignment horizontal="center" vertical="center" wrapText="1"/>
    </xf>
    <xf numFmtId="0" fontId="96" fillId="0" borderId="10" xfId="185" applyFont="1" applyBorder="1" applyAlignment="1">
      <alignment horizontal="center" vertical="center" wrapText="1"/>
    </xf>
    <xf numFmtId="0" fontId="96" fillId="0" borderId="54" xfId="45" applyFont="1" applyBorder="1" applyAlignment="1">
      <alignment horizontal="left" vertical="center" wrapText="1"/>
    </xf>
    <xf numFmtId="0" fontId="96" fillId="0" borderId="54" xfId="45" applyFont="1" applyBorder="1" applyAlignment="1" applyProtection="1">
      <alignment horizontal="center" vertical="center" wrapText="1"/>
      <protection locked="0"/>
    </xf>
    <xf numFmtId="0" fontId="96" fillId="0" borderId="58" xfId="185" applyFont="1" applyBorder="1" applyAlignment="1" applyProtection="1">
      <alignment horizontal="left" vertical="center" wrapText="1"/>
      <protection locked="0"/>
    </xf>
    <xf numFmtId="0" fontId="96" fillId="0" borderId="2" xfId="185" applyFont="1" applyBorder="1" applyAlignment="1" applyProtection="1">
      <alignment horizontal="left" vertical="center" wrapText="1"/>
      <protection locked="0"/>
    </xf>
    <xf numFmtId="0" fontId="100" fillId="0" borderId="10" xfId="186" applyFont="1" applyBorder="1" applyAlignment="1">
      <alignment horizontal="center" vertical="center"/>
    </xf>
    <xf numFmtId="0" fontId="100" fillId="0" borderId="2" xfId="186" applyFont="1" applyBorder="1" applyAlignment="1">
      <alignment horizontal="center" vertical="center"/>
    </xf>
    <xf numFmtId="0" fontId="100" fillId="0" borderId="3" xfId="186" applyFont="1" applyBorder="1" applyAlignment="1">
      <alignment horizontal="center" vertical="center"/>
    </xf>
    <xf numFmtId="0" fontId="100" fillId="0" borderId="15" xfId="186" applyFont="1" applyBorder="1" applyAlignment="1">
      <alignment horizontal="center" vertical="center"/>
    </xf>
    <xf numFmtId="0" fontId="100" fillId="0" borderId="12" xfId="186" applyFont="1" applyBorder="1" applyAlignment="1">
      <alignment horizontal="center" vertical="center"/>
    </xf>
    <xf numFmtId="0" fontId="100" fillId="0" borderId="13" xfId="186" applyFont="1" applyBorder="1" applyAlignment="1">
      <alignment horizontal="center" vertical="center"/>
    </xf>
    <xf numFmtId="0" fontId="100" fillId="0" borderId="6" xfId="186" applyFont="1" applyBorder="1" applyAlignment="1">
      <alignment horizontal="center" vertical="center"/>
    </xf>
    <xf numFmtId="0" fontId="100" fillId="0" borderId="0" xfId="186" applyFont="1" applyAlignment="1">
      <alignment horizontal="center" vertical="center"/>
    </xf>
    <xf numFmtId="0" fontId="100" fillId="0" borderId="11" xfId="186" applyFont="1" applyBorder="1" applyAlignment="1">
      <alignment horizontal="center" vertical="center"/>
    </xf>
    <xf numFmtId="0" fontId="100" fillId="0" borderId="7" xfId="186" applyFont="1" applyBorder="1" applyAlignment="1">
      <alignment horizontal="center" vertical="center"/>
    </xf>
    <xf numFmtId="0" fontId="100" fillId="0" borderId="8" xfId="186" applyFont="1" applyBorder="1" applyAlignment="1">
      <alignment horizontal="center" vertical="center"/>
    </xf>
    <xf numFmtId="0" fontId="100" fillId="0" borderId="14" xfId="186" applyFont="1" applyBorder="1" applyAlignment="1">
      <alignment horizontal="center" vertical="center"/>
    </xf>
    <xf numFmtId="0" fontId="100" fillId="0" borderId="15" xfId="186" applyFont="1" applyBorder="1" applyAlignment="1">
      <alignment horizontal="left" vertical="center" wrapText="1"/>
    </xf>
    <xf numFmtId="0" fontId="100" fillId="0" borderId="12" xfId="186" applyFont="1" applyBorder="1" applyAlignment="1">
      <alignment horizontal="left" vertical="center"/>
    </xf>
    <xf numFmtId="0" fontId="100" fillId="0" borderId="13" xfId="186" applyFont="1" applyBorder="1" applyAlignment="1">
      <alignment horizontal="left" vertical="center"/>
    </xf>
    <xf numFmtId="0" fontId="100" fillId="0" borderId="6" xfId="186" applyFont="1" applyBorder="1" applyAlignment="1">
      <alignment horizontal="left" vertical="center"/>
    </xf>
    <xf numFmtId="0" fontId="100" fillId="0" borderId="0" xfId="186" applyFont="1" applyAlignment="1">
      <alignment horizontal="left" vertical="center"/>
    </xf>
    <xf numFmtId="0" fontId="100" fillId="0" borderId="11" xfId="186" applyFont="1" applyBorder="1" applyAlignment="1">
      <alignment horizontal="left" vertical="center"/>
    </xf>
    <xf numFmtId="0" fontId="100" fillId="0" borderId="7" xfId="186" applyFont="1" applyBorder="1" applyAlignment="1">
      <alignment horizontal="left" vertical="center"/>
    </xf>
    <xf numFmtId="0" fontId="100" fillId="0" borderId="8" xfId="186" applyFont="1" applyBorder="1" applyAlignment="1">
      <alignment horizontal="left" vertical="center"/>
    </xf>
    <xf numFmtId="0" fontId="100" fillId="0" borderId="14" xfId="186" applyFont="1" applyBorder="1" applyAlignment="1">
      <alignment horizontal="left" vertical="center"/>
    </xf>
    <xf numFmtId="0" fontId="100" fillId="35" borderId="10" xfId="186" applyFont="1" applyFill="1" applyBorder="1" applyAlignment="1">
      <alignment horizontal="center" vertical="center"/>
    </xf>
    <xf numFmtId="0" fontId="100" fillId="35" borderId="2" xfId="186" applyFont="1" applyFill="1" applyBorder="1" applyAlignment="1">
      <alignment horizontal="center" vertical="center"/>
    </xf>
    <xf numFmtId="0" fontId="100" fillId="35" borderId="3" xfId="186" applyFont="1" applyFill="1" applyBorder="1" applyAlignment="1">
      <alignment horizontal="center" vertical="center"/>
    </xf>
    <xf numFmtId="0" fontId="100" fillId="0" borderId="3" xfId="186" applyFont="1" applyBorder="1" applyAlignment="1">
      <alignment horizontal="left" vertical="center"/>
    </xf>
    <xf numFmtId="0" fontId="100" fillId="0" borderId="3" xfId="187" applyFont="1" applyBorder="1" applyAlignment="1">
      <alignment horizontal="left" vertical="center"/>
    </xf>
    <xf numFmtId="0" fontId="100" fillId="0" borderId="3" xfId="187" applyFont="1" applyBorder="1" applyAlignment="1">
      <alignment horizontal="center" vertical="center"/>
    </xf>
    <xf numFmtId="0" fontId="100" fillId="0" borderId="3" xfId="187" applyFont="1" applyBorder="1" applyAlignment="1">
      <alignment vertical="center" wrapText="1"/>
    </xf>
    <xf numFmtId="0" fontId="100" fillId="0" borderId="3" xfId="186" applyFont="1" applyBorder="1" applyAlignment="1">
      <alignment horizontal="left" vertical="center" wrapText="1"/>
    </xf>
    <xf numFmtId="0" fontId="100" fillId="0" borderId="10" xfId="186" applyFont="1" applyBorder="1" applyAlignment="1">
      <alignment horizontal="left" vertical="center" wrapText="1"/>
    </xf>
    <xf numFmtId="0" fontId="100" fillId="0" borderId="2" xfId="186" applyFont="1" applyBorder="1" applyAlignment="1">
      <alignment horizontal="left" vertical="center" wrapText="1"/>
    </xf>
    <xf numFmtId="0" fontId="100" fillId="0" borderId="17" xfId="186" applyFont="1" applyBorder="1" applyAlignment="1">
      <alignment horizontal="left" vertical="center" wrapText="1"/>
    </xf>
    <xf numFmtId="0" fontId="100" fillId="0" borderId="17" xfId="186" applyFont="1" applyBorder="1" applyAlignment="1">
      <alignment horizontal="center" vertical="center"/>
    </xf>
    <xf numFmtId="0" fontId="100" fillId="0" borderId="10" xfId="187" applyFont="1" applyBorder="1" applyAlignment="1">
      <alignment horizontal="center" vertical="center"/>
    </xf>
    <xf numFmtId="0" fontId="100" fillId="0" borderId="2" xfId="187" applyFont="1" applyBorder="1" applyAlignment="1">
      <alignment horizontal="center" vertical="center"/>
    </xf>
    <xf numFmtId="0" fontId="100" fillId="0" borderId="17" xfId="187" applyFont="1" applyBorder="1" applyAlignment="1">
      <alignment horizontal="center" vertical="center"/>
    </xf>
    <xf numFmtId="0" fontId="100" fillId="37" borderId="3" xfId="186" applyFont="1" applyFill="1" applyBorder="1" applyAlignment="1">
      <alignment horizontal="center" vertical="center"/>
    </xf>
    <xf numFmtId="0" fontId="100" fillId="38" borderId="3" xfId="186" applyFont="1" applyFill="1" applyBorder="1" applyAlignment="1">
      <alignment horizontal="center" vertical="center"/>
    </xf>
    <xf numFmtId="0" fontId="100" fillId="37" borderId="3" xfId="187" applyFont="1" applyFill="1" applyBorder="1" applyAlignment="1">
      <alignment horizontal="center" vertical="center"/>
    </xf>
    <xf numFmtId="0" fontId="100" fillId="37" borderId="3" xfId="187" applyFont="1" applyFill="1" applyBorder="1">
      <alignment vertical="center"/>
    </xf>
    <xf numFmtId="0" fontId="100" fillId="37" borderId="3" xfId="186" applyFont="1" applyFill="1" applyBorder="1" applyAlignment="1">
      <alignment horizontal="center" vertical="center" wrapText="1"/>
    </xf>
    <xf numFmtId="0" fontId="100" fillId="38" borderId="3" xfId="186" applyFont="1" applyFill="1" applyBorder="1" applyAlignment="1">
      <alignment horizontal="left" vertical="center" wrapText="1"/>
    </xf>
    <xf numFmtId="0" fontId="100" fillId="0" borderId="10" xfId="186" applyFont="1" applyBorder="1" applyAlignment="1">
      <alignment horizontal="left" vertical="center"/>
    </xf>
    <xf numFmtId="0" fontId="100" fillId="0" borderId="2" xfId="186" applyFont="1" applyBorder="1" applyAlignment="1">
      <alignment horizontal="left" vertical="center"/>
    </xf>
    <xf numFmtId="0" fontId="100" fillId="0" borderId="17" xfId="186" applyFont="1" applyBorder="1" applyAlignment="1">
      <alignment horizontal="left" vertical="center"/>
    </xf>
    <xf numFmtId="0" fontId="100" fillId="0" borderId="10" xfId="186" applyFont="1" applyBorder="1" applyAlignment="1">
      <alignment horizontal="left" vertical="center" shrinkToFit="1"/>
    </xf>
    <xf numFmtId="0" fontId="100" fillId="0" borderId="2" xfId="186" applyFont="1" applyBorder="1" applyAlignment="1">
      <alignment horizontal="left" vertical="center" shrinkToFit="1"/>
    </xf>
    <xf numFmtId="0" fontId="100" fillId="0" borderId="17" xfId="186" applyFont="1" applyBorder="1" applyAlignment="1">
      <alignment horizontal="left" vertical="center" shrinkToFit="1"/>
    </xf>
    <xf numFmtId="0" fontId="100" fillId="37" borderId="10" xfId="186" applyFont="1" applyFill="1" applyBorder="1" applyAlignment="1">
      <alignment horizontal="center" vertical="center"/>
    </xf>
    <xf numFmtId="0" fontId="100" fillId="37" borderId="2" xfId="186" applyFont="1" applyFill="1" applyBorder="1" applyAlignment="1">
      <alignment horizontal="center" vertical="center"/>
    </xf>
    <xf numFmtId="0" fontId="100" fillId="37" borderId="17" xfId="186" applyFont="1" applyFill="1" applyBorder="1" applyAlignment="1">
      <alignment horizontal="center" vertical="center"/>
    </xf>
    <xf numFmtId="0" fontId="100" fillId="34" borderId="10" xfId="186" applyFont="1" applyFill="1" applyBorder="1" applyAlignment="1">
      <alignment horizontal="center" vertical="center"/>
    </xf>
    <xf numFmtId="0" fontId="100" fillId="34" borderId="2" xfId="186" applyFont="1" applyFill="1" applyBorder="1" applyAlignment="1">
      <alignment horizontal="center" vertical="center"/>
    </xf>
    <xf numFmtId="0" fontId="100" fillId="34" borderId="17" xfId="186" applyFont="1" applyFill="1" applyBorder="1" applyAlignment="1">
      <alignment horizontal="center" vertical="center"/>
    </xf>
    <xf numFmtId="0" fontId="100" fillId="34" borderId="10" xfId="186" applyFont="1" applyFill="1" applyBorder="1" applyAlignment="1">
      <alignment horizontal="left" vertical="center"/>
    </xf>
    <xf numFmtId="0" fontId="100" fillId="34" borderId="2" xfId="186" applyFont="1" applyFill="1" applyBorder="1" applyAlignment="1">
      <alignment horizontal="left" vertical="center"/>
    </xf>
    <xf numFmtId="0" fontId="100" fillId="34" borderId="17" xfId="186" applyFont="1" applyFill="1" applyBorder="1" applyAlignment="1">
      <alignment horizontal="left" vertical="center"/>
    </xf>
    <xf numFmtId="0" fontId="100" fillId="0" borderId="15" xfId="186" applyFont="1" applyBorder="1" applyAlignment="1">
      <alignment horizontal="left" vertical="center"/>
    </xf>
    <xf numFmtId="0" fontId="100" fillId="14" borderId="10" xfId="186" applyFont="1" applyFill="1" applyBorder="1" applyAlignment="1">
      <alignment horizontal="left" vertical="center"/>
    </xf>
    <xf numFmtId="0" fontId="100" fillId="14" borderId="2" xfId="186" applyFont="1" applyFill="1" applyBorder="1" applyAlignment="1">
      <alignment horizontal="left" vertical="center"/>
    </xf>
    <xf numFmtId="0" fontId="100" fillId="14" borderId="17" xfId="186" applyFont="1" applyFill="1" applyBorder="1" applyAlignment="1">
      <alignment horizontal="left" vertical="center"/>
    </xf>
    <xf numFmtId="0" fontId="100" fillId="14" borderId="10" xfId="186" applyFont="1" applyFill="1" applyBorder="1" applyAlignment="1">
      <alignment horizontal="left" vertical="center" wrapText="1"/>
    </xf>
    <xf numFmtId="0" fontId="100" fillId="14" borderId="2" xfId="186" applyFont="1" applyFill="1" applyBorder="1" applyAlignment="1">
      <alignment horizontal="left" vertical="center" wrapText="1"/>
    </xf>
    <xf numFmtId="0" fontId="100" fillId="14" borderId="17" xfId="186" applyFont="1" applyFill="1" applyBorder="1" applyAlignment="1">
      <alignment horizontal="left" vertical="center" wrapText="1"/>
    </xf>
    <xf numFmtId="0" fontId="109" fillId="33" borderId="23" xfId="186" applyFont="1" applyFill="1" applyBorder="1" applyAlignment="1">
      <alignment horizontal="center" vertical="center"/>
    </xf>
    <xf numFmtId="0" fontId="100" fillId="14" borderId="15" xfId="186" applyFont="1" applyFill="1" applyBorder="1" applyAlignment="1">
      <alignment horizontal="left" vertical="center"/>
    </xf>
    <xf numFmtId="0" fontId="100" fillId="14" borderId="12" xfId="186" applyFont="1" applyFill="1" applyBorder="1" applyAlignment="1">
      <alignment horizontal="left" vertical="center"/>
    </xf>
    <xf numFmtId="0" fontId="100" fillId="14" borderId="13" xfId="186" applyFont="1" applyFill="1" applyBorder="1" applyAlignment="1">
      <alignment horizontal="left" vertical="center"/>
    </xf>
    <xf numFmtId="0" fontId="100" fillId="14" borderId="7" xfId="186" applyFont="1" applyFill="1" applyBorder="1" applyAlignment="1">
      <alignment horizontal="left" vertical="center"/>
    </xf>
    <xf numFmtId="0" fontId="100" fillId="14" borderId="8" xfId="186" applyFont="1" applyFill="1" applyBorder="1" applyAlignment="1">
      <alignment horizontal="left" vertical="center"/>
    </xf>
    <xf numFmtId="0" fontId="100" fillId="14" borderId="14" xfId="186" applyFont="1" applyFill="1" applyBorder="1" applyAlignment="1">
      <alignment horizontal="left" vertical="center"/>
    </xf>
    <xf numFmtId="185" fontId="61" fillId="0" borderId="0" xfId="161" quotePrefix="1" applyNumberFormat="1" applyFont="1" applyAlignment="1">
      <alignment horizontal="right" vertical="center"/>
    </xf>
    <xf numFmtId="185" fontId="61" fillId="0" borderId="10" xfId="161" quotePrefix="1" applyNumberFormat="1" applyFont="1" applyBorder="1" applyAlignment="1">
      <alignment horizontal="right" vertical="center"/>
    </xf>
    <xf numFmtId="185" fontId="61" fillId="0" borderId="2" xfId="161" quotePrefix="1" applyNumberFormat="1" applyFont="1" applyBorder="1" applyAlignment="1">
      <alignment horizontal="right" vertical="center"/>
    </xf>
    <xf numFmtId="185" fontId="61" fillId="0" borderId="17" xfId="161" quotePrefix="1" applyNumberFormat="1" applyFont="1" applyBorder="1" applyAlignment="1">
      <alignment horizontal="right" vertical="center"/>
    </xf>
    <xf numFmtId="191" fontId="61" fillId="0" borderId="10" xfId="161" quotePrefix="1" applyNumberFormat="1" applyFont="1" applyBorder="1" applyAlignment="1">
      <alignment horizontal="right" vertical="center"/>
    </xf>
    <xf numFmtId="191" fontId="61" fillId="0" borderId="2" xfId="161" quotePrefix="1" applyNumberFormat="1" applyFont="1" applyBorder="1" applyAlignment="1">
      <alignment horizontal="right" vertical="center"/>
    </xf>
    <xf numFmtId="191" fontId="61" fillId="0" borderId="17" xfId="161" quotePrefix="1" applyNumberFormat="1" applyFont="1" applyBorder="1" applyAlignment="1">
      <alignment horizontal="right" vertical="center"/>
    </xf>
    <xf numFmtId="183" fontId="61" fillId="0" borderId="10" xfId="161" quotePrefix="1" applyNumberFormat="1" applyFont="1" applyBorder="1" applyAlignment="1">
      <alignment horizontal="right" vertical="center"/>
    </xf>
    <xf numFmtId="183" fontId="61" fillId="0" borderId="2" xfId="161" quotePrefix="1" applyNumberFormat="1" applyFont="1" applyBorder="1" applyAlignment="1">
      <alignment horizontal="right" vertical="center"/>
    </xf>
    <xf numFmtId="183" fontId="61" fillId="0" borderId="17" xfId="161" quotePrefix="1" applyNumberFormat="1" applyFont="1" applyBorder="1" applyAlignment="1">
      <alignment horizontal="right" vertical="center"/>
    </xf>
    <xf numFmtId="184" fontId="61" fillId="0" borderId="10" xfId="161" quotePrefix="1" applyNumberFormat="1" applyFont="1" applyBorder="1" applyAlignment="1">
      <alignment horizontal="center" vertical="center"/>
    </xf>
    <xf numFmtId="184" fontId="61" fillId="0" borderId="2" xfId="161" quotePrefix="1" applyNumberFormat="1" applyFont="1" applyBorder="1" applyAlignment="1">
      <alignment horizontal="center" vertical="center"/>
    </xf>
    <xf numFmtId="184" fontId="61" fillId="0" borderId="17" xfId="161" quotePrefix="1" applyNumberFormat="1" applyFont="1" applyBorder="1" applyAlignment="1">
      <alignment horizontal="center" vertical="center"/>
    </xf>
    <xf numFmtId="185" fontId="61" fillId="0" borderId="10" xfId="161" applyNumberFormat="1" applyFont="1" applyBorder="1" applyAlignment="1">
      <alignment horizontal="center" vertical="center"/>
    </xf>
    <xf numFmtId="185" fontId="61" fillId="0" borderId="2" xfId="161" applyNumberFormat="1" applyFont="1" applyBorder="1" applyAlignment="1">
      <alignment horizontal="center" vertical="center"/>
    </xf>
    <xf numFmtId="185" fontId="61" fillId="0" borderId="17" xfId="161" applyNumberFormat="1" applyFont="1" applyBorder="1" applyAlignment="1">
      <alignment horizontal="center" vertical="center"/>
    </xf>
    <xf numFmtId="180" fontId="61" fillId="0" borderId="10" xfId="161" quotePrefix="1" applyNumberFormat="1" applyFont="1" applyBorder="1" applyAlignment="1">
      <alignment horizontal="right" vertical="center"/>
    </xf>
    <xf numFmtId="180" fontId="61" fillId="0" borderId="2" xfId="161" quotePrefix="1" applyNumberFormat="1" applyFont="1" applyBorder="1" applyAlignment="1">
      <alignment horizontal="right" vertical="center"/>
    </xf>
    <xf numFmtId="180" fontId="61" fillId="0" borderId="17" xfId="161" quotePrefix="1" applyNumberFormat="1" applyFont="1" applyBorder="1" applyAlignment="1">
      <alignment horizontal="right" vertical="center"/>
    </xf>
    <xf numFmtId="179" fontId="61" fillId="0" borderId="10" xfId="161" quotePrefix="1" applyNumberFormat="1" applyFont="1" applyBorder="1" applyAlignment="1">
      <alignment horizontal="right" vertical="center"/>
    </xf>
    <xf numFmtId="0" fontId="61" fillId="0" borderId="2" xfId="161" quotePrefix="1" applyFont="1" applyBorder="1" applyAlignment="1">
      <alignment horizontal="right" vertical="center"/>
    </xf>
    <xf numFmtId="0" fontId="61" fillId="0" borderId="17" xfId="161" quotePrefix="1" applyFont="1" applyBorder="1" applyAlignment="1">
      <alignment horizontal="right" vertical="center"/>
    </xf>
    <xf numFmtId="184" fontId="61" fillId="0" borderId="10" xfId="161" applyNumberFormat="1" applyFont="1" applyBorder="1" applyAlignment="1">
      <alignment horizontal="center" vertical="center"/>
    </xf>
    <xf numFmtId="184" fontId="61" fillId="0" borderId="2" xfId="161" applyNumberFormat="1" applyFont="1" applyBorder="1" applyAlignment="1">
      <alignment horizontal="center" vertical="center"/>
    </xf>
    <xf numFmtId="184" fontId="61" fillId="0" borderId="17" xfId="161" applyNumberFormat="1" applyFont="1" applyBorder="1" applyAlignment="1">
      <alignment horizontal="center" vertical="center"/>
    </xf>
    <xf numFmtId="184" fontId="61" fillId="0" borderId="10" xfId="161" quotePrefix="1" applyNumberFormat="1" applyFont="1" applyBorder="1" applyAlignment="1">
      <alignment horizontal="right" vertical="center"/>
    </xf>
    <xf numFmtId="184" fontId="61" fillId="0" borderId="2" xfId="161" quotePrefix="1" applyNumberFormat="1" applyFont="1" applyBorder="1" applyAlignment="1">
      <alignment horizontal="right" vertical="center"/>
    </xf>
    <xf numFmtId="184" fontId="61" fillId="0" borderId="17" xfId="161" quotePrefix="1" applyNumberFormat="1" applyFont="1" applyBorder="1" applyAlignment="1">
      <alignment horizontal="right" vertical="center"/>
    </xf>
    <xf numFmtId="179" fontId="61" fillId="0" borderId="2" xfId="161" quotePrefix="1" applyNumberFormat="1" applyFont="1" applyBorder="1" applyAlignment="1">
      <alignment horizontal="right" vertical="center"/>
    </xf>
    <xf numFmtId="179" fontId="61" fillId="0" borderId="17" xfId="161" quotePrefix="1" applyNumberFormat="1" applyFont="1" applyBorder="1" applyAlignment="1">
      <alignment horizontal="right" vertical="center"/>
    </xf>
    <xf numFmtId="182" fontId="61" fillId="0" borderId="10" xfId="161" quotePrefix="1" applyNumberFormat="1" applyFont="1" applyBorder="1" applyAlignment="1">
      <alignment horizontal="right" vertical="center"/>
    </xf>
    <xf numFmtId="182" fontId="61" fillId="0" borderId="2" xfId="161" quotePrefix="1" applyNumberFormat="1" applyFont="1" applyBorder="1" applyAlignment="1">
      <alignment horizontal="right" vertical="center"/>
    </xf>
    <xf numFmtId="182" fontId="61" fillId="0" borderId="17" xfId="161" quotePrefix="1" applyNumberFormat="1" applyFont="1" applyBorder="1" applyAlignment="1">
      <alignment horizontal="right" vertical="center"/>
    </xf>
    <xf numFmtId="179" fontId="61" fillId="0" borderId="0" xfId="161" quotePrefix="1" applyNumberFormat="1" applyFont="1" applyAlignment="1">
      <alignment horizontal="right" vertical="center"/>
    </xf>
    <xf numFmtId="0" fontId="61" fillId="0" borderId="0" xfId="161" quotePrefix="1" applyFont="1" applyAlignment="1">
      <alignment horizontal="right" vertical="center"/>
    </xf>
    <xf numFmtId="183" fontId="61" fillId="0" borderId="0" xfId="161" quotePrefix="1" applyNumberFormat="1" applyFont="1" applyAlignment="1">
      <alignment horizontal="right" vertical="center"/>
    </xf>
    <xf numFmtId="183" fontId="61" fillId="0" borderId="10" xfId="161" quotePrefix="1" applyNumberFormat="1" applyFont="1" applyBorder="1" applyAlignment="1">
      <alignment horizontal="center" vertical="center"/>
    </xf>
    <xf numFmtId="183" fontId="61" fillId="0" borderId="2" xfId="161" quotePrefix="1" applyNumberFormat="1" applyFont="1" applyBorder="1" applyAlignment="1">
      <alignment horizontal="center" vertical="center"/>
    </xf>
    <xf numFmtId="183" fontId="61" fillId="0" borderId="17" xfId="161" quotePrefix="1" applyNumberFormat="1" applyFont="1" applyBorder="1" applyAlignment="1">
      <alignment horizontal="center" vertical="center"/>
    </xf>
    <xf numFmtId="185" fontId="61" fillId="0" borderId="31" xfId="161" quotePrefix="1" applyNumberFormat="1" applyFont="1" applyBorder="1" applyAlignment="1">
      <alignment horizontal="right" vertical="center"/>
    </xf>
    <xf numFmtId="3" fontId="61" fillId="0" borderId="10" xfId="161" quotePrefix="1" applyNumberFormat="1" applyFont="1" applyBorder="1" applyAlignment="1">
      <alignment horizontal="right" vertical="center"/>
    </xf>
    <xf numFmtId="3" fontId="61" fillId="0" borderId="2" xfId="161" quotePrefix="1" applyNumberFormat="1" applyFont="1" applyBorder="1" applyAlignment="1">
      <alignment horizontal="right" vertical="center"/>
    </xf>
    <xf numFmtId="3" fontId="61" fillId="0" borderId="17" xfId="161" quotePrefix="1" applyNumberFormat="1" applyFont="1" applyBorder="1" applyAlignment="1">
      <alignment horizontal="right" vertical="center"/>
    </xf>
    <xf numFmtId="185" fontId="61" fillId="0" borderId="0" xfId="161" applyNumberFormat="1" applyFont="1" applyAlignment="1">
      <alignment horizontal="right" vertical="center"/>
    </xf>
    <xf numFmtId="186" fontId="61" fillId="0" borderId="10" xfId="161" quotePrefix="1" applyNumberFormat="1" applyFont="1" applyBorder="1" applyAlignment="1">
      <alignment horizontal="right" vertical="center"/>
    </xf>
    <xf numFmtId="186" fontId="61" fillId="0" borderId="2" xfId="161" quotePrefix="1" applyNumberFormat="1" applyFont="1" applyBorder="1" applyAlignment="1">
      <alignment horizontal="right" vertical="center"/>
    </xf>
    <xf numFmtId="186" fontId="61" fillId="0" borderId="17" xfId="161" quotePrefix="1" applyNumberFormat="1" applyFont="1" applyBorder="1" applyAlignment="1">
      <alignment horizontal="right" vertical="center"/>
    </xf>
    <xf numFmtId="10" fontId="61" fillId="0" borderId="10" xfId="161" quotePrefix="1" applyNumberFormat="1" applyFont="1" applyBorder="1" applyAlignment="1">
      <alignment horizontal="right" vertical="center"/>
    </xf>
    <xf numFmtId="10" fontId="61" fillId="0" borderId="2" xfId="161" quotePrefix="1" applyNumberFormat="1" applyFont="1" applyBorder="1" applyAlignment="1">
      <alignment horizontal="right" vertical="center"/>
    </xf>
    <xf numFmtId="10" fontId="61" fillId="0" borderId="17" xfId="161" quotePrefix="1" applyNumberFormat="1" applyFont="1" applyBorder="1" applyAlignment="1">
      <alignment horizontal="right" vertical="center"/>
    </xf>
    <xf numFmtId="0" fontId="61" fillId="0" borderId="10" xfId="161" quotePrefix="1" applyFont="1" applyBorder="1" applyAlignment="1">
      <alignment horizontal="right" vertical="center"/>
    </xf>
    <xf numFmtId="9" fontId="61" fillId="0" borderId="10" xfId="161" quotePrefix="1" applyNumberFormat="1" applyFont="1" applyBorder="1" applyAlignment="1">
      <alignment horizontal="right" vertical="center"/>
    </xf>
    <xf numFmtId="9" fontId="61" fillId="0" borderId="2" xfId="161" quotePrefix="1" applyNumberFormat="1" applyFont="1" applyBorder="1" applyAlignment="1">
      <alignment horizontal="right" vertical="center"/>
    </xf>
    <xf numFmtId="9" fontId="61" fillId="0" borderId="17" xfId="161" quotePrefix="1" applyNumberFormat="1" applyFont="1" applyBorder="1" applyAlignment="1">
      <alignment horizontal="right" vertical="center"/>
    </xf>
    <xf numFmtId="49" fontId="61" fillId="0" borderId="10" xfId="161" quotePrefix="1" applyNumberFormat="1" applyFont="1" applyBorder="1" applyAlignment="1">
      <alignment horizontal="center" vertical="center"/>
    </xf>
    <xf numFmtId="49" fontId="61" fillId="0" borderId="2" xfId="161" quotePrefix="1" applyNumberFormat="1" applyFont="1" applyBorder="1" applyAlignment="1">
      <alignment horizontal="center" vertical="center"/>
    </xf>
    <xf numFmtId="49" fontId="61" fillId="0" borderId="17" xfId="161" quotePrefix="1" applyNumberFormat="1" applyFont="1" applyBorder="1" applyAlignment="1">
      <alignment horizontal="center" vertical="center"/>
    </xf>
    <xf numFmtId="181" fontId="61" fillId="0" borderId="10" xfId="161" quotePrefix="1" applyNumberFormat="1" applyFont="1" applyBorder="1" applyAlignment="1">
      <alignment horizontal="right" vertical="center"/>
    </xf>
    <xf numFmtId="181" fontId="61" fillId="0" borderId="2" xfId="161" quotePrefix="1" applyNumberFormat="1" applyFont="1" applyBorder="1" applyAlignment="1">
      <alignment horizontal="right" vertical="center"/>
    </xf>
    <xf numFmtId="181" fontId="61" fillId="0" borderId="17" xfId="161" quotePrefix="1" applyNumberFormat="1" applyFont="1" applyBorder="1" applyAlignment="1">
      <alignment horizontal="right" vertical="center"/>
    </xf>
    <xf numFmtId="187" fontId="61" fillId="0" borderId="10" xfId="161" quotePrefix="1" applyNumberFormat="1" applyFont="1" applyBorder="1" applyAlignment="1">
      <alignment horizontal="right" vertical="center"/>
    </xf>
    <xf numFmtId="187" fontId="61" fillId="0" borderId="2" xfId="161" quotePrefix="1" applyNumberFormat="1" applyFont="1" applyBorder="1" applyAlignment="1">
      <alignment horizontal="right" vertical="center"/>
    </xf>
    <xf numFmtId="187" fontId="61" fillId="0" borderId="17" xfId="161" quotePrefix="1" applyNumberFormat="1" applyFont="1" applyBorder="1" applyAlignment="1">
      <alignment horizontal="right" vertical="center"/>
    </xf>
    <xf numFmtId="188" fontId="61" fillId="0" borderId="10" xfId="161" quotePrefix="1" applyNumberFormat="1" applyFont="1" applyBorder="1" applyAlignment="1">
      <alignment horizontal="right" vertical="center"/>
    </xf>
    <xf numFmtId="188" fontId="61" fillId="0" borderId="2" xfId="161" quotePrefix="1" applyNumberFormat="1" applyFont="1" applyBorder="1" applyAlignment="1">
      <alignment horizontal="right" vertical="center"/>
    </xf>
    <xf numFmtId="188" fontId="61" fillId="0" borderId="17" xfId="161" quotePrefix="1" applyNumberFormat="1" applyFont="1" applyBorder="1" applyAlignment="1">
      <alignment horizontal="right" vertical="center"/>
    </xf>
    <xf numFmtId="182" fontId="61" fillId="0" borderId="10" xfId="161" quotePrefix="1" applyNumberFormat="1" applyFont="1" applyBorder="1" applyAlignment="1">
      <alignment horizontal="center" vertical="center"/>
    </xf>
    <xf numFmtId="182" fontId="61" fillId="0" borderId="2" xfId="161" quotePrefix="1" applyNumberFormat="1" applyFont="1" applyBorder="1" applyAlignment="1">
      <alignment horizontal="center" vertical="center"/>
    </xf>
    <xf numFmtId="182" fontId="61" fillId="0" borderId="17" xfId="161" quotePrefix="1" applyNumberFormat="1" applyFont="1" applyBorder="1" applyAlignment="1">
      <alignment horizontal="center" vertical="center"/>
    </xf>
    <xf numFmtId="185" fontId="61" fillId="0" borderId="10" xfId="161" applyNumberFormat="1" applyFont="1" applyBorder="1" applyAlignment="1">
      <alignment horizontal="right" vertical="center"/>
    </xf>
    <xf numFmtId="185" fontId="61" fillId="0" borderId="2" xfId="161" applyNumberFormat="1" applyFont="1" applyBorder="1" applyAlignment="1">
      <alignment horizontal="right" vertical="center"/>
    </xf>
    <xf numFmtId="185" fontId="61" fillId="0" borderId="17" xfId="161" applyNumberFormat="1" applyFont="1" applyBorder="1" applyAlignment="1">
      <alignment horizontal="right" vertical="center"/>
    </xf>
    <xf numFmtId="187" fontId="61" fillId="0" borderId="10" xfId="161" quotePrefix="1" applyNumberFormat="1" applyFont="1" applyBorder="1" applyAlignment="1">
      <alignment horizontal="right" vertical="center" indent="1"/>
    </xf>
    <xf numFmtId="187" fontId="61" fillId="0" borderId="2" xfId="161" quotePrefix="1" applyNumberFormat="1" applyFont="1" applyBorder="1" applyAlignment="1">
      <alignment horizontal="right" vertical="center" indent="1"/>
    </xf>
    <xf numFmtId="187" fontId="61" fillId="0" borderId="17" xfId="161" quotePrefix="1" applyNumberFormat="1" applyFont="1" applyBorder="1" applyAlignment="1">
      <alignment horizontal="right" vertical="center" indent="1"/>
    </xf>
    <xf numFmtId="182" fontId="61" fillId="0" borderId="28" xfId="161" quotePrefix="1" applyNumberFormat="1" applyFont="1" applyBorder="1" applyAlignment="1">
      <alignment horizontal="right" vertical="center"/>
    </xf>
    <xf numFmtId="182" fontId="61" fillId="24" borderId="10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9" fontId="61" fillId="24" borderId="10" xfId="161" quotePrefix="1" applyNumberFormat="1" applyFont="1" applyFill="1" applyBorder="1" applyAlignment="1">
      <alignment horizontal="right" vertical="center"/>
    </xf>
    <xf numFmtId="189" fontId="61" fillId="24" borderId="2" xfId="161" quotePrefix="1" applyNumberFormat="1" applyFont="1" applyFill="1" applyBorder="1" applyAlignment="1">
      <alignment horizontal="right" vertical="center"/>
    </xf>
    <xf numFmtId="189" fontId="61" fillId="24" borderId="17" xfId="161" quotePrefix="1" applyNumberFormat="1" applyFont="1" applyFill="1" applyBorder="1" applyAlignment="1">
      <alignment horizontal="right" vertical="center"/>
    </xf>
    <xf numFmtId="182" fontId="61" fillId="21" borderId="10" xfId="161" quotePrefix="1" applyNumberFormat="1" applyFont="1" applyFill="1" applyBorder="1" applyAlignment="1">
      <alignment horizontal="right" vertical="center"/>
    </xf>
    <xf numFmtId="182" fontId="61" fillId="21" borderId="2" xfId="161" quotePrefix="1" applyNumberFormat="1" applyFont="1" applyFill="1" applyBorder="1" applyAlignment="1">
      <alignment horizontal="right" vertical="center"/>
    </xf>
    <xf numFmtId="182" fontId="61" fillId="21" borderId="17" xfId="161" quotePrefix="1" applyNumberFormat="1" applyFont="1" applyFill="1" applyBorder="1" applyAlignment="1">
      <alignment horizontal="right" vertical="center"/>
    </xf>
    <xf numFmtId="189" fontId="61" fillId="21" borderId="10" xfId="161" quotePrefix="1" applyNumberFormat="1" applyFont="1" applyFill="1" applyBorder="1" applyAlignment="1">
      <alignment horizontal="right" vertical="center"/>
    </xf>
    <xf numFmtId="189" fontId="61" fillId="21" borderId="2" xfId="161" quotePrefix="1" applyNumberFormat="1" applyFont="1" applyFill="1" applyBorder="1" applyAlignment="1">
      <alignment horizontal="right" vertical="center"/>
    </xf>
    <xf numFmtId="189" fontId="61" fillId="21" borderId="17" xfId="161" quotePrefix="1" applyNumberFormat="1" applyFont="1" applyFill="1" applyBorder="1" applyAlignment="1">
      <alignment horizontal="right" vertical="center"/>
    </xf>
    <xf numFmtId="182" fontId="53" fillId="14" borderId="0" xfId="0" applyNumberFormat="1" applyFont="1" applyFill="1" applyAlignment="1">
      <alignment horizontal="center" vertical="center"/>
    </xf>
    <xf numFmtId="184" fontId="87" fillId="0" borderId="10" xfId="161" quotePrefix="1" applyNumberFormat="1" applyFont="1" applyBorder="1" applyAlignment="1">
      <alignment horizontal="center" vertical="center"/>
    </xf>
    <xf numFmtId="184" fontId="87" fillId="0" borderId="2" xfId="161" quotePrefix="1" applyNumberFormat="1" applyFont="1" applyBorder="1" applyAlignment="1">
      <alignment horizontal="center" vertical="center"/>
    </xf>
    <xf numFmtId="184" fontId="87" fillId="0" borderId="17" xfId="161" quotePrefix="1" applyNumberFormat="1" applyFont="1" applyBorder="1" applyAlignment="1">
      <alignment horizontal="center" vertical="center"/>
    </xf>
    <xf numFmtId="181" fontId="61" fillId="0" borderId="10" xfId="161" quotePrefix="1" applyNumberFormat="1" applyFont="1" applyBorder="1" applyAlignment="1">
      <alignment horizontal="center" vertical="center"/>
    </xf>
    <xf numFmtId="181" fontId="61" fillId="0" borderId="2" xfId="161" quotePrefix="1" applyNumberFormat="1" applyFont="1" applyBorder="1" applyAlignment="1">
      <alignment horizontal="center" vertical="center"/>
    </xf>
    <xf numFmtId="181" fontId="61" fillId="0" borderId="17" xfId="161" quotePrefix="1" applyNumberFormat="1" applyFont="1" applyBorder="1" applyAlignment="1">
      <alignment horizontal="center" vertical="center"/>
    </xf>
    <xf numFmtId="179" fontId="61" fillId="0" borderId="10" xfId="161" applyNumberFormat="1" applyFont="1" applyBorder="1" applyAlignment="1">
      <alignment horizontal="right" vertical="center"/>
    </xf>
    <xf numFmtId="179" fontId="61" fillId="0" borderId="2" xfId="161" applyNumberFormat="1" applyFont="1" applyBorder="1" applyAlignment="1">
      <alignment horizontal="right" vertical="center"/>
    </xf>
    <xf numFmtId="179" fontId="61" fillId="0" borderId="17" xfId="161" applyNumberFormat="1" applyFont="1" applyBorder="1" applyAlignment="1">
      <alignment horizontal="right" vertical="center"/>
    </xf>
    <xf numFmtId="0" fontId="53" fillId="14" borderId="0" xfId="0" applyFont="1" applyFill="1" applyAlignment="1">
      <alignment horizontal="center" vertical="center"/>
    </xf>
    <xf numFmtId="190" fontId="53" fillId="14" borderId="15" xfId="0" applyNumberFormat="1" applyFont="1" applyFill="1" applyBorder="1" applyAlignment="1">
      <alignment horizontal="center" vertical="center"/>
    </xf>
    <xf numFmtId="190" fontId="53" fillId="14" borderId="12" xfId="0" applyNumberFormat="1" applyFont="1" applyFill="1" applyBorder="1" applyAlignment="1">
      <alignment horizontal="center" vertical="center"/>
    </xf>
    <xf numFmtId="179" fontId="61" fillId="0" borderId="10" xfId="161" quotePrefix="1" applyNumberFormat="1" applyFont="1" applyBorder="1" applyAlignment="1">
      <alignment horizontal="center" vertical="center"/>
    </xf>
    <xf numFmtId="179" fontId="61" fillId="0" borderId="2" xfId="161" quotePrefix="1" applyNumberFormat="1" applyFont="1" applyBorder="1" applyAlignment="1">
      <alignment horizontal="center" vertical="center"/>
    </xf>
    <xf numFmtId="179" fontId="61" fillId="0" borderId="17" xfId="161" quotePrefix="1" applyNumberFormat="1" applyFont="1" applyBorder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0" fontId="96" fillId="0" borderId="58" xfId="184" applyFont="1" applyFill="1" applyBorder="1" applyAlignment="1">
      <alignment horizontal="left" vertical="center" wrapText="1"/>
    </xf>
    <xf numFmtId="0" fontId="96" fillId="0" borderId="2" xfId="184" applyFont="1" applyFill="1" applyBorder="1" applyAlignment="1">
      <alignment horizontal="left" vertical="center" wrapText="1"/>
    </xf>
  </cellXfs>
  <cellStyles count="18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B1213923-804D-4F0F-A200-132176531BC4}"/>
    <cellStyle name="標準 12" xfId="186" xr:uid="{21F3C71E-C34C-40A5-A5EE-4613DBE21B97}"/>
    <cellStyle name="標準 2" xfId="45" xr:uid="{00000000-0005-0000-0000-00002D000000}"/>
    <cellStyle name="標準 2 2" xfId="161" xr:uid="{00000000-0005-0000-0000-00002E000000}"/>
    <cellStyle name="標準 2 2 2" xfId="187" xr:uid="{06D3B5F9-248B-47E1-A449-9BB4C48E659C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13284"/>
      <color rgb="FFE6F3FE"/>
      <color rgb="FF339933"/>
      <color rgb="FF99FF99"/>
      <color rgb="FFFFFFCC"/>
      <color rgb="FFFF9900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emf"/><Relationship Id="rId1" Type="http://schemas.openxmlformats.org/officeDocument/2006/relationships/image" Target="../media/image3.tmp"/><Relationship Id="rId4" Type="http://schemas.openxmlformats.org/officeDocument/2006/relationships/image" Target="../media/image6.tmp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tmp"/><Relationship Id="rId1" Type="http://schemas.openxmlformats.org/officeDocument/2006/relationships/image" Target="../media/image3.tmp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化学物質データ申請確認画面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22224</xdr:rowOff>
    </xdr:from>
    <xdr:to>
      <xdr:col>2</xdr:col>
      <xdr:colOff>15876</xdr:colOff>
      <xdr:row>7</xdr:row>
      <xdr:rowOff>34925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0" y="898524"/>
          <a:ext cx="377826" cy="2794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130175</xdr:colOff>
      <xdr:row>6</xdr:row>
      <xdr:rowOff>53975</xdr:rowOff>
    </xdr:from>
    <xdr:to>
      <xdr:col>17</xdr:col>
      <xdr:colOff>47625</xdr:colOff>
      <xdr:row>7</xdr:row>
      <xdr:rowOff>82550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1939925" y="930275"/>
          <a:ext cx="1184275" cy="295275"/>
        </a:xfrm>
        <a:prstGeom prst="borderCallout1">
          <a:avLst>
            <a:gd name="adj1" fmla="val 38775"/>
            <a:gd name="adj2" fmla="val 582"/>
            <a:gd name="adj3" fmla="val 38538"/>
            <a:gd name="adj4" fmla="val -1775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8</xdr:col>
      <xdr:colOff>161926</xdr:colOff>
      <xdr:row>9</xdr:row>
      <xdr:rowOff>95250</xdr:rowOff>
    </xdr:from>
    <xdr:to>
      <xdr:col>11</xdr:col>
      <xdr:colOff>1</xdr:colOff>
      <xdr:row>11</xdr:row>
      <xdr:rowOff>19050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609726" y="1704975"/>
          <a:ext cx="381000" cy="2381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123825</xdr:colOff>
      <xdr:row>23</xdr:row>
      <xdr:rowOff>28575</xdr:rowOff>
    </xdr:from>
    <xdr:to>
      <xdr:col>47</xdr:col>
      <xdr:colOff>154967</xdr:colOff>
      <xdr:row>25</xdr:row>
      <xdr:rowOff>40739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292FEEF7-DB18-4DAD-9F5E-C023E19A47B0}"/>
            </a:ext>
          </a:extLst>
        </xdr:cNvPr>
        <xdr:cNvSpPr/>
      </xdr:nvSpPr>
      <xdr:spPr>
        <a:xfrm>
          <a:off x="666750" y="4591050"/>
          <a:ext cx="7994042" cy="336014"/>
        </a:xfrm>
        <a:prstGeom prst="rect">
          <a:avLst/>
        </a:prstGeom>
        <a:noFill/>
        <a:ln>
          <a:solidFill>
            <a:srgbClr val="FF0000"/>
          </a:solidFill>
          <a:prstDash val="sysDot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ja-JP" altLang="en-US" sz="900" baseline="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メッセージ表示</a:t>
          </a:r>
          <a:endParaRPr kumimoji="1" lang="en-US" altLang="ja-JP" sz="900" baseline="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0</xdr:colOff>
      <xdr:row>58</xdr:row>
      <xdr:rowOff>0</xdr:rowOff>
    </xdr:from>
    <xdr:to>
      <xdr:col>42</xdr:col>
      <xdr:colOff>9525</xdr:colOff>
      <xdr:row>61</xdr:row>
      <xdr:rowOff>19050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55DA5F5-3F6E-4D45-9853-C9BBCA4B9330}"/>
            </a:ext>
          </a:extLst>
        </xdr:cNvPr>
        <xdr:cNvSpPr/>
      </xdr:nvSpPr>
      <xdr:spPr bwMode="auto">
        <a:xfrm>
          <a:off x="723900" y="8686800"/>
          <a:ext cx="6886575" cy="342900"/>
        </a:xfrm>
        <a:prstGeom prst="rect">
          <a:avLst/>
        </a:prstGeom>
        <a:solidFill>
          <a:srgbClr val="FF0066">
            <a:alpha val="36863"/>
          </a:srgbClr>
        </a:solidFill>
        <a:ln w="6350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 typeface="Wingdings 2" pitchFamily="18" charset="2"/>
            <a:buNone/>
            <a:tabLst/>
          </a:pPr>
          <a:endParaRPr kumimoji="1" lang="ja-JP" altLang="en-US" sz="1400" b="0" i="0" u="none" strike="noStrike" cap="none" normalizeH="0" baseline="0">
            <a:ln>
              <a:noFill/>
            </a:ln>
            <a:solidFill>
              <a:srgbClr val="000000"/>
            </a:solidFill>
            <a:effectLst/>
            <a:latin typeface="メイリオ" pitchFamily="50" charset="-128"/>
            <a:ea typeface="メイリオ" pitchFamily="50" charset="-128"/>
          </a:endParaRPr>
        </a:p>
      </xdr:txBody>
    </xdr:sp>
    <xdr:clientData/>
  </xdr:twoCellAnchor>
  <xdr:twoCellAnchor>
    <xdr:from>
      <xdr:col>4</xdr:col>
      <xdr:colOff>6350</xdr:colOff>
      <xdr:row>34</xdr:row>
      <xdr:rowOff>0</xdr:rowOff>
    </xdr:from>
    <xdr:to>
      <xdr:col>6</xdr:col>
      <xdr:colOff>1395</xdr:colOff>
      <xdr:row>61</xdr:row>
      <xdr:rowOff>28575</xdr:rowOff>
    </xdr:to>
    <xdr:sp macro="" textlink="">
      <xdr:nvSpPr>
        <xdr:cNvPr id="42" name="角丸四角形 133">
          <a:extLst>
            <a:ext uri="{FF2B5EF4-FFF2-40B4-BE49-F238E27FC236}">
              <a16:creationId xmlns:a16="http://schemas.microsoft.com/office/drawing/2014/main" id="{98D60E00-3FF3-41B4-8C16-BBE63E69F907}"/>
            </a:ext>
          </a:extLst>
        </xdr:cNvPr>
        <xdr:cNvSpPr/>
      </xdr:nvSpPr>
      <xdr:spPr>
        <a:xfrm>
          <a:off x="730250" y="6019800"/>
          <a:ext cx="35699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180974</xdr:colOff>
      <xdr:row>34</xdr:row>
      <xdr:rowOff>0</xdr:rowOff>
    </xdr:from>
    <xdr:to>
      <xdr:col>8</xdr:col>
      <xdr:colOff>161924</xdr:colOff>
      <xdr:row>61</xdr:row>
      <xdr:rowOff>28575</xdr:rowOff>
    </xdr:to>
    <xdr:sp macro="" textlink="">
      <xdr:nvSpPr>
        <xdr:cNvPr id="43" name="角丸四角形 133">
          <a:extLst>
            <a:ext uri="{FF2B5EF4-FFF2-40B4-BE49-F238E27FC236}">
              <a16:creationId xmlns:a16="http://schemas.microsoft.com/office/drawing/2014/main" id="{BAB1C4CE-FBF5-4E2F-9746-4748692C0F1C}"/>
            </a:ext>
          </a:extLst>
        </xdr:cNvPr>
        <xdr:cNvSpPr/>
      </xdr:nvSpPr>
      <xdr:spPr>
        <a:xfrm>
          <a:off x="1085849" y="6019800"/>
          <a:ext cx="52387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34</xdr:row>
      <xdr:rowOff>0</xdr:rowOff>
    </xdr:from>
    <xdr:to>
      <xdr:col>11</xdr:col>
      <xdr:colOff>161925</xdr:colOff>
      <xdr:row>61</xdr:row>
      <xdr:rowOff>25400</xdr:rowOff>
    </xdr:to>
    <xdr:sp macro="" textlink="">
      <xdr:nvSpPr>
        <xdr:cNvPr id="55" name="角丸四角形 133">
          <a:extLst>
            <a:ext uri="{FF2B5EF4-FFF2-40B4-BE49-F238E27FC236}">
              <a16:creationId xmlns:a16="http://schemas.microsoft.com/office/drawing/2014/main" id="{DD163B7F-57A9-49CC-B627-B22772F18702}"/>
            </a:ext>
          </a:extLst>
        </xdr:cNvPr>
        <xdr:cNvSpPr/>
      </xdr:nvSpPr>
      <xdr:spPr>
        <a:xfrm>
          <a:off x="1628775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14</xdr:col>
      <xdr:colOff>161925</xdr:colOff>
      <xdr:row>61</xdr:row>
      <xdr:rowOff>25400</xdr:rowOff>
    </xdr:to>
    <xdr:sp macro="" textlink="">
      <xdr:nvSpPr>
        <xdr:cNvPr id="56" name="角丸四角形 133">
          <a:extLst>
            <a:ext uri="{FF2B5EF4-FFF2-40B4-BE49-F238E27FC236}">
              <a16:creationId xmlns:a16="http://schemas.microsoft.com/office/drawing/2014/main" id="{7C666C79-3618-40F5-9441-6E396E0FCC42}"/>
            </a:ext>
          </a:extLst>
        </xdr:cNvPr>
        <xdr:cNvSpPr/>
      </xdr:nvSpPr>
      <xdr:spPr>
        <a:xfrm>
          <a:off x="217170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0</xdr:colOff>
      <xdr:row>33</xdr:row>
      <xdr:rowOff>133350</xdr:rowOff>
    </xdr:from>
    <xdr:to>
      <xdr:col>17</xdr:col>
      <xdr:colOff>158750</xdr:colOff>
      <xdr:row>61</xdr:row>
      <xdr:rowOff>0</xdr:rowOff>
    </xdr:to>
    <xdr:sp macro="" textlink="">
      <xdr:nvSpPr>
        <xdr:cNvPr id="57" name="角丸四角形 133">
          <a:extLst>
            <a:ext uri="{FF2B5EF4-FFF2-40B4-BE49-F238E27FC236}">
              <a16:creationId xmlns:a16="http://schemas.microsoft.com/office/drawing/2014/main" id="{83C27222-E5B9-492C-B86E-89E9B89411E0}"/>
            </a:ext>
          </a:extLst>
        </xdr:cNvPr>
        <xdr:cNvSpPr/>
      </xdr:nvSpPr>
      <xdr:spPr>
        <a:xfrm>
          <a:off x="2714625" y="6105525"/>
          <a:ext cx="520700" cy="32194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0</xdr:colOff>
      <xdr:row>34</xdr:row>
      <xdr:rowOff>0</xdr:rowOff>
    </xdr:from>
    <xdr:to>
      <xdr:col>20</xdr:col>
      <xdr:colOff>161925</xdr:colOff>
      <xdr:row>61</xdr:row>
      <xdr:rowOff>25400</xdr:rowOff>
    </xdr:to>
    <xdr:sp macro="" textlink="">
      <xdr:nvSpPr>
        <xdr:cNvPr id="58" name="角丸四角形 133">
          <a:extLst>
            <a:ext uri="{FF2B5EF4-FFF2-40B4-BE49-F238E27FC236}">
              <a16:creationId xmlns:a16="http://schemas.microsoft.com/office/drawing/2014/main" id="{2387A002-5AE6-4CD8-B277-6010C41674D2}"/>
            </a:ext>
          </a:extLst>
        </xdr:cNvPr>
        <xdr:cNvSpPr/>
      </xdr:nvSpPr>
      <xdr:spPr>
        <a:xfrm>
          <a:off x="325755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158751</xdr:colOff>
      <xdr:row>34</xdr:row>
      <xdr:rowOff>19050</xdr:rowOff>
    </xdr:from>
    <xdr:to>
      <xdr:col>42</xdr:col>
      <xdr:colOff>1</xdr:colOff>
      <xdr:row>36</xdr:row>
      <xdr:rowOff>188259</xdr:rowOff>
    </xdr:to>
    <xdr:sp macro="" textlink="">
      <xdr:nvSpPr>
        <xdr:cNvPr id="59" name="角丸四角形 142">
          <a:extLst>
            <a:ext uri="{FF2B5EF4-FFF2-40B4-BE49-F238E27FC236}">
              <a16:creationId xmlns:a16="http://schemas.microsoft.com/office/drawing/2014/main" id="{5ED0C094-D949-4CF1-AD95-2FDDBB41F012}"/>
            </a:ext>
          </a:extLst>
        </xdr:cNvPr>
        <xdr:cNvSpPr/>
      </xdr:nvSpPr>
      <xdr:spPr>
        <a:xfrm>
          <a:off x="3778251" y="6038850"/>
          <a:ext cx="3822700" cy="36923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37</xdr:row>
      <xdr:rowOff>1</xdr:rowOff>
    </xdr:from>
    <xdr:to>
      <xdr:col>42</xdr:col>
      <xdr:colOff>6351</xdr:colOff>
      <xdr:row>57</xdr:row>
      <xdr:rowOff>142876</xdr:rowOff>
    </xdr:to>
    <xdr:sp macro="" textlink="">
      <xdr:nvSpPr>
        <xdr:cNvPr id="61" name="角丸四角形 132">
          <a:extLst>
            <a:ext uri="{FF2B5EF4-FFF2-40B4-BE49-F238E27FC236}">
              <a16:creationId xmlns:a16="http://schemas.microsoft.com/office/drawing/2014/main" id="{7129A818-2423-4D95-ADED-C1DED6283EC1}"/>
            </a:ext>
          </a:extLst>
        </xdr:cNvPr>
        <xdr:cNvSpPr/>
      </xdr:nvSpPr>
      <xdr:spPr>
        <a:xfrm>
          <a:off x="3800476" y="6419851"/>
          <a:ext cx="3806825" cy="2247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76199</xdr:colOff>
      <xdr:row>27</xdr:row>
      <xdr:rowOff>76200</xdr:rowOff>
    </xdr:from>
    <xdr:to>
      <xdr:col>42</xdr:col>
      <xdr:colOff>133350</xdr:colOff>
      <xdr:row>29</xdr:row>
      <xdr:rowOff>123825</xdr:rowOff>
    </xdr:to>
    <xdr:sp macro="" textlink="">
      <xdr:nvSpPr>
        <xdr:cNvPr id="65" name="正方形/長方形 64">
          <a:extLst>
            <a:ext uri="{FF2B5EF4-FFF2-40B4-BE49-F238E27FC236}">
              <a16:creationId xmlns:a16="http://schemas.microsoft.com/office/drawing/2014/main" id="{385221A9-C4EB-4176-8166-590D47014668}"/>
            </a:ext>
          </a:extLst>
        </xdr:cNvPr>
        <xdr:cNvSpPr/>
      </xdr:nvSpPr>
      <xdr:spPr bwMode="auto">
        <a:xfrm>
          <a:off x="6772274" y="5076825"/>
          <a:ext cx="962026" cy="371475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800" b="1" i="0" u="none" strike="noStrike" cap="none" normalizeH="0" baseline="0">
              <a:ln>
                <a:noFill/>
              </a:ln>
              <a:solidFill>
                <a:schemeClr val="bg1"/>
              </a:solidFill>
              <a:effectLst/>
            </a:rPr>
            <a:t>CSV </a:t>
          </a:r>
          <a:r>
            <a:rPr lang="en-US" altLang="ja-JP" sz="800" b="1">
              <a:solidFill>
                <a:schemeClr val="lt1"/>
              </a:solidFill>
            </a:rPr>
            <a:t>Download</a:t>
          </a:r>
          <a:endParaRPr lang="ja-JP" altLang="ja-JP" sz="800" b="1"/>
        </a:p>
      </xdr:txBody>
    </xdr:sp>
    <xdr:clientData/>
  </xdr:twoCellAnchor>
  <xdr:twoCellAnchor>
    <xdr:from>
      <xdr:col>19</xdr:col>
      <xdr:colOff>82551</xdr:colOff>
      <xdr:row>10</xdr:row>
      <xdr:rowOff>139700</xdr:rowOff>
    </xdr:from>
    <xdr:to>
      <xdr:col>21</xdr:col>
      <xdr:colOff>101601</xdr:colOff>
      <xdr:row>12</xdr:row>
      <xdr:rowOff>66675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F3E541FB-2DA1-4881-9EA0-808DA5D514D0}"/>
            </a:ext>
          </a:extLst>
        </xdr:cNvPr>
        <xdr:cNvSpPr/>
      </xdr:nvSpPr>
      <xdr:spPr>
        <a:xfrm>
          <a:off x="3521076" y="1901825"/>
          <a:ext cx="381000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26</xdr:row>
      <xdr:rowOff>47625</xdr:rowOff>
    </xdr:from>
    <xdr:to>
      <xdr:col>3</xdr:col>
      <xdr:colOff>142875</xdr:colOff>
      <xdr:row>27</xdr:row>
      <xdr:rowOff>133350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52B636FA-421C-46F8-9466-0D471981E1D7}"/>
            </a:ext>
          </a:extLst>
        </xdr:cNvPr>
        <xdr:cNvSpPr/>
      </xdr:nvSpPr>
      <xdr:spPr>
        <a:xfrm>
          <a:off x="304800" y="50958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30</xdr:row>
      <xdr:rowOff>38100</xdr:rowOff>
    </xdr:from>
    <xdr:to>
      <xdr:col>3</xdr:col>
      <xdr:colOff>142875</xdr:colOff>
      <xdr:row>31</xdr:row>
      <xdr:rowOff>123825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FB38F78-1CD6-4DBB-AF52-6E017C95E9D2}"/>
            </a:ext>
          </a:extLst>
        </xdr:cNvPr>
        <xdr:cNvSpPr/>
      </xdr:nvSpPr>
      <xdr:spPr>
        <a:xfrm>
          <a:off x="304800" y="55721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114300</xdr:colOff>
      <xdr:row>26</xdr:row>
      <xdr:rowOff>76200</xdr:rowOff>
    </xdr:from>
    <xdr:to>
      <xdr:col>37</xdr:col>
      <xdr:colOff>133350</xdr:colOff>
      <xdr:row>28</xdr:row>
      <xdr:rowOff>0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9F792120-6697-4F37-81C7-7EA77FDBCCAA}"/>
            </a:ext>
          </a:extLst>
        </xdr:cNvPr>
        <xdr:cNvSpPr/>
      </xdr:nvSpPr>
      <xdr:spPr>
        <a:xfrm>
          <a:off x="6448425" y="5124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104775</xdr:colOff>
      <xdr:row>32</xdr:row>
      <xdr:rowOff>38100</xdr:rowOff>
    </xdr:from>
    <xdr:to>
      <xdr:col>5</xdr:col>
      <xdr:colOff>123825</xdr:colOff>
      <xdr:row>33</xdr:row>
      <xdr:rowOff>123825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FBA3E620-A1AD-49DC-B261-A6B0A8C835F5}"/>
            </a:ext>
          </a:extLst>
        </xdr:cNvPr>
        <xdr:cNvSpPr/>
      </xdr:nvSpPr>
      <xdr:spPr>
        <a:xfrm>
          <a:off x="647700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47625</xdr:colOff>
      <xdr:row>32</xdr:row>
      <xdr:rowOff>38100</xdr:rowOff>
    </xdr:from>
    <xdr:to>
      <xdr:col>8</xdr:col>
      <xdr:colOff>66675</xdr:colOff>
      <xdr:row>33</xdr:row>
      <xdr:rowOff>123825</xdr:rowOff>
    </xdr:to>
    <xdr:sp macro="" textlink="">
      <xdr:nvSpPr>
        <xdr:cNvPr id="71" name="正方形/長方形 70">
          <a:extLst>
            <a:ext uri="{FF2B5EF4-FFF2-40B4-BE49-F238E27FC236}">
              <a16:creationId xmlns:a16="http://schemas.microsoft.com/office/drawing/2014/main" id="{6F0B4651-6E66-4B2B-9342-BA218EAA560A}"/>
            </a:ext>
          </a:extLst>
        </xdr:cNvPr>
        <xdr:cNvSpPr/>
      </xdr:nvSpPr>
      <xdr:spPr>
        <a:xfrm>
          <a:off x="1133475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47625</xdr:colOff>
      <xdr:row>32</xdr:row>
      <xdr:rowOff>28575</xdr:rowOff>
    </xdr:from>
    <xdr:to>
      <xdr:col>11</xdr:col>
      <xdr:colOff>66675</xdr:colOff>
      <xdr:row>33</xdr:row>
      <xdr:rowOff>114300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6D766107-6F61-425F-B477-C14A9E7B920E}"/>
            </a:ext>
          </a:extLst>
        </xdr:cNvPr>
        <xdr:cNvSpPr/>
      </xdr:nvSpPr>
      <xdr:spPr>
        <a:xfrm>
          <a:off x="1676400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47625</xdr:colOff>
      <xdr:row>32</xdr:row>
      <xdr:rowOff>28575</xdr:rowOff>
    </xdr:from>
    <xdr:to>
      <xdr:col>14</xdr:col>
      <xdr:colOff>66675</xdr:colOff>
      <xdr:row>33</xdr:row>
      <xdr:rowOff>114300</xdr:rowOff>
    </xdr:to>
    <xdr:sp macro="" textlink="">
      <xdr:nvSpPr>
        <xdr:cNvPr id="73" name="正方形/長方形 72">
          <a:extLst>
            <a:ext uri="{FF2B5EF4-FFF2-40B4-BE49-F238E27FC236}">
              <a16:creationId xmlns:a16="http://schemas.microsoft.com/office/drawing/2014/main" id="{6D3E4F95-CE53-434D-A5B2-3AC829E17F8D}"/>
            </a:ext>
          </a:extLst>
        </xdr:cNvPr>
        <xdr:cNvSpPr/>
      </xdr:nvSpPr>
      <xdr:spPr>
        <a:xfrm>
          <a:off x="2219325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3174</xdr:colOff>
      <xdr:row>32</xdr:row>
      <xdr:rowOff>25400</xdr:rowOff>
    </xdr:from>
    <xdr:to>
      <xdr:col>17</xdr:col>
      <xdr:colOff>114300</xdr:colOff>
      <xdr:row>33</xdr:row>
      <xdr:rowOff>111125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9FF74617-ED1C-4AD0-BCB9-20A24A67BB4D}"/>
            </a:ext>
          </a:extLst>
        </xdr:cNvPr>
        <xdr:cNvSpPr/>
      </xdr:nvSpPr>
      <xdr:spPr>
        <a:xfrm>
          <a:off x="2717799" y="58832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69849</xdr:colOff>
      <xdr:row>32</xdr:row>
      <xdr:rowOff>38100</xdr:rowOff>
    </xdr:from>
    <xdr:to>
      <xdr:col>20</xdr:col>
      <xdr:colOff>177800</xdr:colOff>
      <xdr:row>33</xdr:row>
      <xdr:rowOff>123825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BA5F36C5-75D9-4557-B712-926260D5E779}"/>
            </a:ext>
          </a:extLst>
        </xdr:cNvPr>
        <xdr:cNvSpPr/>
      </xdr:nvSpPr>
      <xdr:spPr>
        <a:xfrm>
          <a:off x="3327399" y="5895975"/>
          <a:ext cx="46990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0</xdr:colOff>
      <xdr:row>32</xdr:row>
      <xdr:rowOff>0</xdr:rowOff>
    </xdr:from>
    <xdr:to>
      <xdr:col>27</xdr:col>
      <xdr:colOff>111126</xdr:colOff>
      <xdr:row>33</xdr:row>
      <xdr:rowOff>85725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09B88085-B3AE-45D0-A90B-D9AA9884DC9E}"/>
            </a:ext>
          </a:extLst>
        </xdr:cNvPr>
        <xdr:cNvSpPr/>
      </xdr:nvSpPr>
      <xdr:spPr>
        <a:xfrm>
          <a:off x="4524375" y="58578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42</xdr:col>
      <xdr:colOff>0</xdr:colOff>
      <xdr:row>40</xdr:row>
      <xdr:rowOff>0</xdr:rowOff>
    </xdr:from>
    <xdr:to>
      <xdr:col>44</xdr:col>
      <xdr:colOff>111126</xdr:colOff>
      <xdr:row>41</xdr:row>
      <xdr:rowOff>95250</xdr:rowOff>
    </xdr:to>
    <xdr:sp macro="" textlink="">
      <xdr:nvSpPr>
        <xdr:cNvPr id="77" name="正方形/長方形 76">
          <a:extLst>
            <a:ext uri="{FF2B5EF4-FFF2-40B4-BE49-F238E27FC236}">
              <a16:creationId xmlns:a16="http://schemas.microsoft.com/office/drawing/2014/main" id="{BFFF38F9-201D-40E2-92DD-1C68678665DE}"/>
            </a:ext>
          </a:extLst>
        </xdr:cNvPr>
        <xdr:cNvSpPr/>
      </xdr:nvSpPr>
      <xdr:spPr>
        <a:xfrm>
          <a:off x="7600950" y="7524750"/>
          <a:ext cx="473076" cy="2571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8264</xdr:colOff>
      <xdr:row>62</xdr:row>
      <xdr:rowOff>85725</xdr:rowOff>
    </xdr:from>
    <xdr:to>
      <xdr:col>32</xdr:col>
      <xdr:colOff>222</xdr:colOff>
      <xdr:row>65</xdr:row>
      <xdr:rowOff>103203</xdr:rowOff>
    </xdr:to>
    <xdr:sp macro="" textlink="">
      <xdr:nvSpPr>
        <xdr:cNvPr id="78" name="正方形/長方形 77">
          <a:extLst>
            <a:ext uri="{FF2B5EF4-FFF2-40B4-BE49-F238E27FC236}">
              <a16:creationId xmlns:a16="http://schemas.microsoft.com/office/drawing/2014/main" id="{66D1206D-18B4-485F-94D6-D161FDE3107C}"/>
            </a:ext>
          </a:extLst>
        </xdr:cNvPr>
        <xdr:cNvSpPr/>
      </xdr:nvSpPr>
      <xdr:spPr>
        <a:xfrm>
          <a:off x="4532639" y="10925175"/>
          <a:ext cx="1258783" cy="503253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bg1"/>
              </a:solidFill>
              <a:latin typeface="+mn-ea"/>
              <a:ea typeface="+mn-ea"/>
            </a:rPr>
            <a:t>申請</a:t>
          </a:r>
          <a:endParaRPr kumimoji="1" lang="en-US" altLang="ja-JP" sz="1050" b="1">
            <a:solidFill>
              <a:schemeClr val="bg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  <a:latin typeface="+mn-ea"/>
              <a:ea typeface="+mn-ea"/>
            </a:rPr>
            <a:t>APPLY</a:t>
          </a:r>
          <a:endParaRPr kumimoji="1" lang="ja-JP" altLang="en-US" sz="1000" b="0">
            <a:solidFill>
              <a:schemeClr val="bg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14</xdr:col>
      <xdr:colOff>28574</xdr:colOff>
      <xdr:row>62</xdr:row>
      <xdr:rowOff>101600</xdr:rowOff>
    </xdr:from>
    <xdr:to>
      <xdr:col>21</xdr:col>
      <xdr:colOff>27124</xdr:colOff>
      <xdr:row>65</xdr:row>
      <xdr:rowOff>104775</xdr:rowOff>
    </xdr:to>
    <xdr:sp macro="" textlink="">
      <xdr:nvSpPr>
        <xdr:cNvPr id="79" name="正方形/長方形 78">
          <a:extLst>
            <a:ext uri="{FF2B5EF4-FFF2-40B4-BE49-F238E27FC236}">
              <a16:creationId xmlns:a16="http://schemas.microsoft.com/office/drawing/2014/main" id="{254EB633-55E1-4513-BC2B-F2A93B85DF51}"/>
            </a:ext>
          </a:extLst>
        </xdr:cNvPr>
        <xdr:cNvSpPr/>
      </xdr:nvSpPr>
      <xdr:spPr>
        <a:xfrm>
          <a:off x="2562224" y="9436100"/>
          <a:ext cx="1265375" cy="48895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tx1"/>
              </a:solidFill>
              <a:latin typeface="+mn-ea"/>
              <a:ea typeface="+mn-ea"/>
            </a:rPr>
            <a:t>戻る</a:t>
          </a:r>
          <a:endParaRPr kumimoji="1" lang="en-US" altLang="ja-JP" sz="1050" b="1">
            <a:solidFill>
              <a:schemeClr val="tx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  <a:latin typeface="+mn-ea"/>
              <a:ea typeface="+mn-ea"/>
            </a:rPr>
            <a:t>BACK</a:t>
          </a:r>
          <a:endParaRPr kumimoji="1" lang="ja-JP" altLang="en-US" sz="10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12</xdr:col>
      <xdr:colOff>0</xdr:colOff>
      <xdr:row>62</xdr:row>
      <xdr:rowOff>9525</xdr:rowOff>
    </xdr:from>
    <xdr:to>
      <xdr:col>14</xdr:col>
      <xdr:colOff>111126</xdr:colOff>
      <xdr:row>63</xdr:row>
      <xdr:rowOff>95250</xdr:rowOff>
    </xdr:to>
    <xdr:sp macro="" textlink="">
      <xdr:nvSpPr>
        <xdr:cNvPr id="82" name="正方形/長方形 81">
          <a:extLst>
            <a:ext uri="{FF2B5EF4-FFF2-40B4-BE49-F238E27FC236}">
              <a16:creationId xmlns:a16="http://schemas.microsoft.com/office/drawing/2014/main" id="{BF3F377F-4997-4149-A223-1639972D51A8}"/>
            </a:ext>
          </a:extLst>
        </xdr:cNvPr>
        <xdr:cNvSpPr/>
      </xdr:nvSpPr>
      <xdr:spPr>
        <a:xfrm>
          <a:off x="2171700" y="934402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0</xdr:colOff>
      <xdr:row>62</xdr:row>
      <xdr:rowOff>0</xdr:rowOff>
    </xdr:from>
    <xdr:to>
      <xdr:col>25</xdr:col>
      <xdr:colOff>111126</xdr:colOff>
      <xdr:row>63</xdr:row>
      <xdr:rowOff>82550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DAB8684F-DBFC-4BA5-A0E8-358C2198CEBB}"/>
            </a:ext>
          </a:extLst>
        </xdr:cNvPr>
        <xdr:cNvSpPr/>
      </xdr:nvSpPr>
      <xdr:spPr>
        <a:xfrm>
          <a:off x="4162425" y="9334500"/>
          <a:ext cx="473076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123826</xdr:colOff>
      <xdr:row>78</xdr:row>
      <xdr:rowOff>28576</xdr:rowOff>
    </xdr:from>
    <xdr:to>
      <xdr:col>10</xdr:col>
      <xdr:colOff>76201</xdr:colOff>
      <xdr:row>80</xdr:row>
      <xdr:rowOff>63500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EAA9EDFE-026B-4A22-9A31-030F6483C7E5}"/>
            </a:ext>
          </a:extLst>
        </xdr:cNvPr>
        <xdr:cNvSpPr/>
      </xdr:nvSpPr>
      <xdr:spPr>
        <a:xfrm>
          <a:off x="1028701" y="11630026"/>
          <a:ext cx="857250" cy="358774"/>
        </a:xfrm>
        <a:prstGeom prst="rect">
          <a:avLst/>
        </a:prstGeom>
        <a:solidFill>
          <a:schemeClr val="bg1">
            <a:lumMod val="75000"/>
          </a:schemeClr>
        </a:solidFill>
        <a:ln w="3175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tx1"/>
              </a:solidFill>
            </a:rPr>
            <a:t>いいえ</a:t>
          </a:r>
          <a:endParaRPr kumimoji="1" lang="en-US" altLang="ja-JP" sz="900" b="1">
            <a:solidFill>
              <a:schemeClr val="tx1"/>
            </a:solidFill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</a:rPr>
            <a:t>NO</a:t>
          </a:r>
          <a:endParaRPr kumimoji="1" lang="ja-JP" altLang="en-US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85725</xdr:colOff>
      <xdr:row>78</xdr:row>
      <xdr:rowOff>25400</xdr:rowOff>
    </xdr:from>
    <xdr:to>
      <xdr:col>15</xdr:col>
      <xdr:colOff>171450</xdr:colOff>
      <xdr:row>80</xdr:row>
      <xdr:rowOff>57150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1C848A47-89A9-47B9-9A23-C9441658D716}"/>
            </a:ext>
          </a:extLst>
        </xdr:cNvPr>
        <xdr:cNvSpPr/>
      </xdr:nvSpPr>
      <xdr:spPr>
        <a:xfrm>
          <a:off x="2076450" y="11626850"/>
          <a:ext cx="809625" cy="35560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bg1"/>
              </a:solidFill>
            </a:rPr>
            <a:t>はい</a:t>
          </a:r>
          <a:endParaRPr kumimoji="1" lang="en-US" altLang="ja-JP" sz="900" b="1">
            <a:solidFill>
              <a:schemeClr val="bg1"/>
            </a:solidFill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</a:rPr>
            <a:t>YES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161925</xdr:colOff>
      <xdr:row>70</xdr:row>
      <xdr:rowOff>76201</xdr:rowOff>
    </xdr:from>
    <xdr:to>
      <xdr:col>16</xdr:col>
      <xdr:colOff>130176</xdr:colOff>
      <xdr:row>71</xdr:row>
      <xdr:rowOff>123826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CA348ADB-3FF8-451F-B81E-E3471AF64439}"/>
            </a:ext>
          </a:extLst>
        </xdr:cNvPr>
        <xdr:cNvSpPr/>
      </xdr:nvSpPr>
      <xdr:spPr>
        <a:xfrm>
          <a:off x="2876550" y="12211051"/>
          <a:ext cx="149226" cy="20955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 b="0">
              <a:solidFill>
                <a:schemeClr val="bg1"/>
              </a:solidFill>
            </a:rPr>
            <a:t>X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19050</xdr:colOff>
      <xdr:row>80</xdr:row>
      <xdr:rowOff>66675</xdr:rowOff>
    </xdr:from>
    <xdr:to>
      <xdr:col>6</xdr:col>
      <xdr:colOff>130176</xdr:colOff>
      <xdr:row>81</xdr:row>
      <xdr:rowOff>152400</xdr:rowOff>
    </xdr:to>
    <xdr:sp macro="" textlink="">
      <xdr:nvSpPr>
        <xdr:cNvPr id="87" name="正方形/長方形 86">
          <a:extLst>
            <a:ext uri="{FF2B5EF4-FFF2-40B4-BE49-F238E27FC236}">
              <a16:creationId xmlns:a16="http://schemas.microsoft.com/office/drawing/2014/main" id="{4EEE7EF9-CDE8-4B5C-B1A3-F4407292D20D}"/>
            </a:ext>
          </a:extLst>
        </xdr:cNvPr>
        <xdr:cNvSpPr/>
      </xdr:nvSpPr>
      <xdr:spPr>
        <a:xfrm>
          <a:off x="742950" y="119919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104775</xdr:colOff>
      <xdr:row>80</xdr:row>
      <xdr:rowOff>76200</xdr:rowOff>
    </xdr:from>
    <xdr:to>
      <xdr:col>13</xdr:col>
      <xdr:colOff>34926</xdr:colOff>
      <xdr:row>82</xdr:row>
      <xdr:rowOff>0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BB4CAE69-273E-4D93-A564-A94CA86EEA6A}"/>
            </a:ext>
          </a:extLst>
        </xdr:cNvPr>
        <xdr:cNvSpPr/>
      </xdr:nvSpPr>
      <xdr:spPr>
        <a:xfrm>
          <a:off x="1914525" y="1200150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2.17</a:t>
          </a:r>
        </a:p>
      </xdr:txBody>
    </xdr:sp>
    <xdr:clientData/>
  </xdr:twoCellAnchor>
  <xdr:twoCellAnchor>
    <xdr:from>
      <xdr:col>18</xdr:col>
      <xdr:colOff>161925</xdr:colOff>
      <xdr:row>69</xdr:row>
      <xdr:rowOff>34925</xdr:rowOff>
    </xdr:from>
    <xdr:to>
      <xdr:col>21</xdr:col>
      <xdr:colOff>95251</xdr:colOff>
      <xdr:row>70</xdr:row>
      <xdr:rowOff>120650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F9856F69-0FB9-414C-8FF2-8D8F83752011}"/>
            </a:ext>
          </a:extLst>
        </xdr:cNvPr>
        <xdr:cNvSpPr/>
      </xdr:nvSpPr>
      <xdr:spPr>
        <a:xfrm>
          <a:off x="3419475" y="12007850"/>
          <a:ext cx="47625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9525</xdr:colOff>
      <xdr:row>22</xdr:row>
      <xdr:rowOff>114300</xdr:rowOff>
    </xdr:from>
    <xdr:to>
      <xdr:col>3</xdr:col>
      <xdr:colOff>120651</xdr:colOff>
      <xdr:row>24</xdr:row>
      <xdr:rowOff>38100</xdr:rowOff>
    </xdr:to>
    <xdr:sp macro="" textlink="">
      <xdr:nvSpPr>
        <xdr:cNvPr id="90" name="正方形/長方形 89">
          <a:extLst>
            <a:ext uri="{FF2B5EF4-FFF2-40B4-BE49-F238E27FC236}">
              <a16:creationId xmlns:a16="http://schemas.microsoft.com/office/drawing/2014/main" id="{8C61842F-6C18-4324-A80B-1FB1D1D43581}"/>
            </a:ext>
          </a:extLst>
        </xdr:cNvPr>
        <xdr:cNvSpPr/>
      </xdr:nvSpPr>
      <xdr:spPr>
        <a:xfrm>
          <a:off x="190500" y="451485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19050</xdr:colOff>
      <xdr:row>37</xdr:row>
      <xdr:rowOff>0</xdr:rowOff>
    </xdr:from>
    <xdr:to>
      <xdr:col>42</xdr:col>
      <xdr:colOff>0</xdr:colOff>
      <xdr:row>40</xdr:row>
      <xdr:rowOff>19050</xdr:rowOff>
    </xdr:to>
    <xdr:sp macro="" textlink="">
      <xdr:nvSpPr>
        <xdr:cNvPr id="91" name="角丸四角形 4">
          <a:extLst>
            <a:ext uri="{FF2B5EF4-FFF2-40B4-BE49-F238E27FC236}">
              <a16:creationId xmlns:a16="http://schemas.microsoft.com/office/drawing/2014/main" id="{5E104B8C-6817-4B40-82B5-E077888DDD1B}"/>
            </a:ext>
          </a:extLst>
        </xdr:cNvPr>
        <xdr:cNvSpPr/>
      </xdr:nvSpPr>
      <xdr:spPr>
        <a:xfrm>
          <a:off x="3819525" y="6581775"/>
          <a:ext cx="3781425" cy="342900"/>
        </a:xfrm>
        <a:prstGeom prst="roundRect">
          <a:avLst/>
        </a:prstGeom>
        <a:noFill/>
        <a:ln>
          <a:solidFill>
            <a:srgbClr val="92D05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43</xdr:col>
      <xdr:colOff>0</xdr:colOff>
      <xdr:row>60</xdr:row>
      <xdr:rowOff>0</xdr:rowOff>
    </xdr:from>
    <xdr:to>
      <xdr:col>51</xdr:col>
      <xdr:colOff>48932</xdr:colOff>
      <xdr:row>63</xdr:row>
      <xdr:rowOff>123825</xdr:rowOff>
    </xdr:to>
    <xdr:sp macro="" textlink="">
      <xdr:nvSpPr>
        <xdr:cNvPr id="93" name="角丸四角形吹き出し 215">
          <a:extLst>
            <a:ext uri="{FF2B5EF4-FFF2-40B4-BE49-F238E27FC236}">
              <a16:creationId xmlns:a16="http://schemas.microsoft.com/office/drawing/2014/main" id="{BDA2711D-29DE-40AD-A9F7-93FFE2BC940F}"/>
            </a:ext>
          </a:extLst>
        </xdr:cNvPr>
        <xdr:cNvSpPr/>
      </xdr:nvSpPr>
      <xdr:spPr>
        <a:xfrm>
          <a:off x="7781925" y="9010650"/>
          <a:ext cx="1496732" cy="609600"/>
        </a:xfrm>
        <a:prstGeom prst="wedgeRoundRectCallout">
          <a:avLst>
            <a:gd name="adj1" fmla="val -59552"/>
            <a:gd name="adj2" fmla="val -50605"/>
            <a:gd name="adj3" fmla="val 16667"/>
          </a:avLst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赤色はエラーメッセージの色と同じ色とする。</a:t>
          </a:r>
        </a:p>
      </xdr:txBody>
    </xdr:sp>
    <xdr:clientData/>
  </xdr:twoCellAnchor>
  <xdr:twoCellAnchor>
    <xdr:from>
      <xdr:col>32</xdr:col>
      <xdr:colOff>11020</xdr:colOff>
      <xdr:row>15</xdr:row>
      <xdr:rowOff>46878</xdr:rowOff>
    </xdr:from>
    <xdr:to>
      <xdr:col>34</xdr:col>
      <xdr:colOff>30070</xdr:colOff>
      <xdr:row>16</xdr:row>
      <xdr:rowOff>133910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27E48A0-B4FB-4CE8-9FBD-2FE4AC10D6C8}"/>
            </a:ext>
          </a:extLst>
        </xdr:cNvPr>
        <xdr:cNvSpPr/>
      </xdr:nvSpPr>
      <xdr:spPr>
        <a:xfrm>
          <a:off x="5297395" y="2609103"/>
          <a:ext cx="349250" cy="24260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158751</xdr:colOff>
      <xdr:row>34</xdr:row>
      <xdr:rowOff>19050</xdr:rowOff>
    </xdr:from>
    <xdr:to>
      <xdr:col>42</xdr:col>
      <xdr:colOff>1</xdr:colOff>
      <xdr:row>36</xdr:row>
      <xdr:rowOff>188259</xdr:rowOff>
    </xdr:to>
    <xdr:sp macro="" textlink="">
      <xdr:nvSpPr>
        <xdr:cNvPr id="6" name="角丸四角形 142">
          <a:extLst>
            <a:ext uri="{FF2B5EF4-FFF2-40B4-BE49-F238E27FC236}">
              <a16:creationId xmlns:a16="http://schemas.microsoft.com/office/drawing/2014/main" id="{387FA923-6E02-4279-89AD-6A05EBDEE530}"/>
            </a:ext>
          </a:extLst>
        </xdr:cNvPr>
        <xdr:cNvSpPr/>
      </xdr:nvSpPr>
      <xdr:spPr>
        <a:xfrm>
          <a:off x="3460751" y="6337300"/>
          <a:ext cx="3473450" cy="48670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37</xdr:row>
      <xdr:rowOff>1</xdr:rowOff>
    </xdr:from>
    <xdr:to>
      <xdr:col>42</xdr:col>
      <xdr:colOff>6351</xdr:colOff>
      <xdr:row>57</xdr:row>
      <xdr:rowOff>142876</xdr:rowOff>
    </xdr:to>
    <xdr:sp macro="" textlink="">
      <xdr:nvSpPr>
        <xdr:cNvPr id="7" name="角丸四角形 132">
          <a:extLst>
            <a:ext uri="{FF2B5EF4-FFF2-40B4-BE49-F238E27FC236}">
              <a16:creationId xmlns:a16="http://schemas.microsoft.com/office/drawing/2014/main" id="{F2B9C21E-402E-48FB-A49D-B71226027C0F}"/>
            </a:ext>
          </a:extLst>
        </xdr:cNvPr>
        <xdr:cNvSpPr/>
      </xdr:nvSpPr>
      <xdr:spPr>
        <a:xfrm>
          <a:off x="3467101" y="7061201"/>
          <a:ext cx="3473450" cy="35083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168990</xdr:colOff>
      <xdr:row>18</xdr:row>
      <xdr:rowOff>62581</xdr:rowOff>
    </xdr:from>
    <xdr:to>
      <xdr:col>37</xdr:col>
      <xdr:colOff>41462</xdr:colOff>
      <xdr:row>22</xdr:row>
      <xdr:rowOff>16809</xdr:rowOff>
    </xdr:to>
    <xdr:sp macro="" textlink="">
      <xdr:nvSpPr>
        <xdr:cNvPr id="2" name="フローチャート: 磁気ディスク 1">
          <a:extLst>
            <a:ext uri="{FF2B5EF4-FFF2-40B4-BE49-F238E27FC236}">
              <a16:creationId xmlns:a16="http://schemas.microsoft.com/office/drawing/2014/main" id="{85ACDB14-4A5A-4660-88AC-4ECC3EAF399A}"/>
            </a:ext>
          </a:extLst>
        </xdr:cNvPr>
        <xdr:cNvSpPr/>
      </xdr:nvSpPr>
      <xdr:spPr>
        <a:xfrm>
          <a:off x="5693490" y="4501231"/>
          <a:ext cx="1396472" cy="7162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環境証明書申請製品情報</a:t>
          </a:r>
        </a:p>
      </xdr:txBody>
    </xdr:sp>
    <xdr:clientData/>
  </xdr:twoCellAnchor>
  <xdr:twoCellAnchor>
    <xdr:from>
      <xdr:col>7</xdr:col>
      <xdr:colOff>200026</xdr:colOff>
      <xdr:row>39</xdr:row>
      <xdr:rowOff>143476</xdr:rowOff>
    </xdr:from>
    <xdr:to>
      <xdr:col>23</xdr:col>
      <xdr:colOff>57409</xdr:colOff>
      <xdr:row>43</xdr:row>
      <xdr:rowOff>91427</xdr:rowOff>
    </xdr:to>
    <xdr:sp macro="" textlink="">
      <xdr:nvSpPr>
        <xdr:cNvPr id="3" name="フローチャート: 判断 2">
          <a:extLst>
            <a:ext uri="{FF2B5EF4-FFF2-40B4-BE49-F238E27FC236}">
              <a16:creationId xmlns:a16="http://schemas.microsoft.com/office/drawing/2014/main" id="{827E61F4-A5A3-4EC9-AA38-A25FF78AFB15}"/>
            </a:ext>
          </a:extLst>
        </xdr:cNvPr>
        <xdr:cNvSpPr/>
      </xdr:nvSpPr>
      <xdr:spPr>
        <a:xfrm>
          <a:off x="1520826" y="8582626"/>
          <a:ext cx="291808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A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－１－４．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に該当する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製品の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存在確認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128719</xdr:colOff>
      <xdr:row>17</xdr:row>
      <xdr:rowOff>26220</xdr:rowOff>
    </xdr:from>
    <xdr:to>
      <xdr:col>15</xdr:col>
      <xdr:colOff>131029</xdr:colOff>
      <xdr:row>19</xdr:row>
      <xdr:rowOff>179293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BC4B5F65-E861-41F5-A30C-666CAFBE31A3}"/>
            </a:ext>
          </a:extLst>
        </xdr:cNvPr>
        <xdr:cNvCxnSpPr>
          <a:stCxn id="8" idx="2"/>
          <a:endCxn id="107" idx="0"/>
        </xdr:cNvCxnSpPr>
      </xdr:nvCxnSpPr>
      <xdr:spPr>
        <a:xfrm>
          <a:off x="2986219" y="4274370"/>
          <a:ext cx="2310" cy="534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104939</xdr:colOff>
      <xdr:row>45</xdr:row>
      <xdr:rowOff>52262</xdr:rowOff>
    </xdr:from>
    <xdr:to>
      <xdr:col>23</xdr:col>
      <xdr:colOff>142875</xdr:colOff>
      <xdr:row>47</xdr:row>
      <xdr:rowOff>192511</xdr:rowOff>
    </xdr:to>
    <xdr:sp macro="" textlink="">
      <xdr:nvSpPr>
        <xdr:cNvPr id="5" name="フローチャート: 処理 4">
          <a:extLst>
            <a:ext uri="{FF2B5EF4-FFF2-40B4-BE49-F238E27FC236}">
              <a16:creationId xmlns:a16="http://schemas.microsoft.com/office/drawing/2014/main" id="{05B8D845-909E-4117-8825-A121FDF45125}"/>
            </a:ext>
          </a:extLst>
        </xdr:cNvPr>
        <xdr:cNvSpPr/>
      </xdr:nvSpPr>
      <xdr:spPr>
        <a:xfrm>
          <a:off x="1438439" y="9634412"/>
          <a:ext cx="3085936" cy="521249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－１－４．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コードより一致する製品証明書の情報を取得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112702</xdr:colOff>
      <xdr:row>47</xdr:row>
      <xdr:rowOff>192511</xdr:rowOff>
    </xdr:from>
    <xdr:to>
      <xdr:col>15</xdr:col>
      <xdr:colOff>119822</xdr:colOff>
      <xdr:row>51</xdr:row>
      <xdr:rowOff>11206</xdr:rowOff>
    </xdr:to>
    <xdr:cxnSp macro="">
      <xdr:nvCxnSpPr>
        <xdr:cNvPr id="6" name="直線矢印コネクタ 5">
          <a:extLst>
            <a:ext uri="{FF2B5EF4-FFF2-40B4-BE49-F238E27FC236}">
              <a16:creationId xmlns:a16="http://schemas.microsoft.com/office/drawing/2014/main" id="{E11F4F9F-DFBA-4073-9AFF-652B9FAC4D58}"/>
            </a:ext>
          </a:extLst>
        </xdr:cNvPr>
        <xdr:cNvCxnSpPr>
          <a:endCxn id="103" idx="0"/>
        </xdr:cNvCxnSpPr>
      </xdr:nvCxnSpPr>
      <xdr:spPr>
        <a:xfrm>
          <a:off x="2970202" y="10155661"/>
          <a:ext cx="7120" cy="58069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123907</xdr:colOff>
      <xdr:row>43</xdr:row>
      <xdr:rowOff>91427</xdr:rowOff>
    </xdr:from>
    <xdr:to>
      <xdr:col>15</xdr:col>
      <xdr:colOff>128718</xdr:colOff>
      <xdr:row>45</xdr:row>
      <xdr:rowOff>52262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F9E3EDED-B37F-432F-88BE-38176AD72793}"/>
            </a:ext>
          </a:extLst>
        </xdr:cNvPr>
        <xdr:cNvCxnSpPr>
          <a:stCxn id="3" idx="2"/>
          <a:endCxn id="5" idx="0"/>
        </xdr:cNvCxnSpPr>
      </xdr:nvCxnSpPr>
      <xdr:spPr>
        <a:xfrm flipH="1">
          <a:off x="2981407" y="9292577"/>
          <a:ext cx="4811" cy="34183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200189</xdr:colOff>
      <xdr:row>15</xdr:row>
      <xdr:rowOff>115707</xdr:rowOff>
    </xdr:from>
    <xdr:to>
      <xdr:col>23</xdr:col>
      <xdr:colOff>57247</xdr:colOff>
      <xdr:row>17</xdr:row>
      <xdr:rowOff>26220</xdr:rowOff>
    </xdr:to>
    <xdr:sp macro="" textlink="">
      <xdr:nvSpPr>
        <xdr:cNvPr id="8" name="フローチャート: 処理 7">
          <a:extLst>
            <a:ext uri="{FF2B5EF4-FFF2-40B4-BE49-F238E27FC236}">
              <a16:creationId xmlns:a16="http://schemas.microsoft.com/office/drawing/2014/main" id="{EF0C7EDD-FD3F-485F-8483-E8A517CD1BC8}"/>
            </a:ext>
          </a:extLst>
        </xdr:cNvPr>
        <xdr:cNvSpPr/>
      </xdr:nvSpPr>
      <xdr:spPr>
        <a:xfrm>
          <a:off x="1520989" y="3982857"/>
          <a:ext cx="291775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203642</xdr:colOff>
      <xdr:row>43</xdr:row>
      <xdr:rowOff>111178</xdr:rowOff>
    </xdr:from>
    <xdr:to>
      <xdr:col>17</xdr:col>
      <xdr:colOff>143982</xdr:colOff>
      <xdr:row>45</xdr:row>
      <xdr:rowOff>2286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83C82D95-E51B-4561-8928-76859B25123E}"/>
            </a:ext>
          </a:extLst>
        </xdr:cNvPr>
        <xdr:cNvSpPr/>
      </xdr:nvSpPr>
      <xdr:spPr>
        <a:xfrm>
          <a:off x="3048442" y="9312328"/>
          <a:ext cx="3340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7</xdr:row>
      <xdr:rowOff>74245</xdr:rowOff>
    </xdr:from>
    <xdr:to>
      <xdr:col>23</xdr:col>
      <xdr:colOff>66772</xdr:colOff>
      <xdr:row>8</xdr:row>
      <xdr:rowOff>173017</xdr:rowOff>
    </xdr:to>
    <xdr:sp macro="" textlink="">
      <xdr:nvSpPr>
        <xdr:cNvPr id="10" name="フローチャート: 処理 9">
          <a:extLst>
            <a:ext uri="{FF2B5EF4-FFF2-40B4-BE49-F238E27FC236}">
              <a16:creationId xmlns:a16="http://schemas.microsoft.com/office/drawing/2014/main" id="{C1DFB174-7C11-4630-B02F-B1C292A746CB}"/>
            </a:ext>
          </a:extLst>
        </xdr:cNvPr>
        <xdr:cNvSpPr/>
      </xdr:nvSpPr>
      <xdr:spPr>
        <a:xfrm>
          <a:off x="1524164" y="24173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－１－１．申請製品コードリストを取得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138113</xdr:colOff>
      <xdr:row>8</xdr:row>
      <xdr:rowOff>173017</xdr:rowOff>
    </xdr:from>
    <xdr:to>
      <xdr:col>15</xdr:col>
      <xdr:colOff>139925</xdr:colOff>
      <xdr:row>10</xdr:row>
      <xdr:rowOff>104774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88AF6267-BDDE-4DEF-9CDB-A95B388437F4}"/>
            </a:ext>
          </a:extLst>
        </xdr:cNvPr>
        <xdr:cNvCxnSpPr>
          <a:stCxn id="10" idx="2"/>
          <a:endCxn id="18" idx="0"/>
        </xdr:cNvCxnSpPr>
      </xdr:nvCxnSpPr>
      <xdr:spPr>
        <a:xfrm flipH="1">
          <a:off x="2995613" y="2706667"/>
          <a:ext cx="181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200026</xdr:colOff>
      <xdr:row>13</xdr:row>
      <xdr:rowOff>133351</xdr:rowOff>
    </xdr:from>
    <xdr:to>
      <xdr:col>15</xdr:col>
      <xdr:colOff>114300</xdr:colOff>
      <xdr:row>41</xdr:row>
      <xdr:rowOff>117453</xdr:rowOff>
    </xdr:to>
    <xdr:cxnSp macro="">
      <xdr:nvCxnSpPr>
        <xdr:cNvPr id="12" name="カギ線コネクタ 67">
          <a:extLst>
            <a:ext uri="{FF2B5EF4-FFF2-40B4-BE49-F238E27FC236}">
              <a16:creationId xmlns:a16="http://schemas.microsoft.com/office/drawing/2014/main" id="{3C7852F4-DB54-40B6-A8E8-3FCDCE92C2F4}"/>
            </a:ext>
          </a:extLst>
        </xdr:cNvPr>
        <xdr:cNvCxnSpPr>
          <a:stCxn id="3" idx="1"/>
        </xdr:cNvCxnSpPr>
      </xdr:nvCxnSpPr>
      <xdr:spPr>
        <a:xfrm rot="10800000" flipH="1">
          <a:off x="1520826" y="3619501"/>
          <a:ext cx="1450974" cy="5318102"/>
        </a:xfrm>
        <a:prstGeom prst="bentConnector4">
          <a:avLst>
            <a:gd name="adj1" fmla="val -14371"/>
            <a:gd name="adj2" fmla="val 99943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5</xdr:row>
      <xdr:rowOff>0</xdr:rowOff>
    </xdr:from>
    <xdr:to>
      <xdr:col>16</xdr:col>
      <xdr:colOff>13037</xdr:colOff>
      <xdr:row>5</xdr:row>
      <xdr:rowOff>176687</xdr:rowOff>
    </xdr:to>
    <xdr:sp macro="" textlink="">
      <xdr:nvSpPr>
        <xdr:cNvPr id="13" name="Oval 13">
          <a:extLst>
            <a:ext uri="{FF2B5EF4-FFF2-40B4-BE49-F238E27FC236}">
              <a16:creationId xmlns:a16="http://schemas.microsoft.com/office/drawing/2014/main" id="{2EF4FB13-5AE1-4BE3-8B28-F58818C91862}"/>
            </a:ext>
          </a:extLst>
        </xdr:cNvPr>
        <xdr:cNvSpPr>
          <a:spLocks noChangeArrowheads="1"/>
        </xdr:cNvSpPr>
      </xdr:nvSpPr>
      <xdr:spPr bwMode="auto">
        <a:xfrm>
          <a:off x="2912060" y="19621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5</xdr:row>
      <xdr:rowOff>176687</xdr:rowOff>
    </xdr:from>
    <xdr:to>
      <xdr:col>15</xdr:col>
      <xdr:colOff>138574</xdr:colOff>
      <xdr:row>7</xdr:row>
      <xdr:rowOff>74245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EC97DB32-3BA3-48E1-8609-9ED3A752A1E4}"/>
            </a:ext>
          </a:extLst>
        </xdr:cNvPr>
        <xdr:cNvCxnSpPr>
          <a:stCxn id="13" idx="4"/>
          <a:endCxn id="10" idx="0"/>
        </xdr:cNvCxnSpPr>
      </xdr:nvCxnSpPr>
      <xdr:spPr>
        <a:xfrm flipH="1">
          <a:off x="2995743" y="21388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26172</xdr:colOff>
      <xdr:row>88</xdr:row>
      <xdr:rowOff>56028</xdr:rowOff>
    </xdr:from>
    <xdr:to>
      <xdr:col>16</xdr:col>
      <xdr:colOff>47999</xdr:colOff>
      <xdr:row>89</xdr:row>
      <xdr:rowOff>134633</xdr:rowOff>
    </xdr:to>
    <xdr:grpSp>
      <xdr:nvGrpSpPr>
        <xdr:cNvPr id="15" name="グループ化 14">
          <a:extLst>
            <a:ext uri="{FF2B5EF4-FFF2-40B4-BE49-F238E27FC236}">
              <a16:creationId xmlns:a16="http://schemas.microsoft.com/office/drawing/2014/main" id="{3392D4D6-DEAF-4260-816E-D91C31E801C1}"/>
            </a:ext>
          </a:extLst>
        </xdr:cNvPr>
        <xdr:cNvGrpSpPr/>
      </xdr:nvGrpSpPr>
      <xdr:grpSpPr>
        <a:xfrm>
          <a:off x="2886847" y="16797616"/>
          <a:ext cx="205977" cy="269105"/>
          <a:chOff x="5591732" y="12046324"/>
          <a:chExt cx="246533" cy="257735"/>
        </a:xfrm>
      </xdr:grpSpPr>
      <xdr:sp macro="" textlink="">
        <xdr:nvSpPr>
          <xdr:cNvPr id="16" name="フローチャート : 結合子 184">
            <a:extLst>
              <a:ext uri="{FF2B5EF4-FFF2-40B4-BE49-F238E27FC236}">
                <a16:creationId xmlns:a16="http://schemas.microsoft.com/office/drawing/2014/main" id="{8592E169-F1EB-232D-28B8-6CECBEBC4F63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7" name="フローチャート : 結合子 183">
            <a:extLst>
              <a:ext uri="{FF2B5EF4-FFF2-40B4-BE49-F238E27FC236}">
                <a16:creationId xmlns:a16="http://schemas.microsoft.com/office/drawing/2014/main" id="{B68A267F-4C58-5AB6-9C6A-32D046B7091C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57197</xdr:colOff>
      <xdr:row>10</xdr:row>
      <xdr:rowOff>104774</xdr:rowOff>
    </xdr:from>
    <xdr:to>
      <xdr:col>20</xdr:col>
      <xdr:colOff>6117</xdr:colOff>
      <xdr:row>12</xdr:row>
      <xdr:rowOff>104775</xdr:rowOff>
    </xdr:to>
    <xdr:sp macro="" textlink="">
      <xdr:nvSpPr>
        <xdr:cNvPr id="18" name="楕円 17">
          <a:extLst>
            <a:ext uri="{FF2B5EF4-FFF2-40B4-BE49-F238E27FC236}">
              <a16:creationId xmlns:a16="http://schemas.microsoft.com/office/drawing/2014/main" id="{459CEADE-DA92-4BB1-B993-3112C138519A}"/>
            </a:ext>
          </a:extLst>
        </xdr:cNvPr>
        <xdr:cNvSpPr/>
      </xdr:nvSpPr>
      <xdr:spPr>
        <a:xfrm>
          <a:off x="2152697" y="3019424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リストをループ開始①</a:t>
          </a:r>
        </a:p>
      </xdr:txBody>
    </xdr:sp>
    <xdr:clientData/>
  </xdr:twoCellAnchor>
  <xdr:twoCellAnchor>
    <xdr:from>
      <xdr:col>15</xdr:col>
      <xdr:colOff>128719</xdr:colOff>
      <xdr:row>12</xdr:row>
      <xdr:rowOff>104775</xdr:rowOff>
    </xdr:from>
    <xdr:to>
      <xdr:col>15</xdr:col>
      <xdr:colOff>138113</xdr:colOff>
      <xdr:row>15</xdr:row>
      <xdr:rowOff>115707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DC11A3F7-F10D-41EA-BB21-B9035F66AC52}"/>
            </a:ext>
          </a:extLst>
        </xdr:cNvPr>
        <xdr:cNvCxnSpPr>
          <a:stCxn id="18" idx="4"/>
          <a:endCxn id="8" idx="0"/>
        </xdr:cNvCxnSpPr>
      </xdr:nvCxnSpPr>
      <xdr:spPr>
        <a:xfrm flipH="1">
          <a:off x="2986219" y="3400425"/>
          <a:ext cx="9394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133350</xdr:colOff>
      <xdr:row>16</xdr:row>
      <xdr:rowOff>114300</xdr:rowOff>
    </xdr:from>
    <xdr:to>
      <xdr:col>7</xdr:col>
      <xdr:colOff>79452</xdr:colOff>
      <xdr:row>17</xdr:row>
      <xdr:rowOff>184733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6254B594-81A6-42FF-842C-73F4C8E5F01B}"/>
            </a:ext>
          </a:extLst>
        </xdr:cNvPr>
        <xdr:cNvSpPr/>
      </xdr:nvSpPr>
      <xdr:spPr>
        <a:xfrm>
          <a:off x="1085850" y="4171950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8</xdr:col>
      <xdr:colOff>1</xdr:colOff>
      <xdr:row>33</xdr:row>
      <xdr:rowOff>14610</xdr:rowOff>
    </xdr:from>
    <xdr:to>
      <xdr:col>23</xdr:col>
      <xdr:colOff>66934</xdr:colOff>
      <xdr:row>36</xdr:row>
      <xdr:rowOff>162587</xdr:rowOff>
    </xdr:to>
    <xdr:sp macro="" textlink="">
      <xdr:nvSpPr>
        <xdr:cNvPr id="21" name="フローチャート: 判断 20">
          <a:extLst>
            <a:ext uri="{FF2B5EF4-FFF2-40B4-BE49-F238E27FC236}">
              <a16:creationId xmlns:a16="http://schemas.microsoft.com/office/drawing/2014/main" id="{481A64A0-5E2F-4AD2-9E49-B9F9117E67F0}"/>
            </a:ext>
          </a:extLst>
        </xdr:cNvPr>
        <xdr:cNvSpPr/>
      </xdr:nvSpPr>
      <xdr:spPr>
        <a:xfrm>
          <a:off x="1524001" y="7310760"/>
          <a:ext cx="2924433" cy="71947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A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－１－３．製品名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/CL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コードの重複チェック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128718</xdr:colOff>
      <xdr:row>36</xdr:row>
      <xdr:rowOff>162587</xdr:rowOff>
    </xdr:from>
    <xdr:to>
      <xdr:col>15</xdr:col>
      <xdr:colOff>139924</xdr:colOff>
      <xdr:row>39</xdr:row>
      <xdr:rowOff>143476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ADAEDE1-14B1-4BF0-864A-C859DC83BAA4}"/>
            </a:ext>
          </a:extLst>
        </xdr:cNvPr>
        <xdr:cNvCxnSpPr>
          <a:stCxn id="21" idx="2"/>
          <a:endCxn id="3" idx="0"/>
        </xdr:cNvCxnSpPr>
      </xdr:nvCxnSpPr>
      <xdr:spPr>
        <a:xfrm flipH="1">
          <a:off x="2986218" y="8030237"/>
          <a:ext cx="11206" cy="55238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37</xdr:row>
      <xdr:rowOff>85725</xdr:rowOff>
    </xdr:from>
    <xdr:to>
      <xdr:col>17</xdr:col>
      <xdr:colOff>98502</xdr:colOff>
      <xdr:row>38</xdr:row>
      <xdr:rowOff>156158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8C130D7F-CEB0-4C2E-ABBD-6A47A2871FEB}"/>
            </a:ext>
          </a:extLst>
        </xdr:cNvPr>
        <xdr:cNvSpPr/>
      </xdr:nvSpPr>
      <xdr:spPr>
        <a:xfrm>
          <a:off x="3009900" y="81438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24</xdr:col>
      <xdr:colOff>98867</xdr:colOff>
      <xdr:row>17</xdr:row>
      <xdr:rowOff>158803</xdr:rowOff>
    </xdr:from>
    <xdr:to>
      <xdr:col>26</xdr:col>
      <xdr:colOff>39207</xdr:colOff>
      <xdr:row>27</xdr:row>
      <xdr:rowOff>0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A242286F-33F3-410F-AB52-9A230BE3E2DC}"/>
            </a:ext>
          </a:extLst>
        </xdr:cNvPr>
        <xdr:cNvSpPr/>
      </xdr:nvSpPr>
      <xdr:spPr>
        <a:xfrm>
          <a:off x="4670867" y="4406953"/>
          <a:ext cx="321340" cy="17461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15</xdr:col>
      <xdr:colOff>156883</xdr:colOff>
      <xdr:row>13</xdr:row>
      <xdr:rowOff>134471</xdr:rowOff>
    </xdr:from>
    <xdr:to>
      <xdr:col>23</xdr:col>
      <xdr:colOff>66934</xdr:colOff>
      <xdr:row>34</xdr:row>
      <xdr:rowOff>189451</xdr:rowOff>
    </xdr:to>
    <xdr:cxnSp macro="">
      <xdr:nvCxnSpPr>
        <xdr:cNvPr id="25" name="カギ線コネクタ 158">
          <a:extLst>
            <a:ext uri="{FF2B5EF4-FFF2-40B4-BE49-F238E27FC236}">
              <a16:creationId xmlns:a16="http://schemas.microsoft.com/office/drawing/2014/main" id="{0AB6394C-B7BD-4D25-9640-551D3A5164A5}"/>
            </a:ext>
          </a:extLst>
        </xdr:cNvPr>
        <xdr:cNvCxnSpPr>
          <a:stCxn id="21" idx="3"/>
        </xdr:cNvCxnSpPr>
      </xdr:nvCxnSpPr>
      <xdr:spPr>
        <a:xfrm flipH="1" flipV="1">
          <a:off x="3014383" y="3620621"/>
          <a:ext cx="1434051" cy="4055480"/>
        </a:xfrm>
        <a:prstGeom prst="bentConnector4">
          <a:avLst>
            <a:gd name="adj1" fmla="val -14169"/>
            <a:gd name="adj2" fmla="val 9983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152534</xdr:colOff>
      <xdr:row>19</xdr:row>
      <xdr:rowOff>86398</xdr:rowOff>
    </xdr:from>
    <xdr:to>
      <xdr:col>29</xdr:col>
      <xdr:colOff>104909</xdr:colOff>
      <xdr:row>21</xdr:row>
      <xdr:rowOff>3369</xdr:rowOff>
    </xdr:to>
    <xdr:sp macro="" textlink="">
      <xdr:nvSpPr>
        <xdr:cNvPr id="26" name="右カーブ矢印 174">
          <a:extLst>
            <a:ext uri="{FF2B5EF4-FFF2-40B4-BE49-F238E27FC236}">
              <a16:creationId xmlns:a16="http://schemas.microsoft.com/office/drawing/2014/main" id="{B18FD03A-F879-461E-84A2-523813B2D43E}"/>
            </a:ext>
          </a:extLst>
        </xdr:cNvPr>
        <xdr:cNvSpPr/>
      </xdr:nvSpPr>
      <xdr:spPr>
        <a:xfrm rot="5856382">
          <a:off x="5027986" y="441209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</xdr:col>
      <xdr:colOff>209551</xdr:colOff>
      <xdr:row>19</xdr:row>
      <xdr:rowOff>63874</xdr:rowOff>
    </xdr:from>
    <xdr:to>
      <xdr:col>25</xdr:col>
      <xdr:colOff>91889</xdr:colOff>
      <xdr:row>23</xdr:row>
      <xdr:rowOff>67235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FD54465-98DE-4B09-9337-947139C769DC}"/>
            </a:ext>
          </a:extLst>
        </xdr:cNvPr>
        <xdr:cNvSpPr/>
      </xdr:nvSpPr>
      <xdr:spPr>
        <a:xfrm>
          <a:off x="1143001" y="4693024"/>
          <a:ext cx="3711388" cy="76536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118003</xdr:colOff>
      <xdr:row>271</xdr:row>
      <xdr:rowOff>83872</xdr:rowOff>
    </xdr:from>
    <xdr:to>
      <xdr:col>35</xdr:col>
      <xdr:colOff>161925</xdr:colOff>
      <xdr:row>274</xdr:row>
      <xdr:rowOff>152400</xdr:rowOff>
    </xdr:to>
    <xdr:sp macro="" textlink="">
      <xdr:nvSpPr>
        <xdr:cNvPr id="28" name="フローチャート: 磁気ディスク 27">
          <a:extLst>
            <a:ext uri="{FF2B5EF4-FFF2-40B4-BE49-F238E27FC236}">
              <a16:creationId xmlns:a16="http://schemas.microsoft.com/office/drawing/2014/main" id="{77C41FC1-2CAF-46FD-AE88-319A290F2B8B}"/>
            </a:ext>
          </a:extLst>
        </xdr:cNvPr>
        <xdr:cNvSpPr/>
      </xdr:nvSpPr>
      <xdr:spPr>
        <a:xfrm>
          <a:off x="5642503" y="62345622"/>
          <a:ext cx="1186922" cy="6400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環境証明書申請</a:t>
          </a:r>
        </a:p>
      </xdr:txBody>
    </xdr:sp>
    <xdr:clientData/>
  </xdr:twoCellAnchor>
  <xdr:twoCellAnchor>
    <xdr:from>
      <xdr:col>8</xdr:col>
      <xdr:colOff>28576</xdr:colOff>
      <xdr:row>272</xdr:row>
      <xdr:rowOff>95851</xdr:rowOff>
    </xdr:from>
    <xdr:to>
      <xdr:col>23</xdr:col>
      <xdr:colOff>95509</xdr:colOff>
      <xdr:row>276</xdr:row>
      <xdr:rowOff>43802</xdr:rowOff>
    </xdr:to>
    <xdr:sp macro="" textlink="">
      <xdr:nvSpPr>
        <xdr:cNvPr id="29" name="フローチャート: 判断 28">
          <a:extLst>
            <a:ext uri="{FF2B5EF4-FFF2-40B4-BE49-F238E27FC236}">
              <a16:creationId xmlns:a16="http://schemas.microsoft.com/office/drawing/2014/main" id="{6414D440-F752-4CF0-9E83-5BE3E6A02823}"/>
            </a:ext>
          </a:extLst>
        </xdr:cNvPr>
        <xdr:cNvSpPr/>
      </xdr:nvSpPr>
      <xdr:spPr>
        <a:xfrm>
          <a:off x="1552576" y="62548101"/>
          <a:ext cx="292443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エラーが発生？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157293</xdr:colOff>
      <xdr:row>263</xdr:row>
      <xdr:rowOff>26220</xdr:rowOff>
    </xdr:from>
    <xdr:to>
      <xdr:col>15</xdr:col>
      <xdr:colOff>157293</xdr:colOff>
      <xdr:row>268</xdr:row>
      <xdr:rowOff>1407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F6FD3081-AD66-495F-897B-C56BCEFB8BD7}"/>
            </a:ext>
          </a:extLst>
        </xdr:cNvPr>
        <xdr:cNvCxnSpPr>
          <a:stCxn id="32" idx="2"/>
          <a:endCxn id="48" idx="0"/>
        </xdr:cNvCxnSpPr>
      </xdr:nvCxnSpPr>
      <xdr:spPr>
        <a:xfrm>
          <a:off x="3014793" y="60763970"/>
          <a:ext cx="0" cy="92768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166818</xdr:colOff>
      <xdr:row>276</xdr:row>
      <xdr:rowOff>43802</xdr:rowOff>
    </xdr:from>
    <xdr:to>
      <xdr:col>15</xdr:col>
      <xdr:colOff>166818</xdr:colOff>
      <xdr:row>280</xdr:row>
      <xdr:rowOff>142875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A76852D2-C739-4D0C-8EFF-64EEB4C08E9E}"/>
            </a:ext>
          </a:extLst>
        </xdr:cNvPr>
        <xdr:cNvCxnSpPr>
          <a:stCxn id="29" idx="2"/>
          <a:endCxn id="52" idx="0"/>
        </xdr:cNvCxnSpPr>
      </xdr:nvCxnSpPr>
      <xdr:spPr>
        <a:xfrm>
          <a:off x="3024318" y="63258052"/>
          <a:ext cx="0" cy="861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19214</xdr:colOff>
      <xdr:row>261</xdr:row>
      <xdr:rowOff>115707</xdr:rowOff>
    </xdr:from>
    <xdr:to>
      <xdr:col>23</xdr:col>
      <xdr:colOff>85822</xdr:colOff>
      <xdr:row>263</xdr:row>
      <xdr:rowOff>26220</xdr:rowOff>
    </xdr:to>
    <xdr:sp macro="" textlink="">
      <xdr:nvSpPr>
        <xdr:cNvPr id="32" name="フローチャート: 処理 31">
          <a:extLst>
            <a:ext uri="{FF2B5EF4-FFF2-40B4-BE49-F238E27FC236}">
              <a16:creationId xmlns:a16="http://schemas.microsoft.com/office/drawing/2014/main" id="{5ED5F1F7-2596-4872-A766-D132DCCC72E3}"/>
            </a:ext>
          </a:extLst>
        </xdr:cNvPr>
        <xdr:cNvSpPr/>
      </xdr:nvSpPr>
      <xdr:spPr>
        <a:xfrm>
          <a:off x="1543214" y="60472457"/>
          <a:ext cx="292410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136967</xdr:colOff>
      <xdr:row>285</xdr:row>
      <xdr:rowOff>44503</xdr:rowOff>
    </xdr:from>
    <xdr:to>
      <xdr:col>15</xdr:col>
      <xdr:colOff>77307</xdr:colOff>
      <xdr:row>286</xdr:row>
      <xdr:rowOff>135636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A36B823C-1E6A-4473-9B14-483E1E4B4E92}"/>
            </a:ext>
          </a:extLst>
        </xdr:cNvPr>
        <xdr:cNvSpPr/>
      </xdr:nvSpPr>
      <xdr:spPr>
        <a:xfrm>
          <a:off x="2613467" y="64973253"/>
          <a:ext cx="321340" cy="2816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253</xdr:row>
      <xdr:rowOff>74245</xdr:rowOff>
    </xdr:from>
    <xdr:to>
      <xdr:col>23</xdr:col>
      <xdr:colOff>66772</xdr:colOff>
      <xdr:row>254</xdr:row>
      <xdr:rowOff>173017</xdr:rowOff>
    </xdr:to>
    <xdr:sp macro="" textlink="">
      <xdr:nvSpPr>
        <xdr:cNvPr id="34" name="フローチャート: 処理 33">
          <a:extLst>
            <a:ext uri="{FF2B5EF4-FFF2-40B4-BE49-F238E27FC236}">
              <a16:creationId xmlns:a16="http://schemas.microsoft.com/office/drawing/2014/main" id="{AD1980CD-2598-4CA9-830C-50B85B14FAE6}"/>
            </a:ext>
          </a:extLst>
        </xdr:cNvPr>
        <xdr:cNvSpPr/>
      </xdr:nvSpPr>
      <xdr:spPr>
        <a:xfrm>
          <a:off x="1524164" y="589069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画面で選択した製品リストを取得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138243</xdr:colOff>
      <xdr:row>254</xdr:row>
      <xdr:rowOff>173017</xdr:rowOff>
    </xdr:from>
    <xdr:to>
      <xdr:col>15</xdr:col>
      <xdr:colOff>142875</xdr:colOff>
      <xdr:row>256</xdr:row>
      <xdr:rowOff>104774</xdr:rowOff>
    </xdr:to>
    <xdr:cxnSp macro="">
      <xdr:nvCxnSpPr>
        <xdr:cNvPr id="35" name="直線矢印コネクタ 34">
          <a:extLst>
            <a:ext uri="{FF2B5EF4-FFF2-40B4-BE49-F238E27FC236}">
              <a16:creationId xmlns:a16="http://schemas.microsoft.com/office/drawing/2014/main" id="{DC49B91D-2DB0-472C-8EA8-449BA838466D}"/>
            </a:ext>
          </a:extLst>
        </xdr:cNvPr>
        <xdr:cNvCxnSpPr>
          <a:stCxn id="34" idx="2"/>
          <a:endCxn id="42" idx="0"/>
        </xdr:cNvCxnSpPr>
      </xdr:nvCxnSpPr>
      <xdr:spPr>
        <a:xfrm>
          <a:off x="2995743" y="59196267"/>
          <a:ext cx="463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28575</xdr:colOff>
      <xdr:row>259</xdr:row>
      <xdr:rowOff>123826</xdr:rowOff>
    </xdr:from>
    <xdr:to>
      <xdr:col>15</xdr:col>
      <xdr:colOff>200024</xdr:colOff>
      <xdr:row>282</xdr:row>
      <xdr:rowOff>112390</xdr:rowOff>
    </xdr:to>
    <xdr:cxnSp macro="">
      <xdr:nvCxnSpPr>
        <xdr:cNvPr id="36" name="カギ線コネクタ 308">
          <a:extLst>
            <a:ext uri="{FF2B5EF4-FFF2-40B4-BE49-F238E27FC236}">
              <a16:creationId xmlns:a16="http://schemas.microsoft.com/office/drawing/2014/main" id="{63C30649-7151-4349-A9E1-7B32F7FEF35A}"/>
            </a:ext>
          </a:extLst>
        </xdr:cNvPr>
        <xdr:cNvCxnSpPr>
          <a:stCxn id="52" idx="1"/>
        </xdr:cNvCxnSpPr>
      </xdr:nvCxnSpPr>
      <xdr:spPr>
        <a:xfrm rot="10800000" flipH="1">
          <a:off x="1552575" y="60099576"/>
          <a:ext cx="1498599" cy="4370064"/>
        </a:xfrm>
        <a:prstGeom prst="bentConnector4">
          <a:avLst>
            <a:gd name="adj1" fmla="val -13953"/>
            <a:gd name="adj2" fmla="val 9989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251</xdr:row>
      <xdr:rowOff>0</xdr:rowOff>
    </xdr:from>
    <xdr:to>
      <xdr:col>16</xdr:col>
      <xdr:colOff>13037</xdr:colOff>
      <xdr:row>251</xdr:row>
      <xdr:rowOff>176687</xdr:rowOff>
    </xdr:to>
    <xdr:sp macro="" textlink="">
      <xdr:nvSpPr>
        <xdr:cNvPr id="37" name="Oval 13">
          <a:extLst>
            <a:ext uri="{FF2B5EF4-FFF2-40B4-BE49-F238E27FC236}">
              <a16:creationId xmlns:a16="http://schemas.microsoft.com/office/drawing/2014/main" id="{F298E82C-60BA-4528-B06D-F0098E89DFA9}"/>
            </a:ext>
          </a:extLst>
        </xdr:cNvPr>
        <xdr:cNvSpPr>
          <a:spLocks noChangeArrowheads="1"/>
        </xdr:cNvSpPr>
      </xdr:nvSpPr>
      <xdr:spPr bwMode="auto">
        <a:xfrm>
          <a:off x="2912060" y="584517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251</xdr:row>
      <xdr:rowOff>176687</xdr:rowOff>
    </xdr:from>
    <xdr:to>
      <xdr:col>15</xdr:col>
      <xdr:colOff>138574</xdr:colOff>
      <xdr:row>253</xdr:row>
      <xdr:rowOff>74245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3E204D44-2B6B-4CE0-8515-51B258F70B34}"/>
            </a:ext>
          </a:extLst>
        </xdr:cNvPr>
        <xdr:cNvCxnSpPr>
          <a:stCxn id="37" idx="4"/>
          <a:endCxn id="34" idx="0"/>
        </xdr:cNvCxnSpPr>
      </xdr:nvCxnSpPr>
      <xdr:spPr>
        <a:xfrm flipH="1">
          <a:off x="2995743" y="586284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73610</xdr:colOff>
      <xdr:row>297</xdr:row>
      <xdr:rowOff>38100</xdr:rowOff>
    </xdr:from>
    <xdr:to>
      <xdr:col>16</xdr:col>
      <xdr:colOff>105016</xdr:colOff>
      <xdr:row>298</xdr:row>
      <xdr:rowOff>98212</xdr:rowOff>
    </xdr:to>
    <xdr:grpSp>
      <xdr:nvGrpSpPr>
        <xdr:cNvPr id="39" name="グループ化 38">
          <a:extLst>
            <a:ext uri="{FF2B5EF4-FFF2-40B4-BE49-F238E27FC236}">
              <a16:creationId xmlns:a16="http://schemas.microsoft.com/office/drawing/2014/main" id="{E46CF810-9CDE-477C-88EC-8036FD3DAC09}"/>
            </a:ext>
          </a:extLst>
        </xdr:cNvPr>
        <xdr:cNvGrpSpPr/>
      </xdr:nvGrpSpPr>
      <xdr:grpSpPr>
        <a:xfrm>
          <a:off x="2931110" y="58902600"/>
          <a:ext cx="218731" cy="250612"/>
          <a:chOff x="5591732" y="12046324"/>
          <a:chExt cx="246533" cy="257735"/>
        </a:xfrm>
      </xdr:grpSpPr>
      <xdr:sp macro="" textlink="">
        <xdr:nvSpPr>
          <xdr:cNvPr id="40" name="フローチャート : 結合子 184">
            <a:extLst>
              <a:ext uri="{FF2B5EF4-FFF2-40B4-BE49-F238E27FC236}">
                <a16:creationId xmlns:a16="http://schemas.microsoft.com/office/drawing/2014/main" id="{F4FC9A4F-7615-E489-0289-FED1421DE318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41" name="フローチャート : 結合子 183">
            <a:extLst>
              <a:ext uri="{FF2B5EF4-FFF2-40B4-BE49-F238E27FC236}">
                <a16:creationId xmlns:a16="http://schemas.microsoft.com/office/drawing/2014/main" id="{E62BD7FD-4444-5429-6967-A1A0ABD1D373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142875</xdr:colOff>
      <xdr:row>256</xdr:row>
      <xdr:rowOff>104774</xdr:rowOff>
    </xdr:from>
    <xdr:to>
      <xdr:col>19</xdr:col>
      <xdr:colOff>142875</xdr:colOff>
      <xdr:row>258</xdr:row>
      <xdr:rowOff>104775</xdr:rowOff>
    </xdr:to>
    <xdr:sp macro="" textlink="">
      <xdr:nvSpPr>
        <xdr:cNvPr id="42" name="楕円 41">
          <a:extLst>
            <a:ext uri="{FF2B5EF4-FFF2-40B4-BE49-F238E27FC236}">
              <a16:creationId xmlns:a16="http://schemas.microsoft.com/office/drawing/2014/main" id="{52C17247-02E6-4EEE-BC3D-BD28EFA04CF8}"/>
            </a:ext>
          </a:extLst>
        </xdr:cNvPr>
        <xdr:cNvSpPr/>
      </xdr:nvSpPr>
      <xdr:spPr>
        <a:xfrm>
          <a:off x="2238375" y="5950902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</a:t>
          </a:r>
        </a:p>
      </xdr:txBody>
    </xdr:sp>
    <xdr:clientData/>
  </xdr:twoCellAnchor>
  <xdr:twoCellAnchor>
    <xdr:from>
      <xdr:col>15</xdr:col>
      <xdr:colOff>142875</xdr:colOff>
      <xdr:row>258</xdr:row>
      <xdr:rowOff>104775</xdr:rowOff>
    </xdr:from>
    <xdr:to>
      <xdr:col>15</xdr:col>
      <xdr:colOff>157293</xdr:colOff>
      <xdr:row>261</xdr:row>
      <xdr:rowOff>115707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C839F82A-31E5-4F4E-BBB7-62D001E69872}"/>
            </a:ext>
          </a:extLst>
        </xdr:cNvPr>
        <xdr:cNvCxnSpPr>
          <a:stCxn id="42" idx="4"/>
          <a:endCxn id="32" idx="0"/>
        </xdr:cNvCxnSpPr>
      </xdr:nvCxnSpPr>
      <xdr:spPr>
        <a:xfrm>
          <a:off x="3000375" y="59890025"/>
          <a:ext cx="14418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157293</xdr:colOff>
      <xdr:row>269</xdr:row>
      <xdr:rowOff>111945</xdr:rowOff>
    </xdr:from>
    <xdr:to>
      <xdr:col>15</xdr:col>
      <xdr:colOff>166818</xdr:colOff>
      <xdr:row>272</xdr:row>
      <xdr:rowOff>95851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B4DD4246-0B97-4F16-8129-8940605778CE}"/>
            </a:ext>
          </a:extLst>
        </xdr:cNvPr>
        <xdr:cNvCxnSpPr>
          <a:stCxn id="48" idx="2"/>
          <a:endCxn id="29" idx="0"/>
        </xdr:cNvCxnSpPr>
      </xdr:nvCxnSpPr>
      <xdr:spPr>
        <a:xfrm>
          <a:off x="3014793" y="61992695"/>
          <a:ext cx="9525" cy="555406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95509</xdr:colOff>
      <xdr:row>274</xdr:row>
      <xdr:rowOff>69827</xdr:rowOff>
    </xdr:from>
    <xdr:to>
      <xdr:col>28</xdr:col>
      <xdr:colOff>129001</xdr:colOff>
      <xdr:row>297</xdr:row>
      <xdr:rowOff>0</xdr:rowOff>
    </xdr:to>
    <xdr:cxnSp macro="">
      <xdr:nvCxnSpPr>
        <xdr:cNvPr id="45" name="カギ線コネクタ 321">
          <a:extLst>
            <a:ext uri="{FF2B5EF4-FFF2-40B4-BE49-F238E27FC236}">
              <a16:creationId xmlns:a16="http://schemas.microsoft.com/office/drawing/2014/main" id="{22CBF982-F011-4B57-80FC-6B06072817B2}"/>
            </a:ext>
          </a:extLst>
        </xdr:cNvPr>
        <xdr:cNvCxnSpPr>
          <a:stCxn id="29" idx="3"/>
          <a:endCxn id="56" idx="0"/>
        </xdr:cNvCxnSpPr>
      </xdr:nvCxnSpPr>
      <xdr:spPr>
        <a:xfrm>
          <a:off x="4477009" y="62903077"/>
          <a:ext cx="985992" cy="4311673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168717</xdr:colOff>
      <xdr:row>269</xdr:row>
      <xdr:rowOff>137083</xdr:rowOff>
    </xdr:from>
    <xdr:to>
      <xdr:col>31</xdr:col>
      <xdr:colOff>41918</xdr:colOff>
      <xdr:row>271</xdr:row>
      <xdr:rowOff>126299</xdr:rowOff>
    </xdr:to>
    <xdr:sp macro="" textlink="">
      <xdr:nvSpPr>
        <xdr:cNvPr id="46" name="右カーブ矢印 322">
          <a:extLst>
            <a:ext uri="{FF2B5EF4-FFF2-40B4-BE49-F238E27FC236}">
              <a16:creationId xmlns:a16="http://schemas.microsoft.com/office/drawing/2014/main" id="{04EA4079-5BDC-4E53-9344-7EA39DBA89F8}"/>
            </a:ext>
          </a:extLst>
        </xdr:cNvPr>
        <xdr:cNvSpPr/>
      </xdr:nvSpPr>
      <xdr:spPr>
        <a:xfrm rot="16200000" flipH="1">
          <a:off x="5063710" y="61504340"/>
          <a:ext cx="370216" cy="1397201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123825</xdr:colOff>
      <xdr:row>265</xdr:row>
      <xdr:rowOff>133350</xdr:rowOff>
    </xdr:from>
    <xdr:to>
      <xdr:col>25</xdr:col>
      <xdr:colOff>95250</xdr:colOff>
      <xdr:row>277</xdr:row>
      <xdr:rowOff>57150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21C49708-D2F9-4703-BE52-19051FD2EFE8}"/>
            </a:ext>
          </a:extLst>
        </xdr:cNvPr>
        <xdr:cNvSpPr/>
      </xdr:nvSpPr>
      <xdr:spPr>
        <a:xfrm>
          <a:off x="885825" y="61252100"/>
          <a:ext cx="3971925" cy="2209800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8</xdr:col>
      <xdr:colOff>19214</xdr:colOff>
      <xdr:row>268</xdr:row>
      <xdr:rowOff>1407</xdr:rowOff>
    </xdr:from>
    <xdr:to>
      <xdr:col>23</xdr:col>
      <xdr:colOff>85822</xdr:colOff>
      <xdr:row>269</xdr:row>
      <xdr:rowOff>111945</xdr:rowOff>
    </xdr:to>
    <xdr:sp macro="" textlink="">
      <xdr:nvSpPr>
        <xdr:cNvPr id="48" name="フローチャート: 処理 47">
          <a:extLst>
            <a:ext uri="{FF2B5EF4-FFF2-40B4-BE49-F238E27FC236}">
              <a16:creationId xmlns:a16="http://schemas.microsoft.com/office/drawing/2014/main" id="{FC97E1B2-908D-4671-9BEA-07030FEC4FCC}"/>
            </a:ext>
          </a:extLst>
        </xdr:cNvPr>
        <xdr:cNvSpPr/>
      </xdr:nvSpPr>
      <xdr:spPr>
        <a:xfrm>
          <a:off x="1543214" y="61691657"/>
          <a:ext cx="2924108" cy="30103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－１．申請データを</a:t>
          </a:r>
          <a:r>
            <a:rPr kumimoji="1" lang="en-US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insert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する</a:t>
          </a:r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処理</a:t>
          </a:r>
          <a:endParaRPr kumimoji="1" lang="ja-JP" altLang="ja-JP" sz="1000" kern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166818</xdr:colOff>
      <xdr:row>284</xdr:row>
      <xdr:rowOff>81902</xdr:rowOff>
    </xdr:from>
    <xdr:to>
      <xdr:col>15</xdr:col>
      <xdr:colOff>180975</xdr:colOff>
      <xdr:row>287</xdr:row>
      <xdr:rowOff>47624</xdr:rowOff>
    </xdr:to>
    <xdr:cxnSp macro="">
      <xdr:nvCxnSpPr>
        <xdr:cNvPr id="49" name="直線矢印コネクタ 48">
          <a:extLst>
            <a:ext uri="{FF2B5EF4-FFF2-40B4-BE49-F238E27FC236}">
              <a16:creationId xmlns:a16="http://schemas.microsoft.com/office/drawing/2014/main" id="{02446178-A3A4-413E-9A76-E65AB0F5B807}"/>
            </a:ext>
          </a:extLst>
        </xdr:cNvPr>
        <xdr:cNvCxnSpPr>
          <a:stCxn id="52" idx="2"/>
          <a:endCxn id="50" idx="0"/>
        </xdr:cNvCxnSpPr>
      </xdr:nvCxnSpPr>
      <xdr:spPr>
        <a:xfrm>
          <a:off x="3024318" y="64820152"/>
          <a:ext cx="14157" cy="53722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180975</xdr:colOff>
      <xdr:row>287</xdr:row>
      <xdr:rowOff>47624</xdr:rowOff>
    </xdr:from>
    <xdr:to>
      <xdr:col>19</xdr:col>
      <xdr:colOff>180975</xdr:colOff>
      <xdr:row>289</xdr:row>
      <xdr:rowOff>47625</xdr:rowOff>
    </xdr:to>
    <xdr:sp macro="" textlink="">
      <xdr:nvSpPr>
        <xdr:cNvPr id="50" name="楕円 49">
          <a:extLst>
            <a:ext uri="{FF2B5EF4-FFF2-40B4-BE49-F238E27FC236}">
              <a16:creationId xmlns:a16="http://schemas.microsoft.com/office/drawing/2014/main" id="{BC6DC513-08D0-41E1-A7AA-D1B135222AEF}"/>
            </a:ext>
          </a:extLst>
        </xdr:cNvPr>
        <xdr:cNvSpPr/>
      </xdr:nvSpPr>
      <xdr:spPr>
        <a:xfrm>
          <a:off x="2276475" y="6535737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</a:t>
          </a:r>
        </a:p>
      </xdr:txBody>
    </xdr:sp>
    <xdr:clientData/>
  </xdr:twoCellAnchor>
  <xdr:twoCellAnchor>
    <xdr:from>
      <xdr:col>15</xdr:col>
      <xdr:colOff>180975</xdr:colOff>
      <xdr:row>289</xdr:row>
      <xdr:rowOff>47625</xdr:rowOff>
    </xdr:from>
    <xdr:to>
      <xdr:col>15</xdr:col>
      <xdr:colOff>190501</xdr:colOff>
      <xdr:row>292</xdr:row>
      <xdr:rowOff>9525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FA622868-ED26-4C14-9597-1FBEEB856814}"/>
            </a:ext>
          </a:extLst>
        </xdr:cNvPr>
        <xdr:cNvCxnSpPr>
          <a:stCxn id="50" idx="4"/>
          <a:endCxn id="60" idx="0"/>
        </xdr:cNvCxnSpPr>
      </xdr:nvCxnSpPr>
      <xdr:spPr>
        <a:xfrm>
          <a:off x="3038475" y="65738375"/>
          <a:ext cx="9526" cy="5334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28576</xdr:colOff>
      <xdr:row>280</xdr:row>
      <xdr:rowOff>142875</xdr:rowOff>
    </xdr:from>
    <xdr:to>
      <xdr:col>23</xdr:col>
      <xdr:colOff>95509</xdr:colOff>
      <xdr:row>284</xdr:row>
      <xdr:rowOff>81902</xdr:rowOff>
    </xdr:to>
    <xdr:sp macro="" textlink="">
      <xdr:nvSpPr>
        <xdr:cNvPr id="52" name="フローチャート: 判断 51">
          <a:extLst>
            <a:ext uri="{FF2B5EF4-FFF2-40B4-BE49-F238E27FC236}">
              <a16:creationId xmlns:a16="http://schemas.microsoft.com/office/drawing/2014/main" id="{38D5B6CC-A57B-4311-B2D5-93BB8BAC99FD}"/>
            </a:ext>
          </a:extLst>
        </xdr:cNvPr>
        <xdr:cNvSpPr/>
      </xdr:nvSpPr>
      <xdr:spPr>
        <a:xfrm>
          <a:off x="1552576" y="64119125"/>
          <a:ext cx="2924433" cy="70102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リストの最後？</a:t>
          </a:r>
        </a:p>
      </xdr:txBody>
    </xdr:sp>
    <xdr:clientData/>
  </xdr:twoCellAnchor>
  <xdr:twoCellAnchor>
    <xdr:from>
      <xdr:col>26</xdr:col>
      <xdr:colOff>70292</xdr:colOff>
      <xdr:row>272</xdr:row>
      <xdr:rowOff>177853</xdr:rowOff>
    </xdr:from>
    <xdr:to>
      <xdr:col>28</xdr:col>
      <xdr:colOff>10632</xdr:colOff>
      <xdr:row>274</xdr:row>
      <xdr:rowOff>68961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46CCDF63-A365-4145-8D2A-34653CDA1DF9}"/>
            </a:ext>
          </a:extLst>
        </xdr:cNvPr>
        <xdr:cNvSpPr/>
      </xdr:nvSpPr>
      <xdr:spPr>
        <a:xfrm>
          <a:off x="5023292" y="62630103"/>
          <a:ext cx="3213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5</xdr:col>
      <xdr:colOff>104775</xdr:colOff>
      <xdr:row>270</xdr:row>
      <xdr:rowOff>85725</xdr:rowOff>
    </xdr:from>
    <xdr:to>
      <xdr:col>7</xdr:col>
      <xdr:colOff>50877</xdr:colOff>
      <xdr:row>271</xdr:row>
      <xdr:rowOff>156158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31F03F9-FFFF-4A44-8558-85A40E818F54}"/>
            </a:ext>
          </a:extLst>
        </xdr:cNvPr>
        <xdr:cNvSpPr/>
      </xdr:nvSpPr>
      <xdr:spPr>
        <a:xfrm>
          <a:off x="1057275" y="621569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28</xdr:col>
      <xdr:colOff>10110</xdr:colOff>
      <xdr:row>297</xdr:row>
      <xdr:rowOff>0</xdr:rowOff>
    </xdr:from>
    <xdr:to>
      <xdr:col>29</xdr:col>
      <xdr:colOff>44691</xdr:colOff>
      <xdr:row>298</xdr:row>
      <xdr:rowOff>60112</xdr:rowOff>
    </xdr:to>
    <xdr:grpSp>
      <xdr:nvGrpSpPr>
        <xdr:cNvPr id="55" name="グループ化 54">
          <a:extLst>
            <a:ext uri="{FF2B5EF4-FFF2-40B4-BE49-F238E27FC236}">
              <a16:creationId xmlns:a16="http://schemas.microsoft.com/office/drawing/2014/main" id="{B01E1100-63BD-4E18-9491-B3A8CC04A205}"/>
            </a:ext>
          </a:extLst>
        </xdr:cNvPr>
        <xdr:cNvGrpSpPr/>
      </xdr:nvGrpSpPr>
      <xdr:grpSpPr>
        <a:xfrm>
          <a:off x="5340935" y="58864500"/>
          <a:ext cx="231431" cy="250612"/>
          <a:chOff x="5591732" y="12046324"/>
          <a:chExt cx="246533" cy="257735"/>
        </a:xfrm>
      </xdr:grpSpPr>
      <xdr:sp macro="" textlink="">
        <xdr:nvSpPr>
          <xdr:cNvPr id="56" name="フローチャート : 結合子 184">
            <a:extLst>
              <a:ext uri="{FF2B5EF4-FFF2-40B4-BE49-F238E27FC236}">
                <a16:creationId xmlns:a16="http://schemas.microsoft.com/office/drawing/2014/main" id="{FAEBE989-0D9D-88BE-919B-6E781CADC9CB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7" name="フローチャート : 結合子 183">
            <a:extLst>
              <a:ext uri="{FF2B5EF4-FFF2-40B4-BE49-F238E27FC236}">
                <a16:creationId xmlns:a16="http://schemas.microsoft.com/office/drawing/2014/main" id="{E5DF142B-ACBA-DBB3-0136-92F9CD4126E7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66676</xdr:colOff>
      <xdr:row>295</xdr:row>
      <xdr:rowOff>9525</xdr:rowOff>
    </xdr:from>
    <xdr:to>
      <xdr:col>37</xdr:col>
      <xdr:colOff>161926</xdr:colOff>
      <xdr:row>298</xdr:row>
      <xdr:rowOff>57150</xdr:rowOff>
    </xdr:to>
    <xdr:sp macro="" textlink="">
      <xdr:nvSpPr>
        <xdr:cNvPr id="58" name="四角形吹き出し 381">
          <a:extLst>
            <a:ext uri="{FF2B5EF4-FFF2-40B4-BE49-F238E27FC236}">
              <a16:creationId xmlns:a16="http://schemas.microsoft.com/office/drawing/2014/main" id="{C0BC48FF-2EDE-45DD-A71B-48D03293AF98}"/>
            </a:ext>
          </a:extLst>
        </xdr:cNvPr>
        <xdr:cNvSpPr/>
      </xdr:nvSpPr>
      <xdr:spPr>
        <a:xfrm>
          <a:off x="5781676" y="66843275"/>
          <a:ext cx="1428750" cy="619125"/>
        </a:xfrm>
        <a:prstGeom prst="wedgeRectCallout">
          <a:avLst>
            <a:gd name="adj1" fmla="val -71411"/>
            <a:gd name="adj2" fmla="val 20576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本画面の戻って、対応するエラーメッセージを出力</a:t>
          </a:r>
        </a:p>
      </xdr:txBody>
    </xdr:sp>
    <xdr:clientData/>
  </xdr:twoCellAnchor>
  <xdr:twoCellAnchor>
    <xdr:from>
      <xdr:col>5</xdr:col>
      <xdr:colOff>66839</xdr:colOff>
      <xdr:row>292</xdr:row>
      <xdr:rowOff>0</xdr:rowOff>
    </xdr:from>
    <xdr:to>
      <xdr:col>10</xdr:col>
      <xdr:colOff>95250</xdr:colOff>
      <xdr:row>294</xdr:row>
      <xdr:rowOff>131928</xdr:rowOff>
    </xdr:to>
    <xdr:sp macro="" textlink="">
      <xdr:nvSpPr>
        <xdr:cNvPr id="59" name="フローチャート: 処理 58">
          <a:extLst>
            <a:ext uri="{FF2B5EF4-FFF2-40B4-BE49-F238E27FC236}">
              <a16:creationId xmlns:a16="http://schemas.microsoft.com/office/drawing/2014/main" id="{4A895B4F-6BDF-411E-9CD6-8EF1016F3D7F}"/>
            </a:ext>
          </a:extLst>
        </xdr:cNvPr>
        <xdr:cNvSpPr/>
      </xdr:nvSpPr>
      <xdr:spPr>
        <a:xfrm>
          <a:off x="1019339" y="66262250"/>
          <a:ext cx="980911" cy="51292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申請完了画面に遷移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19051</xdr:colOff>
      <xdr:row>292</xdr:row>
      <xdr:rowOff>9525</xdr:rowOff>
    </xdr:from>
    <xdr:to>
      <xdr:col>18</xdr:col>
      <xdr:colOff>152401</xdr:colOff>
      <xdr:row>294</xdr:row>
      <xdr:rowOff>125231</xdr:rowOff>
    </xdr:to>
    <xdr:sp macro="" textlink="">
      <xdr:nvSpPr>
        <xdr:cNvPr id="60" name="フローチャート: 処理 59">
          <a:extLst>
            <a:ext uri="{FF2B5EF4-FFF2-40B4-BE49-F238E27FC236}">
              <a16:creationId xmlns:a16="http://schemas.microsoft.com/office/drawing/2014/main" id="{D2AE8659-50B6-439E-92DA-91AAA1431793}"/>
            </a:ext>
          </a:extLst>
        </xdr:cNvPr>
        <xdr:cNvSpPr/>
      </xdr:nvSpPr>
      <xdr:spPr>
        <a:xfrm>
          <a:off x="2495551" y="66271775"/>
          <a:ext cx="1085850" cy="49670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Ａ－３－２．申請</a:t>
          </a:r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ファイル出力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19</xdr:col>
      <xdr:colOff>190664</xdr:colOff>
      <xdr:row>291</xdr:row>
      <xdr:rowOff>152401</xdr:rowOff>
    </xdr:from>
    <xdr:to>
      <xdr:col>26</xdr:col>
      <xdr:colOff>123825</xdr:colOff>
      <xdr:row>294</xdr:row>
      <xdr:rowOff>114300</xdr:rowOff>
    </xdr:to>
    <xdr:sp macro="" textlink="">
      <xdr:nvSpPr>
        <xdr:cNvPr id="61" name="フローチャート: 処理 60">
          <a:extLst>
            <a:ext uri="{FF2B5EF4-FFF2-40B4-BE49-F238E27FC236}">
              <a16:creationId xmlns:a16="http://schemas.microsoft.com/office/drawing/2014/main" id="{D545FE3D-9F8A-4276-B1DD-F76AB8F134CF}"/>
            </a:ext>
          </a:extLst>
        </xdr:cNvPr>
        <xdr:cNvSpPr/>
      </xdr:nvSpPr>
      <xdr:spPr>
        <a:xfrm>
          <a:off x="3810164" y="66224151"/>
          <a:ext cx="1266661" cy="533399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Ａ－３－３．環境証明書申請完了お知らせメール送信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185820</xdr:colOff>
      <xdr:row>289</xdr:row>
      <xdr:rowOff>47626</xdr:rowOff>
    </xdr:from>
    <xdr:to>
      <xdr:col>15</xdr:col>
      <xdr:colOff>180975</xdr:colOff>
      <xdr:row>292</xdr:row>
      <xdr:rowOff>1</xdr:rowOff>
    </xdr:to>
    <xdr:cxnSp macro="">
      <xdr:nvCxnSpPr>
        <xdr:cNvPr id="62" name="カギ線コネクタ 387">
          <a:extLst>
            <a:ext uri="{FF2B5EF4-FFF2-40B4-BE49-F238E27FC236}">
              <a16:creationId xmlns:a16="http://schemas.microsoft.com/office/drawing/2014/main" id="{A89A4520-17BF-461B-B643-9E24AABBCC4B}"/>
            </a:ext>
          </a:extLst>
        </xdr:cNvPr>
        <xdr:cNvCxnSpPr>
          <a:stCxn id="50" idx="4"/>
          <a:endCxn id="59" idx="0"/>
        </xdr:cNvCxnSpPr>
      </xdr:nvCxnSpPr>
      <xdr:spPr>
        <a:xfrm rot="5400000">
          <a:off x="2016960" y="65240736"/>
          <a:ext cx="523875" cy="151915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180974</xdr:colOff>
      <xdr:row>289</xdr:row>
      <xdr:rowOff>47625</xdr:rowOff>
    </xdr:from>
    <xdr:to>
      <xdr:col>23</xdr:col>
      <xdr:colOff>52469</xdr:colOff>
      <xdr:row>291</xdr:row>
      <xdr:rowOff>152401</xdr:rowOff>
    </xdr:to>
    <xdr:cxnSp macro="">
      <xdr:nvCxnSpPr>
        <xdr:cNvPr id="63" name="カギ線コネクタ 390">
          <a:extLst>
            <a:ext uri="{FF2B5EF4-FFF2-40B4-BE49-F238E27FC236}">
              <a16:creationId xmlns:a16="http://schemas.microsoft.com/office/drawing/2014/main" id="{4FE96861-3313-40AA-9FAD-5560A6651D3D}"/>
            </a:ext>
          </a:extLst>
        </xdr:cNvPr>
        <xdr:cNvCxnSpPr>
          <a:stCxn id="50" idx="4"/>
          <a:endCxn id="61" idx="0"/>
        </xdr:cNvCxnSpPr>
      </xdr:nvCxnSpPr>
      <xdr:spPr>
        <a:xfrm rot="16200000" flipH="1">
          <a:off x="3493334" y="65283515"/>
          <a:ext cx="485776" cy="139549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190501</xdr:colOff>
      <xdr:row>294</xdr:row>
      <xdr:rowOff>125231</xdr:rowOff>
    </xdr:from>
    <xdr:to>
      <xdr:col>15</xdr:col>
      <xdr:colOff>195676</xdr:colOff>
      <xdr:row>297</xdr:row>
      <xdr:rowOff>38100</xdr:rowOff>
    </xdr:to>
    <xdr:cxnSp macro="">
      <xdr:nvCxnSpPr>
        <xdr:cNvPr id="64" name="直線矢印コネクタ 63">
          <a:extLst>
            <a:ext uri="{FF2B5EF4-FFF2-40B4-BE49-F238E27FC236}">
              <a16:creationId xmlns:a16="http://schemas.microsoft.com/office/drawing/2014/main" id="{93063D4F-86EC-4CCA-9791-3E99DA8F59D4}"/>
            </a:ext>
          </a:extLst>
        </xdr:cNvPr>
        <xdr:cNvCxnSpPr>
          <a:stCxn id="60" idx="2"/>
          <a:endCxn id="40" idx="0"/>
        </xdr:cNvCxnSpPr>
      </xdr:nvCxnSpPr>
      <xdr:spPr>
        <a:xfrm>
          <a:off x="3048001" y="66768481"/>
          <a:ext cx="0" cy="48436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185821</xdr:colOff>
      <xdr:row>294</xdr:row>
      <xdr:rowOff>131927</xdr:rowOff>
    </xdr:from>
    <xdr:to>
      <xdr:col>15</xdr:col>
      <xdr:colOff>195677</xdr:colOff>
      <xdr:row>297</xdr:row>
      <xdr:rowOff>38099</xdr:rowOff>
    </xdr:to>
    <xdr:cxnSp macro="">
      <xdr:nvCxnSpPr>
        <xdr:cNvPr id="65" name="カギ線コネクタ 415">
          <a:extLst>
            <a:ext uri="{FF2B5EF4-FFF2-40B4-BE49-F238E27FC236}">
              <a16:creationId xmlns:a16="http://schemas.microsoft.com/office/drawing/2014/main" id="{FD33F547-33E0-46DC-8A03-02D57AB031C5}"/>
            </a:ext>
          </a:extLst>
        </xdr:cNvPr>
        <xdr:cNvCxnSpPr>
          <a:stCxn id="59" idx="2"/>
          <a:endCxn id="40" idx="0"/>
        </xdr:cNvCxnSpPr>
      </xdr:nvCxnSpPr>
      <xdr:spPr>
        <a:xfrm rot="16200000" flipH="1">
          <a:off x="2044238" y="66250260"/>
          <a:ext cx="477672" cy="1527506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195677</xdr:colOff>
      <xdr:row>294</xdr:row>
      <xdr:rowOff>114299</xdr:rowOff>
    </xdr:from>
    <xdr:to>
      <xdr:col>23</xdr:col>
      <xdr:colOff>52471</xdr:colOff>
      <xdr:row>297</xdr:row>
      <xdr:rowOff>38099</xdr:rowOff>
    </xdr:to>
    <xdr:cxnSp macro="">
      <xdr:nvCxnSpPr>
        <xdr:cNvPr id="66" name="カギ線コネクタ 421">
          <a:extLst>
            <a:ext uri="{FF2B5EF4-FFF2-40B4-BE49-F238E27FC236}">
              <a16:creationId xmlns:a16="http://schemas.microsoft.com/office/drawing/2014/main" id="{E8A1EBC9-E925-4920-B9A2-1BDFAAC20EEE}"/>
            </a:ext>
          </a:extLst>
        </xdr:cNvPr>
        <xdr:cNvCxnSpPr>
          <a:stCxn id="61" idx="2"/>
          <a:endCxn id="40" idx="0"/>
        </xdr:cNvCxnSpPr>
      </xdr:nvCxnSpPr>
      <xdr:spPr>
        <a:xfrm rot="5400000">
          <a:off x="3492749" y="66311627"/>
          <a:ext cx="495300" cy="1387144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179294</xdr:colOff>
      <xdr:row>215</xdr:row>
      <xdr:rowOff>9526</xdr:rowOff>
    </xdr:from>
    <xdr:to>
      <xdr:col>34</xdr:col>
      <xdr:colOff>193862</xdr:colOff>
      <xdr:row>238</xdr:row>
      <xdr:rowOff>89648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82B7F11F-151E-4E4B-B780-56B7EF3C1BD8}"/>
            </a:ext>
          </a:extLst>
        </xdr:cNvPr>
        <xdr:cNvSpPr/>
      </xdr:nvSpPr>
      <xdr:spPr>
        <a:xfrm>
          <a:off x="941294" y="47539276"/>
          <a:ext cx="5723218" cy="446162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DB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テーブル環境証明書申請製品情報テーブル</a:t>
          </a:r>
        </a:p>
      </xdr:txBody>
    </xdr:sp>
    <xdr:clientData/>
  </xdr:twoCellAnchor>
  <xdr:twoCellAnchor>
    <xdr:from>
      <xdr:col>15</xdr:col>
      <xdr:colOff>165605</xdr:colOff>
      <xdr:row>222</xdr:row>
      <xdr:rowOff>68912</xdr:rowOff>
    </xdr:from>
    <xdr:to>
      <xdr:col>23</xdr:col>
      <xdr:colOff>96152</xdr:colOff>
      <xdr:row>223</xdr:row>
      <xdr:rowOff>168313</xdr:rowOff>
    </xdr:to>
    <xdr:sp macro="" textlink="">
      <xdr:nvSpPr>
        <xdr:cNvPr id="68" name="フローチャート: 処理 67">
          <a:extLst>
            <a:ext uri="{FF2B5EF4-FFF2-40B4-BE49-F238E27FC236}">
              <a16:creationId xmlns:a16="http://schemas.microsoft.com/office/drawing/2014/main" id="{F4086108-AB21-4C4F-876E-0DA4522EC0C3}"/>
            </a:ext>
          </a:extLst>
        </xdr:cNvPr>
        <xdr:cNvSpPr/>
      </xdr:nvSpPr>
      <xdr:spPr>
        <a:xfrm>
          <a:off x="3023105" y="48932162"/>
          <a:ext cx="1454547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155320</xdr:colOff>
      <xdr:row>226</xdr:row>
      <xdr:rowOff>70812</xdr:rowOff>
    </xdr:from>
    <xdr:to>
      <xdr:col>29</xdr:col>
      <xdr:colOff>65666</xdr:colOff>
      <xdr:row>226</xdr:row>
      <xdr:rowOff>104430</xdr:rowOff>
    </xdr:to>
    <xdr:cxnSp macro="">
      <xdr:nvCxnSpPr>
        <xdr:cNvPr id="69" name="カギ線コネクタ 208">
          <a:extLst>
            <a:ext uri="{FF2B5EF4-FFF2-40B4-BE49-F238E27FC236}">
              <a16:creationId xmlns:a16="http://schemas.microsoft.com/office/drawing/2014/main" id="{78FB2C8F-E74F-4103-B7C8-66A441B80945}"/>
            </a:ext>
          </a:extLst>
        </xdr:cNvPr>
        <xdr:cNvCxnSpPr>
          <a:stCxn id="78" idx="0"/>
          <a:endCxn id="72" idx="0"/>
        </xdr:cNvCxnSpPr>
      </xdr:nvCxnSpPr>
      <xdr:spPr>
        <a:xfrm rot="5400000" flipH="1" flipV="1">
          <a:off x="3808434" y="47947948"/>
          <a:ext cx="33618" cy="352984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48655</xdr:colOff>
      <xdr:row>231</xdr:row>
      <xdr:rowOff>58973</xdr:rowOff>
    </xdr:from>
    <xdr:to>
      <xdr:col>33</xdr:col>
      <xdr:colOff>36972</xdr:colOff>
      <xdr:row>234</xdr:row>
      <xdr:rowOff>67239</xdr:rowOff>
    </xdr:to>
    <xdr:sp macro="" textlink="">
      <xdr:nvSpPr>
        <xdr:cNvPr id="70" name="フローチャート: 複数書類 69">
          <a:extLst>
            <a:ext uri="{FF2B5EF4-FFF2-40B4-BE49-F238E27FC236}">
              <a16:creationId xmlns:a16="http://schemas.microsoft.com/office/drawing/2014/main" id="{CAD4924D-9D82-48F9-BD22-A0F9A9288F9B}"/>
            </a:ext>
          </a:extLst>
        </xdr:cNvPr>
        <xdr:cNvSpPr/>
      </xdr:nvSpPr>
      <xdr:spPr>
        <a:xfrm>
          <a:off x="4620655" y="50636723"/>
          <a:ext cx="1702817" cy="579766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65667</xdr:colOff>
      <xdr:row>228</xdr:row>
      <xdr:rowOff>4</xdr:rowOff>
    </xdr:from>
    <xdr:to>
      <xdr:col>29</xdr:col>
      <xdr:colOff>67382</xdr:colOff>
      <xdr:row>231</xdr:row>
      <xdr:rowOff>58973</xdr:rowOff>
    </xdr:to>
    <xdr:cxnSp macro="">
      <xdr:nvCxnSpPr>
        <xdr:cNvPr id="71" name="直線コネクタ 70">
          <a:extLst>
            <a:ext uri="{FF2B5EF4-FFF2-40B4-BE49-F238E27FC236}">
              <a16:creationId xmlns:a16="http://schemas.microsoft.com/office/drawing/2014/main" id="{BCCD4B91-BA5F-4456-9B96-07EAC6A7D491}"/>
            </a:ext>
          </a:extLst>
        </xdr:cNvPr>
        <xdr:cNvCxnSpPr>
          <a:stCxn id="70" idx="0"/>
          <a:endCxn id="72" idx="2"/>
        </xdr:cNvCxnSpPr>
      </xdr:nvCxnSpPr>
      <xdr:spPr>
        <a:xfrm flipH="1" flipV="1">
          <a:off x="5590167" y="500062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105566</xdr:colOff>
      <xdr:row>226</xdr:row>
      <xdr:rowOff>70811</xdr:rowOff>
    </xdr:from>
    <xdr:to>
      <xdr:col>32</xdr:col>
      <xdr:colOff>25767</xdr:colOff>
      <xdr:row>228</xdr:row>
      <xdr:rowOff>4</xdr:rowOff>
    </xdr:to>
    <xdr:sp macro="" textlink="">
      <xdr:nvSpPr>
        <xdr:cNvPr id="72" name="フローチャート: 処理 71">
          <a:extLst>
            <a:ext uri="{FF2B5EF4-FFF2-40B4-BE49-F238E27FC236}">
              <a16:creationId xmlns:a16="http://schemas.microsoft.com/office/drawing/2014/main" id="{7B79FC7B-8F36-403D-B047-B519F088E3D4}"/>
            </a:ext>
          </a:extLst>
        </xdr:cNvPr>
        <xdr:cNvSpPr/>
      </xdr:nvSpPr>
      <xdr:spPr>
        <a:xfrm>
          <a:off x="5058566" y="496960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149514</xdr:colOff>
      <xdr:row>231</xdr:row>
      <xdr:rowOff>70180</xdr:rowOff>
    </xdr:from>
    <xdr:to>
      <xdr:col>23</xdr:col>
      <xdr:colOff>126624</xdr:colOff>
      <xdr:row>234</xdr:row>
      <xdr:rowOff>67240</xdr:rowOff>
    </xdr:to>
    <xdr:sp macro="" textlink="">
      <xdr:nvSpPr>
        <xdr:cNvPr id="73" name="フローチャート: 複数書類 72">
          <a:extLst>
            <a:ext uri="{FF2B5EF4-FFF2-40B4-BE49-F238E27FC236}">
              <a16:creationId xmlns:a16="http://schemas.microsoft.com/office/drawing/2014/main" id="{30941620-C35C-44F4-834F-4634982FA495}"/>
            </a:ext>
          </a:extLst>
        </xdr:cNvPr>
        <xdr:cNvSpPr/>
      </xdr:nvSpPr>
      <xdr:spPr>
        <a:xfrm>
          <a:off x="2816514" y="50647930"/>
          <a:ext cx="1691610" cy="568560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19</xdr:col>
      <xdr:colOff>161866</xdr:colOff>
      <xdr:row>228</xdr:row>
      <xdr:rowOff>22416</xdr:rowOff>
    </xdr:from>
    <xdr:to>
      <xdr:col>19</xdr:col>
      <xdr:colOff>177731</xdr:colOff>
      <xdr:row>231</xdr:row>
      <xdr:rowOff>70180</xdr:rowOff>
    </xdr:to>
    <xdr:cxnSp macro="">
      <xdr:nvCxnSpPr>
        <xdr:cNvPr id="74" name="直線コネクタ 73">
          <a:extLst>
            <a:ext uri="{FF2B5EF4-FFF2-40B4-BE49-F238E27FC236}">
              <a16:creationId xmlns:a16="http://schemas.microsoft.com/office/drawing/2014/main" id="{9CAEFED2-CDD4-4D1C-B393-FDB796013E08}"/>
            </a:ext>
          </a:extLst>
        </xdr:cNvPr>
        <xdr:cNvCxnSpPr>
          <a:stCxn id="73" idx="0"/>
          <a:endCxn id="75" idx="2"/>
        </xdr:cNvCxnSpPr>
      </xdr:nvCxnSpPr>
      <xdr:spPr>
        <a:xfrm flipV="1">
          <a:off x="3781366" y="500286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4719</xdr:colOff>
      <xdr:row>226</xdr:row>
      <xdr:rowOff>93223</xdr:rowOff>
    </xdr:from>
    <xdr:to>
      <xdr:col>22</xdr:col>
      <xdr:colOff>137831</xdr:colOff>
      <xdr:row>228</xdr:row>
      <xdr:rowOff>22416</xdr:rowOff>
    </xdr:to>
    <xdr:sp macro="" textlink="">
      <xdr:nvSpPr>
        <xdr:cNvPr id="75" name="フローチャート: 処理 74">
          <a:extLst>
            <a:ext uri="{FF2B5EF4-FFF2-40B4-BE49-F238E27FC236}">
              <a16:creationId xmlns:a16="http://schemas.microsoft.com/office/drawing/2014/main" id="{3FA861DA-2FF6-4F00-A3BC-447640EF6570}"/>
            </a:ext>
          </a:extLst>
        </xdr:cNvPr>
        <xdr:cNvSpPr/>
      </xdr:nvSpPr>
      <xdr:spPr>
        <a:xfrm>
          <a:off x="3243219" y="497184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15045</xdr:colOff>
      <xdr:row>231</xdr:row>
      <xdr:rowOff>92589</xdr:rowOff>
    </xdr:from>
    <xdr:to>
      <xdr:col>14</xdr:col>
      <xdr:colOff>59392</xdr:colOff>
      <xdr:row>234</xdr:row>
      <xdr:rowOff>168091</xdr:rowOff>
    </xdr:to>
    <xdr:sp macro="" textlink="">
      <xdr:nvSpPr>
        <xdr:cNvPr id="76" name="フローチャート: 複数書類 75">
          <a:extLst>
            <a:ext uri="{FF2B5EF4-FFF2-40B4-BE49-F238E27FC236}">
              <a16:creationId xmlns:a16="http://schemas.microsoft.com/office/drawing/2014/main" id="{0EB5974C-E9BA-458C-B341-B83E357B8827}"/>
            </a:ext>
          </a:extLst>
        </xdr:cNvPr>
        <xdr:cNvSpPr/>
      </xdr:nvSpPr>
      <xdr:spPr>
        <a:xfrm>
          <a:off x="1158045" y="50670339"/>
          <a:ext cx="1568347" cy="647002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155321</xdr:colOff>
      <xdr:row>228</xdr:row>
      <xdr:rowOff>33622</xdr:rowOff>
    </xdr:from>
    <xdr:to>
      <xdr:col>10</xdr:col>
      <xdr:colOff>157450</xdr:colOff>
      <xdr:row>231</xdr:row>
      <xdr:rowOff>92590</xdr:rowOff>
    </xdr:to>
    <xdr:cxnSp macro="">
      <xdr:nvCxnSpPr>
        <xdr:cNvPr id="77" name="直線コネクタ 76">
          <a:extLst>
            <a:ext uri="{FF2B5EF4-FFF2-40B4-BE49-F238E27FC236}">
              <a16:creationId xmlns:a16="http://schemas.microsoft.com/office/drawing/2014/main" id="{871EDEB9-5E9E-4C77-88BA-E1F8B6DA5304}"/>
            </a:ext>
          </a:extLst>
        </xdr:cNvPr>
        <xdr:cNvCxnSpPr>
          <a:stCxn id="76" idx="0"/>
          <a:endCxn id="78" idx="2"/>
        </xdr:cNvCxnSpPr>
      </xdr:nvCxnSpPr>
      <xdr:spPr>
        <a:xfrm flipH="1" flipV="1">
          <a:off x="2060321" y="500398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7</xdr:col>
      <xdr:colOff>195221</xdr:colOff>
      <xdr:row>226</xdr:row>
      <xdr:rowOff>104429</xdr:rowOff>
    </xdr:from>
    <xdr:to>
      <xdr:col>13</xdr:col>
      <xdr:colOff>115421</xdr:colOff>
      <xdr:row>228</xdr:row>
      <xdr:rowOff>33622</xdr:rowOff>
    </xdr:to>
    <xdr:sp macro="" textlink="">
      <xdr:nvSpPr>
        <xdr:cNvPr id="78" name="フローチャート: 処理 77">
          <a:extLst>
            <a:ext uri="{FF2B5EF4-FFF2-40B4-BE49-F238E27FC236}">
              <a16:creationId xmlns:a16="http://schemas.microsoft.com/office/drawing/2014/main" id="{82B13D78-0200-4E71-8CCA-2C0CE4556127}"/>
            </a:ext>
          </a:extLst>
        </xdr:cNvPr>
        <xdr:cNvSpPr/>
      </xdr:nvSpPr>
      <xdr:spPr>
        <a:xfrm>
          <a:off x="1522371" y="49729679"/>
          <a:ext cx="1069550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19</xdr:col>
      <xdr:colOff>177731</xdr:colOff>
      <xdr:row>223</xdr:row>
      <xdr:rowOff>193638</xdr:rowOff>
    </xdr:from>
    <xdr:to>
      <xdr:col>19</xdr:col>
      <xdr:colOff>185688</xdr:colOff>
      <xdr:row>226</xdr:row>
      <xdr:rowOff>93223</xdr:rowOff>
    </xdr:to>
    <xdr:cxnSp macro="">
      <xdr:nvCxnSpPr>
        <xdr:cNvPr id="79" name="直線コネクタ 78">
          <a:extLst>
            <a:ext uri="{FF2B5EF4-FFF2-40B4-BE49-F238E27FC236}">
              <a16:creationId xmlns:a16="http://schemas.microsoft.com/office/drawing/2014/main" id="{1C15B2BC-7174-44FB-B47A-8F14F4B55023}"/>
            </a:ext>
          </a:extLst>
        </xdr:cNvPr>
        <xdr:cNvCxnSpPr>
          <a:stCxn id="75" idx="0"/>
          <a:endCxn id="155" idx="2"/>
        </xdr:cNvCxnSpPr>
      </xdr:nvCxnSpPr>
      <xdr:spPr>
        <a:xfrm flipV="1">
          <a:off x="3797231" y="492473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6</xdr:col>
      <xdr:colOff>203452</xdr:colOff>
      <xdr:row>225</xdr:row>
      <xdr:rowOff>172835</xdr:rowOff>
    </xdr:from>
    <xdr:to>
      <xdr:col>33</xdr:col>
      <xdr:colOff>25776</xdr:colOff>
      <xdr:row>228</xdr:row>
      <xdr:rowOff>112059</xdr:rowOff>
    </xdr:to>
    <xdr:sp macro="" textlink="">
      <xdr:nvSpPr>
        <xdr:cNvPr id="80" name="正方形/長方形 79">
          <a:extLst>
            <a:ext uri="{FF2B5EF4-FFF2-40B4-BE49-F238E27FC236}">
              <a16:creationId xmlns:a16="http://schemas.microsoft.com/office/drawing/2014/main" id="{7CFFF770-9ED5-4CBB-872E-270511FC6F7B}"/>
            </a:ext>
          </a:extLst>
        </xdr:cNvPr>
        <xdr:cNvSpPr/>
      </xdr:nvSpPr>
      <xdr:spPr>
        <a:xfrm>
          <a:off x="1333752" y="49607585"/>
          <a:ext cx="4978524" cy="51072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160236</xdr:colOff>
      <xdr:row>230</xdr:row>
      <xdr:rowOff>134470</xdr:rowOff>
    </xdr:from>
    <xdr:to>
      <xdr:col>33</xdr:col>
      <xdr:colOff>111888</xdr:colOff>
      <xdr:row>235</xdr:row>
      <xdr:rowOff>46415</xdr:rowOff>
    </xdr:to>
    <xdr:sp macro="" textlink="">
      <xdr:nvSpPr>
        <xdr:cNvPr id="81" name="正方形/長方形 80">
          <a:extLst>
            <a:ext uri="{FF2B5EF4-FFF2-40B4-BE49-F238E27FC236}">
              <a16:creationId xmlns:a16="http://schemas.microsoft.com/office/drawing/2014/main" id="{B6C14118-3D53-4EC4-9CBE-E34988DA28DA}"/>
            </a:ext>
          </a:extLst>
        </xdr:cNvPr>
        <xdr:cNvSpPr/>
      </xdr:nvSpPr>
      <xdr:spPr>
        <a:xfrm>
          <a:off x="4541736" y="50521720"/>
          <a:ext cx="18566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14567</xdr:colOff>
      <xdr:row>228</xdr:row>
      <xdr:rowOff>168090</xdr:rowOff>
    </xdr:from>
    <xdr:to>
      <xdr:col>10</xdr:col>
      <xdr:colOff>80692</xdr:colOff>
      <xdr:row>231</xdr:row>
      <xdr:rowOff>118146</xdr:rowOff>
    </xdr:to>
    <xdr:sp macro="" textlink="">
      <xdr:nvSpPr>
        <xdr:cNvPr id="82" name="フローチャート: 処理 81">
          <a:extLst>
            <a:ext uri="{FF2B5EF4-FFF2-40B4-BE49-F238E27FC236}">
              <a16:creationId xmlns:a16="http://schemas.microsoft.com/office/drawing/2014/main" id="{37ED3732-0637-4C5F-A371-5D9A04D9668A}"/>
            </a:ext>
          </a:extLst>
        </xdr:cNvPr>
        <xdr:cNvSpPr/>
      </xdr:nvSpPr>
      <xdr:spPr>
        <a:xfrm rot="5400000">
          <a:off x="1596602" y="503068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3359</xdr:colOff>
      <xdr:row>228</xdr:row>
      <xdr:rowOff>123268</xdr:rowOff>
    </xdr:from>
    <xdr:to>
      <xdr:col>19</xdr:col>
      <xdr:colOff>69484</xdr:colOff>
      <xdr:row>231</xdr:row>
      <xdr:rowOff>73324</xdr:rowOff>
    </xdr:to>
    <xdr:sp macro="" textlink="">
      <xdr:nvSpPr>
        <xdr:cNvPr id="83" name="フローチャート: 処理 82">
          <a:extLst>
            <a:ext uri="{FF2B5EF4-FFF2-40B4-BE49-F238E27FC236}">
              <a16:creationId xmlns:a16="http://schemas.microsoft.com/office/drawing/2014/main" id="{96530666-659E-4003-B5ED-287A4A1B0B01}"/>
            </a:ext>
          </a:extLst>
        </xdr:cNvPr>
        <xdr:cNvSpPr/>
      </xdr:nvSpPr>
      <xdr:spPr>
        <a:xfrm rot="5400000">
          <a:off x="3299894" y="502619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160235</xdr:colOff>
      <xdr:row>228</xdr:row>
      <xdr:rowOff>22415</xdr:rowOff>
    </xdr:from>
    <xdr:to>
      <xdr:col>29</xdr:col>
      <xdr:colOff>13449</xdr:colOff>
      <xdr:row>230</xdr:row>
      <xdr:rowOff>174177</xdr:rowOff>
    </xdr:to>
    <xdr:sp macro="" textlink="">
      <xdr:nvSpPr>
        <xdr:cNvPr id="84" name="フローチャート: 処理 83">
          <a:extLst>
            <a:ext uri="{FF2B5EF4-FFF2-40B4-BE49-F238E27FC236}">
              <a16:creationId xmlns:a16="http://schemas.microsoft.com/office/drawing/2014/main" id="{F9A200A8-D2E1-48BE-8EFB-567406F8BB40}"/>
            </a:ext>
          </a:extLst>
        </xdr:cNvPr>
        <xdr:cNvSpPr/>
      </xdr:nvSpPr>
      <xdr:spPr>
        <a:xfrm rot="5400000">
          <a:off x="5154461" y="50177939"/>
          <a:ext cx="532762" cy="2342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36</xdr:col>
      <xdr:colOff>83699</xdr:colOff>
      <xdr:row>214</xdr:row>
      <xdr:rowOff>112060</xdr:rowOff>
    </xdr:from>
    <xdr:to>
      <xdr:col>48</xdr:col>
      <xdr:colOff>123265</xdr:colOff>
      <xdr:row>238</xdr:row>
      <xdr:rowOff>124784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93E02105-AB69-40FF-B2AD-B31FEF9BD2C3}"/>
            </a:ext>
          </a:extLst>
        </xdr:cNvPr>
        <xdr:cNvSpPr/>
      </xdr:nvSpPr>
      <xdr:spPr>
        <a:xfrm>
          <a:off x="6941699" y="47451310"/>
          <a:ext cx="2325566" cy="45847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項目</a:t>
          </a:r>
        </a:p>
      </xdr:txBody>
    </xdr:sp>
    <xdr:clientData/>
  </xdr:twoCellAnchor>
  <xdr:twoCellAnchor>
    <xdr:from>
      <xdr:col>37</xdr:col>
      <xdr:colOff>75779</xdr:colOff>
      <xdr:row>222</xdr:row>
      <xdr:rowOff>76795</xdr:rowOff>
    </xdr:from>
    <xdr:to>
      <xdr:col>44</xdr:col>
      <xdr:colOff>95465</xdr:colOff>
      <xdr:row>223</xdr:row>
      <xdr:rowOff>178712</xdr:rowOff>
    </xdr:to>
    <xdr:sp macro="" textlink="">
      <xdr:nvSpPr>
        <xdr:cNvPr id="86" name="フローチャート: 処理 85">
          <a:extLst>
            <a:ext uri="{FF2B5EF4-FFF2-40B4-BE49-F238E27FC236}">
              <a16:creationId xmlns:a16="http://schemas.microsoft.com/office/drawing/2014/main" id="{0ADAD6E6-2864-45E1-B9F3-EC0A76FDB06C}"/>
            </a:ext>
          </a:extLst>
        </xdr:cNvPr>
        <xdr:cNvSpPr/>
      </xdr:nvSpPr>
      <xdr:spPr>
        <a:xfrm>
          <a:off x="7124279" y="48940045"/>
          <a:ext cx="1353186" cy="29241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37</xdr:col>
      <xdr:colOff>174577</xdr:colOff>
      <xdr:row>231</xdr:row>
      <xdr:rowOff>36430</xdr:rowOff>
    </xdr:from>
    <xdr:to>
      <xdr:col>45</xdr:col>
      <xdr:colOff>10395</xdr:colOff>
      <xdr:row>234</xdr:row>
      <xdr:rowOff>117457</xdr:rowOff>
    </xdr:to>
    <xdr:sp macro="" textlink="">
      <xdr:nvSpPr>
        <xdr:cNvPr id="87" name="フローチャート: 処理 86">
          <a:extLst>
            <a:ext uri="{FF2B5EF4-FFF2-40B4-BE49-F238E27FC236}">
              <a16:creationId xmlns:a16="http://schemas.microsoft.com/office/drawing/2014/main" id="{2DC4209A-BF4F-4796-A170-03B91D830604}"/>
            </a:ext>
          </a:extLst>
        </xdr:cNvPr>
        <xdr:cNvSpPr/>
      </xdr:nvSpPr>
      <xdr:spPr>
        <a:xfrm>
          <a:off x="7223077" y="50614180"/>
          <a:ext cx="1359818" cy="65252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ヘッダー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</a:t>
          </a:r>
        </a:p>
      </xdr:txBody>
    </xdr:sp>
    <xdr:clientData/>
  </xdr:twoCellAnchor>
  <xdr:twoCellAnchor>
    <xdr:from>
      <xdr:col>37</xdr:col>
      <xdr:colOff>187139</xdr:colOff>
      <xdr:row>226</xdr:row>
      <xdr:rowOff>4878</xdr:rowOff>
    </xdr:from>
    <xdr:to>
      <xdr:col>45</xdr:col>
      <xdr:colOff>23124</xdr:colOff>
      <xdr:row>228</xdr:row>
      <xdr:rowOff>183649</xdr:rowOff>
    </xdr:to>
    <xdr:sp macro="" textlink="">
      <xdr:nvSpPr>
        <xdr:cNvPr id="88" name="フローチャート: 処理 87">
          <a:extLst>
            <a:ext uri="{FF2B5EF4-FFF2-40B4-BE49-F238E27FC236}">
              <a16:creationId xmlns:a16="http://schemas.microsoft.com/office/drawing/2014/main" id="{87AEEBC8-6941-40A1-8EA4-A95839FB84F0}"/>
            </a:ext>
          </a:extLst>
        </xdr:cNvPr>
        <xdr:cNvSpPr/>
      </xdr:nvSpPr>
      <xdr:spPr>
        <a:xfrm>
          <a:off x="7235639" y="49630128"/>
          <a:ext cx="1359985" cy="55977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証明書種類結果</a:t>
          </a:r>
        </a:p>
      </xdr:txBody>
    </xdr:sp>
    <xdr:clientData/>
  </xdr:twoCellAnchor>
  <xdr:twoCellAnchor>
    <xdr:from>
      <xdr:col>32</xdr:col>
      <xdr:colOff>73876</xdr:colOff>
      <xdr:row>226</xdr:row>
      <xdr:rowOff>146466</xdr:rowOff>
    </xdr:from>
    <xdr:to>
      <xdr:col>38</xdr:col>
      <xdr:colOff>11207</xdr:colOff>
      <xdr:row>228</xdr:row>
      <xdr:rowOff>0</xdr:rowOff>
    </xdr:to>
    <xdr:sp macro="" textlink="">
      <xdr:nvSpPr>
        <xdr:cNvPr id="89" name="右矢印 513">
          <a:extLst>
            <a:ext uri="{FF2B5EF4-FFF2-40B4-BE49-F238E27FC236}">
              <a16:creationId xmlns:a16="http://schemas.microsoft.com/office/drawing/2014/main" id="{F1FAD2AA-0ECC-437F-A4F1-4D5A4D02ABE7}"/>
            </a:ext>
          </a:extLst>
        </xdr:cNvPr>
        <xdr:cNvSpPr/>
      </xdr:nvSpPr>
      <xdr:spPr>
        <a:xfrm>
          <a:off x="6169876" y="49771716"/>
          <a:ext cx="1080331" cy="23453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32</xdr:col>
      <xdr:colOff>110403</xdr:colOff>
      <xdr:row>232</xdr:row>
      <xdr:rowOff>20048</xdr:rowOff>
    </xdr:from>
    <xdr:to>
      <xdr:col>37</xdr:col>
      <xdr:colOff>139797</xdr:colOff>
      <xdr:row>233</xdr:row>
      <xdr:rowOff>70165</xdr:rowOff>
    </xdr:to>
    <xdr:sp macro="" textlink="">
      <xdr:nvSpPr>
        <xdr:cNvPr id="90" name="右矢印 514">
          <a:extLst>
            <a:ext uri="{FF2B5EF4-FFF2-40B4-BE49-F238E27FC236}">
              <a16:creationId xmlns:a16="http://schemas.microsoft.com/office/drawing/2014/main" id="{F35C0045-354A-4C0F-8423-A025DEE857FE}"/>
            </a:ext>
          </a:extLst>
        </xdr:cNvPr>
        <xdr:cNvSpPr/>
      </xdr:nvSpPr>
      <xdr:spPr>
        <a:xfrm>
          <a:off x="6206403" y="50788298"/>
          <a:ext cx="981894" cy="240617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116145</xdr:colOff>
      <xdr:row>69</xdr:row>
      <xdr:rowOff>85881</xdr:rowOff>
    </xdr:from>
    <xdr:to>
      <xdr:col>23</xdr:col>
      <xdr:colOff>154081</xdr:colOff>
      <xdr:row>71</xdr:row>
      <xdr:rowOff>145677</xdr:rowOff>
    </xdr:to>
    <xdr:sp macro="" textlink="">
      <xdr:nvSpPr>
        <xdr:cNvPr id="91" name="フローチャート: 処理 90">
          <a:extLst>
            <a:ext uri="{FF2B5EF4-FFF2-40B4-BE49-F238E27FC236}">
              <a16:creationId xmlns:a16="http://schemas.microsoft.com/office/drawing/2014/main" id="{B02B829F-4A6F-4D89-B320-73CB6AE7FB90}"/>
            </a:ext>
          </a:extLst>
        </xdr:cNvPr>
        <xdr:cNvSpPr/>
      </xdr:nvSpPr>
      <xdr:spPr>
        <a:xfrm>
          <a:off x="1449645" y="14240031"/>
          <a:ext cx="3085936" cy="44079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－１－７．申請可能チェック結果取得</a:t>
          </a:r>
        </a:p>
      </xdr:txBody>
    </xdr:sp>
    <xdr:clientData/>
  </xdr:twoCellAnchor>
  <xdr:twoCellAnchor>
    <xdr:from>
      <xdr:col>15</xdr:col>
      <xdr:colOff>135114</xdr:colOff>
      <xdr:row>71</xdr:row>
      <xdr:rowOff>145677</xdr:rowOff>
    </xdr:from>
    <xdr:to>
      <xdr:col>15</xdr:col>
      <xdr:colOff>142234</xdr:colOff>
      <xdr:row>76</xdr:row>
      <xdr:rowOff>156882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AF024C0D-EA34-497F-82EA-DE7D86D616F8}"/>
            </a:ext>
          </a:extLst>
        </xdr:cNvPr>
        <xdr:cNvCxnSpPr>
          <a:stCxn id="91" idx="2"/>
          <a:endCxn id="105" idx="0"/>
        </xdr:cNvCxnSpPr>
      </xdr:nvCxnSpPr>
      <xdr:spPr>
        <a:xfrm>
          <a:off x="2992614" y="14680827"/>
          <a:ext cx="7120" cy="96370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201706</xdr:colOff>
      <xdr:row>57</xdr:row>
      <xdr:rowOff>22411</xdr:rowOff>
    </xdr:from>
    <xdr:to>
      <xdr:col>23</xdr:col>
      <xdr:colOff>59089</xdr:colOff>
      <xdr:row>60</xdr:row>
      <xdr:rowOff>172068</xdr:rowOff>
    </xdr:to>
    <xdr:sp macro="" textlink="">
      <xdr:nvSpPr>
        <xdr:cNvPr id="93" name="フローチャート: 判断 92">
          <a:extLst>
            <a:ext uri="{FF2B5EF4-FFF2-40B4-BE49-F238E27FC236}">
              <a16:creationId xmlns:a16="http://schemas.microsoft.com/office/drawing/2014/main" id="{79F4076E-D2CA-498E-8859-3D5C33D18DCF}"/>
            </a:ext>
          </a:extLst>
        </xdr:cNvPr>
        <xdr:cNvSpPr/>
      </xdr:nvSpPr>
      <xdr:spPr>
        <a:xfrm>
          <a:off x="1522506" y="11890561"/>
          <a:ext cx="2918083" cy="72115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代理店権限を確認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130397</xdr:colOff>
      <xdr:row>60</xdr:row>
      <xdr:rowOff>172068</xdr:rowOff>
    </xdr:from>
    <xdr:to>
      <xdr:col>15</xdr:col>
      <xdr:colOff>130398</xdr:colOff>
      <xdr:row>63</xdr:row>
      <xdr:rowOff>78442</xdr:rowOff>
    </xdr:to>
    <xdr:cxnSp macro="">
      <xdr:nvCxnSpPr>
        <xdr:cNvPr id="94" name="直線矢印コネクタ 93">
          <a:extLst>
            <a:ext uri="{FF2B5EF4-FFF2-40B4-BE49-F238E27FC236}">
              <a16:creationId xmlns:a16="http://schemas.microsoft.com/office/drawing/2014/main" id="{8CB2B054-CFBF-45F8-A19E-1A51AC24836E}"/>
            </a:ext>
          </a:extLst>
        </xdr:cNvPr>
        <xdr:cNvCxnSpPr>
          <a:stCxn id="93" idx="2"/>
          <a:endCxn id="101" idx="0"/>
        </xdr:cNvCxnSpPr>
      </xdr:nvCxnSpPr>
      <xdr:spPr>
        <a:xfrm flipH="1">
          <a:off x="2987897" y="12611718"/>
          <a:ext cx="1" cy="47787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145677</xdr:colOff>
      <xdr:row>60</xdr:row>
      <xdr:rowOff>190497</xdr:rowOff>
    </xdr:from>
    <xdr:to>
      <xdr:col>17</xdr:col>
      <xdr:colOff>86017</xdr:colOff>
      <xdr:row>62</xdr:row>
      <xdr:rowOff>81606</xdr:rowOff>
    </xdr:to>
    <xdr:sp macro="" textlink="">
      <xdr:nvSpPr>
        <xdr:cNvPr id="95" name="正方形/長方形 94">
          <a:extLst>
            <a:ext uri="{FF2B5EF4-FFF2-40B4-BE49-F238E27FC236}">
              <a16:creationId xmlns:a16="http://schemas.microsoft.com/office/drawing/2014/main" id="{93CE4AC0-1126-448A-9479-163E2BEA9934}"/>
            </a:ext>
          </a:extLst>
        </xdr:cNvPr>
        <xdr:cNvSpPr/>
      </xdr:nvSpPr>
      <xdr:spPr>
        <a:xfrm>
          <a:off x="3003177" y="12630147"/>
          <a:ext cx="321340" cy="27210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24</xdr:col>
      <xdr:colOff>89648</xdr:colOff>
      <xdr:row>59</xdr:row>
      <xdr:rowOff>112059</xdr:rowOff>
    </xdr:from>
    <xdr:to>
      <xdr:col>26</xdr:col>
      <xdr:colOff>35750</xdr:colOff>
      <xdr:row>60</xdr:row>
      <xdr:rowOff>182491</xdr:rowOff>
    </xdr:to>
    <xdr:sp macro="" textlink="">
      <xdr:nvSpPr>
        <xdr:cNvPr id="96" name="正方形/長方形 95">
          <a:extLst>
            <a:ext uri="{FF2B5EF4-FFF2-40B4-BE49-F238E27FC236}">
              <a16:creationId xmlns:a16="http://schemas.microsoft.com/office/drawing/2014/main" id="{059B4392-F283-47A6-9E67-D08E7B86297A}"/>
            </a:ext>
          </a:extLst>
        </xdr:cNvPr>
        <xdr:cNvSpPr/>
      </xdr:nvSpPr>
      <xdr:spPr>
        <a:xfrm>
          <a:off x="4661648" y="12361209"/>
          <a:ext cx="327102" cy="260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15</xdr:col>
      <xdr:colOff>179295</xdr:colOff>
      <xdr:row>58</xdr:row>
      <xdr:rowOff>198093</xdr:rowOff>
    </xdr:from>
    <xdr:to>
      <xdr:col>23</xdr:col>
      <xdr:colOff>59089</xdr:colOff>
      <xdr:row>74</xdr:row>
      <xdr:rowOff>134471</xdr:rowOff>
    </xdr:to>
    <xdr:cxnSp macro="">
      <xdr:nvCxnSpPr>
        <xdr:cNvPr id="97" name="カギ線コネクタ 138">
          <a:extLst>
            <a:ext uri="{FF2B5EF4-FFF2-40B4-BE49-F238E27FC236}">
              <a16:creationId xmlns:a16="http://schemas.microsoft.com/office/drawing/2014/main" id="{B6836F10-4DC6-43C3-9EB3-4866EC5952DF}"/>
            </a:ext>
          </a:extLst>
        </xdr:cNvPr>
        <xdr:cNvCxnSpPr>
          <a:stCxn id="93" idx="3"/>
        </xdr:cNvCxnSpPr>
      </xdr:nvCxnSpPr>
      <xdr:spPr>
        <a:xfrm flipH="1">
          <a:off x="3036795" y="12250393"/>
          <a:ext cx="1403794" cy="2990728"/>
        </a:xfrm>
        <a:prstGeom prst="bentConnector4">
          <a:avLst>
            <a:gd name="adj1" fmla="val -14440"/>
            <a:gd name="adj2" fmla="val 10024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201705</xdr:colOff>
      <xdr:row>50</xdr:row>
      <xdr:rowOff>11206</xdr:rowOff>
    </xdr:from>
    <xdr:to>
      <xdr:col>25</xdr:col>
      <xdr:colOff>134470</xdr:colOff>
      <xdr:row>54</xdr:row>
      <xdr:rowOff>89647</xdr:rowOff>
    </xdr:to>
    <xdr:sp macro="" textlink="">
      <xdr:nvSpPr>
        <xdr:cNvPr id="98" name="正方形/長方形 97">
          <a:extLst>
            <a:ext uri="{FF2B5EF4-FFF2-40B4-BE49-F238E27FC236}">
              <a16:creationId xmlns:a16="http://schemas.microsoft.com/office/drawing/2014/main" id="{CEAA464A-26D3-4CD0-A696-38D457565200}"/>
            </a:ext>
          </a:extLst>
        </xdr:cNvPr>
        <xdr:cNvSpPr/>
      </xdr:nvSpPr>
      <xdr:spPr>
        <a:xfrm>
          <a:off x="1141505" y="10545856"/>
          <a:ext cx="3755465" cy="84044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100854</xdr:colOff>
      <xdr:row>51</xdr:row>
      <xdr:rowOff>89648</xdr:rowOff>
    </xdr:from>
    <xdr:to>
      <xdr:col>29</xdr:col>
      <xdr:colOff>53229</xdr:colOff>
      <xdr:row>53</xdr:row>
      <xdr:rowOff>6619</xdr:rowOff>
    </xdr:to>
    <xdr:sp macro="" textlink="">
      <xdr:nvSpPr>
        <xdr:cNvPr id="99" name="右カーブ矢印 152">
          <a:extLst>
            <a:ext uri="{FF2B5EF4-FFF2-40B4-BE49-F238E27FC236}">
              <a16:creationId xmlns:a16="http://schemas.microsoft.com/office/drawing/2014/main" id="{E34EF3F0-8F44-4E69-99F7-6DFD9AAEFE9A}"/>
            </a:ext>
          </a:extLst>
        </xdr:cNvPr>
        <xdr:cNvSpPr/>
      </xdr:nvSpPr>
      <xdr:spPr>
        <a:xfrm rot="5856382">
          <a:off x="4976306" y="1051134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89647</xdr:colOff>
      <xdr:row>51</xdr:row>
      <xdr:rowOff>33618</xdr:rowOff>
    </xdr:from>
    <xdr:to>
      <xdr:col>36</xdr:col>
      <xdr:colOff>175030</xdr:colOff>
      <xdr:row>56</xdr:row>
      <xdr:rowOff>189552</xdr:rowOff>
    </xdr:to>
    <xdr:sp macro="" textlink="">
      <xdr:nvSpPr>
        <xdr:cNvPr id="100" name="フローチャート: 磁気ディスク 99">
          <a:extLst>
            <a:ext uri="{FF2B5EF4-FFF2-40B4-BE49-F238E27FC236}">
              <a16:creationId xmlns:a16="http://schemas.microsoft.com/office/drawing/2014/main" id="{3B3E62AA-EBC2-40AE-987F-75F9E23721A9}"/>
            </a:ext>
          </a:extLst>
        </xdr:cNvPr>
        <xdr:cNvSpPr/>
      </xdr:nvSpPr>
      <xdr:spPr>
        <a:xfrm>
          <a:off x="5614147" y="10758768"/>
          <a:ext cx="1418883" cy="1108434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製品マスター</a:t>
          </a:r>
        </a:p>
      </xdr:txBody>
    </xdr:sp>
    <xdr:clientData/>
  </xdr:twoCellAnchor>
  <xdr:twoCellAnchor>
    <xdr:from>
      <xdr:col>7</xdr:col>
      <xdr:colOff>201705</xdr:colOff>
      <xdr:row>63</xdr:row>
      <xdr:rowOff>78442</xdr:rowOff>
    </xdr:from>
    <xdr:to>
      <xdr:col>23</xdr:col>
      <xdr:colOff>59088</xdr:colOff>
      <xdr:row>67</xdr:row>
      <xdr:rowOff>26393</xdr:rowOff>
    </xdr:to>
    <xdr:sp macro="" textlink="">
      <xdr:nvSpPr>
        <xdr:cNvPr id="101" name="フローチャート: 判断 100">
          <a:extLst>
            <a:ext uri="{FF2B5EF4-FFF2-40B4-BE49-F238E27FC236}">
              <a16:creationId xmlns:a16="http://schemas.microsoft.com/office/drawing/2014/main" id="{7E29E1BA-B2F8-438F-BC95-300C4A19B0A2}"/>
            </a:ext>
          </a:extLst>
        </xdr:cNvPr>
        <xdr:cNvSpPr/>
      </xdr:nvSpPr>
      <xdr:spPr>
        <a:xfrm>
          <a:off x="1522505" y="13089592"/>
          <a:ext cx="291808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A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－１－６．申請可能条件よりチェック</a:t>
          </a:r>
        </a:p>
      </xdr:txBody>
    </xdr:sp>
    <xdr:clientData/>
  </xdr:twoCellAnchor>
  <xdr:twoCellAnchor>
    <xdr:from>
      <xdr:col>15</xdr:col>
      <xdr:colOff>130397</xdr:colOff>
      <xdr:row>67</xdr:row>
      <xdr:rowOff>26393</xdr:rowOff>
    </xdr:from>
    <xdr:to>
      <xdr:col>15</xdr:col>
      <xdr:colOff>135114</xdr:colOff>
      <xdr:row>69</xdr:row>
      <xdr:rowOff>85881</xdr:rowOff>
    </xdr:to>
    <xdr:cxnSp macro="">
      <xdr:nvCxnSpPr>
        <xdr:cNvPr id="102" name="直線矢印コネクタ 101">
          <a:extLst>
            <a:ext uri="{FF2B5EF4-FFF2-40B4-BE49-F238E27FC236}">
              <a16:creationId xmlns:a16="http://schemas.microsoft.com/office/drawing/2014/main" id="{FF33A033-3696-44DA-8B50-D012EE20D551}"/>
            </a:ext>
          </a:extLst>
        </xdr:cNvPr>
        <xdr:cNvCxnSpPr>
          <a:stCxn id="101" idx="2"/>
          <a:endCxn id="91" idx="0"/>
        </xdr:cNvCxnSpPr>
      </xdr:nvCxnSpPr>
      <xdr:spPr>
        <a:xfrm>
          <a:off x="2987897" y="13799543"/>
          <a:ext cx="4717" cy="44048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100853</xdr:colOff>
      <xdr:row>51</xdr:row>
      <xdr:rowOff>11206</xdr:rowOff>
    </xdr:from>
    <xdr:to>
      <xdr:col>23</xdr:col>
      <xdr:colOff>138789</xdr:colOff>
      <xdr:row>53</xdr:row>
      <xdr:rowOff>151454</xdr:rowOff>
    </xdr:to>
    <xdr:sp macro="" textlink="">
      <xdr:nvSpPr>
        <xdr:cNvPr id="103" name="フローチャート: 処理 102">
          <a:extLst>
            <a:ext uri="{FF2B5EF4-FFF2-40B4-BE49-F238E27FC236}">
              <a16:creationId xmlns:a16="http://schemas.microsoft.com/office/drawing/2014/main" id="{D9D14DF9-61B7-49AE-AF93-3FA5A3155A1D}"/>
            </a:ext>
          </a:extLst>
        </xdr:cNvPr>
        <xdr:cNvSpPr/>
      </xdr:nvSpPr>
      <xdr:spPr>
        <a:xfrm>
          <a:off x="1434353" y="10736356"/>
          <a:ext cx="3085936" cy="52124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－１－５．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コードより一致する製品マスター情報を取得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119822</xdr:colOff>
      <xdr:row>53</xdr:row>
      <xdr:rowOff>151454</xdr:rowOff>
    </xdr:from>
    <xdr:to>
      <xdr:col>15</xdr:col>
      <xdr:colOff>130398</xdr:colOff>
      <xdr:row>57</xdr:row>
      <xdr:rowOff>22411</xdr:rowOff>
    </xdr:to>
    <xdr:cxnSp macro="">
      <xdr:nvCxnSpPr>
        <xdr:cNvPr id="104" name="直線矢印コネクタ 103">
          <a:extLst>
            <a:ext uri="{FF2B5EF4-FFF2-40B4-BE49-F238E27FC236}">
              <a16:creationId xmlns:a16="http://schemas.microsoft.com/office/drawing/2014/main" id="{DCB6A545-A278-4D78-826E-7616FCC81BCC}"/>
            </a:ext>
          </a:extLst>
        </xdr:cNvPr>
        <xdr:cNvCxnSpPr>
          <a:stCxn id="103" idx="2"/>
          <a:endCxn id="93" idx="0"/>
        </xdr:cNvCxnSpPr>
      </xdr:nvCxnSpPr>
      <xdr:spPr>
        <a:xfrm>
          <a:off x="2977322" y="11257604"/>
          <a:ext cx="10576" cy="6329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123265</xdr:colOff>
      <xdr:row>76</xdr:row>
      <xdr:rowOff>156882</xdr:rowOff>
    </xdr:from>
    <xdr:to>
      <xdr:col>23</xdr:col>
      <xdr:colOff>161201</xdr:colOff>
      <xdr:row>79</xdr:row>
      <xdr:rowOff>95424</xdr:rowOff>
    </xdr:to>
    <xdr:sp macro="" textlink="">
      <xdr:nvSpPr>
        <xdr:cNvPr id="105" name="フローチャート: 処理 104">
          <a:extLst>
            <a:ext uri="{FF2B5EF4-FFF2-40B4-BE49-F238E27FC236}">
              <a16:creationId xmlns:a16="http://schemas.microsoft.com/office/drawing/2014/main" id="{41299924-01F7-4C06-89B5-D30C4FE1BE9C}"/>
            </a:ext>
          </a:extLst>
        </xdr:cNvPr>
        <xdr:cNvSpPr/>
      </xdr:nvSpPr>
      <xdr:spPr>
        <a:xfrm>
          <a:off x="1456765" y="15644532"/>
          <a:ext cx="3085936" cy="51004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－１－８．製品マスター情報を表示内容として設定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136945</xdr:colOff>
      <xdr:row>79</xdr:row>
      <xdr:rowOff>95424</xdr:rowOff>
    </xdr:from>
    <xdr:to>
      <xdr:col>15</xdr:col>
      <xdr:colOff>142234</xdr:colOff>
      <xdr:row>81</xdr:row>
      <xdr:rowOff>74521</xdr:rowOff>
    </xdr:to>
    <xdr:cxnSp macro="">
      <xdr:nvCxnSpPr>
        <xdr:cNvPr id="106" name="直線矢印コネクタ 105">
          <a:extLst>
            <a:ext uri="{FF2B5EF4-FFF2-40B4-BE49-F238E27FC236}">
              <a16:creationId xmlns:a16="http://schemas.microsoft.com/office/drawing/2014/main" id="{9C39B9AC-3C8C-4562-BEA5-E48F10B3E062}"/>
            </a:ext>
          </a:extLst>
        </xdr:cNvPr>
        <xdr:cNvCxnSpPr>
          <a:stCxn id="105" idx="2"/>
          <a:endCxn id="114" idx="0"/>
        </xdr:cNvCxnSpPr>
      </xdr:nvCxnSpPr>
      <xdr:spPr>
        <a:xfrm flipH="1">
          <a:off x="2994445" y="16154574"/>
          <a:ext cx="5289" cy="36009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112060</xdr:colOff>
      <xdr:row>19</xdr:row>
      <xdr:rowOff>179293</xdr:rowOff>
    </xdr:from>
    <xdr:to>
      <xdr:col>23</xdr:col>
      <xdr:colOff>149996</xdr:colOff>
      <xdr:row>22</xdr:row>
      <xdr:rowOff>117836</xdr:rowOff>
    </xdr:to>
    <xdr:sp macro="" textlink="">
      <xdr:nvSpPr>
        <xdr:cNvPr id="107" name="フローチャート: 処理 106">
          <a:extLst>
            <a:ext uri="{FF2B5EF4-FFF2-40B4-BE49-F238E27FC236}">
              <a16:creationId xmlns:a16="http://schemas.microsoft.com/office/drawing/2014/main" id="{F70CCF63-D579-4923-9E3C-F47AFF64396A}"/>
            </a:ext>
          </a:extLst>
        </xdr:cNvPr>
        <xdr:cNvSpPr/>
      </xdr:nvSpPr>
      <xdr:spPr>
        <a:xfrm>
          <a:off x="1445560" y="4808443"/>
          <a:ext cx="3085936" cy="51004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A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－１－２．製品名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コードより一致する製品証明書の情報を取得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30</xdr:col>
      <xdr:colOff>100851</xdr:colOff>
      <xdr:row>9</xdr:row>
      <xdr:rowOff>156882</xdr:rowOff>
    </xdr:from>
    <xdr:to>
      <xdr:col>45</xdr:col>
      <xdr:colOff>201706</xdr:colOff>
      <xdr:row>12</xdr:row>
      <xdr:rowOff>89647</xdr:rowOff>
    </xdr:to>
    <xdr:sp macro="" textlink="">
      <xdr:nvSpPr>
        <xdr:cNvPr id="108" name="線吹き出し 1 (枠付き) 48">
          <a:extLst>
            <a:ext uri="{FF2B5EF4-FFF2-40B4-BE49-F238E27FC236}">
              <a16:creationId xmlns:a16="http://schemas.microsoft.com/office/drawing/2014/main" id="{CC229F06-4E1C-451F-AD66-4781EAF905A3}"/>
            </a:ext>
          </a:extLst>
        </xdr:cNvPr>
        <xdr:cNvSpPr/>
      </xdr:nvSpPr>
      <xdr:spPr>
        <a:xfrm>
          <a:off x="5815851" y="2881032"/>
          <a:ext cx="2945655" cy="504265"/>
        </a:xfrm>
        <a:prstGeom prst="borderCallout1">
          <a:avLst>
            <a:gd name="adj1" fmla="val 41330"/>
            <a:gd name="adj2" fmla="val -2710"/>
            <a:gd name="adj3" fmla="val 63844"/>
            <a:gd name="adj4" fmla="val -69410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ループ配下の処理を申請製品コードリストの件数分実施</a:t>
          </a:r>
        </a:p>
      </xdr:txBody>
    </xdr:sp>
    <xdr:clientData/>
  </xdr:twoCellAnchor>
  <xdr:twoCellAnchor>
    <xdr:from>
      <xdr:col>11</xdr:col>
      <xdr:colOff>44823</xdr:colOff>
      <xdr:row>24</xdr:row>
      <xdr:rowOff>112060</xdr:rowOff>
    </xdr:from>
    <xdr:to>
      <xdr:col>19</xdr:col>
      <xdr:colOff>206654</xdr:colOff>
      <xdr:row>26</xdr:row>
      <xdr:rowOff>112061</xdr:rowOff>
    </xdr:to>
    <xdr:sp macro="" textlink="">
      <xdr:nvSpPr>
        <xdr:cNvPr id="109" name="楕円 108">
          <a:extLst>
            <a:ext uri="{FF2B5EF4-FFF2-40B4-BE49-F238E27FC236}">
              <a16:creationId xmlns:a16="http://schemas.microsoft.com/office/drawing/2014/main" id="{C18BC67C-A27D-4147-8716-6E001D7D0A2E}"/>
            </a:ext>
          </a:extLst>
        </xdr:cNvPr>
        <xdr:cNvSpPr/>
      </xdr:nvSpPr>
      <xdr:spPr>
        <a:xfrm>
          <a:off x="2140323" y="5693710"/>
          <a:ext cx="1666781" cy="381001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リストをループ開始②</a:t>
          </a:r>
        </a:p>
      </xdr:txBody>
    </xdr:sp>
    <xdr:clientData/>
  </xdr:twoCellAnchor>
  <xdr:twoCellAnchor>
    <xdr:from>
      <xdr:col>30</xdr:col>
      <xdr:colOff>201709</xdr:colOff>
      <xdr:row>24</xdr:row>
      <xdr:rowOff>44825</xdr:rowOff>
    </xdr:from>
    <xdr:to>
      <xdr:col>48</xdr:col>
      <xdr:colOff>179297</xdr:colOff>
      <xdr:row>33</xdr:row>
      <xdr:rowOff>44824</xdr:rowOff>
    </xdr:to>
    <xdr:sp macro="" textlink="">
      <xdr:nvSpPr>
        <xdr:cNvPr id="110" name="線吹き出し 1 (枠付き) 257">
          <a:extLst>
            <a:ext uri="{FF2B5EF4-FFF2-40B4-BE49-F238E27FC236}">
              <a16:creationId xmlns:a16="http://schemas.microsoft.com/office/drawing/2014/main" id="{410BE3B7-F14F-415A-8B0A-40184A1C64C0}"/>
            </a:ext>
          </a:extLst>
        </xdr:cNvPr>
        <xdr:cNvSpPr/>
      </xdr:nvSpPr>
      <xdr:spPr>
        <a:xfrm>
          <a:off x="5904009" y="5626475"/>
          <a:ext cx="3419288" cy="1714499"/>
        </a:xfrm>
        <a:prstGeom prst="borderCallout1">
          <a:avLst>
            <a:gd name="adj1" fmla="val 21382"/>
            <a:gd name="adj2" fmla="val -1274"/>
            <a:gd name="adj3" fmla="val 14621"/>
            <a:gd name="adj4" fmla="val -65198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0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回実施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件以上の場合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：ループ配下の処理を製品証明書の情報のリストの件数分実施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※CL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コードで検索する場合、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件取得となるが、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　製品名で検索する場合、複数件取得となる可能性がある</a:t>
          </a:r>
        </a:p>
      </xdr:txBody>
    </xdr:sp>
    <xdr:clientData/>
  </xdr:twoCellAnchor>
  <xdr:twoCellAnchor>
    <xdr:from>
      <xdr:col>15</xdr:col>
      <xdr:colOff>125739</xdr:colOff>
      <xdr:row>22</xdr:row>
      <xdr:rowOff>117836</xdr:rowOff>
    </xdr:from>
    <xdr:to>
      <xdr:col>15</xdr:col>
      <xdr:colOff>131029</xdr:colOff>
      <xdr:row>24</xdr:row>
      <xdr:rowOff>112060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71639267-5E98-493F-830E-9F0E7A64B9B2}"/>
            </a:ext>
          </a:extLst>
        </xdr:cNvPr>
        <xdr:cNvCxnSpPr>
          <a:stCxn id="107" idx="2"/>
          <a:endCxn id="109" idx="0"/>
        </xdr:cNvCxnSpPr>
      </xdr:nvCxnSpPr>
      <xdr:spPr>
        <a:xfrm flipH="1">
          <a:off x="2983239" y="5318486"/>
          <a:ext cx="5290" cy="37522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125739</xdr:colOff>
      <xdr:row>26</xdr:row>
      <xdr:rowOff>112061</xdr:rowOff>
    </xdr:from>
    <xdr:to>
      <xdr:col>15</xdr:col>
      <xdr:colOff>130235</xdr:colOff>
      <xdr:row>28</xdr:row>
      <xdr:rowOff>33619</xdr:rowOff>
    </xdr:to>
    <xdr:cxnSp macro="">
      <xdr:nvCxnSpPr>
        <xdr:cNvPr id="112" name="直線矢印コネクタ 111">
          <a:extLst>
            <a:ext uri="{FF2B5EF4-FFF2-40B4-BE49-F238E27FC236}">
              <a16:creationId xmlns:a16="http://schemas.microsoft.com/office/drawing/2014/main" id="{DDE2A1C2-C73B-408E-B175-F4AA6084B931}"/>
            </a:ext>
          </a:extLst>
        </xdr:cNvPr>
        <xdr:cNvCxnSpPr>
          <a:stCxn id="109" idx="4"/>
          <a:endCxn id="117" idx="0"/>
        </xdr:cNvCxnSpPr>
      </xdr:nvCxnSpPr>
      <xdr:spPr>
        <a:xfrm>
          <a:off x="2983239" y="6074711"/>
          <a:ext cx="4496" cy="302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57198</xdr:colOff>
      <xdr:row>84</xdr:row>
      <xdr:rowOff>190500</xdr:rowOff>
    </xdr:from>
    <xdr:to>
      <xdr:col>20</xdr:col>
      <xdr:colOff>6118</xdr:colOff>
      <xdr:row>86</xdr:row>
      <xdr:rowOff>190501</xdr:rowOff>
    </xdr:to>
    <xdr:sp macro="" textlink="">
      <xdr:nvSpPr>
        <xdr:cNvPr id="113" name="楕円 112">
          <a:extLst>
            <a:ext uri="{FF2B5EF4-FFF2-40B4-BE49-F238E27FC236}">
              <a16:creationId xmlns:a16="http://schemas.microsoft.com/office/drawing/2014/main" id="{877EA1CF-E8B5-4382-B0BA-6464C547E12C}"/>
            </a:ext>
          </a:extLst>
        </xdr:cNvPr>
        <xdr:cNvSpPr/>
      </xdr:nvSpPr>
      <xdr:spPr>
        <a:xfrm>
          <a:off x="2152698" y="17202150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リストをループ終了①</a:t>
          </a:r>
        </a:p>
      </xdr:txBody>
    </xdr:sp>
    <xdr:clientData/>
  </xdr:twoCellAnchor>
  <xdr:twoCellAnchor>
    <xdr:from>
      <xdr:col>11</xdr:col>
      <xdr:colOff>56029</xdr:colOff>
      <xdr:row>81</xdr:row>
      <xdr:rowOff>74521</xdr:rowOff>
    </xdr:from>
    <xdr:to>
      <xdr:col>20</xdr:col>
      <xdr:colOff>4949</xdr:colOff>
      <xdr:row>83</xdr:row>
      <xdr:rowOff>74523</xdr:rowOff>
    </xdr:to>
    <xdr:sp macro="" textlink="">
      <xdr:nvSpPr>
        <xdr:cNvPr id="114" name="楕円 113">
          <a:extLst>
            <a:ext uri="{FF2B5EF4-FFF2-40B4-BE49-F238E27FC236}">
              <a16:creationId xmlns:a16="http://schemas.microsoft.com/office/drawing/2014/main" id="{2A100CA6-7AF5-4020-875F-7FB95AE36B0F}"/>
            </a:ext>
          </a:extLst>
        </xdr:cNvPr>
        <xdr:cNvSpPr/>
      </xdr:nvSpPr>
      <xdr:spPr>
        <a:xfrm>
          <a:off x="2151529" y="16514671"/>
          <a:ext cx="1663420" cy="381002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リストをループ終了②</a:t>
          </a:r>
        </a:p>
      </xdr:txBody>
    </xdr:sp>
    <xdr:clientData/>
  </xdr:twoCellAnchor>
  <xdr:twoCellAnchor>
    <xdr:from>
      <xdr:col>15</xdr:col>
      <xdr:colOff>136945</xdr:colOff>
      <xdr:row>83</xdr:row>
      <xdr:rowOff>74523</xdr:rowOff>
    </xdr:from>
    <xdr:to>
      <xdr:col>15</xdr:col>
      <xdr:colOff>138114</xdr:colOff>
      <xdr:row>84</xdr:row>
      <xdr:rowOff>190500</xdr:rowOff>
    </xdr:to>
    <xdr:cxnSp macro="">
      <xdr:nvCxnSpPr>
        <xdr:cNvPr id="115" name="直線矢印コネクタ 114">
          <a:extLst>
            <a:ext uri="{FF2B5EF4-FFF2-40B4-BE49-F238E27FC236}">
              <a16:creationId xmlns:a16="http://schemas.microsoft.com/office/drawing/2014/main" id="{7BAEB803-1CA0-4C6A-A666-372AABD27E9D}"/>
            </a:ext>
          </a:extLst>
        </xdr:cNvPr>
        <xdr:cNvCxnSpPr>
          <a:stCxn id="114" idx="4"/>
          <a:endCxn id="113" idx="0"/>
        </xdr:cNvCxnSpPr>
      </xdr:nvCxnSpPr>
      <xdr:spPr>
        <a:xfrm>
          <a:off x="2994445" y="16895673"/>
          <a:ext cx="1169" cy="30647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138114</xdr:colOff>
      <xdr:row>86</xdr:row>
      <xdr:rowOff>190501</xdr:rowOff>
    </xdr:from>
    <xdr:to>
      <xdr:col>15</xdr:col>
      <xdr:colOff>143542</xdr:colOff>
      <xdr:row>88</xdr:row>
      <xdr:rowOff>56028</xdr:rowOff>
    </xdr:to>
    <xdr:cxnSp macro="">
      <xdr:nvCxnSpPr>
        <xdr:cNvPr id="116" name="直線矢印コネクタ 115">
          <a:extLst>
            <a:ext uri="{FF2B5EF4-FFF2-40B4-BE49-F238E27FC236}">
              <a16:creationId xmlns:a16="http://schemas.microsoft.com/office/drawing/2014/main" id="{62CB23EA-AE02-4B1B-8A2D-D23472C4D4C1}"/>
            </a:ext>
          </a:extLst>
        </xdr:cNvPr>
        <xdr:cNvCxnSpPr>
          <a:stCxn id="113" idx="4"/>
          <a:endCxn id="16" idx="0"/>
        </xdr:cNvCxnSpPr>
      </xdr:nvCxnSpPr>
      <xdr:spPr>
        <a:xfrm>
          <a:off x="2995614" y="17583151"/>
          <a:ext cx="5428" cy="24652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201705</xdr:colOff>
      <xdr:row>28</xdr:row>
      <xdr:rowOff>33619</xdr:rowOff>
    </xdr:from>
    <xdr:to>
      <xdr:col>23</xdr:col>
      <xdr:colOff>58763</xdr:colOff>
      <xdr:row>30</xdr:row>
      <xdr:rowOff>156882</xdr:rowOff>
    </xdr:to>
    <xdr:sp macro="" textlink="">
      <xdr:nvSpPr>
        <xdr:cNvPr id="117" name="フローチャート: 処理 116">
          <a:extLst>
            <a:ext uri="{FF2B5EF4-FFF2-40B4-BE49-F238E27FC236}">
              <a16:creationId xmlns:a16="http://schemas.microsoft.com/office/drawing/2014/main" id="{5B17A90B-1A1D-4EF0-A734-706409B33A7C}"/>
            </a:ext>
          </a:extLst>
        </xdr:cNvPr>
        <xdr:cNvSpPr/>
      </xdr:nvSpPr>
      <xdr:spPr>
        <a:xfrm>
          <a:off x="1522505" y="6377269"/>
          <a:ext cx="2917758" cy="50426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製品証明書の情報を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130235</xdr:colOff>
      <xdr:row>30</xdr:row>
      <xdr:rowOff>156882</xdr:rowOff>
    </xdr:from>
    <xdr:to>
      <xdr:col>15</xdr:col>
      <xdr:colOff>139924</xdr:colOff>
      <xdr:row>33</xdr:row>
      <xdr:rowOff>14610</xdr:rowOff>
    </xdr:to>
    <xdr:cxnSp macro="">
      <xdr:nvCxnSpPr>
        <xdr:cNvPr id="118" name="直線矢印コネクタ 117">
          <a:extLst>
            <a:ext uri="{FF2B5EF4-FFF2-40B4-BE49-F238E27FC236}">
              <a16:creationId xmlns:a16="http://schemas.microsoft.com/office/drawing/2014/main" id="{F3F90CF4-0BB5-44C2-927F-90BD68D49C6F}"/>
            </a:ext>
          </a:extLst>
        </xdr:cNvPr>
        <xdr:cNvCxnSpPr>
          <a:stCxn id="117" idx="2"/>
          <a:endCxn id="21" idx="0"/>
        </xdr:cNvCxnSpPr>
      </xdr:nvCxnSpPr>
      <xdr:spPr>
        <a:xfrm>
          <a:off x="2987735" y="6881532"/>
          <a:ext cx="9689" cy="42922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19049</xdr:colOff>
      <xdr:row>119</xdr:row>
      <xdr:rowOff>9526</xdr:rowOff>
    </xdr:from>
    <xdr:to>
      <xdr:col>35</xdr:col>
      <xdr:colOff>33617</xdr:colOff>
      <xdr:row>142</xdr:row>
      <xdr:rowOff>123265</xdr:rowOff>
    </xdr:to>
    <xdr:sp macro="" textlink="">
      <xdr:nvSpPr>
        <xdr:cNvPr id="119" name="正方形/長方形 118">
          <a:extLst>
            <a:ext uri="{FF2B5EF4-FFF2-40B4-BE49-F238E27FC236}">
              <a16:creationId xmlns:a16="http://schemas.microsoft.com/office/drawing/2014/main" id="{FCB33DF0-E04A-44AC-8AD8-091FB42296F6}"/>
            </a:ext>
          </a:extLst>
        </xdr:cNvPr>
        <xdr:cNvSpPr/>
      </xdr:nvSpPr>
      <xdr:spPr>
        <a:xfrm>
          <a:off x="971549" y="23891876"/>
          <a:ext cx="5729568" cy="449523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DB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テーブル環境証明書申請製品情報テーブル</a:t>
          </a:r>
        </a:p>
      </xdr:txBody>
    </xdr:sp>
    <xdr:clientData/>
  </xdr:twoCellAnchor>
  <xdr:twoCellAnchor>
    <xdr:from>
      <xdr:col>16</xdr:col>
      <xdr:colOff>5360</xdr:colOff>
      <xdr:row>126</xdr:row>
      <xdr:rowOff>68912</xdr:rowOff>
    </xdr:from>
    <xdr:to>
      <xdr:col>23</xdr:col>
      <xdr:colOff>148819</xdr:colOff>
      <xdr:row>127</xdr:row>
      <xdr:rowOff>168313</xdr:rowOff>
    </xdr:to>
    <xdr:sp macro="" textlink="">
      <xdr:nvSpPr>
        <xdr:cNvPr id="120" name="フローチャート: 処理 119">
          <a:extLst>
            <a:ext uri="{FF2B5EF4-FFF2-40B4-BE49-F238E27FC236}">
              <a16:creationId xmlns:a16="http://schemas.microsoft.com/office/drawing/2014/main" id="{C2C40847-770B-4A83-8B8C-0747E5AB2393}"/>
            </a:ext>
          </a:extLst>
        </xdr:cNvPr>
        <xdr:cNvSpPr/>
      </xdr:nvSpPr>
      <xdr:spPr>
        <a:xfrm>
          <a:off x="3053360" y="25284762"/>
          <a:ext cx="1476959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207987</xdr:colOff>
      <xdr:row>130</xdr:row>
      <xdr:rowOff>70812</xdr:rowOff>
    </xdr:from>
    <xdr:to>
      <xdr:col>29</xdr:col>
      <xdr:colOff>118333</xdr:colOff>
      <xdr:row>130</xdr:row>
      <xdr:rowOff>104430</xdr:rowOff>
    </xdr:to>
    <xdr:cxnSp macro="">
      <xdr:nvCxnSpPr>
        <xdr:cNvPr id="121" name="カギ線コネクタ 281">
          <a:extLst>
            <a:ext uri="{FF2B5EF4-FFF2-40B4-BE49-F238E27FC236}">
              <a16:creationId xmlns:a16="http://schemas.microsoft.com/office/drawing/2014/main" id="{FB3632C5-232D-4064-977D-4153C5FF1DE8}"/>
            </a:ext>
          </a:extLst>
        </xdr:cNvPr>
        <xdr:cNvCxnSpPr>
          <a:stCxn id="130" idx="0"/>
          <a:endCxn id="124" idx="0"/>
        </xdr:cNvCxnSpPr>
      </xdr:nvCxnSpPr>
      <xdr:spPr>
        <a:xfrm rot="5400000" flipH="1" flipV="1">
          <a:off x="3851576" y="24291023"/>
          <a:ext cx="33618" cy="354889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101322</xdr:colOff>
      <xdr:row>135</xdr:row>
      <xdr:rowOff>58973</xdr:rowOff>
    </xdr:from>
    <xdr:to>
      <xdr:col>33</xdr:col>
      <xdr:colOff>89639</xdr:colOff>
      <xdr:row>138</xdr:row>
      <xdr:rowOff>67240</xdr:rowOff>
    </xdr:to>
    <xdr:sp macro="" textlink="">
      <xdr:nvSpPr>
        <xdr:cNvPr id="122" name="フローチャート: 複数書類 121">
          <a:extLst>
            <a:ext uri="{FF2B5EF4-FFF2-40B4-BE49-F238E27FC236}">
              <a16:creationId xmlns:a16="http://schemas.microsoft.com/office/drawing/2014/main" id="{A61FF978-AE14-45FC-B635-04DDFA1B917A}"/>
            </a:ext>
          </a:extLst>
        </xdr:cNvPr>
        <xdr:cNvSpPr/>
      </xdr:nvSpPr>
      <xdr:spPr>
        <a:xfrm>
          <a:off x="4673322" y="26989323"/>
          <a:ext cx="1702817" cy="579767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118334</xdr:colOff>
      <xdr:row>132</xdr:row>
      <xdr:rowOff>4</xdr:rowOff>
    </xdr:from>
    <xdr:to>
      <xdr:col>29</xdr:col>
      <xdr:colOff>120049</xdr:colOff>
      <xdr:row>135</xdr:row>
      <xdr:rowOff>58973</xdr:rowOff>
    </xdr:to>
    <xdr:cxnSp macro="">
      <xdr:nvCxnSpPr>
        <xdr:cNvPr id="123" name="直線コネクタ 122">
          <a:extLst>
            <a:ext uri="{FF2B5EF4-FFF2-40B4-BE49-F238E27FC236}">
              <a16:creationId xmlns:a16="http://schemas.microsoft.com/office/drawing/2014/main" id="{C9506F38-D627-4369-B11E-4522D965B085}"/>
            </a:ext>
          </a:extLst>
        </xdr:cNvPr>
        <xdr:cNvCxnSpPr>
          <a:stCxn id="122" idx="0"/>
          <a:endCxn id="124" idx="2"/>
        </xdr:cNvCxnSpPr>
      </xdr:nvCxnSpPr>
      <xdr:spPr>
        <a:xfrm flipH="1" flipV="1">
          <a:off x="5642834" y="263588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158233</xdr:colOff>
      <xdr:row>130</xdr:row>
      <xdr:rowOff>70811</xdr:rowOff>
    </xdr:from>
    <xdr:to>
      <xdr:col>32</xdr:col>
      <xdr:colOff>78434</xdr:colOff>
      <xdr:row>132</xdr:row>
      <xdr:rowOff>4</xdr:rowOff>
    </xdr:to>
    <xdr:sp macro="" textlink="">
      <xdr:nvSpPr>
        <xdr:cNvPr id="124" name="フローチャート: 処理 123">
          <a:extLst>
            <a:ext uri="{FF2B5EF4-FFF2-40B4-BE49-F238E27FC236}">
              <a16:creationId xmlns:a16="http://schemas.microsoft.com/office/drawing/2014/main" id="{A120C0A4-8726-41B6-AAE0-DDA517B492AE}"/>
            </a:ext>
          </a:extLst>
        </xdr:cNvPr>
        <xdr:cNvSpPr/>
      </xdr:nvSpPr>
      <xdr:spPr>
        <a:xfrm>
          <a:off x="5111233" y="260486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202181</xdr:colOff>
      <xdr:row>135</xdr:row>
      <xdr:rowOff>70180</xdr:rowOff>
    </xdr:from>
    <xdr:to>
      <xdr:col>23</xdr:col>
      <xdr:colOff>179291</xdr:colOff>
      <xdr:row>138</xdr:row>
      <xdr:rowOff>67241</xdr:rowOff>
    </xdr:to>
    <xdr:sp macro="" textlink="">
      <xdr:nvSpPr>
        <xdr:cNvPr id="125" name="フローチャート: 複数書類 124">
          <a:extLst>
            <a:ext uri="{FF2B5EF4-FFF2-40B4-BE49-F238E27FC236}">
              <a16:creationId xmlns:a16="http://schemas.microsoft.com/office/drawing/2014/main" id="{E199F152-3AFB-4209-9904-F7A55575B412}"/>
            </a:ext>
          </a:extLst>
        </xdr:cNvPr>
        <xdr:cNvSpPr/>
      </xdr:nvSpPr>
      <xdr:spPr>
        <a:xfrm>
          <a:off x="2856481" y="27000530"/>
          <a:ext cx="1704310" cy="568561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20</xdr:col>
      <xdr:colOff>1622</xdr:colOff>
      <xdr:row>132</xdr:row>
      <xdr:rowOff>22416</xdr:rowOff>
    </xdr:from>
    <xdr:to>
      <xdr:col>20</xdr:col>
      <xdr:colOff>17487</xdr:colOff>
      <xdr:row>135</xdr:row>
      <xdr:rowOff>70180</xdr:rowOff>
    </xdr:to>
    <xdr:cxnSp macro="">
      <xdr:nvCxnSpPr>
        <xdr:cNvPr id="126" name="直線コネクタ 125">
          <a:extLst>
            <a:ext uri="{FF2B5EF4-FFF2-40B4-BE49-F238E27FC236}">
              <a16:creationId xmlns:a16="http://schemas.microsoft.com/office/drawing/2014/main" id="{3F5D7522-9542-443E-9F59-9A12CDD0C5A4}"/>
            </a:ext>
          </a:extLst>
        </xdr:cNvPr>
        <xdr:cNvCxnSpPr>
          <a:stCxn id="125" idx="0"/>
          <a:endCxn id="127" idx="2"/>
        </xdr:cNvCxnSpPr>
      </xdr:nvCxnSpPr>
      <xdr:spPr>
        <a:xfrm flipV="1">
          <a:off x="3811622" y="263812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57386</xdr:colOff>
      <xdr:row>130</xdr:row>
      <xdr:rowOff>93223</xdr:rowOff>
    </xdr:from>
    <xdr:to>
      <xdr:col>22</xdr:col>
      <xdr:colOff>190498</xdr:colOff>
      <xdr:row>132</xdr:row>
      <xdr:rowOff>22416</xdr:rowOff>
    </xdr:to>
    <xdr:sp macro="" textlink="">
      <xdr:nvSpPr>
        <xdr:cNvPr id="127" name="フローチャート: 処理 126">
          <a:extLst>
            <a:ext uri="{FF2B5EF4-FFF2-40B4-BE49-F238E27FC236}">
              <a16:creationId xmlns:a16="http://schemas.microsoft.com/office/drawing/2014/main" id="{E4127753-A3E8-410A-BAA0-30C45B3A436D}"/>
            </a:ext>
          </a:extLst>
        </xdr:cNvPr>
        <xdr:cNvSpPr/>
      </xdr:nvSpPr>
      <xdr:spPr>
        <a:xfrm>
          <a:off x="3295886" y="260710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67712</xdr:colOff>
      <xdr:row>135</xdr:row>
      <xdr:rowOff>92589</xdr:rowOff>
    </xdr:from>
    <xdr:to>
      <xdr:col>14</xdr:col>
      <xdr:colOff>112059</xdr:colOff>
      <xdr:row>138</xdr:row>
      <xdr:rowOff>168092</xdr:rowOff>
    </xdr:to>
    <xdr:sp macro="" textlink="">
      <xdr:nvSpPr>
        <xdr:cNvPr id="128" name="フローチャート: 複数書類 127">
          <a:extLst>
            <a:ext uri="{FF2B5EF4-FFF2-40B4-BE49-F238E27FC236}">
              <a16:creationId xmlns:a16="http://schemas.microsoft.com/office/drawing/2014/main" id="{68515F4D-5117-4051-A454-CE662D8057E5}"/>
            </a:ext>
          </a:extLst>
        </xdr:cNvPr>
        <xdr:cNvSpPr/>
      </xdr:nvSpPr>
      <xdr:spPr>
        <a:xfrm>
          <a:off x="1210712" y="27022939"/>
          <a:ext cx="1568347" cy="647003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207988</xdr:colOff>
      <xdr:row>132</xdr:row>
      <xdr:rowOff>33622</xdr:rowOff>
    </xdr:from>
    <xdr:to>
      <xdr:col>10</xdr:col>
      <xdr:colOff>210117</xdr:colOff>
      <xdr:row>135</xdr:row>
      <xdr:rowOff>92590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894CBA31-420D-40E4-B65E-B6BA28A12A73}"/>
            </a:ext>
          </a:extLst>
        </xdr:cNvPr>
        <xdr:cNvCxnSpPr>
          <a:stCxn id="128" idx="0"/>
          <a:endCxn id="130" idx="2"/>
        </xdr:cNvCxnSpPr>
      </xdr:nvCxnSpPr>
      <xdr:spPr>
        <a:xfrm flipH="1" flipV="1">
          <a:off x="2093938" y="263924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8</xdr:col>
      <xdr:colOff>34976</xdr:colOff>
      <xdr:row>130</xdr:row>
      <xdr:rowOff>104429</xdr:rowOff>
    </xdr:from>
    <xdr:to>
      <xdr:col>13</xdr:col>
      <xdr:colOff>168088</xdr:colOff>
      <xdr:row>132</xdr:row>
      <xdr:rowOff>33622</xdr:rowOff>
    </xdr:to>
    <xdr:sp macro="" textlink="">
      <xdr:nvSpPr>
        <xdr:cNvPr id="130" name="フローチャート: 処理 129">
          <a:extLst>
            <a:ext uri="{FF2B5EF4-FFF2-40B4-BE49-F238E27FC236}">
              <a16:creationId xmlns:a16="http://schemas.microsoft.com/office/drawing/2014/main" id="{20B10418-D1D9-4DD2-80B2-2F2B8D532363}"/>
            </a:ext>
          </a:extLst>
        </xdr:cNvPr>
        <xdr:cNvSpPr/>
      </xdr:nvSpPr>
      <xdr:spPr>
        <a:xfrm>
          <a:off x="1558976" y="26082279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20</xdr:col>
      <xdr:colOff>17487</xdr:colOff>
      <xdr:row>127</xdr:row>
      <xdr:rowOff>193638</xdr:rowOff>
    </xdr:from>
    <xdr:to>
      <xdr:col>20</xdr:col>
      <xdr:colOff>25444</xdr:colOff>
      <xdr:row>130</xdr:row>
      <xdr:rowOff>93223</xdr:rowOff>
    </xdr:to>
    <xdr:cxnSp macro="">
      <xdr:nvCxnSpPr>
        <xdr:cNvPr id="131" name="直線コネクタ 130">
          <a:extLst>
            <a:ext uri="{FF2B5EF4-FFF2-40B4-BE49-F238E27FC236}">
              <a16:creationId xmlns:a16="http://schemas.microsoft.com/office/drawing/2014/main" id="{7403520F-8FF1-4F00-8E5C-02B2AF9EA854}"/>
            </a:ext>
          </a:extLst>
        </xdr:cNvPr>
        <xdr:cNvCxnSpPr>
          <a:stCxn id="127" idx="0"/>
          <a:endCxn id="132" idx="2"/>
        </xdr:cNvCxnSpPr>
      </xdr:nvCxnSpPr>
      <xdr:spPr>
        <a:xfrm flipV="1">
          <a:off x="3827487" y="255999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14</xdr:col>
      <xdr:colOff>101385</xdr:colOff>
      <xdr:row>126</xdr:row>
      <xdr:rowOff>20739</xdr:rowOff>
    </xdr:from>
    <xdr:to>
      <xdr:col>25</xdr:col>
      <xdr:colOff>162413</xdr:colOff>
      <xdr:row>127</xdr:row>
      <xdr:rowOff>193638</xdr:rowOff>
    </xdr:to>
    <xdr:sp macro="" textlink="">
      <xdr:nvSpPr>
        <xdr:cNvPr id="132" name="正方形/長方形 131">
          <a:extLst>
            <a:ext uri="{FF2B5EF4-FFF2-40B4-BE49-F238E27FC236}">
              <a16:creationId xmlns:a16="http://schemas.microsoft.com/office/drawing/2014/main" id="{A5CEC77D-9BD5-42A9-93A4-ADB73540E712}"/>
            </a:ext>
          </a:extLst>
        </xdr:cNvPr>
        <xdr:cNvSpPr/>
      </xdr:nvSpPr>
      <xdr:spPr>
        <a:xfrm>
          <a:off x="2768385" y="252365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43208</xdr:colOff>
      <xdr:row>129</xdr:row>
      <xdr:rowOff>172836</xdr:rowOff>
    </xdr:from>
    <xdr:to>
      <xdr:col>33</xdr:col>
      <xdr:colOff>78443</xdr:colOff>
      <xdr:row>132</xdr:row>
      <xdr:rowOff>112059</xdr:rowOff>
    </xdr:to>
    <xdr:sp macro="" textlink="">
      <xdr:nvSpPr>
        <xdr:cNvPr id="133" name="正方形/長方形 132">
          <a:extLst>
            <a:ext uri="{FF2B5EF4-FFF2-40B4-BE49-F238E27FC236}">
              <a16:creationId xmlns:a16="http://schemas.microsoft.com/office/drawing/2014/main" id="{BDEB20BB-44E2-4CFA-AC73-F7616AB49DE7}"/>
            </a:ext>
          </a:extLst>
        </xdr:cNvPr>
        <xdr:cNvSpPr/>
      </xdr:nvSpPr>
      <xdr:spPr>
        <a:xfrm>
          <a:off x="1376708" y="25960186"/>
          <a:ext cx="4988235" cy="510723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212903</xdr:colOff>
      <xdr:row>134</xdr:row>
      <xdr:rowOff>134470</xdr:rowOff>
    </xdr:from>
    <xdr:to>
      <xdr:col>33</xdr:col>
      <xdr:colOff>164555</xdr:colOff>
      <xdr:row>139</xdr:row>
      <xdr:rowOff>46415</xdr:rowOff>
    </xdr:to>
    <xdr:sp macro="" textlink="">
      <xdr:nvSpPr>
        <xdr:cNvPr id="134" name="正方形/長方形 133">
          <a:extLst>
            <a:ext uri="{FF2B5EF4-FFF2-40B4-BE49-F238E27FC236}">
              <a16:creationId xmlns:a16="http://schemas.microsoft.com/office/drawing/2014/main" id="{FC3E9980-F0D9-4E35-884E-E57F5150E34F}"/>
            </a:ext>
          </a:extLst>
        </xdr:cNvPr>
        <xdr:cNvSpPr/>
      </xdr:nvSpPr>
      <xdr:spPr>
        <a:xfrm>
          <a:off x="4569003" y="26874320"/>
          <a:ext cx="18820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67234</xdr:colOff>
      <xdr:row>132</xdr:row>
      <xdr:rowOff>168090</xdr:rowOff>
    </xdr:from>
    <xdr:to>
      <xdr:col>10</xdr:col>
      <xdr:colOff>133359</xdr:colOff>
      <xdr:row>135</xdr:row>
      <xdr:rowOff>118146</xdr:rowOff>
    </xdr:to>
    <xdr:sp macro="" textlink="">
      <xdr:nvSpPr>
        <xdr:cNvPr id="135" name="フローチャート: 処理 134">
          <a:extLst>
            <a:ext uri="{FF2B5EF4-FFF2-40B4-BE49-F238E27FC236}">
              <a16:creationId xmlns:a16="http://schemas.microsoft.com/office/drawing/2014/main" id="{DD3957E9-2D42-4E4A-B04A-0212E330718A}"/>
            </a:ext>
          </a:extLst>
        </xdr:cNvPr>
        <xdr:cNvSpPr/>
      </xdr:nvSpPr>
      <xdr:spPr>
        <a:xfrm rot="5400000">
          <a:off x="1649269" y="266594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56026</xdr:colOff>
      <xdr:row>132</xdr:row>
      <xdr:rowOff>123268</xdr:rowOff>
    </xdr:from>
    <xdr:to>
      <xdr:col>19</xdr:col>
      <xdr:colOff>122151</xdr:colOff>
      <xdr:row>135</xdr:row>
      <xdr:rowOff>73324</xdr:rowOff>
    </xdr:to>
    <xdr:sp macro="" textlink="">
      <xdr:nvSpPr>
        <xdr:cNvPr id="136" name="フローチャート: 処理 135">
          <a:extLst>
            <a:ext uri="{FF2B5EF4-FFF2-40B4-BE49-F238E27FC236}">
              <a16:creationId xmlns:a16="http://schemas.microsoft.com/office/drawing/2014/main" id="{7CE965A1-4F33-4C95-B630-0F10034007F2}"/>
            </a:ext>
          </a:extLst>
        </xdr:cNvPr>
        <xdr:cNvSpPr/>
      </xdr:nvSpPr>
      <xdr:spPr>
        <a:xfrm rot="5400000">
          <a:off x="3352561" y="266145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212902</xdr:colOff>
      <xdr:row>132</xdr:row>
      <xdr:rowOff>22415</xdr:rowOff>
    </xdr:from>
    <xdr:to>
      <xdr:col>29</xdr:col>
      <xdr:colOff>66116</xdr:colOff>
      <xdr:row>134</xdr:row>
      <xdr:rowOff>174177</xdr:rowOff>
    </xdr:to>
    <xdr:sp macro="" textlink="">
      <xdr:nvSpPr>
        <xdr:cNvPr id="137" name="フローチャート: 処理 136">
          <a:extLst>
            <a:ext uri="{FF2B5EF4-FFF2-40B4-BE49-F238E27FC236}">
              <a16:creationId xmlns:a16="http://schemas.microsoft.com/office/drawing/2014/main" id="{E65F2666-811B-4E60-80E1-24336DC35585}"/>
            </a:ext>
          </a:extLst>
        </xdr:cNvPr>
        <xdr:cNvSpPr/>
      </xdr:nvSpPr>
      <xdr:spPr>
        <a:xfrm rot="5400000">
          <a:off x="5194428" y="26517839"/>
          <a:ext cx="532762" cy="2596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129889</xdr:colOff>
      <xdr:row>119</xdr:row>
      <xdr:rowOff>11206</xdr:rowOff>
    </xdr:from>
    <xdr:to>
      <xdr:col>54</xdr:col>
      <xdr:colOff>190499</xdr:colOff>
      <xdr:row>142</xdr:row>
      <xdr:rowOff>68835</xdr:rowOff>
    </xdr:to>
    <xdr:sp macro="" textlink="">
      <xdr:nvSpPr>
        <xdr:cNvPr id="138" name="正方形/長方形 137">
          <a:extLst>
            <a:ext uri="{FF2B5EF4-FFF2-40B4-BE49-F238E27FC236}">
              <a16:creationId xmlns:a16="http://schemas.microsoft.com/office/drawing/2014/main" id="{BA565EC2-92C4-4A98-892F-940E3E48A711}"/>
            </a:ext>
          </a:extLst>
        </xdr:cNvPr>
        <xdr:cNvSpPr/>
      </xdr:nvSpPr>
      <xdr:spPr>
        <a:xfrm>
          <a:off x="7178389" y="23893556"/>
          <a:ext cx="3299110" cy="443912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2.7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～</a:t>
          </a:r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2.12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画面表示一覧</a:t>
          </a:r>
        </a:p>
      </xdr:txBody>
    </xdr:sp>
    <xdr:clientData/>
  </xdr:twoCellAnchor>
  <xdr:twoCellAnchor>
    <xdr:from>
      <xdr:col>38</xdr:col>
      <xdr:colOff>203053</xdr:colOff>
      <xdr:row>126</xdr:row>
      <xdr:rowOff>37982</xdr:rowOff>
    </xdr:from>
    <xdr:to>
      <xdr:col>49</xdr:col>
      <xdr:colOff>2941</xdr:colOff>
      <xdr:row>127</xdr:row>
      <xdr:rowOff>137383</xdr:rowOff>
    </xdr:to>
    <xdr:sp macro="" textlink="">
      <xdr:nvSpPr>
        <xdr:cNvPr id="139" name="フローチャート: 処理 138">
          <a:extLst>
            <a:ext uri="{FF2B5EF4-FFF2-40B4-BE49-F238E27FC236}">
              <a16:creationId xmlns:a16="http://schemas.microsoft.com/office/drawing/2014/main" id="{545A0CFA-04F7-49F7-8071-7AF1ADA94208}"/>
            </a:ext>
          </a:extLst>
        </xdr:cNvPr>
        <xdr:cNvSpPr/>
      </xdr:nvSpPr>
      <xdr:spPr>
        <a:xfrm>
          <a:off x="7429353" y="25253832"/>
          <a:ext cx="1908088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2.8 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（製品番号）</a:t>
          </a:r>
        </a:p>
      </xdr:txBody>
    </xdr:sp>
    <xdr:clientData/>
  </xdr:twoCellAnchor>
  <xdr:twoCellAnchor>
    <xdr:from>
      <xdr:col>39</xdr:col>
      <xdr:colOff>19811</xdr:colOff>
      <xdr:row>135</xdr:row>
      <xdr:rowOff>23122</xdr:rowOff>
    </xdr:from>
    <xdr:to>
      <xdr:col>49</xdr:col>
      <xdr:colOff>73806</xdr:colOff>
      <xdr:row>138</xdr:row>
      <xdr:rowOff>98465</xdr:rowOff>
    </xdr:to>
    <xdr:sp macro="" textlink="">
      <xdr:nvSpPr>
        <xdr:cNvPr id="140" name="フローチャート: 処理 139">
          <a:extLst>
            <a:ext uri="{FF2B5EF4-FFF2-40B4-BE49-F238E27FC236}">
              <a16:creationId xmlns:a16="http://schemas.microsoft.com/office/drawing/2014/main" id="{3B495500-3777-4005-AA4B-36502DB66EDC}"/>
            </a:ext>
          </a:extLst>
        </xdr:cNvPr>
        <xdr:cNvSpPr/>
      </xdr:nvSpPr>
      <xdr:spPr>
        <a:xfrm>
          <a:off x="7449311" y="26953472"/>
          <a:ext cx="1958995" cy="64684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2.12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申請された証明書種類</a:t>
          </a:r>
        </a:p>
      </xdr:txBody>
    </xdr:sp>
    <xdr:clientData/>
  </xdr:twoCellAnchor>
  <xdr:twoCellAnchor>
    <xdr:from>
      <xdr:col>39</xdr:col>
      <xdr:colOff>17048</xdr:colOff>
      <xdr:row>129</xdr:row>
      <xdr:rowOff>182768</xdr:rowOff>
    </xdr:from>
    <xdr:to>
      <xdr:col>49</xdr:col>
      <xdr:colOff>71280</xdr:colOff>
      <xdr:row>132</xdr:row>
      <xdr:rowOff>155010</xdr:rowOff>
    </xdr:to>
    <xdr:sp macro="" textlink="">
      <xdr:nvSpPr>
        <xdr:cNvPr id="141" name="フローチャート: 処理 140">
          <a:extLst>
            <a:ext uri="{FF2B5EF4-FFF2-40B4-BE49-F238E27FC236}">
              <a16:creationId xmlns:a16="http://schemas.microsoft.com/office/drawing/2014/main" id="{A540707D-214A-42A2-9612-C407B0604D74}"/>
            </a:ext>
          </a:extLst>
        </xdr:cNvPr>
        <xdr:cNvSpPr/>
      </xdr:nvSpPr>
      <xdr:spPr>
        <a:xfrm>
          <a:off x="7446548" y="25970118"/>
          <a:ext cx="1959232" cy="543742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2.13 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製品毎の申請可否チェック結果</a:t>
          </a:r>
        </a:p>
      </xdr:txBody>
    </xdr:sp>
    <xdr:clientData/>
  </xdr:twoCellAnchor>
  <xdr:twoCellAnchor>
    <xdr:from>
      <xdr:col>25</xdr:col>
      <xdr:colOff>67236</xdr:colOff>
      <xdr:row>126</xdr:row>
      <xdr:rowOff>47954</xdr:rowOff>
    </xdr:from>
    <xdr:to>
      <xdr:col>39</xdr:col>
      <xdr:colOff>134471</xdr:colOff>
      <xdr:row>127</xdr:row>
      <xdr:rowOff>112058</xdr:rowOff>
    </xdr:to>
    <xdr:sp macro="" textlink="">
      <xdr:nvSpPr>
        <xdr:cNvPr id="142" name="右矢印 319">
          <a:extLst>
            <a:ext uri="{FF2B5EF4-FFF2-40B4-BE49-F238E27FC236}">
              <a16:creationId xmlns:a16="http://schemas.microsoft.com/office/drawing/2014/main" id="{2550ED04-2040-4A7B-8B94-78975704921C}"/>
            </a:ext>
          </a:extLst>
        </xdr:cNvPr>
        <xdr:cNvSpPr/>
      </xdr:nvSpPr>
      <xdr:spPr>
        <a:xfrm>
          <a:off x="4829736" y="25263804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49842</xdr:colOff>
      <xdr:row>130</xdr:row>
      <xdr:rowOff>153635</xdr:rowOff>
    </xdr:from>
    <xdr:to>
      <xdr:col>39</xdr:col>
      <xdr:colOff>67235</xdr:colOff>
      <xdr:row>132</xdr:row>
      <xdr:rowOff>56029</xdr:rowOff>
    </xdr:to>
    <xdr:sp macro="" textlink="">
      <xdr:nvSpPr>
        <xdr:cNvPr id="143" name="右矢印 320">
          <a:extLst>
            <a:ext uri="{FF2B5EF4-FFF2-40B4-BE49-F238E27FC236}">
              <a16:creationId xmlns:a16="http://schemas.microsoft.com/office/drawing/2014/main" id="{1752E1B1-0A4A-458E-B3D7-F0E727ADC398}"/>
            </a:ext>
          </a:extLst>
        </xdr:cNvPr>
        <xdr:cNvSpPr/>
      </xdr:nvSpPr>
      <xdr:spPr>
        <a:xfrm>
          <a:off x="6336342" y="26131485"/>
          <a:ext cx="1160393" cy="28339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12091</xdr:colOff>
      <xdr:row>136</xdr:row>
      <xdr:rowOff>40000</xdr:rowOff>
    </xdr:from>
    <xdr:to>
      <xdr:col>39</xdr:col>
      <xdr:colOff>156882</xdr:colOff>
      <xdr:row>137</xdr:row>
      <xdr:rowOff>123265</xdr:rowOff>
    </xdr:to>
    <xdr:sp macro="" textlink="">
      <xdr:nvSpPr>
        <xdr:cNvPr id="144" name="右矢印 324">
          <a:extLst>
            <a:ext uri="{FF2B5EF4-FFF2-40B4-BE49-F238E27FC236}">
              <a16:creationId xmlns:a16="http://schemas.microsoft.com/office/drawing/2014/main" id="{02887DFA-4648-4669-AC80-0CD053AE7AB5}"/>
            </a:ext>
          </a:extLst>
        </xdr:cNvPr>
        <xdr:cNvSpPr/>
      </xdr:nvSpPr>
      <xdr:spPr>
        <a:xfrm>
          <a:off x="6298591" y="27160850"/>
          <a:ext cx="1287791" cy="273765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16566</xdr:colOff>
      <xdr:row>121</xdr:row>
      <xdr:rowOff>147354</xdr:rowOff>
    </xdr:from>
    <xdr:to>
      <xdr:col>23</xdr:col>
      <xdr:colOff>160025</xdr:colOff>
      <xdr:row>123</xdr:row>
      <xdr:rowOff>45049</xdr:rowOff>
    </xdr:to>
    <xdr:sp macro="" textlink="">
      <xdr:nvSpPr>
        <xdr:cNvPr id="145" name="フローチャート: 処理 144">
          <a:extLst>
            <a:ext uri="{FF2B5EF4-FFF2-40B4-BE49-F238E27FC236}">
              <a16:creationId xmlns:a16="http://schemas.microsoft.com/office/drawing/2014/main" id="{F49097C5-7C11-4167-9A43-498F7764A9CD}"/>
            </a:ext>
          </a:extLst>
        </xdr:cNvPr>
        <xdr:cNvSpPr/>
      </xdr:nvSpPr>
      <xdr:spPr>
        <a:xfrm>
          <a:off x="3064566" y="24410704"/>
          <a:ext cx="1476959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100852</xdr:colOff>
      <xdr:row>121</xdr:row>
      <xdr:rowOff>112059</xdr:rowOff>
    </xdr:from>
    <xdr:to>
      <xdr:col>25</xdr:col>
      <xdr:colOff>161880</xdr:colOff>
      <xdr:row>123</xdr:row>
      <xdr:rowOff>83253</xdr:rowOff>
    </xdr:to>
    <xdr:sp macro="" textlink="">
      <xdr:nvSpPr>
        <xdr:cNvPr id="146" name="正方形/長方形 145">
          <a:extLst>
            <a:ext uri="{FF2B5EF4-FFF2-40B4-BE49-F238E27FC236}">
              <a16:creationId xmlns:a16="http://schemas.microsoft.com/office/drawing/2014/main" id="{9DEB2F2C-7BFC-4FF2-97AD-BA87CF8FECE9}"/>
            </a:ext>
          </a:extLst>
        </xdr:cNvPr>
        <xdr:cNvSpPr/>
      </xdr:nvSpPr>
      <xdr:spPr>
        <a:xfrm>
          <a:off x="2767852" y="24375409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39</xdr:col>
      <xdr:colOff>1</xdr:colOff>
      <xdr:row>121</xdr:row>
      <xdr:rowOff>179294</xdr:rowOff>
    </xdr:from>
    <xdr:to>
      <xdr:col>49</xdr:col>
      <xdr:colOff>12801</xdr:colOff>
      <xdr:row>123</xdr:row>
      <xdr:rowOff>76990</xdr:rowOff>
    </xdr:to>
    <xdr:sp macro="" textlink="">
      <xdr:nvSpPr>
        <xdr:cNvPr id="147" name="フローチャート: 処理 146">
          <a:extLst>
            <a:ext uri="{FF2B5EF4-FFF2-40B4-BE49-F238E27FC236}">
              <a16:creationId xmlns:a16="http://schemas.microsoft.com/office/drawing/2014/main" id="{8BADA109-DB96-4E51-B288-746E5EAA2A00}"/>
            </a:ext>
          </a:extLst>
        </xdr:cNvPr>
        <xdr:cNvSpPr/>
      </xdr:nvSpPr>
      <xdr:spPr>
        <a:xfrm>
          <a:off x="7429501" y="24442644"/>
          <a:ext cx="1917800" cy="278696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2.7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25</xdr:col>
      <xdr:colOff>67235</xdr:colOff>
      <xdr:row>122</xdr:row>
      <xdr:rowOff>0</xdr:rowOff>
    </xdr:from>
    <xdr:to>
      <xdr:col>39</xdr:col>
      <xdr:colOff>134470</xdr:colOff>
      <xdr:row>123</xdr:row>
      <xdr:rowOff>64104</xdr:rowOff>
    </xdr:to>
    <xdr:sp macro="" textlink="">
      <xdr:nvSpPr>
        <xdr:cNvPr id="148" name="右矢印 330">
          <a:extLst>
            <a:ext uri="{FF2B5EF4-FFF2-40B4-BE49-F238E27FC236}">
              <a16:creationId xmlns:a16="http://schemas.microsoft.com/office/drawing/2014/main" id="{5A37C0DB-6E02-4AF9-902C-EA0D21770D54}"/>
            </a:ext>
          </a:extLst>
        </xdr:cNvPr>
        <xdr:cNvSpPr/>
      </xdr:nvSpPr>
      <xdr:spPr>
        <a:xfrm>
          <a:off x="4829735" y="24453850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11206</xdr:colOff>
      <xdr:row>44</xdr:row>
      <xdr:rowOff>179294</xdr:rowOff>
    </xdr:from>
    <xdr:to>
      <xdr:col>24</xdr:col>
      <xdr:colOff>33618</xdr:colOff>
      <xdr:row>48</xdr:row>
      <xdr:rowOff>56029</xdr:rowOff>
    </xdr:to>
    <xdr:sp macro="" textlink="">
      <xdr:nvSpPr>
        <xdr:cNvPr id="149" name="正方形/長方形 148">
          <a:extLst>
            <a:ext uri="{FF2B5EF4-FFF2-40B4-BE49-F238E27FC236}">
              <a16:creationId xmlns:a16="http://schemas.microsoft.com/office/drawing/2014/main" id="{B42142D2-E36D-4350-8B65-6C594B25491B}"/>
            </a:ext>
          </a:extLst>
        </xdr:cNvPr>
        <xdr:cNvSpPr/>
      </xdr:nvSpPr>
      <xdr:spPr>
        <a:xfrm>
          <a:off x="1344706" y="9570944"/>
          <a:ext cx="3260912" cy="638735"/>
        </a:xfrm>
        <a:prstGeom prst="rect">
          <a:avLst/>
        </a:prstGeom>
        <a:solidFill>
          <a:schemeClr val="bg1">
            <a:lumMod val="65000"/>
          </a:schemeClr>
        </a:solidFill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Ａ－１－２．に移動</a:t>
          </a:r>
        </a:p>
      </xdr:txBody>
    </xdr:sp>
    <xdr:clientData/>
  </xdr:twoCellAnchor>
  <xdr:twoCellAnchor>
    <xdr:from>
      <xdr:col>15</xdr:col>
      <xdr:colOff>184655</xdr:colOff>
      <xdr:row>217</xdr:row>
      <xdr:rowOff>124943</xdr:rowOff>
    </xdr:from>
    <xdr:to>
      <xdr:col>23</xdr:col>
      <xdr:colOff>115202</xdr:colOff>
      <xdr:row>219</xdr:row>
      <xdr:rowOff>22638</xdr:rowOff>
    </xdr:to>
    <xdr:sp macro="" textlink="">
      <xdr:nvSpPr>
        <xdr:cNvPr id="151" name="フローチャート: 処理 150">
          <a:extLst>
            <a:ext uri="{FF2B5EF4-FFF2-40B4-BE49-F238E27FC236}">
              <a16:creationId xmlns:a16="http://schemas.microsoft.com/office/drawing/2014/main" id="{87211331-209B-49FE-826D-966185D53513}"/>
            </a:ext>
          </a:extLst>
        </xdr:cNvPr>
        <xdr:cNvSpPr/>
      </xdr:nvSpPr>
      <xdr:spPr>
        <a:xfrm>
          <a:off x="3042155" y="48035693"/>
          <a:ext cx="1454547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56029</xdr:colOff>
      <xdr:row>217</xdr:row>
      <xdr:rowOff>89648</xdr:rowOff>
    </xdr:from>
    <xdr:to>
      <xdr:col>25</xdr:col>
      <xdr:colOff>117057</xdr:colOff>
      <xdr:row>219</xdr:row>
      <xdr:rowOff>60842</xdr:rowOff>
    </xdr:to>
    <xdr:sp macro="" textlink="">
      <xdr:nvSpPr>
        <xdr:cNvPr id="152" name="正方形/長方形 151">
          <a:extLst>
            <a:ext uri="{FF2B5EF4-FFF2-40B4-BE49-F238E27FC236}">
              <a16:creationId xmlns:a16="http://schemas.microsoft.com/office/drawing/2014/main" id="{5FD10284-225A-4457-B18C-94538EC1201E}"/>
            </a:ext>
          </a:extLst>
        </xdr:cNvPr>
        <xdr:cNvSpPr/>
      </xdr:nvSpPr>
      <xdr:spPr>
        <a:xfrm>
          <a:off x="2723029" y="48000398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67237</xdr:colOff>
      <xdr:row>217</xdr:row>
      <xdr:rowOff>145677</xdr:rowOff>
    </xdr:from>
    <xdr:to>
      <xdr:col>44</xdr:col>
      <xdr:colOff>86923</xdr:colOff>
      <xdr:row>219</xdr:row>
      <xdr:rowOff>45887</xdr:rowOff>
    </xdr:to>
    <xdr:sp macro="" textlink="">
      <xdr:nvSpPr>
        <xdr:cNvPr id="153" name="フローチャート: 処理 152">
          <a:extLst>
            <a:ext uri="{FF2B5EF4-FFF2-40B4-BE49-F238E27FC236}">
              <a16:creationId xmlns:a16="http://schemas.microsoft.com/office/drawing/2014/main" id="{FC16542A-F0D2-44B0-B0D3-932F165996AC}"/>
            </a:ext>
          </a:extLst>
        </xdr:cNvPr>
        <xdr:cNvSpPr/>
      </xdr:nvSpPr>
      <xdr:spPr>
        <a:xfrm>
          <a:off x="7115737" y="48056427"/>
          <a:ext cx="1353186" cy="281210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24</xdr:col>
      <xdr:colOff>146795</xdr:colOff>
      <xdr:row>217</xdr:row>
      <xdr:rowOff>179295</xdr:rowOff>
    </xdr:from>
    <xdr:to>
      <xdr:col>37</xdr:col>
      <xdr:colOff>110937</xdr:colOff>
      <xdr:row>219</xdr:row>
      <xdr:rowOff>41693</xdr:rowOff>
    </xdr:to>
    <xdr:sp macro="" textlink="">
      <xdr:nvSpPr>
        <xdr:cNvPr id="154" name="右矢印 343">
          <a:extLst>
            <a:ext uri="{FF2B5EF4-FFF2-40B4-BE49-F238E27FC236}">
              <a16:creationId xmlns:a16="http://schemas.microsoft.com/office/drawing/2014/main" id="{643C34E1-C256-440F-B815-D0671CD15BD7}"/>
            </a:ext>
          </a:extLst>
        </xdr:cNvPr>
        <xdr:cNvSpPr/>
      </xdr:nvSpPr>
      <xdr:spPr>
        <a:xfrm>
          <a:off x="4718795" y="48090045"/>
          <a:ext cx="2440642" cy="243398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48718</xdr:colOff>
      <xdr:row>222</xdr:row>
      <xdr:rowOff>20739</xdr:rowOff>
    </xdr:from>
    <xdr:to>
      <xdr:col>25</xdr:col>
      <xdr:colOff>109746</xdr:colOff>
      <xdr:row>223</xdr:row>
      <xdr:rowOff>193638</xdr:rowOff>
    </xdr:to>
    <xdr:sp macro="" textlink="">
      <xdr:nvSpPr>
        <xdr:cNvPr id="155" name="正方形/長方形 154">
          <a:extLst>
            <a:ext uri="{FF2B5EF4-FFF2-40B4-BE49-F238E27FC236}">
              <a16:creationId xmlns:a16="http://schemas.microsoft.com/office/drawing/2014/main" id="{F4CEA7D9-6ACD-4A95-B417-2A0422130066}"/>
            </a:ext>
          </a:extLst>
        </xdr:cNvPr>
        <xdr:cNvSpPr/>
      </xdr:nvSpPr>
      <xdr:spPr>
        <a:xfrm>
          <a:off x="2715718" y="488839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142466</xdr:colOff>
      <xdr:row>222</xdr:row>
      <xdr:rowOff>98152</xdr:rowOff>
    </xdr:from>
    <xdr:to>
      <xdr:col>37</xdr:col>
      <xdr:colOff>133697</xdr:colOff>
      <xdr:row>223</xdr:row>
      <xdr:rowOff>119212</xdr:rowOff>
    </xdr:to>
    <xdr:sp macro="" textlink="">
      <xdr:nvSpPr>
        <xdr:cNvPr id="156" name="右矢印 512">
          <a:extLst>
            <a:ext uri="{FF2B5EF4-FFF2-40B4-BE49-F238E27FC236}">
              <a16:creationId xmlns:a16="http://schemas.microsoft.com/office/drawing/2014/main" id="{8E7F99A4-941A-415C-9995-452705D69833}"/>
            </a:ext>
          </a:extLst>
        </xdr:cNvPr>
        <xdr:cNvSpPr/>
      </xdr:nvSpPr>
      <xdr:spPr>
        <a:xfrm>
          <a:off x="4714466" y="48961402"/>
          <a:ext cx="2467731" cy="211560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711" t="str">
        <f ca="1">TEXT(変更来歴!AT2,"yyyy年 mm月 dd日") &amp; " " &amp; 変更来歴!AT3</f>
        <v>2026年 05月 20日 r1.2</v>
      </c>
      <c r="C22" s="712"/>
      <c r="D22" s="712"/>
      <c r="E22" s="712"/>
      <c r="F22" s="712"/>
      <c r="G22" s="712"/>
      <c r="H22" s="712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714" t="s">
        <v>28</v>
      </c>
      <c r="D28" s="714"/>
      <c r="E28" s="714"/>
      <c r="F28" s="714" t="s">
        <v>0</v>
      </c>
      <c r="G28" s="714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715"/>
      <c r="D33" s="715"/>
      <c r="E33" s="715"/>
      <c r="F33" s="715"/>
      <c r="G33" s="715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713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716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713"/>
    </row>
    <row r="43" spans="3:20" s="8" customFormat="1" ht="14.25" customHeight="1">
      <c r="K43" s="17"/>
      <c r="L43" s="12"/>
      <c r="N43" s="12"/>
      <c r="R43" s="14"/>
      <c r="S43" s="19"/>
      <c r="T43" s="713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713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713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713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713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713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716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713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716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713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716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713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716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713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716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713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716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713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716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713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716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713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716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713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716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713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716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713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716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713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716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713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716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713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716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713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716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713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716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713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716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2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57" t="s">
        <v>4</v>
      </c>
      <c r="B1" s="757"/>
      <c r="C1" s="757"/>
      <c r="D1" s="757"/>
      <c r="E1" s="757"/>
      <c r="F1" s="757"/>
      <c r="G1" s="757"/>
      <c r="H1" s="757"/>
      <c r="I1" s="740" t="s">
        <v>5</v>
      </c>
      <c r="J1" s="740"/>
      <c r="K1" s="740"/>
      <c r="L1" s="740"/>
      <c r="M1" s="755" t="s">
        <v>6</v>
      </c>
      <c r="N1" s="755"/>
      <c r="O1" s="755"/>
      <c r="P1" s="755"/>
      <c r="Q1" s="755"/>
      <c r="R1" s="755"/>
      <c r="S1" s="755"/>
      <c r="T1" s="755"/>
      <c r="U1" s="755"/>
      <c r="V1" s="755"/>
      <c r="W1" s="755"/>
      <c r="X1" s="740" t="s">
        <v>7</v>
      </c>
      <c r="Y1" s="740"/>
      <c r="Z1" s="740"/>
      <c r="AA1" s="759" t="s">
        <v>475</v>
      </c>
      <c r="AB1" s="759"/>
      <c r="AC1" s="759"/>
      <c r="AD1" s="759"/>
      <c r="AE1" s="759"/>
      <c r="AF1" s="759"/>
      <c r="AG1" s="759"/>
      <c r="AH1" s="759"/>
      <c r="AI1" s="759"/>
      <c r="AJ1" s="759"/>
      <c r="AK1" s="744" t="s">
        <v>8</v>
      </c>
      <c r="AL1" s="744"/>
      <c r="AM1" s="744"/>
      <c r="AN1" s="745" t="s">
        <v>298</v>
      </c>
      <c r="AO1" s="745"/>
      <c r="AP1" s="745"/>
      <c r="AQ1" s="744" t="s">
        <v>9</v>
      </c>
      <c r="AR1" s="744"/>
      <c r="AS1" s="744"/>
      <c r="AT1" s="747">
        <f>AL7</f>
        <v>46125</v>
      </c>
      <c r="AU1" s="747"/>
      <c r="AV1" s="747"/>
      <c r="AW1" s="747"/>
      <c r="AX1" s="736" t="s">
        <v>10</v>
      </c>
      <c r="AY1" s="737"/>
      <c r="AZ1" s="737"/>
      <c r="BA1" s="738"/>
    </row>
    <row r="2" spans="1:53">
      <c r="A2" s="739" t="s">
        <v>16</v>
      </c>
      <c r="B2" s="739"/>
      <c r="C2" s="739"/>
      <c r="D2" s="739"/>
      <c r="E2" s="739"/>
      <c r="F2" s="739"/>
      <c r="G2" s="739"/>
      <c r="H2" s="739"/>
      <c r="I2" s="740" t="s">
        <v>11</v>
      </c>
      <c r="J2" s="740"/>
      <c r="K2" s="740"/>
      <c r="L2" s="740"/>
      <c r="M2" s="741" t="s">
        <v>29</v>
      </c>
      <c r="N2" s="742"/>
      <c r="O2" s="742"/>
      <c r="P2" s="742"/>
      <c r="Q2" s="742"/>
      <c r="R2" s="742"/>
      <c r="S2" s="742"/>
      <c r="T2" s="742"/>
      <c r="U2" s="742"/>
      <c r="V2" s="742"/>
      <c r="W2" s="743"/>
      <c r="X2" s="740"/>
      <c r="Y2" s="740"/>
      <c r="Z2" s="740"/>
      <c r="AA2" s="759"/>
      <c r="AB2" s="759"/>
      <c r="AC2" s="759"/>
      <c r="AD2" s="759"/>
      <c r="AE2" s="759"/>
      <c r="AF2" s="759"/>
      <c r="AG2" s="759"/>
      <c r="AH2" s="759"/>
      <c r="AI2" s="759"/>
      <c r="AJ2" s="759"/>
      <c r="AK2" s="744" t="s">
        <v>12</v>
      </c>
      <c r="AL2" s="744"/>
      <c r="AM2" s="744"/>
      <c r="AN2" s="745" t="s">
        <v>298</v>
      </c>
      <c r="AO2" s="745"/>
      <c r="AP2" s="745"/>
      <c r="AQ2" s="744" t="s">
        <v>13</v>
      </c>
      <c r="AR2" s="744"/>
      <c r="AS2" s="744"/>
      <c r="AT2" s="747">
        <v>46162</v>
      </c>
      <c r="AU2" s="747"/>
      <c r="AV2" s="747"/>
      <c r="AW2" s="747"/>
      <c r="AX2" s="748" t="s">
        <v>31</v>
      </c>
      <c r="AY2" s="749"/>
      <c r="AZ2" s="749"/>
      <c r="BA2" s="750"/>
    </row>
    <row r="3" spans="1:53" ht="12" customHeight="1">
      <c r="A3" s="754" t="s">
        <v>26</v>
      </c>
      <c r="B3" s="754"/>
      <c r="C3" s="754"/>
      <c r="D3" s="754"/>
      <c r="E3" s="754"/>
      <c r="F3" s="754"/>
      <c r="G3" s="754"/>
      <c r="H3" s="754"/>
      <c r="I3" s="740" t="s">
        <v>14</v>
      </c>
      <c r="J3" s="740"/>
      <c r="K3" s="740"/>
      <c r="L3" s="740"/>
      <c r="M3" s="755"/>
      <c r="N3" s="755"/>
      <c r="O3" s="755"/>
      <c r="P3" s="755"/>
      <c r="Q3" s="755"/>
      <c r="R3" s="755"/>
      <c r="S3" s="755"/>
      <c r="T3" s="755"/>
      <c r="U3" s="755"/>
      <c r="V3" s="755"/>
      <c r="W3" s="755"/>
      <c r="X3" s="740" t="s">
        <v>27</v>
      </c>
      <c r="Y3" s="740"/>
      <c r="Z3" s="740"/>
      <c r="AA3" s="756" t="s">
        <v>474</v>
      </c>
      <c r="AB3" s="756"/>
      <c r="AC3" s="756"/>
      <c r="AD3" s="756"/>
      <c r="AE3" s="756"/>
      <c r="AF3" s="756"/>
      <c r="AG3" s="756"/>
      <c r="AH3" s="756"/>
      <c r="AI3" s="756"/>
      <c r="AJ3" s="756"/>
      <c r="AK3" s="756"/>
      <c r="AL3" s="756"/>
      <c r="AM3" s="756"/>
      <c r="AN3" s="756"/>
      <c r="AO3" s="756"/>
      <c r="AP3" s="756"/>
      <c r="AQ3" s="744" t="s">
        <v>15</v>
      </c>
      <c r="AR3" s="744"/>
      <c r="AS3" s="744"/>
      <c r="AT3" s="760" t="str">
        <f ca="1">INDIRECT("A" &amp; COUNTA(A7:A39) + 6)</f>
        <v>r1.2</v>
      </c>
      <c r="AU3" s="760"/>
      <c r="AV3" s="760"/>
      <c r="AW3" s="760"/>
      <c r="AX3" s="751"/>
      <c r="AY3" s="752"/>
      <c r="AZ3" s="752"/>
      <c r="BA3" s="753"/>
    </row>
    <row r="4" spans="1:53" ht="5.9" customHeight="1"/>
    <row r="5" spans="1:53" ht="14">
      <c r="A5" s="758" t="s">
        <v>25</v>
      </c>
      <c r="B5" s="758"/>
      <c r="C5" s="758"/>
      <c r="D5" s="758"/>
      <c r="E5" s="758"/>
      <c r="F5" s="758"/>
      <c r="G5" s="758"/>
      <c r="H5" s="758"/>
      <c r="I5" s="758"/>
      <c r="J5" s="758"/>
      <c r="K5" s="758"/>
      <c r="L5" s="758"/>
      <c r="M5" s="758"/>
      <c r="N5" s="758"/>
      <c r="O5" s="758"/>
      <c r="P5" s="758"/>
      <c r="Q5" s="758"/>
      <c r="R5" s="758"/>
      <c r="S5" s="758"/>
      <c r="T5" s="758"/>
      <c r="U5" s="758"/>
      <c r="V5" s="758"/>
      <c r="W5" s="758"/>
      <c r="X5" s="758"/>
      <c r="Y5" s="758"/>
      <c r="Z5" s="758"/>
      <c r="AA5" s="758"/>
      <c r="AB5" s="758"/>
      <c r="AC5" s="758"/>
      <c r="AD5" s="758"/>
      <c r="AE5" s="758"/>
      <c r="AF5" s="758"/>
      <c r="AG5" s="758"/>
      <c r="AH5" s="758"/>
      <c r="AI5" s="758"/>
      <c r="AJ5" s="758"/>
      <c r="AK5" s="758"/>
      <c r="AL5" s="758"/>
      <c r="AM5" s="758"/>
      <c r="AN5" s="758"/>
      <c r="AO5" s="758"/>
      <c r="AP5" s="758"/>
      <c r="AQ5" s="758"/>
      <c r="AR5" s="758"/>
      <c r="AS5" s="758"/>
      <c r="AT5" s="758"/>
      <c r="AU5" s="758"/>
      <c r="AV5" s="758"/>
      <c r="AW5" s="758"/>
      <c r="AX5" s="758"/>
      <c r="AY5" s="758"/>
      <c r="AZ5" s="758"/>
      <c r="BA5" s="758"/>
    </row>
    <row r="6" spans="1:53">
      <c r="A6" s="761" t="s">
        <v>24</v>
      </c>
      <c r="B6" s="762"/>
      <c r="C6" s="746" t="s">
        <v>17</v>
      </c>
      <c r="D6" s="746"/>
      <c r="E6" s="746"/>
      <c r="F6" s="746"/>
      <c r="G6" s="746"/>
      <c r="H6" s="746"/>
      <c r="I6" s="746"/>
      <c r="J6" s="746"/>
      <c r="K6" s="746"/>
      <c r="L6" s="746"/>
      <c r="M6" s="746"/>
      <c r="N6" s="746"/>
      <c r="O6" s="746"/>
      <c r="P6" s="746"/>
      <c r="Q6" s="746" t="s">
        <v>18</v>
      </c>
      <c r="R6" s="746"/>
      <c r="S6" s="746"/>
      <c r="T6" s="746"/>
      <c r="U6" s="746"/>
      <c r="V6" s="746"/>
      <c r="W6" s="746"/>
      <c r="X6" s="746"/>
      <c r="Y6" s="746"/>
      <c r="Z6" s="746"/>
      <c r="AA6" s="746"/>
      <c r="AB6" s="746"/>
      <c r="AC6" s="746"/>
      <c r="AD6" s="746"/>
      <c r="AE6" s="746"/>
      <c r="AF6" s="746"/>
      <c r="AG6" s="746"/>
      <c r="AH6" s="746"/>
      <c r="AI6" s="746"/>
      <c r="AJ6" s="746"/>
      <c r="AK6" s="746"/>
      <c r="AL6" s="746" t="s">
        <v>19</v>
      </c>
      <c r="AM6" s="746"/>
      <c r="AN6" s="746"/>
      <c r="AO6" s="746"/>
      <c r="AP6" s="746" t="s">
        <v>20</v>
      </c>
      <c r="AQ6" s="746"/>
      <c r="AR6" s="746"/>
      <c r="AS6" s="746" t="s">
        <v>21</v>
      </c>
      <c r="AT6" s="746"/>
      <c r="AU6" s="746"/>
      <c r="AV6" s="746" t="s">
        <v>22</v>
      </c>
      <c r="AW6" s="746"/>
      <c r="AX6" s="746"/>
      <c r="AY6" s="746"/>
      <c r="AZ6" s="746"/>
      <c r="BA6" s="746"/>
    </row>
    <row r="7" spans="1:53">
      <c r="A7" s="718" t="s">
        <v>258</v>
      </c>
      <c r="B7" s="718"/>
      <c r="C7" s="719" t="s">
        <v>23</v>
      </c>
      <c r="D7" s="719"/>
      <c r="E7" s="719"/>
      <c r="F7" s="719"/>
      <c r="G7" s="719"/>
      <c r="H7" s="719"/>
      <c r="I7" s="719"/>
      <c r="J7" s="719"/>
      <c r="K7" s="719"/>
      <c r="L7" s="719"/>
      <c r="M7" s="719"/>
      <c r="N7" s="719"/>
      <c r="O7" s="719"/>
      <c r="P7" s="719"/>
      <c r="Q7" s="719"/>
      <c r="R7" s="719"/>
      <c r="S7" s="719"/>
      <c r="T7" s="719"/>
      <c r="U7" s="719"/>
      <c r="V7" s="719"/>
      <c r="W7" s="719"/>
      <c r="X7" s="719"/>
      <c r="Y7" s="719"/>
      <c r="Z7" s="719"/>
      <c r="AA7" s="719"/>
      <c r="AB7" s="719"/>
      <c r="AC7" s="719"/>
      <c r="AD7" s="719"/>
      <c r="AE7" s="719"/>
      <c r="AF7" s="719"/>
      <c r="AG7" s="719"/>
      <c r="AH7" s="719"/>
      <c r="AI7" s="719"/>
      <c r="AJ7" s="719"/>
      <c r="AK7" s="719"/>
      <c r="AL7" s="723">
        <v>46125</v>
      </c>
      <c r="AM7" s="724"/>
      <c r="AN7" s="724"/>
      <c r="AO7" s="724"/>
      <c r="AP7" s="719" t="s">
        <v>298</v>
      </c>
      <c r="AQ7" s="719"/>
      <c r="AR7" s="719"/>
      <c r="AS7" s="719"/>
      <c r="AT7" s="719"/>
      <c r="AU7" s="719"/>
      <c r="AV7" s="719"/>
      <c r="AW7" s="719"/>
      <c r="AX7" s="719"/>
      <c r="AY7" s="719"/>
      <c r="AZ7" s="719"/>
      <c r="BA7" s="719"/>
    </row>
    <row r="8" spans="1:53" ht="25" customHeight="1">
      <c r="A8" s="733" t="s">
        <v>447</v>
      </c>
      <c r="B8" s="734"/>
      <c r="C8" s="720" t="s">
        <v>449</v>
      </c>
      <c r="D8" s="720"/>
      <c r="E8" s="720"/>
      <c r="F8" s="720"/>
      <c r="G8" s="720"/>
      <c r="H8" s="720"/>
      <c r="I8" s="720"/>
      <c r="J8" s="720"/>
      <c r="K8" s="720"/>
      <c r="L8" s="720"/>
      <c r="M8" s="720"/>
      <c r="N8" s="720"/>
      <c r="O8" s="720"/>
      <c r="P8" s="720"/>
      <c r="Q8" s="730" t="s">
        <v>478</v>
      </c>
      <c r="R8" s="731"/>
      <c r="S8" s="731"/>
      <c r="T8" s="731"/>
      <c r="U8" s="731"/>
      <c r="V8" s="731"/>
      <c r="W8" s="731"/>
      <c r="X8" s="731"/>
      <c r="Y8" s="731"/>
      <c r="Z8" s="731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2"/>
      <c r="AL8" s="725">
        <v>46134</v>
      </c>
      <c r="AM8" s="726"/>
      <c r="AN8" s="726"/>
      <c r="AO8" s="727"/>
      <c r="AP8" s="719" t="s">
        <v>448</v>
      </c>
      <c r="AQ8" s="719"/>
      <c r="AR8" s="719"/>
      <c r="AS8" s="719"/>
      <c r="AT8" s="719"/>
      <c r="AU8" s="719"/>
      <c r="AV8" s="719"/>
      <c r="AW8" s="719"/>
      <c r="AX8" s="719"/>
      <c r="AY8" s="719"/>
      <c r="AZ8" s="719"/>
      <c r="BA8" s="719"/>
    </row>
    <row r="9" spans="1:53">
      <c r="A9" s="733" t="s">
        <v>476</v>
      </c>
      <c r="B9" s="734"/>
      <c r="C9" s="719" t="s">
        <v>477</v>
      </c>
      <c r="D9" s="719"/>
      <c r="E9" s="719"/>
      <c r="F9" s="719"/>
      <c r="G9" s="719"/>
      <c r="H9" s="719"/>
      <c r="I9" s="719"/>
      <c r="J9" s="719"/>
      <c r="K9" s="719"/>
      <c r="L9" s="719"/>
      <c r="M9" s="719"/>
      <c r="N9" s="719"/>
      <c r="O9" s="719"/>
      <c r="P9" s="719"/>
      <c r="Q9" s="730" t="s">
        <v>478</v>
      </c>
      <c r="R9" s="731"/>
      <c r="S9" s="731"/>
      <c r="T9" s="731"/>
      <c r="U9" s="731"/>
      <c r="V9" s="731"/>
      <c r="W9" s="731"/>
      <c r="X9" s="731"/>
      <c r="Y9" s="731"/>
      <c r="Z9" s="731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2"/>
      <c r="AL9" s="725">
        <v>46162</v>
      </c>
      <c r="AM9" s="726"/>
      <c r="AN9" s="726"/>
      <c r="AO9" s="727"/>
      <c r="AP9" s="719" t="s">
        <v>448</v>
      </c>
      <c r="AQ9" s="719"/>
      <c r="AR9" s="719"/>
      <c r="AS9" s="719"/>
      <c r="AT9" s="719"/>
      <c r="AU9" s="719"/>
      <c r="AV9" s="719"/>
      <c r="AW9" s="719"/>
      <c r="AX9" s="719"/>
      <c r="AY9" s="719"/>
      <c r="AZ9" s="719"/>
      <c r="BA9" s="719"/>
    </row>
    <row r="10" spans="1:53">
      <c r="A10" s="718"/>
      <c r="B10" s="718"/>
      <c r="C10" s="719"/>
      <c r="D10" s="719"/>
      <c r="E10" s="719"/>
      <c r="F10" s="719"/>
      <c r="G10" s="719"/>
      <c r="H10" s="719"/>
      <c r="I10" s="719"/>
      <c r="J10" s="719"/>
      <c r="K10" s="719"/>
      <c r="L10" s="719"/>
      <c r="M10" s="719"/>
      <c r="N10" s="719"/>
      <c r="O10" s="719"/>
      <c r="P10" s="719"/>
      <c r="Q10" s="720"/>
      <c r="R10" s="719"/>
      <c r="S10" s="719"/>
      <c r="T10" s="719"/>
      <c r="U10" s="719"/>
      <c r="V10" s="719"/>
      <c r="W10" s="719"/>
      <c r="X10" s="719"/>
      <c r="Y10" s="719"/>
      <c r="Z10" s="719"/>
      <c r="AA10" s="719"/>
      <c r="AB10" s="719"/>
      <c r="AC10" s="719"/>
      <c r="AD10" s="719"/>
      <c r="AE10" s="719"/>
      <c r="AF10" s="719"/>
      <c r="AG10" s="719"/>
      <c r="AH10" s="719"/>
      <c r="AI10" s="719"/>
      <c r="AJ10" s="719"/>
      <c r="AK10" s="719"/>
      <c r="AL10" s="717"/>
      <c r="AM10" s="718"/>
      <c r="AN10" s="718"/>
      <c r="AO10" s="718"/>
      <c r="AP10" s="719"/>
      <c r="AQ10" s="719"/>
      <c r="AR10" s="719"/>
      <c r="AS10" s="719"/>
      <c r="AT10" s="719"/>
      <c r="AU10" s="719"/>
      <c r="AV10" s="719"/>
      <c r="AW10" s="719"/>
      <c r="AX10" s="719"/>
      <c r="AY10" s="719"/>
      <c r="AZ10" s="719"/>
      <c r="BA10" s="719"/>
    </row>
    <row r="11" spans="1:53">
      <c r="A11" s="718"/>
      <c r="B11" s="718"/>
      <c r="C11" s="720"/>
      <c r="D11" s="719"/>
      <c r="E11" s="719"/>
      <c r="F11" s="719"/>
      <c r="G11" s="719"/>
      <c r="H11" s="719"/>
      <c r="I11" s="719"/>
      <c r="J11" s="719"/>
      <c r="K11" s="719"/>
      <c r="L11" s="719"/>
      <c r="M11" s="719"/>
      <c r="N11" s="719"/>
      <c r="O11" s="719"/>
      <c r="P11" s="719"/>
      <c r="Q11" s="720"/>
      <c r="R11" s="719"/>
      <c r="S11" s="719"/>
      <c r="T11" s="719"/>
      <c r="U11" s="719"/>
      <c r="V11" s="719"/>
      <c r="W11" s="719"/>
      <c r="X11" s="719"/>
      <c r="Y11" s="719"/>
      <c r="Z11" s="719"/>
      <c r="AA11" s="719"/>
      <c r="AB11" s="719"/>
      <c r="AC11" s="719"/>
      <c r="AD11" s="719"/>
      <c r="AE11" s="719"/>
      <c r="AF11" s="719"/>
      <c r="AG11" s="719"/>
      <c r="AH11" s="719"/>
      <c r="AI11" s="719"/>
      <c r="AJ11" s="719"/>
      <c r="AK11" s="719"/>
      <c r="AL11" s="717"/>
      <c r="AM11" s="718"/>
      <c r="AN11" s="718"/>
      <c r="AO11" s="718"/>
      <c r="AP11" s="719"/>
      <c r="AQ11" s="719"/>
      <c r="AR11" s="719"/>
      <c r="AS11" s="719"/>
      <c r="AT11" s="719"/>
      <c r="AU11" s="719"/>
      <c r="AV11" s="719"/>
      <c r="AW11" s="719"/>
      <c r="AX11" s="719"/>
      <c r="AY11" s="719"/>
      <c r="AZ11" s="719"/>
      <c r="BA11" s="719"/>
    </row>
    <row r="12" spans="1:53">
      <c r="A12" s="718"/>
      <c r="B12" s="718"/>
      <c r="C12" s="719"/>
      <c r="D12" s="719"/>
      <c r="E12" s="719"/>
      <c r="F12" s="719"/>
      <c r="G12" s="719"/>
      <c r="H12" s="719"/>
      <c r="I12" s="719"/>
      <c r="J12" s="719"/>
      <c r="K12" s="719"/>
      <c r="L12" s="719"/>
      <c r="M12" s="719"/>
      <c r="N12" s="719"/>
      <c r="O12" s="719"/>
      <c r="P12" s="719"/>
      <c r="Q12" s="719"/>
      <c r="R12" s="719"/>
      <c r="S12" s="719"/>
      <c r="T12" s="719"/>
      <c r="U12" s="719"/>
      <c r="V12" s="719"/>
      <c r="W12" s="719"/>
      <c r="X12" s="719"/>
      <c r="Y12" s="719"/>
      <c r="Z12" s="719"/>
      <c r="AA12" s="719"/>
      <c r="AB12" s="719"/>
      <c r="AC12" s="719"/>
      <c r="AD12" s="719"/>
      <c r="AE12" s="719"/>
      <c r="AF12" s="719"/>
      <c r="AG12" s="719"/>
      <c r="AH12" s="719"/>
      <c r="AI12" s="719"/>
      <c r="AJ12" s="719"/>
      <c r="AK12" s="719"/>
      <c r="AL12" s="717"/>
      <c r="AM12" s="718"/>
      <c r="AN12" s="718"/>
      <c r="AO12" s="718"/>
      <c r="AP12" s="719"/>
      <c r="AQ12" s="719"/>
      <c r="AR12" s="719"/>
      <c r="AS12" s="719"/>
      <c r="AT12" s="719"/>
      <c r="AU12" s="719"/>
      <c r="AV12" s="719"/>
      <c r="AW12" s="719"/>
      <c r="AX12" s="719"/>
      <c r="AY12" s="719"/>
      <c r="AZ12" s="719"/>
      <c r="BA12" s="719"/>
    </row>
    <row r="13" spans="1:53">
      <c r="A13" s="729"/>
      <c r="B13" s="729"/>
      <c r="C13" s="721"/>
      <c r="D13" s="721"/>
      <c r="E13" s="721"/>
      <c r="F13" s="721"/>
      <c r="G13" s="721"/>
      <c r="H13" s="721"/>
      <c r="I13" s="721"/>
      <c r="J13" s="721"/>
      <c r="K13" s="721"/>
      <c r="L13" s="721"/>
      <c r="M13" s="721"/>
      <c r="N13" s="721"/>
      <c r="O13" s="721"/>
      <c r="P13" s="721"/>
      <c r="Q13" s="720"/>
      <c r="R13" s="719"/>
      <c r="S13" s="719"/>
      <c r="T13" s="719"/>
      <c r="U13" s="719"/>
      <c r="V13" s="719"/>
      <c r="W13" s="719"/>
      <c r="X13" s="719"/>
      <c r="Y13" s="719"/>
      <c r="Z13" s="719"/>
      <c r="AA13" s="719"/>
      <c r="AB13" s="719"/>
      <c r="AC13" s="719"/>
      <c r="AD13" s="719"/>
      <c r="AE13" s="719"/>
      <c r="AF13" s="719"/>
      <c r="AG13" s="719"/>
      <c r="AH13" s="719"/>
      <c r="AI13" s="719"/>
      <c r="AJ13" s="719"/>
      <c r="AK13" s="719"/>
      <c r="AL13" s="728"/>
      <c r="AM13" s="729"/>
      <c r="AN13" s="729"/>
      <c r="AO13" s="729"/>
      <c r="AP13" s="719"/>
      <c r="AQ13" s="719"/>
      <c r="AR13" s="719"/>
      <c r="AS13" s="721"/>
      <c r="AT13" s="721"/>
      <c r="AU13" s="721"/>
      <c r="AV13" s="721"/>
      <c r="AW13" s="721"/>
      <c r="AX13" s="721"/>
      <c r="AY13" s="721"/>
      <c r="AZ13" s="721"/>
      <c r="BA13" s="721"/>
    </row>
    <row r="14" spans="1:53">
      <c r="A14" s="718"/>
      <c r="B14" s="718"/>
      <c r="C14" s="719"/>
      <c r="D14" s="719"/>
      <c r="E14" s="719"/>
      <c r="F14" s="719"/>
      <c r="G14" s="719"/>
      <c r="H14" s="719"/>
      <c r="I14" s="719"/>
      <c r="J14" s="719"/>
      <c r="K14" s="719"/>
      <c r="L14" s="719"/>
      <c r="M14" s="719"/>
      <c r="N14" s="719"/>
      <c r="O14" s="719"/>
      <c r="P14" s="719"/>
      <c r="Q14" s="720"/>
      <c r="R14" s="719"/>
      <c r="S14" s="719"/>
      <c r="T14" s="719"/>
      <c r="U14" s="719"/>
      <c r="V14" s="719"/>
      <c r="W14" s="719"/>
      <c r="X14" s="719"/>
      <c r="Y14" s="719"/>
      <c r="Z14" s="719"/>
      <c r="AA14" s="719"/>
      <c r="AB14" s="719"/>
      <c r="AC14" s="719"/>
      <c r="AD14" s="719"/>
      <c r="AE14" s="719"/>
      <c r="AF14" s="719"/>
      <c r="AG14" s="719"/>
      <c r="AH14" s="719"/>
      <c r="AI14" s="719"/>
      <c r="AJ14" s="719"/>
      <c r="AK14" s="719"/>
      <c r="AL14" s="717"/>
      <c r="AM14" s="718"/>
      <c r="AN14" s="718"/>
      <c r="AO14" s="718"/>
      <c r="AP14" s="719"/>
      <c r="AQ14" s="719"/>
      <c r="AR14" s="719"/>
      <c r="AS14" s="719"/>
      <c r="AT14" s="719"/>
      <c r="AU14" s="719"/>
      <c r="AV14" s="719"/>
      <c r="AW14" s="719"/>
      <c r="AX14" s="719"/>
      <c r="AY14" s="719"/>
      <c r="AZ14" s="719"/>
      <c r="BA14" s="719"/>
    </row>
    <row r="15" spans="1:53">
      <c r="A15" s="718"/>
      <c r="B15" s="718"/>
      <c r="C15" s="719"/>
      <c r="D15" s="719"/>
      <c r="E15" s="719"/>
      <c r="F15" s="719"/>
      <c r="G15" s="719"/>
      <c r="H15" s="719"/>
      <c r="I15" s="719"/>
      <c r="J15" s="719"/>
      <c r="K15" s="719"/>
      <c r="L15" s="719"/>
      <c r="M15" s="719"/>
      <c r="N15" s="719"/>
      <c r="O15" s="719"/>
      <c r="P15" s="719"/>
      <c r="Q15" s="720"/>
      <c r="R15" s="719"/>
      <c r="S15" s="719"/>
      <c r="T15" s="719"/>
      <c r="U15" s="719"/>
      <c r="V15" s="719"/>
      <c r="W15" s="719"/>
      <c r="X15" s="719"/>
      <c r="Y15" s="719"/>
      <c r="Z15" s="719"/>
      <c r="AA15" s="719"/>
      <c r="AB15" s="719"/>
      <c r="AC15" s="719"/>
      <c r="AD15" s="719"/>
      <c r="AE15" s="719"/>
      <c r="AF15" s="719"/>
      <c r="AG15" s="719"/>
      <c r="AH15" s="719"/>
      <c r="AI15" s="719"/>
      <c r="AJ15" s="719"/>
      <c r="AK15" s="719"/>
      <c r="AL15" s="717"/>
      <c r="AM15" s="718"/>
      <c r="AN15" s="718"/>
      <c r="AO15" s="718"/>
      <c r="AP15" s="719"/>
      <c r="AQ15" s="719"/>
      <c r="AR15" s="719"/>
      <c r="AS15" s="719"/>
      <c r="AT15" s="719"/>
      <c r="AU15" s="719"/>
      <c r="AV15" s="719"/>
      <c r="AW15" s="719"/>
      <c r="AX15" s="719"/>
      <c r="AY15" s="719"/>
      <c r="AZ15" s="719"/>
      <c r="BA15" s="719"/>
    </row>
    <row r="16" spans="1:53">
      <c r="A16" s="718"/>
      <c r="B16" s="718"/>
      <c r="C16" s="719"/>
      <c r="D16" s="719"/>
      <c r="E16" s="719"/>
      <c r="F16" s="719"/>
      <c r="G16" s="719"/>
      <c r="H16" s="719"/>
      <c r="I16" s="719"/>
      <c r="J16" s="719"/>
      <c r="K16" s="719"/>
      <c r="L16" s="719"/>
      <c r="M16" s="719"/>
      <c r="N16" s="719"/>
      <c r="O16" s="719"/>
      <c r="P16" s="719"/>
      <c r="Q16" s="720"/>
      <c r="R16" s="719"/>
      <c r="S16" s="719"/>
      <c r="T16" s="719"/>
      <c r="U16" s="719"/>
      <c r="V16" s="719"/>
      <c r="W16" s="719"/>
      <c r="X16" s="719"/>
      <c r="Y16" s="719"/>
      <c r="Z16" s="719"/>
      <c r="AA16" s="719"/>
      <c r="AB16" s="719"/>
      <c r="AC16" s="719"/>
      <c r="AD16" s="719"/>
      <c r="AE16" s="719"/>
      <c r="AF16" s="719"/>
      <c r="AG16" s="719"/>
      <c r="AH16" s="719"/>
      <c r="AI16" s="719"/>
      <c r="AJ16" s="719"/>
      <c r="AK16" s="719"/>
      <c r="AL16" s="717"/>
      <c r="AM16" s="718"/>
      <c r="AN16" s="718"/>
      <c r="AO16" s="718"/>
      <c r="AP16" s="719"/>
      <c r="AQ16" s="719"/>
      <c r="AR16" s="719"/>
      <c r="AS16" s="719"/>
      <c r="AT16" s="719"/>
      <c r="AU16" s="719"/>
      <c r="AV16" s="719"/>
      <c r="AW16" s="719"/>
      <c r="AX16" s="719"/>
      <c r="AY16" s="719"/>
      <c r="AZ16" s="719"/>
      <c r="BA16" s="719"/>
    </row>
    <row r="17" spans="1:53">
      <c r="A17" s="735"/>
      <c r="B17" s="735"/>
      <c r="C17" s="719"/>
      <c r="D17" s="719"/>
      <c r="E17" s="719"/>
      <c r="F17" s="719"/>
      <c r="G17" s="719"/>
      <c r="H17" s="719"/>
      <c r="I17" s="719"/>
      <c r="J17" s="719"/>
      <c r="K17" s="719"/>
      <c r="L17" s="719"/>
      <c r="M17" s="719"/>
      <c r="N17" s="719"/>
      <c r="O17" s="719"/>
      <c r="P17" s="719"/>
      <c r="Q17" s="719"/>
      <c r="R17" s="722"/>
      <c r="S17" s="722"/>
      <c r="T17" s="722"/>
      <c r="U17" s="722"/>
      <c r="V17" s="722"/>
      <c r="W17" s="722"/>
      <c r="X17" s="722"/>
      <c r="Y17" s="722"/>
      <c r="Z17" s="722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17"/>
      <c r="AM17" s="718"/>
      <c r="AN17" s="718"/>
      <c r="AO17" s="718"/>
      <c r="AP17" s="719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</row>
    <row r="18" spans="1:53">
      <c r="A18" s="735"/>
      <c r="B18" s="735"/>
      <c r="C18" s="719"/>
      <c r="D18" s="719"/>
      <c r="E18" s="719"/>
      <c r="F18" s="719"/>
      <c r="G18" s="719"/>
      <c r="H18" s="719"/>
      <c r="I18" s="719"/>
      <c r="J18" s="719"/>
      <c r="K18" s="719"/>
      <c r="L18" s="719"/>
      <c r="M18" s="719"/>
      <c r="N18" s="719"/>
      <c r="O18" s="719"/>
      <c r="P18" s="719"/>
      <c r="Q18" s="719"/>
      <c r="R18" s="722"/>
      <c r="S18" s="722"/>
      <c r="T18" s="722"/>
      <c r="U18" s="722"/>
      <c r="V18" s="722"/>
      <c r="W18" s="722"/>
      <c r="X18" s="722"/>
      <c r="Y18" s="722"/>
      <c r="Z18" s="722"/>
      <c r="AA18" s="722"/>
      <c r="AB18" s="722"/>
      <c r="AC18" s="722"/>
      <c r="AD18" s="722"/>
      <c r="AE18" s="722"/>
      <c r="AF18" s="722"/>
      <c r="AG18" s="722"/>
      <c r="AH18" s="722"/>
      <c r="AI18" s="722"/>
      <c r="AJ18" s="722"/>
      <c r="AK18" s="722"/>
      <c r="AL18" s="717"/>
      <c r="AM18" s="718"/>
      <c r="AN18" s="718"/>
      <c r="AO18" s="718"/>
      <c r="AP18" s="719"/>
      <c r="AQ18" s="722"/>
      <c r="AR18" s="722"/>
      <c r="AS18" s="722"/>
      <c r="AT18" s="722"/>
      <c r="AU18" s="722"/>
      <c r="AV18" s="722"/>
      <c r="AW18" s="722"/>
      <c r="AX18" s="722"/>
      <c r="AY18" s="722"/>
      <c r="AZ18" s="722"/>
      <c r="BA18" s="722"/>
    </row>
    <row r="19" spans="1:53">
      <c r="A19" s="718"/>
      <c r="B19" s="718"/>
      <c r="C19" s="719"/>
      <c r="D19" s="719"/>
      <c r="E19" s="719"/>
      <c r="F19" s="719"/>
      <c r="G19" s="719"/>
      <c r="H19" s="719"/>
      <c r="I19" s="719"/>
      <c r="J19" s="719"/>
      <c r="K19" s="719"/>
      <c r="L19" s="719"/>
      <c r="M19" s="719"/>
      <c r="N19" s="719"/>
      <c r="O19" s="719"/>
      <c r="P19" s="719"/>
      <c r="Q19" s="719"/>
      <c r="R19" s="719"/>
      <c r="S19" s="719"/>
      <c r="T19" s="719"/>
      <c r="U19" s="719"/>
      <c r="V19" s="719"/>
      <c r="W19" s="719"/>
      <c r="X19" s="719"/>
      <c r="Y19" s="719"/>
      <c r="Z19" s="719"/>
      <c r="AA19" s="719"/>
      <c r="AB19" s="719"/>
      <c r="AC19" s="719"/>
      <c r="AD19" s="719"/>
      <c r="AE19" s="719"/>
      <c r="AF19" s="719"/>
      <c r="AG19" s="719"/>
      <c r="AH19" s="719"/>
      <c r="AI19" s="719"/>
      <c r="AJ19" s="719"/>
      <c r="AK19" s="719"/>
      <c r="AL19" s="717"/>
      <c r="AM19" s="717"/>
      <c r="AN19" s="717"/>
      <c r="AO19" s="717"/>
      <c r="AP19" s="719"/>
      <c r="AQ19" s="719"/>
      <c r="AR19" s="719"/>
      <c r="AS19" s="719"/>
      <c r="AT19" s="719"/>
      <c r="AU19" s="719"/>
      <c r="AV19" s="719"/>
      <c r="AW19" s="719"/>
      <c r="AX19" s="719"/>
      <c r="AY19" s="719"/>
      <c r="AZ19" s="719"/>
      <c r="BA19" s="719"/>
    </row>
    <row r="20" spans="1:53">
      <c r="A20" s="718"/>
      <c r="B20" s="718"/>
      <c r="C20" s="719"/>
      <c r="D20" s="719"/>
      <c r="E20" s="719"/>
      <c r="F20" s="719"/>
      <c r="G20" s="719"/>
      <c r="H20" s="719"/>
      <c r="I20" s="719"/>
      <c r="J20" s="719"/>
      <c r="K20" s="719"/>
      <c r="L20" s="719"/>
      <c r="M20" s="719"/>
      <c r="N20" s="719"/>
      <c r="O20" s="719"/>
      <c r="P20" s="719"/>
      <c r="Q20" s="719"/>
      <c r="R20" s="719"/>
      <c r="S20" s="719"/>
      <c r="T20" s="719"/>
      <c r="U20" s="719"/>
      <c r="V20" s="719"/>
      <c r="W20" s="719"/>
      <c r="X20" s="719"/>
      <c r="Y20" s="719"/>
      <c r="Z20" s="719"/>
      <c r="AA20" s="719"/>
      <c r="AB20" s="719"/>
      <c r="AC20" s="719"/>
      <c r="AD20" s="719"/>
      <c r="AE20" s="719"/>
      <c r="AF20" s="719"/>
      <c r="AG20" s="719"/>
      <c r="AH20" s="719"/>
      <c r="AI20" s="719"/>
      <c r="AJ20" s="719"/>
      <c r="AK20" s="719"/>
      <c r="AL20" s="717"/>
      <c r="AM20" s="717"/>
      <c r="AN20" s="717"/>
      <c r="AO20" s="717"/>
      <c r="AP20" s="719"/>
      <c r="AQ20" s="719"/>
      <c r="AR20" s="719"/>
      <c r="AS20" s="719"/>
      <c r="AT20" s="719"/>
      <c r="AU20" s="719"/>
      <c r="AV20" s="719"/>
      <c r="AW20" s="719"/>
      <c r="AX20" s="719"/>
      <c r="AY20" s="719"/>
      <c r="AZ20" s="719"/>
      <c r="BA20" s="719"/>
    </row>
    <row r="21" spans="1:53" ht="13.5" customHeight="1">
      <c r="A21" s="718"/>
      <c r="B21" s="718"/>
      <c r="C21" s="719"/>
      <c r="D21" s="719"/>
      <c r="E21" s="719"/>
      <c r="F21" s="719"/>
      <c r="G21" s="719"/>
      <c r="H21" s="719"/>
      <c r="I21" s="719"/>
      <c r="J21" s="719"/>
      <c r="K21" s="719"/>
      <c r="L21" s="719"/>
      <c r="M21" s="719"/>
      <c r="N21" s="719"/>
      <c r="O21" s="719"/>
      <c r="P21" s="719"/>
      <c r="Q21" s="719"/>
      <c r="R21" s="722"/>
      <c r="S21" s="722"/>
      <c r="T21" s="722"/>
      <c r="U21" s="722"/>
      <c r="V21" s="722"/>
      <c r="W21" s="722"/>
      <c r="X21" s="722"/>
      <c r="Y21" s="722"/>
      <c r="Z21" s="722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17"/>
      <c r="AM21" s="717"/>
      <c r="AN21" s="717"/>
      <c r="AO21" s="717"/>
      <c r="AP21" s="719"/>
      <c r="AQ21" s="719"/>
      <c r="AR21" s="719"/>
      <c r="AS21" s="719"/>
      <c r="AT21" s="719"/>
      <c r="AU21" s="719"/>
      <c r="AV21" s="719"/>
      <c r="AW21" s="719"/>
      <c r="AX21" s="719"/>
      <c r="AY21" s="719"/>
      <c r="AZ21" s="719"/>
      <c r="BA21" s="719"/>
    </row>
    <row r="22" spans="1:53">
      <c r="A22" s="718"/>
      <c r="B22" s="718"/>
      <c r="C22" s="719"/>
      <c r="D22" s="719"/>
      <c r="E22" s="719"/>
      <c r="F22" s="719"/>
      <c r="G22" s="719"/>
      <c r="H22" s="719"/>
      <c r="I22" s="719"/>
      <c r="J22" s="719"/>
      <c r="K22" s="719"/>
      <c r="L22" s="719"/>
      <c r="M22" s="719"/>
      <c r="N22" s="719"/>
      <c r="O22" s="719"/>
      <c r="P22" s="719"/>
      <c r="Q22" s="719"/>
      <c r="R22" s="719"/>
      <c r="S22" s="719"/>
      <c r="T22" s="719"/>
      <c r="U22" s="719"/>
      <c r="V22" s="719"/>
      <c r="W22" s="719"/>
      <c r="X22" s="719"/>
      <c r="Y22" s="719"/>
      <c r="Z22" s="719"/>
      <c r="AA22" s="719"/>
      <c r="AB22" s="719"/>
      <c r="AC22" s="719"/>
      <c r="AD22" s="719"/>
      <c r="AE22" s="719"/>
      <c r="AF22" s="719"/>
      <c r="AG22" s="719"/>
      <c r="AH22" s="719"/>
      <c r="AI22" s="719"/>
      <c r="AJ22" s="719"/>
      <c r="AK22" s="719"/>
      <c r="AL22" s="717"/>
      <c r="AM22" s="717"/>
      <c r="AN22" s="717"/>
      <c r="AO22" s="717"/>
      <c r="AP22" s="719"/>
      <c r="AQ22" s="719"/>
      <c r="AR22" s="719"/>
      <c r="AS22" s="719"/>
      <c r="AT22" s="719"/>
      <c r="AU22" s="719"/>
      <c r="AV22" s="719"/>
      <c r="AW22" s="719"/>
      <c r="AX22" s="719"/>
      <c r="AY22" s="719"/>
      <c r="AZ22" s="719"/>
      <c r="BA22" s="719"/>
    </row>
    <row r="23" spans="1:53">
      <c r="A23" s="718"/>
      <c r="B23" s="718"/>
      <c r="C23" s="719"/>
      <c r="D23" s="719"/>
      <c r="E23" s="719"/>
      <c r="F23" s="719"/>
      <c r="G23" s="719"/>
      <c r="H23" s="719"/>
      <c r="I23" s="719"/>
      <c r="J23" s="719"/>
      <c r="K23" s="719"/>
      <c r="L23" s="719"/>
      <c r="M23" s="719"/>
      <c r="N23" s="719"/>
      <c r="O23" s="719"/>
      <c r="P23" s="719"/>
      <c r="Q23" s="719"/>
      <c r="R23" s="722"/>
      <c r="S23" s="722"/>
      <c r="T23" s="722"/>
      <c r="U23" s="722"/>
      <c r="V23" s="722"/>
      <c r="W23" s="722"/>
      <c r="X23" s="722"/>
      <c r="Y23" s="722"/>
      <c r="Z23" s="722"/>
      <c r="AA23" s="722"/>
      <c r="AB23" s="722"/>
      <c r="AC23" s="722"/>
      <c r="AD23" s="722"/>
      <c r="AE23" s="722"/>
      <c r="AF23" s="722"/>
      <c r="AG23" s="722"/>
      <c r="AH23" s="722"/>
      <c r="AI23" s="722"/>
      <c r="AJ23" s="722"/>
      <c r="AK23" s="722"/>
      <c r="AL23" s="717"/>
      <c r="AM23" s="717"/>
      <c r="AN23" s="717"/>
      <c r="AO23" s="717"/>
      <c r="AP23" s="719"/>
      <c r="AQ23" s="719"/>
      <c r="AR23" s="719"/>
      <c r="AS23" s="719"/>
      <c r="AT23" s="719"/>
      <c r="AU23" s="719"/>
      <c r="AV23" s="719"/>
      <c r="AW23" s="719"/>
      <c r="AX23" s="719"/>
      <c r="AY23" s="719"/>
      <c r="AZ23" s="719"/>
      <c r="BA23" s="719"/>
    </row>
    <row r="24" spans="1:53">
      <c r="A24" s="718"/>
      <c r="B24" s="718"/>
      <c r="C24" s="719"/>
      <c r="D24" s="719"/>
      <c r="E24" s="719"/>
      <c r="F24" s="719"/>
      <c r="G24" s="719"/>
      <c r="H24" s="719"/>
      <c r="I24" s="719"/>
      <c r="J24" s="719"/>
      <c r="K24" s="719"/>
      <c r="L24" s="719"/>
      <c r="M24" s="719"/>
      <c r="N24" s="719"/>
      <c r="O24" s="719"/>
      <c r="P24" s="719"/>
      <c r="Q24" s="719"/>
      <c r="R24" s="719"/>
      <c r="S24" s="719"/>
      <c r="T24" s="719"/>
      <c r="U24" s="719"/>
      <c r="V24" s="719"/>
      <c r="W24" s="719"/>
      <c r="X24" s="719"/>
      <c r="Y24" s="719"/>
      <c r="Z24" s="719"/>
      <c r="AA24" s="719"/>
      <c r="AB24" s="719"/>
      <c r="AC24" s="719"/>
      <c r="AD24" s="719"/>
      <c r="AE24" s="719"/>
      <c r="AF24" s="719"/>
      <c r="AG24" s="719"/>
      <c r="AH24" s="719"/>
      <c r="AI24" s="719"/>
      <c r="AJ24" s="719"/>
      <c r="AK24" s="719"/>
      <c r="AL24" s="717"/>
      <c r="AM24" s="717"/>
      <c r="AN24" s="717"/>
      <c r="AO24" s="717"/>
      <c r="AP24" s="719"/>
      <c r="AQ24" s="719"/>
      <c r="AR24" s="719"/>
      <c r="AS24" s="719"/>
      <c r="AT24" s="719"/>
      <c r="AU24" s="719"/>
      <c r="AV24" s="719"/>
      <c r="AW24" s="719"/>
      <c r="AX24" s="719"/>
      <c r="AY24" s="719"/>
      <c r="AZ24" s="719"/>
      <c r="BA24" s="719"/>
    </row>
    <row r="25" spans="1:53">
      <c r="A25" s="718"/>
      <c r="B25" s="718"/>
      <c r="C25" s="719"/>
      <c r="D25" s="719"/>
      <c r="E25" s="719"/>
      <c r="F25" s="719"/>
      <c r="G25" s="719"/>
      <c r="H25" s="719"/>
      <c r="I25" s="719"/>
      <c r="J25" s="719"/>
      <c r="K25" s="719"/>
      <c r="L25" s="719"/>
      <c r="M25" s="719"/>
      <c r="N25" s="719"/>
      <c r="O25" s="719"/>
      <c r="P25" s="719"/>
      <c r="Q25" s="719"/>
      <c r="R25" s="719"/>
      <c r="S25" s="719"/>
      <c r="T25" s="719"/>
      <c r="U25" s="719"/>
      <c r="V25" s="719"/>
      <c r="W25" s="719"/>
      <c r="X25" s="719"/>
      <c r="Y25" s="719"/>
      <c r="Z25" s="719"/>
      <c r="AA25" s="719"/>
      <c r="AB25" s="719"/>
      <c r="AC25" s="719"/>
      <c r="AD25" s="719"/>
      <c r="AE25" s="719"/>
      <c r="AF25" s="719"/>
      <c r="AG25" s="719"/>
      <c r="AH25" s="719"/>
      <c r="AI25" s="719"/>
      <c r="AJ25" s="719"/>
      <c r="AK25" s="719"/>
      <c r="AL25" s="717"/>
      <c r="AM25" s="718"/>
      <c r="AN25" s="718"/>
      <c r="AO25" s="718"/>
      <c r="AP25" s="719"/>
      <c r="AQ25" s="719"/>
      <c r="AR25" s="719"/>
      <c r="AS25" s="719"/>
      <c r="AT25" s="719"/>
      <c r="AU25" s="719"/>
      <c r="AV25" s="719"/>
      <c r="AW25" s="719"/>
      <c r="AX25" s="719"/>
      <c r="AY25" s="719"/>
      <c r="AZ25" s="719"/>
      <c r="BA25" s="719"/>
    </row>
    <row r="26" spans="1:53">
      <c r="A26" s="718"/>
      <c r="B26" s="718"/>
      <c r="C26" s="719"/>
      <c r="D26" s="719"/>
      <c r="E26" s="719"/>
      <c r="F26" s="719"/>
      <c r="G26" s="719"/>
      <c r="H26" s="719"/>
      <c r="I26" s="719"/>
      <c r="J26" s="719"/>
      <c r="K26" s="719"/>
      <c r="L26" s="719"/>
      <c r="M26" s="719"/>
      <c r="N26" s="719"/>
      <c r="O26" s="719"/>
      <c r="P26" s="719"/>
      <c r="Q26" s="719"/>
      <c r="R26" s="719"/>
      <c r="S26" s="719"/>
      <c r="T26" s="719"/>
      <c r="U26" s="719"/>
      <c r="V26" s="719"/>
      <c r="W26" s="719"/>
      <c r="X26" s="719"/>
      <c r="Y26" s="719"/>
      <c r="Z26" s="719"/>
      <c r="AA26" s="719"/>
      <c r="AB26" s="719"/>
      <c r="AC26" s="719"/>
      <c r="AD26" s="719"/>
      <c r="AE26" s="719"/>
      <c r="AF26" s="719"/>
      <c r="AG26" s="719"/>
      <c r="AH26" s="719"/>
      <c r="AI26" s="719"/>
      <c r="AJ26" s="719"/>
      <c r="AK26" s="719"/>
      <c r="AL26" s="717"/>
      <c r="AM26" s="718"/>
      <c r="AN26" s="718"/>
      <c r="AO26" s="718"/>
      <c r="AP26" s="719"/>
      <c r="AQ26" s="719"/>
      <c r="AR26" s="719"/>
      <c r="AS26" s="719"/>
      <c r="AT26" s="719"/>
      <c r="AU26" s="719"/>
      <c r="AV26" s="719"/>
      <c r="AW26" s="719"/>
      <c r="AX26" s="719"/>
      <c r="AY26" s="719"/>
      <c r="AZ26" s="719"/>
      <c r="BA26" s="719"/>
    </row>
    <row r="27" spans="1:53">
      <c r="A27" s="718"/>
      <c r="B27" s="718"/>
      <c r="C27" s="719"/>
      <c r="D27" s="719"/>
      <c r="E27" s="719"/>
      <c r="F27" s="719"/>
      <c r="G27" s="719"/>
      <c r="H27" s="719"/>
      <c r="I27" s="719"/>
      <c r="J27" s="719"/>
      <c r="K27" s="719"/>
      <c r="L27" s="719"/>
      <c r="M27" s="719"/>
      <c r="N27" s="719"/>
      <c r="O27" s="719"/>
      <c r="P27" s="719"/>
      <c r="Q27" s="719"/>
      <c r="R27" s="719"/>
      <c r="S27" s="719"/>
      <c r="T27" s="719"/>
      <c r="U27" s="719"/>
      <c r="V27" s="719"/>
      <c r="W27" s="719"/>
      <c r="X27" s="719"/>
      <c r="Y27" s="719"/>
      <c r="Z27" s="719"/>
      <c r="AA27" s="719"/>
      <c r="AB27" s="719"/>
      <c r="AC27" s="719"/>
      <c r="AD27" s="719"/>
      <c r="AE27" s="719"/>
      <c r="AF27" s="719"/>
      <c r="AG27" s="719"/>
      <c r="AH27" s="719"/>
      <c r="AI27" s="719"/>
      <c r="AJ27" s="719"/>
      <c r="AK27" s="719"/>
      <c r="AL27" s="717"/>
      <c r="AM27" s="718"/>
      <c r="AN27" s="718"/>
      <c r="AO27" s="718"/>
      <c r="AP27" s="719"/>
      <c r="AQ27" s="719"/>
      <c r="AR27" s="719"/>
      <c r="AS27" s="719"/>
      <c r="AT27" s="719"/>
      <c r="AU27" s="719"/>
      <c r="AV27" s="719"/>
      <c r="AW27" s="719"/>
      <c r="AX27" s="719"/>
      <c r="AY27" s="719"/>
      <c r="AZ27" s="719"/>
      <c r="BA27" s="719"/>
    </row>
    <row r="28" spans="1:53">
      <c r="A28" s="718"/>
      <c r="B28" s="718"/>
      <c r="C28" s="719"/>
      <c r="D28" s="719"/>
      <c r="E28" s="719"/>
      <c r="F28" s="719"/>
      <c r="G28" s="719"/>
      <c r="H28" s="719"/>
      <c r="I28" s="719"/>
      <c r="J28" s="719"/>
      <c r="K28" s="719"/>
      <c r="L28" s="719"/>
      <c r="M28" s="719"/>
      <c r="N28" s="719"/>
      <c r="O28" s="719"/>
      <c r="P28" s="719"/>
      <c r="Q28" s="719"/>
      <c r="R28" s="719"/>
      <c r="S28" s="719"/>
      <c r="T28" s="719"/>
      <c r="U28" s="719"/>
      <c r="V28" s="719"/>
      <c r="W28" s="719"/>
      <c r="X28" s="719"/>
      <c r="Y28" s="719"/>
      <c r="Z28" s="719"/>
      <c r="AA28" s="719"/>
      <c r="AB28" s="719"/>
      <c r="AC28" s="719"/>
      <c r="AD28" s="719"/>
      <c r="AE28" s="719"/>
      <c r="AF28" s="719"/>
      <c r="AG28" s="719"/>
      <c r="AH28" s="719"/>
      <c r="AI28" s="719"/>
      <c r="AJ28" s="719"/>
      <c r="AK28" s="719"/>
      <c r="AL28" s="717"/>
      <c r="AM28" s="718"/>
      <c r="AN28" s="718"/>
      <c r="AO28" s="718"/>
      <c r="AP28" s="719"/>
      <c r="AQ28" s="719"/>
      <c r="AR28" s="719"/>
      <c r="AS28" s="719"/>
      <c r="AT28" s="719"/>
      <c r="AU28" s="719"/>
      <c r="AV28" s="719"/>
      <c r="AW28" s="719"/>
      <c r="AX28" s="719"/>
      <c r="AY28" s="719"/>
      <c r="AZ28" s="719"/>
      <c r="BA28" s="719"/>
    </row>
    <row r="29" spans="1:53">
      <c r="A29" s="718"/>
      <c r="B29" s="718"/>
      <c r="C29" s="719"/>
      <c r="D29" s="719"/>
      <c r="E29" s="719"/>
      <c r="F29" s="719"/>
      <c r="G29" s="719"/>
      <c r="H29" s="719"/>
      <c r="I29" s="719"/>
      <c r="J29" s="719"/>
      <c r="K29" s="719"/>
      <c r="L29" s="719"/>
      <c r="M29" s="719"/>
      <c r="N29" s="719"/>
      <c r="O29" s="719"/>
      <c r="P29" s="719"/>
      <c r="Q29" s="719"/>
      <c r="R29" s="719"/>
      <c r="S29" s="719"/>
      <c r="T29" s="719"/>
      <c r="U29" s="719"/>
      <c r="V29" s="719"/>
      <c r="W29" s="719"/>
      <c r="X29" s="719"/>
      <c r="Y29" s="719"/>
      <c r="Z29" s="719"/>
      <c r="AA29" s="719"/>
      <c r="AB29" s="719"/>
      <c r="AC29" s="719"/>
      <c r="AD29" s="719"/>
      <c r="AE29" s="719"/>
      <c r="AF29" s="719"/>
      <c r="AG29" s="719"/>
      <c r="AH29" s="719"/>
      <c r="AI29" s="719"/>
      <c r="AJ29" s="719"/>
      <c r="AK29" s="719"/>
      <c r="AL29" s="717"/>
      <c r="AM29" s="718"/>
      <c r="AN29" s="718"/>
      <c r="AO29" s="718"/>
      <c r="AP29" s="719"/>
      <c r="AQ29" s="719"/>
      <c r="AR29" s="719"/>
      <c r="AS29" s="719"/>
      <c r="AT29" s="719"/>
      <c r="AU29" s="719"/>
      <c r="AV29" s="719"/>
      <c r="AW29" s="719"/>
      <c r="AX29" s="719"/>
      <c r="AY29" s="719"/>
      <c r="AZ29" s="719"/>
      <c r="BA29" s="719"/>
    </row>
    <row r="30" spans="1:53">
      <c r="A30" s="718"/>
      <c r="B30" s="718"/>
      <c r="C30" s="719"/>
      <c r="D30" s="719"/>
      <c r="E30" s="719"/>
      <c r="F30" s="719"/>
      <c r="G30" s="719"/>
      <c r="H30" s="719"/>
      <c r="I30" s="719"/>
      <c r="J30" s="719"/>
      <c r="K30" s="719"/>
      <c r="L30" s="719"/>
      <c r="M30" s="719"/>
      <c r="N30" s="719"/>
      <c r="O30" s="719"/>
      <c r="P30" s="719"/>
      <c r="Q30" s="719"/>
      <c r="R30" s="719"/>
      <c r="S30" s="719"/>
      <c r="T30" s="719"/>
      <c r="U30" s="719"/>
      <c r="V30" s="719"/>
      <c r="W30" s="719"/>
      <c r="X30" s="719"/>
      <c r="Y30" s="719"/>
      <c r="Z30" s="719"/>
      <c r="AA30" s="719"/>
      <c r="AB30" s="719"/>
      <c r="AC30" s="719"/>
      <c r="AD30" s="719"/>
      <c r="AE30" s="719"/>
      <c r="AF30" s="719"/>
      <c r="AG30" s="719"/>
      <c r="AH30" s="719"/>
      <c r="AI30" s="719"/>
      <c r="AJ30" s="719"/>
      <c r="AK30" s="719"/>
      <c r="AL30" s="718"/>
      <c r="AM30" s="718"/>
      <c r="AN30" s="718"/>
      <c r="AO30" s="718"/>
      <c r="AP30" s="719"/>
      <c r="AQ30" s="719"/>
      <c r="AR30" s="719"/>
      <c r="AS30" s="719"/>
      <c r="AT30" s="719"/>
      <c r="AU30" s="719"/>
      <c r="AV30" s="719"/>
      <c r="AW30" s="719"/>
      <c r="AX30" s="719"/>
      <c r="AY30" s="719"/>
      <c r="AZ30" s="719"/>
      <c r="BA30" s="719"/>
    </row>
    <row r="31" spans="1:53">
      <c r="A31" s="718"/>
      <c r="B31" s="718"/>
      <c r="C31" s="719"/>
      <c r="D31" s="719"/>
      <c r="E31" s="719"/>
      <c r="F31" s="719"/>
      <c r="G31" s="719"/>
      <c r="H31" s="719"/>
      <c r="I31" s="719"/>
      <c r="J31" s="719"/>
      <c r="K31" s="719"/>
      <c r="L31" s="719"/>
      <c r="M31" s="719"/>
      <c r="N31" s="719"/>
      <c r="O31" s="719"/>
      <c r="P31" s="719"/>
      <c r="Q31" s="719"/>
      <c r="R31" s="719"/>
      <c r="S31" s="719"/>
      <c r="T31" s="719"/>
      <c r="U31" s="719"/>
      <c r="V31" s="719"/>
      <c r="W31" s="719"/>
      <c r="X31" s="719"/>
      <c r="Y31" s="719"/>
      <c r="Z31" s="719"/>
      <c r="AA31" s="719"/>
      <c r="AB31" s="719"/>
      <c r="AC31" s="719"/>
      <c r="AD31" s="719"/>
      <c r="AE31" s="719"/>
      <c r="AF31" s="719"/>
      <c r="AG31" s="719"/>
      <c r="AH31" s="719"/>
      <c r="AI31" s="719"/>
      <c r="AJ31" s="719"/>
      <c r="AK31" s="719"/>
      <c r="AL31" s="718"/>
      <c r="AM31" s="718"/>
      <c r="AN31" s="718"/>
      <c r="AO31" s="718"/>
      <c r="AP31" s="719"/>
      <c r="AQ31" s="719"/>
      <c r="AR31" s="719"/>
      <c r="AS31" s="719"/>
      <c r="AT31" s="719"/>
      <c r="AU31" s="719"/>
      <c r="AV31" s="719"/>
      <c r="AW31" s="719"/>
      <c r="AX31" s="719"/>
      <c r="AY31" s="719"/>
      <c r="AZ31" s="719"/>
      <c r="BA31" s="719"/>
    </row>
    <row r="32" spans="1:53">
      <c r="A32" s="718"/>
      <c r="B32" s="718"/>
      <c r="C32" s="719"/>
      <c r="D32" s="719"/>
      <c r="E32" s="719"/>
      <c r="F32" s="719"/>
      <c r="G32" s="719"/>
      <c r="H32" s="719"/>
      <c r="I32" s="719"/>
      <c r="J32" s="719"/>
      <c r="K32" s="719"/>
      <c r="L32" s="719"/>
      <c r="M32" s="719"/>
      <c r="N32" s="719"/>
      <c r="O32" s="719"/>
      <c r="P32" s="719"/>
      <c r="Q32" s="719"/>
      <c r="R32" s="719"/>
      <c r="S32" s="719"/>
      <c r="T32" s="719"/>
      <c r="U32" s="719"/>
      <c r="V32" s="719"/>
      <c r="W32" s="719"/>
      <c r="X32" s="719"/>
      <c r="Y32" s="719"/>
      <c r="Z32" s="719"/>
      <c r="AA32" s="719"/>
      <c r="AB32" s="719"/>
      <c r="AC32" s="719"/>
      <c r="AD32" s="719"/>
      <c r="AE32" s="719"/>
      <c r="AF32" s="719"/>
      <c r="AG32" s="719"/>
      <c r="AH32" s="719"/>
      <c r="AI32" s="719"/>
      <c r="AJ32" s="719"/>
      <c r="AK32" s="719"/>
      <c r="AL32" s="718"/>
      <c r="AM32" s="718"/>
      <c r="AN32" s="718"/>
      <c r="AO32" s="718"/>
      <c r="AP32" s="719"/>
      <c r="AQ32" s="719"/>
      <c r="AR32" s="719"/>
      <c r="AS32" s="719"/>
      <c r="AT32" s="719"/>
      <c r="AU32" s="719"/>
      <c r="AV32" s="719"/>
      <c r="AW32" s="719"/>
      <c r="AX32" s="719"/>
      <c r="AY32" s="719"/>
      <c r="AZ32" s="719"/>
      <c r="BA32" s="719"/>
    </row>
    <row r="33" spans="1:53">
      <c r="A33" s="718"/>
      <c r="B33" s="718"/>
      <c r="C33" s="719"/>
      <c r="D33" s="719"/>
      <c r="E33" s="719"/>
      <c r="F33" s="719"/>
      <c r="G33" s="719"/>
      <c r="H33" s="719"/>
      <c r="I33" s="719"/>
      <c r="J33" s="719"/>
      <c r="K33" s="719"/>
      <c r="L33" s="719"/>
      <c r="M33" s="719"/>
      <c r="N33" s="719"/>
      <c r="O33" s="719"/>
      <c r="P33" s="719"/>
      <c r="Q33" s="719"/>
      <c r="R33" s="719"/>
      <c r="S33" s="719"/>
      <c r="T33" s="719"/>
      <c r="U33" s="719"/>
      <c r="V33" s="719"/>
      <c r="W33" s="719"/>
      <c r="X33" s="719"/>
      <c r="Y33" s="719"/>
      <c r="Z33" s="719"/>
      <c r="AA33" s="719"/>
      <c r="AB33" s="719"/>
      <c r="AC33" s="719"/>
      <c r="AD33" s="719"/>
      <c r="AE33" s="719"/>
      <c r="AF33" s="719"/>
      <c r="AG33" s="719"/>
      <c r="AH33" s="719"/>
      <c r="AI33" s="719"/>
      <c r="AJ33" s="719"/>
      <c r="AK33" s="719"/>
      <c r="AL33" s="718"/>
      <c r="AM33" s="718"/>
      <c r="AN33" s="718"/>
      <c r="AO33" s="718"/>
      <c r="AP33" s="719"/>
      <c r="AQ33" s="719"/>
      <c r="AR33" s="719"/>
      <c r="AS33" s="719"/>
      <c r="AT33" s="719"/>
      <c r="AU33" s="719"/>
      <c r="AV33" s="719"/>
      <c r="AW33" s="719"/>
      <c r="AX33" s="719"/>
      <c r="AY33" s="719"/>
      <c r="AZ33" s="719"/>
      <c r="BA33" s="719"/>
    </row>
    <row r="34" spans="1:53">
      <c r="A34" s="718"/>
      <c r="B34" s="718"/>
      <c r="C34" s="719"/>
      <c r="D34" s="719"/>
      <c r="E34" s="719"/>
      <c r="F34" s="719"/>
      <c r="G34" s="719"/>
      <c r="H34" s="719"/>
      <c r="I34" s="719"/>
      <c r="J34" s="719"/>
      <c r="K34" s="719"/>
      <c r="L34" s="719"/>
      <c r="M34" s="719"/>
      <c r="N34" s="719"/>
      <c r="O34" s="719"/>
      <c r="P34" s="719"/>
      <c r="Q34" s="719"/>
      <c r="R34" s="719"/>
      <c r="S34" s="719"/>
      <c r="T34" s="719"/>
      <c r="U34" s="719"/>
      <c r="V34" s="719"/>
      <c r="W34" s="719"/>
      <c r="X34" s="719"/>
      <c r="Y34" s="719"/>
      <c r="Z34" s="719"/>
      <c r="AA34" s="719"/>
      <c r="AB34" s="719"/>
      <c r="AC34" s="719"/>
      <c r="AD34" s="719"/>
      <c r="AE34" s="719"/>
      <c r="AF34" s="719"/>
      <c r="AG34" s="719"/>
      <c r="AH34" s="719"/>
      <c r="AI34" s="719"/>
      <c r="AJ34" s="719"/>
      <c r="AK34" s="719"/>
      <c r="AL34" s="718"/>
      <c r="AM34" s="718"/>
      <c r="AN34" s="718"/>
      <c r="AO34" s="718"/>
      <c r="AP34" s="719"/>
      <c r="AQ34" s="719"/>
      <c r="AR34" s="719"/>
      <c r="AS34" s="719"/>
      <c r="AT34" s="719"/>
      <c r="AU34" s="719"/>
      <c r="AV34" s="719"/>
      <c r="AW34" s="719"/>
      <c r="AX34" s="719"/>
      <c r="AY34" s="719"/>
      <c r="AZ34" s="719"/>
      <c r="BA34" s="719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50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50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128" width="2.6328125" style="595" customWidth="1"/>
    <col min="129" max="16384" width="9" style="35"/>
  </cols>
  <sheetData>
    <row r="1" spans="1:72" ht="12" customHeight="1">
      <c r="A1" s="757" t="s">
        <v>4</v>
      </c>
      <c r="B1" s="757"/>
      <c r="C1" s="757"/>
      <c r="D1" s="757"/>
      <c r="E1" s="757"/>
      <c r="F1" s="757"/>
      <c r="G1" s="757"/>
      <c r="H1" s="757"/>
      <c r="I1" s="740" t="s">
        <v>5</v>
      </c>
      <c r="J1" s="740"/>
      <c r="K1" s="740"/>
      <c r="L1" s="740"/>
      <c r="M1" s="755" t="str">
        <f>変更来歴!M1</f>
        <v>ヒロセ電機株式会社</v>
      </c>
      <c r="N1" s="755"/>
      <c r="O1" s="755"/>
      <c r="P1" s="755"/>
      <c r="Q1" s="755"/>
      <c r="R1" s="755"/>
      <c r="S1" s="755"/>
      <c r="T1" s="755"/>
      <c r="U1" s="755"/>
      <c r="V1" s="755"/>
      <c r="W1" s="755"/>
      <c r="X1" s="740" t="s">
        <v>7</v>
      </c>
      <c r="Y1" s="740"/>
      <c r="Z1" s="740"/>
      <c r="AA1" s="759" t="str">
        <f>変更来歴!AA1</f>
        <v>化学物質データ申請</v>
      </c>
      <c r="AB1" s="759"/>
      <c r="AC1" s="759"/>
      <c r="AD1" s="759"/>
      <c r="AE1" s="759"/>
      <c r="AF1" s="759"/>
      <c r="AG1" s="759"/>
      <c r="AH1" s="759"/>
      <c r="AI1" s="759"/>
      <c r="AJ1" s="759"/>
      <c r="AK1" s="744" t="s">
        <v>8</v>
      </c>
      <c r="AL1" s="744"/>
      <c r="AM1" s="744"/>
      <c r="AN1" s="745" t="str">
        <f>変更来歴!AP7</f>
        <v>古竹</v>
      </c>
      <c r="AO1" s="745"/>
      <c r="AP1" s="745"/>
      <c r="AQ1" s="745"/>
      <c r="AR1" s="745"/>
      <c r="AS1" s="744" t="s">
        <v>9</v>
      </c>
      <c r="AT1" s="744"/>
      <c r="AU1" s="744"/>
      <c r="AV1" s="747">
        <f>変更来歴!AL7</f>
        <v>46125</v>
      </c>
      <c r="AW1" s="760"/>
      <c r="AX1" s="760"/>
      <c r="AY1" s="760"/>
      <c r="AZ1" s="736" t="s">
        <v>10</v>
      </c>
      <c r="BA1" s="737"/>
      <c r="BB1" s="737"/>
      <c r="BC1" s="738"/>
    </row>
    <row r="2" spans="1:72">
      <c r="A2" s="739" t="s">
        <v>16</v>
      </c>
      <c r="B2" s="739"/>
      <c r="C2" s="739"/>
      <c r="D2" s="739"/>
      <c r="E2" s="739"/>
      <c r="F2" s="739"/>
      <c r="G2" s="739"/>
      <c r="H2" s="739"/>
      <c r="I2" s="740" t="s">
        <v>11</v>
      </c>
      <c r="J2" s="740"/>
      <c r="K2" s="740"/>
      <c r="L2" s="740"/>
      <c r="M2" s="789" t="str">
        <f>変更来歴!M2</f>
        <v>　</v>
      </c>
      <c r="N2" s="789"/>
      <c r="O2" s="789"/>
      <c r="P2" s="789"/>
      <c r="Q2" s="789"/>
      <c r="R2" s="789"/>
      <c r="S2" s="789"/>
      <c r="T2" s="789"/>
      <c r="U2" s="789"/>
      <c r="V2" s="789"/>
      <c r="W2" s="789"/>
      <c r="X2" s="740"/>
      <c r="Y2" s="740"/>
      <c r="Z2" s="740"/>
      <c r="AA2" s="759"/>
      <c r="AB2" s="759"/>
      <c r="AC2" s="759"/>
      <c r="AD2" s="759"/>
      <c r="AE2" s="759"/>
      <c r="AF2" s="759"/>
      <c r="AG2" s="759"/>
      <c r="AH2" s="759"/>
      <c r="AI2" s="759"/>
      <c r="AJ2" s="759"/>
      <c r="AK2" s="744" t="s">
        <v>12</v>
      </c>
      <c r="AL2" s="744"/>
      <c r="AM2" s="744"/>
      <c r="AN2" s="745" t="str">
        <f ca="1">INDIRECT("変更来歴!AP" &amp; COUNTA(変更来歴!AP7:'変更来歴'!AP39) + 6)</f>
        <v>古竹</v>
      </c>
      <c r="AO2" s="745"/>
      <c r="AP2" s="745"/>
      <c r="AQ2" s="745"/>
      <c r="AR2" s="745"/>
      <c r="AS2" s="744" t="s">
        <v>13</v>
      </c>
      <c r="AT2" s="744"/>
      <c r="AU2" s="744"/>
      <c r="AV2" s="747">
        <f ca="1">INDIRECT("変更来歴!AL" &amp; COUNTA(変更来歴!AL7:'変更来歴'!AL39) + 6)</f>
        <v>46162</v>
      </c>
      <c r="AW2" s="760"/>
      <c r="AX2" s="760"/>
      <c r="AY2" s="760"/>
      <c r="AZ2" s="748" t="str">
        <f>変更来歴!AX2</f>
        <v>IMWF-53</v>
      </c>
      <c r="BA2" s="749"/>
      <c r="BB2" s="749"/>
      <c r="BC2" s="750"/>
    </row>
    <row r="3" spans="1:72" ht="12" customHeight="1">
      <c r="A3" s="754" t="str">
        <f>変更来歴!A3</f>
        <v>画面設計書</v>
      </c>
      <c r="B3" s="754"/>
      <c r="C3" s="754"/>
      <c r="D3" s="754"/>
      <c r="E3" s="754"/>
      <c r="F3" s="754"/>
      <c r="G3" s="754"/>
      <c r="H3" s="754"/>
      <c r="I3" s="740" t="s">
        <v>14</v>
      </c>
      <c r="J3" s="740"/>
      <c r="K3" s="740"/>
      <c r="L3" s="740"/>
      <c r="M3" s="755" t="str">
        <f ca="1">RIGHT(CELL("filename",A1),LEN(CELL("filename",A1))-FIND("]",CELL("filename",A1)))</f>
        <v>化学物質データ申請確認画面</v>
      </c>
      <c r="N3" s="755"/>
      <c r="O3" s="755"/>
      <c r="P3" s="755"/>
      <c r="Q3" s="755"/>
      <c r="R3" s="755"/>
      <c r="S3" s="755"/>
      <c r="T3" s="755"/>
      <c r="U3" s="755"/>
      <c r="V3" s="755"/>
      <c r="W3" s="755"/>
      <c r="X3" s="740" t="s">
        <v>27</v>
      </c>
      <c r="Y3" s="740"/>
      <c r="Z3" s="740"/>
      <c r="AA3" s="756" t="str">
        <f ca="1">MID(CELL("filename"),FIND("]",CELL("filename"))+1,LEN(CELL("filename"))) &amp; "画面"</f>
        <v>画面項目画面</v>
      </c>
      <c r="AB3" s="756"/>
      <c r="AC3" s="756"/>
      <c r="AD3" s="756"/>
      <c r="AE3" s="756"/>
      <c r="AF3" s="756"/>
      <c r="AG3" s="756"/>
      <c r="AH3" s="756"/>
      <c r="AI3" s="756"/>
      <c r="AJ3" s="756"/>
      <c r="AK3" s="756"/>
      <c r="AL3" s="756"/>
      <c r="AM3" s="756"/>
      <c r="AN3" s="756"/>
      <c r="AO3" s="756"/>
      <c r="AP3" s="756"/>
      <c r="AQ3" s="756"/>
      <c r="AR3" s="756"/>
      <c r="AS3" s="744" t="s">
        <v>15</v>
      </c>
      <c r="AT3" s="744"/>
      <c r="AU3" s="744"/>
      <c r="AV3" s="760" t="str">
        <f ca="1">INDIRECT("変更来歴!A" &amp; COUNTA(変更来歴!A7:'変更来歴'!A39) + 6)</f>
        <v>r1.2</v>
      </c>
      <c r="AW3" s="760"/>
      <c r="AX3" s="760"/>
      <c r="AY3" s="760"/>
      <c r="AZ3" s="751"/>
      <c r="BA3" s="752"/>
      <c r="BB3" s="752"/>
      <c r="BC3" s="753"/>
    </row>
    <row r="4" spans="1:72" ht="5.9" customHeight="1"/>
    <row r="5" spans="1:72" ht="13.5" customHeight="1">
      <c r="A5" s="793" t="str">
        <f ca="1">"画面レイアウト"&amp;"("&amp;MID(CELL("filename"),FIND("]",CELL("filename"))+1,LEN(CELL("filename")))&amp;")"</f>
        <v>画面レイアウト(画面項目)</v>
      </c>
      <c r="B5" s="794"/>
      <c r="C5" s="794"/>
      <c r="D5" s="794"/>
      <c r="E5" s="794"/>
      <c r="F5" s="794"/>
      <c r="G5" s="794"/>
      <c r="H5" s="794"/>
      <c r="I5" s="794"/>
      <c r="J5" s="794"/>
      <c r="K5" s="794"/>
      <c r="L5" s="794"/>
      <c r="M5" s="794"/>
      <c r="N5" s="794"/>
      <c r="O5" s="794"/>
      <c r="P5" s="794"/>
      <c r="Q5" s="794"/>
      <c r="R5" s="794"/>
      <c r="S5" s="794"/>
      <c r="T5" s="794"/>
      <c r="U5" s="794"/>
      <c r="V5" s="794"/>
      <c r="W5" s="794"/>
      <c r="X5" s="794"/>
      <c r="Y5" s="794"/>
      <c r="Z5" s="794"/>
      <c r="AA5" s="794"/>
      <c r="AB5" s="794"/>
      <c r="AC5" s="794"/>
      <c r="AD5" s="794"/>
      <c r="AE5" s="794"/>
      <c r="AF5" s="794"/>
      <c r="AG5" s="794"/>
      <c r="AH5" s="794"/>
      <c r="AI5" s="794"/>
      <c r="AJ5" s="794"/>
      <c r="AK5" s="794"/>
      <c r="AL5" s="794"/>
      <c r="AM5" s="794"/>
      <c r="AN5" s="794"/>
      <c r="AO5" s="794"/>
      <c r="AP5" s="794"/>
      <c r="AQ5" s="794"/>
      <c r="AR5" s="794"/>
      <c r="AS5" s="794"/>
      <c r="AT5" s="794"/>
      <c r="AU5" s="794"/>
      <c r="AV5" s="794"/>
      <c r="AW5" s="794"/>
      <c r="AX5" s="794"/>
      <c r="AY5" s="794"/>
      <c r="AZ5" s="794"/>
      <c r="BA5" s="795"/>
      <c r="BB5" s="790" t="s">
        <v>24</v>
      </c>
      <c r="BC5" s="791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40"/>
      <c r="B7" s="589"/>
      <c r="C7" s="594" t="s">
        <v>400</v>
      </c>
      <c r="D7" s="590"/>
      <c r="E7" s="591"/>
      <c r="F7" s="591"/>
      <c r="G7" s="591"/>
      <c r="H7" s="585"/>
      <c r="I7" s="585"/>
      <c r="J7" s="812"/>
      <c r="K7" s="812"/>
      <c r="L7" s="812"/>
      <c r="M7" s="812"/>
      <c r="N7" s="588"/>
      <c r="O7" s="587"/>
      <c r="P7" s="588"/>
      <c r="Q7" s="585"/>
      <c r="R7" s="585"/>
      <c r="S7" s="585"/>
      <c r="T7" s="586"/>
      <c r="U7" s="586"/>
      <c r="V7" s="586"/>
      <c r="W7" s="586"/>
      <c r="X7" s="586"/>
      <c r="Y7" s="587"/>
      <c r="Z7" s="586"/>
      <c r="AA7" s="585"/>
      <c r="AB7" s="587"/>
      <c r="AC7" s="586"/>
      <c r="AD7" s="585"/>
      <c r="AE7" s="587"/>
      <c r="AF7" s="585"/>
      <c r="AG7" s="585"/>
      <c r="AH7" s="587"/>
      <c r="AI7" s="585"/>
      <c r="AJ7" s="585"/>
      <c r="AK7" s="592"/>
      <c r="AL7" s="585"/>
      <c r="AM7" s="585"/>
      <c r="AN7" s="585"/>
      <c r="AO7" s="585"/>
      <c r="AP7" s="585"/>
      <c r="AQ7" s="585"/>
      <c r="AR7" s="585"/>
      <c r="AS7" s="585"/>
      <c r="AT7" s="591"/>
      <c r="AU7" s="591"/>
      <c r="AV7" s="591"/>
      <c r="AW7" s="591"/>
      <c r="AX7" s="591"/>
      <c r="AY7" s="591"/>
      <c r="AZ7" s="593"/>
      <c r="BA7" s="569"/>
      <c r="BB7" s="551"/>
      <c r="BC7" s="552"/>
      <c r="BD7" s="538"/>
      <c r="BE7" s="576"/>
      <c r="BF7" s="763" t="s">
        <v>300</v>
      </c>
      <c r="BG7" s="764"/>
      <c r="BH7" s="765"/>
      <c r="BI7" s="596"/>
      <c r="BJ7" s="596"/>
      <c r="BK7" s="596"/>
      <c r="BL7" s="596"/>
      <c r="BM7" s="597"/>
      <c r="BN7" s="597"/>
      <c r="BO7" s="597"/>
      <c r="BP7" s="597"/>
      <c r="BQ7" s="597"/>
      <c r="BR7" s="597"/>
      <c r="BS7" s="596"/>
      <c r="BT7" s="596"/>
    </row>
    <row r="8" spans="1:72" ht="12.5" customHeight="1">
      <c r="A8" s="540"/>
      <c r="B8" s="566"/>
      <c r="C8" s="575"/>
      <c r="D8" s="576"/>
      <c r="E8" s="568"/>
      <c r="F8" s="568"/>
      <c r="G8" s="568"/>
      <c r="H8" s="579"/>
      <c r="I8" s="579"/>
      <c r="J8" s="579"/>
      <c r="K8" s="579"/>
      <c r="L8" s="579"/>
      <c r="M8" s="579"/>
      <c r="N8" s="579"/>
      <c r="O8" s="579"/>
      <c r="P8" s="579"/>
      <c r="Q8" s="579"/>
      <c r="R8" s="579"/>
      <c r="S8" s="579"/>
      <c r="T8" s="579"/>
      <c r="U8" s="579"/>
      <c r="V8" s="579"/>
      <c r="W8" s="579"/>
      <c r="X8" s="579"/>
      <c r="Y8" s="579"/>
      <c r="Z8" s="579"/>
      <c r="AA8" s="579"/>
      <c r="AB8" s="579"/>
      <c r="AC8" s="579"/>
      <c r="AD8" s="579"/>
      <c r="AE8" s="579"/>
      <c r="AF8" s="579"/>
      <c r="AG8" s="579"/>
      <c r="AH8" s="579"/>
      <c r="AI8" s="579"/>
      <c r="AJ8" s="579"/>
      <c r="AK8" s="579"/>
      <c r="AL8" s="579"/>
      <c r="AM8" s="579"/>
      <c r="AN8" s="579"/>
      <c r="AO8" s="579"/>
      <c r="AP8" s="579"/>
      <c r="AQ8" s="579"/>
      <c r="AR8" s="579"/>
      <c r="AS8" s="581"/>
      <c r="AT8" s="577"/>
      <c r="AU8" s="577"/>
      <c r="AV8" s="577"/>
      <c r="AW8" s="577"/>
      <c r="AX8" s="577"/>
      <c r="AY8" s="577"/>
      <c r="AZ8" s="569"/>
      <c r="BA8" s="569"/>
      <c r="BB8" s="551"/>
      <c r="BC8" s="552"/>
      <c r="BD8" s="538"/>
      <c r="BE8" s="596"/>
      <c r="BF8" s="697" t="s">
        <v>429</v>
      </c>
      <c r="BG8" s="698"/>
      <c r="BH8" s="699"/>
      <c r="BI8" s="699"/>
      <c r="BJ8" s="699"/>
      <c r="BK8" s="699"/>
      <c r="BL8" s="699"/>
      <c r="BM8" s="700"/>
      <c r="BN8" s="700"/>
      <c r="BO8" s="700"/>
      <c r="BP8" s="700"/>
      <c r="BQ8" s="700"/>
      <c r="BR8" s="700"/>
      <c r="BS8" s="700"/>
      <c r="BT8" s="701"/>
    </row>
    <row r="9" spans="1:72" ht="24" customHeight="1">
      <c r="A9" s="540"/>
      <c r="B9" s="632"/>
      <c r="C9" s="559"/>
      <c r="D9" s="559"/>
      <c r="E9" s="559"/>
      <c r="F9" s="559"/>
      <c r="G9" s="559"/>
      <c r="H9" s="559"/>
      <c r="I9" s="559"/>
      <c r="J9" s="559"/>
      <c r="K9" s="559"/>
      <c r="L9" s="559"/>
      <c r="M9" s="559"/>
      <c r="N9" s="559"/>
      <c r="O9" s="559"/>
      <c r="P9" s="559"/>
      <c r="Q9" s="559"/>
      <c r="R9" s="559"/>
      <c r="S9" s="559"/>
      <c r="T9" s="560"/>
      <c r="U9" s="560"/>
      <c r="V9" s="560"/>
      <c r="W9" s="666" t="s">
        <v>444</v>
      </c>
      <c r="X9" s="558"/>
      <c r="Y9" s="558"/>
      <c r="Z9" s="560"/>
      <c r="AA9" s="560"/>
      <c r="AB9" s="562"/>
      <c r="AC9" s="560"/>
      <c r="AD9" s="563"/>
      <c r="AE9" s="563"/>
      <c r="AF9" s="563"/>
      <c r="AG9" s="563"/>
      <c r="AH9" s="563"/>
      <c r="AI9" s="559"/>
      <c r="AJ9" s="560"/>
      <c r="AK9" s="560"/>
      <c r="AL9" s="560"/>
      <c r="AM9" s="560"/>
      <c r="AN9" s="564"/>
      <c r="AO9" s="561"/>
      <c r="AP9" s="561"/>
      <c r="AQ9" s="560"/>
      <c r="AR9" s="560"/>
      <c r="AS9" s="560"/>
      <c r="AT9" s="627"/>
      <c r="AU9" s="628"/>
      <c r="AV9" s="629"/>
      <c r="AW9" s="629"/>
      <c r="AX9" s="629"/>
      <c r="AY9" s="630"/>
      <c r="AZ9" s="631"/>
      <c r="BA9" s="543"/>
      <c r="BB9" s="536"/>
      <c r="BC9" s="537"/>
      <c r="BD9" s="538"/>
      <c r="BE9" s="576"/>
      <c r="BF9" s="702"/>
      <c r="BG9" s="576" t="s">
        <v>430</v>
      </c>
      <c r="BH9" s="576"/>
      <c r="BI9" s="576"/>
      <c r="BJ9" s="597"/>
      <c r="BK9" s="597"/>
      <c r="BL9" s="597"/>
      <c r="BM9" s="596"/>
      <c r="BN9" s="596"/>
      <c r="BO9" s="596"/>
      <c r="BP9" s="596"/>
      <c r="BQ9" s="596"/>
      <c r="BR9" s="596"/>
      <c r="BS9" s="596"/>
      <c r="BT9" s="703"/>
    </row>
    <row r="10" spans="1:72" ht="12" customHeight="1">
      <c r="A10" s="540"/>
      <c r="B10" s="548"/>
      <c r="C10" s="805" t="s">
        <v>443</v>
      </c>
      <c r="D10" s="806"/>
      <c r="E10" s="806"/>
      <c r="F10" s="806"/>
      <c r="G10" s="806"/>
      <c r="H10" s="806"/>
      <c r="I10" s="806"/>
      <c r="J10" s="544"/>
      <c r="K10" s="545"/>
      <c r="L10" s="544"/>
      <c r="M10" s="550"/>
      <c r="N10" s="550"/>
      <c r="O10" s="547"/>
      <c r="P10" s="550"/>
      <c r="Q10" s="547"/>
      <c r="R10" s="550"/>
      <c r="S10" s="539"/>
      <c r="T10" s="538"/>
      <c r="U10" s="538"/>
      <c r="V10" s="538"/>
      <c r="W10" s="538"/>
      <c r="X10" s="538"/>
      <c r="Y10" s="549"/>
      <c r="Z10" s="545"/>
      <c r="AA10" s="544"/>
      <c r="AB10" s="545"/>
      <c r="AC10" s="544"/>
      <c r="AD10" s="550"/>
      <c r="AE10" s="550"/>
      <c r="AF10" s="547"/>
      <c r="AG10" s="550"/>
      <c r="AH10" s="550"/>
      <c r="AI10" s="546"/>
      <c r="AJ10" s="550"/>
      <c r="AK10" s="547"/>
      <c r="AL10" s="538"/>
      <c r="AM10" s="538"/>
      <c r="AN10" s="538"/>
      <c r="AO10" s="538"/>
      <c r="AP10" s="538"/>
      <c r="AQ10" s="538"/>
      <c r="AR10" s="538"/>
      <c r="AS10" s="544"/>
      <c r="AT10" s="546"/>
      <c r="AU10" s="544"/>
      <c r="AV10" s="547"/>
      <c r="AW10" s="547"/>
      <c r="AX10" s="547"/>
      <c r="AY10" s="542"/>
      <c r="AZ10" s="543"/>
      <c r="BA10" s="543"/>
      <c r="BB10" s="536"/>
      <c r="BC10" s="537"/>
      <c r="BD10" s="538"/>
      <c r="BE10" s="596"/>
      <c r="BF10" s="704"/>
      <c r="BG10" s="576"/>
      <c r="BH10" s="576" t="s">
        <v>445</v>
      </c>
      <c r="BI10" s="705"/>
      <c r="BJ10" s="597"/>
      <c r="BK10" s="597"/>
      <c r="BL10" s="597"/>
      <c r="BM10" s="596"/>
      <c r="BN10" s="596"/>
      <c r="BO10" s="596"/>
      <c r="BP10" s="596"/>
      <c r="BQ10" s="596"/>
      <c r="BR10" s="596"/>
      <c r="BS10" s="596"/>
      <c r="BT10" s="703"/>
    </row>
    <row r="11" spans="1:72" ht="12.5" customHeight="1">
      <c r="A11" s="540"/>
      <c r="B11" s="541"/>
      <c r="C11" s="807"/>
      <c r="D11" s="807"/>
      <c r="E11" s="807"/>
      <c r="F11" s="807"/>
      <c r="G11" s="807"/>
      <c r="H11" s="807"/>
      <c r="I11" s="807"/>
      <c r="J11" s="544"/>
      <c r="K11" s="545"/>
      <c r="L11" s="544"/>
      <c r="M11" s="550"/>
      <c r="N11" s="550"/>
      <c r="O11" s="547"/>
      <c r="P11" s="550"/>
      <c r="Q11" s="547"/>
      <c r="R11" s="550"/>
      <c r="S11" s="539"/>
      <c r="T11" s="538"/>
      <c r="U11" s="538"/>
      <c r="V11" s="538"/>
      <c r="W11" s="538"/>
      <c r="X11" s="538"/>
      <c r="Y11" s="549"/>
      <c r="Z11" s="545"/>
      <c r="AA11" s="544"/>
      <c r="AB11" s="545"/>
      <c r="AC11" s="544"/>
      <c r="AD11" s="550"/>
      <c r="AE11" s="550"/>
      <c r="AF11" s="547"/>
      <c r="AG11" s="550"/>
      <c r="AH11" s="550"/>
      <c r="AI11" s="546"/>
      <c r="AJ11" s="550"/>
      <c r="AK11" s="547"/>
      <c r="AL11" s="538"/>
      <c r="AM11" s="538"/>
      <c r="AN11" s="538"/>
      <c r="AO11" s="538"/>
      <c r="AP11" s="538"/>
      <c r="AQ11" s="538"/>
      <c r="AR11" s="538"/>
      <c r="AS11" s="544"/>
      <c r="AT11" s="546"/>
      <c r="AU11" s="544"/>
      <c r="AV11" s="547"/>
      <c r="AW11" s="547"/>
      <c r="AX11" s="547"/>
      <c r="AY11" s="542"/>
      <c r="AZ11" s="543"/>
      <c r="BA11" s="543"/>
      <c r="BB11" s="536"/>
      <c r="BC11" s="537"/>
      <c r="BD11" s="538"/>
      <c r="BE11" s="596"/>
      <c r="BF11" s="704"/>
      <c r="BG11" s="576"/>
      <c r="BH11" s="576" t="s">
        <v>446</v>
      </c>
      <c r="BI11" s="705"/>
      <c r="BJ11" s="576"/>
      <c r="BK11" s="597"/>
      <c r="BL11" s="597"/>
      <c r="BM11" s="596"/>
      <c r="BN11" s="596"/>
      <c r="BO11" s="596"/>
      <c r="BP11" s="596"/>
      <c r="BQ11" s="596"/>
      <c r="BR11" s="596"/>
      <c r="BS11" s="596"/>
      <c r="BT11" s="703"/>
    </row>
    <row r="12" spans="1:72" ht="12.5" customHeight="1">
      <c r="A12" s="540"/>
      <c r="B12" s="566"/>
      <c r="C12" s="572"/>
      <c r="D12" s="568"/>
      <c r="E12" s="568"/>
      <c r="F12" s="565"/>
      <c r="G12" s="565"/>
      <c r="H12" s="579"/>
      <c r="I12" s="579"/>
      <c r="J12" s="579"/>
      <c r="K12" s="579"/>
      <c r="L12" s="579"/>
      <c r="M12" s="579"/>
      <c r="N12" s="579"/>
      <c r="O12" s="579"/>
      <c r="P12" s="579"/>
      <c r="Q12" s="579"/>
      <c r="R12" s="579"/>
      <c r="S12" s="579"/>
      <c r="T12" s="579"/>
      <c r="U12" s="579"/>
      <c r="V12" s="579"/>
      <c r="W12" s="579"/>
      <c r="X12" s="579"/>
      <c r="Y12" s="579"/>
      <c r="Z12" s="579"/>
      <c r="AA12" s="579"/>
      <c r="AB12" s="579"/>
      <c r="AC12" s="579"/>
      <c r="AD12" s="579"/>
      <c r="AE12" s="579"/>
      <c r="AF12" s="579"/>
      <c r="AG12" s="579"/>
      <c r="AH12" s="579"/>
      <c r="AI12" s="579"/>
      <c r="AJ12" s="579"/>
      <c r="AK12" s="579"/>
      <c r="AL12" s="579"/>
      <c r="AM12" s="579"/>
      <c r="AN12" s="579"/>
      <c r="AO12" s="579"/>
      <c r="AP12" s="579"/>
      <c r="AQ12" s="579"/>
      <c r="AR12" s="579"/>
      <c r="AS12" s="580"/>
      <c r="AT12" s="571"/>
      <c r="AU12" s="565"/>
      <c r="AV12" s="568"/>
      <c r="AW12" s="568"/>
      <c r="AX12" s="568"/>
      <c r="AY12" s="565"/>
      <c r="AZ12" s="569"/>
      <c r="BA12" s="569"/>
      <c r="BB12" s="536"/>
      <c r="BC12" s="537"/>
      <c r="BD12" s="538"/>
      <c r="BE12" s="596"/>
      <c r="BF12" s="706"/>
      <c r="BG12" s="596"/>
      <c r="BH12" s="598"/>
      <c r="BI12" s="596"/>
      <c r="BJ12" s="596"/>
      <c r="BK12" s="596"/>
      <c r="BL12" s="596"/>
      <c r="BM12" s="596"/>
      <c r="BN12" s="596"/>
      <c r="BO12" s="596"/>
      <c r="BP12" s="596"/>
      <c r="BQ12" s="596"/>
      <c r="BR12" s="596"/>
      <c r="BS12" s="596"/>
      <c r="BT12" s="703"/>
    </row>
    <row r="13" spans="1:72" ht="12.5" customHeight="1">
      <c r="A13" s="540"/>
      <c r="B13" s="566"/>
      <c r="C13" s="808" t="s">
        <v>463</v>
      </c>
      <c r="D13" s="809"/>
      <c r="E13" s="809"/>
      <c r="F13" s="809"/>
      <c r="G13" s="809"/>
      <c r="H13" s="809"/>
      <c r="I13" s="809"/>
      <c r="J13" s="809"/>
      <c r="K13" s="809"/>
      <c r="L13" s="809"/>
      <c r="M13" s="809"/>
      <c r="N13" s="809"/>
      <c r="O13" s="809"/>
      <c r="P13" s="809"/>
      <c r="Q13" s="809"/>
      <c r="R13" s="809"/>
      <c r="S13" s="809"/>
      <c r="T13" s="809"/>
      <c r="U13" s="809"/>
      <c r="V13" s="809"/>
      <c r="W13" s="809"/>
      <c r="X13" s="809"/>
      <c r="Y13" s="809"/>
      <c r="Z13" s="809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569"/>
      <c r="BA13" s="569"/>
      <c r="BB13" s="536"/>
      <c r="BC13" s="537"/>
      <c r="BD13" s="538"/>
      <c r="BE13" s="598"/>
      <c r="BF13" s="704"/>
      <c r="BG13" s="596"/>
      <c r="BH13" s="596"/>
      <c r="BI13" s="596"/>
      <c r="BJ13" s="596"/>
      <c r="BK13" s="596"/>
      <c r="BL13" s="596"/>
      <c r="BM13" s="596"/>
      <c r="BN13" s="596"/>
      <c r="BO13" s="596"/>
      <c r="BP13" s="596"/>
      <c r="BQ13" s="596"/>
      <c r="BR13" s="596"/>
      <c r="BS13" s="596"/>
      <c r="BT13" s="703"/>
    </row>
    <row r="14" spans="1:72" ht="12.5" customHeight="1">
      <c r="A14" s="540"/>
      <c r="B14" s="566"/>
      <c r="C14" s="809"/>
      <c r="D14" s="809"/>
      <c r="E14" s="809"/>
      <c r="F14" s="809"/>
      <c r="G14" s="809"/>
      <c r="H14" s="809"/>
      <c r="I14" s="809"/>
      <c r="J14" s="809"/>
      <c r="K14" s="809"/>
      <c r="L14" s="809"/>
      <c r="M14" s="809"/>
      <c r="N14" s="809"/>
      <c r="O14" s="809"/>
      <c r="P14" s="809"/>
      <c r="Q14" s="809"/>
      <c r="R14" s="809"/>
      <c r="S14" s="809"/>
      <c r="T14" s="809"/>
      <c r="U14" s="809"/>
      <c r="V14" s="809"/>
      <c r="W14" s="809"/>
      <c r="X14" s="809"/>
      <c r="Y14" s="809"/>
      <c r="Z14" s="809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569"/>
      <c r="BA14" s="569"/>
      <c r="BB14" s="536"/>
      <c r="BC14" s="537"/>
      <c r="BD14" s="538"/>
      <c r="BE14" s="596"/>
      <c r="BF14" s="706"/>
      <c r="BG14" s="576"/>
      <c r="BH14" s="576"/>
      <c r="BI14" s="596"/>
      <c r="BJ14" s="596"/>
      <c r="BK14" s="596"/>
      <c r="BL14" s="596"/>
      <c r="BM14" s="596"/>
      <c r="BN14" s="596"/>
      <c r="BO14" s="596"/>
      <c r="BP14" s="596"/>
      <c r="BQ14" s="596"/>
      <c r="BR14" s="596"/>
      <c r="BS14" s="596"/>
      <c r="BT14" s="703"/>
    </row>
    <row r="15" spans="1:72" ht="12.5" customHeight="1">
      <c r="A15" s="540"/>
      <c r="B15" s="566"/>
      <c r="C15" s="809"/>
      <c r="D15" s="809"/>
      <c r="E15" s="809"/>
      <c r="F15" s="809"/>
      <c r="G15" s="809"/>
      <c r="H15" s="809"/>
      <c r="I15" s="809"/>
      <c r="J15" s="809"/>
      <c r="K15" s="809"/>
      <c r="L15" s="809"/>
      <c r="M15" s="809"/>
      <c r="N15" s="809"/>
      <c r="O15" s="809"/>
      <c r="P15" s="809"/>
      <c r="Q15" s="809"/>
      <c r="R15" s="809"/>
      <c r="S15" s="809"/>
      <c r="T15" s="809"/>
      <c r="U15" s="809"/>
      <c r="V15" s="809"/>
      <c r="W15" s="809"/>
      <c r="X15" s="809"/>
      <c r="Y15" s="809"/>
      <c r="Z15" s="809"/>
      <c r="AA15" s="809"/>
      <c r="AB15" s="809"/>
      <c r="AC15" s="809"/>
      <c r="AD15" s="809"/>
      <c r="AE15" s="809"/>
      <c r="AF15" s="809"/>
      <c r="AG15" s="809"/>
      <c r="AH15" s="809"/>
      <c r="AI15" s="809"/>
      <c r="AJ15" s="809"/>
      <c r="AK15" s="809"/>
      <c r="AL15" s="809"/>
      <c r="AM15" s="809"/>
      <c r="AN15" s="809"/>
      <c r="AO15" s="809"/>
      <c r="AP15" s="809"/>
      <c r="AQ15" s="809"/>
      <c r="AR15" s="809"/>
      <c r="AS15" s="809"/>
      <c r="AT15" s="809"/>
      <c r="AU15" s="809"/>
      <c r="AV15" s="809"/>
      <c r="AW15" s="809"/>
      <c r="AX15" s="809"/>
      <c r="AY15" s="809"/>
      <c r="AZ15" s="569"/>
      <c r="BA15" s="569"/>
      <c r="BB15" s="536"/>
      <c r="BC15" s="537"/>
      <c r="BD15" s="538"/>
      <c r="BE15" s="596"/>
      <c r="BF15" s="706"/>
      <c r="BG15" s="576"/>
      <c r="BH15" s="576"/>
      <c r="BI15" s="596"/>
      <c r="BJ15" s="596"/>
      <c r="BK15" s="596"/>
      <c r="BL15" s="596"/>
      <c r="BM15" s="596"/>
      <c r="BN15" s="596"/>
      <c r="BO15" s="596"/>
      <c r="BP15" s="596"/>
      <c r="BQ15" s="596"/>
      <c r="BR15" s="596"/>
      <c r="BS15" s="596"/>
      <c r="BT15" s="703"/>
    </row>
    <row r="16" spans="1:72" ht="12.5" customHeight="1">
      <c r="A16" s="540"/>
      <c r="B16" s="566"/>
      <c r="C16" s="572"/>
      <c r="D16" s="568"/>
      <c r="E16" s="568"/>
      <c r="F16" s="565"/>
      <c r="G16" s="565"/>
      <c r="H16" s="579"/>
      <c r="I16" s="579"/>
      <c r="J16" s="579"/>
      <c r="K16" s="579"/>
      <c r="L16" s="579"/>
      <c r="M16" s="579"/>
      <c r="N16" s="579"/>
      <c r="O16" s="579"/>
      <c r="P16" s="579"/>
      <c r="Q16" s="579"/>
      <c r="R16" s="579"/>
      <c r="S16" s="579"/>
      <c r="T16" s="579"/>
      <c r="U16" s="579"/>
      <c r="V16" s="579"/>
      <c r="W16" s="579"/>
      <c r="X16" s="579"/>
      <c r="Y16" s="579"/>
      <c r="Z16" s="579"/>
      <c r="AA16" s="579"/>
      <c r="AB16" s="579"/>
      <c r="AC16" s="579"/>
      <c r="AD16" s="579"/>
      <c r="AE16" s="579"/>
      <c r="AF16" s="579"/>
      <c r="AG16" s="579"/>
      <c r="AH16" s="579"/>
      <c r="AI16" s="579"/>
      <c r="AJ16" s="579"/>
      <c r="AK16" s="579"/>
      <c r="AL16" s="579"/>
      <c r="AM16" s="579"/>
      <c r="AN16" s="579"/>
      <c r="AO16" s="579"/>
      <c r="AP16" s="579"/>
      <c r="AQ16" s="579"/>
      <c r="AR16" s="579"/>
      <c r="AS16" s="580"/>
      <c r="AT16" s="571"/>
      <c r="AU16" s="565"/>
      <c r="AV16" s="568"/>
      <c r="AW16" s="568"/>
      <c r="AX16" s="568"/>
      <c r="AY16" s="565"/>
      <c r="AZ16" s="569"/>
      <c r="BA16" s="569"/>
      <c r="BB16" s="536"/>
      <c r="BC16" s="537"/>
      <c r="BD16" s="538"/>
      <c r="BE16" s="596"/>
      <c r="BF16" s="707"/>
      <c r="BG16" s="708"/>
      <c r="BH16" s="708"/>
      <c r="BI16" s="709"/>
      <c r="BJ16" s="709"/>
      <c r="BK16" s="709"/>
      <c r="BL16" s="709"/>
      <c r="BM16" s="709"/>
      <c r="BN16" s="709"/>
      <c r="BO16" s="709"/>
      <c r="BP16" s="709"/>
      <c r="BQ16" s="709"/>
      <c r="BR16" s="709"/>
      <c r="BS16" s="709"/>
      <c r="BT16" s="710"/>
    </row>
    <row r="17" spans="1:72" ht="12.5" customHeight="1">
      <c r="A17" s="540"/>
      <c r="B17" s="566"/>
      <c r="C17" s="565"/>
      <c r="D17" s="568"/>
      <c r="E17" s="770" t="s">
        <v>450</v>
      </c>
      <c r="F17" s="771"/>
      <c r="G17" s="771"/>
      <c r="H17" s="771"/>
      <c r="I17" s="771"/>
      <c r="J17" s="771"/>
      <c r="K17" s="771"/>
      <c r="L17" s="771"/>
      <c r="M17" s="771"/>
      <c r="N17" s="771"/>
      <c r="O17" s="772"/>
      <c r="P17" s="770" t="s">
        <v>451</v>
      </c>
      <c r="Q17" s="771"/>
      <c r="R17" s="771"/>
      <c r="S17" s="771"/>
      <c r="T17" s="771"/>
      <c r="U17" s="771"/>
      <c r="V17" s="771"/>
      <c r="W17" s="771"/>
      <c r="X17" s="771"/>
      <c r="Y17" s="771"/>
      <c r="Z17" s="771"/>
      <c r="AA17" s="772"/>
      <c r="AB17" s="770" t="s">
        <v>452</v>
      </c>
      <c r="AC17" s="771"/>
      <c r="AD17" s="771"/>
      <c r="AE17" s="771"/>
      <c r="AF17" s="771"/>
      <c r="AG17" s="771"/>
      <c r="AH17" s="771"/>
      <c r="AI17" s="771"/>
      <c r="AJ17" s="771"/>
      <c r="AK17" s="771"/>
      <c r="AL17" s="771"/>
      <c r="AM17" s="771"/>
      <c r="AN17" s="771"/>
      <c r="AO17" s="771"/>
      <c r="AP17" s="771"/>
      <c r="AQ17" s="771"/>
      <c r="AR17" s="771"/>
      <c r="AS17" s="771"/>
      <c r="AT17" s="771"/>
      <c r="AU17" s="771"/>
      <c r="AV17" s="771"/>
      <c r="AW17" s="772"/>
      <c r="AX17" s="568"/>
      <c r="AY17" s="565"/>
      <c r="AZ17" s="569"/>
      <c r="BA17" s="569"/>
      <c r="BB17" s="536"/>
      <c r="BC17" s="537"/>
      <c r="BD17" s="538"/>
      <c r="BE17" s="596"/>
      <c r="BF17" s="596"/>
      <c r="BG17" s="596"/>
      <c r="BH17" s="596"/>
      <c r="BI17" s="596"/>
      <c r="BJ17" s="596"/>
      <c r="BK17" s="596"/>
      <c r="BL17" s="596"/>
      <c r="BM17" s="596"/>
      <c r="BN17" s="596"/>
      <c r="BO17" s="596"/>
      <c r="BP17" s="596"/>
      <c r="BQ17" s="596"/>
      <c r="BR17" s="596"/>
      <c r="BS17" s="596"/>
      <c r="BT17" s="596"/>
    </row>
    <row r="18" spans="1:72" ht="21" customHeight="1">
      <c r="A18" s="540"/>
      <c r="B18" s="566"/>
      <c r="C18" s="565"/>
      <c r="D18" s="565"/>
      <c r="E18" s="766" t="s">
        <v>453</v>
      </c>
      <c r="F18" s="767"/>
      <c r="G18" s="767"/>
      <c r="H18" s="767"/>
      <c r="I18" s="767"/>
      <c r="J18" s="767"/>
      <c r="K18" s="767"/>
      <c r="L18" s="767"/>
      <c r="M18" s="767"/>
      <c r="N18" s="767"/>
      <c r="O18" s="768"/>
      <c r="P18" s="766" t="s">
        <v>634</v>
      </c>
      <c r="Q18" s="767"/>
      <c r="R18" s="767"/>
      <c r="S18" s="767"/>
      <c r="T18" s="767"/>
      <c r="U18" s="767"/>
      <c r="V18" s="767"/>
      <c r="W18" s="767"/>
      <c r="X18" s="767"/>
      <c r="Y18" s="767"/>
      <c r="Z18" s="767"/>
      <c r="AA18" s="768"/>
      <c r="AB18" s="766" t="s">
        <v>454</v>
      </c>
      <c r="AC18" s="767"/>
      <c r="AD18" s="767"/>
      <c r="AE18" s="767"/>
      <c r="AF18" s="767"/>
      <c r="AG18" s="767"/>
      <c r="AH18" s="767"/>
      <c r="AI18" s="767"/>
      <c r="AJ18" s="767"/>
      <c r="AK18" s="767"/>
      <c r="AL18" s="767"/>
      <c r="AM18" s="767"/>
      <c r="AN18" s="767"/>
      <c r="AO18" s="767"/>
      <c r="AP18" s="767"/>
      <c r="AQ18" s="767"/>
      <c r="AR18" s="767"/>
      <c r="AS18" s="767"/>
      <c r="AT18" s="767"/>
      <c r="AU18" s="767"/>
      <c r="AV18" s="767"/>
      <c r="AW18" s="768"/>
      <c r="AX18" s="568"/>
      <c r="AY18" s="565"/>
      <c r="AZ18" s="569"/>
      <c r="BA18" s="569"/>
      <c r="BB18" s="536"/>
      <c r="BC18" s="537"/>
      <c r="BD18" s="538"/>
      <c r="BE18" s="596"/>
      <c r="BF18" s="596"/>
      <c r="BG18" s="596"/>
      <c r="BH18" s="596"/>
      <c r="BI18" s="596"/>
      <c r="BJ18" s="596"/>
      <c r="BK18" s="596"/>
      <c r="BL18" s="596"/>
      <c r="BM18" s="596"/>
      <c r="BN18" s="596"/>
      <c r="BO18" s="596"/>
      <c r="BP18" s="596"/>
      <c r="BQ18" s="596"/>
      <c r="BR18" s="596"/>
      <c r="BS18" s="596"/>
      <c r="BT18" s="596"/>
    </row>
    <row r="19" spans="1:72" ht="33.5" customHeight="1">
      <c r="A19" s="540"/>
      <c r="B19" s="566"/>
      <c r="C19" s="565"/>
      <c r="D19" s="565"/>
      <c r="E19" s="766" t="s">
        <v>425</v>
      </c>
      <c r="F19" s="767"/>
      <c r="G19" s="767"/>
      <c r="H19" s="767"/>
      <c r="I19" s="767"/>
      <c r="J19" s="767"/>
      <c r="K19" s="767"/>
      <c r="L19" s="767"/>
      <c r="M19" s="767"/>
      <c r="N19" s="767"/>
      <c r="O19" s="768"/>
      <c r="P19" s="773" t="s">
        <v>455</v>
      </c>
      <c r="Q19" s="774"/>
      <c r="R19" s="774"/>
      <c r="S19" s="774"/>
      <c r="T19" s="774"/>
      <c r="U19" s="774"/>
      <c r="V19" s="774"/>
      <c r="W19" s="774"/>
      <c r="X19" s="774"/>
      <c r="Y19" s="774"/>
      <c r="Z19" s="774"/>
      <c r="AA19" s="775"/>
      <c r="AB19" s="773" t="s">
        <v>456</v>
      </c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5"/>
      <c r="AX19" s="568"/>
      <c r="AY19" s="565"/>
      <c r="AZ19" s="569"/>
      <c r="BA19" s="569"/>
      <c r="BB19" s="536"/>
      <c r="BC19" s="537"/>
      <c r="BD19" s="538"/>
      <c r="BE19" s="596"/>
      <c r="BF19" s="596"/>
      <c r="BG19" s="596"/>
      <c r="BH19" s="596"/>
      <c r="BI19" s="596"/>
      <c r="BJ19" s="596"/>
      <c r="BK19" s="596"/>
      <c r="BL19" s="596"/>
      <c r="BM19" s="596"/>
      <c r="BN19" s="596"/>
      <c r="BO19" s="596"/>
      <c r="BP19" s="596"/>
      <c r="BQ19" s="596"/>
      <c r="BR19" s="596"/>
      <c r="BS19" s="596"/>
      <c r="BT19" s="596"/>
    </row>
    <row r="20" spans="1:72" ht="27.5" customHeight="1">
      <c r="A20" s="540"/>
      <c r="B20" s="566"/>
      <c r="C20" s="565"/>
      <c r="D20" s="565"/>
      <c r="E20" s="773" t="s">
        <v>457</v>
      </c>
      <c r="F20" s="774"/>
      <c r="G20" s="774"/>
      <c r="H20" s="774"/>
      <c r="I20" s="774"/>
      <c r="J20" s="774"/>
      <c r="K20" s="774"/>
      <c r="L20" s="774"/>
      <c r="M20" s="774"/>
      <c r="N20" s="774"/>
      <c r="O20" s="775"/>
      <c r="P20" s="766" t="s">
        <v>458</v>
      </c>
      <c r="Q20" s="767"/>
      <c r="R20" s="767"/>
      <c r="S20" s="767"/>
      <c r="T20" s="767"/>
      <c r="U20" s="767"/>
      <c r="V20" s="767"/>
      <c r="W20" s="767"/>
      <c r="X20" s="767"/>
      <c r="Y20" s="767"/>
      <c r="Z20" s="767"/>
      <c r="AA20" s="768"/>
      <c r="AB20" s="766" t="s">
        <v>459</v>
      </c>
      <c r="AC20" s="767"/>
      <c r="AD20" s="767"/>
      <c r="AE20" s="767"/>
      <c r="AF20" s="767"/>
      <c r="AG20" s="767"/>
      <c r="AH20" s="767"/>
      <c r="AI20" s="767"/>
      <c r="AJ20" s="767"/>
      <c r="AK20" s="767"/>
      <c r="AL20" s="767"/>
      <c r="AM20" s="767"/>
      <c r="AN20" s="767"/>
      <c r="AO20" s="767"/>
      <c r="AP20" s="767"/>
      <c r="AQ20" s="767"/>
      <c r="AR20" s="767"/>
      <c r="AS20" s="767"/>
      <c r="AT20" s="767"/>
      <c r="AU20" s="767"/>
      <c r="AV20" s="767"/>
      <c r="AW20" s="768"/>
      <c r="AX20" s="568"/>
      <c r="AY20" s="565"/>
      <c r="AZ20" s="569"/>
      <c r="BA20" s="569"/>
      <c r="BB20" s="536"/>
      <c r="BC20" s="537"/>
      <c r="BD20" s="538"/>
      <c r="BE20" s="596"/>
      <c r="BF20" s="596"/>
      <c r="BG20" s="596"/>
      <c r="BH20" s="596"/>
      <c r="BI20" s="596"/>
      <c r="BJ20" s="596"/>
      <c r="BK20" s="596"/>
      <c r="BL20" s="596"/>
      <c r="BM20" s="596"/>
      <c r="BN20" s="596"/>
      <c r="BO20" s="596"/>
      <c r="BP20" s="596"/>
      <c r="BQ20" s="596"/>
      <c r="BR20" s="596"/>
      <c r="BS20" s="596"/>
      <c r="BT20" s="596"/>
    </row>
    <row r="21" spans="1:72" ht="26" customHeight="1">
      <c r="A21" s="540"/>
      <c r="B21" s="566"/>
      <c r="C21" s="565"/>
      <c r="D21" s="565"/>
      <c r="E21" s="773" t="s">
        <v>460</v>
      </c>
      <c r="F21" s="774"/>
      <c r="G21" s="774"/>
      <c r="H21" s="774"/>
      <c r="I21" s="774"/>
      <c r="J21" s="774"/>
      <c r="K21" s="774"/>
      <c r="L21" s="774"/>
      <c r="M21" s="774"/>
      <c r="N21" s="774"/>
      <c r="O21" s="775"/>
      <c r="P21" s="766" t="s">
        <v>461</v>
      </c>
      <c r="Q21" s="767"/>
      <c r="R21" s="767"/>
      <c r="S21" s="767"/>
      <c r="T21" s="767"/>
      <c r="U21" s="767"/>
      <c r="V21" s="767"/>
      <c r="W21" s="767"/>
      <c r="X21" s="767"/>
      <c r="Y21" s="767"/>
      <c r="Z21" s="767"/>
      <c r="AA21" s="768"/>
      <c r="AB21" s="766" t="s">
        <v>462</v>
      </c>
      <c r="AC21" s="767"/>
      <c r="AD21" s="767"/>
      <c r="AE21" s="767"/>
      <c r="AF21" s="767"/>
      <c r="AG21" s="767"/>
      <c r="AH21" s="767"/>
      <c r="AI21" s="767"/>
      <c r="AJ21" s="767"/>
      <c r="AK21" s="767"/>
      <c r="AL21" s="767"/>
      <c r="AM21" s="767"/>
      <c r="AN21" s="767"/>
      <c r="AO21" s="767"/>
      <c r="AP21" s="767"/>
      <c r="AQ21" s="767"/>
      <c r="AR21" s="767"/>
      <c r="AS21" s="767"/>
      <c r="AT21" s="767"/>
      <c r="AU21" s="767"/>
      <c r="AV21" s="767"/>
      <c r="AW21" s="768"/>
      <c r="AX21" s="568"/>
      <c r="AY21" s="565"/>
      <c r="AZ21" s="569"/>
      <c r="BA21" s="569"/>
      <c r="BB21" s="536"/>
      <c r="BC21" s="537"/>
      <c r="BD21" s="538"/>
      <c r="BE21" s="596"/>
      <c r="BF21" s="596"/>
      <c r="BG21" s="596"/>
      <c r="BH21" s="596"/>
      <c r="BI21" s="596"/>
      <c r="BJ21" s="596"/>
      <c r="BK21" s="596"/>
      <c r="BL21" s="596"/>
      <c r="BM21" s="596"/>
      <c r="BN21" s="596"/>
      <c r="BO21" s="596"/>
      <c r="BP21" s="596"/>
      <c r="BQ21" s="596"/>
      <c r="BR21" s="596"/>
      <c r="BS21" s="596"/>
      <c r="BT21" s="596"/>
    </row>
    <row r="22" spans="1:72" ht="12.5" customHeight="1">
      <c r="A22" s="540"/>
      <c r="B22" s="566"/>
      <c r="C22" s="565"/>
      <c r="D22" s="565"/>
      <c r="E22" s="571"/>
      <c r="F22" s="567"/>
      <c r="G22" s="565"/>
      <c r="H22" s="579"/>
      <c r="I22" s="579"/>
      <c r="J22" s="579"/>
      <c r="K22" s="579"/>
      <c r="L22" s="579"/>
      <c r="M22" s="579"/>
      <c r="N22" s="579"/>
      <c r="O22" s="579"/>
      <c r="P22" s="579"/>
      <c r="Q22" s="579"/>
      <c r="R22" s="579"/>
      <c r="S22" s="579"/>
      <c r="T22" s="579"/>
      <c r="U22" s="579"/>
      <c r="V22" s="579"/>
      <c r="W22" s="579"/>
      <c r="X22" s="579"/>
      <c r="Y22" s="579"/>
      <c r="Z22" s="579"/>
      <c r="AA22" s="579"/>
      <c r="AB22" s="579"/>
      <c r="AC22" s="579"/>
      <c r="AD22" s="579"/>
      <c r="AE22" s="579"/>
      <c r="AF22" s="579"/>
      <c r="AG22" s="579"/>
      <c r="AH22" s="579"/>
      <c r="AI22" s="579"/>
      <c r="AJ22" s="579"/>
      <c r="AK22" s="579"/>
      <c r="AL22" s="579"/>
      <c r="AM22" s="579"/>
      <c r="AN22" s="579"/>
      <c r="AO22" s="579"/>
      <c r="AP22" s="579"/>
      <c r="AQ22" s="579"/>
      <c r="AR22" s="579"/>
      <c r="AS22" s="580"/>
      <c r="AT22" s="571"/>
      <c r="AU22" s="565"/>
      <c r="AV22" s="568"/>
      <c r="AW22" s="568"/>
      <c r="AX22" s="568"/>
      <c r="AY22" s="565"/>
      <c r="AZ22" s="569"/>
      <c r="BA22" s="569"/>
      <c r="BB22" s="536"/>
      <c r="BC22" s="537"/>
      <c r="BD22" s="538"/>
      <c r="BE22" s="596"/>
      <c r="BF22" s="596"/>
      <c r="BG22" s="596"/>
      <c r="BH22" s="596"/>
      <c r="BI22" s="596"/>
      <c r="BJ22" s="596"/>
      <c r="BK22" s="596"/>
      <c r="BL22" s="596"/>
      <c r="BM22" s="596"/>
      <c r="BN22" s="596"/>
      <c r="BO22" s="596"/>
      <c r="BP22" s="596"/>
      <c r="BQ22" s="596"/>
      <c r="BR22" s="596"/>
      <c r="BS22" s="596"/>
      <c r="BT22" s="596"/>
    </row>
    <row r="23" spans="1:72" ht="12.5" customHeight="1">
      <c r="A23" s="540"/>
      <c r="B23" s="566"/>
      <c r="C23" s="575"/>
      <c r="D23" s="576"/>
      <c r="E23" s="568"/>
      <c r="F23" s="568"/>
      <c r="G23" s="568"/>
      <c r="H23" s="579"/>
      <c r="I23" s="579"/>
      <c r="J23" s="579"/>
      <c r="K23" s="579"/>
      <c r="L23" s="579"/>
      <c r="M23" s="579"/>
      <c r="N23" s="579"/>
      <c r="O23" s="579"/>
      <c r="P23" s="579"/>
      <c r="Q23" s="579"/>
      <c r="R23" s="579"/>
      <c r="S23" s="579"/>
      <c r="T23" s="579"/>
      <c r="U23" s="579"/>
      <c r="V23" s="579"/>
      <c r="W23" s="579"/>
      <c r="X23" s="579"/>
      <c r="Y23" s="579"/>
      <c r="Z23" s="579"/>
      <c r="AA23" s="579"/>
      <c r="AB23" s="579"/>
      <c r="AC23" s="579"/>
      <c r="AD23" s="579"/>
      <c r="AE23" s="579"/>
      <c r="AF23" s="579"/>
      <c r="AG23" s="579"/>
      <c r="AH23" s="579"/>
      <c r="AI23" s="579"/>
      <c r="AJ23" s="579"/>
      <c r="AK23" s="579"/>
      <c r="AL23" s="579"/>
      <c r="AM23" s="579"/>
      <c r="AN23" s="579"/>
      <c r="AO23" s="579"/>
      <c r="AP23" s="579"/>
      <c r="AQ23" s="579"/>
      <c r="AR23" s="579"/>
      <c r="AS23" s="579"/>
      <c r="AT23" s="573"/>
      <c r="AU23" s="568"/>
      <c r="AV23" s="568"/>
      <c r="AW23" s="568"/>
      <c r="AX23" s="568"/>
      <c r="AY23" s="568"/>
      <c r="AZ23" s="569"/>
      <c r="BA23" s="569"/>
      <c r="BB23" s="551"/>
      <c r="BC23" s="552"/>
      <c r="BD23" s="538"/>
      <c r="BE23" s="596"/>
      <c r="BF23" s="596"/>
      <c r="BG23" s="596"/>
      <c r="BH23" s="596"/>
      <c r="BI23" s="596"/>
      <c r="BJ23" s="596"/>
      <c r="BK23" s="596"/>
      <c r="BL23" s="596"/>
      <c r="BM23" s="596"/>
      <c r="BN23" s="596"/>
      <c r="BO23" s="596"/>
      <c r="BP23" s="596"/>
      <c r="BQ23" s="596"/>
      <c r="BR23" s="596"/>
      <c r="BS23" s="596"/>
      <c r="BT23" s="596"/>
    </row>
    <row r="24" spans="1:72" ht="12.5" customHeight="1">
      <c r="A24" s="540"/>
      <c r="B24" s="566"/>
      <c r="C24" s="575"/>
      <c r="D24" s="576"/>
      <c r="E24" s="568"/>
      <c r="F24" s="568"/>
      <c r="G24" s="568"/>
      <c r="H24" s="579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9"/>
      <c r="Z24" s="579"/>
      <c r="AA24" s="579"/>
      <c r="AB24" s="579"/>
      <c r="AC24" s="579"/>
      <c r="AD24" s="579"/>
      <c r="AE24" s="579"/>
      <c r="AF24" s="579"/>
      <c r="AG24" s="579"/>
      <c r="AH24" s="579"/>
      <c r="AI24" s="579"/>
      <c r="AJ24" s="579"/>
      <c r="AK24" s="579"/>
      <c r="AL24" s="579"/>
      <c r="AM24" s="579"/>
      <c r="AN24" s="579"/>
      <c r="AO24" s="579"/>
      <c r="AP24" s="579"/>
      <c r="AQ24" s="579"/>
      <c r="AR24" s="579"/>
      <c r="AS24" s="581"/>
      <c r="AT24" s="577"/>
      <c r="AU24" s="577"/>
      <c r="AV24" s="577"/>
      <c r="AW24" s="577"/>
      <c r="AX24" s="577"/>
      <c r="AY24" s="577"/>
      <c r="AZ24" s="569"/>
      <c r="BA24" s="569"/>
      <c r="BB24" s="551"/>
      <c r="BC24" s="552"/>
      <c r="BD24" s="538"/>
      <c r="BE24" s="596"/>
      <c r="BF24" s="596"/>
      <c r="BG24" s="596"/>
      <c r="BH24" s="596"/>
      <c r="BI24" s="596"/>
      <c r="BJ24" s="596"/>
      <c r="BK24" s="596"/>
      <c r="BL24" s="596"/>
      <c r="BM24" s="596"/>
      <c r="BN24" s="596"/>
      <c r="BO24" s="596"/>
      <c r="BP24" s="596"/>
      <c r="BQ24" s="596"/>
      <c r="BR24" s="596"/>
      <c r="BS24" s="596"/>
      <c r="BT24" s="596"/>
    </row>
    <row r="25" spans="1:72" ht="12.5" customHeight="1">
      <c r="A25" s="540"/>
      <c r="B25" s="566"/>
      <c r="C25" s="565"/>
      <c r="D25" s="565"/>
      <c r="E25" s="565"/>
      <c r="F25" s="565"/>
      <c r="G25" s="565"/>
      <c r="H25" s="579"/>
      <c r="I25" s="579"/>
      <c r="J25" s="579"/>
      <c r="K25" s="579"/>
      <c r="L25" s="579"/>
      <c r="M25" s="579"/>
      <c r="N25" s="579"/>
      <c r="O25" s="579"/>
      <c r="P25" s="579"/>
      <c r="Q25" s="579"/>
      <c r="R25" s="579"/>
      <c r="S25" s="579"/>
      <c r="T25" s="579"/>
      <c r="U25" s="579"/>
      <c r="V25" s="579"/>
      <c r="W25" s="579"/>
      <c r="X25" s="579"/>
      <c r="Y25" s="579"/>
      <c r="Z25" s="579"/>
      <c r="AA25" s="579"/>
      <c r="AB25" s="579"/>
      <c r="AC25" s="579"/>
      <c r="AD25" s="579"/>
      <c r="AE25" s="579"/>
      <c r="AF25" s="579"/>
      <c r="AG25" s="579"/>
      <c r="AH25" s="579"/>
      <c r="AI25" s="579"/>
      <c r="AJ25" s="579"/>
      <c r="AK25" s="579"/>
      <c r="AL25" s="579"/>
      <c r="AM25" s="579"/>
      <c r="AN25" s="579"/>
      <c r="AO25" s="579"/>
      <c r="AP25" s="579"/>
      <c r="AQ25" s="579"/>
      <c r="AR25" s="579"/>
      <c r="AS25" s="580"/>
      <c r="AT25" s="571"/>
      <c r="AU25" s="565"/>
      <c r="AV25" s="568"/>
      <c r="AW25" s="568"/>
      <c r="AX25" s="568"/>
      <c r="AY25" s="565"/>
      <c r="AZ25" s="569"/>
      <c r="BA25" s="569"/>
      <c r="BB25" s="536"/>
      <c r="BC25" s="537"/>
      <c r="BD25" s="538"/>
      <c r="BE25" s="596"/>
      <c r="BF25" s="596"/>
      <c r="BG25" s="596"/>
      <c r="BH25" s="598"/>
      <c r="BI25" s="596"/>
      <c r="BJ25" s="596"/>
      <c r="BK25" s="596"/>
      <c r="BL25" s="596"/>
      <c r="BM25" s="596"/>
      <c r="BN25" s="596"/>
      <c r="BO25" s="596"/>
      <c r="BP25" s="596"/>
      <c r="BQ25" s="596"/>
      <c r="BR25" s="596"/>
      <c r="BS25" s="596"/>
      <c r="BT25" s="596"/>
    </row>
    <row r="26" spans="1:72" ht="12.5" customHeight="1">
      <c r="A26" s="540"/>
      <c r="B26" s="566"/>
      <c r="C26" s="570"/>
      <c r="D26" s="565"/>
      <c r="E26" s="565"/>
      <c r="F26" s="565"/>
      <c r="G26" s="565"/>
      <c r="H26" s="579"/>
      <c r="I26" s="579"/>
      <c r="J26" s="579"/>
      <c r="K26" s="579"/>
      <c r="L26" s="579"/>
      <c r="M26" s="579"/>
      <c r="N26" s="579"/>
      <c r="O26" s="579"/>
      <c r="P26" s="579"/>
      <c r="Q26" s="579"/>
      <c r="R26" s="579"/>
      <c r="S26" s="579"/>
      <c r="T26" s="579"/>
      <c r="U26" s="579"/>
      <c r="V26" s="579"/>
      <c r="W26" s="579"/>
      <c r="X26" s="579"/>
      <c r="Y26" s="579"/>
      <c r="Z26" s="579"/>
      <c r="AA26" s="579"/>
      <c r="AB26" s="579"/>
      <c r="AC26" s="579"/>
      <c r="AD26" s="579"/>
      <c r="AE26" s="579"/>
      <c r="AF26" s="579"/>
      <c r="AG26" s="579"/>
      <c r="AH26" s="579"/>
      <c r="AI26" s="579"/>
      <c r="AJ26" s="579"/>
      <c r="AK26" s="579"/>
      <c r="AL26" s="579"/>
      <c r="AM26" s="579"/>
      <c r="AN26" s="579"/>
      <c r="AO26" s="579"/>
      <c r="AP26" s="579"/>
      <c r="AQ26" s="579"/>
      <c r="AR26" s="579"/>
      <c r="AS26" s="580"/>
      <c r="AT26" s="571"/>
      <c r="AU26" s="565"/>
      <c r="AV26" s="568"/>
      <c r="AW26" s="568"/>
      <c r="AX26" s="568"/>
      <c r="AY26" s="565"/>
      <c r="AZ26" s="569"/>
      <c r="BA26" s="569"/>
      <c r="BB26" s="536"/>
      <c r="BC26" s="537"/>
      <c r="BD26" s="538"/>
      <c r="BE26" s="596"/>
      <c r="BF26" s="596"/>
      <c r="BG26" s="596"/>
      <c r="BH26" s="598"/>
      <c r="BI26" s="596"/>
      <c r="BJ26" s="596"/>
      <c r="BK26" s="596"/>
      <c r="BL26" s="596"/>
      <c r="BM26" s="596"/>
      <c r="BN26" s="596"/>
      <c r="BO26" s="596"/>
      <c r="BP26" s="596"/>
      <c r="BQ26" s="596"/>
      <c r="BR26" s="596"/>
      <c r="BS26" s="596"/>
      <c r="BT26" s="596"/>
    </row>
    <row r="27" spans="1:72" ht="12.5" customHeight="1">
      <c r="A27" s="540"/>
      <c r="B27" s="566"/>
      <c r="C27" s="575"/>
      <c r="D27" s="576"/>
      <c r="E27" s="568"/>
      <c r="F27" s="568"/>
      <c r="G27" s="568"/>
      <c r="H27" s="579"/>
      <c r="I27" s="579"/>
      <c r="J27" s="579"/>
      <c r="K27" s="579"/>
      <c r="L27" s="579"/>
      <c r="M27" s="579"/>
      <c r="N27" s="579"/>
      <c r="O27" s="579"/>
      <c r="P27" s="579"/>
      <c r="Q27" s="579"/>
      <c r="R27" s="579"/>
      <c r="S27" s="579"/>
      <c r="T27" s="579"/>
      <c r="U27" s="579"/>
      <c r="V27" s="579"/>
      <c r="W27" s="579"/>
      <c r="X27" s="579"/>
      <c r="Y27" s="579"/>
      <c r="Z27" s="579"/>
      <c r="AA27" s="579"/>
      <c r="AB27" s="579"/>
      <c r="AC27" s="579"/>
      <c r="AD27" s="579"/>
      <c r="AE27" s="579"/>
      <c r="AF27" s="579"/>
      <c r="AG27" s="579"/>
      <c r="AH27" s="579"/>
      <c r="AI27" s="579"/>
      <c r="AJ27" s="579"/>
      <c r="AK27" s="579"/>
      <c r="AL27" s="579"/>
      <c r="AM27" s="579"/>
      <c r="AN27" s="579"/>
      <c r="AO27" s="579"/>
      <c r="AP27" s="579"/>
      <c r="AQ27" s="579"/>
      <c r="AR27" s="579"/>
      <c r="AS27" s="581"/>
      <c r="AT27" s="577"/>
      <c r="AU27" s="577"/>
      <c r="AV27" s="577"/>
      <c r="AW27" s="577"/>
      <c r="AX27" s="577"/>
      <c r="AY27" s="577"/>
      <c r="AZ27" s="569"/>
      <c r="BA27" s="569"/>
      <c r="BB27" s="551"/>
      <c r="BC27" s="552"/>
      <c r="BD27" s="538"/>
      <c r="BE27" s="596"/>
      <c r="BF27" s="596"/>
      <c r="BG27" s="596"/>
      <c r="BH27" s="598"/>
      <c r="BI27" s="596"/>
      <c r="BJ27" s="596"/>
      <c r="BK27" s="596"/>
      <c r="BL27" s="596"/>
      <c r="BM27" s="596"/>
      <c r="BN27" s="596"/>
      <c r="BO27" s="596"/>
      <c r="BP27" s="596"/>
      <c r="BQ27" s="596"/>
      <c r="BR27" s="596"/>
      <c r="BS27" s="596"/>
      <c r="BT27" s="596"/>
    </row>
    <row r="28" spans="1:72" ht="12.5" customHeight="1">
      <c r="A28" s="540"/>
      <c r="B28" s="566"/>
      <c r="C28" s="565"/>
      <c r="D28" s="565"/>
      <c r="E28" s="810" t="s">
        <v>431</v>
      </c>
      <c r="F28" s="811"/>
      <c r="G28" s="811"/>
      <c r="H28" s="811"/>
      <c r="I28" s="779">
        <v>123456</v>
      </c>
      <c r="J28" s="779"/>
      <c r="K28" s="779"/>
      <c r="L28" s="779"/>
      <c r="M28" s="779"/>
      <c r="N28" s="779"/>
      <c r="O28" s="579"/>
      <c r="P28" s="579"/>
      <c r="Q28" s="579"/>
      <c r="R28" s="579"/>
      <c r="S28" s="579"/>
      <c r="T28" s="579"/>
      <c r="U28" s="579"/>
      <c r="V28" s="579"/>
      <c r="W28" s="579"/>
      <c r="X28" s="579"/>
      <c r="Y28" s="579"/>
      <c r="Z28" s="579"/>
      <c r="AA28" s="579"/>
      <c r="AB28" s="579"/>
      <c r="AC28" s="579"/>
      <c r="AD28" s="579"/>
      <c r="AE28" s="579"/>
      <c r="AF28" s="579"/>
      <c r="AG28" s="579"/>
      <c r="AH28" s="579"/>
      <c r="AI28" s="579"/>
      <c r="AJ28" s="579"/>
      <c r="AK28" s="579"/>
      <c r="AL28" s="579"/>
      <c r="AM28" s="579"/>
      <c r="AN28" s="579"/>
      <c r="AO28" s="579"/>
      <c r="AP28" s="579"/>
      <c r="AQ28" s="579"/>
      <c r="AR28" s="579"/>
      <c r="AS28" s="580"/>
      <c r="AT28" s="571"/>
      <c r="AU28" s="565"/>
      <c r="AV28" s="568"/>
      <c r="AW28" s="568"/>
      <c r="AX28" s="568"/>
      <c r="AY28" s="565"/>
      <c r="AZ28" s="569"/>
      <c r="BA28" s="569"/>
      <c r="BB28" s="536"/>
      <c r="BC28" s="537"/>
      <c r="BD28" s="539"/>
      <c r="BE28" s="596"/>
      <c r="BF28" s="596"/>
      <c r="BG28" s="596"/>
      <c r="BH28" s="596"/>
      <c r="BI28" s="596"/>
      <c r="BJ28" s="596"/>
      <c r="BK28" s="596"/>
      <c r="BL28" s="596"/>
      <c r="BM28" s="596"/>
      <c r="BN28" s="596"/>
      <c r="BO28" s="596"/>
      <c r="BP28" s="596"/>
      <c r="BQ28" s="596"/>
      <c r="BR28" s="596"/>
      <c r="BS28" s="596"/>
      <c r="BT28" s="596"/>
    </row>
    <row r="29" spans="1:72" ht="12.5" customHeight="1">
      <c r="A29" s="540"/>
      <c r="B29" s="566"/>
      <c r="C29" s="575"/>
      <c r="D29" s="576"/>
      <c r="E29" s="810"/>
      <c r="F29" s="811"/>
      <c r="G29" s="811"/>
      <c r="H29" s="811"/>
      <c r="I29" s="779"/>
      <c r="J29" s="779"/>
      <c r="K29" s="779"/>
      <c r="L29" s="779"/>
      <c r="M29" s="779"/>
      <c r="N29" s="779"/>
      <c r="O29" s="579"/>
      <c r="P29" s="579"/>
      <c r="Q29" s="579"/>
      <c r="R29" s="579"/>
      <c r="S29" s="579"/>
      <c r="T29" s="579"/>
      <c r="U29" s="579"/>
      <c r="V29" s="579"/>
      <c r="W29" s="579"/>
      <c r="X29" s="579"/>
      <c r="Y29" s="579"/>
      <c r="Z29" s="579"/>
      <c r="AA29" s="579"/>
      <c r="AB29" s="579"/>
      <c r="AC29" s="579"/>
      <c r="AD29" s="579"/>
      <c r="AE29" s="579"/>
      <c r="AF29" s="579"/>
      <c r="AG29" s="579"/>
      <c r="AH29" s="579"/>
      <c r="AI29" s="579"/>
      <c r="AJ29" s="579"/>
      <c r="AK29" s="579"/>
      <c r="AL29" s="579"/>
      <c r="AM29" s="579"/>
      <c r="AN29" s="579"/>
      <c r="AO29" s="579"/>
      <c r="AP29" s="579"/>
      <c r="AQ29" s="579"/>
      <c r="AR29" s="579"/>
      <c r="AS29" s="579"/>
      <c r="AT29" s="573"/>
      <c r="AU29" s="568"/>
      <c r="AV29" s="568"/>
      <c r="AW29" s="568"/>
      <c r="AX29" s="568"/>
      <c r="AY29" s="568"/>
      <c r="AZ29" s="569"/>
      <c r="BA29" s="569"/>
      <c r="BB29" s="551"/>
      <c r="BC29" s="552"/>
      <c r="BD29" s="538"/>
      <c r="BE29" s="596"/>
      <c r="BF29" s="596"/>
      <c r="BG29" s="596"/>
      <c r="BH29" s="598"/>
      <c r="BI29" s="596"/>
      <c r="BJ29" s="596"/>
      <c r="BK29" s="596"/>
      <c r="BL29" s="596"/>
      <c r="BM29" s="596"/>
      <c r="BN29" s="596"/>
      <c r="BO29" s="596"/>
      <c r="BP29" s="596"/>
      <c r="BQ29" s="596"/>
      <c r="BR29" s="596"/>
      <c r="BS29" s="596"/>
      <c r="BT29" s="596"/>
    </row>
    <row r="30" spans="1:72" ht="12.5" customHeight="1">
      <c r="A30" s="540"/>
      <c r="B30" s="566"/>
      <c r="C30" s="575"/>
      <c r="D30" s="576"/>
      <c r="E30" s="811"/>
      <c r="F30" s="811"/>
      <c r="G30" s="811"/>
      <c r="H30" s="811"/>
      <c r="I30" s="779"/>
      <c r="J30" s="779"/>
      <c r="K30" s="779"/>
      <c r="L30" s="779"/>
      <c r="M30" s="779"/>
      <c r="N30" s="779"/>
      <c r="O30" s="579"/>
      <c r="P30" s="579"/>
      <c r="Q30" s="579"/>
      <c r="R30" s="579"/>
      <c r="S30" s="579"/>
      <c r="T30" s="579"/>
      <c r="U30" s="579"/>
      <c r="V30" s="579"/>
      <c r="W30" s="579"/>
      <c r="X30" s="579"/>
      <c r="Y30" s="579"/>
      <c r="Z30" s="579"/>
      <c r="AA30" s="579"/>
      <c r="AB30" s="579"/>
      <c r="AC30" s="579"/>
      <c r="AD30" s="579"/>
      <c r="AE30" s="579"/>
      <c r="AF30" s="579"/>
      <c r="AG30" s="579"/>
      <c r="AH30" s="579"/>
      <c r="AI30" s="579"/>
      <c r="AJ30" s="579"/>
      <c r="AK30" s="579"/>
      <c r="AL30" s="579"/>
      <c r="AM30" s="579"/>
      <c r="AN30" s="579"/>
      <c r="AO30" s="579"/>
      <c r="AP30" s="579"/>
      <c r="AQ30" s="579"/>
      <c r="AR30" s="579"/>
      <c r="AS30" s="579"/>
      <c r="AT30" s="573"/>
      <c r="AU30" s="568"/>
      <c r="AV30" s="568"/>
      <c r="AW30" s="568"/>
      <c r="AX30" s="568"/>
      <c r="AY30" s="568"/>
      <c r="AZ30" s="569"/>
      <c r="BA30" s="569"/>
      <c r="BB30" s="551"/>
      <c r="BC30" s="552"/>
      <c r="BD30" s="538"/>
      <c r="BE30" s="596"/>
      <c r="BF30" s="596"/>
      <c r="BG30" s="596"/>
      <c r="BH30" s="596"/>
      <c r="BI30" s="596"/>
      <c r="BJ30" s="596"/>
      <c r="BK30" s="596"/>
      <c r="BL30" s="596"/>
      <c r="BM30" s="596"/>
      <c r="BN30" s="596"/>
      <c r="BO30" s="596"/>
      <c r="BP30" s="596"/>
      <c r="BQ30" s="596"/>
      <c r="BR30" s="596"/>
      <c r="BS30" s="596"/>
      <c r="BT30" s="596"/>
    </row>
    <row r="31" spans="1:72" ht="12.5" customHeight="1">
      <c r="A31" s="540"/>
      <c r="B31" s="566"/>
      <c r="C31" s="575"/>
      <c r="D31" s="576"/>
      <c r="E31" s="810" t="s">
        <v>432</v>
      </c>
      <c r="F31" s="811"/>
      <c r="G31" s="811"/>
      <c r="H31" s="811"/>
      <c r="I31" s="779" t="s">
        <v>401</v>
      </c>
      <c r="J31" s="779"/>
      <c r="K31" s="779"/>
      <c r="L31" s="779"/>
      <c r="M31" s="779"/>
      <c r="N31" s="779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  <c r="AF31" s="579"/>
      <c r="AG31" s="579"/>
      <c r="AH31" s="579"/>
      <c r="AI31" s="579"/>
      <c r="AJ31" s="579"/>
      <c r="AK31" s="579"/>
      <c r="AL31" s="579"/>
      <c r="AM31" s="579"/>
      <c r="AN31" s="579"/>
      <c r="AO31" s="579"/>
      <c r="AP31" s="579"/>
      <c r="AQ31" s="579"/>
      <c r="AR31" s="579"/>
      <c r="AS31" s="581"/>
      <c r="AT31" s="577"/>
      <c r="AU31" s="577"/>
      <c r="AV31" s="577"/>
      <c r="AW31" s="577"/>
      <c r="AX31" s="577"/>
      <c r="AY31" s="577"/>
      <c r="AZ31" s="569"/>
      <c r="BA31" s="569"/>
      <c r="BB31" s="551"/>
      <c r="BC31" s="552"/>
      <c r="BD31" s="538"/>
      <c r="BE31" s="596"/>
      <c r="BF31" s="596"/>
      <c r="BG31" s="596"/>
      <c r="BH31" s="598"/>
      <c r="BI31" s="596"/>
      <c r="BJ31" s="596"/>
      <c r="BK31" s="596"/>
      <c r="BL31" s="596"/>
      <c r="BM31" s="596"/>
      <c r="BN31" s="596"/>
      <c r="BO31" s="596"/>
      <c r="BP31" s="596"/>
      <c r="BQ31" s="596"/>
      <c r="BR31" s="596"/>
      <c r="BS31" s="596"/>
      <c r="BT31" s="596"/>
    </row>
    <row r="32" spans="1:72" ht="12.5" customHeight="1">
      <c r="A32" s="540"/>
      <c r="B32" s="566"/>
      <c r="C32" s="565"/>
      <c r="D32" s="565"/>
      <c r="E32" s="811"/>
      <c r="F32" s="811"/>
      <c r="G32" s="811"/>
      <c r="H32" s="811"/>
      <c r="I32" s="779"/>
      <c r="J32" s="779"/>
      <c r="K32" s="779"/>
      <c r="L32" s="779"/>
      <c r="M32" s="779"/>
      <c r="N32" s="779"/>
      <c r="O32" s="579"/>
      <c r="P32" s="579"/>
      <c r="Q32" s="579"/>
      <c r="R32" s="579"/>
      <c r="S32" s="579"/>
      <c r="T32" s="579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  <c r="AE32" s="579"/>
      <c r="AF32" s="579"/>
      <c r="AG32" s="579"/>
      <c r="AH32" s="579"/>
      <c r="AI32" s="579"/>
      <c r="AJ32" s="579"/>
      <c r="AK32" s="579"/>
      <c r="AL32" s="579"/>
      <c r="AM32" s="579"/>
      <c r="AN32" s="579"/>
      <c r="AO32" s="579"/>
      <c r="AP32" s="579"/>
      <c r="AQ32" s="579"/>
      <c r="AR32" s="579"/>
      <c r="AS32" s="580"/>
      <c r="AT32" s="571"/>
      <c r="AU32" s="565"/>
      <c r="AV32" s="568"/>
      <c r="AW32" s="568"/>
      <c r="AX32" s="568"/>
      <c r="AY32" s="565"/>
      <c r="AZ32" s="569"/>
      <c r="BA32" s="569"/>
      <c r="BB32" s="536"/>
      <c r="BC32" s="537"/>
      <c r="BD32" s="539"/>
      <c r="BE32" s="596"/>
      <c r="BF32" s="596"/>
      <c r="BG32" s="596"/>
      <c r="BH32" s="598"/>
      <c r="BI32" s="596"/>
      <c r="BJ32" s="596"/>
      <c r="BK32" s="596"/>
      <c r="BL32" s="596"/>
      <c r="BM32" s="596"/>
      <c r="BN32" s="596"/>
      <c r="BO32" s="596"/>
      <c r="BP32" s="596"/>
      <c r="BQ32" s="596"/>
      <c r="BR32" s="596"/>
      <c r="BS32" s="596"/>
      <c r="BT32" s="596"/>
    </row>
    <row r="33" spans="1:72" ht="12.5" customHeight="1">
      <c r="A33" s="540"/>
      <c r="B33" s="566"/>
      <c r="C33" s="575"/>
      <c r="D33" s="576"/>
      <c r="E33" s="568"/>
      <c r="F33" s="568"/>
      <c r="G33" s="568"/>
      <c r="H33" s="579"/>
      <c r="I33" s="579"/>
      <c r="J33" s="579"/>
      <c r="K33" s="579"/>
      <c r="L33" s="579"/>
      <c r="M33" s="579"/>
      <c r="N33" s="579"/>
      <c r="O33" s="579"/>
      <c r="P33" s="579"/>
      <c r="Q33" s="579"/>
      <c r="R33" s="579"/>
      <c r="S33" s="579"/>
      <c r="T33" s="579"/>
      <c r="U33" s="579"/>
      <c r="V33" s="579"/>
      <c r="W33" s="579"/>
      <c r="X33" s="579"/>
      <c r="Y33" s="579"/>
      <c r="Z33" s="579"/>
      <c r="AA33" s="579"/>
      <c r="AB33" s="579"/>
      <c r="AC33" s="579"/>
      <c r="AD33" s="579"/>
      <c r="AE33" s="579"/>
      <c r="AF33" s="579"/>
      <c r="AG33" s="579"/>
      <c r="AH33" s="579"/>
      <c r="AI33" s="579"/>
      <c r="AJ33" s="579"/>
      <c r="AK33" s="579"/>
      <c r="AL33" s="579"/>
      <c r="AM33" s="579"/>
      <c r="AN33" s="579"/>
      <c r="AO33" s="579"/>
      <c r="AP33" s="579"/>
      <c r="AQ33" s="579"/>
      <c r="AR33" s="579"/>
      <c r="AS33" s="579"/>
      <c r="AT33" s="573"/>
      <c r="AU33" s="568"/>
      <c r="AV33" s="568"/>
      <c r="AW33" s="568"/>
      <c r="AX33" s="568"/>
      <c r="AY33" s="568"/>
      <c r="AZ33" s="569"/>
      <c r="BA33" s="569"/>
      <c r="BB33" s="551"/>
      <c r="BC33" s="552"/>
      <c r="BD33" s="538"/>
      <c r="BE33" s="596"/>
      <c r="BF33" s="596"/>
      <c r="BG33" s="596"/>
      <c r="BH33" s="596"/>
      <c r="BI33" s="596"/>
      <c r="BJ33" s="596"/>
      <c r="BK33" s="596"/>
      <c r="BL33" s="596"/>
      <c r="BM33" s="596"/>
      <c r="BN33" s="596"/>
      <c r="BO33" s="596"/>
      <c r="BP33" s="596"/>
      <c r="BQ33" s="596"/>
      <c r="BR33" s="596"/>
      <c r="BS33" s="596"/>
      <c r="BT33" s="596"/>
    </row>
    <row r="34" spans="1:72" ht="12.5" customHeight="1">
      <c r="A34" s="540"/>
      <c r="B34" s="566"/>
      <c r="C34" s="575"/>
      <c r="D34" s="576"/>
      <c r="E34" s="568"/>
      <c r="F34" s="568"/>
      <c r="G34" s="568"/>
      <c r="H34" s="579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9"/>
      <c r="Z34" s="579"/>
      <c r="AA34" s="579"/>
      <c r="AB34" s="579"/>
      <c r="AC34" s="579"/>
      <c r="AD34" s="579"/>
      <c r="AE34" s="579"/>
      <c r="AF34" s="579"/>
      <c r="AG34" s="579"/>
      <c r="AH34" s="579"/>
      <c r="AI34" s="579"/>
      <c r="AJ34" s="579"/>
      <c r="AK34" s="579"/>
      <c r="AL34" s="579"/>
      <c r="AM34" s="579"/>
      <c r="AN34" s="579"/>
      <c r="AO34" s="579"/>
      <c r="AP34" s="579"/>
      <c r="AQ34" s="579"/>
      <c r="AR34" s="579"/>
      <c r="AS34" s="581"/>
      <c r="AT34" s="577"/>
      <c r="AU34" s="577"/>
      <c r="AV34" s="577"/>
      <c r="AW34" s="577"/>
      <c r="AX34" s="577"/>
      <c r="AY34" s="577"/>
      <c r="AZ34" s="569"/>
      <c r="BA34" s="569"/>
      <c r="BB34" s="551"/>
      <c r="BC34" s="552"/>
      <c r="BD34" s="538"/>
      <c r="BE34" s="596"/>
      <c r="BF34" s="596"/>
      <c r="BG34" s="596"/>
      <c r="BH34" s="598"/>
      <c r="BI34" s="596"/>
      <c r="BJ34" s="596"/>
      <c r="BK34" s="596"/>
      <c r="BL34" s="596"/>
      <c r="BM34" s="596"/>
      <c r="BN34" s="596"/>
      <c r="BO34" s="596"/>
      <c r="BP34" s="596"/>
      <c r="BQ34" s="596"/>
      <c r="BR34" s="596"/>
      <c r="BS34" s="596"/>
      <c r="BT34" s="596"/>
    </row>
    <row r="35" spans="1:72" ht="17.5" customHeight="1">
      <c r="A35" s="540"/>
      <c r="B35" s="566"/>
      <c r="C35" s="565"/>
      <c r="D35" s="565"/>
      <c r="E35" s="803"/>
      <c r="F35" s="803"/>
      <c r="G35" s="813" t="s">
        <v>433</v>
      </c>
      <c r="H35" s="799"/>
      <c r="I35" s="799"/>
      <c r="J35" s="799" t="s">
        <v>402</v>
      </c>
      <c r="K35" s="799"/>
      <c r="L35" s="799"/>
      <c r="M35" s="813" t="s">
        <v>467</v>
      </c>
      <c r="N35" s="813"/>
      <c r="O35" s="813"/>
      <c r="P35" s="798" t="s">
        <v>468</v>
      </c>
      <c r="Q35" s="813"/>
      <c r="R35" s="813"/>
      <c r="S35" s="798" t="s">
        <v>469</v>
      </c>
      <c r="T35" s="799"/>
      <c r="U35" s="799"/>
      <c r="V35" s="801" t="s">
        <v>470</v>
      </c>
      <c r="W35" s="801"/>
      <c r="X35" s="801"/>
      <c r="Y35" s="801" t="s">
        <v>471</v>
      </c>
      <c r="Z35" s="801"/>
      <c r="AA35" s="801"/>
      <c r="AB35" s="801" t="s">
        <v>472</v>
      </c>
      <c r="AC35" s="801"/>
      <c r="AD35" s="801"/>
      <c r="AE35" s="796" t="s">
        <v>464</v>
      </c>
      <c r="AF35" s="796"/>
      <c r="AG35" s="796"/>
      <c r="AH35" s="796" t="s">
        <v>403</v>
      </c>
      <c r="AI35" s="796"/>
      <c r="AJ35" s="796"/>
      <c r="AK35" s="796" t="s">
        <v>465</v>
      </c>
      <c r="AL35" s="796"/>
      <c r="AM35" s="796"/>
      <c r="AN35" s="796" t="s">
        <v>473</v>
      </c>
      <c r="AO35" s="796"/>
      <c r="AP35" s="796"/>
      <c r="AQ35" s="579"/>
      <c r="AR35" s="579"/>
      <c r="AS35" s="580"/>
      <c r="AT35" s="571"/>
      <c r="AU35" s="565"/>
      <c r="AV35" s="568"/>
      <c r="AW35" s="568"/>
      <c r="AX35" s="568"/>
      <c r="AY35" s="565"/>
      <c r="AZ35" s="569"/>
      <c r="BA35" s="569"/>
      <c r="BB35" s="536"/>
      <c r="BC35" s="537"/>
      <c r="BD35" s="539"/>
      <c r="BE35" s="596"/>
      <c r="BF35" s="596"/>
      <c r="BG35" s="596"/>
      <c r="BH35" s="598"/>
      <c r="BI35" s="596"/>
      <c r="BJ35" s="596"/>
      <c r="BK35" s="596"/>
      <c r="BL35" s="596"/>
      <c r="BM35" s="596"/>
      <c r="BN35" s="596"/>
      <c r="BO35" s="596"/>
      <c r="BP35" s="596"/>
      <c r="BQ35" s="596"/>
      <c r="BR35" s="596"/>
      <c r="BS35" s="596"/>
      <c r="BT35" s="596"/>
    </row>
    <row r="36" spans="1:72" ht="17.5" customHeight="1">
      <c r="A36" s="540"/>
      <c r="B36" s="566"/>
      <c r="C36" s="575"/>
      <c r="D36" s="576"/>
      <c r="E36" s="804"/>
      <c r="F36" s="804"/>
      <c r="G36" s="814"/>
      <c r="H36" s="800"/>
      <c r="I36" s="800"/>
      <c r="J36" s="800"/>
      <c r="K36" s="800"/>
      <c r="L36" s="800"/>
      <c r="M36" s="814"/>
      <c r="N36" s="814"/>
      <c r="O36" s="814"/>
      <c r="P36" s="814"/>
      <c r="Q36" s="814"/>
      <c r="R36" s="814"/>
      <c r="S36" s="800"/>
      <c r="T36" s="800"/>
      <c r="U36" s="800"/>
      <c r="V36" s="802"/>
      <c r="W36" s="802"/>
      <c r="X36" s="802"/>
      <c r="Y36" s="802"/>
      <c r="Z36" s="802"/>
      <c r="AA36" s="802"/>
      <c r="AB36" s="802"/>
      <c r="AC36" s="802"/>
      <c r="AD36" s="802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579"/>
      <c r="AR36" s="579"/>
      <c r="AS36" s="579"/>
      <c r="AT36" s="573"/>
      <c r="AU36" s="568"/>
      <c r="AV36" s="568"/>
      <c r="AW36" s="568"/>
      <c r="AX36" s="568"/>
      <c r="AY36" s="568"/>
      <c r="AZ36" s="569"/>
      <c r="BA36" s="569"/>
      <c r="BB36" s="551"/>
      <c r="BC36" s="552"/>
      <c r="BD36" s="538"/>
      <c r="BE36" s="596"/>
      <c r="BF36" s="596"/>
      <c r="BG36" s="596"/>
      <c r="BH36" s="596"/>
      <c r="BI36" s="596"/>
      <c r="BJ36" s="596"/>
      <c r="BK36" s="596"/>
      <c r="BL36" s="596"/>
      <c r="BM36" s="596"/>
      <c r="BN36" s="596"/>
      <c r="BO36" s="596"/>
      <c r="BP36" s="596"/>
      <c r="BQ36" s="596"/>
      <c r="BR36" s="596"/>
      <c r="BS36" s="596"/>
      <c r="BT36" s="596"/>
    </row>
    <row r="37" spans="1:72" ht="17.5" customHeight="1">
      <c r="A37" s="540"/>
      <c r="B37" s="566"/>
      <c r="C37" s="575"/>
      <c r="D37" s="576"/>
      <c r="E37" s="804"/>
      <c r="F37" s="804"/>
      <c r="G37" s="800"/>
      <c r="H37" s="800"/>
      <c r="I37" s="800"/>
      <c r="J37" s="800"/>
      <c r="K37" s="800"/>
      <c r="L37" s="800"/>
      <c r="M37" s="814"/>
      <c r="N37" s="814"/>
      <c r="O37" s="814"/>
      <c r="P37" s="814"/>
      <c r="Q37" s="814"/>
      <c r="R37" s="814"/>
      <c r="S37" s="800"/>
      <c r="T37" s="800"/>
      <c r="U37" s="800"/>
      <c r="V37" s="802"/>
      <c r="W37" s="802"/>
      <c r="X37" s="802"/>
      <c r="Y37" s="802"/>
      <c r="Z37" s="802"/>
      <c r="AA37" s="802"/>
      <c r="AB37" s="802"/>
      <c r="AC37" s="802"/>
      <c r="AD37" s="802"/>
      <c r="AE37" s="797"/>
      <c r="AF37" s="797"/>
      <c r="AG37" s="797"/>
      <c r="AH37" s="797"/>
      <c r="AI37" s="797"/>
      <c r="AJ37" s="797"/>
      <c r="AK37" s="797"/>
      <c r="AL37" s="797"/>
      <c r="AM37" s="797"/>
      <c r="AN37" s="797"/>
      <c r="AO37" s="797"/>
      <c r="AP37" s="797"/>
      <c r="AQ37" s="579"/>
      <c r="AR37" s="579"/>
      <c r="AS37" s="579"/>
      <c r="AT37" s="573"/>
      <c r="AU37" s="568"/>
      <c r="AV37" s="568"/>
      <c r="AW37" s="568"/>
      <c r="AX37" s="568"/>
      <c r="AY37" s="568"/>
      <c r="AZ37" s="569"/>
      <c r="BA37" s="569"/>
      <c r="BB37" s="551"/>
      <c r="BC37" s="552"/>
      <c r="BD37" s="538"/>
      <c r="BE37" s="596"/>
      <c r="BF37" s="596"/>
      <c r="BG37" s="596"/>
      <c r="BH37" s="598"/>
      <c r="BI37" s="596"/>
      <c r="BJ37" s="596"/>
      <c r="BK37" s="596"/>
      <c r="BL37" s="596"/>
      <c r="BM37" s="596"/>
      <c r="BN37" s="596"/>
      <c r="BO37" s="596"/>
      <c r="BP37" s="596"/>
      <c r="BQ37" s="596"/>
      <c r="BR37" s="596"/>
      <c r="BS37" s="596"/>
      <c r="BT37" s="596"/>
    </row>
    <row r="38" spans="1:72" ht="12.5" customHeight="1">
      <c r="A38" s="540"/>
      <c r="B38" s="566"/>
      <c r="C38" s="575"/>
      <c r="D38" s="576"/>
      <c r="E38" s="776" t="s">
        <v>404</v>
      </c>
      <c r="F38" s="776"/>
      <c r="G38" s="778" t="s">
        <v>405</v>
      </c>
      <c r="H38" s="778"/>
      <c r="I38" s="778"/>
      <c r="J38" s="815" t="s">
        <v>411</v>
      </c>
      <c r="K38" s="778"/>
      <c r="L38" s="778"/>
      <c r="M38" s="815" t="s">
        <v>437</v>
      </c>
      <c r="N38" s="778"/>
      <c r="O38" s="778"/>
      <c r="P38" s="815" t="s">
        <v>434</v>
      </c>
      <c r="Q38" s="778"/>
      <c r="R38" s="778"/>
      <c r="S38" s="777" t="s">
        <v>418</v>
      </c>
      <c r="T38" s="778"/>
      <c r="U38" s="778"/>
      <c r="V38" s="780" t="s">
        <v>422</v>
      </c>
      <c r="W38" s="781"/>
      <c r="X38" s="782"/>
      <c r="Y38" s="780" t="s">
        <v>422</v>
      </c>
      <c r="Z38" s="781"/>
      <c r="AA38" s="782"/>
      <c r="AB38" s="780" t="s">
        <v>422</v>
      </c>
      <c r="AC38" s="781"/>
      <c r="AD38" s="782"/>
      <c r="AE38" s="780" t="s">
        <v>422</v>
      </c>
      <c r="AF38" s="781"/>
      <c r="AG38" s="782"/>
      <c r="AH38" s="780" t="s">
        <v>422</v>
      </c>
      <c r="AI38" s="781"/>
      <c r="AJ38" s="782"/>
      <c r="AK38" s="780" t="s">
        <v>422</v>
      </c>
      <c r="AL38" s="781"/>
      <c r="AM38" s="782"/>
      <c r="AN38" s="780" t="s">
        <v>422</v>
      </c>
      <c r="AO38" s="781"/>
      <c r="AP38" s="782"/>
      <c r="AQ38" s="579"/>
      <c r="AR38" s="579"/>
      <c r="AS38" s="581"/>
      <c r="AT38" s="577"/>
      <c r="AU38" s="577"/>
      <c r="AV38" s="577"/>
      <c r="AW38" s="577"/>
      <c r="AX38" s="577"/>
      <c r="AY38" s="577"/>
      <c r="AZ38" s="569"/>
      <c r="BA38" s="569"/>
      <c r="BB38" s="551"/>
      <c r="BC38" s="552"/>
      <c r="BD38" s="538"/>
      <c r="BE38" s="596"/>
      <c r="BF38" s="596"/>
      <c r="BG38" s="596"/>
      <c r="BH38" s="598"/>
      <c r="BI38" s="596"/>
      <c r="BJ38" s="596"/>
      <c r="BK38" s="596"/>
      <c r="BL38" s="596"/>
      <c r="BM38" s="596"/>
      <c r="BN38" s="596"/>
      <c r="BO38" s="596"/>
      <c r="BP38" s="596"/>
      <c r="BQ38" s="596"/>
      <c r="BR38" s="596"/>
      <c r="BS38" s="596"/>
      <c r="BT38" s="596"/>
    </row>
    <row r="39" spans="1:72" ht="12.5" customHeight="1">
      <c r="A39" s="540"/>
      <c r="B39" s="566"/>
      <c r="C39" s="565"/>
      <c r="D39" s="565"/>
      <c r="E39" s="776"/>
      <c r="F39" s="776"/>
      <c r="G39" s="778"/>
      <c r="H39" s="778"/>
      <c r="I39" s="778"/>
      <c r="J39" s="815"/>
      <c r="K39" s="778"/>
      <c r="L39" s="778"/>
      <c r="M39" s="778"/>
      <c r="N39" s="778"/>
      <c r="O39" s="778"/>
      <c r="P39" s="815"/>
      <c r="Q39" s="778"/>
      <c r="R39" s="778"/>
      <c r="S39" s="777"/>
      <c r="T39" s="778"/>
      <c r="U39" s="778"/>
      <c r="V39" s="783"/>
      <c r="W39" s="784"/>
      <c r="X39" s="785"/>
      <c r="Y39" s="783"/>
      <c r="Z39" s="784"/>
      <c r="AA39" s="785"/>
      <c r="AB39" s="783"/>
      <c r="AC39" s="784"/>
      <c r="AD39" s="785"/>
      <c r="AE39" s="783"/>
      <c r="AF39" s="784"/>
      <c r="AG39" s="785"/>
      <c r="AH39" s="783"/>
      <c r="AI39" s="784"/>
      <c r="AJ39" s="785"/>
      <c r="AK39" s="783"/>
      <c r="AL39" s="784"/>
      <c r="AM39" s="785"/>
      <c r="AN39" s="783"/>
      <c r="AO39" s="784"/>
      <c r="AP39" s="785"/>
      <c r="AQ39" s="579"/>
      <c r="AR39" s="579"/>
      <c r="AS39" s="580"/>
      <c r="AT39" s="571"/>
      <c r="AU39" s="565"/>
      <c r="AV39" s="568"/>
      <c r="AW39" s="568"/>
      <c r="AX39" s="568"/>
      <c r="AY39" s="565"/>
      <c r="AZ39" s="569"/>
      <c r="BA39" s="569"/>
      <c r="BB39" s="536"/>
      <c r="BC39" s="537"/>
      <c r="BD39" s="539"/>
      <c r="BE39" s="596"/>
      <c r="BF39" s="596"/>
      <c r="BG39" s="596"/>
      <c r="BH39" s="596"/>
      <c r="BI39" s="596"/>
      <c r="BJ39" s="596"/>
      <c r="BK39" s="596"/>
      <c r="BL39" s="596"/>
      <c r="BM39" s="596"/>
      <c r="BN39" s="596"/>
      <c r="BO39" s="596"/>
      <c r="BP39" s="596"/>
      <c r="BQ39" s="596"/>
      <c r="BR39" s="596"/>
      <c r="BS39" s="596"/>
      <c r="BT39" s="596"/>
    </row>
    <row r="40" spans="1:72" ht="12.5" customHeight="1">
      <c r="A40" s="540"/>
      <c r="B40" s="566"/>
      <c r="C40" s="565"/>
      <c r="D40" s="565"/>
      <c r="E40" s="776"/>
      <c r="F40" s="776"/>
      <c r="G40" s="778"/>
      <c r="H40" s="778"/>
      <c r="I40" s="778"/>
      <c r="J40" s="778"/>
      <c r="K40" s="778"/>
      <c r="L40" s="778"/>
      <c r="M40" s="778"/>
      <c r="N40" s="778"/>
      <c r="O40" s="778"/>
      <c r="P40" s="778"/>
      <c r="Q40" s="778"/>
      <c r="R40" s="778"/>
      <c r="S40" s="778"/>
      <c r="T40" s="778"/>
      <c r="U40" s="778"/>
      <c r="V40" s="786"/>
      <c r="W40" s="787"/>
      <c r="X40" s="788"/>
      <c r="Y40" s="786"/>
      <c r="Z40" s="787"/>
      <c r="AA40" s="788"/>
      <c r="AB40" s="786"/>
      <c r="AC40" s="787"/>
      <c r="AD40" s="788"/>
      <c r="AE40" s="786"/>
      <c r="AF40" s="787"/>
      <c r="AG40" s="788"/>
      <c r="AH40" s="786"/>
      <c r="AI40" s="787"/>
      <c r="AJ40" s="788"/>
      <c r="AK40" s="786"/>
      <c r="AL40" s="787"/>
      <c r="AM40" s="788"/>
      <c r="AN40" s="786"/>
      <c r="AO40" s="787"/>
      <c r="AP40" s="788"/>
      <c r="AQ40" s="579"/>
      <c r="AR40" s="579"/>
      <c r="AS40" s="580"/>
      <c r="AT40" s="571"/>
      <c r="AU40" s="565"/>
      <c r="AV40" s="568"/>
      <c r="AW40" s="568"/>
      <c r="AX40" s="568"/>
      <c r="AY40" s="565"/>
      <c r="AZ40" s="569"/>
      <c r="BA40" s="569"/>
      <c r="BB40" s="536"/>
      <c r="BC40" s="537"/>
      <c r="BD40" s="539"/>
      <c r="BE40" s="596"/>
      <c r="BF40" s="596"/>
      <c r="BG40" s="596"/>
      <c r="BH40" s="598"/>
      <c r="BI40" s="596"/>
      <c r="BJ40" s="596"/>
      <c r="BK40" s="596"/>
      <c r="BL40" s="596"/>
      <c r="BM40" s="596"/>
      <c r="BN40" s="596"/>
      <c r="BO40" s="596"/>
      <c r="BP40" s="596"/>
      <c r="BQ40" s="596"/>
      <c r="BR40" s="596"/>
      <c r="BS40" s="596"/>
      <c r="BT40" s="596"/>
    </row>
    <row r="41" spans="1:72" ht="12.5" customHeight="1">
      <c r="A41" s="540"/>
      <c r="B41" s="566"/>
      <c r="C41" s="575"/>
      <c r="D41" s="576"/>
      <c r="E41" s="776"/>
      <c r="F41" s="776"/>
      <c r="G41" s="778" t="s">
        <v>405</v>
      </c>
      <c r="H41" s="778"/>
      <c r="I41" s="778"/>
      <c r="J41" s="815" t="s">
        <v>411</v>
      </c>
      <c r="K41" s="778"/>
      <c r="L41" s="778"/>
      <c r="M41" s="815" t="s">
        <v>437</v>
      </c>
      <c r="N41" s="778"/>
      <c r="O41" s="778"/>
      <c r="P41" s="815" t="s">
        <v>434</v>
      </c>
      <c r="Q41" s="778"/>
      <c r="R41" s="778"/>
      <c r="S41" s="777" t="s">
        <v>418</v>
      </c>
      <c r="T41" s="778"/>
      <c r="U41" s="778"/>
      <c r="V41" s="780" t="s">
        <v>422</v>
      </c>
      <c r="W41" s="781"/>
      <c r="X41" s="782"/>
      <c r="Y41" s="780" t="s">
        <v>422</v>
      </c>
      <c r="Z41" s="781"/>
      <c r="AA41" s="782"/>
      <c r="AB41" s="780" t="s">
        <v>422</v>
      </c>
      <c r="AC41" s="781"/>
      <c r="AD41" s="782"/>
      <c r="AE41" s="780" t="s">
        <v>422</v>
      </c>
      <c r="AF41" s="781"/>
      <c r="AG41" s="782"/>
      <c r="AH41" s="780" t="s">
        <v>422</v>
      </c>
      <c r="AI41" s="781"/>
      <c r="AJ41" s="782"/>
      <c r="AK41" s="780" t="s">
        <v>422</v>
      </c>
      <c r="AL41" s="781"/>
      <c r="AM41" s="782"/>
      <c r="AN41" s="780" t="s">
        <v>422</v>
      </c>
      <c r="AO41" s="781"/>
      <c r="AP41" s="782"/>
      <c r="AQ41" s="579"/>
      <c r="AR41" s="579"/>
      <c r="AS41" s="579"/>
      <c r="AT41" s="573"/>
      <c r="AU41" s="568"/>
      <c r="AV41" s="568"/>
      <c r="AW41" s="568"/>
      <c r="AX41" s="568"/>
      <c r="AY41" s="568"/>
      <c r="AZ41" s="569"/>
      <c r="BA41" s="569"/>
      <c r="BB41" s="551"/>
      <c r="BC41" s="552"/>
      <c r="BD41" s="538"/>
      <c r="BE41" s="596"/>
      <c r="BF41" s="596"/>
      <c r="BG41" s="596"/>
      <c r="BH41" s="598"/>
      <c r="BI41" s="596"/>
      <c r="BJ41" s="596"/>
      <c r="BK41" s="596"/>
      <c r="BL41" s="596"/>
      <c r="BM41" s="596"/>
      <c r="BN41" s="596"/>
      <c r="BO41" s="596"/>
      <c r="BP41" s="596"/>
      <c r="BQ41" s="596"/>
      <c r="BR41" s="596"/>
      <c r="BS41" s="596"/>
      <c r="BT41" s="596"/>
    </row>
    <row r="42" spans="1:72" ht="12.5" customHeight="1">
      <c r="A42" s="540"/>
      <c r="B42" s="566"/>
      <c r="C42" s="575"/>
      <c r="D42" s="576"/>
      <c r="E42" s="776"/>
      <c r="F42" s="776"/>
      <c r="G42" s="778"/>
      <c r="H42" s="778"/>
      <c r="I42" s="778"/>
      <c r="J42" s="815"/>
      <c r="K42" s="778"/>
      <c r="L42" s="778"/>
      <c r="M42" s="778"/>
      <c r="N42" s="778"/>
      <c r="O42" s="778"/>
      <c r="P42" s="815"/>
      <c r="Q42" s="778"/>
      <c r="R42" s="778"/>
      <c r="S42" s="777"/>
      <c r="T42" s="778"/>
      <c r="U42" s="778"/>
      <c r="V42" s="783"/>
      <c r="W42" s="784"/>
      <c r="X42" s="785"/>
      <c r="Y42" s="783"/>
      <c r="Z42" s="784"/>
      <c r="AA42" s="785"/>
      <c r="AB42" s="783"/>
      <c r="AC42" s="784"/>
      <c r="AD42" s="785"/>
      <c r="AE42" s="783"/>
      <c r="AF42" s="784"/>
      <c r="AG42" s="785"/>
      <c r="AH42" s="783"/>
      <c r="AI42" s="784"/>
      <c r="AJ42" s="785"/>
      <c r="AK42" s="783"/>
      <c r="AL42" s="784"/>
      <c r="AM42" s="785"/>
      <c r="AN42" s="783"/>
      <c r="AO42" s="784"/>
      <c r="AP42" s="785"/>
      <c r="AQ42" s="579"/>
      <c r="AR42" s="579"/>
      <c r="AS42" s="581"/>
      <c r="AT42" s="577"/>
      <c r="AU42" s="577"/>
      <c r="AV42" s="577"/>
      <c r="AW42" s="577"/>
      <c r="AX42" s="577"/>
      <c r="AY42" s="577"/>
      <c r="AZ42" s="569"/>
      <c r="BA42" s="569"/>
      <c r="BB42" s="551"/>
      <c r="BC42" s="552"/>
      <c r="BD42" s="538"/>
      <c r="BE42" s="596"/>
      <c r="BF42" s="596"/>
      <c r="BG42" s="596"/>
      <c r="BH42" s="598"/>
      <c r="BI42" s="596"/>
      <c r="BJ42" s="596"/>
      <c r="BK42" s="596"/>
      <c r="BL42" s="596"/>
      <c r="BM42" s="596"/>
      <c r="BN42" s="596"/>
      <c r="BO42" s="596"/>
      <c r="BP42" s="596"/>
      <c r="BQ42" s="596"/>
      <c r="BR42" s="596"/>
      <c r="BS42" s="596"/>
      <c r="BT42" s="596"/>
    </row>
    <row r="43" spans="1:72" ht="12.5" customHeight="1">
      <c r="A43" s="540"/>
      <c r="B43" s="566"/>
      <c r="C43" s="575"/>
      <c r="D43" s="576"/>
      <c r="E43" s="776"/>
      <c r="F43" s="776"/>
      <c r="G43" s="778"/>
      <c r="H43" s="778"/>
      <c r="I43" s="778"/>
      <c r="J43" s="778"/>
      <c r="K43" s="778"/>
      <c r="L43" s="778"/>
      <c r="M43" s="778"/>
      <c r="N43" s="778"/>
      <c r="O43" s="778"/>
      <c r="P43" s="778"/>
      <c r="Q43" s="778"/>
      <c r="R43" s="778"/>
      <c r="S43" s="778"/>
      <c r="T43" s="778"/>
      <c r="U43" s="778"/>
      <c r="V43" s="786"/>
      <c r="W43" s="787"/>
      <c r="X43" s="788"/>
      <c r="Y43" s="786"/>
      <c r="Z43" s="787"/>
      <c r="AA43" s="788"/>
      <c r="AB43" s="786"/>
      <c r="AC43" s="787"/>
      <c r="AD43" s="788"/>
      <c r="AE43" s="786"/>
      <c r="AF43" s="787"/>
      <c r="AG43" s="788"/>
      <c r="AH43" s="786"/>
      <c r="AI43" s="787"/>
      <c r="AJ43" s="788"/>
      <c r="AK43" s="786"/>
      <c r="AL43" s="787"/>
      <c r="AM43" s="788"/>
      <c r="AN43" s="786"/>
      <c r="AO43" s="787"/>
      <c r="AP43" s="788"/>
      <c r="AQ43" s="579"/>
      <c r="AR43" s="579"/>
      <c r="AS43" s="581"/>
      <c r="AT43" s="577"/>
      <c r="AU43" s="577"/>
      <c r="AV43" s="577"/>
      <c r="AW43" s="577"/>
      <c r="AX43" s="577"/>
      <c r="AY43" s="577"/>
      <c r="AZ43" s="569"/>
      <c r="BA43" s="569"/>
      <c r="BB43" s="551"/>
      <c r="BC43" s="552"/>
      <c r="BD43" s="538"/>
      <c r="BE43" s="596"/>
      <c r="BF43" s="596"/>
      <c r="BG43" s="596"/>
      <c r="BH43" s="596"/>
      <c r="BI43" s="596"/>
      <c r="BJ43" s="596"/>
      <c r="BK43" s="596"/>
      <c r="BL43" s="596"/>
      <c r="BM43" s="596"/>
      <c r="BN43" s="596"/>
      <c r="BO43" s="596"/>
      <c r="BP43" s="596"/>
      <c r="BQ43" s="596"/>
      <c r="BR43" s="596"/>
      <c r="BS43" s="596"/>
      <c r="BT43" s="596"/>
    </row>
    <row r="44" spans="1:72" ht="12.5" customHeight="1">
      <c r="A44" s="540"/>
      <c r="B44" s="566"/>
      <c r="C44" s="575"/>
      <c r="D44" s="576"/>
      <c r="E44" s="776" t="s">
        <v>404</v>
      </c>
      <c r="F44" s="776"/>
      <c r="G44" s="778" t="s">
        <v>406</v>
      </c>
      <c r="H44" s="778"/>
      <c r="I44" s="778"/>
      <c r="J44" s="815" t="s">
        <v>412</v>
      </c>
      <c r="K44" s="778"/>
      <c r="L44" s="778"/>
      <c r="M44" s="815" t="s">
        <v>436</v>
      </c>
      <c r="N44" s="778"/>
      <c r="O44" s="778"/>
      <c r="P44" s="815" t="s">
        <v>434</v>
      </c>
      <c r="Q44" s="778"/>
      <c r="R44" s="778"/>
      <c r="S44" s="777" t="s">
        <v>419</v>
      </c>
      <c r="T44" s="778"/>
      <c r="U44" s="778"/>
      <c r="V44" s="815" t="s">
        <v>423</v>
      </c>
      <c r="W44" s="778"/>
      <c r="X44" s="778"/>
      <c r="Y44" s="815" t="s">
        <v>423</v>
      </c>
      <c r="Z44" s="778"/>
      <c r="AA44" s="778"/>
      <c r="AB44" s="780" t="s">
        <v>422</v>
      </c>
      <c r="AC44" s="781"/>
      <c r="AD44" s="782"/>
      <c r="AE44" s="780" t="s">
        <v>422</v>
      </c>
      <c r="AF44" s="781"/>
      <c r="AG44" s="782"/>
      <c r="AH44" s="778" t="s">
        <v>425</v>
      </c>
      <c r="AI44" s="778"/>
      <c r="AJ44" s="778"/>
      <c r="AK44" s="780" t="s">
        <v>422</v>
      </c>
      <c r="AL44" s="781"/>
      <c r="AM44" s="782"/>
      <c r="AN44" s="780" t="s">
        <v>422</v>
      </c>
      <c r="AO44" s="781"/>
      <c r="AP44" s="782"/>
      <c r="AQ44" s="579"/>
      <c r="AR44" s="579"/>
      <c r="AS44" s="581"/>
      <c r="AT44" s="577"/>
      <c r="AU44" s="577"/>
      <c r="AV44" s="577"/>
      <c r="AW44" s="577"/>
      <c r="AX44" s="577"/>
      <c r="AY44" s="577"/>
      <c r="AZ44" s="569"/>
      <c r="BA44" s="569"/>
      <c r="BB44" s="551"/>
      <c r="BC44" s="552"/>
      <c r="BD44" s="538"/>
      <c r="BE44" s="596"/>
      <c r="BF44" s="596"/>
      <c r="BG44" s="596"/>
      <c r="BH44" s="598"/>
      <c r="BI44" s="596"/>
      <c r="BJ44" s="596"/>
      <c r="BK44" s="596"/>
      <c r="BL44" s="596"/>
      <c r="BM44" s="596"/>
      <c r="BN44" s="596"/>
      <c r="BO44" s="596"/>
      <c r="BP44" s="596"/>
      <c r="BQ44" s="596"/>
      <c r="BR44" s="596"/>
      <c r="BS44" s="596"/>
      <c r="BT44" s="596"/>
    </row>
    <row r="45" spans="1:72" ht="12.5" customHeight="1">
      <c r="A45" s="540"/>
      <c r="B45" s="566"/>
      <c r="C45" s="565"/>
      <c r="D45" s="565"/>
      <c r="E45" s="776"/>
      <c r="F45" s="776"/>
      <c r="G45" s="778"/>
      <c r="H45" s="778"/>
      <c r="I45" s="778"/>
      <c r="J45" s="815"/>
      <c r="K45" s="778"/>
      <c r="L45" s="778"/>
      <c r="M45" s="815"/>
      <c r="N45" s="778"/>
      <c r="O45" s="778"/>
      <c r="P45" s="815"/>
      <c r="Q45" s="778"/>
      <c r="R45" s="778"/>
      <c r="S45" s="777"/>
      <c r="T45" s="778"/>
      <c r="U45" s="778"/>
      <c r="V45" s="815"/>
      <c r="W45" s="778"/>
      <c r="X45" s="778"/>
      <c r="Y45" s="815"/>
      <c r="Z45" s="778"/>
      <c r="AA45" s="778"/>
      <c r="AB45" s="783"/>
      <c r="AC45" s="784"/>
      <c r="AD45" s="785"/>
      <c r="AE45" s="783"/>
      <c r="AF45" s="784"/>
      <c r="AG45" s="785"/>
      <c r="AH45" s="778"/>
      <c r="AI45" s="778"/>
      <c r="AJ45" s="778"/>
      <c r="AK45" s="783"/>
      <c r="AL45" s="784"/>
      <c r="AM45" s="785"/>
      <c r="AN45" s="783"/>
      <c r="AO45" s="784"/>
      <c r="AP45" s="785"/>
      <c r="AQ45" s="579"/>
      <c r="AR45" s="579"/>
      <c r="AS45" s="580"/>
      <c r="AT45" s="571"/>
      <c r="AU45" s="565"/>
      <c r="AV45" s="568"/>
      <c r="AW45" s="568"/>
      <c r="AX45" s="568"/>
      <c r="AY45" s="565"/>
      <c r="AZ45" s="569"/>
      <c r="BA45" s="569"/>
      <c r="BB45" s="536"/>
      <c r="BC45" s="537"/>
      <c r="BD45" s="539"/>
      <c r="BE45" s="596"/>
      <c r="BF45" s="596"/>
      <c r="BG45" s="596"/>
      <c r="BH45" s="598"/>
      <c r="BI45" s="596"/>
      <c r="BJ45" s="596"/>
      <c r="BK45" s="596"/>
      <c r="BL45" s="596"/>
      <c r="BM45" s="596"/>
      <c r="BN45" s="596"/>
      <c r="BO45" s="596"/>
      <c r="BP45" s="596"/>
      <c r="BQ45" s="596"/>
      <c r="BR45" s="596"/>
      <c r="BS45" s="596"/>
      <c r="BT45" s="596"/>
    </row>
    <row r="46" spans="1:72" ht="12.5" customHeight="1">
      <c r="A46" s="540"/>
      <c r="B46" s="566"/>
      <c r="C46" s="565"/>
      <c r="D46" s="565"/>
      <c r="E46" s="776"/>
      <c r="F46" s="776"/>
      <c r="G46" s="778"/>
      <c r="H46" s="778"/>
      <c r="I46" s="778"/>
      <c r="J46" s="778"/>
      <c r="K46" s="778"/>
      <c r="L46" s="778"/>
      <c r="M46" s="778"/>
      <c r="N46" s="778"/>
      <c r="O46" s="778"/>
      <c r="P46" s="778"/>
      <c r="Q46" s="778"/>
      <c r="R46" s="778"/>
      <c r="S46" s="778"/>
      <c r="T46" s="778"/>
      <c r="U46" s="778"/>
      <c r="V46" s="778"/>
      <c r="W46" s="778"/>
      <c r="X46" s="778"/>
      <c r="Y46" s="778"/>
      <c r="Z46" s="778"/>
      <c r="AA46" s="778"/>
      <c r="AB46" s="786"/>
      <c r="AC46" s="787"/>
      <c r="AD46" s="788"/>
      <c r="AE46" s="786"/>
      <c r="AF46" s="787"/>
      <c r="AG46" s="788"/>
      <c r="AH46" s="778"/>
      <c r="AI46" s="778"/>
      <c r="AJ46" s="778"/>
      <c r="AK46" s="786"/>
      <c r="AL46" s="787"/>
      <c r="AM46" s="788"/>
      <c r="AN46" s="786"/>
      <c r="AO46" s="787"/>
      <c r="AP46" s="788"/>
      <c r="AQ46" s="579"/>
      <c r="AR46" s="579"/>
      <c r="AS46" s="580"/>
      <c r="AT46" s="571"/>
      <c r="AU46" s="565"/>
      <c r="AV46" s="568"/>
      <c r="AW46" s="568"/>
      <c r="AX46" s="568"/>
      <c r="AY46" s="565"/>
      <c r="AZ46" s="569"/>
      <c r="BA46" s="569"/>
      <c r="BB46" s="536"/>
      <c r="BC46" s="537"/>
      <c r="BD46" s="539"/>
      <c r="BE46" s="596"/>
      <c r="BF46" s="596"/>
      <c r="BG46" s="596"/>
      <c r="BH46" s="598"/>
      <c r="BI46" s="596"/>
      <c r="BJ46" s="596"/>
      <c r="BK46" s="596"/>
      <c r="BL46" s="596"/>
      <c r="BM46" s="596"/>
      <c r="BN46" s="596"/>
      <c r="BO46" s="596"/>
      <c r="BP46" s="596"/>
      <c r="BQ46" s="596"/>
      <c r="BR46" s="596"/>
      <c r="BS46" s="596"/>
      <c r="BT46" s="596"/>
    </row>
    <row r="47" spans="1:72" ht="12.5" customHeight="1">
      <c r="A47" s="540"/>
      <c r="B47" s="566"/>
      <c r="C47" s="575"/>
      <c r="D47" s="576"/>
      <c r="E47" s="776" t="s">
        <v>404</v>
      </c>
      <c r="F47" s="776"/>
      <c r="G47" s="778" t="s">
        <v>407</v>
      </c>
      <c r="H47" s="778"/>
      <c r="I47" s="778"/>
      <c r="J47" s="815" t="s">
        <v>413</v>
      </c>
      <c r="K47" s="778"/>
      <c r="L47" s="778"/>
      <c r="M47" s="815" t="s">
        <v>435</v>
      </c>
      <c r="N47" s="778"/>
      <c r="O47" s="778"/>
      <c r="P47" s="815" t="s">
        <v>439</v>
      </c>
      <c r="Q47" s="778"/>
      <c r="R47" s="778"/>
      <c r="S47" s="778" t="s">
        <v>299</v>
      </c>
      <c r="T47" s="778"/>
      <c r="U47" s="778"/>
      <c r="V47" s="815" t="s">
        <v>423</v>
      </c>
      <c r="W47" s="778"/>
      <c r="X47" s="778"/>
      <c r="Y47" s="778" t="s">
        <v>422</v>
      </c>
      <c r="Z47" s="778"/>
      <c r="AA47" s="778"/>
      <c r="AB47" s="778" t="s">
        <v>422</v>
      </c>
      <c r="AC47" s="778"/>
      <c r="AD47" s="778"/>
      <c r="AE47" s="778" t="s">
        <v>422</v>
      </c>
      <c r="AF47" s="778"/>
      <c r="AG47" s="778"/>
      <c r="AH47" s="778" t="s">
        <v>425</v>
      </c>
      <c r="AI47" s="778"/>
      <c r="AJ47" s="778"/>
      <c r="AK47" s="778" t="s">
        <v>425</v>
      </c>
      <c r="AL47" s="778"/>
      <c r="AM47" s="778"/>
      <c r="AN47" s="778" t="s">
        <v>425</v>
      </c>
      <c r="AO47" s="778"/>
      <c r="AP47" s="778"/>
      <c r="AQ47" s="579"/>
      <c r="AR47" s="579"/>
      <c r="AS47" s="579"/>
      <c r="AT47" s="573"/>
      <c r="AU47" s="568"/>
      <c r="AV47" s="568"/>
      <c r="AW47" s="568"/>
      <c r="AX47" s="568"/>
      <c r="AY47" s="568"/>
      <c r="AZ47" s="569"/>
      <c r="BA47" s="569"/>
      <c r="BB47" s="551"/>
      <c r="BC47" s="552"/>
      <c r="BD47" s="538"/>
      <c r="BE47" s="596"/>
      <c r="BF47" s="596"/>
      <c r="BG47" s="596"/>
      <c r="BH47" s="596"/>
      <c r="BI47" s="596"/>
      <c r="BJ47" s="596"/>
      <c r="BK47" s="596"/>
      <c r="BL47" s="596"/>
      <c r="BM47" s="596"/>
      <c r="BN47" s="596"/>
      <c r="BO47" s="596"/>
      <c r="BP47" s="596"/>
      <c r="BQ47" s="596"/>
      <c r="BR47" s="596"/>
      <c r="BS47" s="596"/>
      <c r="BT47" s="596"/>
    </row>
    <row r="48" spans="1:72" ht="12.5" customHeight="1">
      <c r="A48" s="540"/>
      <c r="B48" s="566"/>
      <c r="C48" s="575"/>
      <c r="D48" s="576"/>
      <c r="E48" s="776"/>
      <c r="F48" s="776"/>
      <c r="G48" s="778"/>
      <c r="H48" s="778"/>
      <c r="I48" s="778"/>
      <c r="J48" s="815"/>
      <c r="K48" s="778"/>
      <c r="L48" s="778"/>
      <c r="M48" s="815"/>
      <c r="N48" s="778"/>
      <c r="O48" s="778"/>
      <c r="P48" s="815"/>
      <c r="Q48" s="778"/>
      <c r="R48" s="778"/>
      <c r="S48" s="778"/>
      <c r="T48" s="778"/>
      <c r="U48" s="778"/>
      <c r="V48" s="815"/>
      <c r="W48" s="778"/>
      <c r="X48" s="778"/>
      <c r="Y48" s="778"/>
      <c r="Z48" s="778"/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579"/>
      <c r="AR48" s="579"/>
      <c r="AS48" s="581"/>
      <c r="AT48" s="577"/>
      <c r="AU48" s="577"/>
      <c r="AV48" s="577"/>
      <c r="AW48" s="577"/>
      <c r="AX48" s="577"/>
      <c r="AY48" s="577"/>
      <c r="AZ48" s="569"/>
      <c r="BA48" s="569"/>
      <c r="BB48" s="551"/>
      <c r="BC48" s="552"/>
      <c r="BD48" s="538"/>
      <c r="BE48" s="596"/>
      <c r="BF48" s="596"/>
      <c r="BG48" s="596"/>
      <c r="BH48" s="598"/>
      <c r="BI48" s="596"/>
      <c r="BJ48" s="596"/>
      <c r="BK48" s="596"/>
      <c r="BL48" s="596"/>
      <c r="BM48" s="596"/>
      <c r="BN48" s="596"/>
      <c r="BO48" s="596"/>
      <c r="BP48" s="596"/>
      <c r="BQ48" s="596"/>
      <c r="BR48" s="596"/>
      <c r="BS48" s="596"/>
      <c r="BT48" s="596"/>
    </row>
    <row r="49" spans="1:72" ht="12.5" customHeight="1">
      <c r="A49" s="540"/>
      <c r="B49" s="566"/>
      <c r="C49" s="575"/>
      <c r="D49" s="576"/>
      <c r="E49" s="776"/>
      <c r="F49" s="776"/>
      <c r="G49" s="778"/>
      <c r="H49" s="778"/>
      <c r="I49" s="778"/>
      <c r="J49" s="778"/>
      <c r="K49" s="778"/>
      <c r="L49" s="778"/>
      <c r="M49" s="778"/>
      <c r="N49" s="778"/>
      <c r="O49" s="778"/>
      <c r="P49" s="778"/>
      <c r="Q49" s="778"/>
      <c r="R49" s="778"/>
      <c r="S49" s="778"/>
      <c r="T49" s="778"/>
      <c r="U49" s="778"/>
      <c r="V49" s="778"/>
      <c r="W49" s="778"/>
      <c r="X49" s="778"/>
      <c r="Y49" s="778"/>
      <c r="Z49" s="778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579"/>
      <c r="AR49" s="579"/>
      <c r="AS49" s="581"/>
      <c r="AT49" s="577"/>
      <c r="AU49" s="577"/>
      <c r="AV49" s="577"/>
      <c r="AW49" s="577"/>
      <c r="AX49" s="577"/>
      <c r="AY49" s="577"/>
      <c r="AZ49" s="569"/>
      <c r="BA49" s="569"/>
      <c r="BB49" s="551"/>
      <c r="BC49" s="552"/>
      <c r="BD49" s="538"/>
      <c r="BE49" s="596"/>
      <c r="BF49" s="596"/>
      <c r="BG49" s="596"/>
      <c r="BH49" s="598"/>
      <c r="BI49" s="596"/>
      <c r="BJ49" s="596"/>
      <c r="BK49" s="596"/>
      <c r="BL49" s="596"/>
      <c r="BM49" s="596"/>
      <c r="BN49" s="596"/>
      <c r="BO49" s="596"/>
      <c r="BP49" s="596"/>
      <c r="BQ49" s="596"/>
      <c r="BR49" s="596"/>
      <c r="BS49" s="596"/>
      <c r="BT49" s="596"/>
    </row>
    <row r="50" spans="1:72" ht="12.5" customHeight="1">
      <c r="A50" s="540"/>
      <c r="B50" s="566"/>
      <c r="C50" s="575"/>
      <c r="D50" s="576"/>
      <c r="E50" s="776" t="s">
        <v>404</v>
      </c>
      <c r="F50" s="776"/>
      <c r="G50" s="778" t="s">
        <v>408</v>
      </c>
      <c r="H50" s="778"/>
      <c r="I50" s="778"/>
      <c r="J50" s="815" t="s">
        <v>414</v>
      </c>
      <c r="K50" s="778"/>
      <c r="L50" s="778"/>
      <c r="M50" s="815" t="s">
        <v>435</v>
      </c>
      <c r="N50" s="778"/>
      <c r="O50" s="778"/>
      <c r="P50" s="815" t="s">
        <v>439</v>
      </c>
      <c r="Q50" s="778"/>
      <c r="R50" s="778"/>
      <c r="S50" s="777" t="s">
        <v>421</v>
      </c>
      <c r="T50" s="778"/>
      <c r="U50" s="778"/>
      <c r="V50" s="778" t="s">
        <v>422</v>
      </c>
      <c r="W50" s="778"/>
      <c r="X50" s="778"/>
      <c r="Y50" s="815" t="s">
        <v>423</v>
      </c>
      <c r="Z50" s="778"/>
      <c r="AA50" s="778"/>
      <c r="AB50" s="778" t="s">
        <v>422</v>
      </c>
      <c r="AC50" s="778"/>
      <c r="AD50" s="778"/>
      <c r="AE50" s="778" t="s">
        <v>422</v>
      </c>
      <c r="AF50" s="778"/>
      <c r="AG50" s="778"/>
      <c r="AH50" s="778" t="s">
        <v>422</v>
      </c>
      <c r="AI50" s="778"/>
      <c r="AJ50" s="778"/>
      <c r="AK50" s="778" t="s">
        <v>422</v>
      </c>
      <c r="AL50" s="778"/>
      <c r="AM50" s="778"/>
      <c r="AN50" s="778" t="s">
        <v>422</v>
      </c>
      <c r="AO50" s="778"/>
      <c r="AP50" s="778"/>
      <c r="AQ50" s="579"/>
      <c r="AR50" s="579"/>
      <c r="AS50" s="581"/>
      <c r="AT50" s="577"/>
      <c r="AU50" s="577"/>
      <c r="AV50" s="577"/>
      <c r="AW50" s="577"/>
      <c r="AX50" s="577"/>
      <c r="AY50" s="577"/>
      <c r="AZ50" s="569"/>
      <c r="BA50" s="569"/>
      <c r="BB50" s="551"/>
      <c r="BC50" s="552"/>
      <c r="BD50" s="538"/>
      <c r="BE50" s="596"/>
      <c r="BF50" s="596"/>
      <c r="BG50" s="596"/>
      <c r="BH50" s="598"/>
      <c r="BI50" s="596"/>
      <c r="BJ50" s="596"/>
      <c r="BK50" s="596"/>
      <c r="BL50" s="596"/>
      <c r="BM50" s="596"/>
      <c r="BN50" s="596"/>
      <c r="BO50" s="596"/>
      <c r="BP50" s="596"/>
      <c r="BQ50" s="596"/>
      <c r="BR50" s="596"/>
      <c r="BS50" s="596"/>
      <c r="BT50" s="596"/>
    </row>
    <row r="51" spans="1:72" ht="12.5" customHeight="1">
      <c r="A51" s="540"/>
      <c r="B51" s="566"/>
      <c r="C51" s="575"/>
      <c r="D51" s="576"/>
      <c r="E51" s="776"/>
      <c r="F51" s="776"/>
      <c r="G51" s="778"/>
      <c r="H51" s="778"/>
      <c r="I51" s="778"/>
      <c r="J51" s="815"/>
      <c r="K51" s="778"/>
      <c r="L51" s="778"/>
      <c r="M51" s="815"/>
      <c r="N51" s="778"/>
      <c r="O51" s="778"/>
      <c r="P51" s="815"/>
      <c r="Q51" s="778"/>
      <c r="R51" s="778"/>
      <c r="S51" s="777"/>
      <c r="T51" s="778"/>
      <c r="U51" s="778"/>
      <c r="V51" s="778"/>
      <c r="W51" s="778"/>
      <c r="X51" s="778"/>
      <c r="Y51" s="815"/>
      <c r="Z51" s="778"/>
      <c r="AA51" s="778"/>
      <c r="AB51" s="778"/>
      <c r="AC51" s="778"/>
      <c r="AD51" s="778"/>
      <c r="AE51" s="778"/>
      <c r="AF51" s="778"/>
      <c r="AG51" s="778"/>
      <c r="AH51" s="778"/>
      <c r="AI51" s="778"/>
      <c r="AJ51" s="778"/>
      <c r="AK51" s="778"/>
      <c r="AL51" s="778"/>
      <c r="AM51" s="778"/>
      <c r="AN51" s="778"/>
      <c r="AO51" s="778"/>
      <c r="AP51" s="778"/>
      <c r="AQ51" s="579"/>
      <c r="AR51" s="579"/>
      <c r="AS51" s="581"/>
      <c r="AT51" s="577"/>
      <c r="AU51" s="577"/>
      <c r="AV51" s="577"/>
      <c r="AW51" s="577"/>
      <c r="AX51" s="577"/>
      <c r="AY51" s="577"/>
      <c r="AZ51" s="569"/>
      <c r="BA51" s="569"/>
      <c r="BB51" s="551"/>
      <c r="BC51" s="552"/>
      <c r="BD51" s="538"/>
      <c r="BE51" s="596"/>
      <c r="BF51" s="596"/>
      <c r="BG51" s="596"/>
      <c r="BH51" s="596"/>
      <c r="BI51" s="596"/>
      <c r="BJ51" s="596"/>
      <c r="BK51" s="596"/>
      <c r="BL51" s="596"/>
      <c r="BM51" s="596"/>
      <c r="BN51" s="596"/>
      <c r="BO51" s="596"/>
      <c r="BP51" s="596"/>
      <c r="BQ51" s="596"/>
      <c r="BR51" s="596"/>
      <c r="BS51" s="596"/>
      <c r="BT51" s="596"/>
    </row>
    <row r="52" spans="1:72" ht="12.5" customHeight="1">
      <c r="A52" s="540"/>
      <c r="B52" s="566"/>
      <c r="C52" s="565"/>
      <c r="D52" s="565"/>
      <c r="E52" s="776"/>
      <c r="F52" s="776"/>
      <c r="G52" s="778"/>
      <c r="H52" s="778"/>
      <c r="I52" s="778"/>
      <c r="J52" s="778"/>
      <c r="K52" s="778"/>
      <c r="L52" s="778"/>
      <c r="M52" s="778"/>
      <c r="N52" s="778"/>
      <c r="O52" s="778"/>
      <c r="P52" s="778"/>
      <c r="Q52" s="778"/>
      <c r="R52" s="778"/>
      <c r="S52" s="778"/>
      <c r="T52" s="778"/>
      <c r="U52" s="778"/>
      <c r="V52" s="778"/>
      <c r="W52" s="778"/>
      <c r="X52" s="778"/>
      <c r="Y52" s="778"/>
      <c r="Z52" s="778"/>
      <c r="AA52" s="778"/>
      <c r="AB52" s="778"/>
      <c r="AC52" s="778"/>
      <c r="AD52" s="778"/>
      <c r="AE52" s="778"/>
      <c r="AF52" s="778"/>
      <c r="AG52" s="778"/>
      <c r="AH52" s="778"/>
      <c r="AI52" s="778"/>
      <c r="AJ52" s="778"/>
      <c r="AK52" s="778"/>
      <c r="AL52" s="778"/>
      <c r="AM52" s="778"/>
      <c r="AN52" s="778"/>
      <c r="AO52" s="778"/>
      <c r="AP52" s="778"/>
      <c r="AQ52" s="579"/>
      <c r="AR52" s="579"/>
      <c r="AS52" s="580"/>
      <c r="AT52" s="571"/>
      <c r="AU52" s="565"/>
      <c r="AV52" s="568"/>
      <c r="AW52" s="568"/>
      <c r="AX52" s="568"/>
      <c r="AY52" s="565"/>
      <c r="AZ52" s="569"/>
      <c r="BA52" s="569"/>
      <c r="BB52" s="536"/>
      <c r="BC52" s="537"/>
      <c r="BD52" s="539"/>
      <c r="BE52" s="596"/>
      <c r="BF52" s="596"/>
      <c r="BG52" s="596"/>
      <c r="BH52" s="598"/>
      <c r="BI52" s="596"/>
      <c r="BJ52" s="596"/>
      <c r="BK52" s="596"/>
      <c r="BL52" s="596"/>
      <c r="BM52" s="596"/>
      <c r="BN52" s="596"/>
      <c r="BO52" s="596"/>
      <c r="BP52" s="596"/>
      <c r="BQ52" s="596"/>
      <c r="BR52" s="596"/>
      <c r="BS52" s="596"/>
      <c r="BT52" s="596"/>
    </row>
    <row r="53" spans="1:72" ht="12.5" customHeight="1">
      <c r="A53" s="540"/>
      <c r="B53" s="566"/>
      <c r="C53" s="575"/>
      <c r="D53" s="576"/>
      <c r="E53" s="776"/>
      <c r="F53" s="776"/>
      <c r="G53" s="778" t="s">
        <v>409</v>
      </c>
      <c r="H53" s="778"/>
      <c r="I53" s="778"/>
      <c r="J53" s="815" t="s">
        <v>415</v>
      </c>
      <c r="K53" s="778"/>
      <c r="L53" s="778"/>
      <c r="M53" s="815" t="s">
        <v>438</v>
      </c>
      <c r="N53" s="778"/>
      <c r="O53" s="778"/>
      <c r="P53" s="815" t="s">
        <v>440</v>
      </c>
      <c r="Q53" s="778"/>
      <c r="R53" s="778"/>
      <c r="S53" s="778" t="s">
        <v>299</v>
      </c>
      <c r="T53" s="778"/>
      <c r="U53" s="778"/>
      <c r="V53" s="816" t="s">
        <v>424</v>
      </c>
      <c r="W53" s="816"/>
      <c r="X53" s="816"/>
      <c r="Y53" s="816" t="s">
        <v>424</v>
      </c>
      <c r="Z53" s="816"/>
      <c r="AA53" s="816"/>
      <c r="AB53" s="816" t="s">
        <v>424</v>
      </c>
      <c r="AC53" s="816"/>
      <c r="AD53" s="816"/>
      <c r="AE53" s="816" t="s">
        <v>424</v>
      </c>
      <c r="AF53" s="816"/>
      <c r="AG53" s="816"/>
      <c r="AH53" s="816" t="s">
        <v>424</v>
      </c>
      <c r="AI53" s="816"/>
      <c r="AJ53" s="816"/>
      <c r="AK53" s="816" t="s">
        <v>424</v>
      </c>
      <c r="AL53" s="816"/>
      <c r="AM53" s="816"/>
      <c r="AN53" s="816" t="s">
        <v>424</v>
      </c>
      <c r="AO53" s="816"/>
      <c r="AP53" s="816"/>
      <c r="AQ53" s="579"/>
      <c r="AR53" s="579"/>
      <c r="AS53" s="579"/>
      <c r="AT53" s="573"/>
      <c r="AU53" s="568"/>
      <c r="AV53" s="568"/>
      <c r="AW53" s="568"/>
      <c r="AX53" s="568"/>
      <c r="AY53" s="568"/>
      <c r="AZ53" s="569"/>
      <c r="BA53" s="569"/>
      <c r="BB53" s="551"/>
      <c r="BC53" s="552"/>
      <c r="BD53" s="538"/>
      <c r="BE53" s="596"/>
      <c r="BF53" s="596"/>
      <c r="BG53" s="596"/>
      <c r="BH53" s="598"/>
      <c r="BI53" s="596"/>
      <c r="BJ53" s="596"/>
      <c r="BK53" s="596"/>
      <c r="BL53" s="596"/>
      <c r="BM53" s="596"/>
      <c r="BN53" s="596"/>
      <c r="BO53" s="596"/>
      <c r="BP53" s="596"/>
      <c r="BQ53" s="596"/>
      <c r="BR53" s="596"/>
      <c r="BS53" s="596"/>
      <c r="BT53" s="596"/>
    </row>
    <row r="54" spans="1:72" ht="12.5" customHeight="1">
      <c r="A54" s="540"/>
      <c r="B54" s="566"/>
      <c r="C54" s="575"/>
      <c r="D54" s="576"/>
      <c r="E54" s="776"/>
      <c r="F54" s="776"/>
      <c r="G54" s="778"/>
      <c r="H54" s="778"/>
      <c r="I54" s="778"/>
      <c r="J54" s="815"/>
      <c r="K54" s="778"/>
      <c r="L54" s="778"/>
      <c r="M54" s="815"/>
      <c r="N54" s="778"/>
      <c r="O54" s="778"/>
      <c r="P54" s="778"/>
      <c r="Q54" s="778"/>
      <c r="R54" s="778"/>
      <c r="S54" s="778"/>
      <c r="T54" s="778"/>
      <c r="U54" s="778"/>
      <c r="V54" s="816"/>
      <c r="W54" s="816"/>
      <c r="X54" s="816"/>
      <c r="Y54" s="816"/>
      <c r="Z54" s="816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579"/>
      <c r="AR54" s="579"/>
      <c r="AS54" s="579"/>
      <c r="AT54" s="573"/>
      <c r="AU54" s="568"/>
      <c r="AV54" s="568"/>
      <c r="AW54" s="568"/>
      <c r="AX54" s="568"/>
      <c r="AY54" s="568"/>
      <c r="AZ54" s="569"/>
      <c r="BA54" s="569"/>
      <c r="BB54" s="551"/>
      <c r="BC54" s="552"/>
      <c r="BD54" s="538"/>
      <c r="BE54" s="596"/>
      <c r="BF54" s="596"/>
      <c r="BG54" s="596"/>
      <c r="BH54" s="596"/>
      <c r="BI54" s="596"/>
      <c r="BJ54" s="596"/>
      <c r="BK54" s="596"/>
      <c r="BL54" s="596"/>
      <c r="BM54" s="596"/>
      <c r="BN54" s="596"/>
      <c r="BO54" s="596"/>
      <c r="BP54" s="596"/>
      <c r="BQ54" s="596"/>
      <c r="BR54" s="596"/>
      <c r="BS54" s="596"/>
      <c r="BT54" s="596"/>
    </row>
    <row r="55" spans="1:72" ht="12.5" customHeight="1">
      <c r="A55" s="540"/>
      <c r="B55" s="566"/>
      <c r="C55" s="575"/>
      <c r="D55" s="576"/>
      <c r="E55" s="776"/>
      <c r="F55" s="776"/>
      <c r="G55" s="778"/>
      <c r="H55" s="778"/>
      <c r="I55" s="778"/>
      <c r="J55" s="778"/>
      <c r="K55" s="778"/>
      <c r="L55" s="778"/>
      <c r="M55" s="778"/>
      <c r="N55" s="778"/>
      <c r="O55" s="778"/>
      <c r="P55" s="778"/>
      <c r="Q55" s="778"/>
      <c r="R55" s="778"/>
      <c r="S55" s="778"/>
      <c r="T55" s="778"/>
      <c r="U55" s="778"/>
      <c r="V55" s="816"/>
      <c r="W55" s="816"/>
      <c r="X55" s="816"/>
      <c r="Y55" s="816"/>
      <c r="Z55" s="816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579"/>
      <c r="AR55" s="579"/>
      <c r="AS55" s="581"/>
      <c r="AT55" s="577"/>
      <c r="AU55" s="577"/>
      <c r="AV55" s="577"/>
      <c r="AW55" s="577"/>
      <c r="AX55" s="577"/>
      <c r="AY55" s="577"/>
      <c r="AZ55" s="569"/>
      <c r="BA55" s="569"/>
      <c r="BB55" s="551"/>
      <c r="BC55" s="552"/>
      <c r="BD55" s="538"/>
      <c r="BE55" s="596"/>
      <c r="BF55" s="596"/>
      <c r="BG55" s="596"/>
      <c r="BH55" s="598"/>
      <c r="BI55" s="596"/>
      <c r="BJ55" s="596"/>
      <c r="BK55" s="596"/>
      <c r="BL55" s="596"/>
      <c r="BM55" s="596"/>
      <c r="BN55" s="596"/>
      <c r="BO55" s="596"/>
      <c r="BP55" s="596"/>
      <c r="BQ55" s="596"/>
      <c r="BR55" s="596"/>
      <c r="BS55" s="596"/>
      <c r="BT55" s="596"/>
    </row>
    <row r="56" spans="1:72" ht="12.5" customHeight="1">
      <c r="A56" s="540"/>
      <c r="B56" s="566"/>
      <c r="C56" s="575"/>
      <c r="D56" s="576"/>
      <c r="E56" s="776"/>
      <c r="F56" s="776"/>
      <c r="G56" s="778" t="s">
        <v>410</v>
      </c>
      <c r="H56" s="778"/>
      <c r="I56" s="778"/>
      <c r="J56" s="815" t="s">
        <v>416</v>
      </c>
      <c r="K56" s="778"/>
      <c r="L56" s="778"/>
      <c r="M56" s="815" t="s">
        <v>438</v>
      </c>
      <c r="N56" s="778"/>
      <c r="O56" s="778"/>
      <c r="P56" s="815" t="s">
        <v>440</v>
      </c>
      <c r="Q56" s="778"/>
      <c r="R56" s="778"/>
      <c r="S56" s="777" t="s">
        <v>420</v>
      </c>
      <c r="T56" s="778"/>
      <c r="U56" s="778"/>
      <c r="V56" s="778" t="s">
        <v>425</v>
      </c>
      <c r="W56" s="778"/>
      <c r="X56" s="778"/>
      <c r="Y56" s="778" t="s">
        <v>425</v>
      </c>
      <c r="Z56" s="778"/>
      <c r="AA56" s="778"/>
      <c r="AB56" s="778" t="s">
        <v>425</v>
      </c>
      <c r="AC56" s="778"/>
      <c r="AD56" s="778"/>
      <c r="AE56" s="778" t="s">
        <v>425</v>
      </c>
      <c r="AF56" s="778"/>
      <c r="AG56" s="778"/>
      <c r="AH56" s="778" t="s">
        <v>425</v>
      </c>
      <c r="AI56" s="778"/>
      <c r="AJ56" s="778"/>
      <c r="AK56" s="778" t="s">
        <v>425</v>
      </c>
      <c r="AL56" s="778"/>
      <c r="AM56" s="778"/>
      <c r="AN56" s="778" t="s">
        <v>425</v>
      </c>
      <c r="AO56" s="778"/>
      <c r="AP56" s="778"/>
      <c r="AQ56" s="579"/>
      <c r="AR56" s="579"/>
      <c r="AS56" s="581"/>
      <c r="AT56" s="577"/>
      <c r="AU56" s="577"/>
      <c r="AV56" s="577"/>
      <c r="AW56" s="577"/>
      <c r="AX56" s="577"/>
      <c r="AY56" s="577"/>
      <c r="AZ56" s="569"/>
      <c r="BA56" s="569"/>
      <c r="BB56" s="551"/>
      <c r="BC56" s="552"/>
      <c r="BD56" s="538"/>
      <c r="BE56" s="596"/>
      <c r="BF56" s="596"/>
      <c r="BG56" s="596"/>
      <c r="BH56" s="598"/>
      <c r="BI56" s="596"/>
      <c r="BJ56" s="596"/>
      <c r="BK56" s="596"/>
      <c r="BL56" s="596"/>
      <c r="BM56" s="596"/>
      <c r="BN56" s="596"/>
      <c r="BO56" s="596"/>
      <c r="BP56" s="596"/>
      <c r="BQ56" s="596"/>
      <c r="BR56" s="596"/>
      <c r="BS56" s="596"/>
      <c r="BT56" s="596"/>
    </row>
    <row r="57" spans="1:72" ht="12.5" customHeight="1">
      <c r="A57" s="540"/>
      <c r="B57" s="566"/>
      <c r="C57" s="565"/>
      <c r="D57" s="565"/>
      <c r="E57" s="776"/>
      <c r="F57" s="776"/>
      <c r="G57" s="778"/>
      <c r="H57" s="778"/>
      <c r="I57" s="778"/>
      <c r="J57" s="815"/>
      <c r="K57" s="778"/>
      <c r="L57" s="778"/>
      <c r="M57" s="815"/>
      <c r="N57" s="778"/>
      <c r="O57" s="778"/>
      <c r="P57" s="778"/>
      <c r="Q57" s="778"/>
      <c r="R57" s="778"/>
      <c r="S57" s="777"/>
      <c r="T57" s="778"/>
      <c r="U57" s="778"/>
      <c r="V57" s="778"/>
      <c r="W57" s="778"/>
      <c r="X57" s="778"/>
      <c r="Y57" s="778"/>
      <c r="Z57" s="778"/>
      <c r="AA57" s="778"/>
      <c r="AB57" s="778"/>
      <c r="AC57" s="778"/>
      <c r="AD57" s="778"/>
      <c r="AE57" s="778"/>
      <c r="AF57" s="778"/>
      <c r="AG57" s="778"/>
      <c r="AH57" s="778"/>
      <c r="AI57" s="778"/>
      <c r="AJ57" s="778"/>
      <c r="AK57" s="778"/>
      <c r="AL57" s="778"/>
      <c r="AM57" s="778"/>
      <c r="AN57" s="778"/>
      <c r="AO57" s="778"/>
      <c r="AP57" s="778"/>
      <c r="AQ57" s="579"/>
      <c r="AR57" s="579"/>
      <c r="AS57" s="580"/>
      <c r="AT57" s="571"/>
      <c r="AU57" s="565"/>
      <c r="AV57" s="568"/>
      <c r="AW57" s="568"/>
      <c r="AX57" s="568"/>
      <c r="AY57" s="565"/>
      <c r="AZ57" s="569"/>
      <c r="BA57" s="569"/>
      <c r="BB57" s="536"/>
      <c r="BC57" s="537"/>
      <c r="BD57" s="539"/>
      <c r="BE57" s="596"/>
      <c r="BF57" s="596"/>
      <c r="BG57" s="596"/>
      <c r="BH57" s="598"/>
      <c r="BI57" s="596"/>
      <c r="BJ57" s="596"/>
      <c r="BK57" s="596"/>
      <c r="BL57" s="596"/>
      <c r="BM57" s="596"/>
      <c r="BN57" s="596"/>
      <c r="BO57" s="596"/>
      <c r="BP57" s="596"/>
      <c r="BQ57" s="596"/>
      <c r="BR57" s="596"/>
      <c r="BS57" s="596"/>
      <c r="BT57" s="596"/>
    </row>
    <row r="58" spans="1:72" ht="12.5" customHeight="1">
      <c r="A58" s="540"/>
      <c r="B58" s="566"/>
      <c r="C58" s="565"/>
      <c r="D58" s="565"/>
      <c r="E58" s="776"/>
      <c r="F58" s="776"/>
      <c r="G58" s="778"/>
      <c r="H58" s="778"/>
      <c r="I58" s="778"/>
      <c r="J58" s="778"/>
      <c r="K58" s="778"/>
      <c r="L58" s="778"/>
      <c r="M58" s="778"/>
      <c r="N58" s="778"/>
      <c r="O58" s="778"/>
      <c r="P58" s="778"/>
      <c r="Q58" s="778"/>
      <c r="R58" s="778"/>
      <c r="S58" s="778"/>
      <c r="T58" s="778"/>
      <c r="U58" s="778"/>
      <c r="V58" s="778"/>
      <c r="W58" s="778"/>
      <c r="X58" s="778"/>
      <c r="Y58" s="778"/>
      <c r="Z58" s="778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579"/>
      <c r="AR58" s="579"/>
      <c r="AS58" s="580"/>
      <c r="AT58" s="571"/>
      <c r="AU58" s="565"/>
      <c r="AV58" s="568"/>
      <c r="AW58" s="568"/>
      <c r="AX58" s="568"/>
      <c r="AY58" s="565"/>
      <c r="AZ58" s="569"/>
      <c r="BA58" s="569"/>
      <c r="BB58" s="536"/>
      <c r="BC58" s="537"/>
      <c r="BD58" s="539"/>
      <c r="BE58" s="596"/>
      <c r="BF58" s="596"/>
      <c r="BG58" s="596"/>
      <c r="BH58" s="598"/>
      <c r="BI58" s="596"/>
      <c r="BJ58" s="596"/>
      <c r="BK58" s="596"/>
      <c r="BL58" s="596"/>
      <c r="BM58" s="596"/>
      <c r="BN58" s="596"/>
      <c r="BO58" s="596"/>
      <c r="BP58" s="596"/>
      <c r="BQ58" s="596"/>
      <c r="BR58" s="596"/>
      <c r="BS58" s="596"/>
      <c r="BT58" s="596"/>
    </row>
    <row r="59" spans="1:72" ht="12.5" customHeight="1">
      <c r="A59" s="540"/>
      <c r="B59" s="566"/>
      <c r="C59" s="575"/>
      <c r="D59" s="576"/>
      <c r="E59" s="776"/>
      <c r="F59" s="776"/>
      <c r="G59" s="778" t="s">
        <v>299</v>
      </c>
      <c r="H59" s="778"/>
      <c r="I59" s="778"/>
      <c r="J59" s="815" t="s">
        <v>417</v>
      </c>
      <c r="K59" s="778"/>
      <c r="L59" s="778"/>
      <c r="M59" s="778" t="s">
        <v>299</v>
      </c>
      <c r="N59" s="778"/>
      <c r="O59" s="778"/>
      <c r="P59" s="778" t="s">
        <v>299</v>
      </c>
      <c r="Q59" s="778"/>
      <c r="R59" s="778"/>
      <c r="S59" s="778" t="s">
        <v>299</v>
      </c>
      <c r="T59" s="778"/>
      <c r="U59" s="778"/>
      <c r="V59" s="778"/>
      <c r="W59" s="778"/>
      <c r="X59" s="778"/>
      <c r="Y59" s="778"/>
      <c r="Z59" s="778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579"/>
      <c r="AR59" s="579"/>
      <c r="AS59" s="579"/>
      <c r="AT59" s="573"/>
      <c r="AU59" s="568"/>
      <c r="AV59" s="568"/>
      <c r="AW59" s="568"/>
      <c r="AX59" s="568"/>
      <c r="AY59" s="568"/>
      <c r="AZ59" s="569"/>
      <c r="BA59" s="569"/>
      <c r="BB59" s="551"/>
      <c r="BC59" s="552"/>
      <c r="BD59" s="538"/>
      <c r="BE59" s="596"/>
      <c r="BF59" s="596"/>
      <c r="BG59" s="596"/>
      <c r="BH59" s="598"/>
      <c r="BI59" s="596"/>
      <c r="BJ59" s="596"/>
      <c r="BK59" s="596"/>
      <c r="BL59" s="596"/>
      <c r="BM59" s="596"/>
      <c r="BN59" s="596"/>
      <c r="BO59" s="596"/>
      <c r="BP59" s="596"/>
      <c r="BQ59" s="596"/>
      <c r="BR59" s="596"/>
      <c r="BS59" s="596"/>
      <c r="BT59" s="596"/>
    </row>
    <row r="60" spans="1:72" ht="12.5" customHeight="1">
      <c r="A60" s="540"/>
      <c r="B60" s="566"/>
      <c r="C60" s="575"/>
      <c r="D60" s="576"/>
      <c r="E60" s="776"/>
      <c r="F60" s="776"/>
      <c r="G60" s="778"/>
      <c r="H60" s="778"/>
      <c r="I60" s="778"/>
      <c r="J60" s="815"/>
      <c r="K60" s="778"/>
      <c r="L60" s="778"/>
      <c r="M60" s="778"/>
      <c r="N60" s="778"/>
      <c r="O60" s="778"/>
      <c r="P60" s="778"/>
      <c r="Q60" s="778"/>
      <c r="R60" s="778"/>
      <c r="S60" s="778"/>
      <c r="T60" s="778"/>
      <c r="U60" s="778"/>
      <c r="V60" s="778"/>
      <c r="W60" s="778"/>
      <c r="X60" s="778"/>
      <c r="Y60" s="778"/>
      <c r="Z60" s="778"/>
      <c r="AA60" s="778"/>
      <c r="AB60" s="778"/>
      <c r="AC60" s="778"/>
      <c r="AD60" s="778"/>
      <c r="AE60" s="778"/>
      <c r="AF60" s="778"/>
      <c r="AG60" s="778"/>
      <c r="AH60" s="778"/>
      <c r="AI60" s="778"/>
      <c r="AJ60" s="778"/>
      <c r="AK60" s="778"/>
      <c r="AL60" s="778"/>
      <c r="AM60" s="778"/>
      <c r="AN60" s="778"/>
      <c r="AO60" s="778"/>
      <c r="AP60" s="778"/>
      <c r="AQ60" s="579"/>
      <c r="AR60" s="579"/>
      <c r="AS60" s="581"/>
      <c r="AT60" s="577"/>
      <c r="AU60" s="577"/>
      <c r="AV60" s="577"/>
      <c r="AW60" s="577"/>
      <c r="AX60" s="577"/>
      <c r="AY60" s="577"/>
      <c r="AZ60" s="569"/>
      <c r="BA60" s="569"/>
      <c r="BB60" s="551"/>
      <c r="BC60" s="552"/>
      <c r="BD60" s="538"/>
      <c r="BE60" s="596"/>
      <c r="BF60" s="596"/>
      <c r="BG60" s="596"/>
      <c r="BH60" s="598"/>
      <c r="BI60" s="596"/>
      <c r="BJ60" s="596"/>
      <c r="BK60" s="596"/>
      <c r="BL60" s="596"/>
      <c r="BM60" s="596"/>
      <c r="BN60" s="596"/>
      <c r="BO60" s="596"/>
      <c r="BP60" s="596"/>
      <c r="BQ60" s="596"/>
      <c r="BR60" s="596"/>
      <c r="BS60" s="596"/>
      <c r="BT60" s="596"/>
    </row>
    <row r="61" spans="1:72" ht="12.5" customHeight="1">
      <c r="A61" s="540"/>
      <c r="B61" s="566"/>
      <c r="C61" s="575"/>
      <c r="D61" s="576"/>
      <c r="E61" s="776"/>
      <c r="F61" s="776"/>
      <c r="G61" s="778"/>
      <c r="H61" s="778"/>
      <c r="I61" s="778"/>
      <c r="J61" s="778"/>
      <c r="K61" s="778"/>
      <c r="L61" s="778"/>
      <c r="M61" s="778"/>
      <c r="N61" s="778"/>
      <c r="O61" s="778"/>
      <c r="P61" s="778"/>
      <c r="Q61" s="778"/>
      <c r="R61" s="778"/>
      <c r="S61" s="778"/>
      <c r="T61" s="778"/>
      <c r="U61" s="778"/>
      <c r="V61" s="778"/>
      <c r="W61" s="778"/>
      <c r="X61" s="778"/>
      <c r="Y61" s="778"/>
      <c r="Z61" s="778"/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579"/>
      <c r="AR61" s="579"/>
      <c r="AS61" s="581"/>
      <c r="AT61" s="577"/>
      <c r="AU61" s="577"/>
      <c r="AV61" s="577"/>
      <c r="AW61" s="577"/>
      <c r="AX61" s="577"/>
      <c r="AY61" s="577"/>
      <c r="AZ61" s="569"/>
      <c r="BA61" s="569"/>
      <c r="BB61" s="551"/>
      <c r="BC61" s="552"/>
      <c r="BD61" s="538"/>
      <c r="BE61" s="596"/>
      <c r="BF61" s="596"/>
      <c r="BG61" s="596"/>
      <c r="BH61" s="598"/>
      <c r="BI61" s="596"/>
      <c r="BJ61" s="596"/>
      <c r="BK61" s="596"/>
      <c r="BL61" s="596"/>
      <c r="BM61" s="596"/>
      <c r="BN61" s="596"/>
      <c r="BO61" s="596"/>
      <c r="BP61" s="596"/>
      <c r="BQ61" s="596"/>
      <c r="BR61" s="596"/>
      <c r="BS61" s="596"/>
      <c r="BT61" s="596"/>
    </row>
    <row r="62" spans="1:72" ht="12.5" customHeight="1">
      <c r="A62" s="540"/>
      <c r="B62" s="566"/>
      <c r="C62" s="565"/>
      <c r="D62" s="565"/>
      <c r="E62" s="565"/>
      <c r="F62" s="565"/>
      <c r="G62" s="565"/>
      <c r="H62" s="579"/>
      <c r="I62" s="579"/>
      <c r="J62" s="579"/>
      <c r="K62" s="579"/>
      <c r="L62" s="579"/>
      <c r="M62" s="579"/>
      <c r="N62" s="579"/>
      <c r="O62" s="579"/>
      <c r="P62" s="579"/>
      <c r="Q62" s="579"/>
      <c r="R62" s="579"/>
      <c r="S62" s="579"/>
      <c r="T62" s="579"/>
      <c r="U62" s="579"/>
      <c r="V62" s="579"/>
      <c r="W62" s="579"/>
      <c r="X62" s="579"/>
      <c r="Y62" s="579"/>
      <c r="Z62" s="579"/>
      <c r="AA62" s="579"/>
      <c r="AB62" s="579"/>
      <c r="AC62" s="579"/>
      <c r="AD62" s="579"/>
      <c r="AE62" s="579"/>
      <c r="AF62" s="579"/>
      <c r="AG62" s="579"/>
      <c r="AH62" s="579"/>
      <c r="AI62" s="579"/>
      <c r="AJ62" s="579"/>
      <c r="AK62" s="579"/>
      <c r="AL62" s="579"/>
      <c r="AM62" s="579"/>
      <c r="AN62" s="579"/>
      <c r="AO62" s="579"/>
      <c r="AP62" s="579"/>
      <c r="AQ62" s="579"/>
      <c r="AR62" s="579"/>
      <c r="AS62" s="580"/>
      <c r="AT62" s="571"/>
      <c r="AU62" s="565"/>
      <c r="AV62" s="568"/>
      <c r="AW62" s="568"/>
      <c r="AX62" s="568"/>
      <c r="AY62" s="565"/>
      <c r="AZ62" s="569"/>
      <c r="BA62" s="569"/>
      <c r="BB62" s="536"/>
      <c r="BC62" s="537"/>
      <c r="BD62" s="539"/>
      <c r="BE62" s="596"/>
      <c r="BF62" s="596"/>
      <c r="BG62" s="596"/>
      <c r="BH62" s="598"/>
      <c r="BI62" s="596"/>
      <c r="BJ62" s="596"/>
      <c r="BK62" s="596"/>
      <c r="BL62" s="596"/>
      <c r="BM62" s="596"/>
      <c r="BN62" s="596"/>
      <c r="BO62" s="596"/>
      <c r="BP62" s="596"/>
      <c r="BQ62" s="596"/>
      <c r="BR62" s="596"/>
      <c r="BS62" s="596"/>
      <c r="BT62" s="596"/>
    </row>
    <row r="63" spans="1:72" ht="12.5" customHeight="1">
      <c r="A63" s="540"/>
      <c r="B63" s="566"/>
      <c r="C63" s="575"/>
      <c r="D63" s="576"/>
      <c r="E63" s="568"/>
      <c r="F63" s="568"/>
      <c r="G63" s="568"/>
      <c r="H63" s="579"/>
      <c r="I63" s="579"/>
      <c r="J63" s="579"/>
      <c r="K63" s="579"/>
      <c r="L63" s="579"/>
      <c r="M63" s="579"/>
      <c r="N63" s="579"/>
      <c r="O63" s="579"/>
      <c r="P63" s="579"/>
      <c r="Q63" s="579"/>
      <c r="R63" s="579"/>
      <c r="S63" s="579"/>
      <c r="T63" s="579"/>
      <c r="U63" s="579"/>
      <c r="V63" s="579"/>
      <c r="W63" s="579"/>
      <c r="X63" s="579"/>
      <c r="Y63" s="579"/>
      <c r="Z63" s="579"/>
      <c r="AA63" s="579"/>
      <c r="AB63" s="579"/>
      <c r="AC63" s="579"/>
      <c r="AD63" s="579"/>
      <c r="AE63" s="579"/>
      <c r="AF63" s="579"/>
      <c r="AG63" s="579"/>
      <c r="AH63" s="579"/>
      <c r="AI63" s="579"/>
      <c r="AJ63" s="579"/>
      <c r="AK63" s="579"/>
      <c r="AL63" s="579"/>
      <c r="AM63" s="579"/>
      <c r="AN63" s="579"/>
      <c r="AO63" s="579"/>
      <c r="AP63" s="579"/>
      <c r="AQ63" s="579"/>
      <c r="AR63" s="579"/>
      <c r="AS63" s="579"/>
      <c r="AT63" s="573"/>
      <c r="AU63" s="568"/>
      <c r="AV63" s="568"/>
      <c r="AW63" s="568"/>
      <c r="AX63" s="568"/>
      <c r="AY63" s="568"/>
      <c r="AZ63" s="569"/>
      <c r="BA63" s="569"/>
      <c r="BB63" s="551"/>
      <c r="BC63" s="552"/>
      <c r="BD63" s="538"/>
      <c r="BE63" s="596"/>
      <c r="BF63" s="596"/>
      <c r="BG63" s="596"/>
      <c r="BH63" s="598"/>
      <c r="BI63" s="596"/>
      <c r="BJ63" s="596"/>
      <c r="BK63" s="596"/>
      <c r="BL63" s="596"/>
      <c r="BM63" s="596"/>
      <c r="BN63" s="596"/>
      <c r="BO63" s="596"/>
      <c r="BP63" s="596"/>
      <c r="BQ63" s="596"/>
      <c r="BR63" s="596"/>
      <c r="BS63" s="596"/>
      <c r="BT63" s="596"/>
    </row>
    <row r="64" spans="1:72" ht="12.5" customHeight="1">
      <c r="A64" s="540"/>
      <c r="B64" s="566"/>
      <c r="C64" s="575"/>
      <c r="D64" s="576"/>
      <c r="E64" s="568"/>
      <c r="F64" s="568"/>
      <c r="G64" s="568"/>
      <c r="H64" s="579"/>
      <c r="I64" s="579"/>
      <c r="J64" s="579"/>
      <c r="K64" s="579"/>
      <c r="L64" s="579"/>
      <c r="M64" s="579"/>
      <c r="N64" s="579"/>
      <c r="O64" s="579"/>
      <c r="P64" s="579"/>
      <c r="Q64" s="579"/>
      <c r="R64" s="579"/>
      <c r="S64" s="579"/>
      <c r="T64" s="579"/>
      <c r="U64" s="579"/>
      <c r="V64" s="579"/>
      <c r="W64" s="579"/>
      <c r="X64" s="579"/>
      <c r="Y64" s="579"/>
      <c r="Z64" s="579"/>
      <c r="AA64" s="579"/>
      <c r="AB64" s="579"/>
      <c r="AC64" s="579"/>
      <c r="AD64" s="579"/>
      <c r="AE64" s="579"/>
      <c r="AF64" s="579"/>
      <c r="AG64" s="579"/>
      <c r="AH64" s="579"/>
      <c r="AI64" s="579"/>
      <c r="AJ64" s="579"/>
      <c r="AK64" s="579"/>
      <c r="AL64" s="579"/>
      <c r="AM64" s="579"/>
      <c r="AN64" s="579"/>
      <c r="AO64" s="579"/>
      <c r="AP64" s="579"/>
      <c r="AQ64" s="579"/>
      <c r="AR64" s="579"/>
      <c r="AS64" s="581"/>
      <c r="AT64" s="577"/>
      <c r="AU64" s="577"/>
      <c r="AV64" s="577"/>
      <c r="AW64" s="577"/>
      <c r="AX64" s="577"/>
      <c r="AY64" s="577"/>
      <c r="AZ64" s="569"/>
      <c r="BA64" s="569"/>
      <c r="BB64" s="551"/>
      <c r="BC64" s="552"/>
      <c r="BD64" s="538"/>
      <c r="BE64" s="596"/>
      <c r="BF64" s="596"/>
      <c r="BG64" s="596"/>
      <c r="BH64" s="598"/>
      <c r="BI64" s="596"/>
      <c r="BJ64" s="596"/>
      <c r="BK64" s="596"/>
      <c r="BL64" s="596"/>
      <c r="BM64" s="596"/>
      <c r="BN64" s="596"/>
      <c r="BO64" s="596"/>
      <c r="BP64" s="596"/>
      <c r="BQ64" s="596"/>
      <c r="BR64" s="596"/>
      <c r="BS64" s="596"/>
      <c r="BT64" s="596"/>
    </row>
    <row r="65" spans="1:72" ht="12.5" customHeight="1">
      <c r="A65" s="540"/>
      <c r="B65" s="566"/>
      <c r="C65" s="575"/>
      <c r="D65" s="576"/>
      <c r="E65" s="568"/>
      <c r="F65" s="568"/>
      <c r="G65" s="568"/>
      <c r="H65" s="579"/>
      <c r="I65" s="579"/>
      <c r="J65" s="792"/>
      <c r="K65" s="792"/>
      <c r="L65" s="792"/>
      <c r="M65" s="792"/>
      <c r="N65" s="582"/>
      <c r="O65" s="583"/>
      <c r="P65" s="582"/>
      <c r="Q65" s="579"/>
      <c r="R65" s="579"/>
      <c r="S65" s="579"/>
      <c r="T65" s="580"/>
      <c r="U65" s="580"/>
      <c r="V65" s="580"/>
      <c r="W65" s="580"/>
      <c r="X65" s="580"/>
      <c r="Y65" s="583"/>
      <c r="Z65" s="580"/>
      <c r="AA65" s="579"/>
      <c r="AB65" s="583"/>
      <c r="AC65" s="580"/>
      <c r="AD65" s="579"/>
      <c r="AE65" s="583"/>
      <c r="AF65" s="579"/>
      <c r="AG65" s="579"/>
      <c r="AH65" s="583"/>
      <c r="AI65" s="579"/>
      <c r="AJ65" s="579"/>
      <c r="AK65" s="584"/>
      <c r="AL65" s="579"/>
      <c r="AM65" s="579"/>
      <c r="AN65" s="579"/>
      <c r="AO65" s="579"/>
      <c r="AP65" s="579"/>
      <c r="AQ65" s="579"/>
      <c r="AR65" s="579"/>
      <c r="AS65" s="579"/>
      <c r="AT65" s="568"/>
      <c r="AU65" s="568"/>
      <c r="AV65" s="568"/>
      <c r="AW65" s="568"/>
      <c r="AX65" s="568"/>
      <c r="AY65" s="568"/>
      <c r="AZ65" s="569"/>
      <c r="BA65" s="569"/>
      <c r="BB65" s="551"/>
      <c r="BC65" s="552"/>
      <c r="BD65" s="538"/>
      <c r="BE65" s="596"/>
      <c r="BF65" s="596"/>
      <c r="BG65" s="596"/>
      <c r="BH65" s="598"/>
      <c r="BI65" s="596"/>
      <c r="BJ65" s="596"/>
      <c r="BK65" s="596"/>
      <c r="BL65" s="596"/>
      <c r="BM65" s="596"/>
      <c r="BN65" s="596"/>
      <c r="BO65" s="596"/>
      <c r="BP65" s="596"/>
      <c r="BQ65" s="596"/>
      <c r="BR65" s="596"/>
      <c r="BS65" s="596"/>
      <c r="BT65" s="596"/>
    </row>
    <row r="66" spans="1:72" ht="12.5" customHeight="1">
      <c r="A66" s="540"/>
      <c r="B66" s="566"/>
      <c r="C66" s="575"/>
      <c r="D66" s="576"/>
      <c r="E66" s="568"/>
      <c r="F66" s="568"/>
      <c r="G66" s="568"/>
      <c r="H66" s="579"/>
      <c r="I66" s="579"/>
      <c r="J66" s="579"/>
      <c r="K66" s="579"/>
      <c r="L66" s="579"/>
      <c r="M66" s="579"/>
      <c r="N66" s="579"/>
      <c r="O66" s="579"/>
      <c r="P66" s="579"/>
      <c r="Q66" s="579"/>
      <c r="R66" s="579"/>
      <c r="S66" s="579"/>
      <c r="T66" s="579"/>
      <c r="U66" s="579"/>
      <c r="V66" s="579"/>
      <c r="W66" s="579"/>
      <c r="X66" s="579"/>
      <c r="Y66" s="579"/>
      <c r="Z66" s="579"/>
      <c r="AA66" s="579"/>
      <c r="AB66" s="579"/>
      <c r="AC66" s="579"/>
      <c r="AD66" s="579"/>
      <c r="AE66" s="579"/>
      <c r="AF66" s="579"/>
      <c r="AG66" s="579"/>
      <c r="AH66" s="579"/>
      <c r="AI66" s="579"/>
      <c r="AJ66" s="579"/>
      <c r="AK66" s="579"/>
      <c r="AL66" s="579"/>
      <c r="AM66" s="579"/>
      <c r="AN66" s="579"/>
      <c r="AO66" s="579"/>
      <c r="AP66" s="579"/>
      <c r="AQ66" s="579"/>
      <c r="AR66" s="579"/>
      <c r="AS66" s="579"/>
      <c r="AT66" s="573"/>
      <c r="AU66" s="568"/>
      <c r="AV66" s="568"/>
      <c r="AW66" s="568"/>
      <c r="AX66" s="568"/>
      <c r="AY66" s="568"/>
      <c r="AZ66" s="569"/>
      <c r="BA66" s="569"/>
      <c r="BB66" s="551"/>
      <c r="BC66" s="552"/>
      <c r="BD66" s="538"/>
      <c r="BE66" s="596"/>
      <c r="BF66" s="596"/>
      <c r="BG66" s="596"/>
      <c r="BH66" s="598"/>
      <c r="BI66" s="596"/>
      <c r="BJ66" s="596"/>
      <c r="BK66" s="596"/>
      <c r="BL66" s="596"/>
      <c r="BM66" s="596"/>
      <c r="BN66" s="596"/>
      <c r="BO66" s="596"/>
      <c r="BP66" s="596"/>
      <c r="BQ66" s="596"/>
      <c r="BR66" s="596"/>
      <c r="BS66" s="596"/>
      <c r="BT66" s="596"/>
    </row>
    <row r="67" spans="1:72" ht="12.5" customHeight="1">
      <c r="A67" s="540"/>
      <c r="B67" s="566"/>
      <c r="C67" s="575"/>
      <c r="D67" s="576"/>
      <c r="E67" s="568"/>
      <c r="F67" s="568"/>
      <c r="G67" s="568"/>
      <c r="H67" s="579"/>
      <c r="I67" s="579"/>
      <c r="J67" s="579"/>
      <c r="K67" s="579"/>
      <c r="L67" s="579"/>
      <c r="M67" s="579"/>
      <c r="N67" s="579"/>
      <c r="O67" s="579"/>
      <c r="P67" s="579"/>
      <c r="Q67" s="579"/>
      <c r="R67" s="579"/>
      <c r="S67" s="579"/>
      <c r="T67" s="579"/>
      <c r="U67" s="579"/>
      <c r="V67" s="579"/>
      <c r="W67" s="579"/>
      <c r="X67" s="579"/>
      <c r="Y67" s="579"/>
      <c r="Z67" s="579"/>
      <c r="AA67" s="579"/>
      <c r="AB67" s="579"/>
      <c r="AC67" s="579"/>
      <c r="AD67" s="579"/>
      <c r="AE67" s="579"/>
      <c r="AF67" s="579"/>
      <c r="AG67" s="579"/>
      <c r="AH67" s="579"/>
      <c r="AI67" s="579"/>
      <c r="AJ67" s="579"/>
      <c r="AK67" s="579"/>
      <c r="AL67" s="579"/>
      <c r="AM67" s="579"/>
      <c r="AN67" s="579"/>
      <c r="AO67" s="579"/>
      <c r="AP67" s="579"/>
      <c r="AQ67" s="579"/>
      <c r="AR67" s="579"/>
      <c r="AS67" s="581"/>
      <c r="AT67" s="577"/>
      <c r="AU67" s="577"/>
      <c r="AV67" s="577"/>
      <c r="AW67" s="577"/>
      <c r="AX67" s="577"/>
      <c r="AY67" s="577"/>
      <c r="AZ67" s="569"/>
      <c r="BA67" s="569"/>
      <c r="BB67" s="551"/>
      <c r="BC67" s="552"/>
      <c r="BD67" s="538"/>
      <c r="BE67" s="596"/>
      <c r="BF67" s="596"/>
      <c r="BG67" s="596"/>
      <c r="BH67" s="598"/>
      <c r="BI67" s="596"/>
      <c r="BJ67" s="596"/>
      <c r="BK67" s="596"/>
      <c r="BL67" s="596"/>
      <c r="BM67" s="596"/>
      <c r="BN67" s="596"/>
      <c r="BO67" s="596"/>
      <c r="BP67" s="596"/>
      <c r="BQ67" s="596"/>
      <c r="BR67" s="596"/>
      <c r="BS67" s="596"/>
      <c r="BT67" s="596"/>
    </row>
    <row r="68" spans="1:72" ht="12.5" customHeight="1">
      <c r="A68" s="540"/>
      <c r="B68" s="566"/>
      <c r="C68" s="575"/>
      <c r="D68" s="576"/>
      <c r="E68" s="568"/>
      <c r="F68" s="568"/>
      <c r="G68" s="568"/>
      <c r="H68" s="579"/>
      <c r="I68" s="579"/>
      <c r="J68" s="792"/>
      <c r="K68" s="792"/>
      <c r="L68" s="792"/>
      <c r="M68" s="792"/>
      <c r="N68" s="582"/>
      <c r="O68" s="583"/>
      <c r="P68" s="582"/>
      <c r="Q68" s="579"/>
      <c r="R68" s="579"/>
      <c r="S68" s="579"/>
      <c r="T68" s="580"/>
      <c r="U68" s="580"/>
      <c r="V68" s="580"/>
      <c r="W68" s="580"/>
      <c r="X68" s="580"/>
      <c r="Y68" s="583"/>
      <c r="Z68" s="580"/>
      <c r="AA68" s="579"/>
      <c r="AB68" s="583"/>
      <c r="AC68" s="580"/>
      <c r="AD68" s="579"/>
      <c r="AE68" s="583"/>
      <c r="AF68" s="579"/>
      <c r="AG68" s="579"/>
      <c r="AH68" s="583"/>
      <c r="AI68" s="579"/>
      <c r="AJ68" s="579"/>
      <c r="AK68" s="584"/>
      <c r="AL68" s="579"/>
      <c r="AM68" s="579"/>
      <c r="AN68" s="579"/>
      <c r="AO68" s="579"/>
      <c r="AP68" s="579"/>
      <c r="AQ68" s="579"/>
      <c r="AR68" s="579"/>
      <c r="AS68" s="579"/>
      <c r="AT68" s="568"/>
      <c r="AU68" s="568"/>
      <c r="AV68" s="568"/>
      <c r="AW68" s="568"/>
      <c r="AX68" s="568"/>
      <c r="AY68" s="568"/>
      <c r="AZ68" s="569"/>
      <c r="BA68" s="569"/>
      <c r="BB68" s="551"/>
      <c r="BC68" s="552"/>
      <c r="BD68" s="538"/>
      <c r="BE68" s="596"/>
      <c r="BF68" s="596"/>
      <c r="BG68" s="596"/>
      <c r="BH68" s="598"/>
      <c r="BI68" s="596"/>
      <c r="BJ68" s="596"/>
      <c r="BK68" s="596"/>
      <c r="BL68" s="596"/>
      <c r="BM68" s="596"/>
      <c r="BN68" s="596"/>
      <c r="BO68" s="596"/>
      <c r="BP68" s="596"/>
      <c r="BQ68" s="596"/>
      <c r="BR68" s="596"/>
      <c r="BS68" s="596"/>
      <c r="BT68" s="596"/>
    </row>
    <row r="69" spans="1:72" ht="12.5" customHeight="1">
      <c r="A69" s="540"/>
      <c r="B69" s="566"/>
      <c r="C69" s="575"/>
      <c r="D69" s="576"/>
      <c r="E69" s="568"/>
      <c r="F69" s="568"/>
      <c r="G69" s="568"/>
      <c r="H69" s="579"/>
      <c r="I69" s="579"/>
      <c r="J69" s="579"/>
      <c r="K69" s="579"/>
      <c r="L69" s="579"/>
      <c r="M69" s="579"/>
      <c r="N69" s="579"/>
      <c r="O69" s="579"/>
      <c r="P69" s="579"/>
      <c r="Q69" s="579"/>
      <c r="R69" s="579"/>
      <c r="S69" s="579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  <c r="AF69" s="579"/>
      <c r="AG69" s="579"/>
      <c r="AH69" s="579"/>
      <c r="AI69" s="579"/>
      <c r="AJ69" s="579"/>
      <c r="AK69" s="579"/>
      <c r="AL69" s="579"/>
      <c r="AM69" s="579"/>
      <c r="AN69" s="579"/>
      <c r="AO69" s="579"/>
      <c r="AP69" s="579"/>
      <c r="AQ69" s="579"/>
      <c r="AR69" s="579"/>
      <c r="AS69" s="581"/>
      <c r="AT69" s="577"/>
      <c r="AU69" s="577"/>
      <c r="AV69" s="577"/>
      <c r="AW69" s="577"/>
      <c r="AX69" s="577"/>
      <c r="AY69" s="577"/>
      <c r="AZ69" s="569"/>
      <c r="BA69" s="569"/>
      <c r="BB69" s="551"/>
      <c r="BC69" s="552"/>
      <c r="BD69" s="538"/>
      <c r="BE69" s="596"/>
      <c r="BF69" s="596"/>
      <c r="BG69" s="596"/>
      <c r="BH69" s="598"/>
      <c r="BI69" s="596"/>
      <c r="BJ69" s="596"/>
      <c r="BK69" s="596"/>
      <c r="BL69" s="596"/>
      <c r="BM69" s="596"/>
      <c r="BN69" s="596"/>
      <c r="BO69" s="596"/>
      <c r="BP69" s="596"/>
      <c r="BQ69" s="596"/>
      <c r="BR69" s="596"/>
      <c r="BS69" s="596"/>
      <c r="BT69" s="596"/>
    </row>
    <row r="70" spans="1:72" ht="12.5" customHeight="1">
      <c r="A70" s="540"/>
      <c r="B70" s="566"/>
      <c r="C70" s="575"/>
      <c r="D70" s="576"/>
      <c r="E70" s="638" t="s">
        <v>426</v>
      </c>
      <c r="F70" s="568"/>
      <c r="G70" s="568"/>
      <c r="H70" s="579"/>
      <c r="I70" s="579"/>
      <c r="J70" s="579"/>
      <c r="K70" s="579"/>
      <c r="L70" s="579"/>
      <c r="M70" s="579"/>
      <c r="N70" s="579"/>
      <c r="O70" s="579"/>
      <c r="P70" s="579"/>
      <c r="Q70" s="579"/>
      <c r="R70" s="579"/>
      <c r="S70" s="579"/>
      <c r="T70" s="579"/>
      <c r="U70" s="579"/>
      <c r="V70" s="579"/>
      <c r="W70" s="579"/>
      <c r="X70" s="579"/>
      <c r="Y70" s="579"/>
      <c r="Z70" s="579"/>
      <c r="AA70" s="579"/>
      <c r="AB70" s="579"/>
      <c r="AC70" s="579"/>
      <c r="AD70" s="579"/>
      <c r="AE70" s="579"/>
      <c r="AF70" s="579"/>
      <c r="AG70" s="579"/>
      <c r="AH70" s="579"/>
      <c r="AI70" s="579"/>
      <c r="AJ70" s="579"/>
      <c r="AK70" s="579"/>
      <c r="AL70" s="579"/>
      <c r="AM70" s="579"/>
      <c r="AN70" s="579"/>
      <c r="AO70" s="579"/>
      <c r="AP70" s="579"/>
      <c r="AQ70" s="579"/>
      <c r="AR70" s="579"/>
      <c r="AS70" s="579"/>
      <c r="AT70" s="573"/>
      <c r="AU70" s="568"/>
      <c r="AV70" s="568"/>
      <c r="AW70" s="568"/>
      <c r="AX70" s="568"/>
      <c r="AY70" s="568"/>
      <c r="AZ70" s="569"/>
      <c r="BA70" s="569"/>
      <c r="BB70" s="551"/>
      <c r="BC70" s="552"/>
      <c r="BD70" s="538"/>
      <c r="BE70" s="596"/>
      <c r="BF70" s="596"/>
      <c r="BG70" s="596"/>
      <c r="BH70" s="598"/>
      <c r="BI70" s="596"/>
      <c r="BJ70" s="596"/>
      <c r="BK70" s="596"/>
      <c r="BL70" s="596"/>
      <c r="BM70" s="596"/>
      <c r="BN70" s="596"/>
      <c r="BO70" s="596"/>
      <c r="BP70" s="596"/>
      <c r="BQ70" s="596"/>
      <c r="BR70" s="596"/>
      <c r="BS70" s="596"/>
      <c r="BT70" s="596"/>
    </row>
    <row r="71" spans="1:72" ht="12.5" customHeight="1">
      <c r="A71" s="540"/>
      <c r="B71" s="566"/>
      <c r="C71" s="575"/>
      <c r="D71" s="576"/>
      <c r="E71" s="568" t="s">
        <v>441</v>
      </c>
      <c r="F71" s="568"/>
      <c r="G71" s="568"/>
      <c r="H71" s="579"/>
      <c r="I71" s="579"/>
      <c r="J71" s="579"/>
      <c r="K71" s="579"/>
      <c r="L71" s="579"/>
      <c r="M71" s="579"/>
      <c r="N71" s="579"/>
      <c r="O71" s="579"/>
      <c r="P71" s="579"/>
      <c r="Q71" s="579"/>
      <c r="R71" s="579"/>
      <c r="S71" s="579"/>
      <c r="T71" s="579"/>
      <c r="U71" s="579"/>
      <c r="V71" s="579"/>
      <c r="W71" s="579"/>
      <c r="X71" s="579"/>
      <c r="Y71" s="579"/>
      <c r="Z71" s="579"/>
      <c r="AA71" s="579"/>
      <c r="AB71" s="579"/>
      <c r="AC71" s="579"/>
      <c r="AD71" s="579"/>
      <c r="AE71" s="579"/>
      <c r="AF71" s="579"/>
      <c r="AG71" s="579"/>
      <c r="AH71" s="579"/>
      <c r="AI71" s="579"/>
      <c r="AJ71" s="579"/>
      <c r="AK71" s="579"/>
      <c r="AL71" s="579"/>
      <c r="AM71" s="579"/>
      <c r="AN71" s="579"/>
      <c r="AO71" s="579"/>
      <c r="AP71" s="579"/>
      <c r="AQ71" s="579"/>
      <c r="AR71" s="579"/>
      <c r="AS71" s="581"/>
      <c r="AT71" s="577"/>
      <c r="AU71" s="577"/>
      <c r="AV71" s="577"/>
      <c r="AW71" s="577"/>
      <c r="AX71" s="577"/>
      <c r="AY71" s="577"/>
      <c r="AZ71" s="569"/>
      <c r="BA71" s="569"/>
      <c r="BB71" s="551"/>
      <c r="BC71" s="552"/>
      <c r="BD71" s="538"/>
      <c r="BE71" s="596"/>
      <c r="BF71" s="596"/>
      <c r="BG71" s="596"/>
      <c r="BH71" s="598"/>
      <c r="BI71" s="596"/>
      <c r="BJ71" s="596"/>
      <c r="BK71" s="596"/>
      <c r="BL71" s="596"/>
      <c r="BM71" s="596"/>
      <c r="BN71" s="596"/>
      <c r="BO71" s="596"/>
      <c r="BP71" s="596"/>
      <c r="BQ71" s="596"/>
      <c r="BR71" s="596"/>
      <c r="BS71" s="597"/>
      <c r="BT71" s="596"/>
    </row>
    <row r="72" spans="1:72" ht="12.5" customHeight="1">
      <c r="A72" s="540"/>
      <c r="B72" s="566"/>
      <c r="C72" s="575"/>
      <c r="D72" s="576"/>
      <c r="E72" s="568"/>
      <c r="F72" s="568"/>
      <c r="G72" s="568"/>
      <c r="H72" s="579"/>
      <c r="I72" s="579"/>
      <c r="J72" s="792"/>
      <c r="K72" s="792"/>
      <c r="L72" s="792"/>
      <c r="M72" s="792"/>
      <c r="N72" s="582"/>
      <c r="O72" s="583"/>
      <c r="P72" s="582"/>
      <c r="Q72" s="579"/>
      <c r="R72" s="579"/>
      <c r="S72" s="579"/>
      <c r="T72" s="580"/>
      <c r="U72" s="580"/>
      <c r="V72" s="580"/>
      <c r="W72" s="580"/>
      <c r="X72" s="580"/>
      <c r="Y72" s="583"/>
      <c r="Z72" s="580"/>
      <c r="AA72" s="579"/>
      <c r="AB72" s="583"/>
      <c r="AC72" s="580"/>
      <c r="AD72" s="579"/>
      <c r="AE72" s="583"/>
      <c r="AF72" s="579"/>
      <c r="AG72" s="579"/>
      <c r="AH72" s="583"/>
      <c r="AI72" s="579"/>
      <c r="AJ72" s="579"/>
      <c r="AK72" s="584"/>
      <c r="AL72" s="579"/>
      <c r="AM72" s="579"/>
      <c r="AN72" s="579"/>
      <c r="AO72" s="579"/>
      <c r="AP72" s="579"/>
      <c r="AQ72" s="579"/>
      <c r="AR72" s="579"/>
      <c r="AS72" s="579"/>
      <c r="AT72" s="568"/>
      <c r="AU72" s="568"/>
      <c r="AV72" s="568"/>
      <c r="AW72" s="568"/>
      <c r="AX72" s="568"/>
      <c r="AY72" s="568"/>
      <c r="AZ72" s="569"/>
      <c r="BA72" s="569"/>
      <c r="BB72" s="551"/>
      <c r="BC72" s="552"/>
      <c r="BD72" s="538"/>
      <c r="BE72" s="596"/>
      <c r="BF72" s="596"/>
      <c r="BG72" s="596"/>
      <c r="BH72" s="598"/>
      <c r="BI72" s="596"/>
      <c r="BJ72" s="596"/>
      <c r="BK72" s="596"/>
      <c r="BL72" s="596"/>
      <c r="BM72" s="596"/>
      <c r="BN72" s="596"/>
      <c r="BO72" s="596"/>
      <c r="BP72" s="596"/>
      <c r="BQ72" s="596"/>
      <c r="BR72" s="596"/>
      <c r="BS72" s="597"/>
      <c r="BT72" s="596"/>
    </row>
    <row r="73" spans="1:72" ht="12.5" customHeight="1">
      <c r="A73" s="540"/>
      <c r="B73" s="566"/>
      <c r="C73" s="567"/>
      <c r="D73" s="567"/>
      <c r="E73" s="639"/>
      <c r="F73" s="639"/>
      <c r="G73" s="639"/>
      <c r="H73" s="639"/>
      <c r="I73" s="639"/>
      <c r="J73" s="639"/>
      <c r="K73" s="639"/>
      <c r="L73" s="639"/>
      <c r="M73" s="639"/>
      <c r="N73" s="639"/>
      <c r="O73" s="639"/>
      <c r="P73" s="639"/>
      <c r="Q73" s="639"/>
      <c r="R73" s="639"/>
      <c r="S73" s="639"/>
      <c r="T73" s="567"/>
      <c r="U73" s="567"/>
      <c r="V73" s="567"/>
      <c r="W73" s="567"/>
      <c r="X73" s="567"/>
      <c r="Y73" s="567"/>
      <c r="Z73" s="567"/>
      <c r="AA73" s="567"/>
      <c r="AB73" s="567"/>
      <c r="AC73" s="567"/>
      <c r="AD73" s="567"/>
      <c r="AE73" s="567"/>
      <c r="AF73" s="567"/>
      <c r="AG73" s="567"/>
      <c r="AH73" s="567"/>
      <c r="AI73" s="567"/>
      <c r="AJ73" s="567"/>
      <c r="AK73" s="567"/>
      <c r="AL73" s="567"/>
      <c r="AM73" s="567"/>
      <c r="AN73" s="567"/>
      <c r="AO73" s="567"/>
      <c r="AP73" s="567"/>
      <c r="AQ73" s="567"/>
      <c r="AR73" s="567"/>
      <c r="AS73" s="567"/>
      <c r="AT73" s="567"/>
      <c r="AU73" s="567"/>
      <c r="AV73" s="567"/>
      <c r="AW73" s="567"/>
      <c r="AX73" s="567"/>
      <c r="AY73" s="567"/>
      <c r="AZ73" s="569"/>
      <c r="BA73" s="569"/>
      <c r="BB73" s="551"/>
      <c r="BC73" s="552"/>
      <c r="BD73" s="538"/>
      <c r="BE73" s="596"/>
      <c r="BF73" s="596"/>
      <c r="BG73" s="596"/>
      <c r="BH73" s="598"/>
      <c r="BI73" s="596"/>
      <c r="BJ73" s="596"/>
      <c r="BK73" s="596"/>
      <c r="BL73" s="596"/>
      <c r="BM73" s="596"/>
      <c r="BN73" s="596"/>
      <c r="BO73" s="596"/>
      <c r="BP73" s="596"/>
      <c r="BQ73" s="596"/>
      <c r="BR73" s="596"/>
      <c r="BS73" s="597"/>
      <c r="BT73" s="596"/>
    </row>
    <row r="74" spans="1:72" ht="12.5" customHeight="1">
      <c r="A74" s="540"/>
      <c r="B74" s="566"/>
      <c r="C74" s="575"/>
      <c r="D74" s="576"/>
      <c r="E74" s="640"/>
      <c r="F74" s="640"/>
      <c r="G74" s="645" t="s">
        <v>427</v>
      </c>
      <c r="H74" s="644"/>
      <c r="I74" s="644"/>
      <c r="J74" s="644"/>
      <c r="K74" s="644"/>
      <c r="L74" s="644"/>
      <c r="M74" s="644"/>
      <c r="N74" s="644"/>
      <c r="O74" s="644"/>
      <c r="P74" s="644"/>
      <c r="Q74" s="641"/>
      <c r="R74" s="641"/>
      <c r="S74" s="641"/>
      <c r="T74" s="579"/>
      <c r="U74" s="579"/>
      <c r="V74" s="579"/>
      <c r="W74" s="579"/>
      <c r="X74" s="579"/>
      <c r="Y74" s="579"/>
      <c r="Z74" s="579"/>
      <c r="AA74" s="579"/>
      <c r="AB74" s="579"/>
      <c r="AC74" s="579"/>
      <c r="AD74" s="579"/>
      <c r="AE74" s="579"/>
      <c r="AF74" s="579"/>
      <c r="AG74" s="579"/>
      <c r="AH74" s="579"/>
      <c r="AI74" s="579"/>
      <c r="AJ74" s="579"/>
      <c r="AK74" s="579"/>
      <c r="AL74" s="579"/>
      <c r="AM74" s="579"/>
      <c r="AN74" s="579"/>
      <c r="AO74" s="579"/>
      <c r="AP74" s="579"/>
      <c r="AQ74" s="579"/>
      <c r="AR74" s="579"/>
      <c r="AS74" s="579"/>
      <c r="AT74" s="573"/>
      <c r="AU74" s="568"/>
      <c r="AV74" s="568"/>
      <c r="AW74" s="568"/>
      <c r="AX74" s="568"/>
      <c r="AY74" s="568"/>
      <c r="AZ74" s="569"/>
      <c r="BA74" s="569"/>
      <c r="BB74" s="551"/>
      <c r="BC74" s="552"/>
      <c r="BD74" s="538"/>
      <c r="BE74" s="596"/>
      <c r="BF74" s="596"/>
      <c r="BG74" s="596"/>
      <c r="BH74" s="596"/>
      <c r="BI74" s="596"/>
      <c r="BJ74" s="596"/>
      <c r="BK74" s="596"/>
      <c r="BL74" s="596"/>
      <c r="BM74" s="596"/>
      <c r="BN74" s="596"/>
      <c r="BO74" s="596"/>
      <c r="BP74" s="596"/>
      <c r="BQ74" s="596"/>
      <c r="BR74" s="596"/>
      <c r="BS74" s="597"/>
      <c r="BT74" s="596"/>
    </row>
    <row r="75" spans="1:72" ht="12.5" customHeight="1">
      <c r="A75" s="540"/>
      <c r="B75" s="566"/>
      <c r="C75" s="575"/>
      <c r="D75" s="576"/>
      <c r="E75" s="640"/>
      <c r="F75" s="640"/>
      <c r="G75" s="640"/>
      <c r="H75" s="641"/>
      <c r="I75" s="641"/>
      <c r="J75" s="644" t="s">
        <v>428</v>
      </c>
      <c r="K75" s="644"/>
      <c r="L75" s="644"/>
      <c r="M75" s="644"/>
      <c r="N75" s="641"/>
      <c r="O75" s="641"/>
      <c r="P75" s="641"/>
      <c r="Q75" s="641"/>
      <c r="R75" s="641"/>
      <c r="S75" s="641"/>
      <c r="T75" s="579"/>
      <c r="U75" s="579"/>
      <c r="V75" s="579"/>
      <c r="W75" s="579"/>
      <c r="X75" s="579"/>
      <c r="Y75" s="579"/>
      <c r="Z75" s="579"/>
      <c r="AA75" s="579"/>
      <c r="AB75" s="579"/>
      <c r="AC75" s="579"/>
      <c r="AD75" s="579"/>
      <c r="AE75" s="579"/>
      <c r="AF75" s="579"/>
      <c r="AG75" s="579"/>
      <c r="AH75" s="579"/>
      <c r="AI75" s="579"/>
      <c r="AJ75" s="579"/>
      <c r="AK75" s="579"/>
      <c r="AL75" s="579"/>
      <c r="AM75" s="579"/>
      <c r="AN75" s="579"/>
      <c r="AO75" s="579"/>
      <c r="AP75" s="579"/>
      <c r="AQ75" s="579"/>
      <c r="AR75" s="579"/>
      <c r="AS75" s="581"/>
      <c r="AT75" s="577"/>
      <c r="AU75" s="577"/>
      <c r="AV75" s="577"/>
      <c r="AW75" s="577"/>
      <c r="AX75" s="577"/>
      <c r="AY75" s="577"/>
      <c r="AZ75" s="569"/>
      <c r="BA75" s="569"/>
      <c r="BB75" s="551"/>
      <c r="BC75" s="552"/>
      <c r="BD75" s="538"/>
      <c r="BE75" s="596"/>
      <c r="BF75" s="596"/>
      <c r="BG75" s="596"/>
      <c r="BH75" s="596"/>
      <c r="BI75" s="596"/>
      <c r="BJ75" s="596"/>
      <c r="BK75" s="596"/>
      <c r="BL75" s="596"/>
      <c r="BM75" s="596"/>
      <c r="BN75" s="596"/>
      <c r="BO75" s="596"/>
      <c r="BP75" s="596"/>
      <c r="BQ75" s="596"/>
      <c r="BR75" s="596"/>
      <c r="BS75" s="596"/>
      <c r="BT75" s="596"/>
    </row>
    <row r="76" spans="1:72" ht="12.5" customHeight="1">
      <c r="A76" s="540"/>
      <c r="B76" s="566"/>
      <c r="C76" s="575"/>
      <c r="D76" s="576"/>
      <c r="E76" s="769" t="s">
        <v>466</v>
      </c>
      <c r="F76" s="769"/>
      <c r="G76" s="769"/>
      <c r="H76" s="769"/>
      <c r="I76" s="769"/>
      <c r="J76" s="769"/>
      <c r="K76" s="769"/>
      <c r="L76" s="769"/>
      <c r="M76" s="769"/>
      <c r="N76" s="769"/>
      <c r="O76" s="769"/>
      <c r="P76" s="769"/>
      <c r="Q76" s="769"/>
      <c r="R76" s="769"/>
      <c r="S76" s="769"/>
      <c r="T76" s="579"/>
      <c r="U76" s="579"/>
      <c r="V76" s="579"/>
      <c r="W76" s="579"/>
      <c r="X76" s="579"/>
      <c r="Y76" s="579"/>
      <c r="Z76" s="579"/>
      <c r="AA76" s="579"/>
      <c r="AB76" s="579"/>
      <c r="AC76" s="579"/>
      <c r="AD76" s="579"/>
      <c r="AE76" s="579"/>
      <c r="AF76" s="579"/>
      <c r="AG76" s="579"/>
      <c r="AH76" s="579"/>
      <c r="AI76" s="579"/>
      <c r="AJ76" s="579"/>
      <c r="AK76" s="579"/>
      <c r="AL76" s="579"/>
      <c r="AM76" s="579"/>
      <c r="AN76" s="579"/>
      <c r="AO76" s="579"/>
      <c r="AP76" s="579"/>
      <c r="AQ76" s="579"/>
      <c r="AR76" s="579"/>
      <c r="AS76" s="579"/>
      <c r="AT76" s="573"/>
      <c r="AU76" s="568"/>
      <c r="AV76" s="568"/>
      <c r="AW76" s="568"/>
      <c r="AX76" s="568"/>
      <c r="AY76" s="568"/>
      <c r="AZ76" s="569"/>
      <c r="BA76" s="569"/>
      <c r="BB76" s="551"/>
      <c r="BC76" s="552"/>
      <c r="BD76" s="538"/>
      <c r="BE76" s="596"/>
      <c r="BF76" s="596"/>
      <c r="BG76" s="596"/>
      <c r="BH76" s="596"/>
      <c r="BI76" s="596"/>
      <c r="BJ76" s="596"/>
      <c r="BK76" s="596"/>
      <c r="BL76" s="596"/>
      <c r="BM76" s="597"/>
      <c r="BN76" s="597"/>
      <c r="BO76" s="597"/>
      <c r="BP76" s="597"/>
      <c r="BQ76" s="597"/>
      <c r="BR76" s="597"/>
      <c r="BS76" s="596"/>
      <c r="BT76" s="596"/>
    </row>
    <row r="77" spans="1:72" ht="12.5" customHeight="1">
      <c r="A77" s="540"/>
      <c r="B77" s="566"/>
      <c r="C77" s="575"/>
      <c r="D77" s="576"/>
      <c r="E77" s="640"/>
      <c r="F77" s="640"/>
      <c r="G77" s="640"/>
      <c r="H77" s="641"/>
      <c r="I77" s="641"/>
      <c r="J77" s="644" t="s">
        <v>442</v>
      </c>
      <c r="K77" s="644"/>
      <c r="L77" s="644"/>
      <c r="M77" s="644"/>
      <c r="N77" s="641"/>
      <c r="O77" s="641"/>
      <c r="P77" s="641"/>
      <c r="Q77" s="641"/>
      <c r="R77" s="641"/>
      <c r="S77" s="641"/>
      <c r="T77" s="579"/>
      <c r="U77" s="579"/>
      <c r="V77" s="579"/>
      <c r="W77" s="579"/>
      <c r="X77" s="579"/>
      <c r="Y77" s="579"/>
      <c r="Z77" s="579"/>
      <c r="AA77" s="579"/>
      <c r="AB77" s="579"/>
      <c r="AC77" s="579"/>
      <c r="AD77" s="579"/>
      <c r="AE77" s="579"/>
      <c r="AF77" s="579"/>
      <c r="AG77" s="579"/>
      <c r="AH77" s="579"/>
      <c r="AI77" s="579"/>
      <c r="AJ77" s="579"/>
      <c r="AK77" s="579"/>
      <c r="AL77" s="579"/>
      <c r="AM77" s="579"/>
      <c r="AN77" s="579"/>
      <c r="AO77" s="579"/>
      <c r="AP77" s="579"/>
      <c r="AQ77" s="579"/>
      <c r="AR77" s="579"/>
      <c r="AS77" s="581"/>
      <c r="AT77" s="577"/>
      <c r="AU77" s="577"/>
      <c r="AV77" s="577"/>
      <c r="AW77" s="577"/>
      <c r="AX77" s="577"/>
      <c r="AY77" s="577"/>
      <c r="AZ77" s="569"/>
      <c r="BA77" s="569"/>
      <c r="BB77" s="551"/>
      <c r="BC77" s="552"/>
      <c r="BD77" s="538"/>
      <c r="BE77" s="596"/>
      <c r="BF77" s="596"/>
      <c r="BG77" s="596"/>
      <c r="BH77" s="598"/>
      <c r="BI77" s="596"/>
      <c r="BJ77" s="596"/>
      <c r="BK77" s="596"/>
      <c r="BL77" s="596"/>
      <c r="BM77" s="597"/>
      <c r="BN77" s="597"/>
      <c r="BO77" s="597"/>
      <c r="BP77" s="597"/>
      <c r="BQ77" s="597"/>
      <c r="BR77" s="597"/>
      <c r="BS77" s="596"/>
      <c r="BT77" s="596"/>
    </row>
    <row r="78" spans="1:72" ht="12.5" customHeight="1">
      <c r="A78" s="540"/>
      <c r="B78" s="566"/>
      <c r="C78" s="575"/>
      <c r="D78" s="576"/>
      <c r="E78" s="640"/>
      <c r="F78" s="640"/>
      <c r="G78" s="640"/>
      <c r="H78" s="641"/>
      <c r="I78" s="641"/>
      <c r="J78" s="646"/>
      <c r="K78" s="646"/>
      <c r="L78" s="646"/>
      <c r="M78" s="646"/>
      <c r="N78" s="642"/>
      <c r="O78" s="643"/>
      <c r="P78" s="642"/>
      <c r="Q78" s="641"/>
      <c r="R78" s="641"/>
      <c r="S78" s="641"/>
      <c r="T78" s="580"/>
      <c r="U78" s="580"/>
      <c r="V78" s="580"/>
      <c r="W78" s="580"/>
      <c r="X78" s="580"/>
      <c r="Y78" s="583"/>
      <c r="Z78" s="580"/>
      <c r="AA78" s="579"/>
      <c r="AB78" s="583"/>
      <c r="AC78" s="580"/>
      <c r="AD78" s="579"/>
      <c r="AE78" s="583"/>
      <c r="AF78" s="579"/>
      <c r="AG78" s="579"/>
      <c r="AH78" s="583"/>
      <c r="AI78" s="579"/>
      <c r="AJ78" s="579"/>
      <c r="AK78" s="584"/>
      <c r="AL78" s="579"/>
      <c r="AM78" s="579"/>
      <c r="AN78" s="579"/>
      <c r="AO78" s="579"/>
      <c r="AP78" s="579"/>
      <c r="AQ78" s="579"/>
      <c r="AR78" s="579"/>
      <c r="AS78" s="579"/>
      <c r="AT78" s="568"/>
      <c r="AU78" s="568"/>
      <c r="AV78" s="568"/>
      <c r="AW78" s="568"/>
      <c r="AX78" s="568"/>
      <c r="AY78" s="568"/>
      <c r="AZ78" s="569"/>
      <c r="BA78" s="569"/>
      <c r="BB78" s="551"/>
      <c r="BC78" s="552"/>
      <c r="BD78" s="538"/>
      <c r="BE78" s="596"/>
      <c r="BF78" s="596"/>
      <c r="BG78" s="596"/>
      <c r="BH78" s="598"/>
      <c r="BI78" s="596"/>
      <c r="BJ78" s="596"/>
      <c r="BK78" s="596"/>
      <c r="BL78" s="596"/>
      <c r="BM78" s="597"/>
      <c r="BN78" s="597"/>
      <c r="BO78" s="597"/>
      <c r="BP78" s="597"/>
      <c r="BQ78" s="597"/>
      <c r="BR78" s="597"/>
      <c r="BS78" s="596"/>
      <c r="BT78" s="596"/>
    </row>
    <row r="79" spans="1:72" ht="12.5" customHeight="1">
      <c r="A79" s="540"/>
      <c r="B79" s="566"/>
      <c r="C79" s="575"/>
      <c r="D79" s="576"/>
      <c r="E79" s="640"/>
      <c r="F79" s="640"/>
      <c r="G79" s="640"/>
      <c r="H79" s="641"/>
      <c r="I79" s="641"/>
      <c r="J79" s="817"/>
      <c r="K79" s="817"/>
      <c r="L79" s="817"/>
      <c r="M79" s="817"/>
      <c r="N79" s="642"/>
      <c r="O79" s="643"/>
      <c r="P79" s="642"/>
      <c r="Q79" s="641"/>
      <c r="R79" s="641"/>
      <c r="S79" s="641"/>
      <c r="T79" s="580"/>
      <c r="U79" s="580"/>
      <c r="V79" s="580"/>
      <c r="W79" s="580"/>
      <c r="X79" s="580"/>
      <c r="Y79" s="583"/>
      <c r="Z79" s="580"/>
      <c r="AA79" s="579"/>
      <c r="AB79" s="583"/>
      <c r="AC79" s="580"/>
      <c r="AD79" s="579"/>
      <c r="AE79" s="583"/>
      <c r="AF79" s="579"/>
      <c r="AG79" s="579"/>
      <c r="AH79" s="583"/>
      <c r="AI79" s="579"/>
      <c r="AJ79" s="579"/>
      <c r="AK79" s="584"/>
      <c r="AL79" s="579"/>
      <c r="AM79" s="579"/>
      <c r="AN79" s="579"/>
      <c r="AO79" s="579"/>
      <c r="AP79" s="579"/>
      <c r="AQ79" s="579"/>
      <c r="AR79" s="579"/>
      <c r="AS79" s="579"/>
      <c r="AT79" s="568"/>
      <c r="AU79" s="568"/>
      <c r="AV79" s="568"/>
      <c r="AW79" s="568"/>
      <c r="AX79" s="568"/>
      <c r="AY79" s="568"/>
      <c r="AZ79" s="569"/>
      <c r="BA79" s="569"/>
      <c r="BB79" s="551"/>
      <c r="BC79" s="552"/>
      <c r="BD79" s="538"/>
      <c r="BE79" s="596"/>
      <c r="BF79" s="596"/>
      <c r="BG79" s="596"/>
      <c r="BH79" s="596"/>
      <c r="BI79" s="596"/>
      <c r="BJ79" s="596"/>
      <c r="BK79" s="596"/>
      <c r="BL79" s="596"/>
      <c r="BM79" s="596"/>
      <c r="BN79" s="596"/>
      <c r="BO79" s="596"/>
      <c r="BP79" s="596"/>
      <c r="BQ79" s="596"/>
      <c r="BR79" s="596"/>
      <c r="BS79" s="596"/>
      <c r="BT79" s="596"/>
    </row>
    <row r="80" spans="1:72" ht="12.5" customHeight="1">
      <c r="A80" s="540"/>
      <c r="B80" s="566"/>
      <c r="C80" s="567"/>
      <c r="D80" s="567"/>
      <c r="E80" s="639"/>
      <c r="F80" s="639"/>
      <c r="G80" s="639"/>
      <c r="H80" s="639"/>
      <c r="I80" s="639"/>
      <c r="J80" s="639"/>
      <c r="K80" s="639"/>
      <c r="L80" s="639"/>
      <c r="M80" s="639"/>
      <c r="N80" s="639"/>
      <c r="O80" s="639"/>
      <c r="P80" s="639"/>
      <c r="Q80" s="639"/>
      <c r="R80" s="639"/>
      <c r="S80" s="639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9"/>
      <c r="BA80" s="569"/>
      <c r="BB80" s="551"/>
      <c r="BC80" s="552"/>
      <c r="BD80" s="538"/>
      <c r="BE80" s="596"/>
      <c r="BF80" s="596"/>
      <c r="BG80" s="596"/>
      <c r="BH80" s="596"/>
      <c r="BI80" s="596"/>
      <c r="BJ80" s="596"/>
      <c r="BK80" s="596"/>
      <c r="BL80" s="596"/>
      <c r="BM80" s="596"/>
      <c r="BN80" s="596"/>
      <c r="BO80" s="596"/>
      <c r="BP80" s="596"/>
      <c r="BQ80" s="596"/>
      <c r="BR80" s="596"/>
      <c r="BS80" s="596"/>
      <c r="BT80" s="596"/>
    </row>
    <row r="81" spans="1:72" ht="12.5" customHeight="1">
      <c r="A81" s="540"/>
      <c r="B81" s="566"/>
      <c r="C81" s="575"/>
      <c r="D81" s="576"/>
      <c r="E81" s="639"/>
      <c r="F81" s="639"/>
      <c r="G81" s="639"/>
      <c r="H81" s="639"/>
      <c r="I81" s="639"/>
      <c r="J81" s="639"/>
      <c r="K81" s="639"/>
      <c r="L81" s="639"/>
      <c r="M81" s="639"/>
      <c r="N81" s="639"/>
      <c r="O81" s="639"/>
      <c r="P81" s="639"/>
      <c r="Q81" s="639"/>
      <c r="R81" s="639"/>
      <c r="S81" s="639"/>
      <c r="T81" s="579"/>
      <c r="U81" s="579"/>
      <c r="V81" s="579"/>
      <c r="W81" s="579"/>
      <c r="X81" s="579"/>
      <c r="Y81" s="579"/>
      <c r="Z81" s="579"/>
      <c r="AA81" s="579"/>
      <c r="AB81" s="579"/>
      <c r="AC81" s="579"/>
      <c r="AD81" s="579"/>
      <c r="AE81" s="579"/>
      <c r="AF81" s="579"/>
      <c r="AG81" s="579"/>
      <c r="AH81" s="579"/>
      <c r="AI81" s="579"/>
      <c r="AJ81" s="579"/>
      <c r="AK81" s="579"/>
      <c r="AL81" s="579"/>
      <c r="AM81" s="579"/>
      <c r="AN81" s="579"/>
      <c r="AO81" s="579"/>
      <c r="AP81" s="579"/>
      <c r="AQ81" s="579"/>
      <c r="AR81" s="579"/>
      <c r="AS81" s="579"/>
      <c r="AT81" s="573"/>
      <c r="AU81" s="568"/>
      <c r="AV81" s="568"/>
      <c r="AW81" s="568"/>
      <c r="AX81" s="568"/>
      <c r="AY81" s="568"/>
      <c r="AZ81" s="569"/>
      <c r="BA81" s="569"/>
      <c r="BB81" s="551"/>
      <c r="BC81" s="552"/>
      <c r="BD81" s="538"/>
      <c r="BE81" s="596"/>
      <c r="BF81" s="596"/>
      <c r="BG81" s="596"/>
      <c r="BH81" s="598"/>
      <c r="BI81" s="596"/>
      <c r="BJ81" s="596"/>
      <c r="BK81" s="596"/>
      <c r="BL81" s="596"/>
      <c r="BM81" s="596"/>
      <c r="BN81" s="596"/>
      <c r="BO81" s="596"/>
      <c r="BP81" s="596"/>
      <c r="BQ81" s="596"/>
      <c r="BR81" s="596"/>
      <c r="BS81" s="596"/>
      <c r="BT81" s="596"/>
    </row>
    <row r="82" spans="1:72" ht="12.5" customHeight="1">
      <c r="A82" s="540"/>
      <c r="B82" s="566"/>
      <c r="C82" s="575"/>
      <c r="D82" s="576"/>
      <c r="E82" s="568"/>
      <c r="F82" s="568"/>
      <c r="G82" s="568"/>
      <c r="H82" s="579"/>
      <c r="I82" s="579"/>
      <c r="J82" s="579"/>
      <c r="K82" s="579"/>
      <c r="L82" s="579"/>
      <c r="M82" s="579"/>
      <c r="N82" s="579"/>
      <c r="O82" s="579"/>
      <c r="P82" s="579"/>
      <c r="Q82" s="579"/>
      <c r="R82" s="579"/>
      <c r="S82" s="579"/>
      <c r="T82" s="579"/>
      <c r="U82" s="579"/>
      <c r="V82" s="579"/>
      <c r="W82" s="579"/>
      <c r="X82" s="579"/>
      <c r="Y82" s="579"/>
      <c r="Z82" s="579"/>
      <c r="AA82" s="579"/>
      <c r="AB82" s="579"/>
      <c r="AC82" s="579"/>
      <c r="AD82" s="579"/>
      <c r="AE82" s="579"/>
      <c r="AF82" s="579"/>
      <c r="AG82" s="579"/>
      <c r="AH82" s="579"/>
      <c r="AI82" s="579"/>
      <c r="AJ82" s="579"/>
      <c r="AK82" s="579"/>
      <c r="AL82" s="579"/>
      <c r="AM82" s="579"/>
      <c r="AN82" s="579"/>
      <c r="AO82" s="579"/>
      <c r="AP82" s="579"/>
      <c r="AQ82" s="579"/>
      <c r="AR82" s="579"/>
      <c r="AS82" s="581"/>
      <c r="AT82" s="577"/>
      <c r="AU82" s="577"/>
      <c r="AV82" s="577"/>
      <c r="AW82" s="577"/>
      <c r="AX82" s="577"/>
      <c r="AY82" s="577"/>
      <c r="AZ82" s="569"/>
      <c r="BA82" s="569"/>
      <c r="BB82" s="551"/>
      <c r="BC82" s="552"/>
      <c r="BD82" s="538"/>
      <c r="BE82" s="596"/>
      <c r="BF82" s="596"/>
      <c r="BG82" s="596"/>
      <c r="BH82" s="596"/>
      <c r="BI82" s="596"/>
      <c r="BJ82" s="596"/>
      <c r="BK82" s="596"/>
      <c r="BL82" s="596"/>
      <c r="BM82" s="596"/>
      <c r="BN82" s="596"/>
      <c r="BO82" s="596"/>
      <c r="BP82" s="596"/>
      <c r="BQ82" s="596"/>
      <c r="BR82" s="596"/>
      <c r="BS82" s="596"/>
      <c r="BT82" s="596"/>
    </row>
    <row r="83" spans="1:72" ht="12.5" customHeight="1">
      <c r="A83" s="540"/>
      <c r="B83" s="566"/>
      <c r="C83" s="575"/>
      <c r="D83" s="576"/>
      <c r="E83" s="568"/>
      <c r="F83" s="568"/>
      <c r="G83" s="568"/>
      <c r="H83" s="579"/>
      <c r="I83" s="579"/>
      <c r="J83" s="792"/>
      <c r="K83" s="792"/>
      <c r="L83" s="792"/>
      <c r="M83" s="792"/>
      <c r="N83" s="582"/>
      <c r="O83" s="583"/>
      <c r="P83" s="582"/>
      <c r="Q83" s="579"/>
      <c r="R83" s="579"/>
      <c r="S83" s="579"/>
      <c r="T83" s="580"/>
      <c r="U83" s="580"/>
      <c r="V83" s="580"/>
      <c r="W83" s="580"/>
      <c r="X83" s="580"/>
      <c r="Y83" s="583"/>
      <c r="Z83" s="580"/>
      <c r="AA83" s="579"/>
      <c r="AB83" s="583"/>
      <c r="AC83" s="580"/>
      <c r="AD83" s="579"/>
      <c r="AE83" s="583"/>
      <c r="AF83" s="579"/>
      <c r="AG83" s="579"/>
      <c r="AH83" s="583"/>
      <c r="AI83" s="579"/>
      <c r="AJ83" s="579"/>
      <c r="AK83" s="584"/>
      <c r="AL83" s="579"/>
      <c r="AM83" s="579"/>
      <c r="AN83" s="579"/>
      <c r="AO83" s="579"/>
      <c r="AP83" s="579"/>
      <c r="AQ83" s="579"/>
      <c r="AR83" s="579"/>
      <c r="AS83" s="579"/>
      <c r="AT83" s="568"/>
      <c r="AU83" s="568"/>
      <c r="AV83" s="568"/>
      <c r="AW83" s="568"/>
      <c r="AX83" s="568"/>
      <c r="AY83" s="568"/>
      <c r="AZ83" s="569"/>
      <c r="BA83" s="569"/>
      <c r="BB83" s="551"/>
      <c r="BC83" s="552"/>
      <c r="BD83" s="538"/>
      <c r="BE83" s="596"/>
      <c r="BF83" s="596"/>
      <c r="BG83" s="596"/>
      <c r="BH83" s="596"/>
      <c r="BI83" s="596"/>
      <c r="BJ83" s="596"/>
      <c r="BK83" s="596"/>
      <c r="BL83" s="596"/>
      <c r="BM83" s="596"/>
      <c r="BN83" s="596"/>
      <c r="BO83" s="596"/>
      <c r="BP83" s="596"/>
      <c r="BQ83" s="596"/>
      <c r="BR83" s="596"/>
      <c r="BS83" s="596"/>
      <c r="BT83" s="596"/>
    </row>
    <row r="84" spans="1:72" ht="12.5" customHeight="1">
      <c r="A84" s="540"/>
      <c r="B84" s="566"/>
      <c r="C84" s="567"/>
      <c r="D84" s="567"/>
      <c r="E84" s="567"/>
      <c r="F84" s="567"/>
      <c r="G84" s="567"/>
      <c r="H84" s="567"/>
      <c r="I84" s="567"/>
      <c r="J84" s="567"/>
      <c r="K84" s="567"/>
      <c r="L84" s="567"/>
      <c r="M84" s="567"/>
      <c r="N84" s="567"/>
      <c r="O84" s="567"/>
      <c r="P84" s="567"/>
      <c r="Q84" s="567"/>
      <c r="R84" s="567"/>
      <c r="S84" s="567"/>
      <c r="T84" s="567"/>
      <c r="U84" s="567"/>
      <c r="V84" s="567"/>
      <c r="W84" s="567"/>
      <c r="X84" s="567"/>
      <c r="Y84" s="567"/>
      <c r="Z84" s="567"/>
      <c r="AA84" s="567"/>
      <c r="AB84" s="567"/>
      <c r="AC84" s="567"/>
      <c r="AD84" s="567"/>
      <c r="AE84" s="567"/>
      <c r="AF84" s="567"/>
      <c r="AG84" s="567"/>
      <c r="AH84" s="567"/>
      <c r="AI84" s="567"/>
      <c r="AJ84" s="567"/>
      <c r="AK84" s="567"/>
      <c r="AL84" s="567"/>
      <c r="AM84" s="567"/>
      <c r="AN84" s="567"/>
      <c r="AO84" s="567"/>
      <c r="AP84" s="567"/>
      <c r="AQ84" s="567"/>
      <c r="AR84" s="567"/>
      <c r="AS84" s="567"/>
      <c r="AT84" s="567"/>
      <c r="AU84" s="567"/>
      <c r="AV84" s="567"/>
      <c r="AW84" s="567"/>
      <c r="AX84" s="567"/>
      <c r="AY84" s="567"/>
      <c r="AZ84" s="569"/>
      <c r="BA84" s="569"/>
      <c r="BB84" s="551"/>
      <c r="BC84" s="552"/>
      <c r="BD84" s="538"/>
      <c r="BE84" s="596"/>
      <c r="BF84" s="596"/>
      <c r="BG84" s="596"/>
      <c r="BH84" s="596"/>
      <c r="BI84" s="596"/>
      <c r="BJ84" s="596"/>
      <c r="BK84" s="596"/>
      <c r="BL84" s="596"/>
      <c r="BM84" s="596"/>
      <c r="BN84" s="596"/>
      <c r="BO84" s="596"/>
      <c r="BP84" s="596"/>
      <c r="BQ84" s="596"/>
      <c r="BR84" s="596"/>
      <c r="BS84" s="596"/>
      <c r="BT84" s="596"/>
    </row>
    <row r="85" spans="1:72" ht="12.5" customHeight="1">
      <c r="A85" s="540"/>
      <c r="B85" s="574"/>
      <c r="C85" s="567"/>
      <c r="D85" s="567"/>
      <c r="E85" s="567"/>
      <c r="F85" s="567"/>
      <c r="G85" s="567"/>
      <c r="H85" s="567"/>
      <c r="I85" s="567"/>
      <c r="J85" s="567"/>
      <c r="K85" s="567"/>
      <c r="L85" s="567"/>
      <c r="M85" s="567"/>
      <c r="N85" s="567"/>
      <c r="O85" s="567"/>
      <c r="P85" s="567"/>
      <c r="Q85" s="567"/>
      <c r="R85" s="567"/>
      <c r="S85" s="567"/>
      <c r="T85" s="567"/>
      <c r="U85" s="567"/>
      <c r="V85" s="567"/>
      <c r="W85" s="567"/>
      <c r="X85" s="567"/>
      <c r="Y85" s="567"/>
      <c r="Z85" s="567"/>
      <c r="AA85" s="567"/>
      <c r="AB85" s="567"/>
      <c r="AC85" s="567"/>
      <c r="AD85" s="567"/>
      <c r="AE85" s="567"/>
      <c r="AF85" s="567"/>
      <c r="AG85" s="567"/>
      <c r="AH85" s="567"/>
      <c r="AI85" s="567"/>
      <c r="AJ85" s="567"/>
      <c r="AK85" s="567"/>
      <c r="AL85" s="567"/>
      <c r="AM85" s="567"/>
      <c r="AN85" s="567"/>
      <c r="AO85" s="567"/>
      <c r="AP85" s="567"/>
      <c r="AQ85" s="567"/>
      <c r="AR85" s="567"/>
      <c r="AS85" s="567"/>
      <c r="AT85" s="567"/>
      <c r="AU85" s="567"/>
      <c r="AV85" s="567"/>
      <c r="AW85" s="567"/>
      <c r="AX85" s="567"/>
      <c r="AY85" s="567"/>
      <c r="AZ85" s="569"/>
      <c r="BA85" s="569"/>
      <c r="BB85" s="536"/>
      <c r="BC85" s="537"/>
      <c r="BD85" s="538"/>
      <c r="BE85" s="596"/>
      <c r="BF85" s="596"/>
      <c r="BG85" s="596"/>
      <c r="BH85" s="596"/>
      <c r="BI85" s="596"/>
      <c r="BJ85" s="596"/>
      <c r="BK85" s="596"/>
      <c r="BL85" s="596"/>
      <c r="BM85" s="596"/>
      <c r="BN85" s="596"/>
      <c r="BO85" s="596"/>
      <c r="BP85" s="596"/>
      <c r="BQ85" s="596"/>
      <c r="BR85" s="596"/>
      <c r="BS85" s="596"/>
      <c r="BT85" s="596"/>
    </row>
    <row r="86" spans="1:72" ht="13.5">
      <c r="A86" s="540"/>
      <c r="B86" s="633"/>
      <c r="C86" s="634"/>
      <c r="D86" s="634"/>
      <c r="E86" s="634"/>
      <c r="F86" s="634"/>
      <c r="G86" s="634"/>
      <c r="H86" s="634"/>
      <c r="I86" s="634"/>
      <c r="J86" s="634"/>
      <c r="K86" s="634"/>
      <c r="L86" s="634"/>
      <c r="M86" s="634"/>
      <c r="N86" s="634"/>
      <c r="O86" s="634"/>
      <c r="P86" s="634"/>
      <c r="Q86" s="634"/>
      <c r="R86" s="634"/>
      <c r="S86" s="635"/>
      <c r="T86" s="635"/>
      <c r="U86" s="635"/>
      <c r="V86" s="635"/>
      <c r="W86" s="634"/>
      <c r="X86" s="634"/>
      <c r="Y86" s="635"/>
      <c r="Z86" s="636"/>
      <c r="AA86" s="634"/>
      <c r="AB86" s="634"/>
      <c r="AC86" s="634"/>
      <c r="AD86" s="635"/>
      <c r="AE86" s="635"/>
      <c r="AF86" s="635"/>
      <c r="AG86" s="635"/>
      <c r="AH86" s="635"/>
      <c r="AI86" s="635"/>
      <c r="AJ86" s="635"/>
      <c r="AK86" s="635"/>
      <c r="AL86" s="635"/>
      <c r="AM86" s="635"/>
      <c r="AN86" s="635"/>
      <c r="AO86" s="635"/>
      <c r="AP86" s="635"/>
      <c r="AQ86" s="635"/>
      <c r="AR86" s="635"/>
      <c r="AS86" s="635"/>
      <c r="AT86" s="635"/>
      <c r="AU86" s="635"/>
      <c r="AV86" s="635"/>
      <c r="AW86" s="635"/>
      <c r="AX86" s="635"/>
      <c r="AY86" s="637"/>
      <c r="AZ86" s="578"/>
      <c r="BA86" s="569"/>
      <c r="BB86" s="551"/>
      <c r="BC86" s="552"/>
      <c r="BD86" s="553"/>
      <c r="BE86" s="596"/>
      <c r="BF86" s="596"/>
      <c r="BG86" s="596"/>
      <c r="BH86" s="596"/>
      <c r="BI86" s="596"/>
      <c r="BJ86" s="596"/>
      <c r="BK86" s="596"/>
      <c r="BL86" s="596"/>
      <c r="BM86" s="596"/>
      <c r="BN86" s="596"/>
      <c r="BO86" s="596"/>
      <c r="BP86" s="596"/>
      <c r="BQ86" s="596"/>
      <c r="BR86" s="596"/>
      <c r="BS86" s="596"/>
      <c r="BT86" s="596"/>
    </row>
    <row r="87" spans="1:72" ht="15">
      <c r="A87" s="554"/>
      <c r="B87" s="599"/>
      <c r="C87" s="600"/>
      <c r="D87" s="600"/>
      <c r="E87" s="600"/>
      <c r="F87" s="600"/>
      <c r="G87" s="600"/>
      <c r="H87" s="600"/>
      <c r="I87" s="600"/>
      <c r="J87" s="600"/>
      <c r="K87" s="600"/>
      <c r="L87" s="600"/>
      <c r="M87" s="600"/>
      <c r="N87" s="600"/>
      <c r="O87" s="600"/>
      <c r="P87" s="600"/>
      <c r="Q87" s="600"/>
      <c r="R87" s="600"/>
      <c r="S87" s="601"/>
      <c r="T87" s="601"/>
      <c r="U87" s="601"/>
      <c r="V87" s="601"/>
      <c r="W87" s="600"/>
      <c r="X87" s="600"/>
      <c r="Y87" s="601"/>
      <c r="Z87" s="601"/>
      <c r="AA87" s="600"/>
      <c r="AB87" s="600"/>
      <c r="AC87" s="600"/>
      <c r="AD87" s="601"/>
      <c r="AE87" s="601"/>
      <c r="AF87" s="601"/>
      <c r="AG87" s="601"/>
      <c r="AH87" s="601"/>
      <c r="AI87" s="601"/>
      <c r="AJ87" s="601"/>
      <c r="AK87" s="601"/>
      <c r="AL87" s="601"/>
      <c r="AM87" s="601"/>
      <c r="AN87" s="601"/>
      <c r="AO87" s="601"/>
      <c r="AP87" s="601"/>
      <c r="AQ87" s="601"/>
      <c r="AR87" s="601"/>
      <c r="AS87" s="601"/>
      <c r="AT87" s="601"/>
      <c r="AU87" s="601"/>
      <c r="AV87" s="601"/>
      <c r="AW87" s="601"/>
      <c r="AX87" s="601"/>
      <c r="AY87" s="599"/>
      <c r="AZ87" s="599"/>
      <c r="BA87" s="578"/>
      <c r="BB87" s="603"/>
      <c r="BC87" s="552"/>
      <c r="BD87" s="553"/>
      <c r="BE87" s="596"/>
      <c r="BF87" s="596"/>
      <c r="BG87" s="596"/>
      <c r="BH87" s="596"/>
      <c r="BI87" s="596"/>
      <c r="BJ87" s="596"/>
      <c r="BK87" s="596"/>
      <c r="BL87" s="596"/>
      <c r="BM87" s="596"/>
      <c r="BN87" s="596"/>
      <c r="BO87" s="596"/>
      <c r="BP87" s="596"/>
      <c r="BQ87" s="596"/>
      <c r="BR87" s="596"/>
      <c r="BS87" s="596"/>
      <c r="BT87" s="596"/>
    </row>
    <row r="88" spans="1:72" ht="12.5" customHeight="1">
      <c r="A88" s="540"/>
      <c r="B88" s="647"/>
      <c r="C88" s="648"/>
      <c r="D88" s="649"/>
      <c r="E88" s="650"/>
      <c r="F88" s="650"/>
      <c r="G88" s="650"/>
      <c r="H88" s="651"/>
      <c r="I88" s="651"/>
      <c r="J88" s="818"/>
      <c r="K88" s="818"/>
      <c r="L88" s="818"/>
      <c r="M88" s="818"/>
      <c r="N88" s="652"/>
      <c r="O88" s="653"/>
      <c r="P88" s="652"/>
      <c r="Q88" s="651"/>
      <c r="R88" s="651"/>
      <c r="S88" s="651"/>
      <c r="T88" s="654"/>
      <c r="U88" s="654"/>
      <c r="V88" s="654"/>
      <c r="W88" s="654"/>
      <c r="X88" s="654"/>
      <c r="Y88" s="653"/>
      <c r="Z88" s="654"/>
      <c r="AA88" s="651"/>
      <c r="AB88" s="653"/>
      <c r="AC88" s="654"/>
      <c r="AD88" s="651"/>
      <c r="AE88" s="653"/>
      <c r="AF88" s="651"/>
      <c r="AG88" s="651"/>
      <c r="AH88" s="653"/>
      <c r="AI88" s="651"/>
      <c r="AJ88" s="651"/>
      <c r="AK88" s="655"/>
      <c r="AL88" s="651"/>
      <c r="AM88" s="651"/>
      <c r="AN88" s="651"/>
      <c r="AO88" s="651"/>
      <c r="AP88" s="651"/>
      <c r="AQ88" s="651"/>
      <c r="AR88" s="651"/>
      <c r="AS88" s="651"/>
      <c r="AT88" s="650"/>
      <c r="AU88" s="650"/>
      <c r="AV88" s="650"/>
      <c r="AW88" s="650"/>
      <c r="AX88" s="650"/>
      <c r="AY88" s="650"/>
      <c r="AZ88" s="602"/>
      <c r="BA88" s="569"/>
      <c r="BB88" s="551"/>
      <c r="BC88" s="552"/>
      <c r="BD88" s="538"/>
      <c r="BE88" s="596"/>
      <c r="BF88" s="596"/>
      <c r="BG88" s="596"/>
      <c r="BH88" s="596"/>
      <c r="BI88" s="596"/>
      <c r="BJ88" s="596"/>
      <c r="BK88" s="596"/>
      <c r="BL88" s="596"/>
      <c r="BM88" s="596"/>
      <c r="BN88" s="596"/>
      <c r="BO88" s="596"/>
      <c r="BP88" s="596"/>
      <c r="BQ88" s="596"/>
      <c r="BR88" s="596"/>
      <c r="BS88" s="596"/>
      <c r="BT88" s="596"/>
    </row>
    <row r="89" spans="1:72" ht="12.5" customHeight="1">
      <c r="A89" s="540"/>
      <c r="B89" s="567"/>
      <c r="C89" s="575"/>
      <c r="D89" s="576"/>
      <c r="E89" s="568"/>
      <c r="F89" s="568"/>
      <c r="G89" s="568"/>
      <c r="H89" s="579"/>
      <c r="I89" s="579"/>
      <c r="J89" s="792"/>
      <c r="K89" s="792"/>
      <c r="L89" s="792"/>
      <c r="M89" s="792"/>
      <c r="N89" s="582"/>
      <c r="O89" s="583"/>
      <c r="P89" s="582"/>
      <c r="Q89" s="579"/>
      <c r="R89" s="579"/>
      <c r="S89" s="579"/>
      <c r="T89" s="580"/>
      <c r="U89" s="580"/>
      <c r="V89" s="580"/>
      <c r="W89" s="580"/>
      <c r="X89" s="580"/>
      <c r="Y89" s="583"/>
      <c r="Z89" s="580"/>
      <c r="AA89" s="579"/>
      <c r="AB89" s="583"/>
      <c r="AC89" s="580"/>
      <c r="AD89" s="579"/>
      <c r="AE89" s="583"/>
      <c r="AF89" s="579"/>
      <c r="AG89" s="579"/>
      <c r="AH89" s="583"/>
      <c r="AI89" s="579"/>
      <c r="AJ89" s="579"/>
      <c r="AK89" s="584"/>
      <c r="AL89" s="579"/>
      <c r="AM89" s="579"/>
      <c r="AN89" s="579"/>
      <c r="AO89" s="579"/>
      <c r="AP89" s="579"/>
      <c r="AQ89" s="579"/>
      <c r="AR89" s="579"/>
      <c r="AS89" s="579"/>
      <c r="AT89" s="568"/>
      <c r="AU89" s="568"/>
      <c r="AV89" s="568"/>
      <c r="AW89" s="568"/>
      <c r="AX89" s="568"/>
      <c r="AY89" s="568"/>
      <c r="AZ89" s="565"/>
      <c r="BA89" s="569"/>
      <c r="BB89" s="551"/>
      <c r="BC89" s="552"/>
      <c r="BD89" s="538"/>
      <c r="BE89" s="596"/>
      <c r="BF89" s="596"/>
      <c r="BG89" s="596"/>
      <c r="BH89" s="596"/>
      <c r="BI89" s="596"/>
      <c r="BJ89" s="596"/>
      <c r="BK89" s="596"/>
      <c r="BL89" s="596"/>
      <c r="BM89" s="596"/>
      <c r="BN89" s="596"/>
      <c r="BO89" s="596"/>
      <c r="BP89" s="596"/>
      <c r="BQ89" s="596"/>
      <c r="BR89" s="596"/>
      <c r="BS89" s="596"/>
      <c r="BT89" s="596"/>
    </row>
    <row r="90" spans="1:72" ht="12.5" customHeight="1">
      <c r="A90" s="540"/>
      <c r="B90" s="567"/>
      <c r="C90" s="575"/>
      <c r="D90" s="576"/>
      <c r="E90" s="568"/>
      <c r="F90" s="568"/>
      <c r="G90" s="568"/>
      <c r="H90" s="579"/>
      <c r="I90" s="579"/>
      <c r="J90" s="792"/>
      <c r="K90" s="792"/>
      <c r="L90" s="792"/>
      <c r="M90" s="792"/>
      <c r="N90" s="582"/>
      <c r="O90" s="583"/>
      <c r="P90" s="582"/>
      <c r="Q90" s="579"/>
      <c r="R90" s="579"/>
      <c r="S90" s="579"/>
      <c r="T90" s="580"/>
      <c r="U90" s="580"/>
      <c r="V90" s="580"/>
      <c r="W90" s="580"/>
      <c r="X90" s="580"/>
      <c r="Y90" s="583"/>
      <c r="Z90" s="580"/>
      <c r="AA90" s="579"/>
      <c r="AB90" s="583"/>
      <c r="AC90" s="580"/>
      <c r="AD90" s="579"/>
      <c r="AE90" s="583"/>
      <c r="AF90" s="579"/>
      <c r="AG90" s="579"/>
      <c r="AH90" s="583"/>
      <c r="AI90" s="579"/>
      <c r="AJ90" s="579"/>
      <c r="AK90" s="584"/>
      <c r="AL90" s="579"/>
      <c r="AM90" s="579"/>
      <c r="AN90" s="579"/>
      <c r="AO90" s="579"/>
      <c r="AP90" s="579"/>
      <c r="AQ90" s="579"/>
      <c r="AR90" s="579"/>
      <c r="AS90" s="579"/>
      <c r="AT90" s="568"/>
      <c r="AU90" s="568"/>
      <c r="AV90" s="568"/>
      <c r="AW90" s="568"/>
      <c r="AX90" s="568"/>
      <c r="AY90" s="568"/>
      <c r="AZ90" s="565"/>
      <c r="BA90" s="569"/>
      <c r="BB90" s="551"/>
      <c r="BC90" s="552"/>
      <c r="BD90" s="538"/>
      <c r="BE90" s="596"/>
      <c r="BF90" s="596"/>
      <c r="BG90" s="596"/>
      <c r="BH90" s="596"/>
      <c r="BI90" s="596"/>
      <c r="BJ90" s="596"/>
      <c r="BK90" s="596"/>
      <c r="BL90" s="596"/>
      <c r="BM90" s="596"/>
      <c r="BN90" s="596"/>
      <c r="BO90" s="596"/>
      <c r="BP90" s="596"/>
      <c r="BQ90" s="596"/>
      <c r="BR90" s="596"/>
      <c r="BS90" s="596"/>
      <c r="BT90" s="596"/>
    </row>
    <row r="91" spans="1:72" ht="12.5" customHeight="1">
      <c r="A91" s="540"/>
      <c r="B91" s="567"/>
      <c r="C91" s="575"/>
      <c r="D91" s="576"/>
      <c r="E91" s="568"/>
      <c r="F91" s="568"/>
      <c r="G91" s="568"/>
      <c r="H91" s="579"/>
      <c r="I91" s="579"/>
      <c r="J91" s="792"/>
      <c r="K91" s="792"/>
      <c r="L91" s="792"/>
      <c r="M91" s="792"/>
      <c r="N91" s="582"/>
      <c r="O91" s="583"/>
      <c r="P91" s="582"/>
      <c r="Q91" s="579"/>
      <c r="R91" s="579"/>
      <c r="S91" s="579"/>
      <c r="T91" s="580"/>
      <c r="U91" s="580"/>
      <c r="V91" s="580"/>
      <c r="W91" s="580"/>
      <c r="X91" s="580"/>
      <c r="Y91" s="583"/>
      <c r="Z91" s="580"/>
      <c r="AA91" s="579"/>
      <c r="AB91" s="583"/>
      <c r="AC91" s="580"/>
      <c r="AD91" s="579"/>
      <c r="AE91" s="583"/>
      <c r="AF91" s="579"/>
      <c r="AG91" s="579"/>
      <c r="AH91" s="583"/>
      <c r="AI91" s="579"/>
      <c r="AJ91" s="579"/>
      <c r="AK91" s="584"/>
      <c r="AL91" s="579"/>
      <c r="AM91" s="579"/>
      <c r="AN91" s="579"/>
      <c r="AO91" s="579"/>
      <c r="AP91" s="579"/>
      <c r="AQ91" s="579"/>
      <c r="AR91" s="579"/>
      <c r="AS91" s="579"/>
      <c r="AT91" s="568"/>
      <c r="AU91" s="568"/>
      <c r="AV91" s="568"/>
      <c r="AW91" s="568"/>
      <c r="AX91" s="568"/>
      <c r="AY91" s="568"/>
      <c r="AZ91" s="565"/>
      <c r="BA91" s="569"/>
      <c r="BB91" s="551"/>
      <c r="BC91" s="552"/>
      <c r="BD91" s="538"/>
      <c r="BE91" s="596"/>
      <c r="BF91" s="596"/>
      <c r="BG91" s="596"/>
      <c r="BH91" s="596"/>
      <c r="BI91" s="596"/>
      <c r="BJ91" s="596"/>
      <c r="BK91" s="596"/>
      <c r="BL91" s="596"/>
      <c r="BM91" s="596"/>
      <c r="BN91" s="596"/>
      <c r="BO91" s="596"/>
      <c r="BP91" s="596"/>
      <c r="BQ91" s="596"/>
      <c r="BR91" s="596"/>
      <c r="BS91" s="596"/>
      <c r="BT91" s="596"/>
    </row>
    <row r="92" spans="1:72" ht="12.5" customHeight="1">
      <c r="A92" s="540"/>
      <c r="B92" s="567"/>
      <c r="C92" s="575"/>
      <c r="D92" s="576"/>
      <c r="E92" s="568"/>
      <c r="F92" s="568"/>
      <c r="G92" s="568"/>
      <c r="H92" s="579"/>
      <c r="I92" s="579"/>
      <c r="J92" s="792"/>
      <c r="K92" s="792"/>
      <c r="L92" s="792"/>
      <c r="M92" s="792"/>
      <c r="N92" s="582"/>
      <c r="O92" s="583"/>
      <c r="P92" s="582"/>
      <c r="Q92" s="579"/>
      <c r="R92" s="579"/>
      <c r="S92" s="579"/>
      <c r="T92" s="580"/>
      <c r="U92" s="580"/>
      <c r="V92" s="580"/>
      <c r="W92" s="580"/>
      <c r="X92" s="580"/>
      <c r="Y92" s="583"/>
      <c r="Z92" s="580"/>
      <c r="AA92" s="579"/>
      <c r="AB92" s="583"/>
      <c r="AC92" s="580"/>
      <c r="AD92" s="579"/>
      <c r="AE92" s="583"/>
      <c r="AF92" s="579"/>
      <c r="AG92" s="579"/>
      <c r="AH92" s="583"/>
      <c r="AI92" s="579"/>
      <c r="AJ92" s="579"/>
      <c r="AK92" s="584"/>
      <c r="AL92" s="579"/>
      <c r="AM92" s="579"/>
      <c r="AN92" s="579"/>
      <c r="AO92" s="579"/>
      <c r="AP92" s="579"/>
      <c r="AQ92" s="579"/>
      <c r="AR92" s="579"/>
      <c r="AS92" s="579"/>
      <c r="AT92" s="568"/>
      <c r="AU92" s="568"/>
      <c r="AV92" s="568"/>
      <c r="AW92" s="568"/>
      <c r="AX92" s="568"/>
      <c r="AY92" s="568"/>
      <c r="AZ92" s="565"/>
      <c r="BA92" s="569"/>
      <c r="BB92" s="551"/>
      <c r="BC92" s="552"/>
      <c r="BD92" s="538"/>
      <c r="BE92" s="596"/>
      <c r="BF92" s="596"/>
      <c r="BG92" s="596"/>
      <c r="BH92" s="596"/>
      <c r="BI92" s="596"/>
      <c r="BJ92" s="596"/>
      <c r="BK92" s="596"/>
      <c r="BL92" s="596"/>
      <c r="BM92" s="596"/>
      <c r="BN92" s="596"/>
      <c r="BO92" s="596"/>
      <c r="BP92" s="596"/>
      <c r="BQ92" s="596"/>
      <c r="BR92" s="596"/>
      <c r="BS92" s="596"/>
      <c r="BT92" s="596"/>
    </row>
    <row r="93" spans="1:72" ht="12.5" customHeight="1">
      <c r="A93" s="540"/>
      <c r="B93" s="567"/>
      <c r="C93" s="575"/>
      <c r="D93" s="576"/>
      <c r="E93" s="568"/>
      <c r="F93" s="568"/>
      <c r="G93" s="568"/>
      <c r="H93" s="579"/>
      <c r="I93" s="579"/>
      <c r="J93" s="792"/>
      <c r="K93" s="792"/>
      <c r="L93" s="792"/>
      <c r="M93" s="792"/>
      <c r="N93" s="582"/>
      <c r="O93" s="583"/>
      <c r="P93" s="582"/>
      <c r="Q93" s="579"/>
      <c r="R93" s="579"/>
      <c r="S93" s="579"/>
      <c r="T93" s="580"/>
      <c r="U93" s="580"/>
      <c r="V93" s="580"/>
      <c r="W93" s="580"/>
      <c r="X93" s="580"/>
      <c r="Y93" s="583"/>
      <c r="Z93" s="580"/>
      <c r="AA93" s="579"/>
      <c r="AB93" s="583"/>
      <c r="AC93" s="580"/>
      <c r="AD93" s="579"/>
      <c r="AE93" s="583"/>
      <c r="AF93" s="579"/>
      <c r="AG93" s="579"/>
      <c r="AH93" s="583"/>
      <c r="AI93" s="579"/>
      <c r="AJ93" s="579"/>
      <c r="AK93" s="584"/>
      <c r="AL93" s="579"/>
      <c r="AM93" s="579"/>
      <c r="AN93" s="579"/>
      <c r="AO93" s="579"/>
      <c r="AP93" s="579"/>
      <c r="AQ93" s="579"/>
      <c r="AR93" s="579"/>
      <c r="AS93" s="579"/>
      <c r="AT93" s="568"/>
      <c r="AU93" s="568"/>
      <c r="AV93" s="568"/>
      <c r="AW93" s="568"/>
      <c r="AX93" s="568"/>
      <c r="AY93" s="568"/>
      <c r="AZ93" s="565"/>
      <c r="BA93" s="569"/>
      <c r="BB93" s="551"/>
      <c r="BC93" s="552"/>
      <c r="BD93" s="538"/>
      <c r="BE93" s="596"/>
      <c r="BF93" s="596"/>
      <c r="BG93" s="596"/>
      <c r="BH93" s="596"/>
      <c r="BI93" s="596"/>
      <c r="BJ93" s="596"/>
      <c r="BK93" s="596"/>
      <c r="BL93" s="596"/>
      <c r="BM93" s="596"/>
      <c r="BN93" s="596"/>
      <c r="BO93" s="596"/>
      <c r="BP93" s="596"/>
      <c r="BQ93" s="596"/>
      <c r="BR93" s="596"/>
      <c r="BS93" s="596"/>
      <c r="BT93" s="596"/>
    </row>
    <row r="94" spans="1:72" ht="12.5" customHeight="1">
      <c r="A94" s="540"/>
      <c r="B94" s="567"/>
      <c r="C94" s="575"/>
      <c r="D94" s="576"/>
      <c r="E94" s="568"/>
      <c r="F94" s="568"/>
      <c r="G94" s="568"/>
      <c r="H94" s="579"/>
      <c r="I94" s="579"/>
      <c r="J94" s="792"/>
      <c r="K94" s="792"/>
      <c r="L94" s="792"/>
      <c r="M94" s="792"/>
      <c r="N94" s="582"/>
      <c r="O94" s="583"/>
      <c r="P94" s="582"/>
      <c r="Q94" s="579"/>
      <c r="R94" s="579"/>
      <c r="S94" s="579"/>
      <c r="T94" s="580"/>
      <c r="U94" s="580"/>
      <c r="V94" s="580"/>
      <c r="W94" s="580"/>
      <c r="X94" s="580"/>
      <c r="Y94" s="583"/>
      <c r="Z94" s="580"/>
      <c r="AA94" s="579"/>
      <c r="AB94" s="583"/>
      <c r="AC94" s="580"/>
      <c r="AD94" s="579"/>
      <c r="AE94" s="583"/>
      <c r="AF94" s="579"/>
      <c r="AG94" s="579"/>
      <c r="AH94" s="583"/>
      <c r="AI94" s="579"/>
      <c r="AJ94" s="579"/>
      <c r="AK94" s="584"/>
      <c r="AL94" s="579"/>
      <c r="AM94" s="579"/>
      <c r="AN94" s="579"/>
      <c r="AO94" s="579"/>
      <c r="AP94" s="579"/>
      <c r="AQ94" s="579"/>
      <c r="AR94" s="579"/>
      <c r="AS94" s="579"/>
      <c r="AT94" s="568"/>
      <c r="AU94" s="568"/>
      <c r="AV94" s="568"/>
      <c r="AW94" s="568"/>
      <c r="AX94" s="568"/>
      <c r="AY94" s="568"/>
      <c r="AZ94" s="565"/>
      <c r="BA94" s="569"/>
      <c r="BB94" s="551"/>
      <c r="BC94" s="552"/>
      <c r="BD94" s="538"/>
      <c r="BE94" s="596"/>
      <c r="BF94" s="596"/>
      <c r="BG94" s="596"/>
      <c r="BH94" s="596"/>
      <c r="BI94" s="596"/>
      <c r="BJ94" s="596"/>
      <c r="BK94" s="596"/>
      <c r="BL94" s="596"/>
      <c r="BM94" s="596"/>
      <c r="BN94" s="596"/>
      <c r="BO94" s="596"/>
      <c r="BP94" s="596"/>
      <c r="BQ94" s="596"/>
      <c r="BR94" s="596"/>
      <c r="BS94" s="596"/>
      <c r="BT94" s="596"/>
    </row>
    <row r="95" spans="1:72" ht="12.5" customHeight="1">
      <c r="A95" s="540"/>
      <c r="B95" s="567"/>
      <c r="C95" s="575"/>
      <c r="D95" s="576"/>
      <c r="E95" s="568"/>
      <c r="F95" s="568"/>
      <c r="G95" s="568"/>
      <c r="H95" s="579"/>
      <c r="I95" s="579"/>
      <c r="J95" s="792"/>
      <c r="K95" s="792"/>
      <c r="L95" s="792"/>
      <c r="M95" s="792"/>
      <c r="N95" s="582"/>
      <c r="O95" s="583"/>
      <c r="P95" s="582"/>
      <c r="Q95" s="579"/>
      <c r="R95" s="579"/>
      <c r="S95" s="579"/>
      <c r="T95" s="580"/>
      <c r="U95" s="580"/>
      <c r="V95" s="580"/>
      <c r="W95" s="580"/>
      <c r="X95" s="580"/>
      <c r="Y95" s="583"/>
      <c r="Z95" s="580"/>
      <c r="AA95" s="579"/>
      <c r="AB95" s="583"/>
      <c r="AC95" s="580"/>
      <c r="AD95" s="579"/>
      <c r="AE95" s="583"/>
      <c r="AF95" s="579"/>
      <c r="AG95" s="579"/>
      <c r="AH95" s="583"/>
      <c r="AI95" s="579"/>
      <c r="AJ95" s="579"/>
      <c r="AK95" s="584"/>
      <c r="AL95" s="579"/>
      <c r="AM95" s="579"/>
      <c r="AN95" s="579"/>
      <c r="AO95" s="579"/>
      <c r="AP95" s="579"/>
      <c r="AQ95" s="579"/>
      <c r="AR95" s="579"/>
      <c r="AS95" s="579"/>
      <c r="AT95" s="568"/>
      <c r="AU95" s="568"/>
      <c r="AV95" s="568"/>
      <c r="AW95" s="568"/>
      <c r="AX95" s="568"/>
      <c r="AY95" s="568"/>
      <c r="AZ95" s="565"/>
      <c r="BA95" s="569"/>
      <c r="BB95" s="551"/>
      <c r="BC95" s="552"/>
      <c r="BD95" s="538"/>
      <c r="BE95" s="596"/>
      <c r="BF95" s="596"/>
      <c r="BG95" s="596"/>
      <c r="BH95" s="596"/>
      <c r="BI95" s="596"/>
      <c r="BJ95" s="596"/>
      <c r="BK95" s="596"/>
      <c r="BL95" s="596"/>
      <c r="BM95" s="596"/>
      <c r="BN95" s="596"/>
      <c r="BO95" s="596"/>
      <c r="BP95" s="596"/>
      <c r="BQ95" s="596"/>
      <c r="BR95" s="596"/>
      <c r="BS95" s="596"/>
      <c r="BT95" s="596"/>
    </row>
    <row r="96" spans="1:72" ht="12.5" customHeight="1">
      <c r="A96" s="540"/>
      <c r="B96" s="567"/>
      <c r="C96" s="575"/>
      <c r="D96" s="576"/>
      <c r="E96" s="568"/>
      <c r="F96" s="568"/>
      <c r="G96" s="568"/>
      <c r="H96" s="579"/>
      <c r="I96" s="579"/>
      <c r="J96" s="792"/>
      <c r="K96" s="792"/>
      <c r="L96" s="792"/>
      <c r="M96" s="792"/>
      <c r="N96" s="582"/>
      <c r="O96" s="583"/>
      <c r="P96" s="582"/>
      <c r="Q96" s="579"/>
      <c r="R96" s="579"/>
      <c r="S96" s="579"/>
      <c r="T96" s="580"/>
      <c r="U96" s="580"/>
      <c r="V96" s="580"/>
      <c r="W96" s="580"/>
      <c r="X96" s="580"/>
      <c r="Y96" s="583"/>
      <c r="Z96" s="580"/>
      <c r="AA96" s="579"/>
      <c r="AB96" s="583"/>
      <c r="AC96" s="580"/>
      <c r="AD96" s="579"/>
      <c r="AE96" s="583"/>
      <c r="AF96" s="579"/>
      <c r="AG96" s="579"/>
      <c r="AH96" s="583"/>
      <c r="AI96" s="579"/>
      <c r="AJ96" s="579"/>
      <c r="AK96" s="584"/>
      <c r="AL96" s="579"/>
      <c r="AM96" s="579"/>
      <c r="AN96" s="579"/>
      <c r="AO96" s="579"/>
      <c r="AP96" s="579"/>
      <c r="AQ96" s="579"/>
      <c r="AR96" s="579"/>
      <c r="AS96" s="579"/>
      <c r="AT96" s="568"/>
      <c r="AU96" s="568"/>
      <c r="AV96" s="568"/>
      <c r="AW96" s="568"/>
      <c r="AX96" s="568"/>
      <c r="AY96" s="568"/>
      <c r="AZ96" s="565"/>
      <c r="BA96" s="569"/>
      <c r="BB96" s="551"/>
      <c r="BC96" s="552"/>
      <c r="BD96" s="538"/>
      <c r="BE96" s="596"/>
      <c r="BF96" s="596"/>
      <c r="BG96" s="596"/>
      <c r="BH96" s="596"/>
      <c r="BI96" s="596"/>
      <c r="BJ96" s="596"/>
      <c r="BK96" s="596"/>
      <c r="BL96" s="596"/>
      <c r="BM96" s="596"/>
      <c r="BN96" s="596"/>
      <c r="BO96" s="596"/>
      <c r="BP96" s="596"/>
      <c r="BQ96" s="596"/>
      <c r="BR96" s="596"/>
      <c r="BS96" s="596"/>
      <c r="BT96" s="596"/>
    </row>
    <row r="97" spans="1:72" ht="12.5" customHeight="1">
      <c r="A97" s="540"/>
      <c r="B97" s="567"/>
      <c r="C97" s="575"/>
      <c r="D97" s="576"/>
      <c r="E97" s="568"/>
      <c r="F97" s="568"/>
      <c r="G97" s="568"/>
      <c r="H97" s="579"/>
      <c r="I97" s="579"/>
      <c r="J97" s="792"/>
      <c r="K97" s="792"/>
      <c r="L97" s="792"/>
      <c r="M97" s="792"/>
      <c r="N97" s="582"/>
      <c r="O97" s="583"/>
      <c r="P97" s="582"/>
      <c r="Q97" s="579"/>
      <c r="R97" s="579"/>
      <c r="S97" s="579"/>
      <c r="T97" s="580"/>
      <c r="U97" s="580"/>
      <c r="V97" s="580"/>
      <c r="W97" s="580"/>
      <c r="X97" s="580"/>
      <c r="Y97" s="583"/>
      <c r="Z97" s="580"/>
      <c r="AA97" s="579"/>
      <c r="AB97" s="583"/>
      <c r="AC97" s="580"/>
      <c r="AD97" s="579"/>
      <c r="AE97" s="583"/>
      <c r="AF97" s="579"/>
      <c r="AG97" s="579"/>
      <c r="AH97" s="583"/>
      <c r="AI97" s="579"/>
      <c r="AJ97" s="579"/>
      <c r="AK97" s="584"/>
      <c r="AL97" s="579"/>
      <c r="AM97" s="579"/>
      <c r="AN97" s="579"/>
      <c r="AO97" s="579"/>
      <c r="AP97" s="579"/>
      <c r="AQ97" s="579"/>
      <c r="AR97" s="579"/>
      <c r="AS97" s="579"/>
      <c r="AT97" s="568"/>
      <c r="AU97" s="568"/>
      <c r="AV97" s="568"/>
      <c r="AW97" s="568"/>
      <c r="AX97" s="568"/>
      <c r="AY97" s="568"/>
      <c r="AZ97" s="565"/>
      <c r="BA97" s="569"/>
      <c r="BB97" s="551"/>
      <c r="BC97" s="552"/>
      <c r="BD97" s="538"/>
      <c r="BE97" s="596"/>
      <c r="BF97" s="596"/>
      <c r="BG97" s="596"/>
      <c r="BH97" s="596"/>
      <c r="BI97" s="596"/>
      <c r="BJ97" s="596"/>
      <c r="BK97" s="596"/>
      <c r="BL97" s="596"/>
      <c r="BM97" s="596"/>
      <c r="BN97" s="596"/>
      <c r="BO97" s="596"/>
      <c r="BP97" s="596"/>
      <c r="BQ97" s="596"/>
      <c r="BR97" s="596"/>
      <c r="BS97" s="596"/>
      <c r="BT97" s="596"/>
    </row>
    <row r="98" spans="1:72" ht="12.5" customHeight="1">
      <c r="A98" s="540"/>
      <c r="B98" s="567"/>
      <c r="C98" s="575"/>
      <c r="D98" s="576"/>
      <c r="E98" s="568"/>
      <c r="F98" s="568"/>
      <c r="G98" s="568"/>
      <c r="H98" s="579"/>
      <c r="I98" s="579"/>
      <c r="J98" s="792"/>
      <c r="K98" s="792"/>
      <c r="L98" s="792"/>
      <c r="M98" s="792"/>
      <c r="N98" s="582"/>
      <c r="O98" s="583"/>
      <c r="P98" s="582"/>
      <c r="Q98" s="579"/>
      <c r="R98" s="579"/>
      <c r="S98" s="579"/>
      <c r="T98" s="580"/>
      <c r="U98" s="580"/>
      <c r="V98" s="580"/>
      <c r="W98" s="580"/>
      <c r="X98" s="580"/>
      <c r="Y98" s="583"/>
      <c r="Z98" s="580"/>
      <c r="AA98" s="579"/>
      <c r="AB98" s="583"/>
      <c r="AC98" s="580"/>
      <c r="AD98" s="579"/>
      <c r="AE98" s="583"/>
      <c r="AF98" s="579"/>
      <c r="AG98" s="579"/>
      <c r="AH98" s="583"/>
      <c r="AI98" s="579"/>
      <c r="AJ98" s="579"/>
      <c r="AK98" s="584"/>
      <c r="AL98" s="579"/>
      <c r="AM98" s="579"/>
      <c r="AN98" s="579"/>
      <c r="AO98" s="579"/>
      <c r="AP98" s="579"/>
      <c r="AQ98" s="579"/>
      <c r="AR98" s="579"/>
      <c r="AS98" s="579"/>
      <c r="AT98" s="568"/>
      <c r="AU98" s="568"/>
      <c r="AV98" s="568"/>
      <c r="AW98" s="568"/>
      <c r="AX98" s="568"/>
      <c r="AY98" s="568"/>
      <c r="AZ98" s="565"/>
      <c r="BA98" s="569"/>
      <c r="BB98" s="551"/>
      <c r="BC98" s="552"/>
      <c r="BD98" s="538"/>
      <c r="BE98" s="596"/>
      <c r="BF98" s="596"/>
      <c r="BG98" s="596"/>
      <c r="BH98" s="596"/>
      <c r="BI98" s="596"/>
      <c r="BJ98" s="596"/>
      <c r="BK98" s="596"/>
      <c r="BL98" s="596"/>
      <c r="BM98" s="596"/>
      <c r="BN98" s="596"/>
      <c r="BO98" s="596"/>
      <c r="BP98" s="596"/>
      <c r="BQ98" s="596"/>
      <c r="BR98" s="596"/>
      <c r="BS98" s="596"/>
      <c r="BT98" s="596"/>
    </row>
    <row r="99" spans="1:72" ht="12.5" customHeight="1">
      <c r="A99" s="540"/>
      <c r="B99" s="567"/>
      <c r="C99" s="575"/>
      <c r="D99" s="576"/>
      <c r="E99" s="568"/>
      <c r="F99" s="568"/>
      <c r="G99" s="568"/>
      <c r="H99" s="579"/>
      <c r="I99" s="579"/>
      <c r="J99" s="792"/>
      <c r="K99" s="792"/>
      <c r="L99" s="792"/>
      <c r="M99" s="792"/>
      <c r="N99" s="582"/>
      <c r="O99" s="583"/>
      <c r="P99" s="582"/>
      <c r="Q99" s="579"/>
      <c r="R99" s="579"/>
      <c r="S99" s="579"/>
      <c r="T99" s="580"/>
      <c r="U99" s="580"/>
      <c r="V99" s="580"/>
      <c r="W99" s="580"/>
      <c r="X99" s="580"/>
      <c r="Y99" s="583"/>
      <c r="Z99" s="580"/>
      <c r="AA99" s="579"/>
      <c r="AB99" s="583"/>
      <c r="AC99" s="580"/>
      <c r="AD99" s="579"/>
      <c r="AE99" s="583"/>
      <c r="AF99" s="579"/>
      <c r="AG99" s="579"/>
      <c r="AH99" s="583"/>
      <c r="AI99" s="579"/>
      <c r="AJ99" s="579"/>
      <c r="AK99" s="584"/>
      <c r="AL99" s="579"/>
      <c r="AM99" s="579"/>
      <c r="AN99" s="579"/>
      <c r="AO99" s="579"/>
      <c r="AP99" s="579"/>
      <c r="AQ99" s="579"/>
      <c r="AR99" s="579"/>
      <c r="AS99" s="579"/>
      <c r="AT99" s="568"/>
      <c r="AU99" s="568"/>
      <c r="AV99" s="568"/>
      <c r="AW99" s="568"/>
      <c r="AX99" s="568"/>
      <c r="AY99" s="568"/>
      <c r="AZ99" s="565"/>
      <c r="BA99" s="569"/>
      <c r="BB99" s="551"/>
      <c r="BC99" s="552"/>
      <c r="BD99" s="538"/>
      <c r="BE99" s="596"/>
      <c r="BF99" s="596"/>
      <c r="BG99" s="596"/>
      <c r="BH99" s="596"/>
      <c r="BI99" s="596"/>
      <c r="BJ99" s="596"/>
      <c r="BK99" s="596"/>
      <c r="BL99" s="596"/>
      <c r="BM99" s="596"/>
      <c r="BN99" s="596"/>
      <c r="BO99" s="596"/>
      <c r="BP99" s="596"/>
      <c r="BQ99" s="596"/>
      <c r="BR99" s="596"/>
      <c r="BS99" s="596"/>
      <c r="BT99" s="596"/>
    </row>
    <row r="100" spans="1:72" ht="12.5" customHeight="1">
      <c r="A100" s="540"/>
      <c r="B100" s="567"/>
      <c r="C100" s="575"/>
      <c r="D100" s="576"/>
      <c r="E100" s="568"/>
      <c r="F100" s="568"/>
      <c r="G100" s="568"/>
      <c r="H100" s="579"/>
      <c r="I100" s="579"/>
      <c r="J100" s="792"/>
      <c r="K100" s="792"/>
      <c r="L100" s="792"/>
      <c r="M100" s="792"/>
      <c r="N100" s="582"/>
      <c r="O100" s="583"/>
      <c r="P100" s="582"/>
      <c r="Q100" s="579"/>
      <c r="R100" s="579"/>
      <c r="S100" s="579"/>
      <c r="T100" s="580"/>
      <c r="U100" s="580"/>
      <c r="V100" s="580"/>
      <c r="W100" s="580"/>
      <c r="X100" s="580"/>
      <c r="Y100" s="583"/>
      <c r="Z100" s="580"/>
      <c r="AA100" s="579"/>
      <c r="AB100" s="583"/>
      <c r="AC100" s="580"/>
      <c r="AD100" s="579"/>
      <c r="AE100" s="583"/>
      <c r="AF100" s="579"/>
      <c r="AG100" s="579"/>
      <c r="AH100" s="583"/>
      <c r="AI100" s="579"/>
      <c r="AJ100" s="579"/>
      <c r="AK100" s="584"/>
      <c r="AL100" s="579"/>
      <c r="AM100" s="579"/>
      <c r="AN100" s="579"/>
      <c r="AO100" s="579"/>
      <c r="AP100" s="579"/>
      <c r="AQ100" s="579"/>
      <c r="AR100" s="579"/>
      <c r="AS100" s="579"/>
      <c r="AT100" s="568"/>
      <c r="AU100" s="568"/>
      <c r="AV100" s="568"/>
      <c r="AW100" s="568"/>
      <c r="AX100" s="568"/>
      <c r="AY100" s="568"/>
      <c r="AZ100" s="565"/>
      <c r="BA100" s="569"/>
      <c r="BB100" s="551"/>
      <c r="BC100" s="552"/>
      <c r="BD100" s="538"/>
      <c r="BE100" s="596"/>
      <c r="BF100" s="596"/>
      <c r="BG100" s="596"/>
      <c r="BH100" s="596"/>
      <c r="BI100" s="596"/>
      <c r="BJ100" s="596"/>
      <c r="BK100" s="596"/>
      <c r="BL100" s="596"/>
      <c r="BM100" s="596"/>
      <c r="BN100" s="596"/>
      <c r="BO100" s="596"/>
      <c r="BP100" s="596"/>
      <c r="BQ100" s="596"/>
      <c r="BR100" s="596"/>
      <c r="BS100" s="596"/>
      <c r="BT100" s="596"/>
    </row>
    <row r="101" spans="1:72" ht="12.5" customHeight="1">
      <c r="A101" s="540"/>
      <c r="B101" s="567"/>
      <c r="C101" s="575"/>
      <c r="D101" s="576"/>
      <c r="E101" s="568"/>
      <c r="F101" s="568"/>
      <c r="G101" s="568"/>
      <c r="H101" s="579"/>
      <c r="I101" s="579"/>
      <c r="J101" s="792"/>
      <c r="K101" s="792"/>
      <c r="L101" s="792"/>
      <c r="M101" s="792"/>
      <c r="N101" s="582"/>
      <c r="O101" s="583"/>
      <c r="P101" s="582"/>
      <c r="Q101" s="579"/>
      <c r="R101" s="579"/>
      <c r="S101" s="579"/>
      <c r="T101" s="580"/>
      <c r="U101" s="580"/>
      <c r="V101" s="580"/>
      <c r="W101" s="580"/>
      <c r="X101" s="580"/>
      <c r="Y101" s="583"/>
      <c r="Z101" s="580"/>
      <c r="AA101" s="579"/>
      <c r="AB101" s="583"/>
      <c r="AC101" s="580"/>
      <c r="AD101" s="579"/>
      <c r="AE101" s="583"/>
      <c r="AF101" s="579"/>
      <c r="AG101" s="579"/>
      <c r="AH101" s="583"/>
      <c r="AI101" s="579"/>
      <c r="AJ101" s="579"/>
      <c r="AK101" s="584"/>
      <c r="AL101" s="579"/>
      <c r="AM101" s="579"/>
      <c r="AN101" s="579"/>
      <c r="AO101" s="579"/>
      <c r="AP101" s="579"/>
      <c r="AQ101" s="579"/>
      <c r="AR101" s="579"/>
      <c r="AS101" s="579"/>
      <c r="AT101" s="568"/>
      <c r="AU101" s="568"/>
      <c r="AV101" s="568"/>
      <c r="AW101" s="568"/>
      <c r="AX101" s="568"/>
      <c r="AY101" s="568"/>
      <c r="AZ101" s="565"/>
      <c r="BA101" s="569"/>
      <c r="BB101" s="551"/>
      <c r="BC101" s="552"/>
      <c r="BD101" s="538"/>
      <c r="BE101" s="596"/>
      <c r="BF101" s="596"/>
      <c r="BG101" s="596"/>
      <c r="BH101" s="596"/>
      <c r="BI101" s="596"/>
      <c r="BJ101" s="596"/>
      <c r="BK101" s="596"/>
      <c r="BL101" s="596"/>
      <c r="BM101" s="596"/>
      <c r="BN101" s="596"/>
      <c r="BO101" s="596"/>
      <c r="BP101" s="596"/>
      <c r="BQ101" s="596"/>
      <c r="BR101" s="596"/>
      <c r="BS101" s="596"/>
      <c r="BT101" s="596"/>
    </row>
    <row r="102" spans="1:72" ht="12.5" customHeight="1">
      <c r="A102" s="540"/>
      <c r="B102" s="567"/>
      <c r="C102" s="575"/>
      <c r="D102" s="576"/>
      <c r="E102" s="568"/>
      <c r="F102" s="568"/>
      <c r="G102" s="568"/>
      <c r="H102" s="579"/>
      <c r="I102" s="579"/>
      <c r="J102" s="792"/>
      <c r="K102" s="792"/>
      <c r="L102" s="792"/>
      <c r="M102" s="792"/>
      <c r="N102" s="582"/>
      <c r="O102" s="583"/>
      <c r="P102" s="582"/>
      <c r="Q102" s="579"/>
      <c r="R102" s="579"/>
      <c r="S102" s="579"/>
      <c r="T102" s="580"/>
      <c r="U102" s="580"/>
      <c r="V102" s="580"/>
      <c r="W102" s="580"/>
      <c r="X102" s="580"/>
      <c r="Y102" s="583"/>
      <c r="Z102" s="580"/>
      <c r="AA102" s="579"/>
      <c r="AB102" s="583"/>
      <c r="AC102" s="580"/>
      <c r="AD102" s="579"/>
      <c r="AE102" s="583"/>
      <c r="AF102" s="579"/>
      <c r="AG102" s="579"/>
      <c r="AH102" s="583"/>
      <c r="AI102" s="579"/>
      <c r="AJ102" s="579"/>
      <c r="AK102" s="584"/>
      <c r="AL102" s="579"/>
      <c r="AM102" s="579"/>
      <c r="AN102" s="579"/>
      <c r="AO102" s="579"/>
      <c r="AP102" s="579"/>
      <c r="AQ102" s="579"/>
      <c r="AR102" s="579"/>
      <c r="AS102" s="579"/>
      <c r="AT102" s="568"/>
      <c r="AU102" s="568"/>
      <c r="AV102" s="568"/>
      <c r="AW102" s="568"/>
      <c r="AX102" s="568"/>
      <c r="AY102" s="568"/>
      <c r="AZ102" s="565"/>
      <c r="BA102" s="569"/>
      <c r="BB102" s="551"/>
      <c r="BC102" s="552"/>
      <c r="BD102" s="538"/>
      <c r="BE102" s="596"/>
      <c r="BF102" s="596"/>
      <c r="BG102" s="596"/>
      <c r="BH102" s="596"/>
      <c r="BI102" s="596"/>
      <c r="BJ102" s="596"/>
      <c r="BK102" s="596"/>
      <c r="BL102" s="596"/>
      <c r="BM102" s="596"/>
      <c r="BN102" s="596"/>
      <c r="BO102" s="596"/>
      <c r="BP102" s="596"/>
      <c r="BQ102" s="596"/>
      <c r="BR102" s="596"/>
      <c r="BS102" s="596"/>
      <c r="BT102" s="596"/>
    </row>
    <row r="103" spans="1:72" ht="12.5" customHeight="1">
      <c r="A103" s="540"/>
      <c r="B103" s="567"/>
      <c r="C103" s="575"/>
      <c r="D103" s="576"/>
      <c r="E103" s="568"/>
      <c r="F103" s="568"/>
      <c r="G103" s="568"/>
      <c r="H103" s="579"/>
      <c r="I103" s="579"/>
      <c r="J103" s="792"/>
      <c r="K103" s="792"/>
      <c r="L103" s="792"/>
      <c r="M103" s="792"/>
      <c r="N103" s="582"/>
      <c r="O103" s="583"/>
      <c r="P103" s="582"/>
      <c r="Q103" s="579"/>
      <c r="R103" s="579"/>
      <c r="S103" s="579"/>
      <c r="T103" s="580"/>
      <c r="U103" s="580"/>
      <c r="V103" s="580"/>
      <c r="W103" s="580"/>
      <c r="X103" s="580"/>
      <c r="Y103" s="583"/>
      <c r="Z103" s="580"/>
      <c r="AA103" s="579"/>
      <c r="AB103" s="583"/>
      <c r="AC103" s="580"/>
      <c r="AD103" s="579"/>
      <c r="AE103" s="583"/>
      <c r="AF103" s="579"/>
      <c r="AG103" s="579"/>
      <c r="AH103" s="583"/>
      <c r="AI103" s="579"/>
      <c r="AJ103" s="579"/>
      <c r="AK103" s="584"/>
      <c r="AL103" s="579"/>
      <c r="AM103" s="579"/>
      <c r="AN103" s="579"/>
      <c r="AO103" s="579"/>
      <c r="AP103" s="579"/>
      <c r="AQ103" s="579"/>
      <c r="AR103" s="579"/>
      <c r="AS103" s="579"/>
      <c r="AT103" s="568"/>
      <c r="AU103" s="568"/>
      <c r="AV103" s="568"/>
      <c r="AW103" s="568"/>
      <c r="AX103" s="568"/>
      <c r="AY103" s="568"/>
      <c r="AZ103" s="565"/>
      <c r="BA103" s="569"/>
      <c r="BB103" s="551"/>
      <c r="BC103" s="552"/>
      <c r="BD103" s="538"/>
      <c r="BE103" s="596"/>
      <c r="BF103" s="596"/>
      <c r="BG103" s="596"/>
      <c r="BH103" s="596"/>
      <c r="BI103" s="596"/>
      <c r="BJ103" s="596"/>
      <c r="BK103" s="596"/>
      <c r="BL103" s="596"/>
      <c r="BM103" s="596"/>
      <c r="BN103" s="596"/>
      <c r="BO103" s="596"/>
      <c r="BP103" s="596"/>
      <c r="BQ103" s="596"/>
      <c r="BR103" s="596"/>
      <c r="BS103" s="596"/>
      <c r="BT103" s="596"/>
    </row>
    <row r="104" spans="1:72" ht="12.5" customHeight="1">
      <c r="A104" s="540"/>
      <c r="B104" s="567"/>
      <c r="C104" s="575"/>
      <c r="D104" s="576"/>
      <c r="E104" s="568"/>
      <c r="F104" s="568"/>
      <c r="G104" s="568"/>
      <c r="H104" s="579"/>
      <c r="I104" s="579"/>
      <c r="J104" s="792"/>
      <c r="K104" s="792"/>
      <c r="L104" s="792"/>
      <c r="M104" s="792"/>
      <c r="N104" s="582"/>
      <c r="O104" s="583"/>
      <c r="P104" s="582"/>
      <c r="Q104" s="579"/>
      <c r="R104" s="579"/>
      <c r="S104" s="579"/>
      <c r="T104" s="580"/>
      <c r="U104" s="580"/>
      <c r="V104" s="580"/>
      <c r="W104" s="580"/>
      <c r="X104" s="580"/>
      <c r="Y104" s="583"/>
      <c r="Z104" s="580"/>
      <c r="AA104" s="579"/>
      <c r="AB104" s="583"/>
      <c r="AC104" s="580"/>
      <c r="AD104" s="579"/>
      <c r="AE104" s="583"/>
      <c r="AF104" s="579"/>
      <c r="AG104" s="579"/>
      <c r="AH104" s="583"/>
      <c r="AI104" s="579"/>
      <c r="AJ104" s="579"/>
      <c r="AK104" s="584"/>
      <c r="AL104" s="579"/>
      <c r="AM104" s="579"/>
      <c r="AN104" s="579"/>
      <c r="AO104" s="579"/>
      <c r="AP104" s="579"/>
      <c r="AQ104" s="579"/>
      <c r="AR104" s="579"/>
      <c r="AS104" s="579"/>
      <c r="AT104" s="568"/>
      <c r="AU104" s="568"/>
      <c r="AV104" s="568"/>
      <c r="AW104" s="568"/>
      <c r="AX104" s="568"/>
      <c r="AY104" s="568"/>
      <c r="AZ104" s="565"/>
      <c r="BA104" s="569"/>
      <c r="BB104" s="551"/>
      <c r="BC104" s="552"/>
      <c r="BD104" s="538"/>
      <c r="BE104" s="596"/>
      <c r="BF104" s="596"/>
      <c r="BG104" s="596"/>
      <c r="BH104" s="596"/>
      <c r="BI104" s="596"/>
      <c r="BJ104" s="596"/>
      <c r="BK104" s="596"/>
      <c r="BL104" s="596"/>
      <c r="BM104" s="596"/>
      <c r="BN104" s="596"/>
      <c r="BO104" s="596"/>
      <c r="BP104" s="596"/>
      <c r="BQ104" s="596"/>
      <c r="BR104" s="596"/>
      <c r="BS104" s="596"/>
      <c r="BT104" s="596"/>
    </row>
    <row r="105" spans="1:72" ht="12.5" customHeight="1">
      <c r="A105" s="540"/>
      <c r="B105" s="567"/>
      <c r="C105" s="575"/>
      <c r="D105" s="576"/>
      <c r="E105" s="568"/>
      <c r="F105" s="568"/>
      <c r="G105" s="568"/>
      <c r="H105" s="579"/>
      <c r="I105" s="579"/>
      <c r="J105" s="792"/>
      <c r="K105" s="792"/>
      <c r="L105" s="792"/>
      <c r="M105" s="792"/>
      <c r="N105" s="582"/>
      <c r="O105" s="583"/>
      <c r="P105" s="582"/>
      <c r="Q105" s="579"/>
      <c r="R105" s="579"/>
      <c r="S105" s="579"/>
      <c r="T105" s="580"/>
      <c r="U105" s="580"/>
      <c r="V105" s="580"/>
      <c r="W105" s="580"/>
      <c r="X105" s="580"/>
      <c r="Y105" s="583"/>
      <c r="Z105" s="580"/>
      <c r="AA105" s="579"/>
      <c r="AB105" s="583"/>
      <c r="AC105" s="580"/>
      <c r="AD105" s="579"/>
      <c r="AE105" s="583"/>
      <c r="AF105" s="579"/>
      <c r="AG105" s="579"/>
      <c r="AH105" s="583"/>
      <c r="AI105" s="579"/>
      <c r="AJ105" s="579"/>
      <c r="AK105" s="584"/>
      <c r="AL105" s="579"/>
      <c r="AM105" s="579"/>
      <c r="AN105" s="579"/>
      <c r="AO105" s="579"/>
      <c r="AP105" s="579"/>
      <c r="AQ105" s="579"/>
      <c r="AR105" s="579"/>
      <c r="AS105" s="579"/>
      <c r="AT105" s="568"/>
      <c r="AU105" s="568"/>
      <c r="AV105" s="568"/>
      <c r="AW105" s="568"/>
      <c r="AX105" s="568"/>
      <c r="AY105" s="568"/>
      <c r="AZ105" s="565"/>
      <c r="BA105" s="569"/>
      <c r="BB105" s="551"/>
      <c r="BC105" s="552"/>
      <c r="BD105" s="538"/>
      <c r="BE105" s="596"/>
      <c r="BF105" s="596"/>
      <c r="BG105" s="596"/>
      <c r="BH105" s="596"/>
      <c r="BI105" s="596"/>
      <c r="BJ105" s="596"/>
      <c r="BK105" s="596"/>
      <c r="BL105" s="596"/>
      <c r="BM105" s="596"/>
      <c r="BN105" s="596"/>
      <c r="BO105" s="596"/>
      <c r="BP105" s="596"/>
      <c r="BQ105" s="596"/>
      <c r="BR105" s="596"/>
      <c r="BS105" s="596"/>
      <c r="BT105" s="596"/>
    </row>
    <row r="106" spans="1:72" ht="12.5" customHeight="1">
      <c r="A106" s="540"/>
      <c r="B106" s="567"/>
      <c r="C106" s="575"/>
      <c r="D106" s="576"/>
      <c r="E106" s="568"/>
      <c r="F106" s="568"/>
      <c r="G106" s="568"/>
      <c r="H106" s="579"/>
      <c r="I106" s="579"/>
      <c r="J106" s="792"/>
      <c r="K106" s="792"/>
      <c r="L106" s="792"/>
      <c r="M106" s="792"/>
      <c r="N106" s="582"/>
      <c r="O106" s="583"/>
      <c r="P106" s="582"/>
      <c r="Q106" s="579"/>
      <c r="R106" s="579"/>
      <c r="S106" s="579"/>
      <c r="T106" s="580"/>
      <c r="U106" s="580"/>
      <c r="V106" s="580"/>
      <c r="W106" s="580"/>
      <c r="X106" s="580"/>
      <c r="Y106" s="583"/>
      <c r="Z106" s="580"/>
      <c r="AA106" s="579"/>
      <c r="AB106" s="583"/>
      <c r="AC106" s="580"/>
      <c r="AD106" s="579"/>
      <c r="AE106" s="583"/>
      <c r="AF106" s="579"/>
      <c r="AG106" s="579"/>
      <c r="AH106" s="583"/>
      <c r="AI106" s="579"/>
      <c r="AJ106" s="579"/>
      <c r="AK106" s="584"/>
      <c r="AL106" s="579"/>
      <c r="AM106" s="579"/>
      <c r="AN106" s="579"/>
      <c r="AO106" s="579"/>
      <c r="AP106" s="579"/>
      <c r="AQ106" s="579"/>
      <c r="AR106" s="579"/>
      <c r="AS106" s="579"/>
      <c r="AT106" s="568"/>
      <c r="AU106" s="568"/>
      <c r="AV106" s="568"/>
      <c r="AW106" s="568"/>
      <c r="AX106" s="568"/>
      <c r="AY106" s="568"/>
      <c r="AZ106" s="565"/>
      <c r="BA106" s="569"/>
      <c r="BB106" s="551"/>
      <c r="BC106" s="552"/>
      <c r="BD106" s="538"/>
      <c r="BE106" s="596"/>
      <c r="BF106" s="596"/>
      <c r="BG106" s="596"/>
      <c r="BH106" s="596"/>
      <c r="BI106" s="596"/>
      <c r="BJ106" s="596"/>
      <c r="BK106" s="596"/>
      <c r="BL106" s="596"/>
      <c r="BM106" s="596"/>
      <c r="BN106" s="596"/>
      <c r="BO106" s="596"/>
      <c r="BP106" s="596"/>
      <c r="BQ106" s="596"/>
      <c r="BR106" s="596"/>
      <c r="BS106" s="596"/>
      <c r="BT106" s="596"/>
    </row>
    <row r="107" spans="1:72" ht="12.5" customHeight="1">
      <c r="A107" s="540"/>
      <c r="B107" s="567"/>
      <c r="C107" s="575"/>
      <c r="D107" s="576"/>
      <c r="E107" s="568"/>
      <c r="F107" s="568"/>
      <c r="G107" s="568"/>
      <c r="H107" s="579"/>
      <c r="I107" s="579"/>
      <c r="J107" s="792"/>
      <c r="K107" s="792"/>
      <c r="L107" s="792"/>
      <c r="M107" s="792"/>
      <c r="N107" s="582"/>
      <c r="O107" s="583"/>
      <c r="P107" s="582"/>
      <c r="Q107" s="579"/>
      <c r="R107" s="579"/>
      <c r="S107" s="579"/>
      <c r="T107" s="580"/>
      <c r="U107" s="580"/>
      <c r="V107" s="580"/>
      <c r="W107" s="580"/>
      <c r="X107" s="580"/>
      <c r="Y107" s="583"/>
      <c r="Z107" s="580"/>
      <c r="AA107" s="579"/>
      <c r="AB107" s="583"/>
      <c r="AC107" s="580"/>
      <c r="AD107" s="579"/>
      <c r="AE107" s="583"/>
      <c r="AF107" s="579"/>
      <c r="AG107" s="579"/>
      <c r="AH107" s="583"/>
      <c r="AI107" s="579"/>
      <c r="AJ107" s="579"/>
      <c r="AK107" s="584"/>
      <c r="AL107" s="579"/>
      <c r="AM107" s="579"/>
      <c r="AN107" s="579"/>
      <c r="AO107" s="579"/>
      <c r="AP107" s="579"/>
      <c r="AQ107" s="579"/>
      <c r="AR107" s="579"/>
      <c r="AS107" s="579"/>
      <c r="AT107" s="568"/>
      <c r="AU107" s="568"/>
      <c r="AV107" s="568"/>
      <c r="AW107" s="568"/>
      <c r="AX107" s="568"/>
      <c r="AY107" s="568"/>
      <c r="AZ107" s="565"/>
      <c r="BA107" s="569"/>
      <c r="BB107" s="551"/>
      <c r="BC107" s="552"/>
      <c r="BD107" s="538"/>
      <c r="BE107" s="596"/>
      <c r="BF107" s="596"/>
      <c r="BG107" s="596"/>
      <c r="BH107" s="596"/>
      <c r="BI107" s="596"/>
      <c r="BJ107" s="596"/>
      <c r="BK107" s="596"/>
      <c r="BL107" s="596"/>
      <c r="BM107" s="596"/>
      <c r="BN107" s="596"/>
      <c r="BO107" s="596"/>
      <c r="BP107" s="596"/>
      <c r="BQ107" s="596"/>
      <c r="BR107" s="596"/>
      <c r="BS107" s="596"/>
      <c r="BT107" s="596"/>
    </row>
    <row r="108" spans="1:72" ht="12.5" customHeight="1">
      <c r="A108" s="540"/>
      <c r="B108" s="567"/>
      <c r="C108" s="575"/>
      <c r="D108" s="576"/>
      <c r="E108" s="568"/>
      <c r="F108" s="568"/>
      <c r="G108" s="568"/>
      <c r="H108" s="579"/>
      <c r="I108" s="579"/>
      <c r="J108" s="792"/>
      <c r="K108" s="792"/>
      <c r="L108" s="792"/>
      <c r="M108" s="792"/>
      <c r="N108" s="582"/>
      <c r="O108" s="583"/>
      <c r="P108" s="582"/>
      <c r="Q108" s="579"/>
      <c r="R108" s="579"/>
      <c r="S108" s="579"/>
      <c r="T108" s="580"/>
      <c r="U108" s="580"/>
      <c r="V108" s="580"/>
      <c r="W108" s="580"/>
      <c r="X108" s="580"/>
      <c r="Y108" s="583"/>
      <c r="Z108" s="580"/>
      <c r="AA108" s="579"/>
      <c r="AB108" s="583"/>
      <c r="AC108" s="580"/>
      <c r="AD108" s="579"/>
      <c r="AE108" s="583"/>
      <c r="AF108" s="579"/>
      <c r="AG108" s="579"/>
      <c r="AH108" s="583"/>
      <c r="AI108" s="579"/>
      <c r="AJ108" s="579"/>
      <c r="AK108" s="584"/>
      <c r="AL108" s="579"/>
      <c r="AM108" s="579"/>
      <c r="AN108" s="579"/>
      <c r="AO108" s="579"/>
      <c r="AP108" s="579"/>
      <c r="AQ108" s="579"/>
      <c r="AR108" s="579"/>
      <c r="AS108" s="579"/>
      <c r="AT108" s="568"/>
      <c r="AU108" s="568"/>
      <c r="AV108" s="568"/>
      <c r="AW108" s="568"/>
      <c r="AX108" s="568"/>
      <c r="AY108" s="568"/>
      <c r="AZ108" s="565"/>
      <c r="BA108" s="569"/>
      <c r="BB108" s="551"/>
      <c r="BC108" s="552"/>
      <c r="BD108" s="538"/>
      <c r="BE108" s="596"/>
      <c r="BF108" s="596"/>
      <c r="BG108" s="596"/>
      <c r="BH108" s="596"/>
      <c r="BI108" s="596"/>
      <c r="BJ108" s="596"/>
      <c r="BK108" s="596"/>
      <c r="BL108" s="596"/>
      <c r="BM108" s="596"/>
      <c r="BN108" s="596"/>
      <c r="BO108" s="596"/>
      <c r="BP108" s="596"/>
      <c r="BQ108" s="596"/>
      <c r="BR108" s="596"/>
      <c r="BS108" s="596"/>
      <c r="BT108" s="596"/>
    </row>
    <row r="109" spans="1:72" ht="12.5" customHeight="1">
      <c r="A109" s="540"/>
      <c r="B109" s="567"/>
      <c r="C109" s="575"/>
      <c r="D109" s="576"/>
      <c r="E109" s="568"/>
      <c r="F109" s="568"/>
      <c r="G109" s="568"/>
      <c r="H109" s="579"/>
      <c r="I109" s="579"/>
      <c r="J109" s="792"/>
      <c r="K109" s="792"/>
      <c r="L109" s="792"/>
      <c r="M109" s="792"/>
      <c r="N109" s="582"/>
      <c r="O109" s="583"/>
      <c r="P109" s="582"/>
      <c r="Q109" s="579"/>
      <c r="R109" s="579"/>
      <c r="S109" s="579"/>
      <c r="T109" s="580"/>
      <c r="U109" s="580"/>
      <c r="V109" s="580"/>
      <c r="W109" s="580"/>
      <c r="X109" s="580"/>
      <c r="Y109" s="583"/>
      <c r="Z109" s="580"/>
      <c r="AA109" s="579"/>
      <c r="AB109" s="583"/>
      <c r="AC109" s="580"/>
      <c r="AD109" s="579"/>
      <c r="AE109" s="583"/>
      <c r="AF109" s="579"/>
      <c r="AG109" s="579"/>
      <c r="AH109" s="583"/>
      <c r="AI109" s="579"/>
      <c r="AJ109" s="579"/>
      <c r="AK109" s="584"/>
      <c r="AL109" s="579"/>
      <c r="AM109" s="579"/>
      <c r="AN109" s="579"/>
      <c r="AO109" s="579"/>
      <c r="AP109" s="579"/>
      <c r="AQ109" s="579"/>
      <c r="AR109" s="579"/>
      <c r="AS109" s="579"/>
      <c r="AT109" s="568"/>
      <c r="AU109" s="568"/>
      <c r="AV109" s="568"/>
      <c r="AW109" s="568"/>
      <c r="AX109" s="568"/>
      <c r="AY109" s="568"/>
      <c r="AZ109" s="565"/>
      <c r="BA109" s="569"/>
      <c r="BB109" s="551"/>
      <c r="BC109" s="552"/>
      <c r="BD109" s="538"/>
      <c r="BE109" s="596"/>
      <c r="BF109" s="596"/>
      <c r="BG109" s="596"/>
      <c r="BH109" s="596"/>
      <c r="BI109" s="596"/>
      <c r="BJ109" s="596"/>
      <c r="BK109" s="596"/>
      <c r="BL109" s="596"/>
      <c r="BM109" s="596"/>
      <c r="BN109" s="596"/>
      <c r="BO109" s="596"/>
      <c r="BP109" s="596"/>
      <c r="BQ109" s="596"/>
      <c r="BR109" s="596"/>
      <c r="BS109" s="596"/>
      <c r="BT109" s="596"/>
    </row>
    <row r="110" spans="1:72" ht="12.5" customHeight="1">
      <c r="A110" s="540"/>
      <c r="B110" s="567"/>
      <c r="C110" s="575"/>
      <c r="D110" s="576"/>
      <c r="E110" s="568"/>
      <c r="F110" s="568"/>
      <c r="G110" s="568"/>
      <c r="H110" s="579"/>
      <c r="I110" s="579"/>
      <c r="J110" s="792"/>
      <c r="K110" s="792"/>
      <c r="L110" s="792"/>
      <c r="M110" s="792"/>
      <c r="N110" s="582"/>
      <c r="O110" s="583"/>
      <c r="P110" s="582"/>
      <c r="Q110" s="579"/>
      <c r="R110" s="579"/>
      <c r="S110" s="579"/>
      <c r="T110" s="580"/>
      <c r="U110" s="580"/>
      <c r="V110" s="580"/>
      <c r="W110" s="580"/>
      <c r="X110" s="580"/>
      <c r="Y110" s="583"/>
      <c r="Z110" s="580"/>
      <c r="AA110" s="579"/>
      <c r="AB110" s="583"/>
      <c r="AC110" s="580"/>
      <c r="AD110" s="579"/>
      <c r="AE110" s="583"/>
      <c r="AF110" s="579"/>
      <c r="AG110" s="579"/>
      <c r="AH110" s="583"/>
      <c r="AI110" s="579"/>
      <c r="AJ110" s="579"/>
      <c r="AK110" s="584"/>
      <c r="AL110" s="579"/>
      <c r="AM110" s="579"/>
      <c r="AN110" s="579"/>
      <c r="AO110" s="579"/>
      <c r="AP110" s="579"/>
      <c r="AQ110" s="579"/>
      <c r="AR110" s="579"/>
      <c r="AS110" s="579"/>
      <c r="AT110" s="568"/>
      <c r="AU110" s="568"/>
      <c r="AV110" s="568"/>
      <c r="AW110" s="568"/>
      <c r="AX110" s="568"/>
      <c r="AY110" s="568"/>
      <c r="AZ110" s="565"/>
      <c r="BA110" s="569"/>
      <c r="BB110" s="551"/>
      <c r="BC110" s="552"/>
      <c r="BD110" s="538"/>
      <c r="BE110" s="596"/>
      <c r="BF110" s="596"/>
      <c r="BG110" s="596"/>
      <c r="BH110" s="596"/>
      <c r="BI110" s="596"/>
      <c r="BJ110" s="596"/>
      <c r="BK110" s="596"/>
      <c r="BL110" s="596"/>
      <c r="BM110" s="596"/>
      <c r="BN110" s="596"/>
      <c r="BO110" s="596"/>
      <c r="BP110" s="596"/>
      <c r="BQ110" s="596"/>
      <c r="BR110" s="596"/>
      <c r="BS110" s="596"/>
      <c r="BT110" s="596"/>
    </row>
    <row r="111" spans="1:72" ht="12.5" customHeight="1">
      <c r="A111" s="540"/>
      <c r="B111" s="567"/>
      <c r="C111" s="575"/>
      <c r="D111" s="576"/>
      <c r="E111" s="568"/>
      <c r="F111" s="568"/>
      <c r="G111" s="568"/>
      <c r="H111" s="579"/>
      <c r="I111" s="579"/>
      <c r="J111" s="792"/>
      <c r="K111" s="792"/>
      <c r="L111" s="792"/>
      <c r="M111" s="792"/>
      <c r="N111" s="582"/>
      <c r="O111" s="583"/>
      <c r="P111" s="582"/>
      <c r="Q111" s="579"/>
      <c r="R111" s="579"/>
      <c r="S111" s="579"/>
      <c r="T111" s="580"/>
      <c r="U111" s="580"/>
      <c r="V111" s="580"/>
      <c r="W111" s="580"/>
      <c r="X111" s="580"/>
      <c r="Y111" s="583"/>
      <c r="Z111" s="580"/>
      <c r="AA111" s="579"/>
      <c r="AB111" s="583"/>
      <c r="AC111" s="580"/>
      <c r="AD111" s="579"/>
      <c r="AE111" s="583"/>
      <c r="AF111" s="579"/>
      <c r="AG111" s="579"/>
      <c r="AH111" s="583"/>
      <c r="AI111" s="579"/>
      <c r="AJ111" s="579"/>
      <c r="AK111" s="584"/>
      <c r="AL111" s="579"/>
      <c r="AM111" s="579"/>
      <c r="AN111" s="579"/>
      <c r="AO111" s="579"/>
      <c r="AP111" s="579"/>
      <c r="AQ111" s="579"/>
      <c r="AR111" s="579"/>
      <c r="AS111" s="579"/>
      <c r="AT111" s="568"/>
      <c r="AU111" s="568"/>
      <c r="AV111" s="568"/>
      <c r="AW111" s="568"/>
      <c r="AX111" s="568"/>
      <c r="AY111" s="568"/>
      <c r="AZ111" s="565"/>
      <c r="BA111" s="569"/>
      <c r="BB111" s="551"/>
      <c r="BC111" s="552"/>
      <c r="BD111" s="538"/>
      <c r="BE111" s="596"/>
      <c r="BF111" s="596"/>
      <c r="BG111" s="596"/>
      <c r="BH111" s="596"/>
      <c r="BI111" s="596"/>
      <c r="BJ111" s="596"/>
      <c r="BK111" s="596"/>
      <c r="BL111" s="596"/>
      <c r="BM111" s="596"/>
      <c r="BN111" s="596"/>
      <c r="BO111" s="596"/>
      <c r="BP111" s="596"/>
      <c r="BQ111" s="596"/>
      <c r="BR111" s="596"/>
      <c r="BS111" s="596"/>
      <c r="BT111" s="596"/>
    </row>
    <row r="112" spans="1:72" ht="12.5" customHeight="1">
      <c r="A112" s="540"/>
      <c r="B112" s="567"/>
      <c r="C112" s="575"/>
      <c r="D112" s="576"/>
      <c r="E112" s="568"/>
      <c r="F112" s="568"/>
      <c r="G112" s="568"/>
      <c r="H112" s="579"/>
      <c r="I112" s="579"/>
      <c r="J112" s="792"/>
      <c r="K112" s="792"/>
      <c r="L112" s="792"/>
      <c r="M112" s="792"/>
      <c r="N112" s="582"/>
      <c r="O112" s="583"/>
      <c r="P112" s="582"/>
      <c r="Q112" s="579"/>
      <c r="R112" s="579"/>
      <c r="S112" s="579"/>
      <c r="T112" s="580"/>
      <c r="U112" s="580"/>
      <c r="V112" s="580"/>
      <c r="W112" s="580"/>
      <c r="X112" s="580"/>
      <c r="Y112" s="583"/>
      <c r="Z112" s="580"/>
      <c r="AA112" s="579"/>
      <c r="AB112" s="583"/>
      <c r="AC112" s="580"/>
      <c r="AD112" s="579"/>
      <c r="AE112" s="583"/>
      <c r="AF112" s="579"/>
      <c r="AG112" s="579"/>
      <c r="AH112" s="583"/>
      <c r="AI112" s="579"/>
      <c r="AJ112" s="579"/>
      <c r="AK112" s="584"/>
      <c r="AL112" s="579"/>
      <c r="AM112" s="579"/>
      <c r="AN112" s="579"/>
      <c r="AO112" s="579"/>
      <c r="AP112" s="579"/>
      <c r="AQ112" s="579"/>
      <c r="AR112" s="579"/>
      <c r="AS112" s="579"/>
      <c r="AT112" s="568"/>
      <c r="AU112" s="568"/>
      <c r="AV112" s="568"/>
      <c r="AW112" s="568"/>
      <c r="AX112" s="568"/>
      <c r="AY112" s="568"/>
      <c r="AZ112" s="565"/>
      <c r="BA112" s="569"/>
      <c r="BB112" s="551"/>
      <c r="BC112" s="552"/>
      <c r="BD112" s="538"/>
      <c r="BE112" s="596"/>
      <c r="BF112" s="596"/>
      <c r="BG112" s="596"/>
      <c r="BH112" s="596"/>
      <c r="BI112" s="596"/>
      <c r="BJ112" s="596"/>
      <c r="BK112" s="596"/>
      <c r="BL112" s="596"/>
      <c r="BM112" s="596"/>
      <c r="BN112" s="596"/>
      <c r="BO112" s="596"/>
      <c r="BP112" s="596"/>
      <c r="BQ112" s="596"/>
      <c r="BR112" s="596"/>
      <c r="BS112" s="596"/>
      <c r="BT112" s="596"/>
    </row>
    <row r="113" spans="1:72" ht="12.5" customHeight="1">
      <c r="A113" s="540"/>
      <c r="B113" s="567"/>
      <c r="C113" s="575"/>
      <c r="D113" s="576"/>
      <c r="E113" s="568"/>
      <c r="F113" s="568"/>
      <c r="G113" s="568"/>
      <c r="H113" s="579"/>
      <c r="I113" s="579"/>
      <c r="J113" s="792"/>
      <c r="K113" s="792"/>
      <c r="L113" s="792"/>
      <c r="M113" s="792"/>
      <c r="N113" s="582"/>
      <c r="O113" s="583"/>
      <c r="P113" s="582"/>
      <c r="Q113" s="579"/>
      <c r="R113" s="579"/>
      <c r="S113" s="579"/>
      <c r="T113" s="580"/>
      <c r="U113" s="580"/>
      <c r="V113" s="580"/>
      <c r="W113" s="580"/>
      <c r="X113" s="580"/>
      <c r="Y113" s="583"/>
      <c r="Z113" s="580"/>
      <c r="AA113" s="579"/>
      <c r="AB113" s="583"/>
      <c r="AC113" s="580"/>
      <c r="AD113" s="579"/>
      <c r="AE113" s="583"/>
      <c r="AF113" s="579"/>
      <c r="AG113" s="579"/>
      <c r="AH113" s="583"/>
      <c r="AI113" s="579"/>
      <c r="AJ113" s="579"/>
      <c r="AK113" s="584"/>
      <c r="AL113" s="579"/>
      <c r="AM113" s="579"/>
      <c r="AN113" s="579"/>
      <c r="AO113" s="579"/>
      <c r="AP113" s="579"/>
      <c r="AQ113" s="579"/>
      <c r="AR113" s="579"/>
      <c r="AS113" s="579"/>
      <c r="AT113" s="568"/>
      <c r="AU113" s="568"/>
      <c r="AV113" s="568"/>
      <c r="AW113" s="568"/>
      <c r="AX113" s="568"/>
      <c r="AY113" s="568"/>
      <c r="AZ113" s="565"/>
      <c r="BA113" s="569"/>
      <c r="BB113" s="551"/>
      <c r="BC113" s="552"/>
      <c r="BD113" s="538"/>
      <c r="BE113" s="596"/>
      <c r="BF113" s="596"/>
      <c r="BG113" s="596"/>
      <c r="BH113" s="596"/>
      <c r="BI113" s="596"/>
      <c r="BJ113" s="596"/>
      <c r="BK113" s="596"/>
      <c r="BL113" s="596"/>
      <c r="BM113" s="596"/>
      <c r="BN113" s="596"/>
      <c r="BO113" s="596"/>
      <c r="BP113" s="596"/>
      <c r="BQ113" s="596"/>
      <c r="BR113" s="596"/>
      <c r="BS113" s="596"/>
      <c r="BT113" s="596"/>
    </row>
    <row r="114" spans="1:72" ht="12.5" customHeight="1">
      <c r="A114" s="540"/>
      <c r="B114" s="567"/>
      <c r="C114" s="575"/>
      <c r="D114" s="576"/>
      <c r="E114" s="568"/>
      <c r="F114" s="568"/>
      <c r="G114" s="568"/>
      <c r="H114" s="579"/>
      <c r="I114" s="579"/>
      <c r="J114" s="667"/>
      <c r="K114" s="667"/>
      <c r="L114" s="667"/>
      <c r="M114" s="667"/>
      <c r="N114" s="582"/>
      <c r="O114" s="583"/>
      <c r="P114" s="582"/>
      <c r="Q114" s="579"/>
      <c r="R114" s="579"/>
      <c r="S114" s="579"/>
      <c r="T114" s="580"/>
      <c r="U114" s="580"/>
      <c r="V114" s="580"/>
      <c r="W114" s="580"/>
      <c r="X114" s="580"/>
      <c r="Y114" s="583"/>
      <c r="Z114" s="580"/>
      <c r="AA114" s="579"/>
      <c r="AB114" s="583"/>
      <c r="AC114" s="580"/>
      <c r="AD114" s="579"/>
      <c r="AE114" s="583"/>
      <c r="AF114" s="579"/>
      <c r="AG114" s="579"/>
      <c r="AH114" s="583"/>
      <c r="AI114" s="579"/>
      <c r="AJ114" s="579"/>
      <c r="AK114" s="584"/>
      <c r="AL114" s="579"/>
      <c r="AM114" s="579"/>
      <c r="AN114" s="579"/>
      <c r="AO114" s="579"/>
      <c r="AP114" s="579"/>
      <c r="AQ114" s="579"/>
      <c r="AR114" s="579"/>
      <c r="AS114" s="579"/>
      <c r="AT114" s="568"/>
      <c r="AU114" s="568"/>
      <c r="AV114" s="568"/>
      <c r="AW114" s="568"/>
      <c r="AX114" s="568"/>
      <c r="AY114" s="568"/>
      <c r="AZ114" s="565"/>
      <c r="BA114" s="569"/>
      <c r="BB114" s="551"/>
      <c r="BC114" s="552"/>
      <c r="BD114" s="538"/>
      <c r="BE114" s="596"/>
      <c r="BF114" s="596"/>
      <c r="BG114" s="596"/>
      <c r="BH114" s="596"/>
      <c r="BI114" s="596"/>
      <c r="BJ114" s="596"/>
      <c r="BK114" s="596"/>
      <c r="BL114" s="596"/>
      <c r="BM114" s="596"/>
      <c r="BN114" s="596"/>
      <c r="BO114" s="596"/>
      <c r="BP114" s="596"/>
      <c r="BQ114" s="596"/>
      <c r="BR114" s="596"/>
      <c r="BS114" s="596"/>
      <c r="BT114" s="596"/>
    </row>
    <row r="115" spans="1:72" ht="12.5" customHeight="1">
      <c r="A115" s="540"/>
      <c r="B115" s="567"/>
      <c r="C115" s="575"/>
      <c r="D115" s="576"/>
      <c r="E115" s="568"/>
      <c r="F115" s="568"/>
      <c r="G115" s="568"/>
      <c r="H115" s="579"/>
      <c r="I115" s="579"/>
      <c r="J115" s="667"/>
      <c r="K115" s="667"/>
      <c r="L115" s="667"/>
      <c r="M115" s="667"/>
      <c r="N115" s="582"/>
      <c r="O115" s="583"/>
      <c r="P115" s="582"/>
      <c r="Q115" s="579"/>
      <c r="R115" s="579"/>
      <c r="S115" s="579"/>
      <c r="T115" s="580"/>
      <c r="U115" s="580"/>
      <c r="V115" s="580"/>
      <c r="W115" s="580"/>
      <c r="X115" s="580"/>
      <c r="Y115" s="583"/>
      <c r="Z115" s="580"/>
      <c r="AA115" s="579"/>
      <c r="AB115" s="583"/>
      <c r="AC115" s="580"/>
      <c r="AD115" s="579"/>
      <c r="AE115" s="583"/>
      <c r="AF115" s="579"/>
      <c r="AG115" s="579"/>
      <c r="AH115" s="583"/>
      <c r="AI115" s="579"/>
      <c r="AJ115" s="579"/>
      <c r="AK115" s="584"/>
      <c r="AL115" s="579"/>
      <c r="AM115" s="579"/>
      <c r="AN115" s="579"/>
      <c r="AO115" s="579"/>
      <c r="AP115" s="579"/>
      <c r="AQ115" s="579"/>
      <c r="AR115" s="579"/>
      <c r="AS115" s="579"/>
      <c r="AT115" s="568"/>
      <c r="AU115" s="568"/>
      <c r="AV115" s="568"/>
      <c r="AW115" s="568"/>
      <c r="AX115" s="568"/>
      <c r="AY115" s="568"/>
      <c r="AZ115" s="565"/>
      <c r="BA115" s="569"/>
      <c r="BB115" s="551"/>
      <c r="BC115" s="552"/>
      <c r="BD115" s="538"/>
      <c r="BE115" s="596"/>
      <c r="BF115" s="596"/>
      <c r="BG115" s="596"/>
      <c r="BH115" s="596"/>
      <c r="BI115" s="596"/>
      <c r="BJ115" s="596"/>
      <c r="BK115" s="596"/>
      <c r="BL115" s="596"/>
      <c r="BM115" s="596"/>
      <c r="BN115" s="596"/>
      <c r="BO115" s="596"/>
      <c r="BP115" s="596"/>
      <c r="BQ115" s="596"/>
      <c r="BR115" s="596"/>
      <c r="BS115" s="596"/>
      <c r="BT115" s="596"/>
    </row>
    <row r="116" spans="1:72" ht="12.5" customHeight="1">
      <c r="A116" s="540"/>
      <c r="B116" s="567"/>
      <c r="C116" s="575"/>
      <c r="D116" s="576"/>
      <c r="E116" s="568"/>
      <c r="F116" s="568"/>
      <c r="G116" s="568"/>
      <c r="H116" s="579"/>
      <c r="I116" s="579"/>
      <c r="J116" s="667"/>
      <c r="K116" s="667"/>
      <c r="L116" s="667"/>
      <c r="M116" s="667"/>
      <c r="N116" s="582"/>
      <c r="O116" s="583"/>
      <c r="P116" s="582"/>
      <c r="Q116" s="579"/>
      <c r="R116" s="579"/>
      <c r="S116" s="579"/>
      <c r="T116" s="580"/>
      <c r="U116" s="580"/>
      <c r="V116" s="580"/>
      <c r="W116" s="580"/>
      <c r="X116" s="580"/>
      <c r="Y116" s="583"/>
      <c r="Z116" s="580"/>
      <c r="AA116" s="579"/>
      <c r="AB116" s="583"/>
      <c r="AC116" s="580"/>
      <c r="AD116" s="579"/>
      <c r="AE116" s="583"/>
      <c r="AF116" s="579"/>
      <c r="AG116" s="579"/>
      <c r="AH116" s="583"/>
      <c r="AI116" s="579"/>
      <c r="AJ116" s="579"/>
      <c r="AK116" s="584"/>
      <c r="AL116" s="579"/>
      <c r="AM116" s="579"/>
      <c r="AN116" s="579"/>
      <c r="AO116" s="579"/>
      <c r="AP116" s="579"/>
      <c r="AQ116" s="579"/>
      <c r="AR116" s="579"/>
      <c r="AS116" s="579"/>
      <c r="AT116" s="568"/>
      <c r="AU116" s="568"/>
      <c r="AV116" s="568"/>
      <c r="AW116" s="568"/>
      <c r="AX116" s="568"/>
      <c r="AY116" s="568"/>
      <c r="AZ116" s="565"/>
      <c r="BA116" s="569"/>
      <c r="BB116" s="551"/>
      <c r="BC116" s="552"/>
      <c r="BD116" s="538"/>
      <c r="BE116" s="596"/>
      <c r="BF116" s="596"/>
      <c r="BG116" s="596"/>
      <c r="BH116" s="596"/>
      <c r="BI116" s="596"/>
      <c r="BJ116" s="596"/>
      <c r="BK116" s="596"/>
      <c r="BL116" s="596"/>
      <c r="BM116" s="596"/>
      <c r="BN116" s="596"/>
      <c r="BO116" s="596"/>
      <c r="BP116" s="596"/>
      <c r="BQ116" s="596"/>
      <c r="BR116" s="596"/>
      <c r="BS116" s="596"/>
      <c r="BT116" s="596"/>
    </row>
    <row r="117" spans="1:72" ht="12.5" customHeight="1">
      <c r="A117" s="540"/>
      <c r="B117" s="567"/>
      <c r="C117" s="575"/>
      <c r="D117" s="576"/>
      <c r="E117" s="568"/>
      <c r="F117" s="568"/>
      <c r="G117" s="568"/>
      <c r="H117" s="579"/>
      <c r="I117" s="579"/>
      <c r="J117" s="667"/>
      <c r="K117" s="667"/>
      <c r="L117" s="667"/>
      <c r="M117" s="667"/>
      <c r="N117" s="582"/>
      <c r="O117" s="583"/>
      <c r="P117" s="582"/>
      <c r="Q117" s="579"/>
      <c r="R117" s="579"/>
      <c r="S117" s="579"/>
      <c r="T117" s="580"/>
      <c r="U117" s="580"/>
      <c r="V117" s="580"/>
      <c r="W117" s="580"/>
      <c r="X117" s="580"/>
      <c r="Y117" s="583"/>
      <c r="Z117" s="580"/>
      <c r="AA117" s="579"/>
      <c r="AB117" s="583"/>
      <c r="AC117" s="580"/>
      <c r="AD117" s="579"/>
      <c r="AE117" s="583"/>
      <c r="AF117" s="579"/>
      <c r="AG117" s="579"/>
      <c r="AH117" s="583"/>
      <c r="AI117" s="579"/>
      <c r="AJ117" s="579"/>
      <c r="AK117" s="584"/>
      <c r="AL117" s="579"/>
      <c r="AM117" s="579"/>
      <c r="AN117" s="579"/>
      <c r="AO117" s="579"/>
      <c r="AP117" s="579"/>
      <c r="AQ117" s="579"/>
      <c r="AR117" s="579"/>
      <c r="AS117" s="579"/>
      <c r="AT117" s="568"/>
      <c r="AU117" s="568"/>
      <c r="AV117" s="568"/>
      <c r="AW117" s="568"/>
      <c r="AX117" s="568"/>
      <c r="AY117" s="568"/>
      <c r="AZ117" s="565"/>
      <c r="BA117" s="569"/>
      <c r="BB117" s="551"/>
      <c r="BC117" s="552"/>
      <c r="BD117" s="538"/>
      <c r="BE117" s="596"/>
      <c r="BF117" s="596"/>
      <c r="BG117" s="596"/>
      <c r="BH117" s="596"/>
      <c r="BI117" s="596"/>
      <c r="BJ117" s="596"/>
      <c r="BK117" s="596"/>
      <c r="BL117" s="596"/>
      <c r="BM117" s="596"/>
      <c r="BN117" s="596"/>
      <c r="BO117" s="596"/>
      <c r="BP117" s="596"/>
      <c r="BQ117" s="596"/>
      <c r="BR117" s="596"/>
      <c r="BS117" s="596"/>
      <c r="BT117" s="596"/>
    </row>
    <row r="118" spans="1:72" ht="12.5" customHeight="1">
      <c r="A118" s="540"/>
      <c r="B118" s="567"/>
      <c r="C118" s="575"/>
      <c r="D118" s="576"/>
      <c r="E118" s="568"/>
      <c r="F118" s="568"/>
      <c r="G118" s="568"/>
      <c r="H118" s="579"/>
      <c r="I118" s="579"/>
      <c r="J118" s="667"/>
      <c r="K118" s="667"/>
      <c r="L118" s="667"/>
      <c r="M118" s="667"/>
      <c r="N118" s="582"/>
      <c r="O118" s="583"/>
      <c r="P118" s="582"/>
      <c r="Q118" s="579"/>
      <c r="R118" s="579"/>
      <c r="S118" s="579"/>
      <c r="T118" s="580"/>
      <c r="U118" s="580"/>
      <c r="V118" s="580"/>
      <c r="W118" s="580"/>
      <c r="X118" s="580"/>
      <c r="Y118" s="583"/>
      <c r="Z118" s="580"/>
      <c r="AA118" s="579"/>
      <c r="AB118" s="583"/>
      <c r="AC118" s="580"/>
      <c r="AD118" s="579"/>
      <c r="AE118" s="583"/>
      <c r="AF118" s="579"/>
      <c r="AG118" s="579"/>
      <c r="AH118" s="583"/>
      <c r="AI118" s="579"/>
      <c r="AJ118" s="579"/>
      <c r="AK118" s="584"/>
      <c r="AL118" s="579"/>
      <c r="AM118" s="579"/>
      <c r="AN118" s="579"/>
      <c r="AO118" s="579"/>
      <c r="AP118" s="579"/>
      <c r="AQ118" s="579"/>
      <c r="AR118" s="579"/>
      <c r="AS118" s="579"/>
      <c r="AT118" s="568"/>
      <c r="AU118" s="568"/>
      <c r="AV118" s="568"/>
      <c r="AW118" s="568"/>
      <c r="AX118" s="568"/>
      <c r="AY118" s="568"/>
      <c r="AZ118" s="565"/>
      <c r="BA118" s="569"/>
      <c r="BB118" s="551"/>
      <c r="BC118" s="552"/>
      <c r="BD118" s="538"/>
      <c r="BE118" s="596"/>
      <c r="BF118" s="596"/>
      <c r="BG118" s="596"/>
      <c r="BH118" s="596"/>
      <c r="BI118" s="596"/>
      <c r="BJ118" s="596"/>
      <c r="BK118" s="596"/>
      <c r="BL118" s="596"/>
      <c r="BM118" s="596"/>
      <c r="BN118" s="596"/>
      <c r="BO118" s="596"/>
      <c r="BP118" s="596"/>
      <c r="BQ118" s="596"/>
      <c r="BR118" s="596"/>
      <c r="BS118" s="596"/>
      <c r="BT118" s="596"/>
    </row>
    <row r="119" spans="1:72" ht="13.5">
      <c r="A119" s="540"/>
      <c r="B119" s="567"/>
      <c r="C119" s="575"/>
      <c r="D119" s="576"/>
      <c r="E119" s="568"/>
      <c r="F119" s="568"/>
      <c r="G119" s="568"/>
      <c r="H119" s="579"/>
      <c r="I119" s="579"/>
      <c r="J119" s="667"/>
      <c r="K119" s="667"/>
      <c r="L119" s="667"/>
      <c r="M119" s="667"/>
      <c r="N119" s="582"/>
      <c r="O119" s="583"/>
      <c r="P119" s="582"/>
      <c r="Q119" s="579"/>
      <c r="R119" s="579"/>
      <c r="S119" s="579"/>
      <c r="T119" s="580"/>
      <c r="U119" s="580"/>
      <c r="V119" s="580"/>
      <c r="W119" s="580"/>
      <c r="X119" s="580"/>
      <c r="Y119" s="583"/>
      <c r="Z119" s="580"/>
      <c r="AA119" s="579"/>
      <c r="AB119" s="583"/>
      <c r="AC119" s="580"/>
      <c r="AD119" s="579"/>
      <c r="AE119" s="583"/>
      <c r="AF119" s="579"/>
      <c r="AG119" s="579"/>
      <c r="AH119" s="583"/>
      <c r="AI119" s="579"/>
      <c r="AJ119" s="579"/>
      <c r="AK119" s="584"/>
      <c r="AL119" s="579"/>
      <c r="AM119" s="579"/>
      <c r="AN119" s="579"/>
      <c r="AO119" s="579"/>
      <c r="AP119" s="579"/>
      <c r="AQ119" s="579"/>
      <c r="AR119" s="579"/>
      <c r="AS119" s="579"/>
      <c r="AT119" s="568"/>
      <c r="AU119" s="568"/>
      <c r="AV119" s="568"/>
      <c r="AW119" s="568"/>
      <c r="AX119" s="568"/>
      <c r="AY119" s="568"/>
      <c r="AZ119" s="565"/>
      <c r="BA119" s="569"/>
      <c r="BB119" s="551"/>
      <c r="BC119" s="552"/>
      <c r="BD119" s="553"/>
      <c r="BE119" s="596"/>
      <c r="BF119" s="596"/>
      <c r="BG119" s="596"/>
      <c r="BH119" s="596"/>
      <c r="BI119" s="596"/>
      <c r="BJ119" s="596"/>
      <c r="BK119" s="596"/>
      <c r="BL119" s="596"/>
      <c r="BM119" s="596"/>
      <c r="BN119" s="596"/>
      <c r="BO119" s="596"/>
      <c r="BP119" s="596"/>
      <c r="BQ119" s="596"/>
      <c r="BR119" s="596"/>
      <c r="BS119" s="596"/>
      <c r="BT119" s="596"/>
    </row>
    <row r="120" spans="1:72" ht="13.5">
      <c r="A120" s="540"/>
      <c r="B120" s="567"/>
      <c r="C120" s="575"/>
      <c r="D120" s="576"/>
      <c r="E120" s="568"/>
      <c r="F120" s="568"/>
      <c r="G120" s="568"/>
      <c r="H120" s="579"/>
      <c r="I120" s="579"/>
      <c r="J120" s="667"/>
      <c r="K120" s="667"/>
      <c r="L120" s="667"/>
      <c r="M120" s="667"/>
      <c r="N120" s="582"/>
      <c r="O120" s="583"/>
      <c r="P120" s="582"/>
      <c r="Q120" s="579"/>
      <c r="R120" s="579"/>
      <c r="S120" s="579"/>
      <c r="T120" s="580"/>
      <c r="U120" s="580"/>
      <c r="V120" s="580"/>
      <c r="W120" s="580"/>
      <c r="X120" s="580"/>
      <c r="Y120" s="583"/>
      <c r="Z120" s="580"/>
      <c r="AA120" s="579"/>
      <c r="AB120" s="583"/>
      <c r="AC120" s="580"/>
      <c r="AD120" s="579"/>
      <c r="AE120" s="583"/>
      <c r="AF120" s="579"/>
      <c r="AG120" s="579"/>
      <c r="AH120" s="583"/>
      <c r="AI120" s="579"/>
      <c r="AJ120" s="579"/>
      <c r="AK120" s="584"/>
      <c r="AL120" s="579"/>
      <c r="AM120" s="579"/>
      <c r="AN120" s="579"/>
      <c r="AO120" s="579"/>
      <c r="AP120" s="579"/>
      <c r="AQ120" s="579"/>
      <c r="AR120" s="579"/>
      <c r="AS120" s="579"/>
      <c r="AT120" s="568"/>
      <c r="AU120" s="568"/>
      <c r="AV120" s="568"/>
      <c r="AW120" s="568"/>
      <c r="AX120" s="568"/>
      <c r="AY120" s="568"/>
      <c r="AZ120" s="565"/>
      <c r="BA120" s="569"/>
      <c r="BB120" s="551"/>
      <c r="BC120" s="552"/>
      <c r="BD120" s="553"/>
      <c r="BE120" s="596"/>
      <c r="BF120" s="596"/>
      <c r="BG120" s="596"/>
      <c r="BH120" s="596"/>
      <c r="BI120" s="596"/>
      <c r="BJ120" s="596"/>
      <c r="BK120" s="596"/>
      <c r="BL120" s="596"/>
      <c r="BM120" s="596"/>
      <c r="BN120" s="596"/>
      <c r="BO120" s="596"/>
      <c r="BP120" s="596"/>
      <c r="BQ120" s="596"/>
      <c r="BR120" s="596"/>
      <c r="BS120" s="596"/>
      <c r="BT120" s="596"/>
    </row>
    <row r="121" spans="1:72" ht="13.5">
      <c r="A121" s="540"/>
      <c r="B121" s="567"/>
      <c r="C121" s="575"/>
      <c r="D121" s="576"/>
      <c r="E121" s="568"/>
      <c r="F121" s="568"/>
      <c r="G121" s="568"/>
      <c r="H121" s="579"/>
      <c r="I121" s="579"/>
      <c r="J121" s="667"/>
      <c r="K121" s="667"/>
      <c r="L121" s="667"/>
      <c r="M121" s="667"/>
      <c r="N121" s="582"/>
      <c r="O121" s="583"/>
      <c r="P121" s="582"/>
      <c r="Q121" s="579"/>
      <c r="R121" s="579"/>
      <c r="S121" s="579"/>
      <c r="T121" s="580"/>
      <c r="U121" s="580"/>
      <c r="V121" s="580"/>
      <c r="W121" s="580"/>
      <c r="X121" s="580"/>
      <c r="Y121" s="583"/>
      <c r="Z121" s="580"/>
      <c r="AA121" s="579"/>
      <c r="AB121" s="583"/>
      <c r="AC121" s="580"/>
      <c r="AD121" s="579"/>
      <c r="AE121" s="583"/>
      <c r="AF121" s="579"/>
      <c r="AG121" s="579"/>
      <c r="AH121" s="583"/>
      <c r="AI121" s="579"/>
      <c r="AJ121" s="579"/>
      <c r="AK121" s="584"/>
      <c r="AL121" s="579"/>
      <c r="AM121" s="579"/>
      <c r="AN121" s="579"/>
      <c r="AO121" s="579"/>
      <c r="AP121" s="579"/>
      <c r="AQ121" s="579"/>
      <c r="AR121" s="579"/>
      <c r="AS121" s="579"/>
      <c r="AT121" s="568"/>
      <c r="AU121" s="568"/>
      <c r="AV121" s="568"/>
      <c r="AW121" s="568"/>
      <c r="AX121" s="568"/>
      <c r="AY121" s="568"/>
      <c r="AZ121" s="565"/>
      <c r="BA121" s="569"/>
      <c r="BB121" s="551"/>
      <c r="BC121" s="552"/>
      <c r="BD121" s="553"/>
      <c r="BE121" s="596"/>
      <c r="BF121" s="596"/>
      <c r="BG121" s="596"/>
      <c r="BH121" s="596"/>
      <c r="BI121" s="596"/>
      <c r="BJ121" s="596"/>
      <c r="BK121" s="596"/>
      <c r="BL121" s="596"/>
      <c r="BM121" s="596"/>
      <c r="BN121" s="596"/>
      <c r="BO121" s="596"/>
      <c r="BP121" s="596"/>
      <c r="BQ121" s="596"/>
      <c r="BR121" s="596"/>
      <c r="BS121" s="596"/>
      <c r="BT121" s="596"/>
    </row>
    <row r="122" spans="1:72" ht="13.5">
      <c r="A122" s="540"/>
      <c r="B122" s="567"/>
      <c r="C122" s="575"/>
      <c r="D122" s="576"/>
      <c r="E122" s="568"/>
      <c r="F122" s="568"/>
      <c r="G122" s="568"/>
      <c r="H122" s="579"/>
      <c r="I122" s="579"/>
      <c r="J122" s="667"/>
      <c r="K122" s="667"/>
      <c r="L122" s="667"/>
      <c r="M122" s="667"/>
      <c r="N122" s="582"/>
      <c r="O122" s="583"/>
      <c r="P122" s="582"/>
      <c r="Q122" s="579"/>
      <c r="R122" s="579"/>
      <c r="S122" s="579"/>
      <c r="T122" s="580"/>
      <c r="U122" s="580"/>
      <c r="V122" s="580"/>
      <c r="W122" s="580"/>
      <c r="X122" s="580"/>
      <c r="Y122" s="583"/>
      <c r="Z122" s="580"/>
      <c r="AA122" s="579"/>
      <c r="AB122" s="583"/>
      <c r="AC122" s="580"/>
      <c r="AD122" s="579"/>
      <c r="AE122" s="583"/>
      <c r="AF122" s="579"/>
      <c r="AG122" s="579"/>
      <c r="AH122" s="583"/>
      <c r="AI122" s="579"/>
      <c r="AJ122" s="579"/>
      <c r="AK122" s="584"/>
      <c r="AL122" s="579"/>
      <c r="AM122" s="579"/>
      <c r="AN122" s="579"/>
      <c r="AO122" s="579"/>
      <c r="AP122" s="579"/>
      <c r="AQ122" s="579"/>
      <c r="AR122" s="579"/>
      <c r="AS122" s="579"/>
      <c r="AT122" s="568"/>
      <c r="AU122" s="568"/>
      <c r="AV122" s="568"/>
      <c r="AW122" s="568"/>
      <c r="AX122" s="568"/>
      <c r="AY122" s="568"/>
      <c r="AZ122" s="565"/>
      <c r="BA122" s="569"/>
      <c r="BB122" s="551"/>
      <c r="BC122" s="552"/>
      <c r="BD122" s="553"/>
      <c r="BE122" s="596"/>
      <c r="BF122" s="596"/>
      <c r="BG122" s="596"/>
      <c r="BH122" s="596"/>
      <c r="BI122" s="596"/>
      <c r="BJ122" s="596"/>
      <c r="BK122" s="596"/>
      <c r="BL122" s="596"/>
      <c r="BM122" s="596"/>
      <c r="BN122" s="596"/>
      <c r="BO122" s="596"/>
      <c r="BP122" s="596"/>
      <c r="BQ122" s="596"/>
      <c r="BR122" s="596"/>
      <c r="BS122" s="596"/>
      <c r="BT122" s="596"/>
    </row>
    <row r="123" spans="1:72" ht="13.5">
      <c r="A123" s="554"/>
      <c r="B123" s="656"/>
      <c r="C123" s="657"/>
      <c r="D123" s="658"/>
      <c r="E123" s="659"/>
      <c r="F123" s="659"/>
      <c r="G123" s="659"/>
      <c r="H123" s="660"/>
      <c r="I123" s="660"/>
      <c r="J123" s="661"/>
      <c r="K123" s="661"/>
      <c r="L123" s="661"/>
      <c r="M123" s="661"/>
      <c r="N123" s="662"/>
      <c r="O123" s="663"/>
      <c r="P123" s="662"/>
      <c r="Q123" s="660"/>
      <c r="R123" s="660"/>
      <c r="S123" s="660"/>
      <c r="T123" s="664"/>
      <c r="U123" s="664"/>
      <c r="V123" s="664"/>
      <c r="W123" s="664"/>
      <c r="X123" s="664"/>
      <c r="Y123" s="663"/>
      <c r="Z123" s="664"/>
      <c r="AA123" s="660"/>
      <c r="AB123" s="663"/>
      <c r="AC123" s="664"/>
      <c r="AD123" s="660"/>
      <c r="AE123" s="663"/>
      <c r="AF123" s="660"/>
      <c r="AG123" s="660"/>
      <c r="AH123" s="663"/>
      <c r="AI123" s="660"/>
      <c r="AJ123" s="660"/>
      <c r="AK123" s="665"/>
      <c r="AL123" s="660"/>
      <c r="AM123" s="660"/>
      <c r="AN123" s="660"/>
      <c r="AO123" s="660"/>
      <c r="AP123" s="660"/>
      <c r="AQ123" s="660"/>
      <c r="AR123" s="660"/>
      <c r="AS123" s="660"/>
      <c r="AT123" s="659"/>
      <c r="AU123" s="659"/>
      <c r="AV123" s="659"/>
      <c r="AW123" s="659"/>
      <c r="AX123" s="659"/>
      <c r="AY123" s="659"/>
      <c r="AZ123" s="599"/>
      <c r="BA123" s="578"/>
      <c r="BB123" s="555"/>
      <c r="BC123" s="556"/>
      <c r="BD123" s="553"/>
      <c r="BE123" s="596"/>
      <c r="BF123" s="596"/>
      <c r="BG123" s="596"/>
      <c r="BH123" s="596"/>
      <c r="BI123" s="596"/>
      <c r="BJ123" s="596"/>
      <c r="BK123" s="596"/>
      <c r="BL123" s="596"/>
      <c r="BM123" s="596"/>
      <c r="BN123" s="596"/>
      <c r="BO123" s="596"/>
      <c r="BP123" s="596"/>
      <c r="BQ123" s="596"/>
      <c r="BR123" s="596"/>
      <c r="BS123" s="596"/>
      <c r="BT123" s="596"/>
    </row>
    <row r="124" spans="1:72" ht="15">
      <c r="A124" s="539"/>
      <c r="B124" s="539"/>
      <c r="C124" s="539"/>
      <c r="D124" s="539"/>
      <c r="E124" s="539"/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39"/>
      <c r="S124" s="557"/>
      <c r="T124" s="557"/>
      <c r="U124" s="557"/>
      <c r="V124" s="557"/>
      <c r="W124" s="539"/>
      <c r="X124" s="539"/>
      <c r="Y124" s="557"/>
      <c r="Z124" s="557"/>
      <c r="AA124" s="539"/>
      <c r="AB124" s="539"/>
      <c r="AC124" s="539"/>
      <c r="AD124" s="557"/>
      <c r="AE124" s="557"/>
      <c r="AF124" s="557"/>
      <c r="AG124" s="557"/>
      <c r="AH124" s="557"/>
      <c r="AI124" s="557"/>
      <c r="AJ124" s="557"/>
      <c r="AK124" s="557"/>
      <c r="AL124" s="557"/>
      <c r="AM124" s="557"/>
      <c r="AN124" s="557"/>
      <c r="AO124" s="557"/>
      <c r="AP124" s="557"/>
      <c r="AQ124" s="557"/>
      <c r="AR124" s="557"/>
      <c r="AS124" s="557"/>
      <c r="AT124" s="557"/>
      <c r="AU124" s="557"/>
      <c r="AV124" s="557"/>
      <c r="AW124" s="557"/>
      <c r="AX124" s="557"/>
      <c r="AY124" s="557"/>
      <c r="AZ124" s="557"/>
      <c r="BA124" s="557"/>
      <c r="BB124" s="557"/>
      <c r="BC124" s="557"/>
      <c r="BD124" s="553"/>
      <c r="BE124" s="596"/>
      <c r="BF124" s="596"/>
      <c r="BG124" s="596"/>
      <c r="BH124" s="596"/>
      <c r="BI124" s="596"/>
      <c r="BJ124" s="596"/>
      <c r="BK124" s="596"/>
      <c r="BL124" s="596"/>
      <c r="BM124" s="596"/>
      <c r="BN124" s="596"/>
      <c r="BO124" s="596"/>
      <c r="BP124" s="596"/>
      <c r="BQ124" s="596"/>
      <c r="BR124" s="596"/>
      <c r="BS124" s="596"/>
      <c r="BT124" s="596"/>
    </row>
    <row r="125" spans="1:72" ht="15">
      <c r="A125" s="539"/>
      <c r="B125" s="539"/>
      <c r="C125" s="539"/>
      <c r="D125" s="539"/>
      <c r="E125" s="539"/>
      <c r="F125" s="539"/>
      <c r="G125" s="539"/>
      <c r="H125" s="539"/>
      <c r="I125" s="539"/>
      <c r="J125" s="539"/>
      <c r="K125" s="539"/>
      <c r="L125" s="539"/>
      <c r="M125" s="539"/>
      <c r="N125" s="539"/>
      <c r="O125" s="539"/>
      <c r="P125" s="539"/>
      <c r="Q125" s="539"/>
      <c r="R125" s="539"/>
      <c r="S125" s="557"/>
      <c r="T125" s="557"/>
      <c r="U125" s="557"/>
      <c r="V125" s="557"/>
      <c r="W125" s="539"/>
      <c r="X125" s="539"/>
      <c r="Y125" s="557"/>
      <c r="Z125" s="557"/>
      <c r="AA125" s="539"/>
      <c r="AB125" s="539"/>
      <c r="AC125" s="539"/>
      <c r="AD125" s="557"/>
      <c r="AE125" s="557"/>
      <c r="AF125" s="557"/>
      <c r="AG125" s="557"/>
      <c r="AH125" s="557"/>
      <c r="AI125" s="557"/>
      <c r="AJ125" s="557"/>
      <c r="AK125" s="557"/>
      <c r="AL125" s="557"/>
      <c r="AM125" s="557"/>
      <c r="AN125" s="557"/>
      <c r="AO125" s="557"/>
      <c r="AP125" s="557"/>
      <c r="AQ125" s="557"/>
      <c r="AR125" s="557"/>
      <c r="AS125" s="557"/>
      <c r="AT125" s="557"/>
      <c r="AU125" s="557"/>
      <c r="AV125" s="557"/>
      <c r="AW125" s="557"/>
      <c r="AX125" s="557"/>
      <c r="AY125" s="557"/>
      <c r="AZ125" s="557"/>
      <c r="BA125" s="557"/>
      <c r="BB125" s="557"/>
      <c r="BC125" s="557"/>
      <c r="BD125" s="553"/>
      <c r="BE125" s="596"/>
      <c r="BF125" s="596"/>
      <c r="BG125" s="596"/>
      <c r="BH125" s="596"/>
      <c r="BI125" s="596"/>
      <c r="BJ125" s="596"/>
      <c r="BK125" s="596"/>
      <c r="BL125" s="596"/>
      <c r="BM125" s="596"/>
      <c r="BN125" s="596"/>
      <c r="BO125" s="596"/>
      <c r="BP125" s="596"/>
      <c r="BQ125" s="596"/>
      <c r="BR125" s="596"/>
      <c r="BS125" s="596"/>
      <c r="BT125" s="596"/>
    </row>
    <row r="126" spans="1:72" ht="15">
      <c r="A126" s="539"/>
      <c r="B126" s="539"/>
      <c r="C126" s="539"/>
      <c r="D126" s="539"/>
      <c r="E126" s="539"/>
      <c r="F126" s="539"/>
      <c r="G126" s="539"/>
      <c r="H126" s="539"/>
      <c r="I126" s="539"/>
      <c r="J126" s="539"/>
      <c r="K126" s="539"/>
      <c r="L126" s="539"/>
      <c r="M126" s="539"/>
      <c r="N126" s="539"/>
      <c r="O126" s="539"/>
      <c r="P126" s="539"/>
      <c r="Q126" s="539"/>
      <c r="R126" s="539"/>
      <c r="S126" s="557"/>
      <c r="T126" s="557"/>
      <c r="U126" s="557"/>
      <c r="V126" s="557"/>
      <c r="W126" s="539"/>
      <c r="X126" s="539"/>
      <c r="Y126" s="557"/>
      <c r="Z126" s="557"/>
      <c r="AA126" s="539"/>
      <c r="AB126" s="539"/>
      <c r="AC126" s="539"/>
      <c r="AD126" s="557"/>
      <c r="AE126" s="557"/>
      <c r="AF126" s="557"/>
      <c r="AG126" s="557"/>
      <c r="AH126" s="557"/>
      <c r="AI126" s="557"/>
      <c r="AJ126" s="557"/>
      <c r="AK126" s="557"/>
      <c r="AL126" s="557"/>
      <c r="AM126" s="557"/>
      <c r="AN126" s="557"/>
      <c r="AO126" s="557"/>
      <c r="AP126" s="557"/>
      <c r="AQ126" s="557"/>
      <c r="AR126" s="557"/>
      <c r="AS126" s="557"/>
      <c r="AT126" s="557"/>
      <c r="AU126" s="557"/>
      <c r="AV126" s="557"/>
      <c r="AW126" s="557"/>
      <c r="AX126" s="557"/>
      <c r="AY126" s="557"/>
      <c r="AZ126" s="557"/>
      <c r="BA126" s="557"/>
      <c r="BB126" s="557"/>
      <c r="BC126" s="557"/>
      <c r="BD126" s="553"/>
      <c r="BE126" s="596"/>
      <c r="BF126" s="596"/>
      <c r="BG126" s="596"/>
      <c r="BH126" s="596"/>
      <c r="BI126" s="596"/>
      <c r="BJ126" s="596"/>
      <c r="BK126" s="596"/>
      <c r="BL126" s="596"/>
      <c r="BM126" s="596"/>
      <c r="BN126" s="596"/>
      <c r="BO126" s="596"/>
      <c r="BP126" s="596"/>
      <c r="BQ126" s="596"/>
      <c r="BR126" s="596"/>
      <c r="BS126" s="596"/>
      <c r="BT126" s="596"/>
    </row>
    <row r="127" spans="1:72" ht="15">
      <c r="A127" s="539"/>
      <c r="B127" s="539"/>
      <c r="C127" s="539"/>
      <c r="D127" s="539"/>
      <c r="E127" s="539"/>
      <c r="F127" s="539"/>
      <c r="G127" s="539"/>
      <c r="H127" s="539"/>
      <c r="I127" s="539"/>
      <c r="J127" s="539"/>
      <c r="K127" s="539"/>
      <c r="L127" s="539"/>
      <c r="M127" s="539"/>
      <c r="N127" s="539"/>
      <c r="O127" s="539"/>
      <c r="P127" s="539"/>
      <c r="Q127" s="539"/>
      <c r="R127" s="539"/>
      <c r="S127" s="557"/>
      <c r="T127" s="557"/>
      <c r="U127" s="557"/>
      <c r="V127" s="557"/>
      <c r="W127" s="539"/>
      <c r="X127" s="539"/>
      <c r="Y127" s="557"/>
      <c r="Z127" s="557"/>
      <c r="AA127" s="539"/>
      <c r="AB127" s="539"/>
      <c r="AC127" s="539"/>
      <c r="AD127" s="557"/>
      <c r="AE127" s="557"/>
      <c r="AF127" s="557"/>
      <c r="AG127" s="557"/>
      <c r="AH127" s="557"/>
      <c r="AI127" s="557"/>
      <c r="AJ127" s="557"/>
      <c r="AK127" s="557"/>
      <c r="AL127" s="557"/>
      <c r="AM127" s="557"/>
      <c r="AN127" s="557"/>
      <c r="AO127" s="557"/>
      <c r="AP127" s="557"/>
      <c r="AQ127" s="557"/>
      <c r="AR127" s="557"/>
      <c r="AS127" s="557"/>
      <c r="AT127" s="557"/>
      <c r="AU127" s="557"/>
      <c r="AV127" s="557"/>
      <c r="AW127" s="557"/>
      <c r="AX127" s="557"/>
      <c r="AY127" s="557"/>
      <c r="AZ127" s="557"/>
      <c r="BA127" s="557"/>
      <c r="BB127" s="557"/>
      <c r="BC127" s="557"/>
      <c r="BD127" s="553"/>
      <c r="BE127" s="596"/>
      <c r="BF127" s="596"/>
      <c r="BG127" s="596"/>
      <c r="BH127" s="596"/>
      <c r="BI127" s="596"/>
      <c r="BJ127" s="596"/>
      <c r="BK127" s="596"/>
      <c r="BL127" s="596"/>
      <c r="BM127" s="596"/>
      <c r="BN127" s="596"/>
      <c r="BO127" s="596"/>
      <c r="BP127" s="596"/>
      <c r="BQ127" s="596"/>
      <c r="BR127" s="596"/>
      <c r="BS127" s="596"/>
      <c r="BT127" s="596"/>
    </row>
    <row r="128" spans="1:72" ht="15">
      <c r="A128" s="539"/>
      <c r="B128" s="539"/>
      <c r="C128" s="539"/>
      <c r="D128" s="539"/>
      <c r="E128" s="539"/>
      <c r="F128" s="539"/>
      <c r="G128" s="539"/>
      <c r="H128" s="539"/>
      <c r="I128" s="539"/>
      <c r="J128" s="539"/>
      <c r="K128" s="539"/>
      <c r="L128" s="539"/>
      <c r="M128" s="539"/>
      <c r="N128" s="539"/>
      <c r="O128" s="539"/>
      <c r="P128" s="539"/>
      <c r="Q128" s="539"/>
      <c r="R128" s="539"/>
      <c r="S128" s="557"/>
      <c r="T128" s="557"/>
      <c r="U128" s="557"/>
      <c r="V128" s="557"/>
      <c r="W128" s="539"/>
      <c r="X128" s="539"/>
      <c r="Y128" s="557"/>
      <c r="Z128" s="557"/>
      <c r="AA128" s="539"/>
      <c r="AB128" s="539"/>
      <c r="AC128" s="539"/>
      <c r="AD128" s="557"/>
      <c r="AE128" s="557"/>
      <c r="AF128" s="557"/>
      <c r="AG128" s="557"/>
      <c r="AH128" s="557"/>
      <c r="AI128" s="557"/>
      <c r="AJ128" s="557"/>
      <c r="AK128" s="557"/>
      <c r="AL128" s="557"/>
      <c r="AM128" s="557"/>
      <c r="AN128" s="557"/>
      <c r="AO128" s="557"/>
      <c r="AP128" s="557"/>
      <c r="AQ128" s="557"/>
      <c r="AR128" s="557"/>
      <c r="AS128" s="557"/>
      <c r="AT128" s="557"/>
      <c r="AU128" s="557"/>
      <c r="AV128" s="557"/>
      <c r="AW128" s="557"/>
      <c r="AX128" s="557"/>
      <c r="AY128" s="557"/>
      <c r="AZ128" s="557"/>
      <c r="BA128" s="557"/>
      <c r="BB128" s="557"/>
      <c r="BC128" s="557"/>
      <c r="BD128" s="553"/>
      <c r="BE128" s="596"/>
      <c r="BF128" s="596"/>
      <c r="BG128" s="596"/>
      <c r="BH128" s="596"/>
      <c r="BI128" s="596"/>
      <c r="BJ128" s="596"/>
      <c r="BK128" s="596"/>
      <c r="BL128" s="596"/>
      <c r="BM128" s="596"/>
      <c r="BN128" s="596"/>
      <c r="BO128" s="596"/>
      <c r="BP128" s="596"/>
      <c r="BQ128" s="596"/>
      <c r="BR128" s="596"/>
      <c r="BS128" s="596"/>
      <c r="BT128" s="596"/>
    </row>
    <row r="129" spans="1:72" ht="15">
      <c r="A129" s="539"/>
      <c r="B129" s="539"/>
      <c r="C129" s="539"/>
      <c r="D129" s="539"/>
      <c r="E129" s="539"/>
      <c r="F129" s="539"/>
      <c r="G129" s="539"/>
      <c r="H129" s="539"/>
      <c r="I129" s="539"/>
      <c r="J129" s="539"/>
      <c r="K129" s="539"/>
      <c r="L129" s="539"/>
      <c r="M129" s="539"/>
      <c r="N129" s="539"/>
      <c r="O129" s="539"/>
      <c r="P129" s="539"/>
      <c r="Q129" s="539"/>
      <c r="R129" s="539"/>
      <c r="S129" s="557"/>
      <c r="T129" s="557"/>
      <c r="U129" s="557"/>
      <c r="V129" s="557"/>
      <c r="W129" s="539"/>
      <c r="X129" s="539"/>
      <c r="Y129" s="557"/>
      <c r="Z129" s="557"/>
      <c r="AA129" s="539"/>
      <c r="AB129" s="539"/>
      <c r="AC129" s="539"/>
      <c r="AD129" s="557"/>
      <c r="AE129" s="557"/>
      <c r="AF129" s="557"/>
      <c r="AG129" s="557"/>
      <c r="AH129" s="557"/>
      <c r="AI129" s="557"/>
      <c r="AJ129" s="557"/>
      <c r="AK129" s="557"/>
      <c r="AL129" s="557"/>
      <c r="AM129" s="557"/>
      <c r="AN129" s="557"/>
      <c r="AO129" s="557"/>
      <c r="AP129" s="557"/>
      <c r="AQ129" s="557"/>
      <c r="AR129" s="557"/>
      <c r="AS129" s="557"/>
      <c r="AT129" s="557"/>
      <c r="AU129" s="557"/>
      <c r="AV129" s="557"/>
      <c r="AW129" s="557"/>
      <c r="AX129" s="557"/>
      <c r="AY129" s="557"/>
      <c r="AZ129" s="557"/>
      <c r="BA129" s="557"/>
      <c r="BB129" s="557"/>
      <c r="BC129" s="557"/>
      <c r="BD129" s="553"/>
      <c r="BE129" s="596"/>
      <c r="BF129" s="596"/>
      <c r="BG129" s="596"/>
      <c r="BH129" s="596"/>
      <c r="BI129" s="596"/>
      <c r="BJ129" s="596"/>
      <c r="BK129" s="596"/>
      <c r="BL129" s="596"/>
      <c r="BM129" s="596"/>
      <c r="BN129" s="596"/>
      <c r="BO129" s="596"/>
      <c r="BP129" s="596"/>
      <c r="BQ129" s="596"/>
      <c r="BR129" s="596"/>
      <c r="BS129" s="596"/>
      <c r="BT129" s="596"/>
    </row>
    <row r="130" spans="1:72" ht="15">
      <c r="A130" s="539"/>
      <c r="B130" s="539"/>
      <c r="C130" s="539"/>
      <c r="D130" s="539"/>
      <c r="E130" s="539"/>
      <c r="F130" s="539"/>
      <c r="G130" s="539"/>
      <c r="H130" s="539"/>
      <c r="I130" s="539"/>
      <c r="J130" s="539"/>
      <c r="K130" s="539"/>
      <c r="L130" s="539"/>
      <c r="M130" s="539"/>
      <c r="N130" s="539"/>
      <c r="O130" s="539"/>
      <c r="P130" s="539"/>
      <c r="Q130" s="539"/>
      <c r="R130" s="539"/>
      <c r="S130" s="557"/>
      <c r="T130" s="557"/>
      <c r="U130" s="557"/>
      <c r="V130" s="557"/>
      <c r="W130" s="539"/>
      <c r="X130" s="539"/>
      <c r="Y130" s="557"/>
      <c r="Z130" s="557"/>
      <c r="AA130" s="539"/>
      <c r="AB130" s="539"/>
      <c r="AC130" s="539"/>
      <c r="AD130" s="557"/>
      <c r="AE130" s="557"/>
      <c r="AF130" s="557"/>
      <c r="AG130" s="557"/>
      <c r="AH130" s="557"/>
      <c r="AI130" s="557"/>
      <c r="AJ130" s="557"/>
      <c r="AK130" s="557"/>
      <c r="AL130" s="557"/>
      <c r="AM130" s="557"/>
      <c r="AN130" s="557"/>
      <c r="AO130" s="557"/>
      <c r="AP130" s="557"/>
      <c r="AQ130" s="557"/>
      <c r="AR130" s="557"/>
      <c r="AS130" s="557"/>
      <c r="AT130" s="557"/>
      <c r="AU130" s="557"/>
      <c r="AV130" s="557"/>
      <c r="AW130" s="557"/>
      <c r="AX130" s="557"/>
      <c r="AY130" s="557"/>
      <c r="AZ130" s="557"/>
      <c r="BA130" s="557"/>
      <c r="BB130" s="557"/>
      <c r="BC130" s="557"/>
      <c r="BD130" s="553"/>
      <c r="BE130" s="596"/>
      <c r="BF130" s="596"/>
      <c r="BG130" s="596"/>
      <c r="BH130" s="596"/>
      <c r="BI130" s="596"/>
      <c r="BJ130" s="596"/>
      <c r="BK130" s="596"/>
      <c r="BL130" s="596"/>
      <c r="BM130" s="596"/>
      <c r="BN130" s="596"/>
      <c r="BO130" s="596"/>
      <c r="BP130" s="596"/>
      <c r="BQ130" s="596"/>
      <c r="BR130" s="596"/>
      <c r="BS130" s="596"/>
      <c r="BT130" s="596"/>
    </row>
    <row r="131" spans="1:72" ht="15">
      <c r="A131" s="539"/>
      <c r="B131" s="539"/>
      <c r="C131" s="539"/>
      <c r="D131" s="539"/>
      <c r="E131" s="539"/>
      <c r="F131" s="539"/>
      <c r="G131" s="539"/>
      <c r="H131" s="539"/>
      <c r="I131" s="539"/>
      <c r="J131" s="539"/>
      <c r="K131" s="539"/>
      <c r="L131" s="539"/>
      <c r="M131" s="539"/>
      <c r="N131" s="539"/>
      <c r="O131" s="539"/>
      <c r="P131" s="539"/>
      <c r="Q131" s="539"/>
      <c r="R131" s="539"/>
      <c r="S131" s="557"/>
      <c r="T131" s="557"/>
      <c r="U131" s="557"/>
      <c r="V131" s="557"/>
      <c r="W131" s="539"/>
      <c r="X131" s="539"/>
      <c r="Y131" s="557"/>
      <c r="Z131" s="557"/>
      <c r="AA131" s="539"/>
      <c r="AB131" s="539"/>
      <c r="AC131" s="539"/>
      <c r="AD131" s="557"/>
      <c r="AE131" s="557"/>
      <c r="AF131" s="557"/>
      <c r="AG131" s="557"/>
      <c r="AH131" s="557"/>
      <c r="AI131" s="557"/>
      <c r="AJ131" s="557"/>
      <c r="AK131" s="557"/>
      <c r="AL131" s="557"/>
      <c r="AM131" s="557"/>
      <c r="AN131" s="557"/>
      <c r="AO131" s="557"/>
      <c r="AP131" s="557"/>
      <c r="AQ131" s="557"/>
      <c r="AR131" s="557"/>
      <c r="AS131" s="557"/>
      <c r="AT131" s="557"/>
      <c r="AU131" s="557"/>
      <c r="AV131" s="557"/>
      <c r="AW131" s="557"/>
      <c r="AX131" s="557"/>
      <c r="AY131" s="557"/>
      <c r="AZ131" s="557"/>
      <c r="BA131" s="557"/>
      <c r="BB131" s="557"/>
      <c r="BC131" s="557"/>
      <c r="BD131" s="553"/>
      <c r="BE131" s="596"/>
      <c r="BF131" s="596"/>
      <c r="BG131" s="596"/>
      <c r="BH131" s="596"/>
      <c r="BI131" s="596"/>
      <c r="BJ131" s="596"/>
      <c r="BK131" s="596"/>
      <c r="BL131" s="596"/>
      <c r="BM131" s="596"/>
      <c r="BN131" s="596"/>
      <c r="BO131" s="596"/>
      <c r="BP131" s="596"/>
      <c r="BQ131" s="596"/>
      <c r="BR131" s="596"/>
      <c r="BS131" s="596"/>
      <c r="BT131" s="596"/>
    </row>
    <row r="132" spans="1:72" ht="15">
      <c r="A132" s="539"/>
      <c r="B132" s="539"/>
      <c r="C132" s="539"/>
      <c r="D132" s="539"/>
      <c r="E132" s="539"/>
      <c r="F132" s="539"/>
      <c r="G132" s="539"/>
      <c r="H132" s="539"/>
      <c r="I132" s="539"/>
      <c r="J132" s="539"/>
      <c r="K132" s="539"/>
      <c r="L132" s="539"/>
      <c r="M132" s="539"/>
      <c r="N132" s="539"/>
      <c r="O132" s="539"/>
      <c r="P132" s="539"/>
      <c r="Q132" s="539"/>
      <c r="R132" s="539"/>
      <c r="S132" s="557"/>
      <c r="T132" s="557"/>
      <c r="U132" s="557"/>
      <c r="V132" s="557"/>
      <c r="W132" s="539"/>
      <c r="X132" s="539"/>
      <c r="Y132" s="557"/>
      <c r="Z132" s="557"/>
      <c r="AA132" s="539"/>
      <c r="AB132" s="539"/>
      <c r="AC132" s="539"/>
      <c r="AD132" s="557"/>
      <c r="AE132" s="557"/>
      <c r="AF132" s="557"/>
      <c r="AG132" s="557"/>
      <c r="AH132" s="557"/>
      <c r="AI132" s="557"/>
      <c r="AJ132" s="557"/>
      <c r="AK132" s="557"/>
      <c r="AL132" s="557"/>
      <c r="AM132" s="557"/>
      <c r="AN132" s="557"/>
      <c r="AO132" s="557"/>
      <c r="AP132" s="557"/>
      <c r="AQ132" s="557"/>
      <c r="AR132" s="557"/>
      <c r="AS132" s="557"/>
      <c r="AT132" s="557"/>
      <c r="AU132" s="557"/>
      <c r="AV132" s="557"/>
      <c r="AW132" s="557"/>
      <c r="AX132" s="557"/>
      <c r="AY132" s="557"/>
      <c r="AZ132" s="557"/>
      <c r="BA132" s="557"/>
      <c r="BB132" s="557"/>
      <c r="BC132" s="557"/>
      <c r="BD132" s="553"/>
      <c r="BE132" s="596"/>
      <c r="BF132" s="596"/>
      <c r="BG132" s="596"/>
      <c r="BH132" s="596"/>
      <c r="BI132" s="596"/>
      <c r="BJ132" s="596"/>
      <c r="BK132" s="596"/>
      <c r="BL132" s="596"/>
      <c r="BM132" s="596"/>
      <c r="BN132" s="596"/>
      <c r="BO132" s="596"/>
      <c r="BP132" s="596"/>
      <c r="BQ132" s="596"/>
      <c r="BR132" s="596"/>
      <c r="BS132" s="596"/>
      <c r="BT132" s="596"/>
    </row>
    <row r="133" spans="1:72" ht="15">
      <c r="A133" s="539"/>
      <c r="B133" s="539"/>
      <c r="C133" s="539"/>
      <c r="D133" s="539"/>
      <c r="E133" s="539"/>
      <c r="F133" s="539"/>
      <c r="G133" s="539"/>
      <c r="H133" s="539"/>
      <c r="I133" s="539"/>
      <c r="J133" s="539"/>
      <c r="K133" s="539"/>
      <c r="L133" s="539"/>
      <c r="M133" s="539"/>
      <c r="N133" s="539"/>
      <c r="O133" s="539"/>
      <c r="P133" s="539"/>
      <c r="Q133" s="539"/>
      <c r="R133" s="539"/>
      <c r="S133" s="557"/>
      <c r="T133" s="557"/>
      <c r="U133" s="557"/>
      <c r="V133" s="557"/>
      <c r="W133" s="539"/>
      <c r="X133" s="539"/>
      <c r="Y133" s="557"/>
      <c r="Z133" s="557"/>
      <c r="AA133" s="539"/>
      <c r="AB133" s="539"/>
      <c r="AC133" s="539"/>
      <c r="AD133" s="557"/>
      <c r="AE133" s="557"/>
      <c r="AF133" s="557"/>
      <c r="AG133" s="557"/>
      <c r="AH133" s="557"/>
      <c r="AI133" s="557"/>
      <c r="AJ133" s="557"/>
      <c r="AK133" s="557"/>
      <c r="AL133" s="557"/>
      <c r="AM133" s="557"/>
      <c r="AN133" s="557"/>
      <c r="AO133" s="557"/>
      <c r="AP133" s="557"/>
      <c r="AQ133" s="557"/>
      <c r="AR133" s="557"/>
      <c r="AS133" s="557"/>
      <c r="AT133" s="557"/>
      <c r="AU133" s="557"/>
      <c r="AV133" s="557"/>
      <c r="AW133" s="557"/>
      <c r="AX133" s="557"/>
      <c r="AY133" s="557"/>
      <c r="AZ133" s="557"/>
      <c r="BA133" s="557"/>
      <c r="BB133" s="557"/>
      <c r="BC133" s="557"/>
      <c r="BD133" s="553"/>
      <c r="BE133" s="596"/>
      <c r="BF133" s="596"/>
      <c r="BG133" s="596"/>
      <c r="BH133" s="596"/>
      <c r="BI133" s="596"/>
      <c r="BJ133" s="596"/>
      <c r="BK133" s="596"/>
      <c r="BL133" s="596"/>
      <c r="BM133" s="596"/>
      <c r="BN133" s="596"/>
      <c r="BO133" s="596"/>
      <c r="BP133" s="596"/>
      <c r="BQ133" s="596"/>
      <c r="BR133" s="596"/>
      <c r="BS133" s="596"/>
      <c r="BT133" s="596"/>
    </row>
    <row r="134" spans="1:72" ht="15">
      <c r="A134" s="539"/>
      <c r="B134" s="539"/>
      <c r="C134" s="539"/>
      <c r="D134" s="539"/>
      <c r="E134" s="539"/>
      <c r="F134" s="539"/>
      <c r="G134" s="539"/>
      <c r="H134" s="539"/>
      <c r="I134" s="539"/>
      <c r="J134" s="539"/>
      <c r="K134" s="539"/>
      <c r="L134" s="539"/>
      <c r="M134" s="539"/>
      <c r="N134" s="539"/>
      <c r="O134" s="539"/>
      <c r="P134" s="539"/>
      <c r="Q134" s="539"/>
      <c r="R134" s="539"/>
      <c r="S134" s="557"/>
      <c r="T134" s="557"/>
      <c r="U134" s="557"/>
      <c r="V134" s="557"/>
      <c r="W134" s="539"/>
      <c r="X134" s="539"/>
      <c r="Y134" s="557"/>
      <c r="Z134" s="557"/>
      <c r="AA134" s="539"/>
      <c r="AB134" s="539"/>
      <c r="AC134" s="539"/>
      <c r="AD134" s="557"/>
      <c r="AE134" s="557"/>
      <c r="AF134" s="557"/>
      <c r="AG134" s="557"/>
      <c r="AH134" s="557"/>
      <c r="AI134" s="557"/>
      <c r="AJ134" s="557"/>
      <c r="AK134" s="557"/>
      <c r="AL134" s="557"/>
      <c r="AM134" s="557"/>
      <c r="AN134" s="557"/>
      <c r="AO134" s="557"/>
      <c r="AP134" s="557"/>
      <c r="AQ134" s="557"/>
      <c r="AR134" s="557"/>
      <c r="AS134" s="557"/>
      <c r="AT134" s="557"/>
      <c r="AU134" s="557"/>
      <c r="AV134" s="557"/>
      <c r="AW134" s="557"/>
      <c r="AX134" s="557"/>
      <c r="AY134" s="557"/>
      <c r="AZ134" s="557"/>
      <c r="BA134" s="557"/>
      <c r="BB134" s="557"/>
      <c r="BC134" s="557"/>
      <c r="BD134" s="553"/>
      <c r="BE134" s="596"/>
      <c r="BF134" s="596"/>
      <c r="BG134" s="596"/>
      <c r="BH134" s="596"/>
      <c r="BI134" s="596"/>
      <c r="BJ134" s="596"/>
      <c r="BK134" s="596"/>
      <c r="BL134" s="596"/>
      <c r="BM134" s="596"/>
      <c r="BN134" s="596"/>
      <c r="BO134" s="596"/>
      <c r="BP134" s="596"/>
      <c r="BQ134" s="596"/>
      <c r="BR134" s="596"/>
      <c r="BS134" s="596"/>
      <c r="BT134" s="596"/>
    </row>
    <row r="135" spans="1:72" ht="15">
      <c r="A135" s="539"/>
      <c r="B135" s="539"/>
      <c r="C135" s="539"/>
      <c r="D135" s="539"/>
      <c r="E135" s="539"/>
      <c r="F135" s="539"/>
      <c r="G135" s="539"/>
      <c r="H135" s="539"/>
      <c r="I135" s="539"/>
      <c r="J135" s="539"/>
      <c r="K135" s="539"/>
      <c r="L135" s="539"/>
      <c r="M135" s="539"/>
      <c r="N135" s="539"/>
      <c r="O135" s="539"/>
      <c r="P135" s="539"/>
      <c r="Q135" s="539"/>
      <c r="R135" s="539"/>
      <c r="S135" s="557"/>
      <c r="T135" s="557"/>
      <c r="U135" s="557"/>
      <c r="V135" s="557"/>
      <c r="W135" s="539"/>
      <c r="X135" s="539"/>
      <c r="Y135" s="557"/>
      <c r="Z135" s="557"/>
      <c r="AA135" s="539"/>
      <c r="AB135" s="539"/>
      <c r="AC135" s="539"/>
      <c r="AD135" s="557"/>
      <c r="AE135" s="557"/>
      <c r="AF135" s="557"/>
      <c r="AG135" s="557"/>
      <c r="AH135" s="557"/>
      <c r="AI135" s="557"/>
      <c r="AJ135" s="557"/>
      <c r="AK135" s="557"/>
      <c r="AL135" s="557"/>
      <c r="AM135" s="557"/>
      <c r="AN135" s="557"/>
      <c r="AO135" s="557"/>
      <c r="AP135" s="557"/>
      <c r="AQ135" s="557"/>
      <c r="AR135" s="557"/>
      <c r="AS135" s="557"/>
      <c r="AT135" s="557"/>
      <c r="AU135" s="557"/>
      <c r="AV135" s="557"/>
      <c r="AW135" s="557"/>
      <c r="AX135" s="557"/>
      <c r="AY135" s="557"/>
      <c r="AZ135" s="557"/>
      <c r="BA135" s="557"/>
      <c r="BB135" s="557"/>
      <c r="BC135" s="557"/>
      <c r="BD135" s="553"/>
      <c r="BE135" s="596"/>
      <c r="BF135" s="596"/>
      <c r="BG135" s="596"/>
      <c r="BH135" s="596"/>
      <c r="BI135" s="596"/>
      <c r="BJ135" s="596"/>
      <c r="BK135" s="596"/>
      <c r="BL135" s="596"/>
      <c r="BM135" s="596"/>
      <c r="BN135" s="596"/>
      <c r="BO135" s="596"/>
      <c r="BP135" s="596"/>
      <c r="BQ135" s="596"/>
      <c r="BR135" s="596"/>
      <c r="BS135" s="596"/>
      <c r="BT135" s="596"/>
    </row>
    <row r="136" spans="1:72" ht="15">
      <c r="A136" s="539"/>
      <c r="B136" s="539"/>
      <c r="C136" s="539"/>
      <c r="D136" s="539"/>
      <c r="E136" s="539"/>
      <c r="F136" s="539"/>
      <c r="G136" s="539"/>
      <c r="H136" s="539"/>
      <c r="I136" s="539"/>
      <c r="J136" s="539"/>
      <c r="K136" s="539"/>
      <c r="L136" s="539"/>
      <c r="M136" s="539"/>
      <c r="N136" s="539"/>
      <c r="O136" s="539"/>
      <c r="P136" s="539"/>
      <c r="Q136" s="539"/>
      <c r="R136" s="539"/>
      <c r="S136" s="557"/>
      <c r="T136" s="557"/>
      <c r="U136" s="557"/>
      <c r="V136" s="557"/>
      <c r="W136" s="539"/>
      <c r="X136" s="539"/>
      <c r="Y136" s="557"/>
      <c r="Z136" s="557"/>
      <c r="AA136" s="539"/>
      <c r="AB136" s="539"/>
      <c r="AC136" s="539"/>
      <c r="AD136" s="557"/>
      <c r="AE136" s="557"/>
      <c r="AF136" s="557"/>
      <c r="AG136" s="557"/>
      <c r="AH136" s="557"/>
      <c r="AI136" s="557"/>
      <c r="AJ136" s="557"/>
      <c r="AK136" s="557"/>
      <c r="AL136" s="557"/>
      <c r="AM136" s="557"/>
      <c r="AN136" s="557"/>
      <c r="AO136" s="557"/>
      <c r="AP136" s="557"/>
      <c r="AQ136" s="557"/>
      <c r="AR136" s="557"/>
      <c r="AS136" s="557"/>
      <c r="AT136" s="557"/>
      <c r="AU136" s="557"/>
      <c r="AV136" s="557"/>
      <c r="AW136" s="557"/>
      <c r="AX136" s="557"/>
      <c r="AY136" s="557"/>
      <c r="AZ136" s="557"/>
      <c r="BA136" s="557"/>
      <c r="BB136" s="557"/>
      <c r="BC136" s="557"/>
      <c r="BD136" s="553"/>
      <c r="BE136" s="596"/>
      <c r="BF136" s="596"/>
      <c r="BG136" s="596"/>
      <c r="BH136" s="596"/>
      <c r="BI136" s="596"/>
      <c r="BJ136" s="596"/>
      <c r="BK136" s="596"/>
      <c r="BL136" s="596"/>
      <c r="BM136" s="596"/>
      <c r="BN136" s="596"/>
      <c r="BO136" s="596"/>
      <c r="BP136" s="596"/>
      <c r="BQ136" s="596"/>
      <c r="BR136" s="596"/>
      <c r="BS136" s="596"/>
      <c r="BT136" s="596"/>
    </row>
    <row r="137" spans="1:72" ht="15">
      <c r="A137" s="539"/>
      <c r="B137" s="539"/>
      <c r="C137" s="539"/>
      <c r="D137" s="539"/>
      <c r="E137" s="539"/>
      <c r="F137" s="539"/>
      <c r="G137" s="539"/>
      <c r="H137" s="539"/>
      <c r="I137" s="539"/>
      <c r="J137" s="539"/>
      <c r="K137" s="539"/>
      <c r="L137" s="539"/>
      <c r="M137" s="539"/>
      <c r="N137" s="539"/>
      <c r="O137" s="539"/>
      <c r="P137" s="539"/>
      <c r="Q137" s="539"/>
      <c r="R137" s="539"/>
      <c r="S137" s="557"/>
      <c r="T137" s="557"/>
      <c r="U137" s="557"/>
      <c r="V137" s="557"/>
      <c r="W137" s="539"/>
      <c r="X137" s="539"/>
      <c r="Y137" s="557"/>
      <c r="Z137" s="557"/>
      <c r="AA137" s="539"/>
      <c r="AB137" s="539"/>
      <c r="AC137" s="539"/>
      <c r="AD137" s="557"/>
      <c r="AE137" s="557"/>
      <c r="AF137" s="557"/>
      <c r="AG137" s="557"/>
      <c r="AH137" s="557"/>
      <c r="AI137" s="557"/>
      <c r="AJ137" s="557"/>
      <c r="AK137" s="557"/>
      <c r="AL137" s="557"/>
      <c r="AM137" s="557"/>
      <c r="AN137" s="557"/>
      <c r="AO137" s="557"/>
      <c r="AP137" s="557"/>
      <c r="AQ137" s="557"/>
      <c r="AR137" s="557"/>
      <c r="AS137" s="557"/>
      <c r="AT137" s="557"/>
      <c r="AU137" s="557"/>
      <c r="AV137" s="557"/>
      <c r="AW137" s="557"/>
      <c r="AX137" s="557"/>
      <c r="AY137" s="557"/>
      <c r="AZ137" s="557"/>
      <c r="BA137" s="557"/>
      <c r="BB137" s="557"/>
      <c r="BC137" s="557"/>
      <c r="BD137" s="553"/>
      <c r="BE137" s="596"/>
      <c r="BF137" s="596"/>
      <c r="BG137" s="596"/>
      <c r="BH137" s="596"/>
      <c r="BI137" s="596"/>
      <c r="BJ137" s="596"/>
      <c r="BK137" s="596"/>
      <c r="BL137" s="596"/>
      <c r="BM137" s="596"/>
      <c r="BN137" s="596"/>
      <c r="BO137" s="596"/>
      <c r="BP137" s="596"/>
      <c r="BQ137" s="596"/>
      <c r="BR137" s="596"/>
      <c r="BS137" s="596"/>
      <c r="BT137" s="596"/>
    </row>
    <row r="138" spans="1:72" ht="15">
      <c r="A138" s="539"/>
      <c r="B138" s="539"/>
      <c r="C138" s="539"/>
      <c r="D138" s="539"/>
      <c r="E138" s="539"/>
      <c r="F138" s="539"/>
      <c r="G138" s="539"/>
      <c r="H138" s="539"/>
      <c r="I138" s="539"/>
      <c r="J138" s="539"/>
      <c r="K138" s="539"/>
      <c r="L138" s="539"/>
      <c r="M138" s="539"/>
      <c r="N138" s="539"/>
      <c r="O138" s="539"/>
      <c r="P138" s="539"/>
      <c r="Q138" s="539"/>
      <c r="R138" s="539"/>
      <c r="S138" s="557"/>
      <c r="T138" s="557"/>
      <c r="U138" s="557"/>
      <c r="V138" s="557"/>
      <c r="W138" s="539"/>
      <c r="X138" s="539"/>
      <c r="Y138" s="557"/>
      <c r="Z138" s="557"/>
      <c r="AA138" s="539"/>
      <c r="AB138" s="539"/>
      <c r="AC138" s="539"/>
      <c r="AD138" s="557"/>
      <c r="AE138" s="557"/>
      <c r="AF138" s="557"/>
      <c r="AG138" s="557"/>
      <c r="AH138" s="557"/>
      <c r="AI138" s="557"/>
      <c r="AJ138" s="557"/>
      <c r="AK138" s="557"/>
      <c r="AL138" s="557"/>
      <c r="AM138" s="557"/>
      <c r="AN138" s="557"/>
      <c r="AO138" s="557"/>
      <c r="AP138" s="557"/>
      <c r="AQ138" s="557"/>
      <c r="AR138" s="557"/>
      <c r="AS138" s="557"/>
      <c r="AT138" s="557"/>
      <c r="AU138" s="557"/>
      <c r="AV138" s="557"/>
      <c r="AW138" s="557"/>
      <c r="AX138" s="557"/>
      <c r="AY138" s="557"/>
      <c r="AZ138" s="557"/>
      <c r="BA138" s="557"/>
      <c r="BB138" s="557"/>
      <c r="BC138" s="557"/>
      <c r="BD138" s="553"/>
      <c r="BE138" s="596"/>
      <c r="BF138" s="596"/>
      <c r="BG138" s="596"/>
      <c r="BH138" s="596"/>
      <c r="BI138" s="596"/>
      <c r="BJ138" s="596"/>
      <c r="BK138" s="596"/>
      <c r="BL138" s="596"/>
      <c r="BM138" s="596"/>
      <c r="BN138" s="596"/>
      <c r="BO138" s="596"/>
      <c r="BP138" s="596"/>
      <c r="BQ138" s="596"/>
      <c r="BR138" s="596"/>
      <c r="BS138" s="596"/>
      <c r="BT138" s="596"/>
    </row>
    <row r="139" spans="1:72" ht="15">
      <c r="A139" s="539"/>
      <c r="B139" s="539"/>
      <c r="C139" s="539"/>
      <c r="D139" s="539"/>
      <c r="E139" s="539"/>
      <c r="F139" s="539"/>
      <c r="G139" s="539"/>
      <c r="H139" s="539"/>
      <c r="I139" s="539"/>
      <c r="J139" s="539"/>
      <c r="K139" s="539"/>
      <c r="L139" s="539"/>
      <c r="M139" s="539"/>
      <c r="N139" s="539"/>
      <c r="O139" s="539"/>
      <c r="P139" s="539"/>
      <c r="Q139" s="539"/>
      <c r="R139" s="539"/>
      <c r="S139" s="557"/>
      <c r="T139" s="557"/>
      <c r="U139" s="557"/>
      <c r="V139" s="557"/>
      <c r="W139" s="539"/>
      <c r="X139" s="539"/>
      <c r="Y139" s="557"/>
      <c r="Z139" s="557"/>
      <c r="AA139" s="539"/>
      <c r="AB139" s="539"/>
      <c r="AC139" s="539"/>
      <c r="AD139" s="557"/>
      <c r="AE139" s="557"/>
      <c r="AF139" s="557"/>
      <c r="AG139" s="557"/>
      <c r="AH139" s="557"/>
      <c r="AI139" s="557"/>
      <c r="AJ139" s="557"/>
      <c r="AK139" s="557"/>
      <c r="AL139" s="557"/>
      <c r="AM139" s="557"/>
      <c r="AN139" s="557"/>
      <c r="AO139" s="557"/>
      <c r="AP139" s="557"/>
      <c r="AQ139" s="557"/>
      <c r="AR139" s="557"/>
      <c r="AS139" s="557"/>
      <c r="AT139" s="557"/>
      <c r="AU139" s="557"/>
      <c r="AV139" s="557"/>
      <c r="AW139" s="557"/>
      <c r="AX139" s="557"/>
      <c r="AY139" s="557"/>
      <c r="AZ139" s="557"/>
      <c r="BA139" s="557"/>
      <c r="BB139" s="557"/>
      <c r="BC139" s="557"/>
      <c r="BD139" s="553"/>
      <c r="BE139" s="596"/>
      <c r="BF139" s="596"/>
      <c r="BG139" s="596"/>
      <c r="BH139" s="596"/>
      <c r="BI139" s="596"/>
      <c r="BJ139" s="596"/>
      <c r="BK139" s="596"/>
      <c r="BL139" s="596"/>
      <c r="BM139" s="596"/>
      <c r="BN139" s="596"/>
      <c r="BO139" s="596"/>
      <c r="BP139" s="596"/>
      <c r="BQ139" s="596"/>
      <c r="BR139" s="596"/>
      <c r="BS139" s="596"/>
      <c r="BT139" s="596"/>
    </row>
    <row r="140" spans="1:72" ht="15">
      <c r="A140" s="539"/>
      <c r="B140" s="539"/>
      <c r="C140" s="539"/>
      <c r="D140" s="539"/>
      <c r="E140" s="539"/>
      <c r="F140" s="539"/>
      <c r="G140" s="539"/>
      <c r="H140" s="539"/>
      <c r="I140" s="539"/>
      <c r="J140" s="539"/>
      <c r="K140" s="539"/>
      <c r="L140" s="539"/>
      <c r="M140" s="539"/>
      <c r="N140" s="539"/>
      <c r="O140" s="539"/>
      <c r="P140" s="539"/>
      <c r="Q140" s="539"/>
      <c r="R140" s="539"/>
      <c r="S140" s="557"/>
      <c r="T140" s="557"/>
      <c r="U140" s="557"/>
      <c r="V140" s="557"/>
      <c r="W140" s="539"/>
      <c r="X140" s="539"/>
      <c r="Y140" s="557"/>
      <c r="Z140" s="557"/>
      <c r="AA140" s="539"/>
      <c r="AB140" s="539"/>
      <c r="AC140" s="539"/>
      <c r="AD140" s="557"/>
      <c r="AE140" s="557"/>
      <c r="AF140" s="557"/>
      <c r="AG140" s="557"/>
      <c r="AH140" s="557"/>
      <c r="AI140" s="557"/>
      <c r="AJ140" s="557"/>
      <c r="AK140" s="557"/>
      <c r="AL140" s="557"/>
      <c r="AM140" s="557"/>
      <c r="AN140" s="557"/>
      <c r="AO140" s="557"/>
      <c r="AP140" s="557"/>
      <c r="AQ140" s="557"/>
      <c r="AR140" s="557"/>
      <c r="AS140" s="557"/>
      <c r="AT140" s="557"/>
      <c r="AU140" s="557"/>
      <c r="AV140" s="557"/>
      <c r="AW140" s="557"/>
      <c r="AX140" s="557"/>
      <c r="AY140" s="557"/>
      <c r="AZ140" s="557"/>
      <c r="BA140" s="557"/>
      <c r="BB140" s="557"/>
      <c r="BC140" s="557"/>
      <c r="BD140" s="553"/>
      <c r="BE140" s="596"/>
      <c r="BF140" s="596"/>
      <c r="BG140" s="596"/>
      <c r="BH140" s="596"/>
      <c r="BI140" s="596"/>
      <c r="BJ140" s="596"/>
      <c r="BK140" s="596"/>
      <c r="BL140" s="596"/>
      <c r="BM140" s="596"/>
      <c r="BN140" s="596"/>
      <c r="BO140" s="596"/>
      <c r="BP140" s="596"/>
      <c r="BQ140" s="596"/>
      <c r="BR140" s="596"/>
      <c r="BS140" s="596"/>
      <c r="BT140" s="596"/>
    </row>
    <row r="141" spans="1:72" ht="15">
      <c r="A141" s="539"/>
      <c r="B141" s="539"/>
      <c r="C141" s="539"/>
      <c r="D141" s="539"/>
      <c r="E141" s="539"/>
      <c r="F141" s="539"/>
      <c r="G141" s="539"/>
      <c r="H141" s="539"/>
      <c r="I141" s="539"/>
      <c r="J141" s="539"/>
      <c r="K141" s="539"/>
      <c r="L141" s="539"/>
      <c r="M141" s="539"/>
      <c r="N141" s="539"/>
      <c r="O141" s="539"/>
      <c r="P141" s="539"/>
      <c r="Q141" s="539"/>
      <c r="R141" s="539"/>
      <c r="S141" s="557"/>
      <c r="T141" s="557"/>
      <c r="U141" s="557"/>
      <c r="V141" s="557"/>
      <c r="W141" s="539"/>
      <c r="X141" s="539"/>
      <c r="Y141" s="557"/>
      <c r="Z141" s="557"/>
      <c r="AA141" s="539"/>
      <c r="AB141" s="539"/>
      <c r="AC141" s="539"/>
      <c r="AD141" s="557"/>
      <c r="AE141" s="557"/>
      <c r="AF141" s="557"/>
      <c r="AG141" s="557"/>
      <c r="AH141" s="557"/>
      <c r="AI141" s="557"/>
      <c r="AJ141" s="557"/>
      <c r="AK141" s="557"/>
      <c r="AL141" s="557"/>
      <c r="AM141" s="557"/>
      <c r="AN141" s="557"/>
      <c r="AO141" s="557"/>
      <c r="AP141" s="557"/>
      <c r="AQ141" s="557"/>
      <c r="AR141" s="557"/>
      <c r="AS141" s="557"/>
      <c r="AT141" s="557"/>
      <c r="AU141" s="557"/>
      <c r="AV141" s="557"/>
      <c r="AW141" s="557"/>
      <c r="AX141" s="557"/>
      <c r="AY141" s="557"/>
      <c r="AZ141" s="557"/>
      <c r="BA141" s="557"/>
      <c r="BB141" s="557"/>
      <c r="BC141" s="557"/>
      <c r="BD141" s="553"/>
      <c r="BE141" s="596"/>
      <c r="BF141" s="596"/>
      <c r="BG141" s="596"/>
      <c r="BH141" s="596"/>
      <c r="BI141" s="596"/>
      <c r="BJ141" s="596"/>
      <c r="BK141" s="596"/>
      <c r="BL141" s="596"/>
      <c r="BM141" s="596"/>
      <c r="BN141" s="596"/>
      <c r="BO141" s="596"/>
      <c r="BP141" s="596"/>
      <c r="BQ141" s="596"/>
      <c r="BR141" s="596"/>
      <c r="BS141" s="596"/>
      <c r="BT141" s="596"/>
    </row>
    <row r="142" spans="1:72" ht="15">
      <c r="A142" s="539"/>
      <c r="B142" s="539"/>
      <c r="C142" s="539"/>
      <c r="D142" s="539"/>
      <c r="E142" s="539"/>
      <c r="F142" s="539"/>
      <c r="G142" s="539"/>
      <c r="H142" s="539"/>
      <c r="I142" s="539"/>
      <c r="J142" s="539"/>
      <c r="K142" s="539"/>
      <c r="L142" s="539"/>
      <c r="M142" s="539"/>
      <c r="N142" s="539"/>
      <c r="O142" s="539"/>
      <c r="P142" s="539"/>
      <c r="Q142" s="539"/>
      <c r="R142" s="539"/>
      <c r="S142" s="557"/>
      <c r="T142" s="557"/>
      <c r="U142" s="557"/>
      <c r="V142" s="557"/>
      <c r="W142" s="539"/>
      <c r="X142" s="539"/>
      <c r="Y142" s="557"/>
      <c r="Z142" s="557"/>
      <c r="AA142" s="539"/>
      <c r="AB142" s="539"/>
      <c r="AC142" s="539"/>
      <c r="AD142" s="557"/>
      <c r="AE142" s="557"/>
      <c r="AF142" s="557"/>
      <c r="AG142" s="557"/>
      <c r="AH142" s="557"/>
      <c r="AI142" s="557"/>
      <c r="AJ142" s="557"/>
      <c r="AK142" s="557"/>
      <c r="AL142" s="557"/>
      <c r="AM142" s="557"/>
      <c r="AN142" s="557"/>
      <c r="AO142" s="557"/>
      <c r="AP142" s="557"/>
      <c r="AQ142" s="557"/>
      <c r="AR142" s="557"/>
      <c r="AS142" s="557"/>
      <c r="AT142" s="557"/>
      <c r="AU142" s="557"/>
      <c r="AV142" s="557"/>
      <c r="AW142" s="557"/>
      <c r="AX142" s="557"/>
      <c r="AY142" s="557"/>
      <c r="AZ142" s="557"/>
      <c r="BA142" s="557"/>
      <c r="BB142" s="557"/>
      <c r="BC142" s="557"/>
      <c r="BD142" s="553"/>
      <c r="BE142" s="596"/>
      <c r="BF142" s="596"/>
      <c r="BG142" s="596"/>
      <c r="BH142" s="596"/>
      <c r="BI142" s="596"/>
      <c r="BJ142" s="596"/>
      <c r="BK142" s="596"/>
      <c r="BL142" s="596"/>
      <c r="BM142" s="596"/>
      <c r="BN142" s="596"/>
      <c r="BO142" s="596"/>
      <c r="BP142" s="596"/>
      <c r="BQ142" s="596"/>
      <c r="BR142" s="596"/>
      <c r="BS142" s="596"/>
      <c r="BT142" s="596"/>
    </row>
    <row r="143" spans="1:72" ht="15">
      <c r="A143" s="539"/>
      <c r="B143" s="539"/>
      <c r="C143" s="539"/>
      <c r="D143" s="539"/>
      <c r="E143" s="539"/>
      <c r="F143" s="539"/>
      <c r="G143" s="539"/>
      <c r="H143" s="539"/>
      <c r="I143" s="539"/>
      <c r="J143" s="539"/>
      <c r="K143" s="539"/>
      <c r="L143" s="539"/>
      <c r="M143" s="539"/>
      <c r="N143" s="539"/>
      <c r="O143" s="539"/>
      <c r="P143" s="539"/>
      <c r="Q143" s="539"/>
      <c r="R143" s="539"/>
      <c r="S143" s="557"/>
      <c r="T143" s="557"/>
      <c r="U143" s="557"/>
      <c r="V143" s="557"/>
      <c r="W143" s="539"/>
      <c r="X143" s="539"/>
      <c r="Y143" s="557"/>
      <c r="Z143" s="557"/>
      <c r="AA143" s="539"/>
      <c r="AB143" s="539"/>
      <c r="AC143" s="539"/>
      <c r="AD143" s="557"/>
      <c r="AE143" s="557"/>
      <c r="AF143" s="557"/>
      <c r="AG143" s="557"/>
      <c r="AH143" s="557"/>
      <c r="AI143" s="557"/>
      <c r="AJ143" s="557"/>
      <c r="AK143" s="557"/>
      <c r="AL143" s="557"/>
      <c r="AM143" s="557"/>
      <c r="AN143" s="557"/>
      <c r="AO143" s="557"/>
      <c r="AP143" s="557"/>
      <c r="AQ143" s="557"/>
      <c r="AR143" s="557"/>
      <c r="AS143" s="557"/>
      <c r="AT143" s="557"/>
      <c r="AU143" s="557"/>
      <c r="AV143" s="557"/>
      <c r="AW143" s="557"/>
      <c r="AX143" s="557"/>
      <c r="AY143" s="557"/>
      <c r="AZ143" s="557"/>
      <c r="BA143" s="557"/>
      <c r="BB143" s="557"/>
      <c r="BC143" s="557"/>
      <c r="BD143" s="553"/>
    </row>
    <row r="144" spans="1:72" ht="15">
      <c r="A144" s="539"/>
      <c r="B144" s="539"/>
      <c r="C144" s="539"/>
      <c r="D144" s="539"/>
      <c r="E144" s="539"/>
      <c r="F144" s="539"/>
      <c r="G144" s="539"/>
      <c r="H144" s="539"/>
      <c r="I144" s="539"/>
      <c r="J144" s="539"/>
      <c r="K144" s="539"/>
      <c r="L144" s="539"/>
      <c r="M144" s="539"/>
      <c r="N144" s="539"/>
      <c r="O144" s="539"/>
      <c r="P144" s="539"/>
      <c r="Q144" s="539"/>
      <c r="R144" s="539"/>
      <c r="S144" s="557"/>
      <c r="T144" s="557"/>
      <c r="U144" s="557"/>
      <c r="V144" s="557"/>
      <c r="W144" s="539"/>
      <c r="X144" s="539"/>
      <c r="Y144" s="557"/>
      <c r="Z144" s="557"/>
      <c r="AA144" s="539"/>
      <c r="AB144" s="539"/>
      <c r="AC144" s="539"/>
      <c r="AD144" s="557"/>
      <c r="AE144" s="557"/>
      <c r="AF144" s="557"/>
      <c r="AG144" s="557"/>
      <c r="AH144" s="557"/>
      <c r="AI144" s="557"/>
      <c r="AJ144" s="557"/>
      <c r="AK144" s="557"/>
      <c r="AL144" s="557"/>
      <c r="AM144" s="557"/>
      <c r="AN144" s="557"/>
      <c r="AO144" s="557"/>
      <c r="AP144" s="557"/>
      <c r="AQ144" s="557"/>
      <c r="AR144" s="557"/>
      <c r="AS144" s="557"/>
      <c r="AT144" s="557"/>
      <c r="AU144" s="557"/>
      <c r="AV144" s="557"/>
      <c r="AW144" s="557"/>
      <c r="AX144" s="557"/>
      <c r="AY144" s="557"/>
      <c r="AZ144" s="557"/>
      <c r="BA144" s="557"/>
      <c r="BB144" s="557"/>
      <c r="BC144" s="557"/>
      <c r="BD144" s="553"/>
    </row>
    <row r="145" spans="1:72" ht="15">
      <c r="A145" s="539"/>
      <c r="B145" s="539"/>
      <c r="C145" s="539"/>
      <c r="D145" s="539"/>
      <c r="E145" s="539"/>
      <c r="F145" s="539"/>
      <c r="G145" s="539"/>
      <c r="H145" s="539"/>
      <c r="I145" s="539"/>
      <c r="J145" s="539"/>
      <c r="K145" s="539"/>
      <c r="L145" s="539"/>
      <c r="M145" s="539"/>
      <c r="N145" s="539"/>
      <c r="O145" s="539"/>
      <c r="P145" s="539"/>
      <c r="Q145" s="539"/>
      <c r="R145" s="539"/>
      <c r="S145" s="557"/>
      <c r="T145" s="557"/>
      <c r="U145" s="557"/>
      <c r="V145" s="557"/>
      <c r="W145" s="539"/>
      <c r="X145" s="539"/>
      <c r="Y145" s="557"/>
      <c r="Z145" s="557"/>
      <c r="AA145" s="539"/>
      <c r="AB145" s="539"/>
      <c r="AC145" s="539"/>
      <c r="AD145" s="557"/>
      <c r="AE145" s="557"/>
      <c r="AF145" s="557"/>
      <c r="AG145" s="557"/>
      <c r="AH145" s="557"/>
      <c r="AI145" s="557"/>
      <c r="AJ145" s="557"/>
      <c r="AK145" s="557"/>
      <c r="AL145" s="557"/>
      <c r="AM145" s="557"/>
      <c r="AN145" s="557"/>
      <c r="AO145" s="557"/>
      <c r="AP145" s="557"/>
      <c r="AQ145" s="557"/>
      <c r="AR145" s="557"/>
      <c r="AS145" s="557"/>
      <c r="AT145" s="557"/>
      <c r="AU145" s="557"/>
      <c r="AV145" s="557"/>
      <c r="AW145" s="557"/>
      <c r="AX145" s="557"/>
      <c r="AY145" s="557"/>
      <c r="AZ145" s="557"/>
      <c r="BA145" s="557"/>
      <c r="BB145" s="557"/>
      <c r="BC145" s="557"/>
      <c r="BD145" s="553"/>
    </row>
    <row r="146" spans="1:72" ht="15">
      <c r="A146" s="539"/>
      <c r="B146" s="539"/>
      <c r="C146" s="539"/>
      <c r="D146" s="539"/>
      <c r="E146" s="539"/>
      <c r="F146" s="539"/>
      <c r="G146" s="539"/>
      <c r="H146" s="539"/>
      <c r="I146" s="539"/>
      <c r="J146" s="539"/>
      <c r="K146" s="539"/>
      <c r="L146" s="539"/>
      <c r="M146" s="539"/>
      <c r="N146" s="539"/>
      <c r="O146" s="539"/>
      <c r="P146" s="539"/>
      <c r="Q146" s="539"/>
      <c r="R146" s="539"/>
      <c r="S146" s="557"/>
      <c r="T146" s="557"/>
      <c r="U146" s="557"/>
      <c r="V146" s="557"/>
      <c r="W146" s="539"/>
      <c r="X146" s="539"/>
      <c r="Y146" s="557"/>
      <c r="Z146" s="557"/>
      <c r="AA146" s="539"/>
      <c r="AB146" s="539"/>
      <c r="AC146" s="539"/>
      <c r="AD146" s="557"/>
      <c r="AE146" s="557"/>
      <c r="AF146" s="557"/>
      <c r="AG146" s="557"/>
      <c r="AH146" s="557"/>
      <c r="AI146" s="557"/>
      <c r="AJ146" s="557"/>
      <c r="AK146" s="557"/>
      <c r="AL146" s="557"/>
      <c r="AM146" s="557"/>
      <c r="AN146" s="557"/>
      <c r="AO146" s="557"/>
      <c r="AP146" s="557"/>
      <c r="AQ146" s="557"/>
      <c r="AR146" s="557"/>
      <c r="AS146" s="557"/>
      <c r="AT146" s="557"/>
      <c r="AU146" s="557"/>
      <c r="AV146" s="557"/>
      <c r="AW146" s="557"/>
      <c r="AX146" s="557"/>
      <c r="AY146" s="557"/>
      <c r="AZ146" s="557"/>
      <c r="BA146" s="557"/>
      <c r="BB146" s="557"/>
      <c r="BC146" s="557"/>
      <c r="BD146" s="553"/>
    </row>
    <row r="147" spans="1:72" ht="15">
      <c r="A147" s="539"/>
      <c r="B147" s="539"/>
      <c r="C147" s="539"/>
      <c r="D147" s="539"/>
      <c r="E147" s="539"/>
      <c r="F147" s="539"/>
      <c r="G147" s="539"/>
      <c r="H147" s="539"/>
      <c r="I147" s="539"/>
      <c r="J147" s="539"/>
      <c r="K147" s="539"/>
      <c r="L147" s="539"/>
      <c r="M147" s="539"/>
      <c r="N147" s="539"/>
      <c r="O147" s="539"/>
      <c r="P147" s="539"/>
      <c r="Q147" s="539"/>
      <c r="R147" s="539"/>
      <c r="S147" s="557"/>
      <c r="T147" s="557"/>
      <c r="U147" s="557"/>
      <c r="V147" s="557"/>
      <c r="W147" s="539"/>
      <c r="X147" s="539"/>
      <c r="Y147" s="557"/>
      <c r="Z147" s="557"/>
      <c r="AA147" s="539"/>
      <c r="AB147" s="539"/>
      <c r="AC147" s="539"/>
      <c r="AD147" s="557"/>
      <c r="AE147" s="557"/>
      <c r="AF147" s="557"/>
      <c r="AG147" s="557"/>
      <c r="AH147" s="557"/>
      <c r="AI147" s="557"/>
      <c r="AJ147" s="557"/>
      <c r="AK147" s="557"/>
      <c r="AL147" s="557"/>
      <c r="AM147" s="557"/>
      <c r="AN147" s="557"/>
      <c r="AO147" s="557"/>
      <c r="AP147" s="557"/>
      <c r="AQ147" s="557"/>
      <c r="AR147" s="557"/>
      <c r="AS147" s="557"/>
      <c r="AT147" s="557"/>
      <c r="AU147" s="557"/>
      <c r="AV147" s="557"/>
      <c r="AW147" s="557"/>
      <c r="AX147" s="557"/>
      <c r="AY147" s="557"/>
      <c r="AZ147" s="557"/>
      <c r="BA147" s="557"/>
      <c r="BB147" s="557"/>
      <c r="BC147" s="557"/>
      <c r="BD147" s="553"/>
    </row>
    <row r="148" spans="1:72" ht="15">
      <c r="A148" s="539"/>
      <c r="B148" s="539"/>
      <c r="C148" s="539"/>
      <c r="D148" s="539"/>
      <c r="E148" s="539"/>
      <c r="F148" s="539"/>
      <c r="G148" s="539"/>
      <c r="H148" s="539"/>
      <c r="I148" s="539"/>
      <c r="J148" s="539"/>
      <c r="K148" s="539"/>
      <c r="L148" s="539"/>
      <c r="M148" s="539"/>
      <c r="N148" s="539"/>
      <c r="O148" s="539"/>
      <c r="P148" s="539"/>
      <c r="Q148" s="539"/>
      <c r="R148" s="539"/>
      <c r="S148" s="557"/>
      <c r="T148" s="557"/>
      <c r="U148" s="557"/>
      <c r="V148" s="557"/>
      <c r="W148" s="539"/>
      <c r="X148" s="539"/>
      <c r="Y148" s="557"/>
      <c r="Z148" s="557"/>
      <c r="AA148" s="539"/>
      <c r="AB148" s="539"/>
      <c r="AC148" s="539"/>
      <c r="AD148" s="557"/>
      <c r="AE148" s="557"/>
      <c r="AF148" s="557"/>
      <c r="AG148" s="557"/>
      <c r="AH148" s="557"/>
      <c r="AI148" s="557"/>
      <c r="AJ148" s="557"/>
      <c r="AK148" s="557"/>
      <c r="AL148" s="557"/>
      <c r="AM148" s="557"/>
      <c r="AN148" s="557"/>
      <c r="AO148" s="557"/>
      <c r="AP148" s="557"/>
      <c r="AQ148" s="557"/>
      <c r="AR148" s="557"/>
      <c r="AS148" s="557"/>
      <c r="AT148" s="557"/>
      <c r="AU148" s="557"/>
      <c r="AV148" s="557"/>
      <c r="AW148" s="557"/>
      <c r="AX148" s="557"/>
      <c r="AY148" s="557"/>
      <c r="AZ148" s="557"/>
      <c r="BA148" s="557"/>
      <c r="BB148" s="557"/>
      <c r="BC148" s="557"/>
      <c r="BD148" s="553"/>
    </row>
    <row r="149" spans="1:72" ht="15">
      <c r="A149" s="539"/>
      <c r="B149" s="539"/>
      <c r="C149" s="539"/>
      <c r="D149" s="539"/>
      <c r="E149" s="539"/>
      <c r="F149" s="539"/>
      <c r="G149" s="539"/>
      <c r="H149" s="539"/>
      <c r="I149" s="539"/>
      <c r="J149" s="539"/>
      <c r="K149" s="539"/>
      <c r="L149" s="539"/>
      <c r="M149" s="539"/>
      <c r="N149" s="539"/>
      <c r="O149" s="539"/>
      <c r="P149" s="539"/>
      <c r="Q149" s="539"/>
      <c r="R149" s="539"/>
      <c r="S149" s="557"/>
      <c r="T149" s="557"/>
      <c r="U149" s="557"/>
      <c r="V149" s="557"/>
      <c r="W149" s="539"/>
      <c r="X149" s="539"/>
      <c r="Y149" s="557"/>
      <c r="Z149" s="557"/>
      <c r="AA149" s="539"/>
      <c r="AB149" s="539"/>
      <c r="AC149" s="539"/>
      <c r="AD149" s="557"/>
      <c r="AE149" s="557"/>
      <c r="AF149" s="557"/>
      <c r="AG149" s="557"/>
      <c r="AH149" s="557"/>
      <c r="AI149" s="557"/>
      <c r="AJ149" s="557"/>
      <c r="AK149" s="557"/>
      <c r="AL149" s="557"/>
      <c r="AM149" s="557"/>
      <c r="AN149" s="557"/>
      <c r="AO149" s="557"/>
      <c r="AP149" s="557"/>
      <c r="AQ149" s="557"/>
      <c r="AR149" s="557"/>
      <c r="AS149" s="557"/>
      <c r="AT149" s="557"/>
      <c r="AU149" s="557"/>
      <c r="AV149" s="557"/>
      <c r="AW149" s="557"/>
      <c r="AX149" s="557"/>
      <c r="AY149" s="557"/>
      <c r="AZ149" s="557"/>
      <c r="BA149" s="557"/>
      <c r="BB149" s="557"/>
      <c r="BC149" s="557"/>
      <c r="BD149" s="553"/>
    </row>
    <row r="150" spans="1:72" ht="15">
      <c r="A150" s="539"/>
      <c r="B150" s="539"/>
      <c r="C150" s="539"/>
      <c r="D150" s="539"/>
      <c r="E150" s="539"/>
      <c r="F150" s="539"/>
      <c r="G150" s="539"/>
      <c r="H150" s="539"/>
      <c r="I150" s="539"/>
      <c r="J150" s="539"/>
      <c r="K150" s="539"/>
      <c r="L150" s="539"/>
      <c r="M150" s="539"/>
      <c r="N150" s="539"/>
      <c r="O150" s="539"/>
      <c r="P150" s="539"/>
      <c r="Q150" s="539"/>
      <c r="R150" s="539"/>
      <c r="S150" s="557"/>
      <c r="T150" s="557"/>
      <c r="U150" s="557"/>
      <c r="V150" s="557"/>
      <c r="W150" s="539"/>
      <c r="X150" s="539"/>
      <c r="Y150" s="557"/>
      <c r="Z150" s="557"/>
      <c r="AA150" s="539"/>
      <c r="AB150" s="539"/>
      <c r="AC150" s="539"/>
      <c r="AD150" s="557"/>
      <c r="AE150" s="557"/>
      <c r="AF150" s="557"/>
      <c r="AG150" s="557"/>
      <c r="AH150" s="557"/>
      <c r="AI150" s="557"/>
      <c r="AJ150" s="557"/>
      <c r="AK150" s="557"/>
      <c r="AL150" s="557"/>
      <c r="AM150" s="557"/>
      <c r="AN150" s="557"/>
      <c r="AO150" s="557"/>
      <c r="AP150" s="557"/>
      <c r="AQ150" s="557"/>
      <c r="AR150" s="557"/>
      <c r="AS150" s="557"/>
      <c r="AT150" s="557"/>
      <c r="AU150" s="557"/>
      <c r="AV150" s="557"/>
      <c r="AW150" s="557"/>
      <c r="AX150" s="557"/>
      <c r="AY150" s="557"/>
      <c r="AZ150" s="557"/>
      <c r="BA150" s="557"/>
      <c r="BB150" s="557"/>
      <c r="BC150" s="557"/>
      <c r="BD150" s="553"/>
    </row>
    <row r="151" spans="1:72" ht="15">
      <c r="A151" s="539"/>
      <c r="B151" s="539"/>
      <c r="C151" s="539"/>
      <c r="D151" s="539"/>
      <c r="E151" s="539"/>
      <c r="F151" s="539"/>
      <c r="G151" s="539"/>
      <c r="H151" s="539"/>
      <c r="I151" s="539"/>
      <c r="J151" s="539"/>
      <c r="K151" s="539"/>
      <c r="L151" s="539"/>
      <c r="M151" s="539"/>
      <c r="N151" s="539"/>
      <c r="O151" s="539"/>
      <c r="P151" s="539"/>
      <c r="Q151" s="539"/>
      <c r="R151" s="539"/>
      <c r="S151" s="557"/>
      <c r="T151" s="557"/>
      <c r="U151" s="557"/>
      <c r="V151" s="557"/>
      <c r="W151" s="539"/>
      <c r="X151" s="539"/>
      <c r="Y151" s="557"/>
      <c r="Z151" s="557"/>
      <c r="AA151" s="539"/>
      <c r="AB151" s="539"/>
      <c r="AC151" s="539"/>
      <c r="AD151" s="557"/>
      <c r="AE151" s="557"/>
      <c r="AF151" s="557"/>
      <c r="AG151" s="557"/>
      <c r="AH151" s="557"/>
      <c r="AI151" s="557"/>
      <c r="AJ151" s="557"/>
      <c r="AK151" s="557"/>
      <c r="AL151" s="557"/>
      <c r="AM151" s="557"/>
      <c r="AN151" s="557"/>
      <c r="AO151" s="557"/>
      <c r="AP151" s="557"/>
      <c r="AQ151" s="557"/>
      <c r="AR151" s="557"/>
      <c r="AS151" s="557"/>
      <c r="AT151" s="557"/>
      <c r="AU151" s="557"/>
      <c r="AV151" s="557"/>
      <c r="AW151" s="557"/>
      <c r="AX151" s="557"/>
      <c r="AY151" s="557"/>
      <c r="AZ151" s="557"/>
      <c r="BA151" s="557"/>
      <c r="BB151" s="557"/>
      <c r="BC151" s="557"/>
      <c r="BD151" s="553"/>
      <c r="BE151" s="596"/>
      <c r="BF151" s="596"/>
      <c r="BG151" s="596"/>
      <c r="BH151" s="596"/>
      <c r="BI151" s="596"/>
      <c r="BJ151" s="596"/>
      <c r="BK151" s="596"/>
      <c r="BL151" s="596"/>
      <c r="BM151" s="596"/>
      <c r="BN151" s="596"/>
      <c r="BO151" s="596"/>
      <c r="BP151" s="596"/>
      <c r="BQ151" s="596"/>
      <c r="BR151" s="596"/>
      <c r="BS151" s="596"/>
      <c r="BT151" s="596"/>
    </row>
    <row r="152" spans="1:72" ht="15">
      <c r="A152" s="539"/>
      <c r="B152" s="539"/>
      <c r="C152" s="539"/>
      <c r="D152" s="539"/>
      <c r="E152" s="539"/>
      <c r="F152" s="539"/>
      <c r="G152" s="539"/>
      <c r="H152" s="539"/>
      <c r="I152" s="539"/>
      <c r="J152" s="539"/>
      <c r="K152" s="539"/>
      <c r="L152" s="539"/>
      <c r="M152" s="539"/>
      <c r="N152" s="539"/>
      <c r="O152" s="539"/>
      <c r="P152" s="539"/>
      <c r="Q152" s="539"/>
      <c r="R152" s="539"/>
      <c r="S152" s="557"/>
      <c r="T152" s="557"/>
      <c r="U152" s="557"/>
      <c r="V152" s="557"/>
      <c r="W152" s="539"/>
      <c r="X152" s="539"/>
      <c r="Y152" s="557"/>
      <c r="Z152" s="557"/>
      <c r="AA152" s="539"/>
      <c r="AB152" s="539"/>
      <c r="AC152" s="539"/>
      <c r="AD152" s="557"/>
      <c r="AE152" s="557"/>
      <c r="AF152" s="557"/>
      <c r="AG152" s="557"/>
      <c r="AH152" s="557"/>
      <c r="AI152" s="557"/>
      <c r="AJ152" s="557"/>
      <c r="AK152" s="557"/>
      <c r="AL152" s="557"/>
      <c r="AM152" s="557"/>
      <c r="AN152" s="557"/>
      <c r="AO152" s="557"/>
      <c r="AP152" s="557"/>
      <c r="AQ152" s="557"/>
      <c r="AR152" s="557"/>
      <c r="AS152" s="557"/>
      <c r="AT152" s="557"/>
      <c r="AU152" s="557"/>
      <c r="AV152" s="557"/>
      <c r="AW152" s="557"/>
      <c r="AX152" s="557"/>
      <c r="AY152" s="557"/>
      <c r="AZ152" s="557"/>
      <c r="BA152" s="557"/>
      <c r="BB152" s="557"/>
      <c r="BC152" s="557"/>
      <c r="BD152" s="553"/>
      <c r="BE152" s="596"/>
      <c r="BF152" s="596"/>
      <c r="BG152" s="596"/>
      <c r="BH152" s="596"/>
      <c r="BI152" s="596"/>
      <c r="BJ152" s="596"/>
      <c r="BK152" s="596"/>
      <c r="BL152" s="596"/>
      <c r="BM152" s="596"/>
      <c r="BN152" s="596"/>
      <c r="BO152" s="596"/>
      <c r="BP152" s="596"/>
      <c r="BQ152" s="596"/>
      <c r="BR152" s="596"/>
      <c r="BS152" s="596"/>
      <c r="BT152" s="596"/>
    </row>
    <row r="153" spans="1:72" ht="15">
      <c r="A153" s="539"/>
      <c r="B153" s="539"/>
      <c r="C153" s="539"/>
      <c r="D153" s="539"/>
      <c r="E153" s="539"/>
      <c r="F153" s="539"/>
      <c r="G153" s="539"/>
      <c r="H153" s="539"/>
      <c r="I153" s="539"/>
      <c r="J153" s="539"/>
      <c r="K153" s="539"/>
      <c r="L153" s="539"/>
      <c r="M153" s="539"/>
      <c r="N153" s="539"/>
      <c r="O153" s="539"/>
      <c r="P153" s="539"/>
      <c r="Q153" s="539"/>
      <c r="R153" s="539"/>
      <c r="S153" s="557"/>
      <c r="T153" s="557"/>
      <c r="U153" s="557"/>
      <c r="V153" s="557"/>
      <c r="W153" s="539"/>
      <c r="X153" s="539"/>
      <c r="Y153" s="557"/>
      <c r="Z153" s="557"/>
      <c r="AA153" s="539"/>
      <c r="AB153" s="539"/>
      <c r="AC153" s="539"/>
      <c r="AD153" s="557"/>
      <c r="AE153" s="557"/>
      <c r="AF153" s="557"/>
      <c r="AG153" s="557"/>
      <c r="AH153" s="557"/>
      <c r="AI153" s="557"/>
      <c r="AJ153" s="557"/>
      <c r="AK153" s="557"/>
      <c r="AL153" s="557"/>
      <c r="AM153" s="557"/>
      <c r="AN153" s="557"/>
      <c r="AO153" s="557"/>
      <c r="AP153" s="557"/>
      <c r="AQ153" s="557"/>
      <c r="AR153" s="557"/>
      <c r="AS153" s="557"/>
      <c r="AT153" s="557"/>
      <c r="AU153" s="557"/>
      <c r="AV153" s="557"/>
      <c r="AW153" s="557"/>
      <c r="AX153" s="557"/>
      <c r="AY153" s="557"/>
      <c r="AZ153" s="557"/>
      <c r="BA153" s="557"/>
      <c r="BB153" s="557"/>
      <c r="BC153" s="557"/>
      <c r="BD153" s="553"/>
      <c r="BE153" s="596"/>
      <c r="BF153" s="596"/>
      <c r="BG153" s="596"/>
      <c r="BH153" s="596"/>
      <c r="BI153" s="596"/>
      <c r="BJ153" s="596"/>
      <c r="BK153" s="596"/>
      <c r="BL153" s="596"/>
      <c r="BM153" s="596"/>
      <c r="BN153" s="596"/>
      <c r="BO153" s="596"/>
      <c r="BP153" s="596"/>
      <c r="BQ153" s="596"/>
      <c r="BR153" s="596"/>
      <c r="BS153" s="596"/>
      <c r="BT153" s="596"/>
    </row>
    <row r="154" spans="1:72" ht="15">
      <c r="A154" s="539"/>
      <c r="B154" s="539"/>
      <c r="C154" s="539"/>
      <c r="D154" s="539"/>
      <c r="E154" s="539"/>
      <c r="F154" s="539"/>
      <c r="G154" s="539"/>
      <c r="H154" s="539"/>
      <c r="I154" s="539"/>
      <c r="J154" s="539"/>
      <c r="K154" s="539"/>
      <c r="L154" s="539"/>
      <c r="M154" s="539"/>
      <c r="N154" s="539"/>
      <c r="O154" s="539"/>
      <c r="P154" s="539"/>
      <c r="Q154" s="539"/>
      <c r="R154" s="539"/>
      <c r="S154" s="557"/>
      <c r="T154" s="557"/>
      <c r="U154" s="557"/>
      <c r="V154" s="557"/>
      <c r="W154" s="539"/>
      <c r="X154" s="539"/>
      <c r="Y154" s="557"/>
      <c r="Z154" s="557"/>
      <c r="AA154" s="539"/>
      <c r="AB154" s="539"/>
      <c r="AC154" s="539"/>
      <c r="AD154" s="557"/>
      <c r="AE154" s="557"/>
      <c r="AF154" s="557"/>
      <c r="AG154" s="557"/>
      <c r="AH154" s="557"/>
      <c r="AI154" s="557"/>
      <c r="AJ154" s="557"/>
      <c r="AK154" s="557"/>
      <c r="AL154" s="557"/>
      <c r="AM154" s="557"/>
      <c r="AN154" s="557"/>
      <c r="AO154" s="557"/>
      <c r="AP154" s="557"/>
      <c r="AQ154" s="557"/>
      <c r="AR154" s="557"/>
      <c r="AS154" s="557"/>
      <c r="AT154" s="557"/>
      <c r="AU154" s="557"/>
      <c r="AV154" s="557"/>
      <c r="AW154" s="557"/>
      <c r="AX154" s="557"/>
      <c r="AY154" s="557"/>
      <c r="AZ154" s="557"/>
      <c r="BA154" s="557"/>
      <c r="BB154" s="557"/>
      <c r="BC154" s="557"/>
      <c r="BD154" s="553"/>
      <c r="BE154" s="596"/>
      <c r="BF154" s="596"/>
      <c r="BG154" s="596"/>
      <c r="BH154" s="596"/>
      <c r="BI154" s="596"/>
      <c r="BJ154" s="596"/>
      <c r="BK154" s="596"/>
      <c r="BL154" s="596"/>
      <c r="BM154" s="596"/>
      <c r="BN154" s="596"/>
      <c r="BO154" s="596"/>
      <c r="BP154" s="596"/>
      <c r="BQ154" s="596"/>
      <c r="BR154" s="596"/>
      <c r="BS154" s="596"/>
      <c r="BT154" s="596"/>
    </row>
    <row r="155" spans="1:72" ht="15">
      <c r="A155" s="539"/>
      <c r="B155" s="539"/>
      <c r="C155" s="539"/>
      <c r="D155" s="539"/>
      <c r="E155" s="539"/>
      <c r="F155" s="539"/>
      <c r="G155" s="539"/>
      <c r="H155" s="539"/>
      <c r="I155" s="539"/>
      <c r="J155" s="539"/>
      <c r="K155" s="539"/>
      <c r="L155" s="539"/>
      <c r="M155" s="539"/>
      <c r="N155" s="539"/>
      <c r="O155" s="539"/>
      <c r="P155" s="539"/>
      <c r="Q155" s="539"/>
      <c r="R155" s="539"/>
      <c r="S155" s="557"/>
      <c r="T155" s="557"/>
      <c r="U155" s="557"/>
      <c r="V155" s="557"/>
      <c r="W155" s="539"/>
      <c r="X155" s="539"/>
      <c r="Y155" s="557"/>
      <c r="Z155" s="557"/>
      <c r="AA155" s="539"/>
      <c r="AB155" s="539"/>
      <c r="AC155" s="539"/>
      <c r="AD155" s="557"/>
      <c r="AE155" s="557"/>
      <c r="AF155" s="557"/>
      <c r="AG155" s="557"/>
      <c r="AH155" s="557"/>
      <c r="AI155" s="557"/>
      <c r="AJ155" s="557"/>
      <c r="AK155" s="557"/>
      <c r="AL155" s="557"/>
      <c r="AM155" s="557"/>
      <c r="AN155" s="557"/>
      <c r="AO155" s="557"/>
      <c r="AP155" s="557"/>
      <c r="AQ155" s="557"/>
      <c r="AR155" s="557"/>
      <c r="AS155" s="557"/>
      <c r="AT155" s="557"/>
      <c r="AU155" s="557"/>
      <c r="AV155" s="557"/>
      <c r="AW155" s="557"/>
      <c r="AX155" s="557"/>
      <c r="AY155" s="557"/>
      <c r="AZ155" s="557"/>
      <c r="BA155" s="557"/>
      <c r="BB155" s="557"/>
      <c r="BC155" s="557"/>
      <c r="BD155" s="553"/>
      <c r="BE155" s="596"/>
      <c r="BF155" s="596"/>
      <c r="BG155" s="596"/>
      <c r="BH155" s="596"/>
      <c r="BI155" s="596"/>
      <c r="BJ155" s="596"/>
      <c r="BK155" s="596"/>
      <c r="BL155" s="596"/>
      <c r="BM155" s="596"/>
      <c r="BN155" s="596"/>
      <c r="BO155" s="596"/>
      <c r="BP155" s="596"/>
      <c r="BQ155" s="596"/>
      <c r="BR155" s="596"/>
      <c r="BS155" s="596"/>
      <c r="BT155" s="596"/>
    </row>
    <row r="156" spans="1:72" ht="15">
      <c r="A156" s="539"/>
      <c r="B156" s="539"/>
      <c r="C156" s="539"/>
      <c r="D156" s="539"/>
      <c r="E156" s="539"/>
      <c r="F156" s="539"/>
      <c r="G156" s="539"/>
      <c r="H156" s="539"/>
      <c r="I156" s="539"/>
      <c r="J156" s="539"/>
      <c r="K156" s="539"/>
      <c r="L156" s="539"/>
      <c r="M156" s="539"/>
      <c r="N156" s="539"/>
      <c r="O156" s="539"/>
      <c r="P156" s="539"/>
      <c r="Q156" s="539"/>
      <c r="R156" s="539"/>
      <c r="S156" s="557"/>
      <c r="T156" s="557"/>
      <c r="U156" s="557"/>
      <c r="V156" s="557"/>
      <c r="W156" s="539"/>
      <c r="X156" s="539"/>
      <c r="Y156" s="557"/>
      <c r="Z156" s="557"/>
      <c r="AA156" s="539"/>
      <c r="AB156" s="539"/>
      <c r="AC156" s="539"/>
      <c r="AD156" s="557"/>
      <c r="AE156" s="557"/>
      <c r="AF156" s="557"/>
      <c r="AG156" s="557"/>
      <c r="AH156" s="557"/>
      <c r="AI156" s="557"/>
      <c r="AJ156" s="557"/>
      <c r="AK156" s="557"/>
      <c r="AL156" s="557"/>
      <c r="AM156" s="557"/>
      <c r="AN156" s="557"/>
      <c r="AO156" s="557"/>
      <c r="AP156" s="557"/>
      <c r="AQ156" s="557"/>
      <c r="AR156" s="557"/>
      <c r="AS156" s="557"/>
      <c r="AT156" s="557"/>
      <c r="AU156" s="557"/>
      <c r="AV156" s="557"/>
      <c r="AW156" s="557"/>
      <c r="AX156" s="557"/>
      <c r="AY156" s="557"/>
      <c r="AZ156" s="557"/>
      <c r="BA156" s="557"/>
      <c r="BB156" s="557"/>
      <c r="BC156" s="557"/>
      <c r="BD156" s="553"/>
      <c r="BE156" s="596"/>
      <c r="BF156" s="596"/>
      <c r="BG156" s="596"/>
      <c r="BH156" s="596"/>
      <c r="BI156" s="596"/>
      <c r="BJ156" s="596"/>
      <c r="BK156" s="596"/>
      <c r="BL156" s="596"/>
      <c r="BM156" s="596"/>
      <c r="BN156" s="596"/>
      <c r="BO156" s="596"/>
      <c r="BP156" s="596"/>
      <c r="BQ156" s="596"/>
      <c r="BR156" s="596"/>
      <c r="BS156" s="596"/>
      <c r="BT156" s="596"/>
    </row>
    <row r="157" spans="1:72" ht="15">
      <c r="A157" s="539"/>
      <c r="B157" s="539"/>
      <c r="C157" s="539"/>
      <c r="D157" s="539"/>
      <c r="E157" s="539"/>
      <c r="F157" s="539"/>
      <c r="G157" s="539"/>
      <c r="H157" s="539"/>
      <c r="I157" s="539"/>
      <c r="J157" s="539"/>
      <c r="K157" s="539"/>
      <c r="L157" s="539"/>
      <c r="M157" s="539"/>
      <c r="N157" s="539"/>
      <c r="O157" s="539"/>
      <c r="P157" s="539"/>
      <c r="Q157" s="539"/>
      <c r="R157" s="539"/>
      <c r="S157" s="557"/>
      <c r="T157" s="557"/>
      <c r="U157" s="557"/>
      <c r="V157" s="557"/>
      <c r="W157" s="539"/>
      <c r="X157" s="539"/>
      <c r="Y157" s="557"/>
      <c r="Z157" s="557"/>
      <c r="AA157" s="539"/>
      <c r="AB157" s="539"/>
      <c r="AC157" s="539"/>
      <c r="AD157" s="557"/>
      <c r="AE157" s="557"/>
      <c r="AF157" s="557"/>
      <c r="AG157" s="557"/>
      <c r="AH157" s="557"/>
      <c r="AI157" s="557"/>
      <c r="AJ157" s="557"/>
      <c r="AK157" s="557"/>
      <c r="AL157" s="557"/>
      <c r="AM157" s="557"/>
      <c r="AN157" s="557"/>
      <c r="AO157" s="557"/>
      <c r="AP157" s="557"/>
      <c r="AQ157" s="557"/>
      <c r="AR157" s="557"/>
      <c r="AS157" s="557"/>
      <c r="AT157" s="557"/>
      <c r="AU157" s="557"/>
      <c r="AV157" s="557"/>
      <c r="AW157" s="557"/>
      <c r="AX157" s="557"/>
      <c r="AY157" s="557"/>
      <c r="AZ157" s="557"/>
      <c r="BA157" s="557"/>
      <c r="BB157" s="557"/>
      <c r="BC157" s="557"/>
      <c r="BD157" s="553"/>
      <c r="BE157" s="596"/>
      <c r="BF157" s="596"/>
      <c r="BG157" s="596"/>
      <c r="BH157" s="596"/>
      <c r="BI157" s="596"/>
      <c r="BJ157" s="596"/>
      <c r="BK157" s="596"/>
      <c r="BL157" s="596"/>
      <c r="BM157" s="596"/>
      <c r="BN157" s="596"/>
      <c r="BO157" s="596"/>
      <c r="BP157" s="596"/>
      <c r="BQ157" s="596"/>
      <c r="BR157" s="596"/>
      <c r="BS157" s="596"/>
      <c r="BT157" s="596"/>
    </row>
    <row r="158" spans="1:72" ht="15">
      <c r="A158" s="539"/>
      <c r="B158" s="539"/>
      <c r="C158" s="539"/>
      <c r="D158" s="539"/>
      <c r="E158" s="539"/>
      <c r="F158" s="539"/>
      <c r="G158" s="539"/>
      <c r="H158" s="539"/>
      <c r="I158" s="539"/>
      <c r="J158" s="539"/>
      <c r="K158" s="539"/>
      <c r="L158" s="539"/>
      <c r="M158" s="539"/>
      <c r="N158" s="539"/>
      <c r="O158" s="539"/>
      <c r="P158" s="539"/>
      <c r="Q158" s="539"/>
      <c r="R158" s="539"/>
      <c r="S158" s="557"/>
      <c r="T158" s="557"/>
      <c r="U158" s="557"/>
      <c r="V158" s="557"/>
      <c r="W158" s="539"/>
      <c r="X158" s="539"/>
      <c r="Y158" s="557"/>
      <c r="Z158" s="557"/>
      <c r="AA158" s="539"/>
      <c r="AB158" s="539"/>
      <c r="AC158" s="539"/>
      <c r="AD158" s="557"/>
      <c r="AE158" s="557"/>
      <c r="AF158" s="557"/>
      <c r="AG158" s="557"/>
      <c r="AH158" s="557"/>
      <c r="AI158" s="557"/>
      <c r="AJ158" s="557"/>
      <c r="AK158" s="557"/>
      <c r="AL158" s="557"/>
      <c r="AM158" s="557"/>
      <c r="AN158" s="557"/>
      <c r="AO158" s="557"/>
      <c r="AP158" s="557"/>
      <c r="AQ158" s="557"/>
      <c r="AR158" s="557"/>
      <c r="AS158" s="557"/>
      <c r="AT158" s="557"/>
      <c r="AU158" s="557"/>
      <c r="AV158" s="557"/>
      <c r="AW158" s="557"/>
      <c r="AX158" s="557"/>
      <c r="AY158" s="557"/>
      <c r="AZ158" s="557"/>
      <c r="BA158" s="557"/>
      <c r="BB158" s="557"/>
      <c r="BC158" s="557"/>
      <c r="BD158" s="553"/>
      <c r="BE158" s="596"/>
      <c r="BF158" s="596"/>
      <c r="BG158" s="596"/>
      <c r="BH158" s="596"/>
      <c r="BI158" s="596"/>
      <c r="BJ158" s="596"/>
      <c r="BK158" s="596"/>
      <c r="BL158" s="596"/>
      <c r="BM158" s="596"/>
      <c r="BN158" s="596"/>
      <c r="BO158" s="596"/>
      <c r="BP158" s="596"/>
      <c r="BQ158" s="596"/>
      <c r="BR158" s="596"/>
      <c r="BS158" s="596"/>
      <c r="BT158" s="596"/>
    </row>
    <row r="159" spans="1:72" ht="15">
      <c r="A159" s="539"/>
      <c r="B159" s="539"/>
      <c r="C159" s="539"/>
      <c r="D159" s="539"/>
      <c r="E159" s="539"/>
      <c r="F159" s="539"/>
      <c r="G159" s="539"/>
      <c r="H159" s="539"/>
      <c r="I159" s="539"/>
      <c r="J159" s="539"/>
      <c r="K159" s="539"/>
      <c r="L159" s="539"/>
      <c r="M159" s="539"/>
      <c r="N159" s="539"/>
      <c r="O159" s="539"/>
      <c r="P159" s="539"/>
      <c r="Q159" s="539"/>
      <c r="R159" s="539"/>
      <c r="S159" s="557"/>
      <c r="T159" s="557"/>
      <c r="U159" s="557"/>
      <c r="V159" s="557"/>
      <c r="W159" s="539"/>
      <c r="X159" s="539"/>
      <c r="Y159" s="557"/>
      <c r="Z159" s="557"/>
      <c r="AA159" s="539"/>
      <c r="AB159" s="539"/>
      <c r="AC159" s="539"/>
      <c r="AD159" s="557"/>
      <c r="AE159" s="557"/>
      <c r="AF159" s="557"/>
      <c r="AG159" s="557"/>
      <c r="AH159" s="557"/>
      <c r="AI159" s="557"/>
      <c r="AJ159" s="557"/>
      <c r="AK159" s="557"/>
      <c r="AL159" s="557"/>
      <c r="AM159" s="557"/>
      <c r="AN159" s="557"/>
      <c r="AO159" s="557"/>
      <c r="AP159" s="557"/>
      <c r="AQ159" s="557"/>
      <c r="AR159" s="557"/>
      <c r="AS159" s="557"/>
      <c r="AT159" s="557"/>
      <c r="AU159" s="557"/>
      <c r="AV159" s="557"/>
      <c r="AW159" s="557"/>
      <c r="AX159" s="557"/>
      <c r="AY159" s="557"/>
      <c r="AZ159" s="557"/>
      <c r="BA159" s="557"/>
      <c r="BB159" s="557"/>
      <c r="BC159" s="557"/>
      <c r="BD159" s="553"/>
      <c r="BE159" s="596"/>
      <c r="BF159" s="596"/>
      <c r="BG159" s="596"/>
      <c r="BH159" s="596"/>
      <c r="BI159" s="596"/>
      <c r="BJ159" s="596"/>
      <c r="BK159" s="596"/>
      <c r="BL159" s="596"/>
      <c r="BM159" s="596"/>
      <c r="BN159" s="596"/>
      <c r="BO159" s="596"/>
      <c r="BP159" s="596"/>
      <c r="BQ159" s="596"/>
      <c r="BR159" s="596"/>
      <c r="BS159" s="596"/>
      <c r="BT159" s="596"/>
    </row>
    <row r="160" spans="1:72" ht="15">
      <c r="A160" s="539"/>
      <c r="B160" s="539"/>
      <c r="C160" s="539"/>
      <c r="D160" s="539"/>
      <c r="E160" s="539"/>
      <c r="F160" s="539"/>
      <c r="G160" s="539"/>
      <c r="H160" s="539"/>
      <c r="I160" s="539"/>
      <c r="J160" s="539"/>
      <c r="K160" s="539"/>
      <c r="L160" s="539"/>
      <c r="M160" s="539"/>
      <c r="N160" s="539"/>
      <c r="O160" s="539"/>
      <c r="P160" s="539"/>
      <c r="Q160" s="539"/>
      <c r="R160" s="539"/>
      <c r="S160" s="557"/>
      <c r="T160" s="557"/>
      <c r="U160" s="557"/>
      <c r="V160" s="557"/>
      <c r="W160" s="539"/>
      <c r="X160" s="539"/>
      <c r="Y160" s="557"/>
      <c r="Z160" s="557"/>
      <c r="AA160" s="539"/>
      <c r="AB160" s="539"/>
      <c r="AC160" s="539"/>
      <c r="AD160" s="557"/>
      <c r="AE160" s="557"/>
      <c r="AF160" s="557"/>
      <c r="AG160" s="557"/>
      <c r="AH160" s="557"/>
      <c r="AI160" s="557"/>
      <c r="AJ160" s="557"/>
      <c r="AK160" s="557"/>
      <c r="AL160" s="557"/>
      <c r="AM160" s="557"/>
      <c r="AN160" s="557"/>
      <c r="AO160" s="557"/>
      <c r="AP160" s="557"/>
      <c r="AQ160" s="557"/>
      <c r="AR160" s="557"/>
      <c r="AS160" s="557"/>
      <c r="AT160" s="557"/>
      <c r="AU160" s="557"/>
      <c r="AV160" s="557"/>
      <c r="AW160" s="557"/>
      <c r="AX160" s="557"/>
      <c r="AY160" s="557"/>
      <c r="AZ160" s="557"/>
      <c r="BA160" s="557"/>
      <c r="BB160" s="557"/>
      <c r="BC160" s="557"/>
      <c r="BD160" s="553"/>
      <c r="BE160" s="596"/>
      <c r="BF160" s="596"/>
      <c r="BG160" s="596"/>
      <c r="BH160" s="596"/>
      <c r="BI160" s="596"/>
      <c r="BJ160" s="596"/>
      <c r="BK160" s="596"/>
      <c r="BL160" s="596"/>
      <c r="BM160" s="596"/>
      <c r="BN160" s="596"/>
      <c r="BO160" s="596"/>
      <c r="BP160" s="596"/>
      <c r="BQ160" s="596"/>
      <c r="BR160" s="596"/>
      <c r="BS160" s="596"/>
      <c r="BT160" s="596"/>
    </row>
    <row r="161" spans="1:72" ht="15">
      <c r="A161" s="539"/>
      <c r="B161" s="539"/>
      <c r="C161" s="539"/>
      <c r="D161" s="539"/>
      <c r="E161" s="539"/>
      <c r="F161" s="539"/>
      <c r="G161" s="539"/>
      <c r="H161" s="539"/>
      <c r="I161" s="539"/>
      <c r="J161" s="539"/>
      <c r="K161" s="539"/>
      <c r="L161" s="539"/>
      <c r="M161" s="539"/>
      <c r="N161" s="539"/>
      <c r="O161" s="539"/>
      <c r="P161" s="539"/>
      <c r="Q161" s="539"/>
      <c r="R161" s="539"/>
      <c r="S161" s="557"/>
      <c r="T161" s="557"/>
      <c r="U161" s="557"/>
      <c r="V161" s="557"/>
      <c r="W161" s="539"/>
      <c r="X161" s="539"/>
      <c r="Y161" s="557"/>
      <c r="Z161" s="557"/>
      <c r="AA161" s="539"/>
      <c r="AB161" s="539"/>
      <c r="AC161" s="539"/>
      <c r="AD161" s="557"/>
      <c r="AE161" s="557"/>
      <c r="AF161" s="557"/>
      <c r="AG161" s="557"/>
      <c r="AH161" s="557"/>
      <c r="AI161" s="557"/>
      <c r="AJ161" s="557"/>
      <c r="AK161" s="557"/>
      <c r="AL161" s="557"/>
      <c r="AM161" s="557"/>
      <c r="AN161" s="557"/>
      <c r="AO161" s="557"/>
      <c r="AP161" s="557"/>
      <c r="AQ161" s="557"/>
      <c r="AR161" s="557"/>
      <c r="AS161" s="557"/>
      <c r="AT161" s="557"/>
      <c r="AU161" s="557"/>
      <c r="AV161" s="557"/>
      <c r="AW161" s="557"/>
      <c r="AX161" s="557"/>
      <c r="AY161" s="557"/>
      <c r="AZ161" s="557"/>
      <c r="BA161" s="557"/>
      <c r="BB161" s="557"/>
      <c r="BC161" s="557"/>
      <c r="BD161" s="553"/>
      <c r="BE161" s="596"/>
      <c r="BF161" s="596"/>
      <c r="BG161" s="596"/>
      <c r="BH161" s="596"/>
      <c r="BI161" s="596"/>
      <c r="BJ161" s="596"/>
      <c r="BK161" s="596"/>
      <c r="BL161" s="596"/>
      <c r="BM161" s="596"/>
      <c r="BN161" s="596"/>
      <c r="BO161" s="596"/>
      <c r="BP161" s="596"/>
      <c r="BQ161" s="596"/>
      <c r="BR161" s="596"/>
      <c r="BS161" s="596"/>
      <c r="BT161" s="596"/>
    </row>
    <row r="162" spans="1:72" ht="15">
      <c r="A162" s="539"/>
      <c r="B162" s="539"/>
      <c r="C162" s="539"/>
      <c r="D162" s="539"/>
      <c r="E162" s="539"/>
      <c r="F162" s="539"/>
      <c r="G162" s="539"/>
      <c r="H162" s="539"/>
      <c r="I162" s="539"/>
      <c r="J162" s="539"/>
      <c r="K162" s="539"/>
      <c r="L162" s="539"/>
      <c r="M162" s="539"/>
      <c r="N162" s="539"/>
      <c r="O162" s="539"/>
      <c r="P162" s="539"/>
      <c r="Q162" s="539"/>
      <c r="R162" s="539"/>
      <c r="S162" s="557"/>
      <c r="T162" s="557"/>
      <c r="U162" s="557"/>
      <c r="V162" s="557"/>
      <c r="W162" s="539"/>
      <c r="X162" s="539"/>
      <c r="Y162" s="557"/>
      <c r="Z162" s="557"/>
      <c r="AA162" s="539"/>
      <c r="AB162" s="539"/>
      <c r="AC162" s="539"/>
      <c r="AD162" s="557"/>
      <c r="AE162" s="557"/>
      <c r="AF162" s="557"/>
      <c r="AG162" s="557"/>
      <c r="AH162" s="557"/>
      <c r="AI162" s="557"/>
      <c r="AJ162" s="557"/>
      <c r="AK162" s="557"/>
      <c r="AL162" s="557"/>
      <c r="AM162" s="557"/>
      <c r="AN162" s="557"/>
      <c r="AO162" s="557"/>
      <c r="AP162" s="557"/>
      <c r="AQ162" s="557"/>
      <c r="AR162" s="557"/>
      <c r="AS162" s="557"/>
      <c r="AT162" s="557"/>
      <c r="AU162" s="557"/>
      <c r="AV162" s="557"/>
      <c r="AW162" s="557"/>
      <c r="AX162" s="557"/>
      <c r="AY162" s="557"/>
      <c r="AZ162" s="557"/>
      <c r="BA162" s="557"/>
      <c r="BB162" s="557"/>
      <c r="BC162" s="557"/>
      <c r="BD162" s="553"/>
      <c r="BE162" s="596"/>
      <c r="BF162" s="596"/>
      <c r="BG162" s="596"/>
      <c r="BH162" s="596"/>
      <c r="BI162" s="596"/>
      <c r="BJ162" s="596"/>
      <c r="BK162" s="596"/>
      <c r="BL162" s="596"/>
      <c r="BM162" s="596"/>
      <c r="BN162" s="596"/>
      <c r="BO162" s="596"/>
      <c r="BP162" s="596"/>
      <c r="BQ162" s="596"/>
      <c r="BR162" s="596"/>
      <c r="BS162" s="596"/>
      <c r="BT162" s="596"/>
    </row>
    <row r="163" spans="1:72" ht="15">
      <c r="A163" s="539"/>
      <c r="B163" s="539"/>
      <c r="C163" s="539"/>
      <c r="D163" s="539"/>
      <c r="E163" s="539"/>
      <c r="F163" s="539"/>
      <c r="G163" s="539"/>
      <c r="H163" s="539"/>
      <c r="I163" s="539"/>
      <c r="J163" s="539"/>
      <c r="K163" s="539"/>
      <c r="L163" s="539"/>
      <c r="M163" s="539"/>
      <c r="N163" s="539"/>
      <c r="O163" s="539"/>
      <c r="P163" s="539"/>
      <c r="Q163" s="539"/>
      <c r="R163" s="539"/>
      <c r="S163" s="557"/>
      <c r="T163" s="557"/>
      <c r="U163" s="557"/>
      <c r="V163" s="557"/>
      <c r="W163" s="539"/>
      <c r="X163" s="539"/>
      <c r="Y163" s="557"/>
      <c r="Z163" s="557"/>
      <c r="AA163" s="539"/>
      <c r="AB163" s="539"/>
      <c r="AC163" s="539"/>
      <c r="AD163" s="557"/>
      <c r="AE163" s="557"/>
      <c r="AF163" s="557"/>
      <c r="AG163" s="557"/>
      <c r="AH163" s="557"/>
      <c r="AI163" s="557"/>
      <c r="AJ163" s="557"/>
      <c r="AK163" s="557"/>
      <c r="AL163" s="557"/>
      <c r="AM163" s="557"/>
      <c r="AN163" s="557"/>
      <c r="AO163" s="557"/>
      <c r="AP163" s="557"/>
      <c r="AQ163" s="557"/>
      <c r="AR163" s="557"/>
      <c r="AS163" s="557"/>
      <c r="AT163" s="557"/>
      <c r="AU163" s="557"/>
      <c r="AV163" s="557"/>
      <c r="AW163" s="557"/>
      <c r="AX163" s="557"/>
      <c r="AY163" s="557"/>
      <c r="AZ163" s="557"/>
      <c r="BA163" s="557"/>
      <c r="BB163" s="557"/>
      <c r="BC163" s="557"/>
      <c r="BD163" s="553"/>
      <c r="BE163" s="596"/>
      <c r="BF163" s="596"/>
      <c r="BG163" s="596"/>
      <c r="BH163" s="596"/>
      <c r="BI163" s="596"/>
      <c r="BJ163" s="596"/>
      <c r="BK163" s="596"/>
      <c r="BL163" s="596"/>
      <c r="BM163" s="596"/>
      <c r="BN163" s="596"/>
      <c r="BO163" s="596"/>
      <c r="BP163" s="596"/>
      <c r="BQ163" s="596"/>
      <c r="BR163" s="596"/>
      <c r="BS163" s="596"/>
      <c r="BT163" s="596"/>
    </row>
    <row r="164" spans="1:72" ht="15">
      <c r="A164" s="539"/>
      <c r="B164" s="539"/>
      <c r="C164" s="539"/>
      <c r="D164" s="539"/>
      <c r="E164" s="539"/>
      <c r="F164" s="539"/>
      <c r="G164" s="539"/>
      <c r="H164" s="539"/>
      <c r="I164" s="539"/>
      <c r="J164" s="539"/>
      <c r="K164" s="539"/>
      <c r="L164" s="539"/>
      <c r="M164" s="539"/>
      <c r="N164" s="539"/>
      <c r="O164" s="539"/>
      <c r="P164" s="539"/>
      <c r="Q164" s="539"/>
      <c r="R164" s="539"/>
      <c r="S164" s="557"/>
      <c r="T164" s="557"/>
      <c r="U164" s="557"/>
      <c r="V164" s="557"/>
      <c r="W164" s="539"/>
      <c r="X164" s="539"/>
      <c r="Y164" s="557"/>
      <c r="Z164" s="557"/>
      <c r="AA164" s="539"/>
      <c r="AB164" s="539"/>
      <c r="AC164" s="539"/>
      <c r="AD164" s="557"/>
      <c r="AE164" s="557"/>
      <c r="AF164" s="557"/>
      <c r="AG164" s="557"/>
      <c r="AH164" s="557"/>
      <c r="AI164" s="557"/>
      <c r="AJ164" s="557"/>
      <c r="AK164" s="557"/>
      <c r="AL164" s="557"/>
      <c r="AM164" s="557"/>
      <c r="AN164" s="557"/>
      <c r="AO164" s="557"/>
      <c r="AP164" s="557"/>
      <c r="AQ164" s="557"/>
      <c r="AR164" s="557"/>
      <c r="AS164" s="557"/>
      <c r="AT164" s="557"/>
      <c r="AU164" s="557"/>
      <c r="AV164" s="557"/>
      <c r="AW164" s="557"/>
      <c r="AX164" s="557"/>
      <c r="AY164" s="557"/>
      <c r="AZ164" s="557"/>
      <c r="BA164" s="557"/>
      <c r="BB164" s="557"/>
      <c r="BC164" s="557"/>
      <c r="BD164" s="553"/>
      <c r="BE164" s="596"/>
      <c r="BF164" s="596"/>
      <c r="BG164" s="596"/>
      <c r="BH164" s="596"/>
      <c r="BI164" s="596"/>
      <c r="BJ164" s="596"/>
      <c r="BK164" s="596"/>
      <c r="BL164" s="596"/>
      <c r="BM164" s="596"/>
      <c r="BN164" s="596"/>
      <c r="BO164" s="596"/>
      <c r="BP164" s="596"/>
      <c r="BQ164" s="596"/>
      <c r="BR164" s="596"/>
      <c r="BS164" s="596"/>
      <c r="BT164" s="596"/>
    </row>
    <row r="165" spans="1:72" ht="15">
      <c r="A165" s="539"/>
      <c r="B165" s="539"/>
      <c r="C165" s="539"/>
      <c r="D165" s="539"/>
      <c r="E165" s="539"/>
      <c r="F165" s="539"/>
      <c r="G165" s="539"/>
      <c r="H165" s="539"/>
      <c r="I165" s="539"/>
      <c r="J165" s="539"/>
      <c r="K165" s="539"/>
      <c r="L165" s="539"/>
      <c r="M165" s="539"/>
      <c r="N165" s="539"/>
      <c r="O165" s="539"/>
      <c r="P165" s="539"/>
      <c r="Q165" s="539"/>
      <c r="R165" s="539"/>
      <c r="S165" s="557"/>
      <c r="T165" s="557"/>
      <c r="U165" s="557"/>
      <c r="V165" s="557"/>
      <c r="W165" s="539"/>
      <c r="X165" s="539"/>
      <c r="Y165" s="557"/>
      <c r="Z165" s="557"/>
      <c r="AA165" s="539"/>
      <c r="AB165" s="539"/>
      <c r="AC165" s="539"/>
      <c r="AD165" s="557"/>
      <c r="AE165" s="557"/>
      <c r="AF165" s="557"/>
      <c r="AG165" s="557"/>
      <c r="AH165" s="557"/>
      <c r="AI165" s="557"/>
      <c r="AJ165" s="557"/>
      <c r="AK165" s="557"/>
      <c r="AL165" s="557"/>
      <c r="AM165" s="557"/>
      <c r="AN165" s="557"/>
      <c r="AO165" s="557"/>
      <c r="AP165" s="557"/>
      <c r="AQ165" s="557"/>
      <c r="AR165" s="557"/>
      <c r="AS165" s="557"/>
      <c r="AT165" s="557"/>
      <c r="AU165" s="557"/>
      <c r="AV165" s="557"/>
      <c r="AW165" s="557"/>
      <c r="AX165" s="557"/>
      <c r="AY165" s="557"/>
      <c r="AZ165" s="557"/>
      <c r="BA165" s="557"/>
      <c r="BB165" s="557"/>
      <c r="BC165" s="557"/>
      <c r="BD165" s="553"/>
      <c r="BE165" s="596"/>
      <c r="BF165" s="596"/>
      <c r="BG165" s="596"/>
      <c r="BH165" s="596"/>
      <c r="BI165" s="596"/>
      <c r="BJ165" s="596"/>
      <c r="BK165" s="596"/>
      <c r="BL165" s="596"/>
      <c r="BM165" s="596"/>
      <c r="BN165" s="596"/>
      <c r="BO165" s="596"/>
      <c r="BP165" s="596"/>
      <c r="BQ165" s="596"/>
      <c r="BR165" s="596"/>
      <c r="BS165" s="596"/>
      <c r="BT165" s="596"/>
    </row>
    <row r="166" spans="1:72" ht="15">
      <c r="A166" s="539"/>
      <c r="B166" s="539"/>
      <c r="C166" s="539"/>
      <c r="D166" s="539"/>
      <c r="E166" s="539"/>
      <c r="F166" s="539"/>
      <c r="G166" s="539"/>
      <c r="H166" s="539"/>
      <c r="I166" s="539"/>
      <c r="J166" s="539"/>
      <c r="K166" s="539"/>
      <c r="L166" s="539"/>
      <c r="M166" s="539"/>
      <c r="N166" s="539"/>
      <c r="O166" s="539"/>
      <c r="P166" s="539"/>
      <c r="Q166" s="539"/>
      <c r="R166" s="539"/>
      <c r="S166" s="557"/>
      <c r="T166" s="557"/>
      <c r="U166" s="557"/>
      <c r="V166" s="557"/>
      <c r="W166" s="539"/>
      <c r="X166" s="539"/>
      <c r="Y166" s="557"/>
      <c r="Z166" s="557"/>
      <c r="AA166" s="539"/>
      <c r="AB166" s="539"/>
      <c r="AC166" s="539"/>
      <c r="AD166" s="557"/>
      <c r="AE166" s="557"/>
      <c r="AF166" s="557"/>
      <c r="AG166" s="557"/>
      <c r="AH166" s="557"/>
      <c r="AI166" s="557"/>
      <c r="AJ166" s="557"/>
      <c r="AK166" s="557"/>
      <c r="AL166" s="557"/>
      <c r="AM166" s="557"/>
      <c r="AN166" s="557"/>
      <c r="AO166" s="557"/>
      <c r="AP166" s="557"/>
      <c r="AQ166" s="557"/>
      <c r="AR166" s="557"/>
      <c r="AS166" s="557"/>
      <c r="AT166" s="557"/>
      <c r="AU166" s="557"/>
      <c r="AV166" s="557"/>
      <c r="AW166" s="557"/>
      <c r="AX166" s="557"/>
      <c r="AY166" s="557"/>
      <c r="AZ166" s="557"/>
      <c r="BA166" s="557"/>
      <c r="BB166" s="557"/>
      <c r="BC166" s="557"/>
      <c r="BD166" s="553"/>
      <c r="BE166" s="596"/>
      <c r="BF166" s="596"/>
      <c r="BG166" s="596"/>
      <c r="BH166" s="596"/>
      <c r="BI166" s="596"/>
      <c r="BJ166" s="596"/>
      <c r="BK166" s="596"/>
      <c r="BL166" s="596"/>
      <c r="BM166" s="596"/>
      <c r="BN166" s="596"/>
      <c r="BO166" s="596"/>
      <c r="BP166" s="596"/>
      <c r="BQ166" s="596"/>
      <c r="BR166" s="596"/>
      <c r="BS166" s="596"/>
      <c r="BT166" s="596"/>
    </row>
    <row r="167" spans="1:72" ht="15">
      <c r="A167" s="539"/>
      <c r="B167" s="539"/>
      <c r="C167" s="539"/>
      <c r="D167" s="539"/>
      <c r="E167" s="539"/>
      <c r="F167" s="539"/>
      <c r="G167" s="539"/>
      <c r="H167" s="539"/>
      <c r="I167" s="539"/>
      <c r="J167" s="539"/>
      <c r="K167" s="539"/>
      <c r="L167" s="539"/>
      <c r="M167" s="539"/>
      <c r="N167" s="539"/>
      <c r="O167" s="539"/>
      <c r="P167" s="539"/>
      <c r="Q167" s="539"/>
      <c r="R167" s="539"/>
      <c r="S167" s="557"/>
      <c r="T167" s="557"/>
      <c r="U167" s="557"/>
      <c r="V167" s="557"/>
      <c r="W167" s="539"/>
      <c r="X167" s="539"/>
      <c r="Y167" s="557"/>
      <c r="Z167" s="557"/>
      <c r="AA167" s="539"/>
      <c r="AB167" s="539"/>
      <c r="AC167" s="539"/>
      <c r="AD167" s="557"/>
      <c r="AE167" s="557"/>
      <c r="AF167" s="557"/>
      <c r="AG167" s="557"/>
      <c r="AH167" s="557"/>
      <c r="AI167" s="557"/>
      <c r="AJ167" s="557"/>
      <c r="AK167" s="557"/>
      <c r="AL167" s="557"/>
      <c r="AM167" s="557"/>
      <c r="AN167" s="557"/>
      <c r="AO167" s="557"/>
      <c r="AP167" s="557"/>
      <c r="AQ167" s="557"/>
      <c r="AR167" s="557"/>
      <c r="AS167" s="557"/>
      <c r="AT167" s="557"/>
      <c r="AU167" s="557"/>
      <c r="AV167" s="557"/>
      <c r="AW167" s="557"/>
      <c r="AX167" s="557"/>
      <c r="AY167" s="557"/>
      <c r="AZ167" s="557"/>
      <c r="BA167" s="557"/>
      <c r="BB167" s="557"/>
      <c r="BC167" s="557"/>
      <c r="BD167" s="553"/>
      <c r="BE167" s="596"/>
      <c r="BF167" s="596"/>
      <c r="BG167" s="596"/>
      <c r="BH167" s="596"/>
      <c r="BI167" s="596"/>
      <c r="BJ167" s="596"/>
      <c r="BK167" s="596"/>
      <c r="BL167" s="596"/>
      <c r="BM167" s="596"/>
      <c r="BN167" s="596"/>
      <c r="BO167" s="596"/>
      <c r="BP167" s="596"/>
      <c r="BQ167" s="596"/>
      <c r="BR167" s="596"/>
      <c r="BS167" s="596"/>
      <c r="BT167" s="596"/>
    </row>
    <row r="168" spans="1:72" ht="15">
      <c r="A168" s="539"/>
      <c r="B168" s="539"/>
      <c r="C168" s="539"/>
      <c r="D168" s="539"/>
      <c r="E168" s="539"/>
      <c r="F168" s="539"/>
      <c r="G168" s="539"/>
      <c r="H168" s="539"/>
      <c r="I168" s="539"/>
      <c r="J168" s="539"/>
      <c r="K168" s="539"/>
      <c r="L168" s="539"/>
      <c r="M168" s="539"/>
      <c r="N168" s="539"/>
      <c r="O168" s="539"/>
      <c r="P168" s="539"/>
      <c r="Q168" s="539"/>
      <c r="R168" s="539"/>
      <c r="S168" s="557"/>
      <c r="T168" s="557"/>
      <c r="U168" s="557"/>
      <c r="V168" s="557"/>
      <c r="W168" s="539"/>
      <c r="X168" s="539"/>
      <c r="Y168" s="557"/>
      <c r="Z168" s="557"/>
      <c r="AA168" s="539"/>
      <c r="AB168" s="539"/>
      <c r="AC168" s="539"/>
      <c r="AD168" s="557"/>
      <c r="AE168" s="557"/>
      <c r="AF168" s="557"/>
      <c r="AG168" s="557"/>
      <c r="AH168" s="557"/>
      <c r="AI168" s="557"/>
      <c r="AJ168" s="557"/>
      <c r="AK168" s="557"/>
      <c r="AL168" s="557"/>
      <c r="AM168" s="557"/>
      <c r="AN168" s="557"/>
      <c r="AO168" s="557"/>
      <c r="AP168" s="557"/>
      <c r="AQ168" s="557"/>
      <c r="AR168" s="557"/>
      <c r="AS168" s="557"/>
      <c r="AT168" s="557"/>
      <c r="AU168" s="557"/>
      <c r="AV168" s="557"/>
      <c r="AW168" s="557"/>
      <c r="AX168" s="557"/>
      <c r="AY168" s="557"/>
      <c r="AZ168" s="557"/>
      <c r="BA168" s="557"/>
      <c r="BB168" s="557"/>
      <c r="BC168" s="557"/>
      <c r="BD168" s="553"/>
      <c r="BE168" s="596"/>
      <c r="BF168" s="596"/>
      <c r="BG168" s="596"/>
      <c r="BH168" s="596"/>
      <c r="BI168" s="596"/>
      <c r="BJ168" s="596"/>
      <c r="BK168" s="596"/>
      <c r="BL168" s="596"/>
      <c r="BM168" s="596"/>
      <c r="BN168" s="596"/>
      <c r="BO168" s="596"/>
      <c r="BP168" s="596"/>
      <c r="BQ168" s="596"/>
      <c r="BR168" s="596"/>
      <c r="BS168" s="596"/>
      <c r="BT168" s="596"/>
    </row>
    <row r="169" spans="1:72" ht="15">
      <c r="A169" s="539"/>
      <c r="B169" s="539"/>
      <c r="C169" s="539"/>
      <c r="D169" s="539"/>
      <c r="E169" s="539"/>
      <c r="F169" s="539"/>
      <c r="G169" s="539"/>
      <c r="H169" s="539"/>
      <c r="I169" s="539"/>
      <c r="J169" s="539"/>
      <c r="K169" s="539"/>
      <c r="L169" s="539"/>
      <c r="M169" s="539"/>
      <c r="N169" s="539"/>
      <c r="O169" s="539"/>
      <c r="P169" s="539"/>
      <c r="Q169" s="539"/>
      <c r="R169" s="539"/>
      <c r="S169" s="557"/>
      <c r="T169" s="557"/>
      <c r="U169" s="557"/>
      <c r="V169" s="557"/>
      <c r="W169" s="539"/>
      <c r="X169" s="539"/>
      <c r="Y169" s="557"/>
      <c r="Z169" s="557"/>
      <c r="AA169" s="539"/>
      <c r="AB169" s="539"/>
      <c r="AC169" s="539"/>
      <c r="AD169" s="557"/>
      <c r="AE169" s="557"/>
      <c r="AF169" s="557"/>
      <c r="AG169" s="557"/>
      <c r="AH169" s="557"/>
      <c r="AI169" s="557"/>
      <c r="AJ169" s="557"/>
      <c r="AK169" s="557"/>
      <c r="AL169" s="557"/>
      <c r="AM169" s="557"/>
      <c r="AN169" s="557"/>
      <c r="AO169" s="557"/>
      <c r="AP169" s="557"/>
      <c r="AQ169" s="557"/>
      <c r="AR169" s="557"/>
      <c r="AS169" s="557"/>
      <c r="AT169" s="557"/>
      <c r="AU169" s="557"/>
      <c r="AV169" s="557"/>
      <c r="AW169" s="557"/>
      <c r="AX169" s="557"/>
      <c r="AY169" s="557"/>
      <c r="AZ169" s="557"/>
      <c r="BA169" s="557"/>
      <c r="BB169" s="557"/>
      <c r="BC169" s="557"/>
      <c r="BD169" s="553"/>
      <c r="BE169" s="596"/>
      <c r="BF169" s="596"/>
      <c r="BG169" s="596"/>
      <c r="BH169" s="596"/>
      <c r="BI169" s="596"/>
      <c r="BJ169" s="596"/>
      <c r="BK169" s="596"/>
      <c r="BL169" s="596"/>
      <c r="BM169" s="596"/>
      <c r="BN169" s="596"/>
      <c r="BO169" s="596"/>
      <c r="BP169" s="596"/>
      <c r="BQ169" s="596"/>
      <c r="BR169" s="596"/>
      <c r="BS169" s="596"/>
      <c r="BT169" s="596"/>
    </row>
    <row r="170" spans="1:72" ht="15">
      <c r="A170" s="539"/>
      <c r="B170" s="539"/>
      <c r="C170" s="539"/>
      <c r="D170" s="539"/>
      <c r="E170" s="539"/>
      <c r="F170" s="539"/>
      <c r="G170" s="539"/>
      <c r="H170" s="539"/>
      <c r="I170" s="539"/>
      <c r="J170" s="539"/>
      <c r="K170" s="539"/>
      <c r="L170" s="539"/>
      <c r="M170" s="539"/>
      <c r="N170" s="539"/>
      <c r="O170" s="539"/>
      <c r="P170" s="539"/>
      <c r="Q170" s="539"/>
      <c r="R170" s="539"/>
      <c r="S170" s="557"/>
      <c r="T170" s="557"/>
      <c r="U170" s="557"/>
      <c r="V170" s="557"/>
      <c r="W170" s="539"/>
      <c r="X170" s="539"/>
      <c r="Y170" s="557"/>
      <c r="Z170" s="557"/>
      <c r="AA170" s="539"/>
      <c r="AB170" s="539"/>
      <c r="AC170" s="539"/>
      <c r="AD170" s="557"/>
      <c r="AE170" s="557"/>
      <c r="AF170" s="557"/>
      <c r="AG170" s="557"/>
      <c r="AH170" s="557"/>
      <c r="AI170" s="557"/>
      <c r="AJ170" s="557"/>
      <c r="AK170" s="557"/>
      <c r="AL170" s="557"/>
      <c r="AM170" s="557"/>
      <c r="AN170" s="557"/>
      <c r="AO170" s="557"/>
      <c r="AP170" s="557"/>
      <c r="AQ170" s="557"/>
      <c r="AR170" s="557"/>
      <c r="AS170" s="557"/>
      <c r="AT170" s="557"/>
      <c r="AU170" s="557"/>
      <c r="AV170" s="557"/>
      <c r="AW170" s="557"/>
      <c r="AX170" s="557"/>
      <c r="AY170" s="557"/>
      <c r="AZ170" s="557"/>
      <c r="BA170" s="557"/>
      <c r="BB170" s="557"/>
      <c r="BC170" s="557"/>
      <c r="BD170" s="553"/>
      <c r="BE170" s="596"/>
      <c r="BF170" s="596"/>
      <c r="BG170" s="596"/>
      <c r="BH170" s="596"/>
      <c r="BI170" s="596"/>
      <c r="BJ170" s="596"/>
      <c r="BK170" s="596"/>
      <c r="BL170" s="596"/>
      <c r="BM170" s="596"/>
      <c r="BN170" s="596"/>
      <c r="BO170" s="596"/>
      <c r="BP170" s="596"/>
      <c r="BQ170" s="596"/>
      <c r="BR170" s="596"/>
      <c r="BS170" s="596"/>
      <c r="BT170" s="596"/>
    </row>
    <row r="171" spans="1:72" ht="15">
      <c r="A171" s="539"/>
      <c r="B171" s="539"/>
      <c r="C171" s="539"/>
      <c r="D171" s="539"/>
      <c r="E171" s="539"/>
      <c r="F171" s="539"/>
      <c r="G171" s="539"/>
      <c r="H171" s="539"/>
      <c r="I171" s="539"/>
      <c r="J171" s="539"/>
      <c r="K171" s="539"/>
      <c r="L171" s="539"/>
      <c r="M171" s="539"/>
      <c r="N171" s="539"/>
      <c r="O171" s="539"/>
      <c r="P171" s="539"/>
      <c r="Q171" s="539"/>
      <c r="R171" s="539"/>
      <c r="S171" s="557"/>
      <c r="T171" s="557"/>
      <c r="U171" s="557"/>
      <c r="V171" s="557"/>
      <c r="W171" s="539"/>
      <c r="X171" s="539"/>
      <c r="Y171" s="557"/>
      <c r="Z171" s="557"/>
      <c r="AA171" s="539"/>
      <c r="AB171" s="539"/>
      <c r="AC171" s="539"/>
      <c r="AD171" s="557"/>
      <c r="AE171" s="557"/>
      <c r="AF171" s="557"/>
      <c r="AG171" s="557"/>
      <c r="AH171" s="557"/>
      <c r="AI171" s="557"/>
      <c r="AJ171" s="557"/>
      <c r="AK171" s="557"/>
      <c r="AL171" s="557"/>
      <c r="AM171" s="557"/>
      <c r="AN171" s="557"/>
      <c r="AO171" s="557"/>
      <c r="AP171" s="557"/>
      <c r="AQ171" s="557"/>
      <c r="AR171" s="557"/>
      <c r="AS171" s="557"/>
      <c r="AT171" s="557"/>
      <c r="AU171" s="557"/>
      <c r="AV171" s="557"/>
      <c r="AW171" s="557"/>
      <c r="AX171" s="557"/>
      <c r="AY171" s="557"/>
      <c r="AZ171" s="557"/>
      <c r="BA171" s="557"/>
      <c r="BB171" s="557"/>
      <c r="BC171" s="557"/>
      <c r="BD171" s="553"/>
      <c r="BE171" s="596"/>
      <c r="BF171" s="596"/>
      <c r="BG171" s="596"/>
      <c r="BH171" s="596"/>
      <c r="BI171" s="596"/>
      <c r="BJ171" s="596"/>
      <c r="BK171" s="596"/>
      <c r="BL171" s="596"/>
      <c r="BM171" s="596"/>
      <c r="BN171" s="596"/>
      <c r="BO171" s="596"/>
      <c r="BP171" s="596"/>
      <c r="BQ171" s="596"/>
      <c r="BR171" s="596"/>
      <c r="BS171" s="596"/>
      <c r="BT171" s="596"/>
    </row>
    <row r="172" spans="1:72" ht="15">
      <c r="A172" s="539"/>
      <c r="B172" s="539"/>
      <c r="C172" s="539"/>
      <c r="D172" s="539"/>
      <c r="E172" s="539"/>
      <c r="F172" s="539"/>
      <c r="G172" s="539"/>
      <c r="H172" s="539"/>
      <c r="I172" s="539"/>
      <c r="J172" s="539"/>
      <c r="K172" s="539"/>
      <c r="L172" s="539"/>
      <c r="M172" s="539"/>
      <c r="N172" s="539"/>
      <c r="O172" s="539"/>
      <c r="P172" s="539"/>
      <c r="Q172" s="539"/>
      <c r="R172" s="539"/>
      <c r="S172" s="557"/>
      <c r="T172" s="557"/>
      <c r="U172" s="557"/>
      <c r="V172" s="557"/>
      <c r="W172" s="539"/>
      <c r="X172" s="539"/>
      <c r="Y172" s="557"/>
      <c r="Z172" s="557"/>
      <c r="AA172" s="539"/>
      <c r="AB172" s="539"/>
      <c r="AC172" s="539"/>
      <c r="AD172" s="557"/>
      <c r="AE172" s="557"/>
      <c r="AF172" s="557"/>
      <c r="AG172" s="557"/>
      <c r="AH172" s="557"/>
      <c r="AI172" s="557"/>
      <c r="AJ172" s="557"/>
      <c r="AK172" s="557"/>
      <c r="AL172" s="557"/>
      <c r="AM172" s="557"/>
      <c r="AN172" s="557"/>
      <c r="AO172" s="557"/>
      <c r="AP172" s="557"/>
      <c r="AQ172" s="557"/>
      <c r="AR172" s="557"/>
      <c r="AS172" s="557"/>
      <c r="AT172" s="557"/>
      <c r="AU172" s="557"/>
      <c r="AV172" s="557"/>
      <c r="AW172" s="557"/>
      <c r="AX172" s="557"/>
      <c r="AY172" s="557"/>
      <c r="AZ172" s="557"/>
      <c r="BA172" s="557"/>
      <c r="BB172" s="557"/>
      <c r="BC172" s="557"/>
      <c r="BD172" s="553"/>
      <c r="BE172" s="596"/>
      <c r="BF172" s="596"/>
      <c r="BG172" s="596"/>
      <c r="BH172" s="596"/>
      <c r="BI172" s="596"/>
      <c r="BJ172" s="596"/>
      <c r="BK172" s="596"/>
      <c r="BL172" s="596"/>
      <c r="BM172" s="596"/>
      <c r="BN172" s="596"/>
      <c r="BO172" s="596"/>
      <c r="BP172" s="596"/>
      <c r="BQ172" s="596"/>
      <c r="BR172" s="596"/>
      <c r="BS172" s="596"/>
      <c r="BT172" s="596"/>
    </row>
    <row r="173" spans="1:72" ht="15">
      <c r="A173" s="539"/>
      <c r="B173" s="539"/>
      <c r="C173" s="539"/>
      <c r="D173" s="539"/>
      <c r="E173" s="539"/>
      <c r="F173" s="539"/>
      <c r="G173" s="539"/>
      <c r="H173" s="539"/>
      <c r="I173" s="539"/>
      <c r="J173" s="539"/>
      <c r="K173" s="539"/>
      <c r="L173" s="539"/>
      <c r="M173" s="539"/>
      <c r="N173" s="539"/>
      <c r="O173" s="539"/>
      <c r="P173" s="539"/>
      <c r="Q173" s="539"/>
      <c r="R173" s="539"/>
      <c r="S173" s="557"/>
      <c r="T173" s="557"/>
      <c r="U173" s="557"/>
      <c r="V173" s="557"/>
      <c r="W173" s="539"/>
      <c r="X173" s="539"/>
      <c r="Y173" s="557"/>
      <c r="Z173" s="557"/>
      <c r="AA173" s="539"/>
      <c r="AB173" s="539"/>
      <c r="AC173" s="539"/>
      <c r="AD173" s="557"/>
      <c r="AE173" s="557"/>
      <c r="AF173" s="557"/>
      <c r="AG173" s="557"/>
      <c r="AH173" s="557"/>
      <c r="AI173" s="557"/>
      <c r="AJ173" s="557"/>
      <c r="AK173" s="557"/>
      <c r="AL173" s="557"/>
      <c r="AM173" s="557"/>
      <c r="AN173" s="557"/>
      <c r="AO173" s="557"/>
      <c r="AP173" s="557"/>
      <c r="AQ173" s="557"/>
      <c r="AR173" s="557"/>
      <c r="AS173" s="557"/>
      <c r="AT173" s="557"/>
      <c r="AU173" s="557"/>
      <c r="AV173" s="557"/>
      <c r="AW173" s="557"/>
      <c r="AX173" s="557"/>
      <c r="AY173" s="557"/>
      <c r="AZ173" s="557"/>
      <c r="BA173" s="557"/>
      <c r="BB173" s="557"/>
      <c r="BC173" s="557"/>
      <c r="BD173" s="553"/>
      <c r="BE173" s="596"/>
      <c r="BF173" s="596"/>
      <c r="BG173" s="596"/>
      <c r="BH173" s="596"/>
      <c r="BI173" s="596"/>
      <c r="BJ173" s="596"/>
      <c r="BK173" s="596"/>
      <c r="BL173" s="596"/>
      <c r="BM173" s="596"/>
      <c r="BN173" s="596"/>
      <c r="BO173" s="596"/>
      <c r="BP173" s="596"/>
      <c r="BQ173" s="596"/>
      <c r="BR173" s="596"/>
      <c r="BS173" s="596"/>
      <c r="BT173" s="596"/>
    </row>
    <row r="174" spans="1:72" ht="15">
      <c r="A174" s="539"/>
      <c r="B174" s="539"/>
      <c r="C174" s="539"/>
      <c r="D174" s="539"/>
      <c r="E174" s="539"/>
      <c r="F174" s="539"/>
      <c r="G174" s="539"/>
      <c r="H174" s="539"/>
      <c r="I174" s="539"/>
      <c r="J174" s="539"/>
      <c r="K174" s="539"/>
      <c r="L174" s="539"/>
      <c r="M174" s="539"/>
      <c r="N174" s="539"/>
      <c r="O174" s="539"/>
      <c r="P174" s="539"/>
      <c r="Q174" s="539"/>
      <c r="R174" s="539"/>
      <c r="S174" s="557"/>
      <c r="T174" s="557"/>
      <c r="U174" s="557"/>
      <c r="V174" s="557"/>
      <c r="W174" s="539"/>
      <c r="X174" s="539"/>
      <c r="Y174" s="557"/>
      <c r="Z174" s="557"/>
      <c r="AA174" s="539"/>
      <c r="AB174" s="539"/>
      <c r="AC174" s="539"/>
      <c r="AD174" s="557"/>
      <c r="AE174" s="557"/>
      <c r="AF174" s="557"/>
      <c r="AG174" s="557"/>
      <c r="AH174" s="557"/>
      <c r="AI174" s="557"/>
      <c r="AJ174" s="557"/>
      <c r="AK174" s="557"/>
      <c r="AL174" s="557"/>
      <c r="AM174" s="557"/>
      <c r="AN174" s="557"/>
      <c r="AO174" s="557"/>
      <c r="AP174" s="557"/>
      <c r="AQ174" s="557"/>
      <c r="AR174" s="557"/>
      <c r="AS174" s="557"/>
      <c r="AT174" s="557"/>
      <c r="AU174" s="557"/>
      <c r="AV174" s="557"/>
      <c r="AW174" s="557"/>
      <c r="AX174" s="557"/>
      <c r="AY174" s="557"/>
      <c r="AZ174" s="557"/>
      <c r="BA174" s="557"/>
      <c r="BB174" s="557"/>
      <c r="BC174" s="557"/>
      <c r="BD174" s="553"/>
      <c r="BE174" s="596"/>
      <c r="BF174" s="596"/>
      <c r="BG174" s="596"/>
      <c r="BH174" s="596"/>
      <c r="BI174" s="596"/>
      <c r="BJ174" s="596"/>
      <c r="BK174" s="596"/>
      <c r="BL174" s="596"/>
      <c r="BM174" s="596"/>
      <c r="BN174" s="596"/>
      <c r="BO174" s="596"/>
      <c r="BP174" s="596"/>
      <c r="BQ174" s="596"/>
      <c r="BR174" s="596"/>
      <c r="BS174" s="596"/>
      <c r="BT174" s="596"/>
    </row>
    <row r="175" spans="1:72" ht="15">
      <c r="A175" s="539"/>
      <c r="B175" s="539"/>
      <c r="C175" s="539"/>
      <c r="D175" s="539"/>
      <c r="E175" s="539"/>
      <c r="F175" s="539"/>
      <c r="G175" s="539"/>
      <c r="H175" s="539"/>
      <c r="I175" s="539"/>
      <c r="J175" s="539"/>
      <c r="K175" s="539"/>
      <c r="L175" s="539"/>
      <c r="M175" s="539"/>
      <c r="N175" s="539"/>
      <c r="O175" s="539"/>
      <c r="P175" s="539"/>
      <c r="Q175" s="539"/>
      <c r="R175" s="539"/>
      <c r="S175" s="557"/>
      <c r="T175" s="557"/>
      <c r="U175" s="557"/>
      <c r="V175" s="557"/>
      <c r="W175" s="539"/>
      <c r="X175" s="539"/>
      <c r="Y175" s="557"/>
      <c r="Z175" s="557"/>
      <c r="AA175" s="539"/>
      <c r="AB175" s="539"/>
      <c r="AC175" s="539"/>
      <c r="AD175" s="557"/>
      <c r="AE175" s="557"/>
      <c r="AF175" s="557"/>
      <c r="AG175" s="557"/>
      <c r="AH175" s="557"/>
      <c r="AI175" s="557"/>
      <c r="AJ175" s="557"/>
      <c r="AK175" s="557"/>
      <c r="AL175" s="557"/>
      <c r="AM175" s="557"/>
      <c r="AN175" s="557"/>
      <c r="AO175" s="557"/>
      <c r="AP175" s="557"/>
      <c r="AQ175" s="557"/>
      <c r="AR175" s="557"/>
      <c r="AS175" s="557"/>
      <c r="AT175" s="557"/>
      <c r="AU175" s="557"/>
      <c r="AV175" s="557"/>
      <c r="AW175" s="557"/>
      <c r="AX175" s="557"/>
      <c r="AY175" s="557"/>
      <c r="AZ175" s="557"/>
      <c r="BA175" s="557"/>
      <c r="BB175" s="557"/>
      <c r="BC175" s="557"/>
      <c r="BD175" s="553"/>
      <c r="BE175" s="596"/>
      <c r="BF175" s="596"/>
      <c r="BG175" s="596"/>
      <c r="BH175" s="596"/>
      <c r="BI175" s="596"/>
      <c r="BJ175" s="596"/>
      <c r="BK175" s="596"/>
      <c r="BL175" s="596"/>
      <c r="BM175" s="596"/>
      <c r="BN175" s="596"/>
      <c r="BO175" s="596"/>
      <c r="BP175" s="596"/>
      <c r="BQ175" s="596"/>
      <c r="BR175" s="596"/>
      <c r="BS175" s="596"/>
      <c r="BT175" s="596"/>
    </row>
    <row r="176" spans="1:72" ht="15">
      <c r="A176" s="539"/>
      <c r="B176" s="539"/>
      <c r="C176" s="539"/>
      <c r="D176" s="539"/>
      <c r="E176" s="539"/>
      <c r="F176" s="539"/>
      <c r="G176" s="539"/>
      <c r="H176" s="539"/>
      <c r="I176" s="539"/>
      <c r="J176" s="539"/>
      <c r="K176" s="539"/>
      <c r="L176" s="539"/>
      <c r="M176" s="539"/>
      <c r="N176" s="539"/>
      <c r="O176" s="539"/>
      <c r="P176" s="539"/>
      <c r="Q176" s="539"/>
      <c r="R176" s="539"/>
      <c r="S176" s="557"/>
      <c r="T176" s="557"/>
      <c r="U176" s="557"/>
      <c r="V176" s="557"/>
      <c r="W176" s="539"/>
      <c r="X176" s="539"/>
      <c r="Y176" s="557"/>
      <c r="Z176" s="557"/>
      <c r="AA176" s="539"/>
      <c r="AB176" s="539"/>
      <c r="AC176" s="539"/>
      <c r="AD176" s="557"/>
      <c r="AE176" s="557"/>
      <c r="AF176" s="557"/>
      <c r="AG176" s="557"/>
      <c r="AH176" s="557"/>
      <c r="AI176" s="557"/>
      <c r="AJ176" s="557"/>
      <c r="AK176" s="557"/>
      <c r="AL176" s="557"/>
      <c r="AM176" s="557"/>
      <c r="AN176" s="557"/>
      <c r="AO176" s="557"/>
      <c r="AP176" s="557"/>
      <c r="AQ176" s="557"/>
      <c r="AR176" s="557"/>
      <c r="AS176" s="557"/>
      <c r="AT176" s="557"/>
      <c r="AU176" s="557"/>
      <c r="AV176" s="557"/>
      <c r="AW176" s="557"/>
      <c r="AX176" s="557"/>
      <c r="AY176" s="557"/>
      <c r="AZ176" s="557"/>
      <c r="BA176" s="557"/>
      <c r="BB176" s="557"/>
      <c r="BC176" s="557"/>
      <c r="BD176" s="553"/>
      <c r="BE176" s="596"/>
      <c r="BF176" s="596"/>
      <c r="BG176" s="596"/>
      <c r="BH176" s="596"/>
      <c r="BI176" s="596"/>
      <c r="BJ176" s="596"/>
      <c r="BK176" s="596"/>
      <c r="BL176" s="596"/>
      <c r="BM176" s="596"/>
      <c r="BN176" s="596"/>
      <c r="BO176" s="596"/>
      <c r="BP176" s="596"/>
      <c r="BQ176" s="596"/>
      <c r="BR176" s="596"/>
      <c r="BS176" s="596"/>
      <c r="BT176" s="596"/>
    </row>
    <row r="177" spans="1:72" ht="15">
      <c r="A177" s="539"/>
      <c r="B177" s="539"/>
      <c r="C177" s="539"/>
      <c r="D177" s="539"/>
      <c r="E177" s="539"/>
      <c r="F177" s="539"/>
      <c r="G177" s="539"/>
      <c r="H177" s="539"/>
      <c r="I177" s="539"/>
      <c r="J177" s="539"/>
      <c r="K177" s="539"/>
      <c r="L177" s="539"/>
      <c r="M177" s="539"/>
      <c r="N177" s="539"/>
      <c r="O177" s="539"/>
      <c r="P177" s="539"/>
      <c r="Q177" s="539"/>
      <c r="R177" s="539"/>
      <c r="S177" s="557"/>
      <c r="T177" s="557"/>
      <c r="U177" s="557"/>
      <c r="V177" s="557"/>
      <c r="W177" s="539"/>
      <c r="X177" s="539"/>
      <c r="Y177" s="557"/>
      <c r="Z177" s="557"/>
      <c r="AA177" s="539"/>
      <c r="AB177" s="539"/>
      <c r="AC177" s="539"/>
      <c r="AD177" s="557"/>
      <c r="AE177" s="557"/>
      <c r="AF177" s="557"/>
      <c r="AG177" s="557"/>
      <c r="AH177" s="557"/>
      <c r="AI177" s="557"/>
      <c r="AJ177" s="557"/>
      <c r="AK177" s="557"/>
      <c r="AL177" s="557"/>
      <c r="AM177" s="557"/>
      <c r="AN177" s="557"/>
      <c r="AO177" s="557"/>
      <c r="AP177" s="557"/>
      <c r="AQ177" s="557"/>
      <c r="AR177" s="557"/>
      <c r="AS177" s="557"/>
      <c r="AT177" s="557"/>
      <c r="AU177" s="557"/>
      <c r="AV177" s="557"/>
      <c r="AW177" s="557"/>
      <c r="AX177" s="557"/>
      <c r="AY177" s="557"/>
      <c r="AZ177" s="557"/>
      <c r="BA177" s="557"/>
      <c r="BB177" s="557"/>
      <c r="BC177" s="557"/>
      <c r="BD177" s="553"/>
      <c r="BE177" s="596"/>
      <c r="BF177" s="596"/>
      <c r="BG177" s="596"/>
      <c r="BH177" s="596"/>
      <c r="BI177" s="596"/>
      <c r="BJ177" s="596"/>
      <c r="BK177" s="596"/>
      <c r="BL177" s="596"/>
      <c r="BM177" s="596"/>
      <c r="BN177" s="596"/>
      <c r="BO177" s="596"/>
      <c r="BP177" s="596"/>
      <c r="BQ177" s="596"/>
      <c r="BR177" s="596"/>
      <c r="BS177" s="596"/>
      <c r="BT177" s="596"/>
    </row>
    <row r="178" spans="1:72" ht="15">
      <c r="A178" s="539"/>
      <c r="B178" s="539"/>
      <c r="C178" s="539"/>
      <c r="D178" s="539"/>
      <c r="E178" s="539"/>
      <c r="F178" s="539"/>
      <c r="G178" s="539"/>
      <c r="H178" s="539"/>
      <c r="I178" s="539"/>
      <c r="J178" s="539"/>
      <c r="K178" s="539"/>
      <c r="L178" s="539"/>
      <c r="M178" s="539"/>
      <c r="N178" s="539"/>
      <c r="O178" s="539"/>
      <c r="P178" s="539"/>
      <c r="Q178" s="539"/>
      <c r="R178" s="539"/>
      <c r="S178" s="557"/>
      <c r="T178" s="557"/>
      <c r="U178" s="557"/>
      <c r="V178" s="557"/>
      <c r="W178" s="539"/>
      <c r="X178" s="539"/>
      <c r="Y178" s="557"/>
      <c r="Z178" s="557"/>
      <c r="AA178" s="539"/>
      <c r="AB178" s="539"/>
      <c r="AC178" s="539"/>
      <c r="AD178" s="557"/>
      <c r="AE178" s="557"/>
      <c r="AF178" s="557"/>
      <c r="AG178" s="557"/>
      <c r="AH178" s="557"/>
      <c r="AI178" s="557"/>
      <c r="AJ178" s="557"/>
      <c r="AK178" s="557"/>
      <c r="AL178" s="557"/>
      <c r="AM178" s="557"/>
      <c r="AN178" s="557"/>
      <c r="AO178" s="557"/>
      <c r="AP178" s="557"/>
      <c r="AQ178" s="557"/>
      <c r="AR178" s="557"/>
      <c r="AS178" s="557"/>
      <c r="AT178" s="557"/>
      <c r="AU178" s="557"/>
      <c r="AV178" s="557"/>
      <c r="AW178" s="557"/>
      <c r="AX178" s="557"/>
      <c r="AY178" s="557"/>
      <c r="AZ178" s="557"/>
      <c r="BA178" s="557"/>
      <c r="BB178" s="557"/>
      <c r="BC178" s="557"/>
      <c r="BD178" s="553"/>
      <c r="BE178" s="596"/>
      <c r="BF178" s="596"/>
      <c r="BG178" s="596"/>
      <c r="BH178" s="596"/>
      <c r="BI178" s="596"/>
      <c r="BJ178" s="596"/>
      <c r="BK178" s="596"/>
      <c r="BL178" s="596"/>
      <c r="BM178" s="596"/>
      <c r="BN178" s="596"/>
      <c r="BO178" s="596"/>
      <c r="BP178" s="596"/>
      <c r="BQ178" s="596"/>
      <c r="BR178" s="596"/>
      <c r="BS178" s="596"/>
      <c r="BT178" s="596"/>
    </row>
    <row r="179" spans="1:72" ht="15">
      <c r="A179" s="539"/>
      <c r="B179" s="539"/>
      <c r="C179" s="539"/>
      <c r="D179" s="539"/>
      <c r="E179" s="539"/>
      <c r="F179" s="539"/>
      <c r="G179" s="539"/>
      <c r="H179" s="539"/>
      <c r="I179" s="539"/>
      <c r="J179" s="539"/>
      <c r="K179" s="539"/>
      <c r="L179" s="539"/>
      <c r="M179" s="539"/>
      <c r="N179" s="539"/>
      <c r="O179" s="539"/>
      <c r="P179" s="539"/>
      <c r="Q179" s="539"/>
      <c r="R179" s="539"/>
      <c r="S179" s="557"/>
      <c r="T179" s="557"/>
      <c r="U179" s="557"/>
      <c r="V179" s="557"/>
      <c r="W179" s="539"/>
      <c r="X179" s="539"/>
      <c r="Y179" s="557"/>
      <c r="Z179" s="557"/>
      <c r="AA179" s="539"/>
      <c r="AB179" s="539"/>
      <c r="AC179" s="539"/>
      <c r="AD179" s="557"/>
      <c r="AE179" s="557"/>
      <c r="AF179" s="557"/>
      <c r="AG179" s="557"/>
      <c r="AH179" s="557"/>
      <c r="AI179" s="557"/>
      <c r="AJ179" s="557"/>
      <c r="AK179" s="557"/>
      <c r="AL179" s="557"/>
      <c r="AM179" s="557"/>
      <c r="AN179" s="557"/>
      <c r="AO179" s="557"/>
      <c r="AP179" s="557"/>
      <c r="AQ179" s="557"/>
      <c r="AR179" s="557"/>
      <c r="AS179" s="557"/>
      <c r="AT179" s="557"/>
      <c r="AU179" s="557"/>
      <c r="AV179" s="557"/>
      <c r="AW179" s="557"/>
      <c r="AX179" s="557"/>
      <c r="AY179" s="557"/>
      <c r="AZ179" s="557"/>
      <c r="BA179" s="557"/>
      <c r="BB179" s="557"/>
      <c r="BC179" s="557"/>
      <c r="BD179" s="553"/>
      <c r="BE179" s="596"/>
      <c r="BF179" s="596"/>
      <c r="BG179" s="596"/>
      <c r="BH179" s="596"/>
      <c r="BI179" s="596"/>
      <c r="BJ179" s="596"/>
      <c r="BK179" s="596"/>
      <c r="BL179" s="596"/>
      <c r="BM179" s="596"/>
      <c r="BN179" s="596"/>
      <c r="BO179" s="596"/>
      <c r="BP179" s="596"/>
      <c r="BQ179" s="596"/>
      <c r="BR179" s="596"/>
      <c r="BS179" s="596"/>
      <c r="BT179" s="596"/>
    </row>
    <row r="180" spans="1:72" ht="15">
      <c r="A180" s="539"/>
      <c r="B180" s="539"/>
      <c r="C180" s="539"/>
      <c r="D180" s="539"/>
      <c r="E180" s="539"/>
      <c r="F180" s="539"/>
      <c r="G180" s="539"/>
      <c r="H180" s="539"/>
      <c r="I180" s="539"/>
      <c r="J180" s="539"/>
      <c r="K180" s="539"/>
      <c r="L180" s="539"/>
      <c r="M180" s="539"/>
      <c r="N180" s="539"/>
      <c r="O180" s="539"/>
      <c r="P180" s="539"/>
      <c r="Q180" s="539"/>
      <c r="R180" s="539"/>
      <c r="S180" s="557"/>
      <c r="T180" s="557"/>
      <c r="U180" s="557"/>
      <c r="V180" s="557"/>
      <c r="W180" s="539"/>
      <c r="X180" s="539"/>
      <c r="Y180" s="557"/>
      <c r="Z180" s="557"/>
      <c r="AA180" s="539"/>
      <c r="AB180" s="539"/>
      <c r="AC180" s="539"/>
      <c r="AD180" s="557"/>
      <c r="AE180" s="557"/>
      <c r="AF180" s="557"/>
      <c r="AG180" s="557"/>
      <c r="AH180" s="557"/>
      <c r="AI180" s="557"/>
      <c r="AJ180" s="557"/>
      <c r="AK180" s="557"/>
      <c r="AL180" s="557"/>
      <c r="AM180" s="557"/>
      <c r="AN180" s="557"/>
      <c r="AO180" s="557"/>
      <c r="AP180" s="557"/>
      <c r="AQ180" s="557"/>
      <c r="AR180" s="557"/>
      <c r="AS180" s="557"/>
      <c r="AT180" s="557"/>
      <c r="AU180" s="557"/>
      <c r="AV180" s="557"/>
      <c r="AW180" s="557"/>
      <c r="AX180" s="557"/>
      <c r="AY180" s="557"/>
      <c r="AZ180" s="557"/>
      <c r="BA180" s="557"/>
      <c r="BB180" s="557"/>
      <c r="BC180" s="557"/>
      <c r="BD180" s="553"/>
      <c r="BE180" s="596"/>
      <c r="BF180" s="596"/>
      <c r="BG180" s="596"/>
      <c r="BH180" s="596"/>
      <c r="BI180" s="596"/>
      <c r="BJ180" s="596"/>
      <c r="BK180" s="596"/>
      <c r="BL180" s="596"/>
      <c r="BM180" s="596"/>
      <c r="BN180" s="596"/>
      <c r="BO180" s="596"/>
      <c r="BP180" s="596"/>
      <c r="BQ180" s="596"/>
      <c r="BR180" s="596"/>
      <c r="BS180" s="596"/>
      <c r="BT180" s="596"/>
    </row>
    <row r="181" spans="1:72" ht="15">
      <c r="A181" s="539"/>
      <c r="B181" s="539"/>
      <c r="C181" s="539"/>
      <c r="D181" s="539"/>
      <c r="E181" s="539"/>
      <c r="F181" s="539"/>
      <c r="G181" s="539"/>
      <c r="H181" s="539"/>
      <c r="I181" s="539"/>
      <c r="J181" s="539"/>
      <c r="K181" s="539"/>
      <c r="L181" s="539"/>
      <c r="M181" s="539"/>
      <c r="N181" s="539"/>
      <c r="O181" s="539"/>
      <c r="P181" s="539"/>
      <c r="Q181" s="539"/>
      <c r="R181" s="539"/>
      <c r="S181" s="557"/>
      <c r="T181" s="557"/>
      <c r="U181" s="557"/>
      <c r="V181" s="557"/>
      <c r="W181" s="539"/>
      <c r="X181" s="539"/>
      <c r="Y181" s="557"/>
      <c r="Z181" s="557"/>
      <c r="AA181" s="539"/>
      <c r="AB181" s="539"/>
      <c r="AC181" s="539"/>
      <c r="AD181" s="557"/>
      <c r="AE181" s="557"/>
      <c r="AF181" s="557"/>
      <c r="AG181" s="557"/>
      <c r="AH181" s="557"/>
      <c r="AI181" s="557"/>
      <c r="AJ181" s="557"/>
      <c r="AK181" s="557"/>
      <c r="AL181" s="557"/>
      <c r="AM181" s="557"/>
      <c r="AN181" s="557"/>
      <c r="AO181" s="557"/>
      <c r="AP181" s="557"/>
      <c r="AQ181" s="557"/>
      <c r="AR181" s="557"/>
      <c r="AS181" s="557"/>
      <c r="AT181" s="557"/>
      <c r="AU181" s="557"/>
      <c r="AV181" s="557"/>
      <c r="AW181" s="557"/>
      <c r="AX181" s="557"/>
      <c r="AY181" s="557"/>
      <c r="AZ181" s="557"/>
      <c r="BA181" s="557"/>
      <c r="BB181" s="557"/>
      <c r="BC181" s="557"/>
      <c r="BD181" s="553"/>
      <c r="BE181" s="596"/>
      <c r="BF181" s="596"/>
      <c r="BG181" s="596"/>
      <c r="BH181" s="596"/>
      <c r="BI181" s="596"/>
      <c r="BJ181" s="596"/>
      <c r="BK181" s="596"/>
      <c r="BL181" s="596"/>
      <c r="BM181" s="596"/>
      <c r="BN181" s="596"/>
      <c r="BO181" s="596"/>
      <c r="BP181" s="596"/>
      <c r="BQ181" s="596"/>
      <c r="BR181" s="596"/>
      <c r="BS181" s="596"/>
      <c r="BT181" s="596"/>
    </row>
    <row r="182" spans="1:72" ht="15">
      <c r="A182" s="539"/>
      <c r="B182" s="539"/>
      <c r="C182" s="539"/>
      <c r="D182" s="539"/>
      <c r="E182" s="539"/>
      <c r="F182" s="539"/>
      <c r="G182" s="539"/>
      <c r="H182" s="539"/>
      <c r="I182" s="539"/>
      <c r="J182" s="539"/>
      <c r="K182" s="539"/>
      <c r="L182" s="539"/>
      <c r="M182" s="539"/>
      <c r="N182" s="539"/>
      <c r="O182" s="539"/>
      <c r="P182" s="539"/>
      <c r="Q182" s="539"/>
      <c r="R182" s="539"/>
      <c r="S182" s="557"/>
      <c r="T182" s="557"/>
      <c r="U182" s="557"/>
      <c r="V182" s="557"/>
      <c r="W182" s="539"/>
      <c r="X182" s="539"/>
      <c r="Y182" s="557"/>
      <c r="Z182" s="557"/>
      <c r="AA182" s="539"/>
      <c r="AB182" s="539"/>
      <c r="AC182" s="539"/>
      <c r="AD182" s="557"/>
      <c r="AE182" s="557"/>
      <c r="AF182" s="557"/>
      <c r="AG182" s="557"/>
      <c r="AH182" s="557"/>
      <c r="AI182" s="557"/>
      <c r="AJ182" s="557"/>
      <c r="AK182" s="557"/>
      <c r="AL182" s="557"/>
      <c r="AM182" s="557"/>
      <c r="AN182" s="557"/>
      <c r="AO182" s="557"/>
      <c r="AP182" s="557"/>
      <c r="AQ182" s="557"/>
      <c r="AR182" s="557"/>
      <c r="AS182" s="557"/>
      <c r="AT182" s="557"/>
      <c r="AU182" s="557"/>
      <c r="AV182" s="557"/>
      <c r="AW182" s="557"/>
      <c r="AX182" s="557"/>
      <c r="AY182" s="557"/>
      <c r="AZ182" s="557"/>
      <c r="BA182" s="557"/>
      <c r="BB182" s="557"/>
      <c r="BC182" s="557"/>
      <c r="BD182" s="553"/>
      <c r="BE182" s="596"/>
      <c r="BF182" s="596"/>
      <c r="BG182" s="596"/>
      <c r="BH182" s="596"/>
      <c r="BI182" s="596"/>
      <c r="BJ182" s="596"/>
      <c r="BK182" s="596"/>
      <c r="BL182" s="596"/>
      <c r="BM182" s="596"/>
      <c r="BN182" s="596"/>
      <c r="BO182" s="596"/>
      <c r="BP182" s="596"/>
      <c r="BQ182" s="596"/>
      <c r="BR182" s="596"/>
      <c r="BS182" s="596"/>
      <c r="BT182" s="596"/>
    </row>
    <row r="183" spans="1:72" ht="15">
      <c r="A183" s="539"/>
      <c r="B183" s="539"/>
      <c r="C183" s="539"/>
      <c r="D183" s="539"/>
      <c r="E183" s="539"/>
      <c r="F183" s="539"/>
      <c r="G183" s="539"/>
      <c r="H183" s="539"/>
      <c r="I183" s="539"/>
      <c r="J183" s="539"/>
      <c r="K183" s="539"/>
      <c r="L183" s="539"/>
      <c r="M183" s="539"/>
      <c r="N183" s="539"/>
      <c r="O183" s="539"/>
      <c r="P183" s="539"/>
      <c r="Q183" s="539"/>
      <c r="R183" s="539"/>
      <c r="S183" s="557"/>
      <c r="T183" s="557"/>
      <c r="U183" s="557"/>
      <c r="V183" s="557"/>
      <c r="W183" s="539"/>
      <c r="X183" s="539"/>
      <c r="Y183" s="557"/>
      <c r="Z183" s="557"/>
      <c r="AA183" s="539"/>
      <c r="AB183" s="539"/>
      <c r="AC183" s="539"/>
      <c r="AD183" s="557"/>
      <c r="AE183" s="557"/>
      <c r="AF183" s="557"/>
      <c r="AG183" s="557"/>
      <c r="AH183" s="557"/>
      <c r="AI183" s="557"/>
      <c r="AJ183" s="557"/>
      <c r="AK183" s="557"/>
      <c r="AL183" s="557"/>
      <c r="AM183" s="557"/>
      <c r="AN183" s="557"/>
      <c r="AO183" s="557"/>
      <c r="AP183" s="557"/>
      <c r="AQ183" s="557"/>
      <c r="AR183" s="557"/>
      <c r="AS183" s="557"/>
      <c r="AT183" s="557"/>
      <c r="AU183" s="557"/>
      <c r="AV183" s="557"/>
      <c r="AW183" s="557"/>
      <c r="AX183" s="557"/>
      <c r="AY183" s="557"/>
      <c r="AZ183" s="557"/>
      <c r="BA183" s="557"/>
      <c r="BB183" s="557"/>
      <c r="BC183" s="557"/>
      <c r="BD183" s="553"/>
      <c r="BE183" s="596"/>
      <c r="BF183" s="596"/>
      <c r="BG183" s="596"/>
      <c r="BH183" s="596"/>
      <c r="BI183" s="596"/>
      <c r="BJ183" s="596"/>
      <c r="BK183" s="596"/>
      <c r="BL183" s="596"/>
      <c r="BM183" s="596"/>
      <c r="BN183" s="596"/>
      <c r="BO183" s="596"/>
      <c r="BP183" s="596"/>
      <c r="BQ183" s="596"/>
      <c r="BR183" s="596"/>
      <c r="BS183" s="596"/>
      <c r="BT183" s="596"/>
    </row>
    <row r="184" spans="1:72" ht="15">
      <c r="A184" s="539"/>
      <c r="B184" s="539"/>
      <c r="C184" s="539"/>
      <c r="D184" s="539"/>
      <c r="E184" s="539"/>
      <c r="F184" s="539"/>
      <c r="G184" s="539"/>
      <c r="H184" s="539"/>
      <c r="I184" s="539"/>
      <c r="J184" s="539"/>
      <c r="K184" s="539"/>
      <c r="L184" s="539"/>
      <c r="M184" s="539"/>
      <c r="N184" s="539"/>
      <c r="O184" s="539"/>
      <c r="P184" s="539"/>
      <c r="Q184" s="539"/>
      <c r="R184" s="539"/>
      <c r="S184" s="557"/>
      <c r="T184" s="557"/>
      <c r="U184" s="557"/>
      <c r="V184" s="557"/>
      <c r="W184" s="539"/>
      <c r="X184" s="539"/>
      <c r="Y184" s="557"/>
      <c r="Z184" s="557"/>
      <c r="AA184" s="539"/>
      <c r="AB184" s="539"/>
      <c r="AC184" s="539"/>
      <c r="AD184" s="557"/>
      <c r="AE184" s="557"/>
      <c r="AF184" s="557"/>
      <c r="AG184" s="557"/>
      <c r="AH184" s="557"/>
      <c r="AI184" s="557"/>
      <c r="AJ184" s="557"/>
      <c r="AK184" s="557"/>
      <c r="AL184" s="557"/>
      <c r="AM184" s="557"/>
      <c r="AN184" s="557"/>
      <c r="AO184" s="557"/>
      <c r="AP184" s="557"/>
      <c r="AQ184" s="557"/>
      <c r="AR184" s="557"/>
      <c r="AS184" s="557"/>
      <c r="AT184" s="557"/>
      <c r="AU184" s="557"/>
      <c r="AV184" s="557"/>
      <c r="AW184" s="557"/>
      <c r="AX184" s="557"/>
      <c r="AY184" s="557"/>
      <c r="AZ184" s="557"/>
      <c r="BA184" s="557"/>
      <c r="BB184" s="557"/>
      <c r="BC184" s="557"/>
      <c r="BD184" s="553"/>
      <c r="BE184" s="596"/>
      <c r="BF184" s="596"/>
      <c r="BG184" s="596"/>
      <c r="BH184" s="596"/>
      <c r="BI184" s="596"/>
      <c r="BJ184" s="596"/>
      <c r="BK184" s="596"/>
      <c r="BL184" s="596"/>
      <c r="BM184" s="596"/>
      <c r="BN184" s="596"/>
      <c r="BO184" s="596"/>
      <c r="BP184" s="596"/>
      <c r="BQ184" s="596"/>
      <c r="BR184" s="596"/>
      <c r="BS184" s="596"/>
      <c r="BT184" s="596"/>
    </row>
    <row r="185" spans="1:72" ht="15">
      <c r="A185" s="539"/>
      <c r="B185" s="539"/>
      <c r="C185" s="539"/>
      <c r="D185" s="539"/>
      <c r="E185" s="539"/>
      <c r="F185" s="539"/>
      <c r="G185" s="539"/>
      <c r="H185" s="539"/>
      <c r="I185" s="539"/>
      <c r="J185" s="539"/>
      <c r="K185" s="539"/>
      <c r="L185" s="539"/>
      <c r="M185" s="539"/>
      <c r="N185" s="539"/>
      <c r="O185" s="539"/>
      <c r="P185" s="539"/>
      <c r="Q185" s="539"/>
      <c r="R185" s="539"/>
      <c r="S185" s="557"/>
      <c r="T185" s="557"/>
      <c r="U185" s="557"/>
      <c r="V185" s="557"/>
      <c r="W185" s="539"/>
      <c r="X185" s="539"/>
      <c r="Y185" s="557"/>
      <c r="Z185" s="557"/>
      <c r="AA185" s="539"/>
      <c r="AB185" s="539"/>
      <c r="AC185" s="539"/>
      <c r="AD185" s="557"/>
      <c r="AE185" s="557"/>
      <c r="AF185" s="557"/>
      <c r="AG185" s="557"/>
      <c r="AH185" s="557"/>
      <c r="AI185" s="557"/>
      <c r="AJ185" s="557"/>
      <c r="AK185" s="557"/>
      <c r="AL185" s="557"/>
      <c r="AM185" s="557"/>
      <c r="AN185" s="557"/>
      <c r="AO185" s="557"/>
      <c r="AP185" s="557"/>
      <c r="AQ185" s="557"/>
      <c r="AR185" s="557"/>
      <c r="AS185" s="557"/>
      <c r="AT185" s="557"/>
      <c r="AU185" s="557"/>
      <c r="AV185" s="557"/>
      <c r="AW185" s="557"/>
      <c r="AX185" s="557"/>
      <c r="AY185" s="557"/>
      <c r="AZ185" s="557"/>
      <c r="BA185" s="557"/>
      <c r="BB185" s="557"/>
      <c r="BC185" s="557"/>
      <c r="BD185" s="553"/>
      <c r="BE185" s="596"/>
      <c r="BF185" s="596"/>
      <c r="BG185" s="596"/>
      <c r="BH185" s="596"/>
      <c r="BI185" s="596"/>
      <c r="BJ185" s="596"/>
      <c r="BK185" s="596"/>
      <c r="BL185" s="596"/>
      <c r="BM185" s="596"/>
      <c r="BN185" s="596"/>
      <c r="BO185" s="596"/>
      <c r="BP185" s="596"/>
      <c r="BQ185" s="596"/>
      <c r="BR185" s="596"/>
      <c r="BS185" s="596"/>
      <c r="BT185" s="596"/>
    </row>
    <row r="186" spans="1:72" ht="15">
      <c r="A186" s="539"/>
      <c r="B186" s="539"/>
      <c r="C186" s="539"/>
      <c r="D186" s="539"/>
      <c r="E186" s="539"/>
      <c r="F186" s="539"/>
      <c r="G186" s="539"/>
      <c r="H186" s="539"/>
      <c r="I186" s="539"/>
      <c r="J186" s="539"/>
      <c r="K186" s="539"/>
      <c r="L186" s="539"/>
      <c r="M186" s="539"/>
      <c r="N186" s="539"/>
      <c r="O186" s="539"/>
      <c r="P186" s="539"/>
      <c r="Q186" s="539"/>
      <c r="R186" s="539"/>
      <c r="S186" s="557"/>
      <c r="T186" s="557"/>
      <c r="U186" s="557"/>
      <c r="V186" s="557"/>
      <c r="W186" s="539"/>
      <c r="X186" s="539"/>
      <c r="Y186" s="557"/>
      <c r="Z186" s="557"/>
      <c r="AA186" s="539"/>
      <c r="AB186" s="539"/>
      <c r="AC186" s="539"/>
      <c r="AD186" s="557"/>
      <c r="AE186" s="557"/>
      <c r="AF186" s="557"/>
      <c r="AG186" s="557"/>
      <c r="AH186" s="557"/>
      <c r="AI186" s="557"/>
      <c r="AJ186" s="557"/>
      <c r="AK186" s="557"/>
      <c r="AL186" s="557"/>
      <c r="AM186" s="557"/>
      <c r="AN186" s="557"/>
      <c r="AO186" s="557"/>
      <c r="AP186" s="557"/>
      <c r="AQ186" s="557"/>
      <c r="AR186" s="557"/>
      <c r="AS186" s="557"/>
      <c r="AT186" s="557"/>
      <c r="AU186" s="557"/>
      <c r="AV186" s="557"/>
      <c r="AW186" s="557"/>
      <c r="AX186" s="557"/>
      <c r="AY186" s="557"/>
      <c r="AZ186" s="557"/>
      <c r="BA186" s="557"/>
      <c r="BB186" s="557"/>
      <c r="BC186" s="557"/>
      <c r="BD186" s="553"/>
      <c r="BE186" s="596"/>
      <c r="BF186" s="596"/>
      <c r="BG186" s="596"/>
      <c r="BH186" s="596"/>
      <c r="BI186" s="596"/>
      <c r="BJ186" s="596"/>
      <c r="BK186" s="596"/>
      <c r="BL186" s="596"/>
      <c r="BM186" s="596"/>
      <c r="BN186" s="596"/>
      <c r="BO186" s="596"/>
      <c r="BP186" s="596"/>
      <c r="BQ186" s="596"/>
      <c r="BR186" s="596"/>
      <c r="BS186" s="596"/>
      <c r="BT186" s="596"/>
    </row>
    <row r="187" spans="1:72" ht="15">
      <c r="A187" s="539"/>
      <c r="B187" s="539"/>
      <c r="C187" s="539"/>
      <c r="D187" s="539"/>
      <c r="E187" s="539"/>
      <c r="F187" s="539"/>
      <c r="G187" s="539"/>
      <c r="H187" s="539"/>
      <c r="I187" s="539"/>
      <c r="J187" s="539"/>
      <c r="K187" s="539"/>
      <c r="L187" s="539"/>
      <c r="M187" s="539"/>
      <c r="N187" s="539"/>
      <c r="O187" s="539"/>
      <c r="P187" s="539"/>
      <c r="Q187" s="539"/>
      <c r="R187" s="539"/>
      <c r="S187" s="557"/>
      <c r="T187" s="557"/>
      <c r="U187" s="557"/>
      <c r="V187" s="557"/>
      <c r="W187" s="539"/>
      <c r="X187" s="539"/>
      <c r="Y187" s="557"/>
      <c r="Z187" s="557"/>
      <c r="AA187" s="539"/>
      <c r="AB187" s="539"/>
      <c r="AC187" s="539"/>
      <c r="AD187" s="557"/>
      <c r="AE187" s="557"/>
      <c r="AF187" s="557"/>
      <c r="AG187" s="557"/>
      <c r="AH187" s="557"/>
      <c r="AI187" s="557"/>
      <c r="AJ187" s="557"/>
      <c r="AK187" s="557"/>
      <c r="AL187" s="557"/>
      <c r="AM187" s="557"/>
      <c r="AN187" s="557"/>
      <c r="AO187" s="557"/>
      <c r="AP187" s="557"/>
      <c r="AQ187" s="557"/>
      <c r="AR187" s="557"/>
      <c r="AS187" s="557"/>
      <c r="AT187" s="557"/>
      <c r="AU187" s="557"/>
      <c r="AV187" s="557"/>
      <c r="AW187" s="557"/>
      <c r="AX187" s="557"/>
      <c r="AY187" s="557"/>
      <c r="AZ187" s="557"/>
      <c r="BA187" s="557"/>
      <c r="BB187" s="557"/>
      <c r="BC187" s="557"/>
      <c r="BD187" s="553"/>
      <c r="BE187" s="596"/>
      <c r="BF187" s="596"/>
      <c r="BG187" s="596"/>
      <c r="BH187" s="596"/>
      <c r="BI187" s="596"/>
      <c r="BJ187" s="596"/>
      <c r="BK187" s="596"/>
      <c r="BL187" s="596"/>
      <c r="BM187" s="596"/>
      <c r="BN187" s="596"/>
      <c r="BO187" s="596"/>
      <c r="BP187" s="596"/>
      <c r="BQ187" s="596"/>
      <c r="BR187" s="596"/>
      <c r="BS187" s="596"/>
      <c r="BT187" s="596"/>
    </row>
    <row r="188" spans="1:72" ht="15">
      <c r="A188" s="539"/>
      <c r="B188" s="539"/>
      <c r="C188" s="539"/>
      <c r="D188" s="539"/>
      <c r="E188" s="539"/>
      <c r="F188" s="539"/>
      <c r="G188" s="539"/>
      <c r="H188" s="539"/>
      <c r="I188" s="539"/>
      <c r="J188" s="539"/>
      <c r="K188" s="539"/>
      <c r="L188" s="539"/>
      <c r="M188" s="539"/>
      <c r="N188" s="539"/>
      <c r="O188" s="539"/>
      <c r="P188" s="539"/>
      <c r="Q188" s="539"/>
      <c r="R188" s="539"/>
      <c r="S188" s="557"/>
      <c r="T188" s="557"/>
      <c r="U188" s="557"/>
      <c r="V188" s="557"/>
      <c r="W188" s="539"/>
      <c r="X188" s="539"/>
      <c r="Y188" s="557"/>
      <c r="Z188" s="557"/>
      <c r="AA188" s="539"/>
      <c r="AB188" s="539"/>
      <c r="AC188" s="539"/>
      <c r="AD188" s="557"/>
      <c r="AE188" s="557"/>
      <c r="AF188" s="557"/>
      <c r="AG188" s="557"/>
      <c r="AH188" s="557"/>
      <c r="AI188" s="557"/>
      <c r="AJ188" s="557"/>
      <c r="AK188" s="557"/>
      <c r="AL188" s="557"/>
      <c r="AM188" s="557"/>
      <c r="AN188" s="557"/>
      <c r="AO188" s="557"/>
      <c r="AP188" s="557"/>
      <c r="AQ188" s="557"/>
      <c r="AR188" s="557"/>
      <c r="AS188" s="557"/>
      <c r="AT188" s="557"/>
      <c r="AU188" s="557"/>
      <c r="AV188" s="557"/>
      <c r="AW188" s="557"/>
      <c r="AX188" s="557"/>
      <c r="AY188" s="557"/>
      <c r="AZ188" s="557"/>
      <c r="BA188" s="557"/>
      <c r="BB188" s="557"/>
      <c r="BC188" s="557"/>
      <c r="BD188" s="553"/>
      <c r="BE188" s="596"/>
      <c r="BF188" s="596"/>
      <c r="BG188" s="596"/>
      <c r="BH188" s="596"/>
      <c r="BI188" s="596"/>
      <c r="BJ188" s="596"/>
      <c r="BK188" s="596"/>
      <c r="BL188" s="596"/>
      <c r="BM188" s="596"/>
      <c r="BN188" s="596"/>
      <c r="BO188" s="596"/>
      <c r="BP188" s="596"/>
      <c r="BQ188" s="596"/>
      <c r="BR188" s="596"/>
      <c r="BS188" s="596"/>
      <c r="BT188" s="596"/>
    </row>
    <row r="189" spans="1:72" ht="15">
      <c r="A189" s="539"/>
      <c r="B189" s="539"/>
      <c r="C189" s="539"/>
      <c r="D189" s="539"/>
      <c r="E189" s="539"/>
      <c r="F189" s="539"/>
      <c r="G189" s="539"/>
      <c r="H189" s="539"/>
      <c r="I189" s="539"/>
      <c r="J189" s="539"/>
      <c r="K189" s="539"/>
      <c r="L189" s="539"/>
      <c r="M189" s="539"/>
      <c r="N189" s="539"/>
      <c r="O189" s="539"/>
      <c r="P189" s="539"/>
      <c r="Q189" s="539"/>
      <c r="R189" s="539"/>
      <c r="S189" s="557"/>
      <c r="T189" s="557"/>
      <c r="U189" s="557"/>
      <c r="V189" s="557"/>
      <c r="W189" s="539"/>
      <c r="X189" s="539"/>
      <c r="Y189" s="557"/>
      <c r="Z189" s="557"/>
      <c r="AA189" s="539"/>
      <c r="AB189" s="539"/>
      <c r="AC189" s="539"/>
      <c r="AD189" s="557"/>
      <c r="AE189" s="557"/>
      <c r="AF189" s="557"/>
      <c r="AG189" s="557"/>
      <c r="AH189" s="557"/>
      <c r="AI189" s="557"/>
      <c r="AJ189" s="557"/>
      <c r="AK189" s="557"/>
      <c r="AL189" s="557"/>
      <c r="AM189" s="557"/>
      <c r="AN189" s="557"/>
      <c r="AO189" s="557"/>
      <c r="AP189" s="557"/>
      <c r="AQ189" s="557"/>
      <c r="AR189" s="557"/>
      <c r="AS189" s="557"/>
      <c r="AT189" s="557"/>
      <c r="AU189" s="557"/>
      <c r="AV189" s="557"/>
      <c r="AW189" s="557"/>
      <c r="AX189" s="557"/>
      <c r="AY189" s="557"/>
      <c r="AZ189" s="557"/>
      <c r="BA189" s="557"/>
      <c r="BB189" s="557"/>
      <c r="BC189" s="557"/>
      <c r="BD189" s="553"/>
      <c r="BE189" s="596"/>
      <c r="BF189" s="596"/>
      <c r="BG189" s="596"/>
      <c r="BH189" s="596"/>
      <c r="BI189" s="596"/>
      <c r="BJ189" s="596"/>
      <c r="BK189" s="596"/>
      <c r="BL189" s="596"/>
      <c r="BM189" s="596"/>
      <c r="BN189" s="596"/>
      <c r="BO189" s="596"/>
      <c r="BP189" s="596"/>
      <c r="BQ189" s="596"/>
      <c r="BR189" s="596"/>
      <c r="BS189" s="596"/>
      <c r="BT189" s="596"/>
    </row>
    <row r="190" spans="1:72" ht="15">
      <c r="A190" s="539"/>
      <c r="B190" s="539"/>
      <c r="C190" s="539"/>
      <c r="D190" s="539"/>
      <c r="E190" s="539"/>
      <c r="F190" s="539"/>
      <c r="G190" s="539"/>
      <c r="H190" s="539"/>
      <c r="I190" s="539"/>
      <c r="J190" s="539"/>
      <c r="K190" s="539"/>
      <c r="L190" s="539"/>
      <c r="M190" s="539"/>
      <c r="N190" s="539"/>
      <c r="O190" s="539"/>
      <c r="P190" s="539"/>
      <c r="Q190" s="539"/>
      <c r="R190" s="539"/>
      <c r="S190" s="557"/>
      <c r="T190" s="557"/>
      <c r="U190" s="557"/>
      <c r="V190" s="557"/>
      <c r="W190" s="539"/>
      <c r="X190" s="539"/>
      <c r="Y190" s="557"/>
      <c r="Z190" s="557"/>
      <c r="AA190" s="539"/>
      <c r="AB190" s="539"/>
      <c r="AC190" s="539"/>
      <c r="AD190" s="557"/>
      <c r="AE190" s="557"/>
      <c r="AF190" s="557"/>
      <c r="AG190" s="557"/>
      <c r="AH190" s="557"/>
      <c r="AI190" s="557"/>
      <c r="AJ190" s="557"/>
      <c r="AK190" s="557"/>
      <c r="AL190" s="557"/>
      <c r="AM190" s="557"/>
      <c r="AN190" s="557"/>
      <c r="AO190" s="557"/>
      <c r="AP190" s="557"/>
      <c r="AQ190" s="557"/>
      <c r="AR190" s="557"/>
      <c r="AS190" s="557"/>
      <c r="AT190" s="557"/>
      <c r="AU190" s="557"/>
      <c r="AV190" s="557"/>
      <c r="AW190" s="557"/>
      <c r="AX190" s="557"/>
      <c r="AY190" s="557"/>
      <c r="AZ190" s="557"/>
      <c r="BA190" s="557"/>
      <c r="BB190" s="557"/>
      <c r="BC190" s="557"/>
      <c r="BD190" s="553"/>
      <c r="BE190" s="596"/>
      <c r="BF190" s="596"/>
      <c r="BG190" s="596"/>
      <c r="BH190" s="596"/>
      <c r="BI190" s="596"/>
      <c r="BJ190" s="596"/>
      <c r="BK190" s="596"/>
      <c r="BL190" s="596"/>
      <c r="BM190" s="596"/>
      <c r="BN190" s="596"/>
      <c r="BO190" s="596"/>
      <c r="BP190" s="596"/>
      <c r="BQ190" s="596"/>
      <c r="BR190" s="596"/>
      <c r="BS190" s="596"/>
      <c r="BT190" s="596"/>
    </row>
    <row r="191" spans="1:72" ht="15">
      <c r="A191" s="539"/>
      <c r="B191" s="539"/>
      <c r="C191" s="539"/>
      <c r="D191" s="539"/>
      <c r="E191" s="539"/>
      <c r="F191" s="539"/>
      <c r="G191" s="539"/>
      <c r="H191" s="539"/>
      <c r="I191" s="539"/>
      <c r="J191" s="539"/>
      <c r="K191" s="539"/>
      <c r="L191" s="539"/>
      <c r="M191" s="539"/>
      <c r="N191" s="539"/>
      <c r="O191" s="539"/>
      <c r="P191" s="539"/>
      <c r="Q191" s="539"/>
      <c r="R191" s="539"/>
      <c r="S191" s="557"/>
      <c r="T191" s="557"/>
      <c r="U191" s="557"/>
      <c r="V191" s="557"/>
      <c r="W191" s="539"/>
      <c r="X191" s="539"/>
      <c r="Y191" s="557"/>
      <c r="Z191" s="557"/>
      <c r="AA191" s="539"/>
      <c r="AB191" s="539"/>
      <c r="AC191" s="539"/>
      <c r="AD191" s="557"/>
      <c r="AE191" s="557"/>
      <c r="AF191" s="557"/>
      <c r="AG191" s="557"/>
      <c r="AH191" s="557"/>
      <c r="AI191" s="557"/>
      <c r="AJ191" s="557"/>
      <c r="AK191" s="557"/>
      <c r="AL191" s="557"/>
      <c r="AM191" s="557"/>
      <c r="AN191" s="557"/>
      <c r="AO191" s="557"/>
      <c r="AP191" s="557"/>
      <c r="AQ191" s="557"/>
      <c r="AR191" s="557"/>
      <c r="AS191" s="557"/>
      <c r="AT191" s="557"/>
      <c r="AU191" s="557"/>
      <c r="AV191" s="557"/>
      <c r="AW191" s="557"/>
      <c r="AX191" s="557"/>
      <c r="AY191" s="557"/>
      <c r="AZ191" s="557"/>
      <c r="BA191" s="557"/>
      <c r="BB191" s="557"/>
      <c r="BC191" s="557"/>
      <c r="BD191" s="553"/>
      <c r="BE191" s="596"/>
      <c r="BF191" s="596"/>
      <c r="BG191" s="596"/>
      <c r="BH191" s="596"/>
      <c r="BI191" s="596"/>
      <c r="BJ191" s="596"/>
      <c r="BK191" s="596"/>
      <c r="BL191" s="596"/>
      <c r="BM191" s="596"/>
      <c r="BN191" s="596"/>
      <c r="BO191" s="596"/>
      <c r="BP191" s="596"/>
      <c r="BQ191" s="596"/>
      <c r="BR191" s="596"/>
      <c r="BS191" s="596"/>
      <c r="BT191" s="596"/>
    </row>
    <row r="192" spans="1:72" ht="15">
      <c r="A192" s="539"/>
      <c r="B192" s="539"/>
      <c r="C192" s="539"/>
      <c r="D192" s="539"/>
      <c r="E192" s="539"/>
      <c r="F192" s="539"/>
      <c r="G192" s="539"/>
      <c r="H192" s="539"/>
      <c r="I192" s="539"/>
      <c r="J192" s="539"/>
      <c r="K192" s="539"/>
      <c r="L192" s="539"/>
      <c r="M192" s="539"/>
      <c r="N192" s="539"/>
      <c r="O192" s="539"/>
      <c r="P192" s="539"/>
      <c r="Q192" s="539"/>
      <c r="R192" s="539"/>
      <c r="S192" s="557"/>
      <c r="T192" s="557"/>
      <c r="U192" s="557"/>
      <c r="V192" s="557"/>
      <c r="W192" s="539"/>
      <c r="X192" s="539"/>
      <c r="Y192" s="557"/>
      <c r="Z192" s="557"/>
      <c r="AA192" s="539"/>
      <c r="AB192" s="539"/>
      <c r="AC192" s="539"/>
      <c r="AD192" s="557"/>
      <c r="AE192" s="557"/>
      <c r="AF192" s="557"/>
      <c r="AG192" s="557"/>
      <c r="AH192" s="557"/>
      <c r="AI192" s="557"/>
      <c r="AJ192" s="557"/>
      <c r="AK192" s="557"/>
      <c r="AL192" s="557"/>
      <c r="AM192" s="557"/>
      <c r="AN192" s="557"/>
      <c r="AO192" s="557"/>
      <c r="AP192" s="557"/>
      <c r="AQ192" s="557"/>
      <c r="AR192" s="557"/>
      <c r="AS192" s="557"/>
      <c r="AT192" s="557"/>
      <c r="AU192" s="557"/>
      <c r="AV192" s="557"/>
      <c r="AW192" s="557"/>
      <c r="AX192" s="557"/>
      <c r="AY192" s="557"/>
      <c r="AZ192" s="557"/>
      <c r="BA192" s="557"/>
      <c r="BB192" s="557"/>
      <c r="BC192" s="557"/>
      <c r="BD192" s="553"/>
      <c r="BE192" s="596"/>
      <c r="BF192" s="596"/>
      <c r="BG192" s="596"/>
      <c r="BH192" s="596"/>
      <c r="BI192" s="596"/>
      <c r="BJ192" s="596"/>
      <c r="BK192" s="596"/>
      <c r="BL192" s="596"/>
      <c r="BM192" s="596"/>
      <c r="BN192" s="596"/>
      <c r="BO192" s="596"/>
      <c r="BP192" s="596"/>
      <c r="BQ192" s="596"/>
      <c r="BR192" s="596"/>
      <c r="BS192" s="596"/>
      <c r="BT192" s="596"/>
    </row>
    <row r="193" spans="1:72" ht="15">
      <c r="A193" s="539"/>
      <c r="B193" s="539"/>
      <c r="C193" s="539"/>
      <c r="D193" s="539"/>
      <c r="E193" s="539"/>
      <c r="F193" s="539"/>
      <c r="G193" s="539"/>
      <c r="H193" s="539"/>
      <c r="I193" s="539"/>
      <c r="J193" s="539"/>
      <c r="K193" s="539"/>
      <c r="L193" s="539"/>
      <c r="M193" s="539"/>
      <c r="N193" s="539"/>
      <c r="O193" s="539"/>
      <c r="P193" s="539"/>
      <c r="Q193" s="539"/>
      <c r="R193" s="539"/>
      <c r="S193" s="557"/>
      <c r="T193" s="557"/>
      <c r="U193" s="557"/>
      <c r="V193" s="557"/>
      <c r="W193" s="539"/>
      <c r="X193" s="539"/>
      <c r="Y193" s="557"/>
      <c r="Z193" s="557"/>
      <c r="AA193" s="539"/>
      <c r="AB193" s="539"/>
      <c r="AC193" s="539"/>
      <c r="AD193" s="557"/>
      <c r="AE193" s="557"/>
      <c r="AF193" s="557"/>
      <c r="AG193" s="557"/>
      <c r="AH193" s="557"/>
      <c r="AI193" s="557"/>
      <c r="AJ193" s="557"/>
      <c r="AK193" s="557"/>
      <c r="AL193" s="557"/>
      <c r="AM193" s="557"/>
      <c r="AN193" s="557"/>
      <c r="AO193" s="557"/>
      <c r="AP193" s="557"/>
      <c r="AQ193" s="557"/>
      <c r="AR193" s="557"/>
      <c r="AS193" s="557"/>
      <c r="AT193" s="557"/>
      <c r="AU193" s="557"/>
      <c r="AV193" s="557"/>
      <c r="AW193" s="557"/>
      <c r="AX193" s="557"/>
      <c r="AY193" s="557"/>
      <c r="AZ193" s="557"/>
      <c r="BA193" s="557"/>
      <c r="BB193" s="557"/>
      <c r="BC193" s="557"/>
      <c r="BD193" s="553"/>
      <c r="BE193" s="596"/>
      <c r="BF193" s="596"/>
      <c r="BG193" s="596"/>
      <c r="BH193" s="596"/>
      <c r="BI193" s="596"/>
      <c r="BJ193" s="596"/>
      <c r="BK193" s="596"/>
      <c r="BL193" s="596"/>
      <c r="BM193" s="596"/>
      <c r="BN193" s="596"/>
      <c r="BO193" s="596"/>
      <c r="BP193" s="596"/>
      <c r="BQ193" s="596"/>
      <c r="BR193" s="596"/>
      <c r="BS193" s="596"/>
      <c r="BT193" s="596"/>
    </row>
    <row r="194" spans="1:72" ht="15">
      <c r="A194" s="539"/>
      <c r="B194" s="539"/>
      <c r="C194" s="539"/>
      <c r="D194" s="539"/>
      <c r="E194" s="539"/>
      <c r="F194" s="539"/>
      <c r="G194" s="539"/>
      <c r="H194" s="539"/>
      <c r="I194" s="539"/>
      <c r="J194" s="539"/>
      <c r="K194" s="539"/>
      <c r="L194" s="539"/>
      <c r="M194" s="539"/>
      <c r="N194" s="539"/>
      <c r="O194" s="539"/>
      <c r="P194" s="539"/>
      <c r="Q194" s="539"/>
      <c r="R194" s="539"/>
      <c r="S194" s="557"/>
      <c r="T194" s="557"/>
      <c r="U194" s="557"/>
      <c r="V194" s="557"/>
      <c r="W194" s="539"/>
      <c r="X194" s="539"/>
      <c r="Y194" s="557"/>
      <c r="Z194" s="557"/>
      <c r="AA194" s="539"/>
      <c r="AB194" s="539"/>
      <c r="AC194" s="539"/>
      <c r="AD194" s="557"/>
      <c r="AE194" s="557"/>
      <c r="AF194" s="557"/>
      <c r="AG194" s="557"/>
      <c r="AH194" s="557"/>
      <c r="AI194" s="557"/>
      <c r="AJ194" s="557"/>
      <c r="AK194" s="557"/>
      <c r="AL194" s="557"/>
      <c r="AM194" s="557"/>
      <c r="AN194" s="557"/>
      <c r="AO194" s="557"/>
      <c r="AP194" s="557"/>
      <c r="AQ194" s="557"/>
      <c r="AR194" s="557"/>
      <c r="AS194" s="557"/>
      <c r="AT194" s="557"/>
      <c r="AU194" s="557"/>
      <c r="AV194" s="557"/>
      <c r="AW194" s="557"/>
      <c r="AX194" s="557"/>
      <c r="AY194" s="557"/>
      <c r="AZ194" s="557"/>
      <c r="BA194" s="557"/>
      <c r="BB194" s="557"/>
      <c r="BC194" s="557"/>
      <c r="BD194" s="553"/>
      <c r="BE194" s="596"/>
      <c r="BF194" s="596"/>
      <c r="BG194" s="596"/>
      <c r="BH194" s="596"/>
      <c r="BI194" s="596"/>
      <c r="BJ194" s="596"/>
      <c r="BK194" s="596"/>
      <c r="BL194" s="596"/>
      <c r="BM194" s="596"/>
      <c r="BN194" s="596"/>
      <c r="BO194" s="596"/>
      <c r="BP194" s="596"/>
      <c r="BQ194" s="596"/>
      <c r="BR194" s="596"/>
      <c r="BS194" s="596"/>
      <c r="BT194" s="596"/>
    </row>
    <row r="195" spans="1:72" ht="15">
      <c r="A195" s="539"/>
      <c r="B195" s="539"/>
      <c r="C195" s="539"/>
      <c r="D195" s="539"/>
      <c r="E195" s="539"/>
      <c r="F195" s="539"/>
      <c r="G195" s="539"/>
      <c r="H195" s="539"/>
      <c r="I195" s="539"/>
      <c r="J195" s="539"/>
      <c r="K195" s="539"/>
      <c r="L195" s="539"/>
      <c r="M195" s="539"/>
      <c r="N195" s="539"/>
      <c r="O195" s="539"/>
      <c r="P195" s="539"/>
      <c r="Q195" s="539"/>
      <c r="R195" s="539"/>
      <c r="S195" s="557"/>
      <c r="T195" s="557"/>
      <c r="U195" s="557"/>
      <c r="V195" s="557"/>
      <c r="W195" s="539"/>
      <c r="X195" s="539"/>
      <c r="Y195" s="557"/>
      <c r="Z195" s="557"/>
      <c r="AA195" s="539"/>
      <c r="AB195" s="539"/>
      <c r="AC195" s="539"/>
      <c r="AD195" s="557"/>
      <c r="AE195" s="557"/>
      <c r="AF195" s="557"/>
      <c r="AG195" s="557"/>
      <c r="AH195" s="557"/>
      <c r="AI195" s="557"/>
      <c r="AJ195" s="557"/>
      <c r="AK195" s="557"/>
      <c r="AL195" s="557"/>
      <c r="AM195" s="557"/>
      <c r="AN195" s="557"/>
      <c r="AO195" s="557"/>
      <c r="AP195" s="557"/>
      <c r="AQ195" s="557"/>
      <c r="AR195" s="557"/>
      <c r="AS195" s="557"/>
      <c r="AT195" s="557"/>
      <c r="AU195" s="557"/>
      <c r="AV195" s="557"/>
      <c r="AW195" s="557"/>
      <c r="AX195" s="557"/>
      <c r="AY195" s="557"/>
      <c r="AZ195" s="557"/>
      <c r="BA195" s="557"/>
      <c r="BB195" s="557"/>
      <c r="BC195" s="557"/>
      <c r="BD195" s="553"/>
      <c r="BE195" s="596"/>
      <c r="BF195" s="596"/>
      <c r="BG195" s="596"/>
      <c r="BH195" s="596"/>
      <c r="BI195" s="596"/>
      <c r="BJ195" s="596"/>
      <c r="BK195" s="596"/>
      <c r="BL195" s="596"/>
      <c r="BM195" s="596"/>
      <c r="BN195" s="596"/>
      <c r="BO195" s="596"/>
      <c r="BP195" s="596"/>
      <c r="BQ195" s="596"/>
      <c r="BR195" s="596"/>
      <c r="BS195" s="596"/>
      <c r="BT195" s="596"/>
    </row>
    <row r="196" spans="1:72" ht="15">
      <c r="A196" s="539"/>
      <c r="B196" s="539"/>
      <c r="C196" s="539"/>
      <c r="D196" s="539"/>
      <c r="E196" s="539"/>
      <c r="F196" s="539"/>
      <c r="G196" s="539"/>
      <c r="H196" s="539"/>
      <c r="I196" s="539"/>
      <c r="J196" s="539"/>
      <c r="K196" s="539"/>
      <c r="L196" s="539"/>
      <c r="M196" s="539"/>
      <c r="N196" s="539"/>
      <c r="O196" s="539"/>
      <c r="P196" s="539"/>
      <c r="Q196" s="539"/>
      <c r="R196" s="539"/>
      <c r="S196" s="557"/>
      <c r="T196" s="557"/>
      <c r="U196" s="557"/>
      <c r="V196" s="557"/>
      <c r="W196" s="539"/>
      <c r="X196" s="539"/>
      <c r="Y196" s="557"/>
      <c r="Z196" s="557"/>
      <c r="AA196" s="539"/>
      <c r="AB196" s="539"/>
      <c r="AC196" s="539"/>
      <c r="AD196" s="557"/>
      <c r="AE196" s="557"/>
      <c r="AF196" s="557"/>
      <c r="AG196" s="557"/>
      <c r="AH196" s="557"/>
      <c r="AI196" s="557"/>
      <c r="AJ196" s="557"/>
      <c r="AK196" s="557"/>
      <c r="AL196" s="557"/>
      <c r="AM196" s="557"/>
      <c r="AN196" s="557"/>
      <c r="AO196" s="557"/>
      <c r="AP196" s="557"/>
      <c r="AQ196" s="557"/>
      <c r="AR196" s="557"/>
      <c r="AS196" s="557"/>
      <c r="AT196" s="557"/>
      <c r="AU196" s="557"/>
      <c r="AV196" s="557"/>
      <c r="AW196" s="557"/>
      <c r="AX196" s="557"/>
      <c r="AY196" s="557"/>
      <c r="AZ196" s="557"/>
      <c r="BA196" s="557"/>
      <c r="BB196" s="557"/>
      <c r="BC196" s="557"/>
      <c r="BD196" s="553"/>
      <c r="BE196" s="596"/>
      <c r="BF196" s="596"/>
      <c r="BG196" s="596"/>
      <c r="BH196" s="596"/>
      <c r="BI196" s="596"/>
      <c r="BJ196" s="596"/>
      <c r="BK196" s="596"/>
      <c r="BL196" s="596"/>
      <c r="BM196" s="596"/>
      <c r="BN196" s="596"/>
      <c r="BO196" s="596"/>
      <c r="BP196" s="596"/>
      <c r="BQ196" s="596"/>
      <c r="BR196" s="596"/>
      <c r="BS196" s="596"/>
      <c r="BT196" s="596"/>
    </row>
    <row r="197" spans="1:72" ht="15">
      <c r="A197" s="539"/>
      <c r="B197" s="539"/>
      <c r="C197" s="539"/>
      <c r="D197" s="539"/>
      <c r="E197" s="539"/>
      <c r="F197" s="539"/>
      <c r="G197" s="539"/>
      <c r="H197" s="539"/>
      <c r="I197" s="539"/>
      <c r="J197" s="539"/>
      <c r="K197" s="539"/>
      <c r="L197" s="539"/>
      <c r="M197" s="539"/>
      <c r="N197" s="539"/>
      <c r="O197" s="539"/>
      <c r="P197" s="539"/>
      <c r="Q197" s="539"/>
      <c r="R197" s="539"/>
      <c r="S197" s="557"/>
      <c r="T197" s="557"/>
      <c r="U197" s="557"/>
      <c r="V197" s="557"/>
      <c r="W197" s="539"/>
      <c r="X197" s="539"/>
      <c r="Y197" s="557"/>
      <c r="Z197" s="557"/>
      <c r="AA197" s="539"/>
      <c r="AB197" s="539"/>
      <c r="AC197" s="539"/>
      <c r="AD197" s="557"/>
      <c r="AE197" s="557"/>
      <c r="AF197" s="557"/>
      <c r="AG197" s="557"/>
      <c r="AH197" s="557"/>
      <c r="AI197" s="557"/>
      <c r="AJ197" s="557"/>
      <c r="AK197" s="557"/>
      <c r="AL197" s="557"/>
      <c r="AM197" s="557"/>
      <c r="AN197" s="557"/>
      <c r="AO197" s="557"/>
      <c r="AP197" s="557"/>
      <c r="AQ197" s="557"/>
      <c r="AR197" s="557"/>
      <c r="AS197" s="557"/>
      <c r="AT197" s="557"/>
      <c r="AU197" s="557"/>
      <c r="AV197" s="557"/>
      <c r="AW197" s="557"/>
      <c r="AX197" s="557"/>
      <c r="AY197" s="557"/>
      <c r="AZ197" s="557"/>
      <c r="BA197" s="557"/>
      <c r="BB197" s="557"/>
      <c r="BC197" s="557"/>
      <c r="BD197" s="553"/>
      <c r="BE197" s="596"/>
      <c r="BF197" s="596"/>
      <c r="BG197" s="596"/>
      <c r="BH197" s="596"/>
      <c r="BI197" s="596"/>
      <c r="BJ197" s="596"/>
      <c r="BK197" s="596"/>
      <c r="BL197" s="596"/>
      <c r="BM197" s="596"/>
      <c r="BN197" s="596"/>
      <c r="BO197" s="596"/>
      <c r="BP197" s="596"/>
      <c r="BQ197" s="596"/>
      <c r="BR197" s="596"/>
      <c r="BS197" s="596"/>
      <c r="BT197" s="596"/>
    </row>
    <row r="198" spans="1:72" ht="15">
      <c r="A198" s="539"/>
      <c r="B198" s="539"/>
      <c r="C198" s="539"/>
      <c r="D198" s="539"/>
      <c r="E198" s="539"/>
      <c r="F198" s="539"/>
      <c r="G198" s="539"/>
      <c r="H198" s="539"/>
      <c r="I198" s="539"/>
      <c r="J198" s="539"/>
      <c r="K198" s="539"/>
      <c r="L198" s="539"/>
      <c r="M198" s="539"/>
      <c r="N198" s="539"/>
      <c r="O198" s="539"/>
      <c r="P198" s="539"/>
      <c r="Q198" s="539"/>
      <c r="R198" s="539"/>
      <c r="S198" s="557"/>
      <c r="T198" s="557"/>
      <c r="U198" s="557"/>
      <c r="V198" s="557"/>
      <c r="W198" s="539"/>
      <c r="X198" s="539"/>
      <c r="Y198" s="557"/>
      <c r="Z198" s="557"/>
      <c r="AA198" s="539"/>
      <c r="AB198" s="539"/>
      <c r="AC198" s="539"/>
      <c r="AD198" s="557"/>
      <c r="AE198" s="557"/>
      <c r="AF198" s="557"/>
      <c r="AG198" s="557"/>
      <c r="AH198" s="557"/>
      <c r="AI198" s="557"/>
      <c r="AJ198" s="557"/>
      <c r="AK198" s="557"/>
      <c r="AL198" s="557"/>
      <c r="AM198" s="557"/>
      <c r="AN198" s="557"/>
      <c r="AO198" s="557"/>
      <c r="AP198" s="557"/>
      <c r="AQ198" s="557"/>
      <c r="AR198" s="557"/>
      <c r="AS198" s="557"/>
      <c r="AT198" s="557"/>
      <c r="AU198" s="557"/>
      <c r="AV198" s="557"/>
      <c r="AW198" s="557"/>
      <c r="AX198" s="557"/>
      <c r="AY198" s="557"/>
      <c r="AZ198" s="557"/>
      <c r="BA198" s="557"/>
      <c r="BB198" s="557"/>
      <c r="BC198" s="557"/>
      <c r="BD198" s="553"/>
      <c r="BE198" s="596"/>
      <c r="BF198" s="596"/>
      <c r="BG198" s="596"/>
      <c r="BH198" s="596"/>
      <c r="BI198" s="596"/>
      <c r="BJ198" s="596"/>
      <c r="BK198" s="596"/>
      <c r="BL198" s="596"/>
      <c r="BM198" s="596"/>
      <c r="BN198" s="596"/>
      <c r="BO198" s="596"/>
      <c r="BP198" s="596"/>
      <c r="BQ198" s="596"/>
      <c r="BR198" s="596"/>
      <c r="BS198" s="596"/>
      <c r="BT198" s="596"/>
    </row>
    <row r="199" spans="1:72" ht="15">
      <c r="A199" s="539"/>
      <c r="B199" s="539"/>
      <c r="C199" s="539"/>
      <c r="D199" s="539"/>
      <c r="E199" s="539"/>
      <c r="F199" s="539"/>
      <c r="G199" s="539"/>
      <c r="H199" s="539"/>
      <c r="I199" s="539"/>
      <c r="J199" s="539"/>
      <c r="K199" s="539"/>
      <c r="L199" s="539"/>
      <c r="M199" s="539"/>
      <c r="N199" s="539"/>
      <c r="O199" s="539"/>
      <c r="P199" s="539"/>
      <c r="Q199" s="539"/>
      <c r="R199" s="539"/>
      <c r="S199" s="557"/>
      <c r="T199" s="557"/>
      <c r="U199" s="557"/>
      <c r="V199" s="557"/>
      <c r="W199" s="539"/>
      <c r="X199" s="539"/>
      <c r="Y199" s="557"/>
      <c r="Z199" s="557"/>
      <c r="AA199" s="539"/>
      <c r="AB199" s="539"/>
      <c r="AC199" s="539"/>
      <c r="AD199" s="557"/>
      <c r="AE199" s="557"/>
      <c r="AF199" s="557"/>
      <c r="AG199" s="557"/>
      <c r="AH199" s="557"/>
      <c r="AI199" s="557"/>
      <c r="AJ199" s="557"/>
      <c r="AK199" s="557"/>
      <c r="AL199" s="557"/>
      <c r="AM199" s="557"/>
      <c r="AN199" s="557"/>
      <c r="AO199" s="557"/>
      <c r="AP199" s="557"/>
      <c r="AQ199" s="557"/>
      <c r="AR199" s="557"/>
      <c r="AS199" s="557"/>
      <c r="AT199" s="557"/>
      <c r="AU199" s="557"/>
      <c r="AV199" s="557"/>
      <c r="AW199" s="557"/>
      <c r="AX199" s="557"/>
      <c r="AY199" s="557"/>
      <c r="AZ199" s="557"/>
      <c r="BA199" s="557"/>
      <c r="BB199" s="557"/>
      <c r="BC199" s="557"/>
      <c r="BD199" s="553"/>
      <c r="BE199" s="596"/>
      <c r="BF199" s="596"/>
      <c r="BG199" s="596"/>
      <c r="BH199" s="596"/>
      <c r="BI199" s="596"/>
      <c r="BJ199" s="596"/>
      <c r="BK199" s="596"/>
      <c r="BL199" s="596"/>
      <c r="BM199" s="596"/>
      <c r="BN199" s="596"/>
      <c r="BO199" s="596"/>
      <c r="BP199" s="596"/>
      <c r="BQ199" s="596"/>
      <c r="BR199" s="596"/>
      <c r="BS199" s="596"/>
      <c r="BT199" s="596"/>
    </row>
    <row r="200" spans="1:72" ht="15">
      <c r="A200" s="539"/>
      <c r="B200" s="539"/>
      <c r="C200" s="539"/>
      <c r="D200" s="539"/>
      <c r="E200" s="539"/>
      <c r="F200" s="539"/>
      <c r="G200" s="539"/>
      <c r="H200" s="539"/>
      <c r="I200" s="539"/>
      <c r="J200" s="539"/>
      <c r="K200" s="539"/>
      <c r="L200" s="539"/>
      <c r="M200" s="539"/>
      <c r="N200" s="539"/>
      <c r="O200" s="539"/>
      <c r="P200" s="539"/>
      <c r="Q200" s="539"/>
      <c r="R200" s="539"/>
      <c r="S200" s="557"/>
      <c r="T200" s="557"/>
      <c r="U200" s="557"/>
      <c r="V200" s="557"/>
      <c r="W200" s="539"/>
      <c r="X200" s="539"/>
      <c r="Y200" s="557"/>
      <c r="Z200" s="557"/>
      <c r="AA200" s="539"/>
      <c r="AB200" s="539"/>
      <c r="AC200" s="539"/>
      <c r="AD200" s="557"/>
      <c r="AE200" s="557"/>
      <c r="AF200" s="557"/>
      <c r="AG200" s="557"/>
      <c r="AH200" s="557"/>
      <c r="AI200" s="557"/>
      <c r="AJ200" s="557"/>
      <c r="AK200" s="557"/>
      <c r="AL200" s="557"/>
      <c r="AM200" s="557"/>
      <c r="AN200" s="557"/>
      <c r="AO200" s="557"/>
      <c r="AP200" s="557"/>
      <c r="AQ200" s="557"/>
      <c r="AR200" s="557"/>
      <c r="AS200" s="557"/>
      <c r="AT200" s="557"/>
      <c r="AU200" s="557"/>
      <c r="AV200" s="557"/>
      <c r="AW200" s="557"/>
      <c r="AX200" s="557"/>
      <c r="AY200" s="557"/>
      <c r="AZ200" s="557"/>
      <c r="BA200" s="557"/>
      <c r="BB200" s="557"/>
      <c r="BC200" s="557"/>
      <c r="BD200" s="553"/>
      <c r="BE200" s="596"/>
      <c r="BF200" s="596"/>
      <c r="BG200" s="596"/>
      <c r="BH200" s="596"/>
      <c r="BI200" s="596"/>
      <c r="BJ200" s="596"/>
      <c r="BK200" s="596"/>
      <c r="BL200" s="596"/>
      <c r="BM200" s="596"/>
      <c r="BN200" s="596"/>
      <c r="BO200" s="596"/>
      <c r="BP200" s="596"/>
      <c r="BQ200" s="596"/>
      <c r="BR200" s="596"/>
      <c r="BS200" s="596"/>
      <c r="BT200" s="596"/>
    </row>
    <row r="201" spans="1:72" ht="15">
      <c r="A201" s="539"/>
      <c r="B201" s="539"/>
      <c r="C201" s="539"/>
      <c r="D201" s="539"/>
      <c r="E201" s="539"/>
      <c r="F201" s="539"/>
      <c r="G201" s="539"/>
      <c r="H201" s="539"/>
      <c r="I201" s="539"/>
      <c r="J201" s="539"/>
      <c r="K201" s="539"/>
      <c r="L201" s="539"/>
      <c r="M201" s="539"/>
      <c r="N201" s="539"/>
      <c r="O201" s="539"/>
      <c r="P201" s="539"/>
      <c r="Q201" s="539"/>
      <c r="R201" s="539"/>
      <c r="S201" s="557"/>
      <c r="T201" s="557"/>
      <c r="U201" s="557"/>
      <c r="V201" s="557"/>
      <c r="W201" s="539"/>
      <c r="X201" s="539"/>
      <c r="Y201" s="557"/>
      <c r="Z201" s="557"/>
      <c r="AA201" s="539"/>
      <c r="AB201" s="539"/>
      <c r="AC201" s="539"/>
      <c r="AD201" s="557"/>
      <c r="AE201" s="557"/>
      <c r="AF201" s="557"/>
      <c r="AG201" s="557"/>
      <c r="AH201" s="557"/>
      <c r="AI201" s="557"/>
      <c r="AJ201" s="557"/>
      <c r="AK201" s="557"/>
      <c r="AL201" s="557"/>
      <c r="AM201" s="557"/>
      <c r="AN201" s="557"/>
      <c r="AO201" s="557"/>
      <c r="AP201" s="557"/>
      <c r="AQ201" s="557"/>
      <c r="AR201" s="557"/>
      <c r="AS201" s="557"/>
      <c r="AT201" s="557"/>
      <c r="AU201" s="557"/>
      <c r="AV201" s="557"/>
      <c r="AW201" s="557"/>
      <c r="AX201" s="557"/>
      <c r="AY201" s="557"/>
      <c r="AZ201" s="557"/>
      <c r="BA201" s="557"/>
      <c r="BB201" s="557"/>
      <c r="BC201" s="557"/>
      <c r="BD201" s="553"/>
      <c r="BE201" s="596"/>
      <c r="BF201" s="596"/>
      <c r="BG201" s="596"/>
      <c r="BH201" s="596"/>
      <c r="BI201" s="596"/>
      <c r="BJ201" s="596"/>
      <c r="BK201" s="596"/>
      <c r="BL201" s="596"/>
      <c r="BM201" s="596"/>
      <c r="BN201" s="596"/>
      <c r="BO201" s="596"/>
      <c r="BP201" s="596"/>
      <c r="BQ201" s="596"/>
      <c r="BR201" s="596"/>
      <c r="BS201" s="596"/>
      <c r="BT201" s="596"/>
    </row>
    <row r="202" spans="1:72" ht="15">
      <c r="A202" s="539"/>
      <c r="B202" s="539"/>
      <c r="C202" s="539"/>
      <c r="D202" s="539"/>
      <c r="E202" s="539"/>
      <c r="F202" s="539"/>
      <c r="G202" s="539"/>
      <c r="H202" s="539"/>
      <c r="I202" s="539"/>
      <c r="J202" s="539"/>
      <c r="K202" s="539"/>
      <c r="L202" s="539"/>
      <c r="M202" s="539"/>
      <c r="N202" s="539"/>
      <c r="O202" s="539"/>
      <c r="P202" s="539"/>
      <c r="Q202" s="539"/>
      <c r="R202" s="539"/>
      <c r="S202" s="557"/>
      <c r="T202" s="557"/>
      <c r="U202" s="557"/>
      <c r="V202" s="557"/>
      <c r="W202" s="539"/>
      <c r="X202" s="539"/>
      <c r="Y202" s="557"/>
      <c r="Z202" s="557"/>
      <c r="AA202" s="539"/>
      <c r="AB202" s="539"/>
      <c r="AC202" s="539"/>
      <c r="AD202" s="557"/>
      <c r="AE202" s="557"/>
      <c r="AF202" s="557"/>
      <c r="AG202" s="557"/>
      <c r="AH202" s="557"/>
      <c r="AI202" s="557"/>
      <c r="AJ202" s="557"/>
      <c r="AK202" s="557"/>
      <c r="AL202" s="557"/>
      <c r="AM202" s="557"/>
      <c r="AN202" s="557"/>
      <c r="AO202" s="557"/>
      <c r="AP202" s="557"/>
      <c r="AQ202" s="557"/>
      <c r="AR202" s="557"/>
      <c r="AS202" s="557"/>
      <c r="AT202" s="557"/>
      <c r="AU202" s="557"/>
      <c r="AV202" s="557"/>
      <c r="AW202" s="557"/>
      <c r="AX202" s="557"/>
      <c r="AY202" s="557"/>
      <c r="AZ202" s="557"/>
      <c r="BA202" s="557"/>
      <c r="BB202" s="557"/>
      <c r="BC202" s="557"/>
      <c r="BD202" s="553"/>
      <c r="BE202" s="596"/>
      <c r="BF202" s="596"/>
      <c r="BG202" s="596"/>
      <c r="BH202" s="596"/>
      <c r="BI202" s="596"/>
      <c r="BJ202" s="596"/>
      <c r="BK202" s="596"/>
      <c r="BL202" s="596"/>
      <c r="BM202" s="596"/>
      <c r="BN202" s="596"/>
      <c r="BO202" s="596"/>
      <c r="BP202" s="596"/>
      <c r="BQ202" s="596"/>
      <c r="BR202" s="596"/>
      <c r="BS202" s="596"/>
      <c r="BT202" s="596"/>
    </row>
    <row r="203" spans="1:72" ht="15">
      <c r="A203" s="539"/>
      <c r="B203" s="539"/>
      <c r="C203" s="539"/>
      <c r="D203" s="539"/>
      <c r="E203" s="539"/>
      <c r="F203" s="539"/>
      <c r="G203" s="539"/>
      <c r="H203" s="539"/>
      <c r="I203" s="539"/>
      <c r="J203" s="539"/>
      <c r="K203" s="539"/>
      <c r="L203" s="539"/>
      <c r="M203" s="539"/>
      <c r="N203" s="539"/>
      <c r="O203" s="539"/>
      <c r="P203" s="539"/>
      <c r="Q203" s="539"/>
      <c r="R203" s="539"/>
      <c r="S203" s="557"/>
      <c r="T203" s="557"/>
      <c r="U203" s="557"/>
      <c r="V203" s="557"/>
      <c r="W203" s="539"/>
      <c r="X203" s="539"/>
      <c r="Y203" s="557"/>
      <c r="Z203" s="557"/>
      <c r="AA203" s="539"/>
      <c r="AB203" s="539"/>
      <c r="AC203" s="539"/>
      <c r="AD203" s="557"/>
      <c r="AE203" s="557"/>
      <c r="AF203" s="557"/>
      <c r="AG203" s="557"/>
      <c r="AH203" s="557"/>
      <c r="AI203" s="557"/>
      <c r="AJ203" s="557"/>
      <c r="AK203" s="557"/>
      <c r="AL203" s="557"/>
      <c r="AM203" s="557"/>
      <c r="AN203" s="557"/>
      <c r="AO203" s="557"/>
      <c r="AP203" s="557"/>
      <c r="AQ203" s="557"/>
      <c r="AR203" s="557"/>
      <c r="AS203" s="557"/>
      <c r="AT203" s="557"/>
      <c r="AU203" s="557"/>
      <c r="AV203" s="557"/>
      <c r="AW203" s="557"/>
      <c r="AX203" s="557"/>
      <c r="AY203" s="557"/>
      <c r="AZ203" s="557"/>
      <c r="BA203" s="557"/>
      <c r="BB203" s="557"/>
      <c r="BC203" s="557"/>
      <c r="BD203" s="553"/>
      <c r="BE203" s="596"/>
      <c r="BF203" s="596"/>
      <c r="BG203" s="596"/>
      <c r="BH203" s="596"/>
      <c r="BI203" s="596"/>
      <c r="BJ203" s="596"/>
      <c r="BK203" s="596"/>
      <c r="BL203" s="596"/>
      <c r="BM203" s="596"/>
      <c r="BN203" s="596"/>
      <c r="BO203" s="596"/>
      <c r="BP203" s="596"/>
      <c r="BQ203" s="596"/>
      <c r="BR203" s="596"/>
      <c r="BS203" s="596"/>
      <c r="BT203" s="596"/>
    </row>
    <row r="204" spans="1:72" ht="15">
      <c r="A204" s="539"/>
      <c r="B204" s="539"/>
      <c r="C204" s="539"/>
      <c r="D204" s="539"/>
      <c r="E204" s="539"/>
      <c r="F204" s="539"/>
      <c r="G204" s="539"/>
      <c r="H204" s="539"/>
      <c r="I204" s="539"/>
      <c r="J204" s="539"/>
      <c r="K204" s="539"/>
      <c r="L204" s="539"/>
      <c r="M204" s="539"/>
      <c r="N204" s="539"/>
      <c r="O204" s="539"/>
      <c r="P204" s="539"/>
      <c r="Q204" s="539"/>
      <c r="R204" s="539"/>
      <c r="S204" s="557"/>
      <c r="T204" s="557"/>
      <c r="U204" s="557"/>
      <c r="V204" s="557"/>
      <c r="W204" s="539"/>
      <c r="X204" s="539"/>
      <c r="Y204" s="557"/>
      <c r="Z204" s="557"/>
      <c r="AA204" s="539"/>
      <c r="AB204" s="539"/>
      <c r="AC204" s="539"/>
      <c r="AD204" s="557"/>
      <c r="AE204" s="557"/>
      <c r="AF204" s="557"/>
      <c r="AG204" s="557"/>
      <c r="AH204" s="557"/>
      <c r="AI204" s="557"/>
      <c r="AJ204" s="557"/>
      <c r="AK204" s="557"/>
      <c r="AL204" s="557"/>
      <c r="AM204" s="557"/>
      <c r="AN204" s="557"/>
      <c r="AO204" s="557"/>
      <c r="AP204" s="557"/>
      <c r="AQ204" s="557"/>
      <c r="AR204" s="557"/>
      <c r="AS204" s="557"/>
      <c r="AT204" s="557"/>
      <c r="AU204" s="557"/>
      <c r="AV204" s="557"/>
      <c r="AW204" s="557"/>
      <c r="AX204" s="557"/>
      <c r="AY204" s="557"/>
      <c r="AZ204" s="557"/>
      <c r="BA204" s="557"/>
      <c r="BB204" s="557"/>
      <c r="BC204" s="557"/>
      <c r="BD204" s="553"/>
      <c r="BE204" s="596"/>
      <c r="BF204" s="596"/>
      <c r="BG204" s="596"/>
      <c r="BH204" s="596"/>
      <c r="BI204" s="596"/>
      <c r="BJ204" s="596"/>
      <c r="BK204" s="596"/>
      <c r="BL204" s="596"/>
      <c r="BM204" s="596"/>
      <c r="BN204" s="596"/>
      <c r="BO204" s="596"/>
      <c r="BP204" s="596"/>
      <c r="BQ204" s="596"/>
      <c r="BR204" s="596"/>
      <c r="BS204" s="596"/>
      <c r="BT204" s="596"/>
    </row>
    <row r="205" spans="1:72" ht="15">
      <c r="A205" s="539"/>
      <c r="B205" s="539"/>
      <c r="C205" s="539"/>
      <c r="D205" s="539"/>
      <c r="E205" s="539"/>
      <c r="F205" s="539"/>
      <c r="G205" s="539"/>
      <c r="H205" s="539"/>
      <c r="I205" s="539"/>
      <c r="J205" s="539"/>
      <c r="K205" s="539"/>
      <c r="L205" s="539"/>
      <c r="M205" s="539"/>
      <c r="N205" s="539"/>
      <c r="O205" s="539"/>
      <c r="P205" s="539"/>
      <c r="Q205" s="539"/>
      <c r="R205" s="539"/>
      <c r="S205" s="557"/>
      <c r="T205" s="557"/>
      <c r="U205" s="557"/>
      <c r="V205" s="557"/>
      <c r="W205" s="539"/>
      <c r="X205" s="539"/>
      <c r="Y205" s="557"/>
      <c r="Z205" s="557"/>
      <c r="AA205" s="539"/>
      <c r="AB205" s="539"/>
      <c r="AC205" s="539"/>
      <c r="AD205" s="557"/>
      <c r="AE205" s="557"/>
      <c r="AF205" s="557"/>
      <c r="AG205" s="557"/>
      <c r="AH205" s="557"/>
      <c r="AI205" s="557"/>
      <c r="AJ205" s="557"/>
      <c r="AK205" s="557"/>
      <c r="AL205" s="557"/>
      <c r="AM205" s="557"/>
      <c r="AN205" s="557"/>
      <c r="AO205" s="557"/>
      <c r="AP205" s="557"/>
      <c r="AQ205" s="557"/>
      <c r="AR205" s="557"/>
      <c r="AS205" s="557"/>
      <c r="AT205" s="557"/>
      <c r="AU205" s="557"/>
      <c r="AV205" s="557"/>
      <c r="AW205" s="557"/>
      <c r="AX205" s="557"/>
      <c r="AY205" s="557"/>
      <c r="AZ205" s="557"/>
      <c r="BA205" s="557"/>
      <c r="BB205" s="557"/>
      <c r="BC205" s="557"/>
      <c r="BD205" s="553"/>
      <c r="BE205" s="596"/>
      <c r="BF205" s="596"/>
      <c r="BG205" s="596"/>
      <c r="BH205" s="596"/>
      <c r="BI205" s="596"/>
      <c r="BJ205" s="596"/>
      <c r="BK205" s="596"/>
      <c r="BL205" s="596"/>
      <c r="BM205" s="596"/>
      <c r="BN205" s="596"/>
      <c r="BO205" s="596"/>
      <c r="BP205" s="596"/>
      <c r="BQ205" s="596"/>
      <c r="BR205" s="596"/>
      <c r="BS205" s="596"/>
      <c r="BT205" s="596"/>
    </row>
    <row r="206" spans="1:72" ht="15">
      <c r="A206" s="539"/>
      <c r="B206" s="539"/>
      <c r="C206" s="539"/>
      <c r="D206" s="539"/>
      <c r="E206" s="539"/>
      <c r="F206" s="539"/>
      <c r="G206" s="539"/>
      <c r="H206" s="539"/>
      <c r="I206" s="539"/>
      <c r="J206" s="539"/>
      <c r="K206" s="539"/>
      <c r="L206" s="539"/>
      <c r="M206" s="539"/>
      <c r="N206" s="539"/>
      <c r="O206" s="539"/>
      <c r="P206" s="539"/>
      <c r="Q206" s="539"/>
      <c r="R206" s="539"/>
      <c r="S206" s="557"/>
      <c r="T206" s="557"/>
      <c r="U206" s="557"/>
      <c r="V206" s="557"/>
      <c r="W206" s="539"/>
      <c r="X206" s="539"/>
      <c r="Y206" s="557"/>
      <c r="Z206" s="557"/>
      <c r="AA206" s="539"/>
      <c r="AB206" s="539"/>
      <c r="AC206" s="539"/>
      <c r="AD206" s="557"/>
      <c r="AE206" s="557"/>
      <c r="AF206" s="557"/>
      <c r="AG206" s="557"/>
      <c r="AH206" s="557"/>
      <c r="AI206" s="557"/>
      <c r="AJ206" s="557"/>
      <c r="AK206" s="557"/>
      <c r="AL206" s="557"/>
      <c r="AM206" s="557"/>
      <c r="AN206" s="557"/>
      <c r="AO206" s="557"/>
      <c r="AP206" s="557"/>
      <c r="AQ206" s="557"/>
      <c r="AR206" s="557"/>
      <c r="AS206" s="557"/>
      <c r="AT206" s="557"/>
      <c r="AU206" s="557"/>
      <c r="AV206" s="557"/>
      <c r="AW206" s="557"/>
      <c r="AX206" s="557"/>
      <c r="AY206" s="557"/>
      <c r="AZ206" s="557"/>
      <c r="BA206" s="557"/>
      <c r="BB206" s="557"/>
      <c r="BC206" s="557"/>
      <c r="BD206" s="553"/>
      <c r="BE206" s="596"/>
      <c r="BF206" s="596"/>
      <c r="BG206" s="596"/>
      <c r="BH206" s="596"/>
      <c r="BI206" s="596"/>
      <c r="BJ206" s="596"/>
      <c r="BK206" s="596"/>
      <c r="BL206" s="596"/>
      <c r="BM206" s="596"/>
      <c r="BN206" s="596"/>
      <c r="BO206" s="596"/>
      <c r="BP206" s="596"/>
      <c r="BQ206" s="596"/>
      <c r="BR206" s="596"/>
      <c r="BS206" s="596"/>
      <c r="BT206" s="596"/>
    </row>
    <row r="207" spans="1:72" ht="15">
      <c r="A207" s="539"/>
      <c r="B207" s="539"/>
      <c r="C207" s="539"/>
      <c r="D207" s="539"/>
      <c r="E207" s="539"/>
      <c r="F207" s="539"/>
      <c r="G207" s="539"/>
      <c r="H207" s="539"/>
      <c r="I207" s="539"/>
      <c r="J207" s="539"/>
      <c r="K207" s="539"/>
      <c r="L207" s="539"/>
      <c r="M207" s="539"/>
      <c r="N207" s="539"/>
      <c r="O207" s="539"/>
      <c r="P207" s="539"/>
      <c r="Q207" s="539"/>
      <c r="R207" s="539"/>
      <c r="S207" s="557"/>
      <c r="T207" s="557"/>
      <c r="U207" s="557"/>
      <c r="V207" s="557"/>
      <c r="W207" s="539"/>
      <c r="X207" s="539"/>
      <c r="Y207" s="557"/>
      <c r="Z207" s="557"/>
      <c r="AA207" s="539"/>
      <c r="AB207" s="539"/>
      <c r="AC207" s="539"/>
      <c r="AD207" s="557"/>
      <c r="AE207" s="557"/>
      <c r="AF207" s="557"/>
      <c r="AG207" s="557"/>
      <c r="AH207" s="557"/>
      <c r="AI207" s="557"/>
      <c r="AJ207" s="557"/>
      <c r="AK207" s="557"/>
      <c r="AL207" s="557"/>
      <c r="AM207" s="557"/>
      <c r="AN207" s="557"/>
      <c r="AO207" s="557"/>
      <c r="AP207" s="557"/>
      <c r="AQ207" s="557"/>
      <c r="AR207" s="557"/>
      <c r="AS207" s="557"/>
      <c r="AT207" s="557"/>
      <c r="AU207" s="557"/>
      <c r="AV207" s="557"/>
      <c r="AW207" s="557"/>
      <c r="AX207" s="557"/>
      <c r="AY207" s="557"/>
      <c r="AZ207" s="557"/>
      <c r="BA207" s="557"/>
      <c r="BB207" s="557"/>
      <c r="BC207" s="557"/>
      <c r="BD207" s="553"/>
      <c r="BE207" s="596"/>
      <c r="BF207" s="596"/>
      <c r="BG207" s="596"/>
      <c r="BH207" s="596"/>
      <c r="BI207" s="596"/>
      <c r="BJ207" s="596"/>
      <c r="BK207" s="596"/>
      <c r="BL207" s="596"/>
      <c r="BM207" s="596"/>
      <c r="BN207" s="596"/>
      <c r="BO207" s="596"/>
      <c r="BP207" s="596"/>
      <c r="BQ207" s="596"/>
      <c r="BR207" s="596"/>
      <c r="BS207" s="596"/>
      <c r="BT207" s="596"/>
    </row>
    <row r="208" spans="1:72" ht="15">
      <c r="A208" s="539"/>
      <c r="B208" s="539"/>
      <c r="C208" s="539"/>
      <c r="D208" s="539"/>
      <c r="E208" s="539"/>
      <c r="F208" s="539"/>
      <c r="G208" s="539"/>
      <c r="H208" s="539"/>
      <c r="I208" s="539"/>
      <c r="J208" s="539"/>
      <c r="K208" s="539"/>
      <c r="L208" s="539"/>
      <c r="M208" s="539"/>
      <c r="N208" s="539"/>
      <c r="O208" s="539"/>
      <c r="P208" s="539"/>
      <c r="Q208" s="539"/>
      <c r="R208" s="539"/>
      <c r="S208" s="557"/>
      <c r="T208" s="557"/>
      <c r="U208" s="557"/>
      <c r="V208" s="557"/>
      <c r="W208" s="539"/>
      <c r="X208" s="539"/>
      <c r="Y208" s="557"/>
      <c r="Z208" s="557"/>
      <c r="AA208" s="539"/>
      <c r="AB208" s="539"/>
      <c r="AC208" s="539"/>
      <c r="AD208" s="557"/>
      <c r="AE208" s="557"/>
      <c r="AF208" s="557"/>
      <c r="AG208" s="557"/>
      <c r="AH208" s="557"/>
      <c r="AI208" s="557"/>
      <c r="AJ208" s="557"/>
      <c r="AK208" s="557"/>
      <c r="AL208" s="557"/>
      <c r="AM208" s="557"/>
      <c r="AN208" s="557"/>
      <c r="AO208" s="557"/>
      <c r="AP208" s="557"/>
      <c r="AQ208" s="557"/>
      <c r="AR208" s="557"/>
      <c r="AS208" s="557"/>
      <c r="AT208" s="557"/>
      <c r="AU208" s="557"/>
      <c r="AV208" s="557"/>
      <c r="AW208" s="557"/>
      <c r="AX208" s="557"/>
      <c r="AY208" s="557"/>
      <c r="AZ208" s="557"/>
      <c r="BA208" s="557"/>
      <c r="BB208" s="557"/>
      <c r="BC208" s="557"/>
      <c r="BD208" s="553"/>
      <c r="BE208" s="596"/>
      <c r="BF208" s="596"/>
      <c r="BG208" s="596"/>
      <c r="BH208" s="596"/>
      <c r="BI208" s="596"/>
      <c r="BJ208" s="596"/>
      <c r="BK208" s="596"/>
      <c r="BL208" s="596"/>
      <c r="BM208" s="596"/>
      <c r="BN208" s="596"/>
      <c r="BO208" s="596"/>
      <c r="BP208" s="596"/>
      <c r="BQ208" s="596"/>
      <c r="BR208" s="596"/>
      <c r="BS208" s="596"/>
      <c r="BT208" s="596"/>
    </row>
    <row r="209" spans="1:72" ht="15">
      <c r="A209" s="539"/>
      <c r="B209" s="539"/>
      <c r="C209" s="539"/>
      <c r="D209" s="539"/>
      <c r="E209" s="539"/>
      <c r="F209" s="539"/>
      <c r="G209" s="539"/>
      <c r="H209" s="539"/>
      <c r="I209" s="539"/>
      <c r="J209" s="539"/>
      <c r="K209" s="539"/>
      <c r="L209" s="539"/>
      <c r="M209" s="539"/>
      <c r="N209" s="539"/>
      <c r="O209" s="539"/>
      <c r="P209" s="539"/>
      <c r="Q209" s="539"/>
      <c r="R209" s="539"/>
      <c r="S209" s="557"/>
      <c r="T209" s="557"/>
      <c r="U209" s="557"/>
      <c r="V209" s="557"/>
      <c r="W209" s="539"/>
      <c r="X209" s="539"/>
      <c r="Y209" s="557"/>
      <c r="Z209" s="557"/>
      <c r="AA209" s="539"/>
      <c r="AB209" s="539"/>
      <c r="AC209" s="539"/>
      <c r="AD209" s="557"/>
      <c r="AE209" s="557"/>
      <c r="AF209" s="557"/>
      <c r="AG209" s="557"/>
      <c r="AH209" s="557"/>
      <c r="AI209" s="557"/>
      <c r="AJ209" s="557"/>
      <c r="AK209" s="557"/>
      <c r="AL209" s="557"/>
      <c r="AM209" s="557"/>
      <c r="AN209" s="557"/>
      <c r="AO209" s="557"/>
      <c r="AP209" s="557"/>
      <c r="AQ209" s="557"/>
      <c r="AR209" s="557"/>
      <c r="AS209" s="557"/>
      <c r="AT209" s="557"/>
      <c r="AU209" s="557"/>
      <c r="AV209" s="557"/>
      <c r="AW209" s="557"/>
      <c r="AX209" s="557"/>
      <c r="AY209" s="557"/>
      <c r="AZ209" s="557"/>
      <c r="BA209" s="557"/>
      <c r="BB209" s="557"/>
      <c r="BC209" s="557"/>
      <c r="BD209" s="553"/>
      <c r="BE209" s="596"/>
      <c r="BF209" s="596"/>
      <c r="BG209" s="596"/>
      <c r="BH209" s="596"/>
      <c r="BI209" s="596"/>
      <c r="BJ209" s="596"/>
      <c r="BK209" s="596"/>
      <c r="BL209" s="596"/>
      <c r="BM209" s="596"/>
      <c r="BN209" s="596"/>
      <c r="BO209" s="596"/>
      <c r="BP209" s="596"/>
      <c r="BQ209" s="596"/>
      <c r="BR209" s="596"/>
      <c r="BS209" s="596"/>
      <c r="BT209" s="596"/>
    </row>
    <row r="210" spans="1:72" ht="15">
      <c r="A210" s="539"/>
      <c r="B210" s="539"/>
      <c r="C210" s="539"/>
      <c r="D210" s="539"/>
      <c r="E210" s="539"/>
      <c r="F210" s="539"/>
      <c r="G210" s="539"/>
      <c r="H210" s="539"/>
      <c r="I210" s="539"/>
      <c r="J210" s="539"/>
      <c r="K210" s="539"/>
      <c r="L210" s="539"/>
      <c r="M210" s="539"/>
      <c r="N210" s="539"/>
      <c r="O210" s="539"/>
      <c r="P210" s="539"/>
      <c r="Q210" s="539"/>
      <c r="R210" s="539"/>
      <c r="S210" s="557"/>
      <c r="T210" s="557"/>
      <c r="U210" s="557"/>
      <c r="V210" s="557"/>
      <c r="W210" s="539"/>
      <c r="X210" s="539"/>
      <c r="Y210" s="557"/>
      <c r="Z210" s="557"/>
      <c r="AA210" s="539"/>
      <c r="AB210" s="539"/>
      <c r="AC210" s="539"/>
      <c r="AD210" s="557"/>
      <c r="AE210" s="557"/>
      <c r="AF210" s="557"/>
      <c r="AG210" s="557"/>
      <c r="AH210" s="557"/>
      <c r="AI210" s="557"/>
      <c r="AJ210" s="557"/>
      <c r="AK210" s="557"/>
      <c r="AL210" s="557"/>
      <c r="AM210" s="557"/>
      <c r="AN210" s="557"/>
      <c r="AO210" s="557"/>
      <c r="AP210" s="557"/>
      <c r="AQ210" s="557"/>
      <c r="AR210" s="557"/>
      <c r="AS210" s="557"/>
      <c r="AT210" s="557"/>
      <c r="AU210" s="557"/>
      <c r="AV210" s="557"/>
      <c r="AW210" s="557"/>
      <c r="AX210" s="557"/>
      <c r="AY210" s="557"/>
      <c r="AZ210" s="557"/>
      <c r="BA210" s="557"/>
      <c r="BB210" s="557"/>
      <c r="BC210" s="557"/>
      <c r="BD210" s="553"/>
      <c r="BE210" s="596"/>
      <c r="BF210" s="596"/>
      <c r="BG210" s="596"/>
      <c r="BH210" s="596"/>
      <c r="BI210" s="596"/>
      <c r="BJ210" s="596"/>
      <c r="BK210" s="596"/>
      <c r="BL210" s="596"/>
      <c r="BM210" s="596"/>
      <c r="BN210" s="596"/>
      <c r="BO210" s="596"/>
      <c r="BP210" s="596"/>
      <c r="BQ210" s="596"/>
      <c r="BR210" s="596"/>
      <c r="BS210" s="596"/>
      <c r="BT210" s="596"/>
    </row>
    <row r="211" spans="1:72" ht="15">
      <c r="A211" s="539"/>
      <c r="B211" s="539"/>
      <c r="C211" s="539"/>
      <c r="D211" s="539"/>
      <c r="E211" s="539"/>
      <c r="F211" s="539"/>
      <c r="G211" s="539"/>
      <c r="H211" s="539"/>
      <c r="I211" s="539"/>
      <c r="J211" s="539"/>
      <c r="K211" s="539"/>
      <c r="L211" s="539"/>
      <c r="M211" s="539"/>
      <c r="N211" s="539"/>
      <c r="O211" s="539"/>
      <c r="P211" s="539"/>
      <c r="Q211" s="539"/>
      <c r="R211" s="539"/>
      <c r="S211" s="557"/>
      <c r="T211" s="557"/>
      <c r="U211" s="557"/>
      <c r="V211" s="557"/>
      <c r="W211" s="539"/>
      <c r="X211" s="539"/>
      <c r="Y211" s="557"/>
      <c r="Z211" s="557"/>
      <c r="AA211" s="539"/>
      <c r="AB211" s="539"/>
      <c r="AC211" s="539"/>
      <c r="AD211" s="557"/>
      <c r="AE211" s="557"/>
      <c r="AF211" s="557"/>
      <c r="AG211" s="557"/>
      <c r="AH211" s="557"/>
      <c r="AI211" s="557"/>
      <c r="AJ211" s="557"/>
      <c r="AK211" s="557"/>
      <c r="AL211" s="557"/>
      <c r="AM211" s="557"/>
      <c r="AN211" s="557"/>
      <c r="AO211" s="557"/>
      <c r="AP211" s="557"/>
      <c r="AQ211" s="557"/>
      <c r="AR211" s="557"/>
      <c r="AS211" s="557"/>
      <c r="AT211" s="557"/>
      <c r="AU211" s="557"/>
      <c r="AV211" s="557"/>
      <c r="AW211" s="557"/>
      <c r="AX211" s="557"/>
      <c r="AY211" s="557"/>
      <c r="AZ211" s="557"/>
      <c r="BA211" s="557"/>
      <c r="BB211" s="557"/>
      <c r="BC211" s="557"/>
      <c r="BD211" s="553"/>
      <c r="BE211" s="596"/>
      <c r="BF211" s="596"/>
      <c r="BG211" s="596"/>
      <c r="BH211" s="596"/>
      <c r="BI211" s="596"/>
      <c r="BJ211" s="596"/>
      <c r="BK211" s="596"/>
      <c r="BL211" s="596"/>
      <c r="BM211" s="596"/>
      <c r="BN211" s="596"/>
      <c r="BO211" s="596"/>
      <c r="BP211" s="596"/>
      <c r="BQ211" s="596"/>
      <c r="BR211" s="596"/>
      <c r="BS211" s="596"/>
      <c r="BT211" s="596"/>
    </row>
    <row r="212" spans="1:72" ht="15">
      <c r="A212" s="539"/>
      <c r="B212" s="539"/>
      <c r="C212" s="539"/>
      <c r="D212" s="539"/>
      <c r="E212" s="539"/>
      <c r="F212" s="539"/>
      <c r="G212" s="539"/>
      <c r="H212" s="539"/>
      <c r="I212" s="539"/>
      <c r="J212" s="539"/>
      <c r="K212" s="539"/>
      <c r="L212" s="539"/>
      <c r="M212" s="539"/>
      <c r="N212" s="539"/>
      <c r="O212" s="539"/>
      <c r="P212" s="539"/>
      <c r="Q212" s="539"/>
      <c r="R212" s="539"/>
      <c r="S212" s="557"/>
      <c r="T212" s="557"/>
      <c r="U212" s="557"/>
      <c r="V212" s="557"/>
      <c r="W212" s="539"/>
      <c r="X212" s="539"/>
      <c r="Y212" s="557"/>
      <c r="Z212" s="557"/>
      <c r="AA212" s="539"/>
      <c r="AB212" s="539"/>
      <c r="AC212" s="539"/>
      <c r="AD212" s="557"/>
      <c r="AE212" s="557"/>
      <c r="AF212" s="557"/>
      <c r="AG212" s="557"/>
      <c r="AH212" s="557"/>
      <c r="AI212" s="557"/>
      <c r="AJ212" s="557"/>
      <c r="AK212" s="557"/>
      <c r="AL212" s="557"/>
      <c r="AM212" s="557"/>
      <c r="AN212" s="557"/>
      <c r="AO212" s="557"/>
      <c r="AP212" s="557"/>
      <c r="AQ212" s="557"/>
      <c r="AR212" s="557"/>
      <c r="AS212" s="557"/>
      <c r="AT212" s="557"/>
      <c r="AU212" s="557"/>
      <c r="AV212" s="557"/>
      <c r="AW212" s="557"/>
      <c r="AX212" s="557"/>
      <c r="AY212" s="557"/>
      <c r="AZ212" s="557"/>
      <c r="BA212" s="557"/>
      <c r="BB212" s="557"/>
      <c r="BC212" s="557"/>
      <c r="BD212" s="553"/>
      <c r="BE212" s="596"/>
      <c r="BF212" s="596"/>
      <c r="BG212" s="596"/>
      <c r="BH212" s="596"/>
      <c r="BI212" s="596"/>
      <c r="BJ212" s="596"/>
      <c r="BK212" s="596"/>
      <c r="BL212" s="596"/>
      <c r="BM212" s="596"/>
      <c r="BN212" s="596"/>
      <c r="BO212" s="596"/>
      <c r="BP212" s="596"/>
      <c r="BQ212" s="596"/>
      <c r="BR212" s="596"/>
      <c r="BS212" s="596"/>
      <c r="BT212" s="596"/>
    </row>
    <row r="213" spans="1:72" ht="15">
      <c r="A213" s="539"/>
      <c r="B213" s="539"/>
      <c r="C213" s="539"/>
      <c r="D213" s="539"/>
      <c r="E213" s="539"/>
      <c r="F213" s="539"/>
      <c r="G213" s="539"/>
      <c r="H213" s="539"/>
      <c r="I213" s="539"/>
      <c r="J213" s="539"/>
      <c r="K213" s="539"/>
      <c r="L213" s="539"/>
      <c r="M213" s="539"/>
      <c r="N213" s="539"/>
      <c r="O213" s="539"/>
      <c r="P213" s="539"/>
      <c r="Q213" s="539"/>
      <c r="R213" s="539"/>
      <c r="S213" s="557"/>
      <c r="T213" s="557"/>
      <c r="U213" s="557"/>
      <c r="V213" s="557"/>
      <c r="W213" s="539"/>
      <c r="X213" s="539"/>
      <c r="Y213" s="557"/>
      <c r="Z213" s="557"/>
      <c r="AA213" s="539"/>
      <c r="AB213" s="539"/>
      <c r="AC213" s="539"/>
      <c r="AD213" s="557"/>
      <c r="AE213" s="557"/>
      <c r="AF213" s="557"/>
      <c r="AG213" s="557"/>
      <c r="AH213" s="557"/>
      <c r="AI213" s="557"/>
      <c r="AJ213" s="557"/>
      <c r="AK213" s="557"/>
      <c r="AL213" s="557"/>
      <c r="AM213" s="557"/>
      <c r="AN213" s="557"/>
      <c r="AO213" s="557"/>
      <c r="AP213" s="557"/>
      <c r="AQ213" s="557"/>
      <c r="AR213" s="557"/>
      <c r="AS213" s="557"/>
      <c r="AT213" s="557"/>
      <c r="AU213" s="557"/>
      <c r="AV213" s="557"/>
      <c r="AW213" s="557"/>
      <c r="AX213" s="557"/>
      <c r="AY213" s="557"/>
      <c r="AZ213" s="557"/>
      <c r="BA213" s="557"/>
      <c r="BB213" s="557"/>
      <c r="BC213" s="557"/>
      <c r="BD213" s="553"/>
      <c r="BE213" s="596"/>
      <c r="BF213" s="596"/>
      <c r="BG213" s="596"/>
      <c r="BH213" s="596"/>
      <c r="BI213" s="596"/>
      <c r="BJ213" s="596"/>
      <c r="BK213" s="596"/>
      <c r="BL213" s="596"/>
      <c r="BM213" s="596"/>
      <c r="BN213" s="596"/>
      <c r="BO213" s="596"/>
      <c r="BP213" s="596"/>
      <c r="BQ213" s="596"/>
      <c r="BR213" s="596"/>
      <c r="BS213" s="596"/>
      <c r="BT213" s="596"/>
    </row>
    <row r="214" spans="1:72" ht="15">
      <c r="A214" s="539"/>
      <c r="B214" s="539"/>
      <c r="C214" s="539"/>
      <c r="D214" s="539"/>
      <c r="E214" s="539"/>
      <c r="F214" s="539"/>
      <c r="G214" s="539"/>
      <c r="H214" s="539"/>
      <c r="I214" s="539"/>
      <c r="J214" s="539"/>
      <c r="K214" s="539"/>
      <c r="L214" s="539"/>
      <c r="M214" s="539"/>
      <c r="N214" s="539"/>
      <c r="O214" s="539"/>
      <c r="P214" s="539"/>
      <c r="Q214" s="539"/>
      <c r="R214" s="539"/>
      <c r="S214" s="557"/>
      <c r="T214" s="557"/>
      <c r="U214" s="557"/>
      <c r="V214" s="557"/>
      <c r="W214" s="539"/>
      <c r="X214" s="539"/>
      <c r="Y214" s="557"/>
      <c r="Z214" s="557"/>
      <c r="AA214" s="539"/>
      <c r="AB214" s="539"/>
      <c r="AC214" s="539"/>
      <c r="AD214" s="557"/>
      <c r="AE214" s="557"/>
      <c r="AF214" s="557"/>
      <c r="AG214" s="557"/>
      <c r="AH214" s="557"/>
      <c r="AI214" s="557"/>
      <c r="AJ214" s="557"/>
      <c r="AK214" s="557"/>
      <c r="AL214" s="557"/>
      <c r="AM214" s="557"/>
      <c r="AN214" s="557"/>
      <c r="AO214" s="557"/>
      <c r="AP214" s="557"/>
      <c r="AQ214" s="557"/>
      <c r="AR214" s="557"/>
      <c r="AS214" s="557"/>
      <c r="AT214" s="557"/>
      <c r="AU214" s="557"/>
      <c r="AV214" s="557"/>
      <c r="AW214" s="557"/>
      <c r="AX214" s="557"/>
      <c r="AY214" s="557"/>
      <c r="AZ214" s="557"/>
      <c r="BA214" s="557"/>
      <c r="BB214" s="557"/>
      <c r="BC214" s="557"/>
      <c r="BD214" s="553"/>
      <c r="BE214" s="596"/>
      <c r="BF214" s="596"/>
      <c r="BG214" s="596"/>
      <c r="BH214" s="596"/>
      <c r="BI214" s="596"/>
      <c r="BJ214" s="596"/>
      <c r="BK214" s="596"/>
      <c r="BL214" s="596"/>
      <c r="BM214" s="596"/>
      <c r="BN214" s="596"/>
      <c r="BO214" s="596"/>
      <c r="BP214" s="596"/>
      <c r="BQ214" s="596"/>
      <c r="BR214" s="596"/>
      <c r="BS214" s="596"/>
      <c r="BT214" s="596"/>
    </row>
    <row r="215" spans="1:72" ht="15">
      <c r="A215" s="539"/>
      <c r="B215" s="539"/>
      <c r="C215" s="539"/>
      <c r="D215" s="539"/>
      <c r="E215" s="539"/>
      <c r="F215" s="539"/>
      <c r="G215" s="539"/>
      <c r="H215" s="539"/>
      <c r="I215" s="539"/>
      <c r="J215" s="539"/>
      <c r="K215" s="539"/>
      <c r="L215" s="539"/>
      <c r="M215" s="539"/>
      <c r="N215" s="539"/>
      <c r="O215" s="539"/>
      <c r="P215" s="539"/>
      <c r="Q215" s="539"/>
      <c r="R215" s="539"/>
      <c r="S215" s="557"/>
      <c r="T215" s="557"/>
      <c r="U215" s="557"/>
      <c r="V215" s="557"/>
      <c r="W215" s="539"/>
      <c r="X215" s="539"/>
      <c r="Y215" s="557"/>
      <c r="Z215" s="557"/>
      <c r="AA215" s="539"/>
      <c r="AB215" s="539"/>
      <c r="AC215" s="539"/>
      <c r="AD215" s="557"/>
      <c r="AE215" s="557"/>
      <c r="AF215" s="557"/>
      <c r="AG215" s="557"/>
      <c r="AH215" s="557"/>
      <c r="AI215" s="557"/>
      <c r="AJ215" s="557"/>
      <c r="AK215" s="557"/>
      <c r="AL215" s="557"/>
      <c r="AM215" s="557"/>
      <c r="AN215" s="557"/>
      <c r="AO215" s="557"/>
      <c r="AP215" s="557"/>
      <c r="AQ215" s="557"/>
      <c r="AR215" s="557"/>
      <c r="AS215" s="557"/>
      <c r="AT215" s="557"/>
      <c r="AU215" s="557"/>
      <c r="AV215" s="557"/>
      <c r="AW215" s="557"/>
      <c r="AX215" s="557"/>
      <c r="AY215" s="557"/>
      <c r="AZ215" s="557"/>
      <c r="BA215" s="557"/>
      <c r="BB215" s="557"/>
      <c r="BC215" s="557"/>
      <c r="BD215" s="553"/>
      <c r="BE215" s="596"/>
      <c r="BF215" s="596"/>
      <c r="BG215" s="596"/>
      <c r="BH215" s="596"/>
      <c r="BI215" s="596"/>
      <c r="BJ215" s="596"/>
      <c r="BK215" s="596"/>
      <c r="BL215" s="596"/>
      <c r="BM215" s="596"/>
      <c r="BN215" s="596"/>
      <c r="BO215" s="596"/>
      <c r="BP215" s="596"/>
      <c r="BQ215" s="596"/>
      <c r="BR215" s="596"/>
      <c r="BS215" s="596"/>
      <c r="BT215" s="596"/>
    </row>
    <row r="216" spans="1:72" ht="15">
      <c r="A216" s="539"/>
      <c r="B216" s="539"/>
      <c r="C216" s="539"/>
      <c r="D216" s="539"/>
      <c r="E216" s="539"/>
      <c r="F216" s="539"/>
      <c r="G216" s="539"/>
      <c r="H216" s="539"/>
      <c r="I216" s="539"/>
      <c r="J216" s="539"/>
      <c r="K216" s="539"/>
      <c r="L216" s="539"/>
      <c r="M216" s="539"/>
      <c r="N216" s="539"/>
      <c r="O216" s="539"/>
      <c r="P216" s="539"/>
      <c r="Q216" s="539"/>
      <c r="R216" s="539"/>
      <c r="S216" s="557"/>
      <c r="T216" s="557"/>
      <c r="U216" s="557"/>
      <c r="V216" s="557"/>
      <c r="W216" s="539"/>
      <c r="X216" s="539"/>
      <c r="Y216" s="557"/>
      <c r="Z216" s="557"/>
      <c r="AA216" s="539"/>
      <c r="AB216" s="539"/>
      <c r="AC216" s="539"/>
      <c r="AD216" s="557"/>
      <c r="AE216" s="557"/>
      <c r="AF216" s="557"/>
      <c r="AG216" s="557"/>
      <c r="AH216" s="557"/>
      <c r="AI216" s="557"/>
      <c r="AJ216" s="557"/>
      <c r="AK216" s="557"/>
      <c r="AL216" s="557"/>
      <c r="AM216" s="557"/>
      <c r="AN216" s="557"/>
      <c r="AO216" s="557"/>
      <c r="AP216" s="557"/>
      <c r="AQ216" s="557"/>
      <c r="AR216" s="557"/>
      <c r="AS216" s="557"/>
      <c r="AT216" s="557"/>
      <c r="AU216" s="557"/>
      <c r="AV216" s="557"/>
      <c r="AW216" s="557"/>
      <c r="AX216" s="557"/>
      <c r="AY216" s="557"/>
      <c r="AZ216" s="557"/>
      <c r="BA216" s="557"/>
      <c r="BB216" s="557"/>
      <c r="BC216" s="557"/>
      <c r="BD216" s="553"/>
      <c r="BE216" s="596"/>
      <c r="BF216" s="596"/>
      <c r="BG216" s="596"/>
      <c r="BH216" s="596"/>
      <c r="BI216" s="596"/>
      <c r="BJ216" s="596"/>
      <c r="BK216" s="596"/>
      <c r="BL216" s="596"/>
      <c r="BM216" s="596"/>
      <c r="BN216" s="596"/>
      <c r="BO216" s="596"/>
      <c r="BP216" s="596"/>
      <c r="BQ216" s="596"/>
      <c r="BR216" s="596"/>
      <c r="BS216" s="596"/>
      <c r="BT216" s="596"/>
    </row>
    <row r="217" spans="1:72" ht="15">
      <c r="A217" s="539"/>
      <c r="B217" s="539"/>
      <c r="C217" s="539"/>
      <c r="D217" s="539"/>
      <c r="E217" s="539"/>
      <c r="F217" s="539"/>
      <c r="G217" s="539"/>
      <c r="H217" s="539"/>
      <c r="I217" s="539"/>
      <c r="J217" s="539"/>
      <c r="K217" s="539"/>
      <c r="L217" s="539"/>
      <c r="M217" s="539"/>
      <c r="N217" s="539"/>
      <c r="O217" s="539"/>
      <c r="P217" s="539"/>
      <c r="Q217" s="539"/>
      <c r="R217" s="539"/>
      <c r="S217" s="557"/>
      <c r="T217" s="557"/>
      <c r="U217" s="557"/>
      <c r="V217" s="557"/>
      <c r="W217" s="539"/>
      <c r="X217" s="539"/>
      <c r="Y217" s="557"/>
      <c r="Z217" s="557"/>
      <c r="AA217" s="539"/>
      <c r="AB217" s="539"/>
      <c r="AC217" s="539"/>
      <c r="AD217" s="557"/>
      <c r="AE217" s="557"/>
      <c r="AF217" s="557"/>
      <c r="AG217" s="557"/>
      <c r="AH217" s="557"/>
      <c r="AI217" s="557"/>
      <c r="AJ217" s="557"/>
      <c r="AK217" s="557"/>
      <c r="AL217" s="557"/>
      <c r="AM217" s="557"/>
      <c r="AN217" s="557"/>
      <c r="AO217" s="557"/>
      <c r="AP217" s="557"/>
      <c r="AQ217" s="557"/>
      <c r="AR217" s="557"/>
      <c r="AS217" s="557"/>
      <c r="AT217" s="557"/>
      <c r="AU217" s="557"/>
      <c r="AV217" s="557"/>
      <c r="AW217" s="557"/>
      <c r="AX217" s="557"/>
      <c r="AY217" s="557"/>
      <c r="AZ217" s="557"/>
      <c r="BA217" s="557"/>
      <c r="BB217" s="557"/>
      <c r="BC217" s="557"/>
      <c r="BD217" s="553"/>
      <c r="BE217" s="596"/>
      <c r="BF217" s="596"/>
      <c r="BG217" s="596"/>
      <c r="BH217" s="596"/>
      <c r="BI217" s="596"/>
      <c r="BJ217" s="596"/>
      <c r="BK217" s="596"/>
      <c r="BL217" s="596"/>
      <c r="BM217" s="596"/>
      <c r="BN217" s="596"/>
      <c r="BO217" s="596"/>
      <c r="BP217" s="596"/>
      <c r="BQ217" s="596"/>
      <c r="BR217" s="596"/>
      <c r="BS217" s="596"/>
      <c r="BT217" s="596"/>
    </row>
    <row r="218" spans="1:72" ht="15">
      <c r="A218" s="539"/>
      <c r="B218" s="539"/>
      <c r="C218" s="539"/>
      <c r="D218" s="539"/>
      <c r="E218" s="539"/>
      <c r="F218" s="539"/>
      <c r="G218" s="539"/>
      <c r="H218" s="539"/>
      <c r="I218" s="539"/>
      <c r="J218" s="539"/>
      <c r="K218" s="539"/>
      <c r="L218" s="539"/>
      <c r="M218" s="539"/>
      <c r="N218" s="539"/>
      <c r="O218" s="539"/>
      <c r="P218" s="539"/>
      <c r="Q218" s="539"/>
      <c r="R218" s="539"/>
      <c r="S218" s="557"/>
      <c r="T218" s="557"/>
      <c r="U218" s="557"/>
      <c r="V218" s="557"/>
      <c r="W218" s="539"/>
      <c r="X218" s="539"/>
      <c r="Y218" s="557"/>
      <c r="Z218" s="557"/>
      <c r="AA218" s="539"/>
      <c r="AB218" s="539"/>
      <c r="AC218" s="539"/>
      <c r="AD218" s="557"/>
      <c r="AE218" s="557"/>
      <c r="AF218" s="557"/>
      <c r="AG218" s="557"/>
      <c r="AH218" s="557"/>
      <c r="AI218" s="557"/>
      <c r="AJ218" s="557"/>
      <c r="AK218" s="557"/>
      <c r="AL218" s="557"/>
      <c r="AM218" s="557"/>
      <c r="AN218" s="557"/>
      <c r="AO218" s="557"/>
      <c r="AP218" s="557"/>
      <c r="AQ218" s="557"/>
      <c r="AR218" s="557"/>
      <c r="AS218" s="557"/>
      <c r="AT218" s="557"/>
      <c r="AU218" s="557"/>
      <c r="AV218" s="557"/>
      <c r="AW218" s="557"/>
      <c r="AX218" s="557"/>
      <c r="AY218" s="557"/>
      <c r="AZ218" s="557"/>
      <c r="BA218" s="557"/>
      <c r="BB218" s="557"/>
      <c r="BC218" s="557"/>
      <c r="BD218" s="553"/>
      <c r="BE218" s="596"/>
      <c r="BF218" s="596"/>
      <c r="BG218" s="596"/>
      <c r="BH218" s="596"/>
      <c r="BI218" s="596"/>
      <c r="BJ218" s="596"/>
      <c r="BK218" s="596"/>
      <c r="BL218" s="596"/>
      <c r="BM218" s="596"/>
      <c r="BN218" s="596"/>
      <c r="BO218" s="596"/>
      <c r="BP218" s="596"/>
      <c r="BQ218" s="596"/>
      <c r="BR218" s="596"/>
      <c r="BS218" s="596"/>
      <c r="BT218" s="596"/>
    </row>
    <row r="219" spans="1:72" ht="15">
      <c r="A219" s="539"/>
      <c r="B219" s="539"/>
      <c r="C219" s="539"/>
      <c r="D219" s="539"/>
      <c r="E219" s="539"/>
      <c r="F219" s="539"/>
      <c r="G219" s="539"/>
      <c r="H219" s="539"/>
      <c r="I219" s="539"/>
      <c r="J219" s="539"/>
      <c r="K219" s="539"/>
      <c r="L219" s="539"/>
      <c r="M219" s="539"/>
      <c r="N219" s="539"/>
      <c r="O219" s="539"/>
      <c r="P219" s="539"/>
      <c r="Q219" s="539"/>
      <c r="R219" s="539"/>
      <c r="S219" s="557"/>
      <c r="T219" s="557"/>
      <c r="U219" s="557"/>
      <c r="V219" s="557"/>
      <c r="W219" s="539"/>
      <c r="X219" s="539"/>
      <c r="Y219" s="557"/>
      <c r="Z219" s="557"/>
      <c r="AA219" s="539"/>
      <c r="AB219" s="539"/>
      <c r="AC219" s="539"/>
      <c r="AD219" s="557"/>
      <c r="AE219" s="557"/>
      <c r="AF219" s="557"/>
      <c r="AG219" s="557"/>
      <c r="AH219" s="557"/>
      <c r="AI219" s="557"/>
      <c r="AJ219" s="557"/>
      <c r="AK219" s="557"/>
      <c r="AL219" s="557"/>
      <c r="AM219" s="557"/>
      <c r="AN219" s="557"/>
      <c r="AO219" s="557"/>
      <c r="AP219" s="557"/>
      <c r="AQ219" s="557"/>
      <c r="AR219" s="557"/>
      <c r="AS219" s="557"/>
      <c r="AT219" s="557"/>
      <c r="AU219" s="557"/>
      <c r="AV219" s="557"/>
      <c r="AW219" s="557"/>
      <c r="AX219" s="557"/>
      <c r="AY219" s="557"/>
      <c r="AZ219" s="557"/>
      <c r="BA219" s="557"/>
      <c r="BB219" s="557"/>
      <c r="BC219" s="557"/>
      <c r="BD219" s="553"/>
      <c r="BE219" s="596"/>
      <c r="BF219" s="596"/>
      <c r="BG219" s="596"/>
      <c r="BH219" s="596"/>
      <c r="BI219" s="596"/>
      <c r="BJ219" s="596"/>
      <c r="BK219" s="596"/>
      <c r="BL219" s="596"/>
      <c r="BM219" s="596"/>
      <c r="BN219" s="596"/>
      <c r="BO219" s="596"/>
      <c r="BP219" s="596"/>
      <c r="BQ219" s="596"/>
      <c r="BR219" s="596"/>
      <c r="BS219" s="596"/>
      <c r="BT219" s="596"/>
    </row>
    <row r="220" spans="1:72" ht="15">
      <c r="A220" s="539"/>
      <c r="B220" s="539"/>
      <c r="C220" s="539"/>
      <c r="D220" s="539"/>
      <c r="E220" s="539"/>
      <c r="F220" s="539"/>
      <c r="G220" s="539"/>
      <c r="H220" s="539"/>
      <c r="I220" s="539"/>
      <c r="J220" s="539"/>
      <c r="K220" s="539"/>
      <c r="L220" s="539"/>
      <c r="M220" s="539"/>
      <c r="N220" s="539"/>
      <c r="O220" s="539"/>
      <c r="P220" s="539"/>
      <c r="Q220" s="539"/>
      <c r="R220" s="539"/>
      <c r="S220" s="557"/>
      <c r="T220" s="557"/>
      <c r="U220" s="557"/>
      <c r="V220" s="557"/>
      <c r="W220" s="539"/>
      <c r="X220" s="539"/>
      <c r="Y220" s="557"/>
      <c r="Z220" s="557"/>
      <c r="AA220" s="539"/>
      <c r="AB220" s="539"/>
      <c r="AC220" s="539"/>
      <c r="AD220" s="557"/>
      <c r="AE220" s="557"/>
      <c r="AF220" s="557"/>
      <c r="AG220" s="557"/>
      <c r="AH220" s="557"/>
      <c r="AI220" s="557"/>
      <c r="AJ220" s="557"/>
      <c r="AK220" s="557"/>
      <c r="AL220" s="557"/>
      <c r="AM220" s="557"/>
      <c r="AN220" s="557"/>
      <c r="AO220" s="557"/>
      <c r="AP220" s="557"/>
      <c r="AQ220" s="557"/>
      <c r="AR220" s="557"/>
      <c r="AS220" s="557"/>
      <c r="AT220" s="557"/>
      <c r="AU220" s="557"/>
      <c r="AV220" s="557"/>
      <c r="AW220" s="557"/>
      <c r="AX220" s="557"/>
      <c r="AY220" s="557"/>
      <c r="AZ220" s="557"/>
      <c r="BA220" s="557"/>
      <c r="BB220" s="557"/>
      <c r="BC220" s="557"/>
      <c r="BD220" s="553"/>
      <c r="BE220" s="596"/>
      <c r="BF220" s="596"/>
      <c r="BG220" s="596"/>
      <c r="BH220" s="596"/>
      <c r="BI220" s="596"/>
      <c r="BJ220" s="596"/>
      <c r="BK220" s="596"/>
      <c r="BL220" s="596"/>
      <c r="BM220" s="596"/>
      <c r="BN220" s="596"/>
      <c r="BO220" s="596"/>
      <c r="BP220" s="596"/>
      <c r="BQ220" s="596"/>
      <c r="BR220" s="596"/>
      <c r="BS220" s="596"/>
      <c r="BT220" s="596"/>
    </row>
    <row r="221" spans="1:72" ht="15">
      <c r="A221" s="539"/>
      <c r="B221" s="539"/>
      <c r="C221" s="539"/>
      <c r="D221" s="539"/>
      <c r="E221" s="539"/>
      <c r="F221" s="539"/>
      <c r="G221" s="539"/>
      <c r="H221" s="539"/>
      <c r="I221" s="539"/>
      <c r="J221" s="539"/>
      <c r="K221" s="539"/>
      <c r="L221" s="539"/>
      <c r="M221" s="539"/>
      <c r="N221" s="539"/>
      <c r="O221" s="539"/>
      <c r="P221" s="539"/>
      <c r="Q221" s="539"/>
      <c r="R221" s="539"/>
      <c r="S221" s="557"/>
      <c r="T221" s="557"/>
      <c r="U221" s="557"/>
      <c r="V221" s="557"/>
      <c r="W221" s="539"/>
      <c r="X221" s="539"/>
      <c r="Y221" s="557"/>
      <c r="Z221" s="557"/>
      <c r="AA221" s="539"/>
      <c r="AB221" s="539"/>
      <c r="AC221" s="539"/>
      <c r="AD221" s="557"/>
      <c r="AE221" s="557"/>
      <c r="AF221" s="557"/>
      <c r="AG221" s="557"/>
      <c r="AH221" s="557"/>
      <c r="AI221" s="557"/>
      <c r="AJ221" s="557"/>
      <c r="AK221" s="557"/>
      <c r="AL221" s="557"/>
      <c r="AM221" s="557"/>
      <c r="AN221" s="557"/>
      <c r="AO221" s="557"/>
      <c r="AP221" s="557"/>
      <c r="AQ221" s="557"/>
      <c r="AR221" s="557"/>
      <c r="AS221" s="557"/>
      <c r="AT221" s="557"/>
      <c r="AU221" s="557"/>
      <c r="AV221" s="557"/>
      <c r="AW221" s="557"/>
      <c r="AX221" s="557"/>
      <c r="AY221" s="557"/>
      <c r="AZ221" s="557"/>
      <c r="BA221" s="557"/>
      <c r="BB221" s="557"/>
      <c r="BC221" s="557"/>
      <c r="BD221" s="553"/>
      <c r="BE221" s="596"/>
      <c r="BF221" s="596"/>
      <c r="BG221" s="596"/>
      <c r="BH221" s="596"/>
      <c r="BI221" s="596"/>
      <c r="BJ221" s="596"/>
      <c r="BK221" s="596"/>
      <c r="BL221" s="596"/>
      <c r="BM221" s="596"/>
      <c r="BN221" s="596"/>
      <c r="BO221" s="596"/>
      <c r="BP221" s="596"/>
      <c r="BQ221" s="596"/>
      <c r="BR221" s="596"/>
      <c r="BS221" s="596"/>
      <c r="BT221" s="596"/>
    </row>
    <row r="222" spans="1:72" ht="15">
      <c r="A222" s="539"/>
      <c r="B222" s="539"/>
      <c r="C222" s="539"/>
      <c r="D222" s="539"/>
      <c r="E222" s="539"/>
      <c r="F222" s="539"/>
      <c r="G222" s="539"/>
      <c r="H222" s="539"/>
      <c r="I222" s="539"/>
      <c r="J222" s="539"/>
      <c r="K222" s="539"/>
      <c r="L222" s="539"/>
      <c r="M222" s="539"/>
      <c r="N222" s="539"/>
      <c r="O222" s="539"/>
      <c r="P222" s="539"/>
      <c r="Q222" s="539"/>
      <c r="R222" s="539"/>
      <c r="S222" s="557"/>
      <c r="T222" s="557"/>
      <c r="U222" s="557"/>
      <c r="V222" s="557"/>
      <c r="W222" s="539"/>
      <c r="X222" s="539"/>
      <c r="Y222" s="557"/>
      <c r="Z222" s="557"/>
      <c r="AA222" s="539"/>
      <c r="AB222" s="539"/>
      <c r="AC222" s="539"/>
      <c r="AD222" s="557"/>
      <c r="AE222" s="557"/>
      <c r="AF222" s="557"/>
      <c r="AG222" s="557"/>
      <c r="AH222" s="557"/>
      <c r="AI222" s="557"/>
      <c r="AJ222" s="557"/>
      <c r="AK222" s="557"/>
      <c r="AL222" s="557"/>
      <c r="AM222" s="557"/>
      <c r="AN222" s="557"/>
      <c r="AO222" s="557"/>
      <c r="AP222" s="557"/>
      <c r="AQ222" s="557"/>
      <c r="AR222" s="557"/>
      <c r="AS222" s="557"/>
      <c r="AT222" s="557"/>
      <c r="AU222" s="557"/>
      <c r="AV222" s="557"/>
      <c r="AW222" s="557"/>
      <c r="AX222" s="557"/>
      <c r="AY222" s="557"/>
      <c r="AZ222" s="557"/>
      <c r="BA222" s="557"/>
      <c r="BB222" s="557"/>
      <c r="BC222" s="557"/>
      <c r="BD222" s="553"/>
      <c r="BE222" s="596"/>
      <c r="BF222" s="596"/>
      <c r="BG222" s="596"/>
      <c r="BH222" s="596"/>
      <c r="BI222" s="596"/>
      <c r="BJ222" s="596"/>
      <c r="BK222" s="596"/>
      <c r="BL222" s="596"/>
      <c r="BM222" s="596"/>
      <c r="BN222" s="596"/>
      <c r="BO222" s="596"/>
      <c r="BP222" s="596"/>
      <c r="BQ222" s="596"/>
      <c r="BR222" s="596"/>
      <c r="BS222" s="596"/>
      <c r="BT222" s="596"/>
    </row>
    <row r="223" spans="1:72" ht="15">
      <c r="A223" s="539"/>
      <c r="B223" s="539"/>
      <c r="C223" s="539"/>
      <c r="D223" s="539"/>
      <c r="E223" s="539"/>
      <c r="F223" s="539"/>
      <c r="G223" s="539"/>
      <c r="H223" s="539"/>
      <c r="I223" s="539"/>
      <c r="J223" s="539"/>
      <c r="K223" s="539"/>
      <c r="L223" s="539"/>
      <c r="M223" s="539"/>
      <c r="N223" s="539"/>
      <c r="O223" s="539"/>
      <c r="P223" s="539"/>
      <c r="Q223" s="539"/>
      <c r="R223" s="539"/>
      <c r="S223" s="557"/>
      <c r="T223" s="557"/>
      <c r="U223" s="557"/>
      <c r="V223" s="557"/>
      <c r="W223" s="539"/>
      <c r="X223" s="539"/>
      <c r="Y223" s="557"/>
      <c r="Z223" s="557"/>
      <c r="AA223" s="539"/>
      <c r="AB223" s="539"/>
      <c r="AC223" s="539"/>
      <c r="AD223" s="557"/>
      <c r="AE223" s="557"/>
      <c r="AF223" s="557"/>
      <c r="AG223" s="557"/>
      <c r="AH223" s="557"/>
      <c r="AI223" s="557"/>
      <c r="AJ223" s="557"/>
      <c r="AK223" s="557"/>
      <c r="AL223" s="557"/>
      <c r="AM223" s="557"/>
      <c r="AN223" s="557"/>
      <c r="AO223" s="557"/>
      <c r="AP223" s="557"/>
      <c r="AQ223" s="557"/>
      <c r="AR223" s="557"/>
      <c r="AS223" s="557"/>
      <c r="AT223" s="557"/>
      <c r="AU223" s="557"/>
      <c r="AV223" s="557"/>
      <c r="AW223" s="557"/>
      <c r="AX223" s="557"/>
      <c r="AY223" s="557"/>
      <c r="AZ223" s="557"/>
      <c r="BA223" s="557"/>
      <c r="BB223" s="557"/>
      <c r="BC223" s="557"/>
      <c r="BD223" s="553"/>
      <c r="BE223" s="596"/>
      <c r="BF223" s="596"/>
      <c r="BG223" s="596"/>
      <c r="BH223" s="596"/>
      <c r="BI223" s="596"/>
      <c r="BJ223" s="596"/>
      <c r="BK223" s="596"/>
      <c r="BL223" s="596"/>
      <c r="BM223" s="596"/>
      <c r="BN223" s="596"/>
      <c r="BO223" s="596"/>
      <c r="BP223" s="596"/>
      <c r="BQ223" s="596"/>
      <c r="BR223" s="596"/>
      <c r="BS223" s="596"/>
      <c r="BT223" s="596"/>
    </row>
    <row r="224" spans="1:72" ht="15">
      <c r="A224" s="539"/>
      <c r="B224" s="539"/>
      <c r="C224" s="539"/>
      <c r="D224" s="539"/>
      <c r="E224" s="539"/>
      <c r="F224" s="539"/>
      <c r="G224" s="539"/>
      <c r="H224" s="539"/>
      <c r="I224" s="539"/>
      <c r="J224" s="539"/>
      <c r="K224" s="539"/>
      <c r="L224" s="539"/>
      <c r="M224" s="539"/>
      <c r="N224" s="539"/>
      <c r="O224" s="539"/>
      <c r="P224" s="539"/>
      <c r="Q224" s="539"/>
      <c r="R224" s="539"/>
      <c r="S224" s="557"/>
      <c r="T224" s="557"/>
      <c r="U224" s="557"/>
      <c r="V224" s="557"/>
      <c r="W224" s="539"/>
      <c r="X224" s="539"/>
      <c r="Y224" s="557"/>
      <c r="Z224" s="557"/>
      <c r="AA224" s="539"/>
      <c r="AB224" s="539"/>
      <c r="AC224" s="539"/>
      <c r="AD224" s="557"/>
      <c r="AE224" s="557"/>
      <c r="AF224" s="557"/>
      <c r="AG224" s="557"/>
      <c r="AH224" s="557"/>
      <c r="AI224" s="557"/>
      <c r="AJ224" s="557"/>
      <c r="AK224" s="557"/>
      <c r="AL224" s="557"/>
      <c r="AM224" s="557"/>
      <c r="AN224" s="557"/>
      <c r="AO224" s="557"/>
      <c r="AP224" s="557"/>
      <c r="AQ224" s="557"/>
      <c r="AR224" s="557"/>
      <c r="AS224" s="557"/>
      <c r="AT224" s="557"/>
      <c r="AU224" s="557"/>
      <c r="AV224" s="557"/>
      <c r="AW224" s="557"/>
      <c r="AX224" s="557"/>
      <c r="AY224" s="557"/>
      <c r="AZ224" s="557"/>
      <c r="BA224" s="557"/>
      <c r="BB224" s="557"/>
      <c r="BC224" s="557"/>
      <c r="BD224" s="553"/>
      <c r="BE224" s="596"/>
      <c r="BF224" s="596"/>
      <c r="BG224" s="596"/>
      <c r="BH224" s="596"/>
      <c r="BI224" s="596"/>
      <c r="BJ224" s="596"/>
      <c r="BK224" s="596"/>
      <c r="BL224" s="596"/>
      <c r="BM224" s="596"/>
      <c r="BN224" s="596"/>
      <c r="BO224" s="596"/>
      <c r="BP224" s="596"/>
      <c r="BQ224" s="596"/>
      <c r="BR224" s="596"/>
      <c r="BS224" s="596"/>
      <c r="BT224" s="596"/>
    </row>
    <row r="225" spans="1:72" ht="15">
      <c r="A225" s="539"/>
      <c r="B225" s="539"/>
      <c r="C225" s="539"/>
      <c r="D225" s="539"/>
      <c r="E225" s="539"/>
      <c r="F225" s="539"/>
      <c r="G225" s="539"/>
      <c r="H225" s="539"/>
      <c r="I225" s="539"/>
      <c r="J225" s="539"/>
      <c r="K225" s="539"/>
      <c r="L225" s="539"/>
      <c r="M225" s="539"/>
      <c r="N225" s="539"/>
      <c r="O225" s="539"/>
      <c r="P225" s="539"/>
      <c r="Q225" s="539"/>
      <c r="R225" s="539"/>
      <c r="S225" s="557"/>
      <c r="T225" s="557"/>
      <c r="U225" s="557"/>
      <c r="V225" s="557"/>
      <c r="W225" s="539"/>
      <c r="X225" s="539"/>
      <c r="Y225" s="557"/>
      <c r="Z225" s="557"/>
      <c r="AA225" s="539"/>
      <c r="AB225" s="539"/>
      <c r="AC225" s="539"/>
      <c r="AD225" s="557"/>
      <c r="AE225" s="557"/>
      <c r="AF225" s="557"/>
      <c r="AG225" s="557"/>
      <c r="AH225" s="557"/>
      <c r="AI225" s="557"/>
      <c r="AJ225" s="557"/>
      <c r="AK225" s="557"/>
      <c r="AL225" s="557"/>
      <c r="AM225" s="557"/>
      <c r="AN225" s="557"/>
      <c r="AO225" s="557"/>
      <c r="AP225" s="557"/>
      <c r="AQ225" s="557"/>
      <c r="AR225" s="557"/>
      <c r="AS225" s="557"/>
      <c r="AT225" s="557"/>
      <c r="AU225" s="557"/>
      <c r="AV225" s="557"/>
      <c r="AW225" s="557"/>
      <c r="AX225" s="557"/>
      <c r="AY225" s="557"/>
      <c r="AZ225" s="557"/>
      <c r="BA225" s="557"/>
      <c r="BB225" s="557"/>
      <c r="BC225" s="557"/>
      <c r="BD225" s="553"/>
      <c r="BE225" s="596"/>
      <c r="BF225" s="596"/>
      <c r="BG225" s="596"/>
      <c r="BH225" s="596"/>
      <c r="BI225" s="596"/>
      <c r="BJ225" s="596"/>
      <c r="BK225" s="596"/>
      <c r="BL225" s="596"/>
      <c r="BM225" s="596"/>
      <c r="BN225" s="596"/>
      <c r="BO225" s="596"/>
      <c r="BP225" s="596"/>
      <c r="BQ225" s="596"/>
      <c r="BR225" s="596"/>
      <c r="BS225" s="596"/>
      <c r="BT225" s="596"/>
    </row>
    <row r="226" spans="1:72" ht="15">
      <c r="A226" s="539"/>
      <c r="B226" s="539"/>
      <c r="C226" s="539"/>
      <c r="D226" s="539"/>
      <c r="E226" s="539"/>
      <c r="F226" s="539"/>
      <c r="G226" s="539"/>
      <c r="H226" s="539"/>
      <c r="I226" s="539"/>
      <c r="J226" s="539"/>
      <c r="K226" s="539"/>
      <c r="L226" s="539"/>
      <c r="M226" s="539"/>
      <c r="N226" s="539"/>
      <c r="O226" s="539"/>
      <c r="P226" s="539"/>
      <c r="Q226" s="539"/>
      <c r="R226" s="539"/>
      <c r="S226" s="557"/>
      <c r="T226" s="557"/>
      <c r="U226" s="557"/>
      <c r="V226" s="557"/>
      <c r="W226" s="539"/>
      <c r="X226" s="539"/>
      <c r="Y226" s="557"/>
      <c r="Z226" s="557"/>
      <c r="AA226" s="539"/>
      <c r="AB226" s="539"/>
      <c r="AC226" s="539"/>
      <c r="AD226" s="557"/>
      <c r="AE226" s="557"/>
      <c r="AF226" s="557"/>
      <c r="AG226" s="557"/>
      <c r="AH226" s="557"/>
      <c r="AI226" s="557"/>
      <c r="AJ226" s="557"/>
      <c r="AK226" s="557"/>
      <c r="AL226" s="557"/>
      <c r="AM226" s="557"/>
      <c r="AN226" s="557"/>
      <c r="AO226" s="557"/>
      <c r="AP226" s="557"/>
      <c r="AQ226" s="557"/>
      <c r="AR226" s="557"/>
      <c r="AS226" s="557"/>
      <c r="AT226" s="557"/>
      <c r="AU226" s="557"/>
      <c r="AV226" s="557"/>
      <c r="AW226" s="557"/>
      <c r="AX226" s="557"/>
      <c r="AY226" s="557"/>
      <c r="AZ226" s="557"/>
      <c r="BA226" s="557"/>
      <c r="BB226" s="557"/>
      <c r="BC226" s="557"/>
      <c r="BD226" s="553"/>
      <c r="BE226" s="596"/>
      <c r="BF226" s="596"/>
      <c r="BG226" s="596"/>
      <c r="BH226" s="596"/>
      <c r="BI226" s="596"/>
      <c r="BJ226" s="596"/>
      <c r="BK226" s="596"/>
      <c r="BL226" s="596"/>
      <c r="BM226" s="596"/>
      <c r="BN226" s="596"/>
      <c r="BO226" s="596"/>
      <c r="BP226" s="596"/>
      <c r="BQ226" s="596"/>
      <c r="BR226" s="596"/>
      <c r="BS226" s="596"/>
      <c r="BT226" s="596"/>
    </row>
    <row r="227" spans="1:72" ht="15">
      <c r="A227" s="539"/>
      <c r="B227" s="539"/>
      <c r="C227" s="539"/>
      <c r="D227" s="539"/>
      <c r="E227" s="539"/>
      <c r="F227" s="539"/>
      <c r="G227" s="539"/>
      <c r="H227" s="539"/>
      <c r="I227" s="539"/>
      <c r="J227" s="539"/>
      <c r="K227" s="539"/>
      <c r="L227" s="539"/>
      <c r="M227" s="539"/>
      <c r="N227" s="539"/>
      <c r="O227" s="539"/>
      <c r="P227" s="539"/>
      <c r="Q227" s="539"/>
      <c r="R227" s="539"/>
      <c r="S227" s="557"/>
      <c r="T227" s="557"/>
      <c r="U227" s="557"/>
      <c r="V227" s="557"/>
      <c r="W227" s="539"/>
      <c r="X227" s="539"/>
      <c r="Y227" s="557"/>
      <c r="Z227" s="557"/>
      <c r="AA227" s="539"/>
      <c r="AB227" s="539"/>
      <c r="AC227" s="539"/>
      <c r="AD227" s="557"/>
      <c r="AE227" s="557"/>
      <c r="AF227" s="557"/>
      <c r="AG227" s="557"/>
      <c r="AH227" s="557"/>
      <c r="AI227" s="557"/>
      <c r="AJ227" s="557"/>
      <c r="AK227" s="557"/>
      <c r="AL227" s="557"/>
      <c r="AM227" s="557"/>
      <c r="AN227" s="557"/>
      <c r="AO227" s="557"/>
      <c r="AP227" s="557"/>
      <c r="AQ227" s="557"/>
      <c r="AR227" s="557"/>
      <c r="AS227" s="557"/>
      <c r="AT227" s="557"/>
      <c r="AU227" s="557"/>
      <c r="AV227" s="557"/>
      <c r="AW227" s="557"/>
      <c r="AX227" s="557"/>
      <c r="AY227" s="557"/>
      <c r="AZ227" s="557"/>
      <c r="BA227" s="557"/>
      <c r="BB227" s="557"/>
      <c r="BC227" s="557"/>
      <c r="BD227" s="553"/>
      <c r="BE227" s="596"/>
      <c r="BF227" s="596"/>
      <c r="BG227" s="596"/>
      <c r="BH227" s="596"/>
      <c r="BI227" s="596"/>
      <c r="BJ227" s="596"/>
      <c r="BK227" s="596"/>
      <c r="BL227" s="596"/>
      <c r="BM227" s="596"/>
      <c r="BN227" s="596"/>
      <c r="BO227" s="596"/>
      <c r="BP227" s="596"/>
      <c r="BQ227" s="596"/>
      <c r="BR227" s="596"/>
      <c r="BS227" s="596"/>
      <c r="BT227" s="596"/>
    </row>
    <row r="228" spans="1:72" ht="15">
      <c r="A228" s="539"/>
      <c r="B228" s="539"/>
      <c r="C228" s="539"/>
      <c r="D228" s="539"/>
      <c r="E228" s="539"/>
      <c r="F228" s="539"/>
      <c r="G228" s="539"/>
      <c r="H228" s="539"/>
      <c r="I228" s="539"/>
      <c r="J228" s="539"/>
      <c r="K228" s="539"/>
      <c r="L228" s="539"/>
      <c r="M228" s="539"/>
      <c r="N228" s="539"/>
      <c r="O228" s="539"/>
      <c r="P228" s="539"/>
      <c r="Q228" s="539"/>
      <c r="R228" s="539"/>
      <c r="S228" s="557"/>
      <c r="T228" s="557"/>
      <c r="U228" s="557"/>
      <c r="V228" s="557"/>
      <c r="W228" s="539"/>
      <c r="X228" s="539"/>
      <c r="Y228" s="557"/>
      <c r="Z228" s="557"/>
      <c r="AA228" s="539"/>
      <c r="AB228" s="539"/>
      <c r="AC228" s="539"/>
      <c r="AD228" s="557"/>
      <c r="AE228" s="557"/>
      <c r="AF228" s="557"/>
      <c r="AG228" s="557"/>
      <c r="AH228" s="557"/>
      <c r="AI228" s="557"/>
      <c r="AJ228" s="557"/>
      <c r="AK228" s="557"/>
      <c r="AL228" s="557"/>
      <c r="AM228" s="557"/>
      <c r="AN228" s="557"/>
      <c r="AO228" s="557"/>
      <c r="AP228" s="557"/>
      <c r="AQ228" s="557"/>
      <c r="AR228" s="557"/>
      <c r="AS228" s="557"/>
      <c r="AT228" s="557"/>
      <c r="AU228" s="557"/>
      <c r="AV228" s="557"/>
      <c r="AW228" s="557"/>
      <c r="AX228" s="557"/>
      <c r="AY228" s="557"/>
      <c r="AZ228" s="557"/>
      <c r="BA228" s="557"/>
      <c r="BB228" s="557"/>
      <c r="BC228" s="557"/>
      <c r="BD228" s="553"/>
      <c r="BE228" s="596"/>
      <c r="BF228" s="596"/>
      <c r="BG228" s="596"/>
      <c r="BH228" s="596"/>
      <c r="BI228" s="596"/>
      <c r="BJ228" s="596"/>
      <c r="BK228" s="596"/>
      <c r="BL228" s="596"/>
      <c r="BM228" s="596"/>
      <c r="BN228" s="596"/>
      <c r="BO228" s="596"/>
      <c r="BP228" s="596"/>
      <c r="BQ228" s="596"/>
      <c r="BR228" s="596"/>
      <c r="BS228" s="596"/>
      <c r="BT228" s="596"/>
    </row>
    <row r="229" spans="1:72" ht="15">
      <c r="A229" s="539"/>
      <c r="B229" s="539"/>
      <c r="C229" s="539"/>
      <c r="D229" s="539"/>
      <c r="E229" s="539"/>
      <c r="F229" s="539"/>
      <c r="G229" s="539"/>
      <c r="H229" s="539"/>
      <c r="I229" s="539"/>
      <c r="J229" s="539"/>
      <c r="K229" s="539"/>
      <c r="L229" s="539"/>
      <c r="M229" s="539"/>
      <c r="N229" s="539"/>
      <c r="O229" s="539"/>
      <c r="P229" s="539"/>
      <c r="Q229" s="539"/>
      <c r="R229" s="539"/>
      <c r="S229" s="557"/>
      <c r="T229" s="557"/>
      <c r="U229" s="557"/>
      <c r="V229" s="557"/>
      <c r="W229" s="539"/>
      <c r="X229" s="539"/>
      <c r="Y229" s="557"/>
      <c r="Z229" s="557"/>
      <c r="AA229" s="539"/>
      <c r="AB229" s="539"/>
      <c r="AC229" s="539"/>
      <c r="AD229" s="557"/>
      <c r="AE229" s="557"/>
      <c r="AF229" s="557"/>
      <c r="AG229" s="557"/>
      <c r="AH229" s="557"/>
      <c r="AI229" s="557"/>
      <c r="AJ229" s="557"/>
      <c r="AK229" s="557"/>
      <c r="AL229" s="557"/>
      <c r="AM229" s="557"/>
      <c r="AN229" s="557"/>
      <c r="AO229" s="557"/>
      <c r="AP229" s="557"/>
      <c r="AQ229" s="557"/>
      <c r="AR229" s="557"/>
      <c r="AS229" s="557"/>
      <c r="AT229" s="557"/>
      <c r="AU229" s="557"/>
      <c r="AV229" s="557"/>
      <c r="AW229" s="557"/>
      <c r="AX229" s="557"/>
      <c r="AY229" s="557"/>
      <c r="AZ229" s="557"/>
      <c r="BA229" s="557"/>
      <c r="BB229" s="557"/>
      <c r="BC229" s="557"/>
      <c r="BD229" s="553"/>
      <c r="BE229" s="596"/>
      <c r="BF229" s="596"/>
      <c r="BG229" s="596"/>
      <c r="BH229" s="596"/>
      <c r="BI229" s="596"/>
      <c r="BJ229" s="596"/>
      <c r="BK229" s="596"/>
      <c r="BL229" s="596"/>
      <c r="BM229" s="596"/>
      <c r="BN229" s="596"/>
      <c r="BO229" s="596"/>
      <c r="BP229" s="596"/>
      <c r="BQ229" s="596"/>
      <c r="BR229" s="596"/>
      <c r="BS229" s="596"/>
      <c r="BT229" s="596"/>
    </row>
    <row r="230" spans="1:72" ht="15">
      <c r="A230" s="539"/>
      <c r="B230" s="539"/>
      <c r="C230" s="539"/>
      <c r="D230" s="539"/>
      <c r="E230" s="539"/>
      <c r="F230" s="539"/>
      <c r="G230" s="539"/>
      <c r="H230" s="539"/>
      <c r="I230" s="539"/>
      <c r="J230" s="539"/>
      <c r="K230" s="539"/>
      <c r="L230" s="539"/>
      <c r="M230" s="539"/>
      <c r="N230" s="539"/>
      <c r="O230" s="539"/>
      <c r="P230" s="539"/>
      <c r="Q230" s="539"/>
      <c r="R230" s="539"/>
      <c r="S230" s="557"/>
      <c r="T230" s="557"/>
      <c r="U230" s="557"/>
      <c r="V230" s="557"/>
      <c r="W230" s="539"/>
      <c r="X230" s="539"/>
      <c r="Y230" s="557"/>
      <c r="Z230" s="557"/>
      <c r="AA230" s="539"/>
      <c r="AB230" s="539"/>
      <c r="AC230" s="539"/>
      <c r="AD230" s="557"/>
      <c r="AE230" s="557"/>
      <c r="AF230" s="557"/>
      <c r="AG230" s="557"/>
      <c r="AH230" s="557"/>
      <c r="AI230" s="557"/>
      <c r="AJ230" s="557"/>
      <c r="AK230" s="557"/>
      <c r="AL230" s="557"/>
      <c r="AM230" s="557"/>
      <c r="AN230" s="557"/>
      <c r="AO230" s="557"/>
      <c r="AP230" s="557"/>
      <c r="AQ230" s="557"/>
      <c r="AR230" s="557"/>
      <c r="AS230" s="557"/>
      <c r="AT230" s="557"/>
      <c r="AU230" s="557"/>
      <c r="AV230" s="557"/>
      <c r="AW230" s="557"/>
      <c r="AX230" s="557"/>
      <c r="AY230" s="557"/>
      <c r="AZ230" s="557"/>
      <c r="BA230" s="557"/>
      <c r="BB230" s="557"/>
      <c r="BC230" s="557"/>
      <c r="BD230" s="553"/>
      <c r="BE230" s="596"/>
      <c r="BF230" s="596"/>
      <c r="BG230" s="596"/>
      <c r="BH230" s="596"/>
      <c r="BI230" s="596"/>
      <c r="BJ230" s="596"/>
      <c r="BK230" s="596"/>
      <c r="BL230" s="596"/>
      <c r="BM230" s="596"/>
      <c r="BN230" s="596"/>
      <c r="BO230" s="596"/>
      <c r="BP230" s="596"/>
      <c r="BQ230" s="596"/>
      <c r="BR230" s="596"/>
      <c r="BS230" s="596"/>
      <c r="BT230" s="596"/>
    </row>
    <row r="231" spans="1:72" ht="15">
      <c r="A231" s="539"/>
      <c r="B231" s="539"/>
      <c r="C231" s="539"/>
      <c r="D231" s="539"/>
      <c r="E231" s="539"/>
      <c r="F231" s="539"/>
      <c r="G231" s="539"/>
      <c r="H231" s="539"/>
      <c r="I231" s="539"/>
      <c r="J231" s="539"/>
      <c r="K231" s="539"/>
      <c r="L231" s="539"/>
      <c r="M231" s="539"/>
      <c r="N231" s="539"/>
      <c r="O231" s="539"/>
      <c r="P231" s="539"/>
      <c r="Q231" s="539"/>
      <c r="R231" s="539"/>
      <c r="S231" s="557"/>
      <c r="T231" s="557"/>
      <c r="U231" s="557"/>
      <c r="V231" s="557"/>
      <c r="W231" s="539"/>
      <c r="X231" s="539"/>
      <c r="Y231" s="557"/>
      <c r="Z231" s="557"/>
      <c r="AA231" s="539"/>
      <c r="AB231" s="539"/>
      <c r="AC231" s="539"/>
      <c r="AD231" s="557"/>
      <c r="AE231" s="557"/>
      <c r="AF231" s="557"/>
      <c r="AG231" s="557"/>
      <c r="AH231" s="557"/>
      <c r="AI231" s="557"/>
      <c r="AJ231" s="557"/>
      <c r="AK231" s="557"/>
      <c r="AL231" s="557"/>
      <c r="AM231" s="557"/>
      <c r="AN231" s="557"/>
      <c r="AO231" s="557"/>
      <c r="AP231" s="557"/>
      <c r="AQ231" s="557"/>
      <c r="AR231" s="557"/>
      <c r="AS231" s="557"/>
      <c r="AT231" s="557"/>
      <c r="AU231" s="557"/>
      <c r="AV231" s="557"/>
      <c r="AW231" s="557"/>
      <c r="AX231" s="557"/>
      <c r="AY231" s="557"/>
      <c r="AZ231" s="557"/>
      <c r="BA231" s="557"/>
      <c r="BB231" s="557"/>
      <c r="BC231" s="557"/>
      <c r="BD231" s="553"/>
      <c r="BE231" s="596"/>
      <c r="BF231" s="596"/>
      <c r="BG231" s="596"/>
      <c r="BH231" s="596"/>
      <c r="BI231" s="596"/>
      <c r="BJ231" s="596"/>
      <c r="BK231" s="596"/>
      <c r="BL231" s="596"/>
      <c r="BM231" s="596"/>
      <c r="BN231" s="596"/>
      <c r="BO231" s="596"/>
      <c r="BP231" s="596"/>
      <c r="BQ231" s="596"/>
      <c r="BR231" s="596"/>
      <c r="BS231" s="596"/>
      <c r="BT231" s="596"/>
    </row>
    <row r="232" spans="1:72" ht="15">
      <c r="A232" s="539"/>
      <c r="B232" s="539"/>
      <c r="C232" s="539"/>
      <c r="D232" s="539"/>
      <c r="E232" s="539"/>
      <c r="F232" s="539"/>
      <c r="G232" s="539"/>
      <c r="H232" s="539"/>
      <c r="I232" s="539"/>
      <c r="J232" s="539"/>
      <c r="K232" s="539"/>
      <c r="L232" s="539"/>
      <c r="M232" s="539"/>
      <c r="N232" s="539"/>
      <c r="O232" s="539"/>
      <c r="P232" s="539"/>
      <c r="Q232" s="539"/>
      <c r="R232" s="539"/>
      <c r="S232" s="557"/>
      <c r="T232" s="557"/>
      <c r="U232" s="557"/>
      <c r="V232" s="557"/>
      <c r="W232" s="539"/>
      <c r="X232" s="539"/>
      <c r="Y232" s="557"/>
      <c r="Z232" s="557"/>
      <c r="AA232" s="539"/>
      <c r="AB232" s="539"/>
      <c r="AC232" s="539"/>
      <c r="AD232" s="557"/>
      <c r="AE232" s="557"/>
      <c r="AF232" s="557"/>
      <c r="AG232" s="557"/>
      <c r="AH232" s="557"/>
      <c r="AI232" s="557"/>
      <c r="AJ232" s="557"/>
      <c r="AK232" s="557"/>
      <c r="AL232" s="557"/>
      <c r="AM232" s="557"/>
      <c r="AN232" s="557"/>
      <c r="AO232" s="557"/>
      <c r="AP232" s="557"/>
      <c r="AQ232" s="557"/>
      <c r="AR232" s="557"/>
      <c r="AS232" s="557"/>
      <c r="AT232" s="557"/>
      <c r="AU232" s="557"/>
      <c r="AV232" s="557"/>
      <c r="AW232" s="557"/>
      <c r="AX232" s="557"/>
      <c r="AY232" s="557"/>
      <c r="AZ232" s="557"/>
      <c r="BA232" s="557"/>
      <c r="BB232" s="557"/>
      <c r="BC232" s="557"/>
      <c r="BD232" s="553"/>
      <c r="BE232" s="596"/>
      <c r="BF232" s="596"/>
      <c r="BG232" s="596"/>
      <c r="BH232" s="596"/>
      <c r="BI232" s="596"/>
      <c r="BJ232" s="596"/>
      <c r="BK232" s="596"/>
      <c r="BL232" s="596"/>
      <c r="BM232" s="596"/>
      <c r="BN232" s="596"/>
      <c r="BO232" s="596"/>
      <c r="BP232" s="596"/>
      <c r="BQ232" s="596"/>
      <c r="BR232" s="596"/>
      <c r="BS232" s="596"/>
      <c r="BT232" s="596"/>
    </row>
    <row r="233" spans="1:72" ht="15">
      <c r="A233" s="539"/>
      <c r="B233" s="539"/>
      <c r="C233" s="539"/>
      <c r="D233" s="539"/>
      <c r="E233" s="539"/>
      <c r="F233" s="539"/>
      <c r="G233" s="539"/>
      <c r="H233" s="539"/>
      <c r="I233" s="539"/>
      <c r="J233" s="539"/>
      <c r="K233" s="539"/>
      <c r="L233" s="539"/>
      <c r="M233" s="539"/>
      <c r="N233" s="539"/>
      <c r="O233" s="539"/>
      <c r="P233" s="539"/>
      <c r="Q233" s="539"/>
      <c r="R233" s="539"/>
      <c r="S233" s="557"/>
      <c r="T233" s="557"/>
      <c r="U233" s="557"/>
      <c r="V233" s="557"/>
      <c r="W233" s="539"/>
      <c r="X233" s="539"/>
      <c r="Y233" s="557"/>
      <c r="Z233" s="557"/>
      <c r="AA233" s="539"/>
      <c r="AB233" s="539"/>
      <c r="AC233" s="539"/>
      <c r="AD233" s="557"/>
      <c r="AE233" s="557"/>
      <c r="AF233" s="557"/>
      <c r="AG233" s="557"/>
      <c r="AH233" s="557"/>
      <c r="AI233" s="557"/>
      <c r="AJ233" s="557"/>
      <c r="AK233" s="557"/>
      <c r="AL233" s="557"/>
      <c r="AM233" s="557"/>
      <c r="AN233" s="557"/>
      <c r="AO233" s="557"/>
      <c r="AP233" s="557"/>
      <c r="AQ233" s="557"/>
      <c r="AR233" s="557"/>
      <c r="AS233" s="557"/>
      <c r="AT233" s="557"/>
      <c r="AU233" s="557"/>
      <c r="AV233" s="557"/>
      <c r="AW233" s="557"/>
      <c r="AX233" s="557"/>
      <c r="AY233" s="557"/>
      <c r="AZ233" s="557"/>
      <c r="BA233" s="557"/>
      <c r="BB233" s="557"/>
      <c r="BC233" s="557"/>
      <c r="BD233" s="553"/>
      <c r="BE233" s="596"/>
      <c r="BF233" s="596"/>
      <c r="BG233" s="596"/>
      <c r="BH233" s="596"/>
      <c r="BI233" s="596"/>
      <c r="BJ233" s="596"/>
      <c r="BK233" s="596"/>
      <c r="BL233" s="596"/>
      <c r="BM233" s="596"/>
      <c r="BN233" s="596"/>
      <c r="BO233" s="596"/>
      <c r="BP233" s="596"/>
      <c r="BQ233" s="596"/>
      <c r="BR233" s="596"/>
      <c r="BS233" s="596"/>
      <c r="BT233" s="596"/>
    </row>
    <row r="234" spans="1:72" ht="15">
      <c r="A234" s="539"/>
      <c r="B234" s="539"/>
      <c r="C234" s="539"/>
      <c r="D234" s="539"/>
      <c r="E234" s="539"/>
      <c r="F234" s="539"/>
      <c r="G234" s="539"/>
      <c r="H234" s="539"/>
      <c r="I234" s="539"/>
      <c r="J234" s="539"/>
      <c r="K234" s="539"/>
      <c r="L234" s="539"/>
      <c r="M234" s="539"/>
      <c r="N234" s="539"/>
      <c r="O234" s="539"/>
      <c r="P234" s="539"/>
      <c r="Q234" s="539"/>
      <c r="R234" s="539"/>
      <c r="S234" s="557"/>
      <c r="T234" s="557"/>
      <c r="U234" s="557"/>
      <c r="V234" s="557"/>
      <c r="W234" s="539"/>
      <c r="X234" s="539"/>
      <c r="Y234" s="557"/>
      <c r="Z234" s="557"/>
      <c r="AA234" s="539"/>
      <c r="AB234" s="539"/>
      <c r="AC234" s="539"/>
      <c r="AD234" s="557"/>
      <c r="AE234" s="557"/>
      <c r="AF234" s="557"/>
      <c r="AG234" s="557"/>
      <c r="AH234" s="557"/>
      <c r="AI234" s="557"/>
      <c r="AJ234" s="557"/>
      <c r="AK234" s="557"/>
      <c r="AL234" s="557"/>
      <c r="AM234" s="557"/>
      <c r="AN234" s="557"/>
      <c r="AO234" s="557"/>
      <c r="AP234" s="557"/>
      <c r="AQ234" s="557"/>
      <c r="AR234" s="557"/>
      <c r="AS234" s="557"/>
      <c r="AT234" s="557"/>
      <c r="AU234" s="557"/>
      <c r="AV234" s="557"/>
      <c r="AW234" s="557"/>
      <c r="AX234" s="557"/>
      <c r="AY234" s="557"/>
      <c r="AZ234" s="557"/>
      <c r="BA234" s="557"/>
      <c r="BB234" s="557"/>
      <c r="BC234" s="557"/>
      <c r="BD234" s="553"/>
      <c r="BE234" s="596"/>
      <c r="BF234" s="596"/>
      <c r="BG234" s="596"/>
      <c r="BH234" s="596"/>
      <c r="BI234" s="596"/>
      <c r="BJ234" s="596"/>
      <c r="BK234" s="596"/>
      <c r="BL234" s="596"/>
      <c r="BM234" s="596"/>
      <c r="BN234" s="596"/>
      <c r="BO234" s="596"/>
      <c r="BP234" s="596"/>
      <c r="BQ234" s="596"/>
      <c r="BR234" s="596"/>
      <c r="BS234" s="596"/>
      <c r="BT234" s="596"/>
    </row>
    <row r="235" spans="1:72" ht="15">
      <c r="A235" s="539"/>
      <c r="B235" s="539"/>
      <c r="C235" s="539"/>
      <c r="D235" s="539"/>
      <c r="E235" s="539"/>
      <c r="F235" s="539"/>
      <c r="G235" s="539"/>
      <c r="H235" s="539"/>
      <c r="I235" s="539"/>
      <c r="J235" s="539"/>
      <c r="K235" s="539"/>
      <c r="L235" s="539"/>
      <c r="M235" s="539"/>
      <c r="N235" s="539"/>
      <c r="O235" s="539"/>
      <c r="P235" s="539"/>
      <c r="Q235" s="539"/>
      <c r="R235" s="539"/>
      <c r="S235" s="557"/>
      <c r="T235" s="557"/>
      <c r="U235" s="557"/>
      <c r="V235" s="557"/>
      <c r="W235" s="539"/>
      <c r="X235" s="539"/>
      <c r="Y235" s="557"/>
      <c r="Z235" s="557"/>
      <c r="AA235" s="539"/>
      <c r="AB235" s="539"/>
      <c r="AC235" s="539"/>
      <c r="AD235" s="557"/>
      <c r="AE235" s="557"/>
      <c r="AF235" s="557"/>
      <c r="AG235" s="557"/>
      <c r="AH235" s="557"/>
      <c r="AI235" s="557"/>
      <c r="AJ235" s="557"/>
      <c r="AK235" s="557"/>
      <c r="AL235" s="557"/>
      <c r="AM235" s="557"/>
      <c r="AN235" s="557"/>
      <c r="AO235" s="557"/>
      <c r="AP235" s="557"/>
      <c r="AQ235" s="557"/>
      <c r="AR235" s="557"/>
      <c r="AS235" s="557"/>
      <c r="AT235" s="557"/>
      <c r="AU235" s="557"/>
      <c r="AV235" s="557"/>
      <c r="AW235" s="557"/>
      <c r="AX235" s="557"/>
      <c r="AY235" s="557"/>
      <c r="AZ235" s="557"/>
      <c r="BA235" s="557"/>
      <c r="BB235" s="557"/>
      <c r="BC235" s="557"/>
      <c r="BD235" s="553"/>
      <c r="BE235" s="596"/>
      <c r="BF235" s="596"/>
      <c r="BG235" s="596"/>
      <c r="BH235" s="596"/>
      <c r="BI235" s="596"/>
      <c r="BJ235" s="596"/>
      <c r="BK235" s="596"/>
      <c r="BL235" s="596"/>
      <c r="BM235" s="596"/>
      <c r="BN235" s="596"/>
      <c r="BO235" s="596"/>
      <c r="BP235" s="596"/>
      <c r="BQ235" s="596"/>
      <c r="BR235" s="596"/>
      <c r="BS235" s="596"/>
      <c r="BT235" s="596"/>
    </row>
    <row r="236" spans="1:72" ht="15">
      <c r="A236" s="539"/>
      <c r="B236" s="539"/>
      <c r="C236" s="539"/>
      <c r="D236" s="539"/>
      <c r="E236" s="539"/>
      <c r="F236" s="539"/>
      <c r="G236" s="539"/>
      <c r="H236" s="539"/>
      <c r="I236" s="539"/>
      <c r="J236" s="539"/>
      <c r="K236" s="539"/>
      <c r="L236" s="539"/>
      <c r="M236" s="539"/>
      <c r="N236" s="539"/>
      <c r="O236" s="539"/>
      <c r="P236" s="539"/>
      <c r="Q236" s="539"/>
      <c r="R236" s="539"/>
      <c r="S236" s="557"/>
      <c r="T236" s="557"/>
      <c r="U236" s="557"/>
      <c r="V236" s="557"/>
      <c r="W236" s="539"/>
      <c r="X236" s="539"/>
      <c r="Y236" s="557"/>
      <c r="Z236" s="557"/>
      <c r="AA236" s="539"/>
      <c r="AB236" s="539"/>
      <c r="AC236" s="539"/>
      <c r="AD236" s="557"/>
      <c r="AE236" s="557"/>
      <c r="AF236" s="557"/>
      <c r="AG236" s="557"/>
      <c r="AH236" s="557"/>
      <c r="AI236" s="557"/>
      <c r="AJ236" s="557"/>
      <c r="AK236" s="557"/>
      <c r="AL236" s="557"/>
      <c r="AM236" s="557"/>
      <c r="AN236" s="557"/>
      <c r="AO236" s="557"/>
      <c r="AP236" s="557"/>
      <c r="AQ236" s="557"/>
      <c r="AR236" s="557"/>
      <c r="AS236" s="557"/>
      <c r="AT236" s="557"/>
      <c r="AU236" s="557"/>
      <c r="AV236" s="557"/>
      <c r="AW236" s="557"/>
      <c r="AX236" s="557"/>
      <c r="AY236" s="557"/>
      <c r="AZ236" s="557"/>
      <c r="BA236" s="557"/>
      <c r="BB236" s="557"/>
      <c r="BC236" s="557"/>
      <c r="BD236" s="553"/>
      <c r="BE236" s="596"/>
      <c r="BF236" s="596"/>
      <c r="BG236" s="596"/>
      <c r="BH236" s="596"/>
      <c r="BI236" s="596"/>
      <c r="BJ236" s="596"/>
      <c r="BK236" s="596"/>
      <c r="BL236" s="596"/>
      <c r="BM236" s="596"/>
      <c r="BN236" s="596"/>
      <c r="BO236" s="596"/>
      <c r="BP236" s="596"/>
      <c r="BQ236" s="596"/>
      <c r="BR236" s="596"/>
      <c r="BS236" s="596"/>
      <c r="BT236" s="596"/>
    </row>
    <row r="237" spans="1:72" ht="15">
      <c r="A237" s="539"/>
      <c r="B237" s="539"/>
      <c r="C237" s="539"/>
      <c r="D237" s="539"/>
      <c r="E237" s="539"/>
      <c r="F237" s="539"/>
      <c r="G237" s="539"/>
      <c r="H237" s="539"/>
      <c r="I237" s="539"/>
      <c r="J237" s="539"/>
      <c r="K237" s="539"/>
      <c r="L237" s="539"/>
      <c r="M237" s="539"/>
      <c r="N237" s="539"/>
      <c r="O237" s="539"/>
      <c r="P237" s="539"/>
      <c r="Q237" s="539"/>
      <c r="R237" s="539"/>
      <c r="S237" s="557"/>
      <c r="T237" s="557"/>
      <c r="U237" s="557"/>
      <c r="V237" s="557"/>
      <c r="W237" s="539"/>
      <c r="X237" s="539"/>
      <c r="Y237" s="557"/>
      <c r="Z237" s="557"/>
      <c r="AA237" s="539"/>
      <c r="AB237" s="539"/>
      <c r="AC237" s="539"/>
      <c r="AD237" s="557"/>
      <c r="AE237" s="557"/>
      <c r="AF237" s="557"/>
      <c r="AG237" s="557"/>
      <c r="AH237" s="557"/>
      <c r="AI237" s="557"/>
      <c r="AJ237" s="557"/>
      <c r="AK237" s="557"/>
      <c r="AL237" s="557"/>
      <c r="AM237" s="557"/>
      <c r="AN237" s="557"/>
      <c r="AO237" s="557"/>
      <c r="AP237" s="557"/>
      <c r="AQ237" s="557"/>
      <c r="AR237" s="557"/>
      <c r="AS237" s="557"/>
      <c r="AT237" s="557"/>
      <c r="AU237" s="557"/>
      <c r="AV237" s="557"/>
      <c r="AW237" s="557"/>
      <c r="AX237" s="557"/>
      <c r="AY237" s="557"/>
      <c r="AZ237" s="557"/>
      <c r="BA237" s="557"/>
      <c r="BB237" s="557"/>
      <c r="BC237" s="557"/>
      <c r="BD237" s="553"/>
      <c r="BE237" s="596"/>
      <c r="BF237" s="596"/>
      <c r="BG237" s="596"/>
      <c r="BH237" s="596"/>
      <c r="BI237" s="596"/>
      <c r="BJ237" s="596"/>
      <c r="BK237" s="596"/>
      <c r="BL237" s="596"/>
      <c r="BM237" s="596"/>
      <c r="BN237" s="596"/>
      <c r="BO237" s="596"/>
      <c r="BP237" s="596"/>
      <c r="BQ237" s="596"/>
      <c r="BR237" s="596"/>
      <c r="BS237" s="596"/>
      <c r="BT237" s="596"/>
    </row>
    <row r="238" spans="1:72" ht="15">
      <c r="A238" s="539"/>
      <c r="B238" s="539"/>
      <c r="C238" s="539"/>
      <c r="D238" s="539"/>
      <c r="E238" s="539"/>
      <c r="F238" s="539"/>
      <c r="G238" s="539"/>
      <c r="H238" s="539"/>
      <c r="I238" s="539"/>
      <c r="J238" s="539"/>
      <c r="K238" s="539"/>
      <c r="L238" s="539"/>
      <c r="M238" s="539"/>
      <c r="N238" s="539"/>
      <c r="O238" s="539"/>
      <c r="P238" s="539"/>
      <c r="Q238" s="539"/>
      <c r="R238" s="539"/>
      <c r="S238" s="557"/>
      <c r="T238" s="557"/>
      <c r="U238" s="557"/>
      <c r="V238" s="557"/>
      <c r="W238" s="539"/>
      <c r="X238" s="539"/>
      <c r="Y238" s="557"/>
      <c r="Z238" s="557"/>
      <c r="AA238" s="539"/>
      <c r="AB238" s="539"/>
      <c r="AC238" s="539"/>
      <c r="AD238" s="557"/>
      <c r="AE238" s="557"/>
      <c r="AF238" s="557"/>
      <c r="AG238" s="557"/>
      <c r="AH238" s="557"/>
      <c r="AI238" s="557"/>
      <c r="AJ238" s="557"/>
      <c r="AK238" s="557"/>
      <c r="AL238" s="557"/>
      <c r="AM238" s="557"/>
      <c r="AN238" s="557"/>
      <c r="AO238" s="557"/>
      <c r="AP238" s="557"/>
      <c r="AQ238" s="557"/>
      <c r="AR238" s="557"/>
      <c r="AS238" s="557"/>
      <c r="AT238" s="557"/>
      <c r="AU238" s="557"/>
      <c r="AV238" s="557"/>
      <c r="AW238" s="557"/>
      <c r="AX238" s="557"/>
      <c r="AY238" s="557"/>
      <c r="AZ238" s="557"/>
      <c r="BA238" s="557"/>
      <c r="BB238" s="557"/>
      <c r="BC238" s="557"/>
      <c r="BD238" s="553"/>
      <c r="BE238" s="596"/>
      <c r="BF238" s="596"/>
      <c r="BG238" s="596"/>
      <c r="BH238" s="596"/>
      <c r="BI238" s="596"/>
      <c r="BJ238" s="596"/>
      <c r="BK238" s="596"/>
      <c r="BL238" s="596"/>
      <c r="BM238" s="596"/>
      <c r="BN238" s="596"/>
      <c r="BO238" s="596"/>
      <c r="BP238" s="596"/>
      <c r="BQ238" s="596"/>
      <c r="BR238" s="596"/>
      <c r="BS238" s="596"/>
      <c r="BT238" s="596"/>
    </row>
    <row r="239" spans="1:72" ht="15">
      <c r="A239" s="539"/>
      <c r="B239" s="539"/>
      <c r="C239" s="539"/>
      <c r="D239" s="539"/>
      <c r="E239" s="539"/>
      <c r="F239" s="539"/>
      <c r="G239" s="539"/>
      <c r="H239" s="539"/>
      <c r="I239" s="539"/>
      <c r="J239" s="539"/>
      <c r="K239" s="539"/>
      <c r="L239" s="539"/>
      <c r="M239" s="539"/>
      <c r="N239" s="539"/>
      <c r="O239" s="539"/>
      <c r="P239" s="539"/>
      <c r="Q239" s="539"/>
      <c r="R239" s="539"/>
      <c r="S239" s="557"/>
      <c r="T239" s="557"/>
      <c r="U239" s="557"/>
      <c r="V239" s="557"/>
      <c r="W239" s="539"/>
      <c r="X239" s="539"/>
      <c r="Y239" s="557"/>
      <c r="Z239" s="557"/>
      <c r="AA239" s="539"/>
      <c r="AB239" s="539"/>
      <c r="AC239" s="539"/>
      <c r="AD239" s="557"/>
      <c r="AE239" s="557"/>
      <c r="AF239" s="557"/>
      <c r="AG239" s="557"/>
      <c r="AH239" s="557"/>
      <c r="AI239" s="557"/>
      <c r="AJ239" s="557"/>
      <c r="AK239" s="557"/>
      <c r="AL239" s="557"/>
      <c r="AM239" s="557"/>
      <c r="AN239" s="557"/>
      <c r="AO239" s="557"/>
      <c r="AP239" s="557"/>
      <c r="AQ239" s="557"/>
      <c r="AR239" s="557"/>
      <c r="AS239" s="557"/>
      <c r="AT239" s="557"/>
      <c r="AU239" s="557"/>
      <c r="AV239" s="557"/>
      <c r="AW239" s="557"/>
      <c r="AX239" s="557"/>
      <c r="AY239" s="557"/>
      <c r="AZ239" s="557"/>
      <c r="BA239" s="557"/>
      <c r="BB239" s="557"/>
      <c r="BC239" s="557"/>
      <c r="BD239" s="553"/>
      <c r="BE239" s="596"/>
      <c r="BF239" s="596"/>
      <c r="BG239" s="596"/>
      <c r="BH239" s="596"/>
      <c r="BI239" s="596"/>
      <c r="BJ239" s="596"/>
      <c r="BK239" s="596"/>
      <c r="BL239" s="596"/>
      <c r="BM239" s="596"/>
      <c r="BN239" s="596"/>
      <c r="BO239" s="596"/>
      <c r="BP239" s="596"/>
      <c r="BQ239" s="596"/>
      <c r="BR239" s="596"/>
      <c r="BS239" s="596"/>
      <c r="BT239" s="596"/>
    </row>
    <row r="240" spans="1:72" ht="15">
      <c r="A240" s="539"/>
      <c r="B240" s="539"/>
      <c r="C240" s="539"/>
      <c r="D240" s="539"/>
      <c r="E240" s="539"/>
      <c r="F240" s="539"/>
      <c r="G240" s="539"/>
      <c r="H240" s="539"/>
      <c r="I240" s="539"/>
      <c r="J240" s="539"/>
      <c r="K240" s="539"/>
      <c r="L240" s="539"/>
      <c r="M240" s="539"/>
      <c r="N240" s="539"/>
      <c r="O240" s="539"/>
      <c r="P240" s="539"/>
      <c r="Q240" s="539"/>
      <c r="R240" s="539"/>
      <c r="S240" s="557"/>
      <c r="T240" s="557"/>
      <c r="U240" s="557"/>
      <c r="V240" s="557"/>
      <c r="W240" s="539"/>
      <c r="X240" s="539"/>
      <c r="Y240" s="557"/>
      <c r="Z240" s="557"/>
      <c r="AA240" s="539"/>
      <c r="AB240" s="539"/>
      <c r="AC240" s="539"/>
      <c r="AD240" s="557"/>
      <c r="AE240" s="557"/>
      <c r="AF240" s="557"/>
      <c r="AG240" s="557"/>
      <c r="AH240" s="557"/>
      <c r="AI240" s="557"/>
      <c r="AJ240" s="557"/>
      <c r="AK240" s="557"/>
      <c r="AL240" s="557"/>
      <c r="AM240" s="557"/>
      <c r="AN240" s="557"/>
      <c r="AO240" s="557"/>
      <c r="AP240" s="557"/>
      <c r="AQ240" s="557"/>
      <c r="AR240" s="557"/>
      <c r="AS240" s="557"/>
      <c r="AT240" s="557"/>
      <c r="AU240" s="557"/>
      <c r="AV240" s="557"/>
      <c r="AW240" s="557"/>
      <c r="AX240" s="557"/>
      <c r="AY240" s="557"/>
      <c r="AZ240" s="557"/>
      <c r="BA240" s="557"/>
      <c r="BB240" s="557"/>
      <c r="BC240" s="557"/>
      <c r="BD240" s="553"/>
      <c r="BE240" s="596"/>
      <c r="BF240" s="596"/>
      <c r="BG240" s="596"/>
      <c r="BH240" s="596"/>
      <c r="BI240" s="596"/>
      <c r="BJ240" s="596"/>
      <c r="BK240" s="596"/>
      <c r="BL240" s="596"/>
      <c r="BM240" s="596"/>
      <c r="BN240" s="596"/>
      <c r="BO240" s="596"/>
      <c r="BP240" s="596"/>
      <c r="BQ240" s="596"/>
      <c r="BR240" s="596"/>
      <c r="BS240" s="596"/>
      <c r="BT240" s="596"/>
    </row>
    <row r="241" spans="1:72" ht="15">
      <c r="A241" s="539"/>
      <c r="B241" s="539"/>
      <c r="C241" s="539"/>
      <c r="D241" s="539"/>
      <c r="E241" s="539"/>
      <c r="F241" s="539"/>
      <c r="G241" s="539"/>
      <c r="H241" s="539"/>
      <c r="I241" s="539"/>
      <c r="J241" s="539"/>
      <c r="K241" s="539"/>
      <c r="L241" s="539"/>
      <c r="M241" s="539"/>
      <c r="N241" s="539"/>
      <c r="O241" s="539"/>
      <c r="P241" s="539"/>
      <c r="Q241" s="539"/>
      <c r="R241" s="539"/>
      <c r="S241" s="557"/>
      <c r="T241" s="557"/>
      <c r="U241" s="557"/>
      <c r="V241" s="557"/>
      <c r="W241" s="539"/>
      <c r="X241" s="539"/>
      <c r="Y241" s="557"/>
      <c r="Z241" s="557"/>
      <c r="AA241" s="539"/>
      <c r="AB241" s="539"/>
      <c r="AC241" s="539"/>
      <c r="AD241" s="557"/>
      <c r="AE241" s="557"/>
      <c r="AF241" s="557"/>
      <c r="AG241" s="557"/>
      <c r="AH241" s="557"/>
      <c r="AI241" s="557"/>
      <c r="AJ241" s="557"/>
      <c r="AK241" s="557"/>
      <c r="AL241" s="557"/>
      <c r="AM241" s="557"/>
      <c r="AN241" s="557"/>
      <c r="AO241" s="557"/>
      <c r="AP241" s="557"/>
      <c r="AQ241" s="557"/>
      <c r="AR241" s="557"/>
      <c r="AS241" s="557"/>
      <c r="AT241" s="557"/>
      <c r="AU241" s="557"/>
      <c r="AV241" s="557"/>
      <c r="AW241" s="557"/>
      <c r="AX241" s="557"/>
      <c r="AY241" s="557"/>
      <c r="AZ241" s="557"/>
      <c r="BA241" s="557"/>
      <c r="BB241" s="557"/>
      <c r="BC241" s="557"/>
      <c r="BD241" s="553"/>
      <c r="BE241" s="596"/>
      <c r="BF241" s="596"/>
      <c r="BG241" s="596"/>
      <c r="BH241" s="596"/>
      <c r="BI241" s="596"/>
      <c r="BJ241" s="596"/>
      <c r="BK241" s="596"/>
      <c r="BL241" s="596"/>
      <c r="BM241" s="596"/>
      <c r="BN241" s="596"/>
      <c r="BO241" s="596"/>
      <c r="BP241" s="596"/>
      <c r="BQ241" s="596"/>
      <c r="BR241" s="596"/>
      <c r="BS241" s="596"/>
      <c r="BT241" s="596"/>
    </row>
    <row r="242" spans="1:72" ht="15">
      <c r="A242" s="539"/>
      <c r="B242" s="539"/>
      <c r="C242" s="539"/>
      <c r="D242" s="539"/>
      <c r="E242" s="539"/>
      <c r="F242" s="539"/>
      <c r="G242" s="539"/>
      <c r="H242" s="539"/>
      <c r="I242" s="539"/>
      <c r="J242" s="539"/>
      <c r="K242" s="539"/>
      <c r="L242" s="539"/>
      <c r="M242" s="539"/>
      <c r="N242" s="539"/>
      <c r="O242" s="539"/>
      <c r="P242" s="539"/>
      <c r="Q242" s="539"/>
      <c r="R242" s="539"/>
      <c r="S242" s="557"/>
      <c r="T242" s="557"/>
      <c r="U242" s="557"/>
      <c r="V242" s="557"/>
      <c r="W242" s="539"/>
      <c r="X242" s="539"/>
      <c r="Y242" s="557"/>
      <c r="Z242" s="557"/>
      <c r="AA242" s="539"/>
      <c r="AB242" s="539"/>
      <c r="AC242" s="539"/>
      <c r="AD242" s="557"/>
      <c r="AE242" s="557"/>
      <c r="AF242" s="557"/>
      <c r="AG242" s="557"/>
      <c r="AH242" s="557"/>
      <c r="AI242" s="557"/>
      <c r="AJ242" s="557"/>
      <c r="AK242" s="557"/>
      <c r="AL242" s="557"/>
      <c r="AM242" s="557"/>
      <c r="AN242" s="557"/>
      <c r="AO242" s="557"/>
      <c r="AP242" s="557"/>
      <c r="AQ242" s="557"/>
      <c r="AR242" s="557"/>
      <c r="AS242" s="557"/>
      <c r="AT242" s="557"/>
      <c r="AU242" s="557"/>
      <c r="AV242" s="557"/>
      <c r="AW242" s="557"/>
      <c r="AX242" s="557"/>
      <c r="AY242" s="557"/>
      <c r="AZ242" s="557"/>
      <c r="BA242" s="557"/>
      <c r="BB242" s="557"/>
      <c r="BC242" s="557"/>
      <c r="BD242" s="553"/>
      <c r="BE242" s="596"/>
      <c r="BF242" s="596"/>
      <c r="BG242" s="596"/>
      <c r="BH242" s="596"/>
      <c r="BI242" s="596"/>
      <c r="BJ242" s="596"/>
      <c r="BK242" s="596"/>
      <c r="BL242" s="596"/>
      <c r="BM242" s="596"/>
      <c r="BN242" s="596"/>
      <c r="BO242" s="596"/>
      <c r="BP242" s="596"/>
      <c r="BQ242" s="596"/>
      <c r="BR242" s="596"/>
      <c r="BS242" s="596"/>
      <c r="BT242" s="596"/>
    </row>
    <row r="243" spans="1:72" ht="15">
      <c r="A243" s="539"/>
      <c r="B243" s="539"/>
      <c r="C243" s="539"/>
      <c r="D243" s="539"/>
      <c r="E243" s="539"/>
      <c r="F243" s="539"/>
      <c r="G243" s="539"/>
      <c r="H243" s="539"/>
      <c r="I243" s="539"/>
      <c r="J243" s="539"/>
      <c r="K243" s="539"/>
      <c r="L243" s="539"/>
      <c r="M243" s="539"/>
      <c r="N243" s="539"/>
      <c r="O243" s="539"/>
      <c r="P243" s="539"/>
      <c r="Q243" s="539"/>
      <c r="R243" s="539"/>
      <c r="S243" s="557"/>
      <c r="T243" s="557"/>
      <c r="U243" s="557"/>
      <c r="V243" s="557"/>
      <c r="W243" s="539"/>
      <c r="X243" s="539"/>
      <c r="Y243" s="557"/>
      <c r="Z243" s="557"/>
      <c r="AA243" s="539"/>
      <c r="AB243" s="539"/>
      <c r="AC243" s="539"/>
      <c r="AD243" s="557"/>
      <c r="AE243" s="557"/>
      <c r="AF243" s="557"/>
      <c r="AG243" s="557"/>
      <c r="AH243" s="557"/>
      <c r="AI243" s="557"/>
      <c r="AJ243" s="557"/>
      <c r="AK243" s="557"/>
      <c r="AL243" s="557"/>
      <c r="AM243" s="557"/>
      <c r="AN243" s="557"/>
      <c r="AO243" s="557"/>
      <c r="AP243" s="557"/>
      <c r="AQ243" s="557"/>
      <c r="AR243" s="557"/>
      <c r="AS243" s="557"/>
      <c r="AT243" s="557"/>
      <c r="AU243" s="557"/>
      <c r="AV243" s="557"/>
      <c r="AW243" s="557"/>
      <c r="AX243" s="557"/>
      <c r="AY243" s="557"/>
      <c r="AZ243" s="557"/>
      <c r="BA243" s="557"/>
      <c r="BB243" s="557"/>
      <c r="BC243" s="557"/>
      <c r="BD243" s="553"/>
      <c r="BE243" s="596"/>
      <c r="BF243" s="596"/>
      <c r="BG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6"/>
      <c r="BS243" s="596"/>
      <c r="BT243" s="596"/>
    </row>
    <row r="244" spans="1:72" ht="15">
      <c r="A244" s="539"/>
      <c r="B244" s="539"/>
      <c r="C244" s="539"/>
      <c r="D244" s="539"/>
      <c r="E244" s="539"/>
      <c r="F244" s="539"/>
      <c r="G244" s="539"/>
      <c r="H244" s="539"/>
      <c r="I244" s="539"/>
      <c r="J244" s="539"/>
      <c r="K244" s="539"/>
      <c r="L244" s="539"/>
      <c r="M244" s="539"/>
      <c r="N244" s="539"/>
      <c r="O244" s="539"/>
      <c r="P244" s="539"/>
      <c r="Q244" s="539"/>
      <c r="R244" s="539"/>
      <c r="S244" s="557"/>
      <c r="T244" s="557"/>
      <c r="U244" s="557"/>
      <c r="V244" s="557"/>
      <c r="W244" s="539"/>
      <c r="X244" s="539"/>
      <c r="Y244" s="557"/>
      <c r="Z244" s="557"/>
      <c r="AA244" s="539"/>
      <c r="AB244" s="539"/>
      <c r="AC244" s="539"/>
      <c r="AD244" s="557"/>
      <c r="AE244" s="557"/>
      <c r="AF244" s="557"/>
      <c r="AG244" s="557"/>
      <c r="AH244" s="557"/>
      <c r="AI244" s="557"/>
      <c r="AJ244" s="557"/>
      <c r="AK244" s="557"/>
      <c r="AL244" s="557"/>
      <c r="AM244" s="557"/>
      <c r="AN244" s="557"/>
      <c r="AO244" s="557"/>
      <c r="AP244" s="557"/>
      <c r="AQ244" s="557"/>
      <c r="AR244" s="557"/>
      <c r="AS244" s="557"/>
      <c r="AT244" s="557"/>
      <c r="AU244" s="557"/>
      <c r="AV244" s="557"/>
      <c r="AW244" s="557"/>
      <c r="AX244" s="557"/>
      <c r="AY244" s="557"/>
      <c r="AZ244" s="557"/>
      <c r="BA244" s="557"/>
      <c r="BB244" s="557"/>
      <c r="BC244" s="557"/>
      <c r="BD244" s="553"/>
      <c r="BE244" s="596"/>
      <c r="BF244" s="596"/>
      <c r="BG244" s="596"/>
      <c r="BH244" s="596"/>
      <c r="BI244" s="596"/>
      <c r="BJ244" s="596"/>
      <c r="BK244" s="596"/>
      <c r="BL244" s="596"/>
      <c r="BM244" s="596"/>
      <c r="BN244" s="596"/>
      <c r="BO244" s="596"/>
      <c r="BP244" s="596"/>
      <c r="BQ244" s="596"/>
      <c r="BR244" s="596"/>
      <c r="BS244" s="596"/>
      <c r="BT244" s="596"/>
    </row>
    <row r="245" spans="1:72" ht="15">
      <c r="A245" s="539"/>
      <c r="B245" s="539"/>
      <c r="C245" s="539"/>
      <c r="D245" s="539"/>
      <c r="E245" s="539"/>
      <c r="F245" s="539"/>
      <c r="G245" s="539"/>
      <c r="H245" s="539"/>
      <c r="I245" s="539"/>
      <c r="J245" s="539"/>
      <c r="K245" s="539"/>
      <c r="L245" s="539"/>
      <c r="M245" s="539"/>
      <c r="N245" s="539"/>
      <c r="O245" s="539"/>
      <c r="P245" s="539"/>
      <c r="Q245" s="539"/>
      <c r="R245" s="539"/>
      <c r="S245" s="557"/>
      <c r="T245" s="557"/>
      <c r="U245" s="557"/>
      <c r="V245" s="557"/>
      <c r="W245" s="539"/>
      <c r="X245" s="539"/>
      <c r="Y245" s="557"/>
      <c r="Z245" s="557"/>
      <c r="AA245" s="539"/>
      <c r="AB245" s="539"/>
      <c r="AC245" s="539"/>
      <c r="AD245" s="557"/>
      <c r="AE245" s="557"/>
      <c r="AF245" s="557"/>
      <c r="AG245" s="557"/>
      <c r="AH245" s="557"/>
      <c r="AI245" s="557"/>
      <c r="AJ245" s="557"/>
      <c r="AK245" s="557"/>
      <c r="AL245" s="557"/>
      <c r="AM245" s="557"/>
      <c r="AN245" s="557"/>
      <c r="AO245" s="557"/>
      <c r="AP245" s="557"/>
      <c r="AQ245" s="557"/>
      <c r="AR245" s="557"/>
      <c r="AS245" s="557"/>
      <c r="AT245" s="557"/>
      <c r="AU245" s="557"/>
      <c r="AV245" s="557"/>
      <c r="AW245" s="557"/>
      <c r="AX245" s="557"/>
      <c r="AY245" s="557"/>
      <c r="AZ245" s="557"/>
      <c r="BA245" s="557"/>
      <c r="BB245" s="557"/>
      <c r="BC245" s="557"/>
      <c r="BD245" s="553"/>
      <c r="BE245" s="596"/>
      <c r="BF245" s="596"/>
      <c r="BG245" s="596"/>
      <c r="BH245" s="596"/>
      <c r="BI245" s="596"/>
      <c r="BJ245" s="596"/>
      <c r="BK245" s="596"/>
      <c r="BL245" s="596"/>
      <c r="BM245" s="596"/>
      <c r="BN245" s="596"/>
      <c r="BO245" s="596"/>
      <c r="BP245" s="596"/>
      <c r="BQ245" s="596"/>
      <c r="BR245" s="596"/>
      <c r="BS245" s="596"/>
      <c r="BT245" s="596"/>
    </row>
    <row r="246" spans="1:72" ht="15">
      <c r="A246" s="539"/>
      <c r="B246" s="539"/>
      <c r="C246" s="539"/>
      <c r="D246" s="539"/>
      <c r="E246" s="539"/>
      <c r="F246" s="539"/>
      <c r="G246" s="539"/>
      <c r="H246" s="539"/>
      <c r="I246" s="539"/>
      <c r="J246" s="539"/>
      <c r="K246" s="539"/>
      <c r="L246" s="539"/>
      <c r="M246" s="539"/>
      <c r="N246" s="539"/>
      <c r="O246" s="539"/>
      <c r="P246" s="539"/>
      <c r="Q246" s="539"/>
      <c r="R246" s="539"/>
      <c r="S246" s="557"/>
      <c r="T246" s="557"/>
      <c r="U246" s="557"/>
      <c r="V246" s="557"/>
      <c r="W246" s="539"/>
      <c r="X246" s="539"/>
      <c r="Y246" s="557"/>
      <c r="Z246" s="557"/>
      <c r="AA246" s="539"/>
      <c r="AB246" s="539"/>
      <c r="AC246" s="539"/>
      <c r="AD246" s="557"/>
      <c r="AE246" s="557"/>
      <c r="AF246" s="557"/>
      <c r="AG246" s="557"/>
      <c r="AH246" s="557"/>
      <c r="AI246" s="557"/>
      <c r="AJ246" s="557"/>
      <c r="AK246" s="557"/>
      <c r="AL246" s="557"/>
      <c r="AM246" s="557"/>
      <c r="AN246" s="557"/>
      <c r="AO246" s="557"/>
      <c r="AP246" s="557"/>
      <c r="AQ246" s="557"/>
      <c r="AR246" s="557"/>
      <c r="AS246" s="557"/>
      <c r="AT246" s="557"/>
      <c r="AU246" s="557"/>
      <c r="AV246" s="557"/>
      <c r="AW246" s="557"/>
      <c r="AX246" s="557"/>
      <c r="AY246" s="557"/>
      <c r="AZ246" s="557"/>
      <c r="BA246" s="557"/>
      <c r="BB246" s="557"/>
      <c r="BC246" s="557"/>
      <c r="BD246" s="553"/>
      <c r="BE246" s="596"/>
      <c r="BF246" s="596"/>
      <c r="BG246" s="596"/>
      <c r="BH246" s="596"/>
      <c r="BI246" s="596"/>
      <c r="BJ246" s="596"/>
      <c r="BK246" s="596"/>
      <c r="BL246" s="596"/>
      <c r="BM246" s="596"/>
      <c r="BN246" s="596"/>
      <c r="BO246" s="596"/>
      <c r="BP246" s="596"/>
      <c r="BQ246" s="596"/>
      <c r="BR246" s="596"/>
      <c r="BS246" s="596"/>
      <c r="BT246" s="596"/>
    </row>
    <row r="247" spans="1:72" ht="15">
      <c r="A247" s="539"/>
      <c r="B247" s="539"/>
      <c r="C247" s="539"/>
      <c r="D247" s="539"/>
      <c r="E247" s="539"/>
      <c r="F247" s="539"/>
      <c r="G247" s="539"/>
      <c r="H247" s="539"/>
      <c r="I247" s="539"/>
      <c r="J247" s="539"/>
      <c r="K247" s="539"/>
      <c r="L247" s="539"/>
      <c r="M247" s="539"/>
      <c r="N247" s="539"/>
      <c r="O247" s="539"/>
      <c r="P247" s="539"/>
      <c r="Q247" s="539"/>
      <c r="R247" s="539"/>
      <c r="S247" s="557"/>
      <c r="T247" s="557"/>
      <c r="U247" s="557"/>
      <c r="V247" s="557"/>
      <c r="W247" s="539"/>
      <c r="X247" s="539"/>
      <c r="Y247" s="557"/>
      <c r="Z247" s="557"/>
      <c r="AA247" s="539"/>
      <c r="AB247" s="539"/>
      <c r="AC247" s="539"/>
      <c r="AD247" s="557"/>
      <c r="AE247" s="557"/>
      <c r="AF247" s="557"/>
      <c r="AG247" s="557"/>
      <c r="AH247" s="557"/>
      <c r="AI247" s="557"/>
      <c r="AJ247" s="557"/>
      <c r="AK247" s="557"/>
      <c r="AL247" s="557"/>
      <c r="AM247" s="557"/>
      <c r="AN247" s="557"/>
      <c r="AO247" s="557"/>
      <c r="AP247" s="557"/>
      <c r="AQ247" s="557"/>
      <c r="AR247" s="557"/>
      <c r="AS247" s="557"/>
      <c r="AT247" s="557"/>
      <c r="AU247" s="557"/>
      <c r="AV247" s="557"/>
      <c r="AW247" s="557"/>
      <c r="AX247" s="557"/>
      <c r="AY247" s="557"/>
      <c r="AZ247" s="557"/>
      <c r="BA247" s="557"/>
      <c r="BB247" s="557"/>
      <c r="BC247" s="557"/>
      <c r="BD247" s="553"/>
      <c r="BE247" s="596"/>
      <c r="BF247" s="596"/>
      <c r="BG247" s="596"/>
      <c r="BH247" s="596"/>
      <c r="BI247" s="596"/>
      <c r="BJ247" s="596"/>
      <c r="BK247" s="596"/>
      <c r="BL247" s="596"/>
      <c r="BM247" s="596"/>
      <c r="BN247" s="596"/>
      <c r="BO247" s="596"/>
      <c r="BP247" s="596"/>
      <c r="BQ247" s="596"/>
      <c r="BR247" s="596"/>
      <c r="BS247" s="596"/>
      <c r="BT247" s="596"/>
    </row>
    <row r="248" spans="1:72" ht="15">
      <c r="A248" s="539"/>
      <c r="B248" s="539"/>
      <c r="C248" s="539"/>
      <c r="D248" s="539"/>
      <c r="E248" s="539"/>
      <c r="F248" s="539"/>
      <c r="G248" s="539"/>
      <c r="H248" s="539"/>
      <c r="I248" s="539"/>
      <c r="J248" s="539"/>
      <c r="K248" s="539"/>
      <c r="L248" s="539"/>
      <c r="M248" s="539"/>
      <c r="N248" s="539"/>
      <c r="O248" s="539"/>
      <c r="P248" s="539"/>
      <c r="Q248" s="539"/>
      <c r="R248" s="539"/>
      <c r="S248" s="557"/>
      <c r="T248" s="557"/>
      <c r="U248" s="557"/>
      <c r="V248" s="557"/>
      <c r="W248" s="539"/>
      <c r="X248" s="539"/>
      <c r="Y248" s="557"/>
      <c r="Z248" s="557"/>
      <c r="AA248" s="539"/>
      <c r="AB248" s="539"/>
      <c r="AC248" s="539"/>
      <c r="AD248" s="557"/>
      <c r="AE248" s="557"/>
      <c r="AF248" s="557"/>
      <c r="AG248" s="557"/>
      <c r="AH248" s="557"/>
      <c r="AI248" s="557"/>
      <c r="AJ248" s="557"/>
      <c r="AK248" s="557"/>
      <c r="AL248" s="557"/>
      <c r="AM248" s="557"/>
      <c r="AN248" s="557"/>
      <c r="AO248" s="557"/>
      <c r="AP248" s="557"/>
      <c r="AQ248" s="557"/>
      <c r="AR248" s="557"/>
      <c r="AS248" s="557"/>
      <c r="AT248" s="557"/>
      <c r="AU248" s="557"/>
      <c r="AV248" s="557"/>
      <c r="AW248" s="557"/>
      <c r="AX248" s="557"/>
      <c r="AY248" s="557"/>
      <c r="AZ248" s="557"/>
      <c r="BA248" s="557"/>
      <c r="BB248" s="557"/>
      <c r="BC248" s="557"/>
      <c r="BD248" s="553"/>
      <c r="BE248" s="596"/>
      <c r="BF248" s="596"/>
      <c r="BG248" s="596"/>
      <c r="BH248" s="596"/>
      <c r="BI248" s="596"/>
      <c r="BJ248" s="596"/>
      <c r="BK248" s="596"/>
      <c r="BL248" s="596"/>
      <c r="BM248" s="596"/>
      <c r="BN248" s="596"/>
      <c r="BO248" s="596"/>
      <c r="BP248" s="596"/>
      <c r="BQ248" s="596"/>
      <c r="BR248" s="596"/>
      <c r="BS248" s="596"/>
      <c r="BT248" s="596"/>
    </row>
    <row r="249" spans="1:72" ht="15">
      <c r="A249" s="539"/>
      <c r="B249" s="539"/>
      <c r="C249" s="539"/>
      <c r="D249" s="539"/>
      <c r="E249" s="539"/>
      <c r="F249" s="539"/>
      <c r="G249" s="539"/>
      <c r="H249" s="539"/>
      <c r="I249" s="539"/>
      <c r="J249" s="539"/>
      <c r="K249" s="539"/>
      <c r="L249" s="539"/>
      <c r="M249" s="539"/>
      <c r="N249" s="539"/>
      <c r="O249" s="539"/>
      <c r="P249" s="539"/>
      <c r="Q249" s="539"/>
      <c r="R249" s="539"/>
      <c r="S249" s="557"/>
      <c r="T249" s="557"/>
      <c r="U249" s="557"/>
      <c r="V249" s="557"/>
      <c r="W249" s="539"/>
      <c r="X249" s="539"/>
      <c r="Y249" s="557"/>
      <c r="Z249" s="557"/>
      <c r="AA249" s="539"/>
      <c r="AB249" s="539"/>
      <c r="AC249" s="539"/>
      <c r="AD249" s="557"/>
      <c r="AE249" s="557"/>
      <c r="AF249" s="557"/>
      <c r="AG249" s="557"/>
      <c r="AH249" s="557"/>
      <c r="AI249" s="557"/>
      <c r="AJ249" s="557"/>
      <c r="AK249" s="557"/>
      <c r="AL249" s="557"/>
      <c r="AM249" s="557"/>
      <c r="AN249" s="557"/>
      <c r="AO249" s="557"/>
      <c r="AP249" s="557"/>
      <c r="AQ249" s="557"/>
      <c r="AR249" s="557"/>
      <c r="AS249" s="557"/>
      <c r="AT249" s="557"/>
      <c r="AU249" s="557"/>
      <c r="AV249" s="557"/>
      <c r="AW249" s="557"/>
      <c r="AX249" s="557"/>
      <c r="AY249" s="557"/>
      <c r="AZ249" s="557"/>
      <c r="BA249" s="557"/>
      <c r="BB249" s="557"/>
      <c r="BC249" s="557"/>
      <c r="BD249" s="553"/>
      <c r="BE249" s="596"/>
      <c r="BF249" s="596"/>
      <c r="BG249" s="596"/>
      <c r="BH249" s="596"/>
      <c r="BI249" s="596"/>
      <c r="BJ249" s="596"/>
      <c r="BK249" s="596"/>
      <c r="BL249" s="596"/>
      <c r="BM249" s="596"/>
      <c r="BN249" s="596"/>
      <c r="BO249" s="596"/>
      <c r="BP249" s="596"/>
      <c r="BQ249" s="596"/>
      <c r="BR249" s="596"/>
      <c r="BS249" s="596"/>
      <c r="BT249" s="596"/>
    </row>
    <row r="250" spans="1:72" ht="15">
      <c r="A250" s="539"/>
      <c r="B250" s="539"/>
      <c r="C250" s="539"/>
      <c r="D250" s="539"/>
      <c r="E250" s="539"/>
      <c r="F250" s="539"/>
      <c r="G250" s="539"/>
      <c r="H250" s="539"/>
      <c r="I250" s="539"/>
      <c r="J250" s="539"/>
      <c r="K250" s="539"/>
      <c r="L250" s="539"/>
      <c r="M250" s="539"/>
      <c r="N250" s="539"/>
      <c r="O250" s="539"/>
      <c r="P250" s="539"/>
      <c r="Q250" s="539"/>
      <c r="R250" s="539"/>
      <c r="S250" s="557"/>
      <c r="T250" s="557"/>
      <c r="U250" s="557"/>
      <c r="V250" s="557"/>
      <c r="W250" s="539"/>
      <c r="X250" s="539"/>
      <c r="Y250" s="557"/>
      <c r="Z250" s="557"/>
      <c r="AA250" s="539"/>
      <c r="AB250" s="539"/>
      <c r="AC250" s="539"/>
      <c r="AD250" s="557"/>
      <c r="AE250" s="557"/>
      <c r="AF250" s="557"/>
      <c r="AG250" s="557"/>
      <c r="AH250" s="557"/>
      <c r="AI250" s="557"/>
      <c r="AJ250" s="557"/>
      <c r="AK250" s="557"/>
      <c r="AL250" s="557"/>
      <c r="AM250" s="557"/>
      <c r="AN250" s="557"/>
      <c r="AO250" s="557"/>
      <c r="AP250" s="557"/>
      <c r="AQ250" s="557"/>
      <c r="AR250" s="557"/>
      <c r="AS250" s="557"/>
      <c r="AT250" s="557"/>
      <c r="AU250" s="557"/>
      <c r="AV250" s="557"/>
      <c r="AW250" s="557"/>
      <c r="AX250" s="557"/>
      <c r="AY250" s="557"/>
      <c r="AZ250" s="557"/>
      <c r="BA250" s="557"/>
      <c r="BB250" s="557"/>
      <c r="BC250" s="557"/>
      <c r="BD250" s="553"/>
      <c r="BE250" s="596"/>
      <c r="BF250" s="596"/>
      <c r="BG250" s="596"/>
      <c r="BH250" s="596"/>
      <c r="BI250" s="596"/>
      <c r="BJ250" s="596"/>
      <c r="BK250" s="596"/>
      <c r="BL250" s="596"/>
      <c r="BM250" s="596"/>
      <c r="BN250" s="596"/>
      <c r="BO250" s="596"/>
      <c r="BP250" s="596"/>
      <c r="BQ250" s="596"/>
      <c r="BR250" s="596"/>
      <c r="BS250" s="596"/>
      <c r="BT250" s="596"/>
    </row>
  </sheetData>
  <mergeCells count="199">
    <mergeCell ref="J110:M110"/>
    <mergeCell ref="J111:M111"/>
    <mergeCell ref="J112:M112"/>
    <mergeCell ref="J113:M113"/>
    <mergeCell ref="J105:M105"/>
    <mergeCell ref="J106:M106"/>
    <mergeCell ref="J107:M107"/>
    <mergeCell ref="J108:M108"/>
    <mergeCell ref="J109:M109"/>
    <mergeCell ref="J100:M100"/>
    <mergeCell ref="J101:M101"/>
    <mergeCell ref="J102:M102"/>
    <mergeCell ref="J103:M103"/>
    <mergeCell ref="J104:M104"/>
    <mergeCell ref="J95:M95"/>
    <mergeCell ref="J96:M96"/>
    <mergeCell ref="J97:M97"/>
    <mergeCell ref="J98:M98"/>
    <mergeCell ref="J99:M99"/>
    <mergeCell ref="J90:M90"/>
    <mergeCell ref="J91:M91"/>
    <mergeCell ref="J92:M92"/>
    <mergeCell ref="J93:M93"/>
    <mergeCell ref="J94:M94"/>
    <mergeCell ref="AE56:AG58"/>
    <mergeCell ref="AE59:AG61"/>
    <mergeCell ref="AB38:AD40"/>
    <mergeCell ref="AB41:AD43"/>
    <mergeCell ref="AB44:AD46"/>
    <mergeCell ref="J79:M79"/>
    <mergeCell ref="J68:M68"/>
    <mergeCell ref="J72:M72"/>
    <mergeCell ref="AB47:AD49"/>
    <mergeCell ref="AB50:AD52"/>
    <mergeCell ref="Y44:AA46"/>
    <mergeCell ref="Y47:AA49"/>
    <mergeCell ref="Y50:AA52"/>
    <mergeCell ref="J88:M88"/>
    <mergeCell ref="J89:M89"/>
    <mergeCell ref="M50:O52"/>
    <mergeCell ref="V38:X40"/>
    <mergeCell ref="V41:X43"/>
    <mergeCell ref="V44:X46"/>
    <mergeCell ref="AN53:AP55"/>
    <mergeCell ref="AN56:AP58"/>
    <mergeCell ref="AN59:AP61"/>
    <mergeCell ref="J65:M65"/>
    <mergeCell ref="AH53:AJ55"/>
    <mergeCell ref="AH56:AJ58"/>
    <mergeCell ref="AH59:AJ61"/>
    <mergeCell ref="V53:X55"/>
    <mergeCell ref="V56:X58"/>
    <mergeCell ref="V59:X61"/>
    <mergeCell ref="S53:U55"/>
    <mergeCell ref="S56:U58"/>
    <mergeCell ref="S59:U61"/>
    <mergeCell ref="Y53:AA55"/>
    <mergeCell ref="Y56:AA58"/>
    <mergeCell ref="Y59:AA61"/>
    <mergeCell ref="M53:O55"/>
    <mergeCell ref="M56:O58"/>
    <mergeCell ref="M59:O61"/>
    <mergeCell ref="P59:R61"/>
    <mergeCell ref="AK38:AM40"/>
    <mergeCell ref="AK41:AM43"/>
    <mergeCell ref="AK44:AM46"/>
    <mergeCell ref="AK47:AM49"/>
    <mergeCell ref="AK50:AM52"/>
    <mergeCell ref="AK53:AM55"/>
    <mergeCell ref="AK56:AM58"/>
    <mergeCell ref="AK59:AM61"/>
    <mergeCell ref="AB53:AD55"/>
    <mergeCell ref="AB56:AD58"/>
    <mergeCell ref="AB59:AD61"/>
    <mergeCell ref="AE38:AG40"/>
    <mergeCell ref="AE41:AG43"/>
    <mergeCell ref="AE44:AG46"/>
    <mergeCell ref="AE47:AG49"/>
    <mergeCell ref="AE50:AG52"/>
    <mergeCell ref="AE53:AG55"/>
    <mergeCell ref="V47:X49"/>
    <mergeCell ref="V50:X52"/>
    <mergeCell ref="P53:R55"/>
    <mergeCell ref="P56:R58"/>
    <mergeCell ref="AH41:AJ43"/>
    <mergeCell ref="AH44:AJ46"/>
    <mergeCell ref="AH47:AJ49"/>
    <mergeCell ref="AH50:AJ52"/>
    <mergeCell ref="P47:R49"/>
    <mergeCell ref="P50:R52"/>
    <mergeCell ref="G53:I55"/>
    <mergeCell ref="G56:I58"/>
    <mergeCell ref="G59:I61"/>
    <mergeCell ref="J41:L43"/>
    <mergeCell ref="J44:L46"/>
    <mergeCell ref="J47:L49"/>
    <mergeCell ref="M41:O43"/>
    <mergeCell ref="P44:R46"/>
    <mergeCell ref="G41:I43"/>
    <mergeCell ref="G44:I46"/>
    <mergeCell ref="P41:R43"/>
    <mergeCell ref="J50:L52"/>
    <mergeCell ref="J53:L55"/>
    <mergeCell ref="J56:L58"/>
    <mergeCell ref="J59:L61"/>
    <mergeCell ref="M44:O46"/>
    <mergeCell ref="M47:O49"/>
    <mergeCell ref="E28:H30"/>
    <mergeCell ref="S38:U40"/>
    <mergeCell ref="S41:U43"/>
    <mergeCell ref="J7:M7"/>
    <mergeCell ref="Y38:AA40"/>
    <mergeCell ref="Y41:AA43"/>
    <mergeCell ref="P35:R37"/>
    <mergeCell ref="M35:O37"/>
    <mergeCell ref="J35:L37"/>
    <mergeCell ref="G35:I37"/>
    <mergeCell ref="E31:H32"/>
    <mergeCell ref="I28:N30"/>
    <mergeCell ref="E17:O17"/>
    <mergeCell ref="P17:AA17"/>
    <mergeCell ref="E21:O21"/>
    <mergeCell ref="P21:AA21"/>
    <mergeCell ref="J38:L40"/>
    <mergeCell ref="M38:O40"/>
    <mergeCell ref="G38:I40"/>
    <mergeCell ref="P38:R40"/>
    <mergeCell ref="AA3:AR3"/>
    <mergeCell ref="AS3:AU3"/>
    <mergeCell ref="AV3:AY3"/>
    <mergeCell ref="J83:M83"/>
    <mergeCell ref="A5:BA5"/>
    <mergeCell ref="AH35:AJ37"/>
    <mergeCell ref="AK35:AM37"/>
    <mergeCell ref="AN35:AP37"/>
    <mergeCell ref="S35:U37"/>
    <mergeCell ref="V35:X37"/>
    <mergeCell ref="Y35:AA37"/>
    <mergeCell ref="AB35:AD37"/>
    <mergeCell ref="AE35:AG37"/>
    <mergeCell ref="E35:F37"/>
    <mergeCell ref="E59:F61"/>
    <mergeCell ref="E44:F46"/>
    <mergeCell ref="E47:F49"/>
    <mergeCell ref="E50:F52"/>
    <mergeCell ref="E53:F55"/>
    <mergeCell ref="E56:F58"/>
    <mergeCell ref="G47:I49"/>
    <mergeCell ref="G50:I52"/>
    <mergeCell ref="C10:I11"/>
    <mergeCell ref="C13:AY15"/>
    <mergeCell ref="AH38:AJ40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BB5:BC5"/>
    <mergeCell ref="AV2:AY2"/>
    <mergeCell ref="AZ2:BC3"/>
    <mergeCell ref="A3:H3"/>
    <mergeCell ref="I3:L3"/>
    <mergeCell ref="M3:W3"/>
    <mergeCell ref="X3:Z3"/>
    <mergeCell ref="BF7:BH7"/>
    <mergeCell ref="AB21:AW21"/>
    <mergeCell ref="E76:S76"/>
    <mergeCell ref="AB17:AW17"/>
    <mergeCell ref="E18:O18"/>
    <mergeCell ref="P18:AA18"/>
    <mergeCell ref="AB18:AW18"/>
    <mergeCell ref="E19:O19"/>
    <mergeCell ref="P19:AA19"/>
    <mergeCell ref="AB19:AW19"/>
    <mergeCell ref="E20:O20"/>
    <mergeCell ref="P20:AA20"/>
    <mergeCell ref="AB20:AW20"/>
    <mergeCell ref="E41:F43"/>
    <mergeCell ref="E38:F40"/>
    <mergeCell ref="S44:U46"/>
    <mergeCell ref="S47:U49"/>
    <mergeCell ref="S50:U52"/>
    <mergeCell ref="I31:N32"/>
    <mergeCell ref="AN38:AP40"/>
    <mergeCell ref="AN41:AP43"/>
    <mergeCell ref="AN44:AP46"/>
    <mergeCell ref="AN47:AP49"/>
    <mergeCell ref="AN50:AP52"/>
  </mergeCells>
  <phoneticPr fontId="56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A669-EFC7-466B-8D95-2F2BB5683DD5}">
  <sheetPr>
    <pageSetUpPr fitToPage="1"/>
  </sheetPr>
  <dimension ref="A1:BZ52"/>
  <sheetViews>
    <sheetView showGridLines="0" view="pageBreakPreview" zoomScale="90" zoomScaleNormal="70" zoomScaleSheetLayoutView="90" workbookViewId="0">
      <selection sqref="A1:I1"/>
    </sheetView>
  </sheetViews>
  <sheetFormatPr defaultColWidth="2.54296875" defaultRowHeight="15"/>
  <cols>
    <col min="1" max="10" width="2.54296875" style="606" customWidth="1"/>
    <col min="11" max="16" width="3.26953125" style="606" customWidth="1"/>
    <col min="17" max="27" width="2.54296875" style="606"/>
    <col min="28" max="43" width="2.453125" style="692"/>
    <col min="44" max="52" width="2.54296875" style="606"/>
    <col min="53" max="53" width="2.54296875" style="606" customWidth="1"/>
    <col min="54" max="239" width="2.54296875" style="606"/>
    <col min="240" max="240" width="4" style="606" customWidth="1"/>
    <col min="241" max="272" width="2.54296875" style="606"/>
    <col min="273" max="273" width="2.54296875" style="606" customWidth="1"/>
    <col min="274" max="495" width="2.54296875" style="606"/>
    <col min="496" max="496" width="4" style="606" customWidth="1"/>
    <col min="497" max="528" width="2.54296875" style="606"/>
    <col min="529" max="529" width="2.54296875" style="606" customWidth="1"/>
    <col min="530" max="751" width="2.54296875" style="606"/>
    <col min="752" max="752" width="4" style="606" customWidth="1"/>
    <col min="753" max="784" width="2.54296875" style="606"/>
    <col min="785" max="785" width="2.54296875" style="606" customWidth="1"/>
    <col min="786" max="1007" width="2.54296875" style="606"/>
    <col min="1008" max="1008" width="4" style="606" customWidth="1"/>
    <col min="1009" max="1040" width="2.54296875" style="606"/>
    <col min="1041" max="1041" width="2.54296875" style="606" customWidth="1"/>
    <col min="1042" max="1263" width="2.54296875" style="606"/>
    <col min="1264" max="1264" width="4" style="606" customWidth="1"/>
    <col min="1265" max="1296" width="2.54296875" style="606"/>
    <col min="1297" max="1297" width="2.54296875" style="606" customWidth="1"/>
    <col min="1298" max="1519" width="2.54296875" style="606"/>
    <col min="1520" max="1520" width="4" style="606" customWidth="1"/>
    <col min="1521" max="1552" width="2.54296875" style="606"/>
    <col min="1553" max="1553" width="2.54296875" style="606" customWidth="1"/>
    <col min="1554" max="1775" width="2.54296875" style="606"/>
    <col min="1776" max="1776" width="4" style="606" customWidth="1"/>
    <col min="1777" max="1808" width="2.54296875" style="606"/>
    <col min="1809" max="1809" width="2.54296875" style="606" customWidth="1"/>
    <col min="1810" max="2031" width="2.54296875" style="606"/>
    <col min="2032" max="2032" width="4" style="606" customWidth="1"/>
    <col min="2033" max="2064" width="2.54296875" style="606"/>
    <col min="2065" max="2065" width="2.54296875" style="606" customWidth="1"/>
    <col min="2066" max="2287" width="2.54296875" style="606"/>
    <col min="2288" max="2288" width="4" style="606" customWidth="1"/>
    <col min="2289" max="2320" width="2.54296875" style="606"/>
    <col min="2321" max="2321" width="2.54296875" style="606" customWidth="1"/>
    <col min="2322" max="2543" width="2.54296875" style="606"/>
    <col min="2544" max="2544" width="4" style="606" customWidth="1"/>
    <col min="2545" max="2576" width="2.54296875" style="606"/>
    <col min="2577" max="2577" width="2.54296875" style="606" customWidth="1"/>
    <col min="2578" max="2799" width="2.54296875" style="606"/>
    <col min="2800" max="2800" width="4" style="606" customWidth="1"/>
    <col min="2801" max="2832" width="2.54296875" style="606"/>
    <col min="2833" max="2833" width="2.54296875" style="606" customWidth="1"/>
    <col min="2834" max="3055" width="2.54296875" style="606"/>
    <col min="3056" max="3056" width="4" style="606" customWidth="1"/>
    <col min="3057" max="3088" width="2.54296875" style="606"/>
    <col min="3089" max="3089" width="2.54296875" style="606" customWidth="1"/>
    <col min="3090" max="3311" width="2.54296875" style="606"/>
    <col min="3312" max="3312" width="4" style="606" customWidth="1"/>
    <col min="3313" max="3344" width="2.54296875" style="606"/>
    <col min="3345" max="3345" width="2.54296875" style="606" customWidth="1"/>
    <col min="3346" max="3567" width="2.54296875" style="606"/>
    <col min="3568" max="3568" width="4" style="606" customWidth="1"/>
    <col min="3569" max="3600" width="2.54296875" style="606"/>
    <col min="3601" max="3601" width="2.54296875" style="606" customWidth="1"/>
    <col min="3602" max="3823" width="2.54296875" style="606"/>
    <col min="3824" max="3824" width="4" style="606" customWidth="1"/>
    <col min="3825" max="3856" width="2.54296875" style="606"/>
    <col min="3857" max="3857" width="2.54296875" style="606" customWidth="1"/>
    <col min="3858" max="4079" width="2.54296875" style="606"/>
    <col min="4080" max="4080" width="4" style="606" customWidth="1"/>
    <col min="4081" max="4112" width="2.54296875" style="606"/>
    <col min="4113" max="4113" width="2.54296875" style="606" customWidth="1"/>
    <col min="4114" max="4335" width="2.54296875" style="606"/>
    <col min="4336" max="4336" width="4" style="606" customWidth="1"/>
    <col min="4337" max="4368" width="2.54296875" style="606"/>
    <col min="4369" max="4369" width="2.54296875" style="606" customWidth="1"/>
    <col min="4370" max="4591" width="2.54296875" style="606"/>
    <col min="4592" max="4592" width="4" style="606" customWidth="1"/>
    <col min="4593" max="4624" width="2.54296875" style="606"/>
    <col min="4625" max="4625" width="2.54296875" style="606" customWidth="1"/>
    <col min="4626" max="4847" width="2.54296875" style="606"/>
    <col min="4848" max="4848" width="4" style="606" customWidth="1"/>
    <col min="4849" max="4880" width="2.54296875" style="606"/>
    <col min="4881" max="4881" width="2.54296875" style="606" customWidth="1"/>
    <col min="4882" max="5103" width="2.54296875" style="606"/>
    <col min="5104" max="5104" width="4" style="606" customWidth="1"/>
    <col min="5105" max="5136" width="2.54296875" style="606"/>
    <col min="5137" max="5137" width="2.54296875" style="606" customWidth="1"/>
    <col min="5138" max="5359" width="2.54296875" style="606"/>
    <col min="5360" max="5360" width="4" style="606" customWidth="1"/>
    <col min="5361" max="5392" width="2.54296875" style="606"/>
    <col min="5393" max="5393" width="2.54296875" style="606" customWidth="1"/>
    <col min="5394" max="5615" width="2.54296875" style="606"/>
    <col min="5616" max="5616" width="4" style="606" customWidth="1"/>
    <col min="5617" max="5648" width="2.54296875" style="606"/>
    <col min="5649" max="5649" width="2.54296875" style="606" customWidth="1"/>
    <col min="5650" max="5871" width="2.54296875" style="606"/>
    <col min="5872" max="5872" width="4" style="606" customWidth="1"/>
    <col min="5873" max="5904" width="2.54296875" style="606"/>
    <col min="5905" max="5905" width="2.54296875" style="606" customWidth="1"/>
    <col min="5906" max="6127" width="2.54296875" style="606"/>
    <col min="6128" max="6128" width="4" style="606" customWidth="1"/>
    <col min="6129" max="6160" width="2.54296875" style="606"/>
    <col min="6161" max="6161" width="2.54296875" style="606" customWidth="1"/>
    <col min="6162" max="6383" width="2.54296875" style="606"/>
    <col min="6384" max="6384" width="4" style="606" customWidth="1"/>
    <col min="6385" max="6416" width="2.54296875" style="606"/>
    <col min="6417" max="6417" width="2.54296875" style="606" customWidth="1"/>
    <col min="6418" max="6639" width="2.54296875" style="606"/>
    <col min="6640" max="6640" width="4" style="606" customWidth="1"/>
    <col min="6641" max="6672" width="2.54296875" style="606"/>
    <col min="6673" max="6673" width="2.54296875" style="606" customWidth="1"/>
    <col min="6674" max="6895" width="2.54296875" style="606"/>
    <col min="6896" max="6896" width="4" style="606" customWidth="1"/>
    <col min="6897" max="6928" width="2.54296875" style="606"/>
    <col min="6929" max="6929" width="2.54296875" style="606" customWidth="1"/>
    <col min="6930" max="7151" width="2.54296875" style="606"/>
    <col min="7152" max="7152" width="4" style="606" customWidth="1"/>
    <col min="7153" max="7184" width="2.54296875" style="606"/>
    <col min="7185" max="7185" width="2.54296875" style="606" customWidth="1"/>
    <col min="7186" max="7407" width="2.54296875" style="606"/>
    <col min="7408" max="7408" width="4" style="606" customWidth="1"/>
    <col min="7409" max="7440" width="2.54296875" style="606"/>
    <col min="7441" max="7441" width="2.54296875" style="606" customWidth="1"/>
    <col min="7442" max="7663" width="2.54296875" style="606"/>
    <col min="7664" max="7664" width="4" style="606" customWidth="1"/>
    <col min="7665" max="7696" width="2.54296875" style="606"/>
    <col min="7697" max="7697" width="2.54296875" style="606" customWidth="1"/>
    <col min="7698" max="7919" width="2.54296875" style="606"/>
    <col min="7920" max="7920" width="4" style="606" customWidth="1"/>
    <col min="7921" max="7952" width="2.54296875" style="606"/>
    <col min="7953" max="7953" width="2.54296875" style="606" customWidth="1"/>
    <col min="7954" max="8175" width="2.54296875" style="606"/>
    <col min="8176" max="8176" width="4" style="606" customWidth="1"/>
    <col min="8177" max="8208" width="2.54296875" style="606"/>
    <col min="8209" max="8209" width="2.54296875" style="606" customWidth="1"/>
    <col min="8210" max="8431" width="2.54296875" style="606"/>
    <col min="8432" max="8432" width="4" style="606" customWidth="1"/>
    <col min="8433" max="8464" width="2.54296875" style="606"/>
    <col min="8465" max="8465" width="2.54296875" style="606" customWidth="1"/>
    <col min="8466" max="8687" width="2.54296875" style="606"/>
    <col min="8688" max="8688" width="4" style="606" customWidth="1"/>
    <col min="8689" max="8720" width="2.54296875" style="606"/>
    <col min="8721" max="8721" width="2.54296875" style="606" customWidth="1"/>
    <col min="8722" max="8943" width="2.54296875" style="606"/>
    <col min="8944" max="8944" width="4" style="606" customWidth="1"/>
    <col min="8945" max="8976" width="2.54296875" style="606"/>
    <col min="8977" max="8977" width="2.54296875" style="606" customWidth="1"/>
    <col min="8978" max="9199" width="2.54296875" style="606"/>
    <col min="9200" max="9200" width="4" style="606" customWidth="1"/>
    <col min="9201" max="9232" width="2.54296875" style="606"/>
    <col min="9233" max="9233" width="2.54296875" style="606" customWidth="1"/>
    <col min="9234" max="9455" width="2.54296875" style="606"/>
    <col min="9456" max="9456" width="4" style="606" customWidth="1"/>
    <col min="9457" max="9488" width="2.54296875" style="606"/>
    <col min="9489" max="9489" width="2.54296875" style="606" customWidth="1"/>
    <col min="9490" max="9711" width="2.54296875" style="606"/>
    <col min="9712" max="9712" width="4" style="606" customWidth="1"/>
    <col min="9713" max="9744" width="2.54296875" style="606"/>
    <col min="9745" max="9745" width="2.54296875" style="606" customWidth="1"/>
    <col min="9746" max="9967" width="2.54296875" style="606"/>
    <col min="9968" max="9968" width="4" style="606" customWidth="1"/>
    <col min="9969" max="10000" width="2.54296875" style="606"/>
    <col min="10001" max="10001" width="2.54296875" style="606" customWidth="1"/>
    <col min="10002" max="10223" width="2.54296875" style="606"/>
    <col min="10224" max="10224" width="4" style="606" customWidth="1"/>
    <col min="10225" max="10256" width="2.54296875" style="606"/>
    <col min="10257" max="10257" width="2.54296875" style="606" customWidth="1"/>
    <col min="10258" max="10479" width="2.54296875" style="606"/>
    <col min="10480" max="10480" width="4" style="606" customWidth="1"/>
    <col min="10481" max="10512" width="2.54296875" style="606"/>
    <col min="10513" max="10513" width="2.54296875" style="606" customWidth="1"/>
    <col min="10514" max="10735" width="2.54296875" style="606"/>
    <col min="10736" max="10736" width="4" style="606" customWidth="1"/>
    <col min="10737" max="10768" width="2.54296875" style="606"/>
    <col min="10769" max="10769" width="2.54296875" style="606" customWidth="1"/>
    <col min="10770" max="10991" width="2.54296875" style="606"/>
    <col min="10992" max="10992" width="4" style="606" customWidth="1"/>
    <col min="10993" max="11024" width="2.54296875" style="606"/>
    <col min="11025" max="11025" width="2.54296875" style="606" customWidth="1"/>
    <col min="11026" max="11247" width="2.54296875" style="606"/>
    <col min="11248" max="11248" width="4" style="606" customWidth="1"/>
    <col min="11249" max="11280" width="2.54296875" style="606"/>
    <col min="11281" max="11281" width="2.54296875" style="606" customWidth="1"/>
    <col min="11282" max="11503" width="2.54296875" style="606"/>
    <col min="11504" max="11504" width="4" style="606" customWidth="1"/>
    <col min="11505" max="11536" width="2.54296875" style="606"/>
    <col min="11537" max="11537" width="2.54296875" style="606" customWidth="1"/>
    <col min="11538" max="11759" width="2.54296875" style="606"/>
    <col min="11760" max="11760" width="4" style="606" customWidth="1"/>
    <col min="11761" max="11792" width="2.54296875" style="606"/>
    <col min="11793" max="11793" width="2.54296875" style="606" customWidth="1"/>
    <col min="11794" max="12015" width="2.54296875" style="606"/>
    <col min="12016" max="12016" width="4" style="606" customWidth="1"/>
    <col min="12017" max="12048" width="2.54296875" style="606"/>
    <col min="12049" max="12049" width="2.54296875" style="606" customWidth="1"/>
    <col min="12050" max="12271" width="2.54296875" style="606"/>
    <col min="12272" max="12272" width="4" style="606" customWidth="1"/>
    <col min="12273" max="12304" width="2.54296875" style="606"/>
    <col min="12305" max="12305" width="2.54296875" style="606" customWidth="1"/>
    <col min="12306" max="12527" width="2.54296875" style="606"/>
    <col min="12528" max="12528" width="4" style="606" customWidth="1"/>
    <col min="12529" max="12560" width="2.54296875" style="606"/>
    <col min="12561" max="12561" width="2.54296875" style="606" customWidth="1"/>
    <col min="12562" max="12783" width="2.54296875" style="606"/>
    <col min="12784" max="12784" width="4" style="606" customWidth="1"/>
    <col min="12785" max="12816" width="2.54296875" style="606"/>
    <col min="12817" max="12817" width="2.54296875" style="606" customWidth="1"/>
    <col min="12818" max="13039" width="2.54296875" style="606"/>
    <col min="13040" max="13040" width="4" style="606" customWidth="1"/>
    <col min="13041" max="13072" width="2.54296875" style="606"/>
    <col min="13073" max="13073" width="2.54296875" style="606" customWidth="1"/>
    <col min="13074" max="13295" width="2.54296875" style="606"/>
    <col min="13296" max="13296" width="4" style="606" customWidth="1"/>
    <col min="13297" max="13328" width="2.54296875" style="606"/>
    <col min="13329" max="13329" width="2.54296875" style="606" customWidth="1"/>
    <col min="13330" max="13551" width="2.54296875" style="606"/>
    <col min="13552" max="13552" width="4" style="606" customWidth="1"/>
    <col min="13553" max="13584" width="2.54296875" style="606"/>
    <col min="13585" max="13585" width="2.54296875" style="606" customWidth="1"/>
    <col min="13586" max="13807" width="2.54296875" style="606"/>
    <col min="13808" max="13808" width="4" style="606" customWidth="1"/>
    <col min="13809" max="13840" width="2.54296875" style="606"/>
    <col min="13841" max="13841" width="2.54296875" style="606" customWidth="1"/>
    <col min="13842" max="14063" width="2.54296875" style="606"/>
    <col min="14064" max="14064" width="4" style="606" customWidth="1"/>
    <col min="14065" max="14096" width="2.54296875" style="606"/>
    <col min="14097" max="14097" width="2.54296875" style="606" customWidth="1"/>
    <col min="14098" max="14319" width="2.54296875" style="606"/>
    <col min="14320" max="14320" width="4" style="606" customWidth="1"/>
    <col min="14321" max="14352" width="2.54296875" style="606"/>
    <col min="14353" max="14353" width="2.54296875" style="606" customWidth="1"/>
    <col min="14354" max="14575" width="2.54296875" style="606"/>
    <col min="14576" max="14576" width="4" style="606" customWidth="1"/>
    <col min="14577" max="14608" width="2.54296875" style="606"/>
    <col min="14609" max="14609" width="2.54296875" style="606" customWidth="1"/>
    <col min="14610" max="14831" width="2.54296875" style="606"/>
    <col min="14832" max="14832" width="4" style="606" customWidth="1"/>
    <col min="14833" max="14864" width="2.54296875" style="606"/>
    <col min="14865" max="14865" width="2.54296875" style="606" customWidth="1"/>
    <col min="14866" max="15087" width="2.54296875" style="606"/>
    <col min="15088" max="15088" width="4" style="606" customWidth="1"/>
    <col min="15089" max="15120" width="2.54296875" style="606"/>
    <col min="15121" max="15121" width="2.54296875" style="606" customWidth="1"/>
    <col min="15122" max="15343" width="2.54296875" style="606"/>
    <col min="15344" max="15344" width="4" style="606" customWidth="1"/>
    <col min="15345" max="15376" width="2.54296875" style="606"/>
    <col min="15377" max="15377" width="2.54296875" style="606" customWidth="1"/>
    <col min="15378" max="15599" width="2.54296875" style="606"/>
    <col min="15600" max="15600" width="4" style="606" customWidth="1"/>
    <col min="15601" max="15632" width="2.54296875" style="606"/>
    <col min="15633" max="15633" width="2.54296875" style="606" customWidth="1"/>
    <col min="15634" max="15855" width="2.54296875" style="606"/>
    <col min="15856" max="15856" width="4" style="606" customWidth="1"/>
    <col min="15857" max="15888" width="2.54296875" style="606"/>
    <col min="15889" max="15889" width="2.54296875" style="606" customWidth="1"/>
    <col min="15890" max="16111" width="2.54296875" style="606"/>
    <col min="16112" max="16112" width="4" style="606" customWidth="1"/>
    <col min="16113" max="16144" width="2.54296875" style="606"/>
    <col min="16145" max="16145" width="2.54296875" style="606" customWidth="1"/>
    <col min="16146" max="16384" width="2.54296875" style="606"/>
  </cols>
  <sheetData>
    <row r="1" spans="1:78" ht="12.75" customHeight="1">
      <c r="A1" s="837" t="s">
        <v>306</v>
      </c>
      <c r="B1" s="837"/>
      <c r="C1" s="837"/>
      <c r="D1" s="837"/>
      <c r="E1" s="837"/>
      <c r="F1" s="837"/>
      <c r="G1" s="837"/>
      <c r="H1" s="837"/>
      <c r="I1" s="837"/>
      <c r="J1" s="604"/>
      <c r="K1" s="604"/>
      <c r="L1" s="604"/>
      <c r="M1" s="604"/>
      <c r="N1" s="604"/>
      <c r="O1" s="604"/>
      <c r="P1" s="604"/>
      <c r="Q1" s="604"/>
      <c r="R1" s="604"/>
      <c r="S1" s="604"/>
      <c r="T1" s="604"/>
      <c r="U1" s="604"/>
      <c r="V1" s="604"/>
      <c r="W1" s="604"/>
      <c r="X1" s="604"/>
      <c r="Y1" s="604"/>
      <c r="Z1" s="604"/>
      <c r="AA1" s="604"/>
      <c r="AB1" s="689"/>
      <c r="AC1" s="689"/>
      <c r="AD1" s="689"/>
      <c r="AE1" s="689"/>
      <c r="AF1" s="689"/>
      <c r="AG1" s="689"/>
      <c r="AH1" s="689"/>
      <c r="AI1" s="689"/>
      <c r="AJ1" s="689"/>
      <c r="AK1" s="689"/>
      <c r="AL1" s="689"/>
      <c r="AM1" s="689"/>
      <c r="AN1" s="689"/>
      <c r="AO1" s="689"/>
      <c r="AP1" s="689"/>
      <c r="AQ1" s="689"/>
      <c r="AR1" s="604"/>
      <c r="AS1" s="604"/>
      <c r="AT1" s="604"/>
      <c r="AU1" s="604"/>
      <c r="AV1" s="604"/>
      <c r="AW1" s="604"/>
      <c r="AX1" s="604"/>
      <c r="AY1" s="604"/>
      <c r="AZ1" s="604"/>
      <c r="BA1" s="604"/>
      <c r="BB1" s="604"/>
      <c r="BC1" s="604"/>
      <c r="BD1" s="604"/>
      <c r="BE1" s="604"/>
      <c r="BF1" s="604"/>
      <c r="BG1" s="604"/>
      <c r="BH1" s="604"/>
      <c r="BI1" s="604"/>
      <c r="BJ1" s="604"/>
      <c r="BK1" s="604"/>
      <c r="BL1" s="604"/>
      <c r="BM1" s="604"/>
      <c r="BN1" s="604"/>
      <c r="BO1" s="604"/>
      <c r="BP1" s="604"/>
      <c r="BQ1" s="604"/>
      <c r="BR1" s="604"/>
      <c r="BS1" s="604"/>
      <c r="BT1" s="604"/>
      <c r="BU1" s="604"/>
      <c r="BV1" s="604"/>
      <c r="BW1" s="604"/>
      <c r="BX1" s="604"/>
      <c r="BY1" s="605"/>
      <c r="BZ1" s="605"/>
    </row>
    <row r="2" spans="1:78" ht="12.75" customHeight="1">
      <c r="A2" s="838" t="s">
        <v>307</v>
      </c>
      <c r="B2" s="838"/>
      <c r="C2" s="838"/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9"/>
      <c r="R2" s="839"/>
      <c r="S2" s="839"/>
      <c r="T2" s="839"/>
      <c r="U2" s="839"/>
      <c r="V2" s="839"/>
      <c r="W2" s="839"/>
      <c r="X2" s="839"/>
      <c r="Y2" s="839"/>
      <c r="Z2" s="839"/>
      <c r="AA2" s="839"/>
      <c r="AB2" s="839"/>
      <c r="AC2" s="839"/>
      <c r="AD2" s="839"/>
      <c r="AE2" s="839"/>
      <c r="AF2" s="839"/>
      <c r="AG2" s="839"/>
      <c r="AH2" s="839"/>
      <c r="AI2" s="839"/>
      <c r="AJ2" s="839"/>
      <c r="AK2" s="839"/>
      <c r="AL2" s="839"/>
      <c r="AM2" s="839"/>
      <c r="AN2" s="839"/>
      <c r="AO2" s="839"/>
      <c r="AP2" s="839"/>
      <c r="AQ2" s="839"/>
      <c r="AR2" s="839"/>
      <c r="AS2" s="839"/>
      <c r="AT2" s="839"/>
      <c r="AU2" s="839"/>
      <c r="AV2" s="839"/>
      <c r="AW2" s="839"/>
      <c r="AX2" s="839"/>
      <c r="AY2" s="839"/>
      <c r="AZ2" s="839"/>
      <c r="BA2" s="839"/>
      <c r="BB2" s="839"/>
      <c r="BC2" s="839"/>
      <c r="BD2" s="839"/>
      <c r="BE2" s="839"/>
      <c r="BF2" s="839"/>
      <c r="BG2" s="839"/>
      <c r="BH2" s="839"/>
      <c r="BI2" s="839"/>
      <c r="BJ2" s="839"/>
      <c r="BK2" s="839"/>
      <c r="BL2" s="839"/>
      <c r="BM2" s="839"/>
      <c r="BN2" s="839"/>
      <c r="BO2" s="839"/>
      <c r="BP2" s="839"/>
      <c r="BQ2" s="839"/>
      <c r="BR2" s="839"/>
      <c r="BS2" s="839"/>
      <c r="BT2" s="839"/>
      <c r="BU2" s="839"/>
      <c r="BV2" s="839"/>
      <c r="BW2" s="839"/>
      <c r="BX2" s="839"/>
      <c r="BY2" s="839"/>
      <c r="BZ2" s="839"/>
    </row>
    <row r="3" spans="1:78" ht="27.75" customHeight="1">
      <c r="A3" s="841" t="s">
        <v>308</v>
      </c>
      <c r="B3" s="842"/>
      <c r="C3" s="842" t="s">
        <v>309</v>
      </c>
      <c r="D3" s="842"/>
      <c r="E3" s="842"/>
      <c r="F3" s="842"/>
      <c r="G3" s="842"/>
      <c r="H3" s="842"/>
      <c r="I3" s="842"/>
      <c r="J3" s="842"/>
      <c r="K3" s="842"/>
      <c r="L3" s="842"/>
      <c r="M3" s="842"/>
      <c r="N3" s="842"/>
      <c r="O3" s="842"/>
      <c r="P3" s="842"/>
      <c r="Q3" s="843" t="s">
        <v>310</v>
      </c>
      <c r="R3" s="844"/>
      <c r="S3" s="844"/>
      <c r="T3" s="844"/>
      <c r="U3" s="844"/>
      <c r="V3" s="844"/>
      <c r="W3" s="844"/>
      <c r="X3" s="844"/>
      <c r="Y3" s="844"/>
      <c r="Z3" s="844"/>
      <c r="AA3" s="845"/>
      <c r="AB3" s="849" t="s">
        <v>636</v>
      </c>
      <c r="AC3" s="850"/>
      <c r="AD3" s="850"/>
      <c r="AE3" s="850"/>
      <c r="AF3" s="850"/>
      <c r="AG3" s="850"/>
      <c r="AH3" s="850"/>
      <c r="AI3" s="849" t="s">
        <v>637</v>
      </c>
      <c r="AJ3" s="850"/>
      <c r="AK3" s="850"/>
      <c r="AL3" s="850"/>
      <c r="AM3" s="850"/>
      <c r="AN3" s="850"/>
      <c r="AO3" s="850"/>
      <c r="AP3" s="850"/>
      <c r="AQ3" s="850"/>
      <c r="AR3" s="841" t="s">
        <v>311</v>
      </c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  <c r="BX3" s="841"/>
      <c r="BY3" s="841"/>
      <c r="BZ3" s="841"/>
    </row>
    <row r="4" spans="1:78" ht="27.75" customHeight="1">
      <c r="A4" s="842"/>
      <c r="B4" s="842"/>
      <c r="C4" s="840" t="s">
        <v>312</v>
      </c>
      <c r="D4" s="840"/>
      <c r="E4" s="840"/>
      <c r="F4" s="840"/>
      <c r="G4" s="840"/>
      <c r="H4" s="840"/>
      <c r="I4" s="840"/>
      <c r="J4" s="840" t="s">
        <v>313</v>
      </c>
      <c r="K4" s="840"/>
      <c r="L4" s="840"/>
      <c r="M4" s="840"/>
      <c r="N4" s="840"/>
      <c r="O4" s="840"/>
      <c r="P4" s="840"/>
      <c r="Q4" s="846"/>
      <c r="R4" s="847"/>
      <c r="S4" s="847"/>
      <c r="T4" s="847"/>
      <c r="U4" s="847"/>
      <c r="V4" s="847"/>
      <c r="W4" s="847"/>
      <c r="X4" s="847"/>
      <c r="Y4" s="847"/>
      <c r="Z4" s="847"/>
      <c r="AA4" s="848"/>
      <c r="AB4" s="851"/>
      <c r="AC4" s="852"/>
      <c r="AD4" s="852"/>
      <c r="AE4" s="852"/>
      <c r="AF4" s="852"/>
      <c r="AG4" s="852"/>
      <c r="AH4" s="852"/>
      <c r="AI4" s="851"/>
      <c r="AJ4" s="852"/>
      <c r="AK4" s="852"/>
      <c r="AL4" s="852"/>
      <c r="AM4" s="852"/>
      <c r="AN4" s="852"/>
      <c r="AO4" s="852"/>
      <c r="AP4" s="852"/>
      <c r="AQ4" s="852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  <c r="BW4" s="841"/>
      <c r="BX4" s="841"/>
      <c r="BY4" s="841"/>
      <c r="BZ4" s="841"/>
    </row>
    <row r="5" spans="1:78">
      <c r="A5" s="827" t="s">
        <v>314</v>
      </c>
      <c r="B5" s="828"/>
      <c r="C5" s="829" t="s">
        <v>315</v>
      </c>
      <c r="D5" s="830"/>
      <c r="E5" s="830"/>
      <c r="F5" s="830"/>
      <c r="G5" s="830"/>
      <c r="H5" s="830"/>
      <c r="I5" s="831"/>
      <c r="J5" s="832"/>
      <c r="K5" s="833"/>
      <c r="L5" s="833"/>
      <c r="M5" s="833"/>
      <c r="N5" s="833"/>
      <c r="O5" s="833"/>
      <c r="P5" s="834"/>
      <c r="Q5" s="823"/>
      <c r="R5" s="824"/>
      <c r="S5" s="824"/>
      <c r="T5" s="824"/>
      <c r="U5" s="824"/>
      <c r="V5" s="824"/>
      <c r="W5" s="824"/>
      <c r="X5" s="824"/>
      <c r="Y5" s="824"/>
      <c r="Z5" s="824"/>
      <c r="AA5" s="825"/>
      <c r="AB5" s="835"/>
      <c r="AC5" s="836"/>
      <c r="AD5" s="836"/>
      <c r="AE5" s="836"/>
      <c r="AF5" s="836"/>
      <c r="AG5" s="836"/>
      <c r="AH5" s="836"/>
      <c r="AI5" s="835"/>
      <c r="AJ5" s="836"/>
      <c r="AK5" s="836"/>
      <c r="AL5" s="836"/>
      <c r="AM5" s="836"/>
      <c r="AN5" s="836"/>
      <c r="AO5" s="836"/>
      <c r="AP5" s="836"/>
      <c r="AQ5" s="836"/>
      <c r="AR5" s="826"/>
      <c r="AS5" s="824"/>
      <c r="AT5" s="824"/>
      <c r="AU5" s="824"/>
      <c r="AV5" s="824"/>
      <c r="AW5" s="824"/>
      <c r="AX5" s="824"/>
      <c r="AY5" s="824"/>
      <c r="AZ5" s="824"/>
      <c r="BA5" s="824"/>
      <c r="BB5" s="824"/>
      <c r="BC5" s="824"/>
      <c r="BD5" s="824"/>
      <c r="BE5" s="824"/>
      <c r="BF5" s="824"/>
      <c r="BG5" s="824"/>
      <c r="BH5" s="824"/>
      <c r="BI5" s="824"/>
      <c r="BJ5" s="824"/>
      <c r="BK5" s="824"/>
      <c r="BL5" s="824"/>
      <c r="BM5" s="824"/>
      <c r="BN5" s="824"/>
      <c r="BO5" s="824"/>
      <c r="BP5" s="824"/>
      <c r="BQ5" s="824"/>
      <c r="BR5" s="824"/>
      <c r="BS5" s="824"/>
      <c r="BT5" s="824"/>
      <c r="BU5" s="824"/>
      <c r="BV5" s="824"/>
      <c r="BW5" s="824"/>
      <c r="BX5" s="824"/>
      <c r="BY5" s="824"/>
      <c r="BZ5" s="825"/>
    </row>
    <row r="6" spans="1:78">
      <c r="A6" s="827" t="s">
        <v>316</v>
      </c>
      <c r="B6" s="828"/>
      <c r="C6" s="829"/>
      <c r="D6" s="830"/>
      <c r="E6" s="830"/>
      <c r="F6" s="830"/>
      <c r="G6" s="830"/>
      <c r="H6" s="830"/>
      <c r="I6" s="831"/>
      <c r="J6" s="832" t="s">
        <v>317</v>
      </c>
      <c r="K6" s="833"/>
      <c r="L6" s="833"/>
      <c r="M6" s="833"/>
      <c r="N6" s="833"/>
      <c r="O6" s="833"/>
      <c r="P6" s="834"/>
      <c r="Q6" s="823" t="s">
        <v>305</v>
      </c>
      <c r="R6" s="824"/>
      <c r="S6" s="824"/>
      <c r="T6" s="824"/>
      <c r="U6" s="824"/>
      <c r="V6" s="824"/>
      <c r="W6" s="824"/>
      <c r="X6" s="824"/>
      <c r="Y6" s="824"/>
      <c r="Z6" s="824"/>
      <c r="AA6" s="825"/>
      <c r="AB6" s="835"/>
      <c r="AC6" s="836"/>
      <c r="AD6" s="836"/>
      <c r="AE6" s="836"/>
      <c r="AF6" s="836"/>
      <c r="AG6" s="836"/>
      <c r="AH6" s="836"/>
      <c r="AI6" s="835"/>
      <c r="AJ6" s="836"/>
      <c r="AK6" s="836"/>
      <c r="AL6" s="836"/>
      <c r="AM6" s="836"/>
      <c r="AN6" s="836"/>
      <c r="AO6" s="836"/>
      <c r="AP6" s="836"/>
      <c r="AQ6" s="836"/>
      <c r="AR6" s="826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  <c r="BX6" s="824"/>
      <c r="BY6" s="824"/>
      <c r="BZ6" s="825"/>
    </row>
    <row r="7" spans="1:78" ht="15.75" customHeight="1">
      <c r="A7" s="827" t="s">
        <v>345</v>
      </c>
      <c r="B7" s="828"/>
      <c r="C7" s="856" t="s">
        <v>346</v>
      </c>
      <c r="D7" s="857"/>
      <c r="E7" s="857"/>
      <c r="F7" s="857"/>
      <c r="G7" s="857"/>
      <c r="H7" s="857"/>
      <c r="I7" s="858"/>
      <c r="J7" s="859"/>
      <c r="K7" s="859"/>
      <c r="L7" s="859"/>
      <c r="M7" s="859"/>
      <c r="N7" s="859"/>
      <c r="O7" s="859"/>
      <c r="P7" s="859"/>
      <c r="Q7" s="823" t="s">
        <v>318</v>
      </c>
      <c r="R7" s="824"/>
      <c r="S7" s="824"/>
      <c r="T7" s="824"/>
      <c r="U7" s="824"/>
      <c r="V7" s="824"/>
      <c r="W7" s="824"/>
      <c r="X7" s="824"/>
      <c r="Y7" s="824"/>
      <c r="Z7" s="824"/>
      <c r="AA7" s="825"/>
      <c r="AB7" s="835"/>
      <c r="AC7" s="836"/>
      <c r="AD7" s="836"/>
      <c r="AE7" s="836"/>
      <c r="AF7" s="836"/>
      <c r="AG7" s="836"/>
      <c r="AH7" s="836"/>
      <c r="AI7" s="835"/>
      <c r="AJ7" s="836"/>
      <c r="AK7" s="836"/>
      <c r="AL7" s="836"/>
      <c r="AM7" s="836"/>
      <c r="AN7" s="836"/>
      <c r="AO7" s="836"/>
      <c r="AP7" s="836"/>
      <c r="AQ7" s="836"/>
      <c r="AR7" s="853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  <c r="BX7" s="854"/>
      <c r="BY7" s="854"/>
      <c r="BZ7" s="855"/>
    </row>
    <row r="8" spans="1:78" ht="44.5" customHeight="1">
      <c r="A8" s="827" t="s">
        <v>347</v>
      </c>
      <c r="B8" s="828"/>
      <c r="C8" s="607"/>
      <c r="D8" s="608"/>
      <c r="E8" s="608"/>
      <c r="F8" s="608"/>
      <c r="G8" s="608"/>
      <c r="H8" s="608"/>
      <c r="I8" s="609"/>
      <c r="J8" s="863" t="s">
        <v>348</v>
      </c>
      <c r="K8" s="864"/>
      <c r="L8" s="864"/>
      <c r="M8" s="864"/>
      <c r="N8" s="864"/>
      <c r="O8" s="864"/>
      <c r="P8" s="865"/>
      <c r="Q8" s="860" t="s">
        <v>349</v>
      </c>
      <c r="R8" s="861"/>
      <c r="S8" s="861"/>
      <c r="T8" s="861"/>
      <c r="U8" s="861"/>
      <c r="V8" s="861"/>
      <c r="W8" s="861"/>
      <c r="X8" s="861"/>
      <c r="Y8" s="861"/>
      <c r="Z8" s="861"/>
      <c r="AA8" s="862"/>
      <c r="AB8" s="820"/>
      <c r="AC8" s="821"/>
      <c r="AD8" s="821"/>
      <c r="AE8" s="821"/>
      <c r="AF8" s="821"/>
      <c r="AG8" s="821"/>
      <c r="AH8" s="821"/>
      <c r="AI8" s="820" t="s">
        <v>638</v>
      </c>
      <c r="AJ8" s="821"/>
      <c r="AK8" s="821"/>
      <c r="AL8" s="821"/>
      <c r="AM8" s="821"/>
      <c r="AN8" s="821"/>
      <c r="AO8" s="821"/>
      <c r="AP8" s="821"/>
      <c r="AQ8" s="821"/>
      <c r="AR8" s="826"/>
      <c r="AS8" s="824"/>
      <c r="AT8" s="824"/>
      <c r="AU8" s="824"/>
      <c r="AV8" s="824"/>
      <c r="AW8" s="824"/>
      <c r="AX8" s="824"/>
      <c r="AY8" s="824"/>
      <c r="AZ8" s="824"/>
      <c r="BA8" s="824"/>
      <c r="BB8" s="824"/>
      <c r="BC8" s="824"/>
      <c r="BD8" s="824"/>
      <c r="BE8" s="824"/>
      <c r="BF8" s="824"/>
      <c r="BG8" s="824"/>
      <c r="BH8" s="824"/>
      <c r="BI8" s="824"/>
      <c r="BJ8" s="824"/>
      <c r="BK8" s="824"/>
      <c r="BL8" s="824"/>
      <c r="BM8" s="824"/>
      <c r="BN8" s="824"/>
      <c r="BO8" s="824"/>
      <c r="BP8" s="824"/>
      <c r="BQ8" s="824"/>
      <c r="BR8" s="824"/>
      <c r="BS8" s="824"/>
      <c r="BT8" s="824"/>
      <c r="BU8" s="824"/>
      <c r="BV8" s="824"/>
      <c r="BW8" s="824"/>
      <c r="BX8" s="824"/>
      <c r="BY8" s="824"/>
      <c r="BZ8" s="825"/>
    </row>
    <row r="9" spans="1:78" ht="31.75" customHeight="1">
      <c r="A9" s="827" t="s">
        <v>350</v>
      </c>
      <c r="B9" s="828"/>
      <c r="C9" s="607"/>
      <c r="D9" s="608"/>
      <c r="E9" s="608"/>
      <c r="F9" s="608"/>
      <c r="G9" s="608"/>
      <c r="H9" s="608"/>
      <c r="I9" s="609"/>
      <c r="J9" s="863" t="s">
        <v>351</v>
      </c>
      <c r="K9" s="864"/>
      <c r="L9" s="864"/>
      <c r="M9" s="864"/>
      <c r="N9" s="864"/>
      <c r="O9" s="864"/>
      <c r="P9" s="865"/>
      <c r="Q9" s="860" t="s">
        <v>305</v>
      </c>
      <c r="R9" s="861"/>
      <c r="S9" s="861"/>
      <c r="T9" s="861"/>
      <c r="U9" s="861"/>
      <c r="V9" s="861"/>
      <c r="W9" s="861"/>
      <c r="X9" s="861"/>
      <c r="Y9" s="861"/>
      <c r="Z9" s="861"/>
      <c r="AA9" s="862"/>
      <c r="AB9" s="820"/>
      <c r="AC9" s="821"/>
      <c r="AD9" s="821"/>
      <c r="AE9" s="821"/>
      <c r="AF9" s="821"/>
      <c r="AG9" s="821"/>
      <c r="AH9" s="821"/>
      <c r="AI9" s="820"/>
      <c r="AJ9" s="821"/>
      <c r="AK9" s="821"/>
      <c r="AL9" s="821"/>
      <c r="AM9" s="821"/>
      <c r="AN9" s="821"/>
      <c r="AO9" s="821"/>
      <c r="AP9" s="821"/>
      <c r="AQ9" s="821"/>
      <c r="AR9" s="612"/>
      <c r="AS9" s="610"/>
      <c r="AT9" s="610"/>
      <c r="AU9" s="610"/>
      <c r="AV9" s="610"/>
      <c r="AW9" s="610"/>
      <c r="AX9" s="610"/>
      <c r="AY9" s="610"/>
      <c r="AZ9" s="610"/>
      <c r="BA9" s="610"/>
      <c r="BB9" s="610"/>
      <c r="BC9" s="610"/>
      <c r="BD9" s="610"/>
      <c r="BE9" s="610"/>
      <c r="BF9" s="610"/>
      <c r="BG9" s="610"/>
      <c r="BH9" s="610"/>
      <c r="BI9" s="610"/>
      <c r="BJ9" s="610"/>
      <c r="BK9" s="610"/>
      <c r="BL9" s="610"/>
      <c r="BM9" s="610"/>
      <c r="BN9" s="610"/>
      <c r="BO9" s="610"/>
      <c r="BP9" s="610"/>
      <c r="BQ9" s="610"/>
      <c r="BR9" s="610"/>
      <c r="BS9" s="610"/>
      <c r="BT9" s="610"/>
      <c r="BU9" s="610"/>
      <c r="BV9" s="610"/>
      <c r="BW9" s="610"/>
      <c r="BX9" s="610"/>
      <c r="BY9" s="610"/>
      <c r="BZ9" s="613"/>
    </row>
    <row r="10" spans="1:78" ht="33.75" customHeight="1">
      <c r="A10" s="827" t="s">
        <v>352</v>
      </c>
      <c r="B10" s="828"/>
      <c r="C10" s="607"/>
      <c r="D10" s="608"/>
      <c r="E10" s="608"/>
      <c r="F10" s="608"/>
      <c r="G10" s="608"/>
      <c r="H10" s="608"/>
      <c r="I10" s="609"/>
      <c r="J10" s="863" t="s">
        <v>320</v>
      </c>
      <c r="K10" s="864"/>
      <c r="L10" s="864"/>
      <c r="M10" s="864"/>
      <c r="N10" s="864"/>
      <c r="O10" s="864"/>
      <c r="P10" s="865"/>
      <c r="Q10" s="860" t="s">
        <v>639</v>
      </c>
      <c r="R10" s="861"/>
      <c r="S10" s="861"/>
      <c r="T10" s="861"/>
      <c r="U10" s="861"/>
      <c r="V10" s="861"/>
      <c r="W10" s="861"/>
      <c r="X10" s="861"/>
      <c r="Y10" s="861"/>
      <c r="Z10" s="861"/>
      <c r="AA10" s="862"/>
      <c r="AB10" s="835"/>
      <c r="AC10" s="836"/>
      <c r="AD10" s="836"/>
      <c r="AE10" s="836"/>
      <c r="AF10" s="836"/>
      <c r="AG10" s="836"/>
      <c r="AH10" s="836"/>
      <c r="AI10" s="820" t="s">
        <v>638</v>
      </c>
      <c r="AJ10" s="821"/>
      <c r="AK10" s="821"/>
      <c r="AL10" s="821"/>
      <c r="AM10" s="821"/>
      <c r="AN10" s="821"/>
      <c r="AO10" s="821"/>
      <c r="AP10" s="821"/>
      <c r="AQ10" s="821"/>
      <c r="AR10" s="612"/>
      <c r="AS10" s="610"/>
      <c r="AT10" s="610"/>
      <c r="AU10" s="610"/>
      <c r="AV10" s="610"/>
      <c r="AW10" s="610"/>
      <c r="AX10" s="610"/>
      <c r="AY10" s="610"/>
      <c r="AZ10" s="610"/>
      <c r="BA10" s="610"/>
      <c r="BB10" s="610"/>
      <c r="BC10" s="610"/>
      <c r="BD10" s="610"/>
      <c r="BE10" s="610"/>
      <c r="BF10" s="610"/>
      <c r="BG10" s="610"/>
      <c r="BH10" s="610"/>
      <c r="BI10" s="610"/>
      <c r="BJ10" s="610"/>
      <c r="BK10" s="610"/>
      <c r="BL10" s="610"/>
      <c r="BM10" s="610"/>
      <c r="BN10" s="610"/>
      <c r="BO10" s="610"/>
      <c r="BP10" s="610"/>
      <c r="BQ10" s="610"/>
      <c r="BR10" s="610"/>
      <c r="BS10" s="610"/>
      <c r="BT10" s="610"/>
      <c r="BU10" s="610"/>
      <c r="BV10" s="610"/>
      <c r="BW10" s="610"/>
      <c r="BX10" s="610"/>
      <c r="BY10" s="610"/>
      <c r="BZ10" s="613"/>
    </row>
    <row r="11" spans="1:78" ht="35.5" customHeight="1">
      <c r="A11" s="827" t="s">
        <v>353</v>
      </c>
      <c r="B11" s="828"/>
      <c r="C11" s="607"/>
      <c r="D11" s="608"/>
      <c r="E11" s="608"/>
      <c r="F11" s="608"/>
      <c r="G11" s="608"/>
      <c r="H11" s="608"/>
      <c r="I11" s="609"/>
      <c r="J11" s="863" t="s">
        <v>319</v>
      </c>
      <c r="K11" s="864"/>
      <c r="L11" s="864"/>
      <c r="M11" s="864"/>
      <c r="N11" s="864"/>
      <c r="O11" s="864"/>
      <c r="P11" s="865"/>
      <c r="Q11" s="860" t="s">
        <v>354</v>
      </c>
      <c r="R11" s="861"/>
      <c r="S11" s="861"/>
      <c r="T11" s="861"/>
      <c r="U11" s="861"/>
      <c r="V11" s="861"/>
      <c r="W11" s="861"/>
      <c r="X11" s="861"/>
      <c r="Y11" s="861"/>
      <c r="Z11" s="861"/>
      <c r="AA11" s="862"/>
      <c r="AB11" s="820"/>
      <c r="AC11" s="821"/>
      <c r="AD11" s="821"/>
      <c r="AE11" s="821"/>
      <c r="AF11" s="821"/>
      <c r="AG11" s="821"/>
      <c r="AH11" s="821"/>
      <c r="AI11" s="820" t="s">
        <v>638</v>
      </c>
      <c r="AJ11" s="821"/>
      <c r="AK11" s="821"/>
      <c r="AL11" s="821"/>
      <c r="AM11" s="821"/>
      <c r="AN11" s="821"/>
      <c r="AO11" s="821"/>
      <c r="AP11" s="821"/>
      <c r="AQ11" s="821"/>
      <c r="AR11" s="612"/>
      <c r="AS11" s="610"/>
      <c r="AT11" s="610"/>
      <c r="AU11" s="610"/>
      <c r="AV11" s="610"/>
      <c r="AW11" s="610"/>
      <c r="AX11" s="610"/>
      <c r="AY11" s="610"/>
      <c r="AZ11" s="610"/>
      <c r="BA11" s="610"/>
      <c r="BB11" s="610"/>
      <c r="BC11" s="610"/>
      <c r="BD11" s="610"/>
      <c r="BE11" s="610"/>
      <c r="BF11" s="610"/>
      <c r="BG11" s="610"/>
      <c r="BH11" s="610"/>
      <c r="BI11" s="610"/>
      <c r="BJ11" s="610"/>
      <c r="BK11" s="610"/>
      <c r="BL11" s="610"/>
      <c r="BM11" s="610"/>
      <c r="BN11" s="610"/>
      <c r="BO11" s="610"/>
      <c r="BP11" s="610"/>
      <c r="BQ11" s="610"/>
      <c r="BR11" s="610"/>
      <c r="BS11" s="610"/>
      <c r="BT11" s="610"/>
      <c r="BU11" s="610"/>
      <c r="BV11" s="610"/>
      <c r="BW11" s="610"/>
      <c r="BX11" s="610"/>
      <c r="BY11" s="610"/>
      <c r="BZ11" s="613"/>
    </row>
    <row r="12" spans="1:78" ht="26.5" customHeight="1">
      <c r="A12" s="827" t="s">
        <v>355</v>
      </c>
      <c r="B12" s="828"/>
      <c r="C12" s="607"/>
      <c r="D12" s="608"/>
      <c r="E12" s="608"/>
      <c r="F12" s="608"/>
      <c r="G12" s="608"/>
      <c r="H12" s="608"/>
      <c r="I12" s="609"/>
      <c r="J12" s="863" t="s">
        <v>356</v>
      </c>
      <c r="K12" s="864"/>
      <c r="L12" s="864"/>
      <c r="M12" s="864"/>
      <c r="N12" s="864"/>
      <c r="O12" s="864"/>
      <c r="P12" s="865"/>
      <c r="Q12" s="860" t="s">
        <v>318</v>
      </c>
      <c r="R12" s="861"/>
      <c r="S12" s="861"/>
      <c r="T12" s="861"/>
      <c r="U12" s="861"/>
      <c r="V12" s="861"/>
      <c r="W12" s="861"/>
      <c r="X12" s="861"/>
      <c r="Y12" s="861"/>
      <c r="Z12" s="861"/>
      <c r="AA12" s="862"/>
      <c r="AB12" s="820"/>
      <c r="AC12" s="821"/>
      <c r="AD12" s="821"/>
      <c r="AE12" s="821"/>
      <c r="AF12" s="821"/>
      <c r="AG12" s="821"/>
      <c r="AH12" s="821"/>
      <c r="AI12" s="820"/>
      <c r="AJ12" s="821"/>
      <c r="AK12" s="821"/>
      <c r="AL12" s="821"/>
      <c r="AM12" s="821"/>
      <c r="AN12" s="821"/>
      <c r="AO12" s="821"/>
      <c r="AP12" s="821"/>
      <c r="AQ12" s="821"/>
      <c r="AR12" s="612"/>
      <c r="AS12" s="610"/>
      <c r="AT12" s="610"/>
      <c r="AU12" s="610"/>
      <c r="AV12" s="610"/>
      <c r="AW12" s="610"/>
      <c r="AX12" s="610"/>
      <c r="AY12" s="610"/>
      <c r="AZ12" s="610"/>
      <c r="BA12" s="610"/>
      <c r="BB12" s="610"/>
      <c r="BC12" s="610"/>
      <c r="BD12" s="610"/>
      <c r="BE12" s="610"/>
      <c r="BF12" s="610"/>
      <c r="BG12" s="610"/>
      <c r="BH12" s="610"/>
      <c r="BI12" s="610"/>
      <c r="BJ12" s="610"/>
      <c r="BK12" s="610"/>
      <c r="BL12" s="610"/>
      <c r="BM12" s="610"/>
      <c r="BN12" s="610"/>
      <c r="BO12" s="610"/>
      <c r="BP12" s="610"/>
      <c r="BQ12" s="610"/>
      <c r="BR12" s="610"/>
      <c r="BS12" s="610"/>
      <c r="BT12" s="610"/>
      <c r="BU12" s="610"/>
      <c r="BV12" s="610"/>
      <c r="BW12" s="610"/>
      <c r="BX12" s="610"/>
      <c r="BY12" s="610"/>
      <c r="BZ12" s="613"/>
    </row>
    <row r="13" spans="1:78" ht="30" customHeight="1">
      <c r="A13" s="827" t="s">
        <v>357</v>
      </c>
      <c r="B13" s="828"/>
      <c r="C13" s="607"/>
      <c r="D13" s="608"/>
      <c r="E13" s="608"/>
      <c r="F13" s="608"/>
      <c r="G13" s="608"/>
      <c r="H13" s="608"/>
      <c r="I13" s="609"/>
      <c r="J13" s="863" t="s">
        <v>358</v>
      </c>
      <c r="K13" s="864"/>
      <c r="L13" s="864"/>
      <c r="M13" s="864"/>
      <c r="N13" s="864"/>
      <c r="O13" s="864"/>
      <c r="P13" s="865"/>
      <c r="Q13" s="860" t="s">
        <v>359</v>
      </c>
      <c r="R13" s="861"/>
      <c r="S13" s="861"/>
      <c r="T13" s="861"/>
      <c r="U13" s="861"/>
      <c r="V13" s="861"/>
      <c r="W13" s="861"/>
      <c r="X13" s="861"/>
      <c r="Y13" s="861"/>
      <c r="Z13" s="861"/>
      <c r="AA13" s="862"/>
      <c r="AB13" s="835"/>
      <c r="AC13" s="836"/>
      <c r="AD13" s="836"/>
      <c r="AE13" s="836"/>
      <c r="AF13" s="836"/>
      <c r="AG13" s="836"/>
      <c r="AH13" s="836"/>
      <c r="AI13" s="835" t="s">
        <v>640</v>
      </c>
      <c r="AJ13" s="836"/>
      <c r="AK13" s="836"/>
      <c r="AL13" s="836"/>
      <c r="AM13" s="836"/>
      <c r="AN13" s="836"/>
      <c r="AO13" s="836"/>
      <c r="AP13" s="836"/>
      <c r="AQ13" s="836"/>
      <c r="AR13" s="826" t="s">
        <v>360</v>
      </c>
      <c r="AS13" s="824"/>
      <c r="AT13" s="824"/>
      <c r="AU13" s="824"/>
      <c r="AV13" s="824"/>
      <c r="AW13" s="824"/>
      <c r="AX13" s="824"/>
      <c r="AY13" s="824"/>
      <c r="AZ13" s="824"/>
      <c r="BA13" s="824"/>
      <c r="BB13" s="824"/>
      <c r="BC13" s="824"/>
      <c r="BD13" s="824"/>
      <c r="BE13" s="824"/>
      <c r="BF13" s="824"/>
      <c r="BG13" s="824"/>
      <c r="BH13" s="824"/>
      <c r="BI13" s="824"/>
      <c r="BJ13" s="824"/>
      <c r="BK13" s="824"/>
      <c r="BL13" s="824"/>
      <c r="BM13" s="824"/>
      <c r="BN13" s="824"/>
      <c r="BO13" s="824"/>
      <c r="BP13" s="824"/>
      <c r="BQ13" s="824"/>
      <c r="BR13" s="824"/>
      <c r="BS13" s="824"/>
      <c r="BT13" s="824"/>
      <c r="BU13" s="824"/>
      <c r="BV13" s="824"/>
      <c r="BW13" s="824"/>
      <c r="BX13" s="824"/>
      <c r="BY13" s="824"/>
      <c r="BZ13" s="825"/>
    </row>
    <row r="14" spans="1:78" ht="246.5" customHeight="1">
      <c r="A14" s="827" t="s">
        <v>361</v>
      </c>
      <c r="B14" s="828"/>
      <c r="C14" s="607"/>
      <c r="D14" s="608"/>
      <c r="E14" s="608"/>
      <c r="F14" s="608"/>
      <c r="G14" s="608"/>
      <c r="H14" s="608"/>
      <c r="I14" s="609"/>
      <c r="J14" s="863" t="s">
        <v>301</v>
      </c>
      <c r="K14" s="864"/>
      <c r="L14" s="864"/>
      <c r="M14" s="864"/>
      <c r="N14" s="864"/>
      <c r="O14" s="864"/>
      <c r="P14" s="865"/>
      <c r="Q14" s="860" t="s">
        <v>362</v>
      </c>
      <c r="R14" s="861"/>
      <c r="S14" s="861"/>
      <c r="T14" s="861"/>
      <c r="U14" s="861"/>
      <c r="V14" s="861"/>
      <c r="W14" s="861"/>
      <c r="X14" s="861"/>
      <c r="Y14" s="861"/>
      <c r="Z14" s="861"/>
      <c r="AA14" s="862"/>
      <c r="AB14" s="835"/>
      <c r="AC14" s="836"/>
      <c r="AD14" s="836"/>
      <c r="AE14" s="836"/>
      <c r="AF14" s="836"/>
      <c r="AG14" s="836"/>
      <c r="AH14" s="836"/>
      <c r="AI14" s="835" t="s">
        <v>641</v>
      </c>
      <c r="AJ14" s="836"/>
      <c r="AK14" s="836"/>
      <c r="AL14" s="836"/>
      <c r="AM14" s="836"/>
      <c r="AN14" s="836"/>
      <c r="AO14" s="836"/>
      <c r="AP14" s="836"/>
      <c r="AQ14" s="836"/>
      <c r="AR14" s="866" t="s">
        <v>363</v>
      </c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  <c r="BW14" s="867"/>
      <c r="BX14" s="867"/>
      <c r="BY14" s="867"/>
      <c r="BZ14" s="868"/>
    </row>
    <row r="15" spans="1:78" ht="72.5" customHeight="1">
      <c r="A15" s="827" t="s">
        <v>364</v>
      </c>
      <c r="B15" s="828"/>
      <c r="C15" s="607"/>
      <c r="D15" s="608"/>
      <c r="E15" s="608"/>
      <c r="F15" s="608"/>
      <c r="G15" s="608"/>
      <c r="H15" s="608"/>
      <c r="I15" s="609"/>
      <c r="J15" s="863" t="s">
        <v>365</v>
      </c>
      <c r="K15" s="864"/>
      <c r="L15" s="864"/>
      <c r="M15" s="864"/>
      <c r="N15" s="864"/>
      <c r="O15" s="864"/>
      <c r="P15" s="865"/>
      <c r="Q15" s="860" t="s">
        <v>366</v>
      </c>
      <c r="R15" s="861"/>
      <c r="S15" s="861"/>
      <c r="T15" s="861"/>
      <c r="U15" s="861"/>
      <c r="V15" s="861"/>
      <c r="W15" s="861"/>
      <c r="X15" s="861"/>
      <c r="Y15" s="861"/>
      <c r="Z15" s="861"/>
      <c r="AA15" s="862"/>
      <c r="AB15" s="690"/>
      <c r="AC15" s="691"/>
      <c r="AD15" s="691"/>
      <c r="AE15" s="691"/>
      <c r="AF15" s="691"/>
      <c r="AG15" s="691"/>
      <c r="AH15" s="691"/>
      <c r="AI15" s="835" t="s">
        <v>642</v>
      </c>
      <c r="AJ15" s="836"/>
      <c r="AK15" s="836"/>
      <c r="AL15" s="836"/>
      <c r="AM15" s="836"/>
      <c r="AN15" s="836"/>
      <c r="AO15" s="836"/>
      <c r="AP15" s="836"/>
      <c r="AQ15" s="836"/>
      <c r="AR15" s="866" t="s">
        <v>367</v>
      </c>
      <c r="AS15" s="867"/>
      <c r="AT15" s="867"/>
      <c r="AU15" s="867"/>
      <c r="AV15" s="867"/>
      <c r="AW15" s="867"/>
      <c r="AX15" s="867"/>
      <c r="AY15" s="867"/>
      <c r="AZ15" s="867"/>
      <c r="BA15" s="867"/>
      <c r="BB15" s="867"/>
      <c r="BC15" s="867"/>
      <c r="BD15" s="867"/>
      <c r="BE15" s="867"/>
      <c r="BF15" s="867"/>
      <c r="BG15" s="867"/>
      <c r="BH15" s="867"/>
      <c r="BI15" s="867"/>
      <c r="BJ15" s="867"/>
      <c r="BK15" s="867"/>
      <c r="BL15" s="867"/>
      <c r="BM15" s="867"/>
      <c r="BN15" s="867"/>
      <c r="BO15" s="867"/>
      <c r="BP15" s="867"/>
      <c r="BQ15" s="867"/>
      <c r="BR15" s="867"/>
      <c r="BS15" s="867"/>
      <c r="BT15" s="867"/>
      <c r="BU15" s="867"/>
      <c r="BV15" s="867"/>
      <c r="BW15" s="867"/>
      <c r="BX15" s="867"/>
      <c r="BY15" s="867"/>
      <c r="BZ15" s="868"/>
    </row>
    <row r="16" spans="1:78" ht="40.5" customHeight="1">
      <c r="A16" s="827" t="s">
        <v>368</v>
      </c>
      <c r="B16" s="828"/>
      <c r="C16" s="607"/>
      <c r="D16" s="608"/>
      <c r="E16" s="608"/>
      <c r="F16" s="608"/>
      <c r="G16" s="608"/>
      <c r="H16" s="608"/>
      <c r="I16" s="609"/>
      <c r="J16" s="863" t="s">
        <v>302</v>
      </c>
      <c r="K16" s="864"/>
      <c r="L16" s="864"/>
      <c r="M16" s="864"/>
      <c r="N16" s="864"/>
      <c r="O16" s="864"/>
      <c r="P16" s="865"/>
      <c r="Q16" s="860" t="s">
        <v>369</v>
      </c>
      <c r="R16" s="861"/>
      <c r="S16" s="861"/>
      <c r="T16" s="861"/>
      <c r="U16" s="861"/>
      <c r="V16" s="861"/>
      <c r="W16" s="861"/>
      <c r="X16" s="861"/>
      <c r="Y16" s="861"/>
      <c r="Z16" s="861"/>
      <c r="AA16" s="862"/>
      <c r="AB16" s="690"/>
      <c r="AC16" s="691"/>
      <c r="AD16" s="691"/>
      <c r="AE16" s="691"/>
      <c r="AF16" s="691"/>
      <c r="AG16" s="691"/>
      <c r="AH16" s="691"/>
      <c r="AI16" s="1056" t="s">
        <v>643</v>
      </c>
      <c r="AJ16" s="1057"/>
      <c r="AK16" s="1057"/>
      <c r="AL16" s="1057"/>
      <c r="AM16" s="1057"/>
      <c r="AN16" s="1057"/>
      <c r="AO16" s="1057"/>
      <c r="AP16" s="1057"/>
      <c r="AQ16" s="1057"/>
      <c r="AR16" s="826" t="s">
        <v>370</v>
      </c>
      <c r="AS16" s="824"/>
      <c r="AT16" s="824"/>
      <c r="AU16" s="824"/>
      <c r="AV16" s="824"/>
      <c r="AW16" s="824"/>
      <c r="AX16" s="824"/>
      <c r="AY16" s="824"/>
      <c r="AZ16" s="824"/>
      <c r="BA16" s="824"/>
      <c r="BB16" s="824"/>
      <c r="BC16" s="824"/>
      <c r="BD16" s="824"/>
      <c r="BE16" s="824"/>
      <c r="BF16" s="824"/>
      <c r="BG16" s="824"/>
      <c r="BH16" s="824"/>
      <c r="BI16" s="824"/>
      <c r="BJ16" s="824"/>
      <c r="BK16" s="824"/>
      <c r="BL16" s="824"/>
      <c r="BM16" s="824"/>
      <c r="BN16" s="824"/>
      <c r="BO16" s="824"/>
      <c r="BP16" s="824"/>
      <c r="BQ16" s="824"/>
      <c r="BR16" s="824"/>
      <c r="BS16" s="824"/>
      <c r="BT16" s="824"/>
      <c r="BU16" s="824"/>
      <c r="BV16" s="824"/>
      <c r="BW16" s="824"/>
      <c r="BX16" s="824"/>
      <c r="BY16" s="824"/>
      <c r="BZ16" s="825"/>
    </row>
    <row r="17" spans="1:78" ht="133.5" customHeight="1">
      <c r="A17" s="827" t="s">
        <v>371</v>
      </c>
      <c r="B17" s="828"/>
      <c r="C17" s="607"/>
      <c r="D17" s="608"/>
      <c r="E17" s="608"/>
      <c r="F17" s="608"/>
      <c r="G17" s="608"/>
      <c r="H17" s="608"/>
      <c r="I17" s="609"/>
      <c r="J17" s="863" t="s">
        <v>303</v>
      </c>
      <c r="K17" s="864"/>
      <c r="L17" s="864"/>
      <c r="M17" s="864"/>
      <c r="N17" s="864"/>
      <c r="O17" s="864"/>
      <c r="P17" s="865"/>
      <c r="Q17" s="860" t="s">
        <v>372</v>
      </c>
      <c r="R17" s="861"/>
      <c r="S17" s="861"/>
      <c r="T17" s="861"/>
      <c r="U17" s="861"/>
      <c r="V17" s="861"/>
      <c r="W17" s="861"/>
      <c r="X17" s="861"/>
      <c r="Y17" s="861"/>
      <c r="Z17" s="861"/>
      <c r="AA17" s="862"/>
      <c r="AB17" s="869"/>
      <c r="AC17" s="870"/>
      <c r="AD17" s="870"/>
      <c r="AE17" s="870"/>
      <c r="AF17" s="870"/>
      <c r="AG17" s="870"/>
      <c r="AH17" s="871"/>
      <c r="AI17" s="1056" t="s">
        <v>644</v>
      </c>
      <c r="AJ17" s="1057"/>
      <c r="AK17" s="1057"/>
      <c r="AL17" s="1057"/>
      <c r="AM17" s="1057"/>
      <c r="AN17" s="1057"/>
      <c r="AO17" s="1057"/>
      <c r="AP17" s="1057"/>
      <c r="AQ17" s="1057"/>
      <c r="AR17" s="826" t="s">
        <v>370</v>
      </c>
      <c r="AS17" s="824"/>
      <c r="AT17" s="824"/>
      <c r="AU17" s="824"/>
      <c r="AV17" s="824"/>
      <c r="AW17" s="824"/>
      <c r="AX17" s="824"/>
      <c r="AY17" s="824"/>
      <c r="AZ17" s="824"/>
      <c r="BA17" s="824"/>
      <c r="BB17" s="824"/>
      <c r="BC17" s="824"/>
      <c r="BD17" s="824"/>
      <c r="BE17" s="824"/>
      <c r="BF17" s="824"/>
      <c r="BG17" s="824"/>
      <c r="BH17" s="824"/>
      <c r="BI17" s="824"/>
      <c r="BJ17" s="824"/>
      <c r="BK17" s="824"/>
      <c r="BL17" s="824"/>
      <c r="BM17" s="824"/>
      <c r="BN17" s="824"/>
      <c r="BO17" s="824"/>
      <c r="BP17" s="824"/>
      <c r="BQ17" s="824"/>
      <c r="BR17" s="824"/>
      <c r="BS17" s="824"/>
      <c r="BT17" s="824"/>
      <c r="BU17" s="824"/>
      <c r="BV17" s="824"/>
      <c r="BW17" s="824"/>
      <c r="BX17" s="824"/>
      <c r="BY17" s="824"/>
      <c r="BZ17" s="825"/>
    </row>
    <row r="18" spans="1:78" ht="30.75" customHeight="1">
      <c r="A18" s="827" t="s">
        <v>373</v>
      </c>
      <c r="B18" s="828"/>
      <c r="C18" s="607"/>
      <c r="D18" s="608"/>
      <c r="E18" s="608"/>
      <c r="F18" s="608"/>
      <c r="G18" s="608"/>
      <c r="H18" s="608"/>
      <c r="I18" s="609"/>
      <c r="J18" s="863" t="s">
        <v>304</v>
      </c>
      <c r="K18" s="864"/>
      <c r="L18" s="864"/>
      <c r="M18" s="864"/>
      <c r="N18" s="864"/>
      <c r="O18" s="864"/>
      <c r="P18" s="865"/>
      <c r="Q18" s="860" t="s">
        <v>374</v>
      </c>
      <c r="R18" s="861"/>
      <c r="S18" s="861"/>
      <c r="T18" s="861"/>
      <c r="U18" s="861"/>
      <c r="V18" s="861"/>
      <c r="W18" s="861"/>
      <c r="X18" s="861"/>
      <c r="Y18" s="861"/>
      <c r="Z18" s="861"/>
      <c r="AA18" s="862"/>
      <c r="AB18" s="869"/>
      <c r="AC18" s="870"/>
      <c r="AD18" s="870"/>
      <c r="AE18" s="870"/>
      <c r="AF18" s="870"/>
      <c r="AG18" s="870"/>
      <c r="AH18" s="871"/>
      <c r="AI18" s="1056" t="s">
        <v>645</v>
      </c>
      <c r="AJ18" s="1057"/>
      <c r="AK18" s="1057"/>
      <c r="AL18" s="1057"/>
      <c r="AM18" s="1057"/>
      <c r="AN18" s="1057"/>
      <c r="AO18" s="1057"/>
      <c r="AP18" s="1057"/>
      <c r="AQ18" s="1057"/>
      <c r="AR18" s="826" t="s">
        <v>375</v>
      </c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  <c r="BX18" s="824"/>
      <c r="BY18" s="824"/>
      <c r="BZ18" s="825"/>
    </row>
    <row r="19" spans="1:78" ht="46.5" customHeight="1">
      <c r="A19" s="827" t="s">
        <v>376</v>
      </c>
      <c r="B19" s="828"/>
      <c r="C19" s="829"/>
      <c r="D19" s="830"/>
      <c r="E19" s="830"/>
      <c r="F19" s="830"/>
      <c r="G19" s="830"/>
      <c r="H19" s="830"/>
      <c r="I19" s="831"/>
      <c r="J19" s="863" t="s">
        <v>377</v>
      </c>
      <c r="K19" s="864"/>
      <c r="L19" s="864"/>
      <c r="M19" s="864"/>
      <c r="N19" s="864"/>
      <c r="O19" s="864"/>
      <c r="P19" s="865"/>
      <c r="Q19" s="872" t="s">
        <v>378</v>
      </c>
      <c r="R19" s="873"/>
      <c r="S19" s="873"/>
      <c r="T19" s="873"/>
      <c r="U19" s="873"/>
      <c r="V19" s="873"/>
      <c r="W19" s="873"/>
      <c r="X19" s="873"/>
      <c r="Y19" s="873"/>
      <c r="Z19" s="873"/>
      <c r="AA19" s="874"/>
      <c r="AB19" s="690"/>
      <c r="AC19" s="691"/>
      <c r="AD19" s="691"/>
      <c r="AE19" s="691"/>
      <c r="AF19" s="691"/>
      <c r="AG19" s="691"/>
      <c r="AH19" s="691"/>
      <c r="AI19" s="820" t="s">
        <v>638</v>
      </c>
      <c r="AJ19" s="821"/>
      <c r="AK19" s="821"/>
      <c r="AL19" s="821"/>
      <c r="AM19" s="821"/>
      <c r="AN19" s="821"/>
      <c r="AO19" s="821"/>
      <c r="AP19" s="821"/>
      <c r="AQ19" s="821"/>
      <c r="AR19" s="875"/>
      <c r="AS19" s="873"/>
      <c r="AT19" s="873"/>
      <c r="AU19" s="873"/>
      <c r="AV19" s="873"/>
      <c r="AW19" s="873"/>
      <c r="AX19" s="873"/>
      <c r="AY19" s="873"/>
      <c r="AZ19" s="873"/>
      <c r="BA19" s="873"/>
      <c r="BB19" s="873"/>
      <c r="BC19" s="873"/>
      <c r="BD19" s="873"/>
      <c r="BE19" s="873"/>
      <c r="BF19" s="873"/>
      <c r="BG19" s="873"/>
      <c r="BH19" s="873"/>
      <c r="BI19" s="873"/>
      <c r="BJ19" s="873"/>
      <c r="BK19" s="873"/>
      <c r="BL19" s="873"/>
      <c r="BM19" s="873"/>
      <c r="BN19" s="873"/>
      <c r="BO19" s="873"/>
      <c r="BP19" s="873"/>
      <c r="BQ19" s="873"/>
      <c r="BR19" s="873"/>
      <c r="BS19" s="873"/>
      <c r="BT19" s="873"/>
      <c r="BU19" s="873"/>
      <c r="BV19" s="873"/>
      <c r="BW19" s="873"/>
      <c r="BX19" s="873"/>
      <c r="BY19" s="873"/>
      <c r="BZ19" s="874"/>
    </row>
    <row r="20" spans="1:78" ht="167.5" customHeight="1">
      <c r="A20" s="827" t="s">
        <v>379</v>
      </c>
      <c r="B20" s="828"/>
      <c r="C20" s="832"/>
      <c r="D20" s="833"/>
      <c r="E20" s="833"/>
      <c r="F20" s="833"/>
      <c r="G20" s="833"/>
      <c r="H20" s="833"/>
      <c r="I20" s="834"/>
      <c r="J20" s="863" t="s">
        <v>380</v>
      </c>
      <c r="K20" s="864"/>
      <c r="L20" s="864"/>
      <c r="M20" s="864"/>
      <c r="N20" s="864"/>
      <c r="O20" s="864"/>
      <c r="P20" s="865"/>
      <c r="Q20" s="872" t="s">
        <v>381</v>
      </c>
      <c r="R20" s="873"/>
      <c r="S20" s="873"/>
      <c r="T20" s="873"/>
      <c r="U20" s="873"/>
      <c r="V20" s="873"/>
      <c r="W20" s="873"/>
      <c r="X20" s="873"/>
      <c r="Y20" s="873"/>
      <c r="Z20" s="873"/>
      <c r="AA20" s="874"/>
      <c r="AB20" s="835"/>
      <c r="AC20" s="836"/>
      <c r="AD20" s="836"/>
      <c r="AE20" s="836"/>
      <c r="AF20" s="836"/>
      <c r="AG20" s="836"/>
      <c r="AH20" s="836"/>
      <c r="AI20" s="835"/>
      <c r="AJ20" s="836"/>
      <c r="AK20" s="836"/>
      <c r="AL20" s="836"/>
      <c r="AM20" s="836"/>
      <c r="AN20" s="836"/>
      <c r="AO20" s="836"/>
      <c r="AP20" s="836"/>
      <c r="AQ20" s="836"/>
      <c r="AR20" s="826" t="s">
        <v>633</v>
      </c>
      <c r="AS20" s="824"/>
      <c r="AT20" s="824"/>
      <c r="AU20" s="824"/>
      <c r="AV20" s="824"/>
      <c r="AW20" s="824"/>
      <c r="AX20" s="824"/>
      <c r="AY20" s="824"/>
      <c r="AZ20" s="824"/>
      <c r="BA20" s="824"/>
      <c r="BB20" s="824"/>
      <c r="BC20" s="824"/>
      <c r="BD20" s="824"/>
      <c r="BE20" s="824"/>
      <c r="BF20" s="824"/>
      <c r="BG20" s="824"/>
      <c r="BH20" s="824"/>
      <c r="BI20" s="824"/>
      <c r="BJ20" s="824"/>
      <c r="BK20" s="824"/>
      <c r="BL20" s="824"/>
      <c r="BM20" s="824"/>
      <c r="BN20" s="824"/>
      <c r="BO20" s="824"/>
      <c r="BP20" s="824"/>
      <c r="BQ20" s="824"/>
      <c r="BR20" s="824"/>
      <c r="BS20" s="824"/>
      <c r="BT20" s="824"/>
      <c r="BU20" s="824"/>
      <c r="BV20" s="824"/>
      <c r="BW20" s="824"/>
      <c r="BX20" s="824"/>
      <c r="BY20" s="824"/>
      <c r="BZ20" s="825"/>
    </row>
    <row r="21" spans="1:78" ht="15.75" customHeight="1">
      <c r="A21" s="827" t="s">
        <v>382</v>
      </c>
      <c r="B21" s="828"/>
      <c r="C21" s="863"/>
      <c r="D21" s="864"/>
      <c r="E21" s="864"/>
      <c r="F21" s="864"/>
      <c r="G21" s="864"/>
      <c r="H21" s="864"/>
      <c r="I21" s="865"/>
      <c r="J21" s="863" t="s">
        <v>383</v>
      </c>
      <c r="K21" s="864"/>
      <c r="L21" s="864"/>
      <c r="M21" s="864"/>
      <c r="N21" s="864"/>
      <c r="O21" s="864"/>
      <c r="P21" s="865"/>
      <c r="Q21" s="872" t="s">
        <v>318</v>
      </c>
      <c r="R21" s="873"/>
      <c r="S21" s="873"/>
      <c r="T21" s="873"/>
      <c r="U21" s="873"/>
      <c r="V21" s="873"/>
      <c r="W21" s="873"/>
      <c r="X21" s="873"/>
      <c r="Y21" s="873"/>
      <c r="Z21" s="873"/>
      <c r="AA21" s="874"/>
      <c r="AB21" s="835"/>
      <c r="AC21" s="836"/>
      <c r="AD21" s="836"/>
      <c r="AE21" s="836"/>
      <c r="AF21" s="836"/>
      <c r="AG21" s="836"/>
      <c r="AH21" s="836"/>
      <c r="AI21" s="835"/>
      <c r="AJ21" s="836"/>
      <c r="AK21" s="836"/>
      <c r="AL21" s="836"/>
      <c r="AM21" s="836"/>
      <c r="AN21" s="836"/>
      <c r="AO21" s="836"/>
      <c r="AP21" s="836"/>
      <c r="AQ21" s="836"/>
      <c r="AR21" s="826"/>
      <c r="AS21" s="824"/>
      <c r="AT21" s="824"/>
      <c r="AU21" s="824"/>
      <c r="AV21" s="824"/>
      <c r="AW21" s="824"/>
      <c r="AX21" s="824"/>
      <c r="AY21" s="824"/>
      <c r="AZ21" s="824"/>
      <c r="BA21" s="824"/>
      <c r="BB21" s="824"/>
      <c r="BC21" s="824"/>
      <c r="BD21" s="824"/>
      <c r="BE21" s="824"/>
      <c r="BF21" s="824"/>
      <c r="BG21" s="824"/>
      <c r="BH21" s="824"/>
      <c r="BI21" s="824"/>
      <c r="BJ21" s="824"/>
      <c r="BK21" s="824"/>
      <c r="BL21" s="824"/>
      <c r="BM21" s="824"/>
      <c r="BN21" s="824"/>
      <c r="BO21" s="824"/>
      <c r="BP21" s="824"/>
      <c r="BQ21" s="824"/>
      <c r="BR21" s="824"/>
      <c r="BS21" s="824"/>
      <c r="BT21" s="824"/>
      <c r="BU21" s="824"/>
      <c r="BV21" s="824"/>
      <c r="BW21" s="824"/>
      <c r="BX21" s="824"/>
      <c r="BY21" s="824"/>
      <c r="BZ21" s="825"/>
    </row>
    <row r="22" spans="1:78" ht="60.5" customHeight="1">
      <c r="A22" s="853">
        <v>2.15</v>
      </c>
      <c r="B22" s="876"/>
      <c r="C22" s="863"/>
      <c r="D22" s="864"/>
      <c r="E22" s="864"/>
      <c r="F22" s="864"/>
      <c r="G22" s="864"/>
      <c r="H22" s="864"/>
      <c r="I22" s="865"/>
      <c r="J22" s="863" t="s">
        <v>384</v>
      </c>
      <c r="K22" s="864"/>
      <c r="L22" s="864"/>
      <c r="M22" s="864"/>
      <c r="N22" s="864"/>
      <c r="O22" s="864"/>
      <c r="P22" s="865"/>
      <c r="Q22" s="872" t="s">
        <v>318</v>
      </c>
      <c r="R22" s="873"/>
      <c r="S22" s="873"/>
      <c r="T22" s="873"/>
      <c r="U22" s="873"/>
      <c r="V22" s="873"/>
      <c r="W22" s="873"/>
      <c r="X22" s="873"/>
      <c r="Y22" s="873"/>
      <c r="Z22" s="873"/>
      <c r="AA22" s="874"/>
      <c r="AB22" s="835"/>
      <c r="AC22" s="836"/>
      <c r="AD22" s="836"/>
      <c r="AE22" s="836"/>
      <c r="AF22" s="836"/>
      <c r="AG22" s="836"/>
      <c r="AH22" s="836"/>
      <c r="AI22" s="835"/>
      <c r="AJ22" s="836"/>
      <c r="AK22" s="836"/>
      <c r="AL22" s="836"/>
      <c r="AM22" s="836"/>
      <c r="AN22" s="836"/>
      <c r="AO22" s="836"/>
      <c r="AP22" s="836"/>
      <c r="AQ22" s="836"/>
      <c r="AR22" s="826" t="s">
        <v>479</v>
      </c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  <c r="BX22" s="824"/>
      <c r="BY22" s="824"/>
      <c r="BZ22" s="825"/>
    </row>
    <row r="23" spans="1:78" ht="36" customHeight="1">
      <c r="A23" s="853">
        <v>2.16</v>
      </c>
      <c r="B23" s="876"/>
      <c r="C23" s="607"/>
      <c r="D23" s="608"/>
      <c r="E23" s="608"/>
      <c r="F23" s="608"/>
      <c r="G23" s="608"/>
      <c r="H23" s="608"/>
      <c r="I23" s="609"/>
      <c r="J23" s="863" t="s">
        <v>385</v>
      </c>
      <c r="K23" s="864"/>
      <c r="L23" s="864"/>
      <c r="M23" s="864"/>
      <c r="N23" s="864"/>
      <c r="O23" s="864"/>
      <c r="P23" s="865"/>
      <c r="Q23" s="860" t="s">
        <v>305</v>
      </c>
      <c r="R23" s="861"/>
      <c r="S23" s="861"/>
      <c r="T23" s="861"/>
      <c r="U23" s="861"/>
      <c r="V23" s="861"/>
      <c r="W23" s="861"/>
      <c r="X23" s="861"/>
      <c r="Y23" s="861"/>
      <c r="Z23" s="861"/>
      <c r="AA23" s="877"/>
      <c r="AB23" s="835"/>
      <c r="AC23" s="836"/>
      <c r="AD23" s="836"/>
      <c r="AE23" s="836"/>
      <c r="AF23" s="836"/>
      <c r="AG23" s="836"/>
      <c r="AH23" s="836"/>
      <c r="AI23" s="835"/>
      <c r="AJ23" s="836"/>
      <c r="AK23" s="836"/>
      <c r="AL23" s="836"/>
      <c r="AM23" s="836"/>
      <c r="AN23" s="836"/>
      <c r="AO23" s="836"/>
      <c r="AP23" s="836"/>
      <c r="AQ23" s="836"/>
      <c r="AR23" s="823" t="s">
        <v>635</v>
      </c>
      <c r="AS23" s="824"/>
      <c r="AT23" s="824"/>
      <c r="AU23" s="824"/>
      <c r="AV23" s="824"/>
      <c r="AW23" s="824"/>
      <c r="AX23" s="824"/>
      <c r="AY23" s="824"/>
      <c r="AZ23" s="824"/>
      <c r="BA23" s="824"/>
      <c r="BB23" s="824"/>
      <c r="BC23" s="824"/>
      <c r="BD23" s="824"/>
      <c r="BE23" s="824"/>
      <c r="BF23" s="824"/>
      <c r="BG23" s="824"/>
      <c r="BH23" s="824"/>
      <c r="BI23" s="824"/>
      <c r="BJ23" s="824"/>
      <c r="BK23" s="824"/>
      <c r="BL23" s="824"/>
      <c r="BM23" s="824"/>
      <c r="BN23" s="824"/>
      <c r="BO23" s="824"/>
      <c r="BP23" s="824"/>
      <c r="BQ23" s="824"/>
      <c r="BR23" s="824"/>
      <c r="BS23" s="824"/>
      <c r="BT23" s="824"/>
      <c r="BU23" s="824"/>
      <c r="BV23" s="824"/>
      <c r="BW23" s="824"/>
      <c r="BX23" s="824"/>
      <c r="BY23" s="824"/>
      <c r="BZ23" s="825"/>
    </row>
    <row r="24" spans="1:78" ht="71.5" customHeight="1">
      <c r="A24" s="827" t="s">
        <v>386</v>
      </c>
      <c r="B24" s="828"/>
      <c r="C24" s="607"/>
      <c r="D24" s="608"/>
      <c r="E24" s="608"/>
      <c r="F24" s="608"/>
      <c r="G24" s="608"/>
      <c r="H24" s="608"/>
      <c r="I24" s="609"/>
      <c r="J24" s="863" t="s">
        <v>387</v>
      </c>
      <c r="K24" s="864"/>
      <c r="L24" s="864"/>
      <c r="M24" s="864"/>
      <c r="N24" s="864"/>
      <c r="O24" s="864"/>
      <c r="P24" s="865"/>
      <c r="Q24" s="860" t="s">
        <v>305</v>
      </c>
      <c r="R24" s="861"/>
      <c r="S24" s="861"/>
      <c r="T24" s="861"/>
      <c r="U24" s="861"/>
      <c r="V24" s="861"/>
      <c r="W24" s="861"/>
      <c r="X24" s="861"/>
      <c r="Y24" s="861"/>
      <c r="Z24" s="861"/>
      <c r="AA24" s="877"/>
      <c r="AB24" s="820"/>
      <c r="AC24" s="821"/>
      <c r="AD24" s="821"/>
      <c r="AE24" s="821"/>
      <c r="AF24" s="821"/>
      <c r="AG24" s="821"/>
      <c r="AH24" s="821"/>
      <c r="AI24" s="820"/>
      <c r="AJ24" s="821"/>
      <c r="AK24" s="821"/>
      <c r="AL24" s="821"/>
      <c r="AM24" s="821"/>
      <c r="AN24" s="821"/>
      <c r="AO24" s="821"/>
      <c r="AP24" s="821"/>
      <c r="AQ24" s="821"/>
      <c r="AR24" s="823" t="s">
        <v>393</v>
      </c>
      <c r="AS24" s="824"/>
      <c r="AT24" s="824"/>
      <c r="AU24" s="824"/>
      <c r="AV24" s="824"/>
      <c r="AW24" s="824"/>
      <c r="AX24" s="824"/>
      <c r="AY24" s="824"/>
      <c r="AZ24" s="824"/>
      <c r="BA24" s="824"/>
      <c r="BB24" s="824"/>
      <c r="BC24" s="824"/>
      <c r="BD24" s="824"/>
      <c r="BE24" s="824"/>
      <c r="BF24" s="824"/>
      <c r="BG24" s="824"/>
      <c r="BH24" s="824"/>
      <c r="BI24" s="824"/>
      <c r="BJ24" s="824"/>
      <c r="BK24" s="824"/>
      <c r="BL24" s="824"/>
      <c r="BM24" s="824"/>
      <c r="BN24" s="824"/>
      <c r="BO24" s="824"/>
      <c r="BP24" s="824"/>
      <c r="BQ24" s="824"/>
      <c r="BR24" s="824"/>
      <c r="BS24" s="824"/>
      <c r="BT24" s="824"/>
      <c r="BU24" s="824"/>
      <c r="BV24" s="824"/>
      <c r="BW24" s="824"/>
      <c r="BX24" s="824"/>
      <c r="BY24" s="824"/>
      <c r="BZ24" s="825"/>
    </row>
    <row r="25" spans="1:78" ht="36" customHeight="1">
      <c r="A25" s="827" t="s">
        <v>388</v>
      </c>
      <c r="B25" s="828"/>
      <c r="C25" s="607"/>
      <c r="D25" s="608"/>
      <c r="E25" s="608"/>
      <c r="F25" s="608"/>
      <c r="G25" s="608"/>
      <c r="H25" s="608"/>
      <c r="I25" s="609"/>
      <c r="J25" s="863" t="s">
        <v>389</v>
      </c>
      <c r="K25" s="864"/>
      <c r="L25" s="864"/>
      <c r="M25" s="864"/>
      <c r="N25" s="864"/>
      <c r="O25" s="864"/>
      <c r="P25" s="865"/>
      <c r="Q25" s="860" t="s">
        <v>305</v>
      </c>
      <c r="R25" s="861"/>
      <c r="S25" s="861"/>
      <c r="T25" s="861"/>
      <c r="U25" s="861"/>
      <c r="V25" s="861"/>
      <c r="W25" s="861"/>
      <c r="X25" s="861"/>
      <c r="Y25" s="861"/>
      <c r="Z25" s="861"/>
      <c r="AA25" s="862"/>
      <c r="AB25" s="820"/>
      <c r="AC25" s="821"/>
      <c r="AD25" s="821"/>
      <c r="AE25" s="821"/>
      <c r="AF25" s="821"/>
      <c r="AG25" s="821"/>
      <c r="AH25" s="821"/>
      <c r="AI25" s="820"/>
      <c r="AJ25" s="821"/>
      <c r="AK25" s="821"/>
      <c r="AL25" s="821"/>
      <c r="AM25" s="821"/>
      <c r="AN25" s="821"/>
      <c r="AO25" s="821"/>
      <c r="AP25" s="821"/>
      <c r="AQ25" s="821"/>
      <c r="AR25" s="826" t="s">
        <v>390</v>
      </c>
      <c r="AS25" s="824"/>
      <c r="AT25" s="824"/>
      <c r="AU25" s="824"/>
      <c r="AV25" s="824"/>
      <c r="AW25" s="824"/>
      <c r="AX25" s="824"/>
      <c r="AY25" s="824"/>
      <c r="AZ25" s="824"/>
      <c r="BA25" s="824"/>
      <c r="BB25" s="824"/>
      <c r="BC25" s="824"/>
      <c r="BD25" s="824"/>
      <c r="BE25" s="824"/>
      <c r="BF25" s="824"/>
      <c r="BG25" s="824"/>
      <c r="BH25" s="824"/>
      <c r="BI25" s="824"/>
      <c r="BJ25" s="824"/>
      <c r="BK25" s="824"/>
      <c r="BL25" s="824"/>
      <c r="BM25" s="824"/>
      <c r="BN25" s="824"/>
      <c r="BO25" s="824"/>
      <c r="BP25" s="824"/>
      <c r="BQ25" s="824"/>
      <c r="BR25" s="824"/>
      <c r="BS25" s="824"/>
      <c r="BT25" s="824"/>
      <c r="BU25" s="824"/>
      <c r="BV25" s="824"/>
      <c r="BW25" s="824"/>
      <c r="BX25" s="824"/>
      <c r="BY25" s="824"/>
      <c r="BZ25" s="825"/>
    </row>
    <row r="26" spans="1:78" ht="36" customHeight="1">
      <c r="A26" s="827" t="s">
        <v>391</v>
      </c>
      <c r="B26" s="828"/>
      <c r="C26" s="607"/>
      <c r="D26" s="608"/>
      <c r="E26" s="608"/>
      <c r="F26" s="608"/>
      <c r="G26" s="608"/>
      <c r="H26" s="608"/>
      <c r="I26" s="609"/>
      <c r="J26" s="863" t="s">
        <v>392</v>
      </c>
      <c r="K26" s="864"/>
      <c r="L26" s="864"/>
      <c r="M26" s="864"/>
      <c r="N26" s="864"/>
      <c r="O26" s="864"/>
      <c r="P26" s="865"/>
      <c r="Q26" s="860" t="s">
        <v>305</v>
      </c>
      <c r="R26" s="861"/>
      <c r="S26" s="861"/>
      <c r="T26" s="861"/>
      <c r="U26" s="861"/>
      <c r="V26" s="861"/>
      <c r="W26" s="861"/>
      <c r="X26" s="861"/>
      <c r="Y26" s="861"/>
      <c r="Z26" s="861"/>
      <c r="AA26" s="877"/>
      <c r="AB26" s="820"/>
      <c r="AC26" s="821"/>
      <c r="AD26" s="821"/>
      <c r="AE26" s="821"/>
      <c r="AF26" s="821"/>
      <c r="AG26" s="821"/>
      <c r="AH26" s="821"/>
      <c r="AI26" s="820"/>
      <c r="AJ26" s="821"/>
      <c r="AK26" s="821"/>
      <c r="AL26" s="821"/>
      <c r="AM26" s="821"/>
      <c r="AN26" s="821"/>
      <c r="AO26" s="821"/>
      <c r="AP26" s="821"/>
      <c r="AQ26" s="821"/>
      <c r="AR26" s="823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  <c r="BX26" s="824"/>
      <c r="BY26" s="824"/>
      <c r="BZ26" s="825"/>
    </row>
    <row r="27" spans="1:78" ht="36" customHeight="1">
      <c r="A27" s="827"/>
      <c r="B27" s="828"/>
      <c r="C27" s="607"/>
      <c r="D27" s="608"/>
      <c r="E27" s="608"/>
      <c r="F27" s="608"/>
      <c r="G27" s="608"/>
      <c r="H27" s="608"/>
      <c r="I27" s="609"/>
      <c r="J27" s="863"/>
      <c r="K27" s="864"/>
      <c r="L27" s="864"/>
      <c r="M27" s="864"/>
      <c r="N27" s="864"/>
      <c r="O27" s="864"/>
      <c r="P27" s="865"/>
      <c r="Q27" s="878"/>
      <c r="R27" s="879"/>
      <c r="S27" s="879"/>
      <c r="T27" s="879"/>
      <c r="U27" s="879"/>
      <c r="V27" s="879"/>
      <c r="W27" s="879"/>
      <c r="X27" s="879"/>
      <c r="Y27" s="879"/>
      <c r="Z27" s="879"/>
      <c r="AA27" s="611"/>
      <c r="AB27" s="820"/>
      <c r="AC27" s="821"/>
      <c r="AD27" s="821"/>
      <c r="AE27" s="821"/>
      <c r="AF27" s="821"/>
      <c r="AG27" s="821"/>
      <c r="AH27" s="821"/>
      <c r="AI27" s="820"/>
      <c r="AJ27" s="821"/>
      <c r="AK27" s="821"/>
      <c r="AL27" s="821"/>
      <c r="AM27" s="821"/>
      <c r="AN27" s="821"/>
      <c r="AO27" s="821"/>
      <c r="AP27" s="821"/>
      <c r="AQ27" s="821"/>
      <c r="AR27" s="823"/>
      <c r="AS27" s="824"/>
      <c r="AT27" s="824"/>
      <c r="AU27" s="824"/>
      <c r="AV27" s="824"/>
      <c r="AW27" s="824"/>
      <c r="AX27" s="824"/>
      <c r="AY27" s="824"/>
      <c r="AZ27" s="824"/>
      <c r="BA27" s="824"/>
      <c r="BB27" s="824"/>
      <c r="BC27" s="824"/>
      <c r="BD27" s="824"/>
      <c r="BE27" s="824"/>
      <c r="BF27" s="824"/>
      <c r="BG27" s="824"/>
      <c r="BH27" s="824"/>
      <c r="BI27" s="824"/>
      <c r="BJ27" s="824"/>
      <c r="BK27" s="824"/>
      <c r="BL27" s="824"/>
      <c r="BM27" s="824"/>
      <c r="BN27" s="824"/>
      <c r="BO27" s="824"/>
      <c r="BP27" s="824"/>
      <c r="BQ27" s="824"/>
      <c r="BR27" s="824"/>
      <c r="BS27" s="824"/>
      <c r="BT27" s="824"/>
      <c r="BU27" s="824"/>
      <c r="BV27" s="824"/>
      <c r="BW27" s="824"/>
      <c r="BX27" s="824"/>
      <c r="BY27" s="824"/>
      <c r="BZ27" s="825"/>
    </row>
    <row r="28" spans="1:78">
      <c r="A28" s="604"/>
      <c r="B28" s="604"/>
      <c r="C28" s="604"/>
      <c r="D28" s="604"/>
      <c r="E28" s="604"/>
      <c r="F28" s="604"/>
      <c r="G28" s="604"/>
      <c r="H28" s="604"/>
      <c r="I28" s="604"/>
      <c r="J28" s="604"/>
      <c r="K28" s="604"/>
      <c r="L28" s="604"/>
      <c r="M28" s="604"/>
      <c r="N28" s="604"/>
      <c r="O28" s="604"/>
      <c r="P28" s="604"/>
      <c r="Q28" s="604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604"/>
      <c r="AS28" s="604"/>
      <c r="AT28" s="604"/>
      <c r="AU28" s="604"/>
      <c r="AV28" s="604"/>
      <c r="AW28" s="604"/>
      <c r="AX28" s="604"/>
      <c r="AY28" s="604"/>
      <c r="AZ28" s="604"/>
      <c r="BA28" s="604"/>
      <c r="BB28" s="604"/>
      <c r="BC28" s="604"/>
      <c r="BD28" s="604"/>
      <c r="BE28" s="604"/>
      <c r="BF28" s="604"/>
      <c r="BG28" s="604"/>
      <c r="BH28" s="604"/>
      <c r="BI28" s="604"/>
      <c r="BJ28" s="604"/>
      <c r="BK28" s="604"/>
      <c r="BL28" s="604"/>
      <c r="BM28" s="604"/>
      <c r="BN28" s="604"/>
      <c r="BO28" s="604"/>
      <c r="BP28" s="604"/>
      <c r="BQ28" s="604"/>
      <c r="BR28" s="604"/>
      <c r="BS28" s="604"/>
      <c r="BT28" s="604"/>
      <c r="BU28" s="604"/>
      <c r="BV28" s="604"/>
      <c r="BW28" s="604"/>
      <c r="BX28" s="604"/>
      <c r="BY28" s="604"/>
      <c r="BZ28" s="604"/>
    </row>
    <row r="29" spans="1:78"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</row>
    <row r="30" spans="1:78">
      <c r="AB30" s="689"/>
      <c r="AC30" s="689"/>
      <c r="AD30" s="689"/>
      <c r="AE30" s="689"/>
      <c r="AF30" s="689"/>
      <c r="AG30" s="689"/>
      <c r="AH30" s="689"/>
      <c r="AI30" s="689"/>
      <c r="AJ30" s="689"/>
      <c r="AK30" s="689"/>
      <c r="AL30" s="689"/>
      <c r="AM30" s="689"/>
      <c r="AN30" s="689"/>
      <c r="AO30" s="689"/>
      <c r="AP30" s="689"/>
      <c r="AQ30" s="689"/>
    </row>
    <row r="31" spans="1:78">
      <c r="C31" s="614" t="s">
        <v>321</v>
      </c>
      <c r="D31" s="615"/>
      <c r="E31" s="616"/>
      <c r="F31" s="617"/>
      <c r="G31" s="617"/>
      <c r="H31" s="617"/>
      <c r="I31" s="617"/>
      <c r="J31" s="617"/>
      <c r="K31" s="617"/>
      <c r="L31" s="618"/>
      <c r="P31" s="619" t="s">
        <v>322</v>
      </c>
    </row>
    <row r="32" spans="1:78">
      <c r="C32" s="620" t="s">
        <v>323</v>
      </c>
      <c r="D32" s="616"/>
      <c r="E32" s="616"/>
      <c r="F32" s="617"/>
      <c r="G32" s="617"/>
      <c r="H32" s="617"/>
      <c r="I32" s="616"/>
      <c r="J32" s="617"/>
      <c r="K32" s="617"/>
      <c r="L32" s="618"/>
      <c r="P32" s="621" t="s">
        <v>324</v>
      </c>
    </row>
    <row r="33" spans="3:50">
      <c r="C33" s="620" t="s">
        <v>325</v>
      </c>
      <c r="D33" s="616"/>
      <c r="E33" s="616"/>
      <c r="F33" s="617"/>
      <c r="G33" s="617"/>
      <c r="H33" s="617"/>
      <c r="I33" s="616"/>
      <c r="J33" s="617"/>
      <c r="K33" s="617"/>
      <c r="L33" s="618"/>
      <c r="P33" s="621" t="s">
        <v>326</v>
      </c>
    </row>
    <row r="34" spans="3:50">
      <c r="C34" s="620" t="s">
        <v>327</v>
      </c>
      <c r="D34" s="616"/>
      <c r="E34" s="616"/>
      <c r="F34" s="617"/>
      <c r="G34" s="617"/>
      <c r="H34" s="617"/>
      <c r="I34" s="616"/>
      <c r="J34" s="617"/>
      <c r="K34" s="617"/>
      <c r="L34" s="618"/>
    </row>
    <row r="35" spans="3:50">
      <c r="C35" s="620" t="s">
        <v>328</v>
      </c>
      <c r="D35" s="616"/>
      <c r="E35" s="616"/>
      <c r="F35" s="617"/>
      <c r="G35" s="617"/>
      <c r="H35" s="617"/>
      <c r="I35" s="616"/>
      <c r="J35" s="617"/>
      <c r="K35" s="617"/>
      <c r="L35" s="618"/>
      <c r="Q35" s="622"/>
      <c r="R35" s="622"/>
      <c r="S35" s="622"/>
      <c r="T35" s="622"/>
      <c r="U35" s="622"/>
      <c r="V35" s="623"/>
      <c r="W35" s="623"/>
      <c r="X35" s="623"/>
      <c r="Y35" s="623"/>
      <c r="Z35" s="622"/>
      <c r="AA35" s="622"/>
      <c r="AR35" s="622"/>
      <c r="AS35" s="622"/>
      <c r="AT35" s="622"/>
      <c r="AU35" s="622"/>
      <c r="AV35" s="622"/>
      <c r="AW35" s="622"/>
      <c r="AX35" s="622"/>
    </row>
    <row r="36" spans="3:50">
      <c r="C36" s="620" t="s">
        <v>329</v>
      </c>
      <c r="D36" s="616"/>
      <c r="E36" s="616"/>
      <c r="F36" s="617"/>
      <c r="G36" s="617"/>
      <c r="H36" s="617"/>
      <c r="I36" s="616"/>
      <c r="J36" s="617"/>
      <c r="K36" s="617"/>
      <c r="L36" s="618"/>
      <c r="Q36" s="624"/>
      <c r="R36" s="624"/>
      <c r="S36" s="624"/>
      <c r="T36" s="624"/>
      <c r="U36" s="624"/>
      <c r="V36" s="625"/>
      <c r="W36" s="625"/>
      <c r="X36" s="625"/>
      <c r="Y36" s="625"/>
      <c r="Z36" s="626"/>
      <c r="AA36" s="626"/>
      <c r="AB36" s="693"/>
      <c r="AC36" s="693"/>
      <c r="AD36" s="693"/>
      <c r="AE36" s="693"/>
      <c r="AF36" s="693"/>
      <c r="AG36" s="694"/>
      <c r="AH36" s="694"/>
      <c r="AI36" s="693"/>
      <c r="AJ36" s="693"/>
      <c r="AK36" s="693"/>
      <c r="AL36" s="693"/>
      <c r="AM36" s="694"/>
      <c r="AN36" s="693"/>
      <c r="AO36" s="693"/>
      <c r="AP36" s="694"/>
      <c r="AQ36" s="694"/>
      <c r="AR36" s="626"/>
      <c r="AS36" s="626"/>
      <c r="AT36" s="626"/>
      <c r="AU36" s="626"/>
      <c r="AV36" s="626"/>
      <c r="AW36" s="626"/>
      <c r="AX36" s="626"/>
    </row>
    <row r="37" spans="3:50">
      <c r="C37" s="620" t="s">
        <v>330</v>
      </c>
      <c r="D37" s="616"/>
      <c r="E37" s="616"/>
      <c r="F37" s="617"/>
      <c r="G37" s="617"/>
      <c r="H37" s="617"/>
      <c r="I37" s="616"/>
      <c r="J37" s="617"/>
      <c r="K37" s="617"/>
      <c r="L37" s="618"/>
      <c r="Q37" s="624"/>
      <c r="R37" s="624"/>
      <c r="S37" s="624"/>
      <c r="T37" s="624"/>
      <c r="U37" s="624"/>
      <c r="V37" s="625"/>
      <c r="W37" s="625"/>
      <c r="X37" s="625"/>
      <c r="Y37" s="625"/>
      <c r="Z37" s="626"/>
      <c r="AA37" s="626"/>
      <c r="AB37" s="695"/>
      <c r="AC37" s="695"/>
      <c r="AD37" s="695"/>
      <c r="AE37" s="695"/>
      <c r="AF37" s="695"/>
      <c r="AG37" s="696"/>
      <c r="AH37" s="696"/>
      <c r="AI37" s="695"/>
      <c r="AJ37" s="695"/>
      <c r="AK37" s="695"/>
      <c r="AL37" s="695"/>
      <c r="AM37" s="696"/>
      <c r="AN37" s="695"/>
      <c r="AO37" s="695"/>
      <c r="AP37" s="696"/>
      <c r="AQ37" s="696"/>
      <c r="AR37" s="626"/>
      <c r="AS37" s="626"/>
      <c r="AT37" s="626"/>
      <c r="AU37" s="626"/>
      <c r="AV37" s="626"/>
      <c r="AW37" s="626"/>
      <c r="AX37" s="626"/>
    </row>
    <row r="38" spans="3:50">
      <c r="C38" s="620" t="s">
        <v>331</v>
      </c>
      <c r="D38" s="616"/>
      <c r="E38" s="616"/>
      <c r="F38" s="617"/>
      <c r="G38" s="617"/>
      <c r="H38" s="617"/>
      <c r="I38" s="616"/>
      <c r="J38" s="617"/>
      <c r="K38" s="617"/>
      <c r="L38" s="618"/>
      <c r="Q38" s="624"/>
      <c r="R38" s="624"/>
      <c r="S38" s="624"/>
      <c r="T38" s="624"/>
      <c r="U38" s="624"/>
      <c r="V38" s="625"/>
      <c r="W38" s="625"/>
      <c r="X38" s="625"/>
      <c r="Y38" s="625"/>
      <c r="Z38" s="626"/>
      <c r="AA38" s="626"/>
      <c r="AB38" s="695"/>
      <c r="AC38" s="695"/>
      <c r="AD38" s="695"/>
      <c r="AE38" s="695"/>
      <c r="AF38" s="695"/>
      <c r="AG38" s="696"/>
      <c r="AH38" s="696"/>
      <c r="AI38" s="695"/>
      <c r="AJ38" s="695"/>
      <c r="AK38" s="695"/>
      <c r="AL38" s="695"/>
      <c r="AM38" s="696"/>
      <c r="AN38" s="695"/>
      <c r="AO38" s="695"/>
      <c r="AP38" s="696"/>
      <c r="AQ38" s="696"/>
      <c r="AR38" s="626"/>
      <c r="AS38" s="626"/>
      <c r="AT38" s="626"/>
      <c r="AU38" s="626"/>
      <c r="AV38" s="626"/>
      <c r="AW38" s="626"/>
      <c r="AX38" s="626"/>
    </row>
    <row r="39" spans="3:50">
      <c r="C39" s="620" t="s">
        <v>332</v>
      </c>
      <c r="D39" s="616"/>
      <c r="E39" s="616"/>
      <c r="F39" s="617"/>
      <c r="G39" s="617"/>
      <c r="H39" s="617"/>
      <c r="I39" s="616"/>
      <c r="J39" s="617"/>
      <c r="K39" s="617"/>
      <c r="L39" s="618"/>
      <c r="Q39" s="624"/>
      <c r="R39" s="624"/>
      <c r="S39" s="624"/>
      <c r="T39" s="624"/>
      <c r="U39" s="624"/>
      <c r="V39" s="625"/>
      <c r="W39" s="625"/>
      <c r="X39" s="625"/>
      <c r="Y39" s="625"/>
      <c r="Z39" s="626"/>
      <c r="AA39" s="626"/>
      <c r="AB39" s="695"/>
      <c r="AC39" s="695"/>
      <c r="AD39" s="695"/>
      <c r="AE39" s="695"/>
      <c r="AF39" s="695"/>
      <c r="AG39" s="696"/>
      <c r="AH39" s="696"/>
      <c r="AI39" s="695"/>
      <c r="AJ39" s="695"/>
      <c r="AK39" s="695"/>
      <c r="AL39" s="695"/>
      <c r="AM39" s="696"/>
      <c r="AN39" s="695"/>
      <c r="AO39" s="695"/>
      <c r="AP39" s="696"/>
      <c r="AQ39" s="696"/>
      <c r="AR39" s="626"/>
      <c r="AS39" s="626"/>
      <c r="AT39" s="626"/>
      <c r="AU39" s="626"/>
      <c r="AV39" s="626"/>
      <c r="AW39" s="626"/>
      <c r="AX39" s="626"/>
    </row>
    <row r="40" spans="3:50">
      <c r="C40" s="620" t="s">
        <v>333</v>
      </c>
      <c r="D40" s="616"/>
      <c r="E40" s="616"/>
      <c r="F40" s="617"/>
      <c r="G40" s="617"/>
      <c r="H40" s="617"/>
      <c r="I40" s="616"/>
      <c r="J40" s="617"/>
      <c r="K40" s="617"/>
      <c r="L40" s="618"/>
      <c r="AB40" s="695"/>
      <c r="AC40" s="695"/>
      <c r="AD40" s="695"/>
      <c r="AE40" s="695"/>
      <c r="AF40" s="695"/>
      <c r="AG40" s="696"/>
      <c r="AH40" s="696"/>
      <c r="AI40" s="695"/>
      <c r="AJ40" s="695"/>
      <c r="AK40" s="695"/>
      <c r="AL40" s="695"/>
      <c r="AM40" s="696"/>
      <c r="AN40" s="695"/>
      <c r="AO40" s="695"/>
      <c r="AP40" s="696"/>
      <c r="AQ40" s="696"/>
    </row>
    <row r="41" spans="3:50">
      <c r="C41" s="620" t="s">
        <v>334</v>
      </c>
      <c r="D41" s="616"/>
      <c r="E41" s="616"/>
      <c r="F41" s="617"/>
      <c r="G41" s="617"/>
      <c r="H41" s="617"/>
      <c r="I41" s="616"/>
      <c r="J41" s="617"/>
      <c r="K41" s="617"/>
      <c r="L41" s="618"/>
    </row>
    <row r="42" spans="3:50">
      <c r="C42" s="620" t="s">
        <v>335</v>
      </c>
      <c r="D42" s="616"/>
      <c r="E42" s="616"/>
      <c r="F42" s="617"/>
      <c r="G42" s="617"/>
      <c r="H42" s="617"/>
      <c r="I42" s="616"/>
      <c r="J42" s="617"/>
      <c r="K42" s="617"/>
      <c r="L42" s="618"/>
    </row>
    <row r="43" spans="3:50">
      <c r="C43" s="620" t="s">
        <v>336</v>
      </c>
      <c r="D43" s="616"/>
      <c r="E43" s="616"/>
      <c r="F43" s="617"/>
      <c r="G43" s="617"/>
      <c r="H43" s="617"/>
      <c r="I43" s="616"/>
      <c r="J43" s="617"/>
      <c r="K43" s="617"/>
      <c r="L43" s="618"/>
    </row>
    <row r="44" spans="3:50">
      <c r="C44" s="620" t="s">
        <v>337</v>
      </c>
      <c r="D44" s="616"/>
      <c r="E44" s="616"/>
      <c r="F44" s="617"/>
      <c r="G44" s="617"/>
      <c r="H44" s="617"/>
      <c r="I44" s="616"/>
      <c r="J44" s="617"/>
      <c r="K44" s="617"/>
      <c r="L44" s="618"/>
    </row>
    <row r="45" spans="3:50">
      <c r="C45" s="620" t="s">
        <v>338</v>
      </c>
      <c r="D45" s="616"/>
      <c r="E45" s="616"/>
      <c r="F45" s="617"/>
      <c r="G45" s="617"/>
      <c r="H45" s="617"/>
      <c r="I45" s="616"/>
      <c r="J45" s="617"/>
      <c r="K45" s="617"/>
      <c r="L45" s="618"/>
    </row>
    <row r="46" spans="3:50">
      <c r="C46" s="620" t="s">
        <v>339</v>
      </c>
      <c r="D46" s="616"/>
      <c r="E46" s="616"/>
      <c r="F46" s="617"/>
      <c r="G46" s="617"/>
      <c r="H46" s="617"/>
      <c r="I46" s="616"/>
      <c r="J46" s="617"/>
      <c r="K46" s="617"/>
      <c r="L46" s="618"/>
    </row>
    <row r="47" spans="3:50">
      <c r="C47" s="620" t="s">
        <v>340</v>
      </c>
      <c r="D47" s="616"/>
      <c r="E47" s="616"/>
      <c r="F47" s="617"/>
      <c r="G47" s="617"/>
      <c r="H47" s="617"/>
      <c r="I47" s="616"/>
      <c r="J47" s="617"/>
      <c r="K47" s="617"/>
      <c r="L47" s="618"/>
    </row>
    <row r="48" spans="3:50">
      <c r="C48" s="620" t="s">
        <v>341</v>
      </c>
      <c r="D48" s="616"/>
      <c r="E48" s="616"/>
      <c r="F48" s="617"/>
      <c r="G48" s="617"/>
      <c r="H48" s="617"/>
      <c r="I48" s="616"/>
      <c r="J48" s="617"/>
      <c r="K48" s="617"/>
      <c r="L48" s="618"/>
    </row>
    <row r="49" spans="3:12">
      <c r="C49" s="620" t="s">
        <v>342</v>
      </c>
      <c r="D49" s="616"/>
      <c r="E49" s="616"/>
      <c r="F49" s="617"/>
      <c r="G49" s="617"/>
      <c r="H49" s="617"/>
      <c r="I49" s="616"/>
      <c r="J49" s="617"/>
      <c r="K49" s="617"/>
      <c r="L49" s="618"/>
    </row>
    <row r="50" spans="3:12">
      <c r="C50" s="620" t="s">
        <v>343</v>
      </c>
      <c r="D50" s="616"/>
      <c r="E50" s="616"/>
      <c r="F50" s="617"/>
      <c r="G50" s="617"/>
      <c r="H50" s="617"/>
      <c r="I50" s="616"/>
      <c r="J50" s="617"/>
      <c r="K50" s="617"/>
      <c r="L50" s="618"/>
    </row>
    <row r="51" spans="3:12">
      <c r="C51" s="620" t="s">
        <v>344</v>
      </c>
      <c r="D51" s="616"/>
      <c r="E51" s="616"/>
      <c r="F51" s="617"/>
      <c r="G51" s="617"/>
      <c r="H51" s="617"/>
      <c r="I51" s="616"/>
      <c r="J51" s="617"/>
      <c r="K51" s="617"/>
      <c r="L51" s="618"/>
    </row>
    <row r="52" spans="3:12">
      <c r="C52" s="620" t="s">
        <v>318</v>
      </c>
      <c r="D52" s="616"/>
      <c r="E52" s="616"/>
      <c r="F52" s="617"/>
      <c r="G52" s="617"/>
      <c r="H52" s="617"/>
      <c r="I52" s="616"/>
      <c r="J52" s="617"/>
      <c r="K52" s="617"/>
      <c r="L52" s="618"/>
    </row>
  </sheetData>
  <mergeCells count="153">
    <mergeCell ref="A25:B25"/>
    <mergeCell ref="J25:P25"/>
    <mergeCell ref="A24:B24"/>
    <mergeCell ref="J24:P24"/>
    <mergeCell ref="AR23:BZ23"/>
    <mergeCell ref="AR24:BZ24"/>
    <mergeCell ref="AR26:BZ26"/>
    <mergeCell ref="AR27:BZ27"/>
    <mergeCell ref="A27:B27"/>
    <mergeCell ref="J27:P27"/>
    <mergeCell ref="Q27:Z27"/>
    <mergeCell ref="A26:B26"/>
    <mergeCell ref="J26:P26"/>
    <mergeCell ref="Q26:AA26"/>
    <mergeCell ref="Q25:AA25"/>
    <mergeCell ref="AR25:BZ25"/>
    <mergeCell ref="Q24:AA24"/>
    <mergeCell ref="AR22:BZ22"/>
    <mergeCell ref="Q22:AA22"/>
    <mergeCell ref="A22:B22"/>
    <mergeCell ref="C22:I22"/>
    <mergeCell ref="J22:P22"/>
    <mergeCell ref="AB22:AH22"/>
    <mergeCell ref="AI22:AQ22"/>
    <mergeCell ref="Q23:AA23"/>
    <mergeCell ref="A23:B23"/>
    <mergeCell ref="J23:P23"/>
    <mergeCell ref="AB23:AH23"/>
    <mergeCell ref="AI23:AQ23"/>
    <mergeCell ref="AR20:BZ20"/>
    <mergeCell ref="Q20:AA20"/>
    <mergeCell ref="A20:B20"/>
    <mergeCell ref="C20:I20"/>
    <mergeCell ref="J20:P20"/>
    <mergeCell ref="AB20:AH20"/>
    <mergeCell ref="AI20:AQ20"/>
    <mergeCell ref="Q21:AA21"/>
    <mergeCell ref="AR21:BZ21"/>
    <mergeCell ref="A21:B21"/>
    <mergeCell ref="C21:I21"/>
    <mergeCell ref="J21:P21"/>
    <mergeCell ref="AB21:AH21"/>
    <mergeCell ref="AI21:AQ21"/>
    <mergeCell ref="Q19:AA19"/>
    <mergeCell ref="AR19:BZ19"/>
    <mergeCell ref="AR18:BZ18"/>
    <mergeCell ref="A19:B19"/>
    <mergeCell ref="C19:I19"/>
    <mergeCell ref="J19:P19"/>
    <mergeCell ref="A18:B18"/>
    <mergeCell ref="J18:P18"/>
    <mergeCell ref="Q18:AA18"/>
    <mergeCell ref="AB18:AH18"/>
    <mergeCell ref="AI18:AQ18"/>
    <mergeCell ref="AI19:AQ19"/>
    <mergeCell ref="Q17:AA17"/>
    <mergeCell ref="AR17:BZ17"/>
    <mergeCell ref="AR16:BZ16"/>
    <mergeCell ref="A17:B17"/>
    <mergeCell ref="J17:P17"/>
    <mergeCell ref="A16:B16"/>
    <mergeCell ref="J16:P16"/>
    <mergeCell ref="Q16:AA16"/>
    <mergeCell ref="AI16:AQ16"/>
    <mergeCell ref="AB17:AH17"/>
    <mergeCell ref="AI17:AQ17"/>
    <mergeCell ref="Q13:AA13"/>
    <mergeCell ref="AR13:BZ13"/>
    <mergeCell ref="A13:B13"/>
    <mergeCell ref="J13:P13"/>
    <mergeCell ref="AB13:AH13"/>
    <mergeCell ref="AI13:AQ13"/>
    <mergeCell ref="Q15:AA15"/>
    <mergeCell ref="AR15:BZ15"/>
    <mergeCell ref="AR14:BZ14"/>
    <mergeCell ref="A15:B15"/>
    <mergeCell ref="J15:P15"/>
    <mergeCell ref="A14:B14"/>
    <mergeCell ref="J14:P14"/>
    <mergeCell ref="Q14:AA14"/>
    <mergeCell ref="AB14:AH14"/>
    <mergeCell ref="AI14:AQ14"/>
    <mergeCell ref="AI15:AQ15"/>
    <mergeCell ref="Q11:AA11"/>
    <mergeCell ref="A11:B11"/>
    <mergeCell ref="J11:P11"/>
    <mergeCell ref="AB11:AH11"/>
    <mergeCell ref="AI11:AQ11"/>
    <mergeCell ref="Q12:AA12"/>
    <mergeCell ref="A12:B12"/>
    <mergeCell ref="J12:P12"/>
    <mergeCell ref="AB12:AH12"/>
    <mergeCell ref="AI12:AQ12"/>
    <mergeCell ref="Q10:AA10"/>
    <mergeCell ref="Q9:AA9"/>
    <mergeCell ref="A10:B10"/>
    <mergeCell ref="J10:P10"/>
    <mergeCell ref="A9:B9"/>
    <mergeCell ref="J9:P9"/>
    <mergeCell ref="AB9:AH9"/>
    <mergeCell ref="AI9:AQ9"/>
    <mergeCell ref="AB10:AH10"/>
    <mergeCell ref="AI10:AQ10"/>
    <mergeCell ref="Q7:AA7"/>
    <mergeCell ref="AR7:BZ7"/>
    <mergeCell ref="A7:B7"/>
    <mergeCell ref="C7:I7"/>
    <mergeCell ref="J7:P7"/>
    <mergeCell ref="AB7:AH7"/>
    <mergeCell ref="AI7:AQ7"/>
    <mergeCell ref="Q8:AA8"/>
    <mergeCell ref="AR8:BZ8"/>
    <mergeCell ref="A8:B8"/>
    <mergeCell ref="J8:P8"/>
    <mergeCell ref="AB8:AH8"/>
    <mergeCell ref="AI8:AQ8"/>
    <mergeCell ref="A1:I1"/>
    <mergeCell ref="A2:P2"/>
    <mergeCell ref="Q2:BZ2"/>
    <mergeCell ref="C4:I4"/>
    <mergeCell ref="J4:P4"/>
    <mergeCell ref="AR3:BZ4"/>
    <mergeCell ref="A3:B4"/>
    <mergeCell ref="C3:P3"/>
    <mergeCell ref="Q3:AA4"/>
    <mergeCell ref="AB3:AH4"/>
    <mergeCell ref="AI3:AQ4"/>
    <mergeCell ref="Q5:AA5"/>
    <mergeCell ref="AR5:BZ5"/>
    <mergeCell ref="A5:B5"/>
    <mergeCell ref="C5:I5"/>
    <mergeCell ref="J5:P5"/>
    <mergeCell ref="AB5:AH5"/>
    <mergeCell ref="AI5:AQ5"/>
    <mergeCell ref="AR6:BZ6"/>
    <mergeCell ref="Q6:AA6"/>
    <mergeCell ref="A6:B6"/>
    <mergeCell ref="C6:I6"/>
    <mergeCell ref="J6:P6"/>
    <mergeCell ref="AB6:AH6"/>
    <mergeCell ref="AI6:AQ6"/>
    <mergeCell ref="AB29:AH29"/>
    <mergeCell ref="AI29:AQ29"/>
    <mergeCell ref="AB24:AH24"/>
    <mergeCell ref="AI24:AQ24"/>
    <mergeCell ref="AB25:AH25"/>
    <mergeCell ref="AI25:AQ25"/>
    <mergeCell ref="AB26:AH26"/>
    <mergeCell ref="AI26:AQ26"/>
    <mergeCell ref="AB27:AH27"/>
    <mergeCell ref="AI27:AQ27"/>
    <mergeCell ref="AB28:AH28"/>
    <mergeCell ref="AI28:AQ28"/>
  </mergeCells>
  <phoneticPr fontId="56"/>
  <conditionalFormatting sqref="Q5:Q27">
    <cfRule type="expression" dxfId="42" priority="7" stopIfTrue="1">
      <formula>FIND("○",#REF!)</formula>
    </cfRule>
  </conditionalFormatting>
  <conditionalFormatting sqref="AB5:AB29">
    <cfRule type="expression" dxfId="41" priority="2" stopIfTrue="1">
      <formula>FIND("○",#REF!)</formula>
    </cfRule>
  </conditionalFormatting>
  <conditionalFormatting sqref="AI5:AI29">
    <cfRule type="expression" dxfId="40" priority="1" stopIfTrue="1">
      <formula>FIND("○",#REF!)</formula>
    </cfRule>
  </conditionalFormatting>
  <conditionalFormatting sqref="AR5:AR27">
    <cfRule type="expression" dxfId="39" priority="19" stopIfTrue="1">
      <formula>FIND("○",#REF!)</formula>
    </cfRule>
  </conditionalFormatting>
  <dataValidations count="5">
    <dataValidation type="list" allowBlank="1" showInputMessage="1" showErrorMessage="1" sqref="U65566:X65566 IM65566:IP65566 SI65566:SL65566 ACE65566:ACH65566 AMA65566:AMD65566 AVW65566:AVZ65566 BFS65566:BFV65566 BPO65566:BPR65566 BZK65566:BZN65566 CJG65566:CJJ65566 CTC65566:CTF65566 DCY65566:DDB65566 DMU65566:DMX65566 DWQ65566:DWT65566 EGM65566:EGP65566 EQI65566:EQL65566 FAE65566:FAH65566 FKA65566:FKD65566 FTW65566:FTZ65566 GDS65566:GDV65566 GNO65566:GNR65566 GXK65566:GXN65566 HHG65566:HHJ65566 HRC65566:HRF65566 IAY65566:IBB65566 IKU65566:IKX65566 IUQ65566:IUT65566 JEM65566:JEP65566 JOI65566:JOL65566 JYE65566:JYH65566 KIA65566:KID65566 KRW65566:KRZ65566 LBS65566:LBV65566 LLO65566:LLR65566 LVK65566:LVN65566 MFG65566:MFJ65566 MPC65566:MPF65566 MYY65566:MZB65566 NIU65566:NIX65566 NSQ65566:NST65566 OCM65566:OCP65566 OMI65566:OML65566 OWE65566:OWH65566 PGA65566:PGD65566 PPW65566:PPZ65566 PZS65566:PZV65566 QJO65566:QJR65566 QTK65566:QTN65566 RDG65566:RDJ65566 RNC65566:RNF65566 RWY65566:RXB65566 SGU65566:SGX65566 SQQ65566:SQT65566 TAM65566:TAP65566 TKI65566:TKL65566 TUE65566:TUH65566 UEA65566:UED65566 UNW65566:UNZ65566 UXS65566:UXV65566 VHO65566:VHR65566 VRK65566:VRN65566 WBG65566:WBJ65566 WLC65566:WLF65566 WUY65566:WVB65566 U131102:X131102 IM131102:IP131102 SI131102:SL131102 ACE131102:ACH131102 AMA131102:AMD131102 AVW131102:AVZ131102 BFS131102:BFV131102 BPO131102:BPR131102 BZK131102:BZN131102 CJG131102:CJJ131102 CTC131102:CTF131102 DCY131102:DDB131102 DMU131102:DMX131102 DWQ131102:DWT131102 EGM131102:EGP131102 EQI131102:EQL131102 FAE131102:FAH131102 FKA131102:FKD131102 FTW131102:FTZ131102 GDS131102:GDV131102 GNO131102:GNR131102 GXK131102:GXN131102 HHG131102:HHJ131102 HRC131102:HRF131102 IAY131102:IBB131102 IKU131102:IKX131102 IUQ131102:IUT131102 JEM131102:JEP131102 JOI131102:JOL131102 JYE131102:JYH131102 KIA131102:KID131102 KRW131102:KRZ131102 LBS131102:LBV131102 LLO131102:LLR131102 LVK131102:LVN131102 MFG131102:MFJ131102 MPC131102:MPF131102 MYY131102:MZB131102 NIU131102:NIX131102 NSQ131102:NST131102 OCM131102:OCP131102 OMI131102:OML131102 OWE131102:OWH131102 PGA131102:PGD131102 PPW131102:PPZ131102 PZS131102:PZV131102 QJO131102:QJR131102 QTK131102:QTN131102 RDG131102:RDJ131102 RNC131102:RNF131102 RWY131102:RXB131102 SGU131102:SGX131102 SQQ131102:SQT131102 TAM131102:TAP131102 TKI131102:TKL131102 TUE131102:TUH131102 UEA131102:UED131102 UNW131102:UNZ131102 UXS131102:UXV131102 VHO131102:VHR131102 VRK131102:VRN131102 WBG131102:WBJ131102 WLC131102:WLF131102 WUY131102:WVB131102 U196638:X196638 IM196638:IP196638 SI196638:SL196638 ACE196638:ACH196638 AMA196638:AMD196638 AVW196638:AVZ196638 BFS196638:BFV196638 BPO196638:BPR196638 BZK196638:BZN196638 CJG196638:CJJ196638 CTC196638:CTF196638 DCY196638:DDB196638 DMU196638:DMX196638 DWQ196638:DWT196638 EGM196638:EGP196638 EQI196638:EQL196638 FAE196638:FAH196638 FKA196638:FKD196638 FTW196638:FTZ196638 GDS196638:GDV196638 GNO196638:GNR196638 GXK196638:GXN196638 HHG196638:HHJ196638 HRC196638:HRF196638 IAY196638:IBB196638 IKU196638:IKX196638 IUQ196638:IUT196638 JEM196638:JEP196638 JOI196638:JOL196638 JYE196638:JYH196638 KIA196638:KID196638 KRW196638:KRZ196638 LBS196638:LBV196638 LLO196638:LLR196638 LVK196638:LVN196638 MFG196638:MFJ196638 MPC196638:MPF196638 MYY196638:MZB196638 NIU196638:NIX196638 NSQ196638:NST196638 OCM196638:OCP196638 OMI196638:OML196638 OWE196638:OWH196638 PGA196638:PGD196638 PPW196638:PPZ196638 PZS196638:PZV196638 QJO196638:QJR196638 QTK196638:QTN196638 RDG196638:RDJ196638 RNC196638:RNF196638 RWY196638:RXB196638 SGU196638:SGX196638 SQQ196638:SQT196638 TAM196638:TAP196638 TKI196638:TKL196638 TUE196638:TUH196638 UEA196638:UED196638 UNW196638:UNZ196638 UXS196638:UXV196638 VHO196638:VHR196638 VRK196638:VRN196638 WBG196638:WBJ196638 WLC196638:WLF196638 WUY196638:WVB196638 U262174:X262174 IM262174:IP262174 SI262174:SL262174 ACE262174:ACH262174 AMA262174:AMD262174 AVW262174:AVZ262174 BFS262174:BFV262174 BPO262174:BPR262174 BZK262174:BZN262174 CJG262174:CJJ262174 CTC262174:CTF262174 DCY262174:DDB262174 DMU262174:DMX262174 DWQ262174:DWT262174 EGM262174:EGP262174 EQI262174:EQL262174 FAE262174:FAH262174 FKA262174:FKD262174 FTW262174:FTZ262174 GDS262174:GDV262174 GNO262174:GNR262174 GXK262174:GXN262174 HHG262174:HHJ262174 HRC262174:HRF262174 IAY262174:IBB262174 IKU262174:IKX262174 IUQ262174:IUT262174 JEM262174:JEP262174 JOI262174:JOL262174 JYE262174:JYH262174 KIA262174:KID262174 KRW262174:KRZ262174 LBS262174:LBV262174 LLO262174:LLR262174 LVK262174:LVN262174 MFG262174:MFJ262174 MPC262174:MPF262174 MYY262174:MZB262174 NIU262174:NIX262174 NSQ262174:NST262174 OCM262174:OCP262174 OMI262174:OML262174 OWE262174:OWH262174 PGA262174:PGD262174 PPW262174:PPZ262174 PZS262174:PZV262174 QJO262174:QJR262174 QTK262174:QTN262174 RDG262174:RDJ262174 RNC262174:RNF262174 RWY262174:RXB262174 SGU262174:SGX262174 SQQ262174:SQT262174 TAM262174:TAP262174 TKI262174:TKL262174 TUE262174:TUH262174 UEA262174:UED262174 UNW262174:UNZ262174 UXS262174:UXV262174 VHO262174:VHR262174 VRK262174:VRN262174 WBG262174:WBJ262174 WLC262174:WLF262174 WUY262174:WVB262174 U327710:X327710 IM327710:IP327710 SI327710:SL327710 ACE327710:ACH327710 AMA327710:AMD327710 AVW327710:AVZ327710 BFS327710:BFV327710 BPO327710:BPR327710 BZK327710:BZN327710 CJG327710:CJJ327710 CTC327710:CTF327710 DCY327710:DDB327710 DMU327710:DMX327710 DWQ327710:DWT327710 EGM327710:EGP327710 EQI327710:EQL327710 FAE327710:FAH327710 FKA327710:FKD327710 FTW327710:FTZ327710 GDS327710:GDV327710 GNO327710:GNR327710 GXK327710:GXN327710 HHG327710:HHJ327710 HRC327710:HRF327710 IAY327710:IBB327710 IKU327710:IKX327710 IUQ327710:IUT327710 JEM327710:JEP327710 JOI327710:JOL327710 JYE327710:JYH327710 KIA327710:KID327710 KRW327710:KRZ327710 LBS327710:LBV327710 LLO327710:LLR327710 LVK327710:LVN327710 MFG327710:MFJ327710 MPC327710:MPF327710 MYY327710:MZB327710 NIU327710:NIX327710 NSQ327710:NST327710 OCM327710:OCP327710 OMI327710:OML327710 OWE327710:OWH327710 PGA327710:PGD327710 PPW327710:PPZ327710 PZS327710:PZV327710 QJO327710:QJR327710 QTK327710:QTN327710 RDG327710:RDJ327710 RNC327710:RNF327710 RWY327710:RXB327710 SGU327710:SGX327710 SQQ327710:SQT327710 TAM327710:TAP327710 TKI327710:TKL327710 TUE327710:TUH327710 UEA327710:UED327710 UNW327710:UNZ327710 UXS327710:UXV327710 VHO327710:VHR327710 VRK327710:VRN327710 WBG327710:WBJ327710 WLC327710:WLF327710 WUY327710:WVB327710 U393246:X393246 IM393246:IP393246 SI393246:SL393246 ACE393246:ACH393246 AMA393246:AMD393246 AVW393246:AVZ393246 BFS393246:BFV393246 BPO393246:BPR393246 BZK393246:BZN393246 CJG393246:CJJ393246 CTC393246:CTF393246 DCY393246:DDB393246 DMU393246:DMX393246 DWQ393246:DWT393246 EGM393246:EGP393246 EQI393246:EQL393246 FAE393246:FAH393246 FKA393246:FKD393246 FTW393246:FTZ393246 GDS393246:GDV393246 GNO393246:GNR393246 GXK393246:GXN393246 HHG393246:HHJ393246 HRC393246:HRF393246 IAY393246:IBB393246 IKU393246:IKX393246 IUQ393246:IUT393246 JEM393246:JEP393246 JOI393246:JOL393246 JYE393246:JYH393246 KIA393246:KID393246 KRW393246:KRZ393246 LBS393246:LBV393246 LLO393246:LLR393246 LVK393246:LVN393246 MFG393246:MFJ393246 MPC393246:MPF393246 MYY393246:MZB393246 NIU393246:NIX393246 NSQ393246:NST393246 OCM393246:OCP393246 OMI393246:OML393246 OWE393246:OWH393246 PGA393246:PGD393246 PPW393246:PPZ393246 PZS393246:PZV393246 QJO393246:QJR393246 QTK393246:QTN393246 RDG393246:RDJ393246 RNC393246:RNF393246 RWY393246:RXB393246 SGU393246:SGX393246 SQQ393246:SQT393246 TAM393246:TAP393246 TKI393246:TKL393246 TUE393246:TUH393246 UEA393246:UED393246 UNW393246:UNZ393246 UXS393246:UXV393246 VHO393246:VHR393246 VRK393246:VRN393246 WBG393246:WBJ393246 WLC393246:WLF393246 WUY393246:WVB393246 U458782:X458782 IM458782:IP458782 SI458782:SL458782 ACE458782:ACH458782 AMA458782:AMD458782 AVW458782:AVZ458782 BFS458782:BFV458782 BPO458782:BPR458782 BZK458782:BZN458782 CJG458782:CJJ458782 CTC458782:CTF458782 DCY458782:DDB458782 DMU458782:DMX458782 DWQ458782:DWT458782 EGM458782:EGP458782 EQI458782:EQL458782 FAE458782:FAH458782 FKA458782:FKD458782 FTW458782:FTZ458782 GDS458782:GDV458782 GNO458782:GNR458782 GXK458782:GXN458782 HHG458782:HHJ458782 HRC458782:HRF458782 IAY458782:IBB458782 IKU458782:IKX458782 IUQ458782:IUT458782 JEM458782:JEP458782 JOI458782:JOL458782 JYE458782:JYH458782 KIA458782:KID458782 KRW458782:KRZ458782 LBS458782:LBV458782 LLO458782:LLR458782 LVK458782:LVN458782 MFG458782:MFJ458782 MPC458782:MPF458782 MYY458782:MZB458782 NIU458782:NIX458782 NSQ458782:NST458782 OCM458782:OCP458782 OMI458782:OML458782 OWE458782:OWH458782 PGA458782:PGD458782 PPW458782:PPZ458782 PZS458782:PZV458782 QJO458782:QJR458782 QTK458782:QTN458782 RDG458782:RDJ458782 RNC458782:RNF458782 RWY458782:RXB458782 SGU458782:SGX458782 SQQ458782:SQT458782 TAM458782:TAP458782 TKI458782:TKL458782 TUE458782:TUH458782 UEA458782:UED458782 UNW458782:UNZ458782 UXS458782:UXV458782 VHO458782:VHR458782 VRK458782:VRN458782 WBG458782:WBJ458782 WLC458782:WLF458782 WUY458782:WVB458782 U524318:X524318 IM524318:IP524318 SI524318:SL524318 ACE524318:ACH524318 AMA524318:AMD524318 AVW524318:AVZ524318 BFS524318:BFV524318 BPO524318:BPR524318 BZK524318:BZN524318 CJG524318:CJJ524318 CTC524318:CTF524318 DCY524318:DDB524318 DMU524318:DMX524318 DWQ524318:DWT524318 EGM524318:EGP524318 EQI524318:EQL524318 FAE524318:FAH524318 FKA524318:FKD524318 FTW524318:FTZ524318 GDS524318:GDV524318 GNO524318:GNR524318 GXK524318:GXN524318 HHG524318:HHJ524318 HRC524318:HRF524318 IAY524318:IBB524318 IKU524318:IKX524318 IUQ524318:IUT524318 JEM524318:JEP524318 JOI524318:JOL524318 JYE524318:JYH524318 KIA524318:KID524318 KRW524318:KRZ524318 LBS524318:LBV524318 LLO524318:LLR524318 LVK524318:LVN524318 MFG524318:MFJ524318 MPC524318:MPF524318 MYY524318:MZB524318 NIU524318:NIX524318 NSQ524318:NST524318 OCM524318:OCP524318 OMI524318:OML524318 OWE524318:OWH524318 PGA524318:PGD524318 PPW524318:PPZ524318 PZS524318:PZV524318 QJO524318:QJR524318 QTK524318:QTN524318 RDG524318:RDJ524318 RNC524318:RNF524318 RWY524318:RXB524318 SGU524318:SGX524318 SQQ524318:SQT524318 TAM524318:TAP524318 TKI524318:TKL524318 TUE524318:TUH524318 UEA524318:UED524318 UNW524318:UNZ524318 UXS524318:UXV524318 VHO524318:VHR524318 VRK524318:VRN524318 WBG524318:WBJ524318 WLC524318:WLF524318 WUY524318:WVB524318 U589854:X589854 IM589854:IP589854 SI589854:SL589854 ACE589854:ACH589854 AMA589854:AMD589854 AVW589854:AVZ589854 BFS589854:BFV589854 BPO589854:BPR589854 BZK589854:BZN589854 CJG589854:CJJ589854 CTC589854:CTF589854 DCY589854:DDB589854 DMU589854:DMX589854 DWQ589854:DWT589854 EGM589854:EGP589854 EQI589854:EQL589854 FAE589854:FAH589854 FKA589854:FKD589854 FTW589854:FTZ589854 GDS589854:GDV589854 GNO589854:GNR589854 GXK589854:GXN589854 HHG589854:HHJ589854 HRC589854:HRF589854 IAY589854:IBB589854 IKU589854:IKX589854 IUQ589854:IUT589854 JEM589854:JEP589854 JOI589854:JOL589854 JYE589854:JYH589854 KIA589854:KID589854 KRW589854:KRZ589854 LBS589854:LBV589854 LLO589854:LLR589854 LVK589854:LVN589854 MFG589854:MFJ589854 MPC589854:MPF589854 MYY589854:MZB589854 NIU589854:NIX589854 NSQ589854:NST589854 OCM589854:OCP589854 OMI589854:OML589854 OWE589854:OWH589854 PGA589854:PGD589854 PPW589854:PPZ589854 PZS589854:PZV589854 QJO589854:QJR589854 QTK589854:QTN589854 RDG589854:RDJ589854 RNC589854:RNF589854 RWY589854:RXB589854 SGU589854:SGX589854 SQQ589854:SQT589854 TAM589854:TAP589854 TKI589854:TKL589854 TUE589854:TUH589854 UEA589854:UED589854 UNW589854:UNZ589854 UXS589854:UXV589854 VHO589854:VHR589854 VRK589854:VRN589854 WBG589854:WBJ589854 WLC589854:WLF589854 WUY589854:WVB589854 U655390:X655390 IM655390:IP655390 SI655390:SL655390 ACE655390:ACH655390 AMA655390:AMD655390 AVW655390:AVZ655390 BFS655390:BFV655390 BPO655390:BPR655390 BZK655390:BZN655390 CJG655390:CJJ655390 CTC655390:CTF655390 DCY655390:DDB655390 DMU655390:DMX655390 DWQ655390:DWT655390 EGM655390:EGP655390 EQI655390:EQL655390 FAE655390:FAH655390 FKA655390:FKD655390 FTW655390:FTZ655390 GDS655390:GDV655390 GNO655390:GNR655390 GXK655390:GXN655390 HHG655390:HHJ655390 HRC655390:HRF655390 IAY655390:IBB655390 IKU655390:IKX655390 IUQ655390:IUT655390 JEM655390:JEP655390 JOI655390:JOL655390 JYE655390:JYH655390 KIA655390:KID655390 KRW655390:KRZ655390 LBS655390:LBV655390 LLO655390:LLR655390 LVK655390:LVN655390 MFG655390:MFJ655390 MPC655390:MPF655390 MYY655390:MZB655390 NIU655390:NIX655390 NSQ655390:NST655390 OCM655390:OCP655390 OMI655390:OML655390 OWE655390:OWH655390 PGA655390:PGD655390 PPW655390:PPZ655390 PZS655390:PZV655390 QJO655390:QJR655390 QTK655390:QTN655390 RDG655390:RDJ655390 RNC655390:RNF655390 RWY655390:RXB655390 SGU655390:SGX655390 SQQ655390:SQT655390 TAM655390:TAP655390 TKI655390:TKL655390 TUE655390:TUH655390 UEA655390:UED655390 UNW655390:UNZ655390 UXS655390:UXV655390 VHO655390:VHR655390 VRK655390:VRN655390 WBG655390:WBJ655390 WLC655390:WLF655390 WUY655390:WVB655390 U720926:X720926 IM720926:IP720926 SI720926:SL720926 ACE720926:ACH720926 AMA720926:AMD720926 AVW720926:AVZ720926 BFS720926:BFV720926 BPO720926:BPR720926 BZK720926:BZN720926 CJG720926:CJJ720926 CTC720926:CTF720926 DCY720926:DDB720926 DMU720926:DMX720926 DWQ720926:DWT720926 EGM720926:EGP720926 EQI720926:EQL720926 FAE720926:FAH720926 FKA720926:FKD720926 FTW720926:FTZ720926 GDS720926:GDV720926 GNO720926:GNR720926 GXK720926:GXN720926 HHG720926:HHJ720926 HRC720926:HRF720926 IAY720926:IBB720926 IKU720926:IKX720926 IUQ720926:IUT720926 JEM720926:JEP720926 JOI720926:JOL720926 JYE720926:JYH720926 KIA720926:KID720926 KRW720926:KRZ720926 LBS720926:LBV720926 LLO720926:LLR720926 LVK720926:LVN720926 MFG720926:MFJ720926 MPC720926:MPF720926 MYY720926:MZB720926 NIU720926:NIX720926 NSQ720926:NST720926 OCM720926:OCP720926 OMI720926:OML720926 OWE720926:OWH720926 PGA720926:PGD720926 PPW720926:PPZ720926 PZS720926:PZV720926 QJO720926:QJR720926 QTK720926:QTN720926 RDG720926:RDJ720926 RNC720926:RNF720926 RWY720926:RXB720926 SGU720926:SGX720926 SQQ720926:SQT720926 TAM720926:TAP720926 TKI720926:TKL720926 TUE720926:TUH720926 UEA720926:UED720926 UNW720926:UNZ720926 UXS720926:UXV720926 VHO720926:VHR720926 VRK720926:VRN720926 WBG720926:WBJ720926 WLC720926:WLF720926 WUY720926:WVB720926 U786462:X786462 IM786462:IP786462 SI786462:SL786462 ACE786462:ACH786462 AMA786462:AMD786462 AVW786462:AVZ786462 BFS786462:BFV786462 BPO786462:BPR786462 BZK786462:BZN786462 CJG786462:CJJ786462 CTC786462:CTF786462 DCY786462:DDB786462 DMU786462:DMX786462 DWQ786462:DWT786462 EGM786462:EGP786462 EQI786462:EQL786462 FAE786462:FAH786462 FKA786462:FKD786462 FTW786462:FTZ786462 GDS786462:GDV786462 GNO786462:GNR786462 GXK786462:GXN786462 HHG786462:HHJ786462 HRC786462:HRF786462 IAY786462:IBB786462 IKU786462:IKX786462 IUQ786462:IUT786462 JEM786462:JEP786462 JOI786462:JOL786462 JYE786462:JYH786462 KIA786462:KID786462 KRW786462:KRZ786462 LBS786462:LBV786462 LLO786462:LLR786462 LVK786462:LVN786462 MFG786462:MFJ786462 MPC786462:MPF786462 MYY786462:MZB786462 NIU786462:NIX786462 NSQ786462:NST786462 OCM786462:OCP786462 OMI786462:OML786462 OWE786462:OWH786462 PGA786462:PGD786462 PPW786462:PPZ786462 PZS786462:PZV786462 QJO786462:QJR786462 QTK786462:QTN786462 RDG786462:RDJ786462 RNC786462:RNF786462 RWY786462:RXB786462 SGU786462:SGX786462 SQQ786462:SQT786462 TAM786462:TAP786462 TKI786462:TKL786462 TUE786462:TUH786462 UEA786462:UED786462 UNW786462:UNZ786462 UXS786462:UXV786462 VHO786462:VHR786462 VRK786462:VRN786462 WBG786462:WBJ786462 WLC786462:WLF786462 WUY786462:WVB786462 U851998:X851998 IM851998:IP851998 SI851998:SL851998 ACE851998:ACH851998 AMA851998:AMD851998 AVW851998:AVZ851998 BFS851998:BFV851998 BPO851998:BPR851998 BZK851998:BZN851998 CJG851998:CJJ851998 CTC851998:CTF851998 DCY851998:DDB851998 DMU851998:DMX851998 DWQ851998:DWT851998 EGM851998:EGP851998 EQI851998:EQL851998 FAE851998:FAH851998 FKA851998:FKD851998 FTW851998:FTZ851998 GDS851998:GDV851998 GNO851998:GNR851998 GXK851998:GXN851998 HHG851998:HHJ851998 HRC851998:HRF851998 IAY851998:IBB851998 IKU851998:IKX851998 IUQ851998:IUT851998 JEM851998:JEP851998 JOI851998:JOL851998 JYE851998:JYH851998 KIA851998:KID851998 KRW851998:KRZ851998 LBS851998:LBV851998 LLO851998:LLR851998 LVK851998:LVN851998 MFG851998:MFJ851998 MPC851998:MPF851998 MYY851998:MZB851998 NIU851998:NIX851998 NSQ851998:NST851998 OCM851998:OCP851998 OMI851998:OML851998 OWE851998:OWH851998 PGA851998:PGD851998 PPW851998:PPZ851998 PZS851998:PZV851998 QJO851998:QJR851998 QTK851998:QTN851998 RDG851998:RDJ851998 RNC851998:RNF851998 RWY851998:RXB851998 SGU851998:SGX851998 SQQ851998:SQT851998 TAM851998:TAP851998 TKI851998:TKL851998 TUE851998:TUH851998 UEA851998:UED851998 UNW851998:UNZ851998 UXS851998:UXV851998 VHO851998:VHR851998 VRK851998:VRN851998 WBG851998:WBJ851998 WLC851998:WLF851998 WUY851998:WVB851998 U917534:X917534 IM917534:IP917534 SI917534:SL917534 ACE917534:ACH917534 AMA917534:AMD917534 AVW917534:AVZ917534 BFS917534:BFV917534 BPO917534:BPR917534 BZK917534:BZN917534 CJG917534:CJJ917534 CTC917534:CTF917534 DCY917534:DDB917534 DMU917534:DMX917534 DWQ917534:DWT917534 EGM917534:EGP917534 EQI917534:EQL917534 FAE917534:FAH917534 FKA917534:FKD917534 FTW917534:FTZ917534 GDS917534:GDV917534 GNO917534:GNR917534 GXK917534:GXN917534 HHG917534:HHJ917534 HRC917534:HRF917534 IAY917534:IBB917534 IKU917534:IKX917534 IUQ917534:IUT917534 JEM917534:JEP917534 JOI917534:JOL917534 JYE917534:JYH917534 KIA917534:KID917534 KRW917534:KRZ917534 LBS917534:LBV917534 LLO917534:LLR917534 LVK917534:LVN917534 MFG917534:MFJ917534 MPC917534:MPF917534 MYY917534:MZB917534 NIU917534:NIX917534 NSQ917534:NST917534 OCM917534:OCP917534 OMI917534:OML917534 OWE917534:OWH917534 PGA917534:PGD917534 PPW917534:PPZ917534 PZS917534:PZV917534 QJO917534:QJR917534 QTK917534:QTN917534 RDG917534:RDJ917534 RNC917534:RNF917534 RWY917534:RXB917534 SGU917534:SGX917534 SQQ917534:SQT917534 TAM917534:TAP917534 TKI917534:TKL917534 TUE917534:TUH917534 UEA917534:UED917534 UNW917534:UNZ917534 UXS917534:UXV917534 VHO917534:VHR917534 VRK917534:VRN917534 WBG917534:WBJ917534 WLC917534:WLF917534 WUY917534:WVB917534 U983070:X983070 IM983070:IP983070 SI983070:SL983070 ACE983070:ACH983070 AMA983070:AMD983070 AVW983070:AVZ983070 BFS983070:BFV983070 BPO983070:BPR983070 BZK983070:BZN983070 CJG983070:CJJ983070 CTC983070:CTF983070 DCY983070:DDB983070 DMU983070:DMX983070 DWQ983070:DWT983070 EGM983070:EGP983070 EQI983070:EQL983070 FAE983070:FAH983070 FKA983070:FKD983070 FTW983070:FTZ983070 GDS983070:GDV983070 GNO983070:GNR983070 GXK983070:GXN983070 HHG983070:HHJ983070 HRC983070:HRF983070 IAY983070:IBB983070 IKU983070:IKX983070 IUQ983070:IUT983070 JEM983070:JEP983070 JOI983070:JOL983070 JYE983070:JYH983070 KIA983070:KID983070 KRW983070:KRZ983070 LBS983070:LBV983070 LLO983070:LLR983070 LVK983070:LVN983070 MFG983070:MFJ983070 MPC983070:MPF983070 MYY983070:MZB983070 NIU983070:NIX983070 NSQ983070:NST983070 OCM983070:OCP983070 OMI983070:OML983070 OWE983070:OWH983070 PGA983070:PGD983070 PPW983070:PPZ983070 PZS983070:PZV983070 QJO983070:QJR983070 QTK983070:QTN983070 RDG983070:RDJ983070 RNC983070:RNF983070 RWY983070:RXB983070 SGU983070:SGX983070 SQQ983070:SQT983070 TAM983070:TAP983070 TKI983070:TKL983070 TUE983070:TUH983070 UEA983070:UED983070 UNW983070:UNZ983070 UXS983070:UXV983070 VHO983070:VHR983070 VRK983070:VRN983070 WBG983070:WBJ983070 WLC983070:WLF983070 WUY983070:WVB983070 IH983069:IK983069 SD983069:SG983069 ABZ983069:ACC983069 ALV983069:ALY983069 AVR983069:AVU983069 BFN983069:BFQ983069 BPJ983069:BPM983069 BZF983069:BZI983069 CJB983069:CJE983069 CSX983069:CTA983069 DCT983069:DCW983069 DMP983069:DMS983069 DWL983069:DWO983069 EGH983069:EGK983069 EQD983069:EQG983069 EZZ983069:FAC983069 FJV983069:FJY983069 FTR983069:FTU983069 GDN983069:GDQ983069 GNJ983069:GNM983069 GXF983069:GXI983069 HHB983069:HHE983069 HQX983069:HRA983069 IAT983069:IAW983069 IKP983069:IKS983069 IUL983069:IUO983069 JEH983069:JEK983069 JOD983069:JOG983069 JXZ983069:JYC983069 KHV983069:KHY983069 KRR983069:KRU983069 LBN983069:LBQ983069 LLJ983069:LLM983069 LVF983069:LVI983069 MFB983069:MFE983069 MOX983069:MPA983069 MYT983069:MYW983069 NIP983069:NIS983069 NSL983069:NSO983069 OCH983069:OCK983069 OMD983069:OMG983069 OVZ983069:OWC983069 PFV983069:PFY983069 PPR983069:PPU983069 PZN983069:PZQ983069 QJJ983069:QJM983069 QTF983069:QTI983069 RDB983069:RDE983069 RMX983069:RNA983069 RWT983069:RWW983069 SGP983069:SGS983069 SQL983069:SQO983069 TAH983069:TAK983069 TKD983069:TKG983069 TTZ983069:TUC983069 UDV983069:UDY983069 UNR983069:UNU983069 UXN983069:UXQ983069 VHJ983069:VHM983069 VRF983069:VRI983069 WBB983069:WBE983069 WKX983069:WLA983069 WUT983069:WUW983069 IH65565:IK65565 SD65565:SG65565 ABZ65565:ACC65565 ALV65565:ALY65565 AVR65565:AVU65565 BFN65565:BFQ65565 BPJ65565:BPM65565 BZF65565:BZI65565 CJB65565:CJE65565 CSX65565:CTA65565 DCT65565:DCW65565 DMP65565:DMS65565 DWL65565:DWO65565 EGH65565:EGK65565 EQD65565:EQG65565 EZZ65565:FAC65565 FJV65565:FJY65565 FTR65565:FTU65565 GDN65565:GDQ65565 GNJ65565:GNM65565 GXF65565:GXI65565 HHB65565:HHE65565 HQX65565:HRA65565 IAT65565:IAW65565 IKP65565:IKS65565 IUL65565:IUO65565 JEH65565:JEK65565 JOD65565:JOG65565 JXZ65565:JYC65565 KHV65565:KHY65565 KRR65565:KRU65565 LBN65565:LBQ65565 LLJ65565:LLM65565 LVF65565:LVI65565 MFB65565:MFE65565 MOX65565:MPA65565 MYT65565:MYW65565 NIP65565:NIS65565 NSL65565:NSO65565 OCH65565:OCK65565 OMD65565:OMG65565 OVZ65565:OWC65565 PFV65565:PFY65565 PPR65565:PPU65565 PZN65565:PZQ65565 QJJ65565:QJM65565 QTF65565:QTI65565 RDB65565:RDE65565 RMX65565:RNA65565 RWT65565:RWW65565 SGP65565:SGS65565 SQL65565:SQO65565 TAH65565:TAK65565 TKD65565:TKG65565 TTZ65565:TUC65565 UDV65565:UDY65565 UNR65565:UNU65565 UXN65565:UXQ65565 VHJ65565:VHM65565 VRF65565:VRI65565 WBB65565:WBE65565 WKX65565:WLA65565 WUT65565:WUW65565 IH131101:IK131101 SD131101:SG131101 ABZ131101:ACC131101 ALV131101:ALY131101 AVR131101:AVU131101 BFN131101:BFQ131101 BPJ131101:BPM131101 BZF131101:BZI131101 CJB131101:CJE131101 CSX131101:CTA131101 DCT131101:DCW131101 DMP131101:DMS131101 DWL131101:DWO131101 EGH131101:EGK131101 EQD131101:EQG131101 EZZ131101:FAC131101 FJV131101:FJY131101 FTR131101:FTU131101 GDN131101:GDQ131101 GNJ131101:GNM131101 GXF131101:GXI131101 HHB131101:HHE131101 HQX131101:HRA131101 IAT131101:IAW131101 IKP131101:IKS131101 IUL131101:IUO131101 JEH131101:JEK131101 JOD131101:JOG131101 JXZ131101:JYC131101 KHV131101:KHY131101 KRR131101:KRU131101 LBN131101:LBQ131101 LLJ131101:LLM131101 LVF131101:LVI131101 MFB131101:MFE131101 MOX131101:MPA131101 MYT131101:MYW131101 NIP131101:NIS131101 NSL131101:NSO131101 OCH131101:OCK131101 OMD131101:OMG131101 OVZ131101:OWC131101 PFV131101:PFY131101 PPR131101:PPU131101 PZN131101:PZQ131101 QJJ131101:QJM131101 QTF131101:QTI131101 RDB131101:RDE131101 RMX131101:RNA131101 RWT131101:RWW131101 SGP131101:SGS131101 SQL131101:SQO131101 TAH131101:TAK131101 TKD131101:TKG131101 TTZ131101:TUC131101 UDV131101:UDY131101 UNR131101:UNU131101 UXN131101:UXQ131101 VHJ131101:VHM131101 VRF131101:VRI131101 WBB131101:WBE131101 WKX131101:WLA131101 WUT131101:WUW131101 IH196637:IK196637 SD196637:SG196637 ABZ196637:ACC196637 ALV196637:ALY196637 AVR196637:AVU196637 BFN196637:BFQ196637 BPJ196637:BPM196637 BZF196637:BZI196637 CJB196637:CJE196637 CSX196637:CTA196637 DCT196637:DCW196637 DMP196637:DMS196637 DWL196637:DWO196637 EGH196637:EGK196637 EQD196637:EQG196637 EZZ196637:FAC196637 FJV196637:FJY196637 FTR196637:FTU196637 GDN196637:GDQ196637 GNJ196637:GNM196637 GXF196637:GXI196637 HHB196637:HHE196637 HQX196637:HRA196637 IAT196637:IAW196637 IKP196637:IKS196637 IUL196637:IUO196637 JEH196637:JEK196637 JOD196637:JOG196637 JXZ196637:JYC196637 KHV196637:KHY196637 KRR196637:KRU196637 LBN196637:LBQ196637 LLJ196637:LLM196637 LVF196637:LVI196637 MFB196637:MFE196637 MOX196637:MPA196637 MYT196637:MYW196637 NIP196637:NIS196637 NSL196637:NSO196637 OCH196637:OCK196637 OMD196637:OMG196637 OVZ196637:OWC196637 PFV196637:PFY196637 PPR196637:PPU196637 PZN196637:PZQ196637 QJJ196637:QJM196637 QTF196637:QTI196637 RDB196637:RDE196637 RMX196637:RNA196637 RWT196637:RWW196637 SGP196637:SGS196637 SQL196637:SQO196637 TAH196637:TAK196637 TKD196637:TKG196637 TTZ196637:TUC196637 UDV196637:UDY196637 UNR196637:UNU196637 UXN196637:UXQ196637 VHJ196637:VHM196637 VRF196637:VRI196637 WBB196637:WBE196637 WKX196637:WLA196637 WUT196637:WUW196637 IH262173:IK262173 SD262173:SG262173 ABZ262173:ACC262173 ALV262173:ALY262173 AVR262173:AVU262173 BFN262173:BFQ262173 BPJ262173:BPM262173 BZF262173:BZI262173 CJB262173:CJE262173 CSX262173:CTA262173 DCT262173:DCW262173 DMP262173:DMS262173 DWL262173:DWO262173 EGH262173:EGK262173 EQD262173:EQG262173 EZZ262173:FAC262173 FJV262173:FJY262173 FTR262173:FTU262173 GDN262173:GDQ262173 GNJ262173:GNM262173 GXF262173:GXI262173 HHB262173:HHE262173 HQX262173:HRA262173 IAT262173:IAW262173 IKP262173:IKS262173 IUL262173:IUO262173 JEH262173:JEK262173 JOD262173:JOG262173 JXZ262173:JYC262173 KHV262173:KHY262173 KRR262173:KRU262173 LBN262173:LBQ262173 LLJ262173:LLM262173 LVF262173:LVI262173 MFB262173:MFE262173 MOX262173:MPA262173 MYT262173:MYW262173 NIP262173:NIS262173 NSL262173:NSO262173 OCH262173:OCK262173 OMD262173:OMG262173 OVZ262173:OWC262173 PFV262173:PFY262173 PPR262173:PPU262173 PZN262173:PZQ262173 QJJ262173:QJM262173 QTF262173:QTI262173 RDB262173:RDE262173 RMX262173:RNA262173 RWT262173:RWW262173 SGP262173:SGS262173 SQL262173:SQO262173 TAH262173:TAK262173 TKD262173:TKG262173 TTZ262173:TUC262173 UDV262173:UDY262173 UNR262173:UNU262173 UXN262173:UXQ262173 VHJ262173:VHM262173 VRF262173:VRI262173 WBB262173:WBE262173 WKX262173:WLA262173 WUT262173:WUW262173 IH327709:IK327709 SD327709:SG327709 ABZ327709:ACC327709 ALV327709:ALY327709 AVR327709:AVU327709 BFN327709:BFQ327709 BPJ327709:BPM327709 BZF327709:BZI327709 CJB327709:CJE327709 CSX327709:CTA327709 DCT327709:DCW327709 DMP327709:DMS327709 DWL327709:DWO327709 EGH327709:EGK327709 EQD327709:EQG327709 EZZ327709:FAC327709 FJV327709:FJY327709 FTR327709:FTU327709 GDN327709:GDQ327709 GNJ327709:GNM327709 GXF327709:GXI327709 HHB327709:HHE327709 HQX327709:HRA327709 IAT327709:IAW327709 IKP327709:IKS327709 IUL327709:IUO327709 JEH327709:JEK327709 JOD327709:JOG327709 JXZ327709:JYC327709 KHV327709:KHY327709 KRR327709:KRU327709 LBN327709:LBQ327709 LLJ327709:LLM327709 LVF327709:LVI327709 MFB327709:MFE327709 MOX327709:MPA327709 MYT327709:MYW327709 NIP327709:NIS327709 NSL327709:NSO327709 OCH327709:OCK327709 OMD327709:OMG327709 OVZ327709:OWC327709 PFV327709:PFY327709 PPR327709:PPU327709 PZN327709:PZQ327709 QJJ327709:QJM327709 QTF327709:QTI327709 RDB327709:RDE327709 RMX327709:RNA327709 RWT327709:RWW327709 SGP327709:SGS327709 SQL327709:SQO327709 TAH327709:TAK327709 TKD327709:TKG327709 TTZ327709:TUC327709 UDV327709:UDY327709 UNR327709:UNU327709 UXN327709:UXQ327709 VHJ327709:VHM327709 VRF327709:VRI327709 WBB327709:WBE327709 WKX327709:WLA327709 WUT327709:WUW327709 IH393245:IK393245 SD393245:SG393245 ABZ393245:ACC393245 ALV393245:ALY393245 AVR393245:AVU393245 BFN393245:BFQ393245 BPJ393245:BPM393245 BZF393245:BZI393245 CJB393245:CJE393245 CSX393245:CTA393245 DCT393245:DCW393245 DMP393245:DMS393245 DWL393245:DWO393245 EGH393245:EGK393245 EQD393245:EQG393245 EZZ393245:FAC393245 FJV393245:FJY393245 FTR393245:FTU393245 GDN393245:GDQ393245 GNJ393245:GNM393245 GXF393245:GXI393245 HHB393245:HHE393245 HQX393245:HRA393245 IAT393245:IAW393245 IKP393245:IKS393245 IUL393245:IUO393245 JEH393245:JEK393245 JOD393245:JOG393245 JXZ393245:JYC393245 KHV393245:KHY393245 KRR393245:KRU393245 LBN393245:LBQ393245 LLJ393245:LLM393245 LVF393245:LVI393245 MFB393245:MFE393245 MOX393245:MPA393245 MYT393245:MYW393245 NIP393245:NIS393245 NSL393245:NSO393245 OCH393245:OCK393245 OMD393245:OMG393245 OVZ393245:OWC393245 PFV393245:PFY393245 PPR393245:PPU393245 PZN393245:PZQ393245 QJJ393245:QJM393245 QTF393245:QTI393245 RDB393245:RDE393245 RMX393245:RNA393245 RWT393245:RWW393245 SGP393245:SGS393245 SQL393245:SQO393245 TAH393245:TAK393245 TKD393245:TKG393245 TTZ393245:TUC393245 UDV393245:UDY393245 UNR393245:UNU393245 UXN393245:UXQ393245 VHJ393245:VHM393245 VRF393245:VRI393245 WBB393245:WBE393245 WKX393245:WLA393245 WUT393245:WUW393245 IH458781:IK458781 SD458781:SG458781 ABZ458781:ACC458781 ALV458781:ALY458781 AVR458781:AVU458781 BFN458781:BFQ458781 BPJ458781:BPM458781 BZF458781:BZI458781 CJB458781:CJE458781 CSX458781:CTA458781 DCT458781:DCW458781 DMP458781:DMS458781 DWL458781:DWO458781 EGH458781:EGK458781 EQD458781:EQG458781 EZZ458781:FAC458781 FJV458781:FJY458781 FTR458781:FTU458781 GDN458781:GDQ458781 GNJ458781:GNM458781 GXF458781:GXI458781 HHB458781:HHE458781 HQX458781:HRA458781 IAT458781:IAW458781 IKP458781:IKS458781 IUL458781:IUO458781 JEH458781:JEK458781 JOD458781:JOG458781 JXZ458781:JYC458781 KHV458781:KHY458781 KRR458781:KRU458781 LBN458781:LBQ458781 LLJ458781:LLM458781 LVF458781:LVI458781 MFB458781:MFE458781 MOX458781:MPA458781 MYT458781:MYW458781 NIP458781:NIS458781 NSL458781:NSO458781 OCH458781:OCK458781 OMD458781:OMG458781 OVZ458781:OWC458781 PFV458781:PFY458781 PPR458781:PPU458781 PZN458781:PZQ458781 QJJ458781:QJM458781 QTF458781:QTI458781 RDB458781:RDE458781 RMX458781:RNA458781 RWT458781:RWW458781 SGP458781:SGS458781 SQL458781:SQO458781 TAH458781:TAK458781 TKD458781:TKG458781 TTZ458781:TUC458781 UDV458781:UDY458781 UNR458781:UNU458781 UXN458781:UXQ458781 VHJ458781:VHM458781 VRF458781:VRI458781 WBB458781:WBE458781 WKX458781:WLA458781 WUT458781:WUW458781 IH524317:IK524317 SD524317:SG524317 ABZ524317:ACC524317 ALV524317:ALY524317 AVR524317:AVU524317 BFN524317:BFQ524317 BPJ524317:BPM524317 BZF524317:BZI524317 CJB524317:CJE524317 CSX524317:CTA524317 DCT524317:DCW524317 DMP524317:DMS524317 DWL524317:DWO524317 EGH524317:EGK524317 EQD524317:EQG524317 EZZ524317:FAC524317 FJV524317:FJY524317 FTR524317:FTU524317 GDN524317:GDQ524317 GNJ524317:GNM524317 GXF524317:GXI524317 HHB524317:HHE524317 HQX524317:HRA524317 IAT524317:IAW524317 IKP524317:IKS524317 IUL524317:IUO524317 JEH524317:JEK524317 JOD524317:JOG524317 JXZ524317:JYC524317 KHV524317:KHY524317 KRR524317:KRU524317 LBN524317:LBQ524317 LLJ524317:LLM524317 LVF524317:LVI524317 MFB524317:MFE524317 MOX524317:MPA524317 MYT524317:MYW524317 NIP524317:NIS524317 NSL524317:NSO524317 OCH524317:OCK524317 OMD524317:OMG524317 OVZ524317:OWC524317 PFV524317:PFY524317 PPR524317:PPU524317 PZN524317:PZQ524317 QJJ524317:QJM524317 QTF524317:QTI524317 RDB524317:RDE524317 RMX524317:RNA524317 RWT524317:RWW524317 SGP524317:SGS524317 SQL524317:SQO524317 TAH524317:TAK524317 TKD524317:TKG524317 TTZ524317:TUC524317 UDV524317:UDY524317 UNR524317:UNU524317 UXN524317:UXQ524317 VHJ524317:VHM524317 VRF524317:VRI524317 WBB524317:WBE524317 WKX524317:WLA524317 WUT524317:WUW524317 IH589853:IK589853 SD589853:SG589853 ABZ589853:ACC589853 ALV589853:ALY589853 AVR589853:AVU589853 BFN589853:BFQ589853 BPJ589853:BPM589853 BZF589853:BZI589853 CJB589853:CJE589853 CSX589853:CTA589853 DCT589853:DCW589853 DMP589853:DMS589853 DWL589853:DWO589853 EGH589853:EGK589853 EQD589853:EQG589853 EZZ589853:FAC589853 FJV589853:FJY589853 FTR589853:FTU589853 GDN589853:GDQ589853 GNJ589853:GNM589853 GXF589853:GXI589853 HHB589853:HHE589853 HQX589853:HRA589853 IAT589853:IAW589853 IKP589853:IKS589853 IUL589853:IUO589853 JEH589853:JEK589853 JOD589853:JOG589853 JXZ589853:JYC589853 KHV589853:KHY589853 KRR589853:KRU589853 LBN589853:LBQ589853 LLJ589853:LLM589853 LVF589853:LVI589853 MFB589853:MFE589853 MOX589853:MPA589853 MYT589853:MYW589853 NIP589853:NIS589853 NSL589853:NSO589853 OCH589853:OCK589853 OMD589853:OMG589853 OVZ589853:OWC589853 PFV589853:PFY589853 PPR589853:PPU589853 PZN589853:PZQ589853 QJJ589853:QJM589853 QTF589853:QTI589853 RDB589853:RDE589853 RMX589853:RNA589853 RWT589853:RWW589853 SGP589853:SGS589853 SQL589853:SQO589853 TAH589853:TAK589853 TKD589853:TKG589853 TTZ589853:TUC589853 UDV589853:UDY589853 UNR589853:UNU589853 UXN589853:UXQ589853 VHJ589853:VHM589853 VRF589853:VRI589853 WBB589853:WBE589853 WKX589853:WLA589853 WUT589853:WUW589853 IH655389:IK655389 SD655389:SG655389 ABZ655389:ACC655389 ALV655389:ALY655389 AVR655389:AVU655389 BFN655389:BFQ655389 BPJ655389:BPM655389 BZF655389:BZI655389 CJB655389:CJE655389 CSX655389:CTA655389 DCT655389:DCW655389 DMP655389:DMS655389 DWL655389:DWO655389 EGH655389:EGK655389 EQD655389:EQG655389 EZZ655389:FAC655389 FJV655389:FJY655389 FTR655389:FTU655389 GDN655389:GDQ655389 GNJ655389:GNM655389 GXF655389:GXI655389 HHB655389:HHE655389 HQX655389:HRA655389 IAT655389:IAW655389 IKP655389:IKS655389 IUL655389:IUO655389 JEH655389:JEK655389 JOD655389:JOG655389 JXZ655389:JYC655389 KHV655389:KHY655389 KRR655389:KRU655389 LBN655389:LBQ655389 LLJ655389:LLM655389 LVF655389:LVI655389 MFB655389:MFE655389 MOX655389:MPA655389 MYT655389:MYW655389 NIP655389:NIS655389 NSL655389:NSO655389 OCH655389:OCK655389 OMD655389:OMG655389 OVZ655389:OWC655389 PFV655389:PFY655389 PPR655389:PPU655389 PZN655389:PZQ655389 QJJ655389:QJM655389 QTF655389:QTI655389 RDB655389:RDE655389 RMX655389:RNA655389 RWT655389:RWW655389 SGP655389:SGS655389 SQL655389:SQO655389 TAH655389:TAK655389 TKD655389:TKG655389 TTZ655389:TUC655389 UDV655389:UDY655389 UNR655389:UNU655389 UXN655389:UXQ655389 VHJ655389:VHM655389 VRF655389:VRI655389 WBB655389:WBE655389 WKX655389:WLA655389 WUT655389:WUW655389 IH720925:IK720925 SD720925:SG720925 ABZ720925:ACC720925 ALV720925:ALY720925 AVR720925:AVU720925 BFN720925:BFQ720925 BPJ720925:BPM720925 BZF720925:BZI720925 CJB720925:CJE720925 CSX720925:CTA720925 DCT720925:DCW720925 DMP720925:DMS720925 DWL720925:DWO720925 EGH720925:EGK720925 EQD720925:EQG720925 EZZ720925:FAC720925 FJV720925:FJY720925 FTR720925:FTU720925 GDN720925:GDQ720925 GNJ720925:GNM720925 GXF720925:GXI720925 HHB720925:HHE720925 HQX720925:HRA720925 IAT720925:IAW720925 IKP720925:IKS720925 IUL720925:IUO720925 JEH720925:JEK720925 JOD720925:JOG720925 JXZ720925:JYC720925 KHV720925:KHY720925 KRR720925:KRU720925 LBN720925:LBQ720925 LLJ720925:LLM720925 LVF720925:LVI720925 MFB720925:MFE720925 MOX720925:MPA720925 MYT720925:MYW720925 NIP720925:NIS720925 NSL720925:NSO720925 OCH720925:OCK720925 OMD720925:OMG720925 OVZ720925:OWC720925 PFV720925:PFY720925 PPR720925:PPU720925 PZN720925:PZQ720925 QJJ720925:QJM720925 QTF720925:QTI720925 RDB720925:RDE720925 RMX720925:RNA720925 RWT720925:RWW720925 SGP720925:SGS720925 SQL720925:SQO720925 TAH720925:TAK720925 TKD720925:TKG720925 TTZ720925:TUC720925 UDV720925:UDY720925 UNR720925:UNU720925 UXN720925:UXQ720925 VHJ720925:VHM720925 VRF720925:VRI720925 WBB720925:WBE720925 WKX720925:WLA720925 WUT720925:WUW720925 IH786461:IK786461 SD786461:SG786461 ABZ786461:ACC786461 ALV786461:ALY786461 AVR786461:AVU786461 BFN786461:BFQ786461 BPJ786461:BPM786461 BZF786461:BZI786461 CJB786461:CJE786461 CSX786461:CTA786461 DCT786461:DCW786461 DMP786461:DMS786461 DWL786461:DWO786461 EGH786461:EGK786461 EQD786461:EQG786461 EZZ786461:FAC786461 FJV786461:FJY786461 FTR786461:FTU786461 GDN786461:GDQ786461 GNJ786461:GNM786461 GXF786461:GXI786461 HHB786461:HHE786461 HQX786461:HRA786461 IAT786461:IAW786461 IKP786461:IKS786461 IUL786461:IUO786461 JEH786461:JEK786461 JOD786461:JOG786461 JXZ786461:JYC786461 KHV786461:KHY786461 KRR786461:KRU786461 LBN786461:LBQ786461 LLJ786461:LLM786461 LVF786461:LVI786461 MFB786461:MFE786461 MOX786461:MPA786461 MYT786461:MYW786461 NIP786461:NIS786461 NSL786461:NSO786461 OCH786461:OCK786461 OMD786461:OMG786461 OVZ786461:OWC786461 PFV786461:PFY786461 PPR786461:PPU786461 PZN786461:PZQ786461 QJJ786461:QJM786461 QTF786461:QTI786461 RDB786461:RDE786461 RMX786461:RNA786461 RWT786461:RWW786461 SGP786461:SGS786461 SQL786461:SQO786461 TAH786461:TAK786461 TKD786461:TKG786461 TTZ786461:TUC786461 UDV786461:UDY786461 UNR786461:UNU786461 UXN786461:UXQ786461 VHJ786461:VHM786461 VRF786461:VRI786461 WBB786461:WBE786461 WKX786461:WLA786461 WUT786461:WUW786461 IH851997:IK851997 SD851997:SG851997 ABZ851997:ACC851997 ALV851997:ALY851997 AVR851997:AVU851997 BFN851997:BFQ851997 BPJ851997:BPM851997 BZF851997:BZI851997 CJB851997:CJE851997 CSX851997:CTA851997 DCT851997:DCW851997 DMP851997:DMS851997 DWL851997:DWO851997 EGH851997:EGK851997 EQD851997:EQG851997 EZZ851997:FAC851997 FJV851997:FJY851997 FTR851997:FTU851997 GDN851997:GDQ851997 GNJ851997:GNM851997 GXF851997:GXI851997 HHB851997:HHE851997 HQX851997:HRA851997 IAT851997:IAW851997 IKP851997:IKS851997 IUL851997:IUO851997 JEH851997:JEK851997 JOD851997:JOG851997 JXZ851997:JYC851997 KHV851997:KHY851997 KRR851997:KRU851997 LBN851997:LBQ851997 LLJ851997:LLM851997 LVF851997:LVI851997 MFB851997:MFE851997 MOX851997:MPA851997 MYT851997:MYW851997 NIP851997:NIS851997 NSL851997:NSO851997 OCH851997:OCK851997 OMD851997:OMG851997 OVZ851997:OWC851997 PFV851997:PFY851997 PPR851997:PPU851997 PZN851997:PZQ851997 QJJ851997:QJM851997 QTF851997:QTI851997 RDB851997:RDE851997 RMX851997:RNA851997 RWT851997:RWW851997 SGP851997:SGS851997 SQL851997:SQO851997 TAH851997:TAK851997 TKD851997:TKG851997 TTZ851997:TUC851997 UDV851997:UDY851997 UNR851997:UNU851997 UXN851997:UXQ851997 VHJ851997:VHM851997 VRF851997:VRI851997 WBB851997:WBE851997 WKX851997:WLA851997 WUT851997:WUW851997 IH917533:IK917533 SD917533:SG917533 ABZ917533:ACC917533 ALV917533:ALY917533 AVR917533:AVU917533 BFN917533:BFQ917533 BPJ917533:BPM917533 BZF917533:BZI917533 CJB917533:CJE917533 CSX917533:CTA917533 DCT917533:DCW917533 DMP917533:DMS917533 DWL917533:DWO917533 EGH917533:EGK917533 EQD917533:EQG917533 EZZ917533:FAC917533 FJV917533:FJY917533 FTR917533:FTU917533 GDN917533:GDQ917533 GNJ917533:GNM917533 GXF917533:GXI917533 HHB917533:HHE917533 HQX917533:HRA917533 IAT917533:IAW917533 IKP917533:IKS917533 IUL917533:IUO917533 JEH917533:JEK917533 JOD917533:JOG917533 JXZ917533:JYC917533 KHV917533:KHY917533 KRR917533:KRU917533 LBN917533:LBQ917533 LLJ917533:LLM917533 LVF917533:LVI917533 MFB917533:MFE917533 MOX917533:MPA917533 MYT917533:MYW917533 NIP917533:NIS917533 NSL917533:NSO917533 OCH917533:OCK917533 OMD917533:OMG917533 OVZ917533:OWC917533 PFV917533:PFY917533 PPR917533:PPU917533 PZN917533:PZQ917533 QJJ917533:QJM917533 QTF917533:QTI917533 RDB917533:RDE917533 RMX917533:RNA917533 RWT917533:RWW917533 SGP917533:SGS917533 SQL917533:SQO917533 TAH917533:TAK917533 TKD917533:TKG917533 TTZ917533:TUC917533 UDV917533:UDY917533 UNR917533:UNU917533 UXN917533:UXQ917533 VHJ917533:VHM917533 VRF917533:VRI917533 WBB917533:WBE917533 WKX917533:WLA917533 WUT917533:WUW917533 Q917533:S917533 Q851997:S851997 Q786461:S786461 Q720925:S720925 Q655389:S655389 Q589853:S589853 Q524317:S524317 Q458781:S458781 Q393245:S393245 Q327709:S327709 Q262173:S262173 Q196637:S196637 Q131101:S131101 Q65565:S65565 Q983069:S983069 AF131103:AH131103 AF196639:AH196639 AF262175:AH262175 AF327711:AH327711 AF393247:AH393247 AF458783:AH458783 AF524319:AH524319 AF589855:AH589855 AF655391:AH655391 AF720927:AH720927 AF786463:AH786463 AF851999:AH851999 AF917535:AH917535 AF983071:AH983071 AB983070:AD983070 AB917534:AD917534 AB851998:AD851998 AB786462:AD786462 AB720926:AD720926 AB655390:AD655390 AB589854:AD589854 AB524318:AD524318 AB458782:AD458782 AB393246:AD393246 AB327710:AD327710 AB262174:AD262174 AB196638:AD196638 AB131102:AD131102 AB65566:AD65566 AF65567:AH65567 AO131103:AQ131103 AO196639:AQ196639 AO262175:AQ262175 AO327711:AQ327711 AO393247:AQ393247 AO458783:AQ458783 AO524319:AQ524319 AO589855:AQ589855 AO655391:AQ655391 AO720927:AQ720927 AO786463:AQ786463 AO851999:AQ851999 AO917535:AQ917535 AO983071:AQ983071 AI917534:AK917534 AI851998:AK851998 AI786462:AK786462 AI720926:AK720926 AI655390:AK655390 AI589854:AK589854 AI524318:AK524318 AI458782:AK458782 AI393246:AK393246 AI327710:AK327710 AI262174:AK262174 AI196638:AK196638 AI131102:AK131102 AI65566:AK65566 AO65567:AQ65567 AI983070:AK983070 AL131103:AM131103 AL196639:AM196639 AL262175:AM262175 AL327711:AM327711 AL393247:AM393247 AL458783:AM458783 AL524319:AM524319 AL589855:AM589855 AL655391:AM655391 AL720927:AM720927 AL786463:AM786463 AL851999:AM851999 AL917535:AM917535 AL983071:AM983071 AL65567:AM65567" xr:uid="{87090E45-91C1-418E-8188-C4A72504E6B6}">
      <formula1>"○, ○（オンライン処理設計書なし）"</formula1>
    </dataValidation>
    <dataValidation type="list" allowBlank="1" showInputMessage="1" showErrorMessage="1" sqref="V36:Y39 IN36:IQ39 SJ36:SM39 ACF36:ACI39 AMB36:AME39 AVX36:AWA39 BFT36:BFW39 BPP36:BPS39 BZL36:BZO39 CJH36:CJK39 CTD36:CTG39 DCZ36:DDC39 DMV36:DMY39 DWR36:DWU39 EGN36:EGQ39 EQJ36:EQM39 FAF36:FAI39 FKB36:FKE39 FTX36:FUA39 GDT36:GDW39 GNP36:GNS39 GXL36:GXO39 HHH36:HHK39 HRD36:HRG39 IAZ36:IBC39 IKV36:IKY39 IUR36:IUU39 JEN36:JEQ39 JOJ36:JOM39 JYF36:JYI39 KIB36:KIE39 KRX36:KSA39 LBT36:LBW39 LLP36:LLS39 LVL36:LVO39 MFH36:MFK39 MPD36:MPG39 MYZ36:MZC39 NIV36:NIY39 NSR36:NSU39 OCN36:OCQ39 OMJ36:OMM39 OWF36:OWI39 PGB36:PGE39 PPX36:PQA39 PZT36:PZW39 QJP36:QJS39 QTL36:QTO39 RDH36:RDK39 RND36:RNG39 RWZ36:RXC39 SGV36:SGY39 SQR36:SQU39 TAN36:TAQ39 TKJ36:TKM39 TUF36:TUI39 UEB36:UEE39 UNX36:UOA39 UXT36:UXW39 VHP36:VHS39 VRL36:VRO39 WBH36:WBK39 WLD36:WLG39 WUZ36:WVC39 V65572:Y65575 IN65572:IQ65575 SJ65572:SM65575 ACF65572:ACI65575 AMB65572:AME65575 AVX65572:AWA65575 BFT65572:BFW65575 BPP65572:BPS65575 BZL65572:BZO65575 CJH65572:CJK65575 CTD65572:CTG65575 DCZ65572:DDC65575 DMV65572:DMY65575 DWR65572:DWU65575 EGN65572:EGQ65575 EQJ65572:EQM65575 FAF65572:FAI65575 FKB65572:FKE65575 FTX65572:FUA65575 GDT65572:GDW65575 GNP65572:GNS65575 GXL65572:GXO65575 HHH65572:HHK65575 HRD65572:HRG65575 IAZ65572:IBC65575 IKV65572:IKY65575 IUR65572:IUU65575 JEN65572:JEQ65575 JOJ65572:JOM65575 JYF65572:JYI65575 KIB65572:KIE65575 KRX65572:KSA65575 LBT65572:LBW65575 LLP65572:LLS65575 LVL65572:LVO65575 MFH65572:MFK65575 MPD65572:MPG65575 MYZ65572:MZC65575 NIV65572:NIY65575 NSR65572:NSU65575 OCN65572:OCQ65575 OMJ65572:OMM65575 OWF65572:OWI65575 PGB65572:PGE65575 PPX65572:PQA65575 PZT65572:PZW65575 QJP65572:QJS65575 QTL65572:QTO65575 RDH65572:RDK65575 RND65572:RNG65575 RWZ65572:RXC65575 SGV65572:SGY65575 SQR65572:SQU65575 TAN65572:TAQ65575 TKJ65572:TKM65575 TUF65572:TUI65575 UEB65572:UEE65575 UNX65572:UOA65575 UXT65572:UXW65575 VHP65572:VHS65575 VRL65572:VRO65575 WBH65572:WBK65575 WLD65572:WLG65575 WUZ65572:WVC65575 V131108:Y131111 IN131108:IQ131111 SJ131108:SM131111 ACF131108:ACI131111 AMB131108:AME131111 AVX131108:AWA131111 BFT131108:BFW131111 BPP131108:BPS131111 BZL131108:BZO131111 CJH131108:CJK131111 CTD131108:CTG131111 DCZ131108:DDC131111 DMV131108:DMY131111 DWR131108:DWU131111 EGN131108:EGQ131111 EQJ131108:EQM131111 FAF131108:FAI131111 FKB131108:FKE131111 FTX131108:FUA131111 GDT131108:GDW131111 GNP131108:GNS131111 GXL131108:GXO131111 HHH131108:HHK131111 HRD131108:HRG131111 IAZ131108:IBC131111 IKV131108:IKY131111 IUR131108:IUU131111 JEN131108:JEQ131111 JOJ131108:JOM131111 JYF131108:JYI131111 KIB131108:KIE131111 KRX131108:KSA131111 LBT131108:LBW131111 LLP131108:LLS131111 LVL131108:LVO131111 MFH131108:MFK131111 MPD131108:MPG131111 MYZ131108:MZC131111 NIV131108:NIY131111 NSR131108:NSU131111 OCN131108:OCQ131111 OMJ131108:OMM131111 OWF131108:OWI131111 PGB131108:PGE131111 PPX131108:PQA131111 PZT131108:PZW131111 QJP131108:QJS131111 QTL131108:QTO131111 RDH131108:RDK131111 RND131108:RNG131111 RWZ131108:RXC131111 SGV131108:SGY131111 SQR131108:SQU131111 TAN131108:TAQ131111 TKJ131108:TKM131111 TUF131108:TUI131111 UEB131108:UEE131111 UNX131108:UOA131111 UXT131108:UXW131111 VHP131108:VHS131111 VRL131108:VRO131111 WBH131108:WBK131111 WLD131108:WLG131111 WUZ131108:WVC131111 V196644:Y196647 IN196644:IQ196647 SJ196644:SM196647 ACF196644:ACI196647 AMB196644:AME196647 AVX196644:AWA196647 BFT196644:BFW196647 BPP196644:BPS196647 BZL196644:BZO196647 CJH196644:CJK196647 CTD196644:CTG196647 DCZ196644:DDC196647 DMV196644:DMY196647 DWR196644:DWU196647 EGN196644:EGQ196647 EQJ196644:EQM196647 FAF196644:FAI196647 FKB196644:FKE196647 FTX196644:FUA196647 GDT196644:GDW196647 GNP196644:GNS196647 GXL196644:GXO196647 HHH196644:HHK196647 HRD196644:HRG196647 IAZ196644:IBC196647 IKV196644:IKY196647 IUR196644:IUU196647 JEN196644:JEQ196647 JOJ196644:JOM196647 JYF196644:JYI196647 KIB196644:KIE196647 KRX196644:KSA196647 LBT196644:LBW196647 LLP196644:LLS196647 LVL196644:LVO196647 MFH196644:MFK196647 MPD196644:MPG196647 MYZ196644:MZC196647 NIV196644:NIY196647 NSR196644:NSU196647 OCN196644:OCQ196647 OMJ196644:OMM196647 OWF196644:OWI196647 PGB196644:PGE196647 PPX196644:PQA196647 PZT196644:PZW196647 QJP196644:QJS196647 QTL196644:QTO196647 RDH196644:RDK196647 RND196644:RNG196647 RWZ196644:RXC196647 SGV196644:SGY196647 SQR196644:SQU196647 TAN196644:TAQ196647 TKJ196644:TKM196647 TUF196644:TUI196647 UEB196644:UEE196647 UNX196644:UOA196647 UXT196644:UXW196647 VHP196644:VHS196647 VRL196644:VRO196647 WBH196644:WBK196647 WLD196644:WLG196647 WUZ196644:WVC196647 V262180:Y262183 IN262180:IQ262183 SJ262180:SM262183 ACF262180:ACI262183 AMB262180:AME262183 AVX262180:AWA262183 BFT262180:BFW262183 BPP262180:BPS262183 BZL262180:BZO262183 CJH262180:CJK262183 CTD262180:CTG262183 DCZ262180:DDC262183 DMV262180:DMY262183 DWR262180:DWU262183 EGN262180:EGQ262183 EQJ262180:EQM262183 FAF262180:FAI262183 FKB262180:FKE262183 FTX262180:FUA262183 GDT262180:GDW262183 GNP262180:GNS262183 GXL262180:GXO262183 HHH262180:HHK262183 HRD262180:HRG262183 IAZ262180:IBC262183 IKV262180:IKY262183 IUR262180:IUU262183 JEN262180:JEQ262183 JOJ262180:JOM262183 JYF262180:JYI262183 KIB262180:KIE262183 KRX262180:KSA262183 LBT262180:LBW262183 LLP262180:LLS262183 LVL262180:LVO262183 MFH262180:MFK262183 MPD262180:MPG262183 MYZ262180:MZC262183 NIV262180:NIY262183 NSR262180:NSU262183 OCN262180:OCQ262183 OMJ262180:OMM262183 OWF262180:OWI262183 PGB262180:PGE262183 PPX262180:PQA262183 PZT262180:PZW262183 QJP262180:QJS262183 QTL262180:QTO262183 RDH262180:RDK262183 RND262180:RNG262183 RWZ262180:RXC262183 SGV262180:SGY262183 SQR262180:SQU262183 TAN262180:TAQ262183 TKJ262180:TKM262183 TUF262180:TUI262183 UEB262180:UEE262183 UNX262180:UOA262183 UXT262180:UXW262183 VHP262180:VHS262183 VRL262180:VRO262183 WBH262180:WBK262183 WLD262180:WLG262183 WUZ262180:WVC262183 V327716:Y327719 IN327716:IQ327719 SJ327716:SM327719 ACF327716:ACI327719 AMB327716:AME327719 AVX327716:AWA327719 BFT327716:BFW327719 BPP327716:BPS327719 BZL327716:BZO327719 CJH327716:CJK327719 CTD327716:CTG327719 DCZ327716:DDC327719 DMV327716:DMY327719 DWR327716:DWU327719 EGN327716:EGQ327719 EQJ327716:EQM327719 FAF327716:FAI327719 FKB327716:FKE327719 FTX327716:FUA327719 GDT327716:GDW327719 GNP327716:GNS327719 GXL327716:GXO327719 HHH327716:HHK327719 HRD327716:HRG327719 IAZ327716:IBC327719 IKV327716:IKY327719 IUR327716:IUU327719 JEN327716:JEQ327719 JOJ327716:JOM327719 JYF327716:JYI327719 KIB327716:KIE327719 KRX327716:KSA327719 LBT327716:LBW327719 LLP327716:LLS327719 LVL327716:LVO327719 MFH327716:MFK327719 MPD327716:MPG327719 MYZ327716:MZC327719 NIV327716:NIY327719 NSR327716:NSU327719 OCN327716:OCQ327719 OMJ327716:OMM327719 OWF327716:OWI327719 PGB327716:PGE327719 PPX327716:PQA327719 PZT327716:PZW327719 QJP327716:QJS327719 QTL327716:QTO327719 RDH327716:RDK327719 RND327716:RNG327719 RWZ327716:RXC327719 SGV327716:SGY327719 SQR327716:SQU327719 TAN327716:TAQ327719 TKJ327716:TKM327719 TUF327716:TUI327719 UEB327716:UEE327719 UNX327716:UOA327719 UXT327716:UXW327719 VHP327716:VHS327719 VRL327716:VRO327719 WBH327716:WBK327719 WLD327716:WLG327719 WUZ327716:WVC327719 V393252:Y393255 IN393252:IQ393255 SJ393252:SM393255 ACF393252:ACI393255 AMB393252:AME393255 AVX393252:AWA393255 BFT393252:BFW393255 BPP393252:BPS393255 BZL393252:BZO393255 CJH393252:CJK393255 CTD393252:CTG393255 DCZ393252:DDC393255 DMV393252:DMY393255 DWR393252:DWU393255 EGN393252:EGQ393255 EQJ393252:EQM393255 FAF393252:FAI393255 FKB393252:FKE393255 FTX393252:FUA393255 GDT393252:GDW393255 GNP393252:GNS393255 GXL393252:GXO393255 HHH393252:HHK393255 HRD393252:HRG393255 IAZ393252:IBC393255 IKV393252:IKY393255 IUR393252:IUU393255 JEN393252:JEQ393255 JOJ393252:JOM393255 JYF393252:JYI393255 KIB393252:KIE393255 KRX393252:KSA393255 LBT393252:LBW393255 LLP393252:LLS393255 LVL393252:LVO393255 MFH393252:MFK393255 MPD393252:MPG393255 MYZ393252:MZC393255 NIV393252:NIY393255 NSR393252:NSU393255 OCN393252:OCQ393255 OMJ393252:OMM393255 OWF393252:OWI393255 PGB393252:PGE393255 PPX393252:PQA393255 PZT393252:PZW393255 QJP393252:QJS393255 QTL393252:QTO393255 RDH393252:RDK393255 RND393252:RNG393255 RWZ393252:RXC393255 SGV393252:SGY393255 SQR393252:SQU393255 TAN393252:TAQ393255 TKJ393252:TKM393255 TUF393252:TUI393255 UEB393252:UEE393255 UNX393252:UOA393255 UXT393252:UXW393255 VHP393252:VHS393255 VRL393252:VRO393255 WBH393252:WBK393255 WLD393252:WLG393255 WUZ393252:WVC393255 V458788:Y458791 IN458788:IQ458791 SJ458788:SM458791 ACF458788:ACI458791 AMB458788:AME458791 AVX458788:AWA458791 BFT458788:BFW458791 BPP458788:BPS458791 BZL458788:BZO458791 CJH458788:CJK458791 CTD458788:CTG458791 DCZ458788:DDC458791 DMV458788:DMY458791 DWR458788:DWU458791 EGN458788:EGQ458791 EQJ458788:EQM458791 FAF458788:FAI458791 FKB458788:FKE458791 FTX458788:FUA458791 GDT458788:GDW458791 GNP458788:GNS458791 GXL458788:GXO458791 HHH458788:HHK458791 HRD458788:HRG458791 IAZ458788:IBC458791 IKV458788:IKY458791 IUR458788:IUU458791 JEN458788:JEQ458791 JOJ458788:JOM458791 JYF458788:JYI458791 KIB458788:KIE458791 KRX458788:KSA458791 LBT458788:LBW458791 LLP458788:LLS458791 LVL458788:LVO458791 MFH458788:MFK458791 MPD458788:MPG458791 MYZ458788:MZC458791 NIV458788:NIY458791 NSR458788:NSU458791 OCN458788:OCQ458791 OMJ458788:OMM458791 OWF458788:OWI458791 PGB458788:PGE458791 PPX458788:PQA458791 PZT458788:PZW458791 QJP458788:QJS458791 QTL458788:QTO458791 RDH458788:RDK458791 RND458788:RNG458791 RWZ458788:RXC458791 SGV458788:SGY458791 SQR458788:SQU458791 TAN458788:TAQ458791 TKJ458788:TKM458791 TUF458788:TUI458791 UEB458788:UEE458791 UNX458788:UOA458791 UXT458788:UXW458791 VHP458788:VHS458791 VRL458788:VRO458791 WBH458788:WBK458791 WLD458788:WLG458791 WUZ458788:WVC458791 V524324:Y524327 IN524324:IQ524327 SJ524324:SM524327 ACF524324:ACI524327 AMB524324:AME524327 AVX524324:AWA524327 BFT524324:BFW524327 BPP524324:BPS524327 BZL524324:BZO524327 CJH524324:CJK524327 CTD524324:CTG524327 DCZ524324:DDC524327 DMV524324:DMY524327 DWR524324:DWU524327 EGN524324:EGQ524327 EQJ524324:EQM524327 FAF524324:FAI524327 FKB524324:FKE524327 FTX524324:FUA524327 GDT524324:GDW524327 GNP524324:GNS524327 GXL524324:GXO524327 HHH524324:HHK524327 HRD524324:HRG524327 IAZ524324:IBC524327 IKV524324:IKY524327 IUR524324:IUU524327 JEN524324:JEQ524327 JOJ524324:JOM524327 JYF524324:JYI524327 KIB524324:KIE524327 KRX524324:KSA524327 LBT524324:LBW524327 LLP524324:LLS524327 LVL524324:LVO524327 MFH524324:MFK524327 MPD524324:MPG524327 MYZ524324:MZC524327 NIV524324:NIY524327 NSR524324:NSU524327 OCN524324:OCQ524327 OMJ524324:OMM524327 OWF524324:OWI524327 PGB524324:PGE524327 PPX524324:PQA524327 PZT524324:PZW524327 QJP524324:QJS524327 QTL524324:QTO524327 RDH524324:RDK524327 RND524324:RNG524327 RWZ524324:RXC524327 SGV524324:SGY524327 SQR524324:SQU524327 TAN524324:TAQ524327 TKJ524324:TKM524327 TUF524324:TUI524327 UEB524324:UEE524327 UNX524324:UOA524327 UXT524324:UXW524327 VHP524324:VHS524327 VRL524324:VRO524327 WBH524324:WBK524327 WLD524324:WLG524327 WUZ524324:WVC524327 V589860:Y589863 IN589860:IQ589863 SJ589860:SM589863 ACF589860:ACI589863 AMB589860:AME589863 AVX589860:AWA589863 BFT589860:BFW589863 BPP589860:BPS589863 BZL589860:BZO589863 CJH589860:CJK589863 CTD589860:CTG589863 DCZ589860:DDC589863 DMV589860:DMY589863 DWR589860:DWU589863 EGN589860:EGQ589863 EQJ589860:EQM589863 FAF589860:FAI589863 FKB589860:FKE589863 FTX589860:FUA589863 GDT589860:GDW589863 GNP589860:GNS589863 GXL589860:GXO589863 HHH589860:HHK589863 HRD589860:HRG589863 IAZ589860:IBC589863 IKV589860:IKY589863 IUR589860:IUU589863 JEN589860:JEQ589863 JOJ589860:JOM589863 JYF589860:JYI589863 KIB589860:KIE589863 KRX589860:KSA589863 LBT589860:LBW589863 LLP589860:LLS589863 LVL589860:LVO589863 MFH589860:MFK589863 MPD589860:MPG589863 MYZ589860:MZC589863 NIV589860:NIY589863 NSR589860:NSU589863 OCN589860:OCQ589863 OMJ589860:OMM589863 OWF589860:OWI589863 PGB589860:PGE589863 PPX589860:PQA589863 PZT589860:PZW589863 QJP589860:QJS589863 QTL589860:QTO589863 RDH589860:RDK589863 RND589860:RNG589863 RWZ589860:RXC589863 SGV589860:SGY589863 SQR589860:SQU589863 TAN589860:TAQ589863 TKJ589860:TKM589863 TUF589860:TUI589863 UEB589860:UEE589863 UNX589860:UOA589863 UXT589860:UXW589863 VHP589860:VHS589863 VRL589860:VRO589863 WBH589860:WBK589863 WLD589860:WLG589863 WUZ589860:WVC589863 V655396:Y655399 IN655396:IQ655399 SJ655396:SM655399 ACF655396:ACI655399 AMB655396:AME655399 AVX655396:AWA655399 BFT655396:BFW655399 BPP655396:BPS655399 BZL655396:BZO655399 CJH655396:CJK655399 CTD655396:CTG655399 DCZ655396:DDC655399 DMV655396:DMY655399 DWR655396:DWU655399 EGN655396:EGQ655399 EQJ655396:EQM655399 FAF655396:FAI655399 FKB655396:FKE655399 FTX655396:FUA655399 GDT655396:GDW655399 GNP655396:GNS655399 GXL655396:GXO655399 HHH655396:HHK655399 HRD655396:HRG655399 IAZ655396:IBC655399 IKV655396:IKY655399 IUR655396:IUU655399 JEN655396:JEQ655399 JOJ655396:JOM655399 JYF655396:JYI655399 KIB655396:KIE655399 KRX655396:KSA655399 LBT655396:LBW655399 LLP655396:LLS655399 LVL655396:LVO655399 MFH655396:MFK655399 MPD655396:MPG655399 MYZ655396:MZC655399 NIV655396:NIY655399 NSR655396:NSU655399 OCN655396:OCQ655399 OMJ655396:OMM655399 OWF655396:OWI655399 PGB655396:PGE655399 PPX655396:PQA655399 PZT655396:PZW655399 QJP655396:QJS655399 QTL655396:QTO655399 RDH655396:RDK655399 RND655396:RNG655399 RWZ655396:RXC655399 SGV655396:SGY655399 SQR655396:SQU655399 TAN655396:TAQ655399 TKJ655396:TKM655399 TUF655396:TUI655399 UEB655396:UEE655399 UNX655396:UOA655399 UXT655396:UXW655399 VHP655396:VHS655399 VRL655396:VRO655399 WBH655396:WBK655399 WLD655396:WLG655399 WUZ655396:WVC655399 V720932:Y720935 IN720932:IQ720935 SJ720932:SM720935 ACF720932:ACI720935 AMB720932:AME720935 AVX720932:AWA720935 BFT720932:BFW720935 BPP720932:BPS720935 BZL720932:BZO720935 CJH720932:CJK720935 CTD720932:CTG720935 DCZ720932:DDC720935 DMV720932:DMY720935 DWR720932:DWU720935 EGN720932:EGQ720935 EQJ720932:EQM720935 FAF720932:FAI720935 FKB720932:FKE720935 FTX720932:FUA720935 GDT720932:GDW720935 GNP720932:GNS720935 GXL720932:GXO720935 HHH720932:HHK720935 HRD720932:HRG720935 IAZ720932:IBC720935 IKV720932:IKY720935 IUR720932:IUU720935 JEN720932:JEQ720935 JOJ720932:JOM720935 JYF720932:JYI720935 KIB720932:KIE720935 KRX720932:KSA720935 LBT720932:LBW720935 LLP720932:LLS720935 LVL720932:LVO720935 MFH720932:MFK720935 MPD720932:MPG720935 MYZ720932:MZC720935 NIV720932:NIY720935 NSR720932:NSU720935 OCN720932:OCQ720935 OMJ720932:OMM720935 OWF720932:OWI720935 PGB720932:PGE720935 PPX720932:PQA720935 PZT720932:PZW720935 QJP720932:QJS720935 QTL720932:QTO720935 RDH720932:RDK720935 RND720932:RNG720935 RWZ720932:RXC720935 SGV720932:SGY720935 SQR720932:SQU720935 TAN720932:TAQ720935 TKJ720932:TKM720935 TUF720932:TUI720935 UEB720932:UEE720935 UNX720932:UOA720935 UXT720932:UXW720935 VHP720932:VHS720935 VRL720932:VRO720935 WBH720932:WBK720935 WLD720932:WLG720935 WUZ720932:WVC720935 V786468:Y786471 IN786468:IQ786471 SJ786468:SM786471 ACF786468:ACI786471 AMB786468:AME786471 AVX786468:AWA786471 BFT786468:BFW786471 BPP786468:BPS786471 BZL786468:BZO786471 CJH786468:CJK786471 CTD786468:CTG786471 DCZ786468:DDC786471 DMV786468:DMY786471 DWR786468:DWU786471 EGN786468:EGQ786471 EQJ786468:EQM786471 FAF786468:FAI786471 FKB786468:FKE786471 FTX786468:FUA786471 GDT786468:GDW786471 GNP786468:GNS786471 GXL786468:GXO786471 HHH786468:HHK786471 HRD786468:HRG786471 IAZ786468:IBC786471 IKV786468:IKY786471 IUR786468:IUU786471 JEN786468:JEQ786471 JOJ786468:JOM786471 JYF786468:JYI786471 KIB786468:KIE786471 KRX786468:KSA786471 LBT786468:LBW786471 LLP786468:LLS786471 LVL786468:LVO786471 MFH786468:MFK786471 MPD786468:MPG786471 MYZ786468:MZC786471 NIV786468:NIY786471 NSR786468:NSU786471 OCN786468:OCQ786471 OMJ786468:OMM786471 OWF786468:OWI786471 PGB786468:PGE786471 PPX786468:PQA786471 PZT786468:PZW786471 QJP786468:QJS786471 QTL786468:QTO786471 RDH786468:RDK786471 RND786468:RNG786471 RWZ786468:RXC786471 SGV786468:SGY786471 SQR786468:SQU786471 TAN786468:TAQ786471 TKJ786468:TKM786471 TUF786468:TUI786471 UEB786468:UEE786471 UNX786468:UOA786471 UXT786468:UXW786471 VHP786468:VHS786471 VRL786468:VRO786471 WBH786468:WBK786471 WLD786468:WLG786471 WUZ786468:WVC786471 V852004:Y852007 IN852004:IQ852007 SJ852004:SM852007 ACF852004:ACI852007 AMB852004:AME852007 AVX852004:AWA852007 BFT852004:BFW852007 BPP852004:BPS852007 BZL852004:BZO852007 CJH852004:CJK852007 CTD852004:CTG852007 DCZ852004:DDC852007 DMV852004:DMY852007 DWR852004:DWU852007 EGN852004:EGQ852007 EQJ852004:EQM852007 FAF852004:FAI852007 FKB852004:FKE852007 FTX852004:FUA852007 GDT852004:GDW852007 GNP852004:GNS852007 GXL852004:GXO852007 HHH852004:HHK852007 HRD852004:HRG852007 IAZ852004:IBC852007 IKV852004:IKY852007 IUR852004:IUU852007 JEN852004:JEQ852007 JOJ852004:JOM852007 JYF852004:JYI852007 KIB852004:KIE852007 KRX852004:KSA852007 LBT852004:LBW852007 LLP852004:LLS852007 LVL852004:LVO852007 MFH852004:MFK852007 MPD852004:MPG852007 MYZ852004:MZC852007 NIV852004:NIY852007 NSR852004:NSU852007 OCN852004:OCQ852007 OMJ852004:OMM852007 OWF852004:OWI852007 PGB852004:PGE852007 PPX852004:PQA852007 PZT852004:PZW852007 QJP852004:QJS852007 QTL852004:QTO852007 RDH852004:RDK852007 RND852004:RNG852007 RWZ852004:RXC852007 SGV852004:SGY852007 SQR852004:SQU852007 TAN852004:TAQ852007 TKJ852004:TKM852007 TUF852004:TUI852007 UEB852004:UEE852007 UNX852004:UOA852007 UXT852004:UXW852007 VHP852004:VHS852007 VRL852004:VRO852007 WBH852004:WBK852007 WLD852004:WLG852007 WUZ852004:WVC852007 V917540:Y917543 IN917540:IQ917543 SJ917540:SM917543 ACF917540:ACI917543 AMB917540:AME917543 AVX917540:AWA917543 BFT917540:BFW917543 BPP917540:BPS917543 BZL917540:BZO917543 CJH917540:CJK917543 CTD917540:CTG917543 DCZ917540:DDC917543 DMV917540:DMY917543 DWR917540:DWU917543 EGN917540:EGQ917543 EQJ917540:EQM917543 FAF917540:FAI917543 FKB917540:FKE917543 FTX917540:FUA917543 GDT917540:GDW917543 GNP917540:GNS917543 GXL917540:GXO917543 HHH917540:HHK917543 HRD917540:HRG917543 IAZ917540:IBC917543 IKV917540:IKY917543 IUR917540:IUU917543 JEN917540:JEQ917543 JOJ917540:JOM917543 JYF917540:JYI917543 KIB917540:KIE917543 KRX917540:KSA917543 LBT917540:LBW917543 LLP917540:LLS917543 LVL917540:LVO917543 MFH917540:MFK917543 MPD917540:MPG917543 MYZ917540:MZC917543 NIV917540:NIY917543 NSR917540:NSU917543 OCN917540:OCQ917543 OMJ917540:OMM917543 OWF917540:OWI917543 PGB917540:PGE917543 PPX917540:PQA917543 PZT917540:PZW917543 QJP917540:QJS917543 QTL917540:QTO917543 RDH917540:RDK917543 RND917540:RNG917543 RWZ917540:RXC917543 SGV917540:SGY917543 SQR917540:SQU917543 TAN917540:TAQ917543 TKJ917540:TKM917543 TUF917540:TUI917543 UEB917540:UEE917543 UNX917540:UOA917543 UXT917540:UXW917543 VHP917540:VHS917543 VRL917540:VRO917543 WBH917540:WBK917543 WLD917540:WLG917543 WUZ917540:WVC917543 V983076:Y983079 IN983076:IQ983079 SJ983076:SM983079 ACF983076:ACI983079 AMB983076:AME983079 AVX983076:AWA983079 BFT983076:BFW983079 BPP983076:BPS983079 BZL983076:BZO983079 CJH983076:CJK983079 CTD983076:CTG983079 DCZ983076:DDC983079 DMV983076:DMY983079 DWR983076:DWU983079 EGN983076:EGQ983079 EQJ983076:EQM983079 FAF983076:FAI983079 FKB983076:FKE983079 FTX983076:FUA983079 GDT983076:GDW983079 GNP983076:GNS983079 GXL983076:GXO983079 HHH983076:HHK983079 HRD983076:HRG983079 IAZ983076:IBC983079 IKV983076:IKY983079 IUR983076:IUU983079 JEN983076:JEQ983079 JOJ983076:JOM983079 JYF983076:JYI983079 KIB983076:KIE983079 KRX983076:KSA983079 LBT983076:LBW983079 LLP983076:LLS983079 LVL983076:LVO983079 MFH983076:MFK983079 MPD983076:MPG983079 MYZ983076:MZC983079 NIV983076:NIY983079 NSR983076:NSU983079 OCN983076:OCQ983079 OMJ983076:OMM983079 OWF983076:OWI983079 PGB983076:PGE983079 PPX983076:PQA983079 PZT983076:PZW983079 QJP983076:QJS983079 QTL983076:QTO983079 RDH983076:RDK983079 RND983076:RNG983079 RWZ983076:RXC983079 SGV983076:SGY983079 SQR983076:SQU983079 TAN983076:TAQ983079 TKJ983076:TKM983079 TUF983076:TUI983079 UEB983076:UEE983079 UNX983076:UOA983079 UXT983076:UXW983079 VHP983076:VHS983079 VRL983076:VRO983079 WBH983076:WBK983079 WLD983076:WLG983079 WUZ983076:WVC983079 Q65566:T65566 II65566:IL65566 SE65566:SH65566 ACA65566:ACD65566 ALW65566:ALZ65566 AVS65566:AVV65566 BFO65566:BFR65566 BPK65566:BPN65566 BZG65566:BZJ65566 CJC65566:CJF65566 CSY65566:CTB65566 DCU65566:DCX65566 DMQ65566:DMT65566 DWM65566:DWP65566 EGI65566:EGL65566 EQE65566:EQH65566 FAA65566:FAD65566 FJW65566:FJZ65566 FTS65566:FTV65566 GDO65566:GDR65566 GNK65566:GNN65566 GXG65566:GXJ65566 HHC65566:HHF65566 HQY65566:HRB65566 IAU65566:IAX65566 IKQ65566:IKT65566 IUM65566:IUP65566 JEI65566:JEL65566 JOE65566:JOH65566 JYA65566:JYD65566 KHW65566:KHZ65566 KRS65566:KRV65566 LBO65566:LBR65566 LLK65566:LLN65566 LVG65566:LVJ65566 MFC65566:MFF65566 MOY65566:MPB65566 MYU65566:MYX65566 NIQ65566:NIT65566 NSM65566:NSP65566 OCI65566:OCL65566 OME65566:OMH65566 OWA65566:OWD65566 PFW65566:PFZ65566 PPS65566:PPV65566 PZO65566:PZR65566 QJK65566:QJN65566 QTG65566:QTJ65566 RDC65566:RDF65566 RMY65566:RNB65566 RWU65566:RWX65566 SGQ65566:SGT65566 SQM65566:SQP65566 TAI65566:TAL65566 TKE65566:TKH65566 TUA65566:TUD65566 UDW65566:UDZ65566 UNS65566:UNV65566 UXO65566:UXR65566 VHK65566:VHN65566 VRG65566:VRJ65566 WBC65566:WBF65566 WKY65566:WLB65566 WUU65566:WUX65566 Q131102:T131102 II131102:IL131102 SE131102:SH131102 ACA131102:ACD131102 ALW131102:ALZ131102 AVS131102:AVV131102 BFO131102:BFR131102 BPK131102:BPN131102 BZG131102:BZJ131102 CJC131102:CJF131102 CSY131102:CTB131102 DCU131102:DCX131102 DMQ131102:DMT131102 DWM131102:DWP131102 EGI131102:EGL131102 EQE131102:EQH131102 FAA131102:FAD131102 FJW131102:FJZ131102 FTS131102:FTV131102 GDO131102:GDR131102 GNK131102:GNN131102 GXG131102:GXJ131102 HHC131102:HHF131102 HQY131102:HRB131102 IAU131102:IAX131102 IKQ131102:IKT131102 IUM131102:IUP131102 JEI131102:JEL131102 JOE131102:JOH131102 JYA131102:JYD131102 KHW131102:KHZ131102 KRS131102:KRV131102 LBO131102:LBR131102 LLK131102:LLN131102 LVG131102:LVJ131102 MFC131102:MFF131102 MOY131102:MPB131102 MYU131102:MYX131102 NIQ131102:NIT131102 NSM131102:NSP131102 OCI131102:OCL131102 OME131102:OMH131102 OWA131102:OWD131102 PFW131102:PFZ131102 PPS131102:PPV131102 PZO131102:PZR131102 QJK131102:QJN131102 QTG131102:QTJ131102 RDC131102:RDF131102 RMY131102:RNB131102 RWU131102:RWX131102 SGQ131102:SGT131102 SQM131102:SQP131102 TAI131102:TAL131102 TKE131102:TKH131102 TUA131102:TUD131102 UDW131102:UDZ131102 UNS131102:UNV131102 UXO131102:UXR131102 VHK131102:VHN131102 VRG131102:VRJ131102 WBC131102:WBF131102 WKY131102:WLB131102 WUU131102:WUX131102 Q196638:T196638 II196638:IL196638 SE196638:SH196638 ACA196638:ACD196638 ALW196638:ALZ196638 AVS196638:AVV196638 BFO196638:BFR196638 BPK196638:BPN196638 BZG196638:BZJ196638 CJC196638:CJF196638 CSY196638:CTB196638 DCU196638:DCX196638 DMQ196638:DMT196638 DWM196638:DWP196638 EGI196638:EGL196638 EQE196638:EQH196638 FAA196638:FAD196638 FJW196638:FJZ196638 FTS196638:FTV196638 GDO196638:GDR196638 GNK196638:GNN196638 GXG196638:GXJ196638 HHC196638:HHF196638 HQY196638:HRB196638 IAU196638:IAX196638 IKQ196638:IKT196638 IUM196638:IUP196638 JEI196638:JEL196638 JOE196638:JOH196638 JYA196638:JYD196638 KHW196638:KHZ196638 KRS196638:KRV196638 LBO196638:LBR196638 LLK196638:LLN196638 LVG196638:LVJ196638 MFC196638:MFF196638 MOY196638:MPB196638 MYU196638:MYX196638 NIQ196638:NIT196638 NSM196638:NSP196638 OCI196638:OCL196638 OME196638:OMH196638 OWA196638:OWD196638 PFW196638:PFZ196638 PPS196638:PPV196638 PZO196638:PZR196638 QJK196638:QJN196638 QTG196638:QTJ196638 RDC196638:RDF196638 RMY196638:RNB196638 RWU196638:RWX196638 SGQ196638:SGT196638 SQM196638:SQP196638 TAI196638:TAL196638 TKE196638:TKH196638 TUA196638:TUD196638 UDW196638:UDZ196638 UNS196638:UNV196638 UXO196638:UXR196638 VHK196638:VHN196638 VRG196638:VRJ196638 WBC196638:WBF196638 WKY196638:WLB196638 WUU196638:WUX196638 Q262174:T262174 II262174:IL262174 SE262174:SH262174 ACA262174:ACD262174 ALW262174:ALZ262174 AVS262174:AVV262174 BFO262174:BFR262174 BPK262174:BPN262174 BZG262174:BZJ262174 CJC262174:CJF262174 CSY262174:CTB262174 DCU262174:DCX262174 DMQ262174:DMT262174 DWM262174:DWP262174 EGI262174:EGL262174 EQE262174:EQH262174 FAA262174:FAD262174 FJW262174:FJZ262174 FTS262174:FTV262174 GDO262174:GDR262174 GNK262174:GNN262174 GXG262174:GXJ262174 HHC262174:HHF262174 HQY262174:HRB262174 IAU262174:IAX262174 IKQ262174:IKT262174 IUM262174:IUP262174 JEI262174:JEL262174 JOE262174:JOH262174 JYA262174:JYD262174 KHW262174:KHZ262174 KRS262174:KRV262174 LBO262174:LBR262174 LLK262174:LLN262174 LVG262174:LVJ262174 MFC262174:MFF262174 MOY262174:MPB262174 MYU262174:MYX262174 NIQ262174:NIT262174 NSM262174:NSP262174 OCI262174:OCL262174 OME262174:OMH262174 OWA262174:OWD262174 PFW262174:PFZ262174 PPS262174:PPV262174 PZO262174:PZR262174 QJK262174:QJN262174 QTG262174:QTJ262174 RDC262174:RDF262174 RMY262174:RNB262174 RWU262174:RWX262174 SGQ262174:SGT262174 SQM262174:SQP262174 TAI262174:TAL262174 TKE262174:TKH262174 TUA262174:TUD262174 UDW262174:UDZ262174 UNS262174:UNV262174 UXO262174:UXR262174 VHK262174:VHN262174 VRG262174:VRJ262174 WBC262174:WBF262174 WKY262174:WLB262174 WUU262174:WUX262174 Q327710:T327710 II327710:IL327710 SE327710:SH327710 ACA327710:ACD327710 ALW327710:ALZ327710 AVS327710:AVV327710 BFO327710:BFR327710 BPK327710:BPN327710 BZG327710:BZJ327710 CJC327710:CJF327710 CSY327710:CTB327710 DCU327710:DCX327710 DMQ327710:DMT327710 DWM327710:DWP327710 EGI327710:EGL327710 EQE327710:EQH327710 FAA327710:FAD327710 FJW327710:FJZ327710 FTS327710:FTV327710 GDO327710:GDR327710 GNK327710:GNN327710 GXG327710:GXJ327710 HHC327710:HHF327710 HQY327710:HRB327710 IAU327710:IAX327710 IKQ327710:IKT327710 IUM327710:IUP327710 JEI327710:JEL327710 JOE327710:JOH327710 JYA327710:JYD327710 KHW327710:KHZ327710 KRS327710:KRV327710 LBO327710:LBR327710 LLK327710:LLN327710 LVG327710:LVJ327710 MFC327710:MFF327710 MOY327710:MPB327710 MYU327710:MYX327710 NIQ327710:NIT327710 NSM327710:NSP327710 OCI327710:OCL327710 OME327710:OMH327710 OWA327710:OWD327710 PFW327710:PFZ327710 PPS327710:PPV327710 PZO327710:PZR327710 QJK327710:QJN327710 QTG327710:QTJ327710 RDC327710:RDF327710 RMY327710:RNB327710 RWU327710:RWX327710 SGQ327710:SGT327710 SQM327710:SQP327710 TAI327710:TAL327710 TKE327710:TKH327710 TUA327710:TUD327710 UDW327710:UDZ327710 UNS327710:UNV327710 UXO327710:UXR327710 VHK327710:VHN327710 VRG327710:VRJ327710 WBC327710:WBF327710 WKY327710:WLB327710 WUU327710:WUX327710 Q393246:T393246 II393246:IL393246 SE393246:SH393246 ACA393246:ACD393246 ALW393246:ALZ393246 AVS393246:AVV393246 BFO393246:BFR393246 BPK393246:BPN393246 BZG393246:BZJ393246 CJC393246:CJF393246 CSY393246:CTB393246 DCU393246:DCX393246 DMQ393246:DMT393246 DWM393246:DWP393246 EGI393246:EGL393246 EQE393246:EQH393246 FAA393246:FAD393246 FJW393246:FJZ393246 FTS393246:FTV393246 GDO393246:GDR393246 GNK393246:GNN393246 GXG393246:GXJ393246 HHC393246:HHF393246 HQY393246:HRB393246 IAU393246:IAX393246 IKQ393246:IKT393246 IUM393246:IUP393246 JEI393246:JEL393246 JOE393246:JOH393246 JYA393246:JYD393246 KHW393246:KHZ393246 KRS393246:KRV393246 LBO393246:LBR393246 LLK393246:LLN393246 LVG393246:LVJ393246 MFC393246:MFF393246 MOY393246:MPB393246 MYU393246:MYX393246 NIQ393246:NIT393246 NSM393246:NSP393246 OCI393246:OCL393246 OME393246:OMH393246 OWA393246:OWD393246 PFW393246:PFZ393246 PPS393246:PPV393246 PZO393246:PZR393246 QJK393246:QJN393246 QTG393246:QTJ393246 RDC393246:RDF393246 RMY393246:RNB393246 RWU393246:RWX393246 SGQ393246:SGT393246 SQM393246:SQP393246 TAI393246:TAL393246 TKE393246:TKH393246 TUA393246:TUD393246 UDW393246:UDZ393246 UNS393246:UNV393246 UXO393246:UXR393246 VHK393246:VHN393246 VRG393246:VRJ393246 WBC393246:WBF393246 WKY393246:WLB393246 WUU393246:WUX393246 Q458782:T458782 II458782:IL458782 SE458782:SH458782 ACA458782:ACD458782 ALW458782:ALZ458782 AVS458782:AVV458782 BFO458782:BFR458782 BPK458782:BPN458782 BZG458782:BZJ458782 CJC458782:CJF458782 CSY458782:CTB458782 DCU458782:DCX458782 DMQ458782:DMT458782 DWM458782:DWP458782 EGI458782:EGL458782 EQE458782:EQH458782 FAA458782:FAD458782 FJW458782:FJZ458782 FTS458782:FTV458782 GDO458782:GDR458782 GNK458782:GNN458782 GXG458782:GXJ458782 HHC458782:HHF458782 HQY458782:HRB458782 IAU458782:IAX458782 IKQ458782:IKT458782 IUM458782:IUP458782 JEI458782:JEL458782 JOE458782:JOH458782 JYA458782:JYD458782 KHW458782:KHZ458782 KRS458782:KRV458782 LBO458782:LBR458782 LLK458782:LLN458782 LVG458782:LVJ458782 MFC458782:MFF458782 MOY458782:MPB458782 MYU458782:MYX458782 NIQ458782:NIT458782 NSM458782:NSP458782 OCI458782:OCL458782 OME458782:OMH458782 OWA458782:OWD458782 PFW458782:PFZ458782 PPS458782:PPV458782 PZO458782:PZR458782 QJK458782:QJN458782 QTG458782:QTJ458782 RDC458782:RDF458782 RMY458782:RNB458782 RWU458782:RWX458782 SGQ458782:SGT458782 SQM458782:SQP458782 TAI458782:TAL458782 TKE458782:TKH458782 TUA458782:TUD458782 UDW458782:UDZ458782 UNS458782:UNV458782 UXO458782:UXR458782 VHK458782:VHN458782 VRG458782:VRJ458782 WBC458782:WBF458782 WKY458782:WLB458782 WUU458782:WUX458782 Q524318:T524318 II524318:IL524318 SE524318:SH524318 ACA524318:ACD524318 ALW524318:ALZ524318 AVS524318:AVV524318 BFO524318:BFR524318 BPK524318:BPN524318 BZG524318:BZJ524318 CJC524318:CJF524318 CSY524318:CTB524318 DCU524318:DCX524318 DMQ524318:DMT524318 DWM524318:DWP524318 EGI524318:EGL524318 EQE524318:EQH524318 FAA524318:FAD524318 FJW524318:FJZ524318 FTS524318:FTV524318 GDO524318:GDR524318 GNK524318:GNN524318 GXG524318:GXJ524318 HHC524318:HHF524318 HQY524318:HRB524318 IAU524318:IAX524318 IKQ524318:IKT524318 IUM524318:IUP524318 JEI524318:JEL524318 JOE524318:JOH524318 JYA524318:JYD524318 KHW524318:KHZ524318 KRS524318:KRV524318 LBO524318:LBR524318 LLK524318:LLN524318 LVG524318:LVJ524318 MFC524318:MFF524318 MOY524318:MPB524318 MYU524318:MYX524318 NIQ524318:NIT524318 NSM524318:NSP524318 OCI524318:OCL524318 OME524318:OMH524318 OWA524318:OWD524318 PFW524318:PFZ524318 PPS524318:PPV524318 PZO524318:PZR524318 QJK524318:QJN524318 QTG524318:QTJ524318 RDC524318:RDF524318 RMY524318:RNB524318 RWU524318:RWX524318 SGQ524318:SGT524318 SQM524318:SQP524318 TAI524318:TAL524318 TKE524318:TKH524318 TUA524318:TUD524318 UDW524318:UDZ524318 UNS524318:UNV524318 UXO524318:UXR524318 VHK524318:VHN524318 VRG524318:VRJ524318 WBC524318:WBF524318 WKY524318:WLB524318 WUU524318:WUX524318 Q589854:T589854 II589854:IL589854 SE589854:SH589854 ACA589854:ACD589854 ALW589854:ALZ589854 AVS589854:AVV589854 BFO589854:BFR589854 BPK589854:BPN589854 BZG589854:BZJ589854 CJC589854:CJF589854 CSY589854:CTB589854 DCU589854:DCX589854 DMQ589854:DMT589854 DWM589854:DWP589854 EGI589854:EGL589854 EQE589854:EQH589854 FAA589854:FAD589854 FJW589854:FJZ589854 FTS589854:FTV589854 GDO589854:GDR589854 GNK589854:GNN589854 GXG589854:GXJ589854 HHC589854:HHF589854 HQY589854:HRB589854 IAU589854:IAX589854 IKQ589854:IKT589854 IUM589854:IUP589854 JEI589854:JEL589854 JOE589854:JOH589854 JYA589854:JYD589854 KHW589854:KHZ589854 KRS589854:KRV589854 LBO589854:LBR589854 LLK589854:LLN589854 LVG589854:LVJ589854 MFC589854:MFF589854 MOY589854:MPB589854 MYU589854:MYX589854 NIQ589854:NIT589854 NSM589854:NSP589854 OCI589854:OCL589854 OME589854:OMH589854 OWA589854:OWD589854 PFW589854:PFZ589854 PPS589854:PPV589854 PZO589854:PZR589854 QJK589854:QJN589854 QTG589854:QTJ589854 RDC589854:RDF589854 RMY589854:RNB589854 RWU589854:RWX589854 SGQ589854:SGT589854 SQM589854:SQP589854 TAI589854:TAL589854 TKE589854:TKH589854 TUA589854:TUD589854 UDW589854:UDZ589854 UNS589854:UNV589854 UXO589854:UXR589854 VHK589854:VHN589854 VRG589854:VRJ589854 WBC589854:WBF589854 WKY589854:WLB589854 WUU589854:WUX589854 Q655390:T655390 II655390:IL655390 SE655390:SH655390 ACA655390:ACD655390 ALW655390:ALZ655390 AVS655390:AVV655390 BFO655390:BFR655390 BPK655390:BPN655390 BZG655390:BZJ655390 CJC655390:CJF655390 CSY655390:CTB655390 DCU655390:DCX655390 DMQ655390:DMT655390 DWM655390:DWP655390 EGI655390:EGL655390 EQE655390:EQH655390 FAA655390:FAD655390 FJW655390:FJZ655390 FTS655390:FTV655390 GDO655390:GDR655390 GNK655390:GNN655390 GXG655390:GXJ655390 HHC655390:HHF655390 HQY655390:HRB655390 IAU655390:IAX655390 IKQ655390:IKT655390 IUM655390:IUP655390 JEI655390:JEL655390 JOE655390:JOH655390 JYA655390:JYD655390 KHW655390:KHZ655390 KRS655390:KRV655390 LBO655390:LBR655390 LLK655390:LLN655390 LVG655390:LVJ655390 MFC655390:MFF655390 MOY655390:MPB655390 MYU655390:MYX655390 NIQ655390:NIT655390 NSM655390:NSP655390 OCI655390:OCL655390 OME655390:OMH655390 OWA655390:OWD655390 PFW655390:PFZ655390 PPS655390:PPV655390 PZO655390:PZR655390 QJK655390:QJN655390 QTG655390:QTJ655390 RDC655390:RDF655390 RMY655390:RNB655390 RWU655390:RWX655390 SGQ655390:SGT655390 SQM655390:SQP655390 TAI655390:TAL655390 TKE655390:TKH655390 TUA655390:TUD655390 UDW655390:UDZ655390 UNS655390:UNV655390 UXO655390:UXR655390 VHK655390:VHN655390 VRG655390:VRJ655390 WBC655390:WBF655390 WKY655390:WLB655390 WUU655390:WUX655390 Q720926:T720926 II720926:IL720926 SE720926:SH720926 ACA720926:ACD720926 ALW720926:ALZ720926 AVS720926:AVV720926 BFO720926:BFR720926 BPK720926:BPN720926 BZG720926:BZJ720926 CJC720926:CJF720926 CSY720926:CTB720926 DCU720926:DCX720926 DMQ720926:DMT720926 DWM720926:DWP720926 EGI720926:EGL720926 EQE720926:EQH720926 FAA720926:FAD720926 FJW720926:FJZ720926 FTS720926:FTV720926 GDO720926:GDR720926 GNK720926:GNN720926 GXG720926:GXJ720926 HHC720926:HHF720926 HQY720926:HRB720926 IAU720926:IAX720926 IKQ720926:IKT720926 IUM720926:IUP720926 JEI720926:JEL720926 JOE720926:JOH720926 JYA720926:JYD720926 KHW720926:KHZ720926 KRS720926:KRV720926 LBO720926:LBR720926 LLK720926:LLN720926 LVG720926:LVJ720926 MFC720926:MFF720926 MOY720926:MPB720926 MYU720926:MYX720926 NIQ720926:NIT720926 NSM720926:NSP720926 OCI720926:OCL720926 OME720926:OMH720926 OWA720926:OWD720926 PFW720926:PFZ720926 PPS720926:PPV720926 PZO720926:PZR720926 QJK720926:QJN720926 QTG720926:QTJ720926 RDC720926:RDF720926 RMY720926:RNB720926 RWU720926:RWX720926 SGQ720926:SGT720926 SQM720926:SQP720926 TAI720926:TAL720926 TKE720926:TKH720926 TUA720926:TUD720926 UDW720926:UDZ720926 UNS720926:UNV720926 UXO720926:UXR720926 VHK720926:VHN720926 VRG720926:VRJ720926 WBC720926:WBF720926 WKY720926:WLB720926 WUU720926:WUX720926 Q786462:T786462 II786462:IL786462 SE786462:SH786462 ACA786462:ACD786462 ALW786462:ALZ786462 AVS786462:AVV786462 BFO786462:BFR786462 BPK786462:BPN786462 BZG786462:BZJ786462 CJC786462:CJF786462 CSY786462:CTB786462 DCU786462:DCX786462 DMQ786462:DMT786462 DWM786462:DWP786462 EGI786462:EGL786462 EQE786462:EQH786462 FAA786462:FAD786462 FJW786462:FJZ786462 FTS786462:FTV786462 GDO786462:GDR786462 GNK786462:GNN786462 GXG786462:GXJ786462 HHC786462:HHF786462 HQY786462:HRB786462 IAU786462:IAX786462 IKQ786462:IKT786462 IUM786462:IUP786462 JEI786462:JEL786462 JOE786462:JOH786462 JYA786462:JYD786462 KHW786462:KHZ786462 KRS786462:KRV786462 LBO786462:LBR786462 LLK786462:LLN786462 LVG786462:LVJ786462 MFC786462:MFF786462 MOY786462:MPB786462 MYU786462:MYX786462 NIQ786462:NIT786462 NSM786462:NSP786462 OCI786462:OCL786462 OME786462:OMH786462 OWA786462:OWD786462 PFW786462:PFZ786462 PPS786462:PPV786462 PZO786462:PZR786462 QJK786462:QJN786462 QTG786462:QTJ786462 RDC786462:RDF786462 RMY786462:RNB786462 RWU786462:RWX786462 SGQ786462:SGT786462 SQM786462:SQP786462 TAI786462:TAL786462 TKE786462:TKH786462 TUA786462:TUD786462 UDW786462:UDZ786462 UNS786462:UNV786462 UXO786462:UXR786462 VHK786462:VHN786462 VRG786462:VRJ786462 WBC786462:WBF786462 WKY786462:WLB786462 WUU786462:WUX786462 Q851998:T851998 II851998:IL851998 SE851998:SH851998 ACA851998:ACD851998 ALW851998:ALZ851998 AVS851998:AVV851998 BFO851998:BFR851998 BPK851998:BPN851998 BZG851998:BZJ851998 CJC851998:CJF851998 CSY851998:CTB851998 DCU851998:DCX851998 DMQ851998:DMT851998 DWM851998:DWP851998 EGI851998:EGL851998 EQE851998:EQH851998 FAA851998:FAD851998 FJW851998:FJZ851998 FTS851998:FTV851998 GDO851998:GDR851998 GNK851998:GNN851998 GXG851998:GXJ851998 HHC851998:HHF851998 HQY851998:HRB851998 IAU851998:IAX851998 IKQ851998:IKT851998 IUM851998:IUP851998 JEI851998:JEL851998 JOE851998:JOH851998 JYA851998:JYD851998 KHW851998:KHZ851998 KRS851998:KRV851998 LBO851998:LBR851998 LLK851998:LLN851998 LVG851998:LVJ851998 MFC851998:MFF851998 MOY851998:MPB851998 MYU851998:MYX851998 NIQ851998:NIT851998 NSM851998:NSP851998 OCI851998:OCL851998 OME851998:OMH851998 OWA851998:OWD851998 PFW851998:PFZ851998 PPS851998:PPV851998 PZO851998:PZR851998 QJK851998:QJN851998 QTG851998:QTJ851998 RDC851998:RDF851998 RMY851998:RNB851998 RWU851998:RWX851998 SGQ851998:SGT851998 SQM851998:SQP851998 TAI851998:TAL851998 TKE851998:TKH851998 TUA851998:TUD851998 UDW851998:UDZ851998 UNS851998:UNV851998 UXO851998:UXR851998 VHK851998:VHN851998 VRG851998:VRJ851998 WBC851998:WBF851998 WKY851998:WLB851998 WUU851998:WUX851998 Q917534:T917534 II917534:IL917534 SE917534:SH917534 ACA917534:ACD917534 ALW917534:ALZ917534 AVS917534:AVV917534 BFO917534:BFR917534 BPK917534:BPN917534 BZG917534:BZJ917534 CJC917534:CJF917534 CSY917534:CTB917534 DCU917534:DCX917534 DMQ917534:DMT917534 DWM917534:DWP917534 EGI917534:EGL917534 EQE917534:EQH917534 FAA917534:FAD917534 FJW917534:FJZ917534 FTS917534:FTV917534 GDO917534:GDR917534 GNK917534:GNN917534 GXG917534:GXJ917534 HHC917534:HHF917534 HQY917534:HRB917534 IAU917534:IAX917534 IKQ917534:IKT917534 IUM917534:IUP917534 JEI917534:JEL917534 JOE917534:JOH917534 JYA917534:JYD917534 KHW917534:KHZ917534 KRS917534:KRV917534 LBO917534:LBR917534 LLK917534:LLN917534 LVG917534:LVJ917534 MFC917534:MFF917534 MOY917534:MPB917534 MYU917534:MYX917534 NIQ917534:NIT917534 NSM917534:NSP917534 OCI917534:OCL917534 OME917534:OMH917534 OWA917534:OWD917534 PFW917534:PFZ917534 PPS917534:PPV917534 PZO917534:PZR917534 QJK917534:QJN917534 QTG917534:QTJ917534 RDC917534:RDF917534 RMY917534:RNB917534 RWU917534:RWX917534 SGQ917534:SGT917534 SQM917534:SQP917534 TAI917534:TAL917534 TKE917534:TKH917534 TUA917534:TUD917534 UDW917534:UDZ917534 UNS917534:UNV917534 UXO917534:UXR917534 VHK917534:VHN917534 VRG917534:VRJ917534 WBC917534:WBF917534 WKY917534:WLB917534 WUU917534:WUX917534 Q983070:T983070 II983070:IL983070 SE983070:SH983070 ACA983070:ACD983070 ALW983070:ALZ983070 AVS983070:AVV983070 BFO983070:BFR983070 BPK983070:BPN983070 BZG983070:BZJ983070 CJC983070:CJF983070 CSY983070:CTB983070 DCU983070:DCX983070 DMQ983070:DMT983070 DWM983070:DWP983070 EGI983070:EGL983070 EQE983070:EQH983070 FAA983070:FAD983070 FJW983070:FJZ983070 FTS983070:FTV983070 GDO983070:GDR983070 GNK983070:GNN983070 GXG983070:GXJ983070 HHC983070:HHF983070 HQY983070:HRB983070 IAU983070:IAX983070 IKQ983070:IKT983070 IUM983070:IUP983070 JEI983070:JEL983070 JOE983070:JOH983070 JYA983070:JYD983070 KHW983070:KHZ983070 KRS983070:KRV983070 LBO983070:LBR983070 LLK983070:LLN983070 LVG983070:LVJ983070 MFC983070:MFF983070 MOY983070:MPB983070 MYU983070:MYX983070 NIQ983070:NIT983070 NSM983070:NSP983070 OCI983070:OCL983070 OME983070:OMH983070 OWA983070:OWD983070 PFW983070:PFZ983070 PPS983070:PPV983070 PZO983070:PZR983070 QJK983070:QJN983070 QTG983070:QTJ983070 RDC983070:RDF983070 RMY983070:RNB983070 RWU983070:RWX983070 SGQ983070:SGT983070 SQM983070:SQP983070 TAI983070:TAL983070 TKE983070:TKH983070 TUA983070:TUD983070 UDW983070:UDZ983070 UNS983070:UNV983070 UXO983070:UXR983070 VHK983070:VHN983070 VRG983070:VRJ983070 WBC983070:WBF983070 WKY983070:WLB983070 WUU983070:WUX983070 ID983069:IG983069 RZ983069:SC983069 ABV983069:ABY983069 ALR983069:ALU983069 AVN983069:AVQ983069 BFJ983069:BFM983069 BPF983069:BPI983069 BZB983069:BZE983069 CIX983069:CJA983069 CST983069:CSW983069 DCP983069:DCS983069 DML983069:DMO983069 DWH983069:DWK983069 EGD983069:EGG983069 EPZ983069:EQC983069 EZV983069:EZY983069 FJR983069:FJU983069 FTN983069:FTQ983069 GDJ983069:GDM983069 GNF983069:GNI983069 GXB983069:GXE983069 HGX983069:HHA983069 HQT983069:HQW983069 IAP983069:IAS983069 IKL983069:IKO983069 IUH983069:IUK983069 JED983069:JEG983069 JNZ983069:JOC983069 JXV983069:JXY983069 KHR983069:KHU983069 KRN983069:KRQ983069 LBJ983069:LBM983069 LLF983069:LLI983069 LVB983069:LVE983069 MEX983069:MFA983069 MOT983069:MOW983069 MYP983069:MYS983069 NIL983069:NIO983069 NSH983069:NSK983069 OCD983069:OCG983069 OLZ983069:OMC983069 OVV983069:OVY983069 PFR983069:PFU983069 PPN983069:PPQ983069 PZJ983069:PZM983069 QJF983069:QJI983069 QTB983069:QTE983069 RCX983069:RDA983069 RMT983069:RMW983069 RWP983069:RWS983069 SGL983069:SGO983069 SQH983069:SQK983069 TAD983069:TAG983069 TJZ983069:TKC983069 TTV983069:TTY983069 UDR983069:UDU983069 UNN983069:UNQ983069 UXJ983069:UXM983069 VHF983069:VHI983069 VRB983069:VRE983069 WAX983069:WBA983069 WKT983069:WKW983069 WUP983069:WUS983069 ID65565:IG65565 RZ65565:SC65565 ABV65565:ABY65565 ALR65565:ALU65565 AVN65565:AVQ65565 BFJ65565:BFM65565 BPF65565:BPI65565 BZB65565:BZE65565 CIX65565:CJA65565 CST65565:CSW65565 DCP65565:DCS65565 DML65565:DMO65565 DWH65565:DWK65565 EGD65565:EGG65565 EPZ65565:EQC65565 EZV65565:EZY65565 FJR65565:FJU65565 FTN65565:FTQ65565 GDJ65565:GDM65565 GNF65565:GNI65565 GXB65565:GXE65565 HGX65565:HHA65565 HQT65565:HQW65565 IAP65565:IAS65565 IKL65565:IKO65565 IUH65565:IUK65565 JED65565:JEG65565 JNZ65565:JOC65565 JXV65565:JXY65565 KHR65565:KHU65565 KRN65565:KRQ65565 LBJ65565:LBM65565 LLF65565:LLI65565 LVB65565:LVE65565 MEX65565:MFA65565 MOT65565:MOW65565 MYP65565:MYS65565 NIL65565:NIO65565 NSH65565:NSK65565 OCD65565:OCG65565 OLZ65565:OMC65565 OVV65565:OVY65565 PFR65565:PFU65565 PPN65565:PPQ65565 PZJ65565:PZM65565 QJF65565:QJI65565 QTB65565:QTE65565 RCX65565:RDA65565 RMT65565:RMW65565 RWP65565:RWS65565 SGL65565:SGO65565 SQH65565:SQK65565 TAD65565:TAG65565 TJZ65565:TKC65565 TTV65565:TTY65565 UDR65565:UDU65565 UNN65565:UNQ65565 UXJ65565:UXM65565 VHF65565:VHI65565 VRB65565:VRE65565 WAX65565:WBA65565 WKT65565:WKW65565 WUP65565:WUS65565 ID131101:IG131101 RZ131101:SC131101 ABV131101:ABY131101 ALR131101:ALU131101 AVN131101:AVQ131101 BFJ131101:BFM131101 BPF131101:BPI131101 BZB131101:BZE131101 CIX131101:CJA131101 CST131101:CSW131101 DCP131101:DCS131101 DML131101:DMO131101 DWH131101:DWK131101 EGD131101:EGG131101 EPZ131101:EQC131101 EZV131101:EZY131101 FJR131101:FJU131101 FTN131101:FTQ131101 GDJ131101:GDM131101 GNF131101:GNI131101 GXB131101:GXE131101 HGX131101:HHA131101 HQT131101:HQW131101 IAP131101:IAS131101 IKL131101:IKO131101 IUH131101:IUK131101 JED131101:JEG131101 JNZ131101:JOC131101 JXV131101:JXY131101 KHR131101:KHU131101 KRN131101:KRQ131101 LBJ131101:LBM131101 LLF131101:LLI131101 LVB131101:LVE131101 MEX131101:MFA131101 MOT131101:MOW131101 MYP131101:MYS131101 NIL131101:NIO131101 NSH131101:NSK131101 OCD131101:OCG131101 OLZ131101:OMC131101 OVV131101:OVY131101 PFR131101:PFU131101 PPN131101:PPQ131101 PZJ131101:PZM131101 QJF131101:QJI131101 QTB131101:QTE131101 RCX131101:RDA131101 RMT131101:RMW131101 RWP131101:RWS131101 SGL131101:SGO131101 SQH131101:SQK131101 TAD131101:TAG131101 TJZ131101:TKC131101 TTV131101:TTY131101 UDR131101:UDU131101 UNN131101:UNQ131101 UXJ131101:UXM131101 VHF131101:VHI131101 VRB131101:VRE131101 WAX131101:WBA131101 WKT131101:WKW131101 WUP131101:WUS131101 ID196637:IG196637 RZ196637:SC196637 ABV196637:ABY196637 ALR196637:ALU196637 AVN196637:AVQ196637 BFJ196637:BFM196637 BPF196637:BPI196637 BZB196637:BZE196637 CIX196637:CJA196637 CST196637:CSW196637 DCP196637:DCS196637 DML196637:DMO196637 DWH196637:DWK196637 EGD196637:EGG196637 EPZ196637:EQC196637 EZV196637:EZY196637 FJR196637:FJU196637 FTN196637:FTQ196637 GDJ196637:GDM196637 GNF196637:GNI196637 GXB196637:GXE196637 HGX196637:HHA196637 HQT196637:HQW196637 IAP196637:IAS196637 IKL196637:IKO196637 IUH196637:IUK196637 JED196637:JEG196637 JNZ196637:JOC196637 JXV196637:JXY196637 KHR196637:KHU196637 KRN196637:KRQ196637 LBJ196637:LBM196637 LLF196637:LLI196637 LVB196637:LVE196637 MEX196637:MFA196637 MOT196637:MOW196637 MYP196637:MYS196637 NIL196637:NIO196637 NSH196637:NSK196637 OCD196637:OCG196637 OLZ196637:OMC196637 OVV196637:OVY196637 PFR196637:PFU196637 PPN196637:PPQ196637 PZJ196637:PZM196637 QJF196637:QJI196637 QTB196637:QTE196637 RCX196637:RDA196637 RMT196637:RMW196637 RWP196637:RWS196637 SGL196637:SGO196637 SQH196637:SQK196637 TAD196637:TAG196637 TJZ196637:TKC196637 TTV196637:TTY196637 UDR196637:UDU196637 UNN196637:UNQ196637 UXJ196637:UXM196637 VHF196637:VHI196637 VRB196637:VRE196637 WAX196637:WBA196637 WKT196637:WKW196637 WUP196637:WUS196637 ID262173:IG262173 RZ262173:SC262173 ABV262173:ABY262173 ALR262173:ALU262173 AVN262173:AVQ262173 BFJ262173:BFM262173 BPF262173:BPI262173 BZB262173:BZE262173 CIX262173:CJA262173 CST262173:CSW262173 DCP262173:DCS262173 DML262173:DMO262173 DWH262173:DWK262173 EGD262173:EGG262173 EPZ262173:EQC262173 EZV262173:EZY262173 FJR262173:FJU262173 FTN262173:FTQ262173 GDJ262173:GDM262173 GNF262173:GNI262173 GXB262173:GXE262173 HGX262173:HHA262173 HQT262173:HQW262173 IAP262173:IAS262173 IKL262173:IKO262173 IUH262173:IUK262173 JED262173:JEG262173 JNZ262173:JOC262173 JXV262173:JXY262173 KHR262173:KHU262173 KRN262173:KRQ262173 LBJ262173:LBM262173 LLF262173:LLI262173 LVB262173:LVE262173 MEX262173:MFA262173 MOT262173:MOW262173 MYP262173:MYS262173 NIL262173:NIO262173 NSH262173:NSK262173 OCD262173:OCG262173 OLZ262173:OMC262173 OVV262173:OVY262173 PFR262173:PFU262173 PPN262173:PPQ262173 PZJ262173:PZM262173 QJF262173:QJI262173 QTB262173:QTE262173 RCX262173:RDA262173 RMT262173:RMW262173 RWP262173:RWS262173 SGL262173:SGO262173 SQH262173:SQK262173 TAD262173:TAG262173 TJZ262173:TKC262173 TTV262173:TTY262173 UDR262173:UDU262173 UNN262173:UNQ262173 UXJ262173:UXM262173 VHF262173:VHI262173 VRB262173:VRE262173 WAX262173:WBA262173 WKT262173:WKW262173 WUP262173:WUS262173 ID327709:IG327709 RZ327709:SC327709 ABV327709:ABY327709 ALR327709:ALU327709 AVN327709:AVQ327709 BFJ327709:BFM327709 BPF327709:BPI327709 BZB327709:BZE327709 CIX327709:CJA327709 CST327709:CSW327709 DCP327709:DCS327709 DML327709:DMO327709 DWH327709:DWK327709 EGD327709:EGG327709 EPZ327709:EQC327709 EZV327709:EZY327709 FJR327709:FJU327709 FTN327709:FTQ327709 GDJ327709:GDM327709 GNF327709:GNI327709 GXB327709:GXE327709 HGX327709:HHA327709 HQT327709:HQW327709 IAP327709:IAS327709 IKL327709:IKO327709 IUH327709:IUK327709 JED327709:JEG327709 JNZ327709:JOC327709 JXV327709:JXY327709 KHR327709:KHU327709 KRN327709:KRQ327709 LBJ327709:LBM327709 LLF327709:LLI327709 LVB327709:LVE327709 MEX327709:MFA327709 MOT327709:MOW327709 MYP327709:MYS327709 NIL327709:NIO327709 NSH327709:NSK327709 OCD327709:OCG327709 OLZ327709:OMC327709 OVV327709:OVY327709 PFR327709:PFU327709 PPN327709:PPQ327709 PZJ327709:PZM327709 QJF327709:QJI327709 QTB327709:QTE327709 RCX327709:RDA327709 RMT327709:RMW327709 RWP327709:RWS327709 SGL327709:SGO327709 SQH327709:SQK327709 TAD327709:TAG327709 TJZ327709:TKC327709 TTV327709:TTY327709 UDR327709:UDU327709 UNN327709:UNQ327709 UXJ327709:UXM327709 VHF327709:VHI327709 VRB327709:VRE327709 WAX327709:WBA327709 WKT327709:WKW327709 WUP327709:WUS327709 ID393245:IG393245 RZ393245:SC393245 ABV393245:ABY393245 ALR393245:ALU393245 AVN393245:AVQ393245 BFJ393245:BFM393245 BPF393245:BPI393245 BZB393245:BZE393245 CIX393245:CJA393245 CST393245:CSW393245 DCP393245:DCS393245 DML393245:DMO393245 DWH393245:DWK393245 EGD393245:EGG393245 EPZ393245:EQC393245 EZV393245:EZY393245 FJR393245:FJU393245 FTN393245:FTQ393245 GDJ393245:GDM393245 GNF393245:GNI393245 GXB393245:GXE393245 HGX393245:HHA393245 HQT393245:HQW393245 IAP393245:IAS393245 IKL393245:IKO393245 IUH393245:IUK393245 JED393245:JEG393245 JNZ393245:JOC393245 JXV393245:JXY393245 KHR393245:KHU393245 KRN393245:KRQ393245 LBJ393245:LBM393245 LLF393245:LLI393245 LVB393245:LVE393245 MEX393245:MFA393245 MOT393245:MOW393245 MYP393245:MYS393245 NIL393245:NIO393245 NSH393245:NSK393245 OCD393245:OCG393245 OLZ393245:OMC393245 OVV393245:OVY393245 PFR393245:PFU393245 PPN393245:PPQ393245 PZJ393245:PZM393245 QJF393245:QJI393245 QTB393245:QTE393245 RCX393245:RDA393245 RMT393245:RMW393245 RWP393245:RWS393245 SGL393245:SGO393245 SQH393245:SQK393245 TAD393245:TAG393245 TJZ393245:TKC393245 TTV393245:TTY393245 UDR393245:UDU393245 UNN393245:UNQ393245 UXJ393245:UXM393245 VHF393245:VHI393245 VRB393245:VRE393245 WAX393245:WBA393245 WKT393245:WKW393245 WUP393245:WUS393245 ID458781:IG458781 RZ458781:SC458781 ABV458781:ABY458781 ALR458781:ALU458781 AVN458781:AVQ458781 BFJ458781:BFM458781 BPF458781:BPI458781 BZB458781:BZE458781 CIX458781:CJA458781 CST458781:CSW458781 DCP458781:DCS458781 DML458781:DMO458781 DWH458781:DWK458781 EGD458781:EGG458781 EPZ458781:EQC458781 EZV458781:EZY458781 FJR458781:FJU458781 FTN458781:FTQ458781 GDJ458781:GDM458781 GNF458781:GNI458781 GXB458781:GXE458781 HGX458781:HHA458781 HQT458781:HQW458781 IAP458781:IAS458781 IKL458781:IKO458781 IUH458781:IUK458781 JED458781:JEG458781 JNZ458781:JOC458781 JXV458781:JXY458781 KHR458781:KHU458781 KRN458781:KRQ458781 LBJ458781:LBM458781 LLF458781:LLI458781 LVB458781:LVE458781 MEX458781:MFA458781 MOT458781:MOW458781 MYP458781:MYS458781 NIL458781:NIO458781 NSH458781:NSK458781 OCD458781:OCG458781 OLZ458781:OMC458781 OVV458781:OVY458781 PFR458781:PFU458781 PPN458781:PPQ458781 PZJ458781:PZM458781 QJF458781:QJI458781 QTB458781:QTE458781 RCX458781:RDA458781 RMT458781:RMW458781 RWP458781:RWS458781 SGL458781:SGO458781 SQH458781:SQK458781 TAD458781:TAG458781 TJZ458781:TKC458781 TTV458781:TTY458781 UDR458781:UDU458781 UNN458781:UNQ458781 UXJ458781:UXM458781 VHF458781:VHI458781 VRB458781:VRE458781 WAX458781:WBA458781 WKT458781:WKW458781 WUP458781:WUS458781 ID524317:IG524317 RZ524317:SC524317 ABV524317:ABY524317 ALR524317:ALU524317 AVN524317:AVQ524317 BFJ524317:BFM524317 BPF524317:BPI524317 BZB524317:BZE524317 CIX524317:CJA524317 CST524317:CSW524317 DCP524317:DCS524317 DML524317:DMO524317 DWH524317:DWK524317 EGD524317:EGG524317 EPZ524317:EQC524317 EZV524317:EZY524317 FJR524317:FJU524317 FTN524317:FTQ524317 GDJ524317:GDM524317 GNF524317:GNI524317 GXB524317:GXE524317 HGX524317:HHA524317 HQT524317:HQW524317 IAP524317:IAS524317 IKL524317:IKO524317 IUH524317:IUK524317 JED524317:JEG524317 JNZ524317:JOC524317 JXV524317:JXY524317 KHR524317:KHU524317 KRN524317:KRQ524317 LBJ524317:LBM524317 LLF524317:LLI524317 LVB524317:LVE524317 MEX524317:MFA524317 MOT524317:MOW524317 MYP524317:MYS524317 NIL524317:NIO524317 NSH524317:NSK524317 OCD524317:OCG524317 OLZ524317:OMC524317 OVV524317:OVY524317 PFR524317:PFU524317 PPN524317:PPQ524317 PZJ524317:PZM524317 QJF524317:QJI524317 QTB524317:QTE524317 RCX524317:RDA524317 RMT524317:RMW524317 RWP524317:RWS524317 SGL524317:SGO524317 SQH524317:SQK524317 TAD524317:TAG524317 TJZ524317:TKC524317 TTV524317:TTY524317 UDR524317:UDU524317 UNN524317:UNQ524317 UXJ524317:UXM524317 VHF524317:VHI524317 VRB524317:VRE524317 WAX524317:WBA524317 WKT524317:WKW524317 WUP524317:WUS524317 ID589853:IG589853 RZ589853:SC589853 ABV589853:ABY589853 ALR589853:ALU589853 AVN589853:AVQ589853 BFJ589853:BFM589853 BPF589853:BPI589853 BZB589853:BZE589853 CIX589853:CJA589853 CST589853:CSW589853 DCP589853:DCS589853 DML589853:DMO589853 DWH589853:DWK589853 EGD589853:EGG589853 EPZ589853:EQC589853 EZV589853:EZY589853 FJR589853:FJU589853 FTN589853:FTQ589853 GDJ589853:GDM589853 GNF589853:GNI589853 GXB589853:GXE589853 HGX589853:HHA589853 HQT589853:HQW589853 IAP589853:IAS589853 IKL589853:IKO589853 IUH589853:IUK589853 JED589853:JEG589853 JNZ589853:JOC589853 JXV589853:JXY589853 KHR589853:KHU589853 KRN589853:KRQ589853 LBJ589853:LBM589853 LLF589853:LLI589853 LVB589853:LVE589853 MEX589853:MFA589853 MOT589853:MOW589853 MYP589853:MYS589853 NIL589853:NIO589853 NSH589853:NSK589853 OCD589853:OCG589853 OLZ589853:OMC589853 OVV589853:OVY589853 PFR589853:PFU589853 PPN589853:PPQ589853 PZJ589853:PZM589853 QJF589853:QJI589853 QTB589853:QTE589853 RCX589853:RDA589853 RMT589853:RMW589853 RWP589853:RWS589853 SGL589853:SGO589853 SQH589853:SQK589853 TAD589853:TAG589853 TJZ589853:TKC589853 TTV589853:TTY589853 UDR589853:UDU589853 UNN589853:UNQ589853 UXJ589853:UXM589853 VHF589853:VHI589853 VRB589853:VRE589853 WAX589853:WBA589853 WKT589853:WKW589853 WUP589853:WUS589853 ID655389:IG655389 RZ655389:SC655389 ABV655389:ABY655389 ALR655389:ALU655389 AVN655389:AVQ655389 BFJ655389:BFM655389 BPF655389:BPI655389 BZB655389:BZE655389 CIX655389:CJA655389 CST655389:CSW655389 DCP655389:DCS655389 DML655389:DMO655389 DWH655389:DWK655389 EGD655389:EGG655389 EPZ655389:EQC655389 EZV655389:EZY655389 FJR655389:FJU655389 FTN655389:FTQ655389 GDJ655389:GDM655389 GNF655389:GNI655389 GXB655389:GXE655389 HGX655389:HHA655389 HQT655389:HQW655389 IAP655389:IAS655389 IKL655389:IKO655389 IUH655389:IUK655389 JED655389:JEG655389 JNZ655389:JOC655389 JXV655389:JXY655389 KHR655389:KHU655389 KRN655389:KRQ655389 LBJ655389:LBM655389 LLF655389:LLI655389 LVB655389:LVE655389 MEX655389:MFA655389 MOT655389:MOW655389 MYP655389:MYS655389 NIL655389:NIO655389 NSH655389:NSK655389 OCD655389:OCG655389 OLZ655389:OMC655389 OVV655389:OVY655389 PFR655389:PFU655389 PPN655389:PPQ655389 PZJ655389:PZM655389 QJF655389:QJI655389 QTB655389:QTE655389 RCX655389:RDA655389 RMT655389:RMW655389 RWP655389:RWS655389 SGL655389:SGO655389 SQH655389:SQK655389 TAD655389:TAG655389 TJZ655389:TKC655389 TTV655389:TTY655389 UDR655389:UDU655389 UNN655389:UNQ655389 UXJ655389:UXM655389 VHF655389:VHI655389 VRB655389:VRE655389 WAX655389:WBA655389 WKT655389:WKW655389 WUP655389:WUS655389 ID720925:IG720925 RZ720925:SC720925 ABV720925:ABY720925 ALR720925:ALU720925 AVN720925:AVQ720925 BFJ720925:BFM720925 BPF720925:BPI720925 BZB720925:BZE720925 CIX720925:CJA720925 CST720925:CSW720925 DCP720925:DCS720925 DML720925:DMO720925 DWH720925:DWK720925 EGD720925:EGG720925 EPZ720925:EQC720925 EZV720925:EZY720925 FJR720925:FJU720925 FTN720925:FTQ720925 GDJ720925:GDM720925 GNF720925:GNI720925 GXB720925:GXE720925 HGX720925:HHA720925 HQT720925:HQW720925 IAP720925:IAS720925 IKL720925:IKO720925 IUH720925:IUK720925 JED720925:JEG720925 JNZ720925:JOC720925 JXV720925:JXY720925 KHR720925:KHU720925 KRN720925:KRQ720925 LBJ720925:LBM720925 LLF720925:LLI720925 LVB720925:LVE720925 MEX720925:MFA720925 MOT720925:MOW720925 MYP720925:MYS720925 NIL720925:NIO720925 NSH720925:NSK720925 OCD720925:OCG720925 OLZ720925:OMC720925 OVV720925:OVY720925 PFR720925:PFU720925 PPN720925:PPQ720925 PZJ720925:PZM720925 QJF720925:QJI720925 QTB720925:QTE720925 RCX720925:RDA720925 RMT720925:RMW720925 RWP720925:RWS720925 SGL720925:SGO720925 SQH720925:SQK720925 TAD720925:TAG720925 TJZ720925:TKC720925 TTV720925:TTY720925 UDR720925:UDU720925 UNN720925:UNQ720925 UXJ720925:UXM720925 VHF720925:VHI720925 VRB720925:VRE720925 WAX720925:WBA720925 WKT720925:WKW720925 WUP720925:WUS720925 ID786461:IG786461 RZ786461:SC786461 ABV786461:ABY786461 ALR786461:ALU786461 AVN786461:AVQ786461 BFJ786461:BFM786461 BPF786461:BPI786461 BZB786461:BZE786461 CIX786461:CJA786461 CST786461:CSW786461 DCP786461:DCS786461 DML786461:DMO786461 DWH786461:DWK786461 EGD786461:EGG786461 EPZ786461:EQC786461 EZV786461:EZY786461 FJR786461:FJU786461 FTN786461:FTQ786461 GDJ786461:GDM786461 GNF786461:GNI786461 GXB786461:GXE786461 HGX786461:HHA786461 HQT786461:HQW786461 IAP786461:IAS786461 IKL786461:IKO786461 IUH786461:IUK786461 JED786461:JEG786461 JNZ786461:JOC786461 JXV786461:JXY786461 KHR786461:KHU786461 KRN786461:KRQ786461 LBJ786461:LBM786461 LLF786461:LLI786461 LVB786461:LVE786461 MEX786461:MFA786461 MOT786461:MOW786461 MYP786461:MYS786461 NIL786461:NIO786461 NSH786461:NSK786461 OCD786461:OCG786461 OLZ786461:OMC786461 OVV786461:OVY786461 PFR786461:PFU786461 PPN786461:PPQ786461 PZJ786461:PZM786461 QJF786461:QJI786461 QTB786461:QTE786461 RCX786461:RDA786461 RMT786461:RMW786461 RWP786461:RWS786461 SGL786461:SGO786461 SQH786461:SQK786461 TAD786461:TAG786461 TJZ786461:TKC786461 TTV786461:TTY786461 UDR786461:UDU786461 UNN786461:UNQ786461 UXJ786461:UXM786461 VHF786461:VHI786461 VRB786461:VRE786461 WAX786461:WBA786461 WKT786461:WKW786461 WUP786461:WUS786461 ID851997:IG851997 RZ851997:SC851997 ABV851997:ABY851997 ALR851997:ALU851997 AVN851997:AVQ851997 BFJ851997:BFM851997 BPF851997:BPI851997 BZB851997:BZE851997 CIX851997:CJA851997 CST851997:CSW851997 DCP851997:DCS851997 DML851997:DMO851997 DWH851997:DWK851997 EGD851997:EGG851997 EPZ851997:EQC851997 EZV851997:EZY851997 FJR851997:FJU851997 FTN851997:FTQ851997 GDJ851997:GDM851997 GNF851997:GNI851997 GXB851997:GXE851997 HGX851997:HHA851997 HQT851997:HQW851997 IAP851997:IAS851997 IKL851997:IKO851997 IUH851997:IUK851997 JED851997:JEG851997 JNZ851997:JOC851997 JXV851997:JXY851997 KHR851997:KHU851997 KRN851997:KRQ851997 LBJ851997:LBM851997 LLF851997:LLI851997 LVB851997:LVE851997 MEX851997:MFA851997 MOT851997:MOW851997 MYP851997:MYS851997 NIL851997:NIO851997 NSH851997:NSK851997 OCD851997:OCG851997 OLZ851997:OMC851997 OVV851997:OVY851997 PFR851997:PFU851997 PPN851997:PPQ851997 PZJ851997:PZM851997 QJF851997:QJI851997 QTB851997:QTE851997 RCX851997:RDA851997 RMT851997:RMW851997 RWP851997:RWS851997 SGL851997:SGO851997 SQH851997:SQK851997 TAD851997:TAG851997 TJZ851997:TKC851997 TTV851997:TTY851997 UDR851997:UDU851997 UNN851997:UNQ851997 UXJ851997:UXM851997 VHF851997:VHI851997 VRB851997:VRE851997 WAX851997:WBA851997 WKT851997:WKW851997 WUP851997:WUS851997 ID917533:IG917533 RZ917533:SC917533 ABV917533:ABY917533 ALR917533:ALU917533 AVN917533:AVQ917533 BFJ917533:BFM917533 BPF917533:BPI917533 BZB917533:BZE917533 CIX917533:CJA917533 CST917533:CSW917533 DCP917533:DCS917533 DML917533:DMO917533 DWH917533:DWK917533 EGD917533:EGG917533 EPZ917533:EQC917533 EZV917533:EZY917533 FJR917533:FJU917533 FTN917533:FTQ917533 GDJ917533:GDM917533 GNF917533:GNI917533 GXB917533:GXE917533 HGX917533:HHA917533 HQT917533:HQW917533 IAP917533:IAS917533 IKL917533:IKO917533 IUH917533:IUK917533 JED917533:JEG917533 JNZ917533:JOC917533 JXV917533:JXY917533 KHR917533:KHU917533 KRN917533:KRQ917533 LBJ917533:LBM917533 LLF917533:LLI917533 LVB917533:LVE917533 MEX917533:MFA917533 MOT917533:MOW917533 MYP917533:MYS917533 NIL917533:NIO917533 NSH917533:NSK917533 OCD917533:OCG917533 OLZ917533:OMC917533 OVV917533:OVY917533 PFR917533:PFU917533 PPN917533:PPQ917533 PZJ917533:PZM917533 QJF917533:QJI917533 QTB917533:QTE917533 RCX917533:RDA917533 RMT917533:RMW917533 RWP917533:RWS917533 SGL917533:SGO917533 SQH917533:SQK917533 TAD917533:TAG917533 TJZ917533:TKC917533 TTV917533:TTY917533 UDR917533:UDU917533 UNN917533:UNQ917533 UXJ917533:UXM917533 VHF917533:VHI917533 VRB917533:VRE917533 WAX917533:WBA917533 WKT917533:WKW917533 WUP917533:WUS917533 AG65573:AH65576 AG131109:AH131112 AG196645:AH196648 AG262181:AH262184 AG327717:AH327720 AG393253:AH393256 AG458789:AH458792 AG524325:AH524328 AG589861:AH589864 AG655397:AH655400 AG720933:AH720936 AG786469:AH786472 AG852005:AH852008 AG917541:AH917544 AG983077:AH983080 AB983071:AE983071 AB65567:AE65567 AB131103:AE131103 AB196639:AE196639 AB262175:AE262175 AB327711:AE327711 AB393247:AE393247 AB458783:AE458783 AB524319:AE524319 AB589855:AE589855 AB655391:AE655391 AB720927:AE720927 AB786463:AE786463 AB851999:AE851999 AB917535:AE917535 AG37:AH40 AP65573:AQ65576 AP131109:AQ131112 AP196645:AQ196648 AP262181:AQ262184 AP327717:AQ327720 AP393253:AQ393256 AP458789:AQ458792 AP524325:AQ524328 AP589861:AQ589864 AP655397:AQ655400 AP720933:AQ720936 AP786469:AQ786472 AP852005:AQ852008 AP917541:AQ917544 AP983077:AQ983080 AN65567 AN131103 AN196639 AN262175 AN327711 AN393247 AN458783 AN524319 AN589855 AN655391 AN720927 AN786463 AN851999 AN917535 AP37:AQ40 AI917535:AK917535 AI851999:AK851999 AI786463:AK786463 AI720927:AK720927 AI655391:AK655391 AI589855:AK589855 AI524319:AK524319 AI458783:AK458783 AI393247:AK393247 AI327711:AK327711 AI262175:AK262175 AI196639:AK196639 AI131103:AK131103 AI65567:AK65567 AI983071:AK983071 AN983071 AM65573:AM65576 AM131109:AM131112 AM196645:AM196648 AM262181:AM262184 AM327717:AM327720 AM393253:AM393256 AM458789:AM458792 AM524325:AM524328 AM589861:AM589864 AM655397:AM655400 AM720933:AM720936 AM786469:AM786472 AM852005:AM852008 AM917541:AM917544 AM983077:AM983080 AM37:AM40" xr:uid="{1F41FD54-6119-4DAF-A90D-E246A62C70A7}">
      <formula1>"○"</formula1>
    </dataValidation>
    <dataValidation type="list" allowBlank="1" showInputMessage="1" showErrorMessage="1" sqref="WTV983022:WUF983059 HJ65518:HT65555 RF65518:RP65555 ABB65518:ABL65555 AKX65518:ALH65555 AUT65518:AVD65555 BEP65518:BEZ65555 BOL65518:BOV65555 BYH65518:BYR65555 CID65518:CIN65555 CRZ65518:CSJ65555 DBV65518:DCF65555 DLR65518:DMB65555 DVN65518:DVX65555 EFJ65518:EFT65555 EPF65518:EPP65555 EZB65518:EZL65555 FIX65518:FJH65555 FST65518:FTD65555 GCP65518:GCZ65555 GML65518:GMV65555 GWH65518:GWR65555 HGD65518:HGN65555 HPZ65518:HQJ65555 HZV65518:IAF65555 IJR65518:IKB65555 ITN65518:ITX65555 JDJ65518:JDT65555 JNF65518:JNP65555 JXB65518:JXL65555 KGX65518:KHH65555 KQT65518:KRD65555 LAP65518:LAZ65555 LKL65518:LKV65555 LUH65518:LUR65555 MED65518:MEN65555 MNZ65518:MOJ65555 MXV65518:MYF65555 NHR65518:NIB65555 NRN65518:NRX65555 OBJ65518:OBT65555 OLF65518:OLP65555 OVB65518:OVL65555 PEX65518:PFH65555 POT65518:PPD65555 PYP65518:PYZ65555 QIL65518:QIV65555 QSH65518:QSR65555 RCD65518:RCN65555 RLZ65518:RMJ65555 RVV65518:RWF65555 SFR65518:SGB65555 SPN65518:SPX65555 SZJ65518:SZT65555 TJF65518:TJP65555 TTB65518:TTL65555 UCX65518:UDH65555 UMT65518:UND65555 UWP65518:UWZ65555 VGL65518:VGV65555 VQH65518:VQR65555 WAD65518:WAN65555 WJZ65518:WKJ65555 WTV65518:WUF65555 HJ131054:HT131091 RF131054:RP131091 ABB131054:ABL131091 AKX131054:ALH131091 AUT131054:AVD131091 BEP131054:BEZ131091 BOL131054:BOV131091 BYH131054:BYR131091 CID131054:CIN131091 CRZ131054:CSJ131091 DBV131054:DCF131091 DLR131054:DMB131091 DVN131054:DVX131091 EFJ131054:EFT131091 EPF131054:EPP131091 EZB131054:EZL131091 FIX131054:FJH131091 FST131054:FTD131091 GCP131054:GCZ131091 GML131054:GMV131091 GWH131054:GWR131091 HGD131054:HGN131091 HPZ131054:HQJ131091 HZV131054:IAF131091 IJR131054:IKB131091 ITN131054:ITX131091 JDJ131054:JDT131091 JNF131054:JNP131091 JXB131054:JXL131091 KGX131054:KHH131091 KQT131054:KRD131091 LAP131054:LAZ131091 LKL131054:LKV131091 LUH131054:LUR131091 MED131054:MEN131091 MNZ131054:MOJ131091 MXV131054:MYF131091 NHR131054:NIB131091 NRN131054:NRX131091 OBJ131054:OBT131091 OLF131054:OLP131091 OVB131054:OVL131091 PEX131054:PFH131091 POT131054:PPD131091 PYP131054:PYZ131091 QIL131054:QIV131091 QSH131054:QSR131091 RCD131054:RCN131091 RLZ131054:RMJ131091 RVV131054:RWF131091 SFR131054:SGB131091 SPN131054:SPX131091 SZJ131054:SZT131091 TJF131054:TJP131091 TTB131054:TTL131091 UCX131054:UDH131091 UMT131054:UND131091 UWP131054:UWZ131091 VGL131054:VGV131091 VQH131054:VQR131091 WAD131054:WAN131091 WJZ131054:WKJ131091 WTV131054:WUF131091 HJ196590:HT196627 RF196590:RP196627 ABB196590:ABL196627 AKX196590:ALH196627 AUT196590:AVD196627 BEP196590:BEZ196627 BOL196590:BOV196627 BYH196590:BYR196627 CID196590:CIN196627 CRZ196590:CSJ196627 DBV196590:DCF196627 DLR196590:DMB196627 DVN196590:DVX196627 EFJ196590:EFT196627 EPF196590:EPP196627 EZB196590:EZL196627 FIX196590:FJH196627 FST196590:FTD196627 GCP196590:GCZ196627 GML196590:GMV196627 GWH196590:GWR196627 HGD196590:HGN196627 HPZ196590:HQJ196627 HZV196590:IAF196627 IJR196590:IKB196627 ITN196590:ITX196627 JDJ196590:JDT196627 JNF196590:JNP196627 JXB196590:JXL196627 KGX196590:KHH196627 KQT196590:KRD196627 LAP196590:LAZ196627 LKL196590:LKV196627 LUH196590:LUR196627 MED196590:MEN196627 MNZ196590:MOJ196627 MXV196590:MYF196627 NHR196590:NIB196627 NRN196590:NRX196627 OBJ196590:OBT196627 OLF196590:OLP196627 OVB196590:OVL196627 PEX196590:PFH196627 POT196590:PPD196627 PYP196590:PYZ196627 QIL196590:QIV196627 QSH196590:QSR196627 RCD196590:RCN196627 RLZ196590:RMJ196627 RVV196590:RWF196627 SFR196590:SGB196627 SPN196590:SPX196627 SZJ196590:SZT196627 TJF196590:TJP196627 TTB196590:TTL196627 UCX196590:UDH196627 UMT196590:UND196627 UWP196590:UWZ196627 VGL196590:VGV196627 VQH196590:VQR196627 WAD196590:WAN196627 WJZ196590:WKJ196627 WTV196590:WUF196627 HJ262126:HT262163 RF262126:RP262163 ABB262126:ABL262163 AKX262126:ALH262163 AUT262126:AVD262163 BEP262126:BEZ262163 BOL262126:BOV262163 BYH262126:BYR262163 CID262126:CIN262163 CRZ262126:CSJ262163 DBV262126:DCF262163 DLR262126:DMB262163 DVN262126:DVX262163 EFJ262126:EFT262163 EPF262126:EPP262163 EZB262126:EZL262163 FIX262126:FJH262163 FST262126:FTD262163 GCP262126:GCZ262163 GML262126:GMV262163 GWH262126:GWR262163 HGD262126:HGN262163 HPZ262126:HQJ262163 HZV262126:IAF262163 IJR262126:IKB262163 ITN262126:ITX262163 JDJ262126:JDT262163 JNF262126:JNP262163 JXB262126:JXL262163 KGX262126:KHH262163 KQT262126:KRD262163 LAP262126:LAZ262163 LKL262126:LKV262163 LUH262126:LUR262163 MED262126:MEN262163 MNZ262126:MOJ262163 MXV262126:MYF262163 NHR262126:NIB262163 NRN262126:NRX262163 OBJ262126:OBT262163 OLF262126:OLP262163 OVB262126:OVL262163 PEX262126:PFH262163 POT262126:PPD262163 PYP262126:PYZ262163 QIL262126:QIV262163 QSH262126:QSR262163 RCD262126:RCN262163 RLZ262126:RMJ262163 RVV262126:RWF262163 SFR262126:SGB262163 SPN262126:SPX262163 SZJ262126:SZT262163 TJF262126:TJP262163 TTB262126:TTL262163 UCX262126:UDH262163 UMT262126:UND262163 UWP262126:UWZ262163 VGL262126:VGV262163 VQH262126:VQR262163 WAD262126:WAN262163 WJZ262126:WKJ262163 WTV262126:WUF262163 HJ327662:HT327699 RF327662:RP327699 ABB327662:ABL327699 AKX327662:ALH327699 AUT327662:AVD327699 BEP327662:BEZ327699 BOL327662:BOV327699 BYH327662:BYR327699 CID327662:CIN327699 CRZ327662:CSJ327699 DBV327662:DCF327699 DLR327662:DMB327699 DVN327662:DVX327699 EFJ327662:EFT327699 EPF327662:EPP327699 EZB327662:EZL327699 FIX327662:FJH327699 FST327662:FTD327699 GCP327662:GCZ327699 GML327662:GMV327699 GWH327662:GWR327699 HGD327662:HGN327699 HPZ327662:HQJ327699 HZV327662:IAF327699 IJR327662:IKB327699 ITN327662:ITX327699 JDJ327662:JDT327699 JNF327662:JNP327699 JXB327662:JXL327699 KGX327662:KHH327699 KQT327662:KRD327699 LAP327662:LAZ327699 LKL327662:LKV327699 LUH327662:LUR327699 MED327662:MEN327699 MNZ327662:MOJ327699 MXV327662:MYF327699 NHR327662:NIB327699 NRN327662:NRX327699 OBJ327662:OBT327699 OLF327662:OLP327699 OVB327662:OVL327699 PEX327662:PFH327699 POT327662:PPD327699 PYP327662:PYZ327699 QIL327662:QIV327699 QSH327662:QSR327699 RCD327662:RCN327699 RLZ327662:RMJ327699 RVV327662:RWF327699 SFR327662:SGB327699 SPN327662:SPX327699 SZJ327662:SZT327699 TJF327662:TJP327699 TTB327662:TTL327699 UCX327662:UDH327699 UMT327662:UND327699 UWP327662:UWZ327699 VGL327662:VGV327699 VQH327662:VQR327699 WAD327662:WAN327699 WJZ327662:WKJ327699 WTV327662:WUF327699 HJ393198:HT393235 RF393198:RP393235 ABB393198:ABL393235 AKX393198:ALH393235 AUT393198:AVD393235 BEP393198:BEZ393235 BOL393198:BOV393235 BYH393198:BYR393235 CID393198:CIN393235 CRZ393198:CSJ393235 DBV393198:DCF393235 DLR393198:DMB393235 DVN393198:DVX393235 EFJ393198:EFT393235 EPF393198:EPP393235 EZB393198:EZL393235 FIX393198:FJH393235 FST393198:FTD393235 GCP393198:GCZ393235 GML393198:GMV393235 GWH393198:GWR393235 HGD393198:HGN393235 HPZ393198:HQJ393235 HZV393198:IAF393235 IJR393198:IKB393235 ITN393198:ITX393235 JDJ393198:JDT393235 JNF393198:JNP393235 JXB393198:JXL393235 KGX393198:KHH393235 KQT393198:KRD393235 LAP393198:LAZ393235 LKL393198:LKV393235 LUH393198:LUR393235 MED393198:MEN393235 MNZ393198:MOJ393235 MXV393198:MYF393235 NHR393198:NIB393235 NRN393198:NRX393235 OBJ393198:OBT393235 OLF393198:OLP393235 OVB393198:OVL393235 PEX393198:PFH393235 POT393198:PPD393235 PYP393198:PYZ393235 QIL393198:QIV393235 QSH393198:QSR393235 RCD393198:RCN393235 RLZ393198:RMJ393235 RVV393198:RWF393235 SFR393198:SGB393235 SPN393198:SPX393235 SZJ393198:SZT393235 TJF393198:TJP393235 TTB393198:TTL393235 UCX393198:UDH393235 UMT393198:UND393235 UWP393198:UWZ393235 VGL393198:VGV393235 VQH393198:VQR393235 WAD393198:WAN393235 WJZ393198:WKJ393235 WTV393198:WUF393235 HJ458734:HT458771 RF458734:RP458771 ABB458734:ABL458771 AKX458734:ALH458771 AUT458734:AVD458771 BEP458734:BEZ458771 BOL458734:BOV458771 BYH458734:BYR458771 CID458734:CIN458771 CRZ458734:CSJ458771 DBV458734:DCF458771 DLR458734:DMB458771 DVN458734:DVX458771 EFJ458734:EFT458771 EPF458734:EPP458771 EZB458734:EZL458771 FIX458734:FJH458771 FST458734:FTD458771 GCP458734:GCZ458771 GML458734:GMV458771 GWH458734:GWR458771 HGD458734:HGN458771 HPZ458734:HQJ458771 HZV458734:IAF458771 IJR458734:IKB458771 ITN458734:ITX458771 JDJ458734:JDT458771 JNF458734:JNP458771 JXB458734:JXL458771 KGX458734:KHH458771 KQT458734:KRD458771 LAP458734:LAZ458771 LKL458734:LKV458771 LUH458734:LUR458771 MED458734:MEN458771 MNZ458734:MOJ458771 MXV458734:MYF458771 NHR458734:NIB458771 NRN458734:NRX458771 OBJ458734:OBT458771 OLF458734:OLP458771 OVB458734:OVL458771 PEX458734:PFH458771 POT458734:PPD458771 PYP458734:PYZ458771 QIL458734:QIV458771 QSH458734:QSR458771 RCD458734:RCN458771 RLZ458734:RMJ458771 RVV458734:RWF458771 SFR458734:SGB458771 SPN458734:SPX458771 SZJ458734:SZT458771 TJF458734:TJP458771 TTB458734:TTL458771 UCX458734:UDH458771 UMT458734:UND458771 UWP458734:UWZ458771 VGL458734:VGV458771 VQH458734:VQR458771 WAD458734:WAN458771 WJZ458734:WKJ458771 WTV458734:WUF458771 HJ524270:HT524307 RF524270:RP524307 ABB524270:ABL524307 AKX524270:ALH524307 AUT524270:AVD524307 BEP524270:BEZ524307 BOL524270:BOV524307 BYH524270:BYR524307 CID524270:CIN524307 CRZ524270:CSJ524307 DBV524270:DCF524307 DLR524270:DMB524307 DVN524270:DVX524307 EFJ524270:EFT524307 EPF524270:EPP524307 EZB524270:EZL524307 FIX524270:FJH524307 FST524270:FTD524307 GCP524270:GCZ524307 GML524270:GMV524307 GWH524270:GWR524307 HGD524270:HGN524307 HPZ524270:HQJ524307 HZV524270:IAF524307 IJR524270:IKB524307 ITN524270:ITX524307 JDJ524270:JDT524307 JNF524270:JNP524307 JXB524270:JXL524307 KGX524270:KHH524307 KQT524270:KRD524307 LAP524270:LAZ524307 LKL524270:LKV524307 LUH524270:LUR524307 MED524270:MEN524307 MNZ524270:MOJ524307 MXV524270:MYF524307 NHR524270:NIB524307 NRN524270:NRX524307 OBJ524270:OBT524307 OLF524270:OLP524307 OVB524270:OVL524307 PEX524270:PFH524307 POT524270:PPD524307 PYP524270:PYZ524307 QIL524270:QIV524307 QSH524270:QSR524307 RCD524270:RCN524307 RLZ524270:RMJ524307 RVV524270:RWF524307 SFR524270:SGB524307 SPN524270:SPX524307 SZJ524270:SZT524307 TJF524270:TJP524307 TTB524270:TTL524307 UCX524270:UDH524307 UMT524270:UND524307 UWP524270:UWZ524307 VGL524270:VGV524307 VQH524270:VQR524307 WAD524270:WAN524307 WJZ524270:WKJ524307 WTV524270:WUF524307 HJ589806:HT589843 RF589806:RP589843 ABB589806:ABL589843 AKX589806:ALH589843 AUT589806:AVD589843 BEP589806:BEZ589843 BOL589806:BOV589843 BYH589806:BYR589843 CID589806:CIN589843 CRZ589806:CSJ589843 DBV589806:DCF589843 DLR589806:DMB589843 DVN589806:DVX589843 EFJ589806:EFT589843 EPF589806:EPP589843 EZB589806:EZL589843 FIX589806:FJH589843 FST589806:FTD589843 GCP589806:GCZ589843 GML589806:GMV589843 GWH589806:GWR589843 HGD589806:HGN589843 HPZ589806:HQJ589843 HZV589806:IAF589843 IJR589806:IKB589843 ITN589806:ITX589843 JDJ589806:JDT589843 JNF589806:JNP589843 JXB589806:JXL589843 KGX589806:KHH589843 KQT589806:KRD589843 LAP589806:LAZ589843 LKL589806:LKV589843 LUH589806:LUR589843 MED589806:MEN589843 MNZ589806:MOJ589843 MXV589806:MYF589843 NHR589806:NIB589843 NRN589806:NRX589843 OBJ589806:OBT589843 OLF589806:OLP589843 OVB589806:OVL589843 PEX589806:PFH589843 POT589806:PPD589843 PYP589806:PYZ589843 QIL589806:QIV589843 QSH589806:QSR589843 RCD589806:RCN589843 RLZ589806:RMJ589843 RVV589806:RWF589843 SFR589806:SGB589843 SPN589806:SPX589843 SZJ589806:SZT589843 TJF589806:TJP589843 TTB589806:TTL589843 UCX589806:UDH589843 UMT589806:UND589843 UWP589806:UWZ589843 VGL589806:VGV589843 VQH589806:VQR589843 WAD589806:WAN589843 WJZ589806:WKJ589843 WTV589806:WUF589843 HJ655342:HT655379 RF655342:RP655379 ABB655342:ABL655379 AKX655342:ALH655379 AUT655342:AVD655379 BEP655342:BEZ655379 BOL655342:BOV655379 BYH655342:BYR655379 CID655342:CIN655379 CRZ655342:CSJ655379 DBV655342:DCF655379 DLR655342:DMB655379 DVN655342:DVX655379 EFJ655342:EFT655379 EPF655342:EPP655379 EZB655342:EZL655379 FIX655342:FJH655379 FST655342:FTD655379 GCP655342:GCZ655379 GML655342:GMV655379 GWH655342:GWR655379 HGD655342:HGN655379 HPZ655342:HQJ655379 HZV655342:IAF655379 IJR655342:IKB655379 ITN655342:ITX655379 JDJ655342:JDT655379 JNF655342:JNP655379 JXB655342:JXL655379 KGX655342:KHH655379 KQT655342:KRD655379 LAP655342:LAZ655379 LKL655342:LKV655379 LUH655342:LUR655379 MED655342:MEN655379 MNZ655342:MOJ655379 MXV655342:MYF655379 NHR655342:NIB655379 NRN655342:NRX655379 OBJ655342:OBT655379 OLF655342:OLP655379 OVB655342:OVL655379 PEX655342:PFH655379 POT655342:PPD655379 PYP655342:PYZ655379 QIL655342:QIV655379 QSH655342:QSR655379 RCD655342:RCN655379 RLZ655342:RMJ655379 RVV655342:RWF655379 SFR655342:SGB655379 SPN655342:SPX655379 SZJ655342:SZT655379 TJF655342:TJP655379 TTB655342:TTL655379 UCX655342:UDH655379 UMT655342:UND655379 UWP655342:UWZ655379 VGL655342:VGV655379 VQH655342:VQR655379 WAD655342:WAN655379 WJZ655342:WKJ655379 WTV655342:WUF655379 HJ720878:HT720915 RF720878:RP720915 ABB720878:ABL720915 AKX720878:ALH720915 AUT720878:AVD720915 BEP720878:BEZ720915 BOL720878:BOV720915 BYH720878:BYR720915 CID720878:CIN720915 CRZ720878:CSJ720915 DBV720878:DCF720915 DLR720878:DMB720915 DVN720878:DVX720915 EFJ720878:EFT720915 EPF720878:EPP720915 EZB720878:EZL720915 FIX720878:FJH720915 FST720878:FTD720915 GCP720878:GCZ720915 GML720878:GMV720915 GWH720878:GWR720915 HGD720878:HGN720915 HPZ720878:HQJ720915 HZV720878:IAF720915 IJR720878:IKB720915 ITN720878:ITX720915 JDJ720878:JDT720915 JNF720878:JNP720915 JXB720878:JXL720915 KGX720878:KHH720915 KQT720878:KRD720915 LAP720878:LAZ720915 LKL720878:LKV720915 LUH720878:LUR720915 MED720878:MEN720915 MNZ720878:MOJ720915 MXV720878:MYF720915 NHR720878:NIB720915 NRN720878:NRX720915 OBJ720878:OBT720915 OLF720878:OLP720915 OVB720878:OVL720915 PEX720878:PFH720915 POT720878:PPD720915 PYP720878:PYZ720915 QIL720878:QIV720915 QSH720878:QSR720915 RCD720878:RCN720915 RLZ720878:RMJ720915 RVV720878:RWF720915 SFR720878:SGB720915 SPN720878:SPX720915 SZJ720878:SZT720915 TJF720878:TJP720915 TTB720878:TTL720915 UCX720878:UDH720915 UMT720878:UND720915 UWP720878:UWZ720915 VGL720878:VGV720915 VQH720878:VQR720915 WAD720878:WAN720915 WJZ720878:WKJ720915 WTV720878:WUF720915 HJ786414:HT786451 RF786414:RP786451 ABB786414:ABL786451 AKX786414:ALH786451 AUT786414:AVD786451 BEP786414:BEZ786451 BOL786414:BOV786451 BYH786414:BYR786451 CID786414:CIN786451 CRZ786414:CSJ786451 DBV786414:DCF786451 DLR786414:DMB786451 DVN786414:DVX786451 EFJ786414:EFT786451 EPF786414:EPP786451 EZB786414:EZL786451 FIX786414:FJH786451 FST786414:FTD786451 GCP786414:GCZ786451 GML786414:GMV786451 GWH786414:GWR786451 HGD786414:HGN786451 HPZ786414:HQJ786451 HZV786414:IAF786451 IJR786414:IKB786451 ITN786414:ITX786451 JDJ786414:JDT786451 JNF786414:JNP786451 JXB786414:JXL786451 KGX786414:KHH786451 KQT786414:KRD786451 LAP786414:LAZ786451 LKL786414:LKV786451 LUH786414:LUR786451 MED786414:MEN786451 MNZ786414:MOJ786451 MXV786414:MYF786451 NHR786414:NIB786451 NRN786414:NRX786451 OBJ786414:OBT786451 OLF786414:OLP786451 OVB786414:OVL786451 PEX786414:PFH786451 POT786414:PPD786451 PYP786414:PYZ786451 QIL786414:QIV786451 QSH786414:QSR786451 RCD786414:RCN786451 RLZ786414:RMJ786451 RVV786414:RWF786451 SFR786414:SGB786451 SPN786414:SPX786451 SZJ786414:SZT786451 TJF786414:TJP786451 TTB786414:TTL786451 UCX786414:UDH786451 UMT786414:UND786451 UWP786414:UWZ786451 VGL786414:VGV786451 VQH786414:VQR786451 WAD786414:WAN786451 WJZ786414:WKJ786451 WTV786414:WUF786451 HJ851950:HT851987 RF851950:RP851987 ABB851950:ABL851987 AKX851950:ALH851987 AUT851950:AVD851987 BEP851950:BEZ851987 BOL851950:BOV851987 BYH851950:BYR851987 CID851950:CIN851987 CRZ851950:CSJ851987 DBV851950:DCF851987 DLR851950:DMB851987 DVN851950:DVX851987 EFJ851950:EFT851987 EPF851950:EPP851987 EZB851950:EZL851987 FIX851950:FJH851987 FST851950:FTD851987 GCP851950:GCZ851987 GML851950:GMV851987 GWH851950:GWR851987 HGD851950:HGN851987 HPZ851950:HQJ851987 HZV851950:IAF851987 IJR851950:IKB851987 ITN851950:ITX851987 JDJ851950:JDT851987 JNF851950:JNP851987 JXB851950:JXL851987 KGX851950:KHH851987 KQT851950:KRD851987 LAP851950:LAZ851987 LKL851950:LKV851987 LUH851950:LUR851987 MED851950:MEN851987 MNZ851950:MOJ851987 MXV851950:MYF851987 NHR851950:NIB851987 NRN851950:NRX851987 OBJ851950:OBT851987 OLF851950:OLP851987 OVB851950:OVL851987 PEX851950:PFH851987 POT851950:PPD851987 PYP851950:PYZ851987 QIL851950:QIV851987 QSH851950:QSR851987 RCD851950:RCN851987 RLZ851950:RMJ851987 RVV851950:RWF851987 SFR851950:SGB851987 SPN851950:SPX851987 SZJ851950:SZT851987 TJF851950:TJP851987 TTB851950:TTL851987 UCX851950:UDH851987 UMT851950:UND851987 UWP851950:UWZ851987 VGL851950:VGV851987 VQH851950:VQR851987 WAD851950:WAN851987 WJZ851950:WKJ851987 WTV851950:WUF851987 HJ917486:HT917523 RF917486:RP917523 ABB917486:ABL917523 AKX917486:ALH917523 AUT917486:AVD917523 BEP917486:BEZ917523 BOL917486:BOV917523 BYH917486:BYR917523 CID917486:CIN917523 CRZ917486:CSJ917523 DBV917486:DCF917523 DLR917486:DMB917523 DVN917486:DVX917523 EFJ917486:EFT917523 EPF917486:EPP917523 EZB917486:EZL917523 FIX917486:FJH917523 FST917486:FTD917523 GCP917486:GCZ917523 GML917486:GMV917523 GWH917486:GWR917523 HGD917486:HGN917523 HPZ917486:HQJ917523 HZV917486:IAF917523 IJR917486:IKB917523 ITN917486:ITX917523 JDJ917486:JDT917523 JNF917486:JNP917523 JXB917486:JXL917523 KGX917486:KHH917523 KQT917486:KRD917523 LAP917486:LAZ917523 LKL917486:LKV917523 LUH917486:LUR917523 MED917486:MEN917523 MNZ917486:MOJ917523 MXV917486:MYF917523 NHR917486:NIB917523 NRN917486:NRX917523 OBJ917486:OBT917523 OLF917486:OLP917523 OVB917486:OVL917523 PEX917486:PFH917523 POT917486:PPD917523 PYP917486:PYZ917523 QIL917486:QIV917523 QSH917486:QSR917523 RCD917486:RCN917523 RLZ917486:RMJ917523 RVV917486:RWF917523 SFR917486:SGB917523 SPN917486:SPX917523 SZJ917486:SZT917523 TJF917486:TJP917523 TTB917486:TTL917523 UCX917486:UDH917523 UMT917486:UND917523 UWP917486:UWZ917523 VGL917486:VGV917523 VQH917486:VQR917523 WAD917486:WAN917523 WJZ917486:WKJ917523 WTV917486:WUF917523 HJ983022:HT983059 RF983022:RP983059 ABB983022:ABL983059 AKX983022:ALH983059 AUT983022:AVD983059 BEP983022:BEZ983059 BOL983022:BOV983059 BYH983022:BYR983059 CID983022:CIN983059 CRZ983022:CSJ983059 DBV983022:DCF983059 DLR983022:DMB983059 DVN983022:DVX983059 EFJ983022:EFT983059 EPF983022:EPP983059 EZB983022:EZL983059 FIX983022:FJH983059 FST983022:FTD983059 GCP983022:GCZ983059 GML983022:GMV983059 GWH983022:GWR983059 HGD983022:HGN983059 HPZ983022:HQJ983059 HZV983022:IAF983059 IJR983022:IKB983059 ITN983022:ITX983059 JDJ983022:JDT983059 JNF983022:JNP983059 JXB983022:JXL983059 KGX983022:KHH983059 KQT983022:KRD983059 LAP983022:LAZ983059 LKL983022:LKV983059 LUH983022:LUR983059 MED983022:MEN983059 MNZ983022:MOJ983059 MXV983022:MYF983059 NHR983022:NIB983059 NRN983022:NRX983059 OBJ983022:OBT983059 OLF983022:OLP983059 OVB983022:OVL983059 PEX983022:PFH983059 POT983022:PPD983059 PYP983022:PYZ983059 QIL983022:QIV983059 QSH983022:QSR983059 RCD983022:RCN983059 RLZ983022:RMJ983059 RVV983022:RWF983059 SFR983022:SGB983059 SPN983022:SPX983059 SZJ983022:SZT983059 TJF983022:TJP983059 TTB983022:TTL983059 UCX983022:UDH983059 UMT983022:UND983059 UWP983022:UWZ983059 VGL983022:VGV983059 VQH983022:VQR983059 WAD983022:WAN983059 WJZ983022:WKJ983059 WJZ5:WKJ27 WTV5:WUF27 HJ5:HT27 RF5:RP27 ABB5:ABL27 AKX5:ALH27 AUT5:AVD27 BEP5:BEZ27 BOL5:BOV27 BYH5:BYR27 CID5:CIN27 CRZ5:CSJ27 DBV5:DCF27 DLR5:DMB27 DVN5:DVX27 EFJ5:EFT27 EPF5:EPP27 EZB5:EZL27 FIX5:FJH27 FST5:FTD27 GCP5:GCZ27 GML5:GMV27 GWH5:GWR27 HGD5:HGN27 HPZ5:HQJ27 HZV5:IAF27 IJR5:IKB27 ITN5:ITX27 JDJ5:JDT27 JNF5:JNP27 JXB5:JXL27 KGX5:KHH27 KQT5:KRD27 LAP5:LAZ27 LKL5:LKV27 LUH5:LUR27 MED5:MEN27 MNZ5:MOJ27 MXV5:MYF27 NHR5:NIB27 NRN5:NRX27 OBJ5:OBT27 OLF5:OLP27 OVB5:OVL27 PEX5:PFH27 POT5:PPD27 PYP5:PYZ27 QIL5:QIV27 QSH5:QSR27 RCD5:RCN27 RLZ5:RMJ27 RVV5:RWF27 SFR5:SGB27 SPN5:SPX27 SZJ5:SZT27 TJF5:TJP27 TTB5:TTL27 UCX5:UDH27 UMT5:UND27 UWP5:UWZ27 VGL5:VGV27 VQH5:VQR27 WAD5:WAN27" xr:uid="{F9FA6065-A332-4F40-AADA-5EB35076845A}">
      <formula1>$C$32:$C$52</formula1>
    </dataValidation>
    <dataValidation type="list" allowBlank="1" showInputMessage="1" showErrorMessage="1" sqref="WAO5:WAR27 VQS5:VQV27 VGW5:VGZ27 UXA5:UXD27 UNE5:UNH27 UDI5:UDL27 TTM5:TTP27 TJQ5:TJT27 SZU5:SZX27 SPY5:SQB27 SGC5:SGF27 RWG5:RWJ27 RMK5:RMN27 RCO5:RCR27 QSS5:QSV27 QIW5:QIZ27 PZA5:PZD27 PPE5:PPH27 PFI5:PFL27 OVM5:OVP27 OLQ5:OLT27 OBU5:OBX27 NRY5:NSB27 NIC5:NIF27 MYG5:MYJ27 MOK5:MON27 MEO5:MER27 LUS5:LUV27 LKW5:LKZ27 LBA5:LBD27 KRE5:KRH27 KHI5:KHL27 JXM5:JXP27 JNQ5:JNT27 JDU5:JDX27 ITY5:IUB27 IKC5:IKF27 IAG5:IAJ27 HQK5:HQN27 HGO5:HGR27 GWS5:GWV27 GMW5:GMZ27 GDA5:GDD27 FTE5:FTH27 FJI5:FJL27 EZM5:EZP27 EPQ5:EPT27 EFU5:EFX27 DVY5:DWB27 DMC5:DMF27 DCG5:DCJ27 CSK5:CSN27 CIO5:CIR27 BYS5:BYV27 BOW5:BOZ27 BFA5:BFD27 AVE5:AVH27 ALI5:ALL27 ABM5:ABP27 RQ5:RT27 HU5:HX27 WUG5:WUJ27 WKK5:WKN27 VQS983022:VQV983059 VGW983022:VGZ983059 UXA983022:UXD983059 UNE983022:UNH983059 UDI983022:UDL983059 TTM983022:TTP983059 TJQ983022:TJT983059 SZU983022:SZX983059 SPY983022:SQB983059 SGC983022:SGF983059 RWG983022:RWJ983059 RMK983022:RMN983059 RCO983022:RCR983059 QSS983022:QSV983059 QIW983022:QIZ983059 PZA983022:PZD983059 PPE983022:PPH983059 PFI983022:PFL983059 OVM983022:OVP983059 OLQ983022:OLT983059 OBU983022:OBX983059 NRY983022:NSB983059 NIC983022:NIF983059 MYG983022:MYJ983059 MOK983022:MON983059 MEO983022:MER983059 LUS983022:LUV983059 LKW983022:LKZ983059 LBA983022:LBD983059 KRE983022:KRH983059 KHI983022:KHL983059 JXM983022:JXP983059 JNQ983022:JNT983059 JDU983022:JDX983059 ITY983022:IUB983059 IKC983022:IKF983059 IAG983022:IAJ983059 HQK983022:HQN983059 HGO983022:HGR983059 GWS983022:GWV983059 GMW983022:GMZ983059 GDA983022:GDD983059 FTE983022:FTH983059 FJI983022:FJL983059 EZM983022:EZP983059 EPQ983022:EPT983059 EFU983022:EFX983059 DVY983022:DWB983059 DMC983022:DMF983059 DCG983022:DCJ983059 CSK983022:CSN983059 CIO983022:CIR983059 BYS983022:BYV983059 BOW983022:BOZ983059 BFA983022:BFD983059 AVE983022:AVH983059 ALI983022:ALL983059 ABM983022:ABP983059 RQ983022:RT983059 HU983022:HX983059 WUG917486:WUJ917523 WKK917486:WKN917523 WAO917486:WAR917523 VQS917486:VQV917523 VGW917486:VGZ917523 UXA917486:UXD917523 UNE917486:UNH917523 UDI917486:UDL917523 TTM917486:TTP917523 TJQ917486:TJT917523 SZU917486:SZX917523 SPY917486:SQB917523 SGC917486:SGF917523 RWG917486:RWJ917523 RMK917486:RMN917523 RCO917486:RCR917523 QSS917486:QSV917523 QIW917486:QIZ917523 PZA917486:PZD917523 PPE917486:PPH917523 PFI917486:PFL917523 OVM917486:OVP917523 OLQ917486:OLT917523 OBU917486:OBX917523 NRY917486:NSB917523 NIC917486:NIF917523 MYG917486:MYJ917523 MOK917486:MON917523 MEO917486:MER917523 LUS917486:LUV917523 LKW917486:LKZ917523 LBA917486:LBD917523 KRE917486:KRH917523 KHI917486:KHL917523 JXM917486:JXP917523 JNQ917486:JNT917523 JDU917486:JDX917523 ITY917486:IUB917523 IKC917486:IKF917523 IAG917486:IAJ917523 HQK917486:HQN917523 HGO917486:HGR917523 GWS917486:GWV917523 GMW917486:GMZ917523 GDA917486:GDD917523 FTE917486:FTH917523 FJI917486:FJL917523 EZM917486:EZP917523 EPQ917486:EPT917523 EFU917486:EFX917523 DVY917486:DWB917523 DMC917486:DMF917523 DCG917486:DCJ917523 CSK917486:CSN917523 CIO917486:CIR917523 BYS917486:BYV917523 BOW917486:BOZ917523 BFA917486:BFD917523 AVE917486:AVH917523 ALI917486:ALL917523 ABM917486:ABP917523 RQ917486:RT917523 HU917486:HX917523 WUG851950:WUJ851987 WKK851950:WKN851987 WAO851950:WAR851987 VQS851950:VQV851987 VGW851950:VGZ851987 UXA851950:UXD851987 UNE851950:UNH851987 UDI851950:UDL851987 TTM851950:TTP851987 TJQ851950:TJT851987 SZU851950:SZX851987 SPY851950:SQB851987 SGC851950:SGF851987 RWG851950:RWJ851987 RMK851950:RMN851987 RCO851950:RCR851987 QSS851950:QSV851987 QIW851950:QIZ851987 PZA851950:PZD851987 PPE851950:PPH851987 PFI851950:PFL851987 OVM851950:OVP851987 OLQ851950:OLT851987 OBU851950:OBX851987 NRY851950:NSB851987 NIC851950:NIF851987 MYG851950:MYJ851987 MOK851950:MON851987 MEO851950:MER851987 LUS851950:LUV851987 LKW851950:LKZ851987 LBA851950:LBD851987 KRE851950:KRH851987 KHI851950:KHL851987 JXM851950:JXP851987 JNQ851950:JNT851987 JDU851950:JDX851987 ITY851950:IUB851987 IKC851950:IKF851987 IAG851950:IAJ851987 HQK851950:HQN851987 HGO851950:HGR851987 GWS851950:GWV851987 GMW851950:GMZ851987 GDA851950:GDD851987 FTE851950:FTH851987 FJI851950:FJL851987 EZM851950:EZP851987 EPQ851950:EPT851987 EFU851950:EFX851987 DVY851950:DWB851987 DMC851950:DMF851987 DCG851950:DCJ851987 CSK851950:CSN851987 CIO851950:CIR851987 BYS851950:BYV851987 BOW851950:BOZ851987 BFA851950:BFD851987 AVE851950:AVH851987 ALI851950:ALL851987 ABM851950:ABP851987 RQ851950:RT851987 HU851950:HX851987 WUG786414:WUJ786451 WKK786414:WKN786451 WAO786414:WAR786451 VQS786414:VQV786451 VGW786414:VGZ786451 UXA786414:UXD786451 UNE786414:UNH786451 UDI786414:UDL786451 TTM786414:TTP786451 TJQ786414:TJT786451 SZU786414:SZX786451 SPY786414:SQB786451 SGC786414:SGF786451 RWG786414:RWJ786451 RMK786414:RMN786451 RCO786414:RCR786451 QSS786414:QSV786451 QIW786414:QIZ786451 PZA786414:PZD786451 PPE786414:PPH786451 PFI786414:PFL786451 OVM786414:OVP786451 OLQ786414:OLT786451 OBU786414:OBX786451 NRY786414:NSB786451 NIC786414:NIF786451 MYG786414:MYJ786451 MOK786414:MON786451 MEO786414:MER786451 LUS786414:LUV786451 LKW786414:LKZ786451 LBA786414:LBD786451 KRE786414:KRH786451 KHI786414:KHL786451 JXM786414:JXP786451 JNQ786414:JNT786451 JDU786414:JDX786451 ITY786414:IUB786451 IKC786414:IKF786451 IAG786414:IAJ786451 HQK786414:HQN786451 HGO786414:HGR786451 GWS786414:GWV786451 GMW786414:GMZ786451 GDA786414:GDD786451 FTE786414:FTH786451 FJI786414:FJL786451 EZM786414:EZP786451 EPQ786414:EPT786451 EFU786414:EFX786451 DVY786414:DWB786451 DMC786414:DMF786451 DCG786414:DCJ786451 CSK786414:CSN786451 CIO786414:CIR786451 BYS786414:BYV786451 BOW786414:BOZ786451 BFA786414:BFD786451 AVE786414:AVH786451 ALI786414:ALL786451 ABM786414:ABP786451 RQ786414:RT786451 HU786414:HX786451 WUG720878:WUJ720915 WKK720878:WKN720915 WAO720878:WAR720915 VQS720878:VQV720915 VGW720878:VGZ720915 UXA720878:UXD720915 UNE720878:UNH720915 UDI720878:UDL720915 TTM720878:TTP720915 TJQ720878:TJT720915 SZU720878:SZX720915 SPY720878:SQB720915 SGC720878:SGF720915 RWG720878:RWJ720915 RMK720878:RMN720915 RCO720878:RCR720915 QSS720878:QSV720915 QIW720878:QIZ720915 PZA720878:PZD720915 PPE720878:PPH720915 PFI720878:PFL720915 OVM720878:OVP720915 OLQ720878:OLT720915 OBU720878:OBX720915 NRY720878:NSB720915 NIC720878:NIF720915 MYG720878:MYJ720915 MOK720878:MON720915 MEO720878:MER720915 LUS720878:LUV720915 LKW720878:LKZ720915 LBA720878:LBD720915 KRE720878:KRH720915 KHI720878:KHL720915 JXM720878:JXP720915 JNQ720878:JNT720915 JDU720878:JDX720915 ITY720878:IUB720915 IKC720878:IKF720915 IAG720878:IAJ720915 HQK720878:HQN720915 HGO720878:HGR720915 GWS720878:GWV720915 GMW720878:GMZ720915 GDA720878:GDD720915 FTE720878:FTH720915 FJI720878:FJL720915 EZM720878:EZP720915 EPQ720878:EPT720915 EFU720878:EFX720915 DVY720878:DWB720915 DMC720878:DMF720915 DCG720878:DCJ720915 CSK720878:CSN720915 CIO720878:CIR720915 BYS720878:BYV720915 BOW720878:BOZ720915 BFA720878:BFD720915 AVE720878:AVH720915 ALI720878:ALL720915 ABM720878:ABP720915 RQ720878:RT720915 HU720878:HX720915 WUG655342:WUJ655379 WKK655342:WKN655379 WAO655342:WAR655379 VQS655342:VQV655379 VGW655342:VGZ655379 UXA655342:UXD655379 UNE655342:UNH655379 UDI655342:UDL655379 TTM655342:TTP655379 TJQ655342:TJT655379 SZU655342:SZX655379 SPY655342:SQB655379 SGC655342:SGF655379 RWG655342:RWJ655379 RMK655342:RMN655379 RCO655342:RCR655379 QSS655342:QSV655379 QIW655342:QIZ655379 PZA655342:PZD655379 PPE655342:PPH655379 PFI655342:PFL655379 OVM655342:OVP655379 OLQ655342:OLT655379 OBU655342:OBX655379 NRY655342:NSB655379 NIC655342:NIF655379 MYG655342:MYJ655379 MOK655342:MON655379 MEO655342:MER655379 LUS655342:LUV655379 LKW655342:LKZ655379 LBA655342:LBD655379 KRE655342:KRH655379 KHI655342:KHL655379 JXM655342:JXP655379 JNQ655342:JNT655379 JDU655342:JDX655379 ITY655342:IUB655379 IKC655342:IKF655379 IAG655342:IAJ655379 HQK655342:HQN655379 HGO655342:HGR655379 GWS655342:GWV655379 GMW655342:GMZ655379 GDA655342:GDD655379 FTE655342:FTH655379 FJI655342:FJL655379 EZM655342:EZP655379 EPQ655342:EPT655379 EFU655342:EFX655379 DVY655342:DWB655379 DMC655342:DMF655379 DCG655342:DCJ655379 CSK655342:CSN655379 CIO655342:CIR655379 BYS655342:BYV655379 BOW655342:BOZ655379 BFA655342:BFD655379 AVE655342:AVH655379 ALI655342:ALL655379 ABM655342:ABP655379 RQ655342:RT655379 HU655342:HX655379 WUG589806:WUJ589843 WKK589806:WKN589843 WAO589806:WAR589843 VQS589806:VQV589843 VGW589806:VGZ589843 UXA589806:UXD589843 UNE589806:UNH589843 UDI589806:UDL589843 TTM589806:TTP589843 TJQ589806:TJT589843 SZU589806:SZX589843 SPY589806:SQB589843 SGC589806:SGF589843 RWG589806:RWJ589843 RMK589806:RMN589843 RCO589806:RCR589843 QSS589806:QSV589843 QIW589806:QIZ589843 PZA589806:PZD589843 PPE589806:PPH589843 PFI589806:PFL589843 OVM589806:OVP589843 OLQ589806:OLT589843 OBU589806:OBX589843 NRY589806:NSB589843 NIC589806:NIF589843 MYG589806:MYJ589843 MOK589806:MON589843 MEO589806:MER589843 LUS589806:LUV589843 LKW589806:LKZ589843 LBA589806:LBD589843 KRE589806:KRH589843 KHI589806:KHL589843 JXM589806:JXP589843 JNQ589806:JNT589843 JDU589806:JDX589843 ITY589806:IUB589843 IKC589806:IKF589843 IAG589806:IAJ589843 HQK589806:HQN589843 HGO589806:HGR589843 GWS589806:GWV589843 GMW589806:GMZ589843 GDA589806:GDD589843 FTE589806:FTH589843 FJI589806:FJL589843 EZM589806:EZP589843 EPQ589806:EPT589843 EFU589806:EFX589843 DVY589806:DWB589843 DMC589806:DMF589843 DCG589806:DCJ589843 CSK589806:CSN589843 CIO589806:CIR589843 BYS589806:BYV589843 BOW589806:BOZ589843 BFA589806:BFD589843 AVE589806:AVH589843 ALI589806:ALL589843 ABM589806:ABP589843 RQ589806:RT589843 HU589806:HX589843 WUG524270:WUJ524307 WKK524270:WKN524307 WAO524270:WAR524307 VQS524270:VQV524307 VGW524270:VGZ524307 UXA524270:UXD524307 UNE524270:UNH524307 UDI524270:UDL524307 TTM524270:TTP524307 TJQ524270:TJT524307 SZU524270:SZX524307 SPY524270:SQB524307 SGC524270:SGF524307 RWG524270:RWJ524307 RMK524270:RMN524307 RCO524270:RCR524307 QSS524270:QSV524307 QIW524270:QIZ524307 PZA524270:PZD524307 PPE524270:PPH524307 PFI524270:PFL524307 OVM524270:OVP524307 OLQ524270:OLT524307 OBU524270:OBX524307 NRY524270:NSB524307 NIC524270:NIF524307 MYG524270:MYJ524307 MOK524270:MON524307 MEO524270:MER524307 LUS524270:LUV524307 LKW524270:LKZ524307 LBA524270:LBD524307 KRE524270:KRH524307 KHI524270:KHL524307 JXM524270:JXP524307 JNQ524270:JNT524307 JDU524270:JDX524307 ITY524270:IUB524307 IKC524270:IKF524307 IAG524270:IAJ524307 HQK524270:HQN524307 HGO524270:HGR524307 GWS524270:GWV524307 GMW524270:GMZ524307 GDA524270:GDD524307 FTE524270:FTH524307 FJI524270:FJL524307 EZM524270:EZP524307 EPQ524270:EPT524307 EFU524270:EFX524307 DVY524270:DWB524307 DMC524270:DMF524307 DCG524270:DCJ524307 CSK524270:CSN524307 CIO524270:CIR524307 BYS524270:BYV524307 BOW524270:BOZ524307 BFA524270:BFD524307 AVE524270:AVH524307 ALI524270:ALL524307 ABM524270:ABP524307 RQ524270:RT524307 HU524270:HX524307 WUG458734:WUJ458771 WKK458734:WKN458771 WAO458734:WAR458771 VQS458734:VQV458771 VGW458734:VGZ458771 UXA458734:UXD458771 UNE458734:UNH458771 UDI458734:UDL458771 TTM458734:TTP458771 TJQ458734:TJT458771 SZU458734:SZX458771 SPY458734:SQB458771 SGC458734:SGF458771 RWG458734:RWJ458771 RMK458734:RMN458771 RCO458734:RCR458771 QSS458734:QSV458771 QIW458734:QIZ458771 PZA458734:PZD458771 PPE458734:PPH458771 PFI458734:PFL458771 OVM458734:OVP458771 OLQ458734:OLT458771 OBU458734:OBX458771 NRY458734:NSB458771 NIC458734:NIF458771 MYG458734:MYJ458771 MOK458734:MON458771 MEO458734:MER458771 LUS458734:LUV458771 LKW458734:LKZ458771 LBA458734:LBD458771 KRE458734:KRH458771 KHI458734:KHL458771 JXM458734:JXP458771 JNQ458734:JNT458771 JDU458734:JDX458771 ITY458734:IUB458771 IKC458734:IKF458771 IAG458734:IAJ458771 HQK458734:HQN458771 HGO458734:HGR458771 GWS458734:GWV458771 GMW458734:GMZ458771 GDA458734:GDD458771 FTE458734:FTH458771 FJI458734:FJL458771 EZM458734:EZP458771 EPQ458734:EPT458771 EFU458734:EFX458771 DVY458734:DWB458771 DMC458734:DMF458771 DCG458734:DCJ458771 CSK458734:CSN458771 CIO458734:CIR458771 BYS458734:BYV458771 BOW458734:BOZ458771 BFA458734:BFD458771 AVE458734:AVH458771 ALI458734:ALL458771 ABM458734:ABP458771 RQ458734:RT458771 HU458734:HX458771 WUG393198:WUJ393235 WKK393198:WKN393235 WAO393198:WAR393235 VQS393198:VQV393235 VGW393198:VGZ393235 UXA393198:UXD393235 UNE393198:UNH393235 UDI393198:UDL393235 TTM393198:TTP393235 TJQ393198:TJT393235 SZU393198:SZX393235 SPY393198:SQB393235 SGC393198:SGF393235 RWG393198:RWJ393235 RMK393198:RMN393235 RCO393198:RCR393235 QSS393198:QSV393235 QIW393198:QIZ393235 PZA393198:PZD393235 PPE393198:PPH393235 PFI393198:PFL393235 OVM393198:OVP393235 OLQ393198:OLT393235 OBU393198:OBX393235 NRY393198:NSB393235 NIC393198:NIF393235 MYG393198:MYJ393235 MOK393198:MON393235 MEO393198:MER393235 LUS393198:LUV393235 LKW393198:LKZ393235 LBA393198:LBD393235 KRE393198:KRH393235 KHI393198:KHL393235 JXM393198:JXP393235 JNQ393198:JNT393235 JDU393198:JDX393235 ITY393198:IUB393235 IKC393198:IKF393235 IAG393198:IAJ393235 HQK393198:HQN393235 HGO393198:HGR393235 GWS393198:GWV393235 GMW393198:GMZ393235 GDA393198:GDD393235 FTE393198:FTH393235 FJI393198:FJL393235 EZM393198:EZP393235 EPQ393198:EPT393235 EFU393198:EFX393235 DVY393198:DWB393235 DMC393198:DMF393235 DCG393198:DCJ393235 CSK393198:CSN393235 CIO393198:CIR393235 BYS393198:BYV393235 BOW393198:BOZ393235 BFA393198:BFD393235 AVE393198:AVH393235 ALI393198:ALL393235 ABM393198:ABP393235 RQ393198:RT393235 HU393198:HX393235 WUG327662:WUJ327699 WKK327662:WKN327699 WAO327662:WAR327699 VQS327662:VQV327699 VGW327662:VGZ327699 UXA327662:UXD327699 UNE327662:UNH327699 UDI327662:UDL327699 TTM327662:TTP327699 TJQ327662:TJT327699 SZU327662:SZX327699 SPY327662:SQB327699 SGC327662:SGF327699 RWG327662:RWJ327699 RMK327662:RMN327699 RCO327662:RCR327699 QSS327662:QSV327699 QIW327662:QIZ327699 PZA327662:PZD327699 PPE327662:PPH327699 PFI327662:PFL327699 OVM327662:OVP327699 OLQ327662:OLT327699 OBU327662:OBX327699 NRY327662:NSB327699 NIC327662:NIF327699 MYG327662:MYJ327699 MOK327662:MON327699 MEO327662:MER327699 LUS327662:LUV327699 LKW327662:LKZ327699 LBA327662:LBD327699 KRE327662:KRH327699 KHI327662:KHL327699 JXM327662:JXP327699 JNQ327662:JNT327699 JDU327662:JDX327699 ITY327662:IUB327699 IKC327662:IKF327699 IAG327662:IAJ327699 HQK327662:HQN327699 HGO327662:HGR327699 GWS327662:GWV327699 GMW327662:GMZ327699 GDA327662:GDD327699 FTE327662:FTH327699 FJI327662:FJL327699 EZM327662:EZP327699 EPQ327662:EPT327699 EFU327662:EFX327699 DVY327662:DWB327699 DMC327662:DMF327699 DCG327662:DCJ327699 CSK327662:CSN327699 CIO327662:CIR327699 BYS327662:BYV327699 BOW327662:BOZ327699 BFA327662:BFD327699 AVE327662:AVH327699 ALI327662:ALL327699 ABM327662:ABP327699 RQ327662:RT327699 HU327662:HX327699 WUG262126:WUJ262163 WKK262126:WKN262163 WAO262126:WAR262163 VQS262126:VQV262163 VGW262126:VGZ262163 UXA262126:UXD262163 UNE262126:UNH262163 UDI262126:UDL262163 TTM262126:TTP262163 TJQ262126:TJT262163 SZU262126:SZX262163 SPY262126:SQB262163 SGC262126:SGF262163 RWG262126:RWJ262163 RMK262126:RMN262163 RCO262126:RCR262163 QSS262126:QSV262163 QIW262126:QIZ262163 PZA262126:PZD262163 PPE262126:PPH262163 PFI262126:PFL262163 OVM262126:OVP262163 OLQ262126:OLT262163 OBU262126:OBX262163 NRY262126:NSB262163 NIC262126:NIF262163 MYG262126:MYJ262163 MOK262126:MON262163 MEO262126:MER262163 LUS262126:LUV262163 LKW262126:LKZ262163 LBA262126:LBD262163 KRE262126:KRH262163 KHI262126:KHL262163 JXM262126:JXP262163 JNQ262126:JNT262163 JDU262126:JDX262163 ITY262126:IUB262163 IKC262126:IKF262163 IAG262126:IAJ262163 HQK262126:HQN262163 HGO262126:HGR262163 GWS262126:GWV262163 GMW262126:GMZ262163 GDA262126:GDD262163 FTE262126:FTH262163 FJI262126:FJL262163 EZM262126:EZP262163 EPQ262126:EPT262163 EFU262126:EFX262163 DVY262126:DWB262163 DMC262126:DMF262163 DCG262126:DCJ262163 CSK262126:CSN262163 CIO262126:CIR262163 BYS262126:BYV262163 BOW262126:BOZ262163 BFA262126:BFD262163 AVE262126:AVH262163 ALI262126:ALL262163 ABM262126:ABP262163 RQ262126:RT262163 HU262126:HX262163 WUG196590:WUJ196627 WKK196590:WKN196627 WAO196590:WAR196627 VQS196590:VQV196627 VGW196590:VGZ196627 UXA196590:UXD196627 UNE196590:UNH196627 UDI196590:UDL196627 TTM196590:TTP196627 TJQ196590:TJT196627 SZU196590:SZX196627 SPY196590:SQB196627 SGC196590:SGF196627 RWG196590:RWJ196627 RMK196590:RMN196627 RCO196590:RCR196627 QSS196590:QSV196627 QIW196590:QIZ196627 PZA196590:PZD196627 PPE196590:PPH196627 PFI196590:PFL196627 OVM196590:OVP196627 OLQ196590:OLT196627 OBU196590:OBX196627 NRY196590:NSB196627 NIC196590:NIF196627 MYG196590:MYJ196627 MOK196590:MON196627 MEO196590:MER196627 LUS196590:LUV196627 LKW196590:LKZ196627 LBA196590:LBD196627 KRE196590:KRH196627 KHI196590:KHL196627 JXM196590:JXP196627 JNQ196590:JNT196627 JDU196590:JDX196627 ITY196590:IUB196627 IKC196590:IKF196627 IAG196590:IAJ196627 HQK196590:HQN196627 HGO196590:HGR196627 GWS196590:GWV196627 GMW196590:GMZ196627 GDA196590:GDD196627 FTE196590:FTH196627 FJI196590:FJL196627 EZM196590:EZP196627 EPQ196590:EPT196627 EFU196590:EFX196627 DVY196590:DWB196627 DMC196590:DMF196627 DCG196590:DCJ196627 CSK196590:CSN196627 CIO196590:CIR196627 BYS196590:BYV196627 BOW196590:BOZ196627 BFA196590:BFD196627 AVE196590:AVH196627 ALI196590:ALL196627 ABM196590:ABP196627 RQ196590:RT196627 HU196590:HX196627 WUG131054:WUJ131091 WKK131054:WKN131091 WAO131054:WAR131091 VQS131054:VQV131091 VGW131054:VGZ131091 UXA131054:UXD131091 UNE131054:UNH131091 UDI131054:UDL131091 TTM131054:TTP131091 TJQ131054:TJT131091 SZU131054:SZX131091 SPY131054:SQB131091 SGC131054:SGF131091 RWG131054:RWJ131091 RMK131054:RMN131091 RCO131054:RCR131091 QSS131054:QSV131091 QIW131054:QIZ131091 PZA131054:PZD131091 PPE131054:PPH131091 PFI131054:PFL131091 OVM131054:OVP131091 OLQ131054:OLT131091 OBU131054:OBX131091 NRY131054:NSB131091 NIC131054:NIF131091 MYG131054:MYJ131091 MOK131054:MON131091 MEO131054:MER131091 LUS131054:LUV131091 LKW131054:LKZ131091 LBA131054:LBD131091 KRE131054:KRH131091 KHI131054:KHL131091 JXM131054:JXP131091 JNQ131054:JNT131091 JDU131054:JDX131091 ITY131054:IUB131091 IKC131054:IKF131091 IAG131054:IAJ131091 HQK131054:HQN131091 HGO131054:HGR131091 GWS131054:GWV131091 GMW131054:GMZ131091 GDA131054:GDD131091 FTE131054:FTH131091 FJI131054:FJL131091 EZM131054:EZP131091 EPQ131054:EPT131091 EFU131054:EFX131091 DVY131054:DWB131091 DMC131054:DMF131091 DCG131054:DCJ131091 CSK131054:CSN131091 CIO131054:CIR131091 BYS131054:BYV131091 BOW131054:BOZ131091 BFA131054:BFD131091 AVE131054:AVH131091 ALI131054:ALL131091 ABM131054:ABP131091 RQ131054:RT131091 HU131054:HX131091 WUG65518:WUJ65555 WKK65518:WKN65555 WAO65518:WAR65555 VQS65518:VQV65555 VGW65518:VGZ65555 UXA65518:UXD65555 UNE65518:UNH65555 UDI65518:UDL65555 TTM65518:TTP65555 TJQ65518:TJT65555 SZU65518:SZX65555 SPY65518:SQB65555 SGC65518:SGF65555 RWG65518:RWJ65555 RMK65518:RMN65555 RCO65518:RCR65555 QSS65518:QSV65555 QIW65518:QIZ65555 PZA65518:PZD65555 PPE65518:PPH65555 PFI65518:PFL65555 OVM65518:OVP65555 OLQ65518:OLT65555 OBU65518:OBX65555 NRY65518:NSB65555 NIC65518:NIF65555 MYG65518:MYJ65555 MOK65518:MON65555 MEO65518:MER65555 LUS65518:LUV65555 LKW65518:LKZ65555 LBA65518:LBD65555 KRE65518:KRH65555 KHI65518:KHL65555 JXM65518:JXP65555 JNQ65518:JNT65555 JDU65518:JDX65555 ITY65518:IUB65555 IKC65518:IKF65555 IAG65518:IAJ65555 HQK65518:HQN65555 HGO65518:HGR65555 GWS65518:GWV65555 GMW65518:GMZ65555 GDA65518:GDD65555 FTE65518:FTH65555 FJI65518:FJL65555 EZM65518:EZP65555 EPQ65518:EPT65555 EFU65518:EFX65555 DVY65518:DWB65555 DMC65518:DMF65555 DCG65518:DCJ65555 CSK65518:CSN65555 CIO65518:CIR65555 BYS65518:BYV65555 BOW65518:BOZ65555 BFA65518:BFD65555 AVE65518:AVH65555 ALI65518:ALL65555 ABM65518:ABP65555 RQ65518:RT65555 HU65518:HX65555 WKK983022:WKN983059 WAO983022:WAR983059 WUG983022:WUJ983059" xr:uid="{9AC90A44-67B0-473C-A1EA-06FD9120210E}">
      <formula1>#REF!</formula1>
    </dataValidation>
    <dataValidation type="list" allowBlank="1" showInputMessage="1" showErrorMessage="1" sqref="HX983063:IE983068 RT983063:SA983068 ABP983063:ABW983068 ALL983063:ALS983068 AVH983063:AVO983068 BFD983063:BFK983068 BOZ983063:BPG983068 BYV983063:BZC983068 CIR983063:CIY983068 CSN983063:CSU983068 DCJ983063:DCQ983068 DMF983063:DMM983068 DWB983063:DWI983068 EFX983063:EGE983068 EPT983063:EQA983068 EZP983063:EZW983068 FJL983063:FJS983068 FTH983063:FTO983068 GDD983063:GDK983068 GMZ983063:GNG983068 GWV983063:GXC983068 HGR983063:HGY983068 HQN983063:HQU983068 IAJ983063:IAQ983068 IKF983063:IKM983068 IUB983063:IUI983068 JDX983063:JEE983068 JNT983063:JOA983068 JXP983063:JXW983068 KHL983063:KHS983068 KRH983063:KRO983068 LBD983063:LBK983068 LKZ983063:LLG983068 LUV983063:LVC983068 MER983063:MEY983068 MON983063:MOU983068 MYJ983063:MYQ983068 NIF983063:NIM983068 NSB983063:NSI983068 OBX983063:OCE983068 OLT983063:OMA983068 OVP983063:OVW983068 PFL983063:PFS983068 PPH983063:PPO983068 PZD983063:PZK983068 QIZ983063:QJG983068 QSV983063:QTC983068 RCR983063:RCY983068 RMN983063:RMU983068 RWJ983063:RWQ983068 SGF983063:SGM983068 SQB983063:SQI983068 SZX983063:TAE983068 TJT983063:TKA983068 TTP983063:TTW983068 UDL983063:UDS983068 UNH983063:UNO983068 UXD983063:UXK983068 VGZ983063:VHG983068 VQV983063:VRC983068 WAR983063:WAY983068 WKN983063:WKU983068 WUJ983063:WUQ983068 HX65559:IE65564 RT65559:SA65564 ABP65559:ABW65564 ALL65559:ALS65564 AVH65559:AVO65564 BFD65559:BFK65564 BOZ65559:BPG65564 BYV65559:BZC65564 CIR65559:CIY65564 CSN65559:CSU65564 DCJ65559:DCQ65564 DMF65559:DMM65564 DWB65559:DWI65564 EFX65559:EGE65564 EPT65559:EQA65564 EZP65559:EZW65564 FJL65559:FJS65564 FTH65559:FTO65564 GDD65559:GDK65564 GMZ65559:GNG65564 GWV65559:GXC65564 HGR65559:HGY65564 HQN65559:HQU65564 IAJ65559:IAQ65564 IKF65559:IKM65564 IUB65559:IUI65564 JDX65559:JEE65564 JNT65559:JOA65564 JXP65559:JXW65564 KHL65559:KHS65564 KRH65559:KRO65564 LBD65559:LBK65564 LKZ65559:LLG65564 LUV65559:LVC65564 MER65559:MEY65564 MON65559:MOU65564 MYJ65559:MYQ65564 NIF65559:NIM65564 NSB65559:NSI65564 OBX65559:OCE65564 OLT65559:OMA65564 OVP65559:OVW65564 PFL65559:PFS65564 PPH65559:PPO65564 PZD65559:PZK65564 QIZ65559:QJG65564 QSV65559:QTC65564 RCR65559:RCY65564 RMN65559:RMU65564 RWJ65559:RWQ65564 SGF65559:SGM65564 SQB65559:SQI65564 SZX65559:TAE65564 TJT65559:TKA65564 TTP65559:TTW65564 UDL65559:UDS65564 UNH65559:UNO65564 UXD65559:UXK65564 VGZ65559:VHG65564 VQV65559:VRC65564 WAR65559:WAY65564 WKN65559:WKU65564 WUJ65559:WUQ65564 HX131095:IE131100 RT131095:SA131100 ABP131095:ABW131100 ALL131095:ALS131100 AVH131095:AVO131100 BFD131095:BFK131100 BOZ131095:BPG131100 BYV131095:BZC131100 CIR131095:CIY131100 CSN131095:CSU131100 DCJ131095:DCQ131100 DMF131095:DMM131100 DWB131095:DWI131100 EFX131095:EGE131100 EPT131095:EQA131100 EZP131095:EZW131100 FJL131095:FJS131100 FTH131095:FTO131100 GDD131095:GDK131100 GMZ131095:GNG131100 GWV131095:GXC131100 HGR131095:HGY131100 HQN131095:HQU131100 IAJ131095:IAQ131100 IKF131095:IKM131100 IUB131095:IUI131100 JDX131095:JEE131100 JNT131095:JOA131100 JXP131095:JXW131100 KHL131095:KHS131100 KRH131095:KRO131100 LBD131095:LBK131100 LKZ131095:LLG131100 LUV131095:LVC131100 MER131095:MEY131100 MON131095:MOU131100 MYJ131095:MYQ131100 NIF131095:NIM131100 NSB131095:NSI131100 OBX131095:OCE131100 OLT131095:OMA131100 OVP131095:OVW131100 PFL131095:PFS131100 PPH131095:PPO131100 PZD131095:PZK131100 QIZ131095:QJG131100 QSV131095:QTC131100 RCR131095:RCY131100 RMN131095:RMU131100 RWJ131095:RWQ131100 SGF131095:SGM131100 SQB131095:SQI131100 SZX131095:TAE131100 TJT131095:TKA131100 TTP131095:TTW131100 UDL131095:UDS131100 UNH131095:UNO131100 UXD131095:UXK131100 VGZ131095:VHG131100 VQV131095:VRC131100 WAR131095:WAY131100 WKN131095:WKU131100 WUJ131095:WUQ131100 HX196631:IE196636 RT196631:SA196636 ABP196631:ABW196636 ALL196631:ALS196636 AVH196631:AVO196636 BFD196631:BFK196636 BOZ196631:BPG196636 BYV196631:BZC196636 CIR196631:CIY196636 CSN196631:CSU196636 DCJ196631:DCQ196636 DMF196631:DMM196636 DWB196631:DWI196636 EFX196631:EGE196636 EPT196631:EQA196636 EZP196631:EZW196636 FJL196631:FJS196636 FTH196631:FTO196636 GDD196631:GDK196636 GMZ196631:GNG196636 GWV196631:GXC196636 HGR196631:HGY196636 HQN196631:HQU196636 IAJ196631:IAQ196636 IKF196631:IKM196636 IUB196631:IUI196636 JDX196631:JEE196636 JNT196631:JOA196636 JXP196631:JXW196636 KHL196631:KHS196636 KRH196631:KRO196636 LBD196631:LBK196636 LKZ196631:LLG196636 LUV196631:LVC196636 MER196631:MEY196636 MON196631:MOU196636 MYJ196631:MYQ196636 NIF196631:NIM196636 NSB196631:NSI196636 OBX196631:OCE196636 OLT196631:OMA196636 OVP196631:OVW196636 PFL196631:PFS196636 PPH196631:PPO196636 PZD196631:PZK196636 QIZ196631:QJG196636 QSV196631:QTC196636 RCR196631:RCY196636 RMN196631:RMU196636 RWJ196631:RWQ196636 SGF196631:SGM196636 SQB196631:SQI196636 SZX196631:TAE196636 TJT196631:TKA196636 TTP196631:TTW196636 UDL196631:UDS196636 UNH196631:UNO196636 UXD196631:UXK196636 VGZ196631:VHG196636 VQV196631:VRC196636 WAR196631:WAY196636 WKN196631:WKU196636 WUJ196631:WUQ196636 HX262167:IE262172 RT262167:SA262172 ABP262167:ABW262172 ALL262167:ALS262172 AVH262167:AVO262172 BFD262167:BFK262172 BOZ262167:BPG262172 BYV262167:BZC262172 CIR262167:CIY262172 CSN262167:CSU262172 DCJ262167:DCQ262172 DMF262167:DMM262172 DWB262167:DWI262172 EFX262167:EGE262172 EPT262167:EQA262172 EZP262167:EZW262172 FJL262167:FJS262172 FTH262167:FTO262172 GDD262167:GDK262172 GMZ262167:GNG262172 GWV262167:GXC262172 HGR262167:HGY262172 HQN262167:HQU262172 IAJ262167:IAQ262172 IKF262167:IKM262172 IUB262167:IUI262172 JDX262167:JEE262172 JNT262167:JOA262172 JXP262167:JXW262172 KHL262167:KHS262172 KRH262167:KRO262172 LBD262167:LBK262172 LKZ262167:LLG262172 LUV262167:LVC262172 MER262167:MEY262172 MON262167:MOU262172 MYJ262167:MYQ262172 NIF262167:NIM262172 NSB262167:NSI262172 OBX262167:OCE262172 OLT262167:OMA262172 OVP262167:OVW262172 PFL262167:PFS262172 PPH262167:PPO262172 PZD262167:PZK262172 QIZ262167:QJG262172 QSV262167:QTC262172 RCR262167:RCY262172 RMN262167:RMU262172 RWJ262167:RWQ262172 SGF262167:SGM262172 SQB262167:SQI262172 SZX262167:TAE262172 TJT262167:TKA262172 TTP262167:TTW262172 UDL262167:UDS262172 UNH262167:UNO262172 UXD262167:UXK262172 VGZ262167:VHG262172 VQV262167:VRC262172 WAR262167:WAY262172 WKN262167:WKU262172 WUJ262167:WUQ262172 HX327703:IE327708 RT327703:SA327708 ABP327703:ABW327708 ALL327703:ALS327708 AVH327703:AVO327708 BFD327703:BFK327708 BOZ327703:BPG327708 BYV327703:BZC327708 CIR327703:CIY327708 CSN327703:CSU327708 DCJ327703:DCQ327708 DMF327703:DMM327708 DWB327703:DWI327708 EFX327703:EGE327708 EPT327703:EQA327708 EZP327703:EZW327708 FJL327703:FJS327708 FTH327703:FTO327708 GDD327703:GDK327708 GMZ327703:GNG327708 GWV327703:GXC327708 HGR327703:HGY327708 HQN327703:HQU327708 IAJ327703:IAQ327708 IKF327703:IKM327708 IUB327703:IUI327708 JDX327703:JEE327708 JNT327703:JOA327708 JXP327703:JXW327708 KHL327703:KHS327708 KRH327703:KRO327708 LBD327703:LBK327708 LKZ327703:LLG327708 LUV327703:LVC327708 MER327703:MEY327708 MON327703:MOU327708 MYJ327703:MYQ327708 NIF327703:NIM327708 NSB327703:NSI327708 OBX327703:OCE327708 OLT327703:OMA327708 OVP327703:OVW327708 PFL327703:PFS327708 PPH327703:PPO327708 PZD327703:PZK327708 QIZ327703:QJG327708 QSV327703:QTC327708 RCR327703:RCY327708 RMN327703:RMU327708 RWJ327703:RWQ327708 SGF327703:SGM327708 SQB327703:SQI327708 SZX327703:TAE327708 TJT327703:TKA327708 TTP327703:TTW327708 UDL327703:UDS327708 UNH327703:UNO327708 UXD327703:UXK327708 VGZ327703:VHG327708 VQV327703:VRC327708 WAR327703:WAY327708 WKN327703:WKU327708 WUJ327703:WUQ327708 HX393239:IE393244 RT393239:SA393244 ABP393239:ABW393244 ALL393239:ALS393244 AVH393239:AVO393244 BFD393239:BFK393244 BOZ393239:BPG393244 BYV393239:BZC393244 CIR393239:CIY393244 CSN393239:CSU393244 DCJ393239:DCQ393244 DMF393239:DMM393244 DWB393239:DWI393244 EFX393239:EGE393244 EPT393239:EQA393244 EZP393239:EZW393244 FJL393239:FJS393244 FTH393239:FTO393244 GDD393239:GDK393244 GMZ393239:GNG393244 GWV393239:GXC393244 HGR393239:HGY393244 HQN393239:HQU393244 IAJ393239:IAQ393244 IKF393239:IKM393244 IUB393239:IUI393244 JDX393239:JEE393244 JNT393239:JOA393244 JXP393239:JXW393244 KHL393239:KHS393244 KRH393239:KRO393244 LBD393239:LBK393244 LKZ393239:LLG393244 LUV393239:LVC393244 MER393239:MEY393244 MON393239:MOU393244 MYJ393239:MYQ393244 NIF393239:NIM393244 NSB393239:NSI393244 OBX393239:OCE393244 OLT393239:OMA393244 OVP393239:OVW393244 PFL393239:PFS393244 PPH393239:PPO393244 PZD393239:PZK393244 QIZ393239:QJG393244 QSV393239:QTC393244 RCR393239:RCY393244 RMN393239:RMU393244 RWJ393239:RWQ393244 SGF393239:SGM393244 SQB393239:SQI393244 SZX393239:TAE393244 TJT393239:TKA393244 TTP393239:TTW393244 UDL393239:UDS393244 UNH393239:UNO393244 UXD393239:UXK393244 VGZ393239:VHG393244 VQV393239:VRC393244 WAR393239:WAY393244 WKN393239:WKU393244 WUJ393239:WUQ393244 HX458775:IE458780 RT458775:SA458780 ABP458775:ABW458780 ALL458775:ALS458780 AVH458775:AVO458780 BFD458775:BFK458780 BOZ458775:BPG458780 BYV458775:BZC458780 CIR458775:CIY458780 CSN458775:CSU458780 DCJ458775:DCQ458780 DMF458775:DMM458780 DWB458775:DWI458780 EFX458775:EGE458780 EPT458775:EQA458780 EZP458775:EZW458780 FJL458775:FJS458780 FTH458775:FTO458780 GDD458775:GDK458780 GMZ458775:GNG458780 GWV458775:GXC458780 HGR458775:HGY458780 HQN458775:HQU458780 IAJ458775:IAQ458780 IKF458775:IKM458780 IUB458775:IUI458780 JDX458775:JEE458780 JNT458775:JOA458780 JXP458775:JXW458780 KHL458775:KHS458780 KRH458775:KRO458780 LBD458775:LBK458780 LKZ458775:LLG458780 LUV458775:LVC458780 MER458775:MEY458780 MON458775:MOU458780 MYJ458775:MYQ458780 NIF458775:NIM458780 NSB458775:NSI458780 OBX458775:OCE458780 OLT458775:OMA458780 OVP458775:OVW458780 PFL458775:PFS458780 PPH458775:PPO458780 PZD458775:PZK458780 QIZ458775:QJG458780 QSV458775:QTC458780 RCR458775:RCY458780 RMN458775:RMU458780 RWJ458775:RWQ458780 SGF458775:SGM458780 SQB458775:SQI458780 SZX458775:TAE458780 TJT458775:TKA458780 TTP458775:TTW458780 UDL458775:UDS458780 UNH458775:UNO458780 UXD458775:UXK458780 VGZ458775:VHG458780 VQV458775:VRC458780 WAR458775:WAY458780 WKN458775:WKU458780 WUJ458775:WUQ458780 HX524311:IE524316 RT524311:SA524316 ABP524311:ABW524316 ALL524311:ALS524316 AVH524311:AVO524316 BFD524311:BFK524316 BOZ524311:BPG524316 BYV524311:BZC524316 CIR524311:CIY524316 CSN524311:CSU524316 DCJ524311:DCQ524316 DMF524311:DMM524316 DWB524311:DWI524316 EFX524311:EGE524316 EPT524311:EQA524316 EZP524311:EZW524316 FJL524311:FJS524316 FTH524311:FTO524316 GDD524311:GDK524316 GMZ524311:GNG524316 GWV524311:GXC524316 HGR524311:HGY524316 HQN524311:HQU524316 IAJ524311:IAQ524316 IKF524311:IKM524316 IUB524311:IUI524316 JDX524311:JEE524316 JNT524311:JOA524316 JXP524311:JXW524316 KHL524311:KHS524316 KRH524311:KRO524316 LBD524311:LBK524316 LKZ524311:LLG524316 LUV524311:LVC524316 MER524311:MEY524316 MON524311:MOU524316 MYJ524311:MYQ524316 NIF524311:NIM524316 NSB524311:NSI524316 OBX524311:OCE524316 OLT524311:OMA524316 OVP524311:OVW524316 PFL524311:PFS524316 PPH524311:PPO524316 PZD524311:PZK524316 QIZ524311:QJG524316 QSV524311:QTC524316 RCR524311:RCY524316 RMN524311:RMU524316 RWJ524311:RWQ524316 SGF524311:SGM524316 SQB524311:SQI524316 SZX524311:TAE524316 TJT524311:TKA524316 TTP524311:TTW524316 UDL524311:UDS524316 UNH524311:UNO524316 UXD524311:UXK524316 VGZ524311:VHG524316 VQV524311:VRC524316 WAR524311:WAY524316 WKN524311:WKU524316 WUJ524311:WUQ524316 HX589847:IE589852 RT589847:SA589852 ABP589847:ABW589852 ALL589847:ALS589852 AVH589847:AVO589852 BFD589847:BFK589852 BOZ589847:BPG589852 BYV589847:BZC589852 CIR589847:CIY589852 CSN589847:CSU589852 DCJ589847:DCQ589852 DMF589847:DMM589852 DWB589847:DWI589852 EFX589847:EGE589852 EPT589847:EQA589852 EZP589847:EZW589852 FJL589847:FJS589852 FTH589847:FTO589852 GDD589847:GDK589852 GMZ589847:GNG589852 GWV589847:GXC589852 HGR589847:HGY589852 HQN589847:HQU589852 IAJ589847:IAQ589852 IKF589847:IKM589852 IUB589847:IUI589852 JDX589847:JEE589852 JNT589847:JOA589852 JXP589847:JXW589852 KHL589847:KHS589852 KRH589847:KRO589852 LBD589847:LBK589852 LKZ589847:LLG589852 LUV589847:LVC589852 MER589847:MEY589852 MON589847:MOU589852 MYJ589847:MYQ589852 NIF589847:NIM589852 NSB589847:NSI589852 OBX589847:OCE589852 OLT589847:OMA589852 OVP589847:OVW589852 PFL589847:PFS589852 PPH589847:PPO589852 PZD589847:PZK589852 QIZ589847:QJG589852 QSV589847:QTC589852 RCR589847:RCY589852 RMN589847:RMU589852 RWJ589847:RWQ589852 SGF589847:SGM589852 SQB589847:SQI589852 SZX589847:TAE589852 TJT589847:TKA589852 TTP589847:TTW589852 UDL589847:UDS589852 UNH589847:UNO589852 UXD589847:UXK589852 VGZ589847:VHG589852 VQV589847:VRC589852 WAR589847:WAY589852 WKN589847:WKU589852 WUJ589847:WUQ589852 HX655383:IE655388 RT655383:SA655388 ABP655383:ABW655388 ALL655383:ALS655388 AVH655383:AVO655388 BFD655383:BFK655388 BOZ655383:BPG655388 BYV655383:BZC655388 CIR655383:CIY655388 CSN655383:CSU655388 DCJ655383:DCQ655388 DMF655383:DMM655388 DWB655383:DWI655388 EFX655383:EGE655388 EPT655383:EQA655388 EZP655383:EZW655388 FJL655383:FJS655388 FTH655383:FTO655388 GDD655383:GDK655388 GMZ655383:GNG655388 GWV655383:GXC655388 HGR655383:HGY655388 HQN655383:HQU655388 IAJ655383:IAQ655388 IKF655383:IKM655388 IUB655383:IUI655388 JDX655383:JEE655388 JNT655383:JOA655388 JXP655383:JXW655388 KHL655383:KHS655388 KRH655383:KRO655388 LBD655383:LBK655388 LKZ655383:LLG655388 LUV655383:LVC655388 MER655383:MEY655388 MON655383:MOU655388 MYJ655383:MYQ655388 NIF655383:NIM655388 NSB655383:NSI655388 OBX655383:OCE655388 OLT655383:OMA655388 OVP655383:OVW655388 PFL655383:PFS655388 PPH655383:PPO655388 PZD655383:PZK655388 QIZ655383:QJG655388 QSV655383:QTC655388 RCR655383:RCY655388 RMN655383:RMU655388 RWJ655383:RWQ655388 SGF655383:SGM655388 SQB655383:SQI655388 SZX655383:TAE655388 TJT655383:TKA655388 TTP655383:TTW655388 UDL655383:UDS655388 UNH655383:UNO655388 UXD655383:UXK655388 VGZ655383:VHG655388 VQV655383:VRC655388 WAR655383:WAY655388 WKN655383:WKU655388 WUJ655383:WUQ655388 HX720919:IE720924 RT720919:SA720924 ABP720919:ABW720924 ALL720919:ALS720924 AVH720919:AVO720924 BFD720919:BFK720924 BOZ720919:BPG720924 BYV720919:BZC720924 CIR720919:CIY720924 CSN720919:CSU720924 DCJ720919:DCQ720924 DMF720919:DMM720924 DWB720919:DWI720924 EFX720919:EGE720924 EPT720919:EQA720924 EZP720919:EZW720924 FJL720919:FJS720924 FTH720919:FTO720924 GDD720919:GDK720924 GMZ720919:GNG720924 GWV720919:GXC720924 HGR720919:HGY720924 HQN720919:HQU720924 IAJ720919:IAQ720924 IKF720919:IKM720924 IUB720919:IUI720924 JDX720919:JEE720924 JNT720919:JOA720924 JXP720919:JXW720924 KHL720919:KHS720924 KRH720919:KRO720924 LBD720919:LBK720924 LKZ720919:LLG720924 LUV720919:LVC720924 MER720919:MEY720924 MON720919:MOU720924 MYJ720919:MYQ720924 NIF720919:NIM720924 NSB720919:NSI720924 OBX720919:OCE720924 OLT720919:OMA720924 OVP720919:OVW720924 PFL720919:PFS720924 PPH720919:PPO720924 PZD720919:PZK720924 QIZ720919:QJG720924 QSV720919:QTC720924 RCR720919:RCY720924 RMN720919:RMU720924 RWJ720919:RWQ720924 SGF720919:SGM720924 SQB720919:SQI720924 SZX720919:TAE720924 TJT720919:TKA720924 TTP720919:TTW720924 UDL720919:UDS720924 UNH720919:UNO720924 UXD720919:UXK720924 VGZ720919:VHG720924 VQV720919:VRC720924 WAR720919:WAY720924 WKN720919:WKU720924 WUJ720919:WUQ720924 HX786455:IE786460 RT786455:SA786460 ABP786455:ABW786460 ALL786455:ALS786460 AVH786455:AVO786460 BFD786455:BFK786460 BOZ786455:BPG786460 BYV786455:BZC786460 CIR786455:CIY786460 CSN786455:CSU786460 DCJ786455:DCQ786460 DMF786455:DMM786460 DWB786455:DWI786460 EFX786455:EGE786460 EPT786455:EQA786460 EZP786455:EZW786460 FJL786455:FJS786460 FTH786455:FTO786460 GDD786455:GDK786460 GMZ786455:GNG786460 GWV786455:GXC786460 HGR786455:HGY786460 HQN786455:HQU786460 IAJ786455:IAQ786460 IKF786455:IKM786460 IUB786455:IUI786460 JDX786455:JEE786460 JNT786455:JOA786460 JXP786455:JXW786460 KHL786455:KHS786460 KRH786455:KRO786460 LBD786455:LBK786460 LKZ786455:LLG786460 LUV786455:LVC786460 MER786455:MEY786460 MON786455:MOU786460 MYJ786455:MYQ786460 NIF786455:NIM786460 NSB786455:NSI786460 OBX786455:OCE786460 OLT786455:OMA786460 OVP786455:OVW786460 PFL786455:PFS786460 PPH786455:PPO786460 PZD786455:PZK786460 QIZ786455:QJG786460 QSV786455:QTC786460 RCR786455:RCY786460 RMN786455:RMU786460 RWJ786455:RWQ786460 SGF786455:SGM786460 SQB786455:SQI786460 SZX786455:TAE786460 TJT786455:TKA786460 TTP786455:TTW786460 UDL786455:UDS786460 UNH786455:UNO786460 UXD786455:UXK786460 VGZ786455:VHG786460 VQV786455:VRC786460 WAR786455:WAY786460 WKN786455:WKU786460 WUJ786455:WUQ786460 HX851991:IE851996 RT851991:SA851996 ABP851991:ABW851996 ALL851991:ALS851996 AVH851991:AVO851996 BFD851991:BFK851996 BOZ851991:BPG851996 BYV851991:BZC851996 CIR851991:CIY851996 CSN851991:CSU851996 DCJ851991:DCQ851996 DMF851991:DMM851996 DWB851991:DWI851996 EFX851991:EGE851996 EPT851991:EQA851996 EZP851991:EZW851996 FJL851991:FJS851996 FTH851991:FTO851996 GDD851991:GDK851996 GMZ851991:GNG851996 GWV851991:GXC851996 HGR851991:HGY851996 HQN851991:HQU851996 IAJ851991:IAQ851996 IKF851991:IKM851996 IUB851991:IUI851996 JDX851991:JEE851996 JNT851991:JOA851996 JXP851991:JXW851996 KHL851991:KHS851996 KRH851991:KRO851996 LBD851991:LBK851996 LKZ851991:LLG851996 LUV851991:LVC851996 MER851991:MEY851996 MON851991:MOU851996 MYJ851991:MYQ851996 NIF851991:NIM851996 NSB851991:NSI851996 OBX851991:OCE851996 OLT851991:OMA851996 OVP851991:OVW851996 PFL851991:PFS851996 PPH851991:PPO851996 PZD851991:PZK851996 QIZ851991:QJG851996 QSV851991:QTC851996 RCR851991:RCY851996 RMN851991:RMU851996 RWJ851991:RWQ851996 SGF851991:SGM851996 SQB851991:SQI851996 SZX851991:TAE851996 TJT851991:TKA851996 TTP851991:TTW851996 UDL851991:UDS851996 UNH851991:UNO851996 UXD851991:UXK851996 VGZ851991:VHG851996 VQV851991:VRC851996 WAR851991:WAY851996 WKN851991:WKU851996 WUJ851991:WUQ851996 HX917527:IE917532 RT917527:SA917532 ABP917527:ABW917532 ALL917527:ALS917532 AVH917527:AVO917532 BFD917527:BFK917532 BOZ917527:BPG917532 BYV917527:BZC917532 CIR917527:CIY917532 CSN917527:CSU917532 DCJ917527:DCQ917532 DMF917527:DMM917532 DWB917527:DWI917532 EFX917527:EGE917532 EPT917527:EQA917532 EZP917527:EZW917532 FJL917527:FJS917532 FTH917527:FTO917532 GDD917527:GDK917532 GMZ917527:GNG917532 GWV917527:GXC917532 HGR917527:HGY917532 HQN917527:HQU917532 IAJ917527:IAQ917532 IKF917527:IKM917532 IUB917527:IUI917532 JDX917527:JEE917532 JNT917527:JOA917532 JXP917527:JXW917532 KHL917527:KHS917532 KRH917527:KRO917532 LBD917527:LBK917532 LKZ917527:LLG917532 LUV917527:LVC917532 MER917527:MEY917532 MON917527:MOU917532 MYJ917527:MYQ917532 NIF917527:NIM917532 NSB917527:NSI917532 OBX917527:OCE917532 OLT917527:OMA917532 OVP917527:OVW917532 PFL917527:PFS917532 PPH917527:PPO917532 PZD917527:PZK917532 QIZ917527:QJG917532 QSV917527:QTC917532 RCR917527:RCY917532 RMN917527:RMU917532 RWJ917527:RWQ917532 SGF917527:SGM917532 SQB917527:SQI917532 SZX917527:TAE917532 TJT917527:TKA917532 TTP917527:TTW917532 UDL917527:UDS917532 UNH917527:UNO917532 UXD917527:UXK917532 VGZ917527:VHG917532 VQV917527:VRC917532 WAR917527:WAY917532 WKN917527:WKU917532 WUJ917527:WUQ917532" xr:uid="{845E1607-DDA4-4DAB-99EB-EF8F27A27D4E}">
      <formula1>"サーバ,クライアント"</formula1>
    </dataValidation>
  </dataValidations>
  <pageMargins left="0.7" right="0.7" top="0.75" bottom="0.75" header="0.3" footer="0.3"/>
  <pageSetup paperSize="9" scale="65" fitToHeight="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040D2-E2DD-430D-830C-C81FDEB04A9D}">
  <sheetPr>
    <pageSetUpPr fitToPage="1"/>
  </sheetPr>
  <dimension ref="A1:CG347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86" width="2.7265625" style="670" customWidth="1"/>
    <col min="87" max="16384" width="2.54296875" style="670"/>
  </cols>
  <sheetData>
    <row r="1" spans="1:85" ht="13.75" customHeight="1">
      <c r="A1" s="944" t="s">
        <v>480</v>
      </c>
      <c r="B1" s="944"/>
      <c r="C1" s="944"/>
      <c r="D1" s="944"/>
      <c r="E1" s="944"/>
      <c r="F1" s="944"/>
      <c r="G1" s="944"/>
      <c r="H1" s="944"/>
      <c r="I1" s="944"/>
      <c r="J1" s="944"/>
      <c r="K1" s="944"/>
      <c r="L1" s="944"/>
      <c r="M1" s="944"/>
      <c r="CG1" s="669"/>
    </row>
    <row r="2" spans="1:85">
      <c r="A2" s="671"/>
      <c r="B2" s="672"/>
      <c r="C2" s="672"/>
      <c r="D2" s="672"/>
      <c r="E2" s="672"/>
      <c r="F2" s="672"/>
      <c r="G2" s="672"/>
      <c r="H2" s="672"/>
      <c r="I2" s="672"/>
      <c r="J2" s="672"/>
      <c r="K2" s="672"/>
      <c r="L2" s="672"/>
      <c r="M2" s="672"/>
      <c r="N2" s="672"/>
      <c r="O2" s="672"/>
      <c r="P2" s="672"/>
      <c r="Q2" s="672"/>
      <c r="R2" s="672"/>
      <c r="S2" s="672"/>
      <c r="T2" s="672"/>
      <c r="U2" s="672"/>
      <c r="V2" s="672"/>
      <c r="W2" s="672"/>
      <c r="X2" s="672"/>
      <c r="Y2" s="672"/>
      <c r="Z2" s="672"/>
      <c r="AA2" s="672"/>
      <c r="AB2" s="672"/>
      <c r="AC2" s="672"/>
      <c r="AD2" s="672"/>
      <c r="AE2" s="672"/>
      <c r="AF2" s="672"/>
      <c r="AG2" s="672"/>
      <c r="AH2" s="672"/>
      <c r="AI2" s="672"/>
      <c r="AJ2" s="672"/>
      <c r="AK2" s="672"/>
      <c r="AL2" s="672"/>
      <c r="AM2" s="672"/>
      <c r="AN2" s="672"/>
      <c r="AO2" s="672"/>
      <c r="AP2" s="672"/>
      <c r="AQ2" s="672"/>
      <c r="AR2" s="672"/>
      <c r="AS2" s="672"/>
      <c r="AT2" s="672"/>
      <c r="AU2" s="672"/>
      <c r="AV2" s="672"/>
      <c r="AW2" s="672"/>
      <c r="AX2" s="672"/>
      <c r="AY2" s="672"/>
      <c r="AZ2" s="672"/>
      <c r="BA2" s="672"/>
      <c r="BB2" s="672"/>
      <c r="BC2" s="672"/>
      <c r="BD2" s="672"/>
      <c r="BE2" s="672"/>
      <c r="BF2" s="672"/>
      <c r="BG2" s="672"/>
      <c r="BH2" s="672"/>
      <c r="BI2" s="672"/>
      <c r="BJ2" s="672"/>
      <c r="BK2" s="672"/>
      <c r="BL2" s="672"/>
      <c r="BM2" s="672"/>
      <c r="BN2" s="672"/>
      <c r="BO2" s="672"/>
      <c r="BP2" s="672"/>
      <c r="BQ2" s="672"/>
      <c r="BR2" s="672"/>
      <c r="BS2" s="672"/>
      <c r="BT2" s="672"/>
      <c r="BU2" s="672"/>
      <c r="BV2" s="672"/>
      <c r="BW2" s="672"/>
      <c r="BX2" s="672"/>
      <c r="BY2" s="672"/>
      <c r="BZ2" s="672"/>
      <c r="CA2" s="672"/>
      <c r="CB2" s="672"/>
      <c r="CC2" s="672"/>
      <c r="CD2" s="672"/>
      <c r="CE2" s="672"/>
      <c r="CF2" s="672"/>
      <c r="CG2" s="673"/>
    </row>
    <row r="3" spans="1:85">
      <c r="A3" s="674"/>
      <c r="B3" s="675" t="s">
        <v>481</v>
      </c>
      <c r="CG3" s="669"/>
    </row>
    <row r="4" spans="1:85">
      <c r="A4" s="674"/>
      <c r="CG4" s="669"/>
    </row>
    <row r="5" spans="1:85">
      <c r="A5" s="674"/>
      <c r="E5" s="676" t="s">
        <v>482</v>
      </c>
      <c r="F5" s="676"/>
      <c r="G5" s="676"/>
      <c r="H5" s="676"/>
      <c r="J5" s="676"/>
      <c r="K5" s="676"/>
      <c r="L5" s="676"/>
      <c r="M5" s="676"/>
      <c r="N5" s="676"/>
      <c r="O5" s="676"/>
      <c r="P5" s="676"/>
      <c r="Q5" s="676"/>
      <c r="R5" s="676"/>
      <c r="S5" s="676"/>
      <c r="T5" s="676"/>
      <c r="U5" s="676"/>
      <c r="V5" s="676"/>
      <c r="W5" s="676"/>
      <c r="X5" s="676"/>
      <c r="Y5" s="676"/>
      <c r="Z5" s="676"/>
      <c r="AA5" s="676"/>
      <c r="AB5" s="676"/>
      <c r="AC5" s="676"/>
      <c r="AD5" s="676"/>
      <c r="AE5" s="676"/>
      <c r="AF5" s="676"/>
      <c r="AG5" s="676"/>
      <c r="AH5" s="676"/>
      <c r="AI5" s="676"/>
      <c r="AJ5" s="676"/>
      <c r="AK5" s="676"/>
      <c r="AL5" s="676"/>
      <c r="AM5" s="676"/>
      <c r="AN5" s="676"/>
      <c r="AO5" s="676"/>
      <c r="AP5" s="676"/>
      <c r="AQ5" s="676"/>
      <c r="AR5" s="676"/>
      <c r="AS5" s="676"/>
      <c r="AT5" s="676"/>
      <c r="AU5" s="676"/>
      <c r="CG5" s="669"/>
    </row>
    <row r="6" spans="1:85">
      <c r="A6" s="674"/>
      <c r="E6" s="676"/>
      <c r="F6" s="676"/>
      <c r="G6" s="676"/>
      <c r="H6" s="676"/>
      <c r="I6" s="676"/>
      <c r="J6" s="676"/>
      <c r="K6" s="676"/>
      <c r="L6" s="676"/>
      <c r="M6" s="676"/>
      <c r="N6" s="676"/>
      <c r="O6" s="676"/>
      <c r="P6" s="676"/>
      <c r="Q6" s="676"/>
      <c r="R6" s="676"/>
      <c r="S6" s="676"/>
      <c r="T6" s="676"/>
      <c r="U6" s="676"/>
      <c r="V6" s="676"/>
      <c r="W6" s="676"/>
      <c r="X6" s="676"/>
      <c r="Y6" s="676"/>
      <c r="Z6" s="676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CG6" s="669"/>
    </row>
    <row r="7" spans="1:85">
      <c r="A7" s="674"/>
      <c r="E7" s="676"/>
      <c r="F7" s="676"/>
      <c r="G7" s="676"/>
      <c r="H7" s="676"/>
      <c r="I7" s="676"/>
      <c r="J7" s="676"/>
      <c r="K7" s="676"/>
      <c r="L7" s="676"/>
      <c r="M7" s="676"/>
      <c r="N7" s="676"/>
      <c r="O7" s="676"/>
      <c r="P7" s="676"/>
      <c r="Q7" s="676"/>
      <c r="R7" s="676"/>
      <c r="S7" s="676"/>
      <c r="T7" s="676"/>
      <c r="U7" s="676"/>
      <c r="V7" s="676"/>
      <c r="W7" s="676"/>
      <c r="X7" s="676"/>
      <c r="Y7" s="676"/>
      <c r="Z7" s="676"/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CG7" s="669"/>
    </row>
    <row r="8" spans="1:85">
      <c r="A8" s="674"/>
      <c r="E8" s="676"/>
      <c r="F8" s="676"/>
      <c r="G8" s="676"/>
      <c r="H8" s="676"/>
      <c r="I8" s="676"/>
      <c r="J8" s="676"/>
      <c r="K8" s="676"/>
      <c r="L8" s="676"/>
      <c r="M8" s="676"/>
      <c r="N8" s="676"/>
      <c r="O8" s="676"/>
      <c r="P8" s="676"/>
      <c r="Q8" s="676"/>
      <c r="R8" s="676"/>
      <c r="S8" s="676"/>
      <c r="T8" s="676"/>
      <c r="U8" s="676"/>
      <c r="V8" s="676"/>
      <c r="W8" s="676"/>
      <c r="X8" s="676"/>
      <c r="Y8" s="676"/>
      <c r="Z8" s="676"/>
      <c r="AA8" s="676"/>
      <c r="AB8" s="676"/>
      <c r="AC8" s="676"/>
      <c r="AD8" s="676"/>
      <c r="AE8" s="676"/>
      <c r="AF8" s="676"/>
      <c r="AG8" s="676"/>
      <c r="AH8" s="676"/>
      <c r="AI8" s="676"/>
      <c r="AJ8" s="676"/>
      <c r="AK8" s="676"/>
      <c r="AL8" s="676"/>
      <c r="AM8" s="676"/>
      <c r="AN8" s="676"/>
      <c r="AO8" s="676"/>
      <c r="AP8" s="676"/>
      <c r="AQ8" s="676"/>
      <c r="AR8" s="676"/>
      <c r="AS8" s="676"/>
      <c r="AT8" s="676"/>
      <c r="AU8" s="676"/>
      <c r="CG8" s="669"/>
    </row>
    <row r="9" spans="1:85">
      <c r="A9" s="674"/>
      <c r="E9" s="676"/>
      <c r="F9" s="676"/>
      <c r="G9" s="676"/>
      <c r="H9" s="676"/>
      <c r="I9" s="676"/>
      <c r="J9" s="676"/>
      <c r="K9" s="676"/>
      <c r="L9" s="676"/>
      <c r="M9" s="676"/>
      <c r="N9" s="676"/>
      <c r="O9" s="676"/>
      <c r="P9" s="676"/>
      <c r="Q9" s="676"/>
      <c r="R9" s="676"/>
      <c r="S9" s="676"/>
      <c r="T9" s="676"/>
      <c r="U9" s="676"/>
      <c r="V9" s="676"/>
      <c r="W9" s="676"/>
      <c r="X9" s="676"/>
      <c r="Y9" s="676"/>
      <c r="Z9" s="676"/>
      <c r="AA9" s="676"/>
      <c r="AB9" s="676"/>
      <c r="AC9" s="676"/>
      <c r="AD9" s="676"/>
      <c r="AE9" s="676"/>
      <c r="AF9" s="676"/>
      <c r="AG9" s="676"/>
      <c r="AH9" s="676"/>
      <c r="AI9" s="676"/>
      <c r="AJ9" s="676"/>
      <c r="AK9" s="676"/>
      <c r="AL9" s="676"/>
      <c r="AM9" s="676"/>
      <c r="AN9" s="676"/>
      <c r="AO9" s="676"/>
      <c r="AP9" s="676"/>
      <c r="AQ9" s="676"/>
      <c r="AR9" s="676"/>
      <c r="AS9" s="676"/>
      <c r="AT9" s="676"/>
      <c r="AU9" s="676"/>
      <c r="CG9" s="669"/>
    </row>
    <row r="10" spans="1:85">
      <c r="A10" s="674"/>
      <c r="E10" s="676"/>
      <c r="F10" s="676"/>
      <c r="G10" s="676"/>
      <c r="H10" s="676"/>
      <c r="I10" s="676"/>
      <c r="J10" s="676"/>
      <c r="K10" s="676"/>
      <c r="L10" s="676"/>
      <c r="M10" s="676"/>
      <c r="N10" s="676"/>
      <c r="O10" s="676"/>
      <c r="P10" s="676"/>
      <c r="Q10" s="676"/>
      <c r="R10" s="676"/>
      <c r="S10" s="676"/>
      <c r="T10" s="676"/>
      <c r="U10" s="676"/>
      <c r="V10" s="676"/>
      <c r="W10" s="676"/>
      <c r="X10" s="676"/>
      <c r="Y10" s="676"/>
      <c r="Z10" s="676"/>
      <c r="AA10" s="676"/>
      <c r="AB10" s="676"/>
      <c r="AC10" s="676"/>
      <c r="AD10" s="676"/>
      <c r="AE10" s="676"/>
      <c r="AF10" s="676"/>
      <c r="AG10" s="676"/>
      <c r="AH10" s="676"/>
      <c r="AI10" s="676"/>
      <c r="AJ10" s="676"/>
      <c r="AK10" s="676"/>
      <c r="AL10" s="676"/>
      <c r="AM10" s="676"/>
      <c r="AN10" s="676"/>
      <c r="AO10" s="676"/>
      <c r="AP10" s="676"/>
      <c r="AQ10" s="676"/>
      <c r="AR10" s="676"/>
      <c r="AS10" s="676"/>
      <c r="AT10" s="676"/>
      <c r="AU10" s="676"/>
      <c r="CG10" s="669"/>
    </row>
    <row r="11" spans="1:85">
      <c r="A11" s="674"/>
      <c r="E11" s="676"/>
      <c r="F11" s="676"/>
      <c r="G11" s="676"/>
      <c r="H11" s="676"/>
      <c r="I11" s="676"/>
      <c r="J11" s="676"/>
      <c r="K11" s="676"/>
      <c r="L11" s="676"/>
      <c r="M11" s="676"/>
      <c r="N11" s="676"/>
      <c r="O11" s="676"/>
      <c r="P11" s="676"/>
      <c r="Q11" s="676"/>
      <c r="R11" s="676"/>
      <c r="S11" s="676"/>
      <c r="T11" s="676"/>
      <c r="U11" s="676"/>
      <c r="V11" s="676"/>
      <c r="W11" s="676"/>
      <c r="X11" s="676"/>
      <c r="Y11" s="676"/>
      <c r="Z11" s="676"/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CG11" s="669"/>
    </row>
    <row r="12" spans="1:85">
      <c r="A12" s="674"/>
      <c r="E12" s="676"/>
      <c r="F12" s="676"/>
      <c r="G12" s="676"/>
      <c r="H12" s="676"/>
      <c r="I12" s="676"/>
      <c r="J12" s="676"/>
      <c r="K12" s="676"/>
      <c r="L12" s="676"/>
      <c r="M12" s="676"/>
      <c r="N12" s="676"/>
      <c r="O12" s="676"/>
      <c r="P12" s="676"/>
      <c r="Q12" s="676"/>
      <c r="R12" s="676"/>
      <c r="S12" s="676"/>
      <c r="T12" s="676"/>
      <c r="U12" s="676"/>
      <c r="V12" s="676"/>
      <c r="W12" s="676"/>
      <c r="X12" s="676"/>
      <c r="Y12" s="676"/>
      <c r="Z12" s="676"/>
      <c r="AA12" s="676"/>
      <c r="AB12" s="676"/>
      <c r="AC12" s="676"/>
      <c r="AD12" s="676"/>
      <c r="AE12" s="676"/>
      <c r="AF12" s="676"/>
      <c r="AG12" s="676"/>
      <c r="AH12" s="676"/>
      <c r="AI12" s="676"/>
      <c r="AJ12" s="676"/>
      <c r="AK12" s="676"/>
      <c r="AL12" s="676"/>
      <c r="AM12" s="676"/>
      <c r="AN12" s="676"/>
      <c r="AO12" s="676"/>
      <c r="AP12" s="676"/>
      <c r="AQ12" s="676"/>
      <c r="AR12" s="676"/>
      <c r="AS12" s="676"/>
      <c r="AT12" s="676"/>
      <c r="AU12" s="676"/>
      <c r="CG12" s="669"/>
    </row>
    <row r="13" spans="1:85">
      <c r="A13" s="674"/>
      <c r="E13" s="676"/>
      <c r="F13" s="676"/>
      <c r="G13" s="676"/>
      <c r="H13" s="676"/>
      <c r="I13" s="676"/>
      <c r="J13" s="676"/>
      <c r="K13" s="676"/>
      <c r="L13" s="676"/>
      <c r="M13" s="676"/>
      <c r="N13" s="676"/>
      <c r="O13" s="676"/>
      <c r="P13" s="676"/>
      <c r="Q13" s="676"/>
      <c r="R13" s="676"/>
      <c r="S13" s="676"/>
      <c r="T13" s="676"/>
      <c r="U13" s="676"/>
      <c r="V13" s="676"/>
      <c r="W13" s="676"/>
      <c r="X13" s="676"/>
      <c r="Y13" s="676"/>
      <c r="Z13" s="676"/>
      <c r="AA13" s="676"/>
      <c r="AB13" s="676"/>
      <c r="AC13" s="676"/>
      <c r="AD13" s="676"/>
      <c r="AE13" s="676"/>
      <c r="AF13" s="676"/>
      <c r="AG13" s="676"/>
      <c r="AH13" s="676"/>
      <c r="AI13" s="676"/>
      <c r="AJ13" s="676"/>
      <c r="AK13" s="676"/>
      <c r="AL13" s="676"/>
      <c r="AM13" s="676"/>
      <c r="AN13" s="676"/>
      <c r="AO13" s="676"/>
      <c r="AP13" s="676"/>
      <c r="AQ13" s="676"/>
      <c r="AR13" s="676"/>
      <c r="AS13" s="676"/>
      <c r="AT13" s="676"/>
      <c r="AU13" s="676"/>
      <c r="CG13" s="669"/>
    </row>
    <row r="14" spans="1:85">
      <c r="A14" s="674"/>
      <c r="E14" s="676"/>
      <c r="F14" s="676"/>
      <c r="G14" s="676"/>
      <c r="H14" s="676"/>
      <c r="I14" s="676"/>
      <c r="J14" s="676"/>
      <c r="K14" s="676"/>
      <c r="L14" s="676"/>
      <c r="M14" s="676"/>
      <c r="N14" s="676"/>
      <c r="O14" s="676"/>
      <c r="P14" s="676"/>
      <c r="Q14" s="676"/>
      <c r="R14" s="676"/>
      <c r="S14" s="676"/>
      <c r="T14" s="676"/>
      <c r="U14" s="676"/>
      <c r="V14" s="676"/>
      <c r="W14" s="676"/>
      <c r="X14" s="676"/>
      <c r="Y14" s="676"/>
      <c r="Z14" s="676"/>
      <c r="AA14" s="676"/>
      <c r="AB14" s="676"/>
      <c r="AC14" s="676"/>
      <c r="AD14" s="676"/>
      <c r="AE14" s="676"/>
      <c r="AF14" s="676"/>
      <c r="AG14" s="676"/>
      <c r="AH14" s="676"/>
      <c r="AI14" s="676"/>
      <c r="AJ14" s="676"/>
      <c r="AK14" s="676"/>
      <c r="AL14" s="676"/>
      <c r="AM14" s="676"/>
      <c r="AN14" s="676"/>
      <c r="AO14" s="676"/>
      <c r="AP14" s="676"/>
      <c r="AQ14" s="676"/>
      <c r="AR14" s="676"/>
      <c r="AS14" s="676"/>
      <c r="AT14" s="676"/>
      <c r="AU14" s="676"/>
      <c r="CG14" s="669"/>
    </row>
    <row r="15" spans="1:85">
      <c r="A15" s="674"/>
      <c r="E15" s="676"/>
      <c r="F15" s="676"/>
      <c r="G15" s="676"/>
      <c r="H15" s="676"/>
      <c r="I15" s="676"/>
      <c r="J15" s="676"/>
      <c r="K15" s="676"/>
      <c r="L15" s="676"/>
      <c r="M15" s="676"/>
      <c r="N15" s="676"/>
      <c r="O15" s="676"/>
      <c r="P15" s="676"/>
      <c r="Q15" s="676"/>
      <c r="R15" s="676"/>
      <c r="S15" s="676"/>
      <c r="T15" s="676"/>
      <c r="U15" s="676"/>
      <c r="V15" s="676"/>
      <c r="W15" s="676"/>
      <c r="X15" s="676"/>
      <c r="Y15" s="676"/>
      <c r="Z15" s="676"/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CG15" s="669"/>
    </row>
    <row r="16" spans="1:85">
      <c r="A16" s="674"/>
      <c r="E16" s="676"/>
      <c r="F16" s="676"/>
      <c r="G16" s="676"/>
      <c r="H16" s="676"/>
      <c r="I16" s="676"/>
      <c r="J16" s="676"/>
      <c r="K16" s="676"/>
      <c r="L16" s="676"/>
      <c r="M16" s="676"/>
      <c r="N16" s="676"/>
      <c r="O16" s="676"/>
      <c r="P16" s="676"/>
      <c r="Q16" s="676"/>
      <c r="R16" s="676"/>
      <c r="S16" s="676"/>
      <c r="T16" s="676"/>
      <c r="U16" s="676"/>
      <c r="V16" s="676"/>
      <c r="W16" s="676"/>
      <c r="X16" s="676"/>
      <c r="Y16" s="676"/>
      <c r="Z16" s="676"/>
      <c r="AA16" s="676"/>
      <c r="AB16" s="676"/>
      <c r="AC16" s="676"/>
      <c r="AD16" s="676"/>
      <c r="AE16" s="676"/>
      <c r="AF16" s="676"/>
      <c r="AG16" s="676"/>
      <c r="AH16" s="676"/>
      <c r="AI16" s="676"/>
      <c r="AJ16" s="676"/>
      <c r="AK16" s="676"/>
      <c r="AL16" s="676"/>
      <c r="AM16" s="676"/>
      <c r="AN16" s="676"/>
      <c r="AO16" s="676"/>
      <c r="AP16" s="676"/>
      <c r="AQ16" s="676"/>
      <c r="AR16" s="676"/>
      <c r="AS16" s="676"/>
      <c r="AT16" s="676"/>
      <c r="AU16" s="676"/>
      <c r="CG16" s="669"/>
    </row>
    <row r="17" spans="1:85">
      <c r="A17" s="674"/>
      <c r="E17" s="676"/>
      <c r="F17" s="676"/>
      <c r="G17" s="676"/>
      <c r="H17" s="676"/>
      <c r="I17" s="676"/>
      <c r="J17" s="676"/>
      <c r="K17" s="676"/>
      <c r="L17" s="676"/>
      <c r="M17" s="676"/>
      <c r="N17" s="676"/>
      <c r="O17" s="676"/>
      <c r="P17" s="676"/>
      <c r="Q17" s="676"/>
      <c r="R17" s="676"/>
      <c r="S17" s="676"/>
      <c r="T17" s="676"/>
      <c r="U17" s="676"/>
      <c r="V17" s="676"/>
      <c r="W17" s="676"/>
      <c r="X17" s="676"/>
      <c r="Y17" s="676"/>
      <c r="Z17" s="676"/>
      <c r="AA17" s="676"/>
      <c r="AB17" s="676"/>
      <c r="AC17" s="676"/>
      <c r="AD17" s="676"/>
      <c r="AE17" s="676"/>
      <c r="AF17" s="676"/>
      <c r="AG17" s="676"/>
      <c r="AH17" s="676"/>
      <c r="AI17" s="676"/>
      <c r="AJ17" s="676"/>
      <c r="AK17" s="676"/>
      <c r="AL17" s="676"/>
      <c r="AM17" s="676"/>
      <c r="AN17" s="676"/>
      <c r="AO17" s="676"/>
      <c r="AP17" s="676"/>
      <c r="AQ17" s="676"/>
      <c r="AR17" s="676"/>
      <c r="AS17" s="676"/>
      <c r="AT17" s="676"/>
      <c r="AU17" s="676"/>
      <c r="CG17" s="669"/>
    </row>
    <row r="18" spans="1:85">
      <c r="A18" s="674"/>
      <c r="E18" s="676"/>
      <c r="F18" s="676"/>
      <c r="G18" s="676"/>
      <c r="H18" s="676"/>
      <c r="I18" s="676"/>
      <c r="J18" s="676"/>
      <c r="K18" s="676"/>
      <c r="L18" s="676"/>
      <c r="M18" s="676"/>
      <c r="N18" s="676"/>
      <c r="O18" s="676"/>
      <c r="P18" s="676"/>
      <c r="Q18" s="676"/>
      <c r="R18" s="676"/>
      <c r="S18" s="676"/>
      <c r="T18" s="676"/>
      <c r="U18" s="676"/>
      <c r="V18" s="676"/>
      <c r="W18" s="676"/>
      <c r="X18" s="676"/>
      <c r="Y18" s="676"/>
      <c r="Z18" s="676"/>
      <c r="AA18" s="676"/>
      <c r="AB18" s="676"/>
      <c r="AC18" s="676"/>
      <c r="AD18" s="676"/>
      <c r="AE18" s="676"/>
      <c r="AF18" s="676"/>
      <c r="AG18" s="676"/>
      <c r="AH18" s="676"/>
      <c r="AI18" s="676"/>
      <c r="AJ18" s="676"/>
      <c r="AK18" s="676"/>
      <c r="AL18" s="676"/>
      <c r="AM18" s="676"/>
      <c r="AN18" s="676"/>
      <c r="AO18" s="676"/>
      <c r="AP18" s="676"/>
      <c r="AQ18" s="676"/>
      <c r="AR18" s="676"/>
      <c r="AS18" s="676"/>
      <c r="AT18" s="676"/>
      <c r="AU18" s="676"/>
      <c r="CG18" s="669"/>
    </row>
    <row r="19" spans="1:85">
      <c r="A19" s="674"/>
      <c r="E19" s="676"/>
      <c r="F19" s="676"/>
      <c r="G19" s="676"/>
      <c r="H19" s="676"/>
      <c r="I19" s="676"/>
      <c r="J19" s="676"/>
      <c r="K19" s="676"/>
      <c r="L19" s="676"/>
      <c r="M19" s="676"/>
      <c r="N19" s="676"/>
      <c r="O19" s="676"/>
      <c r="P19" s="676"/>
      <c r="Q19" s="676"/>
      <c r="R19" s="676"/>
      <c r="S19" s="676"/>
      <c r="T19" s="676"/>
      <c r="U19" s="676"/>
      <c r="V19" s="676"/>
      <c r="W19" s="676"/>
      <c r="X19" s="676"/>
      <c r="Y19" s="676"/>
      <c r="Z19" s="676"/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CG19" s="669"/>
    </row>
    <row r="20" spans="1:85">
      <c r="A20" s="674"/>
      <c r="E20" s="676"/>
      <c r="F20" s="676"/>
      <c r="G20" s="676"/>
      <c r="H20" s="676"/>
      <c r="I20" s="676"/>
      <c r="J20" s="676"/>
      <c r="K20" s="676"/>
      <c r="L20" s="676"/>
      <c r="M20" s="676"/>
      <c r="N20" s="676"/>
      <c r="O20" s="676"/>
      <c r="P20" s="676"/>
      <c r="Q20" s="676"/>
      <c r="R20" s="676"/>
      <c r="S20" s="676"/>
      <c r="T20" s="676"/>
      <c r="U20" s="676"/>
      <c r="V20" s="676"/>
      <c r="W20" s="676"/>
      <c r="X20" s="676"/>
      <c r="Y20" s="676"/>
      <c r="Z20" s="676"/>
      <c r="AA20" s="676"/>
      <c r="AB20" s="676"/>
      <c r="AC20" s="676"/>
      <c r="AD20" s="676"/>
      <c r="AE20" s="676"/>
      <c r="AF20" s="676"/>
      <c r="AG20" s="676"/>
      <c r="AH20" s="676"/>
      <c r="AI20" s="676"/>
      <c r="AJ20" s="676"/>
      <c r="AK20" s="676"/>
      <c r="AL20" s="676"/>
      <c r="AM20" s="676"/>
      <c r="AN20" s="676"/>
      <c r="AO20" s="676"/>
      <c r="AP20" s="676"/>
      <c r="AQ20" s="676"/>
      <c r="AR20" s="676"/>
      <c r="AS20" s="676"/>
      <c r="AT20" s="676"/>
      <c r="AU20" s="676"/>
      <c r="CG20" s="669"/>
    </row>
    <row r="21" spans="1:85">
      <c r="A21" s="674"/>
      <c r="E21" s="676"/>
      <c r="F21" s="676"/>
      <c r="G21" s="676"/>
      <c r="H21" s="676"/>
      <c r="I21" s="676"/>
      <c r="J21" s="676"/>
      <c r="K21" s="676"/>
      <c r="L21" s="676"/>
      <c r="M21" s="676"/>
      <c r="N21" s="676"/>
      <c r="O21" s="676"/>
      <c r="P21" s="676"/>
      <c r="Q21" s="676"/>
      <c r="R21" s="676"/>
      <c r="S21" s="676"/>
      <c r="T21" s="676"/>
      <c r="U21" s="676"/>
      <c r="V21" s="676"/>
      <c r="W21" s="676"/>
      <c r="X21" s="676"/>
      <c r="Y21" s="676"/>
      <c r="Z21" s="676"/>
      <c r="AA21" s="676"/>
      <c r="AB21" s="676"/>
      <c r="AC21" s="676"/>
      <c r="AD21" s="676"/>
      <c r="AE21" s="676"/>
      <c r="AF21" s="676"/>
      <c r="AG21" s="676"/>
      <c r="AH21" s="676"/>
      <c r="AI21" s="676"/>
      <c r="AJ21" s="676"/>
      <c r="AK21" s="676"/>
      <c r="AL21" s="676"/>
      <c r="AM21" s="676"/>
      <c r="AN21" s="676"/>
      <c r="AO21" s="676"/>
      <c r="AP21" s="676"/>
      <c r="AQ21" s="676"/>
      <c r="AR21" s="676"/>
      <c r="AS21" s="676"/>
      <c r="AT21" s="676"/>
      <c r="AU21" s="676"/>
      <c r="CG21" s="669"/>
    </row>
    <row r="22" spans="1:85">
      <c r="A22" s="674"/>
      <c r="E22" s="676"/>
      <c r="F22" s="676"/>
      <c r="G22" s="676"/>
      <c r="H22" s="676"/>
      <c r="I22" s="676"/>
      <c r="J22" s="676"/>
      <c r="K22" s="676"/>
      <c r="L22" s="676"/>
      <c r="M22" s="676"/>
      <c r="N22" s="676"/>
      <c r="O22" s="676"/>
      <c r="P22" s="676"/>
      <c r="Q22" s="676"/>
      <c r="R22" s="676"/>
      <c r="S22" s="676"/>
      <c r="T22" s="676"/>
      <c r="U22" s="676"/>
      <c r="V22" s="676"/>
      <c r="W22" s="676"/>
      <c r="X22" s="676"/>
      <c r="Y22" s="676"/>
      <c r="Z22" s="676"/>
      <c r="AA22" s="676"/>
      <c r="AB22" s="676"/>
      <c r="AC22" s="676"/>
      <c r="AD22" s="676"/>
      <c r="AE22" s="676"/>
      <c r="AF22" s="676"/>
      <c r="AG22" s="676"/>
      <c r="AH22" s="676"/>
      <c r="AI22" s="676"/>
      <c r="AJ22" s="676"/>
      <c r="AK22" s="676"/>
      <c r="AL22" s="676"/>
      <c r="AM22" s="676"/>
      <c r="AN22" s="676"/>
      <c r="AO22" s="676"/>
      <c r="AP22" s="676"/>
      <c r="AQ22" s="676"/>
      <c r="AR22" s="676"/>
      <c r="AS22" s="676"/>
      <c r="AT22" s="676"/>
      <c r="AU22" s="676"/>
      <c r="CG22" s="669"/>
    </row>
    <row r="23" spans="1:85">
      <c r="A23" s="674"/>
      <c r="E23" s="676"/>
      <c r="F23" s="676"/>
      <c r="G23" s="676"/>
      <c r="H23" s="676"/>
      <c r="I23" s="676"/>
      <c r="J23" s="676"/>
      <c r="K23" s="676"/>
      <c r="L23" s="676"/>
      <c r="M23" s="676"/>
      <c r="N23" s="676"/>
      <c r="O23" s="676"/>
      <c r="P23" s="676"/>
      <c r="Q23" s="676"/>
      <c r="R23" s="676"/>
      <c r="S23" s="676"/>
      <c r="T23" s="676"/>
      <c r="U23" s="676"/>
      <c r="V23" s="676"/>
      <c r="W23" s="676"/>
      <c r="X23" s="676"/>
      <c r="Y23" s="676"/>
      <c r="Z23" s="676"/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CG23" s="669"/>
    </row>
    <row r="24" spans="1:85">
      <c r="A24" s="674"/>
      <c r="E24" s="676"/>
      <c r="F24" s="676"/>
      <c r="G24" s="676"/>
      <c r="H24" s="676"/>
      <c r="I24" s="676"/>
      <c r="J24" s="676"/>
      <c r="K24" s="676"/>
      <c r="L24" s="676"/>
      <c r="M24" s="676"/>
      <c r="N24" s="676"/>
      <c r="O24" s="676"/>
      <c r="P24" s="676"/>
      <c r="Q24" s="676"/>
      <c r="R24" s="676"/>
      <c r="S24" s="676"/>
      <c r="T24" s="676"/>
      <c r="U24" s="676"/>
      <c r="V24" s="676"/>
      <c r="W24" s="676"/>
      <c r="X24" s="676"/>
      <c r="Y24" s="676"/>
      <c r="Z24" s="676"/>
      <c r="AA24" s="676"/>
      <c r="AB24" s="676"/>
      <c r="AC24" s="676"/>
      <c r="AD24" s="676"/>
      <c r="AE24" s="676"/>
      <c r="AF24" s="676"/>
      <c r="AG24" s="676"/>
      <c r="AH24" s="676"/>
      <c r="AI24" s="676"/>
      <c r="AJ24" s="676"/>
      <c r="AK24" s="676"/>
      <c r="AL24" s="676"/>
      <c r="AM24" s="676"/>
      <c r="AN24" s="676"/>
      <c r="AO24" s="676"/>
      <c r="AP24" s="676"/>
      <c r="AQ24" s="676"/>
      <c r="AR24" s="676"/>
      <c r="AS24" s="676"/>
      <c r="AT24" s="676"/>
      <c r="AU24" s="676"/>
      <c r="CG24" s="669"/>
    </row>
    <row r="25" spans="1:85">
      <c r="A25" s="674"/>
      <c r="E25" s="676"/>
      <c r="F25" s="676"/>
      <c r="G25" s="676"/>
      <c r="H25" s="676"/>
      <c r="I25" s="676"/>
      <c r="J25" s="676"/>
      <c r="K25" s="676"/>
      <c r="L25" s="676"/>
      <c r="M25" s="676"/>
      <c r="N25" s="676"/>
      <c r="O25" s="676"/>
      <c r="P25" s="676"/>
      <c r="Q25" s="676"/>
      <c r="R25" s="676"/>
      <c r="S25" s="676"/>
      <c r="T25" s="676"/>
      <c r="U25" s="676"/>
      <c r="V25" s="676"/>
      <c r="W25" s="676"/>
      <c r="X25" s="676"/>
      <c r="Y25" s="676"/>
      <c r="Z25" s="676"/>
      <c r="AA25" s="676"/>
      <c r="AB25" s="676"/>
      <c r="AC25" s="676"/>
      <c r="AD25" s="676"/>
      <c r="AE25" s="676"/>
      <c r="AF25" s="676"/>
      <c r="AG25" s="676"/>
      <c r="AH25" s="676"/>
      <c r="AI25" s="676"/>
      <c r="AJ25" s="676"/>
      <c r="AK25" s="676"/>
      <c r="AL25" s="676"/>
      <c r="AM25" s="676"/>
      <c r="AN25" s="676"/>
      <c r="AO25" s="676"/>
      <c r="AP25" s="676"/>
      <c r="AQ25" s="676"/>
      <c r="AR25" s="676"/>
      <c r="AS25" s="676"/>
      <c r="AT25" s="676"/>
      <c r="AU25" s="676"/>
      <c r="CG25" s="669"/>
    </row>
    <row r="26" spans="1:85">
      <c r="A26" s="674"/>
      <c r="E26" s="676"/>
      <c r="F26" s="676"/>
      <c r="G26" s="676"/>
      <c r="H26" s="676"/>
      <c r="I26" s="676"/>
      <c r="J26" s="676"/>
      <c r="K26" s="676"/>
      <c r="L26" s="676"/>
      <c r="M26" s="676"/>
      <c r="N26" s="676"/>
      <c r="O26" s="676"/>
      <c r="P26" s="676"/>
      <c r="Q26" s="676"/>
      <c r="R26" s="676"/>
      <c r="S26" s="676"/>
      <c r="T26" s="676"/>
      <c r="U26" s="676"/>
      <c r="V26" s="676"/>
      <c r="W26" s="676"/>
      <c r="X26" s="676"/>
      <c r="Y26" s="676"/>
      <c r="Z26" s="676"/>
      <c r="AA26" s="676"/>
      <c r="AB26" s="676"/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676"/>
      <c r="AQ26" s="676"/>
      <c r="AR26" s="676"/>
      <c r="AS26" s="676"/>
      <c r="AT26" s="676"/>
      <c r="AU26" s="676"/>
      <c r="CG26" s="669"/>
    </row>
    <row r="27" spans="1:85">
      <c r="A27" s="674"/>
      <c r="E27" s="676"/>
      <c r="F27" s="676"/>
      <c r="G27" s="676"/>
      <c r="H27" s="676"/>
      <c r="I27" s="676"/>
      <c r="J27" s="676"/>
      <c r="K27" s="676"/>
      <c r="L27" s="676"/>
      <c r="M27" s="676"/>
      <c r="N27" s="676"/>
      <c r="O27" s="676"/>
      <c r="P27" s="676"/>
      <c r="Q27" s="676"/>
      <c r="R27" s="676"/>
      <c r="S27" s="676"/>
      <c r="T27" s="676"/>
      <c r="U27" s="676"/>
      <c r="V27" s="676"/>
      <c r="W27" s="676"/>
      <c r="X27" s="676"/>
      <c r="Y27" s="676"/>
      <c r="Z27" s="676"/>
      <c r="AA27" s="676"/>
      <c r="AB27" s="676"/>
      <c r="AC27" s="676"/>
      <c r="AD27" s="676"/>
      <c r="AE27" s="676"/>
      <c r="AF27" s="676"/>
      <c r="AG27" s="676"/>
      <c r="AH27" s="676"/>
      <c r="AI27" s="676"/>
      <c r="AJ27" s="676"/>
      <c r="AK27" s="676"/>
      <c r="AL27" s="676"/>
      <c r="AM27" s="676"/>
      <c r="AN27" s="676"/>
      <c r="AO27" s="676"/>
      <c r="AP27" s="676"/>
      <c r="AQ27" s="676"/>
      <c r="AR27" s="676"/>
      <c r="AS27" s="676"/>
      <c r="AT27" s="676"/>
      <c r="AU27" s="676"/>
      <c r="CG27" s="669"/>
    </row>
    <row r="28" spans="1:85">
      <c r="A28" s="674"/>
      <c r="E28" s="676"/>
      <c r="F28" s="676"/>
      <c r="G28" s="676"/>
      <c r="H28" s="676"/>
      <c r="I28" s="676"/>
      <c r="J28" s="676"/>
      <c r="K28" s="676"/>
      <c r="L28" s="676"/>
      <c r="M28" s="676"/>
      <c r="N28" s="676"/>
      <c r="O28" s="676"/>
      <c r="P28" s="676"/>
      <c r="Q28" s="676"/>
      <c r="R28" s="676"/>
      <c r="S28" s="676"/>
      <c r="T28" s="676"/>
      <c r="U28" s="676"/>
      <c r="V28" s="676"/>
      <c r="W28" s="676"/>
      <c r="X28" s="676"/>
      <c r="Y28" s="676"/>
      <c r="Z28" s="676"/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CG28" s="669"/>
    </row>
    <row r="29" spans="1:85">
      <c r="A29" s="674"/>
      <c r="E29" s="676"/>
      <c r="F29" s="676"/>
      <c r="G29" s="676"/>
      <c r="H29" s="676"/>
      <c r="I29" s="676"/>
      <c r="J29" s="676"/>
      <c r="K29" s="676"/>
      <c r="L29" s="676"/>
      <c r="M29" s="676"/>
      <c r="N29" s="676"/>
      <c r="O29" s="676"/>
      <c r="P29" s="676"/>
      <c r="Q29" s="676"/>
      <c r="R29" s="676"/>
      <c r="S29" s="676"/>
      <c r="T29" s="676"/>
      <c r="U29" s="676"/>
      <c r="V29" s="676"/>
      <c r="W29" s="676"/>
      <c r="X29" s="676"/>
      <c r="Y29" s="676"/>
      <c r="Z29" s="676"/>
      <c r="AA29" s="676"/>
      <c r="AB29" s="676"/>
      <c r="AC29" s="676"/>
      <c r="AD29" s="676"/>
      <c r="AE29" s="676"/>
      <c r="AF29" s="676"/>
      <c r="AG29" s="676"/>
      <c r="AH29" s="676"/>
      <c r="AI29" s="676"/>
      <c r="AJ29" s="676"/>
      <c r="AK29" s="676"/>
      <c r="AL29" s="676"/>
      <c r="AM29" s="676"/>
      <c r="AN29" s="676"/>
      <c r="AO29" s="676"/>
      <c r="AP29" s="676"/>
      <c r="AQ29" s="676"/>
      <c r="AR29" s="676"/>
      <c r="AS29" s="676"/>
      <c r="AT29" s="676"/>
      <c r="AU29" s="676"/>
      <c r="CG29" s="669"/>
    </row>
    <row r="30" spans="1:85">
      <c r="A30" s="674"/>
      <c r="E30" s="676"/>
      <c r="F30" s="676"/>
      <c r="G30" s="676"/>
      <c r="H30" s="676"/>
      <c r="I30" s="676"/>
      <c r="J30" s="676"/>
      <c r="K30" s="676"/>
      <c r="L30" s="676"/>
      <c r="M30" s="676"/>
      <c r="N30" s="676"/>
      <c r="O30" s="676"/>
      <c r="P30" s="676"/>
      <c r="Q30" s="676"/>
      <c r="R30" s="676"/>
      <c r="S30" s="676"/>
      <c r="T30" s="676"/>
      <c r="U30" s="676"/>
      <c r="V30" s="676"/>
      <c r="W30" s="676"/>
      <c r="X30" s="676"/>
      <c r="Y30" s="676"/>
      <c r="Z30" s="676"/>
      <c r="AA30" s="676"/>
      <c r="AB30" s="676"/>
      <c r="AC30" s="676"/>
      <c r="AD30" s="676"/>
      <c r="AE30" s="676"/>
      <c r="AF30" s="676"/>
      <c r="AG30" s="676"/>
      <c r="AH30" s="676"/>
      <c r="AI30" s="676"/>
      <c r="AJ30" s="676"/>
      <c r="AK30" s="676"/>
      <c r="AL30" s="676"/>
      <c r="AM30" s="676"/>
      <c r="AN30" s="676"/>
      <c r="AO30" s="676"/>
      <c r="AP30" s="676"/>
      <c r="AQ30" s="676"/>
      <c r="AR30" s="676"/>
      <c r="AS30" s="676"/>
      <c r="AT30" s="676"/>
      <c r="AU30" s="676"/>
      <c r="CG30" s="669"/>
    </row>
    <row r="31" spans="1:85">
      <c r="A31" s="674"/>
      <c r="E31" s="676"/>
      <c r="F31" s="676"/>
      <c r="G31" s="676"/>
      <c r="H31" s="676"/>
      <c r="I31" s="676"/>
      <c r="J31" s="676"/>
      <c r="K31" s="676"/>
      <c r="L31" s="676"/>
      <c r="M31" s="676"/>
      <c r="N31" s="676"/>
      <c r="O31" s="676"/>
      <c r="P31" s="676"/>
      <c r="Q31" s="676"/>
      <c r="R31" s="676"/>
      <c r="S31" s="676"/>
      <c r="T31" s="676"/>
      <c r="U31" s="676"/>
      <c r="V31" s="676"/>
      <c r="W31" s="676"/>
      <c r="X31" s="676"/>
      <c r="Y31" s="676"/>
      <c r="Z31" s="676"/>
      <c r="AA31" s="676"/>
      <c r="AB31" s="676"/>
      <c r="AC31" s="676"/>
      <c r="AD31" s="676"/>
      <c r="AE31" s="676"/>
      <c r="AF31" s="676"/>
      <c r="AG31" s="676"/>
      <c r="AH31" s="676"/>
      <c r="AI31" s="676"/>
      <c r="AJ31" s="676"/>
      <c r="AK31" s="676"/>
      <c r="AL31" s="676"/>
      <c r="AM31" s="676"/>
      <c r="AN31" s="676"/>
      <c r="AO31" s="676"/>
      <c r="AP31" s="676"/>
      <c r="AQ31" s="676"/>
      <c r="AR31" s="676"/>
      <c r="AS31" s="676"/>
      <c r="AT31" s="676"/>
      <c r="AU31" s="676"/>
      <c r="CG31" s="669"/>
    </row>
    <row r="32" spans="1:85">
      <c r="A32" s="674"/>
      <c r="E32" s="676"/>
      <c r="F32" s="676"/>
      <c r="G32" s="676"/>
      <c r="H32" s="676"/>
      <c r="I32" s="676"/>
      <c r="J32" s="676"/>
      <c r="K32" s="676"/>
      <c r="L32" s="676"/>
      <c r="M32" s="676"/>
      <c r="N32" s="676"/>
      <c r="O32" s="676"/>
      <c r="P32" s="676"/>
      <c r="Q32" s="676"/>
      <c r="R32" s="676"/>
      <c r="S32" s="676"/>
      <c r="T32" s="676"/>
      <c r="U32" s="676"/>
      <c r="V32" s="676"/>
      <c r="W32" s="676"/>
      <c r="X32" s="676"/>
      <c r="Y32" s="676"/>
      <c r="Z32" s="676"/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CG32" s="669"/>
    </row>
    <row r="33" spans="1:85">
      <c r="A33" s="674"/>
      <c r="E33" s="676"/>
      <c r="F33" s="676"/>
      <c r="G33" s="676"/>
      <c r="H33" s="676"/>
      <c r="I33" s="676"/>
      <c r="J33" s="676"/>
      <c r="K33" s="676"/>
      <c r="L33" s="676"/>
      <c r="M33" s="676"/>
      <c r="N33" s="676"/>
      <c r="O33" s="676"/>
      <c r="P33" s="676"/>
      <c r="Q33" s="676"/>
      <c r="R33" s="676"/>
      <c r="S33" s="676"/>
      <c r="T33" s="676"/>
      <c r="U33" s="676"/>
      <c r="V33" s="676"/>
      <c r="W33" s="676"/>
      <c r="X33" s="676"/>
      <c r="Y33" s="676"/>
      <c r="Z33" s="676"/>
      <c r="AA33" s="676"/>
      <c r="AB33" s="676"/>
      <c r="AC33" s="676"/>
      <c r="AD33" s="676"/>
      <c r="AE33" s="676"/>
      <c r="AF33" s="676"/>
      <c r="AG33" s="676"/>
      <c r="AH33" s="676"/>
      <c r="AI33" s="676"/>
      <c r="AJ33" s="676"/>
      <c r="AK33" s="676"/>
      <c r="AL33" s="676"/>
      <c r="AM33" s="676"/>
      <c r="AN33" s="676"/>
      <c r="AO33" s="676"/>
      <c r="AP33" s="676"/>
      <c r="AQ33" s="676"/>
      <c r="AR33" s="676"/>
      <c r="AS33" s="676"/>
      <c r="AT33" s="676"/>
      <c r="AU33" s="676"/>
      <c r="CG33" s="669"/>
    </row>
    <row r="34" spans="1:85">
      <c r="A34" s="674"/>
      <c r="E34" s="676"/>
      <c r="F34" s="676"/>
      <c r="G34" s="676"/>
      <c r="H34" s="676"/>
      <c r="I34" s="676"/>
      <c r="J34" s="676"/>
      <c r="K34" s="676"/>
      <c r="L34" s="676"/>
      <c r="M34" s="676"/>
      <c r="N34" s="676"/>
      <c r="O34" s="676"/>
      <c r="P34" s="676"/>
      <c r="Q34" s="676"/>
      <c r="R34" s="676"/>
      <c r="S34" s="676"/>
      <c r="T34" s="676"/>
      <c r="U34" s="676"/>
      <c r="V34" s="676"/>
      <c r="W34" s="676"/>
      <c r="X34" s="676"/>
      <c r="Y34" s="676"/>
      <c r="Z34" s="676"/>
      <c r="AA34" s="676"/>
      <c r="AB34" s="676"/>
      <c r="AC34" s="676"/>
      <c r="AD34" s="676"/>
      <c r="AE34" s="676"/>
      <c r="AF34" s="676"/>
      <c r="AG34" s="676"/>
      <c r="AH34" s="676"/>
      <c r="AI34" s="676"/>
      <c r="AJ34" s="676"/>
      <c r="AK34" s="676"/>
      <c r="AL34" s="676"/>
      <c r="AM34" s="676"/>
      <c r="AN34" s="676"/>
      <c r="AO34" s="676"/>
      <c r="AP34" s="676"/>
      <c r="AQ34" s="676"/>
      <c r="AR34" s="676"/>
      <c r="AS34" s="676"/>
      <c r="AT34" s="676"/>
      <c r="AU34" s="676"/>
      <c r="CG34" s="669"/>
    </row>
    <row r="35" spans="1:85">
      <c r="A35" s="674"/>
      <c r="E35" s="676"/>
      <c r="F35" s="676"/>
      <c r="G35" s="676"/>
      <c r="H35" s="676"/>
      <c r="I35" s="676"/>
      <c r="J35" s="676"/>
      <c r="K35" s="676"/>
      <c r="L35" s="676"/>
      <c r="M35" s="676"/>
      <c r="N35" s="676"/>
      <c r="O35" s="676"/>
      <c r="P35" s="676"/>
      <c r="Q35" s="676"/>
      <c r="R35" s="676"/>
      <c r="S35" s="676"/>
      <c r="T35" s="676"/>
      <c r="U35" s="676"/>
      <c r="V35" s="676"/>
      <c r="W35" s="676"/>
      <c r="X35" s="676"/>
      <c r="Y35" s="676"/>
      <c r="Z35" s="676"/>
      <c r="AA35" s="676"/>
      <c r="AB35" s="676"/>
      <c r="AC35" s="676"/>
      <c r="AD35" s="676"/>
      <c r="AE35" s="676"/>
      <c r="AF35" s="676"/>
      <c r="AG35" s="676"/>
      <c r="AH35" s="676"/>
      <c r="AI35" s="676"/>
      <c r="AJ35" s="676"/>
      <c r="AK35" s="676"/>
      <c r="AL35" s="676"/>
      <c r="AM35" s="676"/>
      <c r="AN35" s="676"/>
      <c r="AO35" s="676"/>
      <c r="AP35" s="676"/>
      <c r="AQ35" s="676"/>
      <c r="AR35" s="676"/>
      <c r="AS35" s="676"/>
      <c r="AT35" s="676"/>
      <c r="AU35" s="676"/>
      <c r="CG35" s="669"/>
    </row>
    <row r="36" spans="1:85">
      <c r="A36" s="674"/>
      <c r="E36" s="676"/>
      <c r="F36" s="676"/>
      <c r="G36" s="676"/>
      <c r="H36" s="676"/>
      <c r="I36" s="676"/>
      <c r="J36" s="676"/>
      <c r="K36" s="676"/>
      <c r="L36" s="676"/>
      <c r="M36" s="676"/>
      <c r="N36" s="676"/>
      <c r="O36" s="676"/>
      <c r="P36" s="676"/>
      <c r="Q36" s="676"/>
      <c r="R36" s="676"/>
      <c r="S36" s="676"/>
      <c r="T36" s="676"/>
      <c r="U36" s="676"/>
      <c r="V36" s="676"/>
      <c r="W36" s="676"/>
      <c r="X36" s="676"/>
      <c r="Y36" s="676"/>
      <c r="Z36" s="676"/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CG36" s="669"/>
    </row>
    <row r="37" spans="1:85">
      <c r="A37" s="674"/>
      <c r="E37" s="676"/>
      <c r="F37" s="676"/>
      <c r="G37" s="676"/>
      <c r="H37" s="676"/>
      <c r="I37" s="676"/>
      <c r="J37" s="676"/>
      <c r="K37" s="676"/>
      <c r="L37" s="676"/>
      <c r="M37" s="676"/>
      <c r="N37" s="676"/>
      <c r="O37" s="676"/>
      <c r="P37" s="676"/>
      <c r="Q37" s="676"/>
      <c r="R37" s="676"/>
      <c r="S37" s="676"/>
      <c r="T37" s="676"/>
      <c r="U37" s="676"/>
      <c r="V37" s="676"/>
      <c r="W37" s="676"/>
      <c r="X37" s="676"/>
      <c r="Y37" s="676"/>
      <c r="Z37" s="676"/>
      <c r="AA37" s="676"/>
      <c r="AB37" s="676"/>
      <c r="AC37" s="676"/>
      <c r="AD37" s="676"/>
      <c r="AE37" s="676"/>
      <c r="AF37" s="676"/>
      <c r="AG37" s="676"/>
      <c r="AH37" s="676"/>
      <c r="AI37" s="676"/>
      <c r="AJ37" s="676"/>
      <c r="AK37" s="676"/>
      <c r="AL37" s="676"/>
      <c r="AM37" s="676"/>
      <c r="AN37" s="676"/>
      <c r="AO37" s="676"/>
      <c r="AP37" s="676"/>
      <c r="AQ37" s="676"/>
      <c r="AR37" s="676"/>
      <c r="AS37" s="676"/>
      <c r="AT37" s="676"/>
      <c r="AU37" s="676"/>
      <c r="CG37" s="669"/>
    </row>
    <row r="38" spans="1:85">
      <c r="A38" s="674"/>
      <c r="E38" s="676"/>
      <c r="F38" s="676"/>
      <c r="G38" s="676"/>
      <c r="H38" s="676"/>
      <c r="I38" s="676"/>
      <c r="J38" s="676"/>
      <c r="K38" s="676"/>
      <c r="L38" s="676"/>
      <c r="M38" s="676"/>
      <c r="N38" s="676"/>
      <c r="O38" s="676"/>
      <c r="P38" s="676"/>
      <c r="Q38" s="676"/>
      <c r="R38" s="676"/>
      <c r="S38" s="676"/>
      <c r="T38" s="676"/>
      <c r="U38" s="676"/>
      <c r="V38" s="676"/>
      <c r="W38" s="676"/>
      <c r="X38" s="676"/>
      <c r="Y38" s="676"/>
      <c r="Z38" s="676"/>
      <c r="AA38" s="676"/>
      <c r="AB38" s="676"/>
      <c r="AC38" s="676"/>
      <c r="AD38" s="676"/>
      <c r="AE38" s="676"/>
      <c r="AF38" s="676"/>
      <c r="AG38" s="676"/>
      <c r="AH38" s="676"/>
      <c r="AI38" s="676"/>
      <c r="AJ38" s="676"/>
      <c r="AK38" s="676"/>
      <c r="AL38" s="676"/>
      <c r="AM38" s="676"/>
      <c r="AN38" s="676"/>
      <c r="AO38" s="676"/>
      <c r="AP38" s="676"/>
      <c r="AQ38" s="676"/>
      <c r="AR38" s="676"/>
      <c r="AS38" s="676"/>
      <c r="AT38" s="676"/>
      <c r="AU38" s="676"/>
      <c r="CG38" s="669"/>
    </row>
    <row r="39" spans="1:85">
      <c r="A39" s="674"/>
      <c r="E39" s="676"/>
      <c r="F39" s="676"/>
      <c r="G39" s="676"/>
      <c r="H39" s="676"/>
      <c r="I39" s="676"/>
      <c r="J39" s="676"/>
      <c r="K39" s="676"/>
      <c r="L39" s="676"/>
      <c r="M39" s="676"/>
      <c r="N39" s="676"/>
      <c r="O39" s="676"/>
      <c r="P39" s="676"/>
      <c r="Q39" s="676"/>
      <c r="R39" s="676"/>
      <c r="S39" s="676"/>
      <c r="T39" s="676"/>
      <c r="U39" s="676"/>
      <c r="V39" s="676"/>
      <c r="W39" s="676"/>
      <c r="X39" s="676"/>
      <c r="Y39" s="676"/>
      <c r="Z39" s="676"/>
      <c r="AA39" s="676"/>
      <c r="AB39" s="676"/>
      <c r="AC39" s="676"/>
      <c r="AD39" s="676"/>
      <c r="AE39" s="676"/>
      <c r="AF39" s="676"/>
      <c r="AG39" s="676"/>
      <c r="AH39" s="676"/>
      <c r="AI39" s="676"/>
      <c r="AJ39" s="676"/>
      <c r="AK39" s="676"/>
      <c r="AL39" s="676"/>
      <c r="AM39" s="676"/>
      <c r="AN39" s="676"/>
      <c r="AO39" s="676"/>
      <c r="AP39" s="676"/>
      <c r="AQ39" s="676"/>
      <c r="AR39" s="676"/>
      <c r="AS39" s="676"/>
      <c r="AT39" s="676"/>
      <c r="AU39" s="676"/>
      <c r="CG39" s="669"/>
    </row>
    <row r="40" spans="1:85">
      <c r="A40" s="674"/>
      <c r="E40" s="676"/>
      <c r="F40" s="676"/>
      <c r="G40" s="676"/>
      <c r="H40" s="676"/>
      <c r="I40" s="676"/>
      <c r="J40" s="676"/>
      <c r="K40" s="676"/>
      <c r="L40" s="676"/>
      <c r="M40" s="676"/>
      <c r="N40" s="676"/>
      <c r="O40" s="676"/>
      <c r="P40" s="676"/>
      <c r="Q40" s="676"/>
      <c r="R40" s="676"/>
      <c r="S40" s="676"/>
      <c r="T40" s="676"/>
      <c r="U40" s="676"/>
      <c r="V40" s="676"/>
      <c r="W40" s="676"/>
      <c r="X40" s="676"/>
      <c r="Y40" s="676"/>
      <c r="Z40" s="676"/>
      <c r="AA40" s="676"/>
      <c r="AB40" s="676"/>
      <c r="AC40" s="676"/>
      <c r="AD40" s="676"/>
      <c r="AE40" s="676"/>
      <c r="AF40" s="676"/>
      <c r="AG40" s="676"/>
      <c r="AH40" s="676"/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CG40" s="669"/>
    </row>
    <row r="41" spans="1:85">
      <c r="A41" s="674"/>
      <c r="E41" s="676"/>
      <c r="F41" s="676"/>
      <c r="G41" s="676"/>
      <c r="H41" s="676"/>
      <c r="I41" s="676"/>
      <c r="J41" s="676"/>
      <c r="K41" s="676"/>
      <c r="L41" s="676"/>
      <c r="M41" s="676"/>
      <c r="N41" s="676"/>
      <c r="O41" s="676"/>
      <c r="P41" s="676"/>
      <c r="Q41" s="676"/>
      <c r="R41" s="676"/>
      <c r="S41" s="676"/>
      <c r="T41" s="676"/>
      <c r="U41" s="676"/>
      <c r="V41" s="676"/>
      <c r="W41" s="676"/>
      <c r="X41" s="676"/>
      <c r="Y41" s="676"/>
      <c r="Z41" s="676"/>
      <c r="AA41" s="676"/>
      <c r="AB41" s="676"/>
      <c r="AC41" s="676"/>
      <c r="AD41" s="676"/>
      <c r="AE41" s="676"/>
      <c r="AF41" s="676"/>
      <c r="AG41" s="676"/>
      <c r="AH41" s="676"/>
      <c r="AI41" s="676"/>
      <c r="AJ41" s="676"/>
      <c r="AK41" s="676"/>
      <c r="AL41" s="676"/>
      <c r="AM41" s="676"/>
      <c r="AN41" s="676"/>
      <c r="AO41" s="676"/>
      <c r="AP41" s="676"/>
      <c r="AQ41" s="676"/>
      <c r="AR41" s="676"/>
      <c r="AS41" s="676"/>
      <c r="AT41" s="676"/>
      <c r="AU41" s="676"/>
      <c r="CG41" s="669"/>
    </row>
    <row r="42" spans="1:85">
      <c r="A42" s="674"/>
      <c r="E42" s="676"/>
      <c r="F42" s="676"/>
      <c r="G42" s="676"/>
      <c r="H42" s="676"/>
      <c r="I42" s="676"/>
      <c r="J42" s="676"/>
      <c r="K42" s="676"/>
      <c r="L42" s="676"/>
      <c r="M42" s="676"/>
      <c r="N42" s="676"/>
      <c r="O42" s="676"/>
      <c r="P42" s="676"/>
      <c r="Q42" s="676"/>
      <c r="R42" s="676"/>
      <c r="S42" s="676"/>
      <c r="T42" s="676"/>
      <c r="U42" s="676"/>
      <c r="V42" s="676"/>
      <c r="W42" s="676"/>
      <c r="X42" s="676"/>
      <c r="Y42" s="676"/>
      <c r="Z42" s="676"/>
      <c r="AA42" s="676"/>
      <c r="AB42" s="676"/>
      <c r="AC42" s="676"/>
      <c r="AD42" s="676"/>
      <c r="AE42" s="676"/>
      <c r="AF42" s="676"/>
      <c r="AG42" s="676"/>
      <c r="AH42" s="676"/>
      <c r="AI42" s="676"/>
      <c r="AJ42" s="676"/>
      <c r="AK42" s="676"/>
      <c r="AL42" s="676"/>
      <c r="AM42" s="676"/>
      <c r="AN42" s="676"/>
      <c r="AO42" s="676"/>
      <c r="AP42" s="676"/>
      <c r="AQ42" s="676"/>
      <c r="AR42" s="676"/>
      <c r="AS42" s="676"/>
      <c r="AT42" s="676"/>
      <c r="AU42" s="676"/>
      <c r="CG42" s="669"/>
    </row>
    <row r="43" spans="1:85">
      <c r="A43" s="674"/>
      <c r="E43" s="676"/>
      <c r="F43" s="676"/>
      <c r="G43" s="676"/>
      <c r="H43" s="676"/>
      <c r="I43" s="676"/>
      <c r="J43" s="676"/>
      <c r="K43" s="676"/>
      <c r="L43" s="676"/>
      <c r="M43" s="676"/>
      <c r="N43" s="676"/>
      <c r="O43" s="676"/>
      <c r="P43" s="676"/>
      <c r="Q43" s="676"/>
      <c r="R43" s="676"/>
      <c r="S43" s="676"/>
      <c r="T43" s="676"/>
      <c r="U43" s="676"/>
      <c r="V43" s="676"/>
      <c r="W43" s="676"/>
      <c r="X43" s="676"/>
      <c r="Y43" s="676"/>
      <c r="Z43" s="676"/>
      <c r="AA43" s="676"/>
      <c r="AB43" s="676"/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676"/>
      <c r="AO43" s="676"/>
      <c r="AP43" s="676"/>
      <c r="AQ43" s="676"/>
      <c r="AR43" s="676"/>
      <c r="AS43" s="676"/>
      <c r="AT43" s="676"/>
      <c r="AU43" s="676"/>
      <c r="CG43" s="669"/>
    </row>
    <row r="44" spans="1:85">
      <c r="A44" s="674"/>
      <c r="E44" s="676"/>
      <c r="F44" s="676"/>
      <c r="G44" s="676"/>
      <c r="H44" s="676"/>
      <c r="I44" s="676"/>
      <c r="J44" s="676"/>
      <c r="K44" s="676"/>
      <c r="L44" s="676"/>
      <c r="M44" s="676"/>
      <c r="N44" s="676"/>
      <c r="O44" s="676"/>
      <c r="P44" s="676"/>
      <c r="Q44" s="676"/>
      <c r="R44" s="676"/>
      <c r="S44" s="676"/>
      <c r="T44" s="676"/>
      <c r="U44" s="676"/>
      <c r="V44" s="676"/>
      <c r="W44" s="676"/>
      <c r="X44" s="676"/>
      <c r="Y44" s="676"/>
      <c r="Z44" s="676"/>
      <c r="AA44" s="676"/>
      <c r="AB44" s="676"/>
      <c r="AC44" s="676"/>
      <c r="AD44" s="676"/>
      <c r="AE44" s="676"/>
      <c r="AF44" s="676"/>
      <c r="AG44" s="676"/>
      <c r="AH44" s="676"/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CG44" s="669"/>
    </row>
    <row r="45" spans="1:85">
      <c r="A45" s="674"/>
      <c r="E45" s="676"/>
      <c r="F45" s="676"/>
      <c r="G45" s="676"/>
      <c r="H45" s="676"/>
      <c r="I45" s="676"/>
      <c r="J45" s="676"/>
      <c r="K45" s="676"/>
      <c r="L45" s="676"/>
      <c r="M45" s="676"/>
      <c r="N45" s="676"/>
      <c r="O45" s="676"/>
      <c r="P45" s="676"/>
      <c r="Q45" s="676"/>
      <c r="R45" s="676"/>
      <c r="S45" s="676"/>
      <c r="T45" s="676"/>
      <c r="U45" s="676"/>
      <c r="V45" s="676"/>
      <c r="W45" s="676"/>
      <c r="X45" s="676"/>
      <c r="Y45" s="676"/>
      <c r="Z45" s="676"/>
      <c r="AA45" s="676"/>
      <c r="AB45" s="676"/>
      <c r="AC45" s="676"/>
      <c r="AD45" s="676"/>
      <c r="AE45" s="676"/>
      <c r="AF45" s="676"/>
      <c r="AG45" s="676"/>
      <c r="AH45" s="676"/>
      <c r="AI45" s="676"/>
      <c r="AJ45" s="676"/>
      <c r="AK45" s="676"/>
      <c r="AL45" s="676"/>
      <c r="AM45" s="676"/>
      <c r="AN45" s="676"/>
      <c r="AO45" s="676"/>
      <c r="AP45" s="676"/>
      <c r="AQ45" s="676"/>
      <c r="AR45" s="676"/>
      <c r="AS45" s="676"/>
      <c r="AT45" s="676"/>
      <c r="AU45" s="676"/>
      <c r="CG45" s="669"/>
    </row>
    <row r="46" spans="1:85">
      <c r="A46" s="674"/>
      <c r="E46" s="676"/>
      <c r="F46" s="676"/>
      <c r="G46" s="676"/>
      <c r="H46" s="676"/>
      <c r="I46" s="676"/>
      <c r="J46" s="676"/>
      <c r="K46" s="676"/>
      <c r="L46" s="676"/>
      <c r="M46" s="676"/>
      <c r="N46" s="676"/>
      <c r="O46" s="676"/>
      <c r="P46" s="676"/>
      <c r="Q46" s="676"/>
      <c r="R46" s="676"/>
      <c r="S46" s="676"/>
      <c r="T46" s="676"/>
      <c r="U46" s="676"/>
      <c r="V46" s="676"/>
      <c r="W46" s="676"/>
      <c r="X46" s="676"/>
      <c r="Y46" s="676"/>
      <c r="Z46" s="676"/>
      <c r="AA46" s="676"/>
      <c r="AB46" s="676"/>
      <c r="AC46" s="676"/>
      <c r="AD46" s="676"/>
      <c r="AE46" s="676"/>
      <c r="AF46" s="676"/>
      <c r="AG46" s="676"/>
      <c r="AH46" s="676"/>
      <c r="AI46" s="676"/>
      <c r="AJ46" s="676"/>
      <c r="AK46" s="676"/>
      <c r="AL46" s="676"/>
      <c r="AM46" s="676"/>
      <c r="AN46" s="676"/>
      <c r="AO46" s="676"/>
      <c r="AP46" s="676"/>
      <c r="AQ46" s="676"/>
      <c r="AR46" s="676"/>
      <c r="AS46" s="676"/>
      <c r="AT46" s="676"/>
      <c r="AU46" s="676"/>
      <c r="CG46" s="669"/>
    </row>
    <row r="47" spans="1:85">
      <c r="A47" s="674"/>
      <c r="E47" s="676"/>
      <c r="F47" s="676"/>
      <c r="G47" s="676"/>
      <c r="H47" s="676"/>
      <c r="I47" s="676"/>
      <c r="J47" s="676"/>
      <c r="K47" s="676"/>
      <c r="L47" s="676"/>
      <c r="M47" s="676"/>
      <c r="N47" s="676"/>
      <c r="O47" s="676"/>
      <c r="P47" s="676"/>
      <c r="Q47" s="676"/>
      <c r="R47" s="676"/>
      <c r="S47" s="676"/>
      <c r="T47" s="676"/>
      <c r="U47" s="676"/>
      <c r="V47" s="676"/>
      <c r="W47" s="676"/>
      <c r="X47" s="676"/>
      <c r="Y47" s="676"/>
      <c r="Z47" s="676"/>
      <c r="AA47" s="676"/>
      <c r="AB47" s="676"/>
      <c r="AC47" s="676"/>
      <c r="AD47" s="676"/>
      <c r="AE47" s="676"/>
      <c r="AF47" s="676"/>
      <c r="AG47" s="676"/>
      <c r="AH47" s="676"/>
      <c r="AI47" s="676"/>
      <c r="AJ47" s="676"/>
      <c r="AK47" s="676"/>
      <c r="AL47" s="676"/>
      <c r="AM47" s="676"/>
      <c r="AN47" s="676"/>
      <c r="AO47" s="676"/>
      <c r="AP47" s="676"/>
      <c r="AQ47" s="676"/>
      <c r="AR47" s="676"/>
      <c r="AS47" s="676"/>
      <c r="AT47" s="676"/>
      <c r="AU47" s="676"/>
      <c r="CG47" s="669"/>
    </row>
    <row r="48" spans="1:85">
      <c r="A48" s="674"/>
      <c r="E48" s="676"/>
      <c r="F48" s="676"/>
      <c r="G48" s="676"/>
      <c r="H48" s="676"/>
      <c r="I48" s="676"/>
      <c r="J48" s="676"/>
      <c r="K48" s="676"/>
      <c r="L48" s="676"/>
      <c r="M48" s="676"/>
      <c r="N48" s="676"/>
      <c r="O48" s="676"/>
      <c r="P48" s="676"/>
      <c r="Q48" s="676"/>
      <c r="R48" s="676"/>
      <c r="S48" s="676"/>
      <c r="T48" s="676"/>
      <c r="U48" s="676"/>
      <c r="V48" s="676"/>
      <c r="W48" s="676"/>
      <c r="X48" s="676"/>
      <c r="Y48" s="676"/>
      <c r="Z48" s="676"/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CG48" s="669"/>
    </row>
    <row r="49" spans="1:85">
      <c r="A49" s="674"/>
      <c r="E49" s="676"/>
      <c r="F49" s="676"/>
      <c r="G49" s="676"/>
      <c r="H49" s="676"/>
      <c r="I49" s="676"/>
      <c r="J49" s="676"/>
      <c r="K49" s="676"/>
      <c r="L49" s="676"/>
      <c r="M49" s="676"/>
      <c r="N49" s="676"/>
      <c r="O49" s="676"/>
      <c r="P49" s="676"/>
      <c r="Q49" s="676"/>
      <c r="R49" s="676"/>
      <c r="S49" s="676"/>
      <c r="T49" s="676"/>
      <c r="U49" s="676"/>
      <c r="V49" s="676"/>
      <c r="W49" s="676"/>
      <c r="X49" s="676"/>
      <c r="Y49" s="676"/>
      <c r="Z49" s="676"/>
      <c r="AA49" s="676"/>
      <c r="AB49" s="676"/>
      <c r="AC49" s="676"/>
      <c r="AD49" s="676"/>
      <c r="AE49" s="676"/>
      <c r="AF49" s="676"/>
      <c r="AG49" s="676"/>
      <c r="AH49" s="676"/>
      <c r="AI49" s="676"/>
      <c r="AJ49" s="676"/>
      <c r="AK49" s="676"/>
      <c r="AL49" s="676"/>
      <c r="AM49" s="676"/>
      <c r="AN49" s="676"/>
      <c r="AO49" s="676"/>
      <c r="AP49" s="676"/>
      <c r="AQ49" s="676"/>
      <c r="AR49" s="676"/>
      <c r="AS49" s="676"/>
      <c r="AT49" s="676"/>
      <c r="AU49" s="676"/>
      <c r="CG49" s="669"/>
    </row>
    <row r="50" spans="1:85">
      <c r="A50" s="674"/>
      <c r="E50" s="676"/>
      <c r="F50" s="676"/>
      <c r="G50" s="676"/>
      <c r="H50" s="676"/>
      <c r="I50" s="676"/>
      <c r="J50" s="676"/>
      <c r="K50" s="676"/>
      <c r="L50" s="676"/>
      <c r="M50" s="676"/>
      <c r="N50" s="676"/>
      <c r="O50" s="676"/>
      <c r="P50" s="676"/>
      <c r="Q50" s="676"/>
      <c r="R50" s="676"/>
      <c r="S50" s="676"/>
      <c r="T50" s="676"/>
      <c r="U50" s="676"/>
      <c r="V50" s="676"/>
      <c r="W50" s="676"/>
      <c r="X50" s="676"/>
      <c r="Y50" s="676"/>
      <c r="Z50" s="676"/>
      <c r="AA50" s="676"/>
      <c r="AB50" s="676"/>
      <c r="AC50" s="676"/>
      <c r="AD50" s="676"/>
      <c r="AE50" s="676"/>
      <c r="AF50" s="676"/>
      <c r="AG50" s="676"/>
      <c r="AH50" s="676"/>
      <c r="AI50" s="676"/>
      <c r="AJ50" s="676"/>
      <c r="AK50" s="676"/>
      <c r="AL50" s="676"/>
      <c r="AM50" s="676"/>
      <c r="AN50" s="676"/>
      <c r="AO50" s="676"/>
      <c r="AP50" s="676"/>
      <c r="AQ50" s="676"/>
      <c r="AR50" s="676"/>
      <c r="AS50" s="676"/>
      <c r="AT50" s="676"/>
      <c r="AU50" s="676"/>
      <c r="CG50" s="669"/>
    </row>
    <row r="51" spans="1:85">
      <c r="A51" s="674"/>
      <c r="E51" s="676"/>
      <c r="F51" s="676"/>
      <c r="G51" s="676"/>
      <c r="H51" s="676"/>
      <c r="I51" s="676"/>
      <c r="J51" s="676"/>
      <c r="K51" s="676"/>
      <c r="L51" s="676"/>
      <c r="M51" s="676"/>
      <c r="N51" s="676"/>
      <c r="O51" s="676"/>
      <c r="P51" s="676"/>
      <c r="Q51" s="676"/>
      <c r="R51" s="676"/>
      <c r="S51" s="676"/>
      <c r="T51" s="676"/>
      <c r="U51" s="676"/>
      <c r="V51" s="676"/>
      <c r="W51" s="676"/>
      <c r="X51" s="676"/>
      <c r="Y51" s="676"/>
      <c r="Z51" s="676"/>
      <c r="AA51" s="676"/>
      <c r="AB51" s="676"/>
      <c r="AC51" s="676"/>
      <c r="AD51" s="676"/>
      <c r="AE51" s="676"/>
      <c r="AF51" s="676"/>
      <c r="AG51" s="676"/>
      <c r="AH51" s="676"/>
      <c r="AI51" s="676"/>
      <c r="AJ51" s="676"/>
      <c r="AK51" s="676"/>
      <c r="AL51" s="676"/>
      <c r="AM51" s="676"/>
      <c r="AN51" s="676"/>
      <c r="AO51" s="676"/>
      <c r="AP51" s="676"/>
      <c r="AQ51" s="676"/>
      <c r="AR51" s="676"/>
      <c r="AS51" s="676"/>
      <c r="AT51" s="676"/>
      <c r="AU51" s="676"/>
      <c r="CG51" s="669"/>
    </row>
    <row r="52" spans="1:85">
      <c r="A52" s="674"/>
      <c r="E52" s="676"/>
      <c r="F52" s="676"/>
      <c r="G52" s="676"/>
      <c r="H52" s="676"/>
      <c r="I52" s="676"/>
      <c r="J52" s="676"/>
      <c r="K52" s="676"/>
      <c r="L52" s="676"/>
      <c r="M52" s="676"/>
      <c r="N52" s="676"/>
      <c r="O52" s="676"/>
      <c r="P52" s="676"/>
      <c r="Q52" s="676"/>
      <c r="R52" s="676"/>
      <c r="S52" s="676"/>
      <c r="T52" s="676"/>
      <c r="U52" s="676"/>
      <c r="V52" s="676"/>
      <c r="W52" s="676"/>
      <c r="X52" s="676"/>
      <c r="Y52" s="676"/>
      <c r="Z52" s="676"/>
      <c r="AA52" s="676"/>
      <c r="AB52" s="676"/>
      <c r="AC52" s="676"/>
      <c r="AD52" s="676"/>
      <c r="AE52" s="676"/>
      <c r="AF52" s="676"/>
      <c r="AG52" s="676"/>
      <c r="AH52" s="676"/>
      <c r="AI52" s="676"/>
      <c r="AJ52" s="676"/>
      <c r="AK52" s="676"/>
      <c r="AL52" s="676"/>
      <c r="AM52" s="676"/>
      <c r="AN52" s="676"/>
      <c r="AO52" s="676"/>
      <c r="AP52" s="676"/>
      <c r="AQ52" s="676"/>
      <c r="AR52" s="676"/>
      <c r="AS52" s="676"/>
      <c r="AT52" s="676"/>
      <c r="AU52" s="676"/>
      <c r="CG52" s="669"/>
    </row>
    <row r="53" spans="1:85">
      <c r="A53" s="674"/>
      <c r="E53" s="676"/>
      <c r="F53" s="676"/>
      <c r="G53" s="676"/>
      <c r="H53" s="676"/>
      <c r="I53" s="676"/>
      <c r="J53" s="676"/>
      <c r="K53" s="676"/>
      <c r="L53" s="676"/>
      <c r="M53" s="676"/>
      <c r="N53" s="676"/>
      <c r="O53" s="676"/>
      <c r="P53" s="676"/>
      <c r="Q53" s="676"/>
      <c r="R53" s="676"/>
      <c r="S53" s="676"/>
      <c r="T53" s="676"/>
      <c r="U53" s="676"/>
      <c r="V53" s="676"/>
      <c r="W53" s="676"/>
      <c r="X53" s="676"/>
      <c r="Y53" s="676"/>
      <c r="Z53" s="676"/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CG53" s="669"/>
    </row>
    <row r="54" spans="1:85">
      <c r="A54" s="674"/>
      <c r="E54" s="676"/>
      <c r="F54" s="676"/>
      <c r="G54" s="676"/>
      <c r="H54" s="676"/>
      <c r="I54" s="676"/>
      <c r="J54" s="676"/>
      <c r="K54" s="676"/>
      <c r="L54" s="676"/>
      <c r="M54" s="676"/>
      <c r="N54" s="676"/>
      <c r="O54" s="676"/>
      <c r="P54" s="676"/>
      <c r="Q54" s="676"/>
      <c r="R54" s="676"/>
      <c r="S54" s="676"/>
      <c r="T54" s="676"/>
      <c r="U54" s="676"/>
      <c r="V54" s="676"/>
      <c r="W54" s="676"/>
      <c r="X54" s="676"/>
      <c r="Y54" s="676"/>
      <c r="Z54" s="676"/>
      <c r="AA54" s="676"/>
      <c r="AB54" s="676"/>
      <c r="AC54" s="676"/>
      <c r="AD54" s="676"/>
      <c r="AE54" s="676"/>
      <c r="AF54" s="676"/>
      <c r="AG54" s="676"/>
      <c r="AH54" s="676"/>
      <c r="AI54" s="676"/>
      <c r="AJ54" s="676"/>
      <c r="AK54" s="676"/>
      <c r="AL54" s="676"/>
      <c r="AM54" s="676"/>
      <c r="AN54" s="676"/>
      <c r="AO54" s="676"/>
      <c r="AP54" s="676"/>
      <c r="AQ54" s="676"/>
      <c r="AR54" s="676"/>
      <c r="AS54" s="676"/>
      <c r="AT54" s="676"/>
      <c r="AU54" s="676"/>
      <c r="CG54" s="669"/>
    </row>
    <row r="55" spans="1:85">
      <c r="A55" s="674"/>
      <c r="E55" s="676"/>
      <c r="F55" s="676"/>
      <c r="G55" s="676"/>
      <c r="H55" s="676"/>
      <c r="I55" s="676"/>
      <c r="J55" s="676"/>
      <c r="K55" s="676"/>
      <c r="L55" s="676"/>
      <c r="M55" s="676"/>
      <c r="N55" s="676"/>
      <c r="O55" s="676"/>
      <c r="P55" s="676"/>
      <c r="Q55" s="676"/>
      <c r="R55" s="676"/>
      <c r="S55" s="676"/>
      <c r="T55" s="676"/>
      <c r="U55" s="676"/>
      <c r="V55" s="676"/>
      <c r="W55" s="676"/>
      <c r="X55" s="676"/>
      <c r="Y55" s="676"/>
      <c r="Z55" s="676"/>
      <c r="AA55" s="676"/>
      <c r="AB55" s="676"/>
      <c r="AC55" s="676"/>
      <c r="AD55" s="676"/>
      <c r="AE55" s="676"/>
      <c r="AF55" s="676"/>
      <c r="AG55" s="676"/>
      <c r="AH55" s="676"/>
      <c r="AI55" s="676"/>
      <c r="AJ55" s="676"/>
      <c r="AK55" s="676"/>
      <c r="AL55" s="676"/>
      <c r="AM55" s="676"/>
      <c r="AN55" s="676"/>
      <c r="AO55" s="676"/>
      <c r="AP55" s="676"/>
      <c r="AQ55" s="676"/>
      <c r="AR55" s="676"/>
      <c r="AS55" s="676"/>
      <c r="AT55" s="676"/>
      <c r="AU55" s="676"/>
      <c r="CG55" s="669"/>
    </row>
    <row r="56" spans="1:85">
      <c r="A56" s="674"/>
      <c r="E56" s="676"/>
      <c r="F56" s="676"/>
      <c r="G56" s="676"/>
      <c r="H56" s="676"/>
      <c r="I56" s="676"/>
      <c r="J56" s="676"/>
      <c r="K56" s="676"/>
      <c r="L56" s="676"/>
      <c r="M56" s="676"/>
      <c r="N56" s="676"/>
      <c r="O56" s="676"/>
      <c r="P56" s="676"/>
      <c r="Q56" s="676"/>
      <c r="R56" s="676"/>
      <c r="S56" s="676"/>
      <c r="T56" s="676"/>
      <c r="U56" s="676"/>
      <c r="V56" s="676"/>
      <c r="W56" s="676"/>
      <c r="X56" s="676"/>
      <c r="Y56" s="676"/>
      <c r="Z56" s="676"/>
      <c r="AA56" s="676"/>
      <c r="AB56" s="676"/>
      <c r="AC56" s="676"/>
      <c r="AD56" s="676"/>
      <c r="AE56" s="676"/>
      <c r="AF56" s="676"/>
      <c r="AG56" s="676"/>
      <c r="AH56" s="676"/>
      <c r="AI56" s="676"/>
      <c r="AJ56" s="676"/>
      <c r="AK56" s="676"/>
      <c r="AL56" s="676"/>
      <c r="AM56" s="676"/>
      <c r="AN56" s="676"/>
      <c r="AO56" s="676"/>
      <c r="AP56" s="676"/>
      <c r="AQ56" s="676"/>
      <c r="AR56" s="676"/>
      <c r="AS56" s="676"/>
      <c r="AT56" s="676"/>
      <c r="AU56" s="676"/>
      <c r="CG56" s="669"/>
    </row>
    <row r="57" spans="1:85">
      <c r="A57" s="674"/>
      <c r="E57" s="676"/>
      <c r="F57" s="676"/>
      <c r="G57" s="676"/>
      <c r="H57" s="676"/>
      <c r="I57" s="676"/>
      <c r="J57" s="676"/>
      <c r="K57" s="676"/>
      <c r="L57" s="676"/>
      <c r="M57" s="676"/>
      <c r="N57" s="676"/>
      <c r="O57" s="676"/>
      <c r="P57" s="676"/>
      <c r="Q57" s="676"/>
      <c r="R57" s="676"/>
      <c r="S57" s="676"/>
      <c r="T57" s="676"/>
      <c r="U57" s="676"/>
      <c r="V57" s="676"/>
      <c r="W57" s="676"/>
      <c r="X57" s="676"/>
      <c r="Y57" s="676"/>
      <c r="Z57" s="676"/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CG57" s="669"/>
    </row>
    <row r="58" spans="1:85">
      <c r="A58" s="674"/>
      <c r="E58" s="676"/>
      <c r="F58" s="676"/>
      <c r="G58" s="676"/>
      <c r="H58" s="676"/>
      <c r="I58" s="676"/>
      <c r="J58" s="676"/>
      <c r="K58" s="676"/>
      <c r="L58" s="676"/>
      <c r="M58" s="676"/>
      <c r="N58" s="676"/>
      <c r="O58" s="676"/>
      <c r="P58" s="676"/>
      <c r="Q58" s="676"/>
      <c r="R58" s="676"/>
      <c r="S58" s="676"/>
      <c r="T58" s="676"/>
      <c r="U58" s="676"/>
      <c r="V58" s="676"/>
      <c r="W58" s="676"/>
      <c r="X58" s="676"/>
      <c r="Y58" s="676"/>
      <c r="Z58" s="676"/>
      <c r="AA58" s="676"/>
      <c r="AB58" s="676"/>
      <c r="AC58" s="676"/>
      <c r="AD58" s="676"/>
      <c r="AE58" s="676"/>
      <c r="AF58" s="676"/>
      <c r="AG58" s="676"/>
      <c r="AH58" s="676"/>
      <c r="AI58" s="676"/>
      <c r="AJ58" s="676"/>
      <c r="AK58" s="676"/>
      <c r="AL58" s="676"/>
      <c r="AM58" s="676"/>
      <c r="AN58" s="676"/>
      <c r="AO58" s="676"/>
      <c r="AP58" s="676"/>
      <c r="AQ58" s="676"/>
      <c r="AR58" s="676"/>
      <c r="AS58" s="676"/>
      <c r="AT58" s="676"/>
      <c r="AU58" s="676"/>
      <c r="CG58" s="669"/>
    </row>
    <row r="59" spans="1:85">
      <c r="A59" s="674"/>
      <c r="E59" s="676"/>
      <c r="F59" s="676"/>
      <c r="G59" s="676"/>
      <c r="H59" s="676"/>
      <c r="I59" s="676"/>
      <c r="J59" s="676"/>
      <c r="K59" s="676"/>
      <c r="L59" s="676"/>
      <c r="M59" s="676"/>
      <c r="N59" s="676"/>
      <c r="O59" s="676"/>
      <c r="P59" s="676"/>
      <c r="Q59" s="676"/>
      <c r="R59" s="676"/>
      <c r="S59" s="676"/>
      <c r="T59" s="676"/>
      <c r="U59" s="676"/>
      <c r="V59" s="676"/>
      <c r="W59" s="676"/>
      <c r="X59" s="676"/>
      <c r="Y59" s="676"/>
      <c r="Z59" s="676"/>
      <c r="AA59" s="676"/>
      <c r="AB59" s="676"/>
      <c r="AC59" s="676"/>
      <c r="AD59" s="676"/>
      <c r="AE59" s="676"/>
      <c r="AF59" s="676"/>
      <c r="AG59" s="676"/>
      <c r="AH59" s="676"/>
      <c r="AI59" s="676"/>
      <c r="AJ59" s="676"/>
      <c r="AK59" s="676"/>
      <c r="AL59" s="676"/>
      <c r="AM59" s="676"/>
      <c r="AN59" s="676"/>
      <c r="AO59" s="676"/>
      <c r="AP59" s="676"/>
      <c r="AQ59" s="676"/>
      <c r="AR59" s="676"/>
      <c r="AS59" s="676"/>
      <c r="AT59" s="676"/>
      <c r="AU59" s="676"/>
      <c r="CG59" s="669"/>
    </row>
    <row r="60" spans="1:85">
      <c r="A60" s="674"/>
      <c r="E60" s="676"/>
      <c r="F60" s="676"/>
      <c r="G60" s="676"/>
      <c r="H60" s="676"/>
      <c r="I60" s="676"/>
      <c r="J60" s="676"/>
      <c r="K60" s="676"/>
      <c r="L60" s="676"/>
      <c r="M60" s="676"/>
      <c r="N60" s="676"/>
      <c r="O60" s="676"/>
      <c r="P60" s="676"/>
      <c r="Q60" s="676"/>
      <c r="R60" s="676"/>
      <c r="S60" s="676"/>
      <c r="T60" s="676"/>
      <c r="U60" s="676"/>
      <c r="V60" s="676"/>
      <c r="W60" s="676"/>
      <c r="X60" s="676"/>
      <c r="Y60" s="676"/>
      <c r="Z60" s="676"/>
      <c r="AA60" s="676"/>
      <c r="AB60" s="676"/>
      <c r="AC60" s="676"/>
      <c r="AD60" s="676"/>
      <c r="AE60" s="676"/>
      <c r="AF60" s="676"/>
      <c r="AG60" s="676"/>
      <c r="AH60" s="676"/>
      <c r="AI60" s="676"/>
      <c r="AJ60" s="676"/>
      <c r="AK60" s="676"/>
      <c r="AL60" s="676"/>
      <c r="AM60" s="676"/>
      <c r="AN60" s="676"/>
      <c r="AO60" s="676"/>
      <c r="AP60" s="676"/>
      <c r="AQ60" s="676"/>
      <c r="AR60" s="676"/>
      <c r="AS60" s="676"/>
      <c r="AT60" s="676"/>
      <c r="AU60" s="676"/>
      <c r="CG60" s="669"/>
    </row>
    <row r="61" spans="1:85">
      <c r="A61" s="674"/>
      <c r="E61" s="676"/>
      <c r="F61" s="676"/>
      <c r="G61" s="676"/>
      <c r="H61" s="676"/>
      <c r="I61" s="676"/>
      <c r="J61" s="676"/>
      <c r="K61" s="676"/>
      <c r="L61" s="676"/>
      <c r="M61" s="676"/>
      <c r="N61" s="676"/>
      <c r="O61" s="676"/>
      <c r="P61" s="676"/>
      <c r="Q61" s="676"/>
      <c r="R61" s="676"/>
      <c r="S61" s="676"/>
      <c r="T61" s="676"/>
      <c r="U61" s="676"/>
      <c r="V61" s="676"/>
      <c r="W61" s="676"/>
      <c r="X61" s="676"/>
      <c r="Y61" s="676"/>
      <c r="Z61" s="676"/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CG61" s="669"/>
    </row>
    <row r="62" spans="1:85">
      <c r="A62" s="674"/>
      <c r="E62" s="676"/>
      <c r="F62" s="676"/>
      <c r="G62" s="676"/>
      <c r="H62" s="676"/>
      <c r="I62" s="676"/>
      <c r="J62" s="676"/>
      <c r="K62" s="676"/>
      <c r="L62" s="676"/>
      <c r="M62" s="676"/>
      <c r="N62" s="676"/>
      <c r="O62" s="676"/>
      <c r="P62" s="676"/>
      <c r="Q62" s="676"/>
      <c r="R62" s="676"/>
      <c r="S62" s="676"/>
      <c r="T62" s="676"/>
      <c r="U62" s="676"/>
      <c r="V62" s="676"/>
      <c r="W62" s="676"/>
      <c r="X62" s="676"/>
      <c r="Y62" s="676"/>
      <c r="Z62" s="676"/>
      <c r="AA62" s="676"/>
      <c r="AB62" s="676"/>
      <c r="AC62" s="676"/>
      <c r="AD62" s="676"/>
      <c r="AE62" s="676"/>
      <c r="AF62" s="676"/>
      <c r="AG62" s="676"/>
      <c r="AH62" s="676"/>
      <c r="AI62" s="676"/>
      <c r="AJ62" s="676"/>
      <c r="AK62" s="676"/>
      <c r="AL62" s="676"/>
      <c r="AM62" s="676"/>
      <c r="AN62" s="676"/>
      <c r="AO62" s="676"/>
      <c r="AP62" s="676"/>
      <c r="AQ62" s="676"/>
      <c r="AR62" s="676"/>
      <c r="AS62" s="676"/>
      <c r="AT62" s="676"/>
      <c r="AU62" s="676"/>
      <c r="CG62" s="669"/>
    </row>
    <row r="63" spans="1:85">
      <c r="A63" s="674"/>
      <c r="E63" s="676"/>
      <c r="F63" s="676"/>
      <c r="G63" s="676"/>
      <c r="H63" s="676"/>
      <c r="I63" s="676"/>
      <c r="J63" s="676"/>
      <c r="K63" s="676"/>
      <c r="L63" s="676"/>
      <c r="M63" s="676"/>
      <c r="N63" s="676"/>
      <c r="O63" s="676"/>
      <c r="P63" s="676"/>
      <c r="Q63" s="676"/>
      <c r="R63" s="676"/>
      <c r="S63" s="676"/>
      <c r="T63" s="676"/>
      <c r="U63" s="676"/>
      <c r="V63" s="676"/>
      <c r="W63" s="676"/>
      <c r="X63" s="676"/>
      <c r="Y63" s="676"/>
      <c r="Z63" s="676"/>
      <c r="AA63" s="676"/>
      <c r="AB63" s="676"/>
      <c r="AC63" s="676"/>
      <c r="AD63" s="676"/>
      <c r="AE63" s="676"/>
      <c r="AF63" s="676"/>
      <c r="AG63" s="676"/>
      <c r="AH63" s="676"/>
      <c r="AI63" s="676"/>
      <c r="AJ63" s="676"/>
      <c r="AK63" s="676"/>
      <c r="AL63" s="676"/>
      <c r="AM63" s="676"/>
      <c r="AN63" s="676"/>
      <c r="AO63" s="676"/>
      <c r="AP63" s="676"/>
      <c r="AQ63" s="676"/>
      <c r="AR63" s="676"/>
      <c r="AS63" s="676"/>
      <c r="AT63" s="676"/>
      <c r="AU63" s="676"/>
      <c r="CG63" s="669"/>
    </row>
    <row r="64" spans="1:85">
      <c r="A64" s="674"/>
      <c r="E64" s="676"/>
      <c r="F64" s="676"/>
      <c r="G64" s="676"/>
      <c r="H64" s="676"/>
      <c r="I64" s="676"/>
      <c r="J64" s="676"/>
      <c r="K64" s="676"/>
      <c r="L64" s="676"/>
      <c r="M64" s="676"/>
      <c r="N64" s="676"/>
      <c r="O64" s="676"/>
      <c r="P64" s="676"/>
      <c r="Q64" s="676"/>
      <c r="R64" s="676"/>
      <c r="S64" s="676"/>
      <c r="T64" s="676"/>
      <c r="U64" s="676"/>
      <c r="V64" s="676"/>
      <c r="W64" s="676"/>
      <c r="X64" s="676"/>
      <c r="Y64" s="676"/>
      <c r="Z64" s="676"/>
      <c r="AA64" s="676"/>
      <c r="AB64" s="676"/>
      <c r="AC64" s="676"/>
      <c r="AD64" s="676"/>
      <c r="AE64" s="676"/>
      <c r="AF64" s="676"/>
      <c r="AG64" s="676"/>
      <c r="AH64" s="676"/>
      <c r="AI64" s="676"/>
      <c r="AJ64" s="676"/>
      <c r="AK64" s="676"/>
      <c r="AL64" s="676"/>
      <c r="AM64" s="676"/>
      <c r="AN64" s="676"/>
      <c r="AO64" s="676"/>
      <c r="AP64" s="676"/>
      <c r="AQ64" s="676"/>
      <c r="AR64" s="676"/>
      <c r="AS64" s="676"/>
      <c r="AT64" s="676"/>
      <c r="AU64" s="676"/>
      <c r="CG64" s="669"/>
    </row>
    <row r="65" spans="1:85">
      <c r="A65" s="674"/>
      <c r="E65" s="676"/>
      <c r="F65" s="676"/>
      <c r="G65" s="676"/>
      <c r="H65" s="676"/>
      <c r="I65" s="676"/>
      <c r="J65" s="676"/>
      <c r="K65" s="676"/>
      <c r="L65" s="676"/>
      <c r="M65" s="676"/>
      <c r="N65" s="676"/>
      <c r="O65" s="676"/>
      <c r="P65" s="676"/>
      <c r="Q65" s="676"/>
      <c r="R65" s="676"/>
      <c r="S65" s="676"/>
      <c r="T65" s="676"/>
      <c r="U65" s="676"/>
      <c r="V65" s="676"/>
      <c r="W65" s="676"/>
      <c r="X65" s="676"/>
      <c r="Y65" s="676"/>
      <c r="Z65" s="676"/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CG65" s="669"/>
    </row>
    <row r="66" spans="1:85">
      <c r="A66" s="674"/>
      <c r="E66" s="676"/>
      <c r="F66" s="676"/>
      <c r="G66" s="676"/>
      <c r="H66" s="676"/>
      <c r="I66" s="676"/>
      <c r="J66" s="676"/>
      <c r="K66" s="676"/>
      <c r="L66" s="676"/>
      <c r="M66" s="676"/>
      <c r="N66" s="676"/>
      <c r="O66" s="676"/>
      <c r="P66" s="676"/>
      <c r="Q66" s="676"/>
      <c r="R66" s="676"/>
      <c r="S66" s="676"/>
      <c r="T66" s="676"/>
      <c r="U66" s="676"/>
      <c r="V66" s="676"/>
      <c r="W66" s="676"/>
      <c r="X66" s="676"/>
      <c r="Y66" s="676"/>
      <c r="Z66" s="676"/>
      <c r="AA66" s="676"/>
      <c r="AB66" s="676"/>
      <c r="AC66" s="676"/>
      <c r="AD66" s="676"/>
      <c r="AE66" s="676"/>
      <c r="AF66" s="676"/>
      <c r="AG66" s="676"/>
      <c r="AH66" s="676"/>
      <c r="AI66" s="676"/>
      <c r="AJ66" s="676"/>
      <c r="AK66" s="676"/>
      <c r="AL66" s="676"/>
      <c r="AM66" s="676"/>
      <c r="AN66" s="676"/>
      <c r="AO66" s="676"/>
      <c r="AP66" s="676"/>
      <c r="AQ66" s="676"/>
      <c r="AR66" s="676"/>
      <c r="AS66" s="676"/>
      <c r="AT66" s="676"/>
      <c r="AU66" s="676"/>
      <c r="CG66" s="669"/>
    </row>
    <row r="67" spans="1:85">
      <c r="A67" s="674"/>
      <c r="E67" s="676"/>
      <c r="F67" s="676"/>
      <c r="G67" s="676"/>
      <c r="H67" s="676"/>
      <c r="I67" s="676"/>
      <c r="J67" s="676"/>
      <c r="K67" s="676"/>
      <c r="L67" s="676"/>
      <c r="M67" s="676"/>
      <c r="N67" s="676"/>
      <c r="O67" s="676"/>
      <c r="P67" s="676"/>
      <c r="Q67" s="676"/>
      <c r="R67" s="676"/>
      <c r="S67" s="676"/>
      <c r="T67" s="676"/>
      <c r="U67" s="676"/>
      <c r="V67" s="676"/>
      <c r="W67" s="676"/>
      <c r="X67" s="676"/>
      <c r="Y67" s="676"/>
      <c r="Z67" s="676"/>
      <c r="AA67" s="676"/>
      <c r="AB67" s="676"/>
      <c r="AC67" s="676"/>
      <c r="AD67" s="676"/>
      <c r="AE67" s="676"/>
      <c r="AF67" s="676"/>
      <c r="AG67" s="676"/>
      <c r="AH67" s="676"/>
      <c r="AI67" s="676"/>
      <c r="AJ67" s="676"/>
      <c r="AK67" s="676"/>
      <c r="AL67" s="676"/>
      <c r="AM67" s="676"/>
      <c r="AN67" s="676"/>
      <c r="AO67" s="676"/>
      <c r="AP67" s="676"/>
      <c r="AQ67" s="676"/>
      <c r="AR67" s="676"/>
      <c r="AS67" s="676"/>
      <c r="AT67" s="676"/>
      <c r="AU67" s="676"/>
      <c r="CG67" s="669"/>
    </row>
    <row r="68" spans="1:85">
      <c r="A68" s="674"/>
      <c r="E68" s="676"/>
      <c r="F68" s="676"/>
      <c r="G68" s="676"/>
      <c r="H68" s="676"/>
      <c r="I68" s="676"/>
      <c r="J68" s="676"/>
      <c r="K68" s="676"/>
      <c r="L68" s="676"/>
      <c r="M68" s="676"/>
      <c r="N68" s="676"/>
      <c r="O68" s="676"/>
      <c r="P68" s="676"/>
      <c r="Q68" s="676"/>
      <c r="R68" s="676"/>
      <c r="S68" s="676"/>
      <c r="T68" s="676"/>
      <c r="U68" s="676"/>
      <c r="V68" s="676"/>
      <c r="W68" s="676"/>
      <c r="X68" s="676"/>
      <c r="Y68" s="676"/>
      <c r="Z68" s="676"/>
      <c r="AA68" s="676"/>
      <c r="AB68" s="676"/>
      <c r="AC68" s="676"/>
      <c r="AD68" s="676"/>
      <c r="AE68" s="676"/>
      <c r="AF68" s="676"/>
      <c r="AG68" s="676"/>
      <c r="AH68" s="676"/>
      <c r="AI68" s="676"/>
      <c r="AJ68" s="676"/>
      <c r="AK68" s="676"/>
      <c r="AL68" s="676"/>
      <c r="AM68" s="676"/>
      <c r="AN68" s="676"/>
      <c r="AO68" s="676"/>
      <c r="AP68" s="676"/>
      <c r="AQ68" s="676"/>
      <c r="AR68" s="676"/>
      <c r="AS68" s="676"/>
      <c r="AT68" s="676"/>
      <c r="AU68" s="676"/>
      <c r="CG68" s="669"/>
    </row>
    <row r="69" spans="1:85">
      <c r="A69" s="674"/>
      <c r="E69" s="676"/>
      <c r="F69" s="676"/>
      <c r="G69" s="676"/>
      <c r="H69" s="676"/>
      <c r="I69" s="676"/>
      <c r="J69" s="676"/>
      <c r="K69" s="676"/>
      <c r="L69" s="676"/>
      <c r="M69" s="676"/>
      <c r="N69" s="676"/>
      <c r="O69" s="676"/>
      <c r="P69" s="676"/>
      <c r="Q69" s="676"/>
      <c r="R69" s="676"/>
      <c r="S69" s="676"/>
      <c r="T69" s="676"/>
      <c r="U69" s="676"/>
      <c r="V69" s="676"/>
      <c r="W69" s="676"/>
      <c r="X69" s="676"/>
      <c r="Y69" s="676"/>
      <c r="Z69" s="676"/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CG69" s="669"/>
    </row>
    <row r="70" spans="1:85">
      <c r="A70" s="674"/>
      <c r="E70" s="676"/>
      <c r="F70" s="676"/>
      <c r="G70" s="676"/>
      <c r="H70" s="676"/>
      <c r="I70" s="676"/>
      <c r="J70" s="676"/>
      <c r="K70" s="676"/>
      <c r="L70" s="676"/>
      <c r="M70" s="676"/>
      <c r="N70" s="676"/>
      <c r="O70" s="676"/>
      <c r="P70" s="676"/>
      <c r="Q70" s="676"/>
      <c r="R70" s="676"/>
      <c r="S70" s="676"/>
      <c r="T70" s="676"/>
      <c r="U70" s="676"/>
      <c r="V70" s="676"/>
      <c r="W70" s="676"/>
      <c r="X70" s="676"/>
      <c r="Y70" s="676"/>
      <c r="Z70" s="676"/>
      <c r="AA70" s="676"/>
      <c r="AB70" s="676"/>
      <c r="AC70" s="676"/>
      <c r="AD70" s="676"/>
      <c r="AE70" s="676"/>
      <c r="AF70" s="676"/>
      <c r="AG70" s="676"/>
      <c r="AH70" s="676"/>
      <c r="AI70" s="676"/>
      <c r="AJ70" s="676"/>
      <c r="AK70" s="676"/>
      <c r="AL70" s="676"/>
      <c r="AM70" s="676"/>
      <c r="AN70" s="676"/>
      <c r="AO70" s="676"/>
      <c r="AP70" s="676"/>
      <c r="AQ70" s="676"/>
      <c r="AR70" s="676"/>
      <c r="AS70" s="676"/>
      <c r="AT70" s="676"/>
      <c r="AU70" s="676"/>
      <c r="CG70" s="669"/>
    </row>
    <row r="71" spans="1:85">
      <c r="A71" s="674"/>
      <c r="E71" s="676"/>
      <c r="F71" s="676"/>
      <c r="G71" s="676"/>
      <c r="H71" s="676"/>
      <c r="I71" s="676"/>
      <c r="J71" s="676"/>
      <c r="K71" s="676"/>
      <c r="L71" s="676"/>
      <c r="M71" s="676"/>
      <c r="N71" s="676"/>
      <c r="O71" s="676"/>
      <c r="P71" s="676"/>
      <c r="Q71" s="676"/>
      <c r="R71" s="676"/>
      <c r="S71" s="676"/>
      <c r="T71" s="676"/>
      <c r="U71" s="676"/>
      <c r="V71" s="676"/>
      <c r="W71" s="676"/>
      <c r="X71" s="676"/>
      <c r="Y71" s="676"/>
      <c r="Z71" s="676"/>
      <c r="AA71" s="676"/>
      <c r="AB71" s="676"/>
      <c r="AC71" s="676"/>
      <c r="AD71" s="676"/>
      <c r="AE71" s="676"/>
      <c r="AF71" s="676"/>
      <c r="AG71" s="676"/>
      <c r="AH71" s="676"/>
      <c r="AI71" s="676"/>
      <c r="AJ71" s="676"/>
      <c r="AK71" s="676"/>
      <c r="AL71" s="676"/>
      <c r="AM71" s="676"/>
      <c r="AN71" s="676"/>
      <c r="AO71" s="676"/>
      <c r="AP71" s="676"/>
      <c r="AQ71" s="676"/>
      <c r="AR71" s="676"/>
      <c r="AS71" s="676"/>
      <c r="AT71" s="676"/>
      <c r="AU71" s="676"/>
      <c r="CG71" s="669"/>
    </row>
    <row r="72" spans="1:85">
      <c r="A72" s="674"/>
      <c r="E72" s="676"/>
      <c r="F72" s="676"/>
      <c r="G72" s="676"/>
      <c r="H72" s="676"/>
      <c r="I72" s="676"/>
      <c r="J72" s="676"/>
      <c r="K72" s="676"/>
      <c r="L72" s="676"/>
      <c r="M72" s="676"/>
      <c r="N72" s="676"/>
      <c r="O72" s="676"/>
      <c r="P72" s="676"/>
      <c r="Q72" s="676"/>
      <c r="R72" s="676"/>
      <c r="S72" s="676"/>
      <c r="T72" s="676"/>
      <c r="U72" s="676"/>
      <c r="V72" s="676"/>
      <c r="W72" s="676"/>
      <c r="X72" s="676"/>
      <c r="Y72" s="676"/>
      <c r="Z72" s="676"/>
      <c r="AA72" s="676"/>
      <c r="AB72" s="676"/>
      <c r="AC72" s="676"/>
      <c r="AD72" s="676"/>
      <c r="AE72" s="676"/>
      <c r="AF72" s="676"/>
      <c r="AG72" s="676"/>
      <c r="AH72" s="676"/>
      <c r="AI72" s="676"/>
      <c r="AJ72" s="676"/>
      <c r="AK72" s="676"/>
      <c r="AL72" s="676"/>
      <c r="AM72" s="676"/>
      <c r="AN72" s="676"/>
      <c r="AO72" s="676"/>
      <c r="AP72" s="676"/>
      <c r="AQ72" s="676"/>
      <c r="AR72" s="676"/>
      <c r="AS72" s="676"/>
      <c r="AT72" s="676"/>
      <c r="AU72" s="676"/>
      <c r="CG72" s="669"/>
    </row>
    <row r="73" spans="1:85">
      <c r="A73" s="674"/>
      <c r="E73" s="676"/>
      <c r="F73" s="676"/>
      <c r="G73" s="676"/>
      <c r="H73" s="676"/>
      <c r="I73" s="676"/>
      <c r="J73" s="676"/>
      <c r="K73" s="676"/>
      <c r="L73" s="676"/>
      <c r="M73" s="676"/>
      <c r="N73" s="676"/>
      <c r="O73" s="676"/>
      <c r="P73" s="676"/>
      <c r="Q73" s="676"/>
      <c r="R73" s="676"/>
      <c r="S73" s="676"/>
      <c r="T73" s="676"/>
      <c r="U73" s="676"/>
      <c r="V73" s="676"/>
      <c r="W73" s="676"/>
      <c r="X73" s="676"/>
      <c r="Y73" s="676"/>
      <c r="Z73" s="676"/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CG73" s="669"/>
    </row>
    <row r="74" spans="1:85">
      <c r="A74" s="674"/>
      <c r="E74" s="676"/>
      <c r="F74" s="676"/>
      <c r="G74" s="676"/>
      <c r="H74" s="676"/>
      <c r="I74" s="676"/>
      <c r="J74" s="676"/>
      <c r="K74" s="676"/>
      <c r="L74" s="676"/>
      <c r="M74" s="676"/>
      <c r="N74" s="676"/>
      <c r="O74" s="676"/>
      <c r="P74" s="676"/>
      <c r="Q74" s="676"/>
      <c r="R74" s="676"/>
      <c r="S74" s="676"/>
      <c r="T74" s="676"/>
      <c r="U74" s="676"/>
      <c r="V74" s="676"/>
      <c r="W74" s="676"/>
      <c r="X74" s="676"/>
      <c r="Y74" s="676"/>
      <c r="Z74" s="676"/>
      <c r="AA74" s="676"/>
      <c r="AB74" s="676"/>
      <c r="AC74" s="676"/>
      <c r="AD74" s="676"/>
      <c r="AE74" s="676"/>
      <c r="AF74" s="676"/>
      <c r="AG74" s="676"/>
      <c r="AH74" s="676"/>
      <c r="AI74" s="676"/>
      <c r="AJ74" s="676"/>
      <c r="AK74" s="676"/>
      <c r="AL74" s="676"/>
      <c r="AM74" s="676"/>
      <c r="AN74" s="676"/>
      <c r="AO74" s="676"/>
      <c r="AP74" s="676"/>
      <c r="AQ74" s="676"/>
      <c r="AR74" s="676"/>
      <c r="AS74" s="676"/>
      <c r="AT74" s="676"/>
      <c r="AU74" s="676"/>
      <c r="CG74" s="669"/>
    </row>
    <row r="75" spans="1:85">
      <c r="A75" s="674"/>
      <c r="E75" s="676"/>
      <c r="F75" s="676"/>
      <c r="G75" s="676"/>
      <c r="H75" s="676"/>
      <c r="I75" s="676"/>
      <c r="J75" s="676"/>
      <c r="K75" s="676"/>
      <c r="L75" s="676"/>
      <c r="M75" s="676"/>
      <c r="N75" s="676"/>
      <c r="O75" s="676"/>
      <c r="P75" s="676"/>
      <c r="Q75" s="676"/>
      <c r="R75" s="676"/>
      <c r="S75" s="676"/>
      <c r="T75" s="676"/>
      <c r="U75" s="676"/>
      <c r="V75" s="676"/>
      <c r="W75" s="676"/>
      <c r="X75" s="676"/>
      <c r="Y75" s="676"/>
      <c r="Z75" s="676"/>
      <c r="AA75" s="676"/>
      <c r="AB75" s="676"/>
      <c r="AC75" s="676"/>
      <c r="AD75" s="676"/>
      <c r="AE75" s="676"/>
      <c r="AF75" s="676"/>
      <c r="AG75" s="676"/>
      <c r="AH75" s="676"/>
      <c r="AI75" s="676"/>
      <c r="AJ75" s="676"/>
      <c r="AK75" s="676"/>
      <c r="AL75" s="676"/>
      <c r="AM75" s="676"/>
      <c r="AN75" s="676"/>
      <c r="AO75" s="676"/>
      <c r="AP75" s="676"/>
      <c r="AQ75" s="676"/>
      <c r="AR75" s="676"/>
      <c r="AS75" s="676"/>
      <c r="AT75" s="676"/>
      <c r="AU75" s="676"/>
      <c r="CG75" s="669"/>
    </row>
    <row r="76" spans="1:85">
      <c r="A76" s="674"/>
      <c r="E76" s="676"/>
      <c r="F76" s="676"/>
      <c r="G76" s="676"/>
      <c r="H76" s="676"/>
      <c r="I76" s="676"/>
      <c r="J76" s="676"/>
      <c r="K76" s="676"/>
      <c r="L76" s="676"/>
      <c r="M76" s="676"/>
      <c r="N76" s="676"/>
      <c r="O76" s="676"/>
      <c r="P76" s="676"/>
      <c r="Q76" s="676"/>
      <c r="R76" s="676"/>
      <c r="S76" s="676"/>
      <c r="T76" s="676"/>
      <c r="U76" s="676"/>
      <c r="V76" s="676"/>
      <c r="W76" s="676"/>
      <c r="X76" s="676"/>
      <c r="Y76" s="676"/>
      <c r="Z76" s="676"/>
      <c r="AA76" s="676"/>
      <c r="AB76" s="676"/>
      <c r="AC76" s="676"/>
      <c r="AD76" s="676"/>
      <c r="AE76" s="676"/>
      <c r="AF76" s="676"/>
      <c r="AG76" s="676"/>
      <c r="AH76" s="676"/>
      <c r="AI76" s="676"/>
      <c r="AJ76" s="676"/>
      <c r="AK76" s="676"/>
      <c r="AL76" s="676"/>
      <c r="AM76" s="676"/>
      <c r="AN76" s="676"/>
      <c r="AO76" s="676"/>
      <c r="AP76" s="676"/>
      <c r="AQ76" s="676"/>
      <c r="AR76" s="676"/>
      <c r="AS76" s="676"/>
      <c r="AT76" s="676"/>
      <c r="AU76" s="676"/>
      <c r="CG76" s="669"/>
    </row>
    <row r="77" spans="1:85">
      <c r="A77" s="674"/>
      <c r="E77" s="676"/>
      <c r="F77" s="676"/>
      <c r="G77" s="676"/>
      <c r="H77" s="676"/>
      <c r="I77" s="676"/>
      <c r="J77" s="676"/>
      <c r="K77" s="676"/>
      <c r="L77" s="676"/>
      <c r="M77" s="676"/>
      <c r="N77" s="676"/>
      <c r="O77" s="676"/>
      <c r="P77" s="676"/>
      <c r="Q77" s="676"/>
      <c r="R77" s="676"/>
      <c r="S77" s="676"/>
      <c r="T77" s="676"/>
      <c r="U77" s="676"/>
      <c r="V77" s="676"/>
      <c r="W77" s="676"/>
      <c r="X77" s="676"/>
      <c r="Y77" s="676"/>
      <c r="Z77" s="676"/>
      <c r="AA77" s="676"/>
      <c r="AB77" s="676"/>
      <c r="AC77" s="676"/>
      <c r="AD77" s="676"/>
      <c r="AE77" s="676"/>
      <c r="AF77" s="676"/>
      <c r="AG77" s="676"/>
      <c r="AH77" s="676"/>
      <c r="AI77" s="676"/>
      <c r="AJ77" s="676"/>
      <c r="AK77" s="676"/>
      <c r="AL77" s="676"/>
      <c r="AM77" s="676"/>
      <c r="AN77" s="676"/>
      <c r="AO77" s="676"/>
      <c r="AP77" s="676"/>
      <c r="AQ77" s="676"/>
      <c r="AR77" s="676"/>
      <c r="AS77" s="676"/>
      <c r="AT77" s="676"/>
      <c r="AU77" s="676"/>
      <c r="CG77" s="669"/>
    </row>
    <row r="78" spans="1:85">
      <c r="A78" s="674"/>
      <c r="E78" s="676"/>
      <c r="F78" s="676"/>
      <c r="G78" s="676"/>
      <c r="H78" s="676"/>
      <c r="I78" s="676"/>
      <c r="J78" s="676"/>
      <c r="K78" s="676"/>
      <c r="L78" s="676"/>
      <c r="M78" s="676"/>
      <c r="N78" s="676"/>
      <c r="O78" s="676"/>
      <c r="P78" s="676"/>
      <c r="Q78" s="676"/>
      <c r="R78" s="676"/>
      <c r="S78" s="676"/>
      <c r="T78" s="676"/>
      <c r="U78" s="676"/>
      <c r="V78" s="676"/>
      <c r="W78" s="676"/>
      <c r="X78" s="676"/>
      <c r="Y78" s="676"/>
      <c r="Z78" s="676"/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CG78" s="669"/>
    </row>
    <row r="79" spans="1:85">
      <c r="A79" s="674"/>
      <c r="E79" s="676"/>
      <c r="F79" s="676"/>
      <c r="G79" s="676"/>
      <c r="H79" s="676"/>
      <c r="I79" s="676"/>
      <c r="J79" s="676"/>
      <c r="K79" s="676"/>
      <c r="L79" s="676"/>
      <c r="M79" s="676"/>
      <c r="N79" s="676"/>
      <c r="O79" s="676"/>
      <c r="P79" s="676"/>
      <c r="Q79" s="676"/>
      <c r="R79" s="676"/>
      <c r="S79" s="676"/>
      <c r="T79" s="676"/>
      <c r="U79" s="676"/>
      <c r="V79" s="676"/>
      <c r="W79" s="676"/>
      <c r="X79" s="676"/>
      <c r="Y79" s="676"/>
      <c r="Z79" s="676"/>
      <c r="AA79" s="676"/>
      <c r="AB79" s="676"/>
      <c r="AC79" s="676"/>
      <c r="AD79" s="676"/>
      <c r="AE79" s="676"/>
      <c r="AF79" s="676"/>
      <c r="AG79" s="676"/>
      <c r="AH79" s="676"/>
      <c r="AI79" s="676"/>
      <c r="AJ79" s="676"/>
      <c r="AK79" s="676"/>
      <c r="AL79" s="676"/>
      <c r="AM79" s="676"/>
      <c r="AN79" s="676"/>
      <c r="AO79" s="676"/>
      <c r="AP79" s="676"/>
      <c r="AQ79" s="676"/>
      <c r="AR79" s="676"/>
      <c r="AS79" s="676"/>
      <c r="AT79" s="676"/>
      <c r="AU79" s="676"/>
      <c r="CG79" s="669"/>
    </row>
    <row r="80" spans="1:85">
      <c r="A80" s="674"/>
      <c r="E80" s="676"/>
      <c r="F80" s="676"/>
      <c r="G80" s="676"/>
      <c r="H80" s="676"/>
      <c r="I80" s="676"/>
      <c r="J80" s="676"/>
      <c r="K80" s="676"/>
      <c r="L80" s="676"/>
      <c r="M80" s="676"/>
      <c r="N80" s="676"/>
      <c r="O80" s="676"/>
      <c r="P80" s="676"/>
      <c r="Q80" s="676"/>
      <c r="R80" s="676"/>
      <c r="S80" s="676"/>
      <c r="T80" s="676"/>
      <c r="U80" s="676"/>
      <c r="V80" s="676"/>
      <c r="W80" s="676"/>
      <c r="X80" s="676"/>
      <c r="Y80" s="676"/>
      <c r="Z80" s="676"/>
      <c r="AA80" s="676"/>
      <c r="AB80" s="676"/>
      <c r="AC80" s="676"/>
      <c r="AD80" s="676"/>
      <c r="AE80" s="676"/>
      <c r="AF80" s="676"/>
      <c r="AG80" s="676"/>
      <c r="AH80" s="676"/>
      <c r="AI80" s="676"/>
      <c r="AJ80" s="676"/>
      <c r="AK80" s="676"/>
      <c r="AL80" s="676"/>
      <c r="AM80" s="676"/>
      <c r="AN80" s="676"/>
      <c r="AO80" s="676"/>
      <c r="AP80" s="676"/>
      <c r="AQ80" s="676"/>
      <c r="AR80" s="676"/>
      <c r="AS80" s="676"/>
      <c r="AT80" s="676"/>
      <c r="AU80" s="676"/>
      <c r="CG80" s="669"/>
    </row>
    <row r="81" spans="1:85">
      <c r="A81" s="674"/>
      <c r="E81" s="676"/>
      <c r="F81" s="676"/>
      <c r="G81" s="676"/>
      <c r="H81" s="676"/>
      <c r="I81" s="676"/>
      <c r="J81" s="676"/>
      <c r="K81" s="676"/>
      <c r="L81" s="676"/>
      <c r="M81" s="676"/>
      <c r="N81" s="676"/>
      <c r="O81" s="676"/>
      <c r="P81" s="676"/>
      <c r="Q81" s="676"/>
      <c r="R81" s="676"/>
      <c r="S81" s="676"/>
      <c r="T81" s="676"/>
      <c r="U81" s="676"/>
      <c r="V81" s="676"/>
      <c r="W81" s="676"/>
      <c r="X81" s="676"/>
      <c r="Y81" s="676"/>
      <c r="Z81" s="676"/>
      <c r="AA81" s="676"/>
      <c r="AB81" s="676"/>
      <c r="AC81" s="676"/>
      <c r="AD81" s="676"/>
      <c r="AE81" s="676"/>
      <c r="AF81" s="676"/>
      <c r="AG81" s="676"/>
      <c r="AH81" s="676"/>
      <c r="AI81" s="676"/>
      <c r="AJ81" s="676"/>
      <c r="AK81" s="676"/>
      <c r="AL81" s="676"/>
      <c r="AM81" s="676"/>
      <c r="AN81" s="676"/>
      <c r="AO81" s="676"/>
      <c r="AP81" s="676"/>
      <c r="AQ81" s="676"/>
      <c r="AR81" s="676"/>
      <c r="AS81" s="676"/>
      <c r="AT81" s="676"/>
      <c r="AU81" s="676"/>
      <c r="CG81" s="669"/>
    </row>
    <row r="82" spans="1:85">
      <c r="A82" s="674"/>
      <c r="E82" s="676"/>
      <c r="F82" s="676"/>
      <c r="G82" s="676"/>
      <c r="H82" s="676"/>
      <c r="I82" s="676"/>
      <c r="J82" s="676"/>
      <c r="K82" s="676"/>
      <c r="L82" s="676"/>
      <c r="M82" s="676"/>
      <c r="N82" s="676"/>
      <c r="O82" s="676"/>
      <c r="P82" s="676"/>
      <c r="Q82" s="676"/>
      <c r="R82" s="676"/>
      <c r="S82" s="676"/>
      <c r="T82" s="676"/>
      <c r="U82" s="676"/>
      <c r="V82" s="676"/>
      <c r="W82" s="676"/>
      <c r="X82" s="676"/>
      <c r="Y82" s="676"/>
      <c r="Z82" s="676"/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CG82" s="669"/>
    </row>
    <row r="83" spans="1:85">
      <c r="A83" s="674"/>
      <c r="E83" s="676"/>
      <c r="F83" s="676"/>
      <c r="G83" s="676"/>
      <c r="H83" s="676"/>
      <c r="I83" s="676"/>
      <c r="J83" s="676"/>
      <c r="K83" s="676"/>
      <c r="L83" s="676"/>
      <c r="M83" s="676"/>
      <c r="N83" s="676"/>
      <c r="O83" s="676"/>
      <c r="P83" s="676"/>
      <c r="Q83" s="676"/>
      <c r="R83" s="676"/>
      <c r="S83" s="676"/>
      <c r="T83" s="676"/>
      <c r="U83" s="676"/>
      <c r="V83" s="676"/>
      <c r="W83" s="676"/>
      <c r="X83" s="676"/>
      <c r="Y83" s="676"/>
      <c r="Z83" s="676"/>
      <c r="AA83" s="676"/>
      <c r="AB83" s="676"/>
      <c r="AC83" s="676"/>
      <c r="AD83" s="676"/>
      <c r="AE83" s="676"/>
      <c r="AF83" s="676"/>
      <c r="AG83" s="676"/>
      <c r="AH83" s="676"/>
      <c r="AI83" s="676"/>
      <c r="AJ83" s="676"/>
      <c r="AK83" s="676"/>
      <c r="AL83" s="676"/>
      <c r="AM83" s="676"/>
      <c r="AN83" s="676"/>
      <c r="AO83" s="676"/>
      <c r="AP83" s="676"/>
      <c r="AQ83" s="676"/>
      <c r="AR83" s="676"/>
      <c r="AS83" s="676"/>
      <c r="AT83" s="676"/>
      <c r="AU83" s="676"/>
      <c r="CG83" s="669"/>
    </row>
    <row r="84" spans="1:85">
      <c r="A84" s="674"/>
      <c r="E84" s="676"/>
      <c r="F84" s="676"/>
      <c r="G84" s="676"/>
      <c r="H84" s="676"/>
      <c r="I84" s="676"/>
      <c r="J84" s="676"/>
      <c r="K84" s="676"/>
      <c r="L84" s="676"/>
      <c r="M84" s="676"/>
      <c r="N84" s="676"/>
      <c r="O84" s="676"/>
      <c r="P84" s="676"/>
      <c r="Q84" s="676"/>
      <c r="R84" s="676"/>
      <c r="S84" s="676"/>
      <c r="T84" s="676"/>
      <c r="U84" s="676"/>
      <c r="V84" s="676"/>
      <c r="W84" s="676"/>
      <c r="X84" s="676"/>
      <c r="Y84" s="676"/>
      <c r="Z84" s="676"/>
      <c r="AA84" s="676"/>
      <c r="AB84" s="676"/>
      <c r="AC84" s="676"/>
      <c r="AD84" s="676"/>
      <c r="AE84" s="676"/>
      <c r="AF84" s="676"/>
      <c r="AG84" s="676"/>
      <c r="AH84" s="676"/>
      <c r="AI84" s="676"/>
      <c r="AJ84" s="676"/>
      <c r="AK84" s="676"/>
      <c r="AL84" s="676"/>
      <c r="AM84" s="676"/>
      <c r="AN84" s="676"/>
      <c r="AO84" s="676"/>
      <c r="AP84" s="676"/>
      <c r="AQ84" s="676"/>
      <c r="AR84" s="676"/>
      <c r="AS84" s="676"/>
      <c r="AT84" s="676"/>
      <c r="AU84" s="676"/>
      <c r="CG84" s="669"/>
    </row>
    <row r="85" spans="1:85">
      <c r="A85" s="674"/>
      <c r="E85" s="676"/>
      <c r="F85" s="676"/>
      <c r="G85" s="676"/>
      <c r="H85" s="676"/>
      <c r="I85" s="676"/>
      <c r="J85" s="676"/>
      <c r="K85" s="676"/>
      <c r="L85" s="676"/>
      <c r="M85" s="676"/>
      <c r="N85" s="676"/>
      <c r="O85" s="676"/>
      <c r="P85" s="676"/>
      <c r="Q85" s="676"/>
      <c r="R85" s="676"/>
      <c r="S85" s="676"/>
      <c r="T85" s="676"/>
      <c r="U85" s="676"/>
      <c r="V85" s="676"/>
      <c r="W85" s="676"/>
      <c r="X85" s="676"/>
      <c r="Y85" s="676"/>
      <c r="Z85" s="676"/>
      <c r="AA85" s="676"/>
      <c r="AB85" s="676"/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76"/>
      <c r="AQ85" s="676"/>
      <c r="AR85" s="676"/>
      <c r="AS85" s="676"/>
      <c r="AT85" s="676"/>
      <c r="AU85" s="676"/>
      <c r="CG85" s="669"/>
    </row>
    <row r="86" spans="1:85">
      <c r="A86" s="674"/>
      <c r="E86" s="676"/>
      <c r="F86" s="676"/>
      <c r="G86" s="676"/>
      <c r="H86" s="676"/>
      <c r="I86" s="676"/>
      <c r="J86" s="676"/>
      <c r="K86" s="676"/>
      <c r="L86" s="676"/>
      <c r="M86" s="676"/>
      <c r="N86" s="676"/>
      <c r="O86" s="676"/>
      <c r="P86" s="676"/>
      <c r="Q86" s="676"/>
      <c r="R86" s="676"/>
      <c r="S86" s="676"/>
      <c r="T86" s="676"/>
      <c r="U86" s="676"/>
      <c r="V86" s="676"/>
      <c r="W86" s="676"/>
      <c r="X86" s="676"/>
      <c r="Y86" s="676"/>
      <c r="Z86" s="676"/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CG86" s="669"/>
    </row>
    <row r="87" spans="1:85">
      <c r="A87" s="674"/>
      <c r="E87" s="676"/>
      <c r="F87" s="676"/>
      <c r="G87" s="676"/>
      <c r="H87" s="676"/>
      <c r="I87" s="676"/>
      <c r="J87" s="676"/>
      <c r="K87" s="676"/>
      <c r="L87" s="676"/>
      <c r="M87" s="676"/>
      <c r="N87" s="676"/>
      <c r="O87" s="676"/>
      <c r="P87" s="676"/>
      <c r="Q87" s="676"/>
      <c r="R87" s="676"/>
      <c r="S87" s="676"/>
      <c r="T87" s="676"/>
      <c r="U87" s="676"/>
      <c r="V87" s="676"/>
      <c r="W87" s="676"/>
      <c r="X87" s="676"/>
      <c r="Y87" s="676"/>
      <c r="Z87" s="676"/>
      <c r="AA87" s="676"/>
      <c r="AB87" s="676"/>
      <c r="AC87" s="676"/>
      <c r="AD87" s="676"/>
      <c r="AE87" s="676"/>
      <c r="AF87" s="676"/>
      <c r="AG87" s="676"/>
      <c r="AH87" s="676"/>
      <c r="AI87" s="676"/>
      <c r="AJ87" s="676"/>
      <c r="AK87" s="676"/>
      <c r="AL87" s="676"/>
      <c r="AM87" s="676"/>
      <c r="AN87" s="676"/>
      <c r="AO87" s="676"/>
      <c r="AP87" s="676"/>
      <c r="AQ87" s="676"/>
      <c r="AR87" s="676"/>
      <c r="AS87" s="676"/>
      <c r="AT87" s="676"/>
      <c r="AU87" s="676"/>
      <c r="CG87" s="669"/>
    </row>
    <row r="88" spans="1:85">
      <c r="A88" s="674"/>
      <c r="E88" s="676"/>
      <c r="F88" s="676"/>
      <c r="G88" s="676"/>
      <c r="H88" s="676"/>
      <c r="I88" s="676"/>
      <c r="J88" s="676"/>
      <c r="K88" s="676"/>
      <c r="L88" s="676"/>
      <c r="M88" s="676"/>
      <c r="N88" s="676"/>
      <c r="O88" s="676"/>
      <c r="P88" s="676"/>
      <c r="Q88" s="676"/>
      <c r="R88" s="676"/>
      <c r="S88" s="676"/>
      <c r="T88" s="676"/>
      <c r="U88" s="676"/>
      <c r="V88" s="676"/>
      <c r="W88" s="676"/>
      <c r="X88" s="676"/>
      <c r="Y88" s="676"/>
      <c r="Z88" s="676"/>
      <c r="AA88" s="676"/>
      <c r="AB88" s="676"/>
      <c r="AC88" s="676"/>
      <c r="AD88" s="676"/>
      <c r="AE88" s="676"/>
      <c r="AF88" s="676"/>
      <c r="AG88" s="676"/>
      <c r="AH88" s="676"/>
      <c r="AI88" s="676"/>
      <c r="AJ88" s="676"/>
      <c r="AK88" s="676"/>
      <c r="AL88" s="676"/>
      <c r="AM88" s="676"/>
      <c r="AN88" s="676"/>
      <c r="AO88" s="676"/>
      <c r="AP88" s="676"/>
      <c r="AQ88" s="676"/>
      <c r="AR88" s="676"/>
      <c r="AS88" s="676"/>
      <c r="AT88" s="676"/>
      <c r="AU88" s="676"/>
      <c r="CG88" s="669"/>
    </row>
    <row r="89" spans="1:85">
      <c r="A89" s="674"/>
      <c r="E89" s="676"/>
      <c r="F89" s="676"/>
      <c r="G89" s="676"/>
      <c r="H89" s="676"/>
      <c r="I89" s="676"/>
      <c r="J89" s="676"/>
      <c r="K89" s="676"/>
      <c r="L89" s="676"/>
      <c r="M89" s="676"/>
      <c r="N89" s="676"/>
      <c r="O89" s="676"/>
      <c r="P89" s="676"/>
      <c r="Q89" s="676"/>
      <c r="R89" s="676"/>
      <c r="S89" s="676"/>
      <c r="T89" s="676"/>
      <c r="U89" s="676"/>
      <c r="V89" s="676"/>
      <c r="W89" s="676"/>
      <c r="X89" s="676"/>
      <c r="Y89" s="676"/>
      <c r="Z89" s="676"/>
      <c r="AA89" s="676"/>
      <c r="AB89" s="676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676"/>
      <c r="AQ89" s="676"/>
      <c r="AR89" s="676"/>
      <c r="AS89" s="676"/>
      <c r="AT89" s="676"/>
      <c r="AU89" s="676"/>
      <c r="CG89" s="669"/>
    </row>
    <row r="90" spans="1:85">
      <c r="A90" s="674"/>
      <c r="E90" s="676"/>
      <c r="F90" s="676"/>
      <c r="G90" s="676"/>
      <c r="H90" s="676"/>
      <c r="I90" s="676"/>
      <c r="J90" s="676"/>
      <c r="K90" s="676"/>
      <c r="L90" s="676"/>
      <c r="M90" s="676"/>
      <c r="N90" s="676"/>
      <c r="O90" s="676"/>
      <c r="P90" s="676"/>
      <c r="Q90" s="676"/>
      <c r="R90" s="676"/>
      <c r="S90" s="676"/>
      <c r="T90" s="676"/>
      <c r="U90" s="676"/>
      <c r="V90" s="676"/>
      <c r="W90" s="676"/>
      <c r="X90" s="676"/>
      <c r="Y90" s="676"/>
      <c r="Z90" s="676"/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CG90" s="669"/>
    </row>
    <row r="91" spans="1:85">
      <c r="A91" s="674"/>
      <c r="E91" s="676"/>
      <c r="F91" s="676"/>
      <c r="G91" s="676"/>
      <c r="H91" s="676"/>
      <c r="I91" s="676"/>
      <c r="J91" s="676"/>
      <c r="K91" s="676"/>
      <c r="L91" s="676"/>
      <c r="M91" s="676"/>
      <c r="N91" s="676"/>
      <c r="O91" s="676"/>
      <c r="P91" s="676"/>
      <c r="Q91" s="676"/>
      <c r="R91" s="676"/>
      <c r="S91" s="676"/>
      <c r="T91" s="676"/>
      <c r="U91" s="676"/>
      <c r="V91" s="676"/>
      <c r="W91" s="676"/>
      <c r="X91" s="676"/>
      <c r="Y91" s="676"/>
      <c r="Z91" s="676"/>
      <c r="AA91" s="676"/>
      <c r="AB91" s="676"/>
      <c r="AC91" s="676"/>
      <c r="AD91" s="676"/>
      <c r="AE91" s="676"/>
      <c r="AF91" s="676"/>
      <c r="AG91" s="676"/>
      <c r="AH91" s="676"/>
      <c r="AI91" s="676"/>
      <c r="AJ91" s="676"/>
      <c r="AK91" s="676"/>
      <c r="AL91" s="676"/>
      <c r="AM91" s="676"/>
      <c r="AN91" s="676"/>
      <c r="AO91" s="676"/>
      <c r="AP91" s="676"/>
      <c r="AQ91" s="676"/>
      <c r="AR91" s="676"/>
      <c r="AS91" s="676"/>
      <c r="AT91" s="676"/>
      <c r="AU91" s="676"/>
      <c r="CG91" s="669"/>
    </row>
    <row r="92" spans="1:85">
      <c r="A92" s="674"/>
      <c r="E92" s="670" t="s">
        <v>483</v>
      </c>
      <c r="I92" s="670" t="s">
        <v>484</v>
      </c>
      <c r="CG92" s="669"/>
    </row>
    <row r="93" spans="1:85">
      <c r="A93" s="674"/>
      <c r="CG93" s="669"/>
    </row>
    <row r="94" spans="1:85">
      <c r="A94" s="674"/>
      <c r="E94" s="670" t="s">
        <v>485</v>
      </c>
      <c r="F94" s="676"/>
      <c r="G94" s="676"/>
      <c r="I94" s="676" t="s">
        <v>486</v>
      </c>
      <c r="CG94" s="669"/>
    </row>
    <row r="95" spans="1:85">
      <c r="A95" s="674"/>
      <c r="E95" s="676"/>
      <c r="F95" s="676"/>
      <c r="G95" s="676"/>
      <c r="H95" s="676"/>
      <c r="I95" s="676"/>
      <c r="J95" s="676"/>
      <c r="K95" s="676"/>
      <c r="L95" s="676"/>
      <c r="M95" s="676"/>
      <c r="N95" s="676"/>
      <c r="O95" s="676"/>
      <c r="P95" s="676"/>
      <c r="Q95" s="676"/>
      <c r="R95" s="676"/>
      <c r="S95" s="676"/>
      <c r="T95" s="676"/>
      <c r="U95" s="676"/>
      <c r="V95" s="676"/>
      <c r="W95" s="676"/>
      <c r="X95" s="676"/>
      <c r="Y95" s="676"/>
      <c r="Z95" s="676"/>
      <c r="AA95" s="676"/>
      <c r="AB95" s="676"/>
      <c r="AC95" s="676"/>
      <c r="AD95" s="676"/>
      <c r="AE95" s="676"/>
      <c r="AF95" s="676"/>
      <c r="AG95" s="676"/>
      <c r="AH95" s="676"/>
      <c r="AI95" s="676"/>
      <c r="AJ95" s="676"/>
      <c r="AK95" s="676"/>
      <c r="AL95" s="676"/>
      <c r="AM95" s="676"/>
      <c r="AN95" s="676"/>
      <c r="AO95" s="676"/>
      <c r="AP95" s="676"/>
      <c r="AQ95" s="676"/>
      <c r="AR95" s="676"/>
      <c r="AS95" s="676"/>
      <c r="AT95" s="676"/>
      <c r="AU95" s="676"/>
      <c r="CG95" s="669"/>
    </row>
    <row r="96" spans="1:85">
      <c r="A96" s="674"/>
      <c r="E96" s="676"/>
      <c r="F96" s="934" t="s">
        <v>487</v>
      </c>
      <c r="G96" s="935"/>
      <c r="H96" s="935"/>
      <c r="I96" s="935"/>
      <c r="J96" s="935"/>
      <c r="K96" s="935"/>
      <c r="L96" s="935"/>
      <c r="M96" s="935"/>
      <c r="N96" s="936"/>
      <c r="O96" s="937" t="s">
        <v>488</v>
      </c>
      <c r="P96" s="893"/>
      <c r="Q96" s="893"/>
      <c r="R96" s="893"/>
      <c r="S96" s="893"/>
      <c r="T96" s="893"/>
      <c r="U96" s="893"/>
      <c r="V96" s="893"/>
      <c r="W96" s="893"/>
      <c r="X96" s="893"/>
      <c r="Y96" s="893"/>
      <c r="Z96" s="893"/>
      <c r="AA96" s="893"/>
      <c r="AB96" s="893"/>
      <c r="AC96" s="893"/>
      <c r="AD96" s="893"/>
      <c r="AE96" s="893"/>
      <c r="AF96" s="893"/>
      <c r="AG96" s="893"/>
      <c r="AH96" s="893"/>
      <c r="AI96" s="893"/>
      <c r="AJ96" s="893"/>
      <c r="AK96" s="893"/>
      <c r="AL96" s="893"/>
      <c r="AM96" s="893"/>
      <c r="AN96" s="893"/>
      <c r="AO96" s="893"/>
      <c r="AP96" s="893"/>
      <c r="AQ96" s="893"/>
      <c r="AR96" s="893"/>
      <c r="AS96" s="893"/>
      <c r="AT96" s="893"/>
      <c r="AU96" s="894"/>
      <c r="CG96" s="669"/>
    </row>
    <row r="97" spans="1:85">
      <c r="A97" s="674"/>
      <c r="E97" s="676"/>
      <c r="F97" s="945" t="s">
        <v>489</v>
      </c>
      <c r="G97" s="946"/>
      <c r="H97" s="946"/>
      <c r="I97" s="946"/>
      <c r="J97" s="946"/>
      <c r="K97" s="946"/>
      <c r="L97" s="946"/>
      <c r="M97" s="946"/>
      <c r="N97" s="947"/>
      <c r="O97" s="941" t="s">
        <v>490</v>
      </c>
      <c r="P97" s="942"/>
      <c r="Q97" s="942"/>
      <c r="R97" s="942"/>
      <c r="S97" s="942"/>
      <c r="T97" s="942"/>
      <c r="U97" s="942"/>
      <c r="V97" s="942"/>
      <c r="W97" s="942"/>
      <c r="X97" s="942"/>
      <c r="Y97" s="942"/>
      <c r="Z97" s="942"/>
      <c r="AA97" s="942"/>
      <c r="AB97" s="942"/>
      <c r="AC97" s="942"/>
      <c r="AD97" s="942"/>
      <c r="AE97" s="942"/>
      <c r="AF97" s="942"/>
      <c r="AG97" s="942"/>
      <c r="AH97" s="942"/>
      <c r="AI97" s="942"/>
      <c r="AJ97" s="942"/>
      <c r="AK97" s="942"/>
      <c r="AL97" s="942"/>
      <c r="AM97" s="942"/>
      <c r="AN97" s="942"/>
      <c r="AO97" s="942"/>
      <c r="AP97" s="942"/>
      <c r="AQ97" s="942"/>
      <c r="AR97" s="942"/>
      <c r="AS97" s="942"/>
      <c r="AT97" s="942"/>
      <c r="AU97" s="943"/>
      <c r="CG97" s="669"/>
    </row>
    <row r="98" spans="1:85">
      <c r="A98" s="674"/>
      <c r="E98" s="676"/>
      <c r="F98" s="948"/>
      <c r="G98" s="949"/>
      <c r="H98" s="949"/>
      <c r="I98" s="949"/>
      <c r="J98" s="949"/>
      <c r="K98" s="949"/>
      <c r="L98" s="949"/>
      <c r="M98" s="949"/>
      <c r="N98" s="950"/>
      <c r="O98" s="941" t="s">
        <v>491</v>
      </c>
      <c r="P98" s="942"/>
      <c r="Q98" s="942"/>
      <c r="R98" s="942"/>
      <c r="S98" s="942"/>
      <c r="T98" s="942"/>
      <c r="U98" s="942"/>
      <c r="V98" s="942"/>
      <c r="W98" s="942"/>
      <c r="X98" s="942"/>
      <c r="Y98" s="942"/>
      <c r="Z98" s="942"/>
      <c r="AA98" s="942"/>
      <c r="AB98" s="942"/>
      <c r="AC98" s="942"/>
      <c r="AD98" s="942"/>
      <c r="AE98" s="942"/>
      <c r="AF98" s="942"/>
      <c r="AG98" s="942"/>
      <c r="AH98" s="942"/>
      <c r="AI98" s="942"/>
      <c r="AJ98" s="942"/>
      <c r="AK98" s="942"/>
      <c r="AL98" s="942"/>
      <c r="AM98" s="942"/>
      <c r="AN98" s="942"/>
      <c r="AO98" s="942"/>
      <c r="AP98" s="942"/>
      <c r="AQ98" s="942"/>
      <c r="AR98" s="942"/>
      <c r="AS98" s="942"/>
      <c r="AT98" s="942"/>
      <c r="AU98" s="943"/>
      <c r="CG98" s="669"/>
    </row>
    <row r="99" spans="1:85">
      <c r="A99" s="674"/>
      <c r="E99" s="676"/>
      <c r="F99" s="677" t="s">
        <v>492</v>
      </c>
      <c r="G99" s="677"/>
      <c r="H99" s="677"/>
      <c r="I99" s="677"/>
      <c r="J99" s="677"/>
      <c r="K99" s="677"/>
      <c r="L99" s="677"/>
      <c r="M99" s="677"/>
      <c r="N99" s="677"/>
      <c r="O99" s="678"/>
      <c r="P99" s="678"/>
      <c r="Q99" s="678"/>
      <c r="R99" s="678"/>
      <c r="S99" s="678"/>
      <c r="T99" s="678"/>
      <c r="U99" s="678"/>
      <c r="V99" s="678"/>
      <c r="W99" s="678"/>
      <c r="X99" s="678"/>
      <c r="Y99" s="678"/>
      <c r="Z99" s="678"/>
      <c r="AA99" s="678"/>
      <c r="AB99" s="678"/>
      <c r="AC99" s="678"/>
      <c r="AD99" s="678"/>
      <c r="AE99" s="678"/>
      <c r="AF99" s="678"/>
      <c r="AG99" s="678"/>
      <c r="AH99" s="678"/>
      <c r="AI99" s="678"/>
      <c r="AJ99" s="678"/>
      <c r="AK99" s="678"/>
      <c r="AL99" s="678"/>
      <c r="AM99" s="678"/>
      <c r="AN99" s="678"/>
      <c r="AO99" s="678"/>
      <c r="AP99" s="678"/>
      <c r="AQ99" s="678"/>
      <c r="AR99" s="678"/>
      <c r="AS99" s="678"/>
      <c r="AT99" s="678"/>
      <c r="AU99" s="678"/>
      <c r="CG99" s="669"/>
    </row>
    <row r="100" spans="1:85">
      <c r="A100" s="674"/>
      <c r="E100" s="676"/>
      <c r="F100" s="677" t="s">
        <v>493</v>
      </c>
      <c r="G100" s="677"/>
      <c r="H100" s="677"/>
      <c r="I100" s="677"/>
      <c r="J100" s="677"/>
      <c r="K100" s="677"/>
      <c r="L100" s="677"/>
      <c r="M100" s="677"/>
      <c r="N100" s="677"/>
      <c r="O100" s="678"/>
      <c r="P100" s="678"/>
      <c r="Q100" s="678"/>
      <c r="R100" s="678"/>
      <c r="S100" s="678"/>
      <c r="T100" s="678"/>
      <c r="U100" s="678"/>
      <c r="V100" s="678"/>
      <c r="W100" s="678"/>
      <c r="X100" s="678"/>
      <c r="Y100" s="678"/>
      <c r="Z100" s="678"/>
      <c r="AA100" s="678"/>
      <c r="AB100" s="678"/>
      <c r="AC100" s="678"/>
      <c r="AD100" s="678"/>
      <c r="AE100" s="678"/>
      <c r="AF100" s="678"/>
      <c r="AG100" s="678"/>
      <c r="AH100" s="678"/>
      <c r="AI100" s="678"/>
      <c r="AJ100" s="678"/>
      <c r="AK100" s="678"/>
      <c r="AL100" s="678"/>
      <c r="AM100" s="678"/>
      <c r="AN100" s="678"/>
      <c r="AO100" s="678"/>
      <c r="AP100" s="678"/>
      <c r="AQ100" s="678"/>
      <c r="AR100" s="678"/>
      <c r="AS100" s="678"/>
      <c r="AT100" s="678"/>
      <c r="AU100" s="678"/>
      <c r="CG100" s="669"/>
    </row>
    <row r="101" spans="1:85">
      <c r="A101" s="674"/>
      <c r="E101" s="676"/>
      <c r="F101" s="677"/>
      <c r="G101" s="677"/>
      <c r="H101" s="677" t="s">
        <v>494</v>
      </c>
      <c r="I101" s="677"/>
      <c r="J101" s="677"/>
      <c r="K101" s="677"/>
      <c r="L101" s="677"/>
      <c r="M101" s="677"/>
      <c r="N101" s="677"/>
      <c r="O101" s="678"/>
      <c r="P101" s="678"/>
      <c r="Q101" s="678"/>
      <c r="R101" s="678"/>
      <c r="S101" s="678"/>
      <c r="T101" s="678"/>
      <c r="U101" s="678"/>
      <c r="V101" s="678"/>
      <c r="W101" s="678"/>
      <c r="X101" s="678"/>
      <c r="Y101" s="678"/>
      <c r="Z101" s="678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CG101" s="669"/>
    </row>
    <row r="102" spans="1:85">
      <c r="A102" s="674"/>
      <c r="E102" s="676"/>
      <c r="F102" s="677"/>
      <c r="G102" s="677"/>
      <c r="H102" s="677" t="s">
        <v>495</v>
      </c>
      <c r="I102" s="677"/>
      <c r="J102" s="677"/>
      <c r="K102" s="677"/>
      <c r="L102" s="677"/>
      <c r="M102" s="677"/>
      <c r="N102" s="677"/>
      <c r="O102" s="678"/>
      <c r="P102" s="678"/>
      <c r="Q102" s="678"/>
      <c r="R102" s="678"/>
      <c r="S102" s="678"/>
      <c r="T102" s="678"/>
      <c r="U102" s="678"/>
      <c r="V102" s="678"/>
      <c r="W102" s="678"/>
      <c r="X102" s="678"/>
      <c r="Y102" s="678"/>
      <c r="Z102" s="678"/>
      <c r="AA102" s="678"/>
      <c r="AB102" s="678"/>
      <c r="AC102" s="678"/>
      <c r="AD102" s="678"/>
      <c r="AE102" s="678"/>
      <c r="AF102" s="678"/>
      <c r="AG102" s="678"/>
      <c r="AH102" s="678"/>
      <c r="AI102" s="678"/>
      <c r="AJ102" s="678"/>
      <c r="AK102" s="678"/>
      <c r="AL102" s="678"/>
      <c r="AM102" s="678"/>
      <c r="AN102" s="678"/>
      <c r="AO102" s="678"/>
      <c r="AP102" s="678"/>
      <c r="AQ102" s="678"/>
      <c r="AR102" s="678"/>
      <c r="AS102" s="678"/>
      <c r="AT102" s="678"/>
      <c r="AU102" s="678"/>
      <c r="CG102" s="669"/>
    </row>
    <row r="103" spans="1:85">
      <c r="A103" s="674"/>
      <c r="E103" s="676"/>
      <c r="F103" s="677"/>
      <c r="G103" s="677"/>
      <c r="H103" s="677" t="s">
        <v>496</v>
      </c>
      <c r="I103" s="677"/>
      <c r="J103" s="677"/>
      <c r="K103" s="677"/>
      <c r="L103" s="677"/>
      <c r="M103" s="677"/>
      <c r="N103" s="677"/>
      <c r="O103" s="678"/>
      <c r="P103" s="678"/>
      <c r="Q103" s="678"/>
      <c r="R103" s="678"/>
      <c r="S103" s="678"/>
      <c r="T103" s="678"/>
      <c r="U103" s="678"/>
      <c r="V103" s="678"/>
      <c r="W103" s="678"/>
      <c r="X103" s="678"/>
      <c r="Y103" s="678"/>
      <c r="Z103" s="678"/>
      <c r="AA103" s="678"/>
      <c r="AB103" s="678"/>
      <c r="AC103" s="678"/>
      <c r="AD103" s="678"/>
      <c r="AE103" s="678"/>
      <c r="AF103" s="678"/>
      <c r="AG103" s="678"/>
      <c r="AH103" s="678"/>
      <c r="AI103" s="678"/>
      <c r="AJ103" s="678"/>
      <c r="AK103" s="678"/>
      <c r="AL103" s="678"/>
      <c r="AM103" s="678"/>
      <c r="AN103" s="678"/>
      <c r="AO103" s="678"/>
      <c r="AP103" s="678"/>
      <c r="AQ103" s="678"/>
      <c r="AR103" s="678"/>
      <c r="AS103" s="678"/>
      <c r="AT103" s="678"/>
      <c r="AU103" s="678"/>
      <c r="CG103" s="669"/>
    </row>
    <row r="104" spans="1:85">
      <c r="A104" s="674"/>
      <c r="E104" s="676"/>
      <c r="F104" s="677"/>
      <c r="G104" s="677"/>
      <c r="H104" s="677" t="s">
        <v>497</v>
      </c>
      <c r="I104" s="677"/>
      <c r="J104" s="677"/>
      <c r="K104" s="677"/>
      <c r="L104" s="677"/>
      <c r="M104" s="677"/>
      <c r="N104" s="677"/>
      <c r="O104" s="678"/>
      <c r="P104" s="678"/>
      <c r="Q104" s="678"/>
      <c r="R104" s="678"/>
      <c r="S104" s="678"/>
      <c r="T104" s="678"/>
      <c r="U104" s="678"/>
      <c r="V104" s="678"/>
      <c r="W104" s="678"/>
      <c r="X104" s="678"/>
      <c r="Y104" s="678"/>
      <c r="Z104" s="678"/>
      <c r="AA104" s="678"/>
      <c r="AB104" s="678"/>
      <c r="AC104" s="678"/>
      <c r="AD104" s="678"/>
      <c r="AE104" s="678"/>
      <c r="AF104" s="678"/>
      <c r="AG104" s="678"/>
      <c r="AH104" s="678"/>
      <c r="AI104" s="678"/>
      <c r="AJ104" s="678"/>
      <c r="AK104" s="678"/>
      <c r="AL104" s="678"/>
      <c r="AM104" s="678"/>
      <c r="AN104" s="678"/>
      <c r="AO104" s="678"/>
      <c r="AP104" s="678"/>
      <c r="AQ104" s="678"/>
      <c r="AR104" s="678"/>
      <c r="AS104" s="678"/>
      <c r="AT104" s="678"/>
      <c r="AU104" s="678"/>
      <c r="CG104" s="669"/>
    </row>
    <row r="105" spans="1:85">
      <c r="A105" s="674"/>
      <c r="E105" s="676"/>
      <c r="F105" s="677"/>
      <c r="G105" s="677"/>
      <c r="H105" s="677" t="s">
        <v>498</v>
      </c>
      <c r="I105" s="677"/>
      <c r="J105" s="677"/>
      <c r="K105" s="677"/>
      <c r="L105" s="677"/>
      <c r="M105" s="677"/>
      <c r="N105" s="677"/>
      <c r="O105" s="678"/>
      <c r="P105" s="678"/>
      <c r="Q105" s="678"/>
      <c r="R105" s="678"/>
      <c r="S105" s="678"/>
      <c r="T105" s="678"/>
      <c r="U105" s="678"/>
      <c r="V105" s="678"/>
      <c r="W105" s="678"/>
      <c r="X105" s="678"/>
      <c r="Y105" s="678"/>
      <c r="Z105" s="678"/>
      <c r="AA105" s="678"/>
      <c r="AB105" s="678"/>
      <c r="AC105" s="678"/>
      <c r="AD105" s="678"/>
      <c r="AE105" s="678"/>
      <c r="AF105" s="678"/>
      <c r="AG105" s="678"/>
      <c r="AH105" s="678"/>
      <c r="AI105" s="678"/>
      <c r="AJ105" s="678"/>
      <c r="AK105" s="678"/>
      <c r="AL105" s="678"/>
      <c r="AM105" s="678"/>
      <c r="AN105" s="678"/>
      <c r="AO105" s="678"/>
      <c r="AP105" s="678"/>
      <c r="AQ105" s="678"/>
      <c r="AR105" s="678"/>
      <c r="AS105" s="678"/>
      <c r="AT105" s="678"/>
      <c r="AU105" s="678"/>
      <c r="CG105" s="669"/>
    </row>
    <row r="106" spans="1:85">
      <c r="A106" s="674"/>
      <c r="E106" s="676"/>
      <c r="F106" s="677"/>
      <c r="G106" s="677"/>
      <c r="H106" s="677" t="s">
        <v>499</v>
      </c>
      <c r="I106" s="677"/>
      <c r="J106" s="677"/>
      <c r="K106" s="677"/>
      <c r="L106" s="677"/>
      <c r="M106" s="677"/>
      <c r="N106" s="677"/>
      <c r="O106" s="678"/>
      <c r="P106" s="678"/>
      <c r="Q106" s="678"/>
      <c r="R106" s="678"/>
      <c r="S106" s="678"/>
      <c r="T106" s="678"/>
      <c r="U106" s="678"/>
      <c r="V106" s="678"/>
      <c r="W106" s="678"/>
      <c r="X106" s="678"/>
      <c r="Y106" s="678"/>
      <c r="Z106" s="678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CG106" s="669"/>
    </row>
    <row r="107" spans="1:85">
      <c r="A107" s="674"/>
      <c r="E107" s="676"/>
      <c r="F107" s="677"/>
      <c r="G107" s="677"/>
      <c r="H107" s="677"/>
      <c r="I107" s="677"/>
      <c r="J107" s="677"/>
      <c r="K107" s="677"/>
      <c r="L107" s="677"/>
      <c r="M107" s="677"/>
      <c r="N107" s="677"/>
      <c r="O107" s="678"/>
      <c r="P107" s="678"/>
      <c r="Q107" s="678"/>
      <c r="R107" s="678"/>
      <c r="S107" s="678"/>
      <c r="T107" s="678"/>
      <c r="U107" s="678"/>
      <c r="V107" s="678"/>
      <c r="W107" s="678"/>
      <c r="X107" s="678"/>
      <c r="Y107" s="678"/>
      <c r="Z107" s="678"/>
      <c r="AA107" s="678"/>
      <c r="AB107" s="678"/>
      <c r="AC107" s="678"/>
      <c r="AD107" s="678"/>
      <c r="AE107" s="678"/>
      <c r="AF107" s="678"/>
      <c r="AG107" s="678"/>
      <c r="AH107" s="678"/>
      <c r="AI107" s="678"/>
      <c r="AJ107" s="678"/>
      <c r="AK107" s="678"/>
      <c r="AL107" s="678"/>
      <c r="AM107" s="678"/>
      <c r="AN107" s="678"/>
      <c r="AO107" s="678"/>
      <c r="AP107" s="678"/>
      <c r="AQ107" s="678"/>
      <c r="AR107" s="678"/>
      <c r="AS107" s="678"/>
      <c r="AT107" s="678"/>
      <c r="AU107" s="678"/>
      <c r="CG107" s="669"/>
    </row>
    <row r="108" spans="1:85">
      <c r="A108" s="674"/>
      <c r="E108" s="676"/>
      <c r="F108" s="676" t="s">
        <v>500</v>
      </c>
      <c r="G108" s="676"/>
      <c r="H108" s="676"/>
      <c r="I108" s="676"/>
      <c r="J108" s="676"/>
      <c r="K108" s="676"/>
      <c r="L108" s="676"/>
      <c r="M108" s="676"/>
      <c r="N108" s="676"/>
      <c r="O108" s="676"/>
      <c r="P108" s="676"/>
      <c r="Q108" s="676"/>
      <c r="R108" s="676"/>
      <c r="S108" s="676"/>
      <c r="T108" s="676"/>
      <c r="U108" s="676"/>
      <c r="V108" s="676"/>
      <c r="W108" s="676"/>
      <c r="X108" s="676"/>
      <c r="Y108" s="676"/>
      <c r="Z108" s="676"/>
      <c r="AA108" s="676"/>
      <c r="AB108" s="676"/>
      <c r="AC108" s="676"/>
      <c r="AD108" s="676"/>
      <c r="AE108" s="676"/>
      <c r="AF108" s="676"/>
      <c r="AG108" s="676"/>
      <c r="AH108" s="676"/>
      <c r="AI108" s="676"/>
      <c r="AJ108" s="676"/>
      <c r="AK108" s="676"/>
      <c r="AL108" s="676"/>
      <c r="AM108" s="676"/>
      <c r="AN108" s="676"/>
      <c r="AO108" s="676"/>
      <c r="AP108" s="676"/>
      <c r="AQ108" s="676"/>
      <c r="AR108" s="676"/>
      <c r="AS108" s="676"/>
      <c r="AT108" s="676"/>
      <c r="AU108" s="676"/>
      <c r="CG108" s="669"/>
    </row>
    <row r="109" spans="1:85">
      <c r="A109" s="674"/>
      <c r="E109" s="676"/>
      <c r="F109" s="676"/>
      <c r="G109" s="676"/>
      <c r="H109" s="676"/>
      <c r="I109" s="676"/>
      <c r="J109" s="676"/>
      <c r="K109" s="676"/>
      <c r="L109" s="676"/>
      <c r="M109" s="676"/>
      <c r="N109" s="676"/>
      <c r="O109" s="676"/>
      <c r="P109" s="676"/>
      <c r="Q109" s="676"/>
      <c r="R109" s="676"/>
      <c r="S109" s="676"/>
      <c r="T109" s="676"/>
      <c r="U109" s="676"/>
      <c r="V109" s="676"/>
      <c r="W109" s="676"/>
      <c r="X109" s="676"/>
      <c r="Y109" s="676"/>
      <c r="Z109" s="676"/>
      <c r="AA109" s="676"/>
      <c r="AB109" s="676"/>
      <c r="AC109" s="676"/>
      <c r="AD109" s="676"/>
      <c r="AE109" s="676"/>
      <c r="AF109" s="676"/>
      <c r="AG109" s="676"/>
      <c r="AH109" s="676"/>
      <c r="AI109" s="676"/>
      <c r="AJ109" s="676"/>
      <c r="AK109" s="676"/>
      <c r="AL109" s="676"/>
      <c r="AM109" s="676"/>
      <c r="AN109" s="676"/>
      <c r="AO109" s="676"/>
      <c r="AP109" s="676"/>
      <c r="AQ109" s="676"/>
      <c r="AR109" s="676"/>
      <c r="AS109" s="676"/>
      <c r="AT109" s="676"/>
      <c r="AU109" s="676"/>
      <c r="CG109" s="669"/>
    </row>
    <row r="110" spans="1:85">
      <c r="A110" s="674"/>
      <c r="E110" s="676"/>
      <c r="F110" s="679" t="s">
        <v>394</v>
      </c>
      <c r="G110" s="931" t="s">
        <v>395</v>
      </c>
      <c r="H110" s="932"/>
      <c r="I110" s="932"/>
      <c r="J110" s="932"/>
      <c r="K110" s="932"/>
      <c r="L110" s="932"/>
      <c r="M110" s="932"/>
      <c r="N110" s="933"/>
      <c r="O110" s="931" t="s">
        <v>501</v>
      </c>
      <c r="P110" s="932"/>
      <c r="Q110" s="932"/>
      <c r="R110" s="932"/>
      <c r="S110" s="932"/>
      <c r="T110" s="932"/>
      <c r="U110" s="932"/>
      <c r="V110" s="932"/>
      <c r="W110" s="932"/>
      <c r="X110" s="932"/>
      <c r="Y110" s="932"/>
      <c r="Z110" s="932"/>
      <c r="AA110" s="933"/>
      <c r="AB110" s="676"/>
      <c r="AC110" s="676"/>
      <c r="AD110" s="676"/>
      <c r="AE110" s="676"/>
      <c r="AF110" s="676"/>
      <c r="AG110" s="676"/>
      <c r="AH110" s="676"/>
      <c r="AI110" s="676"/>
      <c r="AJ110" s="676"/>
      <c r="AK110" s="676"/>
      <c r="AL110" s="676"/>
      <c r="AM110" s="676"/>
      <c r="AN110" s="676"/>
      <c r="AO110" s="676"/>
      <c r="AP110" s="676"/>
      <c r="AQ110" s="676"/>
      <c r="AR110" s="676"/>
      <c r="AU110" s="676"/>
      <c r="AW110" s="676"/>
      <c r="CG110" s="669"/>
    </row>
    <row r="111" spans="1:85">
      <c r="A111" s="674"/>
      <c r="E111" s="676"/>
      <c r="F111" s="680">
        <v>1</v>
      </c>
      <c r="G111" s="922" t="s">
        <v>396</v>
      </c>
      <c r="H111" s="923"/>
      <c r="I111" s="923"/>
      <c r="J111" s="923"/>
      <c r="K111" s="923"/>
      <c r="L111" s="923"/>
      <c r="M111" s="923"/>
      <c r="N111" s="924"/>
      <c r="O111" s="922" t="s">
        <v>398</v>
      </c>
      <c r="P111" s="923"/>
      <c r="Q111" s="923"/>
      <c r="R111" s="923"/>
      <c r="S111" s="923"/>
      <c r="T111" s="923"/>
      <c r="U111" s="923"/>
      <c r="V111" s="923"/>
      <c r="W111" s="923"/>
      <c r="X111" s="923"/>
      <c r="Y111" s="923"/>
      <c r="Z111" s="923"/>
      <c r="AA111" s="924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BB111" s="681"/>
      <c r="CG111" s="669"/>
    </row>
    <row r="112" spans="1:85">
      <c r="A112" s="674"/>
      <c r="E112" s="676"/>
      <c r="F112" s="680">
        <v>2</v>
      </c>
      <c r="G112" s="922" t="s">
        <v>502</v>
      </c>
      <c r="H112" s="923"/>
      <c r="I112" s="923"/>
      <c r="J112" s="923"/>
      <c r="K112" s="923"/>
      <c r="L112" s="923"/>
      <c r="M112" s="923"/>
      <c r="N112" s="924"/>
      <c r="O112" s="922" t="s">
        <v>503</v>
      </c>
      <c r="P112" s="923"/>
      <c r="Q112" s="923"/>
      <c r="R112" s="923"/>
      <c r="S112" s="923"/>
      <c r="T112" s="923"/>
      <c r="U112" s="923"/>
      <c r="V112" s="923"/>
      <c r="W112" s="923"/>
      <c r="X112" s="923"/>
      <c r="Y112" s="923"/>
      <c r="Z112" s="923"/>
      <c r="AA112" s="924"/>
      <c r="AB112" s="676"/>
      <c r="AC112" s="676"/>
      <c r="AD112" s="676"/>
      <c r="AE112" s="676"/>
      <c r="AF112" s="676"/>
      <c r="AG112" s="676"/>
      <c r="AH112" s="676"/>
      <c r="AI112" s="676"/>
      <c r="AJ112" s="676"/>
      <c r="AK112" s="676"/>
      <c r="AL112" s="676"/>
      <c r="AM112" s="676"/>
      <c r="AN112" s="676"/>
      <c r="AO112" s="676"/>
      <c r="AP112" s="676"/>
      <c r="AQ112" s="676"/>
      <c r="AR112" s="676"/>
      <c r="AS112" s="676"/>
      <c r="AT112" s="676"/>
      <c r="AU112" s="676"/>
      <c r="BB112" s="681"/>
      <c r="CG112" s="669"/>
    </row>
    <row r="113" spans="1:85" ht="15.75" customHeight="1">
      <c r="A113" s="674"/>
      <c r="E113" s="676"/>
      <c r="F113" s="680">
        <v>3</v>
      </c>
      <c r="G113" s="922" t="s">
        <v>397</v>
      </c>
      <c r="H113" s="923"/>
      <c r="I113" s="923"/>
      <c r="J113" s="923"/>
      <c r="K113" s="923"/>
      <c r="L113" s="923"/>
      <c r="M113" s="923"/>
      <c r="N113" s="924"/>
      <c r="O113" s="909" t="s">
        <v>504</v>
      </c>
      <c r="P113" s="910"/>
      <c r="Q113" s="910"/>
      <c r="R113" s="910"/>
      <c r="S113" s="910"/>
      <c r="T113" s="910"/>
      <c r="U113" s="910"/>
      <c r="V113" s="910"/>
      <c r="W113" s="910"/>
      <c r="X113" s="910"/>
      <c r="Y113" s="910"/>
      <c r="Z113" s="910"/>
      <c r="AA113" s="911"/>
      <c r="AB113" s="676"/>
      <c r="AC113" s="676"/>
      <c r="AD113" s="676"/>
      <c r="AE113" s="676"/>
      <c r="AF113" s="676"/>
      <c r="AG113" s="676"/>
      <c r="AH113" s="676"/>
      <c r="AI113" s="676"/>
      <c r="AJ113" s="676"/>
      <c r="AK113" s="676"/>
      <c r="AL113" s="676"/>
      <c r="AM113" s="676"/>
      <c r="AN113" s="676"/>
      <c r="AO113" s="676"/>
      <c r="AP113" s="676"/>
      <c r="AQ113" s="676"/>
      <c r="AR113" s="676"/>
      <c r="AS113" s="676"/>
      <c r="AT113" s="676"/>
      <c r="AU113" s="676"/>
      <c r="BB113" s="682"/>
      <c r="CG113" s="669"/>
    </row>
    <row r="114" spans="1:85" ht="15.75" customHeight="1">
      <c r="A114" s="674"/>
      <c r="E114" s="676"/>
      <c r="F114" s="680">
        <v>4</v>
      </c>
      <c r="G114" s="922" t="s">
        <v>505</v>
      </c>
      <c r="H114" s="923"/>
      <c r="I114" s="923"/>
      <c r="J114" s="923"/>
      <c r="K114" s="923"/>
      <c r="L114" s="923"/>
      <c r="M114" s="923"/>
      <c r="N114" s="924"/>
      <c r="O114" s="909" t="s">
        <v>506</v>
      </c>
      <c r="P114" s="910"/>
      <c r="Q114" s="910"/>
      <c r="R114" s="910"/>
      <c r="S114" s="910"/>
      <c r="T114" s="910"/>
      <c r="U114" s="910"/>
      <c r="V114" s="910"/>
      <c r="W114" s="910"/>
      <c r="X114" s="910"/>
      <c r="Y114" s="910"/>
      <c r="Z114" s="910"/>
      <c r="AA114" s="911"/>
      <c r="AB114" s="676"/>
      <c r="AC114" s="676"/>
      <c r="AD114" s="676"/>
      <c r="AE114" s="676"/>
      <c r="AF114" s="676"/>
      <c r="AG114" s="676"/>
      <c r="AH114" s="676"/>
      <c r="AI114" s="676"/>
      <c r="AJ114" s="676"/>
      <c r="AK114" s="676"/>
      <c r="AL114" s="676"/>
      <c r="AM114" s="676"/>
      <c r="AN114" s="676"/>
      <c r="AO114" s="676"/>
      <c r="AP114" s="676"/>
      <c r="AQ114" s="676"/>
      <c r="AR114" s="676"/>
      <c r="AS114" s="676"/>
      <c r="AT114" s="676"/>
      <c r="AU114" s="676"/>
      <c r="CG114" s="669"/>
    </row>
    <row r="115" spans="1:85">
      <c r="A115" s="674"/>
      <c r="E115" s="676"/>
      <c r="F115" s="680">
        <v>5</v>
      </c>
      <c r="G115" s="922" t="s">
        <v>507</v>
      </c>
      <c r="H115" s="923"/>
      <c r="I115" s="923"/>
      <c r="J115" s="923"/>
      <c r="K115" s="923"/>
      <c r="L115" s="923"/>
      <c r="M115" s="923"/>
      <c r="N115" s="924"/>
      <c r="O115" s="909" t="s">
        <v>508</v>
      </c>
      <c r="P115" s="910"/>
      <c r="Q115" s="910"/>
      <c r="R115" s="910"/>
      <c r="S115" s="910"/>
      <c r="T115" s="910"/>
      <c r="U115" s="910"/>
      <c r="V115" s="910"/>
      <c r="W115" s="910"/>
      <c r="X115" s="910"/>
      <c r="Y115" s="910"/>
      <c r="Z115" s="910"/>
      <c r="AA115" s="911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CG115" s="669"/>
    </row>
    <row r="116" spans="1:85">
      <c r="A116" s="674"/>
      <c r="F116" s="680">
        <v>6</v>
      </c>
      <c r="G116" s="922" t="s">
        <v>509</v>
      </c>
      <c r="H116" s="923"/>
      <c r="I116" s="923"/>
      <c r="J116" s="923"/>
      <c r="K116" s="923"/>
      <c r="L116" s="923"/>
      <c r="M116" s="923"/>
      <c r="N116" s="924"/>
      <c r="O116" s="909" t="s">
        <v>399</v>
      </c>
      <c r="P116" s="910"/>
      <c r="Q116" s="910"/>
      <c r="R116" s="910"/>
      <c r="S116" s="910"/>
      <c r="T116" s="910"/>
      <c r="U116" s="910"/>
      <c r="V116" s="910"/>
      <c r="W116" s="910"/>
      <c r="X116" s="910"/>
      <c r="Y116" s="910"/>
      <c r="Z116" s="910"/>
      <c r="AA116" s="911"/>
      <c r="CG116" s="669"/>
    </row>
    <row r="117" spans="1:85">
      <c r="A117" s="674"/>
      <c r="F117" s="683"/>
      <c r="G117" s="684"/>
      <c r="H117" s="684"/>
      <c r="I117" s="684"/>
      <c r="J117" s="684"/>
      <c r="K117" s="684"/>
      <c r="L117" s="684"/>
      <c r="M117" s="684"/>
      <c r="N117" s="684"/>
      <c r="O117" s="684"/>
      <c r="P117" s="684"/>
      <c r="Q117" s="684"/>
      <c r="R117" s="684"/>
      <c r="S117" s="684"/>
      <c r="T117" s="684"/>
      <c r="U117" s="684"/>
      <c r="V117" s="684"/>
      <c r="W117" s="684"/>
      <c r="X117" s="684"/>
      <c r="Y117" s="684"/>
      <c r="Z117" s="684"/>
      <c r="AA117" s="684"/>
      <c r="CG117" s="669"/>
    </row>
    <row r="118" spans="1:85">
      <c r="A118" s="674"/>
      <c r="F118" s="676" t="s">
        <v>510</v>
      </c>
      <c r="G118" s="676"/>
      <c r="J118" s="676"/>
      <c r="K118" s="676"/>
      <c r="L118" s="676"/>
      <c r="M118" s="676"/>
      <c r="N118" s="676"/>
      <c r="O118" s="676"/>
      <c r="P118" s="676"/>
      <c r="Q118" s="676"/>
      <c r="R118" s="676"/>
      <c r="S118" s="676"/>
      <c r="T118" s="676"/>
      <c r="U118" s="676"/>
      <c r="V118" s="676"/>
      <c r="W118" s="676"/>
      <c r="X118" s="676"/>
      <c r="Y118" s="676"/>
      <c r="Z118" s="676"/>
      <c r="AA118" s="676"/>
      <c r="AB118" s="676"/>
      <c r="AC118" s="676"/>
      <c r="AD118" s="676"/>
      <c r="AE118" s="676"/>
      <c r="AF118" s="676"/>
      <c r="AG118" s="676"/>
      <c r="AH118" s="676"/>
      <c r="AI118" s="676"/>
      <c r="AJ118" s="676"/>
      <c r="AK118" s="676"/>
      <c r="AL118" s="676"/>
      <c r="AM118" s="676"/>
      <c r="AN118" s="676"/>
      <c r="AO118" s="676"/>
      <c r="AP118" s="676"/>
      <c r="AQ118" s="676"/>
      <c r="AR118" s="676"/>
      <c r="AS118" s="676"/>
      <c r="AT118" s="676"/>
      <c r="AU118" s="676"/>
      <c r="CG118" s="669"/>
    </row>
    <row r="119" spans="1:85">
      <c r="A119" s="674"/>
      <c r="F119" s="676"/>
      <c r="G119" s="676"/>
      <c r="J119" s="676"/>
      <c r="K119" s="676"/>
      <c r="L119" s="676"/>
      <c r="M119" s="676"/>
      <c r="N119" s="676"/>
      <c r="O119" s="676"/>
      <c r="P119" s="676"/>
      <c r="Q119" s="676"/>
      <c r="R119" s="676"/>
      <c r="S119" s="676"/>
      <c r="T119" s="676"/>
      <c r="U119" s="676"/>
      <c r="V119" s="676"/>
      <c r="W119" s="676"/>
      <c r="X119" s="676"/>
      <c r="Y119" s="676"/>
      <c r="Z119" s="676"/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CG119" s="669"/>
    </row>
    <row r="120" spans="1:85">
      <c r="A120" s="674"/>
      <c r="F120" s="676"/>
      <c r="G120" s="676"/>
      <c r="J120" s="676"/>
      <c r="K120" s="676"/>
      <c r="L120" s="676"/>
      <c r="M120" s="676"/>
      <c r="N120" s="676"/>
      <c r="O120" s="676"/>
      <c r="P120" s="676"/>
      <c r="Q120" s="676"/>
      <c r="R120" s="676"/>
      <c r="S120" s="676"/>
      <c r="T120" s="676"/>
      <c r="U120" s="676"/>
      <c r="V120" s="676"/>
      <c r="W120" s="676"/>
      <c r="X120" s="676"/>
      <c r="Y120" s="676"/>
      <c r="Z120" s="676"/>
      <c r="AA120" s="676"/>
      <c r="AB120" s="676"/>
      <c r="AC120" s="676"/>
      <c r="AD120" s="676"/>
      <c r="AE120" s="676"/>
      <c r="AF120" s="676"/>
      <c r="AG120" s="676"/>
      <c r="AH120" s="676"/>
      <c r="AI120" s="676"/>
      <c r="AJ120" s="676"/>
      <c r="AK120" s="676"/>
      <c r="AL120" s="676"/>
      <c r="AM120" s="676"/>
      <c r="AN120" s="676"/>
      <c r="AO120" s="676"/>
      <c r="AP120" s="676"/>
      <c r="AQ120" s="676"/>
      <c r="AR120" s="676"/>
      <c r="AS120" s="676"/>
      <c r="AT120" s="676"/>
      <c r="AU120" s="676"/>
      <c r="CG120" s="669"/>
    </row>
    <row r="121" spans="1:85">
      <c r="A121" s="674"/>
      <c r="E121" s="676"/>
      <c r="F121" s="676"/>
      <c r="AC121" s="676"/>
      <c r="AD121" s="676"/>
      <c r="AE121" s="676"/>
      <c r="AF121" s="676"/>
      <c r="AG121" s="676"/>
      <c r="AH121" s="676"/>
      <c r="AI121" s="676"/>
      <c r="AJ121" s="676"/>
      <c r="AK121" s="676"/>
      <c r="AL121" s="676"/>
      <c r="AM121" s="676"/>
      <c r="AN121" s="676"/>
      <c r="AO121" s="676"/>
      <c r="AP121" s="676"/>
      <c r="AQ121" s="676"/>
      <c r="AR121" s="676"/>
      <c r="AS121" s="676"/>
      <c r="AT121" s="676"/>
      <c r="AU121" s="676"/>
      <c r="CG121" s="669"/>
    </row>
    <row r="122" spans="1:85">
      <c r="A122" s="674"/>
      <c r="E122" s="676"/>
      <c r="F122" s="676"/>
      <c r="AC122" s="676"/>
      <c r="AD122" s="676"/>
      <c r="AE122" s="676"/>
      <c r="AF122" s="676"/>
      <c r="AG122" s="676"/>
      <c r="AH122" s="676"/>
      <c r="AI122" s="676"/>
      <c r="AJ122" s="676"/>
      <c r="AK122" s="676"/>
      <c r="AL122" s="676"/>
      <c r="AM122" s="676"/>
      <c r="AN122" s="676"/>
      <c r="AO122" s="676"/>
      <c r="AP122" s="676"/>
      <c r="AQ122" s="676"/>
      <c r="AR122" s="676"/>
      <c r="AS122" s="676"/>
      <c r="AT122" s="676"/>
      <c r="AU122" s="676"/>
      <c r="CG122" s="669"/>
    </row>
    <row r="123" spans="1:85">
      <c r="A123" s="674"/>
      <c r="E123" s="676"/>
      <c r="F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CG123" s="669"/>
    </row>
    <row r="124" spans="1:85">
      <c r="A124" s="674"/>
      <c r="E124" s="676"/>
      <c r="F124" s="676"/>
      <c r="AC124" s="676"/>
      <c r="AD124" s="676"/>
      <c r="AE124" s="676"/>
      <c r="AF124" s="676"/>
      <c r="AG124" s="676"/>
      <c r="AH124" s="676"/>
      <c r="AI124" s="676"/>
      <c r="AJ124" s="676"/>
      <c r="AK124" s="676"/>
      <c r="AL124" s="676"/>
      <c r="AM124" s="676"/>
      <c r="AN124" s="676"/>
      <c r="AO124" s="676"/>
      <c r="AP124" s="676"/>
      <c r="AQ124" s="676"/>
      <c r="AR124" s="676"/>
      <c r="AS124" s="676"/>
      <c r="AT124" s="676"/>
      <c r="AU124" s="676"/>
      <c r="CG124" s="669"/>
    </row>
    <row r="125" spans="1:85">
      <c r="A125" s="674"/>
      <c r="E125" s="676"/>
      <c r="F125" s="676"/>
      <c r="AC125" s="676"/>
      <c r="AD125" s="676"/>
      <c r="AE125" s="676"/>
      <c r="AF125" s="676"/>
      <c r="AG125" s="676"/>
      <c r="AH125" s="676"/>
      <c r="AI125" s="676"/>
      <c r="AJ125" s="676"/>
      <c r="AK125" s="676"/>
      <c r="AL125" s="676"/>
      <c r="AM125" s="676"/>
      <c r="AN125" s="676"/>
      <c r="AO125" s="676"/>
      <c r="AP125" s="676"/>
      <c r="AQ125" s="676"/>
      <c r="AR125" s="676"/>
      <c r="AS125" s="676"/>
      <c r="AT125" s="676"/>
      <c r="AU125" s="676"/>
      <c r="CG125" s="669"/>
    </row>
    <row r="126" spans="1:85">
      <c r="A126" s="674"/>
      <c r="E126" s="676"/>
      <c r="F126" s="676"/>
      <c r="AC126" s="676"/>
      <c r="AD126" s="676"/>
      <c r="AE126" s="676"/>
      <c r="AF126" s="676"/>
      <c r="AG126" s="676"/>
      <c r="AH126" s="676"/>
      <c r="AI126" s="676"/>
      <c r="AJ126" s="676"/>
      <c r="AK126" s="676"/>
      <c r="AL126" s="676"/>
      <c r="AM126" s="676"/>
      <c r="AN126" s="676"/>
      <c r="AO126" s="676"/>
      <c r="AP126" s="676"/>
      <c r="AQ126" s="676"/>
      <c r="AR126" s="676"/>
      <c r="AS126" s="676"/>
      <c r="AT126" s="676"/>
      <c r="AU126" s="676"/>
      <c r="CG126" s="669"/>
    </row>
    <row r="127" spans="1:85">
      <c r="A127" s="674"/>
      <c r="E127" s="676"/>
      <c r="F127" s="676"/>
      <c r="AC127" s="676"/>
      <c r="AD127" s="676"/>
      <c r="AE127" s="676"/>
      <c r="AF127" s="676"/>
      <c r="AG127" s="676"/>
      <c r="AH127" s="676"/>
      <c r="AI127" s="676"/>
      <c r="AJ127" s="676"/>
      <c r="AK127" s="676"/>
      <c r="AL127" s="676"/>
      <c r="AM127" s="676"/>
      <c r="AN127" s="676"/>
      <c r="AO127" s="676"/>
      <c r="AP127" s="676"/>
      <c r="AQ127" s="676"/>
      <c r="AR127" s="676"/>
      <c r="AS127" s="676"/>
      <c r="AT127" s="676"/>
      <c r="AU127" s="676"/>
      <c r="CG127" s="669"/>
    </row>
    <row r="128" spans="1:85">
      <c r="A128" s="674"/>
      <c r="CG128" s="669"/>
    </row>
    <row r="129" spans="1:85">
      <c r="A129" s="674"/>
      <c r="CG129" s="669"/>
    </row>
    <row r="130" spans="1:85">
      <c r="A130" s="674"/>
      <c r="CG130" s="669"/>
    </row>
    <row r="131" spans="1:85">
      <c r="A131" s="674"/>
      <c r="CG131" s="669"/>
    </row>
    <row r="132" spans="1:85">
      <c r="A132" s="674"/>
      <c r="CG132" s="669"/>
    </row>
    <row r="133" spans="1:85">
      <c r="A133" s="674"/>
      <c r="CG133" s="669"/>
    </row>
    <row r="134" spans="1:85">
      <c r="A134" s="674"/>
      <c r="CG134" s="669"/>
    </row>
    <row r="135" spans="1:85">
      <c r="A135" s="674"/>
      <c r="F135" s="683"/>
      <c r="G135" s="684"/>
      <c r="H135" s="684"/>
      <c r="I135" s="684"/>
      <c r="J135" s="684"/>
      <c r="K135" s="684"/>
      <c r="L135" s="684"/>
      <c r="M135" s="684"/>
      <c r="N135" s="684"/>
      <c r="O135" s="684"/>
      <c r="P135" s="684"/>
      <c r="Q135" s="684"/>
      <c r="R135" s="684"/>
      <c r="S135" s="684"/>
      <c r="T135" s="684"/>
      <c r="U135" s="684"/>
      <c r="V135" s="684"/>
      <c r="W135" s="684"/>
      <c r="X135" s="684"/>
      <c r="Y135" s="684"/>
      <c r="Z135" s="684"/>
      <c r="AA135" s="684"/>
      <c r="CG135" s="669"/>
    </row>
    <row r="136" spans="1:85">
      <c r="A136" s="674"/>
      <c r="F136" s="683"/>
      <c r="G136" s="684"/>
      <c r="H136" s="684"/>
      <c r="I136" s="684"/>
      <c r="J136" s="684"/>
      <c r="K136" s="684"/>
      <c r="L136" s="684"/>
      <c r="M136" s="684"/>
      <c r="N136" s="684"/>
      <c r="O136" s="684"/>
      <c r="P136" s="684"/>
      <c r="Q136" s="684"/>
      <c r="R136" s="684"/>
      <c r="S136" s="684"/>
      <c r="T136" s="684"/>
      <c r="U136" s="684"/>
      <c r="V136" s="684"/>
      <c r="W136" s="684"/>
      <c r="X136" s="684"/>
      <c r="Y136" s="684"/>
      <c r="Z136" s="684"/>
      <c r="AA136" s="684"/>
      <c r="CG136" s="669"/>
    </row>
    <row r="137" spans="1:85">
      <c r="A137" s="674"/>
      <c r="F137" s="683"/>
      <c r="G137" s="684"/>
      <c r="H137" s="684"/>
      <c r="I137" s="684"/>
      <c r="J137" s="684"/>
      <c r="K137" s="684"/>
      <c r="L137" s="684"/>
      <c r="M137" s="684"/>
      <c r="N137" s="684"/>
      <c r="O137" s="684"/>
      <c r="P137" s="684"/>
      <c r="Q137" s="684"/>
      <c r="R137" s="684"/>
      <c r="S137" s="684"/>
      <c r="T137" s="684"/>
      <c r="U137" s="684"/>
      <c r="V137" s="684"/>
      <c r="W137" s="684"/>
      <c r="X137" s="684"/>
      <c r="Y137" s="684"/>
      <c r="Z137" s="684"/>
      <c r="AA137" s="684"/>
      <c r="CG137" s="669"/>
    </row>
    <row r="138" spans="1:85">
      <c r="A138" s="674"/>
      <c r="F138" s="683"/>
      <c r="G138" s="684"/>
      <c r="H138" s="684"/>
      <c r="I138" s="684"/>
      <c r="J138" s="684"/>
      <c r="K138" s="684"/>
      <c r="L138" s="684"/>
      <c r="M138" s="684"/>
      <c r="N138" s="684"/>
      <c r="O138" s="684"/>
      <c r="P138" s="684"/>
      <c r="Q138" s="684"/>
      <c r="R138" s="684"/>
      <c r="S138" s="684"/>
      <c r="T138" s="684"/>
      <c r="U138" s="684"/>
      <c r="V138" s="684"/>
      <c r="W138" s="684"/>
      <c r="X138" s="684"/>
      <c r="Y138" s="684"/>
      <c r="Z138" s="684"/>
      <c r="AA138" s="684"/>
      <c r="CG138" s="669"/>
    </row>
    <row r="139" spans="1:85">
      <c r="A139" s="674"/>
      <c r="CG139" s="669"/>
    </row>
    <row r="140" spans="1:85">
      <c r="A140" s="674"/>
      <c r="CG140" s="669"/>
    </row>
    <row r="141" spans="1:85">
      <c r="A141" s="674"/>
      <c r="CG141" s="669"/>
    </row>
    <row r="142" spans="1:85">
      <c r="A142" s="674"/>
      <c r="CG142" s="669"/>
    </row>
    <row r="143" spans="1:85">
      <c r="A143" s="674"/>
      <c r="CG143" s="669"/>
    </row>
    <row r="144" spans="1:85" ht="16.5" customHeight="1">
      <c r="A144" s="674"/>
      <c r="CG144" s="669"/>
    </row>
    <row r="145" spans="1:85">
      <c r="A145" s="674"/>
      <c r="E145" s="670" t="s">
        <v>511</v>
      </c>
      <c r="F145" s="676"/>
      <c r="G145" s="676"/>
      <c r="I145" s="676" t="s">
        <v>512</v>
      </c>
      <c r="CG145" s="669"/>
    </row>
    <row r="146" spans="1:85">
      <c r="A146" s="674"/>
      <c r="F146" s="676"/>
      <c r="G146" s="676"/>
      <c r="I146" s="676"/>
      <c r="CG146" s="669"/>
    </row>
    <row r="147" spans="1:85">
      <c r="A147" s="674"/>
      <c r="F147" s="676" t="s">
        <v>513</v>
      </c>
      <c r="G147" s="676"/>
      <c r="I147" s="676"/>
      <c r="Y147" s="670" t="s">
        <v>514</v>
      </c>
      <c r="Z147" s="670" t="s">
        <v>515</v>
      </c>
      <c r="CG147" s="669"/>
    </row>
    <row r="148" spans="1:85">
      <c r="A148" s="674"/>
      <c r="F148" s="676" t="s">
        <v>516</v>
      </c>
      <c r="G148" s="676"/>
      <c r="I148" s="676"/>
      <c r="Y148" s="670" t="s">
        <v>514</v>
      </c>
      <c r="Z148" s="670" t="s">
        <v>517</v>
      </c>
      <c r="CG148" s="669"/>
    </row>
    <row r="149" spans="1:85">
      <c r="A149" s="674"/>
      <c r="F149" s="676"/>
      <c r="G149" s="676"/>
      <c r="I149" s="676"/>
      <c r="CG149" s="669"/>
    </row>
    <row r="150" spans="1:85">
      <c r="A150" s="674"/>
      <c r="E150" s="670" t="s">
        <v>518</v>
      </c>
      <c r="F150" s="676"/>
      <c r="G150" s="676"/>
      <c r="I150" s="676" t="s">
        <v>519</v>
      </c>
      <c r="CG150" s="669"/>
    </row>
    <row r="151" spans="1:85">
      <c r="A151" s="674"/>
      <c r="F151" s="676"/>
      <c r="G151" s="676"/>
      <c r="I151" s="676"/>
      <c r="CG151" s="669"/>
    </row>
    <row r="152" spans="1:85">
      <c r="A152" s="674"/>
      <c r="E152" s="670" t="s">
        <v>520</v>
      </c>
      <c r="F152" s="676"/>
      <c r="G152" s="676"/>
      <c r="I152" s="676" t="s">
        <v>521</v>
      </c>
      <c r="CG152" s="669"/>
    </row>
    <row r="153" spans="1:85" ht="16.5" customHeight="1">
      <c r="A153" s="674"/>
      <c r="CG153" s="669"/>
    </row>
    <row r="154" spans="1:85">
      <c r="A154" s="674"/>
      <c r="E154" s="676"/>
      <c r="F154" s="934" t="s">
        <v>487</v>
      </c>
      <c r="G154" s="935"/>
      <c r="H154" s="935"/>
      <c r="I154" s="935"/>
      <c r="J154" s="935"/>
      <c r="K154" s="935"/>
      <c r="L154" s="935"/>
      <c r="M154" s="935"/>
      <c r="N154" s="936"/>
      <c r="O154" s="937" t="s">
        <v>522</v>
      </c>
      <c r="P154" s="893"/>
      <c r="Q154" s="893"/>
      <c r="R154" s="893"/>
      <c r="S154" s="893"/>
      <c r="T154" s="893"/>
      <c r="U154" s="893"/>
      <c r="V154" s="893"/>
      <c r="W154" s="893"/>
      <c r="X154" s="893"/>
      <c r="Y154" s="893"/>
      <c r="Z154" s="893"/>
      <c r="AA154" s="893"/>
      <c r="AB154" s="893"/>
      <c r="AC154" s="893"/>
      <c r="AD154" s="893"/>
      <c r="AE154" s="893"/>
      <c r="AF154" s="893"/>
      <c r="AG154" s="893"/>
      <c r="AH154" s="893"/>
      <c r="AI154" s="893"/>
      <c r="AJ154" s="893"/>
      <c r="AK154" s="893"/>
      <c r="AL154" s="893"/>
      <c r="AM154" s="893"/>
      <c r="AN154" s="893"/>
      <c r="AO154" s="893"/>
      <c r="AP154" s="893"/>
      <c r="AQ154" s="893"/>
      <c r="AR154" s="893"/>
      <c r="AS154" s="893"/>
      <c r="AT154" s="893"/>
      <c r="AU154" s="894"/>
      <c r="CG154" s="669"/>
    </row>
    <row r="155" spans="1:85">
      <c r="A155" s="674"/>
      <c r="E155" s="676"/>
      <c r="F155" s="938" t="s">
        <v>489</v>
      </c>
      <c r="G155" s="939"/>
      <c r="H155" s="939"/>
      <c r="I155" s="939"/>
      <c r="J155" s="939"/>
      <c r="K155" s="939"/>
      <c r="L155" s="939"/>
      <c r="M155" s="939"/>
      <c r="N155" s="940"/>
      <c r="O155" s="941" t="s">
        <v>523</v>
      </c>
      <c r="P155" s="942"/>
      <c r="Q155" s="942"/>
      <c r="R155" s="942"/>
      <c r="S155" s="942"/>
      <c r="T155" s="942"/>
      <c r="U155" s="942"/>
      <c r="V155" s="942"/>
      <c r="W155" s="942"/>
      <c r="X155" s="942"/>
      <c r="Y155" s="942"/>
      <c r="Z155" s="942"/>
      <c r="AA155" s="942"/>
      <c r="AB155" s="942"/>
      <c r="AC155" s="942"/>
      <c r="AD155" s="942"/>
      <c r="AE155" s="942"/>
      <c r="AF155" s="942"/>
      <c r="AG155" s="942"/>
      <c r="AH155" s="942"/>
      <c r="AI155" s="942"/>
      <c r="AJ155" s="942"/>
      <c r="AK155" s="942"/>
      <c r="AL155" s="942"/>
      <c r="AM155" s="942"/>
      <c r="AN155" s="942"/>
      <c r="AO155" s="942"/>
      <c r="AP155" s="942"/>
      <c r="AQ155" s="942"/>
      <c r="AR155" s="942"/>
      <c r="AS155" s="942"/>
      <c r="AT155" s="942"/>
      <c r="AU155" s="943"/>
      <c r="CG155" s="669"/>
    </row>
    <row r="156" spans="1:85">
      <c r="A156" s="674"/>
      <c r="E156" s="676"/>
      <c r="F156" s="677"/>
      <c r="G156" s="677"/>
      <c r="H156" s="677"/>
      <c r="I156" s="677"/>
      <c r="J156" s="677"/>
      <c r="K156" s="677"/>
      <c r="L156" s="677"/>
      <c r="M156" s="677"/>
      <c r="N156" s="677"/>
      <c r="O156" s="678"/>
      <c r="P156" s="678"/>
      <c r="Q156" s="678"/>
      <c r="R156" s="678"/>
      <c r="S156" s="678"/>
      <c r="T156" s="678"/>
      <c r="U156" s="678"/>
      <c r="V156" s="678"/>
      <c r="W156" s="678"/>
      <c r="X156" s="678"/>
      <c r="Y156" s="678"/>
      <c r="Z156" s="67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CG156" s="669"/>
    </row>
    <row r="157" spans="1:85">
      <c r="A157" s="674"/>
      <c r="E157" s="676"/>
      <c r="F157" s="676" t="s">
        <v>524</v>
      </c>
      <c r="G157" s="676"/>
      <c r="H157" s="676"/>
      <c r="I157" s="676"/>
      <c r="J157" s="676"/>
      <c r="K157" s="676"/>
      <c r="L157" s="676"/>
      <c r="M157" s="676"/>
      <c r="N157" s="676"/>
      <c r="O157" s="676"/>
      <c r="P157" s="676"/>
      <c r="Q157" s="676"/>
      <c r="R157" s="676"/>
      <c r="S157" s="676"/>
      <c r="T157" s="676"/>
      <c r="U157" s="676"/>
      <c r="V157" s="676"/>
      <c r="W157" s="676"/>
      <c r="X157" s="676"/>
      <c r="Y157" s="676"/>
      <c r="Z157" s="676"/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CG157" s="669"/>
    </row>
    <row r="158" spans="1:85">
      <c r="A158" s="674"/>
      <c r="E158" s="676"/>
      <c r="F158" s="676"/>
      <c r="G158" s="676"/>
      <c r="H158" s="676"/>
      <c r="I158" s="676"/>
      <c r="J158" s="676"/>
      <c r="K158" s="676"/>
      <c r="L158" s="676"/>
      <c r="M158" s="676"/>
      <c r="N158" s="676"/>
      <c r="O158" s="676"/>
      <c r="P158" s="676"/>
      <c r="Q158" s="676"/>
      <c r="R158" s="676"/>
      <c r="S158" s="676"/>
      <c r="T158" s="676"/>
      <c r="U158" s="676"/>
      <c r="V158" s="676"/>
      <c r="W158" s="676"/>
      <c r="X158" s="676"/>
      <c r="Y158" s="676"/>
      <c r="Z158" s="676"/>
      <c r="AA158" s="676"/>
      <c r="AB158" s="676"/>
      <c r="AC158" s="676"/>
      <c r="AD158" s="676"/>
      <c r="AE158" s="676"/>
      <c r="AF158" s="676"/>
      <c r="AG158" s="676"/>
      <c r="AH158" s="676"/>
      <c r="AI158" s="676"/>
      <c r="AJ158" s="676"/>
      <c r="AK158" s="676"/>
      <c r="AL158" s="676"/>
      <c r="AM158" s="676"/>
      <c r="AN158" s="676"/>
      <c r="AO158" s="676"/>
      <c r="AP158" s="676"/>
      <c r="AQ158" s="676"/>
      <c r="AR158" s="676"/>
      <c r="AS158" s="676"/>
      <c r="AT158" s="676"/>
      <c r="AU158" s="676"/>
      <c r="CG158" s="669"/>
    </row>
    <row r="159" spans="1:85">
      <c r="A159" s="674"/>
      <c r="E159" s="676"/>
      <c r="F159" s="679" t="s">
        <v>394</v>
      </c>
      <c r="G159" s="931" t="s">
        <v>395</v>
      </c>
      <c r="H159" s="932"/>
      <c r="I159" s="932"/>
      <c r="J159" s="932"/>
      <c r="K159" s="932"/>
      <c r="L159" s="932"/>
      <c r="M159" s="932"/>
      <c r="N159" s="933"/>
      <c r="O159" s="931" t="s">
        <v>501</v>
      </c>
      <c r="P159" s="932"/>
      <c r="Q159" s="932"/>
      <c r="R159" s="932"/>
      <c r="S159" s="932"/>
      <c r="T159" s="932"/>
      <c r="U159" s="932"/>
      <c r="V159" s="932"/>
      <c r="W159" s="932"/>
      <c r="X159" s="932"/>
      <c r="Y159" s="932"/>
      <c r="Z159" s="932"/>
      <c r="AA159" s="933"/>
      <c r="AB159" s="676"/>
      <c r="AC159" s="676"/>
      <c r="AD159" s="676"/>
      <c r="AE159" s="676"/>
      <c r="AF159" s="676"/>
      <c r="AG159" s="676"/>
      <c r="AH159" s="676"/>
      <c r="AI159" s="676"/>
      <c r="AJ159" s="676"/>
      <c r="AK159" s="676"/>
      <c r="AL159" s="676"/>
      <c r="AM159" s="676"/>
      <c r="AN159" s="676"/>
      <c r="AO159" s="676"/>
      <c r="AP159" s="676"/>
      <c r="AQ159" s="676"/>
      <c r="AR159" s="676"/>
      <c r="AU159" s="676"/>
      <c r="AW159" s="676"/>
      <c r="CG159" s="669"/>
    </row>
    <row r="160" spans="1:85">
      <c r="A160" s="674"/>
      <c r="E160" s="676"/>
      <c r="F160" s="680">
        <v>1</v>
      </c>
      <c r="G160" s="922" t="s">
        <v>525</v>
      </c>
      <c r="H160" s="923"/>
      <c r="I160" s="923"/>
      <c r="J160" s="923"/>
      <c r="K160" s="923"/>
      <c r="L160" s="923"/>
      <c r="M160" s="923"/>
      <c r="N160" s="924"/>
      <c r="O160" s="922" t="s">
        <v>398</v>
      </c>
      <c r="P160" s="923"/>
      <c r="Q160" s="923"/>
      <c r="R160" s="923"/>
      <c r="S160" s="923"/>
      <c r="T160" s="923"/>
      <c r="U160" s="923"/>
      <c r="V160" s="923"/>
      <c r="W160" s="923"/>
      <c r="X160" s="923"/>
      <c r="Y160" s="923"/>
      <c r="Z160" s="923"/>
      <c r="AA160" s="924"/>
      <c r="AB160" s="676"/>
      <c r="AC160" s="676"/>
      <c r="AD160" s="676"/>
      <c r="AE160" s="676"/>
      <c r="AF160" s="676"/>
      <c r="AG160" s="676"/>
      <c r="AH160" s="676"/>
      <c r="AI160" s="676"/>
      <c r="AJ160" s="676"/>
      <c r="AK160" s="676"/>
      <c r="AL160" s="676"/>
      <c r="AM160" s="676"/>
      <c r="AN160" s="676"/>
      <c r="AO160" s="676"/>
      <c r="AP160" s="676"/>
      <c r="AQ160" s="676"/>
      <c r="AR160" s="676"/>
      <c r="AS160" s="676"/>
      <c r="AT160" s="676"/>
      <c r="AU160" s="676"/>
      <c r="BB160" s="681"/>
      <c r="CG160" s="669"/>
    </row>
    <row r="161" spans="1:85" ht="15.75" customHeight="1">
      <c r="A161" s="674"/>
      <c r="E161" s="676"/>
      <c r="F161" s="680">
        <v>2</v>
      </c>
      <c r="G161" s="922" t="s">
        <v>526</v>
      </c>
      <c r="H161" s="923"/>
      <c r="I161" s="923"/>
      <c r="J161" s="923"/>
      <c r="K161" s="923"/>
      <c r="L161" s="923"/>
      <c r="M161" s="923"/>
      <c r="N161" s="924"/>
      <c r="O161" s="909" t="s">
        <v>302</v>
      </c>
      <c r="P161" s="910"/>
      <c r="Q161" s="910"/>
      <c r="R161" s="910"/>
      <c r="S161" s="910"/>
      <c r="T161" s="910"/>
      <c r="U161" s="910"/>
      <c r="V161" s="910"/>
      <c r="W161" s="910"/>
      <c r="X161" s="910"/>
      <c r="Y161" s="910"/>
      <c r="Z161" s="910"/>
      <c r="AA161" s="911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CG161" s="669"/>
    </row>
    <row r="162" spans="1:85">
      <c r="A162" s="674"/>
      <c r="E162" s="676"/>
      <c r="F162" s="680">
        <v>3</v>
      </c>
      <c r="G162" s="922" t="s">
        <v>527</v>
      </c>
      <c r="H162" s="923"/>
      <c r="I162" s="923"/>
      <c r="J162" s="923"/>
      <c r="K162" s="923"/>
      <c r="L162" s="923"/>
      <c r="M162" s="923"/>
      <c r="N162" s="924"/>
      <c r="O162" s="909" t="s">
        <v>528</v>
      </c>
      <c r="P162" s="910"/>
      <c r="Q162" s="910"/>
      <c r="R162" s="910"/>
      <c r="S162" s="910"/>
      <c r="T162" s="910"/>
      <c r="U162" s="910"/>
      <c r="V162" s="910"/>
      <c r="W162" s="910"/>
      <c r="X162" s="910"/>
      <c r="Y162" s="910"/>
      <c r="Z162" s="910"/>
      <c r="AA162" s="911"/>
      <c r="AB162" s="676"/>
      <c r="AC162" s="676"/>
      <c r="AD162" s="676"/>
      <c r="AE162" s="676"/>
      <c r="AF162" s="676"/>
      <c r="AG162" s="676"/>
      <c r="AH162" s="676"/>
      <c r="AI162" s="676"/>
      <c r="AJ162" s="676"/>
      <c r="AK162" s="676"/>
      <c r="AL162" s="676"/>
      <c r="AM162" s="676"/>
      <c r="AN162" s="676"/>
      <c r="AO162" s="676"/>
      <c r="AP162" s="676"/>
      <c r="AQ162" s="676"/>
      <c r="AR162" s="676"/>
      <c r="AS162" s="676"/>
      <c r="AT162" s="676"/>
      <c r="AU162" s="676"/>
      <c r="CG162" s="669"/>
    </row>
    <row r="163" spans="1:85">
      <c r="A163" s="674"/>
      <c r="F163" s="680">
        <v>4</v>
      </c>
      <c r="G163" s="922" t="s">
        <v>529</v>
      </c>
      <c r="H163" s="923"/>
      <c r="I163" s="923"/>
      <c r="J163" s="923"/>
      <c r="K163" s="923"/>
      <c r="L163" s="923"/>
      <c r="M163" s="923"/>
      <c r="N163" s="924"/>
      <c r="O163" s="909" t="s">
        <v>530</v>
      </c>
      <c r="P163" s="910"/>
      <c r="Q163" s="910"/>
      <c r="R163" s="910"/>
      <c r="S163" s="910"/>
      <c r="T163" s="910"/>
      <c r="U163" s="910"/>
      <c r="V163" s="910"/>
      <c r="W163" s="910"/>
      <c r="X163" s="910"/>
      <c r="Y163" s="910"/>
      <c r="Z163" s="910"/>
      <c r="AA163" s="911"/>
      <c r="CG163" s="669"/>
    </row>
    <row r="164" spans="1:85">
      <c r="A164" s="674"/>
      <c r="F164" s="680">
        <v>5</v>
      </c>
      <c r="G164" s="922" t="s">
        <v>531</v>
      </c>
      <c r="H164" s="923"/>
      <c r="I164" s="923"/>
      <c r="J164" s="923"/>
      <c r="K164" s="923"/>
      <c r="L164" s="923"/>
      <c r="M164" s="923"/>
      <c r="N164" s="924"/>
      <c r="O164" s="909" t="s">
        <v>532</v>
      </c>
      <c r="P164" s="910"/>
      <c r="Q164" s="910"/>
      <c r="R164" s="910"/>
      <c r="S164" s="910"/>
      <c r="T164" s="910"/>
      <c r="U164" s="910"/>
      <c r="V164" s="910"/>
      <c r="W164" s="910"/>
      <c r="X164" s="910"/>
      <c r="Y164" s="910"/>
      <c r="Z164" s="910"/>
      <c r="AA164" s="911"/>
      <c r="CG164" s="669"/>
    </row>
    <row r="165" spans="1:85">
      <c r="A165" s="674"/>
      <c r="F165" s="680">
        <v>6</v>
      </c>
      <c r="G165" s="922" t="s">
        <v>533</v>
      </c>
      <c r="H165" s="923"/>
      <c r="I165" s="923"/>
      <c r="J165" s="923"/>
      <c r="K165" s="923"/>
      <c r="L165" s="923"/>
      <c r="M165" s="923"/>
      <c r="N165" s="924"/>
      <c r="O165" s="909" t="s">
        <v>534</v>
      </c>
      <c r="P165" s="910"/>
      <c r="Q165" s="910"/>
      <c r="R165" s="910"/>
      <c r="S165" s="910"/>
      <c r="T165" s="910"/>
      <c r="U165" s="910"/>
      <c r="V165" s="910"/>
      <c r="W165" s="910"/>
      <c r="X165" s="910"/>
      <c r="Y165" s="910"/>
      <c r="Z165" s="910"/>
      <c r="AA165" s="911"/>
      <c r="CG165" s="669"/>
    </row>
    <row r="166" spans="1:85">
      <c r="A166" s="674"/>
      <c r="F166" s="680">
        <v>7</v>
      </c>
      <c r="G166" s="922" t="s">
        <v>535</v>
      </c>
      <c r="H166" s="923"/>
      <c r="I166" s="923"/>
      <c r="J166" s="923"/>
      <c r="K166" s="923"/>
      <c r="L166" s="923"/>
      <c r="M166" s="923"/>
      <c r="N166" s="924"/>
      <c r="O166" s="909" t="s">
        <v>536</v>
      </c>
      <c r="P166" s="910"/>
      <c r="Q166" s="910"/>
      <c r="R166" s="910"/>
      <c r="S166" s="910"/>
      <c r="T166" s="910"/>
      <c r="U166" s="910"/>
      <c r="V166" s="910"/>
      <c r="W166" s="910"/>
      <c r="X166" s="910"/>
      <c r="Y166" s="910"/>
      <c r="Z166" s="910"/>
      <c r="AA166" s="911"/>
      <c r="CG166" s="669"/>
    </row>
    <row r="167" spans="1:85">
      <c r="A167" s="674"/>
      <c r="F167" s="680">
        <v>8</v>
      </c>
      <c r="G167" s="925" t="s">
        <v>537</v>
      </c>
      <c r="H167" s="926"/>
      <c r="I167" s="926"/>
      <c r="J167" s="926"/>
      <c r="K167" s="926"/>
      <c r="L167" s="926"/>
      <c r="M167" s="926"/>
      <c r="N167" s="927"/>
      <c r="O167" s="909" t="s">
        <v>538</v>
      </c>
      <c r="P167" s="910"/>
      <c r="Q167" s="910"/>
      <c r="R167" s="910"/>
      <c r="S167" s="910"/>
      <c r="T167" s="910"/>
      <c r="U167" s="910"/>
      <c r="V167" s="910"/>
      <c r="W167" s="910"/>
      <c r="X167" s="910"/>
      <c r="Y167" s="910"/>
      <c r="Z167" s="910"/>
      <c r="AA167" s="911"/>
      <c r="CG167" s="669"/>
    </row>
    <row r="168" spans="1:85" ht="16.5" customHeight="1">
      <c r="A168" s="674"/>
      <c r="CG168" s="669"/>
    </row>
    <row r="169" spans="1:85" ht="16.5" customHeight="1">
      <c r="A169" s="674"/>
      <c r="CG169" s="669"/>
    </row>
    <row r="170" spans="1:85">
      <c r="A170" s="674"/>
      <c r="E170" s="670" t="s">
        <v>539</v>
      </c>
      <c r="F170" s="676"/>
      <c r="G170" s="676"/>
      <c r="I170" s="676" t="s">
        <v>540</v>
      </c>
      <c r="CG170" s="669"/>
    </row>
    <row r="171" spans="1:85">
      <c r="A171" s="674"/>
      <c r="F171" s="676"/>
      <c r="G171" s="676"/>
      <c r="I171" s="676"/>
      <c r="CG171" s="669"/>
    </row>
    <row r="172" spans="1:85">
      <c r="A172" s="674"/>
      <c r="F172" s="670" t="s">
        <v>541</v>
      </c>
      <c r="G172" s="676"/>
      <c r="I172" s="676"/>
      <c r="CG172" s="669"/>
    </row>
    <row r="173" spans="1:85">
      <c r="A173" s="674"/>
      <c r="F173" s="670" t="s">
        <v>542</v>
      </c>
      <c r="G173" s="676"/>
      <c r="I173" s="676"/>
      <c r="CG173" s="669"/>
    </row>
    <row r="174" spans="1:85">
      <c r="A174" s="674"/>
      <c r="G174" s="676"/>
      <c r="I174" s="676"/>
      <c r="CG174" s="669"/>
    </row>
    <row r="175" spans="1:85">
      <c r="A175" s="674"/>
      <c r="E175" s="676"/>
      <c r="F175" s="676" t="s">
        <v>543</v>
      </c>
      <c r="G175" s="676"/>
      <c r="H175" s="676"/>
      <c r="I175" s="676"/>
      <c r="J175" s="676"/>
      <c r="K175" s="676"/>
      <c r="L175" s="676"/>
      <c r="M175" s="676"/>
      <c r="N175" s="676"/>
      <c r="O175" s="676"/>
      <c r="P175" s="676"/>
      <c r="Q175" s="676"/>
      <c r="R175" s="676"/>
      <c r="S175" s="676"/>
      <c r="T175" s="676"/>
      <c r="U175" s="676"/>
      <c r="V175" s="676"/>
      <c r="W175" s="676"/>
      <c r="X175" s="676"/>
      <c r="Y175" s="676"/>
      <c r="Z175" s="676"/>
      <c r="AA175" s="676"/>
      <c r="AB175" s="676"/>
      <c r="AC175" s="676"/>
      <c r="AD175" s="676"/>
      <c r="AE175" s="676"/>
      <c r="AF175" s="676"/>
      <c r="AG175" s="676"/>
      <c r="AH175" s="676"/>
      <c r="AI175" s="676"/>
      <c r="AJ175" s="676"/>
      <c r="AK175" s="676"/>
      <c r="AL175" s="676"/>
      <c r="AM175" s="676"/>
      <c r="AN175" s="676"/>
      <c r="AO175" s="676"/>
      <c r="AP175" s="676"/>
      <c r="AQ175" s="676"/>
      <c r="AR175" s="676"/>
      <c r="AS175" s="676"/>
      <c r="AT175" s="676"/>
      <c r="AU175" s="676"/>
      <c r="CG175" s="669"/>
    </row>
    <row r="176" spans="1:85">
      <c r="A176" s="674"/>
      <c r="E176" s="676"/>
      <c r="F176" s="676" t="s">
        <v>544</v>
      </c>
      <c r="G176" s="676"/>
      <c r="H176" s="676"/>
      <c r="I176" s="676"/>
      <c r="J176" s="676"/>
      <c r="K176" s="676"/>
      <c r="L176" s="676"/>
      <c r="M176" s="676"/>
      <c r="N176" s="676"/>
      <c r="O176" s="676"/>
      <c r="P176" s="676"/>
      <c r="Q176" s="676"/>
      <c r="R176" s="676"/>
      <c r="S176" s="676"/>
      <c r="T176" s="676"/>
      <c r="U176" s="676"/>
      <c r="V176" s="676"/>
      <c r="W176" s="676"/>
      <c r="X176" s="676"/>
      <c r="Y176" s="676"/>
      <c r="Z176" s="676"/>
      <c r="AA176" s="676"/>
      <c r="AB176" s="676"/>
      <c r="AC176" s="676"/>
      <c r="AD176" s="676"/>
      <c r="AE176" s="676"/>
      <c r="AF176" s="676"/>
      <c r="AG176" s="676"/>
      <c r="AH176" s="676" t="s">
        <v>514</v>
      </c>
      <c r="AI176" s="676" t="s">
        <v>545</v>
      </c>
      <c r="AJ176" s="676"/>
      <c r="AK176" s="676"/>
      <c r="AL176" s="676"/>
      <c r="AM176" s="676"/>
      <c r="AN176" s="676"/>
      <c r="AO176" s="676"/>
      <c r="AP176" s="676"/>
      <c r="AQ176" s="676"/>
      <c r="AR176" s="676"/>
      <c r="AS176" s="676"/>
      <c r="AT176" s="676"/>
      <c r="AU176" s="676"/>
      <c r="CG176" s="669"/>
    </row>
    <row r="177" spans="1:85">
      <c r="A177" s="674"/>
      <c r="E177" s="676"/>
      <c r="F177" s="676" t="s">
        <v>546</v>
      </c>
      <c r="G177" s="676"/>
      <c r="H177" s="676"/>
      <c r="I177" s="676"/>
      <c r="J177" s="676"/>
      <c r="K177" s="676"/>
      <c r="L177" s="676"/>
      <c r="M177" s="676"/>
      <c r="N177" s="676"/>
      <c r="O177" s="676"/>
      <c r="P177" s="676"/>
      <c r="Q177" s="676"/>
      <c r="R177" s="676"/>
      <c r="S177" s="676"/>
      <c r="T177" s="676"/>
      <c r="U177" s="676"/>
      <c r="V177" s="676"/>
      <c r="W177" s="676"/>
      <c r="X177" s="676"/>
      <c r="Y177" s="676"/>
      <c r="Z177" s="676"/>
      <c r="AA177" s="676"/>
      <c r="AB177" s="676"/>
      <c r="AC177" s="676"/>
      <c r="AD177" s="676"/>
      <c r="AE177" s="676"/>
      <c r="AF177" s="676"/>
      <c r="AG177" s="676"/>
      <c r="AH177" s="676" t="s">
        <v>514</v>
      </c>
      <c r="AI177" s="676" t="s">
        <v>547</v>
      </c>
      <c r="AJ177" s="676"/>
      <c r="AK177" s="676"/>
      <c r="AL177" s="676"/>
      <c r="AM177" s="676"/>
      <c r="AN177" s="676"/>
      <c r="AO177" s="676"/>
      <c r="AP177" s="676"/>
      <c r="AQ177" s="676"/>
      <c r="AR177" s="676"/>
      <c r="AS177" s="676"/>
      <c r="AT177" s="676"/>
      <c r="AU177" s="676"/>
      <c r="CG177" s="669"/>
    </row>
    <row r="178" spans="1:85">
      <c r="A178" s="674"/>
      <c r="F178" s="683"/>
      <c r="G178" s="684"/>
      <c r="H178" s="684"/>
      <c r="I178" s="684"/>
      <c r="J178" s="684"/>
      <c r="K178" s="684"/>
      <c r="L178" s="684"/>
      <c r="M178" s="684"/>
      <c r="N178" s="684"/>
      <c r="O178" s="684"/>
      <c r="P178" s="684"/>
      <c r="Q178" s="684"/>
      <c r="R178" s="684"/>
      <c r="S178" s="684"/>
      <c r="T178" s="684"/>
      <c r="U178" s="684"/>
      <c r="V178" s="684"/>
      <c r="W178" s="684"/>
      <c r="X178" s="684"/>
      <c r="Y178" s="684"/>
      <c r="Z178" s="684"/>
      <c r="AA178" s="684"/>
      <c r="CG178" s="669"/>
    </row>
    <row r="179" spans="1:85">
      <c r="A179" s="674"/>
      <c r="E179" s="670" t="s">
        <v>548</v>
      </c>
      <c r="CG179" s="669"/>
    </row>
    <row r="180" spans="1:85">
      <c r="A180" s="674"/>
      <c r="F180" s="676" t="s">
        <v>549</v>
      </c>
      <c r="CG180" s="669"/>
    </row>
    <row r="181" spans="1:85" ht="16.5" customHeight="1">
      <c r="A181" s="674"/>
      <c r="D181" s="668"/>
      <c r="F181" s="676"/>
      <c r="CG181" s="669"/>
    </row>
    <row r="182" spans="1:85" ht="16.5" customHeight="1">
      <c r="A182" s="674"/>
      <c r="H182" s="928" t="s">
        <v>550</v>
      </c>
      <c r="I182" s="929"/>
      <c r="J182" s="929"/>
      <c r="K182" s="929"/>
      <c r="L182" s="929"/>
      <c r="M182" s="929"/>
      <c r="N182" s="929"/>
      <c r="O182" s="929"/>
      <c r="P182" s="929"/>
      <c r="Q182" s="929"/>
      <c r="R182" s="929"/>
      <c r="S182" s="929"/>
      <c r="T182" s="929"/>
      <c r="U182" s="929"/>
      <c r="V182" s="929"/>
      <c r="W182" s="929"/>
      <c r="X182" s="929"/>
      <c r="Y182" s="929"/>
      <c r="Z182" s="929"/>
      <c r="AA182" s="929"/>
      <c r="AB182" s="929"/>
      <c r="AC182" s="929"/>
      <c r="AD182" s="929"/>
      <c r="AE182" s="929"/>
      <c r="AF182" s="929"/>
      <c r="AG182" s="929"/>
      <c r="AH182" s="929"/>
      <c r="AI182" s="929"/>
      <c r="AJ182" s="929"/>
      <c r="AK182" s="930"/>
      <c r="AL182" s="917" t="s">
        <v>551</v>
      </c>
      <c r="AM182" s="917"/>
      <c r="AN182" s="917"/>
      <c r="AO182" s="917"/>
      <c r="AP182" s="917"/>
      <c r="AQ182" s="917"/>
      <c r="AR182" s="917"/>
      <c r="AS182" s="917"/>
      <c r="AT182" s="917"/>
      <c r="AU182" s="917"/>
      <c r="AV182" s="917"/>
      <c r="AW182" s="917"/>
      <c r="AX182" s="917"/>
      <c r="CG182" s="669"/>
    </row>
    <row r="183" spans="1:85" ht="33.75" customHeight="1">
      <c r="A183" s="674"/>
      <c r="H183" s="918" t="s">
        <v>552</v>
      </c>
      <c r="I183" s="918"/>
      <c r="J183" s="918"/>
      <c r="K183" s="918"/>
      <c r="L183" s="918"/>
      <c r="M183" s="918"/>
      <c r="N183" s="918"/>
      <c r="O183" s="918"/>
      <c r="P183" s="918"/>
      <c r="Q183" s="918"/>
      <c r="R183" s="918"/>
      <c r="S183" s="918"/>
      <c r="T183" s="918"/>
      <c r="U183" s="918"/>
      <c r="V183" s="918"/>
      <c r="W183" s="918"/>
      <c r="X183" s="918"/>
      <c r="Y183" s="918"/>
      <c r="Z183" s="918"/>
      <c r="AA183" s="918"/>
      <c r="AB183" s="918"/>
      <c r="AC183" s="918"/>
      <c r="AD183" s="918"/>
      <c r="AE183" s="918"/>
      <c r="AF183" s="918"/>
      <c r="AG183" s="918"/>
      <c r="AH183" s="918"/>
      <c r="AI183" s="918"/>
      <c r="AJ183" s="918"/>
      <c r="AK183" s="918"/>
      <c r="AL183" s="921" t="s">
        <v>553</v>
      </c>
      <c r="AM183" s="921"/>
      <c r="AN183" s="921"/>
      <c r="AO183" s="921"/>
      <c r="AP183" s="921"/>
      <c r="AQ183" s="921"/>
      <c r="AR183" s="921" t="s">
        <v>554</v>
      </c>
      <c r="AS183" s="921"/>
      <c r="AT183" s="921"/>
      <c r="AU183" s="921"/>
      <c r="AV183" s="921"/>
      <c r="AW183" s="921"/>
      <c r="AX183" s="921"/>
      <c r="CG183" s="669"/>
    </row>
    <row r="184" spans="1:85" ht="16.5" customHeight="1">
      <c r="A184" s="674"/>
      <c r="H184" s="905" t="s">
        <v>555</v>
      </c>
      <c r="I184" s="905"/>
      <c r="J184" s="905"/>
      <c r="K184" s="905"/>
      <c r="L184" s="905"/>
      <c r="M184" s="905"/>
      <c r="N184" s="905"/>
      <c r="O184" s="905"/>
      <c r="P184" s="905"/>
      <c r="Q184" s="905"/>
      <c r="R184" s="905"/>
      <c r="S184" s="905"/>
      <c r="T184" s="905"/>
      <c r="U184" s="905"/>
      <c r="V184" s="905"/>
      <c r="W184" s="904" t="s">
        <v>556</v>
      </c>
      <c r="X184" s="904"/>
      <c r="Y184" s="904"/>
      <c r="Z184" s="904"/>
      <c r="AA184" s="904"/>
      <c r="AB184" s="904"/>
      <c r="AC184" s="904"/>
      <c r="AD184" s="904"/>
      <c r="AE184" s="904"/>
      <c r="AF184" s="904"/>
      <c r="AG184" s="904"/>
      <c r="AH184" s="904"/>
      <c r="AI184" s="904"/>
      <c r="AJ184" s="904"/>
      <c r="AK184" s="904"/>
      <c r="AL184" s="904" t="s">
        <v>557</v>
      </c>
      <c r="AM184" s="904"/>
      <c r="AN184" s="904"/>
      <c r="AO184" s="904"/>
      <c r="AP184" s="904"/>
      <c r="AQ184" s="904"/>
      <c r="AR184" s="904" t="s">
        <v>557</v>
      </c>
      <c r="AS184" s="904"/>
      <c r="AT184" s="904"/>
      <c r="AU184" s="904"/>
      <c r="AV184" s="904"/>
      <c r="AW184" s="904"/>
      <c r="AX184" s="904"/>
      <c r="CG184" s="669"/>
    </row>
    <row r="185" spans="1:85" ht="49.75" customHeight="1">
      <c r="A185" s="674"/>
      <c r="H185" s="905"/>
      <c r="I185" s="905"/>
      <c r="J185" s="905"/>
      <c r="K185" s="905"/>
      <c r="L185" s="905"/>
      <c r="M185" s="905"/>
      <c r="N185" s="905"/>
      <c r="O185" s="905"/>
      <c r="P185" s="905"/>
      <c r="Q185" s="905"/>
      <c r="R185" s="905"/>
      <c r="S185" s="905"/>
      <c r="T185" s="905"/>
      <c r="U185" s="905"/>
      <c r="V185" s="905"/>
      <c r="W185" s="908" t="s">
        <v>558</v>
      </c>
      <c r="X185" s="908"/>
      <c r="Y185" s="908"/>
      <c r="Z185" s="908"/>
      <c r="AA185" s="908"/>
      <c r="AB185" s="908"/>
      <c r="AC185" s="908"/>
      <c r="AD185" s="908"/>
      <c r="AE185" s="908"/>
      <c r="AF185" s="908"/>
      <c r="AG185" s="908"/>
      <c r="AH185" s="908"/>
      <c r="AI185" s="908"/>
      <c r="AJ185" s="908"/>
      <c r="AK185" s="908"/>
      <c r="AL185" s="904" t="s">
        <v>557</v>
      </c>
      <c r="AM185" s="904"/>
      <c r="AN185" s="904"/>
      <c r="AO185" s="904"/>
      <c r="AP185" s="904"/>
      <c r="AQ185" s="904"/>
      <c r="AR185" s="908" t="s">
        <v>559</v>
      </c>
      <c r="AS185" s="908"/>
      <c r="AT185" s="908"/>
      <c r="AU185" s="908"/>
      <c r="AV185" s="908"/>
      <c r="AW185" s="908"/>
      <c r="AX185" s="908"/>
      <c r="CG185" s="669"/>
    </row>
    <row r="186" spans="1:85" ht="16.5" customHeight="1">
      <c r="A186" s="674"/>
      <c r="H186" s="905" t="s">
        <v>560</v>
      </c>
      <c r="I186" s="905"/>
      <c r="J186" s="905"/>
      <c r="K186" s="905"/>
      <c r="L186" s="905"/>
      <c r="M186" s="905"/>
      <c r="N186" s="905"/>
      <c r="O186" s="905"/>
      <c r="P186" s="905"/>
      <c r="Q186" s="905"/>
      <c r="R186" s="905"/>
      <c r="S186" s="905"/>
      <c r="T186" s="905"/>
      <c r="U186" s="905"/>
      <c r="V186" s="905"/>
      <c r="W186" s="904"/>
      <c r="X186" s="904"/>
      <c r="Y186" s="904"/>
      <c r="Z186" s="904"/>
      <c r="AA186" s="904"/>
      <c r="AB186" s="904"/>
      <c r="AC186" s="904"/>
      <c r="AD186" s="904"/>
      <c r="AE186" s="904"/>
      <c r="AF186" s="904"/>
      <c r="AG186" s="904"/>
      <c r="AH186" s="904"/>
      <c r="AI186" s="904"/>
      <c r="AJ186" s="904"/>
      <c r="AK186" s="904"/>
      <c r="AL186" s="904" t="s">
        <v>557</v>
      </c>
      <c r="AM186" s="904"/>
      <c r="AN186" s="904"/>
      <c r="AO186" s="904"/>
      <c r="AP186" s="904"/>
      <c r="AQ186" s="904"/>
      <c r="AR186" s="904" t="s">
        <v>557</v>
      </c>
      <c r="AS186" s="904"/>
      <c r="AT186" s="904"/>
      <c r="AU186" s="904"/>
      <c r="AV186" s="904"/>
      <c r="AW186" s="904"/>
      <c r="AX186" s="904"/>
      <c r="CG186" s="669"/>
    </row>
    <row r="187" spans="1:85" ht="16.5" customHeight="1">
      <c r="A187" s="674"/>
      <c r="H187" s="905" t="s">
        <v>561</v>
      </c>
      <c r="I187" s="905"/>
      <c r="J187" s="905"/>
      <c r="K187" s="905"/>
      <c r="L187" s="905"/>
      <c r="M187" s="905"/>
      <c r="N187" s="905"/>
      <c r="O187" s="905"/>
      <c r="P187" s="905"/>
      <c r="Q187" s="905"/>
      <c r="R187" s="905"/>
      <c r="S187" s="905"/>
      <c r="T187" s="905"/>
      <c r="U187" s="905"/>
      <c r="V187" s="905"/>
      <c r="W187" s="904"/>
      <c r="X187" s="904"/>
      <c r="Y187" s="904"/>
      <c r="Z187" s="904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 t="s">
        <v>557</v>
      </c>
      <c r="AM187" s="904"/>
      <c r="AN187" s="904"/>
      <c r="AO187" s="904"/>
      <c r="AP187" s="904"/>
      <c r="AQ187" s="904"/>
      <c r="AR187" s="904" t="s">
        <v>557</v>
      </c>
      <c r="AS187" s="904"/>
      <c r="AT187" s="904"/>
      <c r="AU187" s="904"/>
      <c r="AV187" s="904"/>
      <c r="AW187" s="904"/>
      <c r="AX187" s="904"/>
      <c r="CG187" s="669"/>
    </row>
    <row r="188" spans="1:85" ht="16.5" customHeight="1">
      <c r="A188" s="674"/>
      <c r="CG188" s="669"/>
    </row>
    <row r="189" spans="1:85" ht="16.5" customHeight="1">
      <c r="A189" s="674"/>
      <c r="D189" s="668"/>
      <c r="F189" s="676" t="s">
        <v>562</v>
      </c>
      <c r="CG189" s="669"/>
    </row>
    <row r="190" spans="1:85" ht="16.5" customHeight="1">
      <c r="A190" s="674"/>
      <c r="D190" s="668"/>
      <c r="F190" s="676"/>
      <c r="CG190" s="669"/>
    </row>
    <row r="191" spans="1:85" ht="16.5" customHeight="1">
      <c r="A191" s="674"/>
      <c r="F191" s="916" t="s">
        <v>550</v>
      </c>
      <c r="G191" s="916"/>
      <c r="H191" s="916"/>
      <c r="I191" s="916"/>
      <c r="J191" s="916"/>
      <c r="K191" s="916"/>
      <c r="L191" s="916"/>
      <c r="M191" s="916"/>
      <c r="N191" s="916"/>
      <c r="O191" s="916"/>
      <c r="P191" s="916"/>
      <c r="Q191" s="916"/>
      <c r="R191" s="916"/>
      <c r="S191" s="916"/>
      <c r="T191" s="916"/>
      <c r="U191" s="916"/>
      <c r="V191" s="916"/>
      <c r="W191" s="916"/>
      <c r="X191" s="916"/>
      <c r="Y191" s="916"/>
      <c r="Z191" s="916"/>
      <c r="AA191" s="916"/>
      <c r="AB191" s="916"/>
      <c r="AC191" s="916"/>
      <c r="AD191" s="916"/>
      <c r="AE191" s="916"/>
      <c r="AF191" s="916"/>
      <c r="AG191" s="916"/>
      <c r="AH191" s="916"/>
      <c r="AI191" s="916"/>
      <c r="AJ191" s="916"/>
      <c r="AK191" s="916"/>
      <c r="AL191" s="916"/>
      <c r="AM191" s="916"/>
      <c r="AN191" s="916"/>
      <c r="AO191" s="916"/>
      <c r="AP191" s="916"/>
      <c r="AQ191" s="916"/>
      <c r="AR191" s="916"/>
      <c r="AS191" s="916"/>
      <c r="AT191" s="916"/>
      <c r="AU191" s="916"/>
      <c r="AV191" s="916"/>
      <c r="AW191" s="917" t="s">
        <v>551</v>
      </c>
      <c r="AX191" s="917"/>
      <c r="AY191" s="917"/>
      <c r="AZ191" s="917"/>
      <c r="BA191" s="917"/>
      <c r="BB191" s="917"/>
      <c r="BC191" s="917"/>
      <c r="BD191" s="917"/>
      <c r="BE191" s="917"/>
      <c r="BF191" s="917"/>
      <c r="BG191" s="917"/>
      <c r="BH191" s="917"/>
      <c r="CG191" s="669"/>
    </row>
    <row r="192" spans="1:85" ht="33.75" customHeight="1">
      <c r="A192" s="674"/>
      <c r="F192" s="918" t="s">
        <v>563</v>
      </c>
      <c r="G192" s="918"/>
      <c r="H192" s="918"/>
      <c r="I192" s="918"/>
      <c r="J192" s="918"/>
      <c r="K192" s="918"/>
      <c r="L192" s="918"/>
      <c r="M192" s="918"/>
      <c r="N192" s="918"/>
      <c r="O192" s="918"/>
      <c r="P192" s="918"/>
      <c r="Q192" s="918"/>
      <c r="R192" s="918"/>
      <c r="S192" s="918"/>
      <c r="T192" s="918"/>
      <c r="U192" s="918"/>
      <c r="V192" s="918"/>
      <c r="W192" s="918"/>
      <c r="X192" s="918"/>
      <c r="Y192" s="918"/>
      <c r="Z192" s="918"/>
      <c r="AA192" s="918"/>
      <c r="AB192" s="918"/>
      <c r="AC192" s="918"/>
      <c r="AD192" s="918"/>
      <c r="AE192" s="918"/>
      <c r="AF192" s="918"/>
      <c r="AG192" s="918"/>
      <c r="AH192" s="918"/>
      <c r="AI192" s="918"/>
      <c r="AJ192" s="918" t="s">
        <v>564</v>
      </c>
      <c r="AK192" s="918"/>
      <c r="AL192" s="918"/>
      <c r="AM192" s="919" t="s">
        <v>565</v>
      </c>
      <c r="AN192" s="919"/>
      <c r="AO192" s="919"/>
      <c r="AP192" s="919"/>
      <c r="AQ192" s="919"/>
      <c r="AR192" s="920" t="s">
        <v>566</v>
      </c>
      <c r="AS192" s="920"/>
      <c r="AT192" s="920"/>
      <c r="AU192" s="918" t="s">
        <v>567</v>
      </c>
      <c r="AV192" s="918"/>
      <c r="AW192" s="921" t="s">
        <v>568</v>
      </c>
      <c r="AX192" s="921"/>
      <c r="AY192" s="921"/>
      <c r="AZ192" s="921"/>
      <c r="BA192" s="921"/>
      <c r="BB192" s="921" t="s">
        <v>569</v>
      </c>
      <c r="BC192" s="921"/>
      <c r="BD192" s="921"/>
      <c r="BE192" s="921"/>
      <c r="BF192" s="921"/>
      <c r="BG192" s="921"/>
      <c r="BH192" s="921"/>
      <c r="CG192" s="669"/>
    </row>
    <row r="193" spans="1:85" ht="16.5" customHeight="1">
      <c r="A193" s="674"/>
      <c r="F193" s="905" t="s">
        <v>555</v>
      </c>
      <c r="G193" s="905"/>
      <c r="H193" s="905"/>
      <c r="I193" s="905"/>
      <c r="J193" s="905"/>
      <c r="K193" s="905"/>
      <c r="L193" s="905"/>
      <c r="M193" s="905"/>
      <c r="N193" s="905"/>
      <c r="O193" s="905"/>
      <c r="P193" s="905"/>
      <c r="Q193" s="905"/>
      <c r="R193" s="905"/>
      <c r="S193" s="905"/>
      <c r="T193" s="905"/>
      <c r="U193" s="904" t="s">
        <v>556</v>
      </c>
      <c r="V193" s="904"/>
      <c r="W193" s="904"/>
      <c r="X193" s="904"/>
      <c r="Y193" s="904"/>
      <c r="Z193" s="904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13" t="s">
        <v>570</v>
      </c>
      <c r="AK193" s="914"/>
      <c r="AL193" s="915"/>
      <c r="AM193" s="907" t="s">
        <v>399</v>
      </c>
      <c r="AN193" s="907"/>
      <c r="AO193" s="907"/>
      <c r="AP193" s="907"/>
      <c r="AQ193" s="907"/>
      <c r="AR193" s="882" t="s">
        <v>571</v>
      </c>
      <c r="AS193" s="882"/>
      <c r="AT193" s="882"/>
      <c r="AU193" s="882" t="s">
        <v>572</v>
      </c>
      <c r="AV193" s="882"/>
      <c r="AW193" s="904" t="s">
        <v>573</v>
      </c>
      <c r="AX193" s="904"/>
      <c r="AY193" s="904"/>
      <c r="AZ193" s="904"/>
      <c r="BA193" s="904"/>
      <c r="BB193" s="904" t="s">
        <v>573</v>
      </c>
      <c r="BC193" s="904"/>
      <c r="BD193" s="904"/>
      <c r="BE193" s="904"/>
      <c r="BF193" s="904"/>
      <c r="BG193" s="904"/>
      <c r="BH193" s="904"/>
      <c r="CG193" s="669"/>
    </row>
    <row r="194" spans="1:85" ht="49.75" customHeight="1">
      <c r="A194" s="674"/>
      <c r="F194" s="905"/>
      <c r="G194" s="905"/>
      <c r="H194" s="905"/>
      <c r="I194" s="905"/>
      <c r="J194" s="905"/>
      <c r="K194" s="905"/>
      <c r="L194" s="905"/>
      <c r="M194" s="905"/>
      <c r="N194" s="905"/>
      <c r="O194" s="905"/>
      <c r="P194" s="905"/>
      <c r="Q194" s="905"/>
      <c r="R194" s="905"/>
      <c r="S194" s="905"/>
      <c r="T194" s="905"/>
      <c r="U194" s="908" t="s">
        <v>574</v>
      </c>
      <c r="V194" s="908"/>
      <c r="W194" s="908"/>
      <c r="X194" s="908"/>
      <c r="Y194" s="908"/>
      <c r="Z194" s="908"/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6" t="s">
        <v>575</v>
      </c>
      <c r="AK194" s="906"/>
      <c r="AL194" s="906"/>
      <c r="AM194" s="907" t="s">
        <v>576</v>
      </c>
      <c r="AN194" s="907"/>
      <c r="AO194" s="907"/>
      <c r="AP194" s="907"/>
      <c r="AQ194" s="907"/>
      <c r="AR194" s="882" t="s">
        <v>571</v>
      </c>
      <c r="AS194" s="882"/>
      <c r="AT194" s="882"/>
      <c r="AU194" s="882" t="s">
        <v>577</v>
      </c>
      <c r="AV194" s="882"/>
      <c r="AW194" s="904" t="s">
        <v>578</v>
      </c>
      <c r="AX194" s="904"/>
      <c r="AY194" s="904"/>
      <c r="AZ194" s="904"/>
      <c r="BA194" s="904"/>
      <c r="BB194" s="908" t="s">
        <v>579</v>
      </c>
      <c r="BC194" s="908"/>
      <c r="BD194" s="908"/>
      <c r="BE194" s="908"/>
      <c r="BF194" s="908"/>
      <c r="BG194" s="908"/>
      <c r="BH194" s="908"/>
      <c r="CG194" s="669"/>
    </row>
    <row r="195" spans="1:85" ht="49.75" customHeight="1">
      <c r="A195" s="674"/>
      <c r="F195" s="905"/>
      <c r="G195" s="905"/>
      <c r="H195" s="905"/>
      <c r="I195" s="905"/>
      <c r="J195" s="905"/>
      <c r="K195" s="905"/>
      <c r="L195" s="905"/>
      <c r="M195" s="905"/>
      <c r="N195" s="905"/>
      <c r="O195" s="905"/>
      <c r="P195" s="905"/>
      <c r="Q195" s="905"/>
      <c r="R195" s="905"/>
      <c r="S195" s="905"/>
      <c r="T195" s="905"/>
      <c r="U195" s="908" t="s">
        <v>580</v>
      </c>
      <c r="V195" s="908"/>
      <c r="W195" s="908"/>
      <c r="X195" s="908"/>
      <c r="Y195" s="908"/>
      <c r="Z195" s="908"/>
      <c r="AA195" s="908"/>
      <c r="AB195" s="908"/>
      <c r="AC195" s="908"/>
      <c r="AD195" s="908"/>
      <c r="AE195" s="908"/>
      <c r="AF195" s="908"/>
      <c r="AG195" s="908"/>
      <c r="AH195" s="908"/>
      <c r="AI195" s="908"/>
      <c r="AJ195" s="906" t="s">
        <v>575</v>
      </c>
      <c r="AK195" s="906"/>
      <c r="AL195" s="906"/>
      <c r="AM195" s="907" t="s">
        <v>581</v>
      </c>
      <c r="AN195" s="907"/>
      <c r="AO195" s="907"/>
      <c r="AP195" s="907"/>
      <c r="AQ195" s="907"/>
      <c r="AR195" s="882" t="s">
        <v>582</v>
      </c>
      <c r="AS195" s="882"/>
      <c r="AT195" s="882"/>
      <c r="AU195" s="880" t="s">
        <v>583</v>
      </c>
      <c r="AV195" s="912"/>
      <c r="AW195" s="904" t="s">
        <v>584</v>
      </c>
      <c r="AX195" s="904"/>
      <c r="AY195" s="904"/>
      <c r="AZ195" s="904"/>
      <c r="BA195" s="904"/>
      <c r="BB195" s="908" t="s">
        <v>585</v>
      </c>
      <c r="BC195" s="908"/>
      <c r="BD195" s="908"/>
      <c r="BE195" s="908"/>
      <c r="BF195" s="908"/>
      <c r="BG195" s="908"/>
      <c r="BH195" s="908"/>
      <c r="CG195" s="669"/>
    </row>
    <row r="196" spans="1:85" ht="16.5" customHeight="1">
      <c r="A196" s="674"/>
      <c r="F196" s="905" t="s">
        <v>560</v>
      </c>
      <c r="G196" s="905"/>
      <c r="H196" s="905"/>
      <c r="I196" s="905"/>
      <c r="J196" s="905"/>
      <c r="K196" s="905"/>
      <c r="L196" s="905"/>
      <c r="M196" s="905"/>
      <c r="N196" s="905"/>
      <c r="O196" s="905"/>
      <c r="P196" s="905"/>
      <c r="Q196" s="905"/>
      <c r="R196" s="905"/>
      <c r="S196" s="905"/>
      <c r="T196" s="905"/>
      <c r="U196" s="904"/>
      <c r="V196" s="904"/>
      <c r="W196" s="904"/>
      <c r="X196" s="904"/>
      <c r="Y196" s="904"/>
      <c r="Z196" s="904"/>
      <c r="AA196" s="904"/>
      <c r="AB196" s="904"/>
      <c r="AC196" s="904"/>
      <c r="AD196" s="904"/>
      <c r="AE196" s="904"/>
      <c r="AF196" s="904"/>
      <c r="AG196" s="904"/>
      <c r="AH196" s="904"/>
      <c r="AI196" s="904"/>
      <c r="AJ196" s="906" t="s">
        <v>586</v>
      </c>
      <c r="AK196" s="906"/>
      <c r="AL196" s="906"/>
      <c r="AM196" s="907" t="s">
        <v>587</v>
      </c>
      <c r="AN196" s="907"/>
      <c r="AO196" s="907"/>
      <c r="AP196" s="907"/>
      <c r="AQ196" s="907"/>
      <c r="AR196" s="882" t="s">
        <v>571</v>
      </c>
      <c r="AS196" s="882"/>
      <c r="AT196" s="882"/>
      <c r="AU196" s="880" t="s">
        <v>588</v>
      </c>
      <c r="AV196" s="912"/>
      <c r="AW196" s="904" t="s">
        <v>589</v>
      </c>
      <c r="AX196" s="904"/>
      <c r="AY196" s="904"/>
      <c r="AZ196" s="904"/>
      <c r="BA196" s="904"/>
      <c r="BB196" s="904" t="s">
        <v>589</v>
      </c>
      <c r="BC196" s="904"/>
      <c r="BD196" s="904"/>
      <c r="BE196" s="904"/>
      <c r="BF196" s="904"/>
      <c r="BG196" s="904"/>
      <c r="BH196" s="904"/>
      <c r="CG196" s="669"/>
    </row>
    <row r="197" spans="1:85" ht="16.5" customHeight="1">
      <c r="A197" s="674"/>
      <c r="F197" s="905" t="s">
        <v>561</v>
      </c>
      <c r="G197" s="905"/>
      <c r="H197" s="905"/>
      <c r="I197" s="905"/>
      <c r="J197" s="905"/>
      <c r="K197" s="905"/>
      <c r="L197" s="905"/>
      <c r="M197" s="905"/>
      <c r="N197" s="905"/>
      <c r="O197" s="905"/>
      <c r="P197" s="905"/>
      <c r="Q197" s="905"/>
      <c r="R197" s="905"/>
      <c r="S197" s="905"/>
      <c r="T197" s="905"/>
      <c r="U197" s="904"/>
      <c r="V197" s="904"/>
      <c r="W197" s="904"/>
      <c r="X197" s="904"/>
      <c r="Y197" s="904"/>
      <c r="Z197" s="904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6" t="s">
        <v>570</v>
      </c>
      <c r="AK197" s="906"/>
      <c r="AL197" s="906"/>
      <c r="AM197" s="907" t="s">
        <v>587</v>
      </c>
      <c r="AN197" s="907"/>
      <c r="AO197" s="907"/>
      <c r="AP197" s="907"/>
      <c r="AQ197" s="907"/>
      <c r="AR197" s="882" t="s">
        <v>571</v>
      </c>
      <c r="AS197" s="882"/>
      <c r="AT197" s="882"/>
      <c r="AU197" s="882" t="s">
        <v>590</v>
      </c>
      <c r="AV197" s="882"/>
      <c r="AW197" s="904" t="s">
        <v>591</v>
      </c>
      <c r="AX197" s="904"/>
      <c r="AY197" s="904"/>
      <c r="AZ197" s="904"/>
      <c r="BA197" s="904"/>
      <c r="BB197" s="904" t="s">
        <v>591</v>
      </c>
      <c r="BC197" s="904"/>
      <c r="BD197" s="904"/>
      <c r="BE197" s="904"/>
      <c r="BF197" s="904"/>
      <c r="BG197" s="904"/>
      <c r="BH197" s="904"/>
      <c r="CG197" s="669"/>
    </row>
    <row r="198" spans="1:85" ht="16.5" customHeight="1">
      <c r="A198" s="674"/>
      <c r="CG198" s="669"/>
    </row>
    <row r="199" spans="1:85">
      <c r="A199" s="674"/>
      <c r="E199" s="670" t="s">
        <v>592</v>
      </c>
      <c r="CG199" s="669"/>
    </row>
    <row r="200" spans="1:85">
      <c r="A200" s="674"/>
      <c r="CG200" s="669"/>
    </row>
    <row r="201" spans="1:85">
      <c r="A201" s="674"/>
      <c r="F201" s="670" t="s">
        <v>593</v>
      </c>
      <c r="CG201" s="669"/>
    </row>
    <row r="202" spans="1:85">
      <c r="A202" s="674"/>
      <c r="CG202" s="669"/>
    </row>
    <row r="203" spans="1:85">
      <c r="A203" s="674"/>
      <c r="B203" s="675" t="s">
        <v>594</v>
      </c>
      <c r="CG203" s="669"/>
    </row>
    <row r="204" spans="1:85">
      <c r="A204" s="674"/>
      <c r="B204" s="675"/>
      <c r="CG204" s="669"/>
    </row>
    <row r="205" spans="1:85">
      <c r="A205" s="674"/>
      <c r="E205" s="676" t="s">
        <v>595</v>
      </c>
      <c r="CG205" s="669"/>
    </row>
    <row r="206" spans="1:85">
      <c r="A206" s="674"/>
      <c r="E206" s="676"/>
      <c r="CG206" s="669"/>
    </row>
    <row r="207" spans="1:85">
      <c r="A207" s="674"/>
      <c r="F207" s="670" t="s">
        <v>596</v>
      </c>
      <c r="CG207" s="669"/>
    </row>
    <row r="208" spans="1:85">
      <c r="A208" s="674"/>
      <c r="E208" s="676"/>
      <c r="CG208" s="669"/>
    </row>
    <row r="209" spans="1:85">
      <c r="A209" s="674"/>
      <c r="B209" s="675"/>
      <c r="E209" s="670" t="s">
        <v>597</v>
      </c>
      <c r="CG209" s="669"/>
    </row>
    <row r="210" spans="1:85">
      <c r="A210" s="674"/>
      <c r="B210" s="675"/>
      <c r="F210" s="670" t="s">
        <v>598</v>
      </c>
      <c r="CG210" s="669"/>
    </row>
    <row r="211" spans="1:85">
      <c r="A211" s="674"/>
      <c r="B211" s="675"/>
      <c r="F211" s="670" t="s">
        <v>599</v>
      </c>
      <c r="CG211" s="669"/>
    </row>
    <row r="212" spans="1:85">
      <c r="A212" s="674"/>
      <c r="B212" s="675"/>
      <c r="CG212" s="669"/>
    </row>
    <row r="213" spans="1:85">
      <c r="A213" s="674"/>
      <c r="B213" s="675"/>
      <c r="CG213" s="669"/>
    </row>
    <row r="214" spans="1:85">
      <c r="A214" s="674"/>
      <c r="B214" s="675"/>
      <c r="E214" s="676" t="s">
        <v>600</v>
      </c>
      <c r="CG214" s="669"/>
    </row>
    <row r="215" spans="1:85">
      <c r="A215" s="674"/>
      <c r="F215" s="676"/>
      <c r="G215" s="676"/>
      <c r="J215" s="676"/>
      <c r="K215" s="676"/>
      <c r="L215" s="676"/>
      <c r="M215" s="676"/>
      <c r="N215" s="676"/>
      <c r="O215" s="676"/>
      <c r="P215" s="676"/>
      <c r="Q215" s="676"/>
      <c r="R215" s="676"/>
      <c r="S215" s="676"/>
      <c r="T215" s="676"/>
      <c r="U215" s="676"/>
      <c r="V215" s="676"/>
      <c r="W215" s="676"/>
      <c r="X215" s="676"/>
      <c r="Y215" s="676"/>
      <c r="Z215" s="676"/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CG215" s="669"/>
    </row>
    <row r="216" spans="1:85">
      <c r="A216" s="674"/>
      <c r="F216" s="676"/>
      <c r="G216" s="676"/>
      <c r="J216" s="676"/>
      <c r="K216" s="676"/>
      <c r="L216" s="676"/>
      <c r="M216" s="676"/>
      <c r="N216" s="676"/>
      <c r="O216" s="676"/>
      <c r="P216" s="676"/>
      <c r="Q216" s="676"/>
      <c r="R216" s="676"/>
      <c r="S216" s="676"/>
      <c r="T216" s="676"/>
      <c r="U216" s="676"/>
      <c r="V216" s="676"/>
      <c r="W216" s="676"/>
      <c r="X216" s="676"/>
      <c r="Y216" s="676"/>
      <c r="Z216" s="676"/>
      <c r="AA216" s="676"/>
      <c r="AB216" s="676"/>
      <c r="AC216" s="676"/>
      <c r="AD216" s="676"/>
      <c r="AE216" s="676"/>
      <c r="AF216" s="676"/>
      <c r="AG216" s="676"/>
      <c r="AH216" s="676"/>
      <c r="AI216" s="676"/>
      <c r="AJ216" s="676"/>
      <c r="AK216" s="676"/>
      <c r="AL216" s="676"/>
      <c r="AM216" s="676"/>
      <c r="AN216" s="676"/>
      <c r="AO216" s="676"/>
      <c r="AP216" s="676"/>
      <c r="AQ216" s="676"/>
      <c r="AR216" s="676"/>
      <c r="AS216" s="676"/>
      <c r="AT216" s="676"/>
      <c r="AU216" s="676"/>
      <c r="CG216" s="669"/>
    </row>
    <row r="217" spans="1:85">
      <c r="A217" s="674"/>
      <c r="E217" s="676"/>
      <c r="F217" s="676"/>
      <c r="AC217" s="676"/>
      <c r="AD217" s="676"/>
      <c r="AE217" s="676"/>
      <c r="AF217" s="676"/>
      <c r="AG217" s="676"/>
      <c r="AH217" s="676"/>
      <c r="AI217" s="676"/>
      <c r="AJ217" s="676"/>
      <c r="AK217" s="676"/>
      <c r="AL217" s="676"/>
      <c r="AM217" s="676"/>
      <c r="AN217" s="676"/>
      <c r="AO217" s="676"/>
      <c r="AP217" s="676"/>
      <c r="AQ217" s="676"/>
      <c r="AR217" s="676"/>
      <c r="AS217" s="676"/>
      <c r="AT217" s="676"/>
      <c r="AU217" s="676"/>
      <c r="CG217" s="669"/>
    </row>
    <row r="218" spans="1:85">
      <c r="A218" s="674"/>
      <c r="E218" s="676"/>
      <c r="F218" s="676"/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676"/>
      <c r="AQ218" s="676"/>
      <c r="AR218" s="676"/>
      <c r="AS218" s="676"/>
      <c r="AT218" s="676"/>
      <c r="AU218" s="676"/>
      <c r="CG218" s="669"/>
    </row>
    <row r="219" spans="1:85">
      <c r="A219" s="674"/>
      <c r="E219" s="676"/>
      <c r="F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CG219" s="669"/>
    </row>
    <row r="220" spans="1:85">
      <c r="A220" s="674"/>
      <c r="E220" s="676"/>
      <c r="F220" s="676"/>
      <c r="AC220" s="676"/>
      <c r="AD220" s="676"/>
      <c r="AE220" s="676"/>
      <c r="AF220" s="676"/>
      <c r="AG220" s="676"/>
      <c r="AH220" s="676"/>
      <c r="AI220" s="676"/>
      <c r="AJ220" s="676"/>
      <c r="AK220" s="676"/>
      <c r="AL220" s="676"/>
      <c r="AM220" s="676"/>
      <c r="AN220" s="676"/>
      <c r="AO220" s="676"/>
      <c r="AP220" s="676"/>
      <c r="AQ220" s="676"/>
      <c r="AR220" s="676"/>
      <c r="AS220" s="676"/>
      <c r="AT220" s="676"/>
      <c r="AU220" s="676"/>
      <c r="CG220" s="669"/>
    </row>
    <row r="221" spans="1:85">
      <c r="A221" s="674"/>
      <c r="E221" s="676"/>
      <c r="F221" s="676"/>
      <c r="AC221" s="676"/>
      <c r="AD221" s="676"/>
      <c r="AE221" s="676"/>
      <c r="AF221" s="676"/>
      <c r="AG221" s="676"/>
      <c r="AH221" s="676"/>
      <c r="AI221" s="676"/>
      <c r="AJ221" s="676"/>
      <c r="AK221" s="676"/>
      <c r="AL221" s="676"/>
      <c r="AM221" s="676"/>
      <c r="AN221" s="676"/>
      <c r="AO221" s="676"/>
      <c r="AP221" s="676"/>
      <c r="AQ221" s="676"/>
      <c r="AR221" s="676"/>
      <c r="AS221" s="676"/>
      <c r="AT221" s="676"/>
      <c r="AU221" s="676"/>
      <c r="CG221" s="669"/>
    </row>
    <row r="222" spans="1:85">
      <c r="A222" s="674"/>
      <c r="E222" s="676"/>
      <c r="F222" s="676"/>
      <c r="AC222" s="676"/>
      <c r="AD222" s="676"/>
      <c r="AE222" s="676"/>
      <c r="AF222" s="676"/>
      <c r="AG222" s="676"/>
      <c r="AH222" s="676"/>
      <c r="AI222" s="676"/>
      <c r="AJ222" s="676"/>
      <c r="AK222" s="676"/>
      <c r="AL222" s="676"/>
      <c r="AM222" s="676"/>
      <c r="AN222" s="676"/>
      <c r="AO222" s="676"/>
      <c r="AP222" s="676"/>
      <c r="AQ222" s="676"/>
      <c r="AR222" s="676"/>
      <c r="AS222" s="676"/>
      <c r="AT222" s="676"/>
      <c r="AU222" s="676"/>
      <c r="CG222" s="669"/>
    </row>
    <row r="223" spans="1:85">
      <c r="A223" s="674"/>
      <c r="E223" s="676"/>
      <c r="F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CG223" s="669"/>
    </row>
    <row r="224" spans="1:85">
      <c r="A224" s="674"/>
      <c r="CG224" s="669"/>
    </row>
    <row r="225" spans="1:85">
      <c r="A225" s="674"/>
      <c r="CG225" s="669"/>
    </row>
    <row r="226" spans="1:85">
      <c r="A226" s="674"/>
      <c r="CG226" s="669"/>
    </row>
    <row r="227" spans="1:85">
      <c r="A227" s="674"/>
      <c r="CG227" s="669"/>
    </row>
    <row r="228" spans="1:85">
      <c r="A228" s="674"/>
      <c r="CG228" s="669"/>
    </row>
    <row r="229" spans="1:85">
      <c r="A229" s="674"/>
      <c r="CG229" s="669"/>
    </row>
    <row r="230" spans="1:85">
      <c r="A230" s="674"/>
      <c r="CG230" s="669"/>
    </row>
    <row r="231" spans="1:85">
      <c r="A231" s="674"/>
      <c r="F231" s="683"/>
      <c r="G231" s="684"/>
      <c r="H231" s="684"/>
      <c r="I231" s="684"/>
      <c r="J231" s="684"/>
      <c r="K231" s="684"/>
      <c r="L231" s="684"/>
      <c r="M231" s="684"/>
      <c r="N231" s="684"/>
      <c r="O231" s="684"/>
      <c r="P231" s="684"/>
      <c r="Q231" s="684"/>
      <c r="R231" s="684"/>
      <c r="S231" s="684"/>
      <c r="T231" s="684"/>
      <c r="U231" s="684"/>
      <c r="V231" s="684"/>
      <c r="W231" s="684"/>
      <c r="X231" s="684"/>
      <c r="Y231" s="684"/>
      <c r="Z231" s="684"/>
      <c r="AA231" s="684"/>
      <c r="CG231" s="669"/>
    </row>
    <row r="232" spans="1:85">
      <c r="A232" s="674"/>
      <c r="F232" s="683"/>
      <c r="G232" s="684"/>
      <c r="H232" s="684"/>
      <c r="I232" s="684"/>
      <c r="J232" s="684"/>
      <c r="K232" s="684"/>
      <c r="L232" s="684"/>
      <c r="M232" s="684"/>
      <c r="N232" s="684"/>
      <c r="O232" s="684"/>
      <c r="P232" s="684"/>
      <c r="Q232" s="684"/>
      <c r="R232" s="684"/>
      <c r="S232" s="684"/>
      <c r="T232" s="684"/>
      <c r="U232" s="684"/>
      <c r="V232" s="684"/>
      <c r="W232" s="684"/>
      <c r="X232" s="684"/>
      <c r="Y232" s="684"/>
      <c r="Z232" s="684"/>
      <c r="AA232" s="684"/>
      <c r="CG232" s="669"/>
    </row>
    <row r="233" spans="1:85">
      <c r="A233" s="674"/>
      <c r="F233" s="683"/>
      <c r="G233" s="684"/>
      <c r="H233" s="684"/>
      <c r="I233" s="684"/>
      <c r="J233" s="684"/>
      <c r="K233" s="684"/>
      <c r="L233" s="684"/>
      <c r="M233" s="684"/>
      <c r="N233" s="684"/>
      <c r="O233" s="684"/>
      <c r="P233" s="684"/>
      <c r="Q233" s="684"/>
      <c r="R233" s="684"/>
      <c r="S233" s="684"/>
      <c r="T233" s="684"/>
      <c r="U233" s="684"/>
      <c r="V233" s="684"/>
      <c r="W233" s="684"/>
      <c r="X233" s="684"/>
      <c r="Y233" s="684"/>
      <c r="Z233" s="684"/>
      <c r="AA233" s="684"/>
      <c r="CG233" s="669"/>
    </row>
    <row r="234" spans="1:85">
      <c r="A234" s="674"/>
      <c r="F234" s="683"/>
      <c r="G234" s="684"/>
      <c r="H234" s="684"/>
      <c r="I234" s="684"/>
      <c r="J234" s="684"/>
      <c r="K234" s="684"/>
      <c r="L234" s="684"/>
      <c r="M234" s="684"/>
      <c r="N234" s="684"/>
      <c r="O234" s="684"/>
      <c r="P234" s="684"/>
      <c r="Q234" s="684"/>
      <c r="R234" s="684"/>
      <c r="S234" s="684"/>
      <c r="T234" s="684"/>
      <c r="U234" s="684"/>
      <c r="V234" s="684"/>
      <c r="W234" s="684"/>
      <c r="X234" s="684"/>
      <c r="Y234" s="684"/>
      <c r="Z234" s="684"/>
      <c r="AA234" s="684"/>
      <c r="CG234" s="669"/>
    </row>
    <row r="235" spans="1:85">
      <c r="A235" s="674"/>
      <c r="CG235" s="669"/>
    </row>
    <row r="236" spans="1:85">
      <c r="A236" s="674"/>
      <c r="CG236" s="669"/>
    </row>
    <row r="237" spans="1:85">
      <c r="A237" s="674"/>
      <c r="CG237" s="669"/>
    </row>
    <row r="238" spans="1:85">
      <c r="A238" s="674"/>
      <c r="CG238" s="669"/>
    </row>
    <row r="239" spans="1:85">
      <c r="A239" s="674"/>
      <c r="CG239" s="669"/>
    </row>
    <row r="240" spans="1:85">
      <c r="A240" s="674"/>
      <c r="CG240" s="669"/>
    </row>
    <row r="241" spans="1:85" ht="16.5" customHeight="1">
      <c r="A241" s="674"/>
      <c r="E241" s="676" t="s">
        <v>601</v>
      </c>
      <c r="CG241" s="669"/>
    </row>
    <row r="242" spans="1:85" ht="16.5" customHeight="1">
      <c r="A242" s="674"/>
      <c r="CG242" s="669"/>
    </row>
    <row r="243" spans="1:85" ht="16.5" customHeight="1">
      <c r="A243" s="674"/>
      <c r="F243" s="670" t="s">
        <v>602</v>
      </c>
      <c r="CG243" s="669"/>
    </row>
    <row r="244" spans="1:85" ht="16.5" customHeight="1">
      <c r="A244" s="674"/>
      <c r="CG244" s="669"/>
    </row>
    <row r="245" spans="1:85" ht="16.5" customHeight="1">
      <c r="A245" s="674"/>
      <c r="CG245" s="669"/>
    </row>
    <row r="246" spans="1:85">
      <c r="A246" s="674"/>
      <c r="G246" s="670" t="s">
        <v>603</v>
      </c>
      <c r="CG246" s="669"/>
    </row>
    <row r="247" spans="1:85">
      <c r="A247" s="674"/>
      <c r="G247" s="670" t="s">
        <v>606</v>
      </c>
      <c r="CG247" s="669"/>
    </row>
    <row r="248" spans="1:85">
      <c r="A248" s="674"/>
      <c r="CG248" s="669"/>
    </row>
    <row r="249" spans="1:85">
      <c r="A249" s="674"/>
      <c r="B249" s="675" t="s">
        <v>607</v>
      </c>
      <c r="CG249" s="669"/>
    </row>
    <row r="250" spans="1:85">
      <c r="A250" s="674"/>
      <c r="CG250" s="669"/>
    </row>
    <row r="251" spans="1:85">
      <c r="A251" s="674"/>
      <c r="E251" s="676" t="s">
        <v>482</v>
      </c>
      <c r="CG251" s="669"/>
    </row>
    <row r="252" spans="1:85">
      <c r="A252" s="674"/>
      <c r="E252" s="676"/>
      <c r="F252" s="676"/>
      <c r="G252" s="676"/>
      <c r="H252" s="676"/>
      <c r="I252" s="676"/>
      <c r="J252" s="676"/>
      <c r="K252" s="676"/>
      <c r="L252" s="676"/>
      <c r="M252" s="676"/>
      <c r="N252" s="676"/>
      <c r="O252" s="676"/>
      <c r="P252" s="676"/>
      <c r="Q252" s="676"/>
      <c r="R252" s="676"/>
      <c r="S252" s="676"/>
      <c r="T252" s="676"/>
      <c r="U252" s="676"/>
      <c r="V252" s="676"/>
      <c r="W252" s="676"/>
      <c r="X252" s="676"/>
      <c r="Y252" s="676"/>
      <c r="Z252" s="676"/>
      <c r="AA252" s="676"/>
      <c r="AB252" s="676"/>
      <c r="AC252" s="676"/>
      <c r="AD252" s="676"/>
      <c r="AE252" s="676"/>
      <c r="AF252" s="676"/>
      <c r="AG252" s="676"/>
      <c r="AH252" s="676"/>
      <c r="AI252" s="676"/>
      <c r="AJ252" s="676"/>
      <c r="AK252" s="676"/>
      <c r="AL252" s="676"/>
      <c r="AM252" s="676"/>
      <c r="AN252" s="676"/>
      <c r="AO252" s="676"/>
      <c r="AP252" s="676"/>
      <c r="AQ252" s="676"/>
      <c r="AR252" s="676"/>
      <c r="AS252" s="676"/>
      <c r="AT252" s="676"/>
      <c r="AU252" s="676"/>
      <c r="CG252" s="669"/>
    </row>
    <row r="253" spans="1:85">
      <c r="A253" s="674"/>
      <c r="E253" s="676"/>
      <c r="F253" s="676"/>
      <c r="G253" s="676"/>
      <c r="H253" s="676"/>
      <c r="I253" s="676"/>
      <c r="J253" s="676"/>
      <c r="K253" s="676"/>
      <c r="L253" s="676"/>
      <c r="M253" s="676"/>
      <c r="N253" s="676"/>
      <c r="O253" s="676"/>
      <c r="P253" s="676"/>
      <c r="Q253" s="676"/>
      <c r="R253" s="676"/>
      <c r="S253" s="676"/>
      <c r="T253" s="676"/>
      <c r="U253" s="676"/>
      <c r="V253" s="676"/>
      <c r="W253" s="676"/>
      <c r="X253" s="676"/>
      <c r="Y253" s="676"/>
      <c r="Z253" s="676"/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CG253" s="669"/>
    </row>
    <row r="254" spans="1:85">
      <c r="A254" s="674"/>
      <c r="E254" s="676"/>
      <c r="F254" s="676"/>
      <c r="G254" s="676"/>
      <c r="H254" s="676"/>
      <c r="I254" s="676"/>
      <c r="J254" s="676"/>
      <c r="K254" s="676"/>
      <c r="L254" s="676"/>
      <c r="M254" s="676"/>
      <c r="N254" s="676"/>
      <c r="O254" s="676"/>
      <c r="P254" s="676"/>
      <c r="Q254" s="676"/>
      <c r="R254" s="676"/>
      <c r="S254" s="676"/>
      <c r="T254" s="676"/>
      <c r="U254" s="676"/>
      <c r="V254" s="676"/>
      <c r="W254" s="676"/>
      <c r="X254" s="676"/>
      <c r="Y254" s="676"/>
      <c r="Z254" s="676"/>
      <c r="AA254" s="676"/>
      <c r="AB254" s="676"/>
      <c r="AC254" s="676"/>
      <c r="AD254" s="676"/>
      <c r="AE254" s="676"/>
      <c r="AF254" s="676"/>
      <c r="AG254" s="676"/>
      <c r="AH254" s="676"/>
      <c r="AI254" s="676"/>
      <c r="AJ254" s="676"/>
      <c r="AK254" s="676"/>
      <c r="AL254" s="676"/>
      <c r="AM254" s="676"/>
      <c r="AN254" s="676"/>
      <c r="AO254" s="676"/>
      <c r="AP254" s="676"/>
      <c r="AQ254" s="676"/>
      <c r="AR254" s="676"/>
      <c r="AS254" s="676"/>
      <c r="AT254" s="676"/>
      <c r="AU254" s="676"/>
      <c r="CG254" s="669"/>
    </row>
    <row r="255" spans="1:85">
      <c r="A255" s="674"/>
      <c r="E255" s="676"/>
      <c r="F255" s="676"/>
      <c r="G255" s="676"/>
      <c r="H255" s="676"/>
      <c r="I255" s="676"/>
      <c r="J255" s="676"/>
      <c r="K255" s="676"/>
      <c r="L255" s="676"/>
      <c r="M255" s="676"/>
      <c r="N255" s="676"/>
      <c r="O255" s="676"/>
      <c r="P255" s="676"/>
      <c r="Q255" s="676"/>
      <c r="R255" s="676"/>
      <c r="S255" s="676"/>
      <c r="T255" s="676"/>
      <c r="U255" s="676"/>
      <c r="V255" s="676"/>
      <c r="W255" s="676"/>
      <c r="X255" s="676"/>
      <c r="Y255" s="676"/>
      <c r="Z255" s="676"/>
      <c r="AA255" s="676"/>
      <c r="AB255" s="676"/>
      <c r="AC255" s="676"/>
      <c r="AD255" s="676"/>
      <c r="AE255" s="676"/>
      <c r="AF255" s="676"/>
      <c r="AG255" s="676"/>
      <c r="AH255" s="676"/>
      <c r="AI255" s="676"/>
      <c r="AJ255" s="676"/>
      <c r="AK255" s="676"/>
      <c r="AL255" s="676"/>
      <c r="AM255" s="676"/>
      <c r="AN255" s="676"/>
      <c r="AO255" s="676"/>
      <c r="AP255" s="676"/>
      <c r="AQ255" s="676"/>
      <c r="AR255" s="676"/>
      <c r="AS255" s="676"/>
      <c r="AT255" s="676"/>
      <c r="AU255" s="676"/>
      <c r="CG255" s="669"/>
    </row>
    <row r="256" spans="1:85">
      <c r="A256" s="674"/>
      <c r="E256" s="676"/>
      <c r="F256" s="676"/>
      <c r="G256" s="676"/>
      <c r="H256" s="676"/>
      <c r="I256" s="676"/>
      <c r="J256" s="676"/>
      <c r="K256" s="676"/>
      <c r="L256" s="676"/>
      <c r="M256" s="676"/>
      <c r="N256" s="676"/>
      <c r="O256" s="676"/>
      <c r="P256" s="676"/>
      <c r="Q256" s="676"/>
      <c r="R256" s="676"/>
      <c r="S256" s="676"/>
      <c r="T256" s="676"/>
      <c r="U256" s="676"/>
      <c r="V256" s="676"/>
      <c r="W256" s="676"/>
      <c r="X256" s="676"/>
      <c r="Y256" s="676"/>
      <c r="Z256" s="676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  <c r="CG256" s="669"/>
    </row>
    <row r="257" spans="1:85">
      <c r="A257" s="674"/>
      <c r="E257" s="676"/>
      <c r="F257" s="676"/>
      <c r="G257" s="676"/>
      <c r="H257" s="676"/>
      <c r="I257" s="676"/>
      <c r="J257" s="676"/>
      <c r="K257" s="676"/>
      <c r="L257" s="676"/>
      <c r="M257" s="676"/>
      <c r="N257" s="676"/>
      <c r="O257" s="676"/>
      <c r="P257" s="676"/>
      <c r="Q257" s="676"/>
      <c r="R257" s="676"/>
      <c r="S257" s="676"/>
      <c r="T257" s="676"/>
      <c r="U257" s="676"/>
      <c r="V257" s="676"/>
      <c r="W257" s="676"/>
      <c r="X257" s="676"/>
      <c r="Y257" s="676"/>
      <c r="Z257" s="676"/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CG257" s="669"/>
    </row>
    <row r="258" spans="1:85">
      <c r="A258" s="674"/>
      <c r="E258" s="676"/>
      <c r="F258" s="676"/>
      <c r="G258" s="676"/>
      <c r="H258" s="676"/>
      <c r="I258" s="676"/>
      <c r="J258" s="676"/>
      <c r="K258" s="676"/>
      <c r="L258" s="676"/>
      <c r="M258" s="676"/>
      <c r="N258" s="676"/>
      <c r="O258" s="676"/>
      <c r="P258" s="676"/>
      <c r="Q258" s="676"/>
      <c r="R258" s="676"/>
      <c r="S258" s="676"/>
      <c r="T258" s="676"/>
      <c r="U258" s="676"/>
      <c r="V258" s="676"/>
      <c r="W258" s="676"/>
      <c r="X258" s="676"/>
      <c r="Y258" s="676"/>
      <c r="Z258" s="676"/>
      <c r="AA258" s="676"/>
      <c r="AB258" s="676"/>
      <c r="AC258" s="676"/>
      <c r="AD258" s="676"/>
      <c r="AE258" s="676"/>
      <c r="AF258" s="676"/>
      <c r="AG258" s="676"/>
      <c r="AH258" s="676"/>
      <c r="AI258" s="676"/>
      <c r="AJ258" s="676"/>
      <c r="AK258" s="676"/>
      <c r="AL258" s="676"/>
      <c r="AM258" s="676"/>
      <c r="AN258" s="676"/>
      <c r="AO258" s="676"/>
      <c r="AP258" s="676"/>
      <c r="AQ258" s="676"/>
      <c r="AR258" s="676"/>
      <c r="AS258" s="676"/>
      <c r="AT258" s="676"/>
      <c r="AU258" s="676"/>
      <c r="CG258" s="669"/>
    </row>
    <row r="259" spans="1:85">
      <c r="A259" s="674"/>
      <c r="E259" s="676"/>
      <c r="F259" s="676"/>
      <c r="G259" s="676"/>
      <c r="H259" s="676"/>
      <c r="I259" s="676"/>
      <c r="J259" s="676"/>
      <c r="K259" s="676"/>
      <c r="L259" s="676"/>
      <c r="M259" s="676"/>
      <c r="N259" s="676"/>
      <c r="O259" s="676"/>
      <c r="P259" s="676"/>
      <c r="Q259" s="676"/>
      <c r="R259" s="676"/>
      <c r="S259" s="676"/>
      <c r="T259" s="676"/>
      <c r="U259" s="676"/>
      <c r="V259" s="676"/>
      <c r="W259" s="676"/>
      <c r="X259" s="676"/>
      <c r="Y259" s="676"/>
      <c r="Z259" s="676"/>
      <c r="AA259" s="676"/>
      <c r="AB259" s="676"/>
      <c r="AC259" s="676"/>
      <c r="AD259" s="676"/>
      <c r="AE259" s="676"/>
      <c r="AF259" s="676"/>
      <c r="AG259" s="676"/>
      <c r="AH259" s="676"/>
      <c r="AI259" s="676"/>
      <c r="AJ259" s="676"/>
      <c r="AK259" s="676"/>
      <c r="AL259" s="676"/>
      <c r="AM259" s="676"/>
      <c r="AN259" s="676"/>
      <c r="AO259" s="676"/>
      <c r="AP259" s="676"/>
      <c r="AQ259" s="676"/>
      <c r="AR259" s="676"/>
      <c r="AS259" s="676"/>
      <c r="AT259" s="676"/>
      <c r="AU259" s="676"/>
      <c r="CG259" s="669"/>
    </row>
    <row r="260" spans="1:85">
      <c r="A260" s="674"/>
      <c r="E260" s="676"/>
      <c r="F260" s="676"/>
      <c r="G260" s="676"/>
      <c r="H260" s="676"/>
      <c r="I260" s="676"/>
      <c r="J260" s="676"/>
      <c r="K260" s="676"/>
      <c r="L260" s="676"/>
      <c r="M260" s="676"/>
      <c r="N260" s="676"/>
      <c r="O260" s="676"/>
      <c r="P260" s="676"/>
      <c r="Q260" s="676"/>
      <c r="R260" s="676"/>
      <c r="S260" s="676"/>
      <c r="T260" s="676"/>
      <c r="U260" s="676"/>
      <c r="V260" s="676"/>
      <c r="W260" s="676"/>
      <c r="X260" s="676"/>
      <c r="Y260" s="676"/>
      <c r="Z260" s="676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  <c r="CG260" s="669"/>
    </row>
    <row r="261" spans="1:85">
      <c r="A261" s="674"/>
      <c r="E261" s="676"/>
      <c r="F261" s="676"/>
      <c r="G261" s="676"/>
      <c r="H261" s="676"/>
      <c r="I261" s="676"/>
      <c r="J261" s="676"/>
      <c r="K261" s="676"/>
      <c r="L261" s="676"/>
      <c r="M261" s="676"/>
      <c r="N261" s="676"/>
      <c r="O261" s="676"/>
      <c r="P261" s="676"/>
      <c r="Q261" s="676"/>
      <c r="R261" s="676"/>
      <c r="S261" s="676"/>
      <c r="T261" s="676"/>
      <c r="U261" s="676"/>
      <c r="V261" s="676"/>
      <c r="W261" s="676"/>
      <c r="X261" s="676"/>
      <c r="Y261" s="676"/>
      <c r="Z261" s="676"/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CG261" s="669"/>
    </row>
    <row r="262" spans="1:85">
      <c r="A262" s="674"/>
      <c r="E262" s="676"/>
      <c r="F262" s="676"/>
      <c r="G262" s="676"/>
      <c r="H262" s="676"/>
      <c r="I262" s="676"/>
      <c r="J262" s="676"/>
      <c r="K262" s="676"/>
      <c r="L262" s="676"/>
      <c r="M262" s="676"/>
      <c r="N262" s="676"/>
      <c r="O262" s="676"/>
      <c r="P262" s="676"/>
      <c r="Q262" s="676"/>
      <c r="R262" s="676"/>
      <c r="S262" s="676"/>
      <c r="T262" s="676"/>
      <c r="U262" s="676"/>
      <c r="V262" s="676"/>
      <c r="W262" s="676"/>
      <c r="X262" s="676"/>
      <c r="Y262" s="676"/>
      <c r="Z262" s="676"/>
      <c r="AA262" s="676"/>
      <c r="AB262" s="676"/>
      <c r="AC262" s="676"/>
      <c r="AD262" s="676"/>
      <c r="AE262" s="676"/>
      <c r="AF262" s="676"/>
      <c r="AG262" s="676"/>
      <c r="AH262" s="676"/>
      <c r="AI262" s="676"/>
      <c r="AJ262" s="676"/>
      <c r="AK262" s="676"/>
      <c r="AL262" s="676"/>
      <c r="AM262" s="676"/>
      <c r="AN262" s="676"/>
      <c r="AO262" s="676"/>
      <c r="AP262" s="676"/>
      <c r="AQ262" s="676"/>
      <c r="AR262" s="676"/>
      <c r="AS262" s="676"/>
      <c r="AT262" s="676"/>
      <c r="AU262" s="676"/>
      <c r="CG262" s="669"/>
    </row>
    <row r="263" spans="1:85">
      <c r="A263" s="674"/>
      <c r="E263" s="676"/>
      <c r="F263" s="676"/>
      <c r="G263" s="676"/>
      <c r="H263" s="676"/>
      <c r="I263" s="676"/>
      <c r="J263" s="676"/>
      <c r="K263" s="676"/>
      <c r="L263" s="676"/>
      <c r="M263" s="676"/>
      <c r="N263" s="676"/>
      <c r="O263" s="676"/>
      <c r="P263" s="676"/>
      <c r="Q263" s="676"/>
      <c r="R263" s="676"/>
      <c r="S263" s="676"/>
      <c r="T263" s="676"/>
      <c r="U263" s="676"/>
      <c r="V263" s="676"/>
      <c r="W263" s="676"/>
      <c r="X263" s="676"/>
      <c r="Y263" s="676"/>
      <c r="Z263" s="676"/>
      <c r="AA263" s="676"/>
      <c r="AB263" s="676"/>
      <c r="AC263" s="676"/>
      <c r="AD263" s="676"/>
      <c r="AE263" s="676"/>
      <c r="AF263" s="676"/>
      <c r="AG263" s="676"/>
      <c r="AH263" s="676"/>
      <c r="AI263" s="676"/>
      <c r="AJ263" s="676"/>
      <c r="AK263" s="676"/>
      <c r="AL263" s="676"/>
      <c r="AM263" s="676"/>
      <c r="AN263" s="676"/>
      <c r="AO263" s="676"/>
      <c r="AP263" s="676"/>
      <c r="AQ263" s="676"/>
      <c r="AR263" s="676"/>
      <c r="AS263" s="676"/>
      <c r="AT263" s="676"/>
      <c r="AU263" s="676"/>
      <c r="CG263" s="669"/>
    </row>
    <row r="264" spans="1:85">
      <c r="A264" s="674"/>
      <c r="E264" s="676"/>
      <c r="F264" s="676"/>
      <c r="G264" s="676"/>
      <c r="H264" s="676"/>
      <c r="I264" s="676"/>
      <c r="J264" s="676"/>
      <c r="K264" s="676"/>
      <c r="L264" s="676"/>
      <c r="M264" s="676"/>
      <c r="N264" s="676"/>
      <c r="O264" s="676"/>
      <c r="P264" s="676"/>
      <c r="Q264" s="676"/>
      <c r="R264" s="676"/>
      <c r="S264" s="676"/>
      <c r="T264" s="676"/>
      <c r="U264" s="676"/>
      <c r="V264" s="676"/>
      <c r="W264" s="676"/>
      <c r="X264" s="676"/>
      <c r="Y264" s="676"/>
      <c r="Z264" s="676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  <c r="CG264" s="669"/>
    </row>
    <row r="265" spans="1:85">
      <c r="A265" s="674"/>
      <c r="E265" s="676"/>
      <c r="F265" s="676"/>
      <c r="G265" s="676"/>
      <c r="H265" s="676"/>
      <c r="I265" s="676"/>
      <c r="J265" s="676"/>
      <c r="K265" s="676"/>
      <c r="L265" s="676"/>
      <c r="M265" s="676"/>
      <c r="N265" s="676"/>
      <c r="O265" s="676"/>
      <c r="P265" s="676"/>
      <c r="Q265" s="676"/>
      <c r="R265" s="676"/>
      <c r="S265" s="676"/>
      <c r="T265" s="676"/>
      <c r="U265" s="676"/>
      <c r="V265" s="676"/>
      <c r="W265" s="676"/>
      <c r="X265" s="676"/>
      <c r="Y265" s="676"/>
      <c r="Z265" s="676"/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CG265" s="669"/>
    </row>
    <row r="266" spans="1:85">
      <c r="A266" s="674"/>
      <c r="E266" s="676"/>
      <c r="F266" s="676"/>
      <c r="G266" s="676"/>
      <c r="H266" s="676"/>
      <c r="I266" s="676"/>
      <c r="J266" s="676"/>
      <c r="K266" s="676"/>
      <c r="L266" s="676"/>
      <c r="M266" s="676"/>
      <c r="N266" s="676"/>
      <c r="O266" s="676"/>
      <c r="P266" s="676"/>
      <c r="Q266" s="676"/>
      <c r="R266" s="676"/>
      <c r="S266" s="676"/>
      <c r="T266" s="676"/>
      <c r="U266" s="676"/>
      <c r="V266" s="676"/>
      <c r="W266" s="676"/>
      <c r="X266" s="676"/>
      <c r="Y266" s="676"/>
      <c r="Z266" s="676"/>
      <c r="AA266" s="676"/>
      <c r="AB266" s="676"/>
      <c r="AC266" s="676"/>
      <c r="AD266" s="676"/>
      <c r="AE266" s="676"/>
      <c r="AF266" s="676"/>
      <c r="AG266" s="676"/>
      <c r="AH266" s="676"/>
      <c r="AI266" s="676"/>
      <c r="AJ266" s="676"/>
      <c r="AK266" s="676"/>
      <c r="AL266" s="676"/>
      <c r="AM266" s="676"/>
      <c r="AN266" s="676"/>
      <c r="AO266" s="676"/>
      <c r="AP266" s="676"/>
      <c r="AQ266" s="676"/>
      <c r="AR266" s="676"/>
      <c r="AS266" s="676"/>
      <c r="AT266" s="676"/>
      <c r="AU266" s="676"/>
      <c r="CG266" s="669"/>
    </row>
    <row r="267" spans="1:85">
      <c r="A267" s="674"/>
      <c r="E267" s="676"/>
      <c r="F267" s="676"/>
      <c r="G267" s="676"/>
      <c r="H267" s="676"/>
      <c r="I267" s="676"/>
      <c r="J267" s="676"/>
      <c r="K267" s="676"/>
      <c r="L267" s="676"/>
      <c r="M267" s="676"/>
      <c r="N267" s="676"/>
      <c r="O267" s="676"/>
      <c r="P267" s="676"/>
      <c r="Q267" s="676"/>
      <c r="R267" s="676"/>
      <c r="S267" s="676"/>
      <c r="T267" s="676"/>
      <c r="U267" s="676"/>
      <c r="V267" s="676"/>
      <c r="W267" s="676"/>
      <c r="X267" s="676"/>
      <c r="Y267" s="676"/>
      <c r="Z267" s="676"/>
      <c r="AA267" s="676"/>
      <c r="AB267" s="676"/>
      <c r="AC267" s="676"/>
      <c r="AD267" s="676"/>
      <c r="AE267" s="676"/>
      <c r="AF267" s="676"/>
      <c r="AG267" s="676"/>
      <c r="AH267" s="676"/>
      <c r="AI267" s="676"/>
      <c r="AJ267" s="676"/>
      <c r="AK267" s="676"/>
      <c r="AL267" s="676"/>
      <c r="AM267" s="676"/>
      <c r="AN267" s="676"/>
      <c r="AO267" s="676"/>
      <c r="AP267" s="676"/>
      <c r="AQ267" s="676"/>
      <c r="AR267" s="676"/>
      <c r="AS267" s="676"/>
      <c r="AT267" s="676"/>
      <c r="AU267" s="676"/>
      <c r="CG267" s="669"/>
    </row>
    <row r="268" spans="1:85">
      <c r="A268" s="674"/>
      <c r="E268" s="676"/>
      <c r="F268" s="676"/>
      <c r="G268" s="676"/>
      <c r="H268" s="676"/>
      <c r="I268" s="676"/>
      <c r="J268" s="676"/>
      <c r="K268" s="676"/>
      <c r="L268" s="676"/>
      <c r="M268" s="676"/>
      <c r="N268" s="676"/>
      <c r="O268" s="676"/>
      <c r="P268" s="676"/>
      <c r="Q268" s="676"/>
      <c r="R268" s="676"/>
      <c r="S268" s="676"/>
      <c r="T268" s="676"/>
      <c r="U268" s="676"/>
      <c r="V268" s="676"/>
      <c r="W268" s="676"/>
      <c r="X268" s="676"/>
      <c r="Y268" s="676"/>
      <c r="Z268" s="676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  <c r="CG268" s="669"/>
    </row>
    <row r="269" spans="1:85">
      <c r="A269" s="674"/>
      <c r="E269" s="676"/>
      <c r="F269" s="676"/>
      <c r="G269" s="676"/>
      <c r="H269" s="676"/>
      <c r="I269" s="676"/>
      <c r="J269" s="676"/>
      <c r="K269" s="676"/>
      <c r="L269" s="676"/>
      <c r="M269" s="676"/>
      <c r="N269" s="676"/>
      <c r="O269" s="676"/>
      <c r="P269" s="676"/>
      <c r="Q269" s="676"/>
      <c r="R269" s="676"/>
      <c r="S269" s="676"/>
      <c r="T269" s="676"/>
      <c r="U269" s="676"/>
      <c r="V269" s="676"/>
      <c r="W269" s="676"/>
      <c r="X269" s="676"/>
      <c r="Y269" s="676"/>
      <c r="Z269" s="676"/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CG269" s="669"/>
    </row>
    <row r="270" spans="1:85">
      <c r="A270" s="674"/>
      <c r="E270" s="676"/>
      <c r="F270" s="676"/>
      <c r="G270" s="676"/>
      <c r="H270" s="676"/>
      <c r="I270" s="676"/>
      <c r="J270" s="676"/>
      <c r="K270" s="676"/>
      <c r="L270" s="676"/>
      <c r="M270" s="676"/>
      <c r="N270" s="676"/>
      <c r="O270" s="676"/>
      <c r="P270" s="676"/>
      <c r="Q270" s="676"/>
      <c r="R270" s="676"/>
      <c r="S270" s="676"/>
      <c r="T270" s="676"/>
      <c r="U270" s="676"/>
      <c r="V270" s="676"/>
      <c r="W270" s="676"/>
      <c r="X270" s="676"/>
      <c r="Y270" s="676"/>
      <c r="Z270" s="676"/>
      <c r="AA270" s="676"/>
      <c r="AB270" s="676"/>
      <c r="AC270" s="676"/>
      <c r="AD270" s="676"/>
      <c r="AE270" s="676"/>
      <c r="AF270" s="676"/>
      <c r="AG270" s="676"/>
      <c r="AH270" s="676"/>
      <c r="AI270" s="676"/>
      <c r="AJ270" s="676"/>
      <c r="AK270" s="676"/>
      <c r="AL270" s="676"/>
      <c r="AM270" s="676"/>
      <c r="AN270" s="676"/>
      <c r="AO270" s="676"/>
      <c r="AP270" s="676"/>
      <c r="AQ270" s="676"/>
      <c r="AR270" s="676"/>
      <c r="AS270" s="676"/>
      <c r="AT270" s="676"/>
      <c r="AU270" s="676"/>
      <c r="CG270" s="669"/>
    </row>
    <row r="271" spans="1:85">
      <c r="A271" s="674"/>
      <c r="E271" s="676"/>
      <c r="F271" s="676"/>
      <c r="G271" s="676"/>
      <c r="H271" s="676"/>
      <c r="I271" s="676"/>
      <c r="J271" s="676"/>
      <c r="K271" s="676"/>
      <c r="L271" s="676"/>
      <c r="M271" s="676"/>
      <c r="N271" s="676"/>
      <c r="O271" s="676"/>
      <c r="P271" s="676"/>
      <c r="Q271" s="676"/>
      <c r="R271" s="676"/>
      <c r="S271" s="676"/>
      <c r="T271" s="676"/>
      <c r="U271" s="676"/>
      <c r="V271" s="676"/>
      <c r="W271" s="676"/>
      <c r="X271" s="676"/>
      <c r="Y271" s="676"/>
      <c r="Z271" s="676"/>
      <c r="AA271" s="676"/>
      <c r="AB271" s="676"/>
      <c r="AC271" s="676"/>
      <c r="AD271" s="676"/>
      <c r="AE271" s="676"/>
      <c r="AF271" s="676"/>
      <c r="AG271" s="676"/>
      <c r="AH271" s="676"/>
      <c r="AI271" s="676"/>
      <c r="AJ271" s="676"/>
      <c r="AK271" s="676"/>
      <c r="AL271" s="676"/>
      <c r="AM271" s="676"/>
      <c r="AN271" s="676"/>
      <c r="AO271" s="676"/>
      <c r="AP271" s="676"/>
      <c r="AQ271" s="676"/>
      <c r="AR271" s="676"/>
      <c r="AS271" s="676"/>
      <c r="AT271" s="676"/>
      <c r="AU271" s="676"/>
      <c r="CG271" s="669"/>
    </row>
    <row r="272" spans="1:85">
      <c r="A272" s="674"/>
      <c r="E272" s="676"/>
      <c r="F272" s="676"/>
      <c r="G272" s="676"/>
      <c r="H272" s="676"/>
      <c r="I272" s="676"/>
      <c r="J272" s="676"/>
      <c r="K272" s="676"/>
      <c r="L272" s="676"/>
      <c r="M272" s="676"/>
      <c r="N272" s="676"/>
      <c r="O272" s="676"/>
      <c r="P272" s="676"/>
      <c r="Q272" s="676"/>
      <c r="R272" s="676"/>
      <c r="S272" s="676"/>
      <c r="T272" s="676"/>
      <c r="U272" s="676"/>
      <c r="V272" s="676"/>
      <c r="W272" s="676"/>
      <c r="X272" s="676"/>
      <c r="Y272" s="676"/>
      <c r="Z272" s="676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  <c r="CG272" s="669"/>
    </row>
    <row r="273" spans="1:85">
      <c r="A273" s="674"/>
      <c r="E273" s="676"/>
      <c r="F273" s="676"/>
      <c r="G273" s="676"/>
      <c r="H273" s="676"/>
      <c r="I273" s="676"/>
      <c r="J273" s="676"/>
      <c r="K273" s="676"/>
      <c r="L273" s="676"/>
      <c r="M273" s="676"/>
      <c r="N273" s="676"/>
      <c r="O273" s="676"/>
      <c r="P273" s="676"/>
      <c r="Q273" s="676"/>
      <c r="R273" s="676"/>
      <c r="S273" s="676"/>
      <c r="T273" s="676"/>
      <c r="U273" s="676"/>
      <c r="V273" s="676"/>
      <c r="W273" s="676"/>
      <c r="X273" s="676"/>
      <c r="Y273" s="676"/>
      <c r="Z273" s="676"/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CG273" s="669"/>
    </row>
    <row r="274" spans="1:85">
      <c r="A274" s="674"/>
      <c r="E274" s="676"/>
      <c r="F274" s="676"/>
      <c r="G274" s="676"/>
      <c r="H274" s="676"/>
      <c r="I274" s="676"/>
      <c r="J274" s="676"/>
      <c r="K274" s="676"/>
      <c r="L274" s="676"/>
      <c r="M274" s="676"/>
      <c r="N274" s="676"/>
      <c r="O274" s="676"/>
      <c r="P274" s="676"/>
      <c r="Q274" s="676"/>
      <c r="R274" s="676"/>
      <c r="S274" s="676"/>
      <c r="T274" s="676"/>
      <c r="U274" s="676"/>
      <c r="V274" s="676"/>
      <c r="W274" s="676"/>
      <c r="X274" s="676"/>
      <c r="Y274" s="676"/>
      <c r="Z274" s="676"/>
      <c r="AA274" s="676"/>
      <c r="AB274" s="676"/>
      <c r="AC274" s="676"/>
      <c r="AD274" s="676"/>
      <c r="AE274" s="676"/>
      <c r="AF274" s="676"/>
      <c r="AG274" s="676"/>
      <c r="AH274" s="676"/>
      <c r="AI274" s="676"/>
      <c r="AJ274" s="676"/>
      <c r="AK274" s="676"/>
      <c r="AL274" s="676"/>
      <c r="AM274" s="676"/>
      <c r="AN274" s="676"/>
      <c r="AO274" s="676"/>
      <c r="AP274" s="676"/>
      <c r="AQ274" s="676"/>
      <c r="AR274" s="676"/>
      <c r="AS274" s="676"/>
      <c r="AT274" s="676"/>
      <c r="AU274" s="676"/>
      <c r="CG274" s="669"/>
    </row>
    <row r="275" spans="1:85">
      <c r="A275" s="674"/>
      <c r="E275" s="676"/>
      <c r="F275" s="676"/>
      <c r="G275" s="676"/>
      <c r="H275" s="676"/>
      <c r="I275" s="676"/>
      <c r="J275" s="676"/>
      <c r="K275" s="676"/>
      <c r="L275" s="676"/>
      <c r="M275" s="676"/>
      <c r="N275" s="676"/>
      <c r="O275" s="676"/>
      <c r="P275" s="676"/>
      <c r="Q275" s="676"/>
      <c r="R275" s="676"/>
      <c r="S275" s="676"/>
      <c r="T275" s="676"/>
      <c r="U275" s="676"/>
      <c r="V275" s="676"/>
      <c r="W275" s="676"/>
      <c r="X275" s="676"/>
      <c r="Y275" s="676"/>
      <c r="Z275" s="676"/>
      <c r="AA275" s="676"/>
      <c r="AB275" s="676"/>
      <c r="AC275" s="676"/>
      <c r="AD275" s="676"/>
      <c r="AE275" s="676"/>
      <c r="AF275" s="676"/>
      <c r="AG275" s="676"/>
      <c r="AH275" s="676"/>
      <c r="AI275" s="676"/>
      <c r="AJ275" s="676"/>
      <c r="AK275" s="676"/>
      <c r="AL275" s="676"/>
      <c r="AM275" s="676"/>
      <c r="AN275" s="676"/>
      <c r="AO275" s="676"/>
      <c r="AP275" s="676"/>
      <c r="AQ275" s="676"/>
      <c r="AR275" s="676"/>
      <c r="AS275" s="676"/>
      <c r="AT275" s="676"/>
      <c r="AU275" s="676"/>
      <c r="CG275" s="669"/>
    </row>
    <row r="276" spans="1:85">
      <c r="A276" s="674"/>
      <c r="E276" s="676"/>
      <c r="F276" s="676"/>
      <c r="G276" s="676"/>
      <c r="H276" s="676"/>
      <c r="I276" s="676"/>
      <c r="J276" s="676"/>
      <c r="K276" s="676"/>
      <c r="L276" s="676"/>
      <c r="M276" s="676"/>
      <c r="N276" s="676"/>
      <c r="O276" s="676"/>
      <c r="P276" s="676"/>
      <c r="Q276" s="676"/>
      <c r="R276" s="676"/>
      <c r="S276" s="676"/>
      <c r="T276" s="676"/>
      <c r="U276" s="676"/>
      <c r="V276" s="676"/>
      <c r="W276" s="676"/>
      <c r="X276" s="676"/>
      <c r="Y276" s="676"/>
      <c r="Z276" s="676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  <c r="CG276" s="669"/>
    </row>
    <row r="277" spans="1:85">
      <c r="A277" s="674"/>
      <c r="E277" s="676"/>
      <c r="F277" s="676"/>
      <c r="G277" s="676"/>
      <c r="H277" s="676"/>
      <c r="I277" s="676"/>
      <c r="J277" s="676"/>
      <c r="K277" s="676"/>
      <c r="L277" s="676"/>
      <c r="M277" s="676"/>
      <c r="N277" s="676"/>
      <c r="O277" s="676"/>
      <c r="P277" s="676"/>
      <c r="Q277" s="676"/>
      <c r="R277" s="676"/>
      <c r="S277" s="676"/>
      <c r="T277" s="676"/>
      <c r="U277" s="676"/>
      <c r="V277" s="676"/>
      <c r="W277" s="676"/>
      <c r="X277" s="676"/>
      <c r="Y277" s="676"/>
      <c r="Z277" s="676"/>
      <c r="AA277" s="676"/>
      <c r="AB277" s="676"/>
      <c r="AC277" s="676"/>
      <c r="AD277" s="676"/>
      <c r="AE277" s="676"/>
      <c r="AF277" s="676"/>
      <c r="AG277" s="676"/>
      <c r="AH277" s="676"/>
      <c r="AI277" s="676"/>
      <c r="AJ277" s="676"/>
      <c r="AK277" s="676"/>
      <c r="AL277" s="676"/>
      <c r="AM277" s="676"/>
      <c r="AN277" s="676"/>
      <c r="AO277" s="676"/>
      <c r="AP277" s="676"/>
      <c r="AQ277" s="676"/>
      <c r="AR277" s="676"/>
      <c r="AS277" s="676"/>
      <c r="AT277" s="676"/>
      <c r="AU277" s="676"/>
      <c r="CG277" s="669"/>
    </row>
    <row r="278" spans="1:85">
      <c r="A278" s="674"/>
      <c r="E278" s="676"/>
      <c r="F278" s="676"/>
      <c r="G278" s="676"/>
      <c r="H278" s="676"/>
      <c r="I278" s="676"/>
      <c r="J278" s="676"/>
      <c r="K278" s="676"/>
      <c r="L278" s="676"/>
      <c r="M278" s="676"/>
      <c r="N278" s="676"/>
      <c r="O278" s="676"/>
      <c r="P278" s="676"/>
      <c r="Q278" s="676"/>
      <c r="R278" s="676"/>
      <c r="S278" s="676"/>
      <c r="T278" s="676"/>
      <c r="U278" s="676"/>
      <c r="V278" s="676"/>
      <c r="W278" s="676"/>
      <c r="X278" s="676"/>
      <c r="Y278" s="676"/>
      <c r="Z278" s="676"/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CG278" s="669"/>
    </row>
    <row r="279" spans="1:85">
      <c r="A279" s="674"/>
      <c r="E279" s="676"/>
      <c r="F279" s="676"/>
      <c r="G279" s="676"/>
      <c r="H279" s="676"/>
      <c r="I279" s="676"/>
      <c r="J279" s="676"/>
      <c r="K279" s="676"/>
      <c r="L279" s="676"/>
      <c r="M279" s="676"/>
      <c r="N279" s="676"/>
      <c r="O279" s="676"/>
      <c r="P279" s="676"/>
      <c r="Q279" s="676"/>
      <c r="R279" s="676"/>
      <c r="S279" s="676"/>
      <c r="T279" s="676"/>
      <c r="U279" s="676"/>
      <c r="V279" s="676"/>
      <c r="W279" s="676"/>
      <c r="X279" s="676"/>
      <c r="Y279" s="676"/>
      <c r="Z279" s="676"/>
      <c r="AA279" s="676"/>
      <c r="AB279" s="676"/>
      <c r="AC279" s="676"/>
      <c r="AD279" s="676"/>
      <c r="AE279" s="676"/>
      <c r="AF279" s="676"/>
      <c r="AG279" s="676"/>
      <c r="AH279" s="676"/>
      <c r="AI279" s="676"/>
      <c r="AJ279" s="676"/>
      <c r="AK279" s="676"/>
      <c r="AL279" s="676"/>
      <c r="AM279" s="676"/>
      <c r="AN279" s="676"/>
      <c r="AO279" s="676"/>
      <c r="AP279" s="676"/>
      <c r="AQ279" s="676"/>
      <c r="AR279" s="676"/>
      <c r="AS279" s="676"/>
      <c r="AT279" s="676"/>
      <c r="AU279" s="676"/>
      <c r="CG279" s="669"/>
    </row>
    <row r="280" spans="1:85">
      <c r="A280" s="674"/>
      <c r="E280" s="676"/>
      <c r="F280" s="676"/>
      <c r="G280" s="676"/>
      <c r="H280" s="676"/>
      <c r="I280" s="676"/>
      <c r="J280" s="676"/>
      <c r="K280" s="676"/>
      <c r="L280" s="676"/>
      <c r="M280" s="676"/>
      <c r="N280" s="676"/>
      <c r="O280" s="676"/>
      <c r="P280" s="676"/>
      <c r="Q280" s="676"/>
      <c r="R280" s="676"/>
      <c r="S280" s="676"/>
      <c r="T280" s="676"/>
      <c r="U280" s="676"/>
      <c r="V280" s="676"/>
      <c r="W280" s="676"/>
      <c r="X280" s="676"/>
      <c r="Y280" s="676"/>
      <c r="Z280" s="676"/>
      <c r="AA280" s="676"/>
      <c r="AB280" s="676"/>
      <c r="AC280" s="676"/>
      <c r="AD280" s="676"/>
      <c r="AE280" s="676"/>
      <c r="AF280" s="676"/>
      <c r="AG280" s="676"/>
      <c r="AH280" s="676"/>
      <c r="AI280" s="676"/>
      <c r="AJ280" s="676"/>
      <c r="AK280" s="676"/>
      <c r="AL280" s="676"/>
      <c r="AM280" s="676"/>
      <c r="AN280" s="676"/>
      <c r="AO280" s="676"/>
      <c r="AP280" s="676"/>
      <c r="AQ280" s="676"/>
      <c r="AR280" s="676"/>
      <c r="AS280" s="676"/>
      <c r="AT280" s="676"/>
      <c r="AU280" s="676"/>
      <c r="CG280" s="669"/>
    </row>
    <row r="281" spans="1:85">
      <c r="A281" s="674"/>
      <c r="E281" s="676"/>
      <c r="F281" s="676"/>
      <c r="G281" s="676"/>
      <c r="H281" s="676"/>
      <c r="I281" s="676"/>
      <c r="J281" s="676"/>
      <c r="K281" s="676"/>
      <c r="L281" s="676"/>
      <c r="M281" s="676"/>
      <c r="N281" s="676"/>
      <c r="O281" s="676"/>
      <c r="P281" s="676"/>
      <c r="Q281" s="676"/>
      <c r="R281" s="676"/>
      <c r="S281" s="676"/>
      <c r="T281" s="676"/>
      <c r="U281" s="676"/>
      <c r="V281" s="676"/>
      <c r="W281" s="676"/>
      <c r="X281" s="676"/>
      <c r="Y281" s="676"/>
      <c r="Z281" s="676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  <c r="CG281" s="669"/>
    </row>
    <row r="282" spans="1:85">
      <c r="A282" s="674"/>
      <c r="E282" s="676"/>
      <c r="F282" s="676"/>
      <c r="G282" s="676"/>
      <c r="H282" s="676"/>
      <c r="I282" s="676"/>
      <c r="J282" s="676"/>
      <c r="K282" s="676"/>
      <c r="L282" s="676"/>
      <c r="M282" s="676"/>
      <c r="N282" s="676"/>
      <c r="O282" s="676"/>
      <c r="P282" s="676"/>
      <c r="Q282" s="676"/>
      <c r="R282" s="676"/>
      <c r="S282" s="676"/>
      <c r="T282" s="676"/>
      <c r="U282" s="676"/>
      <c r="V282" s="676"/>
      <c r="W282" s="676"/>
      <c r="X282" s="676"/>
      <c r="Y282" s="676"/>
      <c r="Z282" s="676"/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CG282" s="669"/>
    </row>
    <row r="283" spans="1:85">
      <c r="A283" s="674"/>
      <c r="E283" s="676"/>
      <c r="F283" s="676"/>
      <c r="G283" s="676"/>
      <c r="H283" s="676"/>
      <c r="I283" s="676"/>
      <c r="J283" s="676"/>
      <c r="K283" s="676"/>
      <c r="L283" s="676"/>
      <c r="M283" s="676"/>
      <c r="N283" s="676"/>
      <c r="O283" s="676"/>
      <c r="P283" s="676"/>
      <c r="Q283" s="676"/>
      <c r="R283" s="676"/>
      <c r="S283" s="676"/>
      <c r="T283" s="676"/>
      <c r="U283" s="676"/>
      <c r="V283" s="676"/>
      <c r="W283" s="676"/>
      <c r="X283" s="676"/>
      <c r="Y283" s="676"/>
      <c r="Z283" s="676"/>
      <c r="AA283" s="676"/>
      <c r="AB283" s="676"/>
      <c r="AC283" s="676"/>
      <c r="AD283" s="676"/>
      <c r="AE283" s="676"/>
      <c r="AF283" s="676"/>
      <c r="AG283" s="676"/>
      <c r="AH283" s="676"/>
      <c r="AI283" s="676"/>
      <c r="AJ283" s="676"/>
      <c r="AK283" s="676"/>
      <c r="AL283" s="676"/>
      <c r="AM283" s="676"/>
      <c r="AN283" s="676"/>
      <c r="AO283" s="676"/>
      <c r="AP283" s="676"/>
      <c r="AQ283" s="676"/>
      <c r="AR283" s="676"/>
      <c r="AS283" s="676"/>
      <c r="AT283" s="676"/>
      <c r="AU283" s="676"/>
      <c r="CG283" s="669"/>
    </row>
    <row r="284" spans="1:85">
      <c r="A284" s="674"/>
      <c r="E284" s="676"/>
      <c r="F284" s="676"/>
      <c r="G284" s="676"/>
      <c r="H284" s="676"/>
      <c r="I284" s="676"/>
      <c r="J284" s="676"/>
      <c r="K284" s="676"/>
      <c r="L284" s="676"/>
      <c r="M284" s="676"/>
      <c r="N284" s="676"/>
      <c r="O284" s="676"/>
      <c r="P284" s="676"/>
      <c r="Q284" s="676"/>
      <c r="R284" s="676"/>
      <c r="S284" s="676"/>
      <c r="T284" s="676"/>
      <c r="U284" s="676"/>
      <c r="V284" s="676"/>
      <c r="W284" s="676"/>
      <c r="X284" s="676"/>
      <c r="Y284" s="676"/>
      <c r="Z284" s="676"/>
      <c r="AA284" s="676"/>
      <c r="AB284" s="676"/>
      <c r="AC284" s="676"/>
      <c r="AD284" s="676"/>
      <c r="AE284" s="676"/>
      <c r="AF284" s="676"/>
      <c r="AG284" s="676"/>
      <c r="AH284" s="676"/>
      <c r="AI284" s="676"/>
      <c r="AJ284" s="676"/>
      <c r="AK284" s="676"/>
      <c r="AL284" s="676"/>
      <c r="AM284" s="676"/>
      <c r="AN284" s="676"/>
      <c r="AO284" s="676"/>
      <c r="AP284" s="676"/>
      <c r="AQ284" s="676"/>
      <c r="AR284" s="676"/>
      <c r="AS284" s="676"/>
      <c r="AT284" s="676"/>
      <c r="AU284" s="676"/>
      <c r="CG284" s="669"/>
    </row>
    <row r="285" spans="1:85">
      <c r="A285" s="674"/>
      <c r="E285" s="676"/>
      <c r="F285" s="676"/>
      <c r="G285" s="676"/>
      <c r="H285" s="676"/>
      <c r="I285" s="676"/>
      <c r="J285" s="676"/>
      <c r="K285" s="676"/>
      <c r="L285" s="676"/>
      <c r="M285" s="676"/>
      <c r="N285" s="676"/>
      <c r="O285" s="676"/>
      <c r="P285" s="676"/>
      <c r="Q285" s="676"/>
      <c r="R285" s="676"/>
      <c r="S285" s="676"/>
      <c r="T285" s="676"/>
      <c r="U285" s="676"/>
      <c r="V285" s="676"/>
      <c r="W285" s="676"/>
      <c r="X285" s="676"/>
      <c r="Y285" s="676"/>
      <c r="Z285" s="676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  <c r="CG285" s="669"/>
    </row>
    <row r="286" spans="1:85">
      <c r="A286" s="674"/>
      <c r="E286" s="676"/>
      <c r="F286" s="676"/>
      <c r="G286" s="676"/>
      <c r="H286" s="676"/>
      <c r="I286" s="676"/>
      <c r="J286" s="676"/>
      <c r="K286" s="676"/>
      <c r="L286" s="676"/>
      <c r="M286" s="676"/>
      <c r="N286" s="676"/>
      <c r="O286" s="676"/>
      <c r="P286" s="676"/>
      <c r="Q286" s="676"/>
      <c r="R286" s="676"/>
      <c r="S286" s="676"/>
      <c r="T286" s="676"/>
      <c r="U286" s="676"/>
      <c r="V286" s="676"/>
      <c r="W286" s="676"/>
      <c r="X286" s="676"/>
      <c r="Y286" s="676"/>
      <c r="Z286" s="676"/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CG286" s="669"/>
    </row>
    <row r="287" spans="1:85">
      <c r="A287" s="674"/>
      <c r="E287" s="676"/>
      <c r="CG287" s="669"/>
    </row>
    <row r="288" spans="1:85">
      <c r="A288" s="674"/>
      <c r="E288" s="676"/>
      <c r="CG288" s="669"/>
    </row>
    <row r="289" spans="1:85">
      <c r="A289" s="674"/>
      <c r="E289" s="676"/>
      <c r="CG289" s="669"/>
    </row>
    <row r="290" spans="1:85">
      <c r="A290" s="674"/>
      <c r="E290" s="676"/>
      <c r="CG290" s="669"/>
    </row>
    <row r="291" spans="1:85">
      <c r="A291" s="674"/>
      <c r="E291" s="676"/>
      <c r="CG291" s="669"/>
    </row>
    <row r="292" spans="1:85">
      <c r="A292" s="674"/>
      <c r="E292" s="676"/>
      <c r="CG292" s="669"/>
    </row>
    <row r="293" spans="1:85">
      <c r="A293" s="674"/>
      <c r="E293" s="676"/>
      <c r="CG293" s="669"/>
    </row>
    <row r="294" spans="1:85">
      <c r="A294" s="674"/>
      <c r="E294" s="676"/>
      <c r="CG294" s="669"/>
    </row>
    <row r="295" spans="1:85">
      <c r="A295" s="674"/>
      <c r="E295" s="676"/>
      <c r="CG295" s="669"/>
    </row>
    <row r="296" spans="1:85">
      <c r="A296" s="674"/>
      <c r="E296" s="676"/>
      <c r="CG296" s="669"/>
    </row>
    <row r="297" spans="1:85">
      <c r="A297" s="674"/>
      <c r="E297" s="676"/>
      <c r="CG297" s="669"/>
    </row>
    <row r="298" spans="1:85">
      <c r="A298" s="674"/>
      <c r="E298" s="676"/>
      <c r="CG298" s="669"/>
    </row>
    <row r="299" spans="1:85">
      <c r="A299" s="674"/>
      <c r="E299" s="676"/>
      <c r="CG299" s="669"/>
    </row>
    <row r="300" spans="1:85">
      <c r="A300" s="674"/>
      <c r="E300" s="676"/>
      <c r="CG300" s="669"/>
    </row>
    <row r="301" spans="1:85">
      <c r="A301" s="674"/>
      <c r="E301" s="670" t="s">
        <v>608</v>
      </c>
      <c r="I301" s="670" t="s">
        <v>609</v>
      </c>
      <c r="CG301" s="669"/>
    </row>
    <row r="302" spans="1:85">
      <c r="A302" s="674"/>
      <c r="CG302" s="669"/>
    </row>
    <row r="303" spans="1:85">
      <c r="A303" s="674"/>
      <c r="F303" s="670" t="s">
        <v>610</v>
      </c>
      <c r="CG303" s="669"/>
    </row>
    <row r="304" spans="1:85">
      <c r="A304" s="674"/>
      <c r="CG304" s="669"/>
    </row>
    <row r="305" spans="1:85">
      <c r="A305" s="674"/>
      <c r="E305" s="670" t="s">
        <v>611</v>
      </c>
      <c r="I305" s="670" t="s">
        <v>612</v>
      </c>
      <c r="CG305" s="669"/>
    </row>
    <row r="306" spans="1:85">
      <c r="A306" s="674"/>
      <c r="CG306" s="669"/>
    </row>
    <row r="307" spans="1:85">
      <c r="A307" s="674"/>
      <c r="F307" s="670" t="s">
        <v>613</v>
      </c>
      <c r="CG307" s="669"/>
    </row>
    <row r="308" spans="1:85">
      <c r="A308" s="674"/>
      <c r="CG308" s="669"/>
    </row>
    <row r="309" spans="1:85">
      <c r="A309" s="674"/>
      <c r="H309" s="901" t="s">
        <v>614</v>
      </c>
      <c r="I309" s="902"/>
      <c r="J309" s="902"/>
      <c r="K309" s="903" t="s">
        <v>604</v>
      </c>
      <c r="L309" s="903"/>
      <c r="M309" s="903"/>
      <c r="N309" s="903"/>
      <c r="O309" s="903"/>
      <c r="P309" s="903"/>
      <c r="Q309" s="903"/>
      <c r="R309" s="903"/>
      <c r="S309" s="903"/>
      <c r="T309" s="903"/>
      <c r="U309" s="903"/>
      <c r="V309" s="903" t="s">
        <v>615</v>
      </c>
      <c r="W309" s="903"/>
      <c r="X309" s="903"/>
      <c r="Y309" s="903"/>
      <c r="Z309" s="903"/>
      <c r="AA309" s="903"/>
      <c r="AB309" s="903"/>
      <c r="AC309" s="903"/>
      <c r="AD309" s="903"/>
      <c r="AE309" s="903"/>
      <c r="AF309" s="903" t="s">
        <v>605</v>
      </c>
      <c r="AG309" s="903"/>
      <c r="AH309" s="903"/>
      <c r="AI309" s="903"/>
      <c r="AJ309" s="903"/>
      <c r="AK309" s="903"/>
      <c r="AL309" s="903"/>
      <c r="AM309" s="903"/>
      <c r="AN309" s="903"/>
      <c r="AO309" s="903"/>
      <c r="AP309" s="903"/>
      <c r="AQ309" s="903"/>
      <c r="AR309" s="903"/>
      <c r="AS309" s="903"/>
      <c r="AT309" s="903"/>
      <c r="AU309" s="903"/>
      <c r="AV309" s="903"/>
      <c r="AW309" s="903"/>
      <c r="AX309" s="903"/>
      <c r="AY309" s="903"/>
      <c r="AZ309" s="903"/>
      <c r="BA309" s="903"/>
      <c r="BB309" s="903"/>
      <c r="BC309" s="903"/>
      <c r="BD309" s="903" t="s">
        <v>69</v>
      </c>
      <c r="BE309" s="903"/>
      <c r="BF309" s="903"/>
      <c r="BG309" s="903"/>
      <c r="BH309" s="903"/>
      <c r="BI309" s="903"/>
      <c r="BJ309" s="903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  <c r="BW309" s="903"/>
      <c r="BX309" s="903"/>
      <c r="BY309" s="903"/>
      <c r="BZ309" s="903"/>
      <c r="CA309" s="903"/>
      <c r="CG309" s="669"/>
    </row>
    <row r="310" spans="1:85">
      <c r="A310" s="674"/>
      <c r="H310" s="880">
        <v>1</v>
      </c>
      <c r="I310" s="881"/>
      <c r="J310" s="881"/>
      <c r="K310" s="882" t="s">
        <v>616</v>
      </c>
      <c r="L310" s="882"/>
      <c r="M310" s="882"/>
      <c r="N310" s="882"/>
      <c r="O310" s="882"/>
      <c r="P310" s="882"/>
      <c r="Q310" s="882"/>
      <c r="R310" s="882"/>
      <c r="S310" s="882"/>
      <c r="T310" s="882"/>
      <c r="U310" s="882"/>
      <c r="V310" s="882" t="s">
        <v>617</v>
      </c>
      <c r="W310" s="882"/>
      <c r="X310" s="882"/>
      <c r="Y310" s="882"/>
      <c r="Z310" s="882"/>
      <c r="AA310" s="882"/>
      <c r="AB310" s="882"/>
      <c r="AC310" s="882"/>
      <c r="AD310" s="882"/>
      <c r="AE310" s="882"/>
      <c r="AF310" s="904" t="s">
        <v>618</v>
      </c>
      <c r="AG310" s="904"/>
      <c r="AH310" s="904"/>
      <c r="AI310" s="904"/>
      <c r="AJ310" s="904"/>
      <c r="AK310" s="904"/>
      <c r="AL310" s="904"/>
      <c r="AM310" s="904"/>
      <c r="AN310" s="904"/>
      <c r="AO310" s="904"/>
      <c r="AP310" s="904"/>
      <c r="AQ310" s="904"/>
      <c r="AR310" s="904"/>
      <c r="AS310" s="904"/>
      <c r="AT310" s="904"/>
      <c r="AU310" s="904"/>
      <c r="AV310" s="904"/>
      <c r="AW310" s="904"/>
      <c r="AX310" s="904"/>
      <c r="AY310" s="904"/>
      <c r="AZ310" s="904"/>
      <c r="BA310" s="904"/>
      <c r="BB310" s="904"/>
      <c r="BC310" s="904"/>
      <c r="BD310" s="904" t="s">
        <v>619</v>
      </c>
      <c r="BE310" s="904"/>
      <c r="BF310" s="904"/>
      <c r="BG310" s="904"/>
      <c r="BH310" s="904"/>
      <c r="BI310" s="904"/>
      <c r="BJ310" s="904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  <c r="BW310" s="904"/>
      <c r="BX310" s="904"/>
      <c r="BY310" s="904"/>
      <c r="BZ310" s="904"/>
      <c r="CA310" s="904"/>
      <c r="CG310" s="669"/>
    </row>
    <row r="311" spans="1:85" ht="127.5" customHeight="1">
      <c r="A311" s="674"/>
      <c r="H311" s="880">
        <v>2</v>
      </c>
      <c r="I311" s="881"/>
      <c r="J311" s="881"/>
      <c r="K311" s="882" t="s">
        <v>620</v>
      </c>
      <c r="L311" s="882"/>
      <c r="M311" s="882"/>
      <c r="N311" s="882"/>
      <c r="O311" s="882"/>
      <c r="P311" s="882"/>
      <c r="Q311" s="882"/>
      <c r="R311" s="882"/>
      <c r="S311" s="882"/>
      <c r="T311" s="882"/>
      <c r="U311" s="882"/>
      <c r="V311" s="882" t="s">
        <v>621</v>
      </c>
      <c r="W311" s="882"/>
      <c r="X311" s="882"/>
      <c r="Y311" s="882"/>
      <c r="Z311" s="882"/>
      <c r="AA311" s="882"/>
      <c r="AB311" s="882"/>
      <c r="AC311" s="882"/>
      <c r="AD311" s="882"/>
      <c r="AE311" s="882"/>
      <c r="AF311" s="908" t="s">
        <v>622</v>
      </c>
      <c r="AG311" s="904"/>
      <c r="AH311" s="904"/>
      <c r="AI311" s="904"/>
      <c r="AJ311" s="904"/>
      <c r="AK311" s="904"/>
      <c r="AL311" s="904"/>
      <c r="AM311" s="904"/>
      <c r="AN311" s="904"/>
      <c r="AO311" s="904"/>
      <c r="AP311" s="904"/>
      <c r="AQ311" s="904"/>
      <c r="AR311" s="904"/>
      <c r="AS311" s="904"/>
      <c r="AT311" s="904"/>
      <c r="AU311" s="904"/>
      <c r="AV311" s="904"/>
      <c r="AW311" s="904"/>
      <c r="AX311" s="904"/>
      <c r="AY311" s="904"/>
      <c r="AZ311" s="904"/>
      <c r="BA311" s="904"/>
      <c r="BB311" s="904"/>
      <c r="BC311" s="904"/>
      <c r="BD311" s="909" t="s">
        <v>623</v>
      </c>
      <c r="BE311" s="910"/>
      <c r="BF311" s="910"/>
      <c r="BG311" s="910"/>
      <c r="BH311" s="910"/>
      <c r="BI311" s="910"/>
      <c r="BJ311" s="910"/>
      <c r="BK311" s="910"/>
      <c r="BL311" s="910"/>
      <c r="BM311" s="910"/>
      <c r="BN311" s="910"/>
      <c r="BO311" s="910"/>
      <c r="BP311" s="910"/>
      <c r="BQ311" s="910"/>
      <c r="BR311" s="910"/>
      <c r="BS311" s="910"/>
      <c r="BT311" s="910"/>
      <c r="BU311" s="910"/>
      <c r="BV311" s="910"/>
      <c r="BW311" s="910"/>
      <c r="BX311" s="910"/>
      <c r="BY311" s="910"/>
      <c r="BZ311" s="910"/>
      <c r="CA311" s="911"/>
      <c r="CG311" s="669"/>
    </row>
    <row r="312" spans="1:85" ht="15.75" customHeight="1">
      <c r="A312" s="674"/>
      <c r="H312" s="880">
        <v>3</v>
      </c>
      <c r="I312" s="881"/>
      <c r="J312" s="881"/>
      <c r="K312" s="882" t="s">
        <v>624</v>
      </c>
      <c r="L312" s="882"/>
      <c r="M312" s="882"/>
      <c r="N312" s="882"/>
      <c r="O312" s="882"/>
      <c r="P312" s="882"/>
      <c r="Q312" s="882"/>
      <c r="R312" s="882"/>
      <c r="S312" s="882"/>
      <c r="T312" s="882"/>
      <c r="U312" s="882"/>
      <c r="V312" s="883" t="s">
        <v>625</v>
      </c>
      <c r="W312" s="884"/>
      <c r="X312" s="884"/>
      <c r="Y312" s="884"/>
      <c r="Z312" s="884"/>
      <c r="AA312" s="884"/>
      <c r="AB312" s="884"/>
      <c r="AC312" s="884"/>
      <c r="AD312" s="884"/>
      <c r="AE312" s="885"/>
      <c r="AF312" s="892" t="s">
        <v>626</v>
      </c>
      <c r="AG312" s="893"/>
      <c r="AH312" s="893"/>
      <c r="AI312" s="893"/>
      <c r="AJ312" s="893"/>
      <c r="AK312" s="893"/>
      <c r="AL312" s="893"/>
      <c r="AM312" s="893"/>
      <c r="AN312" s="893"/>
      <c r="AO312" s="893"/>
      <c r="AP312" s="893"/>
      <c r="AQ312" s="893"/>
      <c r="AR312" s="893"/>
      <c r="AS312" s="893"/>
      <c r="AT312" s="893"/>
      <c r="AU312" s="893"/>
      <c r="AV312" s="893"/>
      <c r="AW312" s="893"/>
      <c r="AX312" s="893"/>
      <c r="AY312" s="893"/>
      <c r="AZ312" s="893"/>
      <c r="BA312" s="893"/>
      <c r="BB312" s="893"/>
      <c r="BC312" s="894"/>
      <c r="BD312" s="892"/>
      <c r="BE312" s="893"/>
      <c r="BF312" s="893"/>
      <c r="BG312" s="893"/>
      <c r="BH312" s="893"/>
      <c r="BI312" s="893"/>
      <c r="BJ312" s="893"/>
      <c r="BK312" s="893"/>
      <c r="BL312" s="893"/>
      <c r="BM312" s="893"/>
      <c r="BN312" s="893"/>
      <c r="BO312" s="893"/>
      <c r="BP312" s="893"/>
      <c r="BQ312" s="893"/>
      <c r="BR312" s="893"/>
      <c r="BS312" s="893"/>
      <c r="BT312" s="893"/>
      <c r="BU312" s="893"/>
      <c r="BV312" s="893"/>
      <c r="BW312" s="893"/>
      <c r="BX312" s="893"/>
      <c r="BY312" s="893"/>
      <c r="BZ312" s="893"/>
      <c r="CA312" s="894"/>
      <c r="CG312" s="669"/>
    </row>
    <row r="313" spans="1:85">
      <c r="A313" s="674"/>
      <c r="H313" s="880">
        <v>4</v>
      </c>
      <c r="I313" s="881"/>
      <c r="J313" s="881"/>
      <c r="K313" s="882" t="s">
        <v>627</v>
      </c>
      <c r="L313" s="882"/>
      <c r="M313" s="882"/>
      <c r="N313" s="882"/>
      <c r="O313" s="882"/>
      <c r="P313" s="882"/>
      <c r="Q313" s="882"/>
      <c r="R313" s="882"/>
      <c r="S313" s="882"/>
      <c r="T313" s="882"/>
      <c r="U313" s="882"/>
      <c r="V313" s="886"/>
      <c r="W313" s="887"/>
      <c r="X313" s="887"/>
      <c r="Y313" s="887"/>
      <c r="Z313" s="887"/>
      <c r="AA313" s="887"/>
      <c r="AB313" s="887"/>
      <c r="AC313" s="887"/>
      <c r="AD313" s="887"/>
      <c r="AE313" s="888"/>
      <c r="AF313" s="895"/>
      <c r="AG313" s="896"/>
      <c r="AH313" s="896"/>
      <c r="AI313" s="896"/>
      <c r="AJ313" s="896"/>
      <c r="AK313" s="896"/>
      <c r="AL313" s="896"/>
      <c r="AM313" s="896"/>
      <c r="AN313" s="896"/>
      <c r="AO313" s="896"/>
      <c r="AP313" s="896"/>
      <c r="AQ313" s="896"/>
      <c r="AR313" s="896"/>
      <c r="AS313" s="896"/>
      <c r="AT313" s="896"/>
      <c r="AU313" s="896"/>
      <c r="AV313" s="896"/>
      <c r="AW313" s="896"/>
      <c r="AX313" s="896"/>
      <c r="AY313" s="896"/>
      <c r="AZ313" s="896"/>
      <c r="BA313" s="896"/>
      <c r="BB313" s="896"/>
      <c r="BC313" s="897"/>
      <c r="BD313" s="895"/>
      <c r="BE313" s="896"/>
      <c r="BF313" s="896"/>
      <c r="BG313" s="896"/>
      <c r="BH313" s="896"/>
      <c r="BI313" s="896"/>
      <c r="BJ313" s="896"/>
      <c r="BK313" s="896"/>
      <c r="BL313" s="896"/>
      <c r="BM313" s="896"/>
      <c r="BN313" s="896"/>
      <c r="BO313" s="896"/>
      <c r="BP313" s="896"/>
      <c r="BQ313" s="896"/>
      <c r="BR313" s="896"/>
      <c r="BS313" s="896"/>
      <c r="BT313" s="896"/>
      <c r="BU313" s="896"/>
      <c r="BV313" s="896"/>
      <c r="BW313" s="896"/>
      <c r="BX313" s="896"/>
      <c r="BY313" s="896"/>
      <c r="BZ313" s="896"/>
      <c r="CA313" s="897"/>
      <c r="CG313" s="669"/>
    </row>
    <row r="314" spans="1:85">
      <c r="A314" s="674"/>
      <c r="H314" s="880">
        <v>5</v>
      </c>
      <c r="I314" s="881"/>
      <c r="J314" s="881"/>
      <c r="K314" s="882" t="s">
        <v>628</v>
      </c>
      <c r="L314" s="882"/>
      <c r="M314" s="882"/>
      <c r="N314" s="882"/>
      <c r="O314" s="882"/>
      <c r="P314" s="882"/>
      <c r="Q314" s="882"/>
      <c r="R314" s="882"/>
      <c r="S314" s="882"/>
      <c r="T314" s="882"/>
      <c r="U314" s="882"/>
      <c r="V314" s="886"/>
      <c r="W314" s="887"/>
      <c r="X314" s="887"/>
      <c r="Y314" s="887"/>
      <c r="Z314" s="887"/>
      <c r="AA314" s="887"/>
      <c r="AB314" s="887"/>
      <c r="AC314" s="887"/>
      <c r="AD314" s="887"/>
      <c r="AE314" s="888"/>
      <c r="AF314" s="895"/>
      <c r="AG314" s="896"/>
      <c r="AH314" s="896"/>
      <c r="AI314" s="896"/>
      <c r="AJ314" s="896"/>
      <c r="AK314" s="896"/>
      <c r="AL314" s="896"/>
      <c r="AM314" s="896"/>
      <c r="AN314" s="896"/>
      <c r="AO314" s="896"/>
      <c r="AP314" s="896"/>
      <c r="AQ314" s="896"/>
      <c r="AR314" s="896"/>
      <c r="AS314" s="896"/>
      <c r="AT314" s="896"/>
      <c r="AU314" s="896"/>
      <c r="AV314" s="896"/>
      <c r="AW314" s="896"/>
      <c r="AX314" s="896"/>
      <c r="AY314" s="896"/>
      <c r="AZ314" s="896"/>
      <c r="BA314" s="896"/>
      <c r="BB314" s="896"/>
      <c r="BC314" s="897"/>
      <c r="BD314" s="895"/>
      <c r="BE314" s="896"/>
      <c r="BF314" s="896"/>
      <c r="BG314" s="896"/>
      <c r="BH314" s="896"/>
      <c r="BI314" s="896"/>
      <c r="BJ314" s="896"/>
      <c r="BK314" s="896"/>
      <c r="BL314" s="896"/>
      <c r="BM314" s="896"/>
      <c r="BN314" s="896"/>
      <c r="BO314" s="896"/>
      <c r="BP314" s="896"/>
      <c r="BQ314" s="896"/>
      <c r="BR314" s="896"/>
      <c r="BS314" s="896"/>
      <c r="BT314" s="896"/>
      <c r="BU314" s="896"/>
      <c r="BV314" s="896"/>
      <c r="BW314" s="896"/>
      <c r="BX314" s="896"/>
      <c r="BY314" s="896"/>
      <c r="BZ314" s="896"/>
      <c r="CA314" s="897"/>
      <c r="CG314" s="669"/>
    </row>
    <row r="315" spans="1:85">
      <c r="A315" s="674"/>
      <c r="H315" s="880" t="s">
        <v>514</v>
      </c>
      <c r="I315" s="881"/>
      <c r="J315" s="881"/>
      <c r="K315" s="882" t="s">
        <v>514</v>
      </c>
      <c r="L315" s="882"/>
      <c r="M315" s="882"/>
      <c r="N315" s="882"/>
      <c r="O315" s="882"/>
      <c r="P315" s="882"/>
      <c r="Q315" s="882"/>
      <c r="R315" s="882"/>
      <c r="S315" s="882"/>
      <c r="T315" s="882"/>
      <c r="U315" s="882"/>
      <c r="V315" s="889"/>
      <c r="W315" s="890"/>
      <c r="X315" s="890"/>
      <c r="Y315" s="890"/>
      <c r="Z315" s="890"/>
      <c r="AA315" s="890"/>
      <c r="AB315" s="890"/>
      <c r="AC315" s="890"/>
      <c r="AD315" s="890"/>
      <c r="AE315" s="891"/>
      <c r="AF315" s="898"/>
      <c r="AG315" s="899"/>
      <c r="AH315" s="899"/>
      <c r="AI315" s="899"/>
      <c r="AJ315" s="899"/>
      <c r="AK315" s="899"/>
      <c r="AL315" s="899"/>
      <c r="AM315" s="899"/>
      <c r="AN315" s="899"/>
      <c r="AO315" s="899"/>
      <c r="AP315" s="899"/>
      <c r="AQ315" s="899"/>
      <c r="AR315" s="899"/>
      <c r="AS315" s="899"/>
      <c r="AT315" s="899"/>
      <c r="AU315" s="899"/>
      <c r="AV315" s="899"/>
      <c r="AW315" s="899"/>
      <c r="AX315" s="899"/>
      <c r="AY315" s="899"/>
      <c r="AZ315" s="899"/>
      <c r="BA315" s="899"/>
      <c r="BB315" s="899"/>
      <c r="BC315" s="900"/>
      <c r="BD315" s="898"/>
      <c r="BE315" s="899"/>
      <c r="BF315" s="899"/>
      <c r="BG315" s="899"/>
      <c r="BH315" s="899"/>
      <c r="BI315" s="899"/>
      <c r="BJ315" s="899"/>
      <c r="BK315" s="899"/>
      <c r="BL315" s="899"/>
      <c r="BM315" s="899"/>
      <c r="BN315" s="899"/>
      <c r="BO315" s="899"/>
      <c r="BP315" s="899"/>
      <c r="BQ315" s="899"/>
      <c r="BR315" s="899"/>
      <c r="BS315" s="899"/>
      <c r="BT315" s="899"/>
      <c r="BU315" s="899"/>
      <c r="BV315" s="899"/>
      <c r="BW315" s="899"/>
      <c r="BX315" s="899"/>
      <c r="BY315" s="899"/>
      <c r="BZ315" s="899"/>
      <c r="CA315" s="900"/>
      <c r="CG315" s="669"/>
    </row>
    <row r="316" spans="1:85">
      <c r="A316" s="674"/>
      <c r="H316" s="685"/>
      <c r="CG316" s="669"/>
    </row>
    <row r="317" spans="1:85">
      <c r="A317" s="674"/>
      <c r="CG317" s="669"/>
    </row>
    <row r="318" spans="1:85">
      <c r="A318" s="674"/>
      <c r="E318" s="670" t="s">
        <v>629</v>
      </c>
      <c r="I318" s="670" t="s">
        <v>630</v>
      </c>
      <c r="CG318" s="669"/>
    </row>
    <row r="319" spans="1:85">
      <c r="A319" s="674"/>
      <c r="CG319" s="669"/>
    </row>
    <row r="320" spans="1:85">
      <c r="A320" s="674"/>
      <c r="F320" s="670" t="s">
        <v>631</v>
      </c>
      <c r="CG320" s="669"/>
    </row>
    <row r="321" spans="1:85">
      <c r="A321" s="674"/>
      <c r="F321" s="670" t="s">
        <v>632</v>
      </c>
      <c r="CG321" s="669"/>
    </row>
    <row r="322" spans="1:85">
      <c r="A322" s="674"/>
      <c r="F322" s="676"/>
      <c r="G322" s="676"/>
      <c r="I322" s="676"/>
      <c r="CG322" s="669"/>
    </row>
    <row r="323" spans="1:85">
      <c r="A323" s="674"/>
      <c r="CG323" s="669"/>
    </row>
    <row r="324" spans="1:85">
      <c r="A324" s="686"/>
      <c r="B324" s="687"/>
      <c r="C324" s="687"/>
      <c r="D324" s="687"/>
      <c r="E324" s="687"/>
      <c r="F324" s="687"/>
      <c r="G324" s="687"/>
      <c r="H324" s="687"/>
      <c r="I324" s="687"/>
      <c r="J324" s="687"/>
      <c r="K324" s="687"/>
      <c r="L324" s="687"/>
      <c r="M324" s="687"/>
      <c r="N324" s="687"/>
      <c r="O324" s="687"/>
      <c r="P324" s="687"/>
      <c r="Q324" s="687"/>
      <c r="R324" s="687"/>
      <c r="S324" s="687"/>
      <c r="T324" s="687"/>
      <c r="U324" s="687"/>
      <c r="V324" s="687"/>
      <c r="W324" s="687"/>
      <c r="X324" s="687"/>
      <c r="Y324" s="687"/>
      <c r="Z324" s="687"/>
      <c r="AA324" s="687"/>
      <c r="AB324" s="687"/>
      <c r="AC324" s="687"/>
      <c r="AD324" s="687"/>
      <c r="AE324" s="687"/>
      <c r="AF324" s="687"/>
      <c r="AG324" s="687"/>
      <c r="AH324" s="687"/>
      <c r="AI324" s="687"/>
      <c r="AJ324" s="687"/>
      <c r="AK324" s="687"/>
      <c r="AL324" s="687"/>
      <c r="AM324" s="687"/>
      <c r="AN324" s="687"/>
      <c r="AO324" s="687"/>
      <c r="AP324" s="687"/>
      <c r="AQ324" s="687"/>
      <c r="AR324" s="687"/>
      <c r="AS324" s="687"/>
      <c r="AT324" s="687"/>
      <c r="AU324" s="687"/>
      <c r="AV324" s="687"/>
      <c r="AW324" s="687"/>
      <c r="AX324" s="687"/>
      <c r="AY324" s="687"/>
      <c r="AZ324" s="687"/>
      <c r="BA324" s="687"/>
      <c r="BB324" s="687"/>
      <c r="BC324" s="687"/>
      <c r="BD324" s="687"/>
      <c r="BE324" s="687"/>
      <c r="BF324" s="687"/>
      <c r="BG324" s="687"/>
      <c r="BH324" s="687"/>
      <c r="BI324" s="687"/>
      <c r="BJ324" s="687"/>
      <c r="BK324" s="687"/>
      <c r="BL324" s="687"/>
      <c r="BM324" s="687"/>
      <c r="BN324" s="687"/>
      <c r="BO324" s="687"/>
      <c r="BP324" s="687"/>
      <c r="BQ324" s="687"/>
      <c r="BR324" s="687"/>
      <c r="BS324" s="687"/>
      <c r="BT324" s="687"/>
      <c r="BU324" s="687"/>
      <c r="BV324" s="687"/>
      <c r="BW324" s="687"/>
      <c r="BX324" s="687"/>
      <c r="BY324" s="687"/>
      <c r="BZ324" s="687"/>
      <c r="CA324" s="687"/>
      <c r="CB324" s="687"/>
      <c r="CC324" s="687"/>
      <c r="CD324" s="687"/>
      <c r="CE324" s="687"/>
      <c r="CF324" s="687"/>
      <c r="CG324" s="688"/>
    </row>
    <row r="325" spans="1:85">
      <c r="A325" s="674"/>
    </row>
    <row r="326" spans="1:85">
      <c r="A326" s="674"/>
    </row>
    <row r="327" spans="1:85">
      <c r="A327" s="674"/>
    </row>
    <row r="328" spans="1:85">
      <c r="A328" s="674"/>
    </row>
    <row r="329" spans="1:85">
      <c r="A329" s="674"/>
    </row>
    <row r="330" spans="1:85">
      <c r="A330" s="674"/>
    </row>
    <row r="331" spans="1:85">
      <c r="A331" s="674"/>
    </row>
    <row r="332" spans="1:85">
      <c r="A332" s="674"/>
    </row>
    <row r="333" spans="1:85">
      <c r="A333" s="674"/>
    </row>
    <row r="334" spans="1:85">
      <c r="A334" s="674"/>
    </row>
    <row r="335" spans="1:85">
      <c r="A335" s="674"/>
    </row>
    <row r="336" spans="1:85">
      <c r="A336" s="674"/>
    </row>
    <row r="337" spans="1:1">
      <c r="A337" s="674"/>
    </row>
    <row r="338" spans="1:1">
      <c r="A338" s="674"/>
    </row>
    <row r="339" spans="1:1">
      <c r="A339" s="674"/>
    </row>
    <row r="340" spans="1:1">
      <c r="A340" s="674"/>
    </row>
    <row r="341" spans="1:1">
      <c r="A341" s="674"/>
    </row>
    <row r="342" spans="1:1">
      <c r="A342" s="674"/>
    </row>
    <row r="343" spans="1:1">
      <c r="A343" s="674"/>
    </row>
    <row r="344" spans="1:1">
      <c r="A344" s="674"/>
    </row>
    <row r="345" spans="1:1">
      <c r="A345" s="674"/>
    </row>
    <row r="346" spans="1:1">
      <c r="A346" s="674"/>
    </row>
    <row r="347" spans="1:1">
      <c r="A347" s="674"/>
    </row>
  </sheetData>
  <mergeCells count="135">
    <mergeCell ref="G110:N110"/>
    <mergeCell ref="O110:AA110"/>
    <mergeCell ref="G111:N111"/>
    <mergeCell ref="O111:AA111"/>
    <mergeCell ref="G112:N112"/>
    <mergeCell ref="O112:AA112"/>
    <mergeCell ref="A1:M1"/>
    <mergeCell ref="F96:N96"/>
    <mergeCell ref="O96:AU96"/>
    <mergeCell ref="F97:N98"/>
    <mergeCell ref="O97:AU97"/>
    <mergeCell ref="O98:AU98"/>
    <mergeCell ref="G116:N116"/>
    <mergeCell ref="O116:AA116"/>
    <mergeCell ref="F154:N154"/>
    <mergeCell ref="O154:AU154"/>
    <mergeCell ref="F155:N155"/>
    <mergeCell ref="O155:AU155"/>
    <mergeCell ref="G113:N113"/>
    <mergeCell ref="O113:AA113"/>
    <mergeCell ref="G114:N114"/>
    <mergeCell ref="O114:AA114"/>
    <mergeCell ref="G115:N115"/>
    <mergeCell ref="O115:AA115"/>
    <mergeCell ref="G162:N162"/>
    <mergeCell ref="O162:AA162"/>
    <mergeCell ref="G163:N163"/>
    <mergeCell ref="O163:AA163"/>
    <mergeCell ref="G164:N164"/>
    <mergeCell ref="O164:AA164"/>
    <mergeCell ref="G159:N159"/>
    <mergeCell ref="O159:AA159"/>
    <mergeCell ref="G160:N160"/>
    <mergeCell ref="O160:AA160"/>
    <mergeCell ref="G161:N161"/>
    <mergeCell ref="O161:AA161"/>
    <mergeCell ref="G165:N165"/>
    <mergeCell ref="O165:AA165"/>
    <mergeCell ref="G166:N166"/>
    <mergeCell ref="O166:AA166"/>
    <mergeCell ref="G167:N167"/>
    <mergeCell ref="O167:AA167"/>
    <mergeCell ref="H182:AK182"/>
    <mergeCell ref="AL182:AX182"/>
    <mergeCell ref="H183:AK183"/>
    <mergeCell ref="AL183:AQ183"/>
    <mergeCell ref="AR183:AX183"/>
    <mergeCell ref="H186:V186"/>
    <mergeCell ref="W186:AK186"/>
    <mergeCell ref="AL186:AQ186"/>
    <mergeCell ref="AR186:AX186"/>
    <mergeCell ref="H187:V187"/>
    <mergeCell ref="W187:AK187"/>
    <mergeCell ref="AL187:AQ187"/>
    <mergeCell ref="AR187:AX187"/>
    <mergeCell ref="H184:V185"/>
    <mergeCell ref="W184:AK184"/>
    <mergeCell ref="AL184:AQ184"/>
    <mergeCell ref="AR184:AX184"/>
    <mergeCell ref="W185:AK185"/>
    <mergeCell ref="AL185:AQ185"/>
    <mergeCell ref="AR185:AX185"/>
    <mergeCell ref="BB194:BH194"/>
    <mergeCell ref="U193:AI193"/>
    <mergeCell ref="AJ193:AL193"/>
    <mergeCell ref="AM193:AQ193"/>
    <mergeCell ref="AR193:AT193"/>
    <mergeCell ref="AU193:AV193"/>
    <mergeCell ref="F191:AV191"/>
    <mergeCell ref="AW191:BH191"/>
    <mergeCell ref="F192:AI192"/>
    <mergeCell ref="AJ192:AL192"/>
    <mergeCell ref="AM192:AQ192"/>
    <mergeCell ref="AR192:AT192"/>
    <mergeCell ref="AU192:AV192"/>
    <mergeCell ref="AW192:BA192"/>
    <mergeCell ref="BB192:BH192"/>
    <mergeCell ref="AU195:AV195"/>
    <mergeCell ref="AW195:BA195"/>
    <mergeCell ref="BB195:BH195"/>
    <mergeCell ref="F196:T196"/>
    <mergeCell ref="U196:AI196"/>
    <mergeCell ref="AJ196:AL196"/>
    <mergeCell ref="AM196:AQ196"/>
    <mergeCell ref="AR196:AT196"/>
    <mergeCell ref="AU196:AV196"/>
    <mergeCell ref="AW196:BA196"/>
    <mergeCell ref="F193:T195"/>
    <mergeCell ref="U195:AI195"/>
    <mergeCell ref="AJ195:AL195"/>
    <mergeCell ref="AM195:AQ195"/>
    <mergeCell ref="AR195:AT195"/>
    <mergeCell ref="BB196:BH196"/>
    <mergeCell ref="AW193:BA193"/>
    <mergeCell ref="BB193:BH193"/>
    <mergeCell ref="U194:AI194"/>
    <mergeCell ref="AJ194:AL194"/>
    <mergeCell ref="AM194:AQ194"/>
    <mergeCell ref="AR194:AT194"/>
    <mergeCell ref="AU194:AV194"/>
    <mergeCell ref="AW194:BA194"/>
    <mergeCell ref="F197:T197"/>
    <mergeCell ref="U197:AI197"/>
    <mergeCell ref="AJ197:AL197"/>
    <mergeCell ref="AM197:AQ197"/>
    <mergeCell ref="AR197:AT197"/>
    <mergeCell ref="AU197:AV197"/>
    <mergeCell ref="AW197:BA197"/>
    <mergeCell ref="BB197:BH197"/>
    <mergeCell ref="AF311:BC311"/>
    <mergeCell ref="BD311:CA311"/>
    <mergeCell ref="H312:J312"/>
    <mergeCell ref="K312:U312"/>
    <mergeCell ref="V312:AE315"/>
    <mergeCell ref="AF312:BC315"/>
    <mergeCell ref="BD312:CA315"/>
    <mergeCell ref="H309:J309"/>
    <mergeCell ref="K309:U309"/>
    <mergeCell ref="V309:AE309"/>
    <mergeCell ref="AF309:BC309"/>
    <mergeCell ref="BD309:CA309"/>
    <mergeCell ref="H310:J310"/>
    <mergeCell ref="K310:U310"/>
    <mergeCell ref="V310:AE310"/>
    <mergeCell ref="AF310:BC310"/>
    <mergeCell ref="BD310:CA310"/>
    <mergeCell ref="H313:J313"/>
    <mergeCell ref="K313:U313"/>
    <mergeCell ref="H314:J314"/>
    <mergeCell ref="K314:U314"/>
    <mergeCell ref="H315:J315"/>
    <mergeCell ref="K315:U315"/>
    <mergeCell ref="H311:J311"/>
    <mergeCell ref="K311:U311"/>
    <mergeCell ref="V311:AE311"/>
  </mergeCells>
  <phoneticPr fontId="56"/>
  <dataValidations count="1">
    <dataValidation type="list" allowBlank="1" showInputMessage="1" showErrorMessage="1" sqref="WVZ983233:WWE983254 WMD983233:WMI983254 WCH983233:WCM983254 VSL983233:VSQ983254 VIP983233:VIU983254 UYT983233:UYY983254 UOX983233:UPC983254 UFB983233:UFG983254 TVF983233:TVK983254 TLJ983233:TLO983254 TBN983233:TBS983254 SRR983233:SRW983254 SHV983233:SIA983254 RXZ983233:RYE983254 ROD983233:ROI983254 REH983233:REM983254 QUL983233:QUQ983254 QKP983233:QKU983254 QAT983233:QAY983254 PQX983233:PRC983254 PHB983233:PHG983254 OXF983233:OXK983254 ONJ983233:ONO983254 ODN983233:ODS983254 NTR983233:NTW983254 NJV983233:NKA983254 MZZ983233:NAE983254 MQD983233:MQI983254 MGH983233:MGM983254 LWL983233:LWQ983254 LMP983233:LMU983254 LCT983233:LCY983254 KSX983233:KTC983254 KJB983233:KJG983254 JZF983233:JZK983254 JPJ983233:JPO983254 JFN983233:JFS983254 IVR983233:IVW983254 ILV983233:IMA983254 IBZ983233:ICE983254 HSD983233:HSI983254 HIH983233:HIM983254 GYL983233:GYQ983254 GOP983233:GOU983254 GET983233:GEY983254 FUX983233:FVC983254 FLB983233:FLG983254 FBF983233:FBK983254 ERJ983233:ERO983254 EHN983233:EHS983254 DXR983233:DXW983254 DNV983233:DOA983254 DDZ983233:DEE983254 CUD983233:CUI983254 CKH983233:CKM983254 CAL983233:CAQ983254 BQP983233:BQU983254 BGT983233:BGY983254 AWX983233:AXC983254 ANB983233:ANG983254 ADF983233:ADK983254 TJ983233:TO983254 JN983233:JS983254 J983257:O983278 WVZ917697:WWE917718 WMD917697:WMI917718 WCH917697:WCM917718 VSL917697:VSQ917718 VIP917697:VIU917718 UYT917697:UYY917718 UOX917697:UPC917718 UFB917697:UFG917718 TVF917697:TVK917718 TLJ917697:TLO917718 TBN917697:TBS917718 SRR917697:SRW917718 SHV917697:SIA917718 RXZ917697:RYE917718 ROD917697:ROI917718 REH917697:REM917718 QUL917697:QUQ917718 QKP917697:QKU917718 QAT917697:QAY917718 PQX917697:PRC917718 PHB917697:PHG917718 OXF917697:OXK917718 ONJ917697:ONO917718 ODN917697:ODS917718 NTR917697:NTW917718 NJV917697:NKA917718 MZZ917697:NAE917718 MQD917697:MQI917718 MGH917697:MGM917718 LWL917697:LWQ917718 LMP917697:LMU917718 LCT917697:LCY917718 KSX917697:KTC917718 KJB917697:KJG917718 JZF917697:JZK917718 JPJ917697:JPO917718 JFN917697:JFS917718 IVR917697:IVW917718 ILV917697:IMA917718 IBZ917697:ICE917718 HSD917697:HSI917718 HIH917697:HIM917718 GYL917697:GYQ917718 GOP917697:GOU917718 GET917697:GEY917718 FUX917697:FVC917718 FLB917697:FLG917718 FBF917697:FBK917718 ERJ917697:ERO917718 EHN917697:EHS917718 DXR917697:DXW917718 DNV917697:DOA917718 DDZ917697:DEE917718 CUD917697:CUI917718 CKH917697:CKM917718 CAL917697:CAQ917718 BQP917697:BQU917718 BGT917697:BGY917718 AWX917697:AXC917718 ANB917697:ANG917718 ADF917697:ADK917718 TJ917697:TO917718 JN917697:JS917718 J917721:O917742 WVZ852161:WWE852182 WMD852161:WMI852182 WCH852161:WCM852182 VSL852161:VSQ852182 VIP852161:VIU852182 UYT852161:UYY852182 UOX852161:UPC852182 UFB852161:UFG852182 TVF852161:TVK852182 TLJ852161:TLO852182 TBN852161:TBS852182 SRR852161:SRW852182 SHV852161:SIA852182 RXZ852161:RYE852182 ROD852161:ROI852182 REH852161:REM852182 QUL852161:QUQ852182 QKP852161:QKU852182 QAT852161:QAY852182 PQX852161:PRC852182 PHB852161:PHG852182 OXF852161:OXK852182 ONJ852161:ONO852182 ODN852161:ODS852182 NTR852161:NTW852182 NJV852161:NKA852182 MZZ852161:NAE852182 MQD852161:MQI852182 MGH852161:MGM852182 LWL852161:LWQ852182 LMP852161:LMU852182 LCT852161:LCY852182 KSX852161:KTC852182 KJB852161:KJG852182 JZF852161:JZK852182 JPJ852161:JPO852182 JFN852161:JFS852182 IVR852161:IVW852182 ILV852161:IMA852182 IBZ852161:ICE852182 HSD852161:HSI852182 HIH852161:HIM852182 GYL852161:GYQ852182 GOP852161:GOU852182 GET852161:GEY852182 FUX852161:FVC852182 FLB852161:FLG852182 FBF852161:FBK852182 ERJ852161:ERO852182 EHN852161:EHS852182 DXR852161:DXW852182 DNV852161:DOA852182 DDZ852161:DEE852182 CUD852161:CUI852182 CKH852161:CKM852182 CAL852161:CAQ852182 BQP852161:BQU852182 BGT852161:BGY852182 AWX852161:AXC852182 ANB852161:ANG852182 ADF852161:ADK852182 TJ852161:TO852182 JN852161:JS852182 J852185:O852206 WVZ786625:WWE786646 WMD786625:WMI786646 WCH786625:WCM786646 VSL786625:VSQ786646 VIP786625:VIU786646 UYT786625:UYY786646 UOX786625:UPC786646 UFB786625:UFG786646 TVF786625:TVK786646 TLJ786625:TLO786646 TBN786625:TBS786646 SRR786625:SRW786646 SHV786625:SIA786646 RXZ786625:RYE786646 ROD786625:ROI786646 REH786625:REM786646 QUL786625:QUQ786646 QKP786625:QKU786646 QAT786625:QAY786646 PQX786625:PRC786646 PHB786625:PHG786646 OXF786625:OXK786646 ONJ786625:ONO786646 ODN786625:ODS786646 NTR786625:NTW786646 NJV786625:NKA786646 MZZ786625:NAE786646 MQD786625:MQI786646 MGH786625:MGM786646 LWL786625:LWQ786646 LMP786625:LMU786646 LCT786625:LCY786646 KSX786625:KTC786646 KJB786625:KJG786646 JZF786625:JZK786646 JPJ786625:JPO786646 JFN786625:JFS786646 IVR786625:IVW786646 ILV786625:IMA786646 IBZ786625:ICE786646 HSD786625:HSI786646 HIH786625:HIM786646 GYL786625:GYQ786646 GOP786625:GOU786646 GET786625:GEY786646 FUX786625:FVC786646 FLB786625:FLG786646 FBF786625:FBK786646 ERJ786625:ERO786646 EHN786625:EHS786646 DXR786625:DXW786646 DNV786625:DOA786646 DDZ786625:DEE786646 CUD786625:CUI786646 CKH786625:CKM786646 CAL786625:CAQ786646 BQP786625:BQU786646 BGT786625:BGY786646 AWX786625:AXC786646 ANB786625:ANG786646 ADF786625:ADK786646 TJ786625:TO786646 JN786625:JS786646 J786649:O786670 WVZ721089:WWE721110 WMD721089:WMI721110 WCH721089:WCM721110 VSL721089:VSQ721110 VIP721089:VIU721110 UYT721089:UYY721110 UOX721089:UPC721110 UFB721089:UFG721110 TVF721089:TVK721110 TLJ721089:TLO721110 TBN721089:TBS721110 SRR721089:SRW721110 SHV721089:SIA721110 RXZ721089:RYE721110 ROD721089:ROI721110 REH721089:REM721110 QUL721089:QUQ721110 QKP721089:QKU721110 QAT721089:QAY721110 PQX721089:PRC721110 PHB721089:PHG721110 OXF721089:OXK721110 ONJ721089:ONO721110 ODN721089:ODS721110 NTR721089:NTW721110 NJV721089:NKA721110 MZZ721089:NAE721110 MQD721089:MQI721110 MGH721089:MGM721110 LWL721089:LWQ721110 LMP721089:LMU721110 LCT721089:LCY721110 KSX721089:KTC721110 KJB721089:KJG721110 JZF721089:JZK721110 JPJ721089:JPO721110 JFN721089:JFS721110 IVR721089:IVW721110 ILV721089:IMA721110 IBZ721089:ICE721110 HSD721089:HSI721110 HIH721089:HIM721110 GYL721089:GYQ721110 GOP721089:GOU721110 GET721089:GEY721110 FUX721089:FVC721110 FLB721089:FLG721110 FBF721089:FBK721110 ERJ721089:ERO721110 EHN721089:EHS721110 DXR721089:DXW721110 DNV721089:DOA721110 DDZ721089:DEE721110 CUD721089:CUI721110 CKH721089:CKM721110 CAL721089:CAQ721110 BQP721089:BQU721110 BGT721089:BGY721110 AWX721089:AXC721110 ANB721089:ANG721110 ADF721089:ADK721110 TJ721089:TO721110 JN721089:JS721110 J721113:O721134 WVZ655553:WWE655574 WMD655553:WMI655574 WCH655553:WCM655574 VSL655553:VSQ655574 VIP655553:VIU655574 UYT655553:UYY655574 UOX655553:UPC655574 UFB655553:UFG655574 TVF655553:TVK655574 TLJ655553:TLO655574 TBN655553:TBS655574 SRR655553:SRW655574 SHV655553:SIA655574 RXZ655553:RYE655574 ROD655553:ROI655574 REH655553:REM655574 QUL655553:QUQ655574 QKP655553:QKU655574 QAT655553:QAY655574 PQX655553:PRC655574 PHB655553:PHG655574 OXF655553:OXK655574 ONJ655553:ONO655574 ODN655553:ODS655574 NTR655553:NTW655574 NJV655553:NKA655574 MZZ655553:NAE655574 MQD655553:MQI655574 MGH655553:MGM655574 LWL655553:LWQ655574 LMP655553:LMU655574 LCT655553:LCY655574 KSX655553:KTC655574 KJB655553:KJG655574 JZF655553:JZK655574 JPJ655553:JPO655574 JFN655553:JFS655574 IVR655553:IVW655574 ILV655553:IMA655574 IBZ655553:ICE655574 HSD655553:HSI655574 HIH655553:HIM655574 GYL655553:GYQ655574 GOP655553:GOU655574 GET655553:GEY655574 FUX655553:FVC655574 FLB655553:FLG655574 FBF655553:FBK655574 ERJ655553:ERO655574 EHN655553:EHS655574 DXR655553:DXW655574 DNV655553:DOA655574 DDZ655553:DEE655574 CUD655553:CUI655574 CKH655553:CKM655574 CAL655553:CAQ655574 BQP655553:BQU655574 BGT655553:BGY655574 AWX655553:AXC655574 ANB655553:ANG655574 ADF655553:ADK655574 TJ655553:TO655574 JN655553:JS655574 J655577:O655598 WVZ590017:WWE590038 WMD590017:WMI590038 WCH590017:WCM590038 VSL590017:VSQ590038 VIP590017:VIU590038 UYT590017:UYY590038 UOX590017:UPC590038 UFB590017:UFG590038 TVF590017:TVK590038 TLJ590017:TLO590038 TBN590017:TBS590038 SRR590017:SRW590038 SHV590017:SIA590038 RXZ590017:RYE590038 ROD590017:ROI590038 REH590017:REM590038 QUL590017:QUQ590038 QKP590017:QKU590038 QAT590017:QAY590038 PQX590017:PRC590038 PHB590017:PHG590038 OXF590017:OXK590038 ONJ590017:ONO590038 ODN590017:ODS590038 NTR590017:NTW590038 NJV590017:NKA590038 MZZ590017:NAE590038 MQD590017:MQI590038 MGH590017:MGM590038 LWL590017:LWQ590038 LMP590017:LMU590038 LCT590017:LCY590038 KSX590017:KTC590038 KJB590017:KJG590038 JZF590017:JZK590038 JPJ590017:JPO590038 JFN590017:JFS590038 IVR590017:IVW590038 ILV590017:IMA590038 IBZ590017:ICE590038 HSD590017:HSI590038 HIH590017:HIM590038 GYL590017:GYQ590038 GOP590017:GOU590038 GET590017:GEY590038 FUX590017:FVC590038 FLB590017:FLG590038 FBF590017:FBK590038 ERJ590017:ERO590038 EHN590017:EHS590038 DXR590017:DXW590038 DNV590017:DOA590038 DDZ590017:DEE590038 CUD590017:CUI590038 CKH590017:CKM590038 CAL590017:CAQ590038 BQP590017:BQU590038 BGT590017:BGY590038 AWX590017:AXC590038 ANB590017:ANG590038 ADF590017:ADK590038 TJ590017:TO590038 JN590017:JS590038 J590041:O590062 WVZ524481:WWE524502 WMD524481:WMI524502 WCH524481:WCM524502 VSL524481:VSQ524502 VIP524481:VIU524502 UYT524481:UYY524502 UOX524481:UPC524502 UFB524481:UFG524502 TVF524481:TVK524502 TLJ524481:TLO524502 TBN524481:TBS524502 SRR524481:SRW524502 SHV524481:SIA524502 RXZ524481:RYE524502 ROD524481:ROI524502 REH524481:REM524502 QUL524481:QUQ524502 QKP524481:QKU524502 QAT524481:QAY524502 PQX524481:PRC524502 PHB524481:PHG524502 OXF524481:OXK524502 ONJ524481:ONO524502 ODN524481:ODS524502 NTR524481:NTW524502 NJV524481:NKA524502 MZZ524481:NAE524502 MQD524481:MQI524502 MGH524481:MGM524502 LWL524481:LWQ524502 LMP524481:LMU524502 LCT524481:LCY524502 KSX524481:KTC524502 KJB524481:KJG524502 JZF524481:JZK524502 JPJ524481:JPO524502 JFN524481:JFS524502 IVR524481:IVW524502 ILV524481:IMA524502 IBZ524481:ICE524502 HSD524481:HSI524502 HIH524481:HIM524502 GYL524481:GYQ524502 GOP524481:GOU524502 GET524481:GEY524502 FUX524481:FVC524502 FLB524481:FLG524502 FBF524481:FBK524502 ERJ524481:ERO524502 EHN524481:EHS524502 DXR524481:DXW524502 DNV524481:DOA524502 DDZ524481:DEE524502 CUD524481:CUI524502 CKH524481:CKM524502 CAL524481:CAQ524502 BQP524481:BQU524502 BGT524481:BGY524502 AWX524481:AXC524502 ANB524481:ANG524502 ADF524481:ADK524502 TJ524481:TO524502 JN524481:JS524502 J524505:O524526 WVZ458945:WWE458966 WMD458945:WMI458966 WCH458945:WCM458966 VSL458945:VSQ458966 VIP458945:VIU458966 UYT458945:UYY458966 UOX458945:UPC458966 UFB458945:UFG458966 TVF458945:TVK458966 TLJ458945:TLO458966 TBN458945:TBS458966 SRR458945:SRW458966 SHV458945:SIA458966 RXZ458945:RYE458966 ROD458945:ROI458966 REH458945:REM458966 QUL458945:QUQ458966 QKP458945:QKU458966 QAT458945:QAY458966 PQX458945:PRC458966 PHB458945:PHG458966 OXF458945:OXK458966 ONJ458945:ONO458966 ODN458945:ODS458966 NTR458945:NTW458966 NJV458945:NKA458966 MZZ458945:NAE458966 MQD458945:MQI458966 MGH458945:MGM458966 LWL458945:LWQ458966 LMP458945:LMU458966 LCT458945:LCY458966 KSX458945:KTC458966 KJB458945:KJG458966 JZF458945:JZK458966 JPJ458945:JPO458966 JFN458945:JFS458966 IVR458945:IVW458966 ILV458945:IMA458966 IBZ458945:ICE458966 HSD458945:HSI458966 HIH458945:HIM458966 GYL458945:GYQ458966 GOP458945:GOU458966 GET458945:GEY458966 FUX458945:FVC458966 FLB458945:FLG458966 FBF458945:FBK458966 ERJ458945:ERO458966 EHN458945:EHS458966 DXR458945:DXW458966 DNV458945:DOA458966 DDZ458945:DEE458966 CUD458945:CUI458966 CKH458945:CKM458966 CAL458945:CAQ458966 BQP458945:BQU458966 BGT458945:BGY458966 AWX458945:AXC458966 ANB458945:ANG458966 ADF458945:ADK458966 TJ458945:TO458966 JN458945:JS458966 J458969:O458990 WVZ393409:WWE393430 WMD393409:WMI393430 WCH393409:WCM393430 VSL393409:VSQ393430 VIP393409:VIU393430 UYT393409:UYY393430 UOX393409:UPC393430 UFB393409:UFG393430 TVF393409:TVK393430 TLJ393409:TLO393430 TBN393409:TBS393430 SRR393409:SRW393430 SHV393409:SIA393430 RXZ393409:RYE393430 ROD393409:ROI393430 REH393409:REM393430 QUL393409:QUQ393430 QKP393409:QKU393430 QAT393409:QAY393430 PQX393409:PRC393430 PHB393409:PHG393430 OXF393409:OXK393430 ONJ393409:ONO393430 ODN393409:ODS393430 NTR393409:NTW393430 NJV393409:NKA393430 MZZ393409:NAE393430 MQD393409:MQI393430 MGH393409:MGM393430 LWL393409:LWQ393430 LMP393409:LMU393430 LCT393409:LCY393430 KSX393409:KTC393430 KJB393409:KJG393430 JZF393409:JZK393430 JPJ393409:JPO393430 JFN393409:JFS393430 IVR393409:IVW393430 ILV393409:IMA393430 IBZ393409:ICE393430 HSD393409:HSI393430 HIH393409:HIM393430 GYL393409:GYQ393430 GOP393409:GOU393430 GET393409:GEY393430 FUX393409:FVC393430 FLB393409:FLG393430 FBF393409:FBK393430 ERJ393409:ERO393430 EHN393409:EHS393430 DXR393409:DXW393430 DNV393409:DOA393430 DDZ393409:DEE393430 CUD393409:CUI393430 CKH393409:CKM393430 CAL393409:CAQ393430 BQP393409:BQU393430 BGT393409:BGY393430 AWX393409:AXC393430 ANB393409:ANG393430 ADF393409:ADK393430 TJ393409:TO393430 JN393409:JS393430 J393433:O393454 WVZ327873:WWE327894 WMD327873:WMI327894 WCH327873:WCM327894 VSL327873:VSQ327894 VIP327873:VIU327894 UYT327873:UYY327894 UOX327873:UPC327894 UFB327873:UFG327894 TVF327873:TVK327894 TLJ327873:TLO327894 TBN327873:TBS327894 SRR327873:SRW327894 SHV327873:SIA327894 RXZ327873:RYE327894 ROD327873:ROI327894 REH327873:REM327894 QUL327873:QUQ327894 QKP327873:QKU327894 QAT327873:QAY327894 PQX327873:PRC327894 PHB327873:PHG327894 OXF327873:OXK327894 ONJ327873:ONO327894 ODN327873:ODS327894 NTR327873:NTW327894 NJV327873:NKA327894 MZZ327873:NAE327894 MQD327873:MQI327894 MGH327873:MGM327894 LWL327873:LWQ327894 LMP327873:LMU327894 LCT327873:LCY327894 KSX327873:KTC327894 KJB327873:KJG327894 JZF327873:JZK327894 JPJ327873:JPO327894 JFN327873:JFS327894 IVR327873:IVW327894 ILV327873:IMA327894 IBZ327873:ICE327894 HSD327873:HSI327894 HIH327873:HIM327894 GYL327873:GYQ327894 GOP327873:GOU327894 GET327873:GEY327894 FUX327873:FVC327894 FLB327873:FLG327894 FBF327873:FBK327894 ERJ327873:ERO327894 EHN327873:EHS327894 DXR327873:DXW327894 DNV327873:DOA327894 DDZ327873:DEE327894 CUD327873:CUI327894 CKH327873:CKM327894 CAL327873:CAQ327894 BQP327873:BQU327894 BGT327873:BGY327894 AWX327873:AXC327894 ANB327873:ANG327894 ADF327873:ADK327894 TJ327873:TO327894 JN327873:JS327894 J327897:O327918 WVZ262337:WWE262358 WMD262337:WMI262358 WCH262337:WCM262358 VSL262337:VSQ262358 VIP262337:VIU262358 UYT262337:UYY262358 UOX262337:UPC262358 UFB262337:UFG262358 TVF262337:TVK262358 TLJ262337:TLO262358 TBN262337:TBS262358 SRR262337:SRW262358 SHV262337:SIA262358 RXZ262337:RYE262358 ROD262337:ROI262358 REH262337:REM262358 QUL262337:QUQ262358 QKP262337:QKU262358 QAT262337:QAY262358 PQX262337:PRC262358 PHB262337:PHG262358 OXF262337:OXK262358 ONJ262337:ONO262358 ODN262337:ODS262358 NTR262337:NTW262358 NJV262337:NKA262358 MZZ262337:NAE262358 MQD262337:MQI262358 MGH262337:MGM262358 LWL262337:LWQ262358 LMP262337:LMU262358 LCT262337:LCY262358 KSX262337:KTC262358 KJB262337:KJG262358 JZF262337:JZK262358 JPJ262337:JPO262358 JFN262337:JFS262358 IVR262337:IVW262358 ILV262337:IMA262358 IBZ262337:ICE262358 HSD262337:HSI262358 HIH262337:HIM262358 GYL262337:GYQ262358 GOP262337:GOU262358 GET262337:GEY262358 FUX262337:FVC262358 FLB262337:FLG262358 FBF262337:FBK262358 ERJ262337:ERO262358 EHN262337:EHS262358 DXR262337:DXW262358 DNV262337:DOA262358 DDZ262337:DEE262358 CUD262337:CUI262358 CKH262337:CKM262358 CAL262337:CAQ262358 BQP262337:BQU262358 BGT262337:BGY262358 AWX262337:AXC262358 ANB262337:ANG262358 ADF262337:ADK262358 TJ262337:TO262358 JN262337:JS262358 J262361:O262382 WVZ196801:WWE196822 WMD196801:WMI196822 WCH196801:WCM196822 VSL196801:VSQ196822 VIP196801:VIU196822 UYT196801:UYY196822 UOX196801:UPC196822 UFB196801:UFG196822 TVF196801:TVK196822 TLJ196801:TLO196822 TBN196801:TBS196822 SRR196801:SRW196822 SHV196801:SIA196822 RXZ196801:RYE196822 ROD196801:ROI196822 REH196801:REM196822 QUL196801:QUQ196822 QKP196801:QKU196822 QAT196801:QAY196822 PQX196801:PRC196822 PHB196801:PHG196822 OXF196801:OXK196822 ONJ196801:ONO196822 ODN196801:ODS196822 NTR196801:NTW196822 NJV196801:NKA196822 MZZ196801:NAE196822 MQD196801:MQI196822 MGH196801:MGM196822 LWL196801:LWQ196822 LMP196801:LMU196822 LCT196801:LCY196822 KSX196801:KTC196822 KJB196801:KJG196822 JZF196801:JZK196822 JPJ196801:JPO196822 JFN196801:JFS196822 IVR196801:IVW196822 ILV196801:IMA196822 IBZ196801:ICE196822 HSD196801:HSI196822 HIH196801:HIM196822 GYL196801:GYQ196822 GOP196801:GOU196822 GET196801:GEY196822 FUX196801:FVC196822 FLB196801:FLG196822 FBF196801:FBK196822 ERJ196801:ERO196822 EHN196801:EHS196822 DXR196801:DXW196822 DNV196801:DOA196822 DDZ196801:DEE196822 CUD196801:CUI196822 CKH196801:CKM196822 CAL196801:CAQ196822 BQP196801:BQU196822 BGT196801:BGY196822 AWX196801:AXC196822 ANB196801:ANG196822 ADF196801:ADK196822 TJ196801:TO196822 JN196801:JS196822 J196825:O196846 WVZ131265:WWE131286 WMD131265:WMI131286 WCH131265:WCM131286 VSL131265:VSQ131286 VIP131265:VIU131286 UYT131265:UYY131286 UOX131265:UPC131286 UFB131265:UFG131286 TVF131265:TVK131286 TLJ131265:TLO131286 TBN131265:TBS131286 SRR131265:SRW131286 SHV131265:SIA131286 RXZ131265:RYE131286 ROD131265:ROI131286 REH131265:REM131286 QUL131265:QUQ131286 QKP131265:QKU131286 QAT131265:QAY131286 PQX131265:PRC131286 PHB131265:PHG131286 OXF131265:OXK131286 ONJ131265:ONO131286 ODN131265:ODS131286 NTR131265:NTW131286 NJV131265:NKA131286 MZZ131265:NAE131286 MQD131265:MQI131286 MGH131265:MGM131286 LWL131265:LWQ131286 LMP131265:LMU131286 LCT131265:LCY131286 KSX131265:KTC131286 KJB131265:KJG131286 JZF131265:JZK131286 JPJ131265:JPO131286 JFN131265:JFS131286 IVR131265:IVW131286 ILV131265:IMA131286 IBZ131265:ICE131286 HSD131265:HSI131286 HIH131265:HIM131286 GYL131265:GYQ131286 GOP131265:GOU131286 GET131265:GEY131286 FUX131265:FVC131286 FLB131265:FLG131286 FBF131265:FBK131286 ERJ131265:ERO131286 EHN131265:EHS131286 DXR131265:DXW131286 DNV131265:DOA131286 DDZ131265:DEE131286 CUD131265:CUI131286 CKH131265:CKM131286 CAL131265:CAQ131286 BQP131265:BQU131286 BGT131265:BGY131286 AWX131265:AXC131286 ANB131265:ANG131286 ADF131265:ADK131286 TJ131265:TO131286 JN131265:JS131286 J131289:O131310 WVZ65729:WWE65750 WMD65729:WMI65750 WCH65729:WCM65750 VSL65729:VSQ65750 VIP65729:VIU65750 UYT65729:UYY65750 UOX65729:UPC65750 UFB65729:UFG65750 TVF65729:TVK65750 TLJ65729:TLO65750 TBN65729:TBS65750 SRR65729:SRW65750 SHV65729:SIA65750 RXZ65729:RYE65750 ROD65729:ROI65750 REH65729:REM65750 QUL65729:QUQ65750 QKP65729:QKU65750 QAT65729:QAY65750 PQX65729:PRC65750 PHB65729:PHG65750 OXF65729:OXK65750 ONJ65729:ONO65750 ODN65729:ODS65750 NTR65729:NTW65750 NJV65729:NKA65750 MZZ65729:NAE65750 MQD65729:MQI65750 MGH65729:MGM65750 LWL65729:LWQ65750 LMP65729:LMU65750 LCT65729:LCY65750 KSX65729:KTC65750 KJB65729:KJG65750 JZF65729:JZK65750 JPJ65729:JPO65750 JFN65729:JFS65750 IVR65729:IVW65750 ILV65729:IMA65750 IBZ65729:ICE65750 HSD65729:HSI65750 HIH65729:HIM65750 GYL65729:GYQ65750 GOP65729:GOU65750 GET65729:GEY65750 FUX65729:FVC65750 FLB65729:FLG65750 FBF65729:FBK65750 ERJ65729:ERO65750 EHN65729:EHS65750 DXR65729:DXW65750 DNV65729:DOA65750 DDZ65729:DEE65750 CUD65729:CUI65750 CKH65729:CKM65750 CAL65729:CAQ65750 BQP65729:BQU65750 BGT65729:BGY65750 AWX65729:AXC65750 ANB65729:ANG65750 ADF65729:ADK65750 TJ65729:TO65750 JN65729:JS65750 J65753:O65774 WWN983233:WWU983254 WMR983233:WMY983254 WCV983233:WDC983254 VSZ983233:VTG983254 VJD983233:VJK983254 UZH983233:UZO983254 UPL983233:UPS983254 UFP983233:UFW983254 TVT983233:TWA983254 TLX983233:TME983254 TCB983233:TCI983254 SSF983233:SSM983254 SIJ983233:SIQ983254 RYN983233:RYU983254 ROR983233:ROY983254 REV983233:RFC983254 QUZ983233:QVG983254 QLD983233:QLK983254 QBH983233:QBO983254 PRL983233:PRS983254 PHP983233:PHW983254 OXT983233:OYA983254 ONX983233:OOE983254 OEB983233:OEI983254 NUF983233:NUM983254 NKJ983233:NKQ983254 NAN983233:NAU983254 MQR983233:MQY983254 MGV983233:MHC983254 LWZ983233:LXG983254 LND983233:LNK983254 LDH983233:LDO983254 KTL983233:KTS983254 KJP983233:KJW983254 JZT983233:KAA983254 JPX983233:JQE983254 JGB983233:JGI983254 IWF983233:IWM983254 IMJ983233:IMQ983254 ICN983233:ICU983254 HSR983233:HSY983254 HIV983233:HJC983254 GYZ983233:GZG983254 GPD983233:GPK983254 GFH983233:GFO983254 FVL983233:FVS983254 FLP983233:FLW983254 FBT983233:FCA983254 ERX983233:ESE983254 EIB983233:EII983254 DYF983233:DYM983254 DOJ983233:DOQ983254 DEN983233:DEU983254 CUR983233:CUY983254 CKV983233:CLC983254 CAZ983233:CBG983254 BRD983233:BRK983254 BHH983233:BHO983254 AXL983233:AXS983254 ANP983233:ANW983254 ADT983233:AEA983254 TX983233:UE983254 KB983233:KI983254 X983257:AE983278 WWN917697:WWU917718 WMR917697:WMY917718 WCV917697:WDC917718 VSZ917697:VTG917718 VJD917697:VJK917718 UZH917697:UZO917718 UPL917697:UPS917718 UFP917697:UFW917718 TVT917697:TWA917718 TLX917697:TME917718 TCB917697:TCI917718 SSF917697:SSM917718 SIJ917697:SIQ917718 RYN917697:RYU917718 ROR917697:ROY917718 REV917697:RFC917718 QUZ917697:QVG917718 QLD917697:QLK917718 QBH917697:QBO917718 PRL917697:PRS917718 PHP917697:PHW917718 OXT917697:OYA917718 ONX917697:OOE917718 OEB917697:OEI917718 NUF917697:NUM917718 NKJ917697:NKQ917718 NAN917697:NAU917718 MQR917697:MQY917718 MGV917697:MHC917718 LWZ917697:LXG917718 LND917697:LNK917718 LDH917697:LDO917718 KTL917697:KTS917718 KJP917697:KJW917718 JZT917697:KAA917718 JPX917697:JQE917718 JGB917697:JGI917718 IWF917697:IWM917718 IMJ917697:IMQ917718 ICN917697:ICU917718 HSR917697:HSY917718 HIV917697:HJC917718 GYZ917697:GZG917718 GPD917697:GPK917718 GFH917697:GFO917718 FVL917697:FVS917718 FLP917697:FLW917718 FBT917697:FCA917718 ERX917697:ESE917718 EIB917697:EII917718 DYF917697:DYM917718 DOJ917697:DOQ917718 DEN917697:DEU917718 CUR917697:CUY917718 CKV917697:CLC917718 CAZ917697:CBG917718 BRD917697:BRK917718 BHH917697:BHO917718 AXL917697:AXS917718 ANP917697:ANW917718 ADT917697:AEA917718 TX917697:UE917718 KB917697:KI917718 X917721:AE917742 WWN852161:WWU852182 WMR852161:WMY852182 WCV852161:WDC852182 VSZ852161:VTG852182 VJD852161:VJK852182 UZH852161:UZO852182 UPL852161:UPS852182 UFP852161:UFW852182 TVT852161:TWA852182 TLX852161:TME852182 TCB852161:TCI852182 SSF852161:SSM852182 SIJ852161:SIQ852182 RYN852161:RYU852182 ROR852161:ROY852182 REV852161:RFC852182 QUZ852161:QVG852182 QLD852161:QLK852182 QBH852161:QBO852182 PRL852161:PRS852182 PHP852161:PHW852182 OXT852161:OYA852182 ONX852161:OOE852182 OEB852161:OEI852182 NUF852161:NUM852182 NKJ852161:NKQ852182 NAN852161:NAU852182 MQR852161:MQY852182 MGV852161:MHC852182 LWZ852161:LXG852182 LND852161:LNK852182 LDH852161:LDO852182 KTL852161:KTS852182 KJP852161:KJW852182 JZT852161:KAA852182 JPX852161:JQE852182 JGB852161:JGI852182 IWF852161:IWM852182 IMJ852161:IMQ852182 ICN852161:ICU852182 HSR852161:HSY852182 HIV852161:HJC852182 GYZ852161:GZG852182 GPD852161:GPK852182 GFH852161:GFO852182 FVL852161:FVS852182 FLP852161:FLW852182 FBT852161:FCA852182 ERX852161:ESE852182 EIB852161:EII852182 DYF852161:DYM852182 DOJ852161:DOQ852182 DEN852161:DEU852182 CUR852161:CUY852182 CKV852161:CLC852182 CAZ852161:CBG852182 BRD852161:BRK852182 BHH852161:BHO852182 AXL852161:AXS852182 ANP852161:ANW852182 ADT852161:AEA852182 TX852161:UE852182 KB852161:KI852182 X852185:AE852206 WWN786625:WWU786646 WMR786625:WMY786646 WCV786625:WDC786646 VSZ786625:VTG786646 VJD786625:VJK786646 UZH786625:UZO786646 UPL786625:UPS786646 UFP786625:UFW786646 TVT786625:TWA786646 TLX786625:TME786646 TCB786625:TCI786646 SSF786625:SSM786646 SIJ786625:SIQ786646 RYN786625:RYU786646 ROR786625:ROY786646 REV786625:RFC786646 QUZ786625:QVG786646 QLD786625:QLK786646 QBH786625:QBO786646 PRL786625:PRS786646 PHP786625:PHW786646 OXT786625:OYA786646 ONX786625:OOE786646 OEB786625:OEI786646 NUF786625:NUM786646 NKJ786625:NKQ786646 NAN786625:NAU786646 MQR786625:MQY786646 MGV786625:MHC786646 LWZ786625:LXG786646 LND786625:LNK786646 LDH786625:LDO786646 KTL786625:KTS786646 KJP786625:KJW786646 JZT786625:KAA786646 JPX786625:JQE786646 JGB786625:JGI786646 IWF786625:IWM786646 IMJ786625:IMQ786646 ICN786625:ICU786646 HSR786625:HSY786646 HIV786625:HJC786646 GYZ786625:GZG786646 GPD786625:GPK786646 GFH786625:GFO786646 FVL786625:FVS786646 FLP786625:FLW786646 FBT786625:FCA786646 ERX786625:ESE786646 EIB786625:EII786646 DYF786625:DYM786646 DOJ786625:DOQ786646 DEN786625:DEU786646 CUR786625:CUY786646 CKV786625:CLC786646 CAZ786625:CBG786646 BRD786625:BRK786646 BHH786625:BHO786646 AXL786625:AXS786646 ANP786625:ANW786646 ADT786625:AEA786646 TX786625:UE786646 KB786625:KI786646 X786649:AE786670 WWN721089:WWU721110 WMR721089:WMY721110 WCV721089:WDC721110 VSZ721089:VTG721110 VJD721089:VJK721110 UZH721089:UZO721110 UPL721089:UPS721110 UFP721089:UFW721110 TVT721089:TWA721110 TLX721089:TME721110 TCB721089:TCI721110 SSF721089:SSM721110 SIJ721089:SIQ721110 RYN721089:RYU721110 ROR721089:ROY721110 REV721089:RFC721110 QUZ721089:QVG721110 QLD721089:QLK721110 QBH721089:QBO721110 PRL721089:PRS721110 PHP721089:PHW721110 OXT721089:OYA721110 ONX721089:OOE721110 OEB721089:OEI721110 NUF721089:NUM721110 NKJ721089:NKQ721110 NAN721089:NAU721110 MQR721089:MQY721110 MGV721089:MHC721110 LWZ721089:LXG721110 LND721089:LNK721110 LDH721089:LDO721110 KTL721089:KTS721110 KJP721089:KJW721110 JZT721089:KAA721110 JPX721089:JQE721110 JGB721089:JGI721110 IWF721089:IWM721110 IMJ721089:IMQ721110 ICN721089:ICU721110 HSR721089:HSY721110 HIV721089:HJC721110 GYZ721089:GZG721110 GPD721089:GPK721110 GFH721089:GFO721110 FVL721089:FVS721110 FLP721089:FLW721110 FBT721089:FCA721110 ERX721089:ESE721110 EIB721089:EII721110 DYF721089:DYM721110 DOJ721089:DOQ721110 DEN721089:DEU721110 CUR721089:CUY721110 CKV721089:CLC721110 CAZ721089:CBG721110 BRD721089:BRK721110 BHH721089:BHO721110 AXL721089:AXS721110 ANP721089:ANW721110 ADT721089:AEA721110 TX721089:UE721110 KB721089:KI721110 X721113:AE721134 WWN655553:WWU655574 WMR655553:WMY655574 WCV655553:WDC655574 VSZ655553:VTG655574 VJD655553:VJK655574 UZH655553:UZO655574 UPL655553:UPS655574 UFP655553:UFW655574 TVT655553:TWA655574 TLX655553:TME655574 TCB655553:TCI655574 SSF655553:SSM655574 SIJ655553:SIQ655574 RYN655553:RYU655574 ROR655553:ROY655574 REV655553:RFC655574 QUZ655553:QVG655574 QLD655553:QLK655574 QBH655553:QBO655574 PRL655553:PRS655574 PHP655553:PHW655574 OXT655553:OYA655574 ONX655553:OOE655574 OEB655553:OEI655574 NUF655553:NUM655574 NKJ655553:NKQ655574 NAN655553:NAU655574 MQR655553:MQY655574 MGV655553:MHC655574 LWZ655553:LXG655574 LND655553:LNK655574 LDH655553:LDO655574 KTL655553:KTS655574 KJP655553:KJW655574 JZT655553:KAA655574 JPX655553:JQE655574 JGB655553:JGI655574 IWF655553:IWM655574 IMJ655553:IMQ655574 ICN655553:ICU655574 HSR655553:HSY655574 HIV655553:HJC655574 GYZ655553:GZG655574 GPD655553:GPK655574 GFH655553:GFO655574 FVL655553:FVS655574 FLP655553:FLW655574 FBT655553:FCA655574 ERX655553:ESE655574 EIB655553:EII655574 DYF655553:DYM655574 DOJ655553:DOQ655574 DEN655553:DEU655574 CUR655553:CUY655574 CKV655553:CLC655574 CAZ655553:CBG655574 BRD655553:BRK655574 BHH655553:BHO655574 AXL655553:AXS655574 ANP655553:ANW655574 ADT655553:AEA655574 TX655553:UE655574 KB655553:KI655574 X655577:AE655598 WWN590017:WWU590038 WMR590017:WMY590038 WCV590017:WDC590038 VSZ590017:VTG590038 VJD590017:VJK590038 UZH590017:UZO590038 UPL590017:UPS590038 UFP590017:UFW590038 TVT590017:TWA590038 TLX590017:TME590038 TCB590017:TCI590038 SSF590017:SSM590038 SIJ590017:SIQ590038 RYN590017:RYU590038 ROR590017:ROY590038 REV590017:RFC590038 QUZ590017:QVG590038 QLD590017:QLK590038 QBH590017:QBO590038 PRL590017:PRS590038 PHP590017:PHW590038 OXT590017:OYA590038 ONX590017:OOE590038 OEB590017:OEI590038 NUF590017:NUM590038 NKJ590017:NKQ590038 NAN590017:NAU590038 MQR590017:MQY590038 MGV590017:MHC590038 LWZ590017:LXG590038 LND590017:LNK590038 LDH590017:LDO590038 KTL590017:KTS590038 KJP590017:KJW590038 JZT590017:KAA590038 JPX590017:JQE590038 JGB590017:JGI590038 IWF590017:IWM590038 IMJ590017:IMQ590038 ICN590017:ICU590038 HSR590017:HSY590038 HIV590017:HJC590038 GYZ590017:GZG590038 GPD590017:GPK590038 GFH590017:GFO590038 FVL590017:FVS590038 FLP590017:FLW590038 FBT590017:FCA590038 ERX590017:ESE590038 EIB590017:EII590038 DYF590017:DYM590038 DOJ590017:DOQ590038 DEN590017:DEU590038 CUR590017:CUY590038 CKV590017:CLC590038 CAZ590017:CBG590038 BRD590017:BRK590038 BHH590017:BHO590038 AXL590017:AXS590038 ANP590017:ANW590038 ADT590017:AEA590038 TX590017:UE590038 KB590017:KI590038 X590041:AE590062 WWN524481:WWU524502 WMR524481:WMY524502 WCV524481:WDC524502 VSZ524481:VTG524502 VJD524481:VJK524502 UZH524481:UZO524502 UPL524481:UPS524502 UFP524481:UFW524502 TVT524481:TWA524502 TLX524481:TME524502 TCB524481:TCI524502 SSF524481:SSM524502 SIJ524481:SIQ524502 RYN524481:RYU524502 ROR524481:ROY524502 REV524481:RFC524502 QUZ524481:QVG524502 QLD524481:QLK524502 QBH524481:QBO524502 PRL524481:PRS524502 PHP524481:PHW524502 OXT524481:OYA524502 ONX524481:OOE524502 OEB524481:OEI524502 NUF524481:NUM524502 NKJ524481:NKQ524502 NAN524481:NAU524502 MQR524481:MQY524502 MGV524481:MHC524502 LWZ524481:LXG524502 LND524481:LNK524502 LDH524481:LDO524502 KTL524481:KTS524502 KJP524481:KJW524502 JZT524481:KAA524502 JPX524481:JQE524502 JGB524481:JGI524502 IWF524481:IWM524502 IMJ524481:IMQ524502 ICN524481:ICU524502 HSR524481:HSY524502 HIV524481:HJC524502 GYZ524481:GZG524502 GPD524481:GPK524502 GFH524481:GFO524502 FVL524481:FVS524502 FLP524481:FLW524502 FBT524481:FCA524502 ERX524481:ESE524502 EIB524481:EII524502 DYF524481:DYM524502 DOJ524481:DOQ524502 DEN524481:DEU524502 CUR524481:CUY524502 CKV524481:CLC524502 CAZ524481:CBG524502 BRD524481:BRK524502 BHH524481:BHO524502 AXL524481:AXS524502 ANP524481:ANW524502 ADT524481:AEA524502 TX524481:UE524502 KB524481:KI524502 X524505:AE524526 WWN458945:WWU458966 WMR458945:WMY458966 WCV458945:WDC458966 VSZ458945:VTG458966 VJD458945:VJK458966 UZH458945:UZO458966 UPL458945:UPS458966 UFP458945:UFW458966 TVT458945:TWA458966 TLX458945:TME458966 TCB458945:TCI458966 SSF458945:SSM458966 SIJ458945:SIQ458966 RYN458945:RYU458966 ROR458945:ROY458966 REV458945:RFC458966 QUZ458945:QVG458966 QLD458945:QLK458966 QBH458945:QBO458966 PRL458945:PRS458966 PHP458945:PHW458966 OXT458945:OYA458966 ONX458945:OOE458966 OEB458945:OEI458966 NUF458945:NUM458966 NKJ458945:NKQ458966 NAN458945:NAU458966 MQR458945:MQY458966 MGV458945:MHC458966 LWZ458945:LXG458966 LND458945:LNK458966 LDH458945:LDO458966 KTL458945:KTS458966 KJP458945:KJW458966 JZT458945:KAA458966 JPX458945:JQE458966 JGB458945:JGI458966 IWF458945:IWM458966 IMJ458945:IMQ458966 ICN458945:ICU458966 HSR458945:HSY458966 HIV458945:HJC458966 GYZ458945:GZG458966 GPD458945:GPK458966 GFH458945:GFO458966 FVL458945:FVS458966 FLP458945:FLW458966 FBT458945:FCA458966 ERX458945:ESE458966 EIB458945:EII458966 DYF458945:DYM458966 DOJ458945:DOQ458966 DEN458945:DEU458966 CUR458945:CUY458966 CKV458945:CLC458966 CAZ458945:CBG458966 BRD458945:BRK458966 BHH458945:BHO458966 AXL458945:AXS458966 ANP458945:ANW458966 ADT458945:AEA458966 TX458945:UE458966 KB458945:KI458966 X458969:AE458990 WWN393409:WWU393430 WMR393409:WMY393430 WCV393409:WDC393430 VSZ393409:VTG393430 VJD393409:VJK393430 UZH393409:UZO393430 UPL393409:UPS393430 UFP393409:UFW393430 TVT393409:TWA393430 TLX393409:TME393430 TCB393409:TCI393430 SSF393409:SSM393430 SIJ393409:SIQ393430 RYN393409:RYU393430 ROR393409:ROY393430 REV393409:RFC393430 QUZ393409:QVG393430 QLD393409:QLK393430 QBH393409:QBO393430 PRL393409:PRS393430 PHP393409:PHW393430 OXT393409:OYA393430 ONX393409:OOE393430 OEB393409:OEI393430 NUF393409:NUM393430 NKJ393409:NKQ393430 NAN393409:NAU393430 MQR393409:MQY393430 MGV393409:MHC393430 LWZ393409:LXG393430 LND393409:LNK393430 LDH393409:LDO393430 KTL393409:KTS393430 KJP393409:KJW393430 JZT393409:KAA393430 JPX393409:JQE393430 JGB393409:JGI393430 IWF393409:IWM393430 IMJ393409:IMQ393430 ICN393409:ICU393430 HSR393409:HSY393430 HIV393409:HJC393430 GYZ393409:GZG393430 GPD393409:GPK393430 GFH393409:GFO393430 FVL393409:FVS393430 FLP393409:FLW393430 FBT393409:FCA393430 ERX393409:ESE393430 EIB393409:EII393430 DYF393409:DYM393430 DOJ393409:DOQ393430 DEN393409:DEU393430 CUR393409:CUY393430 CKV393409:CLC393430 CAZ393409:CBG393430 BRD393409:BRK393430 BHH393409:BHO393430 AXL393409:AXS393430 ANP393409:ANW393430 ADT393409:AEA393430 TX393409:UE393430 KB393409:KI393430 X393433:AE393454 WWN327873:WWU327894 WMR327873:WMY327894 WCV327873:WDC327894 VSZ327873:VTG327894 VJD327873:VJK327894 UZH327873:UZO327894 UPL327873:UPS327894 UFP327873:UFW327894 TVT327873:TWA327894 TLX327873:TME327894 TCB327873:TCI327894 SSF327873:SSM327894 SIJ327873:SIQ327894 RYN327873:RYU327894 ROR327873:ROY327894 REV327873:RFC327894 QUZ327873:QVG327894 QLD327873:QLK327894 QBH327873:QBO327894 PRL327873:PRS327894 PHP327873:PHW327894 OXT327873:OYA327894 ONX327873:OOE327894 OEB327873:OEI327894 NUF327873:NUM327894 NKJ327873:NKQ327894 NAN327873:NAU327894 MQR327873:MQY327894 MGV327873:MHC327894 LWZ327873:LXG327894 LND327873:LNK327894 LDH327873:LDO327894 KTL327873:KTS327894 KJP327873:KJW327894 JZT327873:KAA327894 JPX327873:JQE327894 JGB327873:JGI327894 IWF327873:IWM327894 IMJ327873:IMQ327894 ICN327873:ICU327894 HSR327873:HSY327894 HIV327873:HJC327894 GYZ327873:GZG327894 GPD327873:GPK327894 GFH327873:GFO327894 FVL327873:FVS327894 FLP327873:FLW327894 FBT327873:FCA327894 ERX327873:ESE327894 EIB327873:EII327894 DYF327873:DYM327894 DOJ327873:DOQ327894 DEN327873:DEU327894 CUR327873:CUY327894 CKV327873:CLC327894 CAZ327873:CBG327894 BRD327873:BRK327894 BHH327873:BHO327894 AXL327873:AXS327894 ANP327873:ANW327894 ADT327873:AEA327894 TX327873:UE327894 KB327873:KI327894 X327897:AE327918 WWN262337:WWU262358 WMR262337:WMY262358 WCV262337:WDC262358 VSZ262337:VTG262358 VJD262337:VJK262358 UZH262337:UZO262358 UPL262337:UPS262358 UFP262337:UFW262358 TVT262337:TWA262358 TLX262337:TME262358 TCB262337:TCI262358 SSF262337:SSM262358 SIJ262337:SIQ262358 RYN262337:RYU262358 ROR262337:ROY262358 REV262337:RFC262358 QUZ262337:QVG262358 QLD262337:QLK262358 QBH262337:QBO262358 PRL262337:PRS262358 PHP262337:PHW262358 OXT262337:OYA262358 ONX262337:OOE262358 OEB262337:OEI262358 NUF262337:NUM262358 NKJ262337:NKQ262358 NAN262337:NAU262358 MQR262337:MQY262358 MGV262337:MHC262358 LWZ262337:LXG262358 LND262337:LNK262358 LDH262337:LDO262358 KTL262337:KTS262358 KJP262337:KJW262358 JZT262337:KAA262358 JPX262337:JQE262358 JGB262337:JGI262358 IWF262337:IWM262358 IMJ262337:IMQ262358 ICN262337:ICU262358 HSR262337:HSY262358 HIV262337:HJC262358 GYZ262337:GZG262358 GPD262337:GPK262358 GFH262337:GFO262358 FVL262337:FVS262358 FLP262337:FLW262358 FBT262337:FCA262358 ERX262337:ESE262358 EIB262337:EII262358 DYF262337:DYM262358 DOJ262337:DOQ262358 DEN262337:DEU262358 CUR262337:CUY262358 CKV262337:CLC262358 CAZ262337:CBG262358 BRD262337:BRK262358 BHH262337:BHO262358 AXL262337:AXS262358 ANP262337:ANW262358 ADT262337:AEA262358 TX262337:UE262358 KB262337:KI262358 X262361:AE262382 WWN196801:WWU196822 WMR196801:WMY196822 WCV196801:WDC196822 VSZ196801:VTG196822 VJD196801:VJK196822 UZH196801:UZO196822 UPL196801:UPS196822 UFP196801:UFW196822 TVT196801:TWA196822 TLX196801:TME196822 TCB196801:TCI196822 SSF196801:SSM196822 SIJ196801:SIQ196822 RYN196801:RYU196822 ROR196801:ROY196822 REV196801:RFC196822 QUZ196801:QVG196822 QLD196801:QLK196822 QBH196801:QBO196822 PRL196801:PRS196822 PHP196801:PHW196822 OXT196801:OYA196822 ONX196801:OOE196822 OEB196801:OEI196822 NUF196801:NUM196822 NKJ196801:NKQ196822 NAN196801:NAU196822 MQR196801:MQY196822 MGV196801:MHC196822 LWZ196801:LXG196822 LND196801:LNK196822 LDH196801:LDO196822 KTL196801:KTS196822 KJP196801:KJW196822 JZT196801:KAA196822 JPX196801:JQE196822 JGB196801:JGI196822 IWF196801:IWM196822 IMJ196801:IMQ196822 ICN196801:ICU196822 HSR196801:HSY196822 HIV196801:HJC196822 GYZ196801:GZG196822 GPD196801:GPK196822 GFH196801:GFO196822 FVL196801:FVS196822 FLP196801:FLW196822 FBT196801:FCA196822 ERX196801:ESE196822 EIB196801:EII196822 DYF196801:DYM196822 DOJ196801:DOQ196822 DEN196801:DEU196822 CUR196801:CUY196822 CKV196801:CLC196822 CAZ196801:CBG196822 BRD196801:BRK196822 BHH196801:BHO196822 AXL196801:AXS196822 ANP196801:ANW196822 ADT196801:AEA196822 TX196801:UE196822 KB196801:KI196822 X196825:AE196846 WWN131265:WWU131286 WMR131265:WMY131286 WCV131265:WDC131286 VSZ131265:VTG131286 VJD131265:VJK131286 UZH131265:UZO131286 UPL131265:UPS131286 UFP131265:UFW131286 TVT131265:TWA131286 TLX131265:TME131286 TCB131265:TCI131286 SSF131265:SSM131286 SIJ131265:SIQ131286 RYN131265:RYU131286 ROR131265:ROY131286 REV131265:RFC131286 QUZ131265:QVG131286 QLD131265:QLK131286 QBH131265:QBO131286 PRL131265:PRS131286 PHP131265:PHW131286 OXT131265:OYA131286 ONX131265:OOE131286 OEB131265:OEI131286 NUF131265:NUM131286 NKJ131265:NKQ131286 NAN131265:NAU131286 MQR131265:MQY131286 MGV131265:MHC131286 LWZ131265:LXG131286 LND131265:LNK131286 LDH131265:LDO131286 KTL131265:KTS131286 KJP131265:KJW131286 JZT131265:KAA131286 JPX131265:JQE131286 JGB131265:JGI131286 IWF131265:IWM131286 IMJ131265:IMQ131286 ICN131265:ICU131286 HSR131265:HSY131286 HIV131265:HJC131286 GYZ131265:GZG131286 GPD131265:GPK131286 GFH131265:GFO131286 FVL131265:FVS131286 FLP131265:FLW131286 FBT131265:FCA131286 ERX131265:ESE131286 EIB131265:EII131286 DYF131265:DYM131286 DOJ131265:DOQ131286 DEN131265:DEU131286 CUR131265:CUY131286 CKV131265:CLC131286 CAZ131265:CBG131286 BRD131265:BRK131286 BHH131265:BHO131286 AXL131265:AXS131286 ANP131265:ANW131286 ADT131265:AEA131286 TX131265:UE131286 KB131265:KI131286 X131289:AE131310 WWN65729:WWU65750 WMR65729:WMY65750 WCV65729:WDC65750 VSZ65729:VTG65750 VJD65729:VJK65750 UZH65729:UZO65750 UPL65729:UPS65750 UFP65729:UFW65750 TVT65729:TWA65750 TLX65729:TME65750 TCB65729:TCI65750 SSF65729:SSM65750 SIJ65729:SIQ65750 RYN65729:RYU65750 ROR65729:ROY65750 REV65729:RFC65750 QUZ65729:QVG65750 QLD65729:QLK65750 QBH65729:QBO65750 PRL65729:PRS65750 PHP65729:PHW65750 OXT65729:OYA65750 ONX65729:OOE65750 OEB65729:OEI65750 NUF65729:NUM65750 NKJ65729:NKQ65750 NAN65729:NAU65750 MQR65729:MQY65750 MGV65729:MHC65750 LWZ65729:LXG65750 LND65729:LNK65750 LDH65729:LDO65750 KTL65729:KTS65750 KJP65729:KJW65750 JZT65729:KAA65750 JPX65729:JQE65750 JGB65729:JGI65750 IWF65729:IWM65750 IMJ65729:IMQ65750 ICN65729:ICU65750 HSR65729:HSY65750 HIV65729:HJC65750 GYZ65729:GZG65750 GPD65729:GPK65750 GFH65729:GFO65750 FVL65729:FVS65750 FLP65729:FLW65750 FBT65729:FCA65750 ERX65729:ESE65750 EIB65729:EII65750 DYF65729:DYM65750 DOJ65729:DOQ65750 DEN65729:DEU65750 CUR65729:CUY65750 CKV65729:CLC65750 CAZ65729:CBG65750 BRD65729:BRK65750 BHH65729:BHO65750 AXL65729:AXS65750 ANP65729:ANW65750 ADT65729:AEA65750 TX65729:UE65750 KB65729:KI65750 X65753:AE65774" xr:uid="{5BAE8EB8-437D-4DAC-BF06-6267FDCA4C2B}">
      <formula1>#REF!</formula1>
    </dataValidation>
  </dataValidations>
  <pageMargins left="0.7" right="0.7" top="0.75" bottom="0.75" header="0.3" footer="0.3"/>
  <pageSetup paperSize="9" scale="37" fitToHeight="0" orientation="portrait" r:id="rId1"/>
  <rowBreaks count="2" manualBreakCount="2">
    <brk id="240" max="85" man="1"/>
    <brk id="285" max="8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7" t="s">
        <v>4</v>
      </c>
      <c r="B1" s="757"/>
      <c r="C1" s="757"/>
      <c r="D1" s="757"/>
      <c r="E1" s="757"/>
      <c r="F1" s="757"/>
      <c r="G1" s="757"/>
      <c r="H1" s="757"/>
      <c r="I1" s="740" t="s">
        <v>5</v>
      </c>
      <c r="J1" s="740"/>
      <c r="K1" s="740"/>
      <c r="L1" s="740"/>
      <c r="M1" s="755" t="str">
        <f>変更来歴!M1</f>
        <v>ヒロセ電機株式会社</v>
      </c>
      <c r="N1" s="755"/>
      <c r="O1" s="755"/>
      <c r="P1" s="755"/>
      <c r="Q1" s="755"/>
      <c r="R1" s="755"/>
      <c r="S1" s="755"/>
      <c r="T1" s="755"/>
      <c r="U1" s="755"/>
      <c r="V1" s="755"/>
      <c r="W1" s="755"/>
      <c r="X1" s="740" t="s">
        <v>7</v>
      </c>
      <c r="Y1" s="740"/>
      <c r="Z1" s="740"/>
      <c r="AA1" s="759" t="str">
        <f>変更来歴!AA1</f>
        <v>化学物質データ申請</v>
      </c>
      <c r="AB1" s="759"/>
      <c r="AC1" s="759"/>
      <c r="AD1" s="759"/>
      <c r="AE1" s="759"/>
      <c r="AF1" s="759"/>
      <c r="AG1" s="759"/>
      <c r="AH1" s="759"/>
      <c r="AI1" s="759"/>
      <c r="AJ1" s="759"/>
      <c r="AK1" s="744" t="s">
        <v>8</v>
      </c>
      <c r="AL1" s="744"/>
      <c r="AM1" s="744"/>
      <c r="AN1" s="745" t="str">
        <f>変更来歴!AP7</f>
        <v>古竹</v>
      </c>
      <c r="AO1" s="745"/>
      <c r="AP1" s="745"/>
      <c r="AQ1" s="745"/>
      <c r="AR1" s="745"/>
      <c r="AS1" s="744" t="s">
        <v>9</v>
      </c>
      <c r="AT1" s="744"/>
      <c r="AU1" s="744"/>
      <c r="AV1" s="747">
        <f>変更来歴!AL7</f>
        <v>46125</v>
      </c>
      <c r="AW1" s="760"/>
      <c r="AX1" s="760"/>
      <c r="AY1" s="760"/>
      <c r="AZ1" s="736" t="s">
        <v>10</v>
      </c>
      <c r="BA1" s="737"/>
      <c r="BB1" s="737"/>
      <c r="BC1" s="738"/>
    </row>
    <row r="2" spans="1:59">
      <c r="A2" s="739" t="s">
        <v>16</v>
      </c>
      <c r="B2" s="739"/>
      <c r="C2" s="739"/>
      <c r="D2" s="739"/>
      <c r="E2" s="739"/>
      <c r="F2" s="739"/>
      <c r="G2" s="739"/>
      <c r="H2" s="739"/>
      <c r="I2" s="740" t="s">
        <v>11</v>
      </c>
      <c r="J2" s="740"/>
      <c r="K2" s="740"/>
      <c r="L2" s="740"/>
      <c r="M2" s="789" t="str">
        <f>変更来歴!M2</f>
        <v>　</v>
      </c>
      <c r="N2" s="789"/>
      <c r="O2" s="789"/>
      <c r="P2" s="789"/>
      <c r="Q2" s="789"/>
      <c r="R2" s="789"/>
      <c r="S2" s="789"/>
      <c r="T2" s="789"/>
      <c r="U2" s="789"/>
      <c r="V2" s="789"/>
      <c r="W2" s="789"/>
      <c r="X2" s="740"/>
      <c r="Y2" s="740"/>
      <c r="Z2" s="740"/>
      <c r="AA2" s="759"/>
      <c r="AB2" s="759"/>
      <c r="AC2" s="759"/>
      <c r="AD2" s="759"/>
      <c r="AE2" s="759"/>
      <c r="AF2" s="759"/>
      <c r="AG2" s="759"/>
      <c r="AH2" s="759"/>
      <c r="AI2" s="759"/>
      <c r="AJ2" s="759"/>
      <c r="AK2" s="744" t="s">
        <v>12</v>
      </c>
      <c r="AL2" s="744"/>
      <c r="AM2" s="744"/>
      <c r="AN2" s="745" t="str">
        <f ca="1">INDIRECT("変更来歴!AP" &amp; COUNTA(変更来歴!AP7:'変更来歴'!AP39) + 6)</f>
        <v>古竹</v>
      </c>
      <c r="AO2" s="745"/>
      <c r="AP2" s="745"/>
      <c r="AQ2" s="745"/>
      <c r="AR2" s="745"/>
      <c r="AS2" s="744" t="s">
        <v>13</v>
      </c>
      <c r="AT2" s="744"/>
      <c r="AU2" s="744"/>
      <c r="AV2" s="747">
        <f ca="1">INDIRECT("変更来歴!AL" &amp; COUNTA(変更来歴!AL7:'変更来歴'!AL39) + 6)</f>
        <v>46162</v>
      </c>
      <c r="AW2" s="760"/>
      <c r="AX2" s="760"/>
      <c r="AY2" s="760"/>
      <c r="AZ2" s="748" t="str">
        <f>変更来歴!AX2</f>
        <v>IMWF-53</v>
      </c>
      <c r="BA2" s="749"/>
      <c r="BB2" s="749"/>
      <c r="BC2" s="750"/>
    </row>
    <row r="3" spans="1:59" ht="12" customHeight="1">
      <c r="A3" s="754" t="str">
        <f>変更来歴!A3</f>
        <v>画面設計書</v>
      </c>
      <c r="B3" s="754"/>
      <c r="C3" s="754"/>
      <c r="D3" s="754"/>
      <c r="E3" s="754"/>
      <c r="F3" s="754"/>
      <c r="G3" s="754"/>
      <c r="H3" s="754"/>
      <c r="I3" s="740" t="s">
        <v>14</v>
      </c>
      <c r="J3" s="740"/>
      <c r="K3" s="740"/>
      <c r="L3" s="740"/>
      <c r="M3" s="755" t="str">
        <f ca="1">RIGHT(CELL("filename",A1),LEN(CELL("filename",A1))-FIND("]",CELL("filename",A1)))</f>
        <v>選択画面</v>
      </c>
      <c r="N3" s="755"/>
      <c r="O3" s="755"/>
      <c r="P3" s="755"/>
      <c r="Q3" s="755"/>
      <c r="R3" s="755"/>
      <c r="S3" s="755"/>
      <c r="T3" s="755"/>
      <c r="U3" s="755"/>
      <c r="V3" s="755"/>
      <c r="W3" s="755"/>
      <c r="X3" s="740" t="s">
        <v>27</v>
      </c>
      <c r="Y3" s="740"/>
      <c r="Z3" s="740"/>
      <c r="AA3" s="756" t="str">
        <f ca="1">MID(CELL("filename"),FIND("]",CELL("filename"))+1,LEN(CELL("filename"))) &amp; "画面"</f>
        <v>画面項目画面</v>
      </c>
      <c r="AB3" s="756"/>
      <c r="AC3" s="756"/>
      <c r="AD3" s="756"/>
      <c r="AE3" s="756"/>
      <c r="AF3" s="756"/>
      <c r="AG3" s="756"/>
      <c r="AH3" s="756"/>
      <c r="AI3" s="756"/>
      <c r="AJ3" s="756"/>
      <c r="AK3" s="756"/>
      <c r="AL3" s="756"/>
      <c r="AM3" s="756"/>
      <c r="AN3" s="756"/>
      <c r="AO3" s="756"/>
      <c r="AP3" s="756"/>
      <c r="AQ3" s="756"/>
      <c r="AR3" s="756"/>
      <c r="AS3" s="744" t="s">
        <v>15</v>
      </c>
      <c r="AT3" s="744"/>
      <c r="AU3" s="744"/>
      <c r="AV3" s="760" t="str">
        <f ca="1">INDIRECT("変更来歴!A" &amp; COUNTA(変更来歴!A7:'変更来歴'!A39) + 6)</f>
        <v>r1.2</v>
      </c>
      <c r="AW3" s="760"/>
      <c r="AX3" s="760"/>
      <c r="AY3" s="760"/>
      <c r="AZ3" s="751"/>
      <c r="BA3" s="752"/>
      <c r="BB3" s="752"/>
      <c r="BC3" s="753"/>
    </row>
    <row r="4" spans="1:59" ht="5.9" customHeight="1"/>
    <row r="5" spans="1:59" ht="13.5" customHeight="1">
      <c r="A5" s="793" t="str">
        <f ca="1">"画面レイアウト"&amp;"("&amp;MID(CELL("filename"),FIND("]",CELL("filename"))+1,LEN(CELL("filename")))&amp;")"</f>
        <v>画面レイアウト(画面項目)</v>
      </c>
      <c r="B5" s="794"/>
      <c r="C5" s="794"/>
      <c r="D5" s="794"/>
      <c r="E5" s="794"/>
      <c r="F5" s="794"/>
      <c r="G5" s="794"/>
      <c r="H5" s="794"/>
      <c r="I5" s="794"/>
      <c r="J5" s="794"/>
      <c r="K5" s="794"/>
      <c r="L5" s="794"/>
      <c r="M5" s="794"/>
      <c r="N5" s="794"/>
      <c r="O5" s="794"/>
      <c r="P5" s="794"/>
      <c r="Q5" s="794"/>
      <c r="R5" s="794"/>
      <c r="S5" s="794"/>
      <c r="T5" s="794"/>
      <c r="U5" s="794"/>
      <c r="V5" s="794"/>
      <c r="W5" s="794"/>
      <c r="X5" s="794"/>
      <c r="Y5" s="794"/>
      <c r="Z5" s="794"/>
      <c r="AA5" s="794"/>
      <c r="AB5" s="794"/>
      <c r="AC5" s="794"/>
      <c r="AD5" s="794"/>
      <c r="AE5" s="794"/>
      <c r="AF5" s="794"/>
      <c r="AG5" s="794"/>
      <c r="AH5" s="794"/>
      <c r="AI5" s="794"/>
      <c r="AJ5" s="794"/>
      <c r="AK5" s="794"/>
      <c r="AL5" s="794"/>
      <c r="AM5" s="794"/>
      <c r="AN5" s="794"/>
      <c r="AO5" s="794"/>
      <c r="AP5" s="794"/>
      <c r="AQ5" s="794"/>
      <c r="AR5" s="794"/>
      <c r="AS5" s="794"/>
      <c r="AT5" s="794"/>
      <c r="AU5" s="794"/>
      <c r="AV5" s="794"/>
      <c r="AW5" s="794"/>
      <c r="AX5" s="794"/>
      <c r="AY5" s="794"/>
      <c r="AZ5" s="794"/>
      <c r="BA5" s="795"/>
      <c r="BB5" s="790" t="s">
        <v>24</v>
      </c>
      <c r="BC5" s="791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46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165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15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36</v>
      </c>
      <c r="E12" s="28" t="s">
        <v>166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167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35</v>
      </c>
      <c r="E16" s="28" t="s">
        <v>132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35</v>
      </c>
      <c r="E18" s="31" t="s">
        <v>168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169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35</v>
      </c>
      <c r="E22" s="28" t="s">
        <v>133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35</v>
      </c>
      <c r="E24" s="28" t="s">
        <v>134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5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15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5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951"/>
      <c r="K38" s="951"/>
      <c r="L38" s="951"/>
      <c r="M38" s="951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951"/>
      <c r="K39" s="951"/>
      <c r="L39" s="951"/>
      <c r="M39" s="951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6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7" t="s">
        <v>4</v>
      </c>
      <c r="B1" s="757"/>
      <c r="C1" s="757"/>
      <c r="D1" s="757"/>
      <c r="E1" s="757"/>
      <c r="F1" s="757"/>
      <c r="G1" s="757"/>
      <c r="H1" s="757"/>
      <c r="I1" s="740" t="s">
        <v>5</v>
      </c>
      <c r="J1" s="740"/>
      <c r="K1" s="740"/>
      <c r="L1" s="740"/>
      <c r="M1" s="755" t="str">
        <f>変更来歴!M1</f>
        <v>ヒロセ電機株式会社</v>
      </c>
      <c r="N1" s="755"/>
      <c r="O1" s="755"/>
      <c r="P1" s="755"/>
      <c r="Q1" s="755"/>
      <c r="R1" s="755"/>
      <c r="S1" s="755"/>
      <c r="T1" s="755"/>
      <c r="U1" s="755"/>
      <c r="V1" s="755"/>
      <c r="W1" s="755"/>
      <c r="X1" s="740" t="s">
        <v>7</v>
      </c>
      <c r="Y1" s="740"/>
      <c r="Z1" s="740"/>
      <c r="AA1" s="759" t="str">
        <f>変更来歴!AA1</f>
        <v>化学物質データ申請</v>
      </c>
      <c r="AB1" s="759"/>
      <c r="AC1" s="759"/>
      <c r="AD1" s="759"/>
      <c r="AE1" s="759"/>
      <c r="AF1" s="759"/>
      <c r="AG1" s="759"/>
      <c r="AH1" s="759"/>
      <c r="AI1" s="759"/>
      <c r="AJ1" s="759"/>
      <c r="AK1" s="744" t="s">
        <v>8</v>
      </c>
      <c r="AL1" s="744"/>
      <c r="AM1" s="744"/>
      <c r="AN1" s="745" t="str">
        <f>変更来歴!AP7</f>
        <v>古竹</v>
      </c>
      <c r="AO1" s="745"/>
      <c r="AP1" s="745"/>
      <c r="AQ1" s="745"/>
      <c r="AR1" s="745"/>
      <c r="AS1" s="744" t="s">
        <v>9</v>
      </c>
      <c r="AT1" s="744"/>
      <c r="AU1" s="744"/>
      <c r="AV1" s="747">
        <f>変更来歴!AL7</f>
        <v>46125</v>
      </c>
      <c r="AW1" s="760"/>
      <c r="AX1" s="760"/>
      <c r="AY1" s="760"/>
      <c r="AZ1" s="736" t="s">
        <v>10</v>
      </c>
      <c r="BA1" s="737"/>
      <c r="BB1" s="737"/>
      <c r="BC1" s="738"/>
    </row>
    <row r="2" spans="1:59">
      <c r="A2" s="739" t="s">
        <v>16</v>
      </c>
      <c r="B2" s="739"/>
      <c r="C2" s="739"/>
      <c r="D2" s="739"/>
      <c r="E2" s="739"/>
      <c r="F2" s="739"/>
      <c r="G2" s="739"/>
      <c r="H2" s="739"/>
      <c r="I2" s="740" t="s">
        <v>11</v>
      </c>
      <c r="J2" s="740"/>
      <c r="K2" s="740"/>
      <c r="L2" s="740"/>
      <c r="M2" s="789" t="str">
        <f>変更来歴!M2</f>
        <v>　</v>
      </c>
      <c r="N2" s="789"/>
      <c r="O2" s="789"/>
      <c r="P2" s="789"/>
      <c r="Q2" s="789"/>
      <c r="R2" s="789"/>
      <c r="S2" s="789"/>
      <c r="T2" s="789"/>
      <c r="U2" s="789"/>
      <c r="V2" s="789"/>
      <c r="W2" s="789"/>
      <c r="X2" s="740"/>
      <c r="Y2" s="740"/>
      <c r="Z2" s="740"/>
      <c r="AA2" s="759"/>
      <c r="AB2" s="759"/>
      <c r="AC2" s="759"/>
      <c r="AD2" s="759"/>
      <c r="AE2" s="759"/>
      <c r="AF2" s="759"/>
      <c r="AG2" s="759"/>
      <c r="AH2" s="759"/>
      <c r="AI2" s="759"/>
      <c r="AJ2" s="759"/>
      <c r="AK2" s="744" t="s">
        <v>12</v>
      </c>
      <c r="AL2" s="744"/>
      <c r="AM2" s="744"/>
      <c r="AN2" s="745" t="str">
        <f ca="1">INDIRECT("変更来歴!AP" &amp; COUNTA(変更来歴!AP7:'変更来歴'!AP39) + 6)</f>
        <v>古竹</v>
      </c>
      <c r="AO2" s="745"/>
      <c r="AP2" s="745"/>
      <c r="AQ2" s="745"/>
      <c r="AR2" s="745"/>
      <c r="AS2" s="744" t="s">
        <v>13</v>
      </c>
      <c r="AT2" s="744"/>
      <c r="AU2" s="744"/>
      <c r="AV2" s="747">
        <f ca="1">INDIRECT("変更来歴!AL" &amp; COUNTA(変更来歴!AL7:'変更来歴'!AL39) + 6)</f>
        <v>46162</v>
      </c>
      <c r="AW2" s="760"/>
      <c r="AX2" s="760"/>
      <c r="AY2" s="760"/>
      <c r="AZ2" s="748" t="str">
        <f>変更来歴!AX2</f>
        <v>IMWF-53</v>
      </c>
      <c r="BA2" s="749"/>
      <c r="BB2" s="749"/>
      <c r="BC2" s="750"/>
    </row>
    <row r="3" spans="1:59" ht="12" customHeight="1">
      <c r="A3" s="754" t="str">
        <f>変更来歴!A3</f>
        <v>画面設計書</v>
      </c>
      <c r="B3" s="754"/>
      <c r="C3" s="754"/>
      <c r="D3" s="754"/>
      <c r="E3" s="754"/>
      <c r="F3" s="754"/>
      <c r="G3" s="754"/>
      <c r="H3" s="754"/>
      <c r="I3" s="740" t="s">
        <v>14</v>
      </c>
      <c r="J3" s="740"/>
      <c r="K3" s="740"/>
      <c r="L3" s="740"/>
      <c r="M3" s="755" t="str">
        <f ca="1">RIGHT(CELL("filename",A1),LEN(CELL("filename",A1))-FIND("]",CELL("filename",A1)))</f>
        <v>円(PPM)</v>
      </c>
      <c r="N3" s="755"/>
      <c r="O3" s="755"/>
      <c r="P3" s="755"/>
      <c r="Q3" s="755"/>
      <c r="R3" s="755"/>
      <c r="S3" s="755"/>
      <c r="T3" s="755"/>
      <c r="U3" s="755"/>
      <c r="V3" s="755"/>
      <c r="W3" s="755"/>
      <c r="X3" s="740" t="s">
        <v>27</v>
      </c>
      <c r="Y3" s="740"/>
      <c r="Z3" s="740"/>
      <c r="AA3" s="756" t="str">
        <f ca="1">MID(CELL("filename"),FIND("]",CELL("filename"))+1,LEN(CELL("filename"))) &amp; "画面"</f>
        <v>画面項目画面</v>
      </c>
      <c r="AB3" s="756"/>
      <c r="AC3" s="756"/>
      <c r="AD3" s="756"/>
      <c r="AE3" s="756"/>
      <c r="AF3" s="756"/>
      <c r="AG3" s="756"/>
      <c r="AH3" s="756"/>
      <c r="AI3" s="756"/>
      <c r="AJ3" s="756"/>
      <c r="AK3" s="756"/>
      <c r="AL3" s="756"/>
      <c r="AM3" s="756"/>
      <c r="AN3" s="756"/>
      <c r="AO3" s="756"/>
      <c r="AP3" s="756"/>
      <c r="AQ3" s="756"/>
      <c r="AR3" s="756"/>
      <c r="AS3" s="744" t="s">
        <v>15</v>
      </c>
      <c r="AT3" s="744"/>
      <c r="AU3" s="744"/>
      <c r="AV3" s="760" t="str">
        <f ca="1">INDIRECT("変更来歴!A" &amp; COUNTA(変更来歴!A7:'変更来歴'!A39) + 6)</f>
        <v>r1.2</v>
      </c>
      <c r="AW3" s="760"/>
      <c r="AX3" s="760"/>
      <c r="AY3" s="760"/>
      <c r="AZ3" s="751"/>
      <c r="BA3" s="752"/>
      <c r="BB3" s="752"/>
      <c r="BC3" s="753"/>
    </row>
    <row r="4" spans="1:59" ht="5.9" customHeight="1"/>
    <row r="5" spans="1:59" ht="13.5" customHeight="1">
      <c r="A5" s="793" t="str">
        <f ca="1">"画面レイアウト"&amp;"("&amp;MID(CELL("filename"),FIND("]",CELL("filename"))+1,LEN(CELL("filename")))&amp;")"</f>
        <v>画面レイアウト(画面項目)</v>
      </c>
      <c r="B5" s="794"/>
      <c r="C5" s="794"/>
      <c r="D5" s="794"/>
      <c r="E5" s="794"/>
      <c r="F5" s="794"/>
      <c r="G5" s="794"/>
      <c r="H5" s="794"/>
      <c r="I5" s="794"/>
      <c r="J5" s="794"/>
      <c r="K5" s="794"/>
      <c r="L5" s="794"/>
      <c r="M5" s="794"/>
      <c r="N5" s="794"/>
      <c r="O5" s="794"/>
      <c r="P5" s="794"/>
      <c r="Q5" s="794"/>
      <c r="R5" s="794"/>
      <c r="S5" s="794"/>
      <c r="T5" s="794"/>
      <c r="U5" s="794"/>
      <c r="V5" s="794"/>
      <c r="W5" s="794"/>
      <c r="X5" s="794"/>
      <c r="Y5" s="794"/>
      <c r="Z5" s="794"/>
      <c r="AA5" s="794"/>
      <c r="AB5" s="794"/>
      <c r="AC5" s="794"/>
      <c r="AD5" s="794"/>
      <c r="AE5" s="794"/>
      <c r="AF5" s="794"/>
      <c r="AG5" s="794"/>
      <c r="AH5" s="794"/>
      <c r="AI5" s="794"/>
      <c r="AJ5" s="794"/>
      <c r="AK5" s="794"/>
      <c r="AL5" s="794"/>
      <c r="AM5" s="794"/>
      <c r="AN5" s="794"/>
      <c r="AO5" s="794"/>
      <c r="AP5" s="794"/>
      <c r="AQ5" s="794"/>
      <c r="AR5" s="794"/>
      <c r="AS5" s="794"/>
      <c r="AT5" s="794"/>
      <c r="AU5" s="794"/>
      <c r="AV5" s="794"/>
      <c r="AW5" s="794"/>
      <c r="AX5" s="794"/>
      <c r="AY5" s="794"/>
      <c r="AZ5" s="794"/>
      <c r="BA5" s="795"/>
      <c r="BB5" s="790" t="s">
        <v>24</v>
      </c>
      <c r="BC5" s="791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285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288</v>
      </c>
      <c r="E40" s="28"/>
      <c r="F40" s="28"/>
      <c r="G40" s="28"/>
      <c r="H40" s="86" t="s">
        <v>139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32</v>
      </c>
      <c r="D41" s="205" t="s">
        <v>64</v>
      </c>
      <c r="E41" s="206"/>
      <c r="F41" s="206"/>
      <c r="G41" s="207"/>
      <c r="H41" s="208" t="s">
        <v>73</v>
      </c>
      <c r="I41" s="209"/>
      <c r="J41" s="209"/>
      <c r="K41" s="209"/>
      <c r="L41" s="206"/>
      <c r="M41" s="207"/>
      <c r="N41" s="205" t="s">
        <v>74</v>
      </c>
      <c r="O41" s="206"/>
      <c r="P41" s="206"/>
      <c r="Q41" s="207"/>
      <c r="R41" s="205" t="s">
        <v>75</v>
      </c>
      <c r="S41" s="206"/>
      <c r="T41" s="206"/>
      <c r="U41" s="206"/>
      <c r="V41" s="210" t="s">
        <v>87</v>
      </c>
      <c r="W41" s="211"/>
      <c r="X41" s="211"/>
      <c r="Y41" s="212"/>
      <c r="Z41" s="211" t="s">
        <v>89</v>
      </c>
      <c r="AA41" s="211"/>
      <c r="AB41" s="211"/>
      <c r="AC41" s="212"/>
      <c r="AD41" s="211" t="s">
        <v>76</v>
      </c>
      <c r="AE41" s="211"/>
      <c r="AF41" s="211"/>
      <c r="AG41" s="212"/>
      <c r="AH41" s="210" t="s">
        <v>77</v>
      </c>
      <c r="AI41" s="211"/>
      <c r="AJ41" s="211"/>
      <c r="AK41" s="211"/>
      <c r="AL41" s="212"/>
      <c r="AM41" s="210" t="s">
        <v>83</v>
      </c>
      <c r="AN41" s="211"/>
      <c r="AO41" s="211"/>
      <c r="AP41" s="212"/>
      <c r="AQ41" s="211" t="s">
        <v>85</v>
      </c>
      <c r="AR41" s="211"/>
      <c r="AS41" s="212"/>
      <c r="AT41" s="305" t="s">
        <v>86</v>
      </c>
      <c r="AU41" s="211"/>
      <c r="AV41" s="211"/>
      <c r="AW41" s="212"/>
      <c r="AX41" s="211" t="s">
        <v>69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30</v>
      </c>
      <c r="E42" s="216"/>
      <c r="F42" s="214"/>
      <c r="G42" s="215"/>
      <c r="H42" s="213" t="s">
        <v>30</v>
      </c>
      <c r="I42" s="216"/>
      <c r="J42" s="216"/>
      <c r="K42" s="216"/>
      <c r="L42" s="214"/>
      <c r="M42" s="215"/>
      <c r="N42" s="213" t="s">
        <v>30</v>
      </c>
      <c r="O42" s="214"/>
      <c r="P42" s="214"/>
      <c r="Q42" s="215"/>
      <c r="R42" s="213" t="s">
        <v>30</v>
      </c>
      <c r="S42" s="216"/>
      <c r="T42" s="214"/>
      <c r="U42" s="214"/>
      <c r="V42" s="217" t="s">
        <v>88</v>
      </c>
      <c r="W42" s="218"/>
      <c r="X42" s="219"/>
      <c r="Y42" s="220"/>
      <c r="Z42" s="218" t="s">
        <v>43</v>
      </c>
      <c r="AA42" s="218"/>
      <c r="AB42" s="219"/>
      <c r="AC42" s="220"/>
      <c r="AD42" s="218" t="s">
        <v>43</v>
      </c>
      <c r="AE42" s="218"/>
      <c r="AF42" s="219"/>
      <c r="AG42" s="220"/>
      <c r="AH42" s="217" t="s">
        <v>30</v>
      </c>
      <c r="AI42" s="218"/>
      <c r="AJ42" s="218"/>
      <c r="AK42" s="219"/>
      <c r="AL42" s="220"/>
      <c r="AM42" s="217" t="s">
        <v>43</v>
      </c>
      <c r="AN42" s="218"/>
      <c r="AO42" s="219"/>
      <c r="AP42" s="220"/>
      <c r="AQ42" s="218" t="s">
        <v>43</v>
      </c>
      <c r="AR42" s="218"/>
      <c r="AS42" s="220"/>
      <c r="AT42" s="307" t="s">
        <v>43</v>
      </c>
      <c r="AU42" s="218"/>
      <c r="AV42" s="219"/>
      <c r="AW42" s="220"/>
      <c r="AX42" s="218" t="s">
        <v>43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90</v>
      </c>
      <c r="E43" s="149"/>
      <c r="F43" s="149"/>
      <c r="G43" s="151"/>
      <c r="H43" s="242" t="s">
        <v>91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981">
        <v>5000</v>
      </c>
      <c r="S43" s="982"/>
      <c r="T43" s="982"/>
      <c r="U43" s="983"/>
      <c r="V43" s="970">
        <v>122.5</v>
      </c>
      <c r="W43" s="979"/>
      <c r="X43" s="979"/>
      <c r="Y43" s="980"/>
      <c r="Z43" s="970">
        <v>125</v>
      </c>
      <c r="AA43" s="979"/>
      <c r="AB43" s="979"/>
      <c r="AC43" s="980"/>
      <c r="AD43" s="970">
        <v>124</v>
      </c>
      <c r="AE43" s="979"/>
      <c r="AF43" s="979"/>
      <c r="AG43" s="980"/>
      <c r="AH43" s="970">
        <v>94.52</v>
      </c>
      <c r="AI43" s="979"/>
      <c r="AJ43" s="979"/>
      <c r="AK43" s="979"/>
      <c r="AL43" s="980"/>
      <c r="AM43" s="970">
        <v>125</v>
      </c>
      <c r="AN43" s="979"/>
      <c r="AO43" s="979"/>
      <c r="AP43" s="980"/>
      <c r="AQ43" s="967">
        <v>10.3</v>
      </c>
      <c r="AR43" s="968"/>
      <c r="AS43" s="969"/>
      <c r="AT43" s="309" t="s">
        <v>96</v>
      </c>
      <c r="AU43" s="150"/>
      <c r="AV43" s="150"/>
      <c r="AW43" s="152"/>
      <c r="AX43" s="149" t="s">
        <v>30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94</v>
      </c>
      <c r="E44" s="149"/>
      <c r="F44" s="149"/>
      <c r="G44" s="151"/>
      <c r="H44" s="242" t="s">
        <v>95</v>
      </c>
      <c r="I44" s="150"/>
      <c r="J44" s="150"/>
      <c r="K44" s="150"/>
      <c r="L44" s="161"/>
      <c r="M44" s="162"/>
      <c r="N44" s="242" t="s">
        <v>92</v>
      </c>
      <c r="O44" s="150"/>
      <c r="P44" s="150"/>
      <c r="Q44" s="99" t="s">
        <v>33</v>
      </c>
      <c r="R44" s="981">
        <v>5000</v>
      </c>
      <c r="S44" s="982"/>
      <c r="T44" s="982"/>
      <c r="U44" s="983"/>
      <c r="V44" s="970">
        <v>39</v>
      </c>
      <c r="W44" s="979"/>
      <c r="X44" s="979"/>
      <c r="Y44" s="980"/>
      <c r="Z44" s="970">
        <v>40</v>
      </c>
      <c r="AA44" s="979"/>
      <c r="AB44" s="979"/>
      <c r="AC44" s="980"/>
      <c r="AD44" s="970">
        <v>40</v>
      </c>
      <c r="AE44" s="979"/>
      <c r="AF44" s="979"/>
      <c r="AG44" s="980"/>
      <c r="AH44" s="970">
        <v>36.89</v>
      </c>
      <c r="AI44" s="979"/>
      <c r="AJ44" s="979"/>
      <c r="AK44" s="979"/>
      <c r="AL44" s="980"/>
      <c r="AM44" s="970">
        <v>41</v>
      </c>
      <c r="AN44" s="979"/>
      <c r="AO44" s="979"/>
      <c r="AP44" s="980"/>
      <c r="AQ44" s="967">
        <v>12.3</v>
      </c>
      <c r="AR44" s="968"/>
      <c r="AS44" s="969"/>
      <c r="AT44" s="309" t="s">
        <v>97</v>
      </c>
      <c r="AU44" s="150"/>
      <c r="AV44" s="150"/>
      <c r="AW44" s="152"/>
      <c r="AX44" s="149" t="s">
        <v>30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244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15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78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72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15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32</v>
      </c>
      <c r="D57" s="234" t="s">
        <v>260</v>
      </c>
      <c r="E57" s="235"/>
      <c r="F57" s="234" t="s">
        <v>64</v>
      </c>
      <c r="G57" s="235"/>
      <c r="H57" s="235"/>
      <c r="I57" s="236"/>
      <c r="J57" s="237" t="s">
        <v>34</v>
      </c>
      <c r="K57" s="238"/>
      <c r="L57" s="238"/>
      <c r="M57" s="238"/>
      <c r="N57" s="235"/>
      <c r="O57" s="236"/>
      <c r="P57" s="239" t="s">
        <v>67</v>
      </c>
      <c r="Q57" s="240"/>
      <c r="R57" s="240"/>
      <c r="S57" s="241"/>
      <c r="T57" s="234" t="s">
        <v>79</v>
      </c>
      <c r="U57" s="235"/>
      <c r="V57" s="235"/>
      <c r="W57" s="236"/>
      <c r="X57" s="234" t="s">
        <v>80</v>
      </c>
      <c r="Y57" s="235"/>
      <c r="Z57" s="235"/>
      <c r="AA57" s="235"/>
      <c r="AB57" s="239" t="s">
        <v>65</v>
      </c>
      <c r="AC57" s="240"/>
      <c r="AD57" s="240"/>
      <c r="AE57" s="240"/>
      <c r="AF57" s="241"/>
      <c r="AG57" s="240" t="s">
        <v>68</v>
      </c>
      <c r="AH57" s="240"/>
      <c r="AI57" s="240"/>
      <c r="AJ57" s="241"/>
      <c r="AK57" s="240" t="s">
        <v>66</v>
      </c>
      <c r="AL57" s="240"/>
      <c r="AM57" s="240"/>
      <c r="AN57" s="241"/>
      <c r="AO57" s="239" t="s">
        <v>81</v>
      </c>
      <c r="AP57" s="240"/>
      <c r="AQ57" s="240"/>
      <c r="AR57" s="241"/>
      <c r="AS57" s="239" t="s">
        <v>82</v>
      </c>
      <c r="AT57" s="240"/>
      <c r="AU57" s="240"/>
      <c r="AV57" s="240"/>
      <c r="AW57" s="239" t="s">
        <v>83</v>
      </c>
      <c r="AX57" s="240"/>
      <c r="AY57" s="240"/>
      <c r="AZ57" s="241"/>
      <c r="BA57" s="239" t="s">
        <v>84</v>
      </c>
      <c r="BB57" s="240"/>
      <c r="BC57" s="240"/>
      <c r="BD57" s="241"/>
      <c r="BE57" s="240" t="s">
        <v>85</v>
      </c>
      <c r="BF57" s="240"/>
      <c r="BG57" s="241"/>
      <c r="BH57" s="240" t="s">
        <v>86</v>
      </c>
      <c r="BI57" s="240"/>
      <c r="BJ57" s="240"/>
      <c r="BK57" s="241"/>
      <c r="BL57" s="240" t="s">
        <v>69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93</v>
      </c>
      <c r="Q58" s="150"/>
      <c r="R58" s="150"/>
      <c r="S58" s="162"/>
      <c r="T58" s="981">
        <f>R43</f>
        <v>5000</v>
      </c>
      <c r="U58" s="982"/>
      <c r="V58" s="982"/>
      <c r="W58" s="983"/>
      <c r="X58" s="955">
        <f>AH43</f>
        <v>94.52</v>
      </c>
      <c r="Y58" s="956"/>
      <c r="Z58" s="956"/>
      <c r="AA58" s="957"/>
      <c r="AB58" s="955">
        <f>V43</f>
        <v>122.5</v>
      </c>
      <c r="AC58" s="956"/>
      <c r="AD58" s="956"/>
      <c r="AE58" s="956"/>
      <c r="AF58" s="957"/>
      <c r="AG58" s="955">
        <f>Z43</f>
        <v>125</v>
      </c>
      <c r="AH58" s="956"/>
      <c r="AI58" s="956"/>
      <c r="AJ58" s="957"/>
      <c r="AK58" s="955">
        <f>AD43</f>
        <v>124</v>
      </c>
      <c r="AL58" s="956"/>
      <c r="AM58" s="956"/>
      <c r="AN58" s="957"/>
      <c r="AO58" s="961">
        <f>1-X58/AK58</f>
        <v>0.23774193548387101</v>
      </c>
      <c r="AP58" s="962"/>
      <c r="AQ58" s="962"/>
      <c r="AR58" s="963"/>
      <c r="AS58" s="973">
        <f>(AK58-AG58)/AG58</f>
        <v>-8.0000000000000002E-3</v>
      </c>
      <c r="AT58" s="974"/>
      <c r="AU58" s="974"/>
      <c r="AV58" s="975"/>
      <c r="AW58" s="148"/>
      <c r="AX58" s="150"/>
      <c r="AY58" s="150"/>
      <c r="AZ58" s="162"/>
      <c r="BA58" s="976">
        <f>1-(AD43/AM43)</f>
        <v>8.0000000000000071E-3</v>
      </c>
      <c r="BB58" s="977"/>
      <c r="BC58" s="977"/>
      <c r="BD58" s="978"/>
      <c r="BE58" s="967">
        <f>AQ43</f>
        <v>10.3</v>
      </c>
      <c r="BF58" s="968"/>
      <c r="BG58" s="969"/>
      <c r="BH58" s="149" t="str">
        <f>AT43</f>
        <v>SMK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93</v>
      </c>
      <c r="Q59" s="150"/>
      <c r="R59" s="150"/>
      <c r="S59" s="162"/>
      <c r="T59" s="981">
        <f>R44</f>
        <v>5000</v>
      </c>
      <c r="U59" s="982"/>
      <c r="V59" s="982"/>
      <c r="W59" s="983"/>
      <c r="X59" s="955">
        <f>AH44</f>
        <v>36.89</v>
      </c>
      <c r="Y59" s="956"/>
      <c r="Z59" s="956"/>
      <c r="AA59" s="957"/>
      <c r="AB59" s="955">
        <f>V44</f>
        <v>39</v>
      </c>
      <c r="AC59" s="956"/>
      <c r="AD59" s="956"/>
      <c r="AE59" s="956"/>
      <c r="AF59" s="957"/>
      <c r="AG59" s="955">
        <f>Z44</f>
        <v>40</v>
      </c>
      <c r="AH59" s="956"/>
      <c r="AI59" s="956"/>
      <c r="AJ59" s="957"/>
      <c r="AK59" s="955">
        <f>AD44</f>
        <v>40</v>
      </c>
      <c r="AL59" s="956"/>
      <c r="AM59" s="956"/>
      <c r="AN59" s="957"/>
      <c r="AO59" s="961">
        <f>1-X59/AK59</f>
        <v>7.7749999999999986E-2</v>
      </c>
      <c r="AP59" s="962"/>
      <c r="AQ59" s="962"/>
      <c r="AR59" s="963"/>
      <c r="AS59" s="973">
        <f>(AK59-AG59)/AG59</f>
        <v>0</v>
      </c>
      <c r="AT59" s="974"/>
      <c r="AU59" s="974"/>
      <c r="AV59" s="975"/>
      <c r="AW59" s="148"/>
      <c r="AX59" s="150"/>
      <c r="AY59" s="150"/>
      <c r="AZ59" s="162"/>
      <c r="BA59" s="976">
        <f>1-(AD44/AM44)</f>
        <v>2.4390243902439046E-2</v>
      </c>
      <c r="BB59" s="977"/>
      <c r="BC59" s="977"/>
      <c r="BD59" s="978"/>
      <c r="BE59" s="967">
        <f>AQ44</f>
        <v>12.3</v>
      </c>
      <c r="BF59" s="968"/>
      <c r="BG59" s="969"/>
      <c r="BH59" s="149" t="str">
        <f>AT44</f>
        <v>中国</v>
      </c>
      <c r="BI59" s="150"/>
      <c r="BJ59" s="150"/>
      <c r="BK59" s="152"/>
      <c r="BL59" s="149" t="s">
        <v>30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281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280</v>
      </c>
      <c r="E61" s="503"/>
      <c r="F61" s="504" t="s">
        <v>30</v>
      </c>
      <c r="G61" s="503"/>
      <c r="H61" s="503"/>
      <c r="I61" s="505"/>
      <c r="J61" s="504" t="s">
        <v>30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98</v>
      </c>
      <c r="AC61" s="508"/>
      <c r="AD61" s="508"/>
      <c r="AE61" s="508"/>
      <c r="AF61" s="509"/>
      <c r="AG61" s="508" t="s">
        <v>259</v>
      </c>
      <c r="AH61" s="503"/>
      <c r="AI61" s="503"/>
      <c r="AJ61" s="503"/>
      <c r="AK61" s="510" t="s">
        <v>99</v>
      </c>
      <c r="AL61" s="508"/>
      <c r="AM61" s="508"/>
      <c r="AN61" s="509"/>
      <c r="AO61" s="507" t="s">
        <v>81</v>
      </c>
      <c r="AP61" s="508"/>
      <c r="AQ61" s="508"/>
      <c r="AR61" s="509"/>
      <c r="AS61" s="507" t="s">
        <v>82</v>
      </c>
      <c r="AT61" s="508"/>
      <c r="AU61" s="508"/>
      <c r="AV61" s="508"/>
      <c r="AW61" s="507" t="s">
        <v>100</v>
      </c>
      <c r="AX61" s="508"/>
      <c r="AY61" s="508"/>
      <c r="AZ61" s="509"/>
      <c r="BA61" s="507" t="s">
        <v>101</v>
      </c>
      <c r="BB61" s="508"/>
      <c r="BC61" s="508"/>
      <c r="BD61" s="509"/>
      <c r="BE61" s="511" t="s">
        <v>30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92</v>
      </c>
      <c r="E62" s="149"/>
      <c r="F62" s="148" t="s">
        <v>30</v>
      </c>
      <c r="G62" s="149"/>
      <c r="H62" s="149"/>
      <c r="I62" s="151"/>
      <c r="J62" s="221" t="s">
        <v>30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970"/>
      <c r="Y62" s="971"/>
      <c r="Z62" s="971"/>
      <c r="AA62" s="972"/>
      <c r="AB62" s="987">
        <f>SUMPRODUCT($T$58:$W$59,$AK$58:$AN$59)</f>
        <v>820000</v>
      </c>
      <c r="AC62" s="988"/>
      <c r="AD62" s="988"/>
      <c r="AE62" s="988"/>
      <c r="AF62" s="989"/>
      <c r="AG62" s="955">
        <f>SUM($X$58:$AA$59)</f>
        <v>131.41</v>
      </c>
      <c r="AH62" s="956"/>
      <c r="AI62" s="956"/>
      <c r="AJ62" s="957"/>
      <c r="AK62" s="958">
        <f>AB62-SUMPRODUCT($T$58:$W$59,$X$58:$AA$59)</f>
        <v>162950</v>
      </c>
      <c r="AL62" s="959"/>
      <c r="AM62" s="959"/>
      <c r="AN62" s="960"/>
      <c r="AO62" s="961">
        <f>$AK62/$AB62</f>
        <v>0.19871951219512196</v>
      </c>
      <c r="AP62" s="962"/>
      <c r="AQ62" s="962"/>
      <c r="AR62" s="963"/>
      <c r="AS62" s="961">
        <f>AW62/($AB62-AW62)</f>
        <v>-6.0606060606060606E-3</v>
      </c>
      <c r="AT62" s="962"/>
      <c r="AU62" s="962"/>
      <c r="AV62" s="963"/>
      <c r="AW62" s="964">
        <f>$T$58*($AK$58-$AG$58)+$T$59*($AK$59-$AG$59)</f>
        <v>-5000</v>
      </c>
      <c r="AX62" s="965"/>
      <c r="AY62" s="965"/>
      <c r="AZ62" s="966"/>
      <c r="BA62" s="952">
        <f>SUMPRODUCT($T$58:$W$59,$AG$58:$AJ$59)</f>
        <v>825000</v>
      </c>
      <c r="BB62" s="953"/>
      <c r="BC62" s="953"/>
      <c r="BD62" s="954"/>
      <c r="BE62" s="148" t="s">
        <v>30</v>
      </c>
      <c r="BF62" s="150"/>
      <c r="BG62" s="150"/>
      <c r="BH62" s="152"/>
      <c r="BI62" s="149" t="s">
        <v>30</v>
      </c>
      <c r="BJ62" s="150"/>
      <c r="BK62" s="152"/>
      <c r="BL62" s="149" t="s">
        <v>30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279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30</v>
      </c>
      <c r="G64" s="244"/>
      <c r="H64" s="244"/>
      <c r="I64" s="245"/>
      <c r="J64" s="246" t="s">
        <v>30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98</v>
      </c>
      <c r="AC64" s="249"/>
      <c r="AD64" s="249"/>
      <c r="AE64" s="249"/>
      <c r="AF64" s="250"/>
      <c r="AG64" s="249" t="s">
        <v>259</v>
      </c>
      <c r="AH64" s="244"/>
      <c r="AI64" s="244"/>
      <c r="AJ64" s="244"/>
      <c r="AK64" s="330" t="s">
        <v>99</v>
      </c>
      <c r="AL64" s="249"/>
      <c r="AM64" s="249"/>
      <c r="AN64" s="250"/>
      <c r="AO64" s="248" t="s">
        <v>81</v>
      </c>
      <c r="AP64" s="249"/>
      <c r="AQ64" s="249"/>
      <c r="AR64" s="250"/>
      <c r="AS64" s="248" t="s">
        <v>82</v>
      </c>
      <c r="AT64" s="249"/>
      <c r="AU64" s="249"/>
      <c r="AV64" s="249"/>
      <c r="AW64" s="248" t="s">
        <v>100</v>
      </c>
      <c r="AX64" s="249"/>
      <c r="AY64" s="249"/>
      <c r="AZ64" s="250"/>
      <c r="BA64" s="248" t="s">
        <v>101</v>
      </c>
      <c r="BB64" s="249"/>
      <c r="BC64" s="249"/>
      <c r="BD64" s="250"/>
      <c r="BE64" s="253" t="s">
        <v>30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970"/>
      <c r="Y65" s="971"/>
      <c r="Z65" s="971"/>
      <c r="AA65" s="972"/>
      <c r="AB65" s="987">
        <f>SUMPRODUCT($T$58:$W$59,$AK$58:$AN$59)</f>
        <v>820000</v>
      </c>
      <c r="AC65" s="988"/>
      <c r="AD65" s="988"/>
      <c r="AE65" s="988"/>
      <c r="AF65" s="989"/>
      <c r="AG65" s="955">
        <f>SUM($X$58:$AA$59)</f>
        <v>131.41</v>
      </c>
      <c r="AH65" s="956"/>
      <c r="AI65" s="956"/>
      <c r="AJ65" s="957"/>
      <c r="AK65" s="958">
        <f>AB65-SUMPRODUCT($T$58:$W$59,$X$58:$AA$59)</f>
        <v>162950</v>
      </c>
      <c r="AL65" s="959"/>
      <c r="AM65" s="959"/>
      <c r="AN65" s="960"/>
      <c r="AO65" s="961">
        <f>$AK65/$AB65</f>
        <v>0.19871951219512196</v>
      </c>
      <c r="AP65" s="962"/>
      <c r="AQ65" s="962"/>
      <c r="AR65" s="963"/>
      <c r="AS65" s="961">
        <f>AW65/($AB65-AW65)</f>
        <v>-6.0606060606060606E-3</v>
      </c>
      <c r="AT65" s="962"/>
      <c r="AU65" s="962"/>
      <c r="AV65" s="963"/>
      <c r="AW65" s="964">
        <f>$T$58*($AK$58-$AG$58)+$T$59*($AK$59-$AG$59)</f>
        <v>-5000</v>
      </c>
      <c r="AX65" s="965"/>
      <c r="AY65" s="965"/>
      <c r="AZ65" s="966"/>
      <c r="BA65" s="952">
        <f>SUMPRODUCT($T$58:$W$59,$AG$58:$AJ$59)</f>
        <v>825000</v>
      </c>
      <c r="BB65" s="953"/>
      <c r="BC65" s="953"/>
      <c r="BD65" s="954"/>
      <c r="BE65" s="148" t="s">
        <v>30</v>
      </c>
      <c r="BF65" s="150"/>
      <c r="BG65" s="150"/>
      <c r="BH65" s="152"/>
      <c r="BI65" s="149" t="s">
        <v>30</v>
      </c>
      <c r="BJ65" s="150"/>
      <c r="BK65" s="152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984"/>
      <c r="K68" s="985"/>
      <c r="L68" s="985"/>
      <c r="M68" s="985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986"/>
      <c r="K70" s="986"/>
      <c r="L70" s="986"/>
      <c r="M70" s="986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5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951"/>
      <c r="K77" s="951"/>
      <c r="L77" s="951"/>
      <c r="M77" s="951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297</v>
      </c>
      <c r="BC77" s="34"/>
      <c r="BD77" s="28"/>
      <c r="BG77" s="24"/>
      <c r="BH77" s="28"/>
    </row>
    <row r="78" spans="1:67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51"/>
      <c r="K78" s="951"/>
      <c r="L78" s="951"/>
      <c r="M78" s="951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990"/>
      <c r="K80" s="990"/>
      <c r="L80" s="990"/>
      <c r="M80" s="990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51"/>
      <c r="K86" s="951"/>
      <c r="L86" s="951"/>
      <c r="M86" s="951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51"/>
      <c r="K94" s="951"/>
      <c r="L94" s="951"/>
      <c r="M94" s="951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51"/>
      <c r="K103" s="951"/>
      <c r="L103" s="951"/>
      <c r="M103" s="951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51"/>
      <c r="K104" s="951"/>
      <c r="L104" s="951"/>
      <c r="M104" s="951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X62:AA62"/>
    <mergeCell ref="AB62:AF62"/>
    <mergeCell ref="AO59:AR59"/>
    <mergeCell ref="AB58:AF58"/>
    <mergeCell ref="AB59:AF59"/>
    <mergeCell ref="T58:W58"/>
    <mergeCell ref="T59:W59"/>
    <mergeCell ref="AG59:AJ59"/>
    <mergeCell ref="AK58:AN58"/>
    <mergeCell ref="AK59:AN59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R43:U43"/>
    <mergeCell ref="R44:U44"/>
    <mergeCell ref="V43:Y43"/>
    <mergeCell ref="V44:Y44"/>
    <mergeCell ref="Z43:AC43"/>
    <mergeCell ref="Z44:AC44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BA62:BD62"/>
    <mergeCell ref="AG62:AJ62"/>
    <mergeCell ref="AK62:AN62"/>
    <mergeCell ref="AO62:AR62"/>
    <mergeCell ref="AS62:AV62"/>
    <mergeCell ref="AW62:AZ62"/>
  </mergeCells>
  <phoneticPr fontId="56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7" t="s">
        <v>4</v>
      </c>
      <c r="B1" s="757"/>
      <c r="C1" s="757"/>
      <c r="D1" s="757"/>
      <c r="E1" s="757"/>
      <c r="F1" s="757"/>
      <c r="G1" s="757"/>
      <c r="H1" s="757"/>
      <c r="I1" s="740" t="s">
        <v>5</v>
      </c>
      <c r="J1" s="740"/>
      <c r="K1" s="740"/>
      <c r="L1" s="740"/>
      <c r="M1" s="755" t="str">
        <f>変更来歴!M1</f>
        <v>ヒロセ電機株式会社</v>
      </c>
      <c r="N1" s="755"/>
      <c r="O1" s="755"/>
      <c r="P1" s="755"/>
      <c r="Q1" s="755"/>
      <c r="R1" s="755"/>
      <c r="S1" s="755"/>
      <c r="T1" s="755"/>
      <c r="U1" s="755"/>
      <c r="V1" s="755"/>
      <c r="W1" s="755"/>
      <c r="X1" s="740" t="s">
        <v>7</v>
      </c>
      <c r="Y1" s="740"/>
      <c r="Z1" s="740"/>
      <c r="AA1" s="759" t="str">
        <f>変更来歴!AA1</f>
        <v>化学物質データ申請</v>
      </c>
      <c r="AB1" s="759"/>
      <c r="AC1" s="759"/>
      <c r="AD1" s="759"/>
      <c r="AE1" s="759"/>
      <c r="AF1" s="759"/>
      <c r="AG1" s="759"/>
      <c r="AH1" s="759"/>
      <c r="AI1" s="759"/>
      <c r="AJ1" s="759"/>
      <c r="AK1" s="744" t="s">
        <v>8</v>
      </c>
      <c r="AL1" s="744"/>
      <c r="AM1" s="744"/>
      <c r="AN1" s="745" t="str">
        <f>変更来歴!AP7</f>
        <v>古竹</v>
      </c>
      <c r="AO1" s="745"/>
      <c r="AP1" s="745"/>
      <c r="AQ1" s="745"/>
      <c r="AR1" s="745"/>
      <c r="AS1" s="744" t="s">
        <v>9</v>
      </c>
      <c r="AT1" s="744"/>
      <c r="AU1" s="744"/>
      <c r="AV1" s="747">
        <f>変更来歴!AL7</f>
        <v>46125</v>
      </c>
      <c r="AW1" s="760"/>
      <c r="AX1" s="760"/>
      <c r="AY1" s="760"/>
      <c r="AZ1" s="736" t="s">
        <v>10</v>
      </c>
      <c r="BA1" s="737"/>
      <c r="BB1" s="737"/>
      <c r="BC1" s="738"/>
    </row>
    <row r="2" spans="1:59">
      <c r="A2" s="739" t="s">
        <v>16</v>
      </c>
      <c r="B2" s="739"/>
      <c r="C2" s="739"/>
      <c r="D2" s="739"/>
      <c r="E2" s="739"/>
      <c r="F2" s="739"/>
      <c r="G2" s="739"/>
      <c r="H2" s="739"/>
      <c r="I2" s="740" t="s">
        <v>11</v>
      </c>
      <c r="J2" s="740"/>
      <c r="K2" s="740"/>
      <c r="L2" s="740"/>
      <c r="M2" s="789" t="str">
        <f>変更来歴!M2</f>
        <v>　</v>
      </c>
      <c r="N2" s="789"/>
      <c r="O2" s="789"/>
      <c r="P2" s="789"/>
      <c r="Q2" s="789"/>
      <c r="R2" s="789"/>
      <c r="S2" s="789"/>
      <c r="T2" s="789"/>
      <c r="U2" s="789"/>
      <c r="V2" s="789"/>
      <c r="W2" s="789"/>
      <c r="X2" s="740"/>
      <c r="Y2" s="740"/>
      <c r="Z2" s="740"/>
      <c r="AA2" s="759"/>
      <c r="AB2" s="759"/>
      <c r="AC2" s="759"/>
      <c r="AD2" s="759"/>
      <c r="AE2" s="759"/>
      <c r="AF2" s="759"/>
      <c r="AG2" s="759"/>
      <c r="AH2" s="759"/>
      <c r="AI2" s="759"/>
      <c r="AJ2" s="759"/>
      <c r="AK2" s="744" t="s">
        <v>12</v>
      </c>
      <c r="AL2" s="744"/>
      <c r="AM2" s="744"/>
      <c r="AN2" s="745" t="str">
        <f ca="1">INDIRECT("変更来歴!AP" &amp; COUNTA(変更来歴!AP7:'変更来歴'!AP39) + 6)</f>
        <v>古竹</v>
      </c>
      <c r="AO2" s="745"/>
      <c r="AP2" s="745"/>
      <c r="AQ2" s="745"/>
      <c r="AR2" s="745"/>
      <c r="AS2" s="744" t="s">
        <v>13</v>
      </c>
      <c r="AT2" s="744"/>
      <c r="AU2" s="744"/>
      <c r="AV2" s="747">
        <f ca="1">INDIRECT("変更来歴!AL" &amp; COUNTA(変更来歴!AL7:'変更来歴'!AL39) + 6)</f>
        <v>46162</v>
      </c>
      <c r="AW2" s="760"/>
      <c r="AX2" s="760"/>
      <c r="AY2" s="760"/>
      <c r="AZ2" s="748" t="str">
        <f>変更来歴!AX2</f>
        <v>IMWF-53</v>
      </c>
      <c r="BA2" s="749"/>
      <c r="BB2" s="749"/>
      <c r="BC2" s="750"/>
    </row>
    <row r="3" spans="1:59" ht="12" customHeight="1">
      <c r="A3" s="754" t="str">
        <f>変更来歴!A3</f>
        <v>画面設計書</v>
      </c>
      <c r="B3" s="754"/>
      <c r="C3" s="754"/>
      <c r="D3" s="754"/>
      <c r="E3" s="754"/>
      <c r="F3" s="754"/>
      <c r="G3" s="754"/>
      <c r="H3" s="754"/>
      <c r="I3" s="740" t="s">
        <v>14</v>
      </c>
      <c r="J3" s="740"/>
      <c r="K3" s="740"/>
      <c r="L3" s="740"/>
      <c r="M3" s="755" t="str">
        <f ca="1">RIGHT(CELL("filename",A1),LEN(CELL("filename",A1))-FIND("]",CELL("filename",A1)))</f>
        <v>円(技術原計)</v>
      </c>
      <c r="N3" s="755"/>
      <c r="O3" s="755"/>
      <c r="P3" s="755"/>
      <c r="Q3" s="755"/>
      <c r="R3" s="755"/>
      <c r="S3" s="755"/>
      <c r="T3" s="755"/>
      <c r="U3" s="755"/>
      <c r="V3" s="755"/>
      <c r="W3" s="755"/>
      <c r="X3" s="740" t="s">
        <v>27</v>
      </c>
      <c r="Y3" s="740"/>
      <c r="Z3" s="740"/>
      <c r="AA3" s="756" t="str">
        <f ca="1">MID(CELL("filename"),FIND("]",CELL("filename"))+1,LEN(CELL("filename"))) &amp; "画面"</f>
        <v>画面項目画面</v>
      </c>
      <c r="AB3" s="756"/>
      <c r="AC3" s="756"/>
      <c r="AD3" s="756"/>
      <c r="AE3" s="756"/>
      <c r="AF3" s="756"/>
      <c r="AG3" s="756"/>
      <c r="AH3" s="756"/>
      <c r="AI3" s="756"/>
      <c r="AJ3" s="756"/>
      <c r="AK3" s="756"/>
      <c r="AL3" s="756"/>
      <c r="AM3" s="756"/>
      <c r="AN3" s="756"/>
      <c r="AO3" s="756"/>
      <c r="AP3" s="756"/>
      <c r="AQ3" s="756"/>
      <c r="AR3" s="756"/>
      <c r="AS3" s="744" t="s">
        <v>15</v>
      </c>
      <c r="AT3" s="744"/>
      <c r="AU3" s="744"/>
      <c r="AV3" s="760" t="str">
        <f ca="1">INDIRECT("変更来歴!A" &amp; COUNTA(変更来歴!A7:'変更来歴'!A39) + 6)</f>
        <v>r1.2</v>
      </c>
      <c r="AW3" s="760"/>
      <c r="AX3" s="760"/>
      <c r="AY3" s="760"/>
      <c r="AZ3" s="751"/>
      <c r="BA3" s="752"/>
      <c r="BB3" s="752"/>
      <c r="BC3" s="753"/>
    </row>
    <row r="4" spans="1:59" ht="5.9" customHeight="1"/>
    <row r="5" spans="1:59" ht="13.5" customHeight="1">
      <c r="A5" s="793" t="str">
        <f ca="1">"画面レイアウト"&amp;"("&amp;MID(CELL("filename"),FIND("]",CELL("filename"))+1,LEN(CELL("filename")))&amp;")"</f>
        <v>画面レイアウト(画面項目)</v>
      </c>
      <c r="B5" s="794"/>
      <c r="C5" s="794"/>
      <c r="D5" s="794"/>
      <c r="E5" s="794"/>
      <c r="F5" s="794"/>
      <c r="G5" s="794"/>
      <c r="H5" s="794"/>
      <c r="I5" s="794"/>
      <c r="J5" s="794"/>
      <c r="K5" s="794"/>
      <c r="L5" s="794"/>
      <c r="M5" s="794"/>
      <c r="N5" s="794"/>
      <c r="O5" s="794"/>
      <c r="P5" s="794"/>
      <c r="Q5" s="794"/>
      <c r="R5" s="794"/>
      <c r="S5" s="794"/>
      <c r="T5" s="794"/>
      <c r="U5" s="794"/>
      <c r="V5" s="794"/>
      <c r="W5" s="794"/>
      <c r="X5" s="794"/>
      <c r="Y5" s="794"/>
      <c r="Z5" s="794"/>
      <c r="AA5" s="794"/>
      <c r="AB5" s="794"/>
      <c r="AC5" s="794"/>
      <c r="AD5" s="794"/>
      <c r="AE5" s="794"/>
      <c r="AF5" s="794"/>
      <c r="AG5" s="794"/>
      <c r="AH5" s="794"/>
      <c r="AI5" s="794"/>
      <c r="AJ5" s="794"/>
      <c r="AK5" s="794"/>
      <c r="AL5" s="794"/>
      <c r="AM5" s="794"/>
      <c r="AN5" s="794"/>
      <c r="AO5" s="794"/>
      <c r="AP5" s="794"/>
      <c r="AQ5" s="794"/>
      <c r="AR5" s="794"/>
      <c r="AS5" s="794"/>
      <c r="AT5" s="794"/>
      <c r="AU5" s="794"/>
      <c r="AV5" s="794"/>
      <c r="AW5" s="794"/>
      <c r="AX5" s="794"/>
      <c r="AY5" s="794"/>
      <c r="AZ5" s="794"/>
      <c r="BA5" s="795"/>
      <c r="BB5" s="790" t="s">
        <v>24</v>
      </c>
      <c r="BC5" s="791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288</v>
      </c>
      <c r="E39" s="28"/>
      <c r="F39" s="28"/>
      <c r="G39" s="28"/>
      <c r="H39" s="86" t="s">
        <v>128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32</v>
      </c>
      <c r="D40" s="205" t="s">
        <v>64</v>
      </c>
      <c r="E40" s="206"/>
      <c r="F40" s="206"/>
      <c r="G40" s="207"/>
      <c r="H40" s="208" t="s">
        <v>73</v>
      </c>
      <c r="I40" s="209"/>
      <c r="J40" s="209"/>
      <c r="K40" s="209"/>
      <c r="L40" s="206"/>
      <c r="M40" s="207"/>
      <c r="N40" s="205" t="s">
        <v>74</v>
      </c>
      <c r="O40" s="206"/>
      <c r="P40" s="206"/>
      <c r="Q40" s="207"/>
      <c r="R40" s="205" t="s">
        <v>75</v>
      </c>
      <c r="S40" s="206"/>
      <c r="T40" s="206"/>
      <c r="U40" s="206"/>
      <c r="V40" s="210" t="s">
        <v>87</v>
      </c>
      <c r="W40" s="211"/>
      <c r="X40" s="211"/>
      <c r="Y40" s="212"/>
      <c r="Z40" s="211" t="s">
        <v>89</v>
      </c>
      <c r="AA40" s="211"/>
      <c r="AB40" s="211"/>
      <c r="AC40" s="212"/>
      <c r="AD40" s="211" t="s">
        <v>76</v>
      </c>
      <c r="AE40" s="211"/>
      <c r="AF40" s="211"/>
      <c r="AG40" s="212"/>
      <c r="AH40" s="210" t="s">
        <v>278</v>
      </c>
      <c r="AI40" s="211"/>
      <c r="AJ40" s="211"/>
      <c r="AK40" s="211"/>
      <c r="AL40" s="212"/>
      <c r="AM40" s="210" t="s">
        <v>105</v>
      </c>
      <c r="AN40" s="211"/>
      <c r="AO40" s="211"/>
      <c r="AP40" s="211"/>
      <c r="AQ40" s="210" t="s">
        <v>83</v>
      </c>
      <c r="AR40" s="211"/>
      <c r="AS40" s="211"/>
      <c r="AT40" s="212"/>
      <c r="AU40" s="211" t="s">
        <v>85</v>
      </c>
      <c r="AV40" s="211"/>
      <c r="AW40" s="212"/>
      <c r="AX40" s="305" t="s">
        <v>86</v>
      </c>
      <c r="AY40" s="211"/>
      <c r="AZ40" s="211"/>
      <c r="BA40" s="212"/>
      <c r="BB40" s="211" t="s">
        <v>69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30</v>
      </c>
      <c r="E41" s="216"/>
      <c r="F41" s="214"/>
      <c r="G41" s="215"/>
      <c r="H41" s="213" t="s">
        <v>30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30</v>
      </c>
      <c r="S41" s="216"/>
      <c r="T41" s="214"/>
      <c r="U41" s="214"/>
      <c r="V41" s="217" t="s">
        <v>88</v>
      </c>
      <c r="W41" s="218"/>
      <c r="X41" s="219"/>
      <c r="Y41" s="220"/>
      <c r="Z41" s="218" t="s">
        <v>43</v>
      </c>
      <c r="AA41" s="218"/>
      <c r="AB41" s="219"/>
      <c r="AC41" s="220"/>
      <c r="AD41" s="218" t="s">
        <v>43</v>
      </c>
      <c r="AE41" s="218"/>
      <c r="AF41" s="219"/>
      <c r="AG41" s="220"/>
      <c r="AH41" s="217" t="s">
        <v>30</v>
      </c>
      <c r="AI41" s="218"/>
      <c r="AJ41" s="218"/>
      <c r="AK41" s="219"/>
      <c r="AL41" s="220"/>
      <c r="AM41" s="217" t="s">
        <v>43</v>
      </c>
      <c r="AN41" s="218"/>
      <c r="AO41" s="219"/>
      <c r="AP41" s="219"/>
      <c r="AQ41" s="217" t="s">
        <v>43</v>
      </c>
      <c r="AR41" s="218"/>
      <c r="AS41" s="219"/>
      <c r="AT41" s="220"/>
      <c r="AU41" s="218" t="s">
        <v>43</v>
      </c>
      <c r="AV41" s="218"/>
      <c r="AW41" s="220"/>
      <c r="AX41" s="307" t="s">
        <v>43</v>
      </c>
      <c r="AY41" s="218"/>
      <c r="AZ41" s="219"/>
      <c r="BA41" s="220"/>
      <c r="BB41" s="218" t="s">
        <v>43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135</v>
      </c>
      <c r="E42" s="149"/>
      <c r="F42" s="149"/>
      <c r="G42" s="151"/>
      <c r="H42" s="242" t="s">
        <v>137</v>
      </c>
      <c r="I42" s="150"/>
      <c r="J42" s="150"/>
      <c r="K42" s="150"/>
      <c r="L42" s="161"/>
      <c r="M42" s="162"/>
      <c r="N42" s="242" t="s">
        <v>92</v>
      </c>
      <c r="O42" s="150"/>
      <c r="P42" s="150"/>
      <c r="Q42" s="99" t="s">
        <v>33</v>
      </c>
      <c r="R42" s="981">
        <v>1000</v>
      </c>
      <c r="S42" s="982"/>
      <c r="T42" s="982"/>
      <c r="U42" s="983"/>
      <c r="V42" s="970">
        <v>980</v>
      </c>
      <c r="W42" s="979"/>
      <c r="X42" s="979"/>
      <c r="Y42" s="980"/>
      <c r="Z42" s="970">
        <v>1610</v>
      </c>
      <c r="AA42" s="979"/>
      <c r="AB42" s="979"/>
      <c r="AC42" s="980"/>
      <c r="AD42" s="970">
        <v>1035</v>
      </c>
      <c r="AE42" s="979"/>
      <c r="AF42" s="979"/>
      <c r="AG42" s="980"/>
      <c r="AH42" s="970">
        <v>510.27</v>
      </c>
      <c r="AI42" s="979"/>
      <c r="AJ42" s="979"/>
      <c r="AK42" s="979"/>
      <c r="AL42" s="980"/>
      <c r="AM42" s="970">
        <v>796.03</v>
      </c>
      <c r="AN42" s="979"/>
      <c r="AO42" s="979"/>
      <c r="AP42" s="980"/>
      <c r="AQ42" s="970"/>
      <c r="AR42" s="979"/>
      <c r="AS42" s="979"/>
      <c r="AT42" s="980"/>
      <c r="AU42" s="967">
        <v>64.7</v>
      </c>
      <c r="AV42" s="968"/>
      <c r="AW42" s="969"/>
      <c r="AX42" s="309" t="s">
        <v>140</v>
      </c>
      <c r="AY42" s="150"/>
      <c r="AZ42" s="150"/>
      <c r="BA42" s="152"/>
      <c r="BB42" s="149" t="s">
        <v>30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136</v>
      </c>
      <c r="E43" s="149"/>
      <c r="F43" s="149"/>
      <c r="G43" s="151"/>
      <c r="H43" s="242" t="s">
        <v>138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981">
        <v>500</v>
      </c>
      <c r="S43" s="982"/>
      <c r="T43" s="982"/>
      <c r="U43" s="983"/>
      <c r="V43" s="970">
        <v>500</v>
      </c>
      <c r="W43" s="979"/>
      <c r="X43" s="979"/>
      <c r="Y43" s="980"/>
      <c r="Z43" s="970">
        <v>794</v>
      </c>
      <c r="AA43" s="979"/>
      <c r="AB43" s="979"/>
      <c r="AC43" s="980"/>
      <c r="AD43" s="970">
        <v>630</v>
      </c>
      <c r="AE43" s="979"/>
      <c r="AF43" s="979"/>
      <c r="AG43" s="980"/>
      <c r="AH43" s="970">
        <v>247.92</v>
      </c>
      <c r="AI43" s="979"/>
      <c r="AJ43" s="979"/>
      <c r="AK43" s="979"/>
      <c r="AL43" s="980"/>
      <c r="AM43" s="970">
        <v>483.47</v>
      </c>
      <c r="AN43" s="979"/>
      <c r="AO43" s="979"/>
      <c r="AP43" s="980"/>
      <c r="AQ43" s="970"/>
      <c r="AR43" s="979"/>
      <c r="AS43" s="979"/>
      <c r="AT43" s="980"/>
      <c r="AU43" s="967">
        <v>39.4</v>
      </c>
      <c r="AV43" s="968"/>
      <c r="AW43" s="969"/>
      <c r="AX43" s="309" t="s">
        <v>140</v>
      </c>
      <c r="AY43" s="150"/>
      <c r="AZ43" s="150"/>
      <c r="BA43" s="152"/>
      <c r="BB43" s="149" t="s">
        <v>30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71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15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78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72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15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32</v>
      </c>
      <c r="D56" s="234" t="s">
        <v>260</v>
      </c>
      <c r="E56" s="235"/>
      <c r="F56" s="234" t="s">
        <v>64</v>
      </c>
      <c r="G56" s="235"/>
      <c r="H56" s="235"/>
      <c r="I56" s="236"/>
      <c r="J56" s="237" t="s">
        <v>34</v>
      </c>
      <c r="K56" s="238"/>
      <c r="L56" s="238"/>
      <c r="M56" s="238"/>
      <c r="N56" s="235"/>
      <c r="O56" s="236"/>
      <c r="P56" s="239" t="s">
        <v>67</v>
      </c>
      <c r="Q56" s="240"/>
      <c r="R56" s="240"/>
      <c r="S56" s="241"/>
      <c r="T56" s="234" t="s">
        <v>79</v>
      </c>
      <c r="U56" s="235"/>
      <c r="V56" s="235"/>
      <c r="W56" s="236"/>
      <c r="X56" s="234" t="s">
        <v>224</v>
      </c>
      <c r="Y56" s="235"/>
      <c r="Z56" s="235"/>
      <c r="AA56" s="235"/>
      <c r="AB56" s="239" t="s">
        <v>65</v>
      </c>
      <c r="AC56" s="240"/>
      <c r="AD56" s="240"/>
      <c r="AE56" s="240"/>
      <c r="AF56" s="241"/>
      <c r="AG56" s="240" t="s">
        <v>68</v>
      </c>
      <c r="AH56" s="240"/>
      <c r="AI56" s="240"/>
      <c r="AJ56" s="241"/>
      <c r="AK56" s="240" t="s">
        <v>66</v>
      </c>
      <c r="AL56" s="240"/>
      <c r="AM56" s="240"/>
      <c r="AN56" s="241"/>
      <c r="AO56" s="239" t="s">
        <v>141</v>
      </c>
      <c r="AP56" s="240"/>
      <c r="AQ56" s="240"/>
      <c r="AR56" s="241"/>
      <c r="AS56" s="239" t="s">
        <v>82</v>
      </c>
      <c r="AT56" s="240"/>
      <c r="AU56" s="240"/>
      <c r="AV56" s="240"/>
      <c r="AW56" s="239" t="s">
        <v>83</v>
      </c>
      <c r="AX56" s="240"/>
      <c r="AY56" s="240"/>
      <c r="AZ56" s="241"/>
      <c r="BA56" s="239" t="s">
        <v>84</v>
      </c>
      <c r="BB56" s="240"/>
      <c r="BC56" s="240"/>
      <c r="BD56" s="241"/>
      <c r="BE56" s="240" t="s">
        <v>85</v>
      </c>
      <c r="BF56" s="240"/>
      <c r="BG56" s="241"/>
      <c r="BH56" s="240" t="s">
        <v>86</v>
      </c>
      <c r="BI56" s="240"/>
      <c r="BJ56" s="240"/>
      <c r="BK56" s="241"/>
      <c r="BL56" s="240" t="s">
        <v>69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144</v>
      </c>
      <c r="Q57" s="150"/>
      <c r="R57" s="150"/>
      <c r="S57" s="162"/>
      <c r="T57" s="981">
        <f>R42</f>
        <v>1000</v>
      </c>
      <c r="U57" s="982"/>
      <c r="V57" s="982"/>
      <c r="W57" s="983"/>
      <c r="X57" s="991">
        <f>AH42</f>
        <v>510.27</v>
      </c>
      <c r="Y57" s="992"/>
      <c r="Z57" s="992"/>
      <c r="AA57" s="993"/>
      <c r="AB57" s="991">
        <f>V42</f>
        <v>980</v>
      </c>
      <c r="AC57" s="992"/>
      <c r="AD57" s="992"/>
      <c r="AE57" s="992"/>
      <c r="AF57" s="993"/>
      <c r="AG57" s="991">
        <f>Z42</f>
        <v>1610</v>
      </c>
      <c r="AH57" s="992"/>
      <c r="AI57" s="992"/>
      <c r="AJ57" s="993"/>
      <c r="AK57" s="991">
        <f>AD42</f>
        <v>1035</v>
      </c>
      <c r="AL57" s="992"/>
      <c r="AM57" s="992"/>
      <c r="AN57" s="993"/>
      <c r="AO57" s="976">
        <f>AD42/AM42-1</f>
        <v>0.30020225368390641</v>
      </c>
      <c r="AP57" s="977"/>
      <c r="AQ57" s="977"/>
      <c r="AR57" s="978"/>
      <c r="AS57" s="973">
        <f>(AK57-AG57)/AG57</f>
        <v>-0.35714285714285715</v>
      </c>
      <c r="AT57" s="974"/>
      <c r="AU57" s="974"/>
      <c r="AV57" s="975"/>
      <c r="AW57" s="148"/>
      <c r="AX57" s="150"/>
      <c r="AY57" s="150"/>
      <c r="AZ57" s="162"/>
      <c r="BA57" s="976" t="str">
        <f>IFERROR(1-(AD42/AQ42),"")</f>
        <v/>
      </c>
      <c r="BB57" s="977"/>
      <c r="BC57" s="977"/>
      <c r="BD57" s="978"/>
      <c r="BE57" s="967">
        <f>AU42</f>
        <v>64.7</v>
      </c>
      <c r="BF57" s="968"/>
      <c r="BG57" s="969"/>
      <c r="BH57" s="149" t="str">
        <f>AX42</f>
        <v>サンウー</v>
      </c>
      <c r="BI57" s="150"/>
      <c r="BJ57" s="150"/>
      <c r="BK57" s="152"/>
      <c r="BL57" s="149" t="s">
        <v>30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144</v>
      </c>
      <c r="Q58" s="150"/>
      <c r="R58" s="150"/>
      <c r="S58" s="162"/>
      <c r="T58" s="981">
        <f>R43</f>
        <v>500</v>
      </c>
      <c r="U58" s="982"/>
      <c r="V58" s="982"/>
      <c r="W58" s="983"/>
      <c r="X58" s="991">
        <f>AH43</f>
        <v>247.92</v>
      </c>
      <c r="Y58" s="992"/>
      <c r="Z58" s="992"/>
      <c r="AA58" s="993"/>
      <c r="AB58" s="991">
        <f>V43</f>
        <v>500</v>
      </c>
      <c r="AC58" s="992"/>
      <c r="AD58" s="992"/>
      <c r="AE58" s="992"/>
      <c r="AF58" s="993"/>
      <c r="AG58" s="991">
        <f>Z43</f>
        <v>794</v>
      </c>
      <c r="AH58" s="992"/>
      <c r="AI58" s="992"/>
      <c r="AJ58" s="993"/>
      <c r="AK58" s="991">
        <f>AD43</f>
        <v>630</v>
      </c>
      <c r="AL58" s="992"/>
      <c r="AM58" s="992"/>
      <c r="AN58" s="993"/>
      <c r="AO58" s="976">
        <f>AD43/AM43-1</f>
        <v>0.3030798188098538</v>
      </c>
      <c r="AP58" s="977"/>
      <c r="AQ58" s="977"/>
      <c r="AR58" s="978"/>
      <c r="AS58" s="973">
        <f>(AK58-AG58)/AG58</f>
        <v>-0.20654911838790932</v>
      </c>
      <c r="AT58" s="974"/>
      <c r="AU58" s="974"/>
      <c r="AV58" s="975"/>
      <c r="AW58" s="148"/>
      <c r="AX58" s="150"/>
      <c r="AY58" s="150"/>
      <c r="AZ58" s="162"/>
      <c r="BA58" s="976" t="str">
        <f>IFERROR(1-(AD43/AQ43),"")</f>
        <v/>
      </c>
      <c r="BB58" s="977"/>
      <c r="BC58" s="977"/>
      <c r="BD58" s="978"/>
      <c r="BE58" s="967">
        <f>AU43</f>
        <v>39.4</v>
      </c>
      <c r="BF58" s="968"/>
      <c r="BG58" s="969"/>
      <c r="BH58" s="149" t="str">
        <f>AX43</f>
        <v>サンウー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281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280</v>
      </c>
      <c r="E60" s="503"/>
      <c r="F60" s="504" t="s">
        <v>30</v>
      </c>
      <c r="G60" s="503"/>
      <c r="H60" s="503"/>
      <c r="I60" s="505"/>
      <c r="J60" s="504" t="s">
        <v>30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98</v>
      </c>
      <c r="AC60" s="508"/>
      <c r="AD60" s="508"/>
      <c r="AE60" s="508"/>
      <c r="AF60" s="509"/>
      <c r="AG60" s="510" t="s">
        <v>145</v>
      </c>
      <c r="AH60" s="508"/>
      <c r="AI60" s="508"/>
      <c r="AJ60" s="509"/>
      <c r="AK60" s="510" t="s">
        <v>142</v>
      </c>
      <c r="AL60" s="508"/>
      <c r="AM60" s="508"/>
      <c r="AN60" s="509"/>
      <c r="AO60" s="507" t="s">
        <v>143</v>
      </c>
      <c r="AP60" s="508"/>
      <c r="AQ60" s="508"/>
      <c r="AR60" s="509"/>
      <c r="AS60" s="507" t="s">
        <v>82</v>
      </c>
      <c r="AT60" s="508"/>
      <c r="AU60" s="508"/>
      <c r="AV60" s="508"/>
      <c r="AW60" s="507" t="s">
        <v>100</v>
      </c>
      <c r="AX60" s="508"/>
      <c r="AY60" s="508"/>
      <c r="AZ60" s="509"/>
      <c r="BA60" s="507" t="s">
        <v>101</v>
      </c>
      <c r="BB60" s="508"/>
      <c r="BC60" s="508"/>
      <c r="BD60" s="509"/>
      <c r="BE60" s="513" t="s">
        <v>30</v>
      </c>
      <c r="BF60" s="508"/>
      <c r="BG60" s="509"/>
      <c r="BH60" s="508"/>
      <c r="BI60" s="508"/>
      <c r="BJ60" s="508"/>
      <c r="BK60" s="509"/>
      <c r="BL60" s="513" t="s">
        <v>30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92</v>
      </c>
      <c r="E61" s="149"/>
      <c r="F61" s="148" t="s">
        <v>30</v>
      </c>
      <c r="G61" s="149"/>
      <c r="H61" s="149"/>
      <c r="I61" s="151"/>
      <c r="J61" s="221" t="s">
        <v>30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970"/>
      <c r="Y61" s="971"/>
      <c r="Z61" s="971"/>
      <c r="AA61" s="972"/>
      <c r="AB61" s="987">
        <f>SUMPRODUCT($T$57:$W$58,$AK$57:$AN$58)</f>
        <v>1350000</v>
      </c>
      <c r="AC61" s="988"/>
      <c r="AD61" s="988"/>
      <c r="AE61" s="988"/>
      <c r="AF61" s="989"/>
      <c r="AG61" s="958">
        <f>SUM(AM$42:AP$43)</f>
        <v>1279.5</v>
      </c>
      <c r="AH61" s="959"/>
      <c r="AI61" s="959"/>
      <c r="AJ61" s="960"/>
      <c r="AK61" s="958">
        <f>$AB61-SUMPRODUCT($R$42:$U$43,$AM$42:$AP$43)</f>
        <v>312235</v>
      </c>
      <c r="AL61" s="959"/>
      <c r="AM61" s="959"/>
      <c r="AN61" s="960"/>
      <c r="AO61" s="961">
        <f>$AK61/($AB61-$AK61)</f>
        <v>0.30087254821660009</v>
      </c>
      <c r="AP61" s="962"/>
      <c r="AQ61" s="962"/>
      <c r="AR61" s="963"/>
      <c r="AS61" s="961">
        <f>AW61/($AB61-AW61)</f>
        <v>-0.3273542600896861</v>
      </c>
      <c r="AT61" s="962"/>
      <c r="AU61" s="962"/>
      <c r="AV61" s="963"/>
      <c r="AW61" s="964">
        <f>$T$57*($AK$57-$AG$57)+$T$58*($AK$58-$AG$58)</f>
        <v>-657000</v>
      </c>
      <c r="AX61" s="965"/>
      <c r="AY61" s="965"/>
      <c r="AZ61" s="966"/>
      <c r="BA61" s="952">
        <f>SUMPRODUCT($T$57:$W$58,$AG$57:$AJ$58)</f>
        <v>2007000</v>
      </c>
      <c r="BB61" s="953"/>
      <c r="BC61" s="953"/>
      <c r="BD61" s="954"/>
      <c r="BE61" s="149" t="s">
        <v>30</v>
      </c>
      <c r="BF61" s="150"/>
      <c r="BG61" s="152"/>
      <c r="BH61" s="149" t="s">
        <v>30</v>
      </c>
      <c r="BI61" s="150"/>
      <c r="BJ61" s="150"/>
      <c r="BK61" s="152"/>
      <c r="BL61" s="149" t="s">
        <v>30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279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30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98</v>
      </c>
      <c r="AC63" s="249"/>
      <c r="AD63" s="249"/>
      <c r="AE63" s="249"/>
      <c r="AF63" s="250"/>
      <c r="AG63" s="330" t="s">
        <v>145</v>
      </c>
      <c r="AH63" s="249"/>
      <c r="AI63" s="249"/>
      <c r="AJ63" s="250"/>
      <c r="AK63" s="330" t="s">
        <v>142</v>
      </c>
      <c r="AL63" s="249"/>
      <c r="AM63" s="249"/>
      <c r="AN63" s="250"/>
      <c r="AO63" s="248" t="s">
        <v>143</v>
      </c>
      <c r="AP63" s="249"/>
      <c r="AQ63" s="249"/>
      <c r="AR63" s="250"/>
      <c r="AS63" s="248" t="s">
        <v>82</v>
      </c>
      <c r="AT63" s="249"/>
      <c r="AU63" s="249"/>
      <c r="AV63" s="249"/>
      <c r="AW63" s="248" t="s">
        <v>100</v>
      </c>
      <c r="AX63" s="249"/>
      <c r="AY63" s="249"/>
      <c r="AZ63" s="250"/>
      <c r="BA63" s="248" t="s">
        <v>101</v>
      </c>
      <c r="BB63" s="249"/>
      <c r="BC63" s="249"/>
      <c r="BD63" s="250"/>
      <c r="BE63" s="251" t="s">
        <v>30</v>
      </c>
      <c r="BF63" s="249"/>
      <c r="BG63" s="250"/>
      <c r="BH63" s="249"/>
      <c r="BI63" s="249"/>
      <c r="BJ63" s="249"/>
      <c r="BK63" s="250"/>
      <c r="BL63" s="251" t="s">
        <v>30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970"/>
      <c r="Y64" s="971"/>
      <c r="Z64" s="971"/>
      <c r="AA64" s="972"/>
      <c r="AB64" s="987">
        <f>SUMPRODUCT($T$57:$W$58,$AK$57:$AN$58)</f>
        <v>1350000</v>
      </c>
      <c r="AC64" s="988"/>
      <c r="AD64" s="988"/>
      <c r="AE64" s="988"/>
      <c r="AF64" s="989"/>
      <c r="AG64" s="958">
        <f>SUM(AM$42:AP$43)</f>
        <v>1279.5</v>
      </c>
      <c r="AH64" s="959"/>
      <c r="AI64" s="959"/>
      <c r="AJ64" s="960"/>
      <c r="AK64" s="958">
        <f>$AB64-SUMPRODUCT($R$42:$U$43,$AM$42:$AP$43)</f>
        <v>312235</v>
      </c>
      <c r="AL64" s="959"/>
      <c r="AM64" s="959"/>
      <c r="AN64" s="960"/>
      <c r="AO64" s="961">
        <f>$AK64/($AB64-$AK64)</f>
        <v>0.30087254821660009</v>
      </c>
      <c r="AP64" s="962"/>
      <c r="AQ64" s="962"/>
      <c r="AR64" s="963"/>
      <c r="AS64" s="961">
        <f>AW64/($AB64-AW64)</f>
        <v>-0.3273542600896861</v>
      </c>
      <c r="AT64" s="962"/>
      <c r="AU64" s="962"/>
      <c r="AV64" s="963"/>
      <c r="AW64" s="964">
        <f>$T$57*($AK$57-$AG$57)+$T$58*($AK$58-$AG$58)</f>
        <v>-657000</v>
      </c>
      <c r="AX64" s="965"/>
      <c r="AY64" s="965"/>
      <c r="AZ64" s="966"/>
      <c r="BA64" s="952">
        <f>SUMPRODUCT($T$57:$W$58,$AG$57:$AJ$58)</f>
        <v>2007000</v>
      </c>
      <c r="BB64" s="953"/>
      <c r="BC64" s="953"/>
      <c r="BD64" s="954"/>
      <c r="BE64" s="149" t="s">
        <v>30</v>
      </c>
      <c r="BF64" s="150"/>
      <c r="BG64" s="152"/>
      <c r="BH64" s="149" t="s">
        <v>30</v>
      </c>
      <c r="BI64" s="150"/>
      <c r="BJ64" s="150"/>
      <c r="BK64" s="152"/>
      <c r="BL64" s="149" t="s">
        <v>30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984"/>
      <c r="K68" s="985"/>
      <c r="L68" s="985"/>
      <c r="M68" s="985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986"/>
      <c r="K70" s="986"/>
      <c r="L70" s="986"/>
      <c r="M70" s="986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5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994"/>
      <c r="K77" s="994"/>
      <c r="L77" s="994"/>
      <c r="M77" s="994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51"/>
      <c r="K78" s="951"/>
      <c r="L78" s="951"/>
      <c r="M78" s="951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990"/>
      <c r="K80" s="990"/>
      <c r="L80" s="990"/>
      <c r="M80" s="990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51"/>
      <c r="K86" s="951"/>
      <c r="L86" s="951"/>
      <c r="M86" s="951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51"/>
      <c r="K94" s="951"/>
      <c r="L94" s="951"/>
      <c r="M94" s="951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51"/>
      <c r="K103" s="951"/>
      <c r="L103" s="951"/>
      <c r="M103" s="951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51"/>
      <c r="K104" s="951"/>
      <c r="L104" s="951"/>
      <c r="M104" s="951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W61:AZ61"/>
    <mergeCell ref="BA61:BD61"/>
    <mergeCell ref="X61:AA61"/>
    <mergeCell ref="AB61:AF61"/>
    <mergeCell ref="AG61:AJ61"/>
    <mergeCell ref="AK61:AN61"/>
    <mergeCell ref="AO61:AR61"/>
  </mergeCells>
  <phoneticPr fontId="56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7" t="s">
        <v>4</v>
      </c>
      <c r="B1" s="757"/>
      <c r="C1" s="757"/>
      <c r="D1" s="757"/>
      <c r="E1" s="757"/>
      <c r="F1" s="757"/>
      <c r="G1" s="757"/>
      <c r="H1" s="757"/>
      <c r="I1" s="740" t="s">
        <v>5</v>
      </c>
      <c r="J1" s="740"/>
      <c r="K1" s="740"/>
      <c r="L1" s="740"/>
      <c r="M1" s="755" t="str">
        <f>変更来歴!M1</f>
        <v>ヒロセ電機株式会社</v>
      </c>
      <c r="N1" s="755"/>
      <c r="O1" s="755"/>
      <c r="P1" s="755"/>
      <c r="Q1" s="755"/>
      <c r="R1" s="755"/>
      <c r="S1" s="755"/>
      <c r="T1" s="755"/>
      <c r="U1" s="755"/>
      <c r="V1" s="755"/>
      <c r="W1" s="755"/>
      <c r="X1" s="740" t="s">
        <v>7</v>
      </c>
      <c r="Y1" s="740"/>
      <c r="Z1" s="740"/>
      <c r="AA1" s="759" t="str">
        <f>変更来歴!AA1</f>
        <v>化学物質データ申請</v>
      </c>
      <c r="AB1" s="759"/>
      <c r="AC1" s="759"/>
      <c r="AD1" s="759"/>
      <c r="AE1" s="759"/>
      <c r="AF1" s="759"/>
      <c r="AG1" s="759"/>
      <c r="AH1" s="759"/>
      <c r="AI1" s="759"/>
      <c r="AJ1" s="759"/>
      <c r="AK1" s="744" t="s">
        <v>8</v>
      </c>
      <c r="AL1" s="744"/>
      <c r="AM1" s="744"/>
      <c r="AN1" s="745" t="str">
        <f>変更来歴!AP7</f>
        <v>古竹</v>
      </c>
      <c r="AO1" s="745"/>
      <c r="AP1" s="745"/>
      <c r="AQ1" s="745"/>
      <c r="AR1" s="745"/>
      <c r="AS1" s="744" t="s">
        <v>9</v>
      </c>
      <c r="AT1" s="744"/>
      <c r="AU1" s="744"/>
      <c r="AV1" s="747">
        <f>変更来歴!AL7</f>
        <v>46125</v>
      </c>
      <c r="AW1" s="760"/>
      <c r="AX1" s="760"/>
      <c r="AY1" s="760"/>
      <c r="AZ1" s="736" t="s">
        <v>10</v>
      </c>
      <c r="BA1" s="737"/>
      <c r="BB1" s="737"/>
      <c r="BC1" s="738"/>
    </row>
    <row r="2" spans="1:59">
      <c r="A2" s="739" t="s">
        <v>16</v>
      </c>
      <c r="B2" s="739"/>
      <c r="C2" s="739"/>
      <c r="D2" s="739"/>
      <c r="E2" s="739"/>
      <c r="F2" s="739"/>
      <c r="G2" s="739"/>
      <c r="H2" s="739"/>
      <c r="I2" s="740" t="s">
        <v>11</v>
      </c>
      <c r="J2" s="740"/>
      <c r="K2" s="740"/>
      <c r="L2" s="740"/>
      <c r="M2" s="789" t="str">
        <f>変更来歴!M2</f>
        <v>　</v>
      </c>
      <c r="N2" s="789"/>
      <c r="O2" s="789"/>
      <c r="P2" s="789"/>
      <c r="Q2" s="789"/>
      <c r="R2" s="789"/>
      <c r="S2" s="789"/>
      <c r="T2" s="789"/>
      <c r="U2" s="789"/>
      <c r="V2" s="789"/>
      <c r="W2" s="789"/>
      <c r="X2" s="740"/>
      <c r="Y2" s="740"/>
      <c r="Z2" s="740"/>
      <c r="AA2" s="759"/>
      <c r="AB2" s="759"/>
      <c r="AC2" s="759"/>
      <c r="AD2" s="759"/>
      <c r="AE2" s="759"/>
      <c r="AF2" s="759"/>
      <c r="AG2" s="759"/>
      <c r="AH2" s="759"/>
      <c r="AI2" s="759"/>
      <c r="AJ2" s="759"/>
      <c r="AK2" s="744" t="s">
        <v>12</v>
      </c>
      <c r="AL2" s="744"/>
      <c r="AM2" s="744"/>
      <c r="AN2" s="745" t="str">
        <f ca="1">INDIRECT("変更来歴!AP" &amp; COUNTA(変更来歴!AP7:'変更来歴'!AP39) + 6)</f>
        <v>古竹</v>
      </c>
      <c r="AO2" s="745"/>
      <c r="AP2" s="745"/>
      <c r="AQ2" s="745"/>
      <c r="AR2" s="745"/>
      <c r="AS2" s="744" t="s">
        <v>13</v>
      </c>
      <c r="AT2" s="744"/>
      <c r="AU2" s="744"/>
      <c r="AV2" s="747">
        <f ca="1">INDIRECT("変更来歴!AL" &amp; COUNTA(変更来歴!AL7:'変更来歴'!AL39) + 6)</f>
        <v>46162</v>
      </c>
      <c r="AW2" s="760"/>
      <c r="AX2" s="760"/>
      <c r="AY2" s="760"/>
      <c r="AZ2" s="748" t="str">
        <f>変更来歴!AX2</f>
        <v>IMWF-53</v>
      </c>
      <c r="BA2" s="749"/>
      <c r="BB2" s="749"/>
      <c r="BC2" s="750"/>
    </row>
    <row r="3" spans="1:59" ht="12" customHeight="1">
      <c r="A3" s="754" t="str">
        <f>変更来歴!A3</f>
        <v>画面設計書</v>
      </c>
      <c r="B3" s="754"/>
      <c r="C3" s="754"/>
      <c r="D3" s="754"/>
      <c r="E3" s="754"/>
      <c r="F3" s="754"/>
      <c r="G3" s="754"/>
      <c r="H3" s="754"/>
      <c r="I3" s="740" t="s">
        <v>14</v>
      </c>
      <c r="J3" s="740"/>
      <c r="K3" s="740"/>
      <c r="L3" s="740"/>
      <c r="M3" s="755" t="str">
        <f ca="1">RIGHT(CELL("filename",A1),LEN(CELL("filename",A1))-FIND("]",CELL("filename",A1)))</f>
        <v>円(コリア原計)</v>
      </c>
      <c r="N3" s="755"/>
      <c r="O3" s="755"/>
      <c r="P3" s="755"/>
      <c r="Q3" s="755"/>
      <c r="R3" s="755"/>
      <c r="S3" s="755"/>
      <c r="T3" s="755"/>
      <c r="U3" s="755"/>
      <c r="V3" s="755"/>
      <c r="W3" s="755"/>
      <c r="X3" s="740" t="s">
        <v>27</v>
      </c>
      <c r="Y3" s="740"/>
      <c r="Z3" s="740"/>
      <c r="AA3" s="756" t="str">
        <f ca="1">MID(CELL("filename"),FIND("]",CELL("filename"))+1,LEN(CELL("filename"))) &amp; "画面"</f>
        <v>画面項目画面</v>
      </c>
      <c r="AB3" s="756"/>
      <c r="AC3" s="756"/>
      <c r="AD3" s="756"/>
      <c r="AE3" s="756"/>
      <c r="AF3" s="756"/>
      <c r="AG3" s="756"/>
      <c r="AH3" s="756"/>
      <c r="AI3" s="756"/>
      <c r="AJ3" s="756"/>
      <c r="AK3" s="756"/>
      <c r="AL3" s="756"/>
      <c r="AM3" s="756"/>
      <c r="AN3" s="756"/>
      <c r="AO3" s="756"/>
      <c r="AP3" s="756"/>
      <c r="AQ3" s="756"/>
      <c r="AR3" s="756"/>
      <c r="AS3" s="744" t="s">
        <v>15</v>
      </c>
      <c r="AT3" s="744"/>
      <c r="AU3" s="744"/>
      <c r="AV3" s="760" t="str">
        <f ca="1">INDIRECT("変更来歴!A" &amp; COUNTA(変更来歴!A7:'変更来歴'!A39) + 6)</f>
        <v>r1.2</v>
      </c>
      <c r="AW3" s="760"/>
      <c r="AX3" s="760"/>
      <c r="AY3" s="760"/>
      <c r="AZ3" s="751"/>
      <c r="BA3" s="752"/>
      <c r="BB3" s="752"/>
      <c r="BC3" s="753"/>
    </row>
    <row r="4" spans="1:59" ht="5.9" customHeight="1"/>
    <row r="5" spans="1:59" ht="13.5" customHeight="1">
      <c r="A5" s="793" t="str">
        <f ca="1">"画面レイアウト"&amp;"("&amp;MID(CELL("filename"),FIND("]",CELL("filename"))+1,LEN(CELL("filename")))&amp;")"</f>
        <v>画面レイアウト(画面項目)</v>
      </c>
      <c r="B5" s="794"/>
      <c r="C5" s="794"/>
      <c r="D5" s="794"/>
      <c r="E5" s="794"/>
      <c r="F5" s="794"/>
      <c r="G5" s="794"/>
      <c r="H5" s="794"/>
      <c r="I5" s="794"/>
      <c r="J5" s="794"/>
      <c r="K5" s="794"/>
      <c r="L5" s="794"/>
      <c r="M5" s="794"/>
      <c r="N5" s="794"/>
      <c r="O5" s="794"/>
      <c r="P5" s="794"/>
      <c r="Q5" s="794"/>
      <c r="R5" s="794"/>
      <c r="S5" s="794"/>
      <c r="T5" s="794"/>
      <c r="U5" s="794"/>
      <c r="V5" s="794"/>
      <c r="W5" s="794"/>
      <c r="X5" s="794"/>
      <c r="Y5" s="794"/>
      <c r="Z5" s="794"/>
      <c r="AA5" s="794"/>
      <c r="AB5" s="794"/>
      <c r="AC5" s="794"/>
      <c r="AD5" s="794"/>
      <c r="AE5" s="794"/>
      <c r="AF5" s="794"/>
      <c r="AG5" s="794"/>
      <c r="AH5" s="794"/>
      <c r="AI5" s="794"/>
      <c r="AJ5" s="794"/>
      <c r="AK5" s="794"/>
      <c r="AL5" s="794"/>
      <c r="AM5" s="794"/>
      <c r="AN5" s="794"/>
      <c r="AO5" s="794"/>
      <c r="AP5" s="794"/>
      <c r="AQ5" s="794"/>
      <c r="AR5" s="794"/>
      <c r="AS5" s="794"/>
      <c r="AT5" s="794"/>
      <c r="AU5" s="794"/>
      <c r="AV5" s="794"/>
      <c r="AW5" s="794"/>
      <c r="AX5" s="794"/>
      <c r="AY5" s="794"/>
      <c r="AZ5" s="794"/>
      <c r="BA5" s="795"/>
      <c r="BB5" s="790" t="s">
        <v>24</v>
      </c>
      <c r="BC5" s="791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264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282</v>
      </c>
      <c r="D39" s="28"/>
      <c r="E39" s="28"/>
      <c r="F39" s="28"/>
      <c r="G39" s="86" t="s">
        <v>277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32</v>
      </c>
      <c r="D40" s="205" t="s">
        <v>262</v>
      </c>
      <c r="E40" s="206"/>
      <c r="F40" s="206"/>
      <c r="G40" s="207"/>
      <c r="H40" s="208" t="s">
        <v>276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148</v>
      </c>
      <c r="E41" s="149"/>
      <c r="F41" s="149"/>
      <c r="G41" s="151"/>
      <c r="H41" s="1001">
        <v>110</v>
      </c>
      <c r="I41" s="971"/>
      <c r="J41" s="971"/>
      <c r="K41" s="971"/>
      <c r="L41" s="972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263</v>
      </c>
      <c r="E42" s="149"/>
      <c r="F42" s="149"/>
      <c r="G42" s="151"/>
      <c r="H42" s="1001">
        <v>125</v>
      </c>
      <c r="I42" s="971"/>
      <c r="J42" s="971"/>
      <c r="K42" s="971"/>
      <c r="L42" s="972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15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63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15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288</v>
      </c>
      <c r="E47" s="28"/>
      <c r="F47" s="28"/>
      <c r="G47" s="28"/>
      <c r="H47" s="86" t="s">
        <v>146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32</v>
      </c>
      <c r="D48" s="205" t="s">
        <v>64</v>
      </c>
      <c r="E48" s="206"/>
      <c r="F48" s="206"/>
      <c r="G48" s="207"/>
      <c r="H48" s="208" t="s">
        <v>73</v>
      </c>
      <c r="I48" s="209"/>
      <c r="J48" s="209"/>
      <c r="K48" s="209"/>
      <c r="L48" s="206"/>
      <c r="M48" s="207"/>
      <c r="N48" s="205" t="s">
        <v>74</v>
      </c>
      <c r="O48" s="206"/>
      <c r="P48" s="206"/>
      <c r="Q48" s="207"/>
      <c r="R48" s="205" t="s">
        <v>75</v>
      </c>
      <c r="S48" s="206"/>
      <c r="T48" s="206"/>
      <c r="U48" s="206"/>
      <c r="V48" s="210" t="s">
        <v>292</v>
      </c>
      <c r="W48" s="211"/>
      <c r="X48" s="211"/>
      <c r="Y48" s="212"/>
      <c r="Z48" s="210" t="s">
        <v>150</v>
      </c>
      <c r="AA48" s="211"/>
      <c r="AB48" s="211"/>
      <c r="AC48" s="212"/>
      <c r="AD48" s="210" t="s">
        <v>293</v>
      </c>
      <c r="AE48" s="211"/>
      <c r="AF48" s="211"/>
      <c r="AG48" s="212"/>
      <c r="AH48" s="211" t="s">
        <v>76</v>
      </c>
      <c r="AI48" s="211"/>
      <c r="AJ48" s="211"/>
      <c r="AK48" s="212"/>
      <c r="AL48" s="211" t="s">
        <v>89</v>
      </c>
      <c r="AM48" s="211"/>
      <c r="AN48" s="211"/>
      <c r="AO48" s="212"/>
      <c r="AP48" s="210" t="s">
        <v>153</v>
      </c>
      <c r="AQ48" s="211"/>
      <c r="AR48" s="211"/>
      <c r="AS48" s="211"/>
      <c r="AT48" s="210" t="s">
        <v>154</v>
      </c>
      <c r="AU48" s="211"/>
      <c r="AV48" s="211"/>
      <c r="AW48" s="211"/>
      <c r="AX48" s="210" t="s">
        <v>83</v>
      </c>
      <c r="AY48" s="211"/>
      <c r="AZ48" s="211"/>
      <c r="BA48" s="212"/>
      <c r="BB48" s="210" t="s">
        <v>87</v>
      </c>
      <c r="BC48" s="211"/>
      <c r="BD48" s="211"/>
      <c r="BE48" s="212"/>
      <c r="BF48" s="210" t="s">
        <v>156</v>
      </c>
      <c r="BG48" s="211"/>
      <c r="BH48" s="211"/>
      <c r="BI48" s="212"/>
      <c r="BJ48" s="305" t="s">
        <v>86</v>
      </c>
      <c r="BK48" s="211"/>
      <c r="BL48" s="211"/>
      <c r="BM48" s="212"/>
      <c r="BN48" s="211" t="s">
        <v>69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30</v>
      </c>
      <c r="E49" s="216"/>
      <c r="F49" s="214"/>
      <c r="G49" s="215"/>
      <c r="H49" s="213" t="s">
        <v>30</v>
      </c>
      <c r="I49" s="216"/>
      <c r="J49" s="216"/>
      <c r="K49" s="216"/>
      <c r="L49" s="214"/>
      <c r="M49" s="215"/>
      <c r="N49" s="213" t="s">
        <v>30</v>
      </c>
      <c r="O49" s="214"/>
      <c r="P49" s="214"/>
      <c r="Q49" s="215"/>
      <c r="R49" s="213" t="s">
        <v>30</v>
      </c>
      <c r="S49" s="216"/>
      <c r="T49" s="214"/>
      <c r="U49" s="214"/>
      <c r="V49" s="217" t="s">
        <v>43</v>
      </c>
      <c r="W49" s="218"/>
      <c r="X49" s="219"/>
      <c r="Y49" s="220"/>
      <c r="Z49" s="217" t="s">
        <v>30</v>
      </c>
      <c r="AA49" s="218"/>
      <c r="AB49" s="219"/>
      <c r="AC49" s="220"/>
      <c r="AD49" s="217" t="s">
        <v>43</v>
      </c>
      <c r="AE49" s="218"/>
      <c r="AF49" s="219"/>
      <c r="AG49" s="220"/>
      <c r="AH49" s="218" t="s">
        <v>30</v>
      </c>
      <c r="AI49" s="500"/>
      <c r="AJ49" s="219"/>
      <c r="AK49" s="220"/>
      <c r="AL49" s="500"/>
      <c r="AM49" s="218"/>
      <c r="AN49" s="219"/>
      <c r="AO49" s="220"/>
      <c r="AP49" s="217" t="s">
        <v>43</v>
      </c>
      <c r="AQ49" s="218"/>
      <c r="AR49" s="219"/>
      <c r="AS49" s="219"/>
      <c r="AT49" s="217" t="s">
        <v>155</v>
      </c>
      <c r="AU49" s="218"/>
      <c r="AV49" s="219"/>
      <c r="AW49" s="219"/>
      <c r="AX49" s="217" t="s">
        <v>155</v>
      </c>
      <c r="AY49" s="218"/>
      <c r="AZ49" s="219"/>
      <c r="BA49" s="220"/>
      <c r="BB49" s="217" t="s">
        <v>88</v>
      </c>
      <c r="BC49" s="218"/>
      <c r="BD49" s="219"/>
      <c r="BE49" s="220"/>
      <c r="BF49" s="217" t="s">
        <v>157</v>
      </c>
      <c r="BG49" s="218"/>
      <c r="BH49" s="219"/>
      <c r="BI49" s="220"/>
      <c r="BJ49" s="307" t="s">
        <v>43</v>
      </c>
      <c r="BK49" s="218"/>
      <c r="BL49" s="219"/>
      <c r="BM49" s="220"/>
      <c r="BN49" s="218" t="s">
        <v>43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158</v>
      </c>
      <c r="E50" s="149"/>
      <c r="F50" s="149"/>
      <c r="G50" s="151"/>
      <c r="H50" s="242" t="s">
        <v>159</v>
      </c>
      <c r="I50" s="150"/>
      <c r="J50" s="150"/>
      <c r="K50" s="150"/>
      <c r="L50" s="161"/>
      <c r="M50" s="162"/>
      <c r="N50" s="242" t="s">
        <v>160</v>
      </c>
      <c r="O50" s="150"/>
      <c r="P50" s="150"/>
      <c r="Q50" s="99" t="s">
        <v>33</v>
      </c>
      <c r="R50" s="981">
        <v>70000</v>
      </c>
      <c r="S50" s="982"/>
      <c r="T50" s="982"/>
      <c r="U50" s="983"/>
      <c r="V50" s="148" t="s">
        <v>148</v>
      </c>
      <c r="W50" s="150"/>
      <c r="X50" s="150"/>
      <c r="Y50" s="99" t="s">
        <v>33</v>
      </c>
      <c r="Z50" s="995">
        <v>6.7299999999999999E-2</v>
      </c>
      <c r="AA50" s="996"/>
      <c r="AB50" s="996"/>
      <c r="AC50" s="997"/>
      <c r="AD50" s="148" t="s">
        <v>148</v>
      </c>
      <c r="AE50" s="150"/>
      <c r="AF50" s="150"/>
      <c r="AG50" s="99" t="s">
        <v>33</v>
      </c>
      <c r="AH50" s="995">
        <v>0.1211</v>
      </c>
      <c r="AI50" s="996"/>
      <c r="AJ50" s="996"/>
      <c r="AK50" s="997"/>
      <c r="AL50" s="995"/>
      <c r="AM50" s="996"/>
      <c r="AN50" s="996"/>
      <c r="AO50" s="997"/>
      <c r="AP50" s="998">
        <v>0.01</v>
      </c>
      <c r="AQ50" s="999"/>
      <c r="AR50" s="999"/>
      <c r="AS50" s="1000"/>
      <c r="AT50" s="995">
        <v>0.13589999999999999</v>
      </c>
      <c r="AU50" s="996"/>
      <c r="AV50" s="996"/>
      <c r="AW50" s="997"/>
      <c r="AX50" s="995">
        <v>0.151</v>
      </c>
      <c r="AY50" s="996"/>
      <c r="AZ50" s="996"/>
      <c r="BA50" s="997"/>
      <c r="BB50" s="995">
        <v>0.151</v>
      </c>
      <c r="BC50" s="996"/>
      <c r="BD50" s="996"/>
      <c r="BE50" s="997"/>
      <c r="BF50" s="995">
        <v>6.1000000000000004E-3</v>
      </c>
      <c r="BG50" s="996"/>
      <c r="BH50" s="996"/>
      <c r="BI50" s="997"/>
      <c r="BJ50" s="1005"/>
      <c r="BK50" s="1006"/>
      <c r="BL50" s="1006"/>
      <c r="BM50" s="1007"/>
      <c r="BN50" s="149" t="s">
        <v>30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33</v>
      </c>
      <c r="R51" s="981"/>
      <c r="S51" s="982"/>
      <c r="T51" s="982"/>
      <c r="U51" s="983"/>
      <c r="V51" s="148"/>
      <c r="W51" s="150"/>
      <c r="X51" s="150"/>
      <c r="Y51" s="99" t="s">
        <v>33</v>
      </c>
      <c r="Z51" s="970"/>
      <c r="AA51" s="979"/>
      <c r="AB51" s="979"/>
      <c r="AC51" s="980"/>
      <c r="AD51" s="148"/>
      <c r="AE51" s="150"/>
      <c r="AF51" s="150"/>
      <c r="AG51" s="99" t="s">
        <v>33</v>
      </c>
      <c r="AH51" s="970"/>
      <c r="AI51" s="979"/>
      <c r="AJ51" s="979"/>
      <c r="AK51" s="980"/>
      <c r="AL51" s="970"/>
      <c r="AM51" s="979"/>
      <c r="AN51" s="979"/>
      <c r="AO51" s="980"/>
      <c r="AP51" s="970"/>
      <c r="AQ51" s="979"/>
      <c r="AR51" s="979"/>
      <c r="AS51" s="980"/>
      <c r="AT51" s="970"/>
      <c r="AU51" s="979"/>
      <c r="AV51" s="979"/>
      <c r="AW51" s="980"/>
      <c r="AX51" s="970"/>
      <c r="AY51" s="979"/>
      <c r="AZ51" s="979"/>
      <c r="BA51" s="980"/>
      <c r="BB51" s="970"/>
      <c r="BC51" s="979"/>
      <c r="BD51" s="979"/>
      <c r="BE51" s="980"/>
      <c r="BF51" s="970"/>
      <c r="BG51" s="979"/>
      <c r="BH51" s="979"/>
      <c r="BI51" s="980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71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15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78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72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15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32</v>
      </c>
      <c r="D64" s="234" t="s">
        <v>260</v>
      </c>
      <c r="E64" s="235"/>
      <c r="F64" s="234" t="s">
        <v>64</v>
      </c>
      <c r="G64" s="235"/>
      <c r="H64" s="235"/>
      <c r="I64" s="236"/>
      <c r="J64" s="237" t="s">
        <v>34</v>
      </c>
      <c r="K64" s="238"/>
      <c r="L64" s="238"/>
      <c r="M64" s="238"/>
      <c r="N64" s="235"/>
      <c r="O64" s="236"/>
      <c r="P64" s="239" t="s">
        <v>67</v>
      </c>
      <c r="Q64" s="240"/>
      <c r="R64" s="240"/>
      <c r="S64" s="241"/>
      <c r="T64" s="234" t="s">
        <v>79</v>
      </c>
      <c r="U64" s="235"/>
      <c r="V64" s="235"/>
      <c r="W64" s="236"/>
      <c r="X64" s="234" t="s">
        <v>150</v>
      </c>
      <c r="Y64" s="235"/>
      <c r="Z64" s="235"/>
      <c r="AA64" s="235"/>
      <c r="AB64" s="239" t="s">
        <v>65</v>
      </c>
      <c r="AC64" s="240"/>
      <c r="AD64" s="240"/>
      <c r="AE64" s="240"/>
      <c r="AF64" s="241"/>
      <c r="AG64" s="240" t="s">
        <v>68</v>
      </c>
      <c r="AH64" s="240"/>
      <c r="AI64" s="240"/>
      <c r="AJ64" s="241"/>
      <c r="AK64" s="240" t="s">
        <v>66</v>
      </c>
      <c r="AL64" s="240"/>
      <c r="AM64" s="240"/>
      <c r="AN64" s="241"/>
      <c r="AO64" s="239" t="s">
        <v>161</v>
      </c>
      <c r="AP64" s="240"/>
      <c r="AQ64" s="240"/>
      <c r="AR64" s="241"/>
      <c r="AS64" s="239" t="s">
        <v>82</v>
      </c>
      <c r="AT64" s="240"/>
      <c r="AU64" s="240"/>
      <c r="AV64" s="240"/>
      <c r="AW64" s="357" t="s">
        <v>83</v>
      </c>
      <c r="AX64" s="240"/>
      <c r="AY64" s="240"/>
      <c r="AZ64" s="241"/>
      <c r="BA64" s="239" t="s">
        <v>84</v>
      </c>
      <c r="BB64" s="240"/>
      <c r="BC64" s="240"/>
      <c r="BD64" s="241"/>
      <c r="BE64" s="240" t="s">
        <v>85</v>
      </c>
      <c r="BF64" s="240"/>
      <c r="BG64" s="241"/>
      <c r="BH64" s="240" t="s">
        <v>86</v>
      </c>
      <c r="BI64" s="240"/>
      <c r="BJ64" s="240"/>
      <c r="BK64" s="241"/>
      <c r="BL64" s="240" t="s">
        <v>69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147</v>
      </c>
      <c r="Q65" s="150"/>
      <c r="R65" s="150"/>
      <c r="S65" s="162"/>
      <c r="T65" s="981">
        <f>R50</f>
        <v>70000</v>
      </c>
      <c r="U65" s="982"/>
      <c r="V65" s="982"/>
      <c r="W65" s="983"/>
      <c r="X65" s="1011">
        <f>SUM(Z50:AC51)</f>
        <v>6.7299999999999999E-2</v>
      </c>
      <c r="Y65" s="1012"/>
      <c r="Z65" s="1012"/>
      <c r="AA65" s="1013"/>
      <c r="AB65" s="1014">
        <f>BB50</f>
        <v>0.151</v>
      </c>
      <c r="AC65" s="1015"/>
      <c r="AD65" s="1015"/>
      <c r="AE65" s="1015"/>
      <c r="AF65" s="1016"/>
      <c r="AG65" s="995">
        <f>AL50</f>
        <v>0</v>
      </c>
      <c r="AH65" s="996"/>
      <c r="AI65" s="996"/>
      <c r="AJ65" s="997"/>
      <c r="AK65" s="995">
        <f>AH50</f>
        <v>0.1211</v>
      </c>
      <c r="AL65" s="996"/>
      <c r="AM65" s="996"/>
      <c r="AN65" s="997"/>
      <c r="AO65" s="976">
        <f>1-Z50/AT50</f>
        <v>0.50478292862398821</v>
      </c>
      <c r="AP65" s="977"/>
      <c r="AQ65" s="977"/>
      <c r="AR65" s="978"/>
      <c r="AS65" s="973" t="str">
        <f>IFERROR((AK65-AG65)/AG65,"")</f>
        <v/>
      </c>
      <c r="AT65" s="974"/>
      <c r="AU65" s="974"/>
      <c r="AV65" s="975"/>
      <c r="AW65" s="995">
        <f>AX50</f>
        <v>0.151</v>
      </c>
      <c r="AX65" s="996"/>
      <c r="AY65" s="996"/>
      <c r="AZ65" s="997"/>
      <c r="BA65" s="976">
        <f>1-(AH50/AX50)</f>
        <v>0.19801324503311257</v>
      </c>
      <c r="BB65" s="977"/>
      <c r="BC65" s="977"/>
      <c r="BD65" s="978"/>
      <c r="BE65" s="1011">
        <f>BF50</f>
        <v>6.1000000000000004E-3</v>
      </c>
      <c r="BF65" s="1012"/>
      <c r="BG65" s="1013"/>
      <c r="BH65" s="1005"/>
      <c r="BI65" s="1006"/>
      <c r="BJ65" s="1006"/>
      <c r="BK65" s="1007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30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981"/>
      <c r="U66" s="982"/>
      <c r="V66" s="982"/>
      <c r="W66" s="983"/>
      <c r="X66" s="970"/>
      <c r="Y66" s="979"/>
      <c r="Z66" s="979"/>
      <c r="AA66" s="980"/>
      <c r="AB66" s="1008"/>
      <c r="AC66" s="1009"/>
      <c r="AD66" s="1009"/>
      <c r="AE66" s="1009"/>
      <c r="AF66" s="1010"/>
      <c r="AG66" s="970"/>
      <c r="AH66" s="979"/>
      <c r="AI66" s="979"/>
      <c r="AJ66" s="980"/>
      <c r="AK66" s="970"/>
      <c r="AL66" s="979"/>
      <c r="AM66" s="979"/>
      <c r="AN66" s="980"/>
      <c r="AO66" s="976"/>
      <c r="AP66" s="977"/>
      <c r="AQ66" s="977"/>
      <c r="AR66" s="978"/>
      <c r="AS66" s="973"/>
      <c r="AT66" s="974"/>
      <c r="AU66" s="974"/>
      <c r="AV66" s="975"/>
      <c r="AW66" s="970"/>
      <c r="AX66" s="979"/>
      <c r="AY66" s="979"/>
      <c r="AZ66" s="980"/>
      <c r="BA66" s="976"/>
      <c r="BB66" s="977"/>
      <c r="BC66" s="977"/>
      <c r="BD66" s="978"/>
      <c r="BE66" s="967"/>
      <c r="BF66" s="968"/>
      <c r="BG66" s="969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281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280</v>
      </c>
      <c r="E68" s="503"/>
      <c r="F68" s="504" t="s">
        <v>294</v>
      </c>
      <c r="G68" s="503"/>
      <c r="H68" s="503"/>
      <c r="I68" s="505"/>
      <c r="J68" s="504" t="s">
        <v>30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102</v>
      </c>
      <c r="U68" s="503"/>
      <c r="V68" s="503"/>
      <c r="W68" s="509"/>
      <c r="X68" s="510" t="s">
        <v>234</v>
      </c>
      <c r="Y68" s="508"/>
      <c r="Z68" s="508"/>
      <c r="AA68" s="509"/>
      <c r="AB68" s="513" t="s">
        <v>30</v>
      </c>
      <c r="AC68" s="508"/>
      <c r="AD68" s="508"/>
      <c r="AE68" s="508"/>
      <c r="AF68" s="508"/>
      <c r="AG68" s="511" t="s">
        <v>163</v>
      </c>
      <c r="AH68" s="508"/>
      <c r="AI68" s="508"/>
      <c r="AJ68" s="509"/>
      <c r="AK68" s="514" t="s">
        <v>164</v>
      </c>
      <c r="AL68" s="508"/>
      <c r="AM68" s="508"/>
      <c r="AN68" s="509"/>
      <c r="AO68" s="507" t="s">
        <v>82</v>
      </c>
      <c r="AP68" s="508"/>
      <c r="AQ68" s="508"/>
      <c r="AR68" s="508"/>
      <c r="AS68" s="507" t="s">
        <v>100</v>
      </c>
      <c r="AT68" s="508"/>
      <c r="AU68" s="508"/>
      <c r="AV68" s="509"/>
      <c r="AW68" s="511" t="s">
        <v>30</v>
      </c>
      <c r="AX68" s="508"/>
      <c r="AY68" s="508"/>
      <c r="AZ68" s="509"/>
      <c r="BA68" s="511" t="s">
        <v>30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160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981">
        <f>SUMPRODUCT($T$65:$W$66,$AK$65:$AN$66)</f>
        <v>8477</v>
      </c>
      <c r="U69" s="982"/>
      <c r="V69" s="982"/>
      <c r="W69" s="983"/>
      <c r="X69" s="958">
        <f>SUMPRODUCT(R46:U47,Z46:AC47)</f>
        <v>0</v>
      </c>
      <c r="Y69" s="959"/>
      <c r="Z69" s="959"/>
      <c r="AA69" s="960"/>
      <c r="AB69" s="252"/>
      <c r="AC69" s="252"/>
      <c r="AD69" s="252"/>
      <c r="AE69" s="252"/>
      <c r="AF69" s="252"/>
      <c r="AG69" s="958">
        <f>$T69-$X69</f>
        <v>8477</v>
      </c>
      <c r="AH69" s="959"/>
      <c r="AI69" s="959"/>
      <c r="AJ69" s="960"/>
      <c r="AK69" s="1002">
        <f>AG69/T69</f>
        <v>1</v>
      </c>
      <c r="AL69" s="1003"/>
      <c r="AM69" s="1003"/>
      <c r="AN69" s="1004"/>
      <c r="AO69" s="961">
        <f>IFERROR(AS69/($T69-AS69),"")</f>
        <v>-0.5</v>
      </c>
      <c r="AP69" s="962"/>
      <c r="AQ69" s="962"/>
      <c r="AR69" s="963"/>
      <c r="AS69" s="964">
        <f>$T$65*($AG$65-$AK$65)+$T$66*($AG$66-$AK$66)</f>
        <v>-8477</v>
      </c>
      <c r="AT69" s="965"/>
      <c r="AU69" s="965"/>
      <c r="AV69" s="966"/>
      <c r="AW69" s="952"/>
      <c r="AX69" s="953"/>
      <c r="AY69" s="953"/>
      <c r="AZ69" s="954"/>
      <c r="BA69" s="148" t="s">
        <v>30</v>
      </c>
      <c r="BB69" s="150"/>
      <c r="BC69" s="150"/>
      <c r="BD69" s="152"/>
      <c r="BE69" s="149" t="s">
        <v>30</v>
      </c>
      <c r="BF69" s="150"/>
      <c r="BG69" s="152"/>
      <c r="BH69" s="149" t="s">
        <v>30</v>
      </c>
      <c r="BI69" s="150"/>
      <c r="BJ69" s="150"/>
      <c r="BK69" s="152"/>
      <c r="BL69" s="149" t="s">
        <v>30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160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981">
        <f>SUMPRODUCT($T$65:$W$66,$AK$65:$AN$66)</f>
        <v>8477</v>
      </c>
      <c r="U70" s="982"/>
      <c r="V70" s="982"/>
      <c r="W70" s="983"/>
      <c r="X70" s="958">
        <f>SUMPRODUCT(R47:U48,Z47:AC48)</f>
        <v>0</v>
      </c>
      <c r="Y70" s="959"/>
      <c r="Z70" s="959"/>
      <c r="AA70" s="960"/>
      <c r="AB70" s="252"/>
      <c r="AC70" s="252"/>
      <c r="AD70" s="252"/>
      <c r="AE70" s="252"/>
      <c r="AF70" s="252"/>
      <c r="AG70" s="958">
        <f>$T70-$X70</f>
        <v>8477</v>
      </c>
      <c r="AH70" s="959"/>
      <c r="AI70" s="959"/>
      <c r="AJ70" s="960"/>
      <c r="AK70" s="1002">
        <f>AG70/T70</f>
        <v>1</v>
      </c>
      <c r="AL70" s="1003"/>
      <c r="AM70" s="1003"/>
      <c r="AN70" s="1004"/>
      <c r="AO70" s="961">
        <f>IFERROR(AS70/($T70-AS70),"")</f>
        <v>-0.5</v>
      </c>
      <c r="AP70" s="962"/>
      <c r="AQ70" s="962"/>
      <c r="AR70" s="963"/>
      <c r="AS70" s="964">
        <f>$T$65*($AG$65-$AK$65)+$T$66*($AG$66-$AK$66)</f>
        <v>-8477</v>
      </c>
      <c r="AT70" s="965"/>
      <c r="AU70" s="965"/>
      <c r="AV70" s="966"/>
      <c r="AW70" s="952"/>
      <c r="AX70" s="953"/>
      <c r="AY70" s="953"/>
      <c r="AZ70" s="954"/>
      <c r="BA70" s="148" t="s">
        <v>30</v>
      </c>
      <c r="BB70" s="150"/>
      <c r="BC70" s="150"/>
      <c r="BD70" s="152"/>
      <c r="BE70" s="149" t="s">
        <v>30</v>
      </c>
      <c r="BF70" s="150"/>
      <c r="BG70" s="152"/>
      <c r="BH70" s="149" t="s">
        <v>30</v>
      </c>
      <c r="BI70" s="150"/>
      <c r="BJ70" s="150"/>
      <c r="BK70" s="152"/>
      <c r="BL70" s="149" t="s">
        <v>30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296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102</v>
      </c>
      <c r="U72" s="244"/>
      <c r="V72" s="244"/>
      <c r="W72" s="250"/>
      <c r="X72" s="330" t="s">
        <v>234</v>
      </c>
      <c r="Y72" s="249"/>
      <c r="Z72" s="249"/>
      <c r="AA72" s="250"/>
      <c r="AB72" s="251" t="s">
        <v>30</v>
      </c>
      <c r="AC72" s="249"/>
      <c r="AD72" s="249"/>
      <c r="AE72" s="249"/>
      <c r="AF72" s="249"/>
      <c r="AG72" s="253" t="s">
        <v>163</v>
      </c>
      <c r="AH72" s="249"/>
      <c r="AI72" s="249"/>
      <c r="AJ72" s="250"/>
      <c r="AK72" s="358" t="s">
        <v>164</v>
      </c>
      <c r="AL72" s="249"/>
      <c r="AM72" s="249"/>
      <c r="AN72" s="250"/>
      <c r="AO72" s="248" t="s">
        <v>82</v>
      </c>
      <c r="AP72" s="249"/>
      <c r="AQ72" s="249"/>
      <c r="AR72" s="249"/>
      <c r="AS72" s="248" t="s">
        <v>100</v>
      </c>
      <c r="AT72" s="249"/>
      <c r="AU72" s="249"/>
      <c r="AV72" s="250"/>
      <c r="AW72" s="253" t="s">
        <v>30</v>
      </c>
      <c r="AX72" s="249"/>
      <c r="AY72" s="249"/>
      <c r="AZ72" s="250"/>
      <c r="BA72" s="253" t="s">
        <v>30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148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981">
        <f>SUMPRODUCT($T$65:$W$66,$AK$65:$AN$66)</f>
        <v>8477</v>
      </c>
      <c r="U73" s="982"/>
      <c r="V73" s="982"/>
      <c r="W73" s="983"/>
      <c r="X73" s="958">
        <f>SUMPRODUCT(R49:U50,Z49:AC50)</f>
        <v>4711</v>
      </c>
      <c r="Y73" s="959"/>
      <c r="Z73" s="959"/>
      <c r="AA73" s="960"/>
      <c r="AB73" s="252"/>
      <c r="AC73" s="252"/>
      <c r="AD73" s="252"/>
      <c r="AE73" s="252"/>
      <c r="AF73" s="252"/>
      <c r="AG73" s="958">
        <f>$T73-$X73</f>
        <v>3766</v>
      </c>
      <c r="AH73" s="959"/>
      <c r="AI73" s="959"/>
      <c r="AJ73" s="960"/>
      <c r="AK73" s="1002">
        <f>AG73/T73</f>
        <v>0.44426094137076794</v>
      </c>
      <c r="AL73" s="1003"/>
      <c r="AM73" s="1003"/>
      <c r="AN73" s="1004"/>
      <c r="AO73" s="961">
        <f>IFERROR(AS73/($T73-AS73),"")</f>
        <v>-0.5</v>
      </c>
      <c r="AP73" s="962"/>
      <c r="AQ73" s="962"/>
      <c r="AR73" s="963"/>
      <c r="AS73" s="964">
        <f>$T$65*($AG$65-$AK$65)+$T$66*($AG$66-$AK$66)</f>
        <v>-8477</v>
      </c>
      <c r="AT73" s="965"/>
      <c r="AU73" s="965"/>
      <c r="AV73" s="966"/>
      <c r="AW73" s="952"/>
      <c r="AX73" s="953"/>
      <c r="AY73" s="953"/>
      <c r="AZ73" s="954"/>
      <c r="BA73" s="148" t="s">
        <v>30</v>
      </c>
      <c r="BB73" s="150"/>
      <c r="BC73" s="150"/>
      <c r="BD73" s="152"/>
      <c r="BE73" s="149" t="s">
        <v>30</v>
      </c>
      <c r="BF73" s="150"/>
      <c r="BG73" s="152"/>
      <c r="BH73" s="149" t="s">
        <v>30</v>
      </c>
      <c r="BI73" s="150"/>
      <c r="BJ73" s="150"/>
      <c r="BK73" s="152"/>
      <c r="BL73" s="149" t="s">
        <v>30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207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981">
        <f>SUMPRODUCT($T$65:$W$66,$AK$65:$AN$66)</f>
        <v>8477</v>
      </c>
      <c r="U74" s="982"/>
      <c r="V74" s="982"/>
      <c r="W74" s="983"/>
      <c r="X74" s="958">
        <f>SUMPRODUCT(R50:U51,Z50:AC51)</f>
        <v>4711</v>
      </c>
      <c r="Y74" s="959"/>
      <c r="Z74" s="959"/>
      <c r="AA74" s="960"/>
      <c r="AB74" s="252"/>
      <c r="AC74" s="252"/>
      <c r="AD74" s="252"/>
      <c r="AE74" s="252"/>
      <c r="AF74" s="252"/>
      <c r="AG74" s="958">
        <f>$T74-$X74</f>
        <v>3766</v>
      </c>
      <c r="AH74" s="959"/>
      <c r="AI74" s="959"/>
      <c r="AJ74" s="960"/>
      <c r="AK74" s="1002">
        <f>AG74/T74</f>
        <v>0.44426094137076794</v>
      </c>
      <c r="AL74" s="1003"/>
      <c r="AM74" s="1003"/>
      <c r="AN74" s="1004"/>
      <c r="AO74" s="961">
        <f>IFERROR(AS74/($T74-AS74),"")</f>
        <v>-0.5</v>
      </c>
      <c r="AP74" s="962"/>
      <c r="AQ74" s="962"/>
      <c r="AR74" s="963"/>
      <c r="AS74" s="964">
        <f>$T$65*($AG$65-$AK$65)+$T$66*($AG$66-$AK$66)</f>
        <v>-8477</v>
      </c>
      <c r="AT74" s="965"/>
      <c r="AU74" s="965"/>
      <c r="AV74" s="966"/>
      <c r="AW74" s="952"/>
      <c r="AX74" s="953"/>
      <c r="AY74" s="953"/>
      <c r="AZ74" s="954"/>
      <c r="BA74" s="148" t="s">
        <v>30</v>
      </c>
      <c r="BB74" s="150"/>
      <c r="BC74" s="150"/>
      <c r="BD74" s="152"/>
      <c r="BE74" s="149" t="s">
        <v>30</v>
      </c>
      <c r="BF74" s="150"/>
      <c r="BG74" s="152"/>
      <c r="BH74" s="149" t="s">
        <v>30</v>
      </c>
      <c r="BI74" s="150"/>
      <c r="BJ74" s="150"/>
      <c r="BK74" s="152"/>
      <c r="BL74" s="149" t="s">
        <v>30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984"/>
      <c r="K78" s="985"/>
      <c r="L78" s="985"/>
      <c r="M78" s="985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15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986"/>
      <c r="K80" s="986"/>
      <c r="L80" s="986"/>
      <c r="M80" s="986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5" customHeight="1">
      <c r="A81" s="22"/>
      <c r="B81" s="129"/>
      <c r="C81" s="346" t="s">
        <v>131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15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5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5" customHeight="1">
      <c r="A84" s="23"/>
      <c r="B84" s="351"/>
      <c r="C84" s="352"/>
      <c r="D84" s="348" t="s">
        <v>38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40</v>
      </c>
      <c r="S84" s="134"/>
      <c r="T84" s="107"/>
      <c r="U84" s="107"/>
      <c r="V84" s="133" t="s">
        <v>44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45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41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15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5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994"/>
      <c r="K87" s="994"/>
      <c r="L87" s="994"/>
      <c r="M87" s="994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5" customHeight="1">
      <c r="A88" s="22"/>
      <c r="B88" s="202">
        <v>35</v>
      </c>
      <c r="C88" s="346" t="s">
        <v>247</v>
      </c>
      <c r="D88" s="332"/>
      <c r="E88" s="65"/>
      <c r="F88" s="65"/>
      <c r="G88" s="65"/>
      <c r="H88" s="65"/>
      <c r="I88" s="65"/>
      <c r="J88" s="951"/>
      <c r="K88" s="951"/>
      <c r="L88" s="951"/>
      <c r="M88" s="951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5" customHeight="1">
      <c r="A89" s="22"/>
      <c r="B89" s="202">
        <v>35</v>
      </c>
      <c r="C89" s="331"/>
      <c r="D89" s="478" t="s">
        <v>248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5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990"/>
      <c r="K90" s="990"/>
      <c r="L90" s="990"/>
      <c r="M90" s="990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15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5" customHeight="1">
      <c r="A92" s="23"/>
      <c r="B92" s="351"/>
      <c r="C92" s="282"/>
      <c r="D92" s="28" t="s">
        <v>240</v>
      </c>
      <c r="E92" s="28"/>
      <c r="F92" s="28"/>
      <c r="G92" s="28"/>
      <c r="H92" s="468" t="s">
        <v>245</v>
      </c>
      <c r="I92" s="257"/>
      <c r="J92" s="258"/>
      <c r="K92" s="258"/>
      <c r="L92" s="258"/>
      <c r="M92" s="259"/>
      <c r="N92" s="258"/>
      <c r="O92" s="110"/>
      <c r="P92" s="261" t="s">
        <v>33</v>
      </c>
      <c r="Q92" s="25"/>
      <c r="R92" s="469" t="s">
        <v>246</v>
      </c>
      <c r="S92" s="470"/>
      <c r="T92" s="471"/>
      <c r="U92" s="471"/>
      <c r="V92" s="483"/>
      <c r="W92" s="472"/>
      <c r="X92" s="471"/>
      <c r="Y92" s="473"/>
      <c r="Z92" s="474"/>
      <c r="AB92" s="469" t="s">
        <v>289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5" customHeight="1">
      <c r="A93" s="23"/>
      <c r="B93" s="351"/>
      <c r="C93" s="282"/>
      <c r="D93" s="28"/>
      <c r="E93" s="28"/>
      <c r="F93" s="28"/>
      <c r="G93" s="28"/>
      <c r="H93" s="469" t="s">
        <v>54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15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15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5" customHeight="1">
      <c r="A96" s="22"/>
      <c r="B96" s="202">
        <v>35</v>
      </c>
      <c r="C96" s="62" t="s">
        <v>243</v>
      </c>
      <c r="D96" s="332"/>
      <c r="E96" s="65"/>
      <c r="F96" s="65"/>
      <c r="G96" s="65"/>
      <c r="H96" s="65"/>
      <c r="I96" s="65"/>
      <c r="J96" s="951"/>
      <c r="K96" s="951"/>
      <c r="L96" s="951"/>
      <c r="M96" s="951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15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5" customHeight="1">
      <c r="A98" s="23"/>
      <c r="B98" s="351"/>
      <c r="C98" s="282"/>
      <c r="D98" s="28" t="s">
        <v>240</v>
      </c>
      <c r="E98" s="28"/>
      <c r="F98" s="28"/>
      <c r="G98" s="28"/>
      <c r="H98" s="468" t="s">
        <v>241</v>
      </c>
      <c r="I98" s="257"/>
      <c r="J98" s="258"/>
      <c r="K98" s="258"/>
      <c r="L98" s="258"/>
      <c r="M98" s="259"/>
      <c r="N98" s="258"/>
      <c r="O98" s="110"/>
      <c r="P98" s="261" t="s">
        <v>33</v>
      </c>
      <c r="Q98" s="25"/>
      <c r="R98" s="469" t="s">
        <v>242</v>
      </c>
      <c r="S98" s="470"/>
      <c r="T98" s="471"/>
      <c r="U98" s="471"/>
      <c r="V98" s="483"/>
      <c r="W98" s="484" t="s">
        <v>254</v>
      </c>
      <c r="X98" s="471"/>
      <c r="Y98" s="473"/>
      <c r="Z98" s="474"/>
      <c r="AB98" s="529" t="s">
        <v>290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5" customHeight="1">
      <c r="A99" s="23"/>
      <c r="B99" s="351"/>
      <c r="C99" s="282"/>
      <c r="D99" s="28"/>
      <c r="E99" s="28"/>
      <c r="F99" s="28"/>
      <c r="G99" s="28"/>
      <c r="H99" s="469" t="s">
        <v>253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15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15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5" customHeight="1">
      <c r="A102" s="22"/>
      <c r="B102" s="202">
        <v>35</v>
      </c>
      <c r="C102" s="62" t="s">
        <v>243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5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46" t="s">
        <v>249</v>
      </c>
      <c r="D104" s="332"/>
      <c r="E104" s="65"/>
      <c r="F104" s="65"/>
      <c r="G104" s="65"/>
      <c r="H104" s="65"/>
      <c r="I104" s="65"/>
      <c r="J104" s="951"/>
      <c r="K104" s="951"/>
      <c r="L104" s="951"/>
      <c r="M104" s="951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15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250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252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251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44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255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54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256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257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15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5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951"/>
      <c r="K112" s="951"/>
      <c r="L112" s="951"/>
      <c r="M112" s="951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951"/>
      <c r="K113" s="951"/>
      <c r="L113" s="951"/>
      <c r="M113" s="951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951"/>
      <c r="K114" s="951"/>
      <c r="L114" s="951"/>
      <c r="M114" s="951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6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7" t="s">
        <v>4</v>
      </c>
      <c r="B1" s="757"/>
      <c r="C1" s="757"/>
      <c r="D1" s="757"/>
      <c r="E1" s="757"/>
      <c r="F1" s="757"/>
      <c r="G1" s="757"/>
      <c r="H1" s="757"/>
      <c r="I1" s="740" t="s">
        <v>5</v>
      </c>
      <c r="J1" s="740"/>
      <c r="K1" s="740"/>
      <c r="L1" s="740"/>
      <c r="M1" s="755" t="str">
        <f>変更来歴!M1</f>
        <v>ヒロセ電機株式会社</v>
      </c>
      <c r="N1" s="755"/>
      <c r="O1" s="755"/>
      <c r="P1" s="755"/>
      <c r="Q1" s="755"/>
      <c r="R1" s="755"/>
      <c r="S1" s="755"/>
      <c r="T1" s="755"/>
      <c r="U1" s="755"/>
      <c r="V1" s="755"/>
      <c r="W1" s="755"/>
      <c r="X1" s="740" t="s">
        <v>7</v>
      </c>
      <c r="Y1" s="740"/>
      <c r="Z1" s="740"/>
      <c r="AA1" s="759" t="str">
        <f>変更来歴!AA1</f>
        <v>化学物質データ申請</v>
      </c>
      <c r="AB1" s="759"/>
      <c r="AC1" s="759"/>
      <c r="AD1" s="759"/>
      <c r="AE1" s="759"/>
      <c r="AF1" s="759"/>
      <c r="AG1" s="759"/>
      <c r="AH1" s="759"/>
      <c r="AI1" s="759"/>
      <c r="AJ1" s="759"/>
      <c r="AK1" s="744" t="s">
        <v>8</v>
      </c>
      <c r="AL1" s="744"/>
      <c r="AM1" s="744"/>
      <c r="AN1" s="745" t="str">
        <f>変更来歴!AP7</f>
        <v>古竹</v>
      </c>
      <c r="AO1" s="745"/>
      <c r="AP1" s="745"/>
      <c r="AQ1" s="745"/>
      <c r="AR1" s="745"/>
      <c r="AS1" s="744" t="s">
        <v>9</v>
      </c>
      <c r="AT1" s="744"/>
      <c r="AU1" s="744"/>
      <c r="AV1" s="747">
        <f>変更来歴!AL7</f>
        <v>46125</v>
      </c>
      <c r="AW1" s="760"/>
      <c r="AX1" s="760"/>
      <c r="AY1" s="760"/>
      <c r="AZ1" s="736" t="s">
        <v>10</v>
      </c>
      <c r="BA1" s="737"/>
      <c r="BB1" s="737"/>
      <c r="BC1" s="738"/>
    </row>
    <row r="2" spans="1:59">
      <c r="A2" s="739" t="s">
        <v>16</v>
      </c>
      <c r="B2" s="739"/>
      <c r="C2" s="739"/>
      <c r="D2" s="739"/>
      <c r="E2" s="739"/>
      <c r="F2" s="739"/>
      <c r="G2" s="739"/>
      <c r="H2" s="739"/>
      <c r="I2" s="740" t="s">
        <v>11</v>
      </c>
      <c r="J2" s="740"/>
      <c r="K2" s="740"/>
      <c r="L2" s="740"/>
      <c r="M2" s="789" t="str">
        <f>変更来歴!M2</f>
        <v>　</v>
      </c>
      <c r="N2" s="789"/>
      <c r="O2" s="789"/>
      <c r="P2" s="789"/>
      <c r="Q2" s="789"/>
      <c r="R2" s="789"/>
      <c r="S2" s="789"/>
      <c r="T2" s="789"/>
      <c r="U2" s="789"/>
      <c r="V2" s="789"/>
      <c r="W2" s="789"/>
      <c r="X2" s="740"/>
      <c r="Y2" s="740"/>
      <c r="Z2" s="740"/>
      <c r="AA2" s="759"/>
      <c r="AB2" s="759"/>
      <c r="AC2" s="759"/>
      <c r="AD2" s="759"/>
      <c r="AE2" s="759"/>
      <c r="AF2" s="759"/>
      <c r="AG2" s="759"/>
      <c r="AH2" s="759"/>
      <c r="AI2" s="759"/>
      <c r="AJ2" s="759"/>
      <c r="AK2" s="744" t="s">
        <v>12</v>
      </c>
      <c r="AL2" s="744"/>
      <c r="AM2" s="744"/>
      <c r="AN2" s="745" t="str">
        <f ca="1">INDIRECT("変更来歴!AP" &amp; COUNTA(変更来歴!AP7:'変更来歴'!AP39) + 6)</f>
        <v>古竹</v>
      </c>
      <c r="AO2" s="745"/>
      <c r="AP2" s="745"/>
      <c r="AQ2" s="745"/>
      <c r="AR2" s="745"/>
      <c r="AS2" s="744" t="s">
        <v>13</v>
      </c>
      <c r="AT2" s="744"/>
      <c r="AU2" s="744"/>
      <c r="AV2" s="747">
        <f ca="1">INDIRECT("変更来歴!AL" &amp; COUNTA(変更来歴!AL7:'変更来歴'!AL39) + 6)</f>
        <v>46162</v>
      </c>
      <c r="AW2" s="760"/>
      <c r="AX2" s="760"/>
      <c r="AY2" s="760"/>
      <c r="AZ2" s="748" t="str">
        <f>変更来歴!AX2</f>
        <v>IMWF-53</v>
      </c>
      <c r="BA2" s="749"/>
      <c r="BB2" s="749"/>
      <c r="BC2" s="750"/>
    </row>
    <row r="3" spans="1:59" ht="12" customHeight="1">
      <c r="A3" s="754" t="str">
        <f>変更来歴!A3</f>
        <v>画面設計書</v>
      </c>
      <c r="B3" s="754"/>
      <c r="C3" s="754"/>
      <c r="D3" s="754"/>
      <c r="E3" s="754"/>
      <c r="F3" s="754"/>
      <c r="G3" s="754"/>
      <c r="H3" s="754"/>
      <c r="I3" s="740" t="s">
        <v>14</v>
      </c>
      <c r="J3" s="740"/>
      <c r="K3" s="740"/>
      <c r="L3" s="740"/>
      <c r="M3" s="755" t="str">
        <f ca="1">RIGHT(CELL("filename",A1),LEN(CELL("filename",A1))-FIND("]",CELL("filename",A1)))</f>
        <v>外貨(PPM)</v>
      </c>
      <c r="N3" s="755"/>
      <c r="O3" s="755"/>
      <c r="P3" s="755"/>
      <c r="Q3" s="755"/>
      <c r="R3" s="755"/>
      <c r="S3" s="755"/>
      <c r="T3" s="755"/>
      <c r="U3" s="755"/>
      <c r="V3" s="755"/>
      <c r="W3" s="755"/>
      <c r="X3" s="740" t="s">
        <v>27</v>
      </c>
      <c r="Y3" s="740"/>
      <c r="Z3" s="740"/>
      <c r="AA3" s="756" t="str">
        <f ca="1">MID(CELL("filename"),FIND("]",CELL("filename"))+1,LEN(CELL("filename"))) &amp; "画面"</f>
        <v>画面項目画面</v>
      </c>
      <c r="AB3" s="756"/>
      <c r="AC3" s="756"/>
      <c r="AD3" s="756"/>
      <c r="AE3" s="756"/>
      <c r="AF3" s="756"/>
      <c r="AG3" s="756"/>
      <c r="AH3" s="756"/>
      <c r="AI3" s="756"/>
      <c r="AJ3" s="756"/>
      <c r="AK3" s="756"/>
      <c r="AL3" s="756"/>
      <c r="AM3" s="756"/>
      <c r="AN3" s="756"/>
      <c r="AO3" s="756"/>
      <c r="AP3" s="756"/>
      <c r="AQ3" s="756"/>
      <c r="AR3" s="756"/>
      <c r="AS3" s="744" t="s">
        <v>15</v>
      </c>
      <c r="AT3" s="744"/>
      <c r="AU3" s="744"/>
      <c r="AV3" s="760" t="str">
        <f ca="1">INDIRECT("変更来歴!A" &amp; COUNTA(変更来歴!A7:'変更来歴'!A39) + 6)</f>
        <v>r1.2</v>
      </c>
      <c r="AW3" s="760"/>
      <c r="AX3" s="760"/>
      <c r="AY3" s="760"/>
      <c r="AZ3" s="751"/>
      <c r="BA3" s="752"/>
      <c r="BB3" s="752"/>
      <c r="BC3" s="753"/>
    </row>
    <row r="4" spans="1:59" ht="5.9" customHeight="1"/>
    <row r="5" spans="1:59" ht="13.5" customHeight="1">
      <c r="A5" s="793" t="str">
        <f ca="1">"画面レイアウト"&amp;"("&amp;MID(CELL("filename"),FIND("]",CELL("filename"))+1,LEN(CELL("filename")))&amp;")"</f>
        <v>画面レイアウト(画面項目)</v>
      </c>
      <c r="B5" s="794"/>
      <c r="C5" s="794"/>
      <c r="D5" s="794"/>
      <c r="E5" s="794"/>
      <c r="F5" s="794"/>
      <c r="G5" s="794"/>
      <c r="H5" s="794"/>
      <c r="I5" s="794"/>
      <c r="J5" s="794"/>
      <c r="K5" s="794"/>
      <c r="L5" s="794"/>
      <c r="M5" s="794"/>
      <c r="N5" s="794"/>
      <c r="O5" s="794"/>
      <c r="P5" s="794"/>
      <c r="Q5" s="794"/>
      <c r="R5" s="794"/>
      <c r="S5" s="794"/>
      <c r="T5" s="794"/>
      <c r="U5" s="794"/>
      <c r="V5" s="794"/>
      <c r="W5" s="794"/>
      <c r="X5" s="794"/>
      <c r="Y5" s="794"/>
      <c r="Z5" s="794"/>
      <c r="AA5" s="794"/>
      <c r="AB5" s="794"/>
      <c r="AC5" s="794"/>
      <c r="AD5" s="794"/>
      <c r="AE5" s="794"/>
      <c r="AF5" s="794"/>
      <c r="AG5" s="794"/>
      <c r="AH5" s="794"/>
      <c r="AI5" s="794"/>
      <c r="AJ5" s="794"/>
      <c r="AK5" s="794"/>
      <c r="AL5" s="794"/>
      <c r="AM5" s="794"/>
      <c r="AN5" s="794"/>
      <c r="AO5" s="794"/>
      <c r="AP5" s="794"/>
      <c r="AQ5" s="794"/>
      <c r="AR5" s="794"/>
      <c r="AS5" s="794"/>
      <c r="AT5" s="794"/>
      <c r="AU5" s="794"/>
      <c r="AV5" s="794"/>
      <c r="AW5" s="794"/>
      <c r="AX5" s="794"/>
      <c r="AY5" s="794"/>
      <c r="AZ5" s="794"/>
      <c r="BA5" s="795"/>
      <c r="BB5" s="790" t="s">
        <v>24</v>
      </c>
      <c r="BC5" s="791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291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287</v>
      </c>
      <c r="P7" s="36"/>
      <c r="Q7" s="36"/>
      <c r="R7" s="36"/>
      <c r="S7" s="49" t="s">
        <v>286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172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15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173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112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15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264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15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282</v>
      </c>
      <c r="D45" s="28"/>
      <c r="E45" s="28"/>
      <c r="F45" s="28"/>
      <c r="G45" s="86" t="s">
        <v>277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32</v>
      </c>
      <c r="D46" s="205" t="s">
        <v>262</v>
      </c>
      <c r="E46" s="206"/>
      <c r="F46" s="206"/>
      <c r="G46" s="207"/>
      <c r="H46" s="208" t="s">
        <v>276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148</v>
      </c>
      <c r="E47" s="149"/>
      <c r="F47" s="149"/>
      <c r="G47" s="151"/>
      <c r="H47" s="1001">
        <v>110</v>
      </c>
      <c r="I47" s="971"/>
      <c r="J47" s="971"/>
      <c r="K47" s="971"/>
      <c r="L47" s="972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263</v>
      </c>
      <c r="E48" s="149"/>
      <c r="F48" s="149"/>
      <c r="G48" s="151"/>
      <c r="H48" s="1001">
        <v>125</v>
      </c>
      <c r="I48" s="971"/>
      <c r="J48" s="971"/>
      <c r="K48" s="971"/>
      <c r="L48" s="972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15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63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15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288</v>
      </c>
      <c r="E53" s="28"/>
      <c r="F53" s="28"/>
      <c r="G53" s="28"/>
      <c r="H53" s="86" t="s">
        <v>139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32</v>
      </c>
      <c r="D54" s="205" t="s">
        <v>64</v>
      </c>
      <c r="E54" s="206"/>
      <c r="F54" s="206"/>
      <c r="G54" s="207"/>
      <c r="H54" s="208" t="s">
        <v>73</v>
      </c>
      <c r="I54" s="209"/>
      <c r="J54" s="209"/>
      <c r="K54" s="209"/>
      <c r="L54" s="206"/>
      <c r="M54" s="207"/>
      <c r="N54" s="205" t="s">
        <v>74</v>
      </c>
      <c r="O54" s="206"/>
      <c r="P54" s="206"/>
      <c r="Q54" s="207"/>
      <c r="R54" s="205" t="s">
        <v>75</v>
      </c>
      <c r="S54" s="206"/>
      <c r="T54" s="206"/>
      <c r="U54" s="206"/>
      <c r="V54" s="210" t="s">
        <v>292</v>
      </c>
      <c r="W54" s="211"/>
      <c r="X54" s="211"/>
      <c r="Y54" s="212"/>
      <c r="Z54" s="528" t="s">
        <v>77</v>
      </c>
      <c r="AA54" s="211"/>
      <c r="AB54" s="211"/>
      <c r="AC54" s="211"/>
      <c r="AD54" s="212"/>
      <c r="AE54" s="210" t="s">
        <v>293</v>
      </c>
      <c r="AF54" s="211"/>
      <c r="AG54" s="211"/>
      <c r="AH54" s="212"/>
      <c r="AI54" s="210" t="s">
        <v>162</v>
      </c>
      <c r="AJ54" s="211"/>
      <c r="AK54" s="211"/>
      <c r="AL54" s="212"/>
      <c r="AM54" s="211" t="s">
        <v>152</v>
      </c>
      <c r="AN54" s="211"/>
      <c r="AO54" s="211"/>
      <c r="AP54" s="212"/>
      <c r="AQ54" s="211" t="s">
        <v>197</v>
      </c>
      <c r="AR54" s="211"/>
      <c r="AS54" s="211"/>
      <c r="AT54" s="212"/>
      <c r="AU54" s="210" t="s">
        <v>199</v>
      </c>
      <c r="AV54" s="211"/>
      <c r="AW54" s="211"/>
      <c r="AX54" s="212"/>
      <c r="AY54" s="210" t="s">
        <v>83</v>
      </c>
      <c r="AZ54" s="211"/>
      <c r="BA54" s="211"/>
      <c r="BB54" s="212"/>
      <c r="BC54" s="210" t="s">
        <v>42</v>
      </c>
      <c r="BD54" s="211"/>
      <c r="BE54" s="211"/>
      <c r="BF54" s="212"/>
      <c r="BG54" s="211" t="s">
        <v>156</v>
      </c>
      <c r="BH54" s="211"/>
      <c r="BI54" s="212"/>
      <c r="BJ54" s="305" t="s">
        <v>86</v>
      </c>
      <c r="BK54" s="211"/>
      <c r="BL54" s="211"/>
      <c r="BM54" s="212"/>
      <c r="BN54" s="211" t="s">
        <v>69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30</v>
      </c>
      <c r="E55" s="216"/>
      <c r="F55" s="214"/>
      <c r="G55" s="215"/>
      <c r="H55" s="213" t="s">
        <v>30</v>
      </c>
      <c r="I55" s="216"/>
      <c r="J55" s="216"/>
      <c r="K55" s="216"/>
      <c r="L55" s="214"/>
      <c r="M55" s="215"/>
      <c r="N55" s="213" t="s">
        <v>30</v>
      </c>
      <c r="O55" s="214"/>
      <c r="P55" s="214"/>
      <c r="Q55" s="215"/>
      <c r="R55" s="213"/>
      <c r="S55" s="216"/>
      <c r="T55" s="214"/>
      <c r="U55" s="214"/>
      <c r="V55" s="217" t="s">
        <v>43</v>
      </c>
      <c r="W55" s="218"/>
      <c r="X55" s="219"/>
      <c r="Y55" s="220"/>
      <c r="Z55" s="217" t="s">
        <v>30</v>
      </c>
      <c r="AA55" s="218"/>
      <c r="AB55" s="218"/>
      <c r="AC55" s="219"/>
      <c r="AD55" s="220"/>
      <c r="AE55" s="217" t="s">
        <v>43</v>
      </c>
      <c r="AF55" s="218"/>
      <c r="AG55" s="219"/>
      <c r="AH55" s="220"/>
      <c r="AI55" s="217" t="s">
        <v>30</v>
      </c>
      <c r="AJ55" s="218"/>
      <c r="AK55" s="219"/>
      <c r="AL55" s="220"/>
      <c r="AM55" s="218" t="s">
        <v>43</v>
      </c>
      <c r="AN55" s="218"/>
      <c r="AO55" s="219"/>
      <c r="AP55" s="220"/>
      <c r="AQ55" s="218" t="s">
        <v>198</v>
      </c>
      <c r="AR55" s="218"/>
      <c r="AS55" s="219"/>
      <c r="AT55" s="220"/>
      <c r="AU55" s="217" t="s">
        <v>155</v>
      </c>
      <c r="AV55" s="218"/>
      <c r="AW55" s="219"/>
      <c r="AX55" s="220"/>
      <c r="AY55" s="217" t="s">
        <v>155</v>
      </c>
      <c r="AZ55" s="218"/>
      <c r="BA55" s="219"/>
      <c r="BB55" s="220"/>
      <c r="BC55" s="217" t="s">
        <v>200</v>
      </c>
      <c r="BD55" s="218"/>
      <c r="BE55" s="219"/>
      <c r="BF55" s="220"/>
      <c r="BG55" s="218" t="s">
        <v>201</v>
      </c>
      <c r="BH55" s="218"/>
      <c r="BI55" s="220"/>
      <c r="BJ55" s="307" t="s">
        <v>43</v>
      </c>
      <c r="BK55" s="218"/>
      <c r="BL55" s="219"/>
      <c r="BM55" s="220"/>
      <c r="BN55" s="218" t="s">
        <v>43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202</v>
      </c>
      <c r="E56" s="149"/>
      <c r="F56" s="149"/>
      <c r="G56" s="151"/>
      <c r="H56" s="242" t="s">
        <v>204</v>
      </c>
      <c r="I56" s="150"/>
      <c r="J56" s="150"/>
      <c r="K56" s="150"/>
      <c r="L56" s="161"/>
      <c r="M56" s="162"/>
      <c r="N56" s="242" t="s">
        <v>206</v>
      </c>
      <c r="O56" s="150"/>
      <c r="P56" s="150"/>
      <c r="Q56" s="99" t="s">
        <v>33</v>
      </c>
      <c r="R56" s="981">
        <v>2000000</v>
      </c>
      <c r="S56" s="982"/>
      <c r="T56" s="982"/>
      <c r="U56" s="983"/>
      <c r="V56" s="148" t="s">
        <v>207</v>
      </c>
      <c r="W56" s="150"/>
      <c r="X56" s="150"/>
      <c r="Y56" s="99" t="s">
        <v>33</v>
      </c>
      <c r="Z56" s="970">
        <v>5.29</v>
      </c>
      <c r="AA56" s="979"/>
      <c r="AB56" s="979"/>
      <c r="AC56" s="979"/>
      <c r="AD56" s="980"/>
      <c r="AE56" s="148" t="s">
        <v>148</v>
      </c>
      <c r="AF56" s="150"/>
      <c r="AG56" s="150"/>
      <c r="AH56" s="99" t="s">
        <v>33</v>
      </c>
      <c r="AI56" s="995">
        <v>9.2200000000000004E-2</v>
      </c>
      <c r="AJ56" s="996"/>
      <c r="AK56" s="996"/>
      <c r="AL56" s="997"/>
      <c r="AM56" s="995">
        <v>9.4E-2</v>
      </c>
      <c r="AN56" s="996"/>
      <c r="AO56" s="996"/>
      <c r="AP56" s="997"/>
      <c r="AQ56" s="998">
        <v>0.01</v>
      </c>
      <c r="AR56" s="999"/>
      <c r="AS56" s="999"/>
      <c r="AT56" s="1000"/>
      <c r="AU56" s="995">
        <v>0.1012</v>
      </c>
      <c r="AV56" s="996"/>
      <c r="AW56" s="996"/>
      <c r="AX56" s="997"/>
      <c r="AY56" s="995">
        <v>0.11</v>
      </c>
      <c r="AZ56" s="996"/>
      <c r="BA56" s="996"/>
      <c r="BB56" s="997"/>
      <c r="BC56" s="995">
        <v>0.11</v>
      </c>
      <c r="BD56" s="996"/>
      <c r="BE56" s="996"/>
      <c r="BF56" s="997"/>
      <c r="BG56" s="1011">
        <f>AI56/21</f>
        <v>4.3904761904761903E-3</v>
      </c>
      <c r="BH56" s="1012"/>
      <c r="BI56" s="1013"/>
      <c r="BJ56" s="309" t="s">
        <v>208</v>
      </c>
      <c r="BK56" s="150"/>
      <c r="BL56" s="150"/>
      <c r="BM56" s="152"/>
      <c r="BN56" s="149" t="s">
        <v>30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203</v>
      </c>
      <c r="E57" s="149"/>
      <c r="F57" s="149"/>
      <c r="G57" s="151"/>
      <c r="H57" s="242" t="s">
        <v>205</v>
      </c>
      <c r="I57" s="150"/>
      <c r="J57" s="150"/>
      <c r="K57" s="150"/>
      <c r="L57" s="161"/>
      <c r="M57" s="162"/>
      <c r="N57" s="242" t="s">
        <v>206</v>
      </c>
      <c r="O57" s="150"/>
      <c r="P57" s="150"/>
      <c r="Q57" s="99" t="s">
        <v>33</v>
      </c>
      <c r="R57" s="981">
        <v>20000</v>
      </c>
      <c r="S57" s="982"/>
      <c r="T57" s="982"/>
      <c r="U57" s="983"/>
      <c r="V57" s="148" t="s">
        <v>207</v>
      </c>
      <c r="W57" s="150"/>
      <c r="X57" s="150"/>
      <c r="Y57" s="99" t="s">
        <v>33</v>
      </c>
      <c r="Z57" s="970">
        <v>11</v>
      </c>
      <c r="AA57" s="979"/>
      <c r="AB57" s="979"/>
      <c r="AC57" s="979"/>
      <c r="AD57" s="980"/>
      <c r="AE57" s="148" t="s">
        <v>148</v>
      </c>
      <c r="AF57" s="150"/>
      <c r="AG57" s="150"/>
      <c r="AH57" s="99" t="s">
        <v>33</v>
      </c>
      <c r="AI57" s="995">
        <v>0.12970000000000001</v>
      </c>
      <c r="AJ57" s="996"/>
      <c r="AK57" s="996"/>
      <c r="AL57" s="997"/>
      <c r="AM57" s="995">
        <v>0.13</v>
      </c>
      <c r="AN57" s="996"/>
      <c r="AO57" s="996"/>
      <c r="AP57" s="997"/>
      <c r="AQ57" s="998">
        <v>0.01</v>
      </c>
      <c r="AR57" s="999"/>
      <c r="AS57" s="999"/>
      <c r="AT57" s="1000"/>
      <c r="AU57" s="995">
        <v>0.13600000000000001</v>
      </c>
      <c r="AV57" s="996"/>
      <c r="AW57" s="996"/>
      <c r="AX57" s="997"/>
      <c r="AY57" s="995">
        <v>0.156</v>
      </c>
      <c r="AZ57" s="996"/>
      <c r="BA57" s="996"/>
      <c r="BB57" s="997"/>
      <c r="BC57" s="995">
        <v>0.156</v>
      </c>
      <c r="BD57" s="996"/>
      <c r="BE57" s="996"/>
      <c r="BF57" s="997"/>
      <c r="BG57" s="1011">
        <f>AI57/21</f>
        <v>6.1761904761904766E-3</v>
      </c>
      <c r="BH57" s="1012"/>
      <c r="BI57" s="1013"/>
      <c r="BJ57" s="309" t="s">
        <v>209</v>
      </c>
      <c r="BK57" s="150"/>
      <c r="BL57" s="150"/>
      <c r="BM57" s="152"/>
      <c r="BN57" s="149" t="s">
        <v>30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71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174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72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32</v>
      </c>
      <c r="D63" s="432" t="s">
        <v>182</v>
      </c>
      <c r="E63" s="433"/>
      <c r="F63" s="433"/>
      <c r="G63" s="434"/>
      <c r="H63" s="435" t="s">
        <v>183</v>
      </c>
      <c r="I63" s="436"/>
      <c r="J63" s="436"/>
      <c r="K63" s="436"/>
      <c r="L63" s="433"/>
      <c r="M63" s="434"/>
      <c r="N63" s="432" t="s">
        <v>184</v>
      </c>
      <c r="O63" s="433"/>
      <c r="P63" s="433"/>
      <c r="Q63" s="433"/>
      <c r="R63" s="433"/>
      <c r="S63" s="434"/>
      <c r="T63" s="432" t="s">
        <v>185</v>
      </c>
      <c r="U63" s="433"/>
      <c r="V63" s="433"/>
      <c r="W63" s="433"/>
      <c r="X63" s="433"/>
      <c r="Y63" s="433"/>
      <c r="Z63" s="437" t="s">
        <v>179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180</v>
      </c>
      <c r="E64" s="149"/>
      <c r="F64" s="149"/>
      <c r="G64" s="99" t="s">
        <v>33</v>
      </c>
      <c r="H64" s="242" t="s">
        <v>192</v>
      </c>
      <c r="I64" s="150"/>
      <c r="J64" s="150"/>
      <c r="K64" s="150"/>
      <c r="L64" s="161"/>
      <c r="M64" s="162"/>
      <c r="N64" s="1033">
        <v>5000</v>
      </c>
      <c r="O64" s="1034"/>
      <c r="P64" s="1034"/>
      <c r="Q64" s="1034"/>
      <c r="R64" s="1034"/>
      <c r="S64" s="1035"/>
      <c r="T64" s="1033">
        <v>5000</v>
      </c>
      <c r="U64" s="1028"/>
      <c r="V64" s="1028"/>
      <c r="W64" s="1028"/>
      <c r="X64" s="1028"/>
      <c r="Y64" s="1029"/>
      <c r="Z64" s="1036">
        <v>10</v>
      </c>
      <c r="AA64" s="1037"/>
      <c r="AB64" s="1037"/>
      <c r="AC64" s="1038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71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181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72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32</v>
      </c>
      <c r="D69" s="432" t="s">
        <v>182</v>
      </c>
      <c r="E69" s="445"/>
      <c r="F69" s="445"/>
      <c r="G69" s="446"/>
      <c r="H69" s="447" t="s">
        <v>189</v>
      </c>
      <c r="I69" s="448"/>
      <c r="J69" s="448"/>
      <c r="K69" s="448"/>
      <c r="L69" s="445"/>
      <c r="M69" s="446"/>
      <c r="N69" s="449" t="s">
        <v>190</v>
      </c>
      <c r="O69" s="445"/>
      <c r="P69" s="445"/>
      <c r="Q69" s="445"/>
      <c r="R69" s="445"/>
      <c r="S69" s="446"/>
      <c r="T69" s="449" t="s">
        <v>191</v>
      </c>
      <c r="U69" s="445"/>
      <c r="V69" s="445"/>
      <c r="W69" s="445"/>
      <c r="X69" s="445"/>
      <c r="Y69" s="445"/>
      <c r="Z69" s="450" t="s">
        <v>179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180</v>
      </c>
      <c r="E70" s="149"/>
      <c r="F70" s="149"/>
      <c r="G70" s="99" t="s">
        <v>33</v>
      </c>
      <c r="H70" s="242"/>
      <c r="I70" s="150"/>
      <c r="J70" s="150"/>
      <c r="K70" s="150"/>
      <c r="L70" s="161"/>
      <c r="M70" s="162"/>
      <c r="N70" s="1027">
        <v>5000</v>
      </c>
      <c r="O70" s="1028"/>
      <c r="P70" s="1028"/>
      <c r="Q70" s="1028"/>
      <c r="R70" s="1028"/>
      <c r="S70" s="1029"/>
      <c r="T70" s="1027">
        <v>5000</v>
      </c>
      <c r="U70" s="1028"/>
      <c r="V70" s="1028"/>
      <c r="W70" s="1028"/>
      <c r="X70" s="1028"/>
      <c r="Y70" s="1029"/>
      <c r="Z70" s="1030">
        <v>10</v>
      </c>
      <c r="AA70" s="1031"/>
      <c r="AB70" s="1031"/>
      <c r="AC70" s="1032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71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15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78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15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32</v>
      </c>
      <c r="D79" s="234" t="s">
        <v>260</v>
      </c>
      <c r="E79" s="235"/>
      <c r="F79" s="234" t="s">
        <v>64</v>
      </c>
      <c r="G79" s="235"/>
      <c r="H79" s="235"/>
      <c r="I79" s="236"/>
      <c r="J79" s="237" t="s">
        <v>34</v>
      </c>
      <c r="K79" s="238"/>
      <c r="L79" s="238"/>
      <c r="M79" s="238"/>
      <c r="N79" s="235"/>
      <c r="O79" s="236"/>
      <c r="P79" s="239" t="s">
        <v>67</v>
      </c>
      <c r="Q79" s="240"/>
      <c r="R79" s="240"/>
      <c r="S79" s="241"/>
      <c r="T79" s="239" t="s">
        <v>151</v>
      </c>
      <c r="U79" s="240"/>
      <c r="V79" s="240"/>
      <c r="W79" s="241"/>
      <c r="X79" s="234" t="s">
        <v>79</v>
      </c>
      <c r="Y79" s="235"/>
      <c r="Z79" s="235"/>
      <c r="AA79" s="236"/>
      <c r="AB79" s="234" t="s">
        <v>80</v>
      </c>
      <c r="AC79" s="235"/>
      <c r="AD79" s="235"/>
      <c r="AE79" s="235"/>
      <c r="AF79" s="239" t="s">
        <v>65</v>
      </c>
      <c r="AG79" s="240"/>
      <c r="AH79" s="240"/>
      <c r="AI79" s="240"/>
      <c r="AJ79" s="241"/>
      <c r="AK79" s="240" t="s">
        <v>210</v>
      </c>
      <c r="AL79" s="240"/>
      <c r="AM79" s="240"/>
      <c r="AN79" s="241"/>
      <c r="AO79" s="240" t="s">
        <v>162</v>
      </c>
      <c r="AP79" s="240"/>
      <c r="AQ79" s="240"/>
      <c r="AR79" s="241"/>
      <c r="AS79" s="240" t="s">
        <v>211</v>
      </c>
      <c r="AT79" s="240"/>
      <c r="AU79" s="240"/>
      <c r="AV79" s="241"/>
      <c r="AW79" s="240" t="s">
        <v>66</v>
      </c>
      <c r="AX79" s="240"/>
      <c r="AY79" s="240"/>
      <c r="AZ79" s="241"/>
      <c r="BA79" s="239" t="s">
        <v>212</v>
      </c>
      <c r="BB79" s="240"/>
      <c r="BC79" s="240"/>
      <c r="BD79" s="241"/>
      <c r="BE79" s="239" t="s">
        <v>213</v>
      </c>
      <c r="BF79" s="240"/>
      <c r="BG79" s="240"/>
      <c r="BH79" s="240"/>
      <c r="BI79" s="239" t="s">
        <v>199</v>
      </c>
      <c r="BJ79" s="240"/>
      <c r="BK79" s="240"/>
      <c r="BL79" s="241"/>
      <c r="BM79" s="239" t="s">
        <v>214</v>
      </c>
      <c r="BN79" s="240"/>
      <c r="BO79" s="240"/>
      <c r="BP79" s="241"/>
      <c r="BQ79" s="239" t="s">
        <v>215</v>
      </c>
      <c r="BR79" s="240"/>
      <c r="BS79" s="240"/>
      <c r="BT79" s="241"/>
      <c r="BU79" s="239" t="s">
        <v>83</v>
      </c>
      <c r="BV79" s="240"/>
      <c r="BW79" s="240"/>
      <c r="BX79" s="241"/>
      <c r="BY79" s="239" t="s">
        <v>84</v>
      </c>
      <c r="BZ79" s="240"/>
      <c r="CA79" s="240"/>
      <c r="CB79" s="241"/>
      <c r="CC79" s="240" t="s">
        <v>85</v>
      </c>
      <c r="CD79" s="240"/>
      <c r="CE79" s="241"/>
      <c r="CF79" s="240" t="s">
        <v>86</v>
      </c>
      <c r="CG79" s="240"/>
      <c r="CH79" s="240"/>
      <c r="CI79" s="241"/>
      <c r="CJ79" s="240" t="s">
        <v>69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93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981">
        <f>R56</f>
        <v>2000000</v>
      </c>
      <c r="Y80" s="982"/>
      <c r="Z80" s="982"/>
      <c r="AA80" s="983"/>
      <c r="AB80" s="995">
        <f>Z56/111</f>
        <v>4.7657657657657657E-2</v>
      </c>
      <c r="AC80" s="996"/>
      <c r="AD80" s="996"/>
      <c r="AE80" s="997"/>
      <c r="AF80" s="995">
        <f>BC56</f>
        <v>0.11</v>
      </c>
      <c r="AG80" s="996"/>
      <c r="AH80" s="996"/>
      <c r="AI80" s="996"/>
      <c r="AJ80" s="997"/>
      <c r="AK80" s="995">
        <f>AM56</f>
        <v>9.4E-2</v>
      </c>
      <c r="AL80" s="996"/>
      <c r="AM80" s="996"/>
      <c r="AN80" s="997"/>
      <c r="AO80" s="995">
        <f>AI56</f>
        <v>9.2200000000000004E-2</v>
      </c>
      <c r="AP80" s="996"/>
      <c r="AQ80" s="996"/>
      <c r="AR80" s="997"/>
      <c r="AS80" s="995">
        <f>AI56/(1-AQ56)</f>
        <v>9.3131313131313134E-2</v>
      </c>
      <c r="AT80" s="996"/>
      <c r="AU80" s="996"/>
      <c r="AV80" s="997"/>
      <c r="AW80" s="995">
        <f>AO80-(AS80*$K$20)</f>
        <v>8.7543434343434354E-2</v>
      </c>
      <c r="AX80" s="996"/>
      <c r="AY80" s="996"/>
      <c r="AZ80" s="997"/>
      <c r="BA80" s="961">
        <f>1-Z56/111/AW80</f>
        <v>0.4556112858138982</v>
      </c>
      <c r="BB80" s="962"/>
      <c r="BC80" s="962"/>
      <c r="BD80" s="963"/>
      <c r="BE80" s="973">
        <f>(AI56-AM56)/AM56</f>
        <v>-1.9148936170212724E-2</v>
      </c>
      <c r="BF80" s="974"/>
      <c r="BG80" s="974"/>
      <c r="BH80" s="975"/>
      <c r="BI80" s="1023">
        <f>AU56</f>
        <v>0.1012</v>
      </c>
      <c r="BJ80" s="1024"/>
      <c r="BK80" s="1024"/>
      <c r="BL80" s="1025"/>
      <c r="BM80" s="976">
        <f>1-AI56/(1-AQ56)/AU56</f>
        <v>7.9730107398091499E-2</v>
      </c>
      <c r="BN80" s="977"/>
      <c r="BO80" s="977"/>
      <c r="BP80" s="978"/>
      <c r="BQ80" s="976">
        <f>1-(Z56/111+AI56*AQ56+AS80*$K$20)/AU56</f>
        <v>0.47395036250767475</v>
      </c>
      <c r="BR80" s="977"/>
      <c r="BS80" s="977"/>
      <c r="BT80" s="978"/>
      <c r="BU80" s="1011">
        <f>AY56</f>
        <v>0.11</v>
      </c>
      <c r="BV80" s="1012"/>
      <c r="BW80" s="1012"/>
      <c r="BX80" s="1013"/>
      <c r="BY80" s="976">
        <f>1-AU56/AY56</f>
        <v>8.0000000000000071E-2</v>
      </c>
      <c r="BZ80" s="977"/>
      <c r="CA80" s="977"/>
      <c r="CB80" s="978"/>
      <c r="CC80" s="967">
        <f>BG56</f>
        <v>4.3904761904761903E-3</v>
      </c>
      <c r="CD80" s="968"/>
      <c r="CE80" s="969"/>
      <c r="CF80" s="149" t="str">
        <f>BJ56</f>
        <v>JAE</v>
      </c>
      <c r="CG80" s="150"/>
      <c r="CH80" s="150"/>
      <c r="CI80" s="152"/>
      <c r="CJ80" s="149" t="s">
        <v>30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93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981">
        <f>R57</f>
        <v>20000</v>
      </c>
      <c r="Y81" s="982"/>
      <c r="Z81" s="982"/>
      <c r="AA81" s="983"/>
      <c r="AB81" s="995">
        <f>Z57/111</f>
        <v>9.90990990990991E-2</v>
      </c>
      <c r="AC81" s="996"/>
      <c r="AD81" s="996"/>
      <c r="AE81" s="997"/>
      <c r="AF81" s="995">
        <f>BC57</f>
        <v>0.156</v>
      </c>
      <c r="AG81" s="996"/>
      <c r="AH81" s="996"/>
      <c r="AI81" s="996"/>
      <c r="AJ81" s="997"/>
      <c r="AK81" s="995">
        <f>AM57</f>
        <v>0.13</v>
      </c>
      <c r="AL81" s="996"/>
      <c r="AM81" s="996"/>
      <c r="AN81" s="997"/>
      <c r="AO81" s="995">
        <f>AI57</f>
        <v>0.12970000000000001</v>
      </c>
      <c r="AP81" s="996"/>
      <c r="AQ81" s="996"/>
      <c r="AR81" s="997"/>
      <c r="AS81" s="995">
        <f>AI57/(1-AQ57)</f>
        <v>0.13101010101010102</v>
      </c>
      <c r="AT81" s="996"/>
      <c r="AU81" s="996"/>
      <c r="AV81" s="997"/>
      <c r="AW81" s="995">
        <f>AO81-(AS81*$K$20)</f>
        <v>0.12314949494949495</v>
      </c>
      <c r="AX81" s="996"/>
      <c r="AY81" s="996"/>
      <c r="AZ81" s="997"/>
      <c r="BA81" s="961">
        <f>1-Z57/111/AW81</f>
        <v>0.19529431168401623</v>
      </c>
      <c r="BB81" s="962"/>
      <c r="BC81" s="962"/>
      <c r="BD81" s="963"/>
      <c r="BE81" s="973">
        <f>(AI57-AM57)/AM57</f>
        <v>-2.3076923076922671E-3</v>
      </c>
      <c r="BF81" s="974"/>
      <c r="BG81" s="974"/>
      <c r="BH81" s="975"/>
      <c r="BI81" s="1023">
        <f>AU57</f>
        <v>0.13600000000000001</v>
      </c>
      <c r="BJ81" s="1024"/>
      <c r="BK81" s="1024"/>
      <c r="BL81" s="1025"/>
      <c r="BM81" s="976">
        <f>1-AI57/(1-AQ57)/AU57</f>
        <v>3.669043374925729E-2</v>
      </c>
      <c r="BN81" s="977"/>
      <c r="BO81" s="977"/>
      <c r="BP81" s="978"/>
      <c r="BQ81" s="976">
        <f>1-(Z57/111+AI57*AQ57+AS81*$K$20)/AU57</f>
        <v>0.21362791066467535</v>
      </c>
      <c r="BR81" s="977"/>
      <c r="BS81" s="977"/>
      <c r="BT81" s="978"/>
      <c r="BU81" s="1011">
        <f>AY57</f>
        <v>0.156</v>
      </c>
      <c r="BV81" s="1012"/>
      <c r="BW81" s="1012"/>
      <c r="BX81" s="1013"/>
      <c r="BY81" s="976">
        <f>1-AU57/AY57</f>
        <v>0.12820512820512819</v>
      </c>
      <c r="BZ81" s="977"/>
      <c r="CA81" s="977"/>
      <c r="CB81" s="978"/>
      <c r="CC81" s="967">
        <f>BG57</f>
        <v>6.1761904761904766E-3</v>
      </c>
      <c r="CD81" s="968"/>
      <c r="CE81" s="969"/>
      <c r="CF81" s="149" t="str">
        <f>BJ57</f>
        <v>TE</v>
      </c>
      <c r="CG81" s="150"/>
      <c r="CH81" s="150"/>
      <c r="CI81" s="152"/>
      <c r="CJ81" s="149" t="s">
        <v>30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281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280</v>
      </c>
      <c r="E83" s="503"/>
      <c r="F83" s="504" t="s">
        <v>294</v>
      </c>
      <c r="G83" s="503"/>
      <c r="H83" s="503"/>
      <c r="I83" s="505"/>
      <c r="J83" s="504" t="s">
        <v>30</v>
      </c>
      <c r="K83" s="506"/>
      <c r="L83" s="506"/>
      <c r="M83" s="506"/>
      <c r="N83" s="503"/>
      <c r="O83" s="505"/>
      <c r="P83" s="511" t="s">
        <v>30</v>
      </c>
      <c r="Q83" s="508"/>
      <c r="R83" s="508"/>
      <c r="S83" s="509"/>
      <c r="T83" s="504" t="s">
        <v>30</v>
      </c>
      <c r="U83" s="503"/>
      <c r="V83" s="503"/>
      <c r="W83" s="505"/>
      <c r="X83" s="508" t="s">
        <v>216</v>
      </c>
      <c r="Y83" s="503"/>
      <c r="Z83" s="503"/>
      <c r="AA83" s="503"/>
      <c r="AB83" s="507" t="s">
        <v>217</v>
      </c>
      <c r="AC83" s="503"/>
      <c r="AD83" s="503"/>
      <c r="AE83" s="503"/>
      <c r="AF83" s="507" t="s">
        <v>218</v>
      </c>
      <c r="AG83" s="508"/>
      <c r="AH83" s="508"/>
      <c r="AI83" s="508"/>
      <c r="AJ83" s="509"/>
      <c r="AK83" s="507" t="s">
        <v>219</v>
      </c>
      <c r="AL83" s="508"/>
      <c r="AM83" s="508"/>
      <c r="AN83" s="509"/>
      <c r="AO83" s="507" t="s">
        <v>220</v>
      </c>
      <c r="AP83" s="508"/>
      <c r="AQ83" s="508"/>
      <c r="AR83" s="509"/>
      <c r="AS83" s="507" t="s">
        <v>221</v>
      </c>
      <c r="AT83" s="508"/>
      <c r="AU83" s="508"/>
      <c r="AV83" s="508"/>
      <c r="AW83" s="507" t="s">
        <v>101</v>
      </c>
      <c r="AX83" s="508"/>
      <c r="AY83" s="508"/>
      <c r="AZ83" s="509"/>
      <c r="BA83" s="511" t="s">
        <v>222</v>
      </c>
      <c r="BB83" s="508"/>
      <c r="BC83" s="508"/>
      <c r="BD83" s="509"/>
      <c r="BE83" s="513" t="s">
        <v>223</v>
      </c>
      <c r="BF83" s="508"/>
      <c r="BG83" s="508"/>
      <c r="BH83" s="509"/>
      <c r="BI83" s="513" t="s">
        <v>30</v>
      </c>
      <c r="BJ83" s="508"/>
      <c r="BK83" s="508"/>
      <c r="BL83" s="509"/>
      <c r="BM83" s="513" t="s">
        <v>30</v>
      </c>
      <c r="BN83" s="508"/>
      <c r="BO83" s="508"/>
      <c r="BP83" s="509"/>
      <c r="BQ83" s="513" t="s">
        <v>30</v>
      </c>
      <c r="BR83" s="508"/>
      <c r="BS83" s="508"/>
      <c r="BT83" s="509"/>
      <c r="BU83" s="513" t="s">
        <v>30</v>
      </c>
      <c r="BV83" s="508"/>
      <c r="BW83" s="508"/>
      <c r="BX83" s="509"/>
      <c r="BY83" s="508"/>
      <c r="BZ83" s="508"/>
      <c r="CA83" s="508"/>
      <c r="CB83" s="509"/>
      <c r="CC83" s="513" t="s">
        <v>30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233</v>
      </c>
      <c r="AX84" s="523"/>
      <c r="AY84" s="523"/>
      <c r="AZ84" s="524"/>
      <c r="BA84" s="525" t="s">
        <v>30</v>
      </c>
      <c r="BB84" s="523"/>
      <c r="BC84" s="523"/>
      <c r="BD84" s="524"/>
      <c r="BE84" s="526" t="s">
        <v>30</v>
      </c>
      <c r="BF84" s="523"/>
      <c r="BG84" s="523"/>
      <c r="BH84" s="524"/>
      <c r="BI84" s="526" t="s">
        <v>30</v>
      </c>
      <c r="BJ84" s="523"/>
      <c r="BK84" s="523"/>
      <c r="BL84" s="524"/>
      <c r="BM84" s="526" t="s">
        <v>30</v>
      </c>
      <c r="BN84" s="523"/>
      <c r="BO84" s="523"/>
      <c r="BP84" s="524"/>
      <c r="BQ84" s="526" t="s">
        <v>30</v>
      </c>
      <c r="BR84" s="523"/>
      <c r="BS84" s="523"/>
      <c r="BT84" s="524"/>
      <c r="BU84" s="526" t="s">
        <v>30</v>
      </c>
      <c r="BV84" s="523"/>
      <c r="BW84" s="523"/>
      <c r="BX84" s="524"/>
      <c r="BY84" s="523"/>
      <c r="BZ84" s="523"/>
      <c r="CA84" s="523"/>
      <c r="CB84" s="524"/>
      <c r="CC84" s="526" t="s">
        <v>30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206</v>
      </c>
      <c r="E85" s="149"/>
      <c r="F85" s="148" t="s">
        <v>148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958">
        <f>SUMPRODUCT(X$80:AA$81,AO$80:AR$81)</f>
        <v>186994</v>
      </c>
      <c r="Y85" s="959"/>
      <c r="Z85" s="959"/>
      <c r="AA85" s="960"/>
      <c r="AB85" s="958">
        <f>SUMPRODUCT(X$80:AA$81,AB$80:AE$81)</f>
        <v>97297.297297297293</v>
      </c>
      <c r="AC85" s="959"/>
      <c r="AD85" s="959"/>
      <c r="AE85" s="960"/>
      <c r="AF85" s="987">
        <f>X$86-AB$86</f>
        <v>89696.702702702707</v>
      </c>
      <c r="AG85" s="988"/>
      <c r="AH85" s="988"/>
      <c r="AI85" s="988"/>
      <c r="AJ85" s="989"/>
      <c r="AK85" s="961">
        <f>AF85/X85</f>
        <v>0.4796769024819123</v>
      </c>
      <c r="AL85" s="962"/>
      <c r="AM85" s="962"/>
      <c r="AN85" s="963"/>
      <c r="AO85" s="961">
        <f>AS85/AW85</f>
        <v>-1.8919202518363022E-2</v>
      </c>
      <c r="AP85" s="962"/>
      <c r="AQ85" s="962"/>
      <c r="AR85" s="963"/>
      <c r="AS85" s="1017">
        <f>X$80*(AO$80-AK$80)+X$81*(AO$81-AK$81)</f>
        <v>-3605.9999999999923</v>
      </c>
      <c r="AT85" s="1018"/>
      <c r="AU85" s="1018"/>
      <c r="AV85" s="1019"/>
      <c r="AW85" s="1020">
        <f>SUMPRODUCT(X$80:AA$81,AK$80:AN$81)</f>
        <v>190600</v>
      </c>
      <c r="AX85" s="1021"/>
      <c r="AY85" s="1021"/>
      <c r="AZ85" s="1022"/>
      <c r="BA85" s="958">
        <f>SUMPRODUCT(X$80:AA$81,BI$80:BL$81)</f>
        <v>205120</v>
      </c>
      <c r="BB85" s="959"/>
      <c r="BC85" s="959"/>
      <c r="BD85" s="960"/>
      <c r="BE85" s="976">
        <f>1-(AB$91+X$80*(AO$80*AQ$56+AS$80*$K$20)+X$81*(AO$81*AQ$57+AS$81*$K$20))/BA$91</f>
        <v>0.47049834871568497</v>
      </c>
      <c r="BF85" s="977"/>
      <c r="BG85" s="977"/>
      <c r="BH85" s="978"/>
      <c r="BI85" s="149" t="s">
        <v>30</v>
      </c>
      <c r="BJ85" s="150"/>
      <c r="BK85" s="150"/>
      <c r="BL85" s="152"/>
      <c r="BM85" s="149" t="s">
        <v>30</v>
      </c>
      <c r="BN85" s="150"/>
      <c r="BO85" s="150"/>
      <c r="BP85" s="152"/>
      <c r="BQ85" s="149" t="s">
        <v>30</v>
      </c>
      <c r="BR85" s="150"/>
      <c r="BS85" s="150"/>
      <c r="BT85" s="152"/>
      <c r="BU85" s="149" t="s">
        <v>30</v>
      </c>
      <c r="BV85" s="150"/>
      <c r="BW85" s="150"/>
      <c r="BX85" s="152"/>
      <c r="BY85" s="149" t="s">
        <v>30</v>
      </c>
      <c r="BZ85" s="150"/>
      <c r="CA85" s="150"/>
      <c r="CB85" s="152"/>
      <c r="CC85" s="149" t="s">
        <v>30</v>
      </c>
      <c r="CD85" s="150"/>
      <c r="CE85" s="152"/>
      <c r="CF85" s="149" t="s">
        <v>30</v>
      </c>
      <c r="CG85" s="150"/>
      <c r="CH85" s="150"/>
      <c r="CI85" s="152"/>
      <c r="CJ85" s="149" t="s">
        <v>30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206</v>
      </c>
      <c r="E86" s="149"/>
      <c r="F86" s="148" t="s">
        <v>207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958">
        <f>SUMPRODUCT(X$80:AA$81,AO$80:AR$81)</f>
        <v>186994</v>
      </c>
      <c r="Y86" s="959"/>
      <c r="Z86" s="959"/>
      <c r="AA86" s="960"/>
      <c r="AB86" s="958">
        <f>SUMPRODUCT(X$80:AA$81,AB$80:AE$81)</f>
        <v>97297.297297297293</v>
      </c>
      <c r="AC86" s="959"/>
      <c r="AD86" s="959"/>
      <c r="AE86" s="960"/>
      <c r="AF86" s="987">
        <f>X$86-AB$86</f>
        <v>89696.702702702707</v>
      </c>
      <c r="AG86" s="988"/>
      <c r="AH86" s="988"/>
      <c r="AI86" s="988"/>
      <c r="AJ86" s="989"/>
      <c r="AK86" s="961">
        <f>AF86/X86</f>
        <v>0.4796769024819123</v>
      </c>
      <c r="AL86" s="962"/>
      <c r="AM86" s="962"/>
      <c r="AN86" s="963"/>
      <c r="AO86" s="961">
        <f>AS86/AW86</f>
        <v>-1.8919202518363022E-2</v>
      </c>
      <c r="AP86" s="962"/>
      <c r="AQ86" s="962"/>
      <c r="AR86" s="963"/>
      <c r="AS86" s="1017">
        <f>X$80*(AO$80-AK$80)+X$81*(AO$81-AK$81)</f>
        <v>-3605.9999999999923</v>
      </c>
      <c r="AT86" s="1018"/>
      <c r="AU86" s="1018"/>
      <c r="AV86" s="1019"/>
      <c r="AW86" s="1020">
        <f>SUMPRODUCT(X$80:AA$81,AK$80:AN$81)</f>
        <v>190600</v>
      </c>
      <c r="AX86" s="1021"/>
      <c r="AY86" s="1021"/>
      <c r="AZ86" s="1022"/>
      <c r="BA86" s="958">
        <f>SUMPRODUCT(X$80:AA$81,BI$80:BL$81)</f>
        <v>205120</v>
      </c>
      <c r="BB86" s="959"/>
      <c r="BC86" s="959"/>
      <c r="BD86" s="960"/>
      <c r="BE86" s="976">
        <f>1-(AB$91+X$80*(AO$80*AQ$56+AS$80*$K$20)+X$81*(AO$81*AQ$57+AS$81*$K$20))/BA$91</f>
        <v>0.47049834871568497</v>
      </c>
      <c r="BF86" s="977"/>
      <c r="BG86" s="977"/>
      <c r="BH86" s="978"/>
      <c r="BI86" s="149" t="s">
        <v>30</v>
      </c>
      <c r="BJ86" s="150"/>
      <c r="BK86" s="150"/>
      <c r="BL86" s="152"/>
      <c r="BM86" s="149" t="s">
        <v>30</v>
      </c>
      <c r="BN86" s="150"/>
      <c r="BO86" s="150"/>
      <c r="BP86" s="152"/>
      <c r="BQ86" s="149" t="s">
        <v>30</v>
      </c>
      <c r="BR86" s="150"/>
      <c r="BS86" s="150"/>
      <c r="BT86" s="152"/>
      <c r="BU86" s="149" t="s">
        <v>30</v>
      </c>
      <c r="BV86" s="150"/>
      <c r="BW86" s="150"/>
      <c r="BX86" s="152"/>
      <c r="BY86" s="149" t="s">
        <v>30</v>
      </c>
      <c r="BZ86" s="150"/>
      <c r="CA86" s="150"/>
      <c r="CB86" s="152"/>
      <c r="CC86" s="149" t="s">
        <v>30</v>
      </c>
      <c r="CD86" s="150"/>
      <c r="CE86" s="152"/>
      <c r="CF86" s="149" t="s">
        <v>30</v>
      </c>
      <c r="CG86" s="150"/>
      <c r="CH86" s="150"/>
      <c r="CI86" s="152"/>
      <c r="CJ86" s="149" t="s">
        <v>30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279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295</v>
      </c>
      <c r="G88" s="244"/>
      <c r="H88" s="244"/>
      <c r="I88" s="245"/>
      <c r="J88" s="246" t="s">
        <v>30</v>
      </c>
      <c r="K88" s="247"/>
      <c r="L88" s="247"/>
      <c r="M88" s="247"/>
      <c r="N88" s="244"/>
      <c r="O88" s="245"/>
      <c r="P88" s="253" t="s">
        <v>30</v>
      </c>
      <c r="Q88" s="249"/>
      <c r="R88" s="249"/>
      <c r="S88" s="250"/>
      <c r="T88" s="243"/>
      <c r="U88" s="244"/>
      <c r="V88" s="244"/>
      <c r="W88" s="245"/>
      <c r="X88" s="249" t="s">
        <v>216</v>
      </c>
      <c r="Y88" s="244"/>
      <c r="Z88" s="244"/>
      <c r="AA88" s="244"/>
      <c r="AB88" s="248" t="s">
        <v>217</v>
      </c>
      <c r="AC88" s="244"/>
      <c r="AD88" s="244"/>
      <c r="AE88" s="244"/>
      <c r="AF88" s="248" t="s">
        <v>218</v>
      </c>
      <c r="AG88" s="249"/>
      <c r="AH88" s="249"/>
      <c r="AI88" s="249"/>
      <c r="AJ88" s="250"/>
      <c r="AK88" s="248" t="s">
        <v>219</v>
      </c>
      <c r="AL88" s="249"/>
      <c r="AM88" s="249"/>
      <c r="AN88" s="250"/>
      <c r="AO88" s="248" t="s">
        <v>220</v>
      </c>
      <c r="AP88" s="249"/>
      <c r="AQ88" s="249"/>
      <c r="AR88" s="250"/>
      <c r="AS88" s="248" t="s">
        <v>221</v>
      </c>
      <c r="AT88" s="249"/>
      <c r="AU88" s="249"/>
      <c r="AV88" s="249"/>
      <c r="AW88" s="248" t="s">
        <v>101</v>
      </c>
      <c r="AX88" s="249"/>
      <c r="AY88" s="249"/>
      <c r="AZ88" s="250"/>
      <c r="BA88" s="253" t="s">
        <v>222</v>
      </c>
      <c r="BB88" s="249"/>
      <c r="BC88" s="249"/>
      <c r="BD88" s="250"/>
      <c r="BE88" s="251" t="s">
        <v>223</v>
      </c>
      <c r="BF88" s="249"/>
      <c r="BG88" s="249"/>
      <c r="BH88" s="250"/>
      <c r="BI88" s="251" t="s">
        <v>30</v>
      </c>
      <c r="BJ88" s="249"/>
      <c r="BK88" s="249"/>
      <c r="BL88" s="250"/>
      <c r="BM88" s="251" t="s">
        <v>30</v>
      </c>
      <c r="BN88" s="249"/>
      <c r="BO88" s="249"/>
      <c r="BP88" s="250"/>
      <c r="BQ88" s="251" t="s">
        <v>30</v>
      </c>
      <c r="BR88" s="249"/>
      <c r="BS88" s="249"/>
      <c r="BT88" s="250"/>
      <c r="BU88" s="251" t="s">
        <v>30</v>
      </c>
      <c r="BV88" s="249"/>
      <c r="BW88" s="249"/>
      <c r="BX88" s="250"/>
      <c r="BY88" s="249"/>
      <c r="BZ88" s="249"/>
      <c r="CA88" s="249"/>
      <c r="CB88" s="250"/>
      <c r="CC88" s="251" t="s">
        <v>30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233</v>
      </c>
      <c r="AX89" s="458"/>
      <c r="AY89" s="458"/>
      <c r="AZ89" s="459"/>
      <c r="BA89" s="457" t="s">
        <v>30</v>
      </c>
      <c r="BB89" s="458"/>
      <c r="BC89" s="458"/>
      <c r="BD89" s="459"/>
      <c r="BE89" s="460" t="s">
        <v>30</v>
      </c>
      <c r="BF89" s="458"/>
      <c r="BG89" s="458"/>
      <c r="BH89" s="459"/>
      <c r="BI89" s="460" t="s">
        <v>30</v>
      </c>
      <c r="BJ89" s="458"/>
      <c r="BK89" s="458"/>
      <c r="BL89" s="459"/>
      <c r="BM89" s="460" t="s">
        <v>30</v>
      </c>
      <c r="BN89" s="458"/>
      <c r="BO89" s="458"/>
      <c r="BP89" s="459"/>
      <c r="BQ89" s="460" t="s">
        <v>30</v>
      </c>
      <c r="BR89" s="458"/>
      <c r="BS89" s="458"/>
      <c r="BT89" s="459"/>
      <c r="BU89" s="460" t="s">
        <v>30</v>
      </c>
      <c r="BV89" s="458"/>
      <c r="BW89" s="458"/>
      <c r="BX89" s="459"/>
      <c r="BY89" s="458"/>
      <c r="BZ89" s="458"/>
      <c r="CA89" s="458"/>
      <c r="CB89" s="459"/>
      <c r="CC89" s="460" t="s">
        <v>30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148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958">
        <f>SUMPRODUCT(X$80:AA$81,AO$80:AR$81)</f>
        <v>186994</v>
      </c>
      <c r="Y90" s="959"/>
      <c r="Z90" s="959"/>
      <c r="AA90" s="960"/>
      <c r="AB90" s="958">
        <f>SUMPRODUCT(X$80:AA$81,AB$80:AE$81)</f>
        <v>97297.297297297293</v>
      </c>
      <c r="AC90" s="959"/>
      <c r="AD90" s="959"/>
      <c r="AE90" s="960"/>
      <c r="AF90" s="987">
        <f>X$91-AB$91</f>
        <v>89696.702702702707</v>
      </c>
      <c r="AG90" s="988"/>
      <c r="AH90" s="988"/>
      <c r="AI90" s="988"/>
      <c r="AJ90" s="989"/>
      <c r="AK90" s="961">
        <f>AF90/X90</f>
        <v>0.4796769024819123</v>
      </c>
      <c r="AL90" s="962"/>
      <c r="AM90" s="962"/>
      <c r="AN90" s="963"/>
      <c r="AO90" s="961">
        <f>AS90/AW90</f>
        <v>-1.8919202518363022E-2</v>
      </c>
      <c r="AP90" s="962"/>
      <c r="AQ90" s="962"/>
      <c r="AR90" s="963"/>
      <c r="AS90" s="1017">
        <f>X$80*(AO$80-AK$80)+X$81*(AO$81-AK$81)</f>
        <v>-3605.9999999999923</v>
      </c>
      <c r="AT90" s="1018"/>
      <c r="AU90" s="1018"/>
      <c r="AV90" s="1019"/>
      <c r="AW90" s="1020">
        <f>SUMPRODUCT(X$80:AA$81,AK$80:AN$81)</f>
        <v>190600</v>
      </c>
      <c r="AX90" s="1021"/>
      <c r="AY90" s="1021"/>
      <c r="AZ90" s="1022"/>
      <c r="BA90" s="958">
        <f>SUMPRODUCT(X$80:AA$81,BI$80:BL$81)</f>
        <v>205120</v>
      </c>
      <c r="BB90" s="959"/>
      <c r="BC90" s="959"/>
      <c r="BD90" s="960"/>
      <c r="BE90" s="976">
        <f>1-(AB$91+X$80*(AO$80*AQ$56+AS$80*$K$20)+X$81*(AO$81*AQ$57+AS$81*$K$20))/BA$91</f>
        <v>0.47049834871568497</v>
      </c>
      <c r="BF90" s="977"/>
      <c r="BG90" s="977"/>
      <c r="BH90" s="978"/>
      <c r="BI90" s="149" t="s">
        <v>30</v>
      </c>
      <c r="BJ90" s="150"/>
      <c r="BK90" s="150"/>
      <c r="BL90" s="152"/>
      <c r="BM90" s="149" t="s">
        <v>30</v>
      </c>
      <c r="BN90" s="150"/>
      <c r="BO90" s="150"/>
      <c r="BP90" s="152"/>
      <c r="BQ90" s="149" t="s">
        <v>30</v>
      </c>
      <c r="BR90" s="150"/>
      <c r="BS90" s="150"/>
      <c r="BT90" s="152"/>
      <c r="BU90" s="149" t="s">
        <v>30</v>
      </c>
      <c r="BV90" s="150"/>
      <c r="BW90" s="150"/>
      <c r="BX90" s="152"/>
      <c r="BY90" s="149" t="s">
        <v>30</v>
      </c>
      <c r="BZ90" s="150"/>
      <c r="CA90" s="150"/>
      <c r="CB90" s="152"/>
      <c r="CC90" s="149" t="s">
        <v>30</v>
      </c>
      <c r="CD90" s="150"/>
      <c r="CE90" s="152"/>
      <c r="CF90" s="149" t="s">
        <v>30</v>
      </c>
      <c r="CG90" s="150"/>
      <c r="CH90" s="150"/>
      <c r="CI90" s="152"/>
      <c r="CJ90" s="149" t="s">
        <v>30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207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958">
        <f>SUMPRODUCT(X$80:AA$81,AO$80:AR$81)</f>
        <v>186994</v>
      </c>
      <c r="Y91" s="959"/>
      <c r="Z91" s="959"/>
      <c r="AA91" s="960"/>
      <c r="AB91" s="958">
        <f>SUMPRODUCT(X$80:AA$81,AB$80:AE$81)</f>
        <v>97297.297297297293</v>
      </c>
      <c r="AC91" s="959"/>
      <c r="AD91" s="959"/>
      <c r="AE91" s="960"/>
      <c r="AF91" s="987">
        <f>X$91-AB$91</f>
        <v>89696.702702702707</v>
      </c>
      <c r="AG91" s="988"/>
      <c r="AH91" s="988"/>
      <c r="AI91" s="988"/>
      <c r="AJ91" s="989"/>
      <c r="AK91" s="961">
        <f>AF91/X91</f>
        <v>0.4796769024819123</v>
      </c>
      <c r="AL91" s="962"/>
      <c r="AM91" s="962"/>
      <c r="AN91" s="963"/>
      <c r="AO91" s="961">
        <f>AS91/AW91</f>
        <v>-1.8919202518363022E-2</v>
      </c>
      <c r="AP91" s="962"/>
      <c r="AQ91" s="962"/>
      <c r="AR91" s="963"/>
      <c r="AS91" s="1017">
        <f>X$80*(AO$80-AK$80)+X$81*(AO$81-AK$81)</f>
        <v>-3605.9999999999923</v>
      </c>
      <c r="AT91" s="1018"/>
      <c r="AU91" s="1018"/>
      <c r="AV91" s="1019"/>
      <c r="AW91" s="1020">
        <f>SUMPRODUCT(X$80:AA$81,AK$80:AN$81)</f>
        <v>190600</v>
      </c>
      <c r="AX91" s="1021"/>
      <c r="AY91" s="1021"/>
      <c r="AZ91" s="1022"/>
      <c r="BA91" s="958">
        <f>SUMPRODUCT(X$80:AA$81,BI$80:BL$81)</f>
        <v>205120</v>
      </c>
      <c r="BB91" s="959"/>
      <c r="BC91" s="959"/>
      <c r="BD91" s="960"/>
      <c r="BE91" s="976">
        <f>1-(AB$91+X$80*(AO$80*AQ$56+AS$80*$K$20)+X$81*(AO$81*AQ$57+AS$81*$K$20))/BA$91</f>
        <v>0.47049834871568497</v>
      </c>
      <c r="BF91" s="977"/>
      <c r="BG91" s="977"/>
      <c r="BH91" s="978"/>
      <c r="BI91" s="149" t="s">
        <v>30</v>
      </c>
      <c r="BJ91" s="150"/>
      <c r="BK91" s="150"/>
      <c r="BL91" s="152"/>
      <c r="BM91" s="149" t="s">
        <v>30</v>
      </c>
      <c r="BN91" s="150"/>
      <c r="BO91" s="150"/>
      <c r="BP91" s="152"/>
      <c r="BQ91" s="149" t="s">
        <v>30</v>
      </c>
      <c r="BR91" s="150"/>
      <c r="BS91" s="150"/>
      <c r="BT91" s="152"/>
      <c r="BU91" s="149" t="s">
        <v>30</v>
      </c>
      <c r="BV91" s="150"/>
      <c r="BW91" s="150"/>
      <c r="BX91" s="152"/>
      <c r="BY91" s="149" t="s">
        <v>30</v>
      </c>
      <c r="BZ91" s="150"/>
      <c r="CA91" s="150"/>
      <c r="CB91" s="152"/>
      <c r="CC91" s="149" t="s">
        <v>30</v>
      </c>
      <c r="CD91" s="150"/>
      <c r="CE91" s="152"/>
      <c r="CF91" s="149" t="s">
        <v>30</v>
      </c>
      <c r="CG91" s="150"/>
      <c r="CH91" s="150"/>
      <c r="CI91" s="152"/>
      <c r="CJ91" s="149" t="s">
        <v>30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984"/>
      <c r="K93" s="985"/>
      <c r="L93" s="985"/>
      <c r="M93" s="985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174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72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32</v>
      </c>
      <c r="D95" s="403" t="s">
        <v>175</v>
      </c>
      <c r="E95" s="404"/>
      <c r="F95" s="404"/>
      <c r="G95" s="405"/>
      <c r="H95" s="406" t="s">
        <v>176</v>
      </c>
      <c r="I95" s="407"/>
      <c r="J95" s="407"/>
      <c r="K95" s="407"/>
      <c r="L95" s="404"/>
      <c r="M95" s="405"/>
      <c r="N95" s="403" t="s">
        <v>177</v>
      </c>
      <c r="O95" s="404"/>
      <c r="P95" s="404"/>
      <c r="Q95" s="404"/>
      <c r="R95" s="404"/>
      <c r="S95" s="405"/>
      <c r="T95" s="403" t="s">
        <v>178</v>
      </c>
      <c r="U95" s="404"/>
      <c r="V95" s="404"/>
      <c r="W95" s="404"/>
      <c r="X95" s="404"/>
      <c r="Y95" s="404"/>
      <c r="Z95" s="408" t="s">
        <v>179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261</v>
      </c>
      <c r="E96" s="428"/>
      <c r="F96" s="428"/>
      <c r="G96" s="429"/>
      <c r="H96" s="420" t="s">
        <v>192</v>
      </c>
      <c r="I96" s="117"/>
      <c r="J96" s="117"/>
      <c r="K96" s="117"/>
      <c r="L96" s="421"/>
      <c r="M96" s="422"/>
      <c r="N96" s="1033">
        <v>5000</v>
      </c>
      <c r="O96" s="1034"/>
      <c r="P96" s="1034"/>
      <c r="Q96" s="1034"/>
      <c r="R96" s="1034"/>
      <c r="S96" s="1035"/>
      <c r="T96" s="1033">
        <v>5000</v>
      </c>
      <c r="U96" s="1028"/>
      <c r="V96" s="1028"/>
      <c r="W96" s="1028"/>
      <c r="X96" s="1028"/>
      <c r="Y96" s="1029"/>
      <c r="Z96" s="1036">
        <v>10</v>
      </c>
      <c r="AA96" s="1037"/>
      <c r="AB96" s="1037"/>
      <c r="AC96" s="1038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033">
        <v>5000</v>
      </c>
      <c r="O97" s="1034"/>
      <c r="P97" s="1034"/>
      <c r="Q97" s="1034"/>
      <c r="R97" s="1034"/>
      <c r="S97" s="1035"/>
      <c r="T97" s="1033">
        <v>5000</v>
      </c>
      <c r="U97" s="1028"/>
      <c r="V97" s="1028"/>
      <c r="W97" s="1028"/>
      <c r="X97" s="1028"/>
      <c r="Y97" s="1029"/>
      <c r="Z97" s="1036"/>
      <c r="AA97" s="1037"/>
      <c r="AB97" s="1037"/>
      <c r="AC97" s="1038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026"/>
      <c r="S98" s="1026"/>
      <c r="T98" s="1026"/>
      <c r="U98" s="1026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181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72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32</v>
      </c>
      <c r="D100" s="403" t="s">
        <v>175</v>
      </c>
      <c r="E100" s="412"/>
      <c r="F100" s="412"/>
      <c r="G100" s="413"/>
      <c r="H100" s="414" t="s">
        <v>186</v>
      </c>
      <c r="I100" s="415"/>
      <c r="J100" s="415"/>
      <c r="K100" s="415"/>
      <c r="L100" s="412"/>
      <c r="M100" s="413"/>
      <c r="N100" s="411" t="s">
        <v>187</v>
      </c>
      <c r="O100" s="412"/>
      <c r="P100" s="412"/>
      <c r="Q100" s="412"/>
      <c r="R100" s="412"/>
      <c r="S100" s="413"/>
      <c r="T100" s="411" t="s">
        <v>188</v>
      </c>
      <c r="U100" s="412"/>
      <c r="V100" s="412"/>
      <c r="W100" s="412"/>
      <c r="X100" s="412"/>
      <c r="Y100" s="412"/>
      <c r="Z100" s="416" t="s">
        <v>179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261</v>
      </c>
      <c r="E101" s="428"/>
      <c r="F101" s="428"/>
      <c r="G101" s="429"/>
      <c r="H101" s="242" t="s">
        <v>30</v>
      </c>
      <c r="I101" s="150"/>
      <c r="J101" s="150"/>
      <c r="K101" s="150"/>
      <c r="L101" s="161"/>
      <c r="M101" s="162"/>
      <c r="N101" s="1027">
        <v>5000</v>
      </c>
      <c r="O101" s="1028"/>
      <c r="P101" s="1028"/>
      <c r="Q101" s="1028"/>
      <c r="R101" s="1028"/>
      <c r="S101" s="1029"/>
      <c r="T101" s="1027">
        <v>5000</v>
      </c>
      <c r="U101" s="1028"/>
      <c r="V101" s="1028"/>
      <c r="W101" s="1028"/>
      <c r="X101" s="1028"/>
      <c r="Y101" s="1029"/>
      <c r="Z101" s="1030">
        <v>10</v>
      </c>
      <c r="AA101" s="1031"/>
      <c r="AB101" s="1031"/>
      <c r="AC101" s="1032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30</v>
      </c>
      <c r="I102" s="150"/>
      <c r="J102" s="150"/>
      <c r="K102" s="150"/>
      <c r="L102" s="161"/>
      <c r="M102" s="162"/>
      <c r="N102" s="1027">
        <v>5000</v>
      </c>
      <c r="O102" s="1028"/>
      <c r="P102" s="1028"/>
      <c r="Q102" s="1028"/>
      <c r="R102" s="1028"/>
      <c r="S102" s="1029"/>
      <c r="T102" s="1027">
        <v>5000</v>
      </c>
      <c r="U102" s="1028"/>
      <c r="V102" s="1028"/>
      <c r="W102" s="1028"/>
      <c r="X102" s="1028"/>
      <c r="Y102" s="1029"/>
      <c r="Z102" s="1030"/>
      <c r="AA102" s="1031"/>
      <c r="AB102" s="1031"/>
      <c r="AC102" s="1032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193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194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196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195</v>
      </c>
      <c r="D106" s="28"/>
      <c r="E106" s="28"/>
      <c r="F106" s="28"/>
      <c r="H106" s="516" t="s">
        <v>283</v>
      </c>
      <c r="I106" s="59"/>
      <c r="J106" s="59"/>
      <c r="K106" s="59"/>
      <c r="L106" s="60"/>
      <c r="M106" s="59"/>
      <c r="N106" s="61"/>
      <c r="O106" s="61"/>
      <c r="P106" s="99" t="s">
        <v>33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284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37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33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15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986"/>
      <c r="K114" s="986"/>
      <c r="L114" s="986"/>
      <c r="M114" s="986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5" customHeight="1">
      <c r="A115" s="22"/>
      <c r="B115" s="129"/>
      <c r="C115" s="346" t="s">
        <v>131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15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5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5" customHeight="1">
      <c r="A118" s="23"/>
      <c r="B118" s="351"/>
      <c r="C118" s="352"/>
      <c r="D118" s="348" t="s">
        <v>38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40</v>
      </c>
      <c r="S118" s="134"/>
      <c r="T118" s="107"/>
      <c r="U118" s="107"/>
      <c r="V118" s="133" t="s">
        <v>44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45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41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15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5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951"/>
      <c r="K121" s="951"/>
      <c r="L121" s="951"/>
      <c r="M121" s="951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5" customHeight="1">
      <c r="A122" s="22"/>
      <c r="B122" s="202">
        <v>35</v>
      </c>
      <c r="C122" s="346" t="s">
        <v>247</v>
      </c>
      <c r="D122" s="332"/>
      <c r="E122" s="65"/>
      <c r="F122" s="65"/>
      <c r="G122" s="65"/>
      <c r="H122" s="65"/>
      <c r="I122" s="65"/>
      <c r="J122" s="951"/>
      <c r="K122" s="951"/>
      <c r="L122" s="951"/>
      <c r="M122" s="951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5" customHeight="1">
      <c r="A123" s="22"/>
      <c r="B123" s="202">
        <v>35</v>
      </c>
      <c r="C123" s="331"/>
      <c r="D123" s="478" t="s">
        <v>248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5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990"/>
      <c r="K124" s="990"/>
      <c r="L124" s="990"/>
      <c r="M124" s="990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15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5" customHeight="1">
      <c r="A126" s="23"/>
      <c r="B126" s="351"/>
      <c r="C126" s="282"/>
      <c r="D126" s="28" t="s">
        <v>240</v>
      </c>
      <c r="E126" s="28"/>
      <c r="F126" s="28"/>
      <c r="G126" s="28"/>
      <c r="H126" s="468" t="s">
        <v>245</v>
      </c>
      <c r="I126" s="257"/>
      <c r="J126" s="258"/>
      <c r="K126" s="258"/>
      <c r="L126" s="258"/>
      <c r="M126" s="259"/>
      <c r="N126" s="258"/>
      <c r="O126" s="110"/>
      <c r="P126" s="261" t="s">
        <v>33</v>
      </c>
      <c r="Q126" s="25"/>
      <c r="R126" s="469" t="s">
        <v>246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289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5" customHeight="1">
      <c r="A127" s="23"/>
      <c r="B127" s="351"/>
      <c r="C127" s="282"/>
      <c r="D127" s="28"/>
      <c r="E127" s="28"/>
      <c r="F127" s="28"/>
      <c r="G127" s="28"/>
      <c r="H127" s="469" t="s">
        <v>54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15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15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5" customHeight="1">
      <c r="A130" s="22"/>
      <c r="B130" s="202">
        <v>35</v>
      </c>
      <c r="C130" s="62" t="s">
        <v>243</v>
      </c>
      <c r="D130" s="332"/>
      <c r="E130" s="65"/>
      <c r="F130" s="65"/>
      <c r="G130" s="65"/>
      <c r="H130" s="65"/>
      <c r="I130" s="65"/>
      <c r="J130" s="951"/>
      <c r="K130" s="951"/>
      <c r="L130" s="951"/>
      <c r="M130" s="951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15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5" customHeight="1">
      <c r="A132" s="23"/>
      <c r="B132" s="351"/>
      <c r="C132" s="282"/>
      <c r="D132" s="28" t="s">
        <v>240</v>
      </c>
      <c r="E132" s="28"/>
      <c r="F132" s="28"/>
      <c r="G132" s="28"/>
      <c r="H132" s="468" t="s">
        <v>241</v>
      </c>
      <c r="I132" s="257"/>
      <c r="J132" s="258"/>
      <c r="K132" s="258"/>
      <c r="L132" s="258"/>
      <c r="M132" s="259"/>
      <c r="N132" s="258"/>
      <c r="O132" s="110"/>
      <c r="P132" s="261" t="s">
        <v>33</v>
      </c>
      <c r="Q132" s="25"/>
      <c r="R132" s="469" t="s">
        <v>242</v>
      </c>
      <c r="S132" s="470"/>
      <c r="T132" s="471"/>
      <c r="U132" s="471"/>
      <c r="V132" s="483"/>
      <c r="W132" s="484" t="s">
        <v>254</v>
      </c>
      <c r="X132" s="471"/>
      <c r="Y132" s="473"/>
      <c r="Z132" s="474"/>
      <c r="AB132" s="529" t="s">
        <v>290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5" customHeight="1">
      <c r="A133" s="23"/>
      <c r="B133" s="351"/>
      <c r="C133" s="282"/>
      <c r="D133" s="28"/>
      <c r="E133" s="28"/>
      <c r="F133" s="28"/>
      <c r="G133" s="28"/>
      <c r="H133" s="469" t="s">
        <v>253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15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15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5" customHeight="1">
      <c r="A136" s="22"/>
      <c r="B136" s="202">
        <v>35</v>
      </c>
      <c r="C136" s="62" t="s">
        <v>243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5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5" customHeight="1">
      <c r="A138" s="22"/>
      <c r="B138" s="202">
        <v>35</v>
      </c>
      <c r="C138" s="346" t="s">
        <v>249</v>
      </c>
      <c r="D138" s="332"/>
      <c r="E138" s="65"/>
      <c r="F138" s="65"/>
      <c r="G138" s="65"/>
      <c r="H138" s="65"/>
      <c r="I138" s="65"/>
      <c r="J138" s="951"/>
      <c r="K138" s="951"/>
      <c r="L138" s="951"/>
      <c r="M138" s="951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15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250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252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251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44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255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54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256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54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257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54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15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5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951"/>
      <c r="K146" s="951"/>
      <c r="L146" s="951"/>
      <c r="M146" s="951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951"/>
      <c r="K147" s="951"/>
      <c r="L147" s="951"/>
      <c r="M147" s="951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951"/>
      <c r="K148" s="951"/>
      <c r="L148" s="951"/>
      <c r="M148" s="951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</mergeCells>
  <phoneticPr fontId="56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7" t="s">
        <v>4</v>
      </c>
      <c r="B1" s="757"/>
      <c r="C1" s="757"/>
      <c r="D1" s="757"/>
      <c r="E1" s="757"/>
      <c r="F1" s="757"/>
      <c r="G1" s="757"/>
      <c r="H1" s="757"/>
      <c r="I1" s="740" t="s">
        <v>5</v>
      </c>
      <c r="J1" s="740"/>
      <c r="K1" s="740"/>
      <c r="L1" s="740"/>
      <c r="M1" s="755" t="str">
        <f>変更来歴!M1</f>
        <v>ヒロセ電機株式会社</v>
      </c>
      <c r="N1" s="755"/>
      <c r="O1" s="755"/>
      <c r="P1" s="755"/>
      <c r="Q1" s="755"/>
      <c r="R1" s="755"/>
      <c r="S1" s="755"/>
      <c r="T1" s="755"/>
      <c r="U1" s="755"/>
      <c r="V1" s="755"/>
      <c r="W1" s="755"/>
      <c r="X1" s="740" t="s">
        <v>7</v>
      </c>
      <c r="Y1" s="740"/>
      <c r="Z1" s="740"/>
      <c r="AA1" s="759" t="str">
        <f>変更来歴!AA1</f>
        <v>化学物質データ申請</v>
      </c>
      <c r="AB1" s="759"/>
      <c r="AC1" s="759"/>
      <c r="AD1" s="759"/>
      <c r="AE1" s="759"/>
      <c r="AF1" s="759"/>
      <c r="AG1" s="759"/>
      <c r="AH1" s="759"/>
      <c r="AI1" s="759"/>
      <c r="AJ1" s="759"/>
      <c r="AK1" s="744" t="s">
        <v>8</v>
      </c>
      <c r="AL1" s="744"/>
      <c r="AM1" s="744"/>
      <c r="AN1" s="745" t="str">
        <f>変更来歴!AP7</f>
        <v>古竹</v>
      </c>
      <c r="AO1" s="745"/>
      <c r="AP1" s="745"/>
      <c r="AQ1" s="745"/>
      <c r="AR1" s="745"/>
      <c r="AS1" s="744" t="s">
        <v>9</v>
      </c>
      <c r="AT1" s="744"/>
      <c r="AU1" s="744"/>
      <c r="AV1" s="747">
        <f>変更来歴!AL7</f>
        <v>46125</v>
      </c>
      <c r="AW1" s="760"/>
      <c r="AX1" s="760"/>
      <c r="AY1" s="760"/>
      <c r="AZ1" s="736" t="s">
        <v>10</v>
      </c>
      <c r="BA1" s="737"/>
      <c r="BB1" s="737"/>
      <c r="BC1" s="738"/>
    </row>
    <row r="2" spans="1:59">
      <c r="A2" s="739" t="s">
        <v>16</v>
      </c>
      <c r="B2" s="739"/>
      <c r="C2" s="739"/>
      <c r="D2" s="739"/>
      <c r="E2" s="739"/>
      <c r="F2" s="739"/>
      <c r="G2" s="739"/>
      <c r="H2" s="739"/>
      <c r="I2" s="740" t="s">
        <v>11</v>
      </c>
      <c r="J2" s="740"/>
      <c r="K2" s="740"/>
      <c r="L2" s="740"/>
      <c r="M2" s="789" t="str">
        <f>変更来歴!M2</f>
        <v>　</v>
      </c>
      <c r="N2" s="789"/>
      <c r="O2" s="789"/>
      <c r="P2" s="789"/>
      <c r="Q2" s="789"/>
      <c r="R2" s="789"/>
      <c r="S2" s="789"/>
      <c r="T2" s="789"/>
      <c r="U2" s="789"/>
      <c r="V2" s="789"/>
      <c r="W2" s="789"/>
      <c r="X2" s="740"/>
      <c r="Y2" s="740"/>
      <c r="Z2" s="740"/>
      <c r="AA2" s="759"/>
      <c r="AB2" s="759"/>
      <c r="AC2" s="759"/>
      <c r="AD2" s="759"/>
      <c r="AE2" s="759"/>
      <c r="AF2" s="759"/>
      <c r="AG2" s="759"/>
      <c r="AH2" s="759"/>
      <c r="AI2" s="759"/>
      <c r="AJ2" s="759"/>
      <c r="AK2" s="744" t="s">
        <v>12</v>
      </c>
      <c r="AL2" s="744"/>
      <c r="AM2" s="744"/>
      <c r="AN2" s="745" t="str">
        <f ca="1">INDIRECT("変更来歴!AP" &amp; COUNTA(変更来歴!AP7:'変更来歴'!AP39) + 6)</f>
        <v>古竹</v>
      </c>
      <c r="AO2" s="745"/>
      <c r="AP2" s="745"/>
      <c r="AQ2" s="745"/>
      <c r="AR2" s="745"/>
      <c r="AS2" s="744" t="s">
        <v>13</v>
      </c>
      <c r="AT2" s="744"/>
      <c r="AU2" s="744"/>
      <c r="AV2" s="747">
        <f ca="1">INDIRECT("変更来歴!AL" &amp; COUNTA(変更来歴!AL7:'変更来歴'!AL39) + 6)</f>
        <v>46162</v>
      </c>
      <c r="AW2" s="760"/>
      <c r="AX2" s="760"/>
      <c r="AY2" s="760"/>
      <c r="AZ2" s="748" t="str">
        <f>変更来歴!AX2</f>
        <v>IMWF-53</v>
      </c>
      <c r="BA2" s="749"/>
      <c r="BB2" s="749"/>
      <c r="BC2" s="750"/>
    </row>
    <row r="3" spans="1:59" ht="12" customHeight="1">
      <c r="A3" s="754" t="str">
        <f>変更来歴!A3</f>
        <v>画面設計書</v>
      </c>
      <c r="B3" s="754"/>
      <c r="C3" s="754"/>
      <c r="D3" s="754"/>
      <c r="E3" s="754"/>
      <c r="F3" s="754"/>
      <c r="G3" s="754"/>
      <c r="H3" s="754"/>
      <c r="I3" s="740" t="s">
        <v>14</v>
      </c>
      <c r="J3" s="740"/>
      <c r="K3" s="740"/>
      <c r="L3" s="740"/>
      <c r="M3" s="755" t="str">
        <f ca="1">RIGHT(CELL("filename",A1),LEN(CELL("filename",A1))-FIND("]",CELL("filename",A1)))</f>
        <v>外貨(技術原計)</v>
      </c>
      <c r="N3" s="755"/>
      <c r="O3" s="755"/>
      <c r="P3" s="755"/>
      <c r="Q3" s="755"/>
      <c r="R3" s="755"/>
      <c r="S3" s="755"/>
      <c r="T3" s="755"/>
      <c r="U3" s="755"/>
      <c r="V3" s="755"/>
      <c r="W3" s="755"/>
      <c r="X3" s="740" t="s">
        <v>27</v>
      </c>
      <c r="Y3" s="740"/>
      <c r="Z3" s="740"/>
      <c r="AA3" s="756" t="str">
        <f ca="1">MID(CELL("filename"),FIND("]",CELL("filename"))+1,LEN(CELL("filename"))) &amp; "画面"</f>
        <v>画面項目画面</v>
      </c>
      <c r="AB3" s="756"/>
      <c r="AC3" s="756"/>
      <c r="AD3" s="756"/>
      <c r="AE3" s="756"/>
      <c r="AF3" s="756"/>
      <c r="AG3" s="756"/>
      <c r="AH3" s="756"/>
      <c r="AI3" s="756"/>
      <c r="AJ3" s="756"/>
      <c r="AK3" s="756"/>
      <c r="AL3" s="756"/>
      <c r="AM3" s="756"/>
      <c r="AN3" s="756"/>
      <c r="AO3" s="756"/>
      <c r="AP3" s="756"/>
      <c r="AQ3" s="756"/>
      <c r="AR3" s="756"/>
      <c r="AS3" s="744" t="s">
        <v>15</v>
      </c>
      <c r="AT3" s="744"/>
      <c r="AU3" s="744"/>
      <c r="AV3" s="760" t="str">
        <f ca="1">INDIRECT("変更来歴!A" &amp; COUNTA(変更来歴!A7:'変更来歴'!A39) + 6)</f>
        <v>r1.2</v>
      </c>
      <c r="AW3" s="760"/>
      <c r="AX3" s="760"/>
      <c r="AY3" s="760"/>
      <c r="AZ3" s="751"/>
      <c r="BA3" s="752"/>
      <c r="BB3" s="752"/>
      <c r="BC3" s="753"/>
    </row>
    <row r="4" spans="1:59" ht="5.9" customHeight="1"/>
    <row r="5" spans="1:59" ht="13.5" customHeight="1">
      <c r="A5" s="793" t="str">
        <f ca="1">"画面レイアウト"&amp;"("&amp;MID(CELL("filename"),FIND("]",CELL("filename"))+1,LEN(CELL("filename")))&amp;")"</f>
        <v>画面レイアウト(画面項目)</v>
      </c>
      <c r="B5" s="794"/>
      <c r="C5" s="794"/>
      <c r="D5" s="794"/>
      <c r="E5" s="794"/>
      <c r="F5" s="794"/>
      <c r="G5" s="794"/>
      <c r="H5" s="794"/>
      <c r="I5" s="794"/>
      <c r="J5" s="794"/>
      <c r="K5" s="794"/>
      <c r="L5" s="794"/>
      <c r="M5" s="794"/>
      <c r="N5" s="794"/>
      <c r="O5" s="794"/>
      <c r="P5" s="794"/>
      <c r="Q5" s="794"/>
      <c r="R5" s="794"/>
      <c r="S5" s="794"/>
      <c r="T5" s="794"/>
      <c r="U5" s="794"/>
      <c r="V5" s="794"/>
      <c r="W5" s="794"/>
      <c r="X5" s="794"/>
      <c r="Y5" s="794"/>
      <c r="Z5" s="794"/>
      <c r="AA5" s="794"/>
      <c r="AB5" s="794"/>
      <c r="AC5" s="794"/>
      <c r="AD5" s="794"/>
      <c r="AE5" s="794"/>
      <c r="AF5" s="794"/>
      <c r="AG5" s="794"/>
      <c r="AH5" s="794"/>
      <c r="AI5" s="794"/>
      <c r="AJ5" s="794"/>
      <c r="AK5" s="794"/>
      <c r="AL5" s="794"/>
      <c r="AM5" s="794"/>
      <c r="AN5" s="794"/>
      <c r="AO5" s="794"/>
      <c r="AP5" s="794"/>
      <c r="AQ5" s="794"/>
      <c r="AR5" s="794"/>
      <c r="AS5" s="794"/>
      <c r="AT5" s="794"/>
      <c r="AU5" s="794"/>
      <c r="AV5" s="794"/>
      <c r="AW5" s="794"/>
      <c r="AX5" s="794"/>
      <c r="AY5" s="794"/>
      <c r="AZ5" s="794"/>
      <c r="BA5" s="795"/>
      <c r="BB5" s="790" t="s">
        <v>24</v>
      </c>
      <c r="BC5" s="791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01">
        <v>110</v>
      </c>
      <c r="I42" s="971"/>
      <c r="J42" s="971"/>
      <c r="K42" s="971"/>
      <c r="L42" s="972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01">
        <v>125</v>
      </c>
      <c r="I43" s="971"/>
      <c r="J43" s="971"/>
      <c r="K43" s="971"/>
      <c r="L43" s="972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128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278</v>
      </c>
      <c r="AA49" s="211"/>
      <c r="AB49" s="211"/>
      <c r="AC49" s="211"/>
      <c r="AD49" s="212"/>
      <c r="AE49" s="210" t="s">
        <v>224</v>
      </c>
      <c r="AF49" s="211"/>
      <c r="AG49" s="211"/>
      <c r="AH49" s="211"/>
      <c r="AI49" s="212"/>
      <c r="AJ49" s="210" t="s">
        <v>293</v>
      </c>
      <c r="AK49" s="211"/>
      <c r="AL49" s="211"/>
      <c r="AM49" s="212"/>
      <c r="AN49" s="210" t="s">
        <v>162</v>
      </c>
      <c r="AO49" s="211"/>
      <c r="AP49" s="211"/>
      <c r="AQ49" s="212"/>
      <c r="AR49" s="211" t="s">
        <v>152</v>
      </c>
      <c r="AS49" s="211"/>
      <c r="AT49" s="211"/>
      <c r="AU49" s="212"/>
      <c r="AV49" s="211" t="s">
        <v>197</v>
      </c>
      <c r="AW49" s="211"/>
      <c r="AX49" s="211"/>
      <c r="AY49" s="212"/>
      <c r="AZ49" s="210" t="s">
        <v>199</v>
      </c>
      <c r="BA49" s="211"/>
      <c r="BB49" s="211"/>
      <c r="BC49" s="212"/>
      <c r="BD49" s="210" t="s">
        <v>83</v>
      </c>
      <c r="BE49" s="211"/>
      <c r="BF49" s="211"/>
      <c r="BG49" s="212"/>
      <c r="BH49" s="210" t="s">
        <v>42</v>
      </c>
      <c r="BI49" s="211"/>
      <c r="BJ49" s="211"/>
      <c r="BK49" s="212"/>
      <c r="BL49" s="211" t="s">
        <v>156</v>
      </c>
      <c r="BM49" s="211"/>
      <c r="BN49" s="212"/>
      <c r="BO49" s="305" t="s">
        <v>86</v>
      </c>
      <c r="BP49" s="211"/>
      <c r="BQ49" s="211"/>
      <c r="BR49" s="212"/>
      <c r="BS49" s="211" t="s">
        <v>69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30</v>
      </c>
      <c r="AF50" s="218"/>
      <c r="AG50" s="218"/>
      <c r="AH50" s="219"/>
      <c r="AI50" s="220"/>
      <c r="AJ50" s="217" t="s">
        <v>43</v>
      </c>
      <c r="AK50" s="218"/>
      <c r="AL50" s="219"/>
      <c r="AM50" s="220"/>
      <c r="AN50" s="217" t="s">
        <v>30</v>
      </c>
      <c r="AO50" s="218"/>
      <c r="AP50" s="219"/>
      <c r="AQ50" s="220"/>
      <c r="AR50" s="218" t="s">
        <v>43</v>
      </c>
      <c r="AS50" s="218"/>
      <c r="AT50" s="219"/>
      <c r="AU50" s="220"/>
      <c r="AV50" s="218" t="s">
        <v>198</v>
      </c>
      <c r="AW50" s="218"/>
      <c r="AX50" s="219"/>
      <c r="AY50" s="220"/>
      <c r="AZ50" s="217" t="s">
        <v>155</v>
      </c>
      <c r="BA50" s="218"/>
      <c r="BB50" s="219"/>
      <c r="BC50" s="220"/>
      <c r="BD50" s="217" t="s">
        <v>155</v>
      </c>
      <c r="BE50" s="218"/>
      <c r="BF50" s="219"/>
      <c r="BG50" s="220"/>
      <c r="BH50" s="217" t="s">
        <v>200</v>
      </c>
      <c r="BI50" s="218"/>
      <c r="BJ50" s="219"/>
      <c r="BK50" s="220"/>
      <c r="BL50" s="218" t="s">
        <v>201</v>
      </c>
      <c r="BM50" s="218"/>
      <c r="BN50" s="220"/>
      <c r="BO50" s="307" t="s">
        <v>43</v>
      </c>
      <c r="BP50" s="218"/>
      <c r="BQ50" s="219"/>
      <c r="BR50" s="220"/>
      <c r="BS50" s="218" t="s">
        <v>43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225</v>
      </c>
      <c r="E51" s="149"/>
      <c r="F51" s="149"/>
      <c r="G51" s="151"/>
      <c r="H51" s="242" t="s">
        <v>227</v>
      </c>
      <c r="I51" s="150"/>
      <c r="J51" s="150"/>
      <c r="K51" s="150"/>
      <c r="L51" s="161"/>
      <c r="M51" s="162"/>
      <c r="N51" s="242" t="s">
        <v>229</v>
      </c>
      <c r="O51" s="150"/>
      <c r="P51" s="150"/>
      <c r="Q51" s="99" t="s">
        <v>33</v>
      </c>
      <c r="R51" s="981">
        <v>200</v>
      </c>
      <c r="S51" s="982"/>
      <c r="T51" s="982"/>
      <c r="U51" s="983"/>
      <c r="V51" s="148" t="s">
        <v>207</v>
      </c>
      <c r="W51" s="150"/>
      <c r="X51" s="150"/>
      <c r="Y51" s="99" t="s">
        <v>33</v>
      </c>
      <c r="Z51" s="970">
        <v>34690.32</v>
      </c>
      <c r="AA51" s="979"/>
      <c r="AB51" s="979"/>
      <c r="AC51" s="979"/>
      <c r="AD51" s="980"/>
      <c r="AE51" s="970">
        <v>46831.94</v>
      </c>
      <c r="AF51" s="979"/>
      <c r="AG51" s="979"/>
      <c r="AH51" s="979"/>
      <c r="AI51" s="980"/>
      <c r="AJ51" s="148" t="s">
        <v>148</v>
      </c>
      <c r="AK51" s="150"/>
      <c r="AL51" s="150"/>
      <c r="AM51" s="99" t="s">
        <v>33</v>
      </c>
      <c r="AN51" s="995">
        <v>547.11950000000002</v>
      </c>
      <c r="AO51" s="996"/>
      <c r="AP51" s="996"/>
      <c r="AQ51" s="997"/>
      <c r="AR51" s="995">
        <v>560</v>
      </c>
      <c r="AS51" s="996"/>
      <c r="AT51" s="996"/>
      <c r="AU51" s="997"/>
      <c r="AV51" s="998">
        <v>4.4999999999999998E-2</v>
      </c>
      <c r="AW51" s="999"/>
      <c r="AX51" s="999"/>
      <c r="AY51" s="1000"/>
      <c r="AZ51" s="995">
        <v>674</v>
      </c>
      <c r="BA51" s="996"/>
      <c r="BB51" s="996"/>
      <c r="BC51" s="997"/>
      <c r="BD51" s="995"/>
      <c r="BE51" s="996"/>
      <c r="BF51" s="996"/>
      <c r="BG51" s="997"/>
      <c r="BH51" s="995"/>
      <c r="BI51" s="996"/>
      <c r="BJ51" s="996"/>
      <c r="BK51" s="997"/>
      <c r="BL51" s="1011"/>
      <c r="BM51" s="1012"/>
      <c r="BN51" s="1013"/>
      <c r="BO51" s="242"/>
      <c r="BP51" s="150"/>
      <c r="BQ51" s="150"/>
      <c r="BR51" s="152"/>
      <c r="BS51" s="149" t="s">
        <v>30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226</v>
      </c>
      <c r="E52" s="149"/>
      <c r="F52" s="149"/>
      <c r="G52" s="151"/>
      <c r="H52" s="242" t="s">
        <v>228</v>
      </c>
      <c r="I52" s="150"/>
      <c r="J52" s="150"/>
      <c r="K52" s="150"/>
      <c r="L52" s="161"/>
      <c r="M52" s="162"/>
      <c r="N52" s="242" t="s">
        <v>229</v>
      </c>
      <c r="O52" s="150"/>
      <c r="P52" s="150"/>
      <c r="Q52" s="99" t="s">
        <v>33</v>
      </c>
      <c r="R52" s="981">
        <v>200</v>
      </c>
      <c r="S52" s="982"/>
      <c r="T52" s="982"/>
      <c r="U52" s="983"/>
      <c r="V52" s="148" t="s">
        <v>207</v>
      </c>
      <c r="W52" s="150"/>
      <c r="X52" s="150"/>
      <c r="Y52" s="99" t="s">
        <v>33</v>
      </c>
      <c r="Z52" s="970">
        <v>11230.49</v>
      </c>
      <c r="AA52" s="979"/>
      <c r="AB52" s="979"/>
      <c r="AC52" s="979"/>
      <c r="AD52" s="980"/>
      <c r="AE52" s="970">
        <v>15161.17</v>
      </c>
      <c r="AF52" s="979"/>
      <c r="AG52" s="979"/>
      <c r="AH52" s="979"/>
      <c r="AI52" s="980"/>
      <c r="AJ52" s="148" t="s">
        <v>148</v>
      </c>
      <c r="AK52" s="150"/>
      <c r="AL52" s="150"/>
      <c r="AM52" s="99" t="s">
        <v>33</v>
      </c>
      <c r="AN52" s="995">
        <v>177.12389999999999</v>
      </c>
      <c r="AO52" s="996"/>
      <c r="AP52" s="996"/>
      <c r="AQ52" s="997"/>
      <c r="AR52" s="995">
        <v>180</v>
      </c>
      <c r="AS52" s="996"/>
      <c r="AT52" s="996"/>
      <c r="AU52" s="997"/>
      <c r="AV52" s="998">
        <v>4.4999999999999998E-2</v>
      </c>
      <c r="AW52" s="999"/>
      <c r="AX52" s="999"/>
      <c r="AY52" s="1000"/>
      <c r="AZ52" s="995">
        <v>218.2</v>
      </c>
      <c r="BA52" s="996"/>
      <c r="BB52" s="996"/>
      <c r="BC52" s="997"/>
      <c r="BD52" s="995"/>
      <c r="BE52" s="996"/>
      <c r="BF52" s="996"/>
      <c r="BG52" s="997"/>
      <c r="BH52" s="995"/>
      <c r="BI52" s="996"/>
      <c r="BJ52" s="996"/>
      <c r="BK52" s="997"/>
      <c r="BL52" s="1011"/>
      <c r="BM52" s="1012"/>
      <c r="BN52" s="1013"/>
      <c r="BO52" s="242"/>
      <c r="BP52" s="150"/>
      <c r="BQ52" s="150"/>
      <c r="BR52" s="152"/>
      <c r="BS52" s="149" t="s">
        <v>30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80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212</v>
      </c>
      <c r="BB63" s="240"/>
      <c r="BC63" s="240"/>
      <c r="BD63" s="241"/>
      <c r="BE63" s="239" t="s">
        <v>213</v>
      </c>
      <c r="BF63" s="240"/>
      <c r="BG63" s="240"/>
      <c r="BH63" s="240"/>
      <c r="BI63" s="239" t="s">
        <v>199</v>
      </c>
      <c r="BJ63" s="240"/>
      <c r="BK63" s="240"/>
      <c r="BL63" s="241"/>
      <c r="BM63" s="239" t="s">
        <v>214</v>
      </c>
      <c r="BN63" s="240"/>
      <c r="BO63" s="240"/>
      <c r="BP63" s="241"/>
      <c r="BQ63" s="239" t="s">
        <v>215</v>
      </c>
      <c r="BR63" s="240"/>
      <c r="BS63" s="240"/>
      <c r="BT63" s="241"/>
      <c r="BU63" s="239" t="s">
        <v>83</v>
      </c>
      <c r="BV63" s="240"/>
      <c r="BW63" s="240"/>
      <c r="BX63" s="241"/>
      <c r="BY63" s="239" t="s">
        <v>84</v>
      </c>
      <c r="BZ63" s="240"/>
      <c r="CA63" s="240"/>
      <c r="CB63" s="241"/>
      <c r="CC63" s="240" t="s">
        <v>85</v>
      </c>
      <c r="CD63" s="240"/>
      <c r="CE63" s="241"/>
      <c r="CF63" s="240" t="s">
        <v>86</v>
      </c>
      <c r="CG63" s="240"/>
      <c r="CH63" s="240"/>
      <c r="CI63" s="241"/>
      <c r="CJ63" s="240" t="s">
        <v>69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275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981">
        <f>R51</f>
        <v>200</v>
      </c>
      <c r="Y64" s="982"/>
      <c r="Z64" s="982"/>
      <c r="AA64" s="983"/>
      <c r="AB64" s="995">
        <f>Z51/H42</f>
        <v>315.36654545454547</v>
      </c>
      <c r="AC64" s="996"/>
      <c r="AD64" s="996"/>
      <c r="AE64" s="997"/>
      <c r="AF64" s="995">
        <f>BH51</f>
        <v>0</v>
      </c>
      <c r="AG64" s="996"/>
      <c r="AH64" s="996"/>
      <c r="AI64" s="996"/>
      <c r="AJ64" s="997"/>
      <c r="AK64" s="995">
        <f>AR51</f>
        <v>560</v>
      </c>
      <c r="AL64" s="996"/>
      <c r="AM64" s="996"/>
      <c r="AN64" s="997"/>
      <c r="AO64" s="995">
        <f>AN51</f>
        <v>547.11950000000002</v>
      </c>
      <c r="AP64" s="996"/>
      <c r="AQ64" s="996"/>
      <c r="AR64" s="997"/>
      <c r="AS64" s="995">
        <f>AN51/(1-AV51)</f>
        <v>572.90000000000009</v>
      </c>
      <c r="AT64" s="996"/>
      <c r="AU64" s="996"/>
      <c r="AV64" s="997"/>
      <c r="AW64" s="995">
        <f>AN51-(AS64*$K$20)</f>
        <v>518.47450000000003</v>
      </c>
      <c r="AX64" s="996"/>
      <c r="AY64" s="996"/>
      <c r="AZ64" s="997"/>
      <c r="BA64" s="961">
        <f>(AO64-AS64*$K$20-AE51/H42)/(AE51/H42)</f>
        <v>0.21780551905387649</v>
      </c>
      <c r="BB64" s="962"/>
      <c r="BC64" s="962"/>
      <c r="BD64" s="963"/>
      <c r="BE64" s="973">
        <f>(AN51-AR51)/AR51</f>
        <v>-2.3000892857142827E-2</v>
      </c>
      <c r="BF64" s="974"/>
      <c r="BG64" s="974"/>
      <c r="BH64" s="975"/>
      <c r="BI64" s="1023">
        <f>AZ51</f>
        <v>674</v>
      </c>
      <c r="BJ64" s="1024"/>
      <c r="BK64" s="1024"/>
      <c r="BL64" s="1025"/>
      <c r="BM64" s="976">
        <f>1-AN51/(1-AV51)/AZ51</f>
        <v>0.14999999999999991</v>
      </c>
      <c r="BN64" s="977"/>
      <c r="BO64" s="977"/>
      <c r="BP64" s="978"/>
      <c r="BQ64" s="976">
        <f>1-(Z51/H42+AN51*AV51+AS64*$K$20)/AZ51</f>
        <v>0.45306836356892366</v>
      </c>
      <c r="BR64" s="977"/>
      <c r="BS64" s="977"/>
      <c r="BT64" s="978"/>
      <c r="BU64" s="1011">
        <f>BD51</f>
        <v>0</v>
      </c>
      <c r="BV64" s="1012"/>
      <c r="BW64" s="1012"/>
      <c r="BX64" s="1013"/>
      <c r="BY64" s="976" t="str">
        <f>IFERROR(1-AZ51/BD51,"")</f>
        <v/>
      </c>
      <c r="BZ64" s="977"/>
      <c r="CA64" s="977"/>
      <c r="CB64" s="978"/>
      <c r="CC64" s="967">
        <f>BL51</f>
        <v>0</v>
      </c>
      <c r="CD64" s="968"/>
      <c r="CE64" s="969"/>
      <c r="CF64" s="150"/>
      <c r="CG64" s="150"/>
      <c r="CH64" s="150"/>
      <c r="CI64" s="152"/>
      <c r="CJ64" s="149" t="s">
        <v>30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275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981">
        <f>R52</f>
        <v>200</v>
      </c>
      <c r="Y65" s="982"/>
      <c r="Z65" s="982"/>
      <c r="AA65" s="983"/>
      <c r="AB65" s="995">
        <f>Z52/H42</f>
        <v>102.09536363636363</v>
      </c>
      <c r="AC65" s="996"/>
      <c r="AD65" s="996"/>
      <c r="AE65" s="997"/>
      <c r="AF65" s="995">
        <f>BH52</f>
        <v>0</v>
      </c>
      <c r="AG65" s="996"/>
      <c r="AH65" s="996"/>
      <c r="AI65" s="996"/>
      <c r="AJ65" s="997"/>
      <c r="AK65" s="995">
        <f>AR52</f>
        <v>180</v>
      </c>
      <c r="AL65" s="996"/>
      <c r="AM65" s="996"/>
      <c r="AN65" s="997"/>
      <c r="AO65" s="995">
        <f>AN52</f>
        <v>177.12389999999999</v>
      </c>
      <c r="AP65" s="996"/>
      <c r="AQ65" s="996"/>
      <c r="AR65" s="997"/>
      <c r="AS65" s="995">
        <f>AN52/(1-AV52)</f>
        <v>185.47005235602094</v>
      </c>
      <c r="AT65" s="996"/>
      <c r="AU65" s="996"/>
      <c r="AV65" s="997"/>
      <c r="AW65" s="995">
        <f>AN52-(AS65*$K$20)</f>
        <v>167.85039738219893</v>
      </c>
      <c r="AX65" s="996"/>
      <c r="AY65" s="996"/>
      <c r="AZ65" s="997"/>
      <c r="BA65" s="961">
        <f>(AO65-AS65*$K$20-AE52/H42)/(AE52/H42)</f>
        <v>0.21781786709349499</v>
      </c>
      <c r="BB65" s="962"/>
      <c r="BC65" s="962"/>
      <c r="BD65" s="963"/>
      <c r="BE65" s="973">
        <f>(AN52-AR52)/AR52</f>
        <v>-1.5978333333333379E-2</v>
      </c>
      <c r="BF65" s="974"/>
      <c r="BG65" s="974"/>
      <c r="BH65" s="975"/>
      <c r="BI65" s="1023">
        <f>AZ52</f>
        <v>218.2</v>
      </c>
      <c r="BJ65" s="1024"/>
      <c r="BK65" s="1024"/>
      <c r="BL65" s="1025"/>
      <c r="BM65" s="976">
        <f>1-AN52/(1-AV52)/AZ52</f>
        <v>0.14999976005489934</v>
      </c>
      <c r="BN65" s="977"/>
      <c r="BO65" s="977"/>
      <c r="BP65" s="978"/>
      <c r="BQ65" s="976">
        <f>1-(Z52/H42+AN52*AV52+AS65*$K$20)/AZ52</f>
        <v>0.45307313586542308</v>
      </c>
      <c r="BR65" s="977"/>
      <c r="BS65" s="977"/>
      <c r="BT65" s="978"/>
      <c r="BU65" s="1011">
        <f>BD52</f>
        <v>0</v>
      </c>
      <c r="BV65" s="1012"/>
      <c r="BW65" s="1012"/>
      <c r="BX65" s="1013"/>
      <c r="BY65" s="976" t="str">
        <f>IFERROR(1-AZ52/BD52,"")</f>
        <v/>
      </c>
      <c r="BZ65" s="977"/>
      <c r="CA65" s="977"/>
      <c r="CB65" s="978"/>
      <c r="CC65" s="967">
        <f>BL52</f>
        <v>0</v>
      </c>
      <c r="CD65" s="968"/>
      <c r="CE65" s="969"/>
      <c r="CF65" s="150"/>
      <c r="CG65" s="150"/>
      <c r="CH65" s="150"/>
      <c r="CI65" s="152"/>
      <c r="CJ65" s="149" t="s">
        <v>30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281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280</v>
      </c>
      <c r="E67" s="503"/>
      <c r="F67" s="504" t="s">
        <v>294</v>
      </c>
      <c r="G67" s="503"/>
      <c r="H67" s="503"/>
      <c r="I67" s="505"/>
      <c r="J67" s="504" t="s">
        <v>30</v>
      </c>
      <c r="K67" s="506"/>
      <c r="L67" s="506"/>
      <c r="M67" s="506"/>
      <c r="N67" s="503"/>
      <c r="O67" s="505"/>
      <c r="P67" s="511" t="s">
        <v>30</v>
      </c>
      <c r="Q67" s="508"/>
      <c r="R67" s="508"/>
      <c r="S67" s="509"/>
      <c r="T67" s="504" t="s">
        <v>30</v>
      </c>
      <c r="U67" s="503"/>
      <c r="V67" s="503"/>
      <c r="W67" s="505"/>
      <c r="X67" s="508" t="s">
        <v>216</v>
      </c>
      <c r="Y67" s="503"/>
      <c r="Z67" s="503"/>
      <c r="AA67" s="503"/>
      <c r="AB67" s="507" t="s">
        <v>145</v>
      </c>
      <c r="AC67" s="503"/>
      <c r="AD67" s="503"/>
      <c r="AE67" s="503"/>
      <c r="AF67" s="507" t="s">
        <v>230</v>
      </c>
      <c r="AG67" s="508"/>
      <c r="AH67" s="508"/>
      <c r="AI67" s="508"/>
      <c r="AJ67" s="509"/>
      <c r="AK67" s="507" t="s">
        <v>219</v>
      </c>
      <c r="AL67" s="508"/>
      <c r="AM67" s="508"/>
      <c r="AN67" s="509"/>
      <c r="AO67" s="507" t="s">
        <v>220</v>
      </c>
      <c r="AP67" s="508"/>
      <c r="AQ67" s="508"/>
      <c r="AR67" s="509"/>
      <c r="AS67" s="507" t="s">
        <v>221</v>
      </c>
      <c r="AT67" s="508"/>
      <c r="AU67" s="508"/>
      <c r="AV67" s="508"/>
      <c r="AW67" s="507" t="s">
        <v>101</v>
      </c>
      <c r="AX67" s="508"/>
      <c r="AY67" s="508"/>
      <c r="AZ67" s="509"/>
      <c r="BA67" s="511" t="s">
        <v>222</v>
      </c>
      <c r="BB67" s="508"/>
      <c r="BC67" s="508"/>
      <c r="BD67" s="509"/>
      <c r="BE67" s="513" t="s">
        <v>223</v>
      </c>
      <c r="BF67" s="508"/>
      <c r="BG67" s="508"/>
      <c r="BH67" s="509"/>
      <c r="BI67" s="511" t="s">
        <v>30</v>
      </c>
      <c r="BJ67" s="508"/>
      <c r="BK67" s="508"/>
      <c r="BL67" s="509"/>
      <c r="BM67" s="513" t="s">
        <v>30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30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231</v>
      </c>
      <c r="AX68" s="523"/>
      <c r="AY68" s="523"/>
      <c r="AZ68" s="524"/>
      <c r="BA68" s="525" t="s">
        <v>30</v>
      </c>
      <c r="BB68" s="523"/>
      <c r="BC68" s="523"/>
      <c r="BD68" s="524"/>
      <c r="BE68" s="526" t="s">
        <v>232</v>
      </c>
      <c r="BF68" s="523"/>
      <c r="BG68" s="523"/>
      <c r="BH68" s="524"/>
      <c r="BI68" s="525" t="s">
        <v>30</v>
      </c>
      <c r="BJ68" s="523"/>
      <c r="BK68" s="523"/>
      <c r="BL68" s="524"/>
      <c r="BM68" s="526" t="s">
        <v>30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30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229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970">
        <f>SUMPRODUCT(X$64:AA$65,AO$64:AR$65)</f>
        <v>144848.68</v>
      </c>
      <c r="Y69" s="979"/>
      <c r="Z69" s="979"/>
      <c r="AA69" s="980"/>
      <c r="AB69" s="970">
        <f>SUMPRODUCT(R$51:R$52,AE$51:AE$52)/H42</f>
        <v>112714.74545454545</v>
      </c>
      <c r="AC69" s="979"/>
      <c r="AD69" s="979"/>
      <c r="AE69" s="980"/>
      <c r="AF69" s="987">
        <f>X69-AB69</f>
        <v>32133.93454545454</v>
      </c>
      <c r="AG69" s="988"/>
      <c r="AH69" s="988"/>
      <c r="AI69" s="988"/>
      <c r="AJ69" s="989"/>
      <c r="AK69" s="1040">
        <f>AF69/AB69</f>
        <v>0.2850907786365291</v>
      </c>
      <c r="AL69" s="1041"/>
      <c r="AM69" s="1041"/>
      <c r="AN69" s="1042"/>
      <c r="AO69" s="961">
        <f>AS69/(X69-AS69)</f>
        <v>-2.1292702702702691E-2</v>
      </c>
      <c r="AP69" s="962"/>
      <c r="AQ69" s="962"/>
      <c r="AR69" s="963"/>
      <c r="AS69" s="1043">
        <f>X$64*(AO$64-AK$64)+X$65*(AO$65-AK$65)</f>
        <v>-3151.3199999999983</v>
      </c>
      <c r="AT69" s="1044"/>
      <c r="AU69" s="1044"/>
      <c r="AV69" s="1045"/>
      <c r="AW69" s="1046">
        <f>SUMPRODUCT(X$64:AA$65,AK$64:AN$65)</f>
        <v>148000</v>
      </c>
      <c r="AX69" s="1047"/>
      <c r="AY69" s="1047"/>
      <c r="AZ69" s="1048"/>
      <c r="BA69" s="970">
        <f>SUMPRODUCT(X$64:AA$65,BI$64:BL$65)</f>
        <v>178440</v>
      </c>
      <c r="BB69" s="979"/>
      <c r="BC69" s="979"/>
      <c r="BD69" s="980"/>
      <c r="BE69" s="976">
        <f>1-(SUMPRODUCT(R$51:R$52,Z$51:Z$52)/107+(AN$51*AV$51+AN$51/(1-AV$51)*$K$20)*R$51+(AN$52*AV$52+AN$52/(1-AV$52)*$K$20)*R$52)/BA$75</f>
        <v>0.43995079106037671</v>
      </c>
      <c r="BF69" s="977"/>
      <c r="BG69" s="977"/>
      <c r="BH69" s="978"/>
      <c r="BI69" s="149" t="s">
        <v>30</v>
      </c>
      <c r="BJ69" s="150"/>
      <c r="BK69" s="150"/>
      <c r="BL69" s="152"/>
      <c r="BM69" s="149" t="s">
        <v>30</v>
      </c>
      <c r="BN69" s="150"/>
      <c r="BO69" s="150"/>
      <c r="BP69" s="152"/>
      <c r="BQ69" s="149" t="s">
        <v>30</v>
      </c>
      <c r="BR69" s="150"/>
      <c r="BS69" s="150"/>
      <c r="BT69" s="152"/>
      <c r="BU69" s="149" t="s">
        <v>30</v>
      </c>
      <c r="BV69" s="150"/>
      <c r="BW69" s="150"/>
      <c r="BX69" s="152"/>
      <c r="BY69" s="149" t="s">
        <v>30</v>
      </c>
      <c r="BZ69" s="150"/>
      <c r="CA69" s="150"/>
      <c r="CB69" s="152"/>
      <c r="CC69" s="149" t="s">
        <v>30</v>
      </c>
      <c r="CD69" s="150"/>
      <c r="CE69" s="152"/>
      <c r="CF69" s="149" t="s">
        <v>30</v>
      </c>
      <c r="CG69" s="150"/>
      <c r="CH69" s="150"/>
      <c r="CI69" s="152"/>
      <c r="CJ69" s="149" t="s">
        <v>30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229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958">
        <f>SUMPRODUCT(X$64:AA$65,AO$64:AR$65)*H42</f>
        <v>15933354.799999999</v>
      </c>
      <c r="Y70" s="959"/>
      <c r="Z70" s="959"/>
      <c r="AA70" s="960"/>
      <c r="AB70" s="958">
        <f>SUMPRODUCT(R$51:R$52,AE$51:AE$52)</f>
        <v>12398622</v>
      </c>
      <c r="AC70" s="959"/>
      <c r="AD70" s="959"/>
      <c r="AE70" s="960"/>
      <c r="AF70" s="987">
        <f>X70-AB70</f>
        <v>3534732.7999999989</v>
      </c>
      <c r="AG70" s="988"/>
      <c r="AH70" s="988"/>
      <c r="AI70" s="988"/>
      <c r="AJ70" s="989"/>
      <c r="AK70" s="1040">
        <f>AF70/AB70</f>
        <v>0.28509077863652904</v>
      </c>
      <c r="AL70" s="1041"/>
      <c r="AM70" s="1041"/>
      <c r="AN70" s="1042"/>
      <c r="AO70" s="961">
        <f>AS70/(X70-AS70)</f>
        <v>-1.9774221377452075E-4</v>
      </c>
      <c r="AP70" s="962"/>
      <c r="AQ70" s="962"/>
      <c r="AR70" s="963"/>
      <c r="AS70" s="1017">
        <f>X$64*(AO$64-AK$64)+X$65*(AO$65-AK$65)</f>
        <v>-3151.3199999999983</v>
      </c>
      <c r="AT70" s="1018"/>
      <c r="AU70" s="1018"/>
      <c r="AV70" s="1019"/>
      <c r="AW70" s="1020">
        <f>SUMPRODUCT(X$64:AA$65,AK$64:AN$65)</f>
        <v>148000</v>
      </c>
      <c r="AX70" s="1021"/>
      <c r="AY70" s="1021"/>
      <c r="AZ70" s="1022"/>
      <c r="BA70" s="958">
        <f>SUMPRODUCT(X$64:AA$65,BI$64:BL$65)</f>
        <v>178440</v>
      </c>
      <c r="BB70" s="959"/>
      <c r="BC70" s="959"/>
      <c r="BD70" s="960"/>
      <c r="BE70" s="976">
        <f>1-(SUMPRODUCT(R$51:R$52,Z$51:Z$52)/107+(AN$51*AV$51+AN$51/(1-AV$51)*$K$20)*R$51+(AN$52*AV$52+AN$52/(1-AV$52)*$K$20)*R$52)/BA$75</f>
        <v>0.43995079106037671</v>
      </c>
      <c r="BF70" s="977"/>
      <c r="BG70" s="977"/>
      <c r="BH70" s="978"/>
      <c r="BI70" s="149" t="s">
        <v>30</v>
      </c>
      <c r="BJ70" s="150"/>
      <c r="BK70" s="150"/>
      <c r="BL70" s="152"/>
      <c r="BM70" s="149" t="s">
        <v>30</v>
      </c>
      <c r="BN70" s="150"/>
      <c r="BO70" s="150"/>
      <c r="BP70" s="152"/>
      <c r="BQ70" s="149" t="s">
        <v>30</v>
      </c>
      <c r="BR70" s="150"/>
      <c r="BS70" s="150"/>
      <c r="BT70" s="152"/>
      <c r="BU70" s="149" t="s">
        <v>30</v>
      </c>
      <c r="BV70" s="150"/>
      <c r="BW70" s="150"/>
      <c r="BX70" s="152"/>
      <c r="BY70" s="149" t="s">
        <v>30</v>
      </c>
      <c r="BZ70" s="150"/>
      <c r="CA70" s="150"/>
      <c r="CB70" s="152"/>
      <c r="CC70" s="149" t="s">
        <v>30</v>
      </c>
      <c r="CD70" s="150"/>
      <c r="CE70" s="152"/>
      <c r="CF70" s="149" t="s">
        <v>30</v>
      </c>
      <c r="CG70" s="150"/>
      <c r="CH70" s="150"/>
      <c r="CI70" s="152"/>
      <c r="CJ70" s="149" t="s">
        <v>30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295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53" t="s">
        <v>30</v>
      </c>
      <c r="Q72" s="249"/>
      <c r="R72" s="249"/>
      <c r="S72" s="250"/>
      <c r="T72" s="246" t="s">
        <v>30</v>
      </c>
      <c r="U72" s="244"/>
      <c r="V72" s="244"/>
      <c r="W72" s="245"/>
      <c r="X72" s="249" t="s">
        <v>216</v>
      </c>
      <c r="Y72" s="244"/>
      <c r="Z72" s="244"/>
      <c r="AA72" s="244"/>
      <c r="AB72" s="248" t="s">
        <v>145</v>
      </c>
      <c r="AC72" s="244"/>
      <c r="AD72" s="244"/>
      <c r="AE72" s="244"/>
      <c r="AF72" s="248" t="s">
        <v>230</v>
      </c>
      <c r="AG72" s="249"/>
      <c r="AH72" s="249"/>
      <c r="AI72" s="249"/>
      <c r="AJ72" s="250"/>
      <c r="AK72" s="248" t="s">
        <v>219</v>
      </c>
      <c r="AL72" s="249"/>
      <c r="AM72" s="249"/>
      <c r="AN72" s="250"/>
      <c r="AO72" s="248" t="s">
        <v>220</v>
      </c>
      <c r="AP72" s="249"/>
      <c r="AQ72" s="249"/>
      <c r="AR72" s="250"/>
      <c r="AS72" s="248" t="s">
        <v>221</v>
      </c>
      <c r="AT72" s="249"/>
      <c r="AU72" s="249"/>
      <c r="AV72" s="249"/>
      <c r="AW72" s="248" t="s">
        <v>101</v>
      </c>
      <c r="AX72" s="249"/>
      <c r="AY72" s="249"/>
      <c r="AZ72" s="250"/>
      <c r="BA72" s="253" t="s">
        <v>222</v>
      </c>
      <c r="BB72" s="249"/>
      <c r="BC72" s="249"/>
      <c r="BD72" s="250"/>
      <c r="BE72" s="251" t="s">
        <v>223</v>
      </c>
      <c r="BF72" s="249"/>
      <c r="BG72" s="249"/>
      <c r="BH72" s="250"/>
      <c r="BI72" s="253" t="s">
        <v>30</v>
      </c>
      <c r="BJ72" s="249"/>
      <c r="BK72" s="249"/>
      <c r="BL72" s="250"/>
      <c r="BM72" s="251" t="s">
        <v>30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30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231</v>
      </c>
      <c r="AX73" s="458"/>
      <c r="AY73" s="458"/>
      <c r="AZ73" s="459"/>
      <c r="BA73" s="457" t="s">
        <v>30</v>
      </c>
      <c r="BB73" s="458"/>
      <c r="BC73" s="458"/>
      <c r="BD73" s="459"/>
      <c r="BE73" s="460" t="s">
        <v>232</v>
      </c>
      <c r="BF73" s="458"/>
      <c r="BG73" s="458"/>
      <c r="BH73" s="459"/>
      <c r="BI73" s="457" t="s">
        <v>30</v>
      </c>
      <c r="BJ73" s="458"/>
      <c r="BK73" s="458"/>
      <c r="BL73" s="459"/>
      <c r="BM73" s="460" t="s">
        <v>30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30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148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970">
        <f>SUMPRODUCT(X$64:AA$65,AO$64:AR$65)</f>
        <v>144848.68</v>
      </c>
      <c r="Y74" s="979"/>
      <c r="Z74" s="979"/>
      <c r="AA74" s="980"/>
      <c r="AB74" s="970">
        <f>SUMPRODUCT(R$51:R$52,AE$51:AE$52)/107</f>
        <v>115874.97196261682</v>
      </c>
      <c r="AC74" s="979"/>
      <c r="AD74" s="979"/>
      <c r="AE74" s="980"/>
      <c r="AF74" s="987">
        <f>X74-AB74</f>
        <v>28973.70803738317</v>
      </c>
      <c r="AG74" s="988"/>
      <c r="AH74" s="988"/>
      <c r="AI74" s="988"/>
      <c r="AJ74" s="989"/>
      <c r="AK74" s="1040">
        <f>AF74/AB74</f>
        <v>0.25004284831007828</v>
      </c>
      <c r="AL74" s="1041"/>
      <c r="AM74" s="1041"/>
      <c r="AN74" s="1042"/>
      <c r="AO74" s="961">
        <f>AS74/(X74-AS74)</f>
        <v>-2.1292702702702691E-2</v>
      </c>
      <c r="AP74" s="962"/>
      <c r="AQ74" s="962"/>
      <c r="AR74" s="963"/>
      <c r="AS74" s="1043">
        <f>X$64*(AO$64-AK$64)+X$65*(AO$65-AK$65)</f>
        <v>-3151.3199999999983</v>
      </c>
      <c r="AT74" s="1044"/>
      <c r="AU74" s="1044"/>
      <c r="AV74" s="1045"/>
      <c r="AW74" s="1046">
        <f>SUMPRODUCT(X$64:AA$65,AK$64:AN$65)</f>
        <v>148000</v>
      </c>
      <c r="AX74" s="1047"/>
      <c r="AY74" s="1047"/>
      <c r="AZ74" s="1048"/>
      <c r="BA74" s="970">
        <f>SUMPRODUCT(X$64:AA$65,BI$64:BL$65)</f>
        <v>178440</v>
      </c>
      <c r="BB74" s="979"/>
      <c r="BC74" s="979"/>
      <c r="BD74" s="980"/>
      <c r="BE74" s="976">
        <f>1-(SUMPRODUCT(R$51:R$52,Z$51:Z$52)/107+(AN$51*AV$51+AN$51/(1-AV$51)*$K$20)*R$51+(AN$52*AV$52+AN$52/(1-AV$52)*$K$20)*R$52)/BA$75</f>
        <v>0.43995079106037671</v>
      </c>
      <c r="BF74" s="977"/>
      <c r="BG74" s="977"/>
      <c r="BH74" s="978"/>
      <c r="BI74" s="149" t="s">
        <v>30</v>
      </c>
      <c r="BJ74" s="150"/>
      <c r="BK74" s="150"/>
      <c r="BL74" s="152"/>
      <c r="BM74" s="149" t="s">
        <v>30</v>
      </c>
      <c r="BN74" s="150"/>
      <c r="BO74" s="150"/>
      <c r="BP74" s="152"/>
      <c r="BQ74" s="149" t="s">
        <v>30</v>
      </c>
      <c r="BR74" s="150"/>
      <c r="BS74" s="150"/>
      <c r="BT74" s="152"/>
      <c r="BU74" s="149" t="s">
        <v>30</v>
      </c>
      <c r="BV74" s="150"/>
      <c r="BW74" s="150"/>
      <c r="BX74" s="152"/>
      <c r="BY74" s="149" t="s">
        <v>30</v>
      </c>
      <c r="BZ74" s="150"/>
      <c r="CA74" s="150"/>
      <c r="CB74" s="152"/>
      <c r="CC74" s="149" t="s">
        <v>30</v>
      </c>
      <c r="CD74" s="150"/>
      <c r="CE74" s="152"/>
      <c r="CF74" s="149" t="s">
        <v>30</v>
      </c>
      <c r="CG74" s="150"/>
      <c r="CH74" s="150"/>
      <c r="CI74" s="152"/>
      <c r="CJ74" s="149" t="s">
        <v>30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207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958">
        <f>SUMPRODUCT(X$64:AA$65,AO$64:AR$65)</f>
        <v>144848.68</v>
      </c>
      <c r="Y75" s="959"/>
      <c r="Z75" s="959"/>
      <c r="AA75" s="960"/>
      <c r="AB75" s="958">
        <f>SUMPRODUCT(R$51:R$52,AE$51:AE$52)/107</f>
        <v>115874.97196261682</v>
      </c>
      <c r="AC75" s="959"/>
      <c r="AD75" s="959"/>
      <c r="AE75" s="960"/>
      <c r="AF75" s="987">
        <f>X75-AB75</f>
        <v>28973.70803738317</v>
      </c>
      <c r="AG75" s="988"/>
      <c r="AH75" s="988"/>
      <c r="AI75" s="988"/>
      <c r="AJ75" s="989"/>
      <c r="AK75" s="1040">
        <f>AF75/AB75</f>
        <v>0.25004284831007828</v>
      </c>
      <c r="AL75" s="1041"/>
      <c r="AM75" s="1041"/>
      <c r="AN75" s="1042"/>
      <c r="AO75" s="961">
        <f>AS75/(X75-AS75)</f>
        <v>-2.1292702702702691E-2</v>
      </c>
      <c r="AP75" s="962"/>
      <c r="AQ75" s="962"/>
      <c r="AR75" s="963"/>
      <c r="AS75" s="1017">
        <f>X$64*(AO$64-AK$64)+X$65*(AO$65-AK$65)</f>
        <v>-3151.3199999999983</v>
      </c>
      <c r="AT75" s="1018"/>
      <c r="AU75" s="1018"/>
      <c r="AV75" s="1019"/>
      <c r="AW75" s="1020">
        <f>SUMPRODUCT(X$64:AA$65,AK$64:AN$65)</f>
        <v>148000</v>
      </c>
      <c r="AX75" s="1021"/>
      <c r="AY75" s="1021"/>
      <c r="AZ75" s="1022"/>
      <c r="BA75" s="958">
        <f>SUMPRODUCT(X$64:AA$65,BI$64:BL$65)</f>
        <v>178440</v>
      </c>
      <c r="BB75" s="959"/>
      <c r="BC75" s="959"/>
      <c r="BD75" s="960"/>
      <c r="BE75" s="976">
        <f>1-(SUMPRODUCT(R$51:R$52,Z$51:Z$52)/107+(AN$51*AV$51+AN$51/(1-AV$51)*$K$20)*R$51+(AN$52*AV$52+AN$52/(1-AV$52)*$K$20)*R$52)/BA$75</f>
        <v>0.43995079106037671</v>
      </c>
      <c r="BF75" s="977"/>
      <c r="BG75" s="977"/>
      <c r="BH75" s="978"/>
      <c r="BI75" s="149" t="s">
        <v>30</v>
      </c>
      <c r="BJ75" s="150"/>
      <c r="BK75" s="150"/>
      <c r="BL75" s="152"/>
      <c r="BM75" s="149" t="s">
        <v>30</v>
      </c>
      <c r="BN75" s="150"/>
      <c r="BO75" s="150"/>
      <c r="BP75" s="152"/>
      <c r="BQ75" s="149" t="s">
        <v>30</v>
      </c>
      <c r="BR75" s="150"/>
      <c r="BS75" s="150"/>
      <c r="BT75" s="152"/>
      <c r="BU75" s="149" t="s">
        <v>30</v>
      </c>
      <c r="BV75" s="150"/>
      <c r="BW75" s="150"/>
      <c r="BX75" s="152"/>
      <c r="BY75" s="149" t="s">
        <v>30</v>
      </c>
      <c r="BZ75" s="150"/>
      <c r="CA75" s="150"/>
      <c r="CB75" s="152"/>
      <c r="CC75" s="149" t="s">
        <v>30</v>
      </c>
      <c r="CD75" s="150"/>
      <c r="CE75" s="152"/>
      <c r="CF75" s="149" t="s">
        <v>30</v>
      </c>
      <c r="CG75" s="150"/>
      <c r="CH75" s="150"/>
      <c r="CI75" s="152"/>
      <c r="CJ75" s="149" t="s">
        <v>30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050"/>
      <c r="BE76" s="1051"/>
      <c r="BF76" s="1051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984"/>
      <c r="K77" s="985"/>
      <c r="L77" s="985"/>
      <c r="M77" s="985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15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986"/>
      <c r="K81" s="986"/>
      <c r="L81" s="986"/>
      <c r="M81" s="986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049"/>
      <c r="BL81" s="1049"/>
      <c r="BM81" s="1049"/>
      <c r="BN81" s="1049"/>
      <c r="BO81" s="1049"/>
    </row>
    <row r="82" spans="1:67" ht="14.15" customHeight="1">
      <c r="A82" s="22"/>
      <c r="B82" s="129"/>
      <c r="C82" s="346" t="s">
        <v>131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039"/>
      <c r="BF82" s="1039"/>
      <c r="BG82" s="1039"/>
      <c r="BH82" s="1039"/>
    </row>
    <row r="83" spans="1:67" ht="5.15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5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5" customHeight="1">
      <c r="A85" s="23"/>
      <c r="B85" s="351"/>
      <c r="C85" s="352"/>
      <c r="D85" s="348" t="s">
        <v>38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40</v>
      </c>
      <c r="S85" s="134"/>
      <c r="T85" s="107"/>
      <c r="U85" s="107"/>
      <c r="V85" s="133" t="s">
        <v>44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45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41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15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5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951"/>
      <c r="K88" s="951"/>
      <c r="L88" s="951"/>
      <c r="M88" s="951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5" customHeight="1">
      <c r="A89" s="22"/>
      <c r="B89" s="202">
        <v>35</v>
      </c>
      <c r="C89" s="346" t="s">
        <v>247</v>
      </c>
      <c r="D89" s="332"/>
      <c r="E89" s="65"/>
      <c r="F89" s="65"/>
      <c r="G89" s="65"/>
      <c r="H89" s="65"/>
      <c r="I89" s="65"/>
      <c r="J89" s="951"/>
      <c r="K89" s="951"/>
      <c r="L89" s="951"/>
      <c r="M89" s="951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5" customHeight="1">
      <c r="A90" s="22"/>
      <c r="B90" s="202">
        <v>35</v>
      </c>
      <c r="C90" s="331"/>
      <c r="D90" s="478" t="s">
        <v>248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5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990"/>
      <c r="K91" s="990"/>
      <c r="L91" s="990"/>
      <c r="M91" s="990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15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5" customHeight="1">
      <c r="A93" s="23"/>
      <c r="B93" s="351"/>
      <c r="C93" s="282"/>
      <c r="D93" s="28" t="s">
        <v>240</v>
      </c>
      <c r="E93" s="28"/>
      <c r="F93" s="28"/>
      <c r="G93" s="28"/>
      <c r="H93" s="468" t="s">
        <v>245</v>
      </c>
      <c r="I93" s="257"/>
      <c r="J93" s="258"/>
      <c r="K93" s="258"/>
      <c r="L93" s="258"/>
      <c r="M93" s="259"/>
      <c r="N93" s="258"/>
      <c r="O93" s="110"/>
      <c r="P93" s="261" t="s">
        <v>33</v>
      </c>
      <c r="Q93" s="25"/>
      <c r="R93" s="469" t="s">
        <v>246</v>
      </c>
      <c r="S93" s="470"/>
      <c r="T93" s="471"/>
      <c r="U93" s="471"/>
      <c r="V93" s="483"/>
      <c r="W93" s="472"/>
      <c r="X93" s="471"/>
      <c r="Y93" s="473"/>
      <c r="Z93" s="474"/>
      <c r="AB93" s="469" t="s">
        <v>289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5" customHeight="1">
      <c r="A94" s="23"/>
      <c r="B94" s="351"/>
      <c r="C94" s="282"/>
      <c r="D94" s="28"/>
      <c r="E94" s="28"/>
      <c r="F94" s="28"/>
      <c r="G94" s="28"/>
      <c r="H94" s="469" t="s">
        <v>54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15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15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5" customHeight="1">
      <c r="A97" s="22"/>
      <c r="B97" s="202">
        <v>35</v>
      </c>
      <c r="C97" s="62" t="s">
        <v>243</v>
      </c>
      <c r="D97" s="332"/>
      <c r="E97" s="65"/>
      <c r="F97" s="65"/>
      <c r="G97" s="65"/>
      <c r="H97" s="65"/>
      <c r="I97" s="65"/>
      <c r="J97" s="951"/>
      <c r="K97" s="951"/>
      <c r="L97" s="951"/>
      <c r="M97" s="951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15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5" customHeight="1">
      <c r="A99" s="23"/>
      <c r="B99" s="351"/>
      <c r="C99" s="282"/>
      <c r="D99" s="28" t="s">
        <v>240</v>
      </c>
      <c r="E99" s="28"/>
      <c r="F99" s="28"/>
      <c r="G99" s="28"/>
      <c r="H99" s="468" t="s">
        <v>241</v>
      </c>
      <c r="I99" s="257"/>
      <c r="J99" s="258"/>
      <c r="K99" s="258"/>
      <c r="L99" s="258"/>
      <c r="M99" s="259"/>
      <c r="N99" s="258"/>
      <c r="O99" s="110"/>
      <c r="P99" s="261" t="s">
        <v>33</v>
      </c>
      <c r="Q99" s="25"/>
      <c r="R99" s="469" t="s">
        <v>242</v>
      </c>
      <c r="S99" s="470"/>
      <c r="T99" s="471"/>
      <c r="U99" s="471"/>
      <c r="V99" s="483"/>
      <c r="W99" s="484" t="s">
        <v>254</v>
      </c>
      <c r="X99" s="471"/>
      <c r="Y99" s="473"/>
      <c r="Z99" s="474"/>
      <c r="AB99" s="529" t="s">
        <v>290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5" customHeight="1">
      <c r="A100" s="23"/>
      <c r="B100" s="351"/>
      <c r="C100" s="282"/>
      <c r="D100" s="28"/>
      <c r="E100" s="28"/>
      <c r="F100" s="28"/>
      <c r="G100" s="28"/>
      <c r="H100" s="469" t="s">
        <v>253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15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5" customHeight="1">
      <c r="A103" s="22"/>
      <c r="B103" s="202">
        <v>35</v>
      </c>
      <c r="C103" s="62" t="s">
        <v>243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5" customHeight="1">
      <c r="A105" s="22"/>
      <c r="B105" s="202">
        <v>35</v>
      </c>
      <c r="C105" s="346" t="s">
        <v>249</v>
      </c>
      <c r="D105" s="332"/>
      <c r="E105" s="65"/>
      <c r="F105" s="65"/>
      <c r="G105" s="65"/>
      <c r="H105" s="65"/>
      <c r="I105" s="65"/>
      <c r="J105" s="951"/>
      <c r="K105" s="951"/>
      <c r="L105" s="951"/>
      <c r="M105" s="951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15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250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252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251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44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255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256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257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54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15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5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951"/>
      <c r="K114" s="951"/>
      <c r="L114" s="951"/>
      <c r="M114" s="951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951"/>
      <c r="K115" s="951"/>
      <c r="L115" s="951"/>
      <c r="M115" s="951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</mergeCells>
  <phoneticPr fontId="56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7" t="s">
        <v>4</v>
      </c>
      <c r="B1" s="757"/>
      <c r="C1" s="757"/>
      <c r="D1" s="757"/>
      <c r="E1" s="757"/>
      <c r="F1" s="757"/>
      <c r="G1" s="757"/>
      <c r="H1" s="757"/>
      <c r="I1" s="740" t="s">
        <v>5</v>
      </c>
      <c r="J1" s="740"/>
      <c r="K1" s="740"/>
      <c r="L1" s="740"/>
      <c r="M1" s="755" t="str">
        <f>変更来歴!M1</f>
        <v>ヒロセ電機株式会社</v>
      </c>
      <c r="N1" s="755"/>
      <c r="O1" s="755"/>
      <c r="P1" s="755"/>
      <c r="Q1" s="755"/>
      <c r="R1" s="755"/>
      <c r="S1" s="755"/>
      <c r="T1" s="755"/>
      <c r="U1" s="755"/>
      <c r="V1" s="755"/>
      <c r="W1" s="755"/>
      <c r="X1" s="740" t="s">
        <v>7</v>
      </c>
      <c r="Y1" s="740"/>
      <c r="Z1" s="740"/>
      <c r="AA1" s="759" t="str">
        <f>変更来歴!AA1</f>
        <v>化学物質データ申請</v>
      </c>
      <c r="AB1" s="759"/>
      <c r="AC1" s="759"/>
      <c r="AD1" s="759"/>
      <c r="AE1" s="759"/>
      <c r="AF1" s="759"/>
      <c r="AG1" s="759"/>
      <c r="AH1" s="759"/>
      <c r="AI1" s="759"/>
      <c r="AJ1" s="759"/>
      <c r="AK1" s="744" t="s">
        <v>8</v>
      </c>
      <c r="AL1" s="744"/>
      <c r="AM1" s="744"/>
      <c r="AN1" s="745" t="str">
        <f>変更来歴!AP7</f>
        <v>古竹</v>
      </c>
      <c r="AO1" s="745"/>
      <c r="AP1" s="745"/>
      <c r="AQ1" s="745"/>
      <c r="AR1" s="745"/>
      <c r="AS1" s="744" t="s">
        <v>9</v>
      </c>
      <c r="AT1" s="744"/>
      <c r="AU1" s="744"/>
      <c r="AV1" s="747">
        <f>変更来歴!AL7</f>
        <v>46125</v>
      </c>
      <c r="AW1" s="760"/>
      <c r="AX1" s="760"/>
      <c r="AY1" s="760"/>
      <c r="AZ1" s="736" t="s">
        <v>10</v>
      </c>
      <c r="BA1" s="737"/>
      <c r="BB1" s="737"/>
      <c r="BC1" s="738"/>
    </row>
    <row r="2" spans="1:59">
      <c r="A2" s="739" t="s">
        <v>16</v>
      </c>
      <c r="B2" s="739"/>
      <c r="C2" s="739"/>
      <c r="D2" s="739"/>
      <c r="E2" s="739"/>
      <c r="F2" s="739"/>
      <c r="G2" s="739"/>
      <c r="H2" s="739"/>
      <c r="I2" s="740" t="s">
        <v>11</v>
      </c>
      <c r="J2" s="740"/>
      <c r="K2" s="740"/>
      <c r="L2" s="740"/>
      <c r="M2" s="789" t="str">
        <f>変更来歴!M2</f>
        <v>　</v>
      </c>
      <c r="N2" s="789"/>
      <c r="O2" s="789"/>
      <c r="P2" s="789"/>
      <c r="Q2" s="789"/>
      <c r="R2" s="789"/>
      <c r="S2" s="789"/>
      <c r="T2" s="789"/>
      <c r="U2" s="789"/>
      <c r="V2" s="789"/>
      <c r="W2" s="789"/>
      <c r="X2" s="740"/>
      <c r="Y2" s="740"/>
      <c r="Z2" s="740"/>
      <c r="AA2" s="759"/>
      <c r="AB2" s="759"/>
      <c r="AC2" s="759"/>
      <c r="AD2" s="759"/>
      <c r="AE2" s="759"/>
      <c r="AF2" s="759"/>
      <c r="AG2" s="759"/>
      <c r="AH2" s="759"/>
      <c r="AI2" s="759"/>
      <c r="AJ2" s="759"/>
      <c r="AK2" s="744" t="s">
        <v>12</v>
      </c>
      <c r="AL2" s="744"/>
      <c r="AM2" s="744"/>
      <c r="AN2" s="745" t="str">
        <f ca="1">INDIRECT("変更来歴!AP" &amp; COUNTA(変更来歴!AP7:'変更来歴'!AP39) + 6)</f>
        <v>古竹</v>
      </c>
      <c r="AO2" s="745"/>
      <c r="AP2" s="745"/>
      <c r="AQ2" s="745"/>
      <c r="AR2" s="745"/>
      <c r="AS2" s="744" t="s">
        <v>13</v>
      </c>
      <c r="AT2" s="744"/>
      <c r="AU2" s="744"/>
      <c r="AV2" s="747">
        <f ca="1">INDIRECT("変更来歴!AL" &amp; COUNTA(変更来歴!AL7:'変更来歴'!AL39) + 6)</f>
        <v>46162</v>
      </c>
      <c r="AW2" s="760"/>
      <c r="AX2" s="760"/>
      <c r="AY2" s="760"/>
      <c r="AZ2" s="748" t="str">
        <f>変更来歴!AX2</f>
        <v>IMWF-53</v>
      </c>
      <c r="BA2" s="749"/>
      <c r="BB2" s="749"/>
      <c r="BC2" s="750"/>
    </row>
    <row r="3" spans="1:59" ht="12" customHeight="1">
      <c r="A3" s="754" t="str">
        <f>変更来歴!A3</f>
        <v>画面設計書</v>
      </c>
      <c r="B3" s="754"/>
      <c r="C3" s="754"/>
      <c r="D3" s="754"/>
      <c r="E3" s="754"/>
      <c r="F3" s="754"/>
      <c r="G3" s="754"/>
      <c r="H3" s="754"/>
      <c r="I3" s="740" t="s">
        <v>14</v>
      </c>
      <c r="J3" s="740"/>
      <c r="K3" s="740"/>
      <c r="L3" s="740"/>
      <c r="M3" s="755" t="str">
        <f ca="1">RIGHT(CELL("filename",A1),LEN(CELL("filename",A1))-FIND("]",CELL("filename",A1)))</f>
        <v>外貨(コリア原計)</v>
      </c>
      <c r="N3" s="755"/>
      <c r="O3" s="755"/>
      <c r="P3" s="755"/>
      <c r="Q3" s="755"/>
      <c r="R3" s="755"/>
      <c r="S3" s="755"/>
      <c r="T3" s="755"/>
      <c r="U3" s="755"/>
      <c r="V3" s="755"/>
      <c r="W3" s="755"/>
      <c r="X3" s="740" t="s">
        <v>27</v>
      </c>
      <c r="Y3" s="740"/>
      <c r="Z3" s="740"/>
      <c r="AA3" s="756" t="str">
        <f ca="1">MID(CELL("filename"),FIND("]",CELL("filename"))+1,LEN(CELL("filename"))) &amp; "画面"</f>
        <v>画面項目画面</v>
      </c>
      <c r="AB3" s="756"/>
      <c r="AC3" s="756"/>
      <c r="AD3" s="756"/>
      <c r="AE3" s="756"/>
      <c r="AF3" s="756"/>
      <c r="AG3" s="756"/>
      <c r="AH3" s="756"/>
      <c r="AI3" s="756"/>
      <c r="AJ3" s="756"/>
      <c r="AK3" s="756"/>
      <c r="AL3" s="756"/>
      <c r="AM3" s="756"/>
      <c r="AN3" s="756"/>
      <c r="AO3" s="756"/>
      <c r="AP3" s="756"/>
      <c r="AQ3" s="756"/>
      <c r="AR3" s="756"/>
      <c r="AS3" s="744" t="s">
        <v>15</v>
      </c>
      <c r="AT3" s="744"/>
      <c r="AU3" s="744"/>
      <c r="AV3" s="760" t="str">
        <f ca="1">INDIRECT("変更来歴!A" &amp; COUNTA(変更来歴!A7:'変更来歴'!A39) + 6)</f>
        <v>r1.2</v>
      </c>
      <c r="AW3" s="760"/>
      <c r="AX3" s="760"/>
      <c r="AY3" s="760"/>
      <c r="AZ3" s="751"/>
      <c r="BA3" s="752"/>
      <c r="BB3" s="752"/>
      <c r="BC3" s="753"/>
    </row>
    <row r="4" spans="1:59" ht="5.9" customHeight="1"/>
    <row r="5" spans="1:59" ht="13.5" customHeight="1">
      <c r="A5" s="793" t="str">
        <f ca="1">"画面レイアウト"&amp;"("&amp;MID(CELL("filename"),FIND("]",CELL("filename"))+1,LEN(CELL("filename")))&amp;")"</f>
        <v>画面レイアウト(画面項目)</v>
      </c>
      <c r="B5" s="794"/>
      <c r="C5" s="794"/>
      <c r="D5" s="794"/>
      <c r="E5" s="794"/>
      <c r="F5" s="794"/>
      <c r="G5" s="794"/>
      <c r="H5" s="794"/>
      <c r="I5" s="794"/>
      <c r="J5" s="794"/>
      <c r="K5" s="794"/>
      <c r="L5" s="794"/>
      <c r="M5" s="794"/>
      <c r="N5" s="794"/>
      <c r="O5" s="794"/>
      <c r="P5" s="794"/>
      <c r="Q5" s="794"/>
      <c r="R5" s="794"/>
      <c r="S5" s="794"/>
      <c r="T5" s="794"/>
      <c r="U5" s="794"/>
      <c r="V5" s="794"/>
      <c r="W5" s="794"/>
      <c r="X5" s="794"/>
      <c r="Y5" s="794"/>
      <c r="Z5" s="794"/>
      <c r="AA5" s="794"/>
      <c r="AB5" s="794"/>
      <c r="AC5" s="794"/>
      <c r="AD5" s="794"/>
      <c r="AE5" s="794"/>
      <c r="AF5" s="794"/>
      <c r="AG5" s="794"/>
      <c r="AH5" s="794"/>
      <c r="AI5" s="794"/>
      <c r="AJ5" s="794"/>
      <c r="AK5" s="794"/>
      <c r="AL5" s="794"/>
      <c r="AM5" s="794"/>
      <c r="AN5" s="794"/>
      <c r="AO5" s="794"/>
      <c r="AP5" s="794"/>
      <c r="AQ5" s="794"/>
      <c r="AR5" s="794"/>
      <c r="AS5" s="794"/>
      <c r="AT5" s="794"/>
      <c r="AU5" s="794"/>
      <c r="AV5" s="794"/>
      <c r="AW5" s="794"/>
      <c r="AX5" s="794"/>
      <c r="AY5" s="794"/>
      <c r="AZ5" s="794"/>
      <c r="BA5" s="795"/>
      <c r="BB5" s="790" t="s">
        <v>24</v>
      </c>
      <c r="BC5" s="791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01">
        <v>110</v>
      </c>
      <c r="I42" s="971"/>
      <c r="J42" s="971"/>
      <c r="K42" s="971"/>
      <c r="L42" s="972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01">
        <v>125</v>
      </c>
      <c r="I43" s="971"/>
      <c r="J43" s="971"/>
      <c r="K43" s="971"/>
      <c r="L43" s="972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146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150</v>
      </c>
      <c r="AA49" s="211"/>
      <c r="AB49" s="211"/>
      <c r="AC49" s="211"/>
      <c r="AD49" s="212"/>
      <c r="AE49" s="210" t="s">
        <v>293</v>
      </c>
      <c r="AF49" s="211"/>
      <c r="AG49" s="211"/>
      <c r="AH49" s="212"/>
      <c r="AI49" s="210" t="s">
        <v>162</v>
      </c>
      <c r="AJ49" s="211"/>
      <c r="AK49" s="211"/>
      <c r="AL49" s="212"/>
      <c r="AM49" s="211" t="s">
        <v>152</v>
      </c>
      <c r="AN49" s="211"/>
      <c r="AO49" s="211"/>
      <c r="AP49" s="212"/>
      <c r="AQ49" s="211" t="s">
        <v>197</v>
      </c>
      <c r="AR49" s="211"/>
      <c r="AS49" s="211"/>
      <c r="AT49" s="212"/>
      <c r="AU49" s="210" t="s">
        <v>199</v>
      </c>
      <c r="AV49" s="211"/>
      <c r="AW49" s="211"/>
      <c r="AX49" s="212"/>
      <c r="AY49" s="210" t="s">
        <v>83</v>
      </c>
      <c r="AZ49" s="211"/>
      <c r="BA49" s="211"/>
      <c r="BB49" s="212"/>
      <c r="BC49" s="210" t="s">
        <v>42</v>
      </c>
      <c r="BD49" s="211"/>
      <c r="BE49" s="211"/>
      <c r="BF49" s="212"/>
      <c r="BG49" s="211" t="s">
        <v>156</v>
      </c>
      <c r="BH49" s="211"/>
      <c r="BI49" s="212"/>
      <c r="BJ49" s="305" t="s">
        <v>86</v>
      </c>
      <c r="BK49" s="211"/>
      <c r="BL49" s="211"/>
      <c r="BM49" s="212"/>
      <c r="BN49" s="211" t="s">
        <v>69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43</v>
      </c>
      <c r="AF50" s="218"/>
      <c r="AG50" s="219"/>
      <c r="AH50" s="220"/>
      <c r="AI50" s="217" t="s">
        <v>30</v>
      </c>
      <c r="AJ50" s="218"/>
      <c r="AK50" s="219"/>
      <c r="AL50" s="220"/>
      <c r="AM50" s="218" t="s">
        <v>43</v>
      </c>
      <c r="AN50" s="218"/>
      <c r="AO50" s="219"/>
      <c r="AP50" s="220"/>
      <c r="AQ50" s="218" t="s">
        <v>198</v>
      </c>
      <c r="AR50" s="218"/>
      <c r="AS50" s="219"/>
      <c r="AT50" s="220"/>
      <c r="AU50" s="217" t="s">
        <v>155</v>
      </c>
      <c r="AV50" s="218"/>
      <c r="AW50" s="219"/>
      <c r="AX50" s="220"/>
      <c r="AY50" s="217" t="s">
        <v>155</v>
      </c>
      <c r="AZ50" s="218"/>
      <c r="BA50" s="219"/>
      <c r="BB50" s="220"/>
      <c r="BC50" s="217" t="s">
        <v>200</v>
      </c>
      <c r="BD50" s="218"/>
      <c r="BE50" s="219"/>
      <c r="BF50" s="220"/>
      <c r="BG50" s="218" t="s">
        <v>201</v>
      </c>
      <c r="BH50" s="218"/>
      <c r="BI50" s="220"/>
      <c r="BJ50" s="307" t="s">
        <v>43</v>
      </c>
      <c r="BK50" s="218"/>
      <c r="BL50" s="219"/>
      <c r="BM50" s="220"/>
      <c r="BN50" s="218" t="s">
        <v>43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158</v>
      </c>
      <c r="E51" s="149"/>
      <c r="F51" s="149"/>
      <c r="G51" s="151"/>
      <c r="H51" s="242" t="s">
        <v>159</v>
      </c>
      <c r="I51" s="150"/>
      <c r="J51" s="150"/>
      <c r="K51" s="150"/>
      <c r="L51" s="161"/>
      <c r="M51" s="162"/>
      <c r="N51" s="242" t="s">
        <v>160</v>
      </c>
      <c r="O51" s="150"/>
      <c r="P51" s="150"/>
      <c r="Q51" s="99" t="s">
        <v>33</v>
      </c>
      <c r="R51" s="981">
        <v>70000</v>
      </c>
      <c r="S51" s="982"/>
      <c r="T51" s="982"/>
      <c r="U51" s="983"/>
      <c r="V51" s="148" t="s">
        <v>148</v>
      </c>
      <c r="W51" s="150"/>
      <c r="X51" s="150"/>
      <c r="Y51" s="99" t="s">
        <v>33</v>
      </c>
      <c r="Z51" s="995">
        <v>6.7299999999999999E-2</v>
      </c>
      <c r="AA51" s="996"/>
      <c r="AB51" s="996"/>
      <c r="AC51" s="996"/>
      <c r="AD51" s="997"/>
      <c r="AE51" s="148" t="s">
        <v>148</v>
      </c>
      <c r="AF51" s="150"/>
      <c r="AG51" s="150"/>
      <c r="AH51" s="99" t="s">
        <v>33</v>
      </c>
      <c r="AI51" s="995">
        <v>0.1211</v>
      </c>
      <c r="AJ51" s="996"/>
      <c r="AK51" s="996"/>
      <c r="AL51" s="997"/>
      <c r="AM51" s="995">
        <v>0.12</v>
      </c>
      <c r="AN51" s="996"/>
      <c r="AO51" s="996"/>
      <c r="AP51" s="997"/>
      <c r="AQ51" s="998">
        <v>0.01</v>
      </c>
      <c r="AR51" s="999"/>
      <c r="AS51" s="999"/>
      <c r="AT51" s="1000"/>
      <c r="AU51" s="995">
        <v>0.13589999999999999</v>
      </c>
      <c r="AV51" s="996"/>
      <c r="AW51" s="996"/>
      <c r="AX51" s="997"/>
      <c r="AY51" s="995">
        <v>0.151</v>
      </c>
      <c r="AZ51" s="996"/>
      <c r="BA51" s="996"/>
      <c r="BB51" s="997"/>
      <c r="BC51" s="995">
        <v>0.151</v>
      </c>
      <c r="BD51" s="996"/>
      <c r="BE51" s="996"/>
      <c r="BF51" s="997"/>
      <c r="BG51" s="1011">
        <v>6.1000000000000004E-3</v>
      </c>
      <c r="BH51" s="1012"/>
      <c r="BI51" s="1013"/>
      <c r="BJ51" s="309" t="s">
        <v>208</v>
      </c>
      <c r="BK51" s="150"/>
      <c r="BL51" s="150"/>
      <c r="BM51" s="152"/>
      <c r="BN51" s="149" t="s">
        <v>30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33</v>
      </c>
      <c r="R52" s="981"/>
      <c r="S52" s="982"/>
      <c r="T52" s="982"/>
      <c r="U52" s="983"/>
      <c r="V52" s="148"/>
      <c r="W52" s="150"/>
      <c r="X52" s="150"/>
      <c r="Y52" s="99" t="s">
        <v>33</v>
      </c>
      <c r="Z52" s="970"/>
      <c r="AA52" s="979"/>
      <c r="AB52" s="979"/>
      <c r="AC52" s="979"/>
      <c r="AD52" s="980"/>
      <c r="AE52" s="148"/>
      <c r="AF52" s="150"/>
      <c r="AG52" s="150"/>
      <c r="AH52" s="99" t="s">
        <v>33</v>
      </c>
      <c r="AI52" s="995"/>
      <c r="AJ52" s="996"/>
      <c r="AK52" s="996"/>
      <c r="AL52" s="997"/>
      <c r="AM52" s="995"/>
      <c r="AN52" s="996"/>
      <c r="AO52" s="996"/>
      <c r="AP52" s="997"/>
      <c r="AQ52" s="998"/>
      <c r="AR52" s="999"/>
      <c r="AS52" s="999"/>
      <c r="AT52" s="1000"/>
      <c r="AU52" s="995"/>
      <c r="AV52" s="996"/>
      <c r="AW52" s="996"/>
      <c r="AX52" s="997"/>
      <c r="AY52" s="995"/>
      <c r="AZ52" s="996"/>
      <c r="BA52" s="996"/>
      <c r="BB52" s="997"/>
      <c r="BC52" s="995"/>
      <c r="BD52" s="996"/>
      <c r="BE52" s="996"/>
      <c r="BF52" s="997"/>
      <c r="BG52" s="1011"/>
      <c r="BH52" s="1012"/>
      <c r="BI52" s="1013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055">
        <f>1-(0.0673/0.1359)</f>
        <v>0.50478292862398821</v>
      </c>
      <c r="BN58" s="1055"/>
      <c r="BO58" s="1055"/>
      <c r="BP58" s="1055"/>
    </row>
    <row r="59" spans="1:87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150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213</v>
      </c>
      <c r="BB63" s="240"/>
      <c r="BC63" s="240"/>
      <c r="BD63" s="240"/>
      <c r="BE63" s="239" t="s">
        <v>199</v>
      </c>
      <c r="BF63" s="240"/>
      <c r="BG63" s="240"/>
      <c r="BH63" s="241"/>
      <c r="BI63" s="239" t="s">
        <v>214</v>
      </c>
      <c r="BJ63" s="240"/>
      <c r="BK63" s="240"/>
      <c r="BL63" s="241"/>
      <c r="BM63" s="239" t="s">
        <v>236</v>
      </c>
      <c r="BN63" s="240"/>
      <c r="BO63" s="240"/>
      <c r="BP63" s="241"/>
      <c r="BQ63" s="239" t="s">
        <v>83</v>
      </c>
      <c r="BR63" s="240"/>
      <c r="BS63" s="240"/>
      <c r="BT63" s="241"/>
      <c r="BU63" s="239" t="s">
        <v>84</v>
      </c>
      <c r="BV63" s="240"/>
      <c r="BW63" s="240"/>
      <c r="BX63" s="241"/>
      <c r="BY63" s="240" t="s">
        <v>85</v>
      </c>
      <c r="BZ63" s="240"/>
      <c r="CA63" s="241"/>
      <c r="CB63" s="240" t="s">
        <v>86</v>
      </c>
      <c r="CC63" s="240"/>
      <c r="CD63" s="240"/>
      <c r="CE63" s="241"/>
      <c r="CF63" s="240" t="s">
        <v>69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149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981">
        <f>R51</f>
        <v>70000</v>
      </c>
      <c r="Y64" s="982"/>
      <c r="Z64" s="982"/>
      <c r="AA64" s="983"/>
      <c r="AB64" s="995">
        <f>Z51</f>
        <v>6.7299999999999999E-2</v>
      </c>
      <c r="AC64" s="996"/>
      <c r="AD64" s="996"/>
      <c r="AE64" s="997"/>
      <c r="AF64" s="995">
        <f>BC51</f>
        <v>0.151</v>
      </c>
      <c r="AG64" s="996"/>
      <c r="AH64" s="996"/>
      <c r="AI64" s="996"/>
      <c r="AJ64" s="997"/>
      <c r="AK64" s="995">
        <f>AM51</f>
        <v>0.12</v>
      </c>
      <c r="AL64" s="996"/>
      <c r="AM64" s="996"/>
      <c r="AN64" s="997"/>
      <c r="AO64" s="995">
        <f>AI51</f>
        <v>0.1211</v>
      </c>
      <c r="AP64" s="996"/>
      <c r="AQ64" s="996"/>
      <c r="AR64" s="997"/>
      <c r="AS64" s="995">
        <f>AI51/(1-AQ51)</f>
        <v>0.12232323232323232</v>
      </c>
      <c r="AT64" s="996"/>
      <c r="AU64" s="996"/>
      <c r="AV64" s="997"/>
      <c r="AW64" s="995">
        <f>AO64-(AS64*$K$20)</f>
        <v>0.11498383838383838</v>
      </c>
      <c r="AX64" s="996"/>
      <c r="AY64" s="996"/>
      <c r="AZ64" s="997"/>
      <c r="BA64" s="973">
        <f>IFERROR((AI51-AM51)/AM51,"")</f>
        <v>9.1666666666666979E-3</v>
      </c>
      <c r="BB64" s="974"/>
      <c r="BC64" s="974"/>
      <c r="BD64" s="975"/>
      <c r="BE64" s="1023">
        <f>AU51</f>
        <v>0.13589999999999999</v>
      </c>
      <c r="BF64" s="1024"/>
      <c r="BG64" s="1024"/>
      <c r="BH64" s="1025"/>
      <c r="BI64" s="976">
        <f>1-AI51/(1-AQ51)/AU51</f>
        <v>9.990263191146187E-2</v>
      </c>
      <c r="BJ64" s="977"/>
      <c r="BK64" s="977"/>
      <c r="BL64" s="978"/>
      <c r="BM64" s="976">
        <f>1-AB64/BE64</f>
        <v>0.50478292862398821</v>
      </c>
      <c r="BN64" s="977"/>
      <c r="BO64" s="977"/>
      <c r="BP64" s="978"/>
      <c r="BQ64" s="1011">
        <f>AY51</f>
        <v>0.151</v>
      </c>
      <c r="BR64" s="1012"/>
      <c r="BS64" s="1012"/>
      <c r="BT64" s="1013"/>
      <c r="BU64" s="976">
        <f>1-AU51/AY51</f>
        <v>9.9999999999999978E-2</v>
      </c>
      <c r="BV64" s="977"/>
      <c r="BW64" s="977"/>
      <c r="BX64" s="978"/>
      <c r="BY64" s="995">
        <f>BG51</f>
        <v>6.1000000000000004E-3</v>
      </c>
      <c r="BZ64" s="996"/>
      <c r="CA64" s="997"/>
      <c r="CB64" s="149" t="str">
        <f>BJ51</f>
        <v>JAE</v>
      </c>
      <c r="CC64" s="150"/>
      <c r="CD64" s="150"/>
      <c r="CE64" s="152"/>
      <c r="CF64" s="149" t="s">
        <v>30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281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280</v>
      </c>
      <c r="E66" s="503"/>
      <c r="F66" s="504" t="s">
        <v>294</v>
      </c>
      <c r="G66" s="503"/>
      <c r="H66" s="503"/>
      <c r="I66" s="505"/>
      <c r="J66" s="504" t="s">
        <v>30</v>
      </c>
      <c r="K66" s="506"/>
      <c r="L66" s="506"/>
      <c r="M66" s="506"/>
      <c r="N66" s="503"/>
      <c r="O66" s="505"/>
      <c r="P66" s="511" t="s">
        <v>30</v>
      </c>
      <c r="Q66" s="508"/>
      <c r="R66" s="508"/>
      <c r="S66" s="509"/>
      <c r="T66" s="502"/>
      <c r="U66" s="503"/>
      <c r="V66" s="503"/>
      <c r="W66" s="505"/>
      <c r="X66" s="508" t="s">
        <v>239</v>
      </c>
      <c r="Y66" s="503"/>
      <c r="Z66" s="503"/>
      <c r="AA66" s="503"/>
      <c r="AB66" s="507" t="s">
        <v>234</v>
      </c>
      <c r="AC66" s="503"/>
      <c r="AD66" s="503"/>
      <c r="AE66" s="503"/>
      <c r="AF66" s="507" t="s">
        <v>235</v>
      </c>
      <c r="AG66" s="508"/>
      <c r="AH66" s="508"/>
      <c r="AI66" s="508"/>
      <c r="AJ66" s="509"/>
      <c r="AK66" s="507" t="s">
        <v>236</v>
      </c>
      <c r="AL66" s="508"/>
      <c r="AM66" s="508"/>
      <c r="AN66" s="509"/>
      <c r="AO66" s="507" t="s">
        <v>237</v>
      </c>
      <c r="AP66" s="508"/>
      <c r="AQ66" s="508"/>
      <c r="AR66" s="509"/>
      <c r="AS66" s="507" t="s">
        <v>238</v>
      </c>
      <c r="AT66" s="508"/>
      <c r="AU66" s="508"/>
      <c r="AV66" s="508"/>
      <c r="AW66" s="511" t="s">
        <v>30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30</v>
      </c>
      <c r="BJ66" s="508"/>
      <c r="BK66" s="508"/>
      <c r="BL66" s="509"/>
      <c r="BM66" s="513" t="s">
        <v>30</v>
      </c>
      <c r="BN66" s="508"/>
      <c r="BO66" s="508"/>
      <c r="BP66" s="509"/>
      <c r="BQ66" s="513" t="s">
        <v>30</v>
      </c>
      <c r="BR66" s="508"/>
      <c r="BS66" s="508"/>
      <c r="BT66" s="509"/>
      <c r="BU66" s="508"/>
      <c r="BV66" s="508"/>
      <c r="BW66" s="508"/>
      <c r="BX66" s="509"/>
      <c r="BY66" s="513" t="s">
        <v>30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160</v>
      </c>
      <c r="E67" s="149"/>
      <c r="F67" s="148" t="s">
        <v>148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970">
        <f>SUMPRODUCT(X$64:AA$64,BE$64:BH$64)</f>
        <v>9513</v>
      </c>
      <c r="Y67" s="979"/>
      <c r="Z67" s="979"/>
      <c r="AA67" s="980"/>
      <c r="AB67" s="970">
        <f>SUMPRODUCT(X$64:AA$64,AB$64:AE$64)</f>
        <v>4711</v>
      </c>
      <c r="AC67" s="979"/>
      <c r="AD67" s="979"/>
      <c r="AE67" s="980"/>
      <c r="AF67" s="970">
        <f>X67-AB67</f>
        <v>4802</v>
      </c>
      <c r="AG67" s="979"/>
      <c r="AH67" s="979"/>
      <c r="AI67" s="979"/>
      <c r="AJ67" s="980"/>
      <c r="AK67" s="961">
        <f>AF67/X67</f>
        <v>0.50478292862398821</v>
      </c>
      <c r="AL67" s="962"/>
      <c r="AM67" s="962"/>
      <c r="AN67" s="963"/>
      <c r="AO67" s="961">
        <f>IFERROR(AS67/(X67-AS67),"")</f>
        <v>0.13249999999999998</v>
      </c>
      <c r="AP67" s="962"/>
      <c r="AQ67" s="962"/>
      <c r="AR67" s="963"/>
      <c r="AS67" s="1052">
        <f>X$64*(BE$64-AK$64)</f>
        <v>1112.9999999999998</v>
      </c>
      <c r="AT67" s="1053"/>
      <c r="AU67" s="1053"/>
      <c r="AV67" s="1054"/>
      <c r="AW67" s="1020"/>
      <c r="AX67" s="1021"/>
      <c r="AY67" s="1021"/>
      <c r="AZ67" s="1022"/>
      <c r="BA67" s="958"/>
      <c r="BB67" s="959"/>
      <c r="BC67" s="959"/>
      <c r="BD67" s="960"/>
      <c r="BE67" s="976"/>
      <c r="BF67" s="977"/>
      <c r="BG67" s="977"/>
      <c r="BH67" s="978"/>
      <c r="BI67" s="149" t="s">
        <v>30</v>
      </c>
      <c r="BJ67" s="150"/>
      <c r="BK67" s="150"/>
      <c r="BL67" s="152"/>
      <c r="BM67" s="149" t="s">
        <v>30</v>
      </c>
      <c r="BN67" s="150"/>
      <c r="BO67" s="150"/>
      <c r="BP67" s="152"/>
      <c r="BQ67" s="149" t="s">
        <v>30</v>
      </c>
      <c r="BR67" s="150"/>
      <c r="BS67" s="150"/>
      <c r="BT67" s="152"/>
      <c r="BU67" s="149" t="s">
        <v>30</v>
      </c>
      <c r="BV67" s="150"/>
      <c r="BW67" s="150"/>
      <c r="BX67" s="152"/>
      <c r="BY67" s="149" t="s">
        <v>30</v>
      </c>
      <c r="BZ67" s="150"/>
      <c r="CA67" s="152"/>
      <c r="CB67" s="149" t="s">
        <v>30</v>
      </c>
      <c r="CC67" s="150"/>
      <c r="CD67" s="150"/>
      <c r="CE67" s="152"/>
      <c r="CF67" s="149" t="s">
        <v>30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160</v>
      </c>
      <c r="E68" s="149"/>
      <c r="F68" s="148" t="s">
        <v>207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958">
        <f>SUMPRODUCT(X$64:AA$64,BE$64:BH$64)</f>
        <v>9513</v>
      </c>
      <c r="Y68" s="959"/>
      <c r="Z68" s="959"/>
      <c r="AA68" s="960"/>
      <c r="AB68" s="958">
        <f>SUMPRODUCT(X$64:AA$64,AB$64:AE$64)</f>
        <v>4711</v>
      </c>
      <c r="AC68" s="959"/>
      <c r="AD68" s="959"/>
      <c r="AE68" s="960"/>
      <c r="AF68" s="958">
        <f>X68-AB68</f>
        <v>4802</v>
      </c>
      <c r="AG68" s="959"/>
      <c r="AH68" s="959"/>
      <c r="AI68" s="959"/>
      <c r="AJ68" s="960"/>
      <c r="AK68" s="961">
        <f>AF68/X68</f>
        <v>0.50478292862398821</v>
      </c>
      <c r="AL68" s="962"/>
      <c r="AM68" s="962"/>
      <c r="AN68" s="963"/>
      <c r="AO68" s="961">
        <f>IFERROR(AS68/(X68-AS68),"")</f>
        <v>0.13249999999999998</v>
      </c>
      <c r="AP68" s="962"/>
      <c r="AQ68" s="962"/>
      <c r="AR68" s="963"/>
      <c r="AS68" s="1017">
        <f>X$64*(BE$64-AK$64)</f>
        <v>1112.9999999999998</v>
      </c>
      <c r="AT68" s="1018"/>
      <c r="AU68" s="1018"/>
      <c r="AV68" s="1019"/>
      <c r="AW68" s="1020"/>
      <c r="AX68" s="1021"/>
      <c r="AY68" s="1021"/>
      <c r="AZ68" s="1022"/>
      <c r="BA68" s="958"/>
      <c r="BB68" s="959"/>
      <c r="BC68" s="959"/>
      <c r="BD68" s="960"/>
      <c r="BE68" s="976"/>
      <c r="BF68" s="977"/>
      <c r="BG68" s="977"/>
      <c r="BH68" s="978"/>
      <c r="BI68" s="149" t="s">
        <v>30</v>
      </c>
      <c r="BJ68" s="150"/>
      <c r="BK68" s="150"/>
      <c r="BL68" s="152"/>
      <c r="BM68" s="149" t="s">
        <v>30</v>
      </c>
      <c r="BN68" s="150"/>
      <c r="BO68" s="150"/>
      <c r="BP68" s="152"/>
      <c r="BQ68" s="149" t="s">
        <v>30</v>
      </c>
      <c r="BR68" s="150"/>
      <c r="BS68" s="150"/>
      <c r="BT68" s="152"/>
      <c r="BU68" s="149" t="s">
        <v>30</v>
      </c>
      <c r="BV68" s="150"/>
      <c r="BW68" s="150"/>
      <c r="BX68" s="152"/>
      <c r="BY68" s="149" t="s">
        <v>30</v>
      </c>
      <c r="BZ68" s="150"/>
      <c r="CA68" s="152"/>
      <c r="CB68" s="149" t="s">
        <v>30</v>
      </c>
      <c r="CC68" s="150"/>
      <c r="CD68" s="150"/>
      <c r="CE68" s="152"/>
      <c r="CF68" s="149" t="s">
        <v>30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279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295</v>
      </c>
      <c r="G70" s="244"/>
      <c r="H70" s="244"/>
      <c r="I70" s="245"/>
      <c r="J70" s="246" t="s">
        <v>30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239</v>
      </c>
      <c r="Y70" s="244"/>
      <c r="Z70" s="244"/>
      <c r="AA70" s="244"/>
      <c r="AB70" s="248" t="s">
        <v>234</v>
      </c>
      <c r="AC70" s="244"/>
      <c r="AD70" s="244"/>
      <c r="AE70" s="244"/>
      <c r="AF70" s="248" t="s">
        <v>235</v>
      </c>
      <c r="AG70" s="249"/>
      <c r="AH70" s="249"/>
      <c r="AI70" s="249"/>
      <c r="AJ70" s="250"/>
      <c r="AK70" s="248" t="s">
        <v>236</v>
      </c>
      <c r="AL70" s="249"/>
      <c r="AM70" s="249"/>
      <c r="AN70" s="250"/>
      <c r="AO70" s="248" t="s">
        <v>237</v>
      </c>
      <c r="AP70" s="249"/>
      <c r="AQ70" s="249"/>
      <c r="AR70" s="250"/>
      <c r="AS70" s="248" t="s">
        <v>238</v>
      </c>
      <c r="AT70" s="249"/>
      <c r="AU70" s="249"/>
      <c r="AV70" s="249"/>
      <c r="AW70" s="253" t="s">
        <v>30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30</v>
      </c>
      <c r="BJ70" s="249"/>
      <c r="BK70" s="249"/>
      <c r="BL70" s="250"/>
      <c r="BM70" s="251" t="s">
        <v>30</v>
      </c>
      <c r="BN70" s="249"/>
      <c r="BO70" s="249"/>
      <c r="BP70" s="250"/>
      <c r="BQ70" s="251" t="s">
        <v>30</v>
      </c>
      <c r="BR70" s="249"/>
      <c r="BS70" s="249"/>
      <c r="BT70" s="250"/>
      <c r="BU70" s="249"/>
      <c r="BV70" s="249"/>
      <c r="BW70" s="249"/>
      <c r="BX70" s="250"/>
      <c r="BY70" s="251" t="s">
        <v>30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148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970">
        <f>SUMPRODUCT(X$64:AA$64,BE$64:BH$64)</f>
        <v>9513</v>
      </c>
      <c r="Y71" s="979"/>
      <c r="Z71" s="979"/>
      <c r="AA71" s="980"/>
      <c r="AB71" s="970">
        <f>SUMPRODUCT(X$64:AA$64,AB$64:AE$64)</f>
        <v>4711</v>
      </c>
      <c r="AC71" s="979"/>
      <c r="AD71" s="979"/>
      <c r="AE71" s="980"/>
      <c r="AF71" s="970">
        <f>X71-AB71</f>
        <v>4802</v>
      </c>
      <c r="AG71" s="979"/>
      <c r="AH71" s="979"/>
      <c r="AI71" s="979"/>
      <c r="AJ71" s="980"/>
      <c r="AK71" s="961">
        <f>AF71/X71</f>
        <v>0.50478292862398821</v>
      </c>
      <c r="AL71" s="962"/>
      <c r="AM71" s="962"/>
      <c r="AN71" s="963"/>
      <c r="AO71" s="961">
        <f>IFERROR(AS71/(X71-AS71),"")</f>
        <v>0.13249999999999998</v>
      </c>
      <c r="AP71" s="962"/>
      <c r="AQ71" s="962"/>
      <c r="AR71" s="963"/>
      <c r="AS71" s="1052">
        <f>X$64*(BE$64-AK$64)</f>
        <v>1112.9999999999998</v>
      </c>
      <c r="AT71" s="1053"/>
      <c r="AU71" s="1053"/>
      <c r="AV71" s="1054"/>
      <c r="AW71" s="1020"/>
      <c r="AX71" s="1021"/>
      <c r="AY71" s="1021"/>
      <c r="AZ71" s="1022"/>
      <c r="BA71" s="958"/>
      <c r="BB71" s="959"/>
      <c r="BC71" s="959"/>
      <c r="BD71" s="960"/>
      <c r="BE71" s="976"/>
      <c r="BF71" s="977"/>
      <c r="BG71" s="977"/>
      <c r="BH71" s="978"/>
      <c r="BI71" s="149" t="s">
        <v>30</v>
      </c>
      <c r="BJ71" s="150"/>
      <c r="BK71" s="150"/>
      <c r="BL71" s="152"/>
      <c r="BM71" s="149" t="s">
        <v>30</v>
      </c>
      <c r="BN71" s="150"/>
      <c r="BO71" s="150"/>
      <c r="BP71" s="152"/>
      <c r="BQ71" s="149" t="s">
        <v>30</v>
      </c>
      <c r="BR71" s="150"/>
      <c r="BS71" s="150"/>
      <c r="BT71" s="152"/>
      <c r="BU71" s="149" t="s">
        <v>30</v>
      </c>
      <c r="BV71" s="150"/>
      <c r="BW71" s="150"/>
      <c r="BX71" s="152"/>
      <c r="BY71" s="149" t="s">
        <v>30</v>
      </c>
      <c r="BZ71" s="150"/>
      <c r="CA71" s="152"/>
      <c r="CB71" s="149" t="s">
        <v>30</v>
      </c>
      <c r="CC71" s="150"/>
      <c r="CD71" s="150"/>
      <c r="CE71" s="152"/>
      <c r="CF71" s="149" t="s">
        <v>30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207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958">
        <f>SUMPRODUCT(X$64:AA$64,BE$64:BH$64)</f>
        <v>9513</v>
      </c>
      <c r="Y72" s="959"/>
      <c r="Z72" s="959"/>
      <c r="AA72" s="960"/>
      <c r="AB72" s="958">
        <f>SUMPRODUCT(X$64:AA$64,AB$64:AE$64)</f>
        <v>4711</v>
      </c>
      <c r="AC72" s="959"/>
      <c r="AD72" s="959"/>
      <c r="AE72" s="960"/>
      <c r="AF72" s="958">
        <f>X72-AB72</f>
        <v>4802</v>
      </c>
      <c r="AG72" s="959"/>
      <c r="AH72" s="959"/>
      <c r="AI72" s="959"/>
      <c r="AJ72" s="960"/>
      <c r="AK72" s="961">
        <f>AF72/X72</f>
        <v>0.50478292862398821</v>
      </c>
      <c r="AL72" s="962"/>
      <c r="AM72" s="962"/>
      <c r="AN72" s="963"/>
      <c r="AO72" s="961">
        <f>IFERROR(AS72/(X72-AS72),"")</f>
        <v>0.13249999999999998</v>
      </c>
      <c r="AP72" s="962"/>
      <c r="AQ72" s="962"/>
      <c r="AR72" s="963"/>
      <c r="AS72" s="1017">
        <f>X$64*(BE$64-AK$64)</f>
        <v>1112.9999999999998</v>
      </c>
      <c r="AT72" s="1018"/>
      <c r="AU72" s="1018"/>
      <c r="AV72" s="1019"/>
      <c r="AW72" s="1020"/>
      <c r="AX72" s="1021"/>
      <c r="AY72" s="1021"/>
      <c r="AZ72" s="1022"/>
      <c r="BA72" s="958"/>
      <c r="BB72" s="959"/>
      <c r="BC72" s="959"/>
      <c r="BD72" s="960"/>
      <c r="BE72" s="976"/>
      <c r="BF72" s="977"/>
      <c r="BG72" s="977"/>
      <c r="BH72" s="978"/>
      <c r="BI72" s="149" t="s">
        <v>30</v>
      </c>
      <c r="BJ72" s="150"/>
      <c r="BK72" s="150"/>
      <c r="BL72" s="152"/>
      <c r="BM72" s="149" t="s">
        <v>30</v>
      </c>
      <c r="BN72" s="150"/>
      <c r="BO72" s="150"/>
      <c r="BP72" s="152"/>
      <c r="BQ72" s="149" t="s">
        <v>30</v>
      </c>
      <c r="BR72" s="150"/>
      <c r="BS72" s="150"/>
      <c r="BT72" s="152"/>
      <c r="BU72" s="149" t="s">
        <v>30</v>
      </c>
      <c r="BV72" s="150"/>
      <c r="BW72" s="150"/>
      <c r="BX72" s="152"/>
      <c r="BY72" s="149" t="s">
        <v>30</v>
      </c>
      <c r="BZ72" s="150"/>
      <c r="CA72" s="152"/>
      <c r="CB72" s="149" t="s">
        <v>30</v>
      </c>
      <c r="CC72" s="150"/>
      <c r="CD72" s="150"/>
      <c r="CE72" s="152"/>
      <c r="CF72" s="149" t="s">
        <v>30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050"/>
      <c r="BE73" s="1051"/>
      <c r="BF73" s="1051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986"/>
      <c r="K77" s="986"/>
      <c r="L77" s="986"/>
      <c r="M77" s="986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5" customHeight="1">
      <c r="A78" s="22"/>
      <c r="B78" s="129"/>
      <c r="C78" s="346" t="s">
        <v>131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15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5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5" customHeight="1">
      <c r="A81" s="23"/>
      <c r="B81" s="351"/>
      <c r="C81" s="352"/>
      <c r="D81" s="348" t="s">
        <v>38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40</v>
      </c>
      <c r="S81" s="134"/>
      <c r="T81" s="107"/>
      <c r="U81" s="107"/>
      <c r="V81" s="133" t="s">
        <v>44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45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41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15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5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951"/>
      <c r="K84" s="951"/>
      <c r="L84" s="951"/>
      <c r="M84" s="951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5" customHeight="1">
      <c r="A85" s="22"/>
      <c r="B85" s="202">
        <v>35</v>
      </c>
      <c r="C85" s="346" t="s">
        <v>247</v>
      </c>
      <c r="D85" s="332"/>
      <c r="E85" s="65"/>
      <c r="F85" s="65"/>
      <c r="G85" s="65"/>
      <c r="H85" s="65"/>
      <c r="I85" s="65"/>
      <c r="J85" s="951"/>
      <c r="K85" s="951"/>
      <c r="L85" s="951"/>
      <c r="M85" s="951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5" customHeight="1">
      <c r="A86" s="22"/>
      <c r="B86" s="202">
        <v>35</v>
      </c>
      <c r="C86" s="331"/>
      <c r="D86" s="478" t="s">
        <v>248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5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990"/>
      <c r="K87" s="990"/>
      <c r="L87" s="990"/>
      <c r="M87" s="990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15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5" customHeight="1">
      <c r="A89" s="23"/>
      <c r="B89" s="351"/>
      <c r="C89" s="282"/>
      <c r="D89" s="28" t="s">
        <v>240</v>
      </c>
      <c r="E89" s="28"/>
      <c r="F89" s="28"/>
      <c r="G89" s="28"/>
      <c r="H89" s="468" t="s">
        <v>245</v>
      </c>
      <c r="I89" s="257"/>
      <c r="J89" s="258"/>
      <c r="K89" s="258"/>
      <c r="L89" s="258"/>
      <c r="M89" s="259"/>
      <c r="N89" s="258"/>
      <c r="O89" s="110"/>
      <c r="P89" s="261" t="s">
        <v>33</v>
      </c>
      <c r="Q89" s="25"/>
      <c r="R89" s="469" t="s">
        <v>246</v>
      </c>
      <c r="S89" s="470"/>
      <c r="T89" s="471"/>
      <c r="U89" s="471"/>
      <c r="V89" s="483"/>
      <c r="W89" s="472"/>
      <c r="X89" s="471"/>
      <c r="Y89" s="473"/>
      <c r="Z89" s="474"/>
      <c r="AB89" s="469" t="s">
        <v>289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5" customHeight="1">
      <c r="A90" s="23"/>
      <c r="B90" s="351"/>
      <c r="C90" s="282"/>
      <c r="D90" s="28"/>
      <c r="E90" s="28"/>
      <c r="F90" s="28"/>
      <c r="G90" s="28"/>
      <c r="H90" s="469" t="s">
        <v>54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15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15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5" customHeight="1">
      <c r="A93" s="22"/>
      <c r="B93" s="202">
        <v>35</v>
      </c>
      <c r="C93" s="62" t="s">
        <v>243</v>
      </c>
      <c r="D93" s="332"/>
      <c r="E93" s="65"/>
      <c r="F93" s="65"/>
      <c r="G93" s="65"/>
      <c r="H93" s="65"/>
      <c r="I93" s="65"/>
      <c r="J93" s="951"/>
      <c r="K93" s="951"/>
      <c r="L93" s="951"/>
      <c r="M93" s="951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15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5" customHeight="1">
      <c r="A95" s="23"/>
      <c r="B95" s="351"/>
      <c r="C95" s="282"/>
      <c r="D95" s="28" t="s">
        <v>240</v>
      </c>
      <c r="E95" s="28"/>
      <c r="F95" s="28"/>
      <c r="G95" s="28"/>
      <c r="H95" s="468" t="s">
        <v>241</v>
      </c>
      <c r="I95" s="257"/>
      <c r="J95" s="258"/>
      <c r="K95" s="258"/>
      <c r="L95" s="258"/>
      <c r="M95" s="259"/>
      <c r="N95" s="258"/>
      <c r="O95" s="110"/>
      <c r="P95" s="261" t="s">
        <v>33</v>
      </c>
      <c r="Q95" s="25"/>
      <c r="R95" s="469" t="s">
        <v>242</v>
      </c>
      <c r="S95" s="470"/>
      <c r="T95" s="471"/>
      <c r="U95" s="471"/>
      <c r="V95" s="483"/>
      <c r="W95" s="484" t="s">
        <v>254</v>
      </c>
      <c r="X95" s="471"/>
      <c r="Y95" s="473"/>
      <c r="Z95" s="474"/>
      <c r="AB95" s="529" t="s">
        <v>290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5" customHeight="1">
      <c r="A96" s="23"/>
      <c r="B96" s="351"/>
      <c r="C96" s="282"/>
      <c r="D96" s="28"/>
      <c r="E96" s="28"/>
      <c r="F96" s="28"/>
      <c r="G96" s="28"/>
      <c r="H96" s="469" t="s">
        <v>253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15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15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5" customHeight="1">
      <c r="A99" s="22"/>
      <c r="B99" s="202">
        <v>35</v>
      </c>
      <c r="C99" s="62" t="s">
        <v>243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5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5" customHeight="1">
      <c r="A101" s="22"/>
      <c r="B101" s="202">
        <v>35</v>
      </c>
      <c r="C101" s="346" t="s">
        <v>249</v>
      </c>
      <c r="D101" s="332"/>
      <c r="E101" s="65"/>
      <c r="F101" s="65"/>
      <c r="G101" s="65"/>
      <c r="H101" s="65"/>
      <c r="I101" s="65"/>
      <c r="J101" s="951"/>
      <c r="K101" s="951"/>
      <c r="L101" s="951"/>
      <c r="M101" s="951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15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250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252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251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44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255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54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256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54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257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54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15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5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951"/>
      <c r="K110" s="951"/>
      <c r="L110" s="951"/>
      <c r="M110" s="951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951"/>
      <c r="K111" s="951"/>
      <c r="L111" s="951"/>
      <c r="M111" s="951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</mergeCells>
  <phoneticPr fontId="56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11</vt:i4>
      </vt:variant>
    </vt:vector>
  </HeadingPairs>
  <TitlesOfParts>
    <vt:vector size="23" baseType="lpstr">
      <vt:lpstr>表紙</vt:lpstr>
      <vt:lpstr>変更来歴</vt:lpstr>
      <vt:lpstr>化学物質データ申請確認画面</vt:lpstr>
      <vt:lpstr>画面項目</vt:lpstr>
      <vt:lpstr>処理詳細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'円(PPM)'!Print_Area</vt:lpstr>
      <vt:lpstr>'円(コリア原計)'!Print_Area</vt:lpstr>
      <vt:lpstr>'円(技術原計)'!Print_Area</vt:lpstr>
      <vt:lpstr>化学物質データ申請確認画面!Print_Area</vt:lpstr>
      <vt:lpstr>画面項目!Print_Area</vt:lpstr>
      <vt:lpstr>'外貨(PPM)'!Print_Area</vt:lpstr>
      <vt:lpstr>'外貨(コリア原計)'!Print_Area</vt:lpstr>
      <vt:lpstr>'外貨(技術原計)'!Print_Area</vt:lpstr>
      <vt:lpstr>処理詳細!Print_Area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2026-05-21T06:49:53Z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