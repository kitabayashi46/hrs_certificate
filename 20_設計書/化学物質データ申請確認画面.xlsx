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drawings/drawing9.xml" ContentType="application/vnd.openxmlformats-officedocument.drawing+xml"/>
  <Override PartName="/xl/comments7.xml" ContentType="application/vnd.openxmlformats-officedocument.spreadsheetml.comments+xml"/>
  <Override PartName="/xl/drawings/drawing10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C6D16413-DEA0-4EC4-9CA0-7803A848E88E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画面状態" sheetId="71" r:id="rId5"/>
    <sheet name="出力編集仕様" sheetId="72" r:id="rId6"/>
    <sheet name="ダウンロードCSVファイルについて" sheetId="73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xlnm._FilterDatabase" localSheetId="4" hidden="1">画面状態!$A$1:$AR$20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化学物質データ申請確認画面!$A$1:$BC$86</definedName>
    <definedName name="_xlnm.Print_Area" localSheetId="3">画面項目!$A$1:$CJ$39</definedName>
    <definedName name="_xlnm.Print_Area" localSheetId="4">画面状態!$A$1:$BG$26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出力編集仕様!$A$1:$FJ$36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localSheetId="5" hidden="1">{"'画面仕様'!$C$22:$BY$40","'画面仕様'!$C$28:$BY$39"}</definedName>
    <definedName name="画面遷移new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71" l="1"/>
  <c r="A25" i="71"/>
  <c r="J24" i="71"/>
  <c r="A24" i="71"/>
  <c r="J23" i="71"/>
  <c r="A23" i="71"/>
  <c r="J22" i="71"/>
  <c r="A22" i="71"/>
  <c r="J21" i="71"/>
  <c r="C21" i="71"/>
  <c r="A21" i="71"/>
  <c r="J20" i="71"/>
  <c r="A20" i="71"/>
  <c r="J19" i="71"/>
  <c r="A19" i="71"/>
  <c r="J18" i="71"/>
  <c r="A18" i="71"/>
  <c r="J17" i="71"/>
  <c r="A17" i="71"/>
  <c r="J16" i="71"/>
  <c r="A16" i="71"/>
  <c r="J15" i="71"/>
  <c r="A15" i="71"/>
  <c r="J14" i="71"/>
  <c r="A14" i="71"/>
  <c r="J13" i="71"/>
  <c r="A13" i="71"/>
  <c r="J12" i="71"/>
  <c r="A12" i="71"/>
  <c r="J11" i="71"/>
  <c r="A11" i="71"/>
  <c r="J10" i="71"/>
  <c r="A10" i="71"/>
  <c r="J9" i="71"/>
  <c r="A9" i="71"/>
  <c r="J8" i="71"/>
  <c r="A8" i="71"/>
  <c r="J7" i="71"/>
  <c r="A7" i="71"/>
  <c r="C6" i="71"/>
  <c r="A6" i="71"/>
  <c r="A5" i="71"/>
  <c r="A4" i="71"/>
  <c r="A5" i="67" l="1"/>
  <c r="AA3" i="67"/>
  <c r="M3" i="67"/>
  <c r="A3" i="67"/>
  <c r="AZ2" i="67"/>
  <c r="M2" i="67"/>
  <c r="AV1" i="67"/>
  <c r="AN1" i="67"/>
  <c r="AA1" i="67"/>
  <c r="M1" i="67"/>
  <c r="BM58" i="66"/>
  <c r="AV3" i="67"/>
  <c r="AN2" i="67"/>
  <c r="AV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N2" i="65"/>
  <c r="AV3" i="65"/>
  <c r="AV2" i="65"/>
  <c r="AV2" i="66"/>
  <c r="AN2" i="66"/>
  <c r="AV3" i="66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N2" i="59"/>
  <c r="AN2" i="63"/>
  <c r="AV2" i="64"/>
  <c r="AV2" i="63"/>
  <c r="AV2" i="61"/>
  <c r="AV3" i="61"/>
  <c r="AV3" i="63"/>
  <c r="AV2" i="59"/>
  <c r="AN2" i="61"/>
  <c r="AN2" i="64"/>
  <c r="AV3" i="64"/>
  <c r="AV3" i="59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2" i="16"/>
  <c r="AV3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26B176E7-E150-40A5-A61C-EFD55CB23435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E3298C08-FC46-481E-9A2B-72BF52C363DD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32888A59-297E-40CC-A927-7639A6AD2242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9E43DFAC-BBF5-4FFB-9165-ACE30CDFDAA7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FF3CE5CE-5B6A-4DC8-8FCB-1AFF97521179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20EBCFC9-EDD2-46CA-9CFA-4016366909AB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1A3169D8-1BD1-4587-B67A-DFED8C10F5AD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30" authorId="0" shapeId="0" xr:uid="{61D35C86-49E8-4F84-8C6C-62BDBCCEF9CC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30" authorId="0" shapeId="0" xr:uid="{BDA8524F-B57F-4B45-9AD9-71E8AA2078E6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D9886435-A6DF-4B12-92C3-16D5A6017DE3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A1621A78-35F1-4F7F-8618-63930CE42213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<sst xmlns="http://schemas.openxmlformats.org/spreadsheetml/2006/main" count="2521" uniqueCount="748">
  <si>
    <t>HRS殿</t>
    <rPh sb="3" eb="4">
      <t>ドノ</t>
    </rPh>
    <phoneticPr fontId="13"/>
  </si>
  <si>
    <t>作成</t>
    <rPh sb="0" eb="2">
      <t>サクセイ</t>
    </rPh>
    <phoneticPr fontId="13"/>
  </si>
  <si>
    <t>照査</t>
    <rPh sb="0" eb="2">
      <t>ショウサ</t>
    </rPh>
    <phoneticPr fontId="13"/>
  </si>
  <si>
    <t>承認</t>
    <rPh sb="0" eb="2">
      <t>ショウニン</t>
    </rPh>
    <phoneticPr fontId="13"/>
  </si>
  <si>
    <t>文書名：</t>
    <rPh sb="0" eb="2">
      <t>ブンショ</t>
    </rPh>
    <rPh sb="2" eb="3">
      <t>メイ</t>
    </rPh>
    <phoneticPr fontId="13"/>
  </si>
  <si>
    <t>顧客名</t>
    <rPh sb="0" eb="2">
      <t>コキャク</t>
    </rPh>
    <rPh sb="2" eb="3">
      <t>メイ</t>
    </rPh>
    <phoneticPr fontId="13"/>
  </si>
  <si>
    <t>ヒロセ電機株式会社</t>
    <rPh sb="3" eb="5">
      <t>デンキ</t>
    </rPh>
    <rPh sb="5" eb="7">
      <t>カブシキ</t>
    </rPh>
    <rPh sb="7" eb="9">
      <t>カイシャ</t>
    </rPh>
    <phoneticPr fontId="13"/>
  </si>
  <si>
    <t>システム</t>
    <phoneticPr fontId="13"/>
  </si>
  <si>
    <t>作成者</t>
    <rPh sb="0" eb="2">
      <t>サクセイ</t>
    </rPh>
    <rPh sb="2" eb="3">
      <t>シャ</t>
    </rPh>
    <phoneticPr fontId="13"/>
  </si>
  <si>
    <t>作成日</t>
    <rPh sb="0" eb="3">
      <t>サクセイビ</t>
    </rPh>
    <phoneticPr fontId="13"/>
  </si>
  <si>
    <t>書類番号</t>
    <rPh sb="0" eb="2">
      <t>ショルイ</t>
    </rPh>
    <rPh sb="2" eb="4">
      <t>バンゴウ</t>
    </rPh>
    <phoneticPr fontId="13"/>
  </si>
  <si>
    <t>プロジェクト</t>
    <phoneticPr fontId="13"/>
  </si>
  <si>
    <t>修正者</t>
    <rPh sb="0" eb="2">
      <t>シュウセイ</t>
    </rPh>
    <rPh sb="2" eb="3">
      <t>シャ</t>
    </rPh>
    <phoneticPr fontId="13"/>
  </si>
  <si>
    <t>修正日</t>
    <rPh sb="0" eb="2">
      <t>シュウセイ</t>
    </rPh>
    <rPh sb="2" eb="3">
      <t>ビ</t>
    </rPh>
    <phoneticPr fontId="13"/>
  </si>
  <si>
    <t>内容</t>
    <rPh sb="0" eb="2">
      <t>ナイヨウ</t>
    </rPh>
    <phoneticPr fontId="13"/>
  </si>
  <si>
    <t>Rev</t>
    <phoneticPr fontId="13"/>
  </si>
  <si>
    <t>intra-mart Accel Platform</t>
    <phoneticPr fontId="13"/>
  </si>
  <si>
    <t>変更内容</t>
    <rPh sb="0" eb="2">
      <t>ヘンコウ</t>
    </rPh>
    <rPh sb="2" eb="4">
      <t>ナイヨウ</t>
    </rPh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</si>
  <si>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2"/>
  </si>
  <si>
    <t>提出日</t>
    <rPh sb="0" eb="2">
      <t>テイシュツ</t>
    </rPh>
    <rPh sb="2" eb="3">
      <t>ビ</t>
    </rPh>
    <phoneticPr fontId="12"/>
  </si>
  <si>
    <t>作成者</t>
    <rPh sb="0" eb="3">
      <t>サクセイシャ</t>
    </rPh>
    <phoneticPr fontId="12"/>
  </si>
  <si>
    <t>承認者</t>
    <rPh sb="0" eb="2">
      <t>ショウニン</t>
    </rPh>
    <rPh sb="2" eb="3">
      <t>シャ</t>
    </rPh>
    <phoneticPr fontId="12"/>
  </si>
  <si>
    <t>備考</t>
    <rPh sb="0" eb="2">
      <t>ビコウ</t>
    </rPh>
    <phoneticPr fontId="12"/>
  </si>
  <si>
    <t>新規作成</t>
    <rPh sb="0" eb="2">
      <t>シンキ</t>
    </rPh>
    <rPh sb="2" eb="4">
      <t>サクセイ</t>
    </rPh>
    <phoneticPr fontId="50"/>
  </si>
  <si>
    <t>Rev.</t>
    <phoneticPr fontId="12"/>
  </si>
  <si>
    <t>変更来歴</t>
    <phoneticPr fontId="50"/>
  </si>
  <si>
    <t>画面設計書</t>
    <rPh sb="0" eb="2">
      <t>ガメン</t>
    </rPh>
    <rPh sb="2" eb="5">
      <t>セッケイショ</t>
    </rPh>
    <phoneticPr fontId="13"/>
  </si>
  <si>
    <t>画面名</t>
    <rPh sb="0" eb="2">
      <t>ガメン</t>
    </rPh>
    <rPh sb="2" eb="3">
      <t>メイ</t>
    </rPh>
    <phoneticPr fontId="50"/>
  </si>
  <si>
    <t>アメージングアクティビティ(株)</t>
    <rPh sb="13" eb="16">
      <t>カブシキガイシャ</t>
    </rPh>
    <phoneticPr fontId="13"/>
  </si>
  <si>
    <t>　</t>
    <phoneticPr fontId="50"/>
  </si>
  <si>
    <t/>
  </si>
  <si>
    <t>IMWF-53</t>
    <phoneticPr fontId="50"/>
  </si>
  <si>
    <t>No</t>
    <phoneticPr fontId="56"/>
  </si>
  <si>
    <t>▼</t>
    <phoneticPr fontId="56"/>
  </si>
  <si>
    <t>品名</t>
    <rPh sb="0" eb="1">
      <t>ヒンメイ</t>
    </rPh>
    <phoneticPr fontId="56"/>
  </si>
  <si>
    <t>○</t>
    <phoneticPr fontId="56"/>
  </si>
  <si>
    <t>◎</t>
    <phoneticPr fontId="56"/>
  </si>
  <si>
    <t>▲</t>
    <phoneticPr fontId="56"/>
  </si>
  <si>
    <t>ファイル名</t>
    <rPh sb="4" eb="5">
      <t>メイ</t>
    </rPh>
    <phoneticPr fontId="56"/>
  </si>
  <si>
    <t>得意先コード</t>
    <rPh sb="0" eb="3">
      <t>トクイサキ</t>
    </rPh>
    <phoneticPr fontId="56"/>
  </si>
  <si>
    <t>サイズ</t>
    <phoneticPr fontId="56"/>
  </si>
  <si>
    <t>102 KB</t>
    <phoneticPr fontId="56"/>
  </si>
  <si>
    <t>得意先</t>
    <rPh sb="0" eb="3">
      <t>トクイサキ</t>
    </rPh>
    <phoneticPr fontId="60"/>
  </si>
  <si>
    <t>　</t>
    <phoneticPr fontId="56"/>
  </si>
  <si>
    <t>クリア</t>
    <phoneticPr fontId="56"/>
  </si>
  <si>
    <t>ファイル001.xlsx</t>
    <phoneticPr fontId="56"/>
  </si>
  <si>
    <t>CD-1234567</t>
    <phoneticPr fontId="56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</si>
  <si>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6"/>
  </si>
  <si>
    <t>過去の申請から内容コピー</t>
    <rPh sb="0" eb="2">
      <t>カコ</t>
    </rPh>
    <rPh sb="3" eb="5">
      <t>シンセイ</t>
    </rPh>
    <rPh sb="7" eb="9">
      <t>ナイヨウ</t>
    </rPh>
    <phoneticPr fontId="56"/>
  </si>
  <si>
    <t>起票日</t>
    <rPh sb="0" eb="3">
      <t>キヒョウビ</t>
    </rPh>
    <phoneticPr fontId="56"/>
  </si>
  <si>
    <t>所属</t>
    <rPh sb="0" eb="2">
      <t>ショゾク</t>
    </rPh>
    <phoneticPr fontId="56"/>
  </si>
  <si>
    <t>社員番号</t>
    <rPh sb="0" eb="2">
      <t>シャイン</t>
    </rPh>
    <rPh sb="2" eb="4">
      <t>バンゴウ</t>
    </rPh>
    <phoneticPr fontId="56"/>
  </si>
  <si>
    <t>2022/09/29</t>
    <phoneticPr fontId="56"/>
  </si>
  <si>
    <t>：</t>
    <phoneticPr fontId="56"/>
  </si>
  <si>
    <t>ヒロセ電機株式会社/管理本部/ＩＴ統括部/情報システム企画課</t>
    <phoneticPr fontId="56"/>
  </si>
  <si>
    <t>hirose</t>
    <phoneticPr fontId="56"/>
  </si>
  <si>
    <t>氏名　：</t>
    <rPh sb="0" eb="2">
      <t>シメイ</t>
    </rPh>
    <phoneticPr fontId="56"/>
  </si>
  <si>
    <t>システム担当者</t>
    <rPh sb="4" eb="7">
      <t>タントウシャ</t>
    </rPh>
    <phoneticPr fontId="56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</si>
  <si>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</si>
  <si>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6"/>
  </si>
  <si>
    <t>客先担当者名</t>
    <rPh sb="0" eb="2">
      <t>キャクサキ</t>
    </rPh>
    <rPh sb="2" eb="6">
      <t>タントウシャメイ</t>
    </rPh>
    <phoneticPr fontId="56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</si>
  <si>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6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</si>
  <si>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6"/>
  </si>
  <si>
    <t>申請価格入力</t>
    <rPh sb="0" eb="2">
      <t>シンセイ</t>
    </rPh>
    <rPh sb="2" eb="4">
      <t>カカク</t>
    </rPh>
    <rPh sb="4" eb="6">
      <t>ニュウリョク</t>
    </rPh>
    <phoneticPr fontId="56"/>
  </si>
  <si>
    <t>CL</t>
    <phoneticPr fontId="60"/>
  </si>
  <si>
    <t>得意先要求価格</t>
    <rPh sb="0" eb="3">
      <t>トクイサキ</t>
    </rPh>
    <rPh sb="3" eb="5">
      <t>ヨウキュウ</t>
    </rPh>
    <rPh sb="5" eb="7">
      <t>カカク</t>
    </rPh>
    <phoneticPr fontId="60"/>
  </si>
  <si>
    <t>申請価格</t>
    <rPh sb="0" eb="2">
      <t>シンセイ</t>
    </rPh>
    <rPh sb="2" eb="4">
      <t>カカク</t>
    </rPh>
    <phoneticPr fontId="60"/>
  </si>
  <si>
    <t>原計タイプ</t>
    <rPh sb="0" eb="2">
      <t>ゲンケイ</t>
    </rPh>
    <phoneticPr fontId="60"/>
  </si>
  <si>
    <t>従来価格</t>
    <rPh sb="0" eb="2">
      <t>ジュウライ</t>
    </rPh>
    <rPh sb="2" eb="4">
      <t>カカク</t>
    </rPh>
    <phoneticPr fontId="60"/>
  </si>
  <si>
    <t>備考</t>
    <rPh sb="0" eb="2">
      <t>ビコウ</t>
    </rPh>
    <phoneticPr fontId="60"/>
  </si>
  <si>
    <t>2022/9/29</t>
    <phoneticPr fontId="56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</si>
  <si>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6"/>
  </si>
  <si>
    <t>通貨：JPY</t>
    <rPh sb="0" eb="2">
      <t>ツウカ</t>
    </rPh>
    <phoneticPr fontId="56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</si>
  <si>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6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</si>
  <si>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0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</si>
  <si>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0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</si>
  <si>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0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</si>
  <si>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6"/>
  </si>
  <si>
    <t>承認者確認用</t>
    <rPh sb="0" eb="3">
      <t>ショウニンシャ</t>
    </rPh>
    <rPh sb="3" eb="6">
      <t>カクニンヨウ</t>
    </rPh>
    <phoneticPr fontId="56"/>
  </si>
  <si>
    <t>数量pcs/月</t>
    <rPh sb="0" eb="2">
      <t>スウリョウ</t>
    </rPh>
    <rPh sb="6" eb="7">
      <t>ツキ</t>
    </rPh>
    <phoneticPr fontId="60"/>
  </si>
  <si>
    <t>コスト</t>
    <phoneticPr fontId="60"/>
  </si>
  <si>
    <t>貢献率</t>
    <rPh sb="0" eb="2">
      <t>コウケン</t>
    </rPh>
    <rPh sb="2" eb="3">
      <t>リツ</t>
    </rPh>
    <phoneticPr fontId="56"/>
  </si>
  <si>
    <t>値引き率</t>
    <rPh sb="0" eb="2">
      <t>ネビ</t>
    </rPh>
    <rPh sb="3" eb="4">
      <t>リツ</t>
    </rPh>
    <phoneticPr fontId="60"/>
  </si>
  <si>
    <t>代理店売価</t>
    <rPh sb="0" eb="3">
      <t>ダイリテン</t>
    </rPh>
    <rPh sb="3" eb="5">
      <t>バイカ</t>
    </rPh>
    <phoneticPr fontId="60"/>
  </si>
  <si>
    <t>代理店粗利率</t>
    <rPh sb="0" eb="3">
      <t>ダイリテン</t>
    </rPh>
    <rPh sb="3" eb="6">
      <t>アラリリツ</t>
    </rPh>
    <phoneticPr fontId="60"/>
  </si>
  <si>
    <t>ピン@</t>
    <phoneticPr fontId="60"/>
  </si>
  <si>
    <t>競合名</t>
    <rPh sb="0" eb="3">
      <t>キョウゴウメイ</t>
    </rPh>
    <phoneticPr fontId="60"/>
  </si>
  <si>
    <t>得意先要求</t>
    <rPh sb="0" eb="3">
      <t>トクイサキ</t>
    </rPh>
    <rPh sb="3" eb="5">
      <t>ヨウキュウ</t>
    </rPh>
    <phoneticPr fontId="60"/>
  </si>
  <si>
    <t>価格</t>
    <rPh sb="0" eb="1">
      <t>カカク</t>
    </rPh>
    <phoneticPr fontId="56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</si>
  <si>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0"/>
  </si>
  <si>
    <t>1130511471</t>
    <phoneticPr fontId="56"/>
  </si>
  <si>
    <t>RP17-13RA-12SD(71)</t>
    <phoneticPr fontId="56"/>
  </si>
  <si>
    <t>R</t>
    <phoneticPr fontId="56"/>
  </si>
  <si>
    <t>PPM原計</t>
    <rPh sb="2" eb="4">
      <t>ゲンケイ</t>
    </rPh>
    <phoneticPr fontId="56"/>
  </si>
  <si>
    <t>1135042200</t>
    <phoneticPr fontId="56"/>
  </si>
  <si>
    <t>RP34-8R-3PDL</t>
    <phoneticPr fontId="56"/>
  </si>
  <si>
    <t>SMK</t>
    <phoneticPr fontId="56"/>
  </si>
  <si>
    <t>中国</t>
    <rPh sb="0" eb="1">
      <t>チュウゴク</t>
    </rPh>
    <phoneticPr fontId="56"/>
  </si>
  <si>
    <t>売上</t>
    <rPh sb="0" eb="2">
      <t>ウリアゲ</t>
    </rPh>
    <phoneticPr fontId="60"/>
  </si>
  <si>
    <t>貢献額</t>
    <rPh sb="0" eb="2">
      <t>コウケン</t>
    </rPh>
    <rPh sb="2" eb="3">
      <t>ガク</t>
    </rPh>
    <phoneticPr fontId="60"/>
  </si>
  <si>
    <t>値引き額</t>
    <rPh sb="0" eb="2">
      <t>ネビ</t>
    </rPh>
    <rPh sb="3" eb="4">
      <t>ガク</t>
    </rPh>
    <phoneticPr fontId="60"/>
  </si>
  <si>
    <t>値引き前売上</t>
    <rPh sb="0" eb="2">
      <t>ネビ</t>
    </rPh>
    <rPh sb="3" eb="4">
      <t>マエ</t>
    </rPh>
    <rPh sb="4" eb="6">
      <t>ウリアゲ</t>
    </rPh>
    <phoneticPr fontId="60"/>
  </si>
  <si>
    <t>売上</t>
    <rPh sb="0" eb="2">
      <t>ウリアゲ</t>
    </rPh>
    <phoneticPr fontId="56"/>
  </si>
  <si>
    <t>申請内容</t>
    <rPh sb="0" eb="2">
      <t>シンセイ</t>
    </rPh>
    <rPh sb="2" eb="4">
      <t>ナイヨウ</t>
    </rPh>
    <phoneticPr fontId="56"/>
  </si>
  <si>
    <t>起票区分</t>
    <rPh sb="0" eb="2">
      <t>キヒョウ</t>
    </rPh>
    <rPh sb="2" eb="4">
      <t>クブン</t>
    </rPh>
    <phoneticPr fontId="56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</si>
  <si>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0"/>
  </si>
  <si>
    <t>口銭率</t>
    <rPh sb="0" eb="2">
      <t>コウセン</t>
    </rPh>
    <rPh sb="2" eb="3">
      <t>リツ</t>
    </rPh>
    <phoneticPr fontId="56"/>
  </si>
  <si>
    <t>☑ 口銭申請有り</t>
    <rPh sb="2" eb="4">
      <t>コウセン</t>
    </rPh>
    <rPh sb="4" eb="6">
      <t>シンセイ</t>
    </rPh>
    <rPh sb="6" eb="7">
      <t>アリ</t>
    </rPh>
    <phoneticPr fontId="56"/>
  </si>
  <si>
    <t>プロジェクト情報</t>
    <rPh sb="6" eb="8">
      <t>ジョウホウ</t>
    </rPh>
    <phoneticPr fontId="56"/>
  </si>
  <si>
    <t>工事金額</t>
    <rPh sb="0" eb="4">
      <t>コウジキンガク</t>
    </rPh>
    <phoneticPr fontId="56"/>
  </si>
  <si>
    <t>万円/月</t>
    <rPh sb="0" eb="2">
      <t>マンエン</t>
    </rPh>
    <rPh sb="3" eb="4">
      <t>ツキ</t>
    </rPh>
    <phoneticPr fontId="56"/>
  </si>
  <si>
    <t>MFC PJ番号</t>
    <rPh sb="6" eb="8">
      <t>バンゴウ</t>
    </rPh>
    <phoneticPr fontId="56"/>
  </si>
  <si>
    <t>ヵ月</t>
    <rPh sb="1" eb="2">
      <t>ゲツ</t>
    </rPh>
    <phoneticPr fontId="56"/>
  </si>
  <si>
    <t>総工事金額</t>
    <rPh sb="0" eb="5">
      <t>ソウコウジキンガク</t>
    </rPh>
    <phoneticPr fontId="56"/>
  </si>
  <si>
    <t>万円</t>
    <rPh sb="0" eb="2">
      <t>マンエン</t>
    </rPh>
    <phoneticPr fontId="56"/>
  </si>
  <si>
    <t>MFC OPPORTUNITY番号</t>
    <rPh sb="15" eb="17">
      <t>バンゴウ</t>
    </rPh>
    <phoneticPr fontId="56"/>
  </si>
  <si>
    <t>機種A</t>
    <rPh sb="0" eb="2">
      <t>キシュ</t>
    </rPh>
    <phoneticPr fontId="56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</si>
  <si>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6"/>
  </si>
  <si>
    <t>競合名</t>
    <rPh sb="0" eb="3">
      <t>キョウゴウメイ</t>
    </rPh>
    <phoneticPr fontId="56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</si>
  <si>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6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</si>
  <si>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6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</si>
  <si>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6"/>
  </si>
  <si>
    <t>大分類A</t>
    <rPh sb="0" eb="3">
      <t>ダイブンルイ</t>
    </rPh>
    <phoneticPr fontId="56"/>
  </si>
  <si>
    <t>中分類B</t>
    <rPh sb="0" eb="3">
      <t>チュウブンルイ</t>
    </rPh>
    <phoneticPr fontId="56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</si>
  <si>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6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</si>
  <si>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6"/>
  </si>
  <si>
    <t>値引補填工事</t>
    <rPh sb="0" eb="2">
      <t>ネビ</t>
    </rPh>
    <rPh sb="2" eb="4">
      <t>ホテン</t>
    </rPh>
    <rPh sb="4" eb="6">
      <t>コウジ</t>
    </rPh>
    <phoneticPr fontId="56"/>
  </si>
  <si>
    <t>備考欄</t>
    <rPh sb="0" eb="3">
      <t>ビコウラン</t>
    </rPh>
    <phoneticPr fontId="56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</si>
  <si>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6"/>
  </si>
  <si>
    <t>/月</t>
    <rPh sb="1" eb="2">
      <t>ゲツ</t>
    </rPh>
    <phoneticPr fontId="56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</si>
  <si>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6"/>
  </si>
  <si>
    <t>添付書類</t>
    <rPh sb="0" eb="2">
      <t>テンプ</t>
    </rPh>
    <rPh sb="2" eb="4">
      <t>ショルイ</t>
    </rPh>
    <phoneticPr fontId="56"/>
  </si>
  <si>
    <t>一般品</t>
    <rPh sb="0" eb="3">
      <t>イッパンヒン</t>
    </rPh>
    <phoneticPr fontId="56"/>
  </si>
  <si>
    <t>円販売</t>
    <rPh sb="0" eb="3">
      <t>エンハンバイ</t>
    </rPh>
    <phoneticPr fontId="56"/>
  </si>
  <si>
    <t>外貨販売</t>
    <rPh sb="0" eb="2">
      <t>ガイカ</t>
    </rPh>
    <rPh sb="2" eb="4">
      <t>ハンバイ</t>
    </rPh>
    <phoneticPr fontId="56"/>
  </si>
  <si>
    <t>1250103874</t>
    <phoneticPr fontId="56"/>
  </si>
  <si>
    <t>1250109471</t>
    <phoneticPr fontId="56"/>
  </si>
  <si>
    <t>HR25-9TP-16P(74)</t>
    <phoneticPr fontId="56"/>
  </si>
  <si>
    <t>HR25-9TR-16S(71)</t>
    <phoneticPr fontId="56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</si>
  <si>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6"/>
  </si>
  <si>
    <t>サンウー</t>
    <phoneticPr fontId="56"/>
  </si>
  <si>
    <t>総原価利益率</t>
    <rPh sb="0" eb="3">
      <t>ソウゲンカ</t>
    </rPh>
    <rPh sb="3" eb="6">
      <t>リエキリツ</t>
    </rPh>
    <phoneticPr fontId="56"/>
  </si>
  <si>
    <t>総原価利益額</t>
    <rPh sb="0" eb="3">
      <t>ソウゲンカ</t>
    </rPh>
    <rPh sb="3" eb="5">
      <t>リエキ</t>
    </rPh>
    <rPh sb="5" eb="6">
      <t>ガク</t>
    </rPh>
    <phoneticPr fontId="60"/>
  </si>
  <si>
    <t>総原価利益率</t>
    <rPh sb="0" eb="3">
      <t>ソウゲンカ</t>
    </rPh>
    <rPh sb="3" eb="5">
      <t>リエキ</t>
    </rPh>
    <rPh sb="5" eb="6">
      <t>リツ</t>
    </rPh>
    <phoneticPr fontId="56"/>
  </si>
  <si>
    <t>技術原計</t>
    <rPh sb="0" eb="2">
      <t>ギジュツ</t>
    </rPh>
    <rPh sb="2" eb="4">
      <t>ゲンケイ</t>
    </rPh>
    <phoneticPr fontId="56"/>
  </si>
  <si>
    <t>総原価合計</t>
    <rPh sb="0" eb="3">
      <t>ソウゲンカ</t>
    </rPh>
    <rPh sb="3" eb="5">
      <t>ゴウケイ</t>
    </rPh>
    <phoneticPr fontId="60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</si>
  <si>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6"/>
  </si>
  <si>
    <t>コリア術原計</t>
    <rPh sb="2" eb="3">
      <t>ジュツ</t>
    </rPh>
    <rPh sb="3" eb="5">
      <t>ゲンケイ</t>
    </rPh>
    <phoneticPr fontId="56"/>
  </si>
  <si>
    <t>USD</t>
    <phoneticPr fontId="56"/>
  </si>
  <si>
    <t>コリア原計</t>
    <rPh sb="2" eb="4">
      <t>ゲンケイ</t>
    </rPh>
    <phoneticPr fontId="56"/>
  </si>
  <si>
    <t>純原価</t>
    <rPh sb="0" eb="1">
      <t>ジュン</t>
    </rPh>
    <rPh sb="1" eb="3">
      <t>ゲンカ</t>
    </rPh>
    <phoneticPr fontId="60"/>
  </si>
  <si>
    <t>申請通貨</t>
    <rPh sb="0" eb="2">
      <t>シンセイ</t>
    </rPh>
    <rPh sb="2" eb="4">
      <t>ツウカ</t>
    </rPh>
    <phoneticPr fontId="60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</si>
  <si>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0"/>
  </si>
  <si>
    <t>物流コスト率%</t>
    <rPh sb="0" eb="2">
      <t>ブツリュウ</t>
    </rPh>
    <rPh sb="5" eb="6">
      <t>リツ</t>
    </rPh>
    <phoneticPr fontId="60"/>
  </si>
  <si>
    <t>販社売価</t>
    <rPh sb="0" eb="2">
      <t>ハンシャ</t>
    </rPh>
    <rPh sb="2" eb="4">
      <t>バイカ</t>
    </rPh>
    <phoneticPr fontId="56"/>
  </si>
  <si>
    <t>(外貨)</t>
    <rPh sb="0" eb="2">
      <t>ガイカ</t>
    </rPh>
    <phoneticPr fontId="56"/>
  </si>
  <si>
    <t>ピン@FOB</t>
    <phoneticPr fontId="60"/>
  </si>
  <si>
    <t>価格基準</t>
    <rPh sb="0" eb="1">
      <t>カカク</t>
    </rPh>
    <rPh sb="2" eb="4">
      <t>キジュン</t>
    </rPh>
    <phoneticPr fontId="56"/>
  </si>
  <si>
    <t>4800215830</t>
    <phoneticPr fontId="56"/>
  </si>
  <si>
    <t>TF38-20S-0.5SV(830)</t>
    <phoneticPr fontId="56"/>
  </si>
  <si>
    <t>KFH</t>
    <phoneticPr fontId="56"/>
  </si>
  <si>
    <t>総連結利益率</t>
    <rPh sb="0" eb="3">
      <t>ソウレンケツ</t>
    </rPh>
    <rPh sb="3" eb="6">
      <t>リエキリツ</t>
    </rPh>
    <phoneticPr fontId="56"/>
  </si>
  <si>
    <t>FOB価格</t>
    <rPh sb="3" eb="5">
      <t>カカク</t>
    </rPh>
    <phoneticPr fontId="60"/>
  </si>
  <si>
    <t>連結粗利額</t>
    <rPh sb="0" eb="1">
      <t>レンケツ</t>
    </rPh>
    <rPh sb="1" eb="3">
      <t>アラリ</t>
    </rPh>
    <rPh sb="3" eb="4">
      <t>ガク</t>
    </rPh>
    <phoneticPr fontId="56"/>
  </si>
  <si>
    <t>連結粗利率</t>
    <rPh sb="0" eb="1">
      <t>レンケツ</t>
    </rPh>
    <rPh sb="1" eb="3">
      <t>アラリ</t>
    </rPh>
    <rPh sb="3" eb="4">
      <t>リツ</t>
    </rPh>
    <phoneticPr fontId="56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</si>
  <si>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6"/>
  </si>
  <si>
    <t>販売単価上申書</t>
    <rPh sb="0" eb="2">
      <t>ハンバイ</t>
    </rPh>
    <rPh sb="2" eb="4">
      <t>タンカ</t>
    </rPh>
    <rPh sb="4" eb="7">
      <t>ジョウシンショ</t>
    </rPh>
    <phoneticPr fontId="56"/>
  </si>
  <si>
    <t>Step ２： 一般品またはカスタムのいずれかを選択してください</t>
    <rPh sb="8" eb="11">
      <t>イッパンヒン</t>
    </rPh>
    <rPh sb="24" eb="26">
      <t>センタク</t>
    </rPh>
    <phoneticPr fontId="56"/>
  </si>
  <si>
    <t>カスタム</t>
    <phoneticPr fontId="56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</si>
  <si>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6"/>
  </si>
  <si>
    <t>◎ 単価上申書</t>
    <rPh sb="2" eb="4">
      <t>タンカ</t>
    </rPh>
    <rPh sb="4" eb="6">
      <t>ジョウシン</t>
    </rPh>
    <rPh sb="6" eb="7">
      <t>ショ</t>
    </rPh>
    <phoneticPr fontId="56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</si>
  <si>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6"/>
  </si>
  <si>
    <t>カスタム品申請情報</t>
    <rPh sb="4" eb="5">
      <t>ヒン</t>
    </rPh>
    <rPh sb="5" eb="7">
      <t>シンセイ</t>
    </rPh>
    <rPh sb="7" eb="9">
      <t>ジョウホウ</t>
    </rPh>
    <phoneticPr fontId="56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</si>
  <si>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6"/>
  </si>
  <si>
    <t>金型</t>
    <rPh sb="0" eb="2">
      <t>カナガタ</t>
    </rPh>
    <phoneticPr fontId="56"/>
  </si>
  <si>
    <t>有償or無償</t>
    <rPh sb="0" eb="2">
      <t>ユウショウ</t>
    </rPh>
    <rPh sb="4" eb="6">
      <t>ムショウ</t>
    </rPh>
    <phoneticPr fontId="60"/>
  </si>
  <si>
    <t>個品名称</t>
    <rPh sb="0" eb="1">
      <t>コヒン</t>
    </rPh>
    <rPh sb="1" eb="3">
      <t>メイショウ</t>
    </rPh>
    <phoneticPr fontId="56"/>
  </si>
  <si>
    <t>個品実費価格</t>
    <rPh sb="0" eb="2">
      <t>コヒン</t>
    </rPh>
    <rPh sb="2" eb="4">
      <t>ジッピ</t>
    </rPh>
    <rPh sb="4" eb="6">
      <t>カカク</t>
    </rPh>
    <phoneticPr fontId="60"/>
  </si>
  <si>
    <t>個品販売価格</t>
    <rPh sb="0" eb="2">
      <t>コヒン</t>
    </rPh>
    <rPh sb="2" eb="4">
      <t>ハンバイ</t>
    </rPh>
    <rPh sb="4" eb="6">
      <t>カカク</t>
    </rPh>
    <phoneticPr fontId="60"/>
  </si>
  <si>
    <t>倍率</t>
    <rPh sb="0" eb="2">
      <t>バイリツ</t>
    </rPh>
    <phoneticPr fontId="60"/>
  </si>
  <si>
    <t>有償</t>
    <rPh sb="0" eb="1">
      <t>ユウショウ</t>
    </rPh>
    <phoneticPr fontId="56"/>
  </si>
  <si>
    <t>治工具</t>
    <rPh sb="0" eb="3">
      <t>チコウグ</t>
    </rPh>
    <phoneticPr fontId="56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</si>
  <si>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0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</si>
  <si>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6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</si>
  <si>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0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</si>
  <si>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0"/>
  </si>
  <si>
    <t>治工具名称</t>
    <phoneticPr fontId="56"/>
  </si>
  <si>
    <t>治工具実費価格</t>
    <rPh sb="3" eb="5">
      <t>ジッピ</t>
    </rPh>
    <rPh sb="5" eb="7">
      <t>カカク</t>
    </rPh>
    <phoneticPr fontId="60"/>
  </si>
  <si>
    <t>治工具販売価格</t>
    <rPh sb="3" eb="5">
      <t>ハンバイ</t>
    </rPh>
    <rPh sb="5" eb="7">
      <t>カカク</t>
    </rPh>
    <phoneticPr fontId="60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</si>
  <si>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</si>
  <si>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0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</si>
  <si>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0"/>
  </si>
  <si>
    <t>個品A</t>
    <rPh sb="0" eb="1">
      <t>コヒン</t>
    </rPh>
    <phoneticPr fontId="56"/>
  </si>
  <si>
    <t>償却数量</t>
    <rPh sb="0" eb="2">
      <t>ショウキャク</t>
    </rPh>
    <rPh sb="2" eb="4">
      <t>スウリョウ</t>
    </rPh>
    <phoneticPr fontId="56"/>
  </si>
  <si>
    <t>一個当たりの償却金額</t>
    <rPh sb="0" eb="3">
      <t>イッコア</t>
    </rPh>
    <rPh sb="6" eb="8">
      <t>ショウキャク</t>
    </rPh>
    <rPh sb="8" eb="10">
      <t>キンガク</t>
    </rPh>
    <phoneticPr fontId="56"/>
  </si>
  <si>
    <t>未償却リスク</t>
    <rPh sb="0" eb="1">
      <t>ミ</t>
    </rPh>
    <rPh sb="1" eb="3">
      <t>ショウキャク</t>
    </rPh>
    <phoneticPr fontId="56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</si>
  <si>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6"/>
  </si>
  <si>
    <t>物流コスト率</t>
    <rPh sb="0" eb="2">
      <t>ブツリュウ</t>
    </rPh>
    <rPh sb="5" eb="6">
      <t>リツ</t>
    </rPh>
    <phoneticPr fontId="60"/>
  </si>
  <si>
    <t>(%)</t>
    <phoneticPr fontId="56"/>
  </si>
  <si>
    <t>販社売価</t>
    <rPh sb="0" eb="2">
      <t>ハンシャ</t>
    </rPh>
    <rPh sb="2" eb="4">
      <t>バイカ</t>
    </rPh>
    <phoneticPr fontId="60"/>
  </si>
  <si>
    <t>要求価格</t>
    <rPh sb="0" eb="1">
      <t>ヨウキュウ</t>
    </rPh>
    <rPh sb="1" eb="3">
      <t>カカク</t>
    </rPh>
    <phoneticPr fontId="56"/>
  </si>
  <si>
    <t>価格基準</t>
    <rPh sb="0" eb="1">
      <t>カカク</t>
    </rPh>
    <rPh sb="1" eb="3">
      <t>キジュン</t>
    </rPh>
    <phoneticPr fontId="56"/>
  </si>
  <si>
    <t>5802922450</t>
    <phoneticPr fontId="56"/>
  </si>
  <si>
    <t>5801232050</t>
    <phoneticPr fontId="56"/>
  </si>
  <si>
    <t>FH35C-21S-0.3SHW(50)</t>
    <phoneticPr fontId="56"/>
  </si>
  <si>
    <t>FH34SRJ-30S-0.5SH(50)</t>
    <phoneticPr fontId="56"/>
  </si>
  <si>
    <t>FH</t>
    <phoneticPr fontId="56"/>
  </si>
  <si>
    <t>JPY</t>
    <phoneticPr fontId="56"/>
  </si>
  <si>
    <t>JAE</t>
    <phoneticPr fontId="56"/>
  </si>
  <si>
    <t>TE</t>
    <phoneticPr fontId="56"/>
  </si>
  <si>
    <t>従来FOB価格</t>
    <rPh sb="0" eb="2">
      <t>ジュウライ</t>
    </rPh>
    <rPh sb="5" eb="7">
      <t>カカク</t>
    </rPh>
    <phoneticPr fontId="60"/>
  </si>
  <si>
    <t>CIF価格</t>
    <rPh sb="3" eb="5">
      <t>カカク</t>
    </rPh>
    <phoneticPr fontId="60"/>
  </si>
  <si>
    <t>国内収益性</t>
    <rPh sb="0" eb="2">
      <t>コクナイ</t>
    </rPh>
    <rPh sb="2" eb="5">
      <t>シュウエキセイ</t>
    </rPh>
    <phoneticPr fontId="56"/>
  </si>
  <si>
    <t>FOB値引き率</t>
    <rPh sb="3" eb="5">
      <t>ネビ</t>
    </rPh>
    <rPh sb="6" eb="7">
      <t>リツ</t>
    </rPh>
    <phoneticPr fontId="60"/>
  </si>
  <si>
    <t>販社粗利率</t>
    <rPh sb="0" eb="2">
      <t>ハンシャ</t>
    </rPh>
    <rPh sb="2" eb="5">
      <t>アラリリツ</t>
    </rPh>
    <phoneticPr fontId="60"/>
  </si>
  <si>
    <t>連結収益性</t>
    <rPh sb="0" eb="2">
      <t>レンケツ</t>
    </rPh>
    <rPh sb="2" eb="5">
      <t>シュウエキセイ</t>
    </rPh>
    <phoneticPr fontId="60"/>
  </si>
  <si>
    <t>売上(国内)</t>
    <rPh sb="0" eb="2">
      <t>ウリアゲ</t>
    </rPh>
    <rPh sb="3" eb="5">
      <t>コクナイ</t>
    </rPh>
    <phoneticPr fontId="56"/>
  </si>
  <si>
    <t>直接コスト合計</t>
    <rPh sb="0" eb="2">
      <t>チョクセツ</t>
    </rPh>
    <rPh sb="5" eb="7">
      <t>ゴウケイ</t>
    </rPh>
    <phoneticPr fontId="60"/>
  </si>
  <si>
    <t>貢献額</t>
    <rPh sb="0" eb="3">
      <t>コウケンガク</t>
    </rPh>
    <phoneticPr fontId="60"/>
  </si>
  <si>
    <t>国内収益性</t>
    <rPh sb="0" eb="2">
      <t>コクナイ</t>
    </rPh>
    <rPh sb="2" eb="5">
      <t>シュウエキセイ</t>
    </rPh>
    <phoneticPr fontId="60"/>
  </si>
  <si>
    <t>値引き率(FOB)</t>
    <rPh sb="0" eb="2">
      <t>ネビ</t>
    </rPh>
    <rPh sb="3" eb="4">
      <t>リツ</t>
    </rPh>
    <phoneticPr fontId="56"/>
  </si>
  <si>
    <t>値引き額(FOB)</t>
    <rPh sb="0" eb="2">
      <t>ネビ</t>
    </rPh>
    <rPh sb="3" eb="4">
      <t>ガク</t>
    </rPh>
    <phoneticPr fontId="56"/>
  </si>
  <si>
    <t>売上(連結)</t>
    <rPh sb="0" eb="1">
      <t>ウリアゲ</t>
    </rPh>
    <rPh sb="2" eb="4">
      <t>レンケツ</t>
    </rPh>
    <phoneticPr fontId="56"/>
  </si>
  <si>
    <t>連結収益性</t>
    <rPh sb="0" eb="1">
      <t>レンケツ</t>
    </rPh>
    <rPh sb="1" eb="4">
      <t>シュウエキセイ</t>
    </rPh>
    <phoneticPr fontId="56"/>
  </si>
  <si>
    <t>総原価</t>
    <rPh sb="0" eb="3">
      <t>ソウゲンカ</t>
    </rPh>
    <phoneticPr fontId="60"/>
  </si>
  <si>
    <t>8311308000</t>
    <phoneticPr fontId="56"/>
  </si>
  <si>
    <t>8311309000</t>
    <phoneticPr fontId="56"/>
  </si>
  <si>
    <t>BF4MC-(375161-01)</t>
    <phoneticPr fontId="56"/>
  </si>
  <si>
    <t>BF4MC-(375168-01)</t>
    <phoneticPr fontId="56"/>
  </si>
  <si>
    <t>OPT</t>
    <phoneticPr fontId="56"/>
  </si>
  <si>
    <t>総原価利益率</t>
    <rPh sb="0" eb="3">
      <t>ソウゲンカ</t>
    </rPh>
    <rPh sb="3" eb="6">
      <t>リエキリツ</t>
    </rPh>
    <phoneticPr fontId="60"/>
  </si>
  <si>
    <t>(国内)</t>
    <phoneticPr fontId="56"/>
  </si>
  <si>
    <t>(粗利)</t>
    <rPh sb="0" eb="2">
      <t>アラリ</t>
    </rPh>
    <phoneticPr fontId="56"/>
  </si>
  <si>
    <t>(国内)</t>
    <rPh sb="1" eb="3">
      <t>コクナイ</t>
    </rPh>
    <phoneticPr fontId="56"/>
  </si>
  <si>
    <t>純原価合計</t>
    <rPh sb="0" eb="1">
      <t>ジュン</t>
    </rPh>
    <rPh sb="1" eb="3">
      <t>ゲンカ</t>
    </rPh>
    <rPh sb="3" eb="5">
      <t>ゴウケイ</t>
    </rPh>
    <phoneticPr fontId="60"/>
  </si>
  <si>
    <t>連結粗利額</t>
    <rPh sb="0" eb="2">
      <t>レンケツ</t>
    </rPh>
    <rPh sb="2" eb="5">
      <t>アラリガク</t>
    </rPh>
    <phoneticPr fontId="60"/>
  </si>
  <si>
    <t>連結粗利率</t>
    <rPh sb="0" eb="2">
      <t>レンケツ</t>
    </rPh>
    <rPh sb="2" eb="5">
      <t>アラリリツ</t>
    </rPh>
    <phoneticPr fontId="60"/>
  </si>
  <si>
    <t>値引き率</t>
    <rPh sb="0" eb="2">
      <t>ネビ</t>
    </rPh>
    <rPh sb="3" eb="4">
      <t>リツ</t>
    </rPh>
    <phoneticPr fontId="56"/>
  </si>
  <si>
    <t>値引き額</t>
    <rPh sb="0" eb="2">
      <t>ネビ</t>
    </rPh>
    <rPh sb="3" eb="4">
      <t>ガク</t>
    </rPh>
    <phoneticPr fontId="56"/>
  </si>
  <si>
    <t>売上(連結)</t>
    <rPh sb="0" eb="2">
      <t>ウリアゲ</t>
    </rPh>
    <rPh sb="3" eb="5">
      <t>レンケツ</t>
    </rPh>
    <phoneticPr fontId="56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</si>
  <si>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6"/>
  </si>
  <si>
    <t>10347008</t>
    <phoneticPr fontId="56"/>
  </si>
  <si>
    <t>関　博一</t>
    <phoneticPr fontId="56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</si>
  <si>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6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</si>
  <si>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6"/>
  </si>
  <si>
    <t>10637000</t>
    <phoneticPr fontId="56"/>
  </si>
  <si>
    <t>古川　福待</t>
    <phoneticPr fontId="56"/>
  </si>
  <si>
    <t>承認者設定</t>
    <rPh sb="0" eb="3">
      <t>ショウニンシャ</t>
    </rPh>
    <rPh sb="3" eb="5">
      <t>セッテイ</t>
    </rPh>
    <phoneticPr fontId="56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</si>
  <si>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6"/>
  </si>
  <si>
    <t>確認者設定</t>
    <rPh sb="0" eb="3">
      <t>カクニンシャ</t>
    </rPh>
    <rPh sb="3" eb="5">
      <t>セッテイ</t>
    </rPh>
    <phoneticPr fontId="56"/>
  </si>
  <si>
    <t>確認者一覧</t>
    <rPh sb="0" eb="3">
      <t>カクニンシャ</t>
    </rPh>
    <rPh sb="3" eb="5">
      <t>イチラン</t>
    </rPh>
    <phoneticPr fontId="56"/>
  </si>
  <si>
    <t>部門</t>
    <rPh sb="0" eb="2">
      <t>ブモン</t>
    </rPh>
    <phoneticPr fontId="56"/>
  </si>
  <si>
    <t>確認者名</t>
    <rPh sb="0" eb="4">
      <t>カクニンシャメイ</t>
    </rPh>
    <phoneticPr fontId="56"/>
  </si>
  <si>
    <t>ヒロセ電機株式会社/管理本部/ＩＴ統括部</t>
    <phoneticPr fontId="56"/>
  </si>
  <si>
    <t>部長</t>
    <rPh sb="0" eb="2">
      <t>ブチョウ</t>
    </rPh>
    <phoneticPr fontId="56"/>
  </si>
  <si>
    <t>志村 亜里沙</t>
    <rPh sb="0" eb="1">
      <t>シムラ</t>
    </rPh>
    <rPh sb="2" eb="5">
      <t>アリサ</t>
    </rPh>
    <phoneticPr fontId="56"/>
  </si>
  <si>
    <t>出水 瞳</t>
    <rPh sb="0" eb="1">
      <t>デミズ</t>
    </rPh>
    <rPh sb="2" eb="3">
      <t>ヒトミ</t>
    </rPh>
    <phoneticPr fontId="56"/>
  </si>
  <si>
    <t>松澤 朱海</t>
    <rPh sb="0" eb="1">
      <t>マツザワ</t>
    </rPh>
    <rPh sb="2" eb="3">
      <t>シュ</t>
    </rPh>
    <rPh sb="3" eb="4">
      <t>ウミ</t>
    </rPh>
    <phoneticPr fontId="56"/>
  </si>
  <si>
    <t>ｒ1.0</t>
    <phoneticPr fontId="50"/>
  </si>
  <si>
    <t>コスト合計</t>
    <rPh sb="3" eb="5">
      <t>ゴウケイ</t>
    </rPh>
    <phoneticPr fontId="60"/>
  </si>
  <si>
    <t>形</t>
    <rPh sb="0" eb="1">
      <t>カタ</t>
    </rPh>
    <phoneticPr fontId="60"/>
  </si>
  <si>
    <t>無償</t>
    <rPh sb="0" eb="1">
      <t>ムショウ</t>
    </rPh>
    <phoneticPr fontId="56"/>
  </si>
  <si>
    <t>通貨</t>
    <rPh sb="0" eb="2">
      <t>ツウカ</t>
    </rPh>
    <phoneticPr fontId="60"/>
  </si>
  <si>
    <t>EUR</t>
    <phoneticPr fontId="56"/>
  </si>
  <si>
    <t>精算通貨</t>
    <rPh sb="0" eb="2">
      <t>セイサン</t>
    </rPh>
    <rPh sb="2" eb="4">
      <t>ツウカ</t>
    </rPh>
    <phoneticPr fontId="56"/>
  </si>
  <si>
    <t>SFDC工事番号</t>
    <rPh sb="4" eb="6">
      <t>コウジ</t>
    </rPh>
    <rPh sb="6" eb="8">
      <t>バンゴウ</t>
    </rPh>
    <phoneticPr fontId="56"/>
  </si>
  <si>
    <t>円/月</t>
    <rPh sb="0" eb="1">
      <t>エン</t>
    </rPh>
    <rPh sb="2" eb="3">
      <t>ツキ</t>
    </rPh>
    <phoneticPr fontId="56"/>
  </si>
  <si>
    <t>海外販社</t>
    <rPh sb="0" eb="2">
      <t>カイガイ</t>
    </rPh>
    <rPh sb="2" eb="4">
      <t>ハンシャ</t>
    </rPh>
    <phoneticPr fontId="56"/>
  </si>
  <si>
    <t>レップ社名</t>
    <rPh sb="3" eb="4">
      <t>シャ</t>
    </rPh>
    <rPh sb="4" eb="5">
      <t>メイ</t>
    </rPh>
    <phoneticPr fontId="56"/>
  </si>
  <si>
    <t>量産時期</t>
    <rPh sb="0" eb="2">
      <t>リョウサン</t>
    </rPh>
    <rPh sb="2" eb="4">
      <t>ジキ</t>
    </rPh>
    <phoneticPr fontId="56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</si>
  <si>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6"/>
  </si>
  <si>
    <t>生産セット台数</t>
    <rPh sb="0" eb="2">
      <t>セイサン</t>
    </rPh>
    <rPh sb="5" eb="7">
      <t>ダイスウ</t>
    </rPh>
    <phoneticPr fontId="56"/>
  </si>
  <si>
    <t>プロジェクトピーク金額</t>
    <rPh sb="9" eb="11">
      <t>キンガク</t>
    </rPh>
    <phoneticPr fontId="56"/>
  </si>
  <si>
    <t>大分類</t>
    <rPh sb="0" eb="3">
      <t>ダイブンルイ</t>
    </rPh>
    <phoneticPr fontId="56"/>
  </si>
  <si>
    <t>中分類</t>
    <rPh sb="0" eb="3">
      <t>チュウブンルイ</t>
    </rPh>
    <phoneticPr fontId="56"/>
  </si>
  <si>
    <t>技術原計</t>
    <rPh sb="0" eb="1">
      <t>ギジュツ</t>
    </rPh>
    <rPh sb="1" eb="3">
      <t>ゲンケイ</t>
    </rPh>
    <phoneticPr fontId="56"/>
  </si>
  <si>
    <t>レート</t>
    <phoneticPr fontId="56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</si>
  <si>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6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</si>
  <si>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0"/>
  </si>
  <si>
    <t>総合計</t>
    <rPh sb="0" eb="3">
      <t>ソウゴウケイ</t>
    </rPh>
    <phoneticPr fontId="56"/>
  </si>
  <si>
    <t>形</t>
    <rPh sb="0" eb="1">
      <t>カタ</t>
    </rPh>
    <phoneticPr fontId="56"/>
  </si>
  <si>
    <t>形小計</t>
    <rPh sb="0" eb="1">
      <t>カタ</t>
    </rPh>
    <rPh sb="1" eb="3">
      <t>ショウケイ</t>
    </rPh>
    <phoneticPr fontId="56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</si>
  <si>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</si>
  <si>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t>有</t>
    <rPh sb="0" eb="1">
      <t>ア</t>
    </rPh>
    <phoneticPr fontId="56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</si>
  <si>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</si>
  <si>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6"/>
  </si>
  <si>
    <t>SA-PR123456</t>
    <phoneticPr fontId="56"/>
  </si>
  <si>
    <t>案件番号：</t>
    <phoneticPr fontId="56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</si>
  <si>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6"/>
  </si>
  <si>
    <t>コメント</t>
    <phoneticPr fontId="56"/>
  </si>
  <si>
    <t>コメント入力</t>
    <rPh sb="3" eb="5">
      <t>ニュウリョク</t>
    </rPh>
    <phoneticPr fontId="56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</si>
  <si>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6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</si>
  <si>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0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</si>
  <si>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0"/>
  </si>
  <si>
    <t>表示通貨</t>
    <rPh sb="0" eb="1">
      <t>ヒョウジ</t>
    </rPh>
    <rPh sb="1" eb="3">
      <t>ツウカ</t>
    </rPh>
    <phoneticPr fontId="56"/>
  </si>
  <si>
    <t>表示通貨</t>
    <rPh sb="0" eb="2">
      <t>ヒョウジ</t>
    </rPh>
    <rPh sb="2" eb="4">
      <t>ツウカ</t>
    </rPh>
    <phoneticPr fontId="56"/>
  </si>
  <si>
    <t>表示通貨</t>
    <rPh sb="0" eb="4">
      <t>ヒョウジツウカ</t>
    </rPh>
    <phoneticPr fontId="56"/>
  </si>
  <si>
    <t>r.1.1</t>
    <phoneticPr fontId="56"/>
  </si>
  <si>
    <t>古竹</t>
    <rPh sb="0" eb="2">
      <t>フルタケ</t>
    </rPh>
    <phoneticPr fontId="50"/>
  </si>
  <si>
    <t>-</t>
    <phoneticPr fontId="56"/>
  </si>
  <si>
    <t>機能仕様</t>
    <rPh sb="0" eb="4">
      <t>キノウシヨウ</t>
    </rPh>
    <phoneticPr fontId="56"/>
  </si>
  <si>
    <t>製品名</t>
    <rPh sb="0" eb="3">
      <t>セイヒンメイ</t>
    </rPh>
    <phoneticPr fontId="60"/>
  </si>
  <si>
    <t>新製品区分</t>
    <rPh sb="0" eb="3">
      <t>シンセイヒン</t>
    </rPh>
    <rPh sb="3" eb="5">
      <t>クブン</t>
    </rPh>
    <phoneticPr fontId="60"/>
  </si>
  <si>
    <t>製品販売状況</t>
    <rPh sb="0" eb="2">
      <t>セイヒン</t>
    </rPh>
    <rPh sb="2" eb="4">
      <t>ハンバイ</t>
    </rPh>
    <rPh sb="4" eb="6">
      <t>ジョウキョウ</t>
    </rPh>
    <phoneticPr fontId="60"/>
  </si>
  <si>
    <t>PCN番号</t>
    <rPh sb="3" eb="5">
      <t>バンゴウ</t>
    </rPh>
    <phoneticPr fontId="60"/>
  </si>
  <si>
    <t>NameA</t>
    <phoneticPr fontId="60"/>
  </si>
  <si>
    <t>オリジナル</t>
    <phoneticPr fontId="60"/>
  </si>
  <si>
    <t>2024-01</t>
    <phoneticPr fontId="60"/>
  </si>
  <si>
    <t>YES</t>
    <phoneticPr fontId="60"/>
  </si>
  <si>
    <t>-</t>
    <phoneticPr fontId="60"/>
  </si>
  <si>
    <t>NameB</t>
    <phoneticPr fontId="60"/>
  </si>
  <si>
    <t>オリジナル(特定社)</t>
    <phoneticPr fontId="60"/>
  </si>
  <si>
    <t>2023-12</t>
    <phoneticPr fontId="60"/>
  </si>
  <si>
    <t>NameC</t>
    <phoneticPr fontId="60"/>
  </si>
  <si>
    <t>カスタム(他社販売可)</t>
    <phoneticPr fontId="60"/>
  </si>
  <si>
    <t>NameE</t>
    <phoneticPr fontId="60"/>
  </si>
  <si>
    <t>CL0123-4567-8-94</t>
    <phoneticPr fontId="60"/>
  </si>
  <si>
    <t>カスタム(他社販売不可)</t>
    <phoneticPr fontId="60"/>
  </si>
  <si>
    <t>販売品</t>
    <rPh sb="0" eb="2">
      <t>ハンバイ</t>
    </rPh>
    <rPh sb="2" eb="3">
      <t>ヒン</t>
    </rPh>
    <phoneticPr fontId="60"/>
  </si>
  <si>
    <t>画面項目(Screen Items)</t>
    <rPh sb="0" eb="4">
      <t>ガメンコウモク</t>
    </rPh>
    <phoneticPr fontId="12"/>
  </si>
  <si>
    <t>必須記入</t>
    <rPh sb="0" eb="2">
      <t>ヒッス</t>
    </rPh>
    <rPh sb="2" eb="4">
      <t>キニュウ</t>
    </rPh>
    <phoneticPr fontId="12"/>
  </si>
  <si>
    <t>OOTB以外</t>
    <rPh sb="4" eb="6">
      <t>イガイ</t>
    </rPh>
    <phoneticPr fontId="12"/>
  </si>
  <si>
    <t>項番
(No)</t>
    <phoneticPr fontId="12"/>
  </si>
  <si>
    <t>項目名(Item Name)</t>
    <phoneticPr fontId="12"/>
  </si>
  <si>
    <t>論理項目種別
(Logical Item Type)</t>
    <phoneticPr fontId="12"/>
  </si>
  <si>
    <t>固定/可変
(Fixed/Variable)</t>
    <rPh sb="0" eb="5">
      <t>コテイカヘン</t>
    </rPh>
    <phoneticPr fontId="12"/>
  </si>
  <si>
    <t>I/O</t>
  </si>
  <si>
    <t>OOTB</t>
    <phoneticPr fontId="12"/>
  </si>
  <si>
    <t>入力桁数
(Input Digits)</t>
    <rPh sb="0" eb="2">
      <t>ニュウリョク</t>
    </rPh>
    <rPh sb="2" eb="4">
      <t>ケタスウ</t>
    </rPh>
    <phoneticPr fontId="12"/>
  </si>
  <si>
    <t>表示ラベルキー
（Display Label Key)</t>
    <rPh sb="0" eb="2">
      <t>ヒョウジ</t>
    </rPh>
    <phoneticPr fontId="12"/>
  </si>
  <si>
    <t>初期値
(Default Value)</t>
    <rPh sb="0" eb="3">
      <t>ショキチ</t>
    </rPh>
    <phoneticPr fontId="12"/>
  </si>
  <si>
    <t>備考
(Comment)</t>
    <rPh sb="0" eb="2">
      <t>ビコウ</t>
    </rPh>
    <phoneticPr fontId="12"/>
  </si>
  <si>
    <t>エリア
（Area）</t>
    <phoneticPr fontId="12"/>
  </si>
  <si>
    <t>項目名
(Item Name)</t>
    <phoneticPr fontId="12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</si>
  <si>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</si>
  <si>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</si>
  <si>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</si>
  <si>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</si>
  <si>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</si>
  <si>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</si>
  <si>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</si>
  <si>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</si>
  <si>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</si>
  <si>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</si>
  <si>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</si>
  <si>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</si>
  <si>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エンドユーザー</t>
    <phoneticPr fontId="60"/>
  </si>
  <si>
    <t>Image Button</t>
  </si>
  <si>
    <t>Text Output</t>
  </si>
  <si>
    <t>Loop Table</t>
  </si>
  <si>
    <t>提出先企業名</t>
    <phoneticPr fontId="60"/>
  </si>
  <si>
    <t>処理項目(Process Items)</t>
    <rPh sb="0" eb="4">
      <t>ショリコウモク</t>
    </rPh>
    <phoneticPr fontId="12"/>
  </si>
  <si>
    <t>項番
(No)</t>
    <rPh sb="0" eb="2">
      <t>コウバン</t>
    </rPh>
    <phoneticPr fontId="12"/>
  </si>
  <si>
    <t>処理名
(Process Name)</t>
    <rPh sb="0" eb="3">
      <t>ショリメイ</t>
    </rPh>
    <phoneticPr fontId="12"/>
  </si>
  <si>
    <t>イベント発生元（論理項目名）
(Event Source(Logical Item Name))</t>
    <phoneticPr fontId="12"/>
  </si>
  <si>
    <t>イベント
(Event)</t>
    <phoneticPr fontId="12"/>
  </si>
  <si>
    <t>サーバ
／クライアント</t>
    <phoneticPr fontId="12"/>
  </si>
  <si>
    <t>遷移先画面ID
(Transition Destination Screen ID)</t>
    <rPh sb="0" eb="7">
      <t>センイサキガメン</t>
    </rPh>
    <phoneticPr fontId="12"/>
  </si>
  <si>
    <t>概要
(Comment)</t>
    <rPh sb="0" eb="2">
      <t>ガイヨウ</t>
    </rPh>
    <phoneticPr fontId="12"/>
  </si>
  <si>
    <t>初期画面表示</t>
    <rPh sb="0" eb="2">
      <t>ショキ</t>
    </rPh>
    <rPh sb="2" eb="4">
      <t>ガメン</t>
    </rPh>
    <rPh sb="4" eb="6">
      <t>ヒョウジ</t>
    </rPh>
    <phoneticPr fontId="12"/>
  </si>
  <si>
    <t>本画面に遷移</t>
    <rPh sb="0" eb="1">
      <t>ホン</t>
    </rPh>
    <rPh sb="1" eb="3">
      <t>ガメン</t>
    </rPh>
    <rPh sb="4" eb="6">
      <t>センイ</t>
    </rPh>
    <phoneticPr fontId="12"/>
  </si>
  <si>
    <t>Onload</t>
    <phoneticPr fontId="60"/>
  </si>
  <si>
    <t>サーバ</t>
  </si>
  <si>
    <t>Click</t>
  </si>
  <si>
    <t>Click</t>
    <phoneticPr fontId="60"/>
  </si>
  <si>
    <t>サーバ</t>
    <phoneticPr fontId="60"/>
  </si>
  <si>
    <t>SEFE210_画面要件定義書_化学物質データ申請画面</t>
    <phoneticPr fontId="60"/>
  </si>
  <si>
    <t>利用可能な論理項目種別</t>
    <rPh sb="0" eb="11">
      <t>リヨウカノウロンリコウモクシュベツ</t>
    </rPh>
    <phoneticPr fontId="12"/>
  </si>
  <si>
    <t>固定/可変</t>
    <rPh sb="0" eb="2">
      <t>コテイ</t>
    </rPh>
    <rPh sb="3" eb="5">
      <t>カヘン</t>
    </rPh>
    <phoneticPr fontId="12"/>
  </si>
  <si>
    <t>Label</t>
    <phoneticPr fontId="12"/>
  </si>
  <si>
    <t>Fixed</t>
    <phoneticPr fontId="12"/>
  </si>
  <si>
    <t>○</t>
    <phoneticPr fontId="12"/>
  </si>
  <si>
    <t>全て利用</t>
    <rPh sb="0" eb="1">
      <t>スベ</t>
    </rPh>
    <rPh sb="2" eb="4">
      <t>リヨウ</t>
    </rPh>
    <phoneticPr fontId="12"/>
  </si>
  <si>
    <t>Manual Operation Button</t>
    <phoneticPr fontId="12"/>
  </si>
  <si>
    <t>Variable</t>
    <phoneticPr fontId="12"/>
  </si>
  <si>
    <t>△</t>
    <phoneticPr fontId="12"/>
  </si>
  <si>
    <t>一部利用</t>
    <rPh sb="0" eb="2">
      <t>イチブ</t>
    </rPh>
    <rPh sb="2" eb="4">
      <t>リヨウ</t>
    </rPh>
    <phoneticPr fontId="12"/>
  </si>
  <si>
    <t>Image Button</t>
    <phoneticPr fontId="12"/>
  </si>
  <si>
    <t>×</t>
    <phoneticPr fontId="12"/>
  </si>
  <si>
    <t>なし（新規作成）</t>
    <rPh sb="3" eb="5">
      <t>シンキ</t>
    </rPh>
    <rPh sb="5" eb="7">
      <t>サクセイ</t>
    </rPh>
    <phoneticPr fontId="12"/>
  </si>
  <si>
    <t>Anchor Text</t>
    <phoneticPr fontId="12"/>
  </si>
  <si>
    <t>Textbox</t>
    <phoneticPr fontId="12"/>
  </si>
  <si>
    <t>Text Box (with spin button)</t>
    <phoneticPr fontId="12"/>
  </si>
  <si>
    <t>Password</t>
    <phoneticPr fontId="12"/>
  </si>
  <si>
    <t>Text Area</t>
    <phoneticPr fontId="12"/>
  </si>
  <si>
    <t>File field</t>
    <phoneticPr fontId="12"/>
  </si>
  <si>
    <t>Radio Button</t>
    <phoneticPr fontId="12"/>
  </si>
  <si>
    <t>Dropdown List</t>
    <phoneticPr fontId="12"/>
  </si>
  <si>
    <t>Checkbox</t>
    <phoneticPr fontId="12"/>
  </si>
  <si>
    <t>Calendar</t>
    <phoneticPr fontId="12"/>
  </si>
  <si>
    <t>Time Input</t>
    <phoneticPr fontId="12"/>
  </si>
  <si>
    <t>Loop Table</t>
    <phoneticPr fontId="12"/>
  </si>
  <si>
    <t>Image</t>
    <phoneticPr fontId="12"/>
  </si>
  <si>
    <t>Hidden Field</t>
    <phoneticPr fontId="12"/>
  </si>
  <si>
    <t>Included Screen</t>
    <phoneticPr fontId="12"/>
  </si>
  <si>
    <t>Text Output</t>
    <phoneticPr fontId="12"/>
  </si>
  <si>
    <t>Other</t>
    <phoneticPr fontId="12"/>
  </si>
  <si>
    <t>2</t>
  </si>
  <si>
    <t>申請確認エリア</t>
    <rPh sb="0" eb="2">
      <t>シンセイ</t>
    </rPh>
    <rPh sb="2" eb="4">
      <t>カクニン</t>
    </rPh>
    <phoneticPr fontId="60"/>
  </si>
  <si>
    <t>2.1</t>
    <phoneticPr fontId="60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</si>
  <si>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0"/>
  </si>
  <si>
    <t>申請確認画面で表示された製品数
※重複、製品データ該当なしの件数も含む</t>
    <phoneticPr fontId="60"/>
  </si>
  <si>
    <t>2.2</t>
    <phoneticPr fontId="60"/>
  </si>
  <si>
    <t>申請に対するチェック結果の説明</t>
    <phoneticPr fontId="60"/>
  </si>
  <si>
    <t>2.3</t>
  </si>
  <si>
    <r>
      <t>申請画面からフォーム送信される「</t>
    </r>
    <r>
      <rPr>
        <sz val="10"/>
        <color rgb="FFFF0000"/>
        <rFont val="Meiryo UI"/>
        <family val="3"/>
        <charset val="128"/>
      </rPr>
      <t>提出先企業名</t>
    </r>
    <r>
      <rPr>
        <sz val="10"/>
        <rFont val="Meiryo UI"/>
        <family val="3"/>
        <charset val="128"/>
      </rPr>
      <t>」パラメータの値</t>
    </r>
    <phoneticPr fontId="60"/>
  </si>
  <si>
    <t>2.4</t>
  </si>
  <si>
    <t>申請画面からフォーム送信される「エンドユーザー」パラメータの値</t>
    <phoneticPr fontId="60"/>
  </si>
  <si>
    <t>2.5</t>
  </si>
  <si>
    <t>CSVダウンロードボタン</t>
    <phoneticPr fontId="60"/>
  </si>
  <si>
    <t>2.6</t>
    <phoneticPr fontId="60"/>
  </si>
  <si>
    <t>申請チェックボックス</t>
    <phoneticPr fontId="60"/>
  </si>
  <si>
    <t>申請可否の情報</t>
    <rPh sb="0" eb="2">
      <t>シンセイ</t>
    </rPh>
    <rPh sb="2" eb="4">
      <t>カヒ</t>
    </rPh>
    <rPh sb="5" eb="7">
      <t>ジョウホウ</t>
    </rPh>
    <phoneticPr fontId="60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</si>
  <si>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0"/>
  </si>
  <si>
    <t>2.7</t>
    <phoneticPr fontId="60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</si>
  <si>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0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</si>
  <si>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0"/>
  </si>
  <si>
    <t>2.8</t>
    <phoneticPr fontId="60"/>
  </si>
  <si>
    <t>CL（製品番号）</t>
    <phoneticPr fontId="60"/>
  </si>
  <si>
    <t>申請画面からフォーム送信される「製品名/CL-No」の配列パラメータの値、または、「環境証明書申請製品情報」の「CLコード」の値</t>
    <phoneticPr fontId="60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</si>
  <si>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0"/>
  </si>
  <si>
    <t>2.9</t>
    <phoneticPr fontId="60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</si>
  <si>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60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</si>
  <si>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60"/>
  </si>
  <si>
    <t>2.10</t>
    <phoneticPr fontId="60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</si>
  <si>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60"/>
  </si>
  <si>
    <t>2.11</t>
    <phoneticPr fontId="60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</si>
  <si>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60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</si>
  <si>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60"/>
  </si>
  <si>
    <t>2.12</t>
    <phoneticPr fontId="60"/>
  </si>
  <si>
    <t>申請された証明書種類</t>
    <phoneticPr fontId="60"/>
  </si>
  <si>
    <t>申請画面からフォーム送信される「化学物質データ選択」配列パラメータの値</t>
    <phoneticPr fontId="60"/>
  </si>
  <si>
    <t>2.13</t>
    <phoneticPr fontId="60"/>
  </si>
  <si>
    <t>製品毎の申請可否チェック結果</t>
    <phoneticPr fontId="60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</si>
  <si>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0"/>
  </si>
  <si>
    <t>※画面表示フォーマットは「処理詳細」シートの「■A－１－７－２．製品証明書情報取得処理よりエラーハンドリングフォーマット」を参照する</t>
    <phoneticPr fontId="60"/>
  </si>
  <si>
    <t>2.14</t>
    <phoneticPr fontId="60"/>
  </si>
  <si>
    <t>戻る</t>
    <phoneticPr fontId="60"/>
  </si>
  <si>
    <t>申請</t>
    <phoneticPr fontId="60"/>
  </si>
  <si>
    <t>いいえボタン</t>
    <phoneticPr fontId="60"/>
  </si>
  <si>
    <t>2.17</t>
    <phoneticPr fontId="60"/>
  </si>
  <si>
    <t>はいボタン</t>
    <phoneticPr fontId="60"/>
  </si>
  <si>
    <t>2.18</t>
    <phoneticPr fontId="60"/>
  </si>
  <si>
    <t>申請製品数</t>
    <phoneticPr fontId="60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</si>
  <si>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0"/>
  </si>
  <si>
    <t>2.19</t>
    <phoneticPr fontId="60"/>
  </si>
  <si>
    <t>エラーメッセージ</t>
    <phoneticPr fontId="60"/>
  </si>
  <si>
    <t>※処理詳細の「Ａ－１．画面初期表示について」を参照する</t>
    <rPh sb="1" eb="3">
      <t>ショリ</t>
    </rPh>
    <rPh sb="3" eb="5">
      <t>ショウサイ</t>
    </rPh>
    <rPh sb="23" eb="25">
      <t>サンショウ</t>
    </rPh>
    <phoneticPr fontId="60"/>
  </si>
  <si>
    <t>申請データダウンロード</t>
    <rPh sb="0" eb="2">
      <t>シンセイ</t>
    </rPh>
    <phoneticPr fontId="60"/>
  </si>
  <si>
    <r>
      <t xml:space="preserve">申請画面で入力された製品番号をキーとして環境証明書申請製品情報テーブルから各証明書の情報を取得して対応するCSVのフォーマットで出力する。
</t>
    </r>
    <r>
      <rPr>
        <b/>
        <sz val="10"/>
        <rFont val="Meiryo UI"/>
        <family val="3"/>
        <charset val="128"/>
      </rPr>
      <t>※処理詳細の「Ａ－２．CSVダウンロードについて」を参照する。</t>
    </r>
    <rPh sb="0" eb="2">
      <t>シンセイ</t>
    </rPh>
    <rPh sb="2" eb="4">
      <t>ガメン</t>
    </rPh>
    <rPh sb="5" eb="7">
      <t>ニュウリョク</t>
    </rPh>
    <rPh sb="10" eb="12">
      <t>セイヒン</t>
    </rPh>
    <rPh sb="12" eb="14">
      <t>バンゴウ</t>
    </rPh>
    <rPh sb="37" eb="38">
      <t>カク</t>
    </rPh>
    <rPh sb="38" eb="41">
      <t>ショウメイショ</t>
    </rPh>
    <rPh sb="42" eb="44">
      <t>ジョウホウ</t>
    </rPh>
    <rPh sb="45" eb="47">
      <t>シュトク</t>
    </rPh>
    <rPh sb="49" eb="51">
      <t>タイオウ</t>
    </rPh>
    <rPh sb="64" eb="66">
      <t>シュツリョク</t>
    </rPh>
    <rPh sb="96" eb="98">
      <t>サンショウ</t>
    </rPh>
    <phoneticPr fontId="60"/>
  </si>
  <si>
    <t>戻る</t>
    <rPh sb="0" eb="1">
      <t>モド</t>
    </rPh>
    <phoneticPr fontId="60"/>
  </si>
  <si>
    <t>戻るボタン</t>
    <rPh sb="0" eb="1">
      <t>モド</t>
    </rPh>
    <phoneticPr fontId="60"/>
  </si>
  <si>
    <t>申請証明書数表示</t>
    <rPh sb="0" eb="2">
      <t>シンセイ</t>
    </rPh>
    <rPh sb="2" eb="5">
      <t>ショウメイショ</t>
    </rPh>
    <rPh sb="5" eb="6">
      <t>スウ</t>
    </rPh>
    <rPh sb="6" eb="8">
      <t>ヒョウジ</t>
    </rPh>
    <phoneticPr fontId="60"/>
  </si>
  <si>
    <t>申請確認ダイアログ</t>
    <rPh sb="0" eb="2">
      <t>シンセイ</t>
    </rPh>
    <rPh sb="2" eb="4">
      <t>カクニン</t>
    </rPh>
    <phoneticPr fontId="60"/>
  </si>
  <si>
    <t>画面項目2.18 申請製品数</t>
    <rPh sb="0" eb="2">
      <t>ガメン</t>
    </rPh>
    <rPh sb="2" eb="4">
      <t>コウモク</t>
    </rPh>
    <rPh sb="9" eb="11">
      <t>シンセイ</t>
    </rPh>
    <rPh sb="11" eb="13">
      <t>セイヒン</t>
    </rPh>
    <rPh sb="13" eb="14">
      <t>スウ</t>
    </rPh>
    <phoneticPr fontId="60"/>
  </si>
  <si>
    <t>クライアント</t>
  </si>
  <si>
    <t>画面項目2.6でチェックが付いているチェック数</t>
    <rPh sb="0" eb="2">
      <t>ガメン</t>
    </rPh>
    <rPh sb="2" eb="4">
      <t>コウモク</t>
    </rPh>
    <rPh sb="13" eb="14">
      <t>ツ</t>
    </rPh>
    <rPh sb="22" eb="23">
      <t>スウ</t>
    </rPh>
    <phoneticPr fontId="60"/>
  </si>
  <si>
    <t>申請</t>
    <rPh sb="0" eb="2">
      <t>シンセイ</t>
    </rPh>
    <phoneticPr fontId="60"/>
  </si>
  <si>
    <t>申請ボタン</t>
    <rPh sb="0" eb="2">
      <t>シンセイ</t>
    </rPh>
    <phoneticPr fontId="60"/>
  </si>
  <si>
    <t xml:space="preserve">
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4" eb="16">
      <t>センタク</t>
    </rPh>
    <rPh sb="53" eb="54">
      <t>ヒト</t>
    </rPh>
    <rPh sb="55" eb="57">
      <t>イジョウ</t>
    </rPh>
    <rPh sb="57" eb="59">
      <t>センタク</t>
    </rPh>
    <rPh sb="64" eb="66">
      <t>バアイ</t>
    </rPh>
    <rPh sb="90" eb="92">
      <t>ヒョウジ</t>
    </rPh>
    <phoneticPr fontId="60"/>
  </si>
  <si>
    <t>申請確認ダイアログ</t>
    <phoneticPr fontId="60"/>
  </si>
  <si>
    <t>「申請処理」成功時：
SEFE230_画面要件定義書_化学物質データ申請完了画面
「申請処理」エラー時：
遷移なし</t>
    <rPh sb="1" eb="3">
      <t>シンセイ</t>
    </rPh>
    <rPh sb="3" eb="5">
      <t>ショリ</t>
    </rPh>
    <rPh sb="6" eb="8">
      <t>セイコウ</t>
    </rPh>
    <rPh sb="8" eb="9">
      <t>ジ</t>
    </rPh>
    <rPh sb="36" eb="38">
      <t>カンリョウ</t>
    </rPh>
    <rPh sb="53" eb="55">
      <t>センイ</t>
    </rPh>
    <phoneticPr fontId="60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</si>
  <si>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0"/>
  </si>
  <si>
    <t>申請確認ダイアログをクローズして、申請処理は実行しない。</t>
    <phoneticPr fontId="60"/>
  </si>
  <si>
    <t>画面状態 (Screen State)</t>
    <rPh sb="0" eb="4">
      <t>ガメンジョウタイ</t>
    </rPh>
    <phoneticPr fontId="12"/>
  </si>
  <si>
    <t>論理項目名
(Logical Item Name)</t>
    <rPh sb="0" eb="5">
      <t>ロンリコウモクメイ</t>
    </rPh>
    <phoneticPr fontId="12"/>
  </si>
  <si>
    <t>状態 (State)</t>
    <rPh sb="0" eb="2">
      <t>ジョウタイ</t>
    </rPh>
    <phoneticPr fontId="12"/>
  </si>
  <si>
    <t>初期表示：チェックボックスが1つ以上ある場合</t>
    <rPh sb="0" eb="2">
      <t>ショキ</t>
    </rPh>
    <rPh sb="2" eb="4">
      <t>ヒョウジ</t>
    </rPh>
    <rPh sb="16" eb="18">
      <t>イジョウ</t>
    </rPh>
    <rPh sb="20" eb="22">
      <t>バアイ</t>
    </rPh>
    <phoneticPr fontId="60"/>
  </si>
  <si>
    <t>初期表示：チェックボックスが1つもない場合</t>
    <rPh sb="0" eb="2">
      <t>ショキ</t>
    </rPh>
    <rPh sb="2" eb="4">
      <t>ヒョウジ</t>
    </rPh>
    <rPh sb="19" eb="21">
      <t>バアイ</t>
    </rPh>
    <phoneticPr fontId="60"/>
  </si>
  <si>
    <t>申請チェックボックスに1つもチェックがない状態</t>
    <rPh sb="21" eb="23">
      <t>ジョウタイ</t>
    </rPh>
    <phoneticPr fontId="60"/>
  </si>
  <si>
    <t>申請チェックボックスに1つ以上チェックが付いている場合</t>
    <rPh sb="0" eb="2">
      <t>シンセイ</t>
    </rPh>
    <rPh sb="13" eb="15">
      <t>イジョウ</t>
    </rPh>
    <rPh sb="20" eb="21">
      <t>ツ</t>
    </rPh>
    <rPh sb="25" eb="27">
      <t>バアイ</t>
    </rPh>
    <phoneticPr fontId="60"/>
  </si>
  <si>
    <t>申請ボタン押下</t>
    <rPh sb="0" eb="2">
      <t>シンセイ</t>
    </rPh>
    <rPh sb="5" eb="7">
      <t>オウカ</t>
    </rPh>
    <phoneticPr fontId="60"/>
  </si>
  <si>
    <t>申請処理にてエラー</t>
    <rPh sb="0" eb="2">
      <t>シンセイ</t>
    </rPh>
    <rPh sb="2" eb="4">
      <t>ショリ</t>
    </rPh>
    <phoneticPr fontId="60"/>
  </si>
  <si>
    <t>●</t>
  </si>
  <si>
    <t>Legend Name</t>
    <phoneticPr fontId="12"/>
  </si>
  <si>
    <t>Legend Value</t>
    <phoneticPr fontId="12"/>
  </si>
  <si>
    <t>Display(Active)</t>
    <phoneticPr fontId="12"/>
  </si>
  <si>
    <t>Display(In-Active)</t>
    <phoneticPr fontId="12"/>
  </si>
  <si>
    <t>●</t>
    <phoneticPr fontId="12"/>
  </si>
  <si>
    <t>Hidden</t>
    <phoneticPr fontId="12"/>
  </si>
  <si>
    <t>出力編集仕様</t>
    <rPh sb="0" eb="2">
      <t>シュツリョク</t>
    </rPh>
    <rPh sb="2" eb="4">
      <t>ヘンシュウ</t>
    </rPh>
    <rPh sb="4" eb="6">
      <t>シヨウ</t>
    </rPh>
    <phoneticPr fontId="12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</si>
  <si>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0"/>
  </si>
  <si>
    <t>タイプ</t>
    <phoneticPr fontId="12"/>
  </si>
  <si>
    <t>HrsChemicalSubstance, HrsChemicalSubstanceEntry</t>
    <phoneticPr fontId="60"/>
  </si>
  <si>
    <t>説明</t>
    <rPh sb="0" eb="2">
      <t>セツメイ</t>
    </rPh>
    <phoneticPr fontId="12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</si>
  <si>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0"/>
  </si>
  <si>
    <t>備考</t>
    <phoneticPr fontId="60"/>
  </si>
  <si>
    <t>No</t>
    <phoneticPr fontId="60"/>
  </si>
  <si>
    <t>修飾子</t>
    <rPh sb="0" eb="3">
      <t>シュウショクシ</t>
    </rPh>
    <phoneticPr fontId="60"/>
  </si>
  <si>
    <t>HrsChemicalSubstance</t>
    <phoneticPr fontId="60"/>
  </si>
  <si>
    <t>appNo</t>
    <phoneticPr fontId="60"/>
  </si>
  <si>
    <t>暦年と5桁の追番の間にハイフン（例：2018-00001）
※追番はhybrisのGeneratorの機構で生成する値（hrsChemicalSubstanceAppNoSeq）</t>
    <rPh sb="16" eb="17">
      <t>レイ</t>
    </rPh>
    <phoneticPr fontId="60"/>
  </si>
  <si>
    <t>画面項目の2.8毎に処理</t>
    <rPh sb="8" eb="9">
      <t>ゴト</t>
    </rPh>
    <rPh sb="10" eb="12">
      <t>ショリ</t>
    </rPh>
    <phoneticPr fontId="60"/>
  </si>
  <si>
    <t>member</t>
    <phoneticPr fontId="60"/>
  </si>
  <si>
    <t>ログインユーザのHrsCustomer.uid</t>
    <phoneticPr fontId="60"/>
  </si>
  <si>
    <t>requestDate</t>
    <phoneticPr fontId="60"/>
  </si>
  <si>
    <t>システムの日付</t>
    <rPh sb="5" eb="7">
      <t>ヒヅケ</t>
    </rPh>
    <phoneticPr fontId="60"/>
  </si>
  <si>
    <t>clientCode</t>
    <phoneticPr fontId="60"/>
  </si>
  <si>
    <r>
      <t>画面.</t>
    </r>
    <r>
      <rPr>
        <sz val="10"/>
        <color rgb="FFFF0000"/>
        <rFont val="Meiryo UI"/>
        <family val="3"/>
        <charset val="128"/>
      </rPr>
      <t>提出先企業名</t>
    </r>
    <phoneticPr fontId="60"/>
  </si>
  <si>
    <t>画面項目の2.3</t>
    <rPh sb="0" eb="2">
      <t>ガメン</t>
    </rPh>
    <rPh sb="2" eb="4">
      <t>コウモク</t>
    </rPh>
    <phoneticPr fontId="60"/>
  </si>
  <si>
    <t>endUser</t>
    <phoneticPr fontId="60"/>
  </si>
  <si>
    <t>画面.エンドユーザ</t>
    <phoneticPr fontId="60"/>
  </si>
  <si>
    <t>画面項目の2.4</t>
    <phoneticPr fontId="60"/>
  </si>
  <si>
    <t>status</t>
    <phoneticPr fontId="60"/>
  </si>
  <si>
    <t>未処理（ChemicalSubstanceStatus.unprocessed）</t>
    <rPh sb="0" eb="1">
      <t>ミ</t>
    </rPh>
    <rPh sb="1" eb="3">
      <t>ショリ</t>
    </rPh>
    <phoneticPr fontId="60"/>
  </si>
  <si>
    <t>申請ファイル取り込みバッチで更新できる</t>
    <rPh sb="14" eb="16">
      <t>コウシン</t>
    </rPh>
    <phoneticPr fontId="60"/>
  </si>
  <si>
    <t>downloadExpirationDate</t>
    <phoneticPr fontId="60"/>
  </si>
  <si>
    <t>申請ファイル取り込みバッチで更新する</t>
    <rPh sb="14" eb="16">
      <t>コウシン</t>
    </rPh>
    <phoneticPr fontId="60"/>
  </si>
  <si>
    <t>fileSize</t>
    <phoneticPr fontId="60"/>
  </si>
  <si>
    <t>同上</t>
    <rPh sb="0" eb="2">
      <t>ドウジョウ</t>
    </rPh>
    <phoneticPr fontId="60"/>
  </si>
  <si>
    <t>folderCount</t>
    <phoneticPr fontId="60"/>
  </si>
  <si>
    <t>fileCount</t>
    <phoneticPr fontId="60"/>
  </si>
  <si>
    <t>HrsChemicalSubstanceEntry</t>
    <phoneticPr fontId="60"/>
  </si>
  <si>
    <t>clCode</t>
    <phoneticPr fontId="60"/>
  </si>
  <si>
    <t>画面.CLコード</t>
    <phoneticPr fontId="60"/>
  </si>
  <si>
    <t>画面項目の2.8毎に処理</t>
    <phoneticPr fontId="60"/>
  </si>
  <si>
    <t>requestedCertificates</t>
    <phoneticPr fontId="60"/>
  </si>
  <si>
    <t>画面.申請した証明書種類配列の各証明書</t>
    <rPh sb="0" eb="2">
      <t>ガメン</t>
    </rPh>
    <rPh sb="3" eb="5">
      <t>シンセイ</t>
    </rPh>
    <rPh sb="7" eb="10">
      <t>ショウメイショ</t>
    </rPh>
    <rPh sb="10" eb="12">
      <t>シュルイ</t>
    </rPh>
    <rPh sb="15" eb="16">
      <t>カク</t>
    </rPh>
    <phoneticPr fontId="60"/>
  </si>
  <si>
    <t>画面項目の2.12</t>
    <phoneticPr fontId="60"/>
  </si>
  <si>
    <t>partNo</t>
    <phoneticPr fontId="60"/>
  </si>
  <si>
    <t>環境証明書申請製品情報.製品名</t>
    <rPh sb="12" eb="15">
      <t>セイヒンメイ</t>
    </rPh>
    <phoneticPr fontId="60"/>
  </si>
  <si>
    <t>CLコードを基に再取得</t>
    <rPh sb="6" eb="7">
      <t>モト</t>
    </rPh>
    <rPh sb="8" eb="9">
      <t>サイ</t>
    </rPh>
    <rPh sb="9" eb="11">
      <t>シュトク</t>
    </rPh>
    <phoneticPr fontId="60"/>
  </si>
  <si>
    <t>newProductClass</t>
    <phoneticPr fontId="60"/>
  </si>
  <si>
    <t>製品マスター情報.新製品区分　※1</t>
    <rPh sb="0" eb="2">
      <t>セイヒン</t>
    </rPh>
    <rPh sb="6" eb="8">
      <t>ジョウホウ</t>
    </rPh>
    <rPh sb="9" eb="12">
      <t>シンセイヒン</t>
    </rPh>
    <rPh sb="12" eb="14">
      <t>クブン</t>
    </rPh>
    <phoneticPr fontId="60"/>
  </si>
  <si>
    <t>productSalesStatusClass</t>
    <phoneticPr fontId="60"/>
  </si>
  <si>
    <t>製品マスター情報を基に判定した「製品販売状況」
※判定方法の詳細は
別ブック「SERP070_帳票定義書_製品一覧（フロント）.xlsx」の
「帳票定義」シートの「販売状況」を参照</t>
    <rPh sb="9" eb="10">
      <t>モト</t>
    </rPh>
    <rPh sb="11" eb="13">
      <t>ハンテイ</t>
    </rPh>
    <rPh sb="16" eb="18">
      <t>セイヒン</t>
    </rPh>
    <rPh sb="18" eb="20">
      <t>ハンバイ</t>
    </rPh>
    <rPh sb="20" eb="22">
      <t>ジョウキョウ</t>
    </rPh>
    <rPh sb="25" eb="27">
      <t>ハンテイ</t>
    </rPh>
    <rPh sb="27" eb="29">
      <t>ホウホウ</t>
    </rPh>
    <rPh sb="30" eb="32">
      <t>ショウサイ</t>
    </rPh>
    <rPh sb="34" eb="35">
      <t>ベツ</t>
    </rPh>
    <rPh sb="82" eb="84">
      <t>ハンバイ</t>
    </rPh>
    <rPh sb="84" eb="86">
      <t>ジョウキョウ</t>
    </rPh>
    <rPh sb="88" eb="90">
      <t>サンショウ</t>
    </rPh>
    <phoneticPr fontId="60"/>
  </si>
  <si>
    <t>pcnNo</t>
    <phoneticPr fontId="60"/>
  </si>
  <si>
    <t>製品マスター情報.変更通知No.</t>
    <rPh sb="9" eb="11">
      <t>ヘンコウ</t>
    </rPh>
    <rPh sb="11" eb="13">
      <t>ツウチ</t>
    </rPh>
    <phoneticPr fontId="60"/>
  </si>
  <si>
    <t>※1</t>
    <phoneticPr fontId="60"/>
  </si>
  <si>
    <t>登録対象の言語は画面で選択可能な7言語（英語、日本語、韓国語、中国語、フランス語、ドイツ語、ロシア語）</t>
    <phoneticPr fontId="60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</si>
  <si>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0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</si>
  <si>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0"/>
  </si>
  <si>
    <t>ダウンロードCSV</t>
    <phoneticPr fontId="12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</si>
  <si>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0"/>
  </si>
  <si>
    <t>◆出力項目について</t>
    <rPh sb="1" eb="3">
      <t>シュツリョク</t>
    </rPh>
    <rPh sb="3" eb="5">
      <t>コウモク</t>
    </rPh>
    <phoneticPr fontId="60"/>
  </si>
  <si>
    <t>■RoHS、ハロゲンフリー、成分表、JAMP、SDS、chemSHERPA、SVHC調査報告書を申請する場合</t>
    <phoneticPr fontId="60"/>
  </si>
  <si>
    <t>例：</t>
    <rPh sb="0" eb="1">
      <t>レイ</t>
    </rPh>
    <phoneticPr fontId="60"/>
  </si>
  <si>
    <t>Part No</t>
    <phoneticPr fontId="60"/>
  </si>
  <si>
    <t>CLコード</t>
    <phoneticPr fontId="60"/>
  </si>
  <si>
    <t>New Product Class</t>
    <phoneticPr fontId="60"/>
  </si>
  <si>
    <t>Product Sales Status Class</t>
    <phoneticPr fontId="60"/>
  </si>
  <si>
    <t>PCN No</t>
    <phoneticPr fontId="60"/>
  </si>
  <si>
    <t>CL check</t>
  </si>
  <si>
    <t>Name of company to be submitted</t>
    <phoneticPr fontId="60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</si>
  <si>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</si>
  <si>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</si>
  <si>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</si>
  <si>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</si>
  <si>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</si>
  <si>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</si>
  <si>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</si>
  <si>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0"/>
  </si>
  <si>
    <t>CL0123-4567-8-90</t>
  </si>
  <si>
    <t>生産終了予定品</t>
    <phoneticPr fontId="60"/>
  </si>
  <si>
    <t>B社</t>
    <rPh sb="1" eb="2">
      <t>シャ</t>
    </rPh>
    <phoneticPr fontId="60"/>
  </si>
  <si>
    <t>A社</t>
  </si>
  <si>
    <t>YES</t>
  </si>
  <si>
    <t>重複</t>
    <phoneticPr fontId="60"/>
  </si>
  <si>
    <t>CL0123-4567-8-91</t>
  </si>
  <si>
    <t>生産終了品</t>
    <phoneticPr fontId="60"/>
  </si>
  <si>
    <t>Non-compliant</t>
  </si>
  <si>
    <t>Request</t>
  </si>
  <si>
    <t>CL0123-4567-8-92</t>
  </si>
  <si>
    <t>新規設計非推奨</t>
    <phoneticPr fontId="60"/>
  </si>
  <si>
    <t>CL0123-4567-8-96</t>
    <phoneticPr fontId="60"/>
  </si>
  <si>
    <t>該当なし</t>
  </si>
  <si>
    <t>■RoHS、ハロゲンフリー、成分表、JAMPを申請する場合</t>
    <phoneticPr fontId="60"/>
  </si>
  <si>
    <t>重複</t>
  </si>
  <si>
    <t>Non-compliant</t>
    <phoneticPr fontId="60"/>
  </si>
  <si>
    <t>※</t>
    <phoneticPr fontId="60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</si>
  <si>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60"/>
  </si>
  <si>
    <t>②画面でチェックボックスを選択してないデータ、重複したデータまたはNon-compliantのデータもすべて出力される。</t>
    <phoneticPr fontId="60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</si>
  <si>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0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</si>
  <si>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0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</si>
  <si>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6"/>
  </si>
  <si>
    <t xml:space="preserve"> A社</t>
    <rPh sb="2" eb="3">
      <t>シャ</t>
    </rPh>
    <phoneticPr fontId="56"/>
  </si>
  <si>
    <t>CL</t>
    <phoneticPr fontId="56"/>
  </si>
  <si>
    <t>SDS</t>
    <phoneticPr fontId="56"/>
  </si>
  <si>
    <t>☑</t>
    <phoneticPr fontId="56"/>
  </si>
  <si>
    <t>NameA</t>
    <phoneticPr fontId="56"/>
  </si>
  <si>
    <t>NameB</t>
    <phoneticPr fontId="56"/>
  </si>
  <si>
    <t>NameC</t>
    <phoneticPr fontId="56"/>
  </si>
  <si>
    <t>NameD</t>
    <phoneticPr fontId="56"/>
  </si>
  <si>
    <t>NameE</t>
    <phoneticPr fontId="56"/>
  </si>
  <si>
    <t>NameF</t>
    <phoneticPr fontId="56"/>
  </si>
  <si>
    <t>CL0123-
4567-8-90</t>
    <phoneticPr fontId="56"/>
  </si>
  <si>
    <t>CL0123-
4567-8-91</t>
    <phoneticPr fontId="56"/>
  </si>
  <si>
    <t>CL0123-
4567-8-92</t>
    <phoneticPr fontId="56"/>
  </si>
  <si>
    <t>CL0123-
4567-8-93</t>
    <phoneticPr fontId="56"/>
  </si>
  <si>
    <t>CL0123-
4567-8-94</t>
    <phoneticPr fontId="56"/>
  </si>
  <si>
    <t>CL0123-
4567-8-95</t>
    <phoneticPr fontId="56"/>
  </si>
  <si>
    <t>CL0123-
4567-8-96</t>
    <phoneticPr fontId="56"/>
  </si>
  <si>
    <t>2024-01</t>
    <phoneticPr fontId="56"/>
  </si>
  <si>
    <t>2023-12</t>
    <phoneticPr fontId="56"/>
  </si>
  <si>
    <t>2023-10</t>
    <phoneticPr fontId="56"/>
  </si>
  <si>
    <t>2023-11</t>
    <phoneticPr fontId="56"/>
  </si>
  <si>
    <t>YES</t>
    <phoneticPr fontId="56"/>
  </si>
  <si>
    <t>Non-complia
nt</t>
    <phoneticPr fontId="56"/>
  </si>
  <si>
    <t>Contact</t>
    <phoneticPr fontId="56"/>
  </si>
  <si>
    <t>Request</t>
    <phoneticPr fontId="56"/>
  </si>
  <si>
    <t>申請確認ダイアログ</t>
    <rPh sb="0" eb="4">
      <t>シンセイカクニン</t>
    </rPh>
    <phoneticPr fontId="56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</si>
  <si>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6"/>
  </si>
  <si>
    <t>(○○　件)</t>
    <rPh sb="4" eb="5">
      <t>ケン</t>
    </rPh>
    <phoneticPr fontId="56"/>
  </si>
  <si>
    <t>1. パンくずリストエリア</t>
  </si>
  <si>
    <t>1.1　パンくずリスト</t>
  </si>
  <si>
    <t>2.3 提出先企業名</t>
  </si>
  <si>
    <t>2.4 エンドユーザー</t>
  </si>
  <si>
    <t>2.5 CSVダウンロードボタン</t>
  </si>
  <si>
    <t>押下すると、一覧内に表示している製品の</t>
  </si>
  <si>
    <t>帳票判定のcsvのダウンロードを行う。</t>
  </si>
  <si>
    <t>※チェックボックスのチェックの有無は問わず全件出力。</t>
  </si>
  <si>
    <t>表示/非表示が切り替わる</t>
  </si>
  <si>
    <t>["YES"が1つ以上ある場合]</t>
  </si>
  <si>
    <t>["YES"の証明書ない場合]</t>
  </si>
  <si>
    <t>製品名の昇順、CLの昇順（値がない場合は末尾）</t>
  </si>
  <si>
    <t>で表示される。</t>
  </si>
  <si>
    <t>・YES : 申請可能</t>
  </si>
  <si>
    <t>・Request : 別途問合せしてください、の意味</t>
  </si>
  <si>
    <t>・Contact：既存の問い合わせルートでの申請に促す</t>
  </si>
  <si>
    <t>・赤背景色：システムに製品の該当なし</t>
  </si>
  <si>
    <t>チェックボックスのチェック数が一つもない場合、</t>
  </si>
  <si>
    <t>「申請」ボタンは非活性となる。</t>
  </si>
  <si>
    <t>2.16 いいえボタン</t>
  </si>
  <si>
    <t>2.17 はいボタン</t>
  </si>
  <si>
    <t>①</t>
  </si>
  <si>
    <t>データをINSERTする。</t>
  </si>
  <si>
    <t>②DownLoad依頼CSVファイルが作成され、</t>
  </si>
  <si>
    <t>S3の所定フォルダに出力する。</t>
    <rPh sb="3" eb="5">
      <t>ショテイ</t>
    </rPh>
    <phoneticPr fontId="5"/>
  </si>
  <si>
    <t>パス：[S3バケット]/sys-interface/gm/send</t>
  </si>
  <si>
    <t>上記パスはプロパティにて管理すること</t>
    <rPh sb="0" eb="2">
      <t>ジョウキ</t>
    </rPh>
    <rPh sb="12" eb="14">
      <t>カンリ</t>
    </rPh>
    <phoneticPr fontId="5"/>
  </si>
  <si>
    <t>＊DownLoad依頼CSVファイルの中身は</t>
  </si>
  <si>
    <t>補足②を参照（現行に一致）</t>
  </si>
  <si>
    <t>③申請者に受付確認メールを送信する</t>
  </si>
  <si>
    <t>④化学物質データ申請完了画面に遷移する。</t>
  </si>
  <si>
    <t>2.18 申請製品数</t>
    <rPh sb="5" eb="7">
      <t>シンセイ</t>
    </rPh>
    <rPh sb="7" eb="9">
      <t>セイヒン</t>
    </rPh>
    <rPh sb="9" eb="10">
      <t>スウ</t>
    </rPh>
    <phoneticPr fontId="5"/>
  </si>
  <si>
    <t>申請数（付与されているチェックの数）</t>
    <rPh sb="0" eb="2">
      <t>シンセイ</t>
    </rPh>
    <rPh sb="2" eb="3">
      <t>スウ</t>
    </rPh>
    <rPh sb="4" eb="6">
      <t>フヨ</t>
    </rPh>
    <rPh sb="16" eb="17">
      <t>カズ</t>
    </rPh>
    <phoneticPr fontId="5"/>
  </si>
  <si>
    <t>2.19 メッセージ表示</t>
    <rPh sb="10" eb="12">
      <t>ヒョウジ</t>
    </rPh>
    <phoneticPr fontId="5"/>
  </si>
  <si>
    <t>申請処理にてエラー発生時、エラーメッセージを表示</t>
    <rPh sb="0" eb="2">
      <t>シンセイ</t>
    </rPh>
    <rPh sb="2" eb="4">
      <t>ショリ</t>
    </rPh>
    <rPh sb="9" eb="11">
      <t>ハッセイ</t>
    </rPh>
    <rPh sb="11" eb="12">
      <t>ジ</t>
    </rPh>
    <rPh sb="22" eb="24">
      <t>ヒョウジ</t>
    </rPh>
    <phoneticPr fontId="5"/>
  </si>
  <si>
    <t>する。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</si>
  <si>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6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</si>
  <si>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6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</si>
  <si>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6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</si>
  <si>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6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</si>
  <si>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6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</si>
  <si>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6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</si>
  <si>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6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</si>
  <si>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6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</si>
  <si>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6"/>
  </si>
  <si>
    <t>販売品
Items for sales</t>
    <rPh sb="0" eb="3">
      <t>ハンバイヒン</t>
    </rPh>
    <phoneticPr fontId="56"/>
  </si>
  <si>
    <t>Application confirmation dialog</t>
    <phoneticPr fontId="56"/>
  </si>
  <si>
    <t>(○○　Items)</t>
    <phoneticPr fontId="56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</si>
  <si>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6"/>
  </si>
  <si>
    <t>化学物質データ/Chemical substance data</t>
    <rPh sb="0" eb="2">
      <t>カガクブッシツ</t>
    </rPh>
    <phoneticPr fontId="56"/>
  </si>
  <si>
    <t>以下のようにパンくずリストを表示する。</t>
    <rPh sb="0" eb="2">
      <t>イカ</t>
    </rPh>
    <rPh sb="14" eb="16">
      <t>ヒョウジ</t>
    </rPh>
    <phoneticPr fontId="2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</si>
  <si>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2"/>
  </si>
  <si>
    <t>2. 申請確認エリア</t>
    <rPh sb="3" eb="5">
      <t>シンセイ</t>
    </rPh>
    <rPh sb="5" eb="7">
      <t>カクニン</t>
    </rPh>
    <phoneticPr fontId="2"/>
  </si>
  <si>
    <t>2.1 初期申請製品数</t>
    <rPh sb="4" eb="6">
      <t>ショキ</t>
    </rPh>
    <rPh sb="6" eb="8">
      <t>シンセイ</t>
    </rPh>
    <rPh sb="8" eb="10">
      <t>セイヒン</t>
    </rPh>
    <rPh sb="10" eb="11">
      <t>スウ</t>
    </rPh>
    <phoneticPr fontId="2"/>
  </si>
  <si>
    <t>申請画面で入力した製品名/CL-Noを基に</t>
    <rPh sb="0" eb="2">
      <t>シンセイ</t>
    </rPh>
    <rPh sb="2" eb="4">
      <t>ガメン</t>
    </rPh>
    <rPh sb="5" eb="7">
      <t>ニュウリョク</t>
    </rPh>
    <rPh sb="9" eb="11">
      <t>セイヒン</t>
    </rPh>
    <rPh sb="11" eb="12">
      <t>メイ</t>
    </rPh>
    <rPh sb="19" eb="20">
      <t>モト</t>
    </rPh>
    <phoneticPr fontId="2"/>
  </si>
  <si>
    <t>申請確認画面で表示された製品数</t>
    <rPh sb="0" eb="2">
      <t>シンセイ</t>
    </rPh>
    <rPh sb="2" eb="4">
      <t>カクニン</t>
    </rPh>
    <rPh sb="4" eb="6">
      <t>ガメン</t>
    </rPh>
    <rPh sb="7" eb="9">
      <t>ヒョウジ</t>
    </rPh>
    <rPh sb="12" eb="14">
      <t>セイヒン</t>
    </rPh>
    <rPh sb="14" eb="15">
      <t>スウ</t>
    </rPh>
    <phoneticPr fontId="2"/>
  </si>
  <si>
    <t>※重複、製品データ該当なしの件数も含む</t>
    <rPh sb="1" eb="3">
      <t>ジュウフク</t>
    </rPh>
    <rPh sb="4" eb="6">
      <t>セイヒン</t>
    </rPh>
    <rPh sb="9" eb="11">
      <t>ガイトウ</t>
    </rPh>
    <rPh sb="14" eb="16">
      <t>ケンスウ</t>
    </rPh>
    <rPh sb="17" eb="18">
      <t>フク</t>
    </rPh>
    <phoneticPr fontId="2"/>
  </si>
  <si>
    <t>r1.1</t>
    <phoneticPr fontId="12"/>
  </si>
  <si>
    <t>古竹</t>
    <rPh sb="0" eb="2">
      <t>フルタケ</t>
    </rPh>
    <phoneticPr fontId="12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</si>
  <si>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2"/>
  </si>
  <si>
    <t>Items</t>
    <phoneticPr fontId="56"/>
  </si>
  <si>
    <t>日本語</t>
    <rPh sb="0" eb="3">
      <t>ニホンゴ</t>
    </rPh>
    <phoneticPr fontId="56"/>
  </si>
  <si>
    <t>English</t>
    <phoneticPr fontId="56"/>
  </si>
  <si>
    <t>Non-compliant</t>
    <phoneticPr fontId="56"/>
  </si>
  <si>
    <t xml:space="preserve"> 非適合の為、提出できません。</t>
    <phoneticPr fontId="56"/>
  </si>
  <si>
    <t>We can't submit the certificate for non-compliant.</t>
    <phoneticPr fontId="56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</si>
  <si>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6"/>
  </si>
  <si>
    <t>Please contact to Hirose sales or request on the environment data base.</t>
    <phoneticPr fontId="56"/>
  </si>
  <si>
    <t>グレー背景
Gray background</t>
    <phoneticPr fontId="56"/>
  </si>
  <si>
    <t>重複した製品</t>
    <phoneticPr fontId="56"/>
  </si>
  <si>
    <t>Duplicate products</t>
    <phoneticPr fontId="56"/>
  </si>
  <si>
    <t>赤背景
Red background</t>
    <phoneticPr fontId="56"/>
  </si>
  <si>
    <t>システムに製品の該当なし</t>
    <phoneticPr fontId="56"/>
  </si>
  <si>
    <t>Products are not registered in the system.</t>
    <phoneticPr fontId="56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</si>
  <si>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6"/>
  </si>
  <si>
    <t>高精度分析データ(ICP)
Analysis Data(ICP)</t>
    <phoneticPr fontId="56"/>
  </si>
  <si>
    <t>chemSHERPA</t>
    <phoneticPr fontId="56"/>
  </si>
  <si>
    <t>Do you want to apply?</t>
    <phoneticPr fontId="56"/>
  </si>
  <si>
    <t>2.2 申請に対するチェック結果の説明</t>
    <rPh sb="4" eb="6">
      <t>シンセイ</t>
    </rPh>
    <rPh sb="7" eb="8">
      <t>タイ</t>
    </rPh>
    <rPh sb="14" eb="16">
      <t>ケッカ</t>
    </rPh>
    <rPh sb="17" eb="19">
      <t>セツメイ</t>
    </rPh>
    <phoneticPr fontId="1"/>
  </si>
  <si>
    <t>申請画面で申請された内容に対して、</t>
    <rPh sb="0" eb="2">
      <t>シンセイ</t>
    </rPh>
    <rPh sb="2" eb="4">
      <t>ガメン</t>
    </rPh>
    <rPh sb="5" eb="7">
      <t>シンセイ</t>
    </rPh>
    <rPh sb="10" eb="12">
      <t>ナイヨウ</t>
    </rPh>
    <rPh sb="13" eb="14">
      <t>タイ</t>
    </rPh>
    <phoneticPr fontId="1"/>
  </si>
  <si>
    <t>化学物質データ製品情報テーブルのデータと照合して</t>
    <rPh sb="20" eb="22">
      <t>ショウゴウ</t>
    </rPh>
    <phoneticPr fontId="1"/>
  </si>
  <si>
    <t>得られる、申請可能かどうかの結果データの読み方の</t>
    <rPh sb="0" eb="1">
      <t>エ</t>
    </rPh>
    <rPh sb="5" eb="7">
      <t>シンセイ</t>
    </rPh>
    <rPh sb="7" eb="9">
      <t>カノウ</t>
    </rPh>
    <rPh sb="14" eb="16">
      <t>ケッカ</t>
    </rPh>
    <rPh sb="20" eb="21">
      <t>ヨ</t>
    </rPh>
    <rPh sb="22" eb="23">
      <t>カタ</t>
    </rPh>
    <phoneticPr fontId="1"/>
  </si>
  <si>
    <t>説明書き。</t>
    <rPh sb="0" eb="2">
      <t>セツメイ</t>
    </rPh>
    <rPh sb="2" eb="3">
      <t>ガ</t>
    </rPh>
    <phoneticPr fontId="1"/>
  </si>
  <si>
    <t>"Non-compliant"は赤字で表示する</t>
    <rPh sb="16" eb="18">
      <t>アカジ</t>
    </rPh>
    <rPh sb="19" eb="21">
      <t>ヒョウジ</t>
    </rPh>
    <phoneticPr fontId="1"/>
  </si>
  <si>
    <t>申請画面で入力されたエンドユーザーの値を表示する。</t>
    <rPh sb="0" eb="2">
      <t>シンセイ</t>
    </rPh>
    <rPh sb="2" eb="4">
      <t>ガメン</t>
    </rPh>
    <rPh sb="5" eb="7">
      <t>ニュウリョク</t>
    </rPh>
    <rPh sb="18" eb="19">
      <t>アタイ</t>
    </rPh>
    <rPh sb="20" eb="22">
      <t>ヒョウジ</t>
    </rPh>
    <phoneticPr fontId="1"/>
  </si>
  <si>
    <t>※詳細は別シート「ダウンロードCSVファイルについて」を参照</t>
    <rPh sb="1" eb="3">
      <t>ショウサイ</t>
    </rPh>
    <rPh sb="4" eb="5">
      <t>ベツ</t>
    </rPh>
    <rPh sb="28" eb="30">
      <t>サンショウ</t>
    </rPh>
    <phoneticPr fontId="1"/>
  </si>
  <si>
    <t>2.6 申請チェックボックス</t>
    <rPh sb="4" eb="6">
      <t>シンセイ</t>
    </rPh>
    <phoneticPr fontId="1"/>
  </si>
  <si>
    <t>申請したい製品にチェックを付ける。</t>
    <rPh sb="0" eb="2">
      <t>シンセイ</t>
    </rPh>
    <rPh sb="5" eb="7">
      <t>セイヒン</t>
    </rPh>
    <rPh sb="13" eb="14">
      <t>ツ</t>
    </rPh>
    <phoneticPr fontId="1"/>
  </si>
  <si>
    <t>1つの製品について、申請された証明書種類の証明書に</t>
    <rPh sb="3" eb="5">
      <t>セイヒン</t>
    </rPh>
    <rPh sb="10" eb="12">
      <t>シンセイ</t>
    </rPh>
    <rPh sb="15" eb="18">
      <t>ショウメイショ</t>
    </rPh>
    <rPh sb="18" eb="20">
      <t>シュルイ</t>
    </rPh>
    <rPh sb="21" eb="24">
      <t>ショウメイショ</t>
    </rPh>
    <phoneticPr fontId="1"/>
  </si>
  <si>
    <t>対応しているかどうかをチェックした結果により、</t>
    <rPh sb="17" eb="19">
      <t>ケッカ</t>
    </rPh>
    <phoneticPr fontId="1"/>
  </si>
  <si>
    <t>チェックが付いた状態でチェックボックスが表示される。</t>
    <rPh sb="5" eb="6">
      <t>ツ</t>
    </rPh>
    <rPh sb="8" eb="10">
      <t>ジョウタイ</t>
    </rPh>
    <rPh sb="20" eb="22">
      <t>ヒョウジ</t>
    </rPh>
    <phoneticPr fontId="1"/>
  </si>
  <si>
    <t>チェックボックスは表示されない。</t>
    <rPh sb="9" eb="11">
      <t>ヒョウジ</t>
    </rPh>
    <phoneticPr fontId="1"/>
  </si>
  <si>
    <t>2.7 製品名</t>
    <rPh sb="4" eb="7">
      <t>セイヒンメイ</t>
    </rPh>
    <phoneticPr fontId="1"/>
  </si>
  <si>
    <t>申請画面で入力された製品名/CL-Noを基に</t>
    <rPh sb="0" eb="2">
      <t>シンセイ</t>
    </rPh>
    <rPh sb="2" eb="4">
      <t>ガメン</t>
    </rPh>
    <rPh sb="5" eb="7">
      <t>ニュウリョク</t>
    </rPh>
    <rPh sb="10" eb="13">
      <t>セイヒンメイ</t>
    </rPh>
    <rPh sb="20" eb="21">
      <t>モト</t>
    </rPh>
    <phoneticPr fontId="1"/>
  </si>
  <si>
    <t>製品名を表示する。</t>
    <rPh sb="0" eb="3">
      <t>セイヒンメイ</t>
    </rPh>
    <rPh sb="4" eb="6">
      <t>ヒョウジ</t>
    </rPh>
    <phoneticPr fontId="1"/>
  </si>
  <si>
    <t>2.8 CL（製品番号）</t>
    <rPh sb="7" eb="9">
      <t>セイヒン</t>
    </rPh>
    <rPh sb="9" eb="11">
      <t>バンゴウ</t>
    </rPh>
    <phoneticPr fontId="1"/>
  </si>
  <si>
    <t>CL番号を表示する。</t>
    <rPh sb="2" eb="4">
      <t>バンゴウ</t>
    </rPh>
    <rPh sb="5" eb="7">
      <t>ヒョウジ</t>
    </rPh>
    <phoneticPr fontId="1"/>
  </si>
  <si>
    <t>※一度の申請における最大件数は100。</t>
    <rPh sb="1" eb="3">
      <t>イチド</t>
    </rPh>
    <rPh sb="4" eb="6">
      <t>シンセイ</t>
    </rPh>
    <rPh sb="10" eb="12">
      <t>サイダイ</t>
    </rPh>
    <rPh sb="12" eb="14">
      <t>ケンスウ</t>
    </rPh>
    <phoneticPr fontId="1"/>
  </si>
  <si>
    <t>CLの昇順で表示される。</t>
    <rPh sb="3" eb="5">
      <t>ショウジュン</t>
    </rPh>
    <phoneticPr fontId="1"/>
  </si>
  <si>
    <t>2.9 新製品区分</t>
    <rPh sb="4" eb="7">
      <t>シンセイヒン</t>
    </rPh>
    <rPh sb="7" eb="9">
      <t>クブン</t>
    </rPh>
    <phoneticPr fontId="1"/>
  </si>
  <si>
    <t>該当の製品の新製品区分を表示する。</t>
    <rPh sb="0" eb="2">
      <t>ガイトウ</t>
    </rPh>
    <rPh sb="3" eb="5">
      <t>セイヒン</t>
    </rPh>
    <rPh sb="6" eb="9">
      <t>シンセイヒン</t>
    </rPh>
    <rPh sb="9" eb="11">
      <t>クブン</t>
    </rPh>
    <rPh sb="12" eb="14">
      <t>ヒョウジ</t>
    </rPh>
    <phoneticPr fontId="1"/>
  </si>
  <si>
    <t>2.10 製品販売状況区分</t>
    <rPh sb="5" eb="7">
      <t>セイヒン</t>
    </rPh>
    <rPh sb="7" eb="9">
      <t>ハンバイ</t>
    </rPh>
    <rPh sb="9" eb="11">
      <t>ジョウキョウ</t>
    </rPh>
    <rPh sb="11" eb="13">
      <t>クブン</t>
    </rPh>
    <phoneticPr fontId="1"/>
  </si>
  <si>
    <t>該当の製品の製品販売状況を表示する。</t>
    <rPh sb="0" eb="2">
      <t>ガイトウ</t>
    </rPh>
    <rPh sb="3" eb="5">
      <t>セイヒン</t>
    </rPh>
    <rPh sb="6" eb="8">
      <t>セイヒン</t>
    </rPh>
    <rPh sb="8" eb="10">
      <t>ハンバイ</t>
    </rPh>
    <rPh sb="10" eb="12">
      <t>ジョウキョウ</t>
    </rPh>
    <rPh sb="13" eb="15">
      <t>ヒョウジ</t>
    </rPh>
    <phoneticPr fontId="1"/>
  </si>
  <si>
    <t>2.11 PCN番号</t>
    <rPh sb="8" eb="10">
      <t>バンゴウ</t>
    </rPh>
    <phoneticPr fontId="1"/>
  </si>
  <si>
    <t>該当の製品のPCN番号を表示する。</t>
    <rPh sb="0" eb="2">
      <t>ガイトウ</t>
    </rPh>
    <rPh sb="3" eb="5">
      <t>セイヒン</t>
    </rPh>
    <rPh sb="9" eb="11">
      <t>バンゴウ</t>
    </rPh>
    <rPh sb="12" eb="14">
      <t>ヒョウジ</t>
    </rPh>
    <phoneticPr fontId="1"/>
  </si>
  <si>
    <t>2.12 申請された証明書種類</t>
    <rPh sb="5" eb="7">
      <t>シンセイ</t>
    </rPh>
    <rPh sb="10" eb="13">
      <t>ショウメイショ</t>
    </rPh>
    <rPh sb="13" eb="15">
      <t>シュルイ</t>
    </rPh>
    <phoneticPr fontId="1"/>
  </si>
  <si>
    <t>2.13 製品毎の申請可否チェック結果</t>
    <rPh sb="5" eb="7">
      <t>セイヒン</t>
    </rPh>
    <rPh sb="7" eb="8">
      <t>ゴト</t>
    </rPh>
    <rPh sb="9" eb="11">
      <t>シンセイ</t>
    </rPh>
    <rPh sb="11" eb="13">
      <t>カヒ</t>
    </rPh>
    <rPh sb="17" eb="19">
      <t>ケッカ</t>
    </rPh>
    <phoneticPr fontId="1"/>
  </si>
  <si>
    <t>申請された製品毎に、証明書取得の希望があった</t>
    <rPh sb="0" eb="2">
      <t>シンセイ</t>
    </rPh>
    <rPh sb="5" eb="7">
      <t>セイヒン</t>
    </rPh>
    <rPh sb="7" eb="8">
      <t>ゴト</t>
    </rPh>
    <rPh sb="10" eb="13">
      <t>ショウメイショ</t>
    </rPh>
    <rPh sb="13" eb="15">
      <t>シュトク</t>
    </rPh>
    <rPh sb="16" eb="18">
      <t>キボウ</t>
    </rPh>
    <phoneticPr fontId="1"/>
  </si>
  <si>
    <t>証明書種類毎の申請可否チェック結果を表示する。</t>
    <rPh sb="0" eb="3">
      <t>ショウメイショ</t>
    </rPh>
    <rPh sb="3" eb="5">
      <t>シュルイ</t>
    </rPh>
    <rPh sb="5" eb="6">
      <t>ゴト</t>
    </rPh>
    <rPh sb="7" eb="9">
      <t>シンセイ</t>
    </rPh>
    <rPh sb="9" eb="11">
      <t>カヒ</t>
    </rPh>
    <rPh sb="15" eb="17">
      <t>ケッカ</t>
    </rPh>
    <rPh sb="18" eb="20">
      <t>ヒョウジ</t>
    </rPh>
    <phoneticPr fontId="1"/>
  </si>
  <si>
    <t>■区分値（証明書単位）のセット仕様</t>
    <rPh sb="1" eb="3">
      <t>クブン</t>
    </rPh>
    <rPh sb="3" eb="4">
      <t>チ</t>
    </rPh>
    <rPh sb="5" eb="8">
      <t>ショウメイショ</t>
    </rPh>
    <rPh sb="8" eb="10">
      <t>タンイ</t>
    </rPh>
    <rPh sb="15" eb="17">
      <t>シヨウ</t>
    </rPh>
    <phoneticPr fontId="1"/>
  </si>
  <si>
    <t>・Non-compliant : 申請不可</t>
    <rPh sb="17" eb="19">
      <t>シンセイ</t>
    </rPh>
    <rPh sb="19" eb="21">
      <t>フカ</t>
    </rPh>
    <phoneticPr fontId="1"/>
  </si>
  <si>
    <t>■行（製品単位）のセット仕様：</t>
    <rPh sb="1" eb="2">
      <t>ギョウ</t>
    </rPh>
    <rPh sb="3" eb="5">
      <t>セイヒン</t>
    </rPh>
    <rPh sb="5" eb="7">
      <t>タンイ</t>
    </rPh>
    <rPh sb="12" eb="14">
      <t>シヨウ</t>
    </rPh>
    <phoneticPr fontId="1"/>
  </si>
  <si>
    <t>・グレー背景色：重複した製品名/CL番号</t>
    <rPh sb="12" eb="15">
      <t>セイヒンメイ</t>
    </rPh>
    <phoneticPr fontId="1"/>
  </si>
  <si>
    <t>2.14 戻るボタン</t>
    <rPh sb="5" eb="6">
      <t>モド</t>
    </rPh>
    <phoneticPr fontId="1"/>
  </si>
  <si>
    <t>押下すると、化学物質データ申請画面に戻る</t>
    <rPh sb="0" eb="2">
      <t>オウカ</t>
    </rPh>
    <rPh sb="6" eb="8">
      <t>カガク</t>
    </rPh>
    <rPh sb="8" eb="10">
      <t>ブッシツ</t>
    </rPh>
    <rPh sb="13" eb="15">
      <t>シンセイ</t>
    </rPh>
    <rPh sb="15" eb="17">
      <t>ガメン</t>
    </rPh>
    <rPh sb="18" eb="19">
      <t>モド</t>
    </rPh>
    <phoneticPr fontId="1"/>
  </si>
  <si>
    <t>2.15 申請ボタン</t>
    <rPh sb="5" eb="7">
      <t>シンセイ</t>
    </rPh>
    <phoneticPr fontId="1"/>
  </si>
  <si>
    <t>押下された場合、入力された内容のバリデーションを行う。</t>
    <rPh sb="0" eb="2">
      <t>オウカ</t>
    </rPh>
    <rPh sb="5" eb="7">
      <t>バアイ</t>
    </rPh>
    <rPh sb="8" eb="10">
      <t>ニュウリョク</t>
    </rPh>
    <rPh sb="13" eb="15">
      <t>ナイヨウ</t>
    </rPh>
    <rPh sb="24" eb="25">
      <t>オコナ</t>
    </rPh>
    <phoneticPr fontId="1"/>
  </si>
  <si>
    <t>[エラーがあった場合]</t>
    <rPh sb="8" eb="10">
      <t>バアイ</t>
    </rPh>
    <phoneticPr fontId="1"/>
  </si>
  <si>
    <t>エラーメッセージを表示する。画面遷移はしない。</t>
    <rPh sb="9" eb="11">
      <t>ヒョウジ</t>
    </rPh>
    <rPh sb="14" eb="16">
      <t>ガメン</t>
    </rPh>
    <rPh sb="16" eb="18">
      <t>センイ</t>
    </rPh>
    <phoneticPr fontId="1"/>
  </si>
  <si>
    <t>[エラーがなかった場合]</t>
    <rPh sb="9" eb="11">
      <t>バアイ</t>
    </rPh>
    <phoneticPr fontId="1"/>
  </si>
  <si>
    <t>2.12の申請確認ダイアログを表示する。</t>
    <rPh sb="5" eb="7">
      <t>シンセイ</t>
    </rPh>
    <rPh sb="7" eb="9">
      <t>カクニン</t>
    </rPh>
    <rPh sb="15" eb="17">
      <t>ヒョウジ</t>
    </rPh>
    <phoneticPr fontId="1"/>
  </si>
  <si>
    <t>申請確認ダイアログをクローズする。</t>
    <rPh sb="0" eb="2">
      <t>シンセイ</t>
    </rPh>
    <rPh sb="2" eb="4">
      <t>カクニン</t>
    </rPh>
    <phoneticPr fontId="1"/>
  </si>
  <si>
    <t>申請処理は実行しない。</t>
    <rPh sb="0" eb="2">
      <t>シンセイ</t>
    </rPh>
    <rPh sb="2" eb="4">
      <t>ショリ</t>
    </rPh>
    <rPh sb="5" eb="7">
      <t>ジッコウ</t>
    </rPh>
    <phoneticPr fontId="1"/>
  </si>
  <si>
    <t>申請確認ダイアログをクローズし、</t>
    <rPh sb="0" eb="2">
      <t>シンセイ</t>
    </rPh>
    <rPh sb="2" eb="4">
      <t>カクニン</t>
    </rPh>
    <phoneticPr fontId="1"/>
  </si>
  <si>
    <t>以下の申請処理を実行する。</t>
    <rPh sb="0" eb="2">
      <t>イカ</t>
    </rPh>
    <rPh sb="3" eb="5">
      <t>シンセイ</t>
    </rPh>
    <rPh sb="5" eb="7">
      <t>ショリ</t>
    </rPh>
    <rPh sb="8" eb="10">
      <t>ジッコウ</t>
    </rPh>
    <phoneticPr fontId="1"/>
  </si>
  <si>
    <t>HrsChemicalSubstanceテーブルに申請</t>
    <rPh sb="25" eb="27">
      <t>シンセイ</t>
    </rPh>
    <phoneticPr fontId="1"/>
  </si>
  <si>
    <t>S3の所定フォルダに出力する。</t>
    <rPh sb="3" eb="5">
      <t>ショテイ</t>
    </rPh>
    <phoneticPr fontId="1"/>
  </si>
  <si>
    <t>上記パスはプロパティにて管理すること</t>
    <rPh sb="0" eb="2">
      <t>ジョウキ</t>
    </rPh>
    <rPh sb="12" eb="14">
      <t>カンリ</t>
    </rPh>
    <phoneticPr fontId="1"/>
  </si>
  <si>
    <t>2.18 申請製品数</t>
    <rPh sb="5" eb="7">
      <t>シンセイ</t>
    </rPh>
    <rPh sb="7" eb="9">
      <t>セイヒン</t>
    </rPh>
    <rPh sb="9" eb="10">
      <t>スウ</t>
    </rPh>
    <phoneticPr fontId="1"/>
  </si>
  <si>
    <t>申請数（付与されているチェックの数）</t>
    <rPh sb="0" eb="2">
      <t>シンセイ</t>
    </rPh>
    <rPh sb="2" eb="3">
      <t>スウ</t>
    </rPh>
    <rPh sb="4" eb="6">
      <t>フヨ</t>
    </rPh>
    <rPh sb="16" eb="17">
      <t>カズ</t>
    </rPh>
    <phoneticPr fontId="1"/>
  </si>
  <si>
    <t>2.19 メッセージ表示</t>
    <rPh sb="10" eb="12">
      <t>ヒョウジ</t>
    </rPh>
    <phoneticPr fontId="1"/>
  </si>
  <si>
    <t>申請処理にてエラー発生時、エラーメッセージを表示</t>
    <rPh sb="0" eb="2">
      <t>シンセイ</t>
    </rPh>
    <rPh sb="2" eb="4">
      <t>ショリ</t>
    </rPh>
    <rPh sb="9" eb="11">
      <t>ハッセイ</t>
    </rPh>
    <rPh sb="11" eb="12">
      <t>ジ</t>
    </rPh>
    <rPh sb="22" eb="24">
      <t>ヒョウジ</t>
    </rPh>
    <phoneticPr fontId="1"/>
  </si>
  <si>
    <t>申請画面で入力された提出先企業名の値を表示する。</t>
    <rPh sb="0" eb="2">
      <t>シンセイ</t>
    </rPh>
    <rPh sb="2" eb="4">
      <t>ガメン</t>
    </rPh>
    <rPh sb="5" eb="7">
      <t>ニュウリョク</t>
    </rPh>
    <rPh sb="17" eb="18">
      <t>アタイ</t>
    </rPh>
    <rPh sb="19" eb="21">
      <t>ヒョウジ</t>
    </rPh>
    <phoneticPr fontId="1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</si>
  <si>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Class</t>
    </r>
    <rPh sb="0" eb="3">
      <t>シンセイヒン</t>
    </rPh>
    <rPh sb="3" eb="4">
      <t>ク</t>
    </rPh>
    <rPh sb="4" eb="5">
      <t>フン</t>
    </rPh>
    <phoneticPr fontId="56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</si>
  <si>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6"/>
  </si>
  <si>
    <r>
      <t xml:space="preserve">PCN番号
</t>
    </r>
    <r>
      <rPr>
        <sz val="6"/>
        <rFont val="Meiryo UI"/>
        <family val="3"/>
        <charset val="128"/>
      </rPr>
      <t>PCN No</t>
    </r>
    <rPh sb="3" eb="5">
      <t>バンゴウ</t>
    </rPh>
    <phoneticPr fontId="56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</si>
  <si>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6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</si>
  <si>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6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</si>
  <si>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6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</si>
  <si>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6"/>
  </si>
  <si>
    <t>化学物質データ申請確認</t>
    <phoneticPr fontId="50"/>
  </si>
  <si>
    <t>化学物質データ申請</t>
    <phoneticPr fontId="50"/>
  </si>
  <si>
    <t>r1.2</t>
    <phoneticPr fontId="50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</si>
  <si>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0"/>
  </si>
  <si>
    <t>「化学物質データ申請確認画面」シート</t>
    <phoneticPr fontId="5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</si>
</sst>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4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b/>
      <sz val="6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</fills>
  <borders count="9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</borders>
  <cellStyleXfs count="186">
    <xf numFmtId="0" fontId="0" fillId="0" borderId="0">
      <alignment vertical="center"/>
    </xf>
    <xf numFmtId="0" fontId="23" fillId="0" borderId="0"/>
    <xf numFmtId="0" fontId="23" fillId="0" borderId="0"/>
    <xf numFmtId="176" fontId="24" fillId="0" borderId="0" applyFill="0" applyBorder="0" applyAlignment="0"/>
    <xf numFmtId="0" fontId="25" fillId="3" borderId="0">
      <alignment horizontal="left"/>
    </xf>
    <xf numFmtId="0" fontId="26" fillId="3" borderId="0">
      <alignment horizontal="right"/>
    </xf>
    <xf numFmtId="0" fontId="27" fillId="4" borderId="0">
      <alignment horizontal="center"/>
    </xf>
    <xf numFmtId="0" fontId="26" fillId="3" borderId="0">
      <alignment horizontal="right"/>
    </xf>
    <xf numFmtId="0" fontId="27" fillId="4" borderId="0">
      <alignment horizontal="left"/>
    </xf>
    <xf numFmtId="0" fontId="28" fillId="0" borderId="0">
      <alignment horizontal="left"/>
    </xf>
    <xf numFmtId="38" fontId="29" fillId="5" borderId="0" applyNumberFormat="0" applyBorder="0" applyAlignment="0" applyProtection="0"/>
    <xf numFmtId="0" fontId="30" fillId="0" borderId="1" applyNumberFormat="0" applyAlignment="0" applyProtection="0">
      <alignment horizontal="left" vertical="center"/>
    </xf>
    <xf numFmtId="0" fontId="30" fillId="0" borderId="2">
      <alignment horizontal="left" vertical="center"/>
    </xf>
    <xf numFmtId="10" fontId="29" fillId="6" borderId="3" applyNumberFormat="0" applyBorder="0" applyAlignment="0" applyProtection="0"/>
    <xf numFmtId="0" fontId="25" fillId="3" borderId="0">
      <alignment horizontal="left"/>
    </xf>
    <xf numFmtId="0" fontId="31" fillId="4" borderId="0">
      <alignment horizontal="left"/>
    </xf>
    <xf numFmtId="177" fontId="32" fillId="0" borderId="0"/>
    <xf numFmtId="0" fontId="33" fillId="0" borderId="0"/>
    <xf numFmtId="178" fontId="34" fillId="4" borderId="0">
      <alignment horizontal="right"/>
    </xf>
    <xf numFmtId="0" fontId="35" fillId="7" borderId="0">
      <alignment horizontal="center"/>
    </xf>
    <xf numFmtId="0" fontId="36" fillId="8" borderId="0"/>
    <xf numFmtId="0" fontId="37" fillId="4" borderId="0" applyBorder="0">
      <alignment horizontal="centerContinuous"/>
    </xf>
    <xf numFmtId="0" fontId="38" fillId="8" borderId="0" applyBorder="0">
      <alignment horizontal="centerContinuous"/>
    </xf>
    <xf numFmtId="10" fontId="33" fillId="0" borderId="0" applyFont="0" applyFill="0" applyBorder="0" applyAlignment="0" applyProtection="0"/>
    <xf numFmtId="4" fontId="28" fillId="0" borderId="0">
      <alignment horizontal="right"/>
    </xf>
    <xf numFmtId="0" fontId="31" fillId="9" borderId="0">
      <alignment horizontal="center"/>
    </xf>
    <xf numFmtId="49" fontId="39" fillId="4" borderId="0">
      <alignment horizontal="center"/>
    </xf>
    <xf numFmtId="4" fontId="40" fillId="0" borderId="0">
      <alignment horizontal="right"/>
    </xf>
    <xf numFmtId="0" fontId="26" fillId="3" borderId="0">
      <alignment horizontal="center"/>
    </xf>
    <xf numFmtId="0" fontId="26" fillId="3" borderId="0">
      <alignment horizontal="centerContinuous"/>
    </xf>
    <xf numFmtId="0" fontId="41" fillId="4" borderId="0">
      <alignment horizontal="left"/>
    </xf>
    <xf numFmtId="49" fontId="41" fillId="4" borderId="0">
      <alignment horizontal="center"/>
    </xf>
    <xf numFmtId="0" fontId="25" fillId="3" borderId="0">
      <alignment horizontal="left"/>
    </xf>
    <xf numFmtId="49" fontId="41" fillId="4" borderId="0">
      <alignment horizontal="left"/>
    </xf>
    <xf numFmtId="0" fontId="25" fillId="3" borderId="0">
      <alignment horizontal="centerContinuous"/>
    </xf>
    <xf numFmtId="0" fontId="25" fillId="3" borderId="0">
      <alignment horizontal="right"/>
    </xf>
    <xf numFmtId="49" fontId="31" fillId="4" borderId="0">
      <alignment horizontal="left"/>
    </xf>
    <xf numFmtId="0" fontId="26" fillId="3" borderId="0">
      <alignment horizontal="right"/>
    </xf>
    <xf numFmtId="0" fontId="41" fillId="2" borderId="0">
      <alignment horizontal="center"/>
    </xf>
    <xf numFmtId="0" fontId="42" fillId="2" borderId="0">
      <alignment horizontal="center"/>
    </xf>
    <xf numFmtId="0" fontId="43" fillId="0" borderId="0">
      <alignment horizontal="left"/>
    </xf>
    <xf numFmtId="0" fontId="44" fillId="0" borderId="0"/>
    <xf numFmtId="0" fontId="45" fillId="0" borderId="0">
      <alignment horizontal="center"/>
    </xf>
    <xf numFmtId="0" fontId="46" fillId="4" borderId="0">
      <alignment horizontal="center"/>
    </xf>
    <xf numFmtId="0" fontId="47" fillId="0" borderId="0"/>
    <xf numFmtId="0" fontId="14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>
      <alignment vertical="center"/>
    </xf>
    <xf numFmtId="0" fontId="48" fillId="0" borderId="0"/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9" fillId="0" borderId="0"/>
    <xf numFmtId="0" fontId="5" fillId="0" borderId="0">
      <alignment vertical="center"/>
    </xf>
    <xf numFmtId="0" fontId="62" fillId="0" borderId="0">
      <alignment vertical="center"/>
    </xf>
    <xf numFmtId="0" fontId="14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</cellStyleXfs>
  <cellXfs count="1096">
    <xf numFmtId="0" fontId="0" fillId="0" borderId="0" xfId="0">
      <alignment vertical="center"/>
    </xf>
    <xf numFmtId="0" fontId="14" fillId="0" borderId="0" xfId="48"/>
    <xf numFmtId="0" fontId="15" fillId="0" borderId="0" xfId="48" applyFont="1"/>
    <xf numFmtId="0" fontId="16" fillId="0" borderId="3" xfId="48" applyFont="1" applyBorder="1" applyAlignment="1">
      <alignment horizontal="center"/>
    </xf>
    <xf numFmtId="14" fontId="16" fillId="0" borderId="4" xfId="48" applyNumberFormat="1" applyFont="1" applyBorder="1" applyAlignment="1">
      <alignment horizontal="center"/>
    </xf>
    <xf numFmtId="0" fontId="16" fillId="0" borderId="4" xfId="48" applyFont="1" applyBorder="1" applyAlignment="1">
      <alignment horizontal="center"/>
    </xf>
    <xf numFmtId="0" fontId="16" fillId="0" borderId="5" xfId="48" applyFont="1" applyBorder="1" applyAlignment="1">
      <alignment horizontal="center"/>
    </xf>
    <xf numFmtId="0" fontId="17" fillId="0" borderId="0" xfId="48" applyFont="1"/>
    <xf numFmtId="0" fontId="20" fillId="0" borderId="0" xfId="48" applyFont="1" applyAlignment="1">
      <alignment vertical="center"/>
    </xf>
    <xf numFmtId="0" fontId="16" fillId="14" borderId="0" xfId="48" applyFont="1" applyFill="1" applyAlignment="1">
      <alignment horizontal="center"/>
    </xf>
    <xf numFmtId="14" fontId="16" fillId="14" borderId="0" xfId="48" applyNumberFormat="1" applyFont="1" applyFill="1" applyAlignment="1">
      <alignment horizontal="center"/>
    </xf>
    <xf numFmtId="0" fontId="18" fillId="11" borderId="0" xfId="48" applyFont="1" applyFill="1" applyAlignment="1">
      <alignment vertical="center"/>
    </xf>
    <xf numFmtId="0" fontId="19" fillId="12" borderId="0" xfId="48" applyFont="1" applyFill="1" applyAlignment="1">
      <alignment vertical="center"/>
    </xf>
    <xf numFmtId="0" fontId="20" fillId="0" borderId="0" xfId="48" applyFont="1" applyAlignment="1">
      <alignment horizontal="left" vertical="center"/>
    </xf>
    <xf numFmtId="0" fontId="19" fillId="12" borderId="0" xfId="48" applyFont="1" applyFill="1" applyAlignment="1">
      <alignment horizontal="center" vertical="center"/>
    </xf>
    <xf numFmtId="0" fontId="20" fillId="0" borderId="0" xfId="48" applyFont="1" applyAlignment="1">
      <alignment horizontal="center" vertical="center"/>
    </xf>
    <xf numFmtId="14" fontId="20" fillId="0" borderId="0" xfId="48" applyNumberFormat="1" applyFont="1" applyAlignment="1">
      <alignment horizontal="center" vertical="center"/>
    </xf>
    <xf numFmtId="0" fontId="19" fillId="11" borderId="0" xfId="48" applyFont="1" applyFill="1" applyAlignment="1">
      <alignment vertical="center"/>
    </xf>
    <xf numFmtId="0" fontId="21" fillId="0" borderId="0" xfId="48" applyFont="1" applyAlignment="1">
      <alignment vertical="center"/>
    </xf>
    <xf numFmtId="49" fontId="20" fillId="0" borderId="0" xfId="48" applyNumberFormat="1" applyFont="1" applyAlignment="1">
      <alignment horizontal="center" vertical="center"/>
    </xf>
    <xf numFmtId="0" fontId="22" fillId="0" borderId="0" xfId="48" applyFont="1" applyAlignment="1">
      <alignment vertical="center"/>
    </xf>
    <xf numFmtId="49" fontId="20" fillId="14" borderId="13" xfId="0" applyNumberFormat="1" applyFont="1" applyFill="1" applyBorder="1" applyAlignment="1">
      <alignment vertical="top"/>
    </xf>
    <xf numFmtId="0" fontId="20" fillId="10" borderId="6" xfId="49" applyFont="1" applyFill="1" applyBorder="1" applyAlignment="1">
      <alignment horizontal="right" vertical="center"/>
    </xf>
    <xf numFmtId="0" fontId="52" fillId="14" borderId="6" xfId="49" applyFont="1" applyFill="1" applyBorder="1" applyAlignment="1">
      <alignment horizontal="right" vertical="center"/>
    </xf>
    <xf numFmtId="0" fontId="54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3" fillId="14" borderId="8" xfId="0" applyFont="1" applyFill="1" applyBorder="1">
      <alignment vertical="center"/>
    </xf>
    <xf numFmtId="49" fontId="20" fillId="10" borderId="15" xfId="0" applyNumberFormat="1" applyFont="1" applyFill="1" applyBorder="1" applyAlignment="1">
      <alignment horizontal="center" vertical="center"/>
    </xf>
    <xf numFmtId="0" fontId="53" fillId="14" borderId="0" xfId="0" applyFont="1" applyFill="1">
      <alignment vertical="center"/>
    </xf>
    <xf numFmtId="49" fontId="20" fillId="10" borderId="6" xfId="0" applyNumberFormat="1" applyFont="1" applyFill="1" applyBorder="1" applyAlignment="1">
      <alignment horizontal="left" vertical="center"/>
    </xf>
    <xf numFmtId="0" fontId="58" fillId="14" borderId="0" xfId="161" applyFont="1" applyFill="1">
      <alignment vertical="center"/>
    </xf>
    <xf numFmtId="0" fontId="53" fillId="14" borderId="0" xfId="161" applyFont="1" applyFill="1">
      <alignment vertical="center"/>
    </xf>
    <xf numFmtId="0" fontId="53" fillId="14" borderId="6" xfId="161" applyFont="1" applyFill="1" applyBorder="1">
      <alignment vertical="center"/>
    </xf>
    <xf numFmtId="0" fontId="53" fillId="14" borderId="11" xfId="161" applyFont="1" applyFill="1" applyBorder="1">
      <alignment vertical="center"/>
    </xf>
    <xf numFmtId="0" fontId="20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7" fillId="18" borderId="2" xfId="161" applyFont="1" applyFill="1" applyBorder="1">
      <alignment vertical="center"/>
    </xf>
    <xf numFmtId="0" fontId="53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3" fillId="14" borderId="12" xfId="0" applyFont="1" applyFill="1" applyBorder="1">
      <alignment vertical="center"/>
    </xf>
    <xf numFmtId="0" fontId="20" fillId="10" borderId="22" xfId="46" applyFont="1" applyFill="1" applyBorder="1" applyAlignment="1">
      <alignment horizontal="centerContinuous"/>
    </xf>
    <xf numFmtId="0" fontId="53" fillId="14" borderId="0" xfId="161" applyFont="1" applyFill="1" applyAlignment="1">
      <alignment horizontal="left" vertical="center"/>
    </xf>
    <xf numFmtId="0" fontId="20" fillId="10" borderId="20" xfId="46" applyFont="1" applyFill="1" applyBorder="1" applyAlignment="1">
      <alignment horizontal="centerContinuous"/>
    </xf>
    <xf numFmtId="0" fontId="54" fillId="14" borderId="0" xfId="161" applyFont="1" applyFill="1">
      <alignment vertical="center"/>
    </xf>
    <xf numFmtId="0" fontId="53" fillId="14" borderId="0" xfId="161" applyFont="1" applyFill="1" applyAlignment="1">
      <alignment horizontal="center" vertical="center"/>
    </xf>
    <xf numFmtId="0" fontId="58" fillId="14" borderId="6" xfId="161" quotePrefix="1" applyFont="1" applyFill="1" applyBorder="1">
      <alignment vertical="center"/>
    </xf>
    <xf numFmtId="0" fontId="58" fillId="14" borderId="11" xfId="161" applyFont="1" applyFill="1" applyBorder="1">
      <alignment vertical="center"/>
    </xf>
    <xf numFmtId="0" fontId="68" fillId="18" borderId="10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57" fillId="18" borderId="2" xfId="161" applyFont="1" applyFill="1" applyBorder="1" applyAlignment="1">
      <alignment horizontal="centerContinuous" vertical="center"/>
    </xf>
    <xf numFmtId="0" fontId="57" fillId="18" borderId="17" xfId="161" applyFont="1" applyFill="1" applyBorder="1" applyAlignment="1">
      <alignment horizontal="centerContinuous" vertical="center"/>
    </xf>
    <xf numFmtId="0" fontId="53" fillId="14" borderId="8" xfId="161" applyFont="1" applyFill="1" applyBorder="1">
      <alignment vertical="center"/>
    </xf>
    <xf numFmtId="0" fontId="53" fillId="14" borderId="12" xfId="161" applyFont="1" applyFill="1" applyBorder="1">
      <alignment vertical="center"/>
    </xf>
    <xf numFmtId="0" fontId="53" fillId="19" borderId="10" xfId="161" quotePrefix="1" applyFont="1" applyFill="1" applyBorder="1">
      <alignment vertical="center"/>
    </xf>
    <xf numFmtId="0" fontId="53" fillId="19" borderId="2" xfId="161" applyFont="1" applyFill="1" applyBorder="1">
      <alignment vertical="center"/>
    </xf>
    <xf numFmtId="0" fontId="53" fillId="19" borderId="2" xfId="161" applyFont="1" applyFill="1" applyBorder="1" applyAlignment="1">
      <alignment horizontal="center" vertical="center"/>
    </xf>
    <xf numFmtId="0" fontId="53" fillId="19" borderId="2" xfId="0" applyFont="1" applyFill="1" applyBorder="1">
      <alignment vertical="center"/>
    </xf>
    <xf numFmtId="0" fontId="53" fillId="0" borderId="10" xfId="161" quotePrefix="1" applyFont="1" applyBorder="1">
      <alignment vertical="center"/>
    </xf>
    <xf numFmtId="0" fontId="53" fillId="0" borderId="2" xfId="161" applyFont="1" applyBorder="1">
      <alignment vertical="center"/>
    </xf>
    <xf numFmtId="0" fontId="53" fillId="0" borderId="2" xfId="161" applyFont="1" applyBorder="1" applyAlignment="1">
      <alignment horizontal="center" vertical="center"/>
    </xf>
    <xf numFmtId="0" fontId="53" fillId="0" borderId="2" xfId="0" applyFont="1" applyBorder="1">
      <alignment vertical="center"/>
    </xf>
    <xf numFmtId="0" fontId="53" fillId="0" borderId="0" xfId="161" quotePrefix="1" applyFont="1">
      <alignment vertical="center"/>
    </xf>
    <xf numFmtId="0" fontId="53" fillId="0" borderId="0" xfId="161" applyFont="1">
      <alignment vertical="center"/>
    </xf>
    <xf numFmtId="0" fontId="53" fillId="0" borderId="0" xfId="161" applyFont="1" applyAlignment="1">
      <alignment horizontal="center" vertical="center"/>
    </xf>
    <xf numFmtId="0" fontId="53" fillId="0" borderId="0" xfId="0" applyFont="1">
      <alignment vertical="center"/>
    </xf>
    <xf numFmtId="0" fontId="53" fillId="19" borderId="17" xfId="0" applyFont="1" applyFill="1" applyBorder="1">
      <alignment vertical="center"/>
    </xf>
    <xf numFmtId="0" fontId="53" fillId="0" borderId="8" xfId="0" applyFont="1" applyBorder="1">
      <alignment vertical="center"/>
    </xf>
    <xf numFmtId="0" fontId="53" fillId="0" borderId="0" xfId="161" applyFont="1" applyAlignment="1">
      <alignment horizontal="centerContinuous" vertical="center"/>
    </xf>
    <xf numFmtId="0" fontId="53" fillId="0" borderId="0" xfId="161" applyFont="1" applyAlignment="1">
      <alignment horizontal="left" vertical="center"/>
    </xf>
    <xf numFmtId="0" fontId="53" fillId="0" borderId="17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3" fillId="14" borderId="28" xfId="0" applyFont="1" applyFill="1" applyBorder="1">
      <alignment vertical="center"/>
    </xf>
    <xf numFmtId="0" fontId="53" fillId="14" borderId="31" xfId="0" applyFont="1" applyFill="1" applyBorder="1">
      <alignment vertical="center"/>
    </xf>
    <xf numFmtId="0" fontId="53" fillId="0" borderId="12" xfId="0" applyFont="1" applyBorder="1">
      <alignment vertical="center"/>
    </xf>
    <xf numFmtId="0" fontId="54" fillId="0" borderId="0" xfId="161" applyFont="1">
      <alignment vertical="center"/>
    </xf>
    <xf numFmtId="0" fontId="53" fillId="14" borderId="0" xfId="0" applyFont="1" applyFill="1" applyAlignment="1">
      <alignment horizontal="center" vertical="center"/>
    </xf>
    <xf numFmtId="0" fontId="20" fillId="10" borderId="19" xfId="46" applyFont="1" applyFill="1" applyBorder="1" applyAlignment="1">
      <alignment horizontal="centerContinuous"/>
    </xf>
    <xf numFmtId="0" fontId="20" fillId="10" borderId="16" xfId="46" applyFont="1" applyFill="1" applyBorder="1" applyAlignment="1">
      <alignment horizontal="centerContinuous"/>
    </xf>
    <xf numFmtId="0" fontId="20" fillId="10" borderId="21" xfId="46" applyFont="1" applyFill="1" applyBorder="1" applyAlignment="1">
      <alignment horizontal="centerContinuous"/>
    </xf>
    <xf numFmtId="0" fontId="57" fillId="14" borderId="11" xfId="161" quotePrefix="1" applyFont="1" applyFill="1" applyBorder="1" applyAlignment="1">
      <alignment horizontal="centerContinuous" vertical="center"/>
    </xf>
    <xf numFmtId="0" fontId="53" fillId="14" borderId="0" xfId="0" applyFont="1" applyFill="1" applyAlignment="1">
      <alignment vertical="center" wrapText="1"/>
    </xf>
    <xf numFmtId="0" fontId="54" fillId="14" borderId="0" xfId="161" applyFont="1" applyFill="1" applyAlignment="1">
      <alignment horizontal="center" vertical="center"/>
    </xf>
    <xf numFmtId="0" fontId="54" fillId="0" borderId="0" xfId="161" applyFont="1" applyAlignment="1">
      <alignment horizontal="left" vertical="center"/>
    </xf>
    <xf numFmtId="0" fontId="54" fillId="0" borderId="0" xfId="0" applyFont="1">
      <alignment vertical="center"/>
    </xf>
    <xf numFmtId="0" fontId="54" fillId="0" borderId="0" xfId="161" applyFont="1" applyAlignment="1">
      <alignment horizontal="center" vertical="center"/>
    </xf>
    <xf numFmtId="0" fontId="54" fillId="14" borderId="8" xfId="0" applyFont="1" applyFill="1" applyBorder="1">
      <alignment vertical="center"/>
    </xf>
    <xf numFmtId="0" fontId="54" fillId="0" borderId="8" xfId="161" applyFont="1" applyBorder="1">
      <alignment vertical="center"/>
    </xf>
    <xf numFmtId="0" fontId="54" fillId="0" borderId="8" xfId="0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3" fillId="0" borderId="0" xfId="161" quotePrefix="1" applyFont="1" applyAlignment="1">
      <alignment horizontal="centerContinuous" vertical="center"/>
    </xf>
    <xf numFmtId="0" fontId="58" fillId="14" borderId="2" xfId="161" applyFont="1" applyFill="1" applyBorder="1">
      <alignment vertical="center"/>
    </xf>
    <xf numFmtId="0" fontId="58" fillId="14" borderId="8" xfId="161" applyFont="1" applyFill="1" applyBorder="1">
      <alignment vertical="center"/>
    </xf>
    <xf numFmtId="0" fontId="53" fillId="0" borderId="6" xfId="0" applyFont="1" applyBorder="1">
      <alignment vertical="center"/>
    </xf>
    <xf numFmtId="0" fontId="53" fillId="14" borderId="2" xfId="161" applyFont="1" applyFill="1" applyBorder="1">
      <alignment vertical="center"/>
    </xf>
    <xf numFmtId="0" fontId="53" fillId="14" borderId="2" xfId="161" applyFont="1" applyFill="1" applyBorder="1" applyAlignment="1">
      <alignment horizontal="center" vertical="center"/>
    </xf>
    <xf numFmtId="0" fontId="53" fillId="14" borderId="17" xfId="0" applyFont="1" applyFill="1" applyBorder="1">
      <alignment vertical="center"/>
    </xf>
    <xf numFmtId="0" fontId="53" fillId="14" borderId="10" xfId="0" applyFont="1" applyFill="1" applyBorder="1">
      <alignment vertical="center"/>
    </xf>
    <xf numFmtId="0" fontId="54" fillId="14" borderId="3" xfId="161" applyFont="1" applyFill="1" applyBorder="1" applyAlignment="1">
      <alignment horizontal="center" vertical="center"/>
    </xf>
    <xf numFmtId="0" fontId="53" fillId="0" borderId="8" xfId="161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12" xfId="161" quotePrefix="1" applyFont="1" applyBorder="1">
      <alignment vertical="center"/>
    </xf>
    <xf numFmtId="0" fontId="53" fillId="0" borderId="12" xfId="161" applyFont="1" applyBorder="1">
      <alignment vertical="center"/>
    </xf>
    <xf numFmtId="0" fontId="53" fillId="0" borderId="12" xfId="161" applyFont="1" applyBorder="1" applyAlignment="1">
      <alignment horizontal="center" vertical="center"/>
    </xf>
    <xf numFmtId="0" fontId="53" fillId="0" borderId="8" xfId="161" quotePrefix="1" applyFont="1" applyBorder="1">
      <alignment vertical="center"/>
    </xf>
    <xf numFmtId="0" fontId="61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3" fillId="0" borderId="0" xfId="161" applyFont="1">
      <alignment vertical="center"/>
    </xf>
    <xf numFmtId="0" fontId="73" fillId="0" borderId="0" xfId="0" applyFont="1">
      <alignment vertical="center"/>
    </xf>
    <xf numFmtId="0" fontId="73" fillId="14" borderId="0" xfId="0" applyFont="1" applyFill="1">
      <alignment vertical="center"/>
    </xf>
    <xf numFmtId="0" fontId="54" fillId="14" borderId="12" xfId="161" applyFont="1" applyFill="1" applyBorder="1">
      <alignment vertical="center"/>
    </xf>
    <xf numFmtId="0" fontId="20" fillId="10" borderId="18" xfId="46" applyFont="1" applyFill="1" applyBorder="1" applyAlignment="1">
      <alignment horizontal="centerContinuous"/>
    </xf>
    <xf numFmtId="0" fontId="53" fillId="14" borderId="0" xfId="0" applyFont="1" applyFill="1" applyAlignment="1">
      <alignment horizontal="left" vertical="center"/>
    </xf>
    <xf numFmtId="0" fontId="61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1" fillId="0" borderId="10" xfId="161" quotePrefix="1" applyFont="1" applyBorder="1">
      <alignment vertical="center"/>
    </xf>
    <xf numFmtId="0" fontId="61" fillId="0" borderId="2" xfId="161" quotePrefix="1" applyFont="1" applyBorder="1">
      <alignment vertical="center"/>
    </xf>
    <xf numFmtId="0" fontId="53" fillId="0" borderId="0" xfId="161" quotePrefix="1" applyFont="1" applyAlignment="1">
      <alignment horizontal="left" vertical="center"/>
    </xf>
    <xf numFmtId="0" fontId="53" fillId="0" borderId="25" xfId="161" applyFont="1" applyBorder="1" applyAlignment="1">
      <alignment horizontal="center" vertical="center"/>
    </xf>
    <xf numFmtId="0" fontId="53" fillId="0" borderId="2" xfId="161" quotePrefix="1" applyFont="1" applyBorder="1">
      <alignment vertical="center"/>
    </xf>
    <xf numFmtId="14" fontId="53" fillId="0" borderId="10" xfId="161" quotePrefix="1" applyNumberFormat="1" applyFont="1" applyBorder="1">
      <alignment vertical="center"/>
    </xf>
    <xf numFmtId="0" fontId="53" fillId="0" borderId="0" xfId="0" applyFont="1" applyAlignment="1">
      <alignment vertical="center" wrapText="1"/>
    </xf>
    <xf numFmtId="0" fontId="53" fillId="0" borderId="0" xfId="0" applyFont="1" applyAlignment="1">
      <alignment horizontal="center" vertical="center"/>
    </xf>
    <xf numFmtId="0" fontId="54" fillId="0" borderId="0" xfId="161" quotePrefix="1" applyFont="1">
      <alignment vertical="center"/>
    </xf>
    <xf numFmtId="0" fontId="54" fillId="0" borderId="2" xfId="161" applyFont="1" applyBorder="1">
      <alignment vertical="center"/>
    </xf>
    <xf numFmtId="0" fontId="58" fillId="14" borderId="6" xfId="180" quotePrefix="1" applyFont="1" applyFill="1" applyBorder="1">
      <alignment vertical="center"/>
    </xf>
    <xf numFmtId="0" fontId="53" fillId="14" borderId="0" xfId="180" applyFont="1" applyFill="1">
      <alignment vertical="center"/>
    </xf>
    <xf numFmtId="0" fontId="54" fillId="19" borderId="2" xfId="180" applyFont="1" applyFill="1" applyBorder="1" applyAlignment="1">
      <alignment horizontal="centerContinuous" vertical="center"/>
    </xf>
    <xf numFmtId="0" fontId="61" fillId="19" borderId="2" xfId="180" applyFont="1" applyFill="1" applyBorder="1" applyAlignment="1">
      <alignment horizontal="centerContinuous" vertical="center"/>
    </xf>
    <xf numFmtId="0" fontId="54" fillId="19" borderId="10" xfId="180" applyFont="1" applyFill="1" applyBorder="1" applyAlignment="1">
      <alignment horizontal="centerContinuous" vertical="center"/>
    </xf>
    <xf numFmtId="0" fontId="53" fillId="19" borderId="2" xfId="180" applyFont="1" applyFill="1" applyBorder="1" applyAlignment="1">
      <alignment horizontal="centerContinuous" vertical="center"/>
    </xf>
    <xf numFmtId="0" fontId="53" fillId="0" borderId="0" xfId="180" applyFont="1">
      <alignment vertical="center"/>
    </xf>
    <xf numFmtId="0" fontId="65" fillId="14" borderId="0" xfId="180" applyFont="1" applyFill="1">
      <alignment vertical="center"/>
    </xf>
    <xf numFmtId="0" fontId="77" fillId="14" borderId="2" xfId="180" quotePrefix="1" applyFont="1" applyFill="1" applyBorder="1">
      <alignment vertical="center"/>
    </xf>
    <xf numFmtId="0" fontId="53" fillId="14" borderId="10" xfId="180" applyFont="1" applyFill="1" applyBorder="1" applyAlignment="1">
      <alignment horizontal="centerContinuous" vertical="center"/>
    </xf>
    <xf numFmtId="0" fontId="53" fillId="14" borderId="2" xfId="180" applyFont="1" applyFill="1" applyBorder="1" applyAlignment="1">
      <alignment horizontal="centerContinuous" vertical="center"/>
    </xf>
    <xf numFmtId="0" fontId="74" fillId="14" borderId="10" xfId="180" applyFont="1" applyFill="1" applyBorder="1" applyAlignment="1">
      <alignment horizontal="center" vertical="center"/>
    </xf>
    <xf numFmtId="0" fontId="53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8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4" fillId="14" borderId="2" xfId="180" applyFont="1" applyFill="1" applyBorder="1" applyAlignment="1">
      <alignment horizontal="centerContinuous" vertical="center"/>
    </xf>
    <xf numFmtId="0" fontId="53" fillId="14" borderId="0" xfId="180" applyFont="1" applyFill="1" applyAlignment="1">
      <alignment horizontal="center" vertical="center"/>
    </xf>
    <xf numFmtId="0" fontId="53" fillId="14" borderId="0" xfId="180" quotePrefix="1" applyFont="1" applyFill="1">
      <alignment vertical="center"/>
    </xf>
    <xf numFmtId="14" fontId="61" fillId="0" borderId="10" xfId="161" quotePrefix="1" applyNumberFormat="1" applyFont="1" applyBorder="1" applyAlignment="1">
      <alignment horizontal="centerContinuous" vertical="center"/>
    </xf>
    <xf numFmtId="14" fontId="61" fillId="0" borderId="2" xfId="161" quotePrefix="1" applyNumberFormat="1" applyFont="1" applyBorder="1" applyAlignment="1">
      <alignment horizontal="centerContinuous" vertical="center"/>
    </xf>
    <xf numFmtId="0" fontId="61" fillId="0" borderId="2" xfId="161" quotePrefix="1" applyFont="1" applyBorder="1" applyAlignment="1">
      <alignment horizontal="centerContinuous" vertical="center"/>
    </xf>
    <xf numFmtId="0" fontId="61" fillId="0" borderId="17" xfId="161" quotePrefix="1" applyFont="1" applyBorder="1" applyAlignment="1">
      <alignment horizontal="centerContinuous" vertical="center"/>
    </xf>
    <xf numFmtId="0" fontId="61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0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8" fillId="14" borderId="14" xfId="161" applyFont="1" applyFill="1" applyBorder="1">
      <alignment vertical="center"/>
    </xf>
    <xf numFmtId="0" fontId="79" fillId="0" borderId="0" xfId="0" applyFont="1">
      <alignment vertical="center"/>
    </xf>
    <xf numFmtId="0" fontId="20" fillId="10" borderId="26" xfId="46" applyFont="1" applyFill="1" applyBorder="1" applyAlignment="1">
      <alignment horizontal="centerContinuous"/>
    </xf>
    <xf numFmtId="0" fontId="53" fillId="0" borderId="23" xfId="161" applyFont="1" applyBorder="1" applyAlignment="1">
      <alignment horizontal="center" vertical="center"/>
    </xf>
    <xf numFmtId="0" fontId="63" fillId="0" borderId="2" xfId="161" applyFont="1" applyBorder="1" applyAlignment="1">
      <alignment horizontal="centerContinuous" vertical="center"/>
    </xf>
    <xf numFmtId="0" fontId="63" fillId="0" borderId="17" xfId="161" applyFont="1" applyBorder="1" applyAlignment="1">
      <alignment horizontal="centerContinuous" vertical="center"/>
    </xf>
    <xf numFmtId="0" fontId="69" fillId="0" borderId="15" xfId="161" applyFont="1" applyBorder="1" applyAlignment="1">
      <alignment horizontal="left" vertical="center"/>
    </xf>
    <xf numFmtId="0" fontId="69" fillId="0" borderId="12" xfId="161" applyFont="1" applyBorder="1" applyAlignment="1">
      <alignment horizontal="left" vertical="center"/>
    </xf>
    <xf numFmtId="0" fontId="69" fillId="0" borderId="12" xfId="0" applyFont="1" applyBorder="1">
      <alignment vertical="center"/>
    </xf>
    <xf numFmtId="0" fontId="69" fillId="0" borderId="12" xfId="161" applyFont="1" applyBorder="1" applyAlignment="1">
      <alignment horizontal="center" vertical="center"/>
    </xf>
    <xf numFmtId="0" fontId="69" fillId="0" borderId="12" xfId="161" applyFont="1" applyBorder="1">
      <alignment vertical="center"/>
    </xf>
    <xf numFmtId="0" fontId="69" fillId="0" borderId="12" xfId="0" applyFont="1" applyBorder="1" applyAlignment="1">
      <alignment horizontal="center" vertical="center"/>
    </xf>
    <xf numFmtId="0" fontId="69" fillId="0" borderId="7" xfId="161" applyFont="1" applyBorder="1" applyAlignment="1">
      <alignment horizontal="left" vertical="center"/>
    </xf>
    <xf numFmtId="0" fontId="69" fillId="0" borderId="8" xfId="161" applyFont="1" applyBorder="1" applyAlignment="1">
      <alignment horizontal="left" vertical="center"/>
    </xf>
    <xf numFmtId="0" fontId="69" fillId="0" borderId="8" xfId="0" applyFont="1" applyBorder="1">
      <alignment vertical="center"/>
    </xf>
    <xf numFmtId="0" fontId="69" fillId="0" borderId="8" xfId="161" applyFont="1" applyBorder="1" applyAlignment="1">
      <alignment horizontal="center" vertical="center"/>
    </xf>
    <xf numFmtId="0" fontId="69" fillId="0" borderId="8" xfId="161" applyFont="1" applyBorder="1">
      <alignment vertical="center"/>
    </xf>
    <xf numFmtId="0" fontId="69" fillId="0" borderId="8" xfId="0" applyFont="1" applyBorder="1" applyAlignment="1">
      <alignment horizontal="center" vertical="center"/>
    </xf>
    <xf numFmtId="0" fontId="20" fillId="10" borderId="0" xfId="46" applyFont="1" applyFill="1" applyAlignment="1">
      <alignment horizontal="centerContinuous"/>
    </xf>
    <xf numFmtId="0" fontId="58" fillId="19" borderId="10" xfId="180" applyFont="1" applyFill="1" applyBorder="1">
      <alignment vertical="center"/>
    </xf>
    <xf numFmtId="0" fontId="58" fillId="19" borderId="2" xfId="180" applyFont="1" applyFill="1" applyBorder="1">
      <alignment vertical="center"/>
    </xf>
    <xf numFmtId="0" fontId="53" fillId="19" borderId="2" xfId="180" applyFont="1" applyFill="1" applyBorder="1">
      <alignment vertical="center"/>
    </xf>
    <xf numFmtId="0" fontId="53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3" fillId="19" borderId="2" xfId="180" quotePrefix="1" applyFont="1" applyFill="1" applyBorder="1">
      <alignment vertical="center"/>
    </xf>
    <xf numFmtId="0" fontId="65" fillId="19" borderId="2" xfId="161" applyFont="1" applyFill="1" applyBorder="1">
      <alignment vertical="center"/>
    </xf>
    <xf numFmtId="0" fontId="53" fillId="19" borderId="2" xfId="0" applyFont="1" applyFill="1" applyBorder="1" applyAlignment="1">
      <alignment vertical="center" wrapText="1"/>
    </xf>
    <xf numFmtId="0" fontId="53" fillId="19" borderId="2" xfId="161" quotePrefix="1" applyFont="1" applyFill="1" applyBorder="1">
      <alignment vertical="center"/>
    </xf>
    <xf numFmtId="0" fontId="58" fillId="19" borderId="17" xfId="180" applyFont="1" applyFill="1" applyBorder="1">
      <alignment vertical="center"/>
    </xf>
    <xf numFmtId="0" fontId="20" fillId="0" borderId="2" xfId="0" applyFont="1" applyBorder="1" applyAlignment="1">
      <alignment horizontal="center" vertical="top"/>
    </xf>
    <xf numFmtId="0" fontId="20" fillId="22" borderId="2" xfId="0" applyFont="1" applyFill="1" applyBorder="1" applyAlignment="1">
      <alignment horizontal="center" vertical="top"/>
    </xf>
    <xf numFmtId="0" fontId="20" fillId="23" borderId="2" xfId="0" applyFont="1" applyFill="1" applyBorder="1" applyAlignment="1">
      <alignment horizontal="center" vertical="top"/>
    </xf>
    <xf numFmtId="0" fontId="53" fillId="0" borderId="15" xfId="0" applyFont="1" applyBorder="1">
      <alignment vertical="center"/>
    </xf>
    <xf numFmtId="0" fontId="81" fillId="0" borderId="0" xfId="161" applyFont="1">
      <alignment vertical="center"/>
    </xf>
    <xf numFmtId="0" fontId="81" fillId="0" borderId="0" xfId="0" applyFont="1">
      <alignment vertical="center"/>
    </xf>
    <xf numFmtId="0" fontId="81" fillId="0" borderId="0" xfId="161" applyFont="1" applyAlignment="1">
      <alignment horizontal="center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69" fillId="0" borderId="0" xfId="161" applyFont="1" applyAlignment="1">
      <alignment horizontal="center" vertical="center"/>
    </xf>
    <xf numFmtId="0" fontId="69" fillId="0" borderId="0" xfId="161" applyFont="1">
      <alignment vertical="center"/>
    </xf>
    <xf numFmtId="0" fontId="69" fillId="0" borderId="0" xfId="0" applyFont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53" fillId="14" borderId="6" xfId="161" quotePrefix="1" applyFont="1" applyFill="1" applyBorder="1">
      <alignment vertical="center"/>
    </xf>
    <xf numFmtId="0" fontId="79" fillId="14" borderId="6" xfId="161" quotePrefix="1" applyFont="1" applyFill="1" applyBorder="1">
      <alignment vertical="center"/>
    </xf>
    <xf numFmtId="0" fontId="79" fillId="14" borderId="0" xfId="161" applyFont="1" applyFill="1">
      <alignment vertical="center"/>
    </xf>
    <xf numFmtId="0" fontId="76" fillId="14" borderId="0" xfId="0" applyFont="1" applyFill="1">
      <alignment vertical="center"/>
    </xf>
    <xf numFmtId="0" fontId="54" fillId="24" borderId="15" xfId="161" applyFont="1" applyFill="1" applyBorder="1" applyAlignment="1">
      <alignment horizontal="centerContinuous" vertical="center"/>
    </xf>
    <xf numFmtId="0" fontId="54" fillId="24" borderId="12" xfId="161" applyFont="1" applyFill="1" applyBorder="1" applyAlignment="1">
      <alignment horizontal="centerContinuous" vertical="center"/>
    </xf>
    <xf numFmtId="0" fontId="54" fillId="24" borderId="13" xfId="161" applyFont="1" applyFill="1" applyBorder="1" applyAlignment="1">
      <alignment horizontal="centerContinuous" vertical="center"/>
    </xf>
    <xf numFmtId="0" fontId="54" fillId="24" borderId="15" xfId="161" quotePrefix="1" applyFont="1" applyFill="1" applyBorder="1" applyAlignment="1">
      <alignment horizontal="centerContinuous" vertical="center"/>
    </xf>
    <xf numFmtId="0" fontId="54" fillId="24" borderId="12" xfId="161" quotePrefix="1" applyFont="1" applyFill="1" applyBorder="1" applyAlignment="1">
      <alignment horizontal="centerContinuous" vertical="center"/>
    </xf>
    <xf numFmtId="0" fontId="61" fillId="24" borderId="15" xfId="161" applyFont="1" applyFill="1" applyBorder="1" applyAlignment="1">
      <alignment horizontal="centerContinuous" vertical="center"/>
    </xf>
    <xf numFmtId="0" fontId="61" fillId="24" borderId="12" xfId="161" applyFont="1" applyFill="1" applyBorder="1" applyAlignment="1">
      <alignment horizontal="centerContinuous" vertical="center"/>
    </xf>
    <xf numFmtId="0" fontId="61" fillId="24" borderId="13" xfId="161" applyFont="1" applyFill="1" applyBorder="1" applyAlignment="1">
      <alignment horizontal="centerContinuous" vertical="center"/>
    </xf>
    <xf numFmtId="0" fontId="54" fillId="24" borderId="7" xfId="161" quotePrefix="1" applyFont="1" applyFill="1" applyBorder="1" applyAlignment="1">
      <alignment horizontal="centerContinuous" vertical="center"/>
    </xf>
    <xf numFmtId="0" fontId="54" fillId="24" borderId="8" xfId="161" applyFont="1" applyFill="1" applyBorder="1" applyAlignment="1">
      <alignment horizontal="centerContinuous" vertical="center"/>
    </xf>
    <xf numFmtId="0" fontId="54" fillId="24" borderId="14" xfId="161" applyFont="1" applyFill="1" applyBorder="1" applyAlignment="1">
      <alignment horizontal="centerContinuous" vertical="center"/>
    </xf>
    <xf numFmtId="0" fontId="54" fillId="24" borderId="8" xfId="161" quotePrefix="1" applyFont="1" applyFill="1" applyBorder="1" applyAlignment="1">
      <alignment horizontal="centerContinuous" vertical="center"/>
    </xf>
    <xf numFmtId="0" fontId="61" fillId="24" borderId="7" xfId="161" quotePrefix="1" applyFont="1" applyFill="1" applyBorder="1" applyAlignment="1">
      <alignment horizontal="centerContinuous" vertical="center"/>
    </xf>
    <xf numFmtId="0" fontId="61" fillId="24" borderId="8" xfId="161" quotePrefix="1" applyFont="1" applyFill="1" applyBorder="1" applyAlignment="1">
      <alignment horizontal="centerContinuous" vertical="center"/>
    </xf>
    <xf numFmtId="0" fontId="61" fillId="24" borderId="8" xfId="161" applyFont="1" applyFill="1" applyBorder="1" applyAlignment="1">
      <alignment horizontal="centerContinuous" vertical="center"/>
    </xf>
    <xf numFmtId="0" fontId="61" fillId="24" borderId="14" xfId="161" applyFont="1" applyFill="1" applyBorder="1" applyAlignment="1">
      <alignment horizontal="centerContinuous" vertical="center"/>
    </xf>
    <xf numFmtId="0" fontId="61" fillId="0" borderId="10" xfId="161" quotePrefix="1" applyFont="1" applyBorder="1" applyAlignment="1">
      <alignment horizontal="left" vertical="center"/>
    </xf>
    <xf numFmtId="0" fontId="61" fillId="0" borderId="2" xfId="161" quotePrefix="1" applyFont="1" applyBorder="1" applyAlignment="1">
      <alignment horizontal="left" vertical="center"/>
    </xf>
    <xf numFmtId="0" fontId="53" fillId="25" borderId="2" xfId="161" quotePrefix="1" applyFont="1" applyFill="1" applyBorder="1">
      <alignment vertical="center"/>
    </xf>
    <xf numFmtId="0" fontId="53" fillId="25" borderId="2" xfId="16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3" fillId="25" borderId="2" xfId="0" quotePrefix="1" applyFont="1" applyFill="1" applyBorder="1">
      <alignment vertical="center"/>
    </xf>
    <xf numFmtId="0" fontId="53" fillId="25" borderId="2" xfId="0" applyFont="1" applyFill="1" applyBorder="1">
      <alignment vertical="center"/>
    </xf>
    <xf numFmtId="0" fontId="53" fillId="25" borderId="2" xfId="0" applyFont="1" applyFill="1" applyBorder="1" applyAlignment="1">
      <alignment horizontal="center" vertical="center"/>
    </xf>
    <xf numFmtId="0" fontId="53" fillId="25" borderId="2" xfId="0" applyFont="1" applyFill="1" applyBorder="1" applyAlignment="1">
      <alignment horizontal="left" vertical="center"/>
    </xf>
    <xf numFmtId="0" fontId="53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79" fillId="25" borderId="2" xfId="0" applyFont="1" applyFill="1" applyBorder="1">
      <alignment vertical="center"/>
    </xf>
    <xf numFmtId="0" fontId="80" fillId="14" borderId="0" xfId="0" applyFont="1" applyFill="1">
      <alignment vertical="center"/>
    </xf>
    <xf numFmtId="0" fontId="54" fillId="21" borderId="15" xfId="161" applyFont="1" applyFill="1" applyBorder="1" applyAlignment="1">
      <alignment horizontal="centerContinuous" vertical="center"/>
    </xf>
    <xf numFmtId="0" fontId="54" fillId="21" borderId="12" xfId="161" applyFont="1" applyFill="1" applyBorder="1" applyAlignment="1">
      <alignment horizontal="centerContinuous" vertical="center"/>
    </xf>
    <xf numFmtId="0" fontId="54" fillId="21" borderId="13" xfId="161" applyFont="1" applyFill="1" applyBorder="1" applyAlignment="1">
      <alignment horizontal="centerContinuous" vertical="center"/>
    </xf>
    <xf numFmtId="0" fontId="54" fillId="21" borderId="15" xfId="161" quotePrefix="1" applyFont="1" applyFill="1" applyBorder="1" applyAlignment="1">
      <alignment horizontal="centerContinuous" vertical="center"/>
    </xf>
    <xf numFmtId="0" fontId="54" fillId="21" borderId="12" xfId="161" quotePrefix="1" applyFont="1" applyFill="1" applyBorder="1" applyAlignment="1">
      <alignment horizontal="centerContinuous" vertical="center"/>
    </xf>
    <xf numFmtId="0" fontId="61" fillId="21" borderId="15" xfId="161" applyFont="1" applyFill="1" applyBorder="1" applyAlignment="1">
      <alignment horizontal="centerContinuous" vertical="center"/>
    </xf>
    <xf numFmtId="0" fontId="61" fillId="21" borderId="12" xfId="161" applyFont="1" applyFill="1" applyBorder="1" applyAlignment="1">
      <alignment horizontal="centerContinuous" vertical="center"/>
    </xf>
    <xf numFmtId="0" fontId="61" fillId="21" borderId="13" xfId="161" applyFont="1" applyFill="1" applyBorder="1" applyAlignment="1">
      <alignment horizontal="centerContinuous" vertical="center"/>
    </xf>
    <xf numFmtId="0" fontId="61" fillId="0" borderId="10" xfId="161" quotePrefix="1" applyFont="1" applyBorder="1" applyAlignment="1">
      <alignment horizontal="centerContinuous" vertical="center"/>
    </xf>
    <xf numFmtId="0" fontId="54" fillId="26" borderId="15" xfId="161" applyFont="1" applyFill="1" applyBorder="1" applyAlignment="1">
      <alignment horizontal="centerContinuous" vertical="center"/>
    </xf>
    <xf numFmtId="0" fontId="54" fillId="26" borderId="12" xfId="161" applyFont="1" applyFill="1" applyBorder="1" applyAlignment="1">
      <alignment horizontal="centerContinuous" vertical="center"/>
    </xf>
    <xf numFmtId="0" fontId="54" fillId="26" borderId="13" xfId="161" applyFont="1" applyFill="1" applyBorder="1" applyAlignment="1">
      <alignment horizontal="centerContinuous" vertical="center"/>
    </xf>
    <xf numFmtId="0" fontId="54" fillId="26" borderId="15" xfId="161" quotePrefix="1" applyFont="1" applyFill="1" applyBorder="1" applyAlignment="1">
      <alignment horizontal="centerContinuous" vertical="center"/>
    </xf>
    <xf numFmtId="0" fontId="54" fillId="26" borderId="12" xfId="161" quotePrefix="1" applyFont="1" applyFill="1" applyBorder="1" applyAlignment="1">
      <alignment horizontal="centerContinuous" vertical="center"/>
    </xf>
    <xf numFmtId="0" fontId="61" fillId="26" borderId="15" xfId="161" applyFont="1" applyFill="1" applyBorder="1" applyAlignment="1">
      <alignment horizontal="centerContinuous" vertical="center"/>
    </xf>
    <xf numFmtId="0" fontId="61" fillId="26" borderId="12" xfId="161" applyFont="1" applyFill="1" applyBorder="1" applyAlignment="1">
      <alignment horizontal="centerContinuous" vertical="center"/>
    </xf>
    <xf numFmtId="0" fontId="61" fillId="26" borderId="13" xfId="161" applyFont="1" applyFill="1" applyBorder="1" applyAlignment="1">
      <alignment horizontal="centerContinuous" vertical="center"/>
    </xf>
    <xf numFmtId="0" fontId="61" fillId="26" borderId="12" xfId="161" quotePrefix="1" applyFont="1" applyFill="1" applyBorder="1" applyAlignment="1">
      <alignment horizontal="centerContinuous" vertical="center"/>
    </xf>
    <xf numFmtId="183" fontId="61" fillId="0" borderId="2" xfId="161" quotePrefix="1" applyNumberFormat="1" applyFont="1" applyBorder="1" applyAlignment="1">
      <alignment horizontal="right" vertical="center"/>
    </xf>
    <xf numFmtId="0" fontId="61" fillId="26" borderId="15" xfId="161" quotePrefix="1" applyFont="1" applyFill="1" applyBorder="1" applyAlignment="1">
      <alignment horizontal="centerContinuous" vertical="center"/>
    </xf>
    <xf numFmtId="0" fontId="88" fillId="0" borderId="0" xfId="0" applyFont="1">
      <alignment vertical="center"/>
    </xf>
    <xf numFmtId="0" fontId="73" fillId="14" borderId="8" xfId="0" applyFont="1" applyFill="1" applyBorder="1">
      <alignment vertical="center"/>
    </xf>
    <xf numFmtId="0" fontId="53" fillId="14" borderId="6" xfId="180" applyFont="1" applyFill="1" applyBorder="1">
      <alignment vertical="center"/>
    </xf>
    <xf numFmtId="0" fontId="53" fillId="14" borderId="2" xfId="180" quotePrefix="1" applyFont="1" applyFill="1" applyBorder="1">
      <alignment vertical="center"/>
    </xf>
    <xf numFmtId="0" fontId="53" fillId="14" borderId="2" xfId="180" applyFont="1" applyFill="1" applyBorder="1">
      <alignment vertical="center"/>
    </xf>
    <xf numFmtId="0" fontId="53" fillId="14" borderId="2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64" fillId="14" borderId="3" xfId="180" applyFont="1" applyFill="1" applyBorder="1" applyAlignment="1">
      <alignment horizontal="center" vertical="center"/>
    </xf>
    <xf numFmtId="0" fontId="53" fillId="0" borderId="28" xfId="0" applyFont="1" applyBorder="1">
      <alignment vertical="center"/>
    </xf>
    <xf numFmtId="0" fontId="53" fillId="14" borderId="28" xfId="161" applyFont="1" applyFill="1" applyBorder="1">
      <alignment vertical="center"/>
    </xf>
    <xf numFmtId="0" fontId="53" fillId="14" borderId="29" xfId="161" applyFont="1" applyFill="1" applyBorder="1">
      <alignment vertical="center"/>
    </xf>
    <xf numFmtId="0" fontId="54" fillId="14" borderId="33" xfId="161" applyFont="1" applyFill="1" applyBorder="1">
      <alignment vertical="center"/>
    </xf>
    <xf numFmtId="0" fontId="53" fillId="14" borderId="34" xfId="161" applyFont="1" applyFill="1" applyBorder="1">
      <alignment vertical="center"/>
    </xf>
    <xf numFmtId="0" fontId="54" fillId="14" borderId="30" xfId="161" applyFont="1" applyFill="1" applyBorder="1">
      <alignment vertical="center"/>
    </xf>
    <xf numFmtId="0" fontId="53" fillId="14" borderId="31" xfId="161" applyFont="1" applyFill="1" applyBorder="1">
      <alignment vertical="center"/>
    </xf>
    <xf numFmtId="0" fontId="53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4" fillId="0" borderId="31" xfId="161" applyFont="1" applyBorder="1">
      <alignment vertical="center"/>
    </xf>
    <xf numFmtId="0" fontId="53" fillId="0" borderId="31" xfId="161" applyFont="1" applyBorder="1">
      <alignment vertical="center"/>
    </xf>
    <xf numFmtId="0" fontId="53" fillId="0" borderId="31" xfId="0" applyFont="1" applyBorder="1" applyAlignment="1">
      <alignment vertical="center" wrapText="1"/>
    </xf>
    <xf numFmtId="0" fontId="53" fillId="0" borderId="31" xfId="161" quotePrefix="1" applyFont="1" applyBorder="1">
      <alignment vertical="center"/>
    </xf>
    <xf numFmtId="0" fontId="53" fillId="0" borderId="31" xfId="161" applyFont="1" applyBorder="1" applyAlignment="1">
      <alignment horizontal="center" vertical="center"/>
    </xf>
    <xf numFmtId="0" fontId="53" fillId="14" borderId="32" xfId="161" applyFont="1" applyFill="1" applyBorder="1">
      <alignment vertical="center"/>
    </xf>
    <xf numFmtId="0" fontId="53" fillId="0" borderId="28" xfId="161" quotePrefix="1" applyFont="1" applyBorder="1">
      <alignment vertical="center"/>
    </xf>
    <xf numFmtId="0" fontId="53" fillId="0" borderId="28" xfId="161" applyFont="1" applyBorder="1">
      <alignment vertical="center"/>
    </xf>
    <xf numFmtId="0" fontId="53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3" fillId="14" borderId="33" xfId="0" applyFont="1" applyFill="1" applyBorder="1">
      <alignment vertical="center"/>
    </xf>
    <xf numFmtId="0" fontId="53" fillId="0" borderId="34" xfId="161" applyFont="1" applyBorder="1">
      <alignment vertical="center"/>
    </xf>
    <xf numFmtId="0" fontId="64" fillId="0" borderId="33" xfId="180" applyFont="1" applyBorder="1" applyAlignment="1">
      <alignment vertical="top"/>
    </xf>
    <xf numFmtId="0" fontId="53" fillId="0" borderId="0" xfId="180" applyFont="1" applyAlignment="1">
      <alignment vertical="top"/>
    </xf>
    <xf numFmtId="0" fontId="53" fillId="14" borderId="34" xfId="180" applyFont="1" applyFill="1" applyBorder="1">
      <alignment vertical="center"/>
    </xf>
    <xf numFmtId="0" fontId="53" fillId="14" borderId="33" xfId="161" applyFont="1" applyFill="1" applyBorder="1" applyAlignment="1">
      <alignment horizontal="left" vertical="center"/>
    </xf>
    <xf numFmtId="0" fontId="53" fillId="14" borderId="30" xfId="161" applyFont="1" applyFill="1" applyBorder="1" applyAlignment="1">
      <alignment horizontal="left" vertical="center"/>
    </xf>
    <xf numFmtId="0" fontId="53" fillId="14" borderId="31" xfId="161" applyFont="1" applyFill="1" applyBorder="1" applyAlignment="1">
      <alignment horizontal="left" vertical="center"/>
    </xf>
    <xf numFmtId="0" fontId="69" fillId="0" borderId="31" xfId="161" applyFont="1" applyBorder="1" applyAlignment="1">
      <alignment horizontal="left" vertical="center"/>
    </xf>
    <xf numFmtId="0" fontId="69" fillId="0" borderId="31" xfId="0" applyFont="1" applyBorder="1">
      <alignment vertical="center"/>
    </xf>
    <xf numFmtId="0" fontId="69" fillId="0" borderId="31" xfId="161" applyFont="1" applyBorder="1" applyAlignment="1">
      <alignment horizontal="center" vertical="center"/>
    </xf>
    <xf numFmtId="0" fontId="69" fillId="0" borderId="31" xfId="161" applyFont="1" applyBorder="1">
      <alignment vertical="center"/>
    </xf>
    <xf numFmtId="0" fontId="69" fillId="0" borderId="31" xfId="0" applyFont="1" applyBorder="1" applyAlignment="1">
      <alignment horizontal="center" vertical="center"/>
    </xf>
    <xf numFmtId="0" fontId="53" fillId="0" borderId="32" xfId="161" applyFont="1" applyBorder="1">
      <alignment vertical="center"/>
    </xf>
    <xf numFmtId="0" fontId="76" fillId="14" borderId="27" xfId="0" applyFont="1" applyFill="1" applyBorder="1">
      <alignment vertical="center"/>
    </xf>
    <xf numFmtId="0" fontId="53" fillId="0" borderId="28" xfId="161" quotePrefix="1" applyFont="1" applyBorder="1" applyAlignment="1">
      <alignment horizontal="left" vertical="center"/>
    </xf>
    <xf numFmtId="0" fontId="53" fillId="0" borderId="28" xfId="161" applyFont="1" applyBorder="1" applyAlignment="1">
      <alignment horizontal="left" vertical="center"/>
    </xf>
    <xf numFmtId="0" fontId="54" fillId="0" borderId="15" xfId="161" applyFont="1" applyBorder="1">
      <alignment vertical="center"/>
    </xf>
    <xf numFmtId="0" fontId="80" fillId="14" borderId="28" xfId="0" applyFont="1" applyFill="1" applyBorder="1">
      <alignment vertical="center"/>
    </xf>
    <xf numFmtId="0" fontId="58" fillId="14" borderId="28" xfId="161" applyFont="1" applyFill="1" applyBorder="1">
      <alignment vertical="center"/>
    </xf>
    <xf numFmtId="0" fontId="20" fillId="10" borderId="28" xfId="46" applyFont="1" applyFill="1" applyBorder="1" applyAlignment="1">
      <alignment horizontal="centerContinuous"/>
    </xf>
    <xf numFmtId="0" fontId="20" fillId="10" borderId="29" xfId="46" applyFont="1" applyFill="1" applyBorder="1" applyAlignment="1">
      <alignment horizontal="centerContinuous"/>
    </xf>
    <xf numFmtId="0" fontId="61" fillId="19" borderId="35" xfId="161" applyFont="1" applyFill="1" applyBorder="1" applyAlignment="1">
      <alignment horizontal="center" vertical="center"/>
    </xf>
    <xf numFmtId="0" fontId="61" fillId="24" borderId="36" xfId="161" applyFont="1" applyFill="1" applyBorder="1" applyAlignment="1">
      <alignment horizontal="centerContinuous" vertical="center"/>
    </xf>
    <xf numFmtId="0" fontId="54" fillId="19" borderId="37" xfId="161" applyFont="1" applyFill="1" applyBorder="1" applyAlignment="1">
      <alignment horizontal="centerContinuous" vertical="center"/>
    </xf>
    <xf numFmtId="0" fontId="61" fillId="24" borderId="38" xfId="161" quotePrefix="1" applyFont="1" applyFill="1" applyBorder="1" applyAlignment="1">
      <alignment horizontal="centerContinuous" vertical="center"/>
    </xf>
    <xf numFmtId="0" fontId="53" fillId="19" borderId="39" xfId="161" quotePrefix="1" applyFont="1" applyFill="1" applyBorder="1" applyAlignment="1">
      <alignment horizontal="center" vertical="center"/>
    </xf>
    <xf numFmtId="14" fontId="61" fillId="0" borderId="40" xfId="161" quotePrefix="1" applyNumberFormat="1" applyFont="1" applyBorder="1" applyAlignment="1">
      <alignment horizontal="centerContinuous" vertical="center"/>
    </xf>
    <xf numFmtId="0" fontId="64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3" fillId="0" borderId="33" xfId="0" applyFont="1" applyBorder="1">
      <alignment vertical="center"/>
    </xf>
    <xf numFmtId="0" fontId="85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6" fillId="14" borderId="30" xfId="0" applyFont="1" applyFill="1" applyBorder="1">
      <alignment vertical="center"/>
    </xf>
    <xf numFmtId="0" fontId="53" fillId="0" borderId="31" xfId="161" quotePrefix="1" applyFont="1" applyBorder="1" applyAlignment="1">
      <alignment horizontal="left" vertical="center"/>
    </xf>
    <xf numFmtId="0" fontId="53" fillId="0" borderId="31" xfId="161" applyFont="1" applyBorder="1" applyAlignment="1">
      <alignment horizontal="left" vertical="center"/>
    </xf>
    <xf numFmtId="0" fontId="80" fillId="14" borderId="31" xfId="0" applyFont="1" applyFill="1" applyBorder="1">
      <alignment vertical="center"/>
    </xf>
    <xf numFmtId="0" fontId="58" fillId="14" borderId="31" xfId="161" applyFont="1" applyFill="1" applyBorder="1">
      <alignment vertical="center"/>
    </xf>
    <xf numFmtId="0" fontId="20" fillId="10" borderId="31" xfId="46" applyFont="1" applyFill="1" applyBorder="1" applyAlignment="1">
      <alignment horizontal="centerContinuous"/>
    </xf>
    <xf numFmtId="0" fontId="20" fillId="10" borderId="32" xfId="46" applyFont="1" applyFill="1" applyBorder="1" applyAlignment="1">
      <alignment horizontal="centerContinuous"/>
    </xf>
    <xf numFmtId="0" fontId="54" fillId="0" borderId="8" xfId="161" quotePrefix="1" applyFont="1" applyBorder="1">
      <alignment vertical="center"/>
    </xf>
    <xf numFmtId="0" fontId="58" fillId="14" borderId="12" xfId="161" applyFont="1" applyFill="1" applyBorder="1">
      <alignment vertical="center"/>
    </xf>
    <xf numFmtId="0" fontId="20" fillId="10" borderId="12" xfId="46" applyFont="1" applyFill="1" applyBorder="1" applyAlignment="1">
      <alignment horizontal="centerContinuous"/>
    </xf>
    <xf numFmtId="0" fontId="20" fillId="10" borderId="36" xfId="46" applyFont="1" applyFill="1" applyBorder="1" applyAlignment="1">
      <alignment horizontal="centerContinuous"/>
    </xf>
    <xf numFmtId="0" fontId="20" fillId="10" borderId="34" xfId="46" applyFont="1" applyFill="1" applyBorder="1" applyAlignment="1">
      <alignment horizontal="centerContinuous"/>
    </xf>
    <xf numFmtId="0" fontId="20" fillId="10" borderId="8" xfId="46" applyFont="1" applyFill="1" applyBorder="1" applyAlignment="1">
      <alignment horizontal="centerContinuous"/>
    </xf>
    <xf numFmtId="0" fontId="20" fillId="10" borderId="38" xfId="46" applyFont="1" applyFill="1" applyBorder="1" applyAlignment="1">
      <alignment horizontal="centerContinuous"/>
    </xf>
    <xf numFmtId="0" fontId="20" fillId="10" borderId="2" xfId="46" applyFont="1" applyFill="1" applyBorder="1" applyAlignment="1">
      <alignment horizontal="centerContinuous"/>
    </xf>
    <xf numFmtId="0" fontId="61" fillId="26" borderId="10" xfId="161" applyFont="1" applyFill="1" applyBorder="1" applyAlignment="1">
      <alignment horizontal="centerContinuous" vertical="center"/>
    </xf>
    <xf numFmtId="0" fontId="53" fillId="0" borderId="0" xfId="161" quotePrefix="1" applyFont="1" applyAlignment="1">
      <alignment horizontal="center" vertical="center"/>
    </xf>
    <xf numFmtId="0" fontId="74" fillId="0" borderId="0" xfId="0" applyFont="1">
      <alignment vertical="center"/>
    </xf>
    <xf numFmtId="179" fontId="61" fillId="0" borderId="0" xfId="161" quotePrefix="1" applyNumberFormat="1" applyFont="1" applyAlignment="1">
      <alignment horizontal="right" vertical="center"/>
    </xf>
    <xf numFmtId="0" fontId="61" fillId="0" borderId="0" xfId="161" quotePrefix="1" applyFont="1" applyAlignment="1">
      <alignment horizontal="right" vertical="center"/>
    </xf>
    <xf numFmtId="0" fontId="20" fillId="10" borderId="16" xfId="46" applyFont="1" applyFill="1" applyBorder="1" applyAlignment="1">
      <alignment horizontal="center"/>
    </xf>
    <xf numFmtId="0" fontId="20" fillId="10" borderId="9" xfId="46" applyFont="1" applyFill="1" applyBorder="1" applyAlignment="1">
      <alignment horizontal="center"/>
    </xf>
    <xf numFmtId="0" fontId="76" fillId="14" borderId="33" xfId="0" applyFont="1" applyFill="1" applyBorder="1">
      <alignment vertical="center"/>
    </xf>
    <xf numFmtId="0" fontId="20" fillId="10" borderId="40" xfId="46" applyFont="1" applyFill="1" applyBorder="1" applyAlignment="1">
      <alignment horizontal="centerContinuous"/>
    </xf>
    <xf numFmtId="0" fontId="54" fillId="0" borderId="33" xfId="161" applyFont="1" applyBorder="1">
      <alignment vertical="center"/>
    </xf>
    <xf numFmtId="0" fontId="76" fillId="0" borderId="33" xfId="0" applyFont="1" applyBorder="1">
      <alignment vertical="center"/>
    </xf>
    <xf numFmtId="0" fontId="61" fillId="0" borderId="33" xfId="161" applyFont="1" applyBorder="1" applyAlignment="1">
      <alignment horizontal="center" vertical="center"/>
    </xf>
    <xf numFmtId="0" fontId="53" fillId="0" borderId="33" xfId="161" quotePrefix="1" applyFont="1" applyBorder="1" applyAlignment="1">
      <alignment horizontal="center" vertical="center"/>
    </xf>
    <xf numFmtId="0" fontId="20" fillId="10" borderId="42" xfId="46" applyFont="1" applyFill="1" applyBorder="1" applyAlignment="1">
      <alignment horizontal="centerContinuous"/>
    </xf>
    <xf numFmtId="0" fontId="20" fillId="10" borderId="43" xfId="46" applyFont="1" applyFill="1" applyBorder="1" applyAlignment="1">
      <alignment horizontal="centerContinuous"/>
    </xf>
    <xf numFmtId="0" fontId="20" fillId="10" borderId="11" xfId="46" applyFont="1" applyFill="1" applyBorder="1" applyAlignment="1">
      <alignment horizontal="centerContinuous"/>
    </xf>
    <xf numFmtId="0" fontId="75" fillId="14" borderId="0" xfId="180" applyFont="1" applyFill="1">
      <alignment vertical="center"/>
    </xf>
    <xf numFmtId="0" fontId="53" fillId="0" borderId="34" xfId="0" applyFont="1" applyBorder="1">
      <alignment vertical="center"/>
    </xf>
    <xf numFmtId="0" fontId="65" fillId="19" borderId="41" xfId="180" applyFont="1" applyFill="1" applyBorder="1" applyAlignment="1">
      <alignment horizontal="centerContinuous" vertical="center"/>
    </xf>
    <xf numFmtId="0" fontId="77" fillId="14" borderId="41" xfId="180" quotePrefix="1" applyFont="1" applyFill="1" applyBorder="1">
      <alignment vertical="center"/>
    </xf>
    <xf numFmtId="14" fontId="53" fillId="14" borderId="2" xfId="180" applyNumberFormat="1" applyFont="1" applyFill="1" applyBorder="1" applyAlignment="1">
      <alignment horizontal="centerContinuous" vertical="center"/>
    </xf>
    <xf numFmtId="0" fontId="53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3" fillId="14" borderId="44" xfId="161" applyFont="1" applyFill="1" applyBorder="1">
      <alignment vertical="center"/>
    </xf>
    <xf numFmtId="185" fontId="61" fillId="0" borderId="0" xfId="161" quotePrefix="1" applyNumberFormat="1" applyFont="1" applyAlignment="1">
      <alignment horizontal="right" vertical="center"/>
    </xf>
    <xf numFmtId="0" fontId="20" fillId="10" borderId="21" xfId="46" applyFont="1" applyFill="1" applyBorder="1" applyAlignment="1">
      <alignment horizontal="center"/>
    </xf>
    <xf numFmtId="0" fontId="20" fillId="10" borderId="22" xfId="46" applyFont="1" applyFill="1" applyBorder="1" applyAlignment="1">
      <alignment horizontal="center"/>
    </xf>
    <xf numFmtId="0" fontId="61" fillId="21" borderId="10" xfId="161" applyFont="1" applyFill="1" applyBorder="1" applyAlignment="1">
      <alignment horizontal="centerContinuous" vertical="center"/>
    </xf>
    <xf numFmtId="0" fontId="61" fillId="26" borderId="10" xfId="161" quotePrefix="1" applyFont="1" applyFill="1" applyBorder="1" applyAlignment="1">
      <alignment horizontal="centerContinuous" vertical="center"/>
    </xf>
    <xf numFmtId="0" fontId="78" fillId="14" borderId="0" xfId="161" applyFont="1" applyFill="1">
      <alignment vertical="center"/>
    </xf>
    <xf numFmtId="14" fontId="53" fillId="0" borderId="0" xfId="161" quotePrefix="1" applyNumberFormat="1" applyFont="1">
      <alignment vertical="center"/>
    </xf>
    <xf numFmtId="0" fontId="64" fillId="0" borderId="0" xfId="180" applyFont="1" applyAlignment="1">
      <alignment vertical="top"/>
    </xf>
    <xf numFmtId="0" fontId="54" fillId="14" borderId="0" xfId="180" applyFont="1" applyFill="1" applyAlignment="1">
      <alignment horizontal="center" vertical="center"/>
    </xf>
    <xf numFmtId="0" fontId="64" fillId="14" borderId="0" xfId="180" applyFont="1" applyFill="1" applyAlignment="1">
      <alignment horizontal="center" vertical="center"/>
    </xf>
    <xf numFmtId="0" fontId="69" fillId="0" borderId="28" xfId="161" applyFont="1" applyBorder="1" applyAlignment="1">
      <alignment horizontal="left" vertical="center"/>
    </xf>
    <xf numFmtId="0" fontId="69" fillId="0" borderId="28" xfId="0" applyFont="1" applyBorder="1">
      <alignment vertical="center"/>
    </xf>
    <xf numFmtId="0" fontId="69" fillId="0" borderId="28" xfId="161" applyFont="1" applyBorder="1" applyAlignment="1">
      <alignment horizontal="center" vertical="center"/>
    </xf>
    <xf numFmtId="0" fontId="69" fillId="0" borderId="28" xfId="161" applyFont="1" applyBorder="1">
      <alignment vertical="center"/>
    </xf>
    <xf numFmtId="0" fontId="69" fillId="0" borderId="28" xfId="0" applyFont="1" applyBorder="1" applyAlignment="1">
      <alignment horizontal="center" vertical="center"/>
    </xf>
    <xf numFmtId="0" fontId="76" fillId="27" borderId="27" xfId="0" applyFont="1" applyFill="1" applyBorder="1">
      <alignment vertical="center"/>
    </xf>
    <xf numFmtId="0" fontId="53" fillId="27" borderId="28" xfId="0" applyFont="1" applyFill="1" applyBorder="1">
      <alignment vertical="center"/>
    </xf>
    <xf numFmtId="0" fontId="53" fillId="27" borderId="28" xfId="161" quotePrefix="1" applyFont="1" applyFill="1" applyBorder="1" applyAlignment="1">
      <alignment horizontal="left" vertical="center"/>
    </xf>
    <xf numFmtId="0" fontId="53" fillId="27" borderId="28" xfId="161" quotePrefix="1" applyFont="1" applyFill="1" applyBorder="1">
      <alignment vertical="center"/>
    </xf>
    <xf numFmtId="0" fontId="53" fillId="27" borderId="28" xfId="161" applyFont="1" applyFill="1" applyBorder="1">
      <alignment vertical="center"/>
    </xf>
    <xf numFmtId="0" fontId="53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3" fillId="27" borderId="28" xfId="161" applyFont="1" applyFill="1" applyBorder="1" applyAlignment="1">
      <alignment horizontal="center" vertical="center"/>
    </xf>
    <xf numFmtId="0" fontId="54" fillId="27" borderId="33" xfId="161" applyFont="1" applyFill="1" applyBorder="1">
      <alignment vertical="center"/>
    </xf>
    <xf numFmtId="0" fontId="53" fillId="27" borderId="0" xfId="0" applyFont="1" applyFill="1">
      <alignment vertical="center"/>
    </xf>
    <xf numFmtId="0" fontId="53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3" fillId="27" borderId="0" xfId="161" applyFont="1" applyFill="1" applyAlignment="1">
      <alignment horizontal="center" vertical="center"/>
    </xf>
    <xf numFmtId="0" fontId="53" fillId="27" borderId="0" xfId="161" applyFont="1" applyFill="1">
      <alignment vertical="center"/>
    </xf>
    <xf numFmtId="0" fontId="53" fillId="27" borderId="0" xfId="161" quotePrefix="1" applyFont="1" applyFill="1">
      <alignment vertical="center"/>
    </xf>
    <xf numFmtId="0" fontId="53" fillId="27" borderId="30" xfId="161" applyFont="1" applyFill="1" applyBorder="1" applyAlignment="1">
      <alignment horizontal="left" vertical="center"/>
    </xf>
    <xf numFmtId="0" fontId="53" fillId="27" borderId="31" xfId="161" applyFont="1" applyFill="1" applyBorder="1" applyAlignment="1">
      <alignment horizontal="left" vertical="center"/>
    </xf>
    <xf numFmtId="0" fontId="69" fillId="27" borderId="31" xfId="161" applyFont="1" applyFill="1" applyBorder="1" applyAlignment="1">
      <alignment horizontal="left" vertical="center"/>
    </xf>
    <xf numFmtId="0" fontId="69" fillId="27" borderId="31" xfId="0" applyFont="1" applyFill="1" applyBorder="1">
      <alignment vertical="center"/>
    </xf>
    <xf numFmtId="0" fontId="69" fillId="27" borderId="31" xfId="161" applyFont="1" applyFill="1" applyBorder="1" applyAlignment="1">
      <alignment horizontal="center" vertical="center"/>
    </xf>
    <xf numFmtId="0" fontId="69" fillId="27" borderId="31" xfId="161" applyFont="1" applyFill="1" applyBorder="1">
      <alignment vertical="center"/>
    </xf>
    <xf numFmtId="0" fontId="69" fillId="27" borderId="31" xfId="0" applyFont="1" applyFill="1" applyBorder="1" applyAlignment="1">
      <alignment horizontal="center" vertical="center"/>
    </xf>
    <xf numFmtId="0" fontId="53" fillId="27" borderId="31" xfId="161" applyFont="1" applyFill="1" applyBorder="1" applyAlignment="1">
      <alignment horizontal="center" vertical="center"/>
    </xf>
    <xf numFmtId="0" fontId="53" fillId="14" borderId="10" xfId="161" quotePrefix="1" applyFont="1" applyFill="1" applyBorder="1">
      <alignment vertical="center"/>
    </xf>
    <xf numFmtId="0" fontId="89" fillId="14" borderId="33" xfId="161" applyFont="1" applyFill="1" applyBorder="1">
      <alignment vertical="center"/>
    </xf>
    <xf numFmtId="0" fontId="85" fillId="0" borderId="33" xfId="161" quotePrefix="1" applyFont="1" applyBorder="1" applyAlignment="1">
      <alignment horizontal="left" vertical="center"/>
    </xf>
    <xf numFmtId="0" fontId="53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4" fillId="0" borderId="12" xfId="0" applyFont="1" applyBorder="1">
      <alignment vertical="center"/>
    </xf>
    <xf numFmtId="0" fontId="53" fillId="0" borderId="12" xfId="0" quotePrefix="1" applyFont="1" applyBorder="1">
      <alignment vertical="center"/>
    </xf>
    <xf numFmtId="0" fontId="53" fillId="0" borderId="12" xfId="0" applyFont="1" applyBorder="1" applyAlignment="1">
      <alignment horizontal="center" vertical="center"/>
    </xf>
    <xf numFmtId="0" fontId="53" fillId="0" borderId="12" xfId="0" applyFont="1" applyBorder="1" applyAlignment="1">
      <alignment horizontal="left" vertical="center"/>
    </xf>
    <xf numFmtId="0" fontId="61" fillId="19" borderId="45" xfId="161" applyFont="1" applyFill="1" applyBorder="1" applyAlignment="1">
      <alignment horizontal="center" vertical="center"/>
    </xf>
    <xf numFmtId="0" fontId="54" fillId="28" borderId="46" xfId="161" applyFont="1" applyFill="1" applyBorder="1" applyAlignment="1">
      <alignment horizontal="centerContinuous" vertical="center"/>
    </xf>
    <xf numFmtId="0" fontId="54" fillId="28" borderId="28" xfId="161" applyFont="1" applyFill="1" applyBorder="1" applyAlignment="1">
      <alignment horizontal="centerContinuous" vertical="center"/>
    </xf>
    <xf numFmtId="0" fontId="54" fillId="28" borderId="42" xfId="161" applyFont="1" applyFill="1" applyBorder="1" applyAlignment="1">
      <alignment horizontal="centerContinuous" vertical="center"/>
    </xf>
    <xf numFmtId="0" fontId="54" fillId="28" borderId="46" xfId="161" quotePrefix="1" applyFont="1" applyFill="1" applyBorder="1" applyAlignment="1">
      <alignment horizontal="centerContinuous" vertical="center"/>
    </xf>
    <xf numFmtId="0" fontId="54" fillId="28" borderId="28" xfId="161" quotePrefix="1" applyFont="1" applyFill="1" applyBorder="1" applyAlignment="1">
      <alignment horizontal="centerContinuous" vertical="center"/>
    </xf>
    <xf numFmtId="0" fontId="61" fillId="28" borderId="46" xfId="161" applyFont="1" applyFill="1" applyBorder="1" applyAlignment="1">
      <alignment horizontal="centerContinuous" vertical="center"/>
    </xf>
    <xf numFmtId="0" fontId="61" fillId="28" borderId="28" xfId="161" applyFont="1" applyFill="1" applyBorder="1" applyAlignment="1">
      <alignment horizontal="centerContinuous" vertical="center"/>
    </xf>
    <xf numFmtId="0" fontId="61" fillId="28" borderId="42" xfId="161" applyFont="1" applyFill="1" applyBorder="1" applyAlignment="1">
      <alignment horizontal="centerContinuous" vertical="center"/>
    </xf>
    <xf numFmtId="0" fontId="54" fillId="20" borderId="46" xfId="161" applyFont="1" applyFill="1" applyBorder="1" applyAlignment="1">
      <alignment horizontal="centerContinuous" vertical="center"/>
    </xf>
    <xf numFmtId="0" fontId="54" fillId="20" borderId="28" xfId="161" applyFont="1" applyFill="1" applyBorder="1" applyAlignment="1">
      <alignment horizontal="centerContinuous" vertical="center"/>
    </xf>
    <xf numFmtId="0" fontId="54" fillId="20" borderId="42" xfId="161" applyFont="1" applyFill="1" applyBorder="1" applyAlignment="1">
      <alignment horizontal="centerContinuous" vertical="center"/>
    </xf>
    <xf numFmtId="0" fontId="54" fillId="20" borderId="46" xfId="161" quotePrefix="1" applyFont="1" applyFill="1" applyBorder="1" applyAlignment="1">
      <alignment horizontal="centerContinuous" vertical="center"/>
    </xf>
    <xf numFmtId="0" fontId="54" fillId="20" borderId="28" xfId="161" quotePrefix="1" applyFont="1" applyFill="1" applyBorder="1" applyAlignment="1">
      <alignment horizontal="centerContinuous" vertical="center"/>
    </xf>
    <xf numFmtId="0" fontId="61" fillId="20" borderId="46" xfId="161" applyFont="1" applyFill="1" applyBorder="1" applyAlignment="1">
      <alignment horizontal="centerContinuous" vertical="center"/>
    </xf>
    <xf numFmtId="0" fontId="61" fillId="20" borderId="28" xfId="161" applyFont="1" applyFill="1" applyBorder="1" applyAlignment="1">
      <alignment horizontal="centerContinuous" vertical="center"/>
    </xf>
    <xf numFmtId="0" fontId="61" fillId="20" borderId="42" xfId="161" applyFont="1" applyFill="1" applyBorder="1" applyAlignment="1">
      <alignment horizontal="centerContinuous" vertical="center"/>
    </xf>
    <xf numFmtId="0" fontId="53" fillId="19" borderId="35" xfId="161" quotePrefix="1" applyFont="1" applyFill="1" applyBorder="1" applyAlignment="1">
      <alignment horizontal="center" vertical="center"/>
    </xf>
    <xf numFmtId="0" fontId="61" fillId="0" borderId="15" xfId="161" quotePrefix="1" applyFont="1" applyBorder="1" applyAlignment="1">
      <alignment horizontal="centerContinuous" vertical="center"/>
    </xf>
    <xf numFmtId="0" fontId="63" fillId="0" borderId="12" xfId="161" applyFont="1" applyBorder="1" applyAlignment="1">
      <alignment horizontal="centerContinuous" vertical="center"/>
    </xf>
    <xf numFmtId="0" fontId="63" fillId="0" borderId="13" xfId="161" applyFont="1" applyBorder="1" applyAlignment="1">
      <alignment horizontal="centerContinuous" vertical="center"/>
    </xf>
    <xf numFmtId="14" fontId="61" fillId="0" borderId="28" xfId="161" quotePrefix="1" applyNumberFormat="1" applyFont="1" applyBorder="1" applyAlignment="1">
      <alignment horizontal="centerContinuous" vertical="center"/>
    </xf>
    <xf numFmtId="0" fontId="61" fillId="0" borderId="28" xfId="161" quotePrefix="1" applyFont="1" applyBorder="1" applyAlignment="1">
      <alignment horizontal="centerContinuous" vertical="center"/>
    </xf>
    <xf numFmtId="0" fontId="63" fillId="0" borderId="28" xfId="161" applyFont="1" applyBorder="1" applyAlignment="1">
      <alignment horizontal="centerContinuous" vertical="center"/>
    </xf>
    <xf numFmtId="0" fontId="54" fillId="0" borderId="28" xfId="161" applyFont="1" applyBorder="1" applyAlignment="1">
      <alignment horizontal="center" vertical="center"/>
    </xf>
    <xf numFmtId="14" fontId="61" fillId="0" borderId="47" xfId="161" quotePrefix="1" applyNumberFormat="1" applyFont="1" applyBorder="1" applyAlignment="1">
      <alignment horizontal="centerContinuous" vertical="center"/>
    </xf>
    <xf numFmtId="14" fontId="61" fillId="0" borderId="48" xfId="161" quotePrefix="1" applyNumberFormat="1" applyFont="1" applyBorder="1" applyAlignment="1">
      <alignment horizontal="centerContinuous" vertical="center"/>
    </xf>
    <xf numFmtId="0" fontId="54" fillId="14" borderId="49" xfId="161" applyFont="1" applyFill="1" applyBorder="1" applyAlignment="1">
      <alignment horizontal="centerContinuous" vertical="center"/>
    </xf>
    <xf numFmtId="0" fontId="53" fillId="0" borderId="27" xfId="161" quotePrefix="1" applyFont="1" applyBorder="1" applyAlignment="1">
      <alignment horizontal="center" vertical="center"/>
    </xf>
    <xf numFmtId="0" fontId="61" fillId="19" borderId="23" xfId="161" applyFont="1" applyFill="1" applyBorder="1" applyAlignment="1">
      <alignment horizontal="center" vertical="center"/>
    </xf>
    <xf numFmtId="0" fontId="54" fillId="28" borderId="15" xfId="161" applyFont="1" applyFill="1" applyBorder="1" applyAlignment="1">
      <alignment horizontal="centerContinuous" vertical="center"/>
    </xf>
    <xf numFmtId="0" fontId="54" fillId="28" borderId="12" xfId="161" applyFont="1" applyFill="1" applyBorder="1" applyAlignment="1">
      <alignment horizontal="centerContinuous" vertical="center"/>
    </xf>
    <xf numFmtId="0" fontId="54" fillId="28" borderId="13" xfId="161" applyFont="1" applyFill="1" applyBorder="1" applyAlignment="1">
      <alignment horizontal="centerContinuous" vertical="center"/>
    </xf>
    <xf numFmtId="0" fontId="54" fillId="28" borderId="15" xfId="161" quotePrefix="1" applyFont="1" applyFill="1" applyBorder="1" applyAlignment="1">
      <alignment horizontal="centerContinuous" vertical="center"/>
    </xf>
    <xf numFmtId="0" fontId="54" fillId="28" borderId="12" xfId="161" quotePrefix="1" applyFont="1" applyFill="1" applyBorder="1" applyAlignment="1">
      <alignment horizontal="centerContinuous" vertical="center"/>
    </xf>
    <xf numFmtId="0" fontId="61" fillId="28" borderId="15" xfId="161" applyFont="1" applyFill="1" applyBorder="1" applyAlignment="1">
      <alignment horizontal="centerContinuous" vertical="center"/>
    </xf>
    <xf numFmtId="0" fontId="61" fillId="28" borderId="12" xfId="161" applyFont="1" applyFill="1" applyBorder="1" applyAlignment="1">
      <alignment horizontal="centerContinuous" vertical="center"/>
    </xf>
    <xf numFmtId="0" fontId="61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3" fillId="19" borderId="3" xfId="161" quotePrefix="1" applyFont="1" applyFill="1" applyBorder="1" applyAlignment="1">
      <alignment horizontal="center" vertical="center"/>
    </xf>
    <xf numFmtId="0" fontId="53" fillId="0" borderId="11" xfId="0" applyFont="1" applyBorder="1">
      <alignment vertical="center"/>
    </xf>
    <xf numFmtId="0" fontId="85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4" fillId="20" borderId="12" xfId="161" applyFont="1" applyFill="1" applyBorder="1" applyAlignment="1">
      <alignment horizontal="centerContinuous" vertical="center"/>
    </xf>
    <xf numFmtId="0" fontId="54" fillId="20" borderId="13" xfId="161" applyFont="1" applyFill="1" applyBorder="1" applyAlignment="1">
      <alignment horizontal="centerContinuous" vertical="center"/>
    </xf>
    <xf numFmtId="0" fontId="54" fillId="20" borderId="15" xfId="161" quotePrefix="1" applyFont="1" applyFill="1" applyBorder="1" applyAlignment="1">
      <alignment horizontal="centerContinuous" vertical="center"/>
    </xf>
    <xf numFmtId="0" fontId="54" fillId="20" borderId="12" xfId="161" quotePrefix="1" applyFont="1" applyFill="1" applyBorder="1" applyAlignment="1">
      <alignment horizontal="centerContinuous" vertical="center"/>
    </xf>
    <xf numFmtId="0" fontId="54" fillId="20" borderId="15" xfId="161" applyFont="1" applyFill="1" applyBorder="1" applyAlignment="1">
      <alignment horizontal="centerContinuous" vertical="center"/>
    </xf>
    <xf numFmtId="0" fontId="61" fillId="20" borderId="15" xfId="161" applyFont="1" applyFill="1" applyBorder="1" applyAlignment="1">
      <alignment horizontal="centerContinuous" vertical="center"/>
    </xf>
    <xf numFmtId="0" fontId="61" fillId="20" borderId="12" xfId="161" applyFont="1" applyFill="1" applyBorder="1" applyAlignment="1">
      <alignment horizontal="centerContinuous" vertical="center"/>
    </xf>
    <xf numFmtId="0" fontId="61" fillId="20" borderId="13" xfId="161" applyFont="1" applyFill="1" applyBorder="1" applyAlignment="1">
      <alignment horizontal="centerContinuous" vertical="center"/>
    </xf>
    <xf numFmtId="0" fontId="53" fillId="0" borderId="7" xfId="0" applyFont="1" applyBorder="1">
      <alignment vertical="center"/>
    </xf>
    <xf numFmtId="0" fontId="53" fillId="0" borderId="8" xfId="0" applyFont="1" applyBorder="1" applyAlignment="1">
      <alignment vertical="center" wrapText="1"/>
    </xf>
    <xf numFmtId="0" fontId="73" fillId="0" borderId="8" xfId="0" applyFont="1" applyBorder="1">
      <alignment vertical="center"/>
    </xf>
    <xf numFmtId="9" fontId="53" fillId="0" borderId="2" xfId="161" applyNumberFormat="1" applyFont="1" applyBorder="1">
      <alignment vertical="center"/>
    </xf>
    <xf numFmtId="0" fontId="61" fillId="26" borderId="7" xfId="161" quotePrefix="1" applyFont="1" applyFill="1" applyBorder="1" applyAlignment="1">
      <alignment horizontal="centerContinuous" vertical="center"/>
    </xf>
    <xf numFmtId="0" fontId="61" fillId="26" borderId="8" xfId="161" applyFont="1" applyFill="1" applyBorder="1" applyAlignment="1">
      <alignment horizontal="centerContinuous" vertical="center"/>
    </xf>
    <xf numFmtId="0" fontId="61" fillId="26" borderId="14" xfId="161" applyFont="1" applyFill="1" applyBorder="1" applyAlignment="1">
      <alignment horizontal="centerContinuous" vertical="center"/>
    </xf>
    <xf numFmtId="0" fontId="61" fillId="26" borderId="8" xfId="161" quotePrefix="1" applyFont="1" applyFill="1" applyBorder="1" applyAlignment="1">
      <alignment horizontal="centerContinuous" vertical="center"/>
    </xf>
    <xf numFmtId="0" fontId="61" fillId="19" borderId="37" xfId="161" applyFont="1" applyFill="1" applyBorder="1" applyAlignment="1">
      <alignment horizontal="center" vertical="center"/>
    </xf>
    <xf numFmtId="0" fontId="54" fillId="26" borderId="7" xfId="161" applyFont="1" applyFill="1" applyBorder="1" applyAlignment="1">
      <alignment horizontal="centerContinuous" vertical="center"/>
    </xf>
    <xf numFmtId="0" fontId="54" fillId="26" borderId="8" xfId="161" applyFont="1" applyFill="1" applyBorder="1" applyAlignment="1">
      <alignment horizontal="centerContinuous" vertical="center"/>
    </xf>
    <xf numFmtId="0" fontId="54" fillId="26" borderId="14" xfId="161" applyFont="1" applyFill="1" applyBorder="1" applyAlignment="1">
      <alignment horizontal="centerContinuous" vertical="center"/>
    </xf>
    <xf numFmtId="0" fontId="54" fillId="26" borderId="7" xfId="161" quotePrefix="1" applyFont="1" applyFill="1" applyBorder="1" applyAlignment="1">
      <alignment horizontal="centerContinuous" vertical="center"/>
    </xf>
    <xf numFmtId="0" fontId="54" fillId="26" borderId="8" xfId="161" quotePrefix="1" applyFont="1" applyFill="1" applyBorder="1" applyAlignment="1">
      <alignment horizontal="centerContinuous" vertical="center"/>
    </xf>
    <xf numFmtId="0" fontId="61" fillId="26" borderId="7" xfId="161" applyFont="1" applyFill="1" applyBorder="1" applyAlignment="1">
      <alignment horizontal="centerContinuous" vertical="center"/>
    </xf>
    <xf numFmtId="0" fontId="53" fillId="14" borderId="10" xfId="0" quotePrefix="1" applyFont="1" applyFill="1" applyBorder="1">
      <alignment vertical="center"/>
    </xf>
    <xf numFmtId="0" fontId="53" fillId="29" borderId="10" xfId="0" quotePrefix="1" applyFont="1" applyFill="1" applyBorder="1">
      <alignment vertical="center"/>
    </xf>
    <xf numFmtId="0" fontId="53" fillId="29" borderId="2" xfId="180" quotePrefix="1" applyFont="1" applyFill="1" applyBorder="1">
      <alignment vertical="center"/>
    </xf>
    <xf numFmtId="0" fontId="53" fillId="29" borderId="2" xfId="180" applyFont="1" applyFill="1" applyBorder="1">
      <alignment vertical="center"/>
    </xf>
    <xf numFmtId="0" fontId="53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3" fillId="29" borderId="17" xfId="180" applyFont="1" applyFill="1" applyBorder="1" applyAlignment="1">
      <alignment horizontal="center" vertical="center"/>
    </xf>
    <xf numFmtId="0" fontId="90" fillId="25" borderId="41" xfId="161" quotePrefix="1" applyFont="1" applyFill="1" applyBorder="1" applyAlignment="1">
      <alignment horizontal="left" vertical="center"/>
    </xf>
    <xf numFmtId="0" fontId="76" fillId="14" borderId="28" xfId="0" applyFont="1" applyFill="1" applyBorder="1">
      <alignment vertical="center"/>
    </xf>
    <xf numFmtId="185" fontId="61" fillId="0" borderId="0" xfId="161" quotePrefix="1" applyNumberFormat="1" applyFont="1">
      <alignment vertical="center"/>
    </xf>
    <xf numFmtId="0" fontId="91" fillId="0" borderId="0" xfId="0" applyFont="1">
      <alignment vertical="center"/>
    </xf>
    <xf numFmtId="0" fontId="53" fillId="29" borderId="2" xfId="0" applyFont="1" applyFill="1" applyBorder="1">
      <alignment vertical="center"/>
    </xf>
    <xf numFmtId="0" fontId="65" fillId="29" borderId="2" xfId="180" applyFont="1" applyFill="1" applyBorder="1">
      <alignment vertical="center"/>
    </xf>
    <xf numFmtId="0" fontId="53" fillId="29" borderId="2" xfId="0" applyFont="1" applyFill="1" applyBorder="1" applyAlignment="1">
      <alignment vertical="center" wrapText="1"/>
    </xf>
    <xf numFmtId="0" fontId="53" fillId="29" borderId="17" xfId="0" applyFont="1" applyFill="1" applyBorder="1">
      <alignment vertical="center"/>
    </xf>
    <xf numFmtId="0" fontId="53" fillId="0" borderId="24" xfId="180" applyFont="1" applyBorder="1">
      <alignment vertical="center"/>
    </xf>
    <xf numFmtId="0" fontId="53" fillId="29" borderId="2" xfId="180" applyFont="1" applyFill="1" applyBorder="1" applyAlignment="1">
      <alignment horizontal="left" vertical="center"/>
    </xf>
    <xf numFmtId="0" fontId="54" fillId="14" borderId="41" xfId="180" quotePrefix="1" applyFont="1" applyFill="1" applyBorder="1">
      <alignment vertical="center"/>
    </xf>
    <xf numFmtId="0" fontId="53" fillId="14" borderId="10" xfId="180" quotePrefix="1" applyFont="1" applyFill="1" applyBorder="1" applyAlignment="1">
      <alignment horizontal="left" vertical="center"/>
    </xf>
    <xf numFmtId="0" fontId="53" fillId="0" borderId="33" xfId="161" applyFont="1" applyBorder="1">
      <alignment vertical="center"/>
    </xf>
    <xf numFmtId="0" fontId="92" fillId="0" borderId="0" xfId="0" applyFont="1">
      <alignment vertical="center"/>
    </xf>
    <xf numFmtId="0" fontId="79" fillId="14" borderId="44" xfId="161" quotePrefix="1" applyFont="1" applyFill="1" applyBorder="1">
      <alignment vertical="center"/>
    </xf>
    <xf numFmtId="0" fontId="53" fillId="14" borderId="50" xfId="161" applyFont="1" applyFill="1" applyBorder="1">
      <alignment vertical="center"/>
    </xf>
    <xf numFmtId="0" fontId="53" fillId="14" borderId="11" xfId="0" applyFont="1" applyFill="1" applyBorder="1">
      <alignment vertical="center"/>
    </xf>
    <xf numFmtId="0" fontId="64" fillId="0" borderId="28" xfId="0" applyFont="1" applyBorder="1">
      <alignment vertical="center"/>
    </xf>
    <xf numFmtId="0" fontId="53" fillId="14" borderId="8" xfId="180" quotePrefix="1" applyFont="1" applyFill="1" applyBorder="1">
      <alignment vertical="center"/>
    </xf>
    <xf numFmtId="0" fontId="53" fillId="14" borderId="8" xfId="180" applyFont="1" applyFill="1" applyBorder="1">
      <alignment vertical="center"/>
    </xf>
    <xf numFmtId="0" fontId="53" fillId="14" borderId="8" xfId="180" applyFont="1" applyFill="1" applyBorder="1" applyAlignment="1">
      <alignment horizontal="center" vertical="center"/>
    </xf>
    <xf numFmtId="0" fontId="53" fillId="14" borderId="25" xfId="180" applyFont="1" applyFill="1" applyBorder="1" applyAlignment="1">
      <alignment horizontal="center" vertical="center"/>
    </xf>
    <xf numFmtId="0" fontId="54" fillId="0" borderId="33" xfId="180" applyFont="1" applyBorder="1" applyAlignment="1">
      <alignment vertical="top"/>
    </xf>
    <xf numFmtId="0" fontId="54" fillId="14" borderId="17" xfId="180" applyFont="1" applyFill="1" applyBorder="1" applyAlignment="1">
      <alignment horizontal="center" vertical="center"/>
    </xf>
    <xf numFmtId="0" fontId="64" fillId="14" borderId="8" xfId="180" applyFont="1" applyFill="1" applyBorder="1" applyAlignment="1">
      <alignment horizontal="center" vertical="center"/>
    </xf>
    <xf numFmtId="0" fontId="93" fillId="24" borderId="8" xfId="161" quotePrefix="1" applyFont="1" applyFill="1" applyBorder="1" applyAlignment="1">
      <alignment horizontal="centerContinuous" vertical="center"/>
    </xf>
    <xf numFmtId="0" fontId="53" fillId="14" borderId="51" xfId="0" applyFont="1" applyFill="1" applyBorder="1">
      <alignment vertical="center"/>
    </xf>
    <xf numFmtId="0" fontId="54" fillId="30" borderId="15" xfId="161" applyFont="1" applyFill="1" applyBorder="1" applyAlignment="1">
      <alignment horizontal="centerContinuous" vertical="center"/>
    </xf>
    <xf numFmtId="0" fontId="54" fillId="30" borderId="12" xfId="161" applyFont="1" applyFill="1" applyBorder="1" applyAlignment="1">
      <alignment horizontal="centerContinuous" vertical="center"/>
    </xf>
    <xf numFmtId="0" fontId="54" fillId="30" borderId="15" xfId="161" quotePrefix="1" applyFont="1" applyFill="1" applyBorder="1" applyAlignment="1">
      <alignment horizontal="centerContinuous" vertical="center"/>
    </xf>
    <xf numFmtId="0" fontId="54" fillId="30" borderId="13" xfId="161" applyFont="1" applyFill="1" applyBorder="1" applyAlignment="1">
      <alignment horizontal="centerContinuous" vertical="center"/>
    </xf>
    <xf numFmtId="0" fontId="54" fillId="30" borderId="12" xfId="161" quotePrefix="1" applyFont="1" applyFill="1" applyBorder="1" applyAlignment="1">
      <alignment horizontal="centerContinuous" vertical="center"/>
    </xf>
    <xf numFmtId="0" fontId="61" fillId="30" borderId="15" xfId="161" applyFont="1" applyFill="1" applyBorder="1" applyAlignment="1">
      <alignment horizontal="centerContinuous" vertical="center"/>
    </xf>
    <xf numFmtId="0" fontId="61" fillId="30" borderId="12" xfId="161" applyFont="1" applyFill="1" applyBorder="1" applyAlignment="1">
      <alignment horizontal="centerContinuous" vertical="center"/>
    </xf>
    <xf numFmtId="0" fontId="61" fillId="30" borderId="13" xfId="161" applyFont="1" applyFill="1" applyBorder="1" applyAlignment="1">
      <alignment horizontal="centerContinuous" vertical="center"/>
    </xf>
    <xf numFmtId="0" fontId="61" fillId="30" borderId="10" xfId="161" applyFont="1" applyFill="1" applyBorder="1" applyAlignment="1">
      <alignment horizontal="centerContinuous" vertical="center"/>
    </xf>
    <xf numFmtId="0" fontId="61" fillId="30" borderId="15" xfId="161" quotePrefix="1" applyFont="1" applyFill="1" applyBorder="1" applyAlignment="1">
      <alignment horizontal="centerContinuous" vertical="center"/>
    </xf>
    <xf numFmtId="0" fontId="94" fillId="0" borderId="0" xfId="0" applyFont="1">
      <alignment vertical="center"/>
    </xf>
    <xf numFmtId="0" fontId="61" fillId="30" borderId="12" xfId="161" quotePrefix="1" applyFont="1" applyFill="1" applyBorder="1" applyAlignment="1">
      <alignment horizontal="centerContinuous" vertical="center"/>
    </xf>
    <xf numFmtId="0" fontId="61" fillId="30" borderId="10" xfId="161" quotePrefix="1" applyFont="1" applyFill="1" applyBorder="1" applyAlignment="1">
      <alignment horizontal="centerContinuous" vertical="center"/>
    </xf>
    <xf numFmtId="0" fontId="53" fillId="14" borderId="6" xfId="0" applyFont="1" applyFill="1" applyBorder="1">
      <alignment vertical="center"/>
    </xf>
    <xf numFmtId="0" fontId="64" fillId="0" borderId="10" xfId="161" quotePrefix="1" applyFont="1" applyBorder="1">
      <alignment vertical="center"/>
    </xf>
    <xf numFmtId="0" fontId="54" fillId="30" borderId="7" xfId="161" applyFont="1" applyFill="1" applyBorder="1" applyAlignment="1">
      <alignment horizontal="centerContinuous" vertical="center"/>
    </xf>
    <xf numFmtId="0" fontId="54" fillId="30" borderId="8" xfId="161" applyFont="1" applyFill="1" applyBorder="1" applyAlignment="1">
      <alignment horizontal="centerContinuous" vertical="center"/>
    </xf>
    <xf numFmtId="0" fontId="54" fillId="30" borderId="14" xfId="161" applyFont="1" applyFill="1" applyBorder="1" applyAlignment="1">
      <alignment horizontal="centerContinuous" vertical="center"/>
    </xf>
    <xf numFmtId="0" fontId="54" fillId="30" borderId="7" xfId="161" quotePrefix="1" applyFont="1" applyFill="1" applyBorder="1" applyAlignment="1">
      <alignment horizontal="centerContinuous" vertical="center"/>
    </xf>
    <xf numFmtId="0" fontId="54" fillId="30" borderId="8" xfId="161" quotePrefix="1" applyFont="1" applyFill="1" applyBorder="1" applyAlignment="1">
      <alignment horizontal="centerContinuous" vertical="center"/>
    </xf>
    <xf numFmtId="0" fontId="61" fillId="30" borderId="7" xfId="161" applyFont="1" applyFill="1" applyBorder="1" applyAlignment="1">
      <alignment horizontal="centerContinuous" vertical="center"/>
    </xf>
    <xf numFmtId="0" fontId="61" fillId="30" borderId="8" xfId="161" applyFont="1" applyFill="1" applyBorder="1" applyAlignment="1">
      <alignment horizontal="centerContinuous" vertical="center"/>
    </xf>
    <xf numFmtId="0" fontId="61" fillId="30" borderId="14" xfId="161" applyFont="1" applyFill="1" applyBorder="1" applyAlignment="1">
      <alignment horizontal="centerContinuous" vertical="center"/>
    </xf>
    <xf numFmtId="0" fontId="61" fillId="30" borderId="7" xfId="161" quotePrefix="1" applyFont="1" applyFill="1" applyBorder="1" applyAlignment="1">
      <alignment horizontal="centerContinuous" vertical="center"/>
    </xf>
    <xf numFmtId="0" fontId="61" fillId="30" borderId="8" xfId="161" quotePrefix="1" applyFont="1" applyFill="1" applyBorder="1" applyAlignment="1">
      <alignment horizontal="centerContinuous" vertical="center"/>
    </xf>
    <xf numFmtId="0" fontId="64" fillId="14" borderId="33" xfId="161" applyFont="1" applyFill="1" applyBorder="1">
      <alignment vertical="center"/>
    </xf>
    <xf numFmtId="0" fontId="61" fillId="24" borderId="15" xfId="161" quotePrefix="1" applyFont="1" applyFill="1" applyBorder="1" applyAlignment="1">
      <alignment horizontal="centerContinuous" vertical="center"/>
    </xf>
    <xf numFmtId="0" fontId="53" fillId="0" borderId="10" xfId="0" quotePrefix="1" applyFont="1" applyBorder="1">
      <alignment vertical="center"/>
    </xf>
    <xf numFmtId="0" fontId="53" fillId="0" borderId="2" xfId="180" quotePrefix="1" applyFont="1" applyBorder="1">
      <alignment vertical="center"/>
    </xf>
    <xf numFmtId="0" fontId="53" fillId="0" borderId="2" xfId="180" applyFont="1" applyBorder="1">
      <alignment vertical="center"/>
    </xf>
    <xf numFmtId="0" fontId="53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5" fillId="0" borderId="2" xfId="180" applyFont="1" applyBorder="1">
      <alignment vertical="center"/>
    </xf>
    <xf numFmtId="0" fontId="53" fillId="0" borderId="2" xfId="0" applyFont="1" applyBorder="1" applyAlignment="1">
      <alignment vertical="center" wrapText="1"/>
    </xf>
    <xf numFmtId="0" fontId="96" fillId="10" borderId="16" xfId="46" applyFont="1" applyFill="1" applyBorder="1" applyAlignment="1">
      <alignment horizontal="centerContinuous"/>
    </xf>
    <xf numFmtId="0" fontId="96" fillId="10" borderId="9" xfId="46" applyFont="1" applyFill="1" applyBorder="1" applyAlignment="1">
      <alignment horizontal="centerContinuous"/>
    </xf>
    <xf numFmtId="0" fontId="97" fillId="14" borderId="0" xfId="0" applyFont="1" applyFill="1">
      <alignment vertical="center"/>
    </xf>
    <xf numFmtId="0" fontId="98" fillId="14" borderId="0" xfId="0" applyFont="1" applyFill="1">
      <alignment vertical="center"/>
    </xf>
    <xf numFmtId="0" fontId="96" fillId="10" borderId="6" xfId="49" applyFont="1" applyFill="1" applyBorder="1" applyAlignment="1">
      <alignment horizontal="right" vertical="center"/>
    </xf>
    <xf numFmtId="0" fontId="97" fillId="14" borderId="6" xfId="161" quotePrefix="1" applyFont="1" applyFill="1" applyBorder="1">
      <alignment vertical="center"/>
    </xf>
    <xf numFmtId="0" fontId="97" fillId="14" borderId="0" xfId="161" applyFont="1" applyFill="1">
      <alignment vertical="center"/>
    </xf>
    <xf numFmtId="0" fontId="97" fillId="14" borderId="11" xfId="161" applyFont="1" applyFill="1" applyBorder="1">
      <alignment vertical="center"/>
    </xf>
    <xf numFmtId="0" fontId="97" fillId="0" borderId="0" xfId="161" applyFont="1">
      <alignment vertical="center"/>
    </xf>
    <xf numFmtId="0" fontId="97" fillId="0" borderId="0" xfId="161" quotePrefix="1" applyFont="1">
      <alignment vertical="center"/>
    </xf>
    <xf numFmtId="0" fontId="97" fillId="0" borderId="0" xfId="161" applyFont="1" applyAlignment="1">
      <alignment horizontal="center" vertical="center"/>
    </xf>
    <xf numFmtId="0" fontId="97" fillId="0" borderId="0" xfId="0" applyFont="1">
      <alignment vertical="center"/>
    </xf>
    <xf numFmtId="0" fontId="95" fillId="14" borderId="6" xfId="161" quotePrefix="1" applyFont="1" applyFill="1" applyBorder="1">
      <alignment vertical="center"/>
    </xf>
    <xf numFmtId="0" fontId="97" fillId="0" borderId="0" xfId="161" quotePrefix="1" applyFont="1" applyAlignment="1">
      <alignment horizontal="left" vertical="center"/>
    </xf>
    <xf numFmtId="0" fontId="97" fillId="0" borderId="0" xfId="161" applyFont="1" applyAlignment="1">
      <alignment horizontal="left" vertical="center"/>
    </xf>
    <xf numFmtId="0" fontId="96" fillId="10" borderId="16" xfId="46" applyFont="1" applyFill="1" applyBorder="1" applyAlignment="1">
      <alignment horizontal="center"/>
    </xf>
    <xf numFmtId="0" fontId="96" fillId="10" borderId="9" xfId="46" applyFont="1" applyFill="1" applyBorder="1" applyAlignment="1">
      <alignment horizontal="center"/>
    </xf>
    <xf numFmtId="0" fontId="97" fillId="14" borderId="0" xfId="0" applyFont="1" applyFill="1" applyAlignment="1">
      <alignment vertical="center" wrapText="1"/>
    </xf>
    <xf numFmtId="0" fontId="96" fillId="10" borderId="7" xfId="49" applyFont="1" applyFill="1" applyBorder="1" applyAlignment="1">
      <alignment horizontal="right" vertical="center"/>
    </xf>
    <xf numFmtId="0" fontId="96" fillId="10" borderId="21" xfId="46" applyFont="1" applyFill="1" applyBorder="1" applyAlignment="1">
      <alignment horizontal="center"/>
    </xf>
    <xf numFmtId="0" fontId="96" fillId="10" borderId="22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102" fillId="0" borderId="52" xfId="161" quotePrefix="1" applyFont="1" applyBorder="1">
      <alignment vertical="center"/>
    </xf>
    <xf numFmtId="0" fontId="96" fillId="0" borderId="52" xfId="161" applyFont="1" applyBorder="1">
      <alignment vertical="center"/>
    </xf>
    <xf numFmtId="0" fontId="97" fillId="0" borderId="52" xfId="161" applyFont="1" applyBorder="1">
      <alignment vertical="center"/>
    </xf>
    <xf numFmtId="0" fontId="97" fillId="0" borderId="52" xfId="161" quotePrefix="1" applyFont="1" applyBorder="1">
      <alignment vertical="center"/>
    </xf>
    <xf numFmtId="0" fontId="97" fillId="0" borderId="52" xfId="161" applyFont="1" applyBorder="1" applyAlignment="1">
      <alignment horizontal="center" vertical="center"/>
    </xf>
    <xf numFmtId="0" fontId="97" fillId="0" borderId="52" xfId="0" applyFont="1" applyBorder="1">
      <alignment vertical="center"/>
    </xf>
    <xf numFmtId="0" fontId="97" fillId="0" borderId="52" xfId="0" applyFont="1" applyBorder="1" applyAlignment="1">
      <alignment vertical="center" wrapText="1"/>
    </xf>
    <xf numFmtId="0" fontId="96" fillId="0" borderId="0" xfId="161" applyFont="1">
      <alignment vertical="center"/>
    </xf>
    <xf numFmtId="0" fontId="96" fillId="0" borderId="6" xfId="161" quotePrefix="1" applyFont="1" applyBorder="1">
      <alignment vertical="center"/>
    </xf>
    <xf numFmtId="0" fontId="96" fillId="0" borderId="0" xfId="161" quotePrefix="1" applyFont="1">
      <alignment vertical="center"/>
    </xf>
    <xf numFmtId="0" fontId="96" fillId="0" borderId="0" xfId="0" applyFont="1">
      <alignment vertical="center"/>
    </xf>
    <xf numFmtId="0" fontId="96" fillId="0" borderId="11" xfId="161" applyFont="1" applyBorder="1">
      <alignment vertical="center"/>
    </xf>
    <xf numFmtId="0" fontId="101" fillId="0" borderId="0" xfId="161" applyFont="1">
      <alignment vertical="center"/>
    </xf>
    <xf numFmtId="0" fontId="96" fillId="0" borderId="0" xfId="161" applyFont="1" applyAlignment="1">
      <alignment horizontal="center" vertical="center"/>
    </xf>
    <xf numFmtId="0" fontId="103" fillId="0" borderId="0" xfId="0" applyFont="1">
      <alignment vertical="center"/>
    </xf>
    <xf numFmtId="0" fontId="96" fillId="0" borderId="0" xfId="0" applyFont="1" applyAlignment="1">
      <alignment vertical="center" wrapText="1"/>
    </xf>
    <xf numFmtId="0" fontId="96" fillId="0" borderId="6" xfId="161" applyFont="1" applyBorder="1">
      <alignment vertical="center"/>
    </xf>
    <xf numFmtId="0" fontId="96" fillId="0" borderId="0" xfId="161" quotePrefix="1" applyFont="1" applyAlignment="1">
      <alignment horizontal="center" vertical="center"/>
    </xf>
    <xf numFmtId="0" fontId="100" fillId="0" borderId="0" xfId="0" applyFont="1">
      <alignment vertical="center"/>
    </xf>
    <xf numFmtId="0" fontId="96" fillId="0" borderId="0" xfId="0" applyFont="1" applyAlignment="1">
      <alignment horizontal="left" vertical="center"/>
    </xf>
    <xf numFmtId="0" fontId="96" fillId="0" borderId="14" xfId="161" applyFont="1" applyBorder="1">
      <alignment vertical="center"/>
    </xf>
    <xf numFmtId="0" fontId="104" fillId="14" borderId="0" xfId="0" applyFont="1" applyFill="1">
      <alignment vertical="center"/>
    </xf>
    <xf numFmtId="0" fontId="104" fillId="14" borderId="0" xfId="161" applyFont="1" applyFill="1">
      <alignment vertical="center"/>
    </xf>
    <xf numFmtId="0" fontId="104" fillId="14" borderId="0" xfId="0" applyFont="1" applyFill="1" applyAlignment="1">
      <alignment horizontal="left" vertical="center"/>
    </xf>
    <xf numFmtId="0" fontId="104" fillId="14" borderId="0" xfId="161" applyFont="1" applyFill="1" applyAlignment="1">
      <alignment horizontal="left" vertical="center"/>
    </xf>
    <xf numFmtId="0" fontId="104" fillId="14" borderId="0" xfId="161" applyFont="1" applyFill="1" applyAlignment="1">
      <alignment horizontal="center" vertical="center"/>
    </xf>
    <xf numFmtId="0" fontId="104" fillId="14" borderId="0" xfId="0" applyFont="1" applyFill="1" applyAlignment="1">
      <alignment horizontal="center" vertical="center"/>
    </xf>
    <xf numFmtId="0" fontId="104" fillId="19" borderId="0" xfId="0" applyFont="1" applyFill="1">
      <alignment vertical="center"/>
    </xf>
    <xf numFmtId="0" fontId="104" fillId="19" borderId="0" xfId="161" applyFont="1" applyFill="1">
      <alignment vertical="center"/>
    </xf>
    <xf numFmtId="0" fontId="104" fillId="19" borderId="0" xfId="161" applyFont="1" applyFill="1" applyAlignment="1">
      <alignment horizontal="center" vertical="center"/>
    </xf>
    <xf numFmtId="0" fontId="104" fillId="19" borderId="0" xfId="161" applyFont="1" applyFill="1" applyAlignment="1">
      <alignment horizontal="left" vertical="center"/>
    </xf>
    <xf numFmtId="0" fontId="96" fillId="19" borderId="6" xfId="161" quotePrefix="1" applyFont="1" applyFill="1" applyBorder="1">
      <alignment vertical="center"/>
    </xf>
    <xf numFmtId="0" fontId="100" fillId="19" borderId="0" xfId="0" applyFont="1" applyFill="1">
      <alignment vertical="center"/>
    </xf>
    <xf numFmtId="0" fontId="96" fillId="19" borderId="0" xfId="0" applyFont="1" applyFill="1">
      <alignment vertical="center"/>
    </xf>
    <xf numFmtId="0" fontId="104" fillId="19" borderId="0" xfId="0" applyFont="1" applyFill="1" applyAlignment="1">
      <alignment horizontal="center" vertical="center"/>
    </xf>
    <xf numFmtId="0" fontId="96" fillId="19" borderId="11" xfId="161" applyFont="1" applyFill="1" applyBorder="1">
      <alignment vertical="center"/>
    </xf>
    <xf numFmtId="0" fontId="96" fillId="19" borderId="0" xfId="161" quotePrefix="1" applyFont="1" applyFill="1">
      <alignment vertical="center"/>
    </xf>
    <xf numFmtId="0" fontId="74" fillId="14" borderId="0" xfId="0" applyFont="1" applyFill="1">
      <alignment vertical="center"/>
    </xf>
    <xf numFmtId="0" fontId="109" fillId="14" borderId="0" xfId="0" applyFont="1" applyFill="1">
      <alignment vertical="center"/>
    </xf>
    <xf numFmtId="0" fontId="100" fillId="31" borderId="0" xfId="0" applyFont="1" applyFill="1" applyAlignment="1">
      <alignment horizontal="left" vertical="center"/>
    </xf>
    <xf numFmtId="0" fontId="100" fillId="31" borderId="0" xfId="0" applyFont="1" applyFill="1">
      <alignment vertical="center"/>
    </xf>
    <xf numFmtId="0" fontId="100" fillId="14" borderId="0" xfId="0" applyFont="1" applyFill="1">
      <alignment vertical="center"/>
    </xf>
    <xf numFmtId="0" fontId="96" fillId="0" borderId="8" xfId="161" applyFont="1" applyBorder="1">
      <alignment vertical="center"/>
    </xf>
    <xf numFmtId="0" fontId="101" fillId="0" borderId="8" xfId="0" applyFont="1" applyBorder="1">
      <alignment vertical="center"/>
    </xf>
    <xf numFmtId="0" fontId="101" fillId="0" borderId="8" xfId="0" applyFont="1" applyBorder="1" applyAlignment="1">
      <alignment vertical="center" wrapText="1"/>
    </xf>
    <xf numFmtId="0" fontId="96" fillId="0" borderId="12" xfId="161" applyFont="1" applyBorder="1">
      <alignment vertical="center"/>
    </xf>
    <xf numFmtId="0" fontId="96" fillId="10" borderId="53" xfId="46" applyFont="1" applyFill="1" applyBorder="1" applyAlignment="1">
      <alignment horizontal="center"/>
    </xf>
    <xf numFmtId="0" fontId="101" fillId="0" borderId="0" xfId="45" applyFont="1">
      <alignment vertical="center"/>
    </xf>
    <xf numFmtId="0" fontId="101" fillId="31" borderId="0" xfId="185" applyFont="1" applyFill="1">
      <alignment vertical="center"/>
    </xf>
    <xf numFmtId="0" fontId="101" fillId="14" borderId="0" xfId="185" applyFont="1" applyFill="1">
      <alignment vertical="center"/>
    </xf>
    <xf numFmtId="0" fontId="101" fillId="0" borderId="0" xfId="185" applyFont="1">
      <alignment vertical="center"/>
    </xf>
    <xf numFmtId="0" fontId="96" fillId="0" borderId="55" xfId="185" applyFont="1" applyBorder="1" applyAlignment="1" applyProtection="1">
      <alignment vertical="center" wrapText="1"/>
      <protection locked="0"/>
    </xf>
    <xf numFmtId="0" fontId="96" fillId="0" borderId="56" xfId="185" applyFont="1" applyBorder="1" applyAlignment="1" applyProtection="1">
      <alignment vertical="center" wrapText="1"/>
      <protection locked="0"/>
    </xf>
    <xf numFmtId="0" fontId="96" fillId="0" borderId="57" xfId="185" applyFont="1" applyBorder="1" applyAlignment="1" applyProtection="1">
      <alignment vertical="center" wrapText="1"/>
      <protection locked="0"/>
    </xf>
    <xf numFmtId="0" fontId="96" fillId="0" borderId="58" xfId="185" applyFont="1" applyBorder="1" applyAlignment="1">
      <alignment vertical="center" wrapText="1"/>
    </xf>
    <xf numFmtId="0" fontId="96" fillId="0" borderId="2" xfId="185" applyFont="1" applyBorder="1" applyAlignment="1">
      <alignment vertical="center" wrapText="1"/>
    </xf>
    <xf numFmtId="0" fontId="96" fillId="0" borderId="54" xfId="185" applyFont="1" applyBorder="1" applyAlignment="1">
      <alignment vertical="center" wrapText="1"/>
    </xf>
    <xf numFmtId="0" fontId="96" fillId="0" borderId="2" xfId="185" applyFont="1" applyBorder="1" applyAlignment="1">
      <alignment horizontal="left" vertical="center" wrapText="1"/>
    </xf>
    <xf numFmtId="0" fontId="96" fillId="0" borderId="54" xfId="185" applyFont="1" applyBorder="1" applyAlignment="1">
      <alignment horizontal="left" vertical="center" wrapText="1"/>
    </xf>
    <xf numFmtId="0" fontId="96" fillId="0" borderId="10" xfId="185" applyFont="1" applyBorder="1" applyAlignment="1">
      <alignment horizontal="left" vertical="center" wrapText="1"/>
    </xf>
    <xf numFmtId="0" fontId="96" fillId="0" borderId="17" xfId="185" applyFont="1" applyBorder="1" applyAlignment="1">
      <alignment horizontal="left" vertical="center" wrapText="1"/>
    </xf>
    <xf numFmtId="0" fontId="101" fillId="0" borderId="10" xfId="185" applyFont="1" applyBorder="1">
      <alignment vertical="center"/>
    </xf>
    <xf numFmtId="0" fontId="101" fillId="0" borderId="2" xfId="185" applyFont="1" applyBorder="1">
      <alignment vertical="center"/>
    </xf>
    <xf numFmtId="0" fontId="101" fillId="0" borderId="17" xfId="185" applyFont="1" applyBorder="1">
      <alignment vertical="center"/>
    </xf>
    <xf numFmtId="0" fontId="96" fillId="31" borderId="0" xfId="185" applyFont="1" applyFill="1" applyProtection="1">
      <alignment vertical="center"/>
      <protection locked="0"/>
    </xf>
    <xf numFmtId="0" fontId="103" fillId="0" borderId="62" xfId="185" applyFont="1" applyBorder="1" applyAlignment="1">
      <alignment horizontal="left" vertical="center"/>
    </xf>
    <xf numFmtId="0" fontId="103" fillId="0" borderId="63" xfId="185" applyFont="1" applyBorder="1" applyAlignment="1">
      <alignment horizontal="left" vertical="center"/>
    </xf>
    <xf numFmtId="0" fontId="96" fillId="0" borderId="63" xfId="185" applyFont="1" applyBorder="1" applyAlignment="1">
      <alignment horizontal="left" vertical="center"/>
    </xf>
    <xf numFmtId="0" fontId="101" fillId="0" borderId="63" xfId="185" applyFont="1" applyBorder="1">
      <alignment vertical="center"/>
    </xf>
    <xf numFmtId="0" fontId="101" fillId="0" borderId="64" xfId="185" applyFont="1" applyBorder="1">
      <alignment vertical="center"/>
    </xf>
    <xf numFmtId="0" fontId="110" fillId="0" borderId="10" xfId="185" applyFont="1" applyBorder="1" applyProtection="1">
      <alignment vertical="center"/>
      <protection locked="0"/>
    </xf>
    <xf numFmtId="0" fontId="110" fillId="0" borderId="2" xfId="185" applyFont="1" applyBorder="1" applyProtection="1">
      <alignment vertical="center"/>
      <protection locked="0"/>
    </xf>
    <xf numFmtId="0" fontId="110" fillId="0" borderId="17" xfId="185" applyFont="1" applyBorder="1" applyProtection="1">
      <alignment vertical="center"/>
      <protection locked="0"/>
    </xf>
    <xf numFmtId="0" fontId="101" fillId="0" borderId="0" xfId="185" applyFont="1" applyProtection="1">
      <alignment vertical="center"/>
      <protection locked="0"/>
    </xf>
    <xf numFmtId="0" fontId="96" fillId="0" borderId="62" xfId="185" applyFont="1" applyBorder="1" applyAlignment="1">
      <alignment horizontal="left" vertical="center"/>
    </xf>
    <xf numFmtId="0" fontId="101" fillId="0" borderId="10" xfId="185" applyFont="1" applyBorder="1" applyProtection="1">
      <alignment vertical="center"/>
      <protection locked="0"/>
    </xf>
    <xf numFmtId="0" fontId="101" fillId="0" borderId="2" xfId="185" applyFont="1" applyBorder="1" applyProtection="1">
      <alignment vertical="center"/>
      <protection locked="0"/>
    </xf>
    <xf numFmtId="0" fontId="101" fillId="0" borderId="17" xfId="185" applyFont="1" applyBorder="1" applyProtection="1">
      <alignment vertical="center"/>
      <protection locked="0"/>
    </xf>
    <xf numFmtId="0" fontId="101" fillId="0" borderId="7" xfId="185" applyFont="1" applyBorder="1">
      <alignment vertical="center"/>
    </xf>
    <xf numFmtId="0" fontId="101" fillId="0" borderId="8" xfId="185" applyFont="1" applyBorder="1">
      <alignment vertical="center"/>
    </xf>
    <xf numFmtId="0" fontId="101" fillId="0" borderId="14" xfId="185" applyFont="1" applyBorder="1">
      <alignment vertical="center"/>
    </xf>
    <xf numFmtId="0" fontId="103" fillId="14" borderId="0" xfId="185" applyFont="1" applyFill="1">
      <alignment vertical="center"/>
    </xf>
    <xf numFmtId="0" fontId="112" fillId="14" borderId="0" xfId="185" applyFont="1" applyFill="1">
      <alignment vertical="center"/>
    </xf>
    <xf numFmtId="0" fontId="96" fillId="14" borderId="0" xfId="185" applyFont="1" applyFill="1" applyProtection="1">
      <alignment vertical="center"/>
      <protection locked="0"/>
    </xf>
    <xf numFmtId="0" fontId="101" fillId="14" borderId="0" xfId="185" applyFont="1" applyFill="1" applyAlignment="1">
      <alignment vertical="center" wrapText="1"/>
    </xf>
    <xf numFmtId="0" fontId="100" fillId="14" borderId="0" xfId="185" applyFont="1" applyFill="1" applyAlignment="1">
      <alignment vertical="center" wrapText="1"/>
    </xf>
    <xf numFmtId="0" fontId="96" fillId="14" borderId="0" xfId="185" applyFont="1" applyFill="1" applyAlignment="1">
      <alignment vertical="center" wrapText="1"/>
    </xf>
    <xf numFmtId="0" fontId="110" fillId="0" borderId="0" xfId="185" applyFont="1">
      <alignment vertical="center"/>
    </xf>
    <xf numFmtId="0" fontId="96" fillId="31" borderId="0" xfId="185" applyFont="1" applyFill="1">
      <alignment vertical="center"/>
    </xf>
    <xf numFmtId="0" fontId="103" fillId="0" borderId="8" xfId="185" applyFont="1" applyBorder="1">
      <alignment vertical="center"/>
    </xf>
    <xf numFmtId="0" fontId="103" fillId="0" borderId="6" xfId="185" applyFont="1" applyBorder="1">
      <alignment vertical="center"/>
    </xf>
    <xf numFmtId="0" fontId="103" fillId="0" borderId="0" xfId="185" applyFont="1">
      <alignment vertical="center"/>
    </xf>
    <xf numFmtId="0" fontId="103" fillId="32" borderId="8" xfId="185" applyFont="1" applyFill="1" applyBorder="1" applyAlignment="1">
      <alignment horizontal="center" vertical="center"/>
    </xf>
    <xf numFmtId="0" fontId="103" fillId="0" borderId="6" xfId="185" applyFont="1" applyBorder="1" applyAlignment="1">
      <alignment vertical="center" wrapText="1"/>
    </xf>
    <xf numFmtId="0" fontId="103" fillId="0" borderId="0" xfId="185" applyFont="1" applyAlignment="1">
      <alignment vertical="center" wrapText="1"/>
    </xf>
    <xf numFmtId="0" fontId="96" fillId="0" borderId="6" xfId="185" applyFont="1" applyBorder="1">
      <alignment vertical="center"/>
    </xf>
    <xf numFmtId="0" fontId="97" fillId="0" borderId="0" xfId="185" applyFont="1">
      <alignment vertical="center"/>
    </xf>
    <xf numFmtId="0" fontId="96" fillId="0" borderId="0" xfId="185" applyFont="1">
      <alignment vertical="center"/>
    </xf>
    <xf numFmtId="0" fontId="96" fillId="0" borderId="0" xfId="185" applyFont="1" applyAlignment="1">
      <alignment vertical="center" wrapText="1"/>
    </xf>
    <xf numFmtId="0" fontId="96" fillId="0" borderId="12" xfId="185" applyFont="1" applyBorder="1">
      <alignment vertical="center"/>
    </xf>
    <xf numFmtId="0" fontId="96" fillId="0" borderId="3" xfId="185" applyFont="1" applyBorder="1" applyAlignment="1">
      <alignment vertical="center" shrinkToFit="1"/>
    </xf>
    <xf numFmtId="0" fontId="96" fillId="34" borderId="3" xfId="185" applyFont="1" applyFill="1" applyBorder="1" applyAlignment="1">
      <alignment vertical="center" shrinkToFit="1"/>
    </xf>
    <xf numFmtId="0" fontId="101" fillId="0" borderId="3" xfId="185" applyFont="1" applyBorder="1" applyAlignment="1">
      <alignment vertical="center" shrinkToFit="1"/>
    </xf>
    <xf numFmtId="0" fontId="96" fillId="0" borderId="15" xfId="185" applyFont="1" applyBorder="1" applyAlignment="1">
      <alignment horizontal="left" vertical="center"/>
    </xf>
    <xf numFmtId="0" fontId="96" fillId="0" borderId="12" xfId="185" applyFont="1" applyBorder="1" applyAlignment="1">
      <alignment horizontal="left" vertical="center"/>
    </xf>
    <xf numFmtId="0" fontId="96" fillId="0" borderId="13" xfId="185" applyFont="1" applyBorder="1">
      <alignment vertical="center"/>
    </xf>
    <xf numFmtId="0" fontId="96" fillId="0" borderId="15" xfId="185" applyFont="1" applyBorder="1">
      <alignment vertical="center"/>
    </xf>
    <xf numFmtId="0" fontId="96" fillId="0" borderId="0" xfId="185" applyFont="1" applyAlignment="1">
      <alignment horizontal="left" vertical="center"/>
    </xf>
    <xf numFmtId="0" fontId="96" fillId="0" borderId="11" xfId="185" applyFont="1" applyBorder="1">
      <alignment vertical="center"/>
    </xf>
    <xf numFmtId="0" fontId="96" fillId="0" borderId="7" xfId="185" applyFont="1" applyBorder="1">
      <alignment vertical="center"/>
    </xf>
    <xf numFmtId="0" fontId="96" fillId="0" borderId="8" xfId="185" applyFont="1" applyBorder="1" applyAlignment="1">
      <alignment horizontal="left" vertical="center"/>
    </xf>
    <xf numFmtId="0" fontId="96" fillId="0" borderId="8" xfId="185" applyFont="1" applyBorder="1">
      <alignment vertical="center"/>
    </xf>
    <xf numFmtId="0" fontId="96" fillId="0" borderId="14" xfId="185" applyFont="1" applyBorder="1">
      <alignment vertical="center"/>
    </xf>
    <xf numFmtId="0" fontId="97" fillId="0" borderId="79" xfId="161" applyFont="1" applyBorder="1" applyAlignment="1">
      <alignment horizontal="center" vertical="center"/>
    </xf>
    <xf numFmtId="0" fontId="97" fillId="0" borderId="79" xfId="161" applyFont="1" applyBorder="1">
      <alignment vertical="center"/>
    </xf>
    <xf numFmtId="0" fontId="97" fillId="0" borderId="79" xfId="0" applyFont="1" applyBorder="1">
      <alignment vertical="center"/>
    </xf>
    <xf numFmtId="0" fontId="97" fillId="14" borderId="79" xfId="161" applyFont="1" applyFill="1" applyBorder="1">
      <alignment vertical="center"/>
    </xf>
    <xf numFmtId="0" fontId="97" fillId="14" borderId="78" xfId="161" applyFont="1" applyFill="1" applyBorder="1">
      <alignment vertical="center"/>
    </xf>
    <xf numFmtId="0" fontId="96" fillId="0" borderId="80" xfId="161" applyFont="1" applyBorder="1">
      <alignment vertical="center"/>
    </xf>
    <xf numFmtId="0" fontId="96" fillId="0" borderId="7" xfId="161" applyFont="1" applyBorder="1">
      <alignment vertical="center"/>
    </xf>
    <xf numFmtId="0" fontId="96" fillId="0" borderId="74" xfId="0" applyFont="1" applyBorder="1">
      <alignment vertical="center"/>
    </xf>
    <xf numFmtId="0" fontId="96" fillId="0" borderId="74" xfId="0" applyFont="1" applyBorder="1" applyAlignment="1">
      <alignment vertical="center" wrapText="1"/>
    </xf>
    <xf numFmtId="0" fontId="107" fillId="14" borderId="74" xfId="0" applyFont="1" applyFill="1" applyBorder="1">
      <alignment vertical="center"/>
    </xf>
    <xf numFmtId="0" fontId="96" fillId="0" borderId="74" xfId="161" applyFont="1" applyBorder="1">
      <alignment vertical="center"/>
    </xf>
    <xf numFmtId="0" fontId="117" fillId="0" borderId="0" xfId="0" applyFont="1">
      <alignment vertical="center"/>
    </xf>
    <xf numFmtId="0" fontId="96" fillId="36" borderId="0" xfId="161" quotePrefix="1" applyFont="1" applyFill="1">
      <alignment vertical="center"/>
    </xf>
    <xf numFmtId="0" fontId="96" fillId="36" borderId="0" xfId="0" applyFont="1" applyFill="1">
      <alignment vertical="center"/>
    </xf>
    <xf numFmtId="0" fontId="104" fillId="36" borderId="0" xfId="0" applyFont="1" applyFill="1">
      <alignment vertical="center"/>
    </xf>
    <xf numFmtId="0" fontId="104" fillId="36" borderId="0" xfId="161" applyFont="1" applyFill="1" applyAlignment="1">
      <alignment horizontal="left" vertical="center"/>
    </xf>
    <xf numFmtId="0" fontId="104" fillId="36" borderId="0" xfId="161" applyFont="1" applyFill="1" applyAlignment="1">
      <alignment horizontal="center" vertical="center"/>
    </xf>
    <xf numFmtId="0" fontId="104" fillId="36" borderId="0" xfId="0" applyFont="1" applyFill="1" applyAlignment="1">
      <alignment horizontal="centerContinuous" vertical="center"/>
    </xf>
    <xf numFmtId="0" fontId="118" fillId="36" borderId="0" xfId="0" applyFont="1" applyFill="1" applyAlignment="1">
      <alignment horizontal="centerContinuous" vertical="center"/>
    </xf>
    <xf numFmtId="185" fontId="104" fillId="36" borderId="0" xfId="161" quotePrefix="1" applyNumberFormat="1" applyFont="1" applyFill="1">
      <alignment vertical="center"/>
    </xf>
    <xf numFmtId="0" fontId="96" fillId="0" borderId="12" xfId="161" quotePrefix="1" applyFont="1" applyBorder="1">
      <alignment vertical="center"/>
    </xf>
    <xf numFmtId="0" fontId="96" fillId="0" borderId="12" xfId="161" quotePrefix="1" applyFont="1" applyBorder="1" applyAlignment="1">
      <alignment horizontal="center" vertical="center"/>
    </xf>
    <xf numFmtId="0" fontId="100" fillId="0" borderId="12" xfId="0" applyFont="1" applyBorder="1">
      <alignment vertical="center"/>
    </xf>
    <xf numFmtId="0" fontId="96" fillId="0" borderId="12" xfId="0" applyFont="1" applyBorder="1">
      <alignment vertical="center"/>
    </xf>
    <xf numFmtId="0" fontId="104" fillId="14" borderId="12" xfId="0" applyFont="1" applyFill="1" applyBorder="1">
      <alignment vertical="center"/>
    </xf>
    <xf numFmtId="0" fontId="104" fillId="14" borderId="12" xfId="161" applyFont="1" applyFill="1" applyBorder="1" applyAlignment="1">
      <alignment horizontal="left" vertical="center"/>
    </xf>
    <xf numFmtId="0" fontId="104" fillId="14" borderId="12" xfId="161" applyFont="1" applyFill="1" applyBorder="1" applyAlignment="1">
      <alignment horizontal="center" vertical="center"/>
    </xf>
    <xf numFmtId="0" fontId="104" fillId="14" borderId="12" xfId="161" applyFont="1" applyFill="1" applyBorder="1">
      <alignment vertical="center"/>
    </xf>
    <xf numFmtId="0" fontId="104" fillId="14" borderId="12" xfId="0" applyFont="1" applyFill="1" applyBorder="1" applyAlignment="1">
      <alignment horizontal="center" vertical="center"/>
    </xf>
    <xf numFmtId="0" fontId="96" fillId="0" borderId="8" xfId="161" quotePrefix="1" applyFont="1" applyBorder="1">
      <alignment vertical="center"/>
    </xf>
    <xf numFmtId="0" fontId="96" fillId="0" borderId="8" xfId="161" quotePrefix="1" applyFont="1" applyBorder="1" applyAlignment="1">
      <alignment horizontal="center" vertical="center"/>
    </xf>
    <xf numFmtId="0" fontId="100" fillId="0" borderId="8" xfId="0" applyFont="1" applyBorder="1">
      <alignment vertical="center"/>
    </xf>
    <xf numFmtId="0" fontId="96" fillId="0" borderId="8" xfId="0" applyFont="1" applyBorder="1">
      <alignment vertical="center"/>
    </xf>
    <xf numFmtId="0" fontId="104" fillId="14" borderId="8" xfId="0" applyFont="1" applyFill="1" applyBorder="1">
      <alignment vertical="center"/>
    </xf>
    <xf numFmtId="185" fontId="104" fillId="14" borderId="8" xfId="161" quotePrefix="1" applyNumberFormat="1" applyFont="1" applyFill="1" applyBorder="1">
      <alignment vertical="center"/>
    </xf>
    <xf numFmtId="0" fontId="104" fillId="14" borderId="8" xfId="161" applyFont="1" applyFill="1" applyBorder="1" applyAlignment="1">
      <alignment horizontal="left" vertical="center"/>
    </xf>
    <xf numFmtId="0" fontId="104" fillId="14" borderId="8" xfId="161" applyFont="1" applyFill="1" applyBorder="1" applyAlignment="1">
      <alignment horizontal="center" vertical="center"/>
    </xf>
    <xf numFmtId="0" fontId="104" fillId="14" borderId="8" xfId="161" applyFont="1" applyFill="1" applyBorder="1">
      <alignment vertical="center"/>
    </xf>
    <xf numFmtId="0" fontId="104" fillId="14" borderId="8" xfId="0" applyFont="1" applyFill="1" applyBorder="1" applyAlignment="1">
      <alignment horizontal="center" vertical="center"/>
    </xf>
    <xf numFmtId="0" fontId="102" fillId="0" borderId="52" xfId="161" quotePrefix="1" applyFont="1" applyBorder="1" applyAlignment="1">
      <alignment horizontal="center" vertical="center"/>
    </xf>
    <xf numFmtId="185" fontId="104" fillId="14" borderId="0" xfId="161" quotePrefix="1" applyNumberFormat="1" applyFont="1" applyFill="1">
      <alignment vertical="center"/>
    </xf>
    <xf numFmtId="14" fontId="82" fillId="14" borderId="0" xfId="48" applyNumberFormat="1" applyFont="1" applyFill="1" applyAlignment="1">
      <alignment horizontal="center" vertical="center"/>
    </xf>
    <xf numFmtId="0" fontId="82" fillId="14" borderId="0" xfId="48" applyFont="1" applyFill="1" applyAlignment="1">
      <alignment horizontal="center" vertical="center"/>
    </xf>
    <xf numFmtId="0" fontId="20" fillId="0" borderId="0" xfId="48" applyFont="1" applyAlignment="1">
      <alignment horizontal="center" vertical="center" wrapText="1"/>
    </xf>
    <xf numFmtId="0" fontId="16" fillId="0" borderId="3" xfId="48" applyFont="1" applyBorder="1" applyAlignment="1">
      <alignment horizontal="center"/>
    </xf>
    <xf numFmtId="0" fontId="16" fillId="14" borderId="0" xfId="48" applyFont="1" applyFill="1" applyAlignment="1">
      <alignment horizontal="center"/>
    </xf>
    <xf numFmtId="0" fontId="20" fillId="0" borderId="0" xfId="48" applyFon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53" fillId="0" borderId="3" xfId="0" applyFont="1" applyBorder="1">
      <alignment vertical="center"/>
    </xf>
    <xf numFmtId="0" fontId="53" fillId="0" borderId="3" xfId="0" applyFont="1" applyBorder="1" applyAlignment="1">
      <alignment vertical="center" wrapText="1"/>
    </xf>
    <xf numFmtId="0" fontId="53" fillId="0" borderId="23" xfId="0" applyFont="1" applyBorder="1">
      <alignment vertical="center"/>
    </xf>
    <xf numFmtId="0" fontId="0" fillId="0" borderId="3" xfId="0" applyBorder="1">
      <alignment vertical="center"/>
    </xf>
    <xf numFmtId="14" fontId="20" fillId="0" borderId="3" xfId="50" applyNumberFormat="1" applyFont="1" applyBorder="1" applyAlignment="1">
      <alignment horizontal="center" vertical="center"/>
    </xf>
    <xf numFmtId="0" fontId="20" fillId="0" borderId="3" xfId="50" applyFont="1" applyBorder="1" applyAlignment="1">
      <alignment horizontal="center" vertical="center"/>
    </xf>
    <xf numFmtId="14" fontId="20" fillId="0" borderId="10" xfId="50" applyNumberFormat="1" applyFont="1" applyBorder="1" applyAlignment="1">
      <alignment horizontal="center" vertical="center"/>
    </xf>
    <xf numFmtId="14" fontId="20" fillId="0" borderId="2" xfId="50" applyNumberFormat="1" applyFont="1" applyBorder="1" applyAlignment="1">
      <alignment horizontal="center" vertical="center"/>
    </xf>
    <xf numFmtId="14" fontId="20" fillId="0" borderId="17" xfId="50" applyNumberFormat="1" applyFont="1" applyBorder="1" applyAlignment="1">
      <alignment horizontal="center" vertical="center"/>
    </xf>
    <xf numFmtId="14" fontId="53" fillId="0" borderId="23" xfId="0" applyNumberFormat="1" applyFont="1" applyBorder="1" applyAlignment="1">
      <alignment horizontal="center" vertical="center"/>
    </xf>
    <xf numFmtId="0" fontId="53" fillId="0" borderId="23" xfId="0" applyFont="1" applyBorder="1" applyAlignment="1">
      <alignment horizontal="center" vertical="center"/>
    </xf>
    <xf numFmtId="0" fontId="53" fillId="0" borderId="10" xfId="0" applyFont="1" applyBorder="1" applyAlignment="1">
      <alignment vertical="center" wrapText="1"/>
    </xf>
    <xf numFmtId="0" fontId="53" fillId="0" borderId="2" xfId="0" applyFont="1" applyBorder="1">
      <alignment vertical="center"/>
    </xf>
    <xf numFmtId="0" fontId="53" fillId="0" borderId="17" xfId="0" applyFont="1" applyBorder="1">
      <alignment vertical="center"/>
    </xf>
    <xf numFmtId="0" fontId="53" fillId="0" borderId="15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9" fillId="12" borderId="10" xfId="48" applyFont="1" applyFill="1" applyBorder="1" applyAlignment="1">
      <alignment horizontal="left" vertical="center"/>
    </xf>
    <xf numFmtId="0" fontId="19" fillId="12" borderId="2" xfId="48" applyFont="1" applyFill="1" applyBorder="1" applyAlignment="1">
      <alignment horizontal="left" vertical="center"/>
    </xf>
    <xf numFmtId="0" fontId="19" fillId="12" borderId="17" xfId="48" applyFont="1" applyFill="1" applyBorder="1" applyAlignment="1">
      <alignment horizontal="left" vertical="center"/>
    </xf>
    <xf numFmtId="0" fontId="49" fillId="15" borderId="24" xfId="48" applyFont="1" applyFill="1" applyBorder="1" applyAlignment="1">
      <alignment vertical="center"/>
    </xf>
    <xf numFmtId="0" fontId="19" fillId="12" borderId="3" xfId="48" applyFont="1" applyFill="1" applyBorder="1" applyAlignment="1">
      <alignment vertical="center"/>
    </xf>
    <xf numFmtId="0" fontId="21" fillId="0" borderId="10" xfId="48" applyFont="1" applyBorder="1" applyAlignment="1">
      <alignment vertical="center"/>
    </xf>
    <xf numFmtId="0" fontId="21" fillId="0" borderId="2" xfId="48" applyFont="1" applyBorder="1" applyAlignment="1">
      <alignment vertical="center"/>
    </xf>
    <xf numFmtId="0" fontId="21" fillId="0" borderId="17" xfId="48" applyFont="1" applyBorder="1" applyAlignment="1">
      <alignment vertical="center"/>
    </xf>
    <xf numFmtId="0" fontId="19" fillId="12" borderId="3" xfId="48" applyFont="1" applyFill="1" applyBorder="1" applyAlignment="1">
      <alignment horizontal="left" vertical="center"/>
    </xf>
    <xf numFmtId="0" fontId="20" fillId="0" borderId="3" xfId="48" applyFont="1" applyBorder="1" applyAlignment="1">
      <alignment horizontal="left" vertical="center"/>
    </xf>
    <xf numFmtId="0" fontId="14" fillId="16" borderId="3" xfId="50" applyFill="1" applyBorder="1" applyAlignment="1">
      <alignment horizontal="left" vertical="center"/>
    </xf>
    <xf numFmtId="14" fontId="20" fillId="0" borderId="3" xfId="48" applyNumberFormat="1" applyFont="1" applyBorder="1" applyAlignment="1">
      <alignment horizontal="center" vertical="center"/>
    </xf>
    <xf numFmtId="0" fontId="53" fillId="14" borderId="15" xfId="0" applyFont="1" applyFill="1" applyBorder="1" applyAlignment="1">
      <alignment vertical="center" wrapText="1"/>
    </xf>
    <xf numFmtId="0" fontId="53" fillId="14" borderId="12" xfId="0" applyFont="1" applyFill="1" applyBorder="1" applyAlignment="1">
      <alignment vertical="center" wrapText="1"/>
    </xf>
    <xf numFmtId="0" fontId="53" fillId="14" borderId="13" xfId="0" applyFont="1" applyFill="1" applyBorder="1" applyAlignment="1">
      <alignment vertical="center" wrapText="1"/>
    </xf>
    <xf numFmtId="0" fontId="53" fillId="14" borderId="7" xfId="0" applyFont="1" applyFill="1" applyBorder="1" applyAlignment="1">
      <alignment vertical="center" wrapText="1"/>
    </xf>
    <xf numFmtId="0" fontId="53" fillId="14" borderId="8" xfId="0" applyFont="1" applyFill="1" applyBorder="1" applyAlignment="1">
      <alignment vertical="center" wrapText="1"/>
    </xf>
    <xf numFmtId="0" fontId="53" fillId="14" borderId="14" xfId="0" applyFont="1" applyFill="1" applyBorder="1" applyAlignment="1">
      <alignment vertical="center" wrapText="1"/>
    </xf>
    <xf numFmtId="0" fontId="19" fillId="15" borderId="25" xfId="48" applyFont="1" applyFill="1" applyBorder="1" applyAlignment="1">
      <alignment vertical="center"/>
    </xf>
    <xf numFmtId="0" fontId="20" fillId="0" borderId="3" xfId="48" applyFont="1" applyBorder="1" applyAlignment="1">
      <alignment vertical="center"/>
    </xf>
    <xf numFmtId="0" fontId="53" fillId="14" borderId="3" xfId="0" applyFont="1" applyFill="1" applyBorder="1">
      <alignment vertical="center"/>
    </xf>
    <xf numFmtId="0" fontId="18" fillId="15" borderId="23" xfId="48" applyFont="1" applyFill="1" applyBorder="1" applyAlignment="1">
      <alignment vertical="center"/>
    </xf>
    <xf numFmtId="0" fontId="55" fillId="17" borderId="8" xfId="0" applyFont="1" applyFill="1" applyBorder="1" applyAlignment="1">
      <alignment horizontal="center" vertical="center"/>
    </xf>
    <xf numFmtId="0" fontId="53" fillId="14" borderId="3" xfId="0" applyFont="1" applyFill="1" applyBorder="1" applyAlignment="1">
      <alignment vertical="center" wrapText="1"/>
    </xf>
    <xf numFmtId="0" fontId="20" fillId="0" borderId="3" xfId="48" applyFont="1" applyBorder="1" applyAlignment="1">
      <alignment horizontal="center" vertical="center"/>
    </xf>
    <xf numFmtId="0" fontId="14" fillId="16" borderId="10" xfId="50" applyFill="1" applyBorder="1" applyAlignment="1">
      <alignment horizontal="center" vertical="center"/>
    </xf>
    <xf numFmtId="0" fontId="14" fillId="16" borderId="17" xfId="50" applyFill="1" applyBorder="1" applyAlignment="1">
      <alignment horizontal="center" vertical="center"/>
    </xf>
    <xf numFmtId="0" fontId="96" fillId="0" borderId="10" xfId="161" applyFont="1" applyBorder="1" applyAlignment="1">
      <alignment horizontal="left" vertical="center"/>
    </xf>
    <xf numFmtId="0" fontId="96" fillId="0" borderId="2" xfId="161" applyFont="1" applyBorder="1" applyAlignment="1">
      <alignment horizontal="left" vertical="center"/>
    </xf>
    <xf numFmtId="0" fontId="96" fillId="0" borderId="17" xfId="161" applyFont="1" applyBorder="1" applyAlignment="1">
      <alignment horizontal="left" vertical="center"/>
    </xf>
    <xf numFmtId="0" fontId="106" fillId="36" borderId="0" xfId="0" applyFont="1" applyFill="1" applyAlignment="1">
      <alignment horizontal="center" vertical="center"/>
    </xf>
    <xf numFmtId="0" fontId="96" fillId="19" borderId="10" xfId="161" applyFont="1" applyFill="1" applyBorder="1" applyAlignment="1">
      <alignment horizontal="left" vertical="center"/>
    </xf>
    <xf numFmtId="0" fontId="96" fillId="19" borderId="2" xfId="161" applyFont="1" applyFill="1" applyBorder="1" applyAlignment="1">
      <alignment horizontal="left" vertical="center"/>
    </xf>
    <xf numFmtId="0" fontId="96" fillId="19" borderId="17" xfId="161" applyFont="1" applyFill="1" applyBorder="1" applyAlignment="1">
      <alignment horizontal="left" vertical="center"/>
    </xf>
    <xf numFmtId="0" fontId="96" fillId="0" borderId="10" xfId="161" applyFont="1" applyBorder="1" applyAlignment="1">
      <alignment horizontal="left" vertical="center" wrapText="1"/>
    </xf>
    <xf numFmtId="0" fontId="96" fillId="0" borderId="2" xfId="161" applyFont="1" applyBorder="1" applyAlignment="1">
      <alignment horizontal="left" vertical="center" wrapText="1"/>
    </xf>
    <xf numFmtId="0" fontId="96" fillId="0" borderId="17" xfId="161" applyFont="1" applyBorder="1" applyAlignment="1">
      <alignment horizontal="left" vertical="center" wrapText="1"/>
    </xf>
    <xf numFmtId="0" fontId="21" fillId="0" borderId="3" xfId="48" applyFont="1" applyBorder="1" applyAlignment="1">
      <alignment vertical="center"/>
    </xf>
    <xf numFmtId="0" fontId="20" fillId="10" borderId="10" xfId="46" applyFont="1" applyFill="1" applyBorder="1" applyAlignment="1">
      <alignment horizontal="center"/>
    </xf>
    <xf numFmtId="0" fontId="20" fillId="10" borderId="17" xfId="46" applyFont="1" applyFill="1" applyBorder="1" applyAlignment="1">
      <alignment horizontal="center"/>
    </xf>
    <xf numFmtId="0" fontId="119" fillId="0" borderId="83" xfId="0" applyFont="1" applyBorder="1" applyAlignment="1">
      <alignment horizontal="center" vertical="center"/>
    </xf>
    <xf numFmtId="185" fontId="104" fillId="14" borderId="0" xfId="161" quotePrefix="1" applyNumberFormat="1" applyFont="1" applyFill="1" applyAlignment="1">
      <alignment horizontal="right" vertical="center"/>
    </xf>
    <xf numFmtId="0" fontId="51" fillId="13" borderId="10" xfId="49" applyFont="1" applyFill="1" applyBorder="1" applyAlignment="1">
      <alignment horizontal="center" vertical="center"/>
    </xf>
    <xf numFmtId="0" fontId="51" fillId="13" borderId="2" xfId="49" applyFont="1" applyFill="1" applyBorder="1" applyAlignment="1">
      <alignment horizontal="center" vertical="center"/>
    </xf>
    <xf numFmtId="0" fontId="51" fillId="13" borderId="17" xfId="49" applyFont="1" applyFill="1" applyBorder="1" applyAlignment="1">
      <alignment horizontal="center" vertical="center"/>
    </xf>
    <xf numFmtId="0" fontId="121" fillId="36" borderId="84" xfId="0" applyFont="1" applyFill="1" applyBorder="1" applyAlignment="1">
      <alignment horizontal="left" vertical="center" wrapText="1"/>
    </xf>
    <xf numFmtId="0" fontId="121" fillId="36" borderId="86" xfId="0" applyFont="1" applyFill="1" applyBorder="1" applyAlignment="1">
      <alignment horizontal="left" vertical="center" wrapText="1"/>
    </xf>
    <xf numFmtId="0" fontId="121" fillId="19" borderId="84" xfId="161" applyFont="1" applyFill="1" applyBorder="1" applyAlignment="1">
      <alignment horizontal="left" vertical="center" wrapText="1"/>
    </xf>
    <xf numFmtId="0" fontId="118" fillId="19" borderId="84" xfId="161" applyFont="1" applyFill="1" applyBorder="1" applyAlignment="1">
      <alignment horizontal="left" vertical="center"/>
    </xf>
    <xf numFmtId="0" fontId="118" fillId="19" borderId="86" xfId="161" applyFont="1" applyFill="1" applyBorder="1" applyAlignment="1">
      <alignment horizontal="left" vertical="center"/>
    </xf>
    <xf numFmtId="0" fontId="118" fillId="36" borderId="84" xfId="0" applyFont="1" applyFill="1" applyBorder="1" applyAlignment="1">
      <alignment horizontal="left" vertical="center" wrapText="1"/>
    </xf>
    <xf numFmtId="0" fontId="118" fillId="36" borderId="86" xfId="0" applyFont="1" applyFill="1" applyBorder="1" applyAlignment="1">
      <alignment horizontal="left" vertical="center" wrapText="1"/>
    </xf>
    <xf numFmtId="0" fontId="96" fillId="36" borderId="84" xfId="161" applyFont="1" applyFill="1" applyBorder="1" applyAlignment="1">
      <alignment horizontal="center" vertical="center"/>
    </xf>
    <xf numFmtId="0" fontId="96" fillId="36" borderId="86" xfId="161" applyFont="1" applyFill="1" applyBorder="1" applyAlignment="1">
      <alignment horizontal="center" vertical="center"/>
    </xf>
    <xf numFmtId="0" fontId="106" fillId="0" borderId="83" xfId="0" applyFont="1" applyBorder="1" applyAlignment="1">
      <alignment horizontal="left" vertical="center"/>
    </xf>
    <xf numFmtId="0" fontId="123" fillId="14" borderId="81" xfId="0" applyFont="1" applyFill="1" applyBorder="1" applyAlignment="1">
      <alignment horizontal="center" vertical="center" wrapText="1"/>
    </xf>
    <xf numFmtId="0" fontId="123" fillId="14" borderId="81" xfId="0" applyFont="1" applyFill="1" applyBorder="1" applyAlignment="1">
      <alignment horizontal="center" vertical="center"/>
    </xf>
    <xf numFmtId="0" fontId="123" fillId="14" borderId="0" xfId="0" applyFont="1" applyFill="1" applyAlignment="1">
      <alignment horizontal="center" vertical="center"/>
    </xf>
    <xf numFmtId="0" fontId="101" fillId="19" borderId="0" xfId="161" applyFont="1" applyFill="1" applyAlignment="1">
      <alignment horizontal="left" vertical="center" wrapText="1"/>
    </xf>
    <xf numFmtId="0" fontId="101" fillId="19" borderId="0" xfId="161" applyFont="1" applyFill="1" applyAlignment="1">
      <alignment horizontal="left" vertical="center"/>
    </xf>
    <xf numFmtId="0" fontId="104" fillId="36" borderId="82" xfId="161" applyFont="1" applyFill="1" applyBorder="1" applyAlignment="1">
      <alignment horizontal="left" vertical="center" wrapText="1"/>
    </xf>
    <xf numFmtId="0" fontId="104" fillId="36" borderId="82" xfId="161" applyFont="1" applyFill="1" applyBorder="1" applyAlignment="1">
      <alignment horizontal="left" vertical="center"/>
    </xf>
    <xf numFmtId="17" fontId="106" fillId="0" borderId="83" xfId="0" quotePrefix="1" applyNumberFormat="1" applyFont="1" applyBorder="1" applyAlignment="1">
      <alignment horizontal="left" vertical="center"/>
    </xf>
    <xf numFmtId="0" fontId="104" fillId="14" borderId="82" xfId="0" applyFont="1" applyFill="1" applyBorder="1" applyAlignment="1">
      <alignment horizontal="left" vertical="center"/>
    </xf>
    <xf numFmtId="185" fontId="104" fillId="19" borderId="0" xfId="161" quotePrefix="1" applyNumberFormat="1" applyFont="1" applyFill="1" applyAlignment="1">
      <alignment horizontal="right" vertical="center"/>
    </xf>
    <xf numFmtId="0" fontId="106" fillId="0" borderId="90" xfId="0" applyFont="1" applyBorder="1" applyAlignment="1">
      <alignment horizontal="left" vertical="center"/>
    </xf>
    <xf numFmtId="0" fontId="106" fillId="0" borderId="85" xfId="0" applyFont="1" applyBorder="1" applyAlignment="1">
      <alignment horizontal="left" vertical="center"/>
    </xf>
    <xf numFmtId="0" fontId="106" fillId="0" borderId="89" xfId="0" applyFont="1" applyBorder="1" applyAlignment="1">
      <alignment horizontal="left" vertical="center"/>
    </xf>
    <xf numFmtId="0" fontId="106" fillId="0" borderId="92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0" fontId="106" fillId="0" borderId="93" xfId="0" applyFont="1" applyBorder="1" applyAlignment="1">
      <alignment horizontal="left" vertical="center"/>
    </xf>
    <xf numFmtId="0" fontId="106" fillId="0" borderId="88" xfId="0" applyFont="1" applyBorder="1" applyAlignment="1">
      <alignment horizontal="left" vertical="center"/>
    </xf>
    <xf numFmtId="0" fontId="106" fillId="0" borderId="91" xfId="0" applyFont="1" applyBorder="1" applyAlignment="1">
      <alignment horizontal="left" vertical="center"/>
    </xf>
    <xf numFmtId="0" fontId="106" fillId="0" borderId="87" xfId="0" applyFont="1" applyBorder="1" applyAlignment="1">
      <alignment horizontal="left" vertical="center"/>
    </xf>
    <xf numFmtId="0" fontId="118" fillId="19" borderId="84" xfId="161" applyFont="1" applyFill="1" applyBorder="1" applyAlignment="1">
      <alignment horizontal="left" vertical="center" wrapText="1"/>
    </xf>
    <xf numFmtId="0" fontId="118" fillId="19" borderId="86" xfId="161" applyFont="1" applyFill="1" applyBorder="1" applyAlignment="1">
      <alignment horizontal="left" vertical="center" wrapText="1"/>
    </xf>
    <xf numFmtId="0" fontId="106" fillId="0" borderId="83" xfId="0" applyFont="1" applyBorder="1" applyAlignment="1">
      <alignment horizontal="left" vertical="center" wrapText="1"/>
    </xf>
    <xf numFmtId="185" fontId="104" fillId="14" borderId="12" xfId="161" quotePrefix="1" applyNumberFormat="1" applyFont="1" applyFill="1" applyBorder="1" applyAlignment="1">
      <alignment horizontal="right" vertical="center"/>
    </xf>
    <xf numFmtId="0" fontId="120" fillId="0" borderId="83" xfId="0" applyFont="1" applyBorder="1" applyAlignment="1">
      <alignment horizontal="left" vertical="center"/>
    </xf>
    <xf numFmtId="185" fontId="104" fillId="36" borderId="0" xfId="161" quotePrefix="1" applyNumberFormat="1" applyFont="1" applyFill="1" applyAlignment="1">
      <alignment horizontal="right" vertical="center"/>
    </xf>
    <xf numFmtId="0" fontId="103" fillId="33" borderId="23" xfId="185" applyFont="1" applyFill="1" applyBorder="1" applyAlignment="1">
      <alignment horizontal="center" vertical="center"/>
    </xf>
    <xf numFmtId="0" fontId="103" fillId="34" borderId="3" xfId="185" applyFont="1" applyFill="1" applyBorder="1" applyAlignment="1">
      <alignment horizontal="center" vertical="center"/>
    </xf>
    <xf numFmtId="0" fontId="96" fillId="34" borderId="3" xfId="185" applyFont="1" applyFill="1" applyBorder="1" applyAlignment="1">
      <alignment horizontal="center" vertical="center"/>
    </xf>
    <xf numFmtId="0" fontId="103" fillId="34" borderId="3" xfId="185" applyFont="1" applyFill="1" applyBorder="1" applyAlignment="1" applyProtection="1">
      <alignment horizontal="center" vertical="center" wrapText="1"/>
      <protection locked="0"/>
    </xf>
    <xf numFmtId="0" fontId="103" fillId="32" borderId="3" xfId="185" applyFont="1" applyFill="1" applyBorder="1" applyAlignment="1">
      <alignment horizontal="center" vertical="center" wrapText="1"/>
    </xf>
    <xf numFmtId="0" fontId="103" fillId="32" borderId="3" xfId="185" applyFont="1" applyFill="1" applyBorder="1" applyAlignment="1">
      <alignment horizontal="center" vertical="center"/>
    </xf>
    <xf numFmtId="0" fontId="103" fillId="32" borderId="71" xfId="185" applyFont="1" applyFill="1" applyBorder="1" applyAlignment="1">
      <alignment horizontal="center" vertical="center"/>
    </xf>
    <xf numFmtId="0" fontId="103" fillId="32" borderId="73" xfId="185" applyFont="1" applyFill="1" applyBorder="1" applyAlignment="1">
      <alignment horizontal="center" vertical="center"/>
    </xf>
    <xf numFmtId="0" fontId="103" fillId="32" borderId="7" xfId="185" applyFont="1" applyFill="1" applyBorder="1" applyAlignment="1">
      <alignment horizontal="center" vertical="center"/>
    </xf>
    <xf numFmtId="0" fontId="103" fillId="32" borderId="75" xfId="185" applyFont="1" applyFill="1" applyBorder="1" applyAlignment="1">
      <alignment horizontal="center" vertical="center"/>
    </xf>
    <xf numFmtId="0" fontId="103" fillId="32" borderId="71" xfId="185" applyFont="1" applyFill="1" applyBorder="1" applyAlignment="1">
      <alignment horizontal="center" vertical="center" wrapText="1"/>
    </xf>
    <xf numFmtId="0" fontId="103" fillId="32" borderId="72" xfId="185" applyFont="1" applyFill="1" applyBorder="1" applyAlignment="1">
      <alignment horizontal="center" vertical="center" wrapText="1"/>
    </xf>
    <xf numFmtId="0" fontId="103" fillId="32" borderId="73" xfId="185" applyFont="1" applyFill="1" applyBorder="1" applyAlignment="1">
      <alignment horizontal="center" vertical="center" wrapText="1"/>
    </xf>
    <xf numFmtId="0" fontId="103" fillId="32" borderId="7" xfId="185" applyFont="1" applyFill="1" applyBorder="1" applyAlignment="1">
      <alignment horizontal="center" vertical="center" wrapText="1"/>
    </xf>
    <xf numFmtId="0" fontId="103" fillId="32" borderId="74" xfId="185" applyFont="1" applyFill="1" applyBorder="1" applyAlignment="1">
      <alignment horizontal="center" vertical="center" wrapText="1"/>
    </xf>
    <xf numFmtId="0" fontId="103" fillId="32" borderId="75" xfId="185" applyFont="1" applyFill="1" applyBorder="1" applyAlignment="1">
      <alignment horizontal="center" vertical="center" wrapText="1"/>
    </xf>
    <xf numFmtId="0" fontId="96" fillId="0" borderId="58" xfId="45" applyFont="1" applyBorder="1" applyAlignment="1" applyProtection="1">
      <alignment horizontal="center" vertical="center" wrapText="1"/>
      <protection locked="0"/>
    </xf>
    <xf numFmtId="0" fontId="96" fillId="0" borderId="54" xfId="45" applyFont="1" applyBorder="1" applyAlignment="1" applyProtection="1">
      <alignment horizontal="center" vertical="center" wrapText="1"/>
      <protection locked="0"/>
    </xf>
    <xf numFmtId="0" fontId="96" fillId="0" borderId="58" xfId="185" applyFont="1" applyBorder="1" applyAlignment="1">
      <alignment vertical="center" wrapText="1"/>
    </xf>
    <xf numFmtId="0" fontId="96" fillId="0" borderId="2" xfId="185" applyFont="1" applyBorder="1" applyAlignment="1">
      <alignment vertical="center" wrapText="1"/>
    </xf>
    <xf numFmtId="0" fontId="96" fillId="0" borderId="54" xfId="185" applyFont="1" applyBorder="1" applyAlignment="1">
      <alignment vertical="center" wrapText="1"/>
    </xf>
    <xf numFmtId="0" fontId="96" fillId="0" borderId="58" xfId="185" applyFont="1" applyBorder="1" applyAlignment="1">
      <alignment horizontal="left" vertical="center" wrapText="1"/>
    </xf>
    <xf numFmtId="0" fontId="96" fillId="0" borderId="2" xfId="185" applyFont="1" applyBorder="1" applyAlignment="1">
      <alignment horizontal="left" vertical="center" wrapText="1"/>
    </xf>
    <xf numFmtId="0" fontId="96" fillId="0" borderId="54" xfId="185" applyFont="1" applyBorder="1" applyAlignment="1">
      <alignment horizontal="left" vertical="center" wrapText="1"/>
    </xf>
    <xf numFmtId="0" fontId="96" fillId="0" borderId="10" xfId="185" applyFont="1" applyBorder="1" applyAlignment="1">
      <alignment horizontal="left" vertical="center" wrapText="1"/>
    </xf>
    <xf numFmtId="0" fontId="96" fillId="0" borderId="17" xfId="185" applyFont="1" applyBorder="1" applyAlignment="1">
      <alignment horizontal="left" vertical="center" wrapText="1"/>
    </xf>
    <xf numFmtId="49" fontId="96" fillId="0" borderId="10" xfId="45" applyNumberFormat="1" applyFont="1" applyBorder="1" applyAlignment="1">
      <alignment horizontal="left" vertical="center" wrapText="1"/>
    </xf>
    <xf numFmtId="49" fontId="96" fillId="0" borderId="54" xfId="45" applyNumberFormat="1" applyFont="1" applyBorder="1" applyAlignment="1">
      <alignment horizontal="left" vertical="center" wrapText="1"/>
    </xf>
    <xf numFmtId="0" fontId="96" fillId="0" borderId="55" xfId="185" applyFont="1" applyBorder="1" applyAlignment="1" applyProtection="1">
      <alignment vertical="center" wrapText="1"/>
      <protection locked="0"/>
    </xf>
    <xf numFmtId="0" fontId="96" fillId="0" borderId="56" xfId="185" applyFont="1" applyBorder="1" applyAlignment="1" applyProtection="1">
      <alignment vertical="center" wrapText="1"/>
      <protection locked="0"/>
    </xf>
    <xf numFmtId="0" fontId="96" fillId="0" borderId="57" xfId="185" applyFont="1" applyBorder="1" applyAlignment="1" applyProtection="1">
      <alignment vertical="center" wrapText="1"/>
      <protection locked="0"/>
    </xf>
    <xf numFmtId="0" fontId="96" fillId="0" borderId="58" xfId="185" applyFont="1" applyBorder="1" applyAlignment="1" applyProtection="1">
      <alignment vertical="center" wrapText="1"/>
      <protection locked="0"/>
    </xf>
    <xf numFmtId="0" fontId="96" fillId="0" borderId="2" xfId="185" applyFont="1" applyBorder="1" applyAlignment="1" applyProtection="1">
      <alignment vertical="center" wrapText="1"/>
      <protection locked="0"/>
    </xf>
    <xf numFmtId="0" fontId="96" fillId="0" borderId="54" xfId="185" applyFont="1" applyBorder="1" applyAlignment="1" applyProtection="1">
      <alignment vertical="center" wrapText="1"/>
      <protection locked="0"/>
    </xf>
    <xf numFmtId="0" fontId="96" fillId="0" borderId="59" xfId="185" applyFont="1" applyBorder="1" applyAlignment="1" applyProtection="1">
      <alignment vertical="center" wrapText="1"/>
      <protection locked="0"/>
    </xf>
    <xf numFmtId="0" fontId="96" fillId="0" borderId="60" xfId="185" applyFont="1" applyBorder="1" applyAlignment="1" applyProtection="1">
      <alignment vertical="center" wrapText="1"/>
      <protection locked="0"/>
    </xf>
    <xf numFmtId="0" fontId="96" fillId="0" borderId="61" xfId="185" applyFont="1" applyBorder="1" applyAlignment="1" applyProtection="1">
      <alignment vertical="center" wrapText="1"/>
      <protection locked="0"/>
    </xf>
    <xf numFmtId="0" fontId="96" fillId="0" borderId="59" xfId="45" applyFont="1" applyBorder="1" applyAlignment="1">
      <alignment horizontal="center" vertical="center"/>
    </xf>
    <xf numFmtId="0" fontId="96" fillId="0" borderId="60" xfId="45" applyFont="1" applyBorder="1" applyAlignment="1">
      <alignment horizontal="center" vertical="center"/>
    </xf>
    <xf numFmtId="0" fontId="96" fillId="0" borderId="61" xfId="45" applyFont="1" applyBorder="1" applyAlignment="1">
      <alignment horizontal="center" vertical="center"/>
    </xf>
    <xf numFmtId="0" fontId="96" fillId="0" borderId="58" xfId="185" applyFont="1" applyBorder="1" applyAlignment="1">
      <alignment horizontal="center" vertical="center" wrapText="1"/>
    </xf>
    <xf numFmtId="0" fontId="96" fillId="0" borderId="2" xfId="185" applyFont="1" applyBorder="1" applyAlignment="1">
      <alignment horizontal="center" vertical="center" wrapText="1"/>
    </xf>
    <xf numFmtId="0" fontId="96" fillId="0" borderId="54" xfId="185" applyFont="1" applyBorder="1" applyAlignment="1">
      <alignment horizontal="center" vertical="center" wrapText="1"/>
    </xf>
    <xf numFmtId="0" fontId="96" fillId="0" borderId="58" xfId="45" applyFont="1" applyBorder="1" applyAlignment="1">
      <alignment vertical="center" wrapText="1"/>
    </xf>
    <xf numFmtId="0" fontId="96" fillId="0" borderId="2" xfId="45" applyFont="1" applyBorder="1" applyAlignment="1">
      <alignment vertical="center" wrapText="1"/>
    </xf>
    <xf numFmtId="0" fontId="96" fillId="0" borderId="54" xfId="45" applyFont="1" applyBorder="1" applyAlignment="1">
      <alignment vertical="center" wrapText="1"/>
    </xf>
    <xf numFmtId="0" fontId="96" fillId="0" borderId="10" xfId="45" applyFont="1" applyBorder="1" applyAlignment="1">
      <alignment horizontal="left" vertical="center" wrapText="1"/>
    </xf>
    <xf numFmtId="0" fontId="96" fillId="0" borderId="2" xfId="45" applyFont="1" applyBorder="1" applyAlignment="1">
      <alignment horizontal="left" vertical="center" wrapText="1"/>
    </xf>
    <xf numFmtId="0" fontId="96" fillId="0" borderId="17" xfId="45" applyFont="1" applyBorder="1" applyAlignment="1">
      <alignment horizontal="left" vertical="center" wrapText="1"/>
    </xf>
    <xf numFmtId="0" fontId="96" fillId="0" borderId="62" xfId="45" applyFont="1" applyBorder="1" applyAlignment="1" applyProtection="1">
      <alignment vertical="center" wrapText="1"/>
      <protection locked="0"/>
    </xf>
    <xf numFmtId="0" fontId="96" fillId="0" borderId="63" xfId="45" applyFont="1" applyBorder="1" applyAlignment="1" applyProtection="1">
      <alignment vertical="center" wrapText="1"/>
      <protection locked="0"/>
    </xf>
    <xf numFmtId="0" fontId="96" fillId="0" borderId="76" xfId="45" applyFont="1" applyBorder="1" applyAlignment="1" applyProtection="1">
      <alignment vertical="center" wrapText="1"/>
      <protection locked="0"/>
    </xf>
    <xf numFmtId="0" fontId="96" fillId="0" borderId="77" xfId="45" applyFont="1" applyBorder="1" applyAlignment="1" applyProtection="1">
      <alignment horizontal="left" vertical="center" wrapText="1"/>
      <protection locked="0"/>
    </xf>
    <xf numFmtId="0" fontId="96" fillId="0" borderId="64" xfId="45" applyFont="1" applyBorder="1" applyAlignment="1" applyProtection="1">
      <alignment vertical="center" wrapText="1"/>
      <protection locked="0"/>
    </xf>
    <xf numFmtId="0" fontId="96" fillId="0" borderId="2" xfId="45" applyFont="1" applyBorder="1" applyAlignment="1" applyProtection="1">
      <alignment horizontal="center" vertical="center" wrapText="1"/>
      <protection locked="0"/>
    </xf>
    <xf numFmtId="0" fontId="96" fillId="0" borderId="62" xfId="185" applyFont="1" applyBorder="1" applyAlignment="1" applyProtection="1">
      <alignment vertical="center" wrapText="1"/>
      <protection locked="0"/>
    </xf>
    <xf numFmtId="0" fontId="96" fillId="0" borderId="63" xfId="185" applyFont="1" applyBorder="1" applyAlignment="1" applyProtection="1">
      <alignment vertical="center" wrapText="1"/>
      <protection locked="0"/>
    </xf>
    <xf numFmtId="0" fontId="96" fillId="0" borderId="64" xfId="185" applyFont="1" applyBorder="1" applyAlignment="1" applyProtection="1">
      <alignment vertical="center" wrapText="1"/>
      <protection locked="0"/>
    </xf>
    <xf numFmtId="0" fontId="96" fillId="0" borderId="65" xfId="185" applyFont="1" applyBorder="1" applyAlignment="1" applyProtection="1">
      <alignment vertical="center" wrapText="1"/>
      <protection locked="0"/>
    </xf>
    <xf numFmtId="0" fontId="96" fillId="0" borderId="66" xfId="185" applyFont="1" applyBorder="1" applyAlignment="1" applyProtection="1">
      <alignment vertical="center" wrapText="1"/>
      <protection locked="0"/>
    </xf>
    <xf numFmtId="0" fontId="96" fillId="0" borderId="67" xfId="185" applyFont="1" applyBorder="1" applyAlignment="1" applyProtection="1">
      <alignment vertical="center" wrapText="1"/>
      <protection locked="0"/>
    </xf>
    <xf numFmtId="0" fontId="111" fillId="0" borderId="62" xfId="185" applyFont="1" applyBorder="1" applyAlignment="1" applyProtection="1">
      <alignment vertical="center" wrapText="1"/>
      <protection locked="0"/>
    </xf>
    <xf numFmtId="0" fontId="111" fillId="0" borderId="63" xfId="185" applyFont="1" applyBorder="1" applyAlignment="1" applyProtection="1">
      <alignment vertical="center" wrapText="1"/>
      <protection locked="0"/>
    </xf>
    <xf numFmtId="0" fontId="111" fillId="0" borderId="64" xfId="185" applyFont="1" applyBorder="1" applyAlignment="1" applyProtection="1">
      <alignment vertical="center" wrapText="1"/>
      <protection locked="0"/>
    </xf>
    <xf numFmtId="0" fontId="96" fillId="0" borderId="10" xfId="185" applyFont="1" applyBorder="1" applyAlignment="1">
      <alignment horizontal="center" vertical="center" wrapText="1"/>
    </xf>
    <xf numFmtId="0" fontId="96" fillId="0" borderId="17" xfId="185" applyFont="1" applyBorder="1" applyAlignment="1">
      <alignment horizontal="center" vertical="center" wrapText="1"/>
    </xf>
    <xf numFmtId="0" fontId="96" fillId="0" borderId="54" xfId="45" applyFont="1" applyBorder="1" applyAlignment="1">
      <alignment horizontal="left" vertical="center" wrapText="1"/>
    </xf>
    <xf numFmtId="0" fontId="103" fillId="33" borderId="3" xfId="185" applyFont="1" applyFill="1" applyBorder="1" applyAlignment="1">
      <alignment horizontal="center" vertical="center"/>
    </xf>
    <xf numFmtId="0" fontId="96" fillId="0" borderId="58" xfId="185" applyFont="1" applyBorder="1" applyAlignment="1" applyProtection="1">
      <alignment horizontal="left" vertical="center" wrapText="1"/>
      <protection locked="0"/>
    </xf>
    <xf numFmtId="0" fontId="96" fillId="0" borderId="2" xfId="185" applyFont="1" applyBorder="1" applyAlignment="1" applyProtection="1">
      <alignment horizontal="left" vertical="center" wrapText="1"/>
      <protection locked="0"/>
    </xf>
    <xf numFmtId="0" fontId="96" fillId="0" borderId="10" xfId="45" applyFont="1" applyBorder="1" applyAlignment="1">
      <alignment horizontal="center" vertical="center" wrapText="1"/>
    </xf>
    <xf numFmtId="0" fontId="96" fillId="0" borderId="17" xfId="45" applyFont="1" applyBorder="1" applyAlignment="1">
      <alignment horizontal="center" vertical="center" wrapText="1"/>
    </xf>
    <xf numFmtId="0" fontId="96" fillId="0" borderId="59" xfId="45" applyFont="1" applyBorder="1" applyAlignment="1" applyProtection="1">
      <alignment vertical="center" wrapText="1"/>
      <protection locked="0"/>
    </xf>
    <xf numFmtId="0" fontId="96" fillId="0" borderId="60" xfId="45" applyFont="1" applyBorder="1" applyAlignment="1" applyProtection="1">
      <alignment vertical="center" wrapText="1"/>
      <protection locked="0"/>
    </xf>
    <xf numFmtId="0" fontId="96" fillId="0" borderId="61" xfId="45" applyFont="1" applyBorder="1" applyAlignment="1" applyProtection="1">
      <alignment vertical="center" wrapText="1"/>
      <protection locked="0"/>
    </xf>
    <xf numFmtId="0" fontId="96" fillId="0" borderId="58" xfId="45" applyFont="1" applyBorder="1" applyAlignment="1" applyProtection="1">
      <alignment horizontal="left" vertical="center" shrinkToFit="1"/>
      <protection locked="0"/>
    </xf>
    <xf numFmtId="0" fontId="96" fillId="0" borderId="2" xfId="45" applyFont="1" applyBorder="1" applyAlignment="1" applyProtection="1">
      <alignment horizontal="left" vertical="center" shrinkToFit="1"/>
      <protection locked="0"/>
    </xf>
    <xf numFmtId="0" fontId="96" fillId="0" borderId="54" xfId="45" applyFont="1" applyBorder="1" applyAlignment="1" applyProtection="1">
      <alignment horizontal="left" vertical="center" shrinkToFit="1"/>
      <protection locked="0"/>
    </xf>
    <xf numFmtId="0" fontId="96" fillId="0" borderId="17" xfId="45" applyFont="1" applyBorder="1" applyAlignment="1" applyProtection="1">
      <alignment horizontal="left" vertical="center" shrinkToFit="1"/>
      <protection locked="0"/>
    </xf>
    <xf numFmtId="0" fontId="96" fillId="0" borderId="2" xfId="45" applyFont="1" applyBorder="1" applyAlignment="1">
      <alignment horizontal="center" vertical="center" wrapText="1"/>
    </xf>
    <xf numFmtId="0" fontId="96" fillId="0" borderId="54" xfId="45" applyFont="1" applyBorder="1" applyAlignment="1">
      <alignment horizontal="center" vertical="center" wrapText="1"/>
    </xf>
    <xf numFmtId="0" fontId="96" fillId="0" borderId="58" xfId="45" applyFont="1" applyBorder="1" applyAlignment="1">
      <alignment horizontal="center" vertical="center" wrapText="1"/>
    </xf>
    <xf numFmtId="0" fontId="96" fillId="0" borderId="10" xfId="45" applyFont="1" applyBorder="1" applyAlignment="1">
      <alignment horizontal="center" vertical="center" shrinkToFit="1"/>
    </xf>
    <xf numFmtId="0" fontId="96" fillId="0" borderId="2" xfId="45" applyFont="1" applyBorder="1" applyAlignment="1">
      <alignment horizontal="center" vertical="center" shrinkToFit="1"/>
    </xf>
    <xf numFmtId="0" fontId="96" fillId="0" borderId="17" xfId="45" applyFont="1" applyBorder="1" applyAlignment="1">
      <alignment horizontal="center" vertical="center" shrinkToFit="1"/>
    </xf>
    <xf numFmtId="0" fontId="103" fillId="0" borderId="10" xfId="45" applyFont="1" applyBorder="1" applyAlignment="1">
      <alignment horizontal="left" vertical="center" wrapText="1"/>
    </xf>
    <xf numFmtId="0" fontId="103" fillId="32" borderId="15" xfId="185" applyFont="1" applyFill="1" applyBorder="1" applyAlignment="1">
      <alignment horizontal="center" vertical="center" wrapText="1"/>
    </xf>
    <xf numFmtId="0" fontId="103" fillId="32" borderId="12" xfId="185" applyFont="1" applyFill="1" applyBorder="1" applyAlignment="1">
      <alignment horizontal="center" vertical="center" wrapText="1"/>
    </xf>
    <xf numFmtId="0" fontId="103" fillId="32" borderId="13" xfId="185" applyFont="1" applyFill="1" applyBorder="1" applyAlignment="1">
      <alignment horizontal="center" vertical="center" wrapText="1"/>
    </xf>
    <xf numFmtId="0" fontId="112" fillId="32" borderId="15" xfId="185" applyFont="1" applyFill="1" applyBorder="1" applyAlignment="1">
      <alignment horizontal="center" vertical="center" wrapText="1"/>
    </xf>
    <xf numFmtId="0" fontId="112" fillId="32" borderId="13" xfId="185" applyFont="1" applyFill="1" applyBorder="1" applyAlignment="1">
      <alignment horizontal="center" vertical="center" wrapText="1"/>
    </xf>
    <xf numFmtId="0" fontId="112" fillId="32" borderId="7" xfId="185" applyFont="1" applyFill="1" applyBorder="1" applyAlignment="1">
      <alignment horizontal="center" vertical="center" wrapText="1"/>
    </xf>
    <xf numFmtId="0" fontId="112" fillId="32" borderId="75" xfId="185" applyFont="1" applyFill="1" applyBorder="1" applyAlignment="1">
      <alignment horizontal="center" vertical="center" wrapText="1"/>
    </xf>
    <xf numFmtId="0" fontId="103" fillId="32" borderId="15" xfId="185" applyFont="1" applyFill="1" applyBorder="1" applyAlignment="1" applyProtection="1">
      <alignment horizontal="center" vertical="center" wrapText="1"/>
      <protection locked="0"/>
    </xf>
    <xf numFmtId="0" fontId="103" fillId="32" borderId="12" xfId="185" applyFont="1" applyFill="1" applyBorder="1" applyAlignment="1" applyProtection="1">
      <alignment horizontal="center" vertical="center" wrapText="1"/>
      <protection locked="0"/>
    </xf>
    <xf numFmtId="0" fontId="103" fillId="32" borderId="7" xfId="185" applyFont="1" applyFill="1" applyBorder="1" applyAlignment="1" applyProtection="1">
      <alignment horizontal="center" vertical="center" wrapText="1"/>
      <protection locked="0"/>
    </xf>
    <xf numFmtId="0" fontId="103" fillId="32" borderId="74" xfId="185" applyFont="1" applyFill="1" applyBorder="1" applyAlignment="1" applyProtection="1">
      <alignment horizontal="center" vertical="center" wrapText="1"/>
      <protection locked="0"/>
    </xf>
    <xf numFmtId="0" fontId="112" fillId="32" borderId="12" xfId="185" applyFont="1" applyFill="1" applyBorder="1" applyAlignment="1">
      <alignment horizontal="center" vertical="center" wrapText="1"/>
    </xf>
    <xf numFmtId="0" fontId="112" fillId="32" borderId="74" xfId="185" applyFont="1" applyFill="1" applyBorder="1" applyAlignment="1">
      <alignment horizontal="center" vertical="center" wrapText="1"/>
    </xf>
    <xf numFmtId="0" fontId="96" fillId="0" borderId="10" xfId="185" applyFont="1" applyBorder="1" applyAlignment="1">
      <alignment horizontal="left" vertical="center" wrapText="1" shrinkToFit="1"/>
    </xf>
    <xf numFmtId="0" fontId="96" fillId="0" borderId="2" xfId="185" applyFont="1" applyBorder="1" applyAlignment="1">
      <alignment horizontal="left" vertical="center" wrapText="1" shrinkToFit="1"/>
    </xf>
    <xf numFmtId="0" fontId="96" fillId="0" borderId="17" xfId="185" applyFont="1" applyBorder="1" applyAlignment="1">
      <alignment horizontal="left" vertical="center" wrapText="1" shrinkToFit="1"/>
    </xf>
    <xf numFmtId="0" fontId="96" fillId="14" borderId="3" xfId="185" applyFont="1" applyFill="1" applyBorder="1" applyAlignment="1">
      <alignment horizontal="left" vertical="center" wrapText="1"/>
    </xf>
    <xf numFmtId="0" fontId="96" fillId="14" borderId="68" xfId="185" applyFont="1" applyFill="1" applyBorder="1" applyAlignment="1" applyProtection="1">
      <alignment horizontal="left" vertical="center" wrapText="1"/>
      <protection locked="0"/>
    </xf>
    <xf numFmtId="0" fontId="96" fillId="14" borderId="69" xfId="185" applyFont="1" applyFill="1" applyBorder="1" applyAlignment="1" applyProtection="1">
      <alignment horizontal="left" vertical="center" wrapText="1"/>
      <protection locked="0"/>
    </xf>
    <xf numFmtId="0" fontId="96" fillId="14" borderId="70" xfId="185" applyFont="1" applyFill="1" applyBorder="1" applyAlignment="1" applyProtection="1">
      <alignment horizontal="left" vertical="center" wrapText="1"/>
      <protection locked="0"/>
    </xf>
    <xf numFmtId="0" fontId="96" fillId="14" borderId="58" xfId="185" applyFont="1" applyFill="1" applyBorder="1" applyAlignment="1" applyProtection="1">
      <alignment horizontal="left" vertical="center" wrapText="1" shrinkToFit="1"/>
      <protection locked="0"/>
    </xf>
    <xf numFmtId="0" fontId="96" fillId="14" borderId="2" xfId="185" applyFont="1" applyFill="1" applyBorder="1" applyAlignment="1" applyProtection="1">
      <alignment horizontal="left" vertical="center" shrinkToFit="1"/>
      <protection locked="0"/>
    </xf>
    <xf numFmtId="0" fontId="96" fillId="14" borderId="17" xfId="185" applyFont="1" applyFill="1" applyBorder="1" applyAlignment="1" applyProtection="1">
      <alignment horizontal="left" vertical="center" shrinkToFit="1"/>
      <protection locked="0"/>
    </xf>
    <xf numFmtId="0" fontId="96" fillId="0" borderId="10" xfId="185" applyFont="1" applyBorder="1" applyAlignment="1">
      <alignment horizontal="center" vertical="center" shrinkToFit="1"/>
    </xf>
    <xf numFmtId="0" fontId="96" fillId="0" borderId="2" xfId="185" applyFont="1" applyBorder="1" applyAlignment="1">
      <alignment horizontal="center" vertical="center" shrinkToFit="1"/>
    </xf>
    <xf numFmtId="0" fontId="96" fillId="0" borderId="17" xfId="185" applyFont="1" applyBorder="1" applyAlignment="1">
      <alignment horizontal="center" vertical="center" shrinkToFit="1"/>
    </xf>
    <xf numFmtId="0" fontId="96" fillId="14" borderId="10" xfId="185" applyFont="1" applyFill="1" applyBorder="1" applyAlignment="1">
      <alignment horizontal="left" vertical="center" wrapText="1"/>
    </xf>
    <xf numFmtId="0" fontId="96" fillId="14" borderId="2" xfId="185" applyFont="1" applyFill="1" applyBorder="1" applyAlignment="1">
      <alignment horizontal="left" vertical="center" wrapText="1"/>
    </xf>
    <xf numFmtId="0" fontId="96" fillId="14" borderId="17" xfId="185" applyFont="1" applyFill="1" applyBorder="1" applyAlignment="1">
      <alignment horizontal="left" vertical="center" wrapText="1"/>
    </xf>
    <xf numFmtId="0" fontId="103" fillId="32" borderId="10" xfId="185" applyFont="1" applyFill="1" applyBorder="1" applyAlignment="1">
      <alignment horizontal="center" vertical="center"/>
    </xf>
    <xf numFmtId="0" fontId="103" fillId="32" borderId="2" xfId="185" applyFont="1" applyFill="1" applyBorder="1" applyAlignment="1">
      <alignment horizontal="center" vertical="center"/>
    </xf>
    <xf numFmtId="0" fontId="103" fillId="0" borderId="0" xfId="185" applyFont="1" applyAlignment="1">
      <alignment horizontal="center" vertical="center" wrapText="1"/>
    </xf>
    <xf numFmtId="0" fontId="96" fillId="0" borderId="3" xfId="185" applyFont="1" applyBorder="1" applyAlignment="1">
      <alignment horizontal="center" vertical="center" wrapText="1"/>
    </xf>
    <xf numFmtId="0" fontId="97" fillId="0" borderId="0" xfId="185" applyFont="1">
      <alignment vertical="center"/>
    </xf>
    <xf numFmtId="0" fontId="96" fillId="0" borderId="0" xfId="185" applyFont="1">
      <alignment vertical="center"/>
    </xf>
    <xf numFmtId="0" fontId="96" fillId="0" borderId="0" xfId="185" applyFont="1" applyAlignment="1">
      <alignment vertical="center" wrapText="1"/>
    </xf>
    <xf numFmtId="14" fontId="97" fillId="0" borderId="0" xfId="185" applyNumberFormat="1" applyFont="1" applyAlignment="1">
      <alignment horizontal="center" vertical="center"/>
    </xf>
    <xf numFmtId="0" fontId="96" fillId="0" borderId="0" xfId="185" applyFont="1" applyAlignment="1">
      <alignment horizontal="center" vertical="center"/>
    </xf>
    <xf numFmtId="0" fontId="96" fillId="0" borderId="10" xfId="45" applyFont="1" applyBorder="1" applyAlignment="1">
      <alignment horizontal="left" vertical="center" shrinkToFit="1"/>
    </xf>
    <xf numFmtId="0" fontId="96" fillId="0" borderId="54" xfId="45" applyFont="1" applyBorder="1" applyAlignment="1">
      <alignment horizontal="left" vertical="center" shrinkToFit="1"/>
    </xf>
    <xf numFmtId="0" fontId="96" fillId="0" borderId="55" xfId="185" applyFont="1" applyBorder="1" applyAlignment="1" applyProtection="1">
      <alignment vertical="top" wrapText="1"/>
      <protection locked="0"/>
    </xf>
    <xf numFmtId="0" fontId="96" fillId="0" borderId="56" xfId="185" applyFont="1" applyBorder="1" applyAlignment="1" applyProtection="1">
      <alignment vertical="top" wrapText="1"/>
      <protection locked="0"/>
    </xf>
    <xf numFmtId="0" fontId="96" fillId="0" borderId="57" xfId="185" applyFont="1" applyBorder="1" applyAlignment="1" applyProtection="1">
      <alignment vertical="top" wrapText="1"/>
      <protection locked="0"/>
    </xf>
    <xf numFmtId="0" fontId="96" fillId="0" borderId="58" xfId="185" applyFont="1" applyBorder="1" applyAlignment="1" applyProtection="1">
      <alignment vertical="top" wrapText="1"/>
      <protection locked="0"/>
    </xf>
    <xf numFmtId="0" fontId="96" fillId="0" borderId="2" xfId="185" applyFont="1" applyBorder="1" applyAlignment="1" applyProtection="1">
      <alignment vertical="top" wrapText="1"/>
      <protection locked="0"/>
    </xf>
    <xf numFmtId="0" fontId="96" fillId="0" borderId="54" xfId="185" applyFont="1" applyBorder="1" applyAlignment="1" applyProtection="1">
      <alignment vertical="top" wrapText="1"/>
      <protection locked="0"/>
    </xf>
    <xf numFmtId="0" fontId="97" fillId="0" borderId="0" xfId="185" applyFont="1" applyAlignment="1">
      <alignment horizontal="center" vertical="center"/>
    </xf>
    <xf numFmtId="0" fontId="96" fillId="0" borderId="62" xfId="185" applyFont="1" applyBorder="1" applyAlignment="1" applyProtection="1">
      <alignment vertical="top" wrapText="1"/>
      <protection locked="0"/>
    </xf>
    <xf numFmtId="0" fontId="96" fillId="0" borderId="63" xfId="185" applyFont="1" applyBorder="1" applyAlignment="1" applyProtection="1">
      <alignment vertical="top" wrapText="1"/>
      <protection locked="0"/>
    </xf>
    <xf numFmtId="0" fontId="96" fillId="0" borderId="64" xfId="185" applyFont="1" applyBorder="1" applyAlignment="1" applyProtection="1">
      <alignment vertical="top" wrapText="1"/>
      <protection locked="0"/>
    </xf>
    <xf numFmtId="0" fontId="96" fillId="0" borderId="62" xfId="45" applyFont="1" applyBorder="1" applyAlignment="1" applyProtection="1">
      <alignment vertical="top" wrapText="1"/>
      <protection locked="0"/>
    </xf>
    <xf numFmtId="0" fontId="96" fillId="0" borderId="63" xfId="45" applyFont="1" applyBorder="1" applyAlignment="1" applyProtection="1">
      <alignment vertical="top" wrapText="1"/>
      <protection locked="0"/>
    </xf>
    <xf numFmtId="0" fontId="96" fillId="0" borderId="76" xfId="45" applyFont="1" applyBorder="1" applyAlignment="1" applyProtection="1">
      <alignment vertical="top" wrapText="1"/>
      <protection locked="0"/>
    </xf>
    <xf numFmtId="0" fontId="96" fillId="0" borderId="3" xfId="45" applyFont="1" applyBorder="1" applyAlignment="1" applyProtection="1">
      <alignment horizontal="left" vertical="top" wrapText="1"/>
      <protection locked="0"/>
    </xf>
    <xf numFmtId="0" fontId="111" fillId="0" borderId="62" xfId="45" applyFont="1" applyBorder="1" applyAlignment="1" applyProtection="1">
      <alignment vertical="top" wrapText="1"/>
      <protection locked="0"/>
    </xf>
    <xf numFmtId="0" fontId="111" fillId="0" borderId="63" xfId="45" applyFont="1" applyBorder="1" applyAlignment="1" applyProtection="1">
      <alignment vertical="top" wrapText="1"/>
      <protection locked="0"/>
    </xf>
    <xf numFmtId="0" fontId="111" fillId="0" borderId="76" xfId="45" applyFont="1" applyBorder="1" applyAlignment="1" applyProtection="1">
      <alignment vertical="top" wrapText="1"/>
      <protection locked="0"/>
    </xf>
    <xf numFmtId="0" fontId="96" fillId="0" borderId="65" xfId="185" applyFont="1" applyBorder="1" applyAlignment="1" applyProtection="1">
      <alignment vertical="top" wrapText="1"/>
      <protection locked="0"/>
    </xf>
    <xf numFmtId="0" fontId="96" fillId="0" borderId="66" xfId="185" applyFont="1" applyBorder="1" applyAlignment="1" applyProtection="1">
      <alignment vertical="top" wrapText="1"/>
      <protection locked="0"/>
    </xf>
    <xf numFmtId="0" fontId="96" fillId="0" borderId="67" xfId="185" applyFont="1" applyBorder="1" applyAlignment="1" applyProtection="1">
      <alignment vertical="top" wrapText="1"/>
      <protection locked="0"/>
    </xf>
    <xf numFmtId="0" fontId="96" fillId="0" borderId="59" xfId="185" applyFont="1" applyBorder="1" applyAlignment="1" applyProtection="1">
      <alignment vertical="top" wrapText="1"/>
      <protection locked="0"/>
    </xf>
    <xf numFmtId="0" fontId="96" fillId="0" borderId="60" xfId="185" applyFont="1" applyBorder="1" applyAlignment="1" applyProtection="1">
      <alignment vertical="top" wrapText="1"/>
      <protection locked="0"/>
    </xf>
    <xf numFmtId="0" fontId="96" fillId="0" borderId="61" xfId="185" applyFont="1" applyBorder="1" applyAlignment="1" applyProtection="1">
      <alignment vertical="top" wrapText="1"/>
      <protection locked="0"/>
    </xf>
    <xf numFmtId="0" fontId="96" fillId="0" borderId="3" xfId="185" applyFont="1" applyBorder="1" applyAlignment="1">
      <alignment vertical="center" shrinkToFit="1"/>
    </xf>
    <xf numFmtId="0" fontId="96" fillId="0" borderId="3" xfId="185" applyFont="1" applyBorder="1" applyAlignment="1" applyProtection="1">
      <alignment vertical="center" shrinkToFit="1"/>
      <protection locked="0"/>
    </xf>
    <xf numFmtId="0" fontId="103" fillId="0" borderId="3" xfId="185" applyFont="1" applyBorder="1" applyAlignment="1">
      <alignment horizontal="center" vertical="center" shrinkToFit="1"/>
    </xf>
    <xf numFmtId="0" fontId="103" fillId="0" borderId="3" xfId="185" applyFont="1" applyBorder="1" applyAlignment="1" applyProtection="1">
      <alignment horizontal="center" vertical="center" shrinkToFit="1"/>
      <protection locked="0"/>
    </xf>
    <xf numFmtId="0" fontId="96" fillId="0" borderId="3" xfId="185" applyFont="1" applyBorder="1" applyAlignment="1">
      <alignment horizontal="center" vertical="center"/>
    </xf>
    <xf numFmtId="0" fontId="96" fillId="34" borderId="3" xfId="185" applyFont="1" applyFill="1" applyBorder="1" applyAlignment="1">
      <alignment horizontal="center" vertical="center" wrapText="1"/>
    </xf>
    <xf numFmtId="0" fontId="100" fillId="34" borderId="3" xfId="185" applyFont="1" applyFill="1" applyBorder="1">
      <alignment vertical="center"/>
    </xf>
    <xf numFmtId="0" fontId="96" fillId="0" borderId="3" xfId="185" applyFont="1" applyBorder="1">
      <alignment vertical="center"/>
    </xf>
    <xf numFmtId="0" fontId="96" fillId="0" borderId="3" xfId="185" applyFont="1" applyBorder="1" applyAlignment="1">
      <alignment horizontal="left" vertical="center" wrapText="1"/>
    </xf>
    <xf numFmtId="0" fontId="96" fillId="0" borderId="3" xfId="185" applyFont="1" applyBorder="1" applyAlignment="1">
      <alignment horizontal="left" vertical="center"/>
    </xf>
    <xf numFmtId="0" fontId="96" fillId="0" borderId="10" xfId="185" applyFont="1" applyBorder="1" applyAlignment="1">
      <alignment horizontal="left" vertical="center"/>
    </xf>
    <xf numFmtId="0" fontId="96" fillId="0" borderId="2" xfId="185" applyFont="1" applyBorder="1" applyAlignment="1">
      <alignment horizontal="left" vertical="center"/>
    </xf>
    <xf numFmtId="0" fontId="96" fillId="0" borderId="17" xfId="185" applyFont="1" applyBorder="1" applyAlignment="1">
      <alignment horizontal="left" vertical="center"/>
    </xf>
    <xf numFmtId="0" fontId="96" fillId="34" borderId="3" xfId="185" applyFont="1" applyFill="1" applyBorder="1" applyAlignment="1">
      <alignment horizontal="left" vertical="center"/>
    </xf>
    <xf numFmtId="0" fontId="96" fillId="0" borderId="3" xfId="185" applyFont="1" applyBorder="1" applyAlignment="1">
      <alignment vertical="center" wrapText="1"/>
    </xf>
    <xf numFmtId="0" fontId="101" fillId="35" borderId="3" xfId="185" applyFont="1" applyFill="1" applyBorder="1" applyAlignment="1">
      <alignment horizontal="center" vertical="center" shrinkToFit="1"/>
    </xf>
    <xf numFmtId="0" fontId="101" fillId="0" borderId="3" xfId="185" applyFont="1" applyBorder="1" applyAlignment="1">
      <alignment horizontal="center" vertical="center"/>
    </xf>
    <xf numFmtId="0" fontId="99" fillId="0" borderId="3" xfId="185" applyFont="1" applyBorder="1" applyAlignment="1">
      <alignment horizontal="center" vertical="center"/>
    </xf>
    <xf numFmtId="0" fontId="101" fillId="0" borderId="3" xfId="185" quotePrefix="1" applyFont="1" applyBorder="1" applyAlignment="1">
      <alignment horizontal="center" vertical="center"/>
    </xf>
    <xf numFmtId="0" fontId="99" fillId="35" borderId="3" xfId="185" applyFont="1" applyFill="1" applyBorder="1" applyAlignment="1">
      <alignment horizontal="center" vertical="center" shrinkToFit="1"/>
    </xf>
    <xf numFmtId="17" fontId="101" fillId="0" borderId="3" xfId="185" quotePrefix="1" applyNumberFormat="1" applyFont="1" applyBorder="1" applyAlignment="1">
      <alignment horizontal="center" vertical="center"/>
    </xf>
    <xf numFmtId="0" fontId="101" fillId="0" borderId="10" xfId="185" applyFont="1" applyBorder="1" applyAlignment="1">
      <alignment horizontal="center" vertical="center"/>
    </xf>
    <xf numFmtId="0" fontId="101" fillId="0" borderId="2" xfId="185" applyFont="1" applyBorder="1" applyAlignment="1">
      <alignment horizontal="center" vertical="center"/>
    </xf>
    <xf numFmtId="0" fontId="101" fillId="0" borderId="17" xfId="185" applyFont="1" applyBorder="1" applyAlignment="1">
      <alignment horizontal="center" vertical="center"/>
    </xf>
    <xf numFmtId="0" fontId="101" fillId="35" borderId="3" xfId="185" applyFont="1" applyFill="1" applyBorder="1" applyAlignment="1">
      <alignment horizontal="center" vertical="center"/>
    </xf>
    <xf numFmtId="185" fontId="61" fillId="0" borderId="0" xfId="161" quotePrefix="1" applyNumberFormat="1" applyFont="1" applyAlignment="1">
      <alignment horizontal="right" vertical="center"/>
    </xf>
    <xf numFmtId="185" fontId="61" fillId="0" borderId="10" xfId="161" quotePrefix="1" applyNumberFormat="1" applyFont="1" applyBorder="1" applyAlignment="1">
      <alignment horizontal="right" vertical="center"/>
    </xf>
    <xf numFmtId="185" fontId="61" fillId="0" borderId="2" xfId="161" quotePrefix="1" applyNumberFormat="1" applyFont="1" applyBorder="1" applyAlignment="1">
      <alignment horizontal="right" vertical="center"/>
    </xf>
    <xf numFmtId="185" fontId="61" fillId="0" borderId="17" xfId="161" quotePrefix="1" applyNumberFormat="1" applyFont="1" applyBorder="1" applyAlignment="1">
      <alignment horizontal="right" vertical="center"/>
    </xf>
    <xf numFmtId="191" fontId="61" fillId="0" borderId="10" xfId="161" quotePrefix="1" applyNumberFormat="1" applyFont="1" applyBorder="1" applyAlignment="1">
      <alignment horizontal="right" vertical="center"/>
    </xf>
    <xf numFmtId="191" fontId="61" fillId="0" borderId="2" xfId="161" quotePrefix="1" applyNumberFormat="1" applyFont="1" applyBorder="1" applyAlignment="1">
      <alignment horizontal="right" vertical="center"/>
    </xf>
    <xf numFmtId="191" fontId="61" fillId="0" borderId="17" xfId="161" quotePrefix="1" applyNumberFormat="1" applyFont="1" applyBorder="1" applyAlignment="1">
      <alignment horizontal="right" vertical="center"/>
    </xf>
    <xf numFmtId="183" fontId="61" fillId="0" borderId="10" xfId="161" quotePrefix="1" applyNumberFormat="1" applyFont="1" applyBorder="1" applyAlignment="1">
      <alignment horizontal="right" vertical="center"/>
    </xf>
    <xf numFmtId="183" fontId="61" fillId="0" borderId="2" xfId="161" quotePrefix="1" applyNumberFormat="1" applyFont="1" applyBorder="1" applyAlignment="1">
      <alignment horizontal="right" vertical="center"/>
    </xf>
    <xf numFmtId="183" fontId="61" fillId="0" borderId="17" xfId="161" quotePrefix="1" applyNumberFormat="1" applyFont="1" applyBorder="1" applyAlignment="1">
      <alignment horizontal="right" vertical="center"/>
    </xf>
    <xf numFmtId="184" fontId="61" fillId="0" borderId="10" xfId="161" quotePrefix="1" applyNumberFormat="1" applyFont="1" applyBorder="1" applyAlignment="1">
      <alignment horizontal="center" vertical="center"/>
    </xf>
    <xf numFmtId="184" fontId="61" fillId="0" borderId="2" xfId="161" quotePrefix="1" applyNumberFormat="1" applyFont="1" applyBorder="1" applyAlignment="1">
      <alignment horizontal="center" vertical="center"/>
    </xf>
    <xf numFmtId="184" fontId="61" fillId="0" borderId="17" xfId="161" quotePrefix="1" applyNumberFormat="1" applyFont="1" applyBorder="1" applyAlignment="1">
      <alignment horizontal="center" vertical="center"/>
    </xf>
    <xf numFmtId="185" fontId="61" fillId="0" borderId="10" xfId="161" applyNumberFormat="1" applyFont="1" applyBorder="1" applyAlignment="1">
      <alignment horizontal="center" vertical="center"/>
    </xf>
    <xf numFmtId="185" fontId="61" fillId="0" borderId="2" xfId="161" applyNumberFormat="1" applyFont="1" applyBorder="1" applyAlignment="1">
      <alignment horizontal="center" vertical="center"/>
    </xf>
    <xf numFmtId="185" fontId="61" fillId="0" borderId="17" xfId="161" applyNumberFormat="1" applyFont="1" applyBorder="1" applyAlignment="1">
      <alignment horizontal="center" vertical="center"/>
    </xf>
    <xf numFmtId="180" fontId="61" fillId="0" borderId="10" xfId="161" quotePrefix="1" applyNumberFormat="1" applyFont="1" applyBorder="1" applyAlignment="1">
      <alignment horizontal="right" vertical="center"/>
    </xf>
    <xf numFmtId="180" fontId="61" fillId="0" borderId="2" xfId="161" quotePrefix="1" applyNumberFormat="1" applyFont="1" applyBorder="1" applyAlignment="1">
      <alignment horizontal="right" vertical="center"/>
    </xf>
    <xf numFmtId="180" fontId="61" fillId="0" borderId="17" xfId="161" quotePrefix="1" applyNumberFormat="1" applyFont="1" applyBorder="1" applyAlignment="1">
      <alignment horizontal="right" vertical="center"/>
    </xf>
    <xf numFmtId="179" fontId="61" fillId="0" borderId="10" xfId="161" quotePrefix="1" applyNumberFormat="1" applyFont="1" applyBorder="1" applyAlignment="1">
      <alignment horizontal="right" vertical="center"/>
    </xf>
    <xf numFmtId="0" fontId="61" fillId="0" borderId="2" xfId="161" quotePrefix="1" applyFont="1" applyBorder="1" applyAlignment="1">
      <alignment horizontal="right" vertical="center"/>
    </xf>
    <xf numFmtId="0" fontId="61" fillId="0" borderId="17" xfId="161" quotePrefix="1" applyFont="1" applyBorder="1" applyAlignment="1">
      <alignment horizontal="right" vertical="center"/>
    </xf>
    <xf numFmtId="184" fontId="61" fillId="0" borderId="10" xfId="161" applyNumberFormat="1" applyFont="1" applyBorder="1" applyAlignment="1">
      <alignment horizontal="center" vertical="center"/>
    </xf>
    <xf numFmtId="184" fontId="61" fillId="0" borderId="2" xfId="161" applyNumberFormat="1" applyFont="1" applyBorder="1" applyAlignment="1">
      <alignment horizontal="center" vertical="center"/>
    </xf>
    <xf numFmtId="184" fontId="61" fillId="0" borderId="17" xfId="161" applyNumberFormat="1" applyFont="1" applyBorder="1" applyAlignment="1">
      <alignment horizontal="center" vertical="center"/>
    </xf>
    <xf numFmtId="184" fontId="61" fillId="0" borderId="10" xfId="161" quotePrefix="1" applyNumberFormat="1" applyFont="1" applyBorder="1" applyAlignment="1">
      <alignment horizontal="right" vertical="center"/>
    </xf>
    <xf numFmtId="184" fontId="61" fillId="0" borderId="2" xfId="161" quotePrefix="1" applyNumberFormat="1" applyFont="1" applyBorder="1" applyAlignment="1">
      <alignment horizontal="right" vertical="center"/>
    </xf>
    <xf numFmtId="184" fontId="61" fillId="0" borderId="17" xfId="161" quotePrefix="1" applyNumberFormat="1" applyFont="1" applyBorder="1" applyAlignment="1">
      <alignment horizontal="right" vertical="center"/>
    </xf>
    <xf numFmtId="179" fontId="61" fillId="0" borderId="2" xfId="161" quotePrefix="1" applyNumberFormat="1" applyFont="1" applyBorder="1" applyAlignment="1">
      <alignment horizontal="right" vertical="center"/>
    </xf>
    <xf numFmtId="179" fontId="61" fillId="0" borderId="17" xfId="161" quotePrefix="1" applyNumberFormat="1" applyFont="1" applyBorder="1" applyAlignment="1">
      <alignment horizontal="right" vertical="center"/>
    </xf>
    <xf numFmtId="182" fontId="61" fillId="0" borderId="10" xfId="161" quotePrefix="1" applyNumberFormat="1" applyFont="1" applyBorder="1" applyAlignment="1">
      <alignment horizontal="right" vertical="center"/>
    </xf>
    <xf numFmtId="182" fontId="61" fillId="0" borderId="2" xfId="161" quotePrefix="1" applyNumberFormat="1" applyFont="1" applyBorder="1" applyAlignment="1">
      <alignment horizontal="right" vertical="center"/>
    </xf>
    <xf numFmtId="182" fontId="61" fillId="0" borderId="17" xfId="161" quotePrefix="1" applyNumberFormat="1" applyFont="1" applyBorder="1" applyAlignment="1">
      <alignment horizontal="right" vertical="center"/>
    </xf>
    <xf numFmtId="179" fontId="61" fillId="0" borderId="0" xfId="161" quotePrefix="1" applyNumberFormat="1" applyFont="1" applyAlignment="1">
      <alignment horizontal="right" vertical="center"/>
    </xf>
    <xf numFmtId="0" fontId="61" fillId="0" borderId="0" xfId="161" quotePrefix="1" applyFont="1" applyAlignment="1">
      <alignment horizontal="right" vertical="center"/>
    </xf>
    <xf numFmtId="183" fontId="61" fillId="0" borderId="0" xfId="161" quotePrefix="1" applyNumberFormat="1" applyFont="1" applyAlignment="1">
      <alignment horizontal="right" vertical="center"/>
    </xf>
    <xf numFmtId="183" fontId="61" fillId="0" borderId="10" xfId="161" quotePrefix="1" applyNumberFormat="1" applyFont="1" applyBorder="1" applyAlignment="1">
      <alignment horizontal="center" vertical="center"/>
    </xf>
    <xf numFmtId="183" fontId="61" fillId="0" borderId="2" xfId="161" quotePrefix="1" applyNumberFormat="1" applyFont="1" applyBorder="1" applyAlignment="1">
      <alignment horizontal="center" vertical="center"/>
    </xf>
    <xf numFmtId="183" fontId="61" fillId="0" borderId="17" xfId="161" quotePrefix="1" applyNumberFormat="1" applyFont="1" applyBorder="1" applyAlignment="1">
      <alignment horizontal="center" vertical="center"/>
    </xf>
    <xf numFmtId="185" fontId="61" fillId="0" borderId="31" xfId="161" quotePrefix="1" applyNumberFormat="1" applyFont="1" applyBorder="1" applyAlignment="1">
      <alignment horizontal="right" vertical="center"/>
    </xf>
    <xf numFmtId="3" fontId="61" fillId="0" borderId="10" xfId="161" quotePrefix="1" applyNumberFormat="1" applyFont="1" applyBorder="1" applyAlignment="1">
      <alignment horizontal="right" vertical="center"/>
    </xf>
    <xf numFmtId="3" fontId="61" fillId="0" borderId="2" xfId="161" quotePrefix="1" applyNumberFormat="1" applyFont="1" applyBorder="1" applyAlignment="1">
      <alignment horizontal="right" vertical="center"/>
    </xf>
    <xf numFmtId="3" fontId="61" fillId="0" borderId="17" xfId="161" quotePrefix="1" applyNumberFormat="1" applyFont="1" applyBorder="1" applyAlignment="1">
      <alignment horizontal="right" vertical="center"/>
    </xf>
    <xf numFmtId="185" fontId="61" fillId="0" borderId="0" xfId="161" applyNumberFormat="1" applyFont="1" applyAlignment="1">
      <alignment horizontal="right" vertical="center"/>
    </xf>
    <xf numFmtId="186" fontId="61" fillId="0" borderId="10" xfId="161" quotePrefix="1" applyNumberFormat="1" applyFont="1" applyBorder="1" applyAlignment="1">
      <alignment horizontal="right" vertical="center"/>
    </xf>
    <xf numFmtId="186" fontId="61" fillId="0" borderId="2" xfId="161" quotePrefix="1" applyNumberFormat="1" applyFont="1" applyBorder="1" applyAlignment="1">
      <alignment horizontal="right" vertical="center"/>
    </xf>
    <xf numFmtId="186" fontId="61" fillId="0" borderId="17" xfId="161" quotePrefix="1" applyNumberFormat="1" applyFont="1" applyBorder="1" applyAlignment="1">
      <alignment horizontal="right" vertical="center"/>
    </xf>
    <xf numFmtId="10" fontId="61" fillId="0" borderId="10" xfId="161" quotePrefix="1" applyNumberFormat="1" applyFont="1" applyBorder="1" applyAlignment="1">
      <alignment horizontal="right" vertical="center"/>
    </xf>
    <xf numFmtId="10" fontId="61" fillId="0" borderId="2" xfId="161" quotePrefix="1" applyNumberFormat="1" applyFont="1" applyBorder="1" applyAlignment="1">
      <alignment horizontal="right" vertical="center"/>
    </xf>
    <xf numFmtId="10" fontId="61" fillId="0" borderId="17" xfId="161" quotePrefix="1" applyNumberFormat="1" applyFont="1" applyBorder="1" applyAlignment="1">
      <alignment horizontal="right" vertical="center"/>
    </xf>
    <xf numFmtId="0" fontId="61" fillId="0" borderId="10" xfId="161" quotePrefix="1" applyFont="1" applyBorder="1" applyAlignment="1">
      <alignment horizontal="right" vertical="center"/>
    </xf>
    <xf numFmtId="9" fontId="61" fillId="0" borderId="10" xfId="161" quotePrefix="1" applyNumberFormat="1" applyFont="1" applyBorder="1" applyAlignment="1">
      <alignment horizontal="right" vertical="center"/>
    </xf>
    <xf numFmtId="9" fontId="61" fillId="0" borderId="2" xfId="161" quotePrefix="1" applyNumberFormat="1" applyFont="1" applyBorder="1" applyAlignment="1">
      <alignment horizontal="right" vertical="center"/>
    </xf>
    <xf numFmtId="9" fontId="61" fillId="0" borderId="17" xfId="161" quotePrefix="1" applyNumberFormat="1" applyFont="1" applyBorder="1" applyAlignment="1">
      <alignment horizontal="right" vertical="center"/>
    </xf>
    <xf numFmtId="49" fontId="61" fillId="0" borderId="10" xfId="161" quotePrefix="1" applyNumberFormat="1" applyFont="1" applyBorder="1" applyAlignment="1">
      <alignment horizontal="center" vertical="center"/>
    </xf>
    <xf numFmtId="49" fontId="61" fillId="0" borderId="2" xfId="161" quotePrefix="1" applyNumberFormat="1" applyFont="1" applyBorder="1" applyAlignment="1">
      <alignment horizontal="center" vertical="center"/>
    </xf>
    <xf numFmtId="49" fontId="61" fillId="0" borderId="17" xfId="161" quotePrefix="1" applyNumberFormat="1" applyFont="1" applyBorder="1" applyAlignment="1">
      <alignment horizontal="center" vertical="center"/>
    </xf>
    <xf numFmtId="181" fontId="61" fillId="0" borderId="10" xfId="161" quotePrefix="1" applyNumberFormat="1" applyFont="1" applyBorder="1" applyAlignment="1">
      <alignment horizontal="right" vertical="center"/>
    </xf>
    <xf numFmtId="181" fontId="61" fillId="0" borderId="2" xfId="161" quotePrefix="1" applyNumberFormat="1" applyFont="1" applyBorder="1" applyAlignment="1">
      <alignment horizontal="right" vertical="center"/>
    </xf>
    <xf numFmtId="181" fontId="61" fillId="0" borderId="17" xfId="161" quotePrefix="1" applyNumberFormat="1" applyFont="1" applyBorder="1" applyAlignment="1">
      <alignment horizontal="right" vertical="center"/>
    </xf>
    <xf numFmtId="187" fontId="61" fillId="0" borderId="10" xfId="161" quotePrefix="1" applyNumberFormat="1" applyFont="1" applyBorder="1" applyAlignment="1">
      <alignment horizontal="right" vertical="center"/>
    </xf>
    <xf numFmtId="187" fontId="61" fillId="0" borderId="2" xfId="161" quotePrefix="1" applyNumberFormat="1" applyFont="1" applyBorder="1" applyAlignment="1">
      <alignment horizontal="right" vertical="center"/>
    </xf>
    <xf numFmtId="187" fontId="61" fillId="0" borderId="17" xfId="161" quotePrefix="1" applyNumberFormat="1" applyFont="1" applyBorder="1" applyAlignment="1">
      <alignment horizontal="right" vertical="center"/>
    </xf>
    <xf numFmtId="188" fontId="61" fillId="0" borderId="10" xfId="161" quotePrefix="1" applyNumberFormat="1" applyFont="1" applyBorder="1" applyAlignment="1">
      <alignment horizontal="right" vertical="center"/>
    </xf>
    <xf numFmtId="188" fontId="61" fillId="0" borderId="2" xfId="161" quotePrefix="1" applyNumberFormat="1" applyFont="1" applyBorder="1" applyAlignment="1">
      <alignment horizontal="right" vertical="center"/>
    </xf>
    <xf numFmtId="188" fontId="61" fillId="0" borderId="17" xfId="161" quotePrefix="1" applyNumberFormat="1" applyFont="1" applyBorder="1" applyAlignment="1">
      <alignment horizontal="right" vertical="center"/>
    </xf>
    <xf numFmtId="182" fontId="61" fillId="0" borderId="10" xfId="161" quotePrefix="1" applyNumberFormat="1" applyFont="1" applyBorder="1" applyAlignment="1">
      <alignment horizontal="center" vertical="center"/>
    </xf>
    <xf numFmtId="182" fontId="61" fillId="0" borderId="2" xfId="161" quotePrefix="1" applyNumberFormat="1" applyFont="1" applyBorder="1" applyAlignment="1">
      <alignment horizontal="center" vertical="center"/>
    </xf>
    <xf numFmtId="182" fontId="61" fillId="0" borderId="17" xfId="161" quotePrefix="1" applyNumberFormat="1" applyFont="1" applyBorder="1" applyAlignment="1">
      <alignment horizontal="center" vertical="center"/>
    </xf>
    <xf numFmtId="185" fontId="61" fillId="0" borderId="10" xfId="161" applyNumberFormat="1" applyFont="1" applyBorder="1" applyAlignment="1">
      <alignment horizontal="right" vertical="center"/>
    </xf>
    <xf numFmtId="185" fontId="61" fillId="0" borderId="2" xfId="161" applyNumberFormat="1" applyFont="1" applyBorder="1" applyAlignment="1">
      <alignment horizontal="right" vertical="center"/>
    </xf>
    <xf numFmtId="185" fontId="61" fillId="0" borderId="17" xfId="161" applyNumberFormat="1" applyFont="1" applyBorder="1" applyAlignment="1">
      <alignment horizontal="right" vertical="center"/>
    </xf>
    <xf numFmtId="187" fontId="61" fillId="0" borderId="10" xfId="161" quotePrefix="1" applyNumberFormat="1" applyFont="1" applyBorder="1" applyAlignment="1">
      <alignment horizontal="right" vertical="center" indent="1"/>
    </xf>
    <xf numFmtId="187" fontId="61" fillId="0" borderId="2" xfId="161" quotePrefix="1" applyNumberFormat="1" applyFont="1" applyBorder="1" applyAlignment="1">
      <alignment horizontal="right" vertical="center" indent="1"/>
    </xf>
    <xf numFmtId="187" fontId="61" fillId="0" borderId="17" xfId="161" quotePrefix="1" applyNumberFormat="1" applyFont="1" applyBorder="1" applyAlignment="1">
      <alignment horizontal="right" vertical="center" indent="1"/>
    </xf>
    <xf numFmtId="182" fontId="61" fillId="0" borderId="28" xfId="161" quotePrefix="1" applyNumberFormat="1" applyFont="1" applyBorder="1" applyAlignment="1">
      <alignment horizontal="right" vertical="center"/>
    </xf>
    <xf numFmtId="182" fontId="61" fillId="24" borderId="10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9" fontId="61" fillId="24" borderId="10" xfId="161" quotePrefix="1" applyNumberFormat="1" applyFont="1" applyFill="1" applyBorder="1" applyAlignment="1">
      <alignment horizontal="right" vertical="center"/>
    </xf>
    <xf numFmtId="189" fontId="61" fillId="24" borderId="2" xfId="161" quotePrefix="1" applyNumberFormat="1" applyFont="1" applyFill="1" applyBorder="1" applyAlignment="1">
      <alignment horizontal="right" vertical="center"/>
    </xf>
    <xf numFmtId="189" fontId="61" fillId="24" borderId="17" xfId="161" quotePrefix="1" applyNumberFormat="1" applyFont="1" applyFill="1" applyBorder="1" applyAlignment="1">
      <alignment horizontal="right" vertical="center"/>
    </xf>
    <xf numFmtId="182" fontId="61" fillId="21" borderId="10" xfId="161" quotePrefix="1" applyNumberFormat="1" applyFont="1" applyFill="1" applyBorder="1" applyAlignment="1">
      <alignment horizontal="right" vertical="center"/>
    </xf>
    <xf numFmtId="182" fontId="61" fillId="21" borderId="2" xfId="161" quotePrefix="1" applyNumberFormat="1" applyFont="1" applyFill="1" applyBorder="1" applyAlignment="1">
      <alignment horizontal="right" vertical="center"/>
    </xf>
    <xf numFmtId="182" fontId="61" fillId="21" borderId="17" xfId="161" quotePrefix="1" applyNumberFormat="1" applyFont="1" applyFill="1" applyBorder="1" applyAlignment="1">
      <alignment horizontal="right" vertical="center"/>
    </xf>
    <xf numFmtId="189" fontId="61" fillId="21" borderId="10" xfId="161" quotePrefix="1" applyNumberFormat="1" applyFont="1" applyFill="1" applyBorder="1" applyAlignment="1">
      <alignment horizontal="right" vertical="center"/>
    </xf>
    <xf numFmtId="189" fontId="61" fillId="21" borderId="2" xfId="161" quotePrefix="1" applyNumberFormat="1" applyFont="1" applyFill="1" applyBorder="1" applyAlignment="1">
      <alignment horizontal="right" vertical="center"/>
    </xf>
    <xf numFmtId="189" fontId="61" fillId="21" borderId="17" xfId="161" quotePrefix="1" applyNumberFormat="1" applyFont="1" applyFill="1" applyBorder="1" applyAlignment="1">
      <alignment horizontal="right" vertical="center"/>
    </xf>
    <xf numFmtId="182" fontId="53" fillId="14" borderId="0" xfId="0" applyNumberFormat="1" applyFont="1" applyFill="1" applyAlignment="1">
      <alignment horizontal="center" vertical="center"/>
    </xf>
    <xf numFmtId="184" fontId="87" fillId="0" borderId="10" xfId="161" quotePrefix="1" applyNumberFormat="1" applyFont="1" applyBorder="1" applyAlignment="1">
      <alignment horizontal="center" vertical="center"/>
    </xf>
    <xf numFmtId="184" fontId="87" fillId="0" borderId="2" xfId="161" quotePrefix="1" applyNumberFormat="1" applyFont="1" applyBorder="1" applyAlignment="1">
      <alignment horizontal="center" vertical="center"/>
    </xf>
    <xf numFmtId="184" fontId="87" fillId="0" borderId="17" xfId="161" quotePrefix="1" applyNumberFormat="1" applyFont="1" applyBorder="1" applyAlignment="1">
      <alignment horizontal="center" vertical="center"/>
    </xf>
    <xf numFmtId="181" fontId="61" fillId="0" borderId="10" xfId="161" quotePrefix="1" applyNumberFormat="1" applyFont="1" applyBorder="1" applyAlignment="1">
      <alignment horizontal="center" vertical="center"/>
    </xf>
    <xf numFmtId="181" fontId="61" fillId="0" borderId="2" xfId="161" quotePrefix="1" applyNumberFormat="1" applyFont="1" applyBorder="1" applyAlignment="1">
      <alignment horizontal="center" vertical="center"/>
    </xf>
    <xf numFmtId="181" fontId="61" fillId="0" borderId="17" xfId="161" quotePrefix="1" applyNumberFormat="1" applyFont="1" applyBorder="1" applyAlignment="1">
      <alignment horizontal="center" vertical="center"/>
    </xf>
    <xf numFmtId="179" fontId="61" fillId="0" borderId="10" xfId="161" applyNumberFormat="1" applyFont="1" applyBorder="1" applyAlignment="1">
      <alignment horizontal="right" vertical="center"/>
    </xf>
    <xf numFmtId="179" fontId="61" fillId="0" borderId="2" xfId="161" applyNumberFormat="1" applyFont="1" applyBorder="1" applyAlignment="1">
      <alignment horizontal="right" vertical="center"/>
    </xf>
    <xf numFmtId="179" fontId="61" fillId="0" borderId="17" xfId="161" applyNumberFormat="1" applyFont="1" applyBorder="1" applyAlignment="1">
      <alignment horizontal="right" vertical="center"/>
    </xf>
    <xf numFmtId="0" fontId="53" fillId="14" borderId="0" xfId="0" applyFont="1" applyFill="1" applyAlignment="1">
      <alignment horizontal="center" vertical="center"/>
    </xf>
    <xf numFmtId="190" fontId="53" fillId="14" borderId="15" xfId="0" applyNumberFormat="1" applyFont="1" applyFill="1" applyBorder="1" applyAlignment="1">
      <alignment horizontal="center" vertical="center"/>
    </xf>
    <xf numFmtId="190" fontId="53" fillId="14" borderId="12" xfId="0" applyNumberFormat="1" applyFont="1" applyFill="1" applyBorder="1" applyAlignment="1">
      <alignment horizontal="center" vertical="center"/>
    </xf>
    <xf numFmtId="179" fontId="61" fillId="0" borderId="10" xfId="161" quotePrefix="1" applyNumberFormat="1" applyFont="1" applyBorder="1" applyAlignment="1">
      <alignment horizontal="center" vertical="center"/>
    </xf>
    <xf numFmtId="179" fontId="61" fillId="0" borderId="2" xfId="161" quotePrefix="1" applyNumberFormat="1" applyFont="1" applyBorder="1" applyAlignment="1">
      <alignment horizontal="center" vertical="center"/>
    </xf>
    <xf numFmtId="179" fontId="61" fillId="0" borderId="17" xfId="161" quotePrefix="1" applyNumberFormat="1" applyFont="1" applyBorder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5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22224</xdr:rowOff>
    </xdr:from>
    <xdr:to>
      <xdr:col>2</xdr:col>
      <xdr:colOff>15876</xdr:colOff>
      <xdr:row>7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8985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6</xdr:row>
      <xdr:rowOff>53975</xdr:rowOff>
    </xdr:from>
    <xdr:to>
      <xdr:col>17</xdr:col>
      <xdr:colOff>47625</xdr:colOff>
      <xdr:row>7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9</xdr:row>
      <xdr:rowOff>95250</xdr:rowOff>
    </xdr:from>
    <xdr:to>
      <xdr:col>11</xdr:col>
      <xdr:colOff>1</xdr:colOff>
      <xdr:row>11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123825</xdr:colOff>
      <xdr:row>23</xdr:row>
      <xdr:rowOff>28575</xdr:rowOff>
    </xdr:from>
    <xdr:to>
      <xdr:col>47</xdr:col>
      <xdr:colOff>154967</xdr:colOff>
      <xdr:row>25</xdr:row>
      <xdr:rowOff>40739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292FEEF7-DB18-4DAD-9F5E-C023E19A47B0}"/>
            </a:ext>
          </a:extLst>
        </xdr:cNvPr>
        <xdr:cNvSpPr/>
      </xdr:nvSpPr>
      <xdr:spPr>
        <a:xfrm>
          <a:off x="666750" y="4591050"/>
          <a:ext cx="7994042" cy="336014"/>
        </a:xfrm>
        <a:prstGeom prst="rect">
          <a:avLst/>
        </a:prstGeom>
        <a:noFill/>
        <a:ln>
          <a:solidFill>
            <a:srgbClr val="FF0000"/>
          </a:solidFill>
          <a:prstDash val="sysDot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9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メッセージ表示</a:t>
          </a:r>
          <a:endParaRPr kumimoji="1" lang="en-US" altLang="ja-JP" sz="900" baseline="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58</xdr:row>
      <xdr:rowOff>0</xdr:rowOff>
    </xdr:from>
    <xdr:to>
      <xdr:col>42</xdr:col>
      <xdr:colOff>9525</xdr:colOff>
      <xdr:row>61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34</xdr:row>
      <xdr:rowOff>0</xdr:rowOff>
    </xdr:from>
    <xdr:to>
      <xdr:col>6</xdr:col>
      <xdr:colOff>1395</xdr:colOff>
      <xdr:row>61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34</xdr:row>
      <xdr:rowOff>0</xdr:rowOff>
    </xdr:from>
    <xdr:to>
      <xdr:col>8</xdr:col>
      <xdr:colOff>161924</xdr:colOff>
      <xdr:row>61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34</xdr:row>
      <xdr:rowOff>0</xdr:rowOff>
    </xdr:from>
    <xdr:to>
      <xdr:col>11</xdr:col>
      <xdr:colOff>161925</xdr:colOff>
      <xdr:row>61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14</xdr:col>
      <xdr:colOff>161925</xdr:colOff>
      <xdr:row>61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33</xdr:row>
      <xdr:rowOff>133350</xdr:rowOff>
    </xdr:from>
    <xdr:to>
      <xdr:col>17</xdr:col>
      <xdr:colOff>158750</xdr:colOff>
      <xdr:row>61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34</xdr:row>
      <xdr:rowOff>0</xdr:rowOff>
    </xdr:from>
    <xdr:to>
      <xdr:col>20</xdr:col>
      <xdr:colOff>161925</xdr:colOff>
      <xdr:row>61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76199</xdr:colOff>
      <xdr:row>27</xdr:row>
      <xdr:rowOff>76200</xdr:rowOff>
    </xdr:from>
    <xdr:to>
      <xdr:col>42</xdr:col>
      <xdr:colOff>133350</xdr:colOff>
      <xdr:row>29</xdr:row>
      <xdr:rowOff>123825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6772274" y="5076825"/>
          <a:ext cx="962026" cy="37147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10</xdr:row>
      <xdr:rowOff>139700</xdr:rowOff>
    </xdr:from>
    <xdr:to>
      <xdr:col>21</xdr:col>
      <xdr:colOff>101601</xdr:colOff>
      <xdr:row>12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26</xdr:row>
      <xdr:rowOff>47625</xdr:rowOff>
    </xdr:from>
    <xdr:to>
      <xdr:col>3</xdr:col>
      <xdr:colOff>142875</xdr:colOff>
      <xdr:row>27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30</xdr:row>
      <xdr:rowOff>38100</xdr:rowOff>
    </xdr:from>
    <xdr:to>
      <xdr:col>3</xdr:col>
      <xdr:colOff>142875</xdr:colOff>
      <xdr:row>31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114300</xdr:colOff>
      <xdr:row>26</xdr:row>
      <xdr:rowOff>76200</xdr:rowOff>
    </xdr:from>
    <xdr:to>
      <xdr:col>37</xdr:col>
      <xdr:colOff>133350</xdr:colOff>
      <xdr:row>28</xdr:row>
      <xdr:rowOff>0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9F792120-6697-4F37-81C7-7EA77FDBCCAA}"/>
            </a:ext>
          </a:extLst>
        </xdr:cNvPr>
        <xdr:cNvSpPr/>
      </xdr:nvSpPr>
      <xdr:spPr>
        <a:xfrm>
          <a:off x="6448425" y="5124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32</xdr:row>
      <xdr:rowOff>38100</xdr:rowOff>
    </xdr:from>
    <xdr:to>
      <xdr:col>5</xdr:col>
      <xdr:colOff>123825</xdr:colOff>
      <xdr:row>33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32</xdr:row>
      <xdr:rowOff>38100</xdr:rowOff>
    </xdr:from>
    <xdr:to>
      <xdr:col>8</xdr:col>
      <xdr:colOff>66675</xdr:colOff>
      <xdr:row>33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32</xdr:row>
      <xdr:rowOff>28575</xdr:rowOff>
    </xdr:from>
    <xdr:to>
      <xdr:col>11</xdr:col>
      <xdr:colOff>66675</xdr:colOff>
      <xdr:row>33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32</xdr:row>
      <xdr:rowOff>28575</xdr:rowOff>
    </xdr:from>
    <xdr:to>
      <xdr:col>14</xdr:col>
      <xdr:colOff>66675</xdr:colOff>
      <xdr:row>33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32</xdr:row>
      <xdr:rowOff>25400</xdr:rowOff>
    </xdr:from>
    <xdr:to>
      <xdr:col>17</xdr:col>
      <xdr:colOff>114300</xdr:colOff>
      <xdr:row>33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32</xdr:row>
      <xdr:rowOff>38100</xdr:rowOff>
    </xdr:from>
    <xdr:to>
      <xdr:col>20</xdr:col>
      <xdr:colOff>177800</xdr:colOff>
      <xdr:row>33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32</xdr:row>
      <xdr:rowOff>0</xdr:rowOff>
    </xdr:from>
    <xdr:to>
      <xdr:col>27</xdr:col>
      <xdr:colOff>111126</xdr:colOff>
      <xdr:row>33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40</xdr:row>
      <xdr:rowOff>0</xdr:rowOff>
    </xdr:from>
    <xdr:to>
      <xdr:col>44</xdr:col>
      <xdr:colOff>111126</xdr:colOff>
      <xdr:row>41</xdr:row>
      <xdr:rowOff>95250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7524750"/>
          <a:ext cx="473076" cy="2571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62</xdr:row>
      <xdr:rowOff>85725</xdr:rowOff>
    </xdr:from>
    <xdr:to>
      <xdr:col>32</xdr:col>
      <xdr:colOff>222</xdr:colOff>
      <xdr:row>65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62</xdr:row>
      <xdr:rowOff>101600</xdr:rowOff>
    </xdr:from>
    <xdr:to>
      <xdr:col>21</xdr:col>
      <xdr:colOff>27124</xdr:colOff>
      <xdr:row>65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62</xdr:row>
      <xdr:rowOff>9525</xdr:rowOff>
    </xdr:from>
    <xdr:to>
      <xdr:col>14</xdr:col>
      <xdr:colOff>111126</xdr:colOff>
      <xdr:row>63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62</xdr:row>
      <xdr:rowOff>0</xdr:rowOff>
    </xdr:from>
    <xdr:to>
      <xdr:col>25</xdr:col>
      <xdr:colOff>111126</xdr:colOff>
      <xdr:row>63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78</xdr:row>
      <xdr:rowOff>28576</xdr:rowOff>
    </xdr:from>
    <xdr:to>
      <xdr:col>10</xdr:col>
      <xdr:colOff>76201</xdr:colOff>
      <xdr:row>80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78</xdr:row>
      <xdr:rowOff>25400</xdr:rowOff>
    </xdr:from>
    <xdr:to>
      <xdr:col>15</xdr:col>
      <xdr:colOff>171450</xdr:colOff>
      <xdr:row>80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70</xdr:row>
      <xdr:rowOff>76201</xdr:rowOff>
    </xdr:from>
    <xdr:to>
      <xdr:col>16</xdr:col>
      <xdr:colOff>130176</xdr:colOff>
      <xdr:row>71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80</xdr:row>
      <xdr:rowOff>66675</xdr:rowOff>
    </xdr:from>
    <xdr:to>
      <xdr:col>6</xdr:col>
      <xdr:colOff>130176</xdr:colOff>
      <xdr:row>81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80</xdr:row>
      <xdr:rowOff>76200</xdr:rowOff>
    </xdr:from>
    <xdr:to>
      <xdr:col>13</xdr:col>
      <xdr:colOff>34926</xdr:colOff>
      <xdr:row>82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69</xdr:row>
      <xdr:rowOff>34925</xdr:rowOff>
    </xdr:from>
    <xdr:to>
      <xdr:col>21</xdr:col>
      <xdr:colOff>95251</xdr:colOff>
      <xdr:row>70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</xdr:colOff>
      <xdr:row>22</xdr:row>
      <xdr:rowOff>114300</xdr:rowOff>
    </xdr:from>
    <xdr:to>
      <xdr:col>3</xdr:col>
      <xdr:colOff>120651</xdr:colOff>
      <xdr:row>24</xdr:row>
      <xdr:rowOff>38100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8C61842F-6C18-4324-A80B-1FB1D1D43581}"/>
            </a:ext>
          </a:extLst>
        </xdr:cNvPr>
        <xdr:cNvSpPr/>
      </xdr:nvSpPr>
      <xdr:spPr>
        <a:xfrm>
          <a:off x="190500" y="451485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37</xdr:row>
      <xdr:rowOff>0</xdr:rowOff>
    </xdr:from>
    <xdr:to>
      <xdr:col>42</xdr:col>
      <xdr:colOff>0</xdr:colOff>
      <xdr:row>40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42</xdr:col>
      <xdr:colOff>114300</xdr:colOff>
      <xdr:row>30</xdr:row>
      <xdr:rowOff>101600</xdr:rowOff>
    </xdr:from>
    <xdr:to>
      <xdr:col>51</xdr:col>
      <xdr:colOff>6350</xdr:colOff>
      <xdr:row>36</xdr:row>
      <xdr:rowOff>19050</xdr:rowOff>
    </xdr:to>
    <xdr:sp macro="" textlink="">
      <xdr:nvSpPr>
        <xdr:cNvPr id="92" name="角丸四角形吹き出し 87">
          <a:extLst>
            <a:ext uri="{FF2B5EF4-FFF2-40B4-BE49-F238E27FC236}">
              <a16:creationId xmlns:a16="http://schemas.microsoft.com/office/drawing/2014/main" id="{EF329E74-5053-44FB-8F6B-B3A2C89C32E8}"/>
            </a:ext>
          </a:extLst>
        </xdr:cNvPr>
        <xdr:cNvSpPr/>
      </xdr:nvSpPr>
      <xdr:spPr>
        <a:xfrm>
          <a:off x="7715250" y="5635625"/>
          <a:ext cx="1520825" cy="765175"/>
        </a:xfrm>
        <a:prstGeom prst="wedgeRoundRectCallout">
          <a:avLst>
            <a:gd name="adj1" fmla="val -51624"/>
            <a:gd name="adj2" fmla="val 78620"/>
            <a:gd name="adj3" fmla="val 16667"/>
          </a:avLst>
        </a:prstGeom>
        <a:solidFill>
          <a:srgbClr val="92D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画面構成</a:t>
          </a:r>
          <a:r>
            <a:rPr kumimoji="1" lang="ja-JP" altLang="en-US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７：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判定結果の表示の詳細</a:t>
          </a:r>
          <a:r>
            <a:rPr kumimoji="1" lang="ja-JP" altLang="en-US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は現行に一致。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補足①を参照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kumimoji="1" lang="ja-JP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43</xdr:col>
      <xdr:colOff>0</xdr:colOff>
      <xdr:row>60</xdr:row>
      <xdr:rowOff>0</xdr:rowOff>
    </xdr:from>
    <xdr:to>
      <xdr:col>51</xdr:col>
      <xdr:colOff>48932</xdr:colOff>
      <xdr:row>63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15</xdr:row>
      <xdr:rowOff>46878</xdr:rowOff>
    </xdr:from>
    <xdr:to>
      <xdr:col>34</xdr:col>
      <xdr:colOff>30070</xdr:colOff>
      <xdr:row>16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6" name="角丸四角形 142">
          <a:extLst>
            <a:ext uri="{FF2B5EF4-FFF2-40B4-BE49-F238E27FC236}">
              <a16:creationId xmlns:a16="http://schemas.microsoft.com/office/drawing/2014/main" id="{387FA923-6E02-4279-89AD-6A05EBDEE530}"/>
            </a:ext>
          </a:extLst>
        </xdr:cNvPr>
        <xdr:cNvSpPr/>
      </xdr:nvSpPr>
      <xdr:spPr>
        <a:xfrm>
          <a:off x="3460751" y="6337300"/>
          <a:ext cx="3473450" cy="48670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0599125-8F46-4605-B8E2-51977174718B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5A47A6B-2B89-4855-B321-87BE4E78F715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2" t="str">
        <f ca="1">TEXT(変更来歴!AT2,"yyyy年 mm月 dd日") &amp; " " &amp; 変更来歴!AT3</f>
        <v>2026年 04月 22日 r1.2</v>
      </c>
      <c r="C22" s="713"/>
      <c r="D22" s="713"/>
      <c r="E22" s="713"/>
      <c r="F22" s="713"/>
      <c r="G22" s="713"/>
      <c r="H22" s="713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5" t="s">
        <v>28</v>
      </c>
      <c r="D28" s="715"/>
      <c r="E28" s="715"/>
      <c r="F28" s="715" t="s">
        <v>0</v>
      </c>
      <c r="G28" s="715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6"/>
      <c r="D33" s="716"/>
      <c r="E33" s="716"/>
      <c r="F33" s="716"/>
      <c r="G33" s="716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14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17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14"/>
    </row>
    <row r="43" spans="3:20" s="8" customFormat="1" ht="14.25" customHeight="1">
      <c r="K43" s="17"/>
      <c r="L43" s="12"/>
      <c r="N43" s="12"/>
      <c r="R43" s="14"/>
      <c r="S43" s="19"/>
      <c r="T43" s="714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14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14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14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14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14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17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14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17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14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17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14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17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14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17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14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17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14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17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14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17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14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17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14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17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14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17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14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17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14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17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14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17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14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17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14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17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14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17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14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17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2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">
        <v>6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">
        <v>744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">
        <v>298</v>
      </c>
      <c r="AO1" s="746"/>
      <c r="AP1" s="746"/>
      <c r="AQ1" s="745" t="s">
        <v>9</v>
      </c>
      <c r="AR1" s="745"/>
      <c r="AS1" s="745"/>
      <c r="AT1" s="748">
        <f>AL7</f>
        <v>46125</v>
      </c>
      <c r="AU1" s="748"/>
      <c r="AV1" s="748"/>
      <c r="AW1" s="748"/>
      <c r="AX1" s="737" t="s">
        <v>10</v>
      </c>
      <c r="AY1" s="738"/>
      <c r="AZ1" s="738"/>
      <c r="BA1" s="739"/>
    </row>
    <row r="2" spans="1:53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42" t="s">
        <v>29</v>
      </c>
      <c r="N2" s="743"/>
      <c r="O2" s="743"/>
      <c r="P2" s="743"/>
      <c r="Q2" s="743"/>
      <c r="R2" s="743"/>
      <c r="S2" s="743"/>
      <c r="T2" s="743"/>
      <c r="U2" s="743"/>
      <c r="V2" s="743"/>
      <c r="W2" s="74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">
        <v>298</v>
      </c>
      <c r="AO2" s="746"/>
      <c r="AP2" s="746"/>
      <c r="AQ2" s="745" t="s">
        <v>13</v>
      </c>
      <c r="AR2" s="745"/>
      <c r="AS2" s="745"/>
      <c r="AT2" s="748">
        <v>46134</v>
      </c>
      <c r="AU2" s="748"/>
      <c r="AV2" s="748"/>
      <c r="AW2" s="748"/>
      <c r="AX2" s="749" t="s">
        <v>31</v>
      </c>
      <c r="AY2" s="750"/>
      <c r="AZ2" s="750"/>
      <c r="BA2" s="751"/>
    </row>
    <row r="3" spans="1:53" ht="12" customHeight="1">
      <c r="A3" s="755" t="s">
        <v>26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/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">
        <v>743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45" t="s">
        <v>15</v>
      </c>
      <c r="AR3" s="745"/>
      <c r="AS3" s="745"/>
      <c r="AT3" s="761" t="str">
        <f ca="1">INDIRECT("A" &amp; COUNTA(A7:A39) + 6)</f>
        <v>r1.2</v>
      </c>
      <c r="AU3" s="761"/>
      <c r="AV3" s="761"/>
      <c r="AW3" s="761"/>
      <c r="AX3" s="752"/>
      <c r="AY3" s="753"/>
      <c r="AZ3" s="753"/>
      <c r="BA3" s="754"/>
    </row>
    <row r="4" spans="1:53" ht="5.9" customHeight="1"/>
    <row r="5" spans="1:53" ht="14">
      <c r="A5" s="759" t="s">
        <v>25</v>
      </c>
      <c r="B5" s="759"/>
      <c r="C5" s="759"/>
      <c r="D5" s="759"/>
      <c r="E5" s="759"/>
      <c r="F5" s="759"/>
      <c r="G5" s="759"/>
      <c r="H5" s="759"/>
      <c r="I5" s="759"/>
      <c r="J5" s="759"/>
      <c r="K5" s="759"/>
      <c r="L5" s="759"/>
      <c r="M5" s="759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  <c r="Y5" s="759"/>
      <c r="Z5" s="75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</row>
    <row r="6" spans="1:53">
      <c r="A6" s="762" t="s">
        <v>24</v>
      </c>
      <c r="B6" s="763"/>
      <c r="C6" s="747" t="s">
        <v>17</v>
      </c>
      <c r="D6" s="747"/>
      <c r="E6" s="747"/>
      <c r="F6" s="747"/>
      <c r="G6" s="747"/>
      <c r="H6" s="747"/>
      <c r="I6" s="747"/>
      <c r="J6" s="747"/>
      <c r="K6" s="747"/>
      <c r="L6" s="747"/>
      <c r="M6" s="747"/>
      <c r="N6" s="747"/>
      <c r="O6" s="747"/>
      <c r="P6" s="747"/>
      <c r="Q6" s="747" t="s">
        <v>18</v>
      </c>
      <c r="R6" s="747"/>
      <c r="S6" s="747"/>
      <c r="T6" s="747"/>
      <c r="U6" s="747"/>
      <c r="V6" s="747"/>
      <c r="W6" s="747"/>
      <c r="X6" s="747"/>
      <c r="Y6" s="747"/>
      <c r="Z6" s="747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 t="s">
        <v>19</v>
      </c>
      <c r="AM6" s="747"/>
      <c r="AN6" s="747"/>
      <c r="AO6" s="747"/>
      <c r="AP6" s="747" t="s">
        <v>20</v>
      </c>
      <c r="AQ6" s="747"/>
      <c r="AR6" s="747"/>
      <c r="AS6" s="747" t="s">
        <v>21</v>
      </c>
      <c r="AT6" s="747"/>
      <c r="AU6" s="747"/>
      <c r="AV6" s="747" t="s">
        <v>22</v>
      </c>
      <c r="AW6" s="747"/>
      <c r="AX6" s="747"/>
      <c r="AY6" s="747"/>
      <c r="AZ6" s="747"/>
      <c r="BA6" s="747"/>
    </row>
    <row r="7" spans="1:53">
      <c r="A7" s="719" t="s">
        <v>258</v>
      </c>
      <c r="B7" s="719"/>
      <c r="C7" s="720" t="s">
        <v>23</v>
      </c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4">
        <v>46125</v>
      </c>
      <c r="AM7" s="725"/>
      <c r="AN7" s="725"/>
      <c r="AO7" s="725"/>
      <c r="AP7" s="720" t="s">
        <v>298</v>
      </c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</row>
    <row r="8" spans="1:53" ht="25" customHeight="1">
      <c r="A8" s="734" t="s">
        <v>660</v>
      </c>
      <c r="B8" s="735"/>
      <c r="C8" s="721" t="s">
        <v>662</v>
      </c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31" t="s">
        <v>747</v>
      </c>
      <c r="R8" s="732"/>
      <c r="S8" s="732"/>
      <c r="T8" s="732"/>
      <c r="U8" s="732"/>
      <c r="V8" s="732"/>
      <c r="W8" s="732"/>
      <c r="X8" s="732"/>
      <c r="Y8" s="732"/>
      <c r="Z8" s="732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3"/>
      <c r="AL8" s="726">
        <v>46134</v>
      </c>
      <c r="AM8" s="727"/>
      <c r="AN8" s="727"/>
      <c r="AO8" s="728"/>
      <c r="AP8" s="720" t="s">
        <v>661</v>
      </c>
      <c r="AQ8" s="720"/>
      <c r="AR8" s="720"/>
      <c r="AS8" s="720"/>
      <c r="AT8" s="720"/>
      <c r="AU8" s="720"/>
      <c r="AV8" s="720"/>
      <c r="AW8" s="720"/>
      <c r="AX8" s="720"/>
      <c r="AY8" s="720"/>
      <c r="AZ8" s="720"/>
      <c r="BA8" s="720"/>
    </row>
    <row r="9" spans="1:53">
      <c r="A9" s="734" t="s">
        <v>745</v>
      </c>
      <c r="B9" s="735"/>
      <c r="C9" s="720" t="s">
        <v>746</v>
      </c>
      <c r="D9" s="720"/>
      <c r="E9" s="720"/>
      <c r="F9" s="720"/>
      <c r="G9" s="720"/>
      <c r="H9" s="720"/>
      <c r="I9" s="720"/>
      <c r="J9" s="720"/>
      <c r="K9" s="720"/>
      <c r="L9" s="720"/>
      <c r="M9" s="720"/>
      <c r="N9" s="720"/>
      <c r="O9" s="720"/>
      <c r="P9" s="720"/>
      <c r="Q9" s="731" t="s">
        <v>747</v>
      </c>
      <c r="R9" s="732"/>
      <c r="S9" s="732"/>
      <c r="T9" s="732"/>
      <c r="U9" s="732"/>
      <c r="V9" s="732"/>
      <c r="W9" s="732"/>
      <c r="X9" s="732"/>
      <c r="Y9" s="732"/>
      <c r="Z9" s="732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3"/>
      <c r="AL9" s="726">
        <v>46157</v>
      </c>
      <c r="AM9" s="727"/>
      <c r="AN9" s="727"/>
      <c r="AO9" s="728"/>
      <c r="AP9" s="720" t="s">
        <v>661</v>
      </c>
      <c r="AQ9" s="720"/>
      <c r="AR9" s="720"/>
      <c r="AS9" s="720"/>
      <c r="AT9" s="720"/>
      <c r="AU9" s="720"/>
      <c r="AV9" s="720"/>
      <c r="AW9" s="720"/>
      <c r="AX9" s="720"/>
      <c r="AY9" s="720"/>
      <c r="AZ9" s="720"/>
      <c r="BA9" s="720"/>
    </row>
    <row r="10" spans="1:53">
      <c r="A10" s="719"/>
      <c r="B10" s="719"/>
      <c r="C10" s="720"/>
      <c r="D10" s="720"/>
      <c r="E10" s="720"/>
      <c r="F10" s="720"/>
      <c r="G10" s="720"/>
      <c r="H10" s="720"/>
      <c r="I10" s="720"/>
      <c r="J10" s="720"/>
      <c r="K10" s="720"/>
      <c r="L10" s="720"/>
      <c r="M10" s="720"/>
      <c r="N10" s="720"/>
      <c r="O10" s="720"/>
      <c r="P10" s="720"/>
      <c r="Q10" s="721"/>
      <c r="R10" s="720"/>
      <c r="S10" s="720"/>
      <c r="T10" s="720"/>
      <c r="U10" s="720"/>
      <c r="V10" s="720"/>
      <c r="W10" s="720"/>
      <c r="X10" s="720"/>
      <c r="Y10" s="720"/>
      <c r="Z10" s="720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18"/>
      <c r="AM10" s="719"/>
      <c r="AN10" s="719"/>
      <c r="AO10" s="719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</row>
    <row r="11" spans="1:53">
      <c r="A11" s="719"/>
      <c r="B11" s="719"/>
      <c r="C11" s="721"/>
      <c r="D11" s="720"/>
      <c r="E11" s="720"/>
      <c r="F11" s="720"/>
      <c r="G11" s="720"/>
      <c r="H11" s="720"/>
      <c r="I11" s="720"/>
      <c r="J11" s="720"/>
      <c r="K11" s="720"/>
      <c r="L11" s="720"/>
      <c r="M11" s="720"/>
      <c r="N11" s="720"/>
      <c r="O11" s="720"/>
      <c r="P11" s="720"/>
      <c r="Q11" s="721"/>
      <c r="R11" s="720"/>
      <c r="S11" s="720"/>
      <c r="T11" s="720"/>
      <c r="U11" s="720"/>
      <c r="V11" s="720"/>
      <c r="W11" s="720"/>
      <c r="X11" s="720"/>
      <c r="Y11" s="720"/>
      <c r="Z11" s="720"/>
      <c r="AA11" s="720"/>
      <c r="AB11" s="720"/>
      <c r="AC11" s="720"/>
      <c r="AD11" s="720"/>
      <c r="AE11" s="720"/>
      <c r="AF11" s="720"/>
      <c r="AG11" s="720"/>
      <c r="AH11" s="720"/>
      <c r="AI11" s="720"/>
      <c r="AJ11" s="720"/>
      <c r="AK11" s="720"/>
      <c r="AL11" s="718"/>
      <c r="AM11" s="719"/>
      <c r="AN11" s="719"/>
      <c r="AO11" s="719"/>
      <c r="AP11" s="720"/>
      <c r="AQ11" s="720"/>
      <c r="AR11" s="720"/>
      <c r="AS11" s="720"/>
      <c r="AT11" s="720"/>
      <c r="AU11" s="720"/>
      <c r="AV11" s="720"/>
      <c r="AW11" s="720"/>
      <c r="AX11" s="720"/>
      <c r="AY11" s="720"/>
      <c r="AZ11" s="720"/>
      <c r="BA11" s="720"/>
    </row>
    <row r="12" spans="1:53">
      <c r="A12" s="719"/>
      <c r="B12" s="719"/>
      <c r="C12" s="720"/>
      <c r="D12" s="720"/>
      <c r="E12" s="720"/>
      <c r="F12" s="720"/>
      <c r="G12" s="720"/>
      <c r="H12" s="720"/>
      <c r="I12" s="720"/>
      <c r="J12" s="720"/>
      <c r="K12" s="720"/>
      <c r="L12" s="720"/>
      <c r="M12" s="720"/>
      <c r="N12" s="720"/>
      <c r="O12" s="720"/>
      <c r="P12" s="720"/>
      <c r="Q12" s="720"/>
      <c r="R12" s="720"/>
      <c r="S12" s="720"/>
      <c r="T12" s="720"/>
      <c r="U12" s="720"/>
      <c r="V12" s="720"/>
      <c r="W12" s="720"/>
      <c r="X12" s="720"/>
      <c r="Y12" s="720"/>
      <c r="Z12" s="720"/>
      <c r="AA12" s="720"/>
      <c r="AB12" s="720"/>
      <c r="AC12" s="720"/>
      <c r="AD12" s="720"/>
      <c r="AE12" s="720"/>
      <c r="AF12" s="720"/>
      <c r="AG12" s="720"/>
      <c r="AH12" s="720"/>
      <c r="AI12" s="720"/>
      <c r="AJ12" s="720"/>
      <c r="AK12" s="720"/>
      <c r="AL12" s="718"/>
      <c r="AM12" s="719"/>
      <c r="AN12" s="719"/>
      <c r="AO12" s="719"/>
      <c r="AP12" s="720"/>
      <c r="AQ12" s="720"/>
      <c r="AR12" s="720"/>
      <c r="AS12" s="720"/>
      <c r="AT12" s="720"/>
      <c r="AU12" s="720"/>
      <c r="AV12" s="720"/>
      <c r="AW12" s="720"/>
      <c r="AX12" s="720"/>
      <c r="AY12" s="720"/>
      <c r="AZ12" s="720"/>
      <c r="BA12" s="720"/>
    </row>
    <row r="13" spans="1:53">
      <c r="A13" s="730"/>
      <c r="B13" s="730"/>
      <c r="C13" s="722"/>
      <c r="D13" s="722"/>
      <c r="E13" s="722"/>
      <c r="F13" s="722"/>
      <c r="G13" s="722"/>
      <c r="H13" s="722"/>
      <c r="I13" s="722"/>
      <c r="J13" s="722"/>
      <c r="K13" s="722"/>
      <c r="L13" s="722"/>
      <c r="M13" s="722"/>
      <c r="N13" s="722"/>
      <c r="O13" s="722"/>
      <c r="P13" s="722"/>
      <c r="Q13" s="721"/>
      <c r="R13" s="720"/>
      <c r="S13" s="720"/>
      <c r="T13" s="720"/>
      <c r="U13" s="720"/>
      <c r="V13" s="720"/>
      <c r="W13" s="720"/>
      <c r="X13" s="720"/>
      <c r="Y13" s="720"/>
      <c r="Z13" s="720"/>
      <c r="AA13" s="720"/>
      <c r="AB13" s="720"/>
      <c r="AC13" s="720"/>
      <c r="AD13" s="720"/>
      <c r="AE13" s="720"/>
      <c r="AF13" s="720"/>
      <c r="AG13" s="720"/>
      <c r="AH13" s="720"/>
      <c r="AI13" s="720"/>
      <c r="AJ13" s="720"/>
      <c r="AK13" s="720"/>
      <c r="AL13" s="729"/>
      <c r="AM13" s="730"/>
      <c r="AN13" s="730"/>
      <c r="AO13" s="730"/>
      <c r="AP13" s="720"/>
      <c r="AQ13" s="720"/>
      <c r="AR13" s="720"/>
      <c r="AS13" s="722"/>
      <c r="AT13" s="722"/>
      <c r="AU13" s="722"/>
      <c r="AV13" s="722"/>
      <c r="AW13" s="722"/>
      <c r="AX13" s="722"/>
      <c r="AY13" s="722"/>
      <c r="AZ13" s="722"/>
      <c r="BA13" s="722"/>
    </row>
    <row r="14" spans="1:53">
      <c r="A14" s="719"/>
      <c r="B14" s="719"/>
      <c r="C14" s="720"/>
      <c r="D14" s="720"/>
      <c r="E14" s="720"/>
      <c r="F14" s="720"/>
      <c r="G14" s="720"/>
      <c r="H14" s="720"/>
      <c r="I14" s="720"/>
      <c r="J14" s="720"/>
      <c r="K14" s="720"/>
      <c r="L14" s="720"/>
      <c r="M14" s="720"/>
      <c r="N14" s="720"/>
      <c r="O14" s="720"/>
      <c r="P14" s="720"/>
      <c r="Q14" s="721"/>
      <c r="R14" s="720"/>
      <c r="S14" s="720"/>
      <c r="T14" s="720"/>
      <c r="U14" s="720"/>
      <c r="V14" s="720"/>
      <c r="W14" s="720"/>
      <c r="X14" s="720"/>
      <c r="Y14" s="720"/>
      <c r="Z14" s="720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18"/>
      <c r="AM14" s="719"/>
      <c r="AN14" s="719"/>
      <c r="AO14" s="719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</row>
    <row r="15" spans="1:53">
      <c r="A15" s="719"/>
      <c r="B15" s="719"/>
      <c r="C15" s="720"/>
      <c r="D15" s="720"/>
      <c r="E15" s="720"/>
      <c r="F15" s="720"/>
      <c r="G15" s="720"/>
      <c r="H15" s="720"/>
      <c r="I15" s="720"/>
      <c r="J15" s="720"/>
      <c r="K15" s="720"/>
      <c r="L15" s="720"/>
      <c r="M15" s="720"/>
      <c r="N15" s="720"/>
      <c r="O15" s="720"/>
      <c r="P15" s="720"/>
      <c r="Q15" s="721"/>
      <c r="R15" s="720"/>
      <c r="S15" s="720"/>
      <c r="T15" s="720"/>
      <c r="U15" s="720"/>
      <c r="V15" s="720"/>
      <c r="W15" s="720"/>
      <c r="X15" s="720"/>
      <c r="Y15" s="720"/>
      <c r="Z15" s="720"/>
      <c r="AA15" s="720"/>
      <c r="AB15" s="720"/>
      <c r="AC15" s="720"/>
      <c r="AD15" s="720"/>
      <c r="AE15" s="720"/>
      <c r="AF15" s="720"/>
      <c r="AG15" s="720"/>
      <c r="AH15" s="720"/>
      <c r="AI15" s="720"/>
      <c r="AJ15" s="720"/>
      <c r="AK15" s="720"/>
      <c r="AL15" s="718"/>
      <c r="AM15" s="719"/>
      <c r="AN15" s="719"/>
      <c r="AO15" s="719"/>
      <c r="AP15" s="720"/>
      <c r="AQ15" s="720"/>
      <c r="AR15" s="720"/>
      <c r="AS15" s="720"/>
      <c r="AT15" s="720"/>
      <c r="AU15" s="720"/>
      <c r="AV15" s="720"/>
      <c r="AW15" s="720"/>
      <c r="AX15" s="720"/>
      <c r="AY15" s="720"/>
      <c r="AZ15" s="720"/>
      <c r="BA15" s="720"/>
    </row>
    <row r="16" spans="1:53">
      <c r="A16" s="719"/>
      <c r="B16" s="719"/>
      <c r="C16" s="720"/>
      <c r="D16" s="720"/>
      <c r="E16" s="720"/>
      <c r="F16" s="720"/>
      <c r="G16" s="720"/>
      <c r="H16" s="720"/>
      <c r="I16" s="720"/>
      <c r="J16" s="720"/>
      <c r="K16" s="720"/>
      <c r="L16" s="720"/>
      <c r="M16" s="720"/>
      <c r="N16" s="720"/>
      <c r="O16" s="720"/>
      <c r="P16" s="720"/>
      <c r="Q16" s="721"/>
      <c r="R16" s="720"/>
      <c r="S16" s="720"/>
      <c r="T16" s="720"/>
      <c r="U16" s="720"/>
      <c r="V16" s="720"/>
      <c r="W16" s="720"/>
      <c r="X16" s="720"/>
      <c r="Y16" s="720"/>
      <c r="Z16" s="720"/>
      <c r="AA16" s="720"/>
      <c r="AB16" s="720"/>
      <c r="AC16" s="720"/>
      <c r="AD16" s="720"/>
      <c r="AE16" s="720"/>
      <c r="AF16" s="720"/>
      <c r="AG16" s="720"/>
      <c r="AH16" s="720"/>
      <c r="AI16" s="720"/>
      <c r="AJ16" s="720"/>
      <c r="AK16" s="720"/>
      <c r="AL16" s="718"/>
      <c r="AM16" s="719"/>
      <c r="AN16" s="719"/>
      <c r="AO16" s="719"/>
      <c r="AP16" s="720"/>
      <c r="AQ16" s="720"/>
      <c r="AR16" s="720"/>
      <c r="AS16" s="720"/>
      <c r="AT16" s="720"/>
      <c r="AU16" s="720"/>
      <c r="AV16" s="720"/>
      <c r="AW16" s="720"/>
      <c r="AX16" s="720"/>
      <c r="AY16" s="720"/>
      <c r="AZ16" s="720"/>
      <c r="BA16" s="720"/>
    </row>
    <row r="17" spans="1:53">
      <c r="A17" s="736"/>
      <c r="B17" s="736"/>
      <c r="C17" s="720"/>
      <c r="D17" s="720"/>
      <c r="E17" s="720"/>
      <c r="F17" s="720"/>
      <c r="G17" s="720"/>
      <c r="H17" s="720"/>
      <c r="I17" s="720"/>
      <c r="J17" s="720"/>
      <c r="K17" s="720"/>
      <c r="L17" s="720"/>
      <c r="M17" s="720"/>
      <c r="N17" s="720"/>
      <c r="O17" s="720"/>
      <c r="P17" s="720"/>
      <c r="Q17" s="720"/>
      <c r="R17" s="723"/>
      <c r="S17" s="723"/>
      <c r="T17" s="723"/>
      <c r="U17" s="723"/>
      <c r="V17" s="723"/>
      <c r="W17" s="723"/>
      <c r="X17" s="723"/>
      <c r="Y17" s="723"/>
      <c r="Z17" s="723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18"/>
      <c r="AM17" s="719"/>
      <c r="AN17" s="719"/>
      <c r="AO17" s="719"/>
      <c r="AP17" s="720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</row>
    <row r="18" spans="1:53">
      <c r="A18" s="736"/>
      <c r="B18" s="736"/>
      <c r="C18" s="720"/>
      <c r="D18" s="720"/>
      <c r="E18" s="720"/>
      <c r="F18" s="720"/>
      <c r="G18" s="720"/>
      <c r="H18" s="720"/>
      <c r="I18" s="720"/>
      <c r="J18" s="720"/>
      <c r="K18" s="720"/>
      <c r="L18" s="720"/>
      <c r="M18" s="720"/>
      <c r="N18" s="720"/>
      <c r="O18" s="720"/>
      <c r="P18" s="720"/>
      <c r="Q18" s="720"/>
      <c r="R18" s="723"/>
      <c r="S18" s="723"/>
      <c r="T18" s="723"/>
      <c r="U18" s="723"/>
      <c r="V18" s="723"/>
      <c r="W18" s="723"/>
      <c r="X18" s="723"/>
      <c r="Y18" s="723"/>
      <c r="Z18" s="723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18"/>
      <c r="AM18" s="719"/>
      <c r="AN18" s="719"/>
      <c r="AO18" s="719"/>
      <c r="AP18" s="720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</row>
    <row r="19" spans="1:53">
      <c r="A19" s="719"/>
      <c r="B19" s="719"/>
      <c r="C19" s="720"/>
      <c r="D19" s="720"/>
      <c r="E19" s="720"/>
      <c r="F19" s="720"/>
      <c r="G19" s="720"/>
      <c r="H19" s="720"/>
      <c r="I19" s="720"/>
      <c r="J19" s="720"/>
      <c r="K19" s="720"/>
      <c r="L19" s="720"/>
      <c r="M19" s="720"/>
      <c r="N19" s="720"/>
      <c r="O19" s="720"/>
      <c r="P19" s="720"/>
      <c r="Q19" s="720"/>
      <c r="R19" s="720"/>
      <c r="S19" s="720"/>
      <c r="T19" s="720"/>
      <c r="U19" s="720"/>
      <c r="V19" s="720"/>
      <c r="W19" s="720"/>
      <c r="X19" s="720"/>
      <c r="Y19" s="720"/>
      <c r="Z19" s="720"/>
      <c r="AA19" s="720"/>
      <c r="AB19" s="720"/>
      <c r="AC19" s="720"/>
      <c r="AD19" s="720"/>
      <c r="AE19" s="720"/>
      <c r="AF19" s="720"/>
      <c r="AG19" s="720"/>
      <c r="AH19" s="720"/>
      <c r="AI19" s="720"/>
      <c r="AJ19" s="720"/>
      <c r="AK19" s="720"/>
      <c r="AL19" s="718"/>
      <c r="AM19" s="718"/>
      <c r="AN19" s="718"/>
      <c r="AO19" s="718"/>
      <c r="AP19" s="720"/>
      <c r="AQ19" s="720"/>
      <c r="AR19" s="720"/>
      <c r="AS19" s="720"/>
      <c r="AT19" s="720"/>
      <c r="AU19" s="720"/>
      <c r="AV19" s="720"/>
      <c r="AW19" s="720"/>
      <c r="AX19" s="720"/>
      <c r="AY19" s="720"/>
      <c r="AZ19" s="720"/>
      <c r="BA19" s="720"/>
    </row>
    <row r="20" spans="1:53">
      <c r="A20" s="719"/>
      <c r="B20" s="719"/>
      <c r="C20" s="720"/>
      <c r="D20" s="720"/>
      <c r="E20" s="720"/>
      <c r="F20" s="720"/>
      <c r="G20" s="720"/>
      <c r="H20" s="720"/>
      <c r="I20" s="720"/>
      <c r="J20" s="720"/>
      <c r="K20" s="720"/>
      <c r="L20" s="720"/>
      <c r="M20" s="720"/>
      <c r="N20" s="720"/>
      <c r="O20" s="720"/>
      <c r="P20" s="720"/>
      <c r="Q20" s="720"/>
      <c r="R20" s="720"/>
      <c r="S20" s="720"/>
      <c r="T20" s="720"/>
      <c r="U20" s="720"/>
      <c r="V20" s="720"/>
      <c r="W20" s="720"/>
      <c r="X20" s="720"/>
      <c r="Y20" s="720"/>
      <c r="Z20" s="720"/>
      <c r="AA20" s="720"/>
      <c r="AB20" s="720"/>
      <c r="AC20" s="720"/>
      <c r="AD20" s="720"/>
      <c r="AE20" s="720"/>
      <c r="AF20" s="720"/>
      <c r="AG20" s="720"/>
      <c r="AH20" s="720"/>
      <c r="AI20" s="720"/>
      <c r="AJ20" s="720"/>
      <c r="AK20" s="720"/>
      <c r="AL20" s="718"/>
      <c r="AM20" s="718"/>
      <c r="AN20" s="718"/>
      <c r="AO20" s="718"/>
      <c r="AP20" s="720"/>
      <c r="AQ20" s="720"/>
      <c r="AR20" s="720"/>
      <c r="AS20" s="720"/>
      <c r="AT20" s="720"/>
      <c r="AU20" s="720"/>
      <c r="AV20" s="720"/>
      <c r="AW20" s="720"/>
      <c r="AX20" s="720"/>
      <c r="AY20" s="720"/>
      <c r="AZ20" s="720"/>
      <c r="BA20" s="720"/>
    </row>
    <row r="21" spans="1:53" ht="13.5" customHeight="1">
      <c r="A21" s="719"/>
      <c r="B21" s="719"/>
      <c r="C21" s="720"/>
      <c r="D21" s="720"/>
      <c r="E21" s="720"/>
      <c r="F21" s="720"/>
      <c r="G21" s="720"/>
      <c r="H21" s="720"/>
      <c r="I21" s="720"/>
      <c r="J21" s="720"/>
      <c r="K21" s="720"/>
      <c r="L21" s="720"/>
      <c r="M21" s="720"/>
      <c r="N21" s="720"/>
      <c r="O21" s="720"/>
      <c r="P21" s="720"/>
      <c r="Q21" s="720"/>
      <c r="R21" s="723"/>
      <c r="S21" s="723"/>
      <c r="T21" s="723"/>
      <c r="U21" s="723"/>
      <c r="V21" s="723"/>
      <c r="W21" s="723"/>
      <c r="X21" s="723"/>
      <c r="Y21" s="723"/>
      <c r="Z21" s="723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18"/>
      <c r="AM21" s="718"/>
      <c r="AN21" s="718"/>
      <c r="AO21" s="718"/>
      <c r="AP21" s="720"/>
      <c r="AQ21" s="720"/>
      <c r="AR21" s="720"/>
      <c r="AS21" s="720"/>
      <c r="AT21" s="720"/>
      <c r="AU21" s="720"/>
      <c r="AV21" s="720"/>
      <c r="AW21" s="720"/>
      <c r="AX21" s="720"/>
      <c r="AY21" s="720"/>
      <c r="AZ21" s="720"/>
      <c r="BA21" s="720"/>
    </row>
    <row r="22" spans="1:53">
      <c r="A22" s="719"/>
      <c r="B22" s="719"/>
      <c r="C22" s="720"/>
      <c r="D22" s="720"/>
      <c r="E22" s="720"/>
      <c r="F22" s="720"/>
      <c r="G22" s="720"/>
      <c r="H22" s="720"/>
      <c r="I22" s="720"/>
      <c r="J22" s="720"/>
      <c r="K22" s="720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18"/>
      <c r="AM22" s="718"/>
      <c r="AN22" s="718"/>
      <c r="AO22" s="718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</row>
    <row r="23" spans="1:53">
      <c r="A23" s="719"/>
      <c r="B23" s="719"/>
      <c r="C23" s="720"/>
      <c r="D23" s="720"/>
      <c r="E23" s="720"/>
      <c r="F23" s="720"/>
      <c r="G23" s="720"/>
      <c r="H23" s="720"/>
      <c r="I23" s="720"/>
      <c r="J23" s="720"/>
      <c r="K23" s="720"/>
      <c r="L23" s="720"/>
      <c r="M23" s="720"/>
      <c r="N23" s="720"/>
      <c r="O23" s="720"/>
      <c r="P23" s="720"/>
      <c r="Q23" s="720"/>
      <c r="R23" s="723"/>
      <c r="S23" s="723"/>
      <c r="T23" s="723"/>
      <c r="U23" s="723"/>
      <c r="V23" s="723"/>
      <c r="W23" s="723"/>
      <c r="X23" s="723"/>
      <c r="Y23" s="723"/>
      <c r="Z23" s="723"/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18"/>
      <c r="AM23" s="718"/>
      <c r="AN23" s="718"/>
      <c r="AO23" s="718"/>
      <c r="AP23" s="720"/>
      <c r="AQ23" s="720"/>
      <c r="AR23" s="720"/>
      <c r="AS23" s="720"/>
      <c r="AT23" s="720"/>
      <c r="AU23" s="720"/>
      <c r="AV23" s="720"/>
      <c r="AW23" s="720"/>
      <c r="AX23" s="720"/>
      <c r="AY23" s="720"/>
      <c r="AZ23" s="720"/>
      <c r="BA23" s="720"/>
    </row>
    <row r="24" spans="1:53">
      <c r="A24" s="719"/>
      <c r="B24" s="719"/>
      <c r="C24" s="720"/>
      <c r="D24" s="720"/>
      <c r="E24" s="720"/>
      <c r="F24" s="720"/>
      <c r="G24" s="720"/>
      <c r="H24" s="720"/>
      <c r="I24" s="720"/>
      <c r="J24" s="720"/>
      <c r="K24" s="720"/>
      <c r="L24" s="720"/>
      <c r="M24" s="720"/>
      <c r="N24" s="720"/>
      <c r="O24" s="720"/>
      <c r="P24" s="720"/>
      <c r="Q24" s="720"/>
      <c r="R24" s="720"/>
      <c r="S24" s="720"/>
      <c r="T24" s="720"/>
      <c r="U24" s="720"/>
      <c r="V24" s="720"/>
      <c r="W24" s="720"/>
      <c r="X24" s="720"/>
      <c r="Y24" s="720"/>
      <c r="Z24" s="720"/>
      <c r="AA24" s="720"/>
      <c r="AB24" s="720"/>
      <c r="AC24" s="720"/>
      <c r="AD24" s="720"/>
      <c r="AE24" s="720"/>
      <c r="AF24" s="720"/>
      <c r="AG24" s="720"/>
      <c r="AH24" s="720"/>
      <c r="AI24" s="720"/>
      <c r="AJ24" s="720"/>
      <c r="AK24" s="720"/>
      <c r="AL24" s="718"/>
      <c r="AM24" s="718"/>
      <c r="AN24" s="718"/>
      <c r="AO24" s="718"/>
      <c r="AP24" s="720"/>
      <c r="AQ24" s="720"/>
      <c r="AR24" s="720"/>
      <c r="AS24" s="720"/>
      <c r="AT24" s="720"/>
      <c r="AU24" s="720"/>
      <c r="AV24" s="720"/>
      <c r="AW24" s="720"/>
      <c r="AX24" s="720"/>
      <c r="AY24" s="720"/>
      <c r="AZ24" s="720"/>
      <c r="BA24" s="720"/>
    </row>
    <row r="25" spans="1:53">
      <c r="A25" s="719"/>
      <c r="B25" s="719"/>
      <c r="C25" s="720"/>
      <c r="D25" s="720"/>
      <c r="E25" s="720"/>
      <c r="F25" s="720"/>
      <c r="G25" s="720"/>
      <c r="H25" s="720"/>
      <c r="I25" s="720"/>
      <c r="J25" s="720"/>
      <c r="K25" s="720"/>
      <c r="L25" s="720"/>
      <c r="M25" s="720"/>
      <c r="N25" s="720"/>
      <c r="O25" s="720"/>
      <c r="P25" s="720"/>
      <c r="Q25" s="720"/>
      <c r="R25" s="720"/>
      <c r="S25" s="720"/>
      <c r="T25" s="720"/>
      <c r="U25" s="720"/>
      <c r="V25" s="720"/>
      <c r="W25" s="720"/>
      <c r="X25" s="720"/>
      <c r="Y25" s="720"/>
      <c r="Z25" s="720"/>
      <c r="AA25" s="720"/>
      <c r="AB25" s="720"/>
      <c r="AC25" s="720"/>
      <c r="AD25" s="720"/>
      <c r="AE25" s="720"/>
      <c r="AF25" s="720"/>
      <c r="AG25" s="720"/>
      <c r="AH25" s="720"/>
      <c r="AI25" s="720"/>
      <c r="AJ25" s="720"/>
      <c r="AK25" s="720"/>
      <c r="AL25" s="718"/>
      <c r="AM25" s="719"/>
      <c r="AN25" s="719"/>
      <c r="AO25" s="719"/>
      <c r="AP25" s="720"/>
      <c r="AQ25" s="720"/>
      <c r="AR25" s="720"/>
      <c r="AS25" s="720"/>
      <c r="AT25" s="720"/>
      <c r="AU25" s="720"/>
      <c r="AV25" s="720"/>
      <c r="AW25" s="720"/>
      <c r="AX25" s="720"/>
      <c r="AY25" s="720"/>
      <c r="AZ25" s="720"/>
      <c r="BA25" s="720"/>
    </row>
    <row r="26" spans="1:53">
      <c r="A26" s="719"/>
      <c r="B26" s="719"/>
      <c r="C26" s="720"/>
      <c r="D26" s="720"/>
      <c r="E26" s="720"/>
      <c r="F26" s="720"/>
      <c r="G26" s="720"/>
      <c r="H26" s="720"/>
      <c r="I26" s="720"/>
      <c r="J26" s="720"/>
      <c r="K26" s="720"/>
      <c r="L26" s="720"/>
      <c r="M26" s="720"/>
      <c r="N26" s="720"/>
      <c r="O26" s="720"/>
      <c r="P26" s="720"/>
      <c r="Q26" s="720"/>
      <c r="R26" s="720"/>
      <c r="S26" s="720"/>
      <c r="T26" s="720"/>
      <c r="U26" s="720"/>
      <c r="V26" s="720"/>
      <c r="W26" s="720"/>
      <c r="X26" s="720"/>
      <c r="Y26" s="720"/>
      <c r="Z26" s="720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18"/>
      <c r="AM26" s="719"/>
      <c r="AN26" s="719"/>
      <c r="AO26" s="719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</row>
    <row r="27" spans="1:53">
      <c r="A27" s="719"/>
      <c r="B27" s="719"/>
      <c r="C27" s="720"/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20"/>
      <c r="V27" s="720"/>
      <c r="W27" s="720"/>
      <c r="X27" s="720"/>
      <c r="Y27" s="720"/>
      <c r="Z27" s="720"/>
      <c r="AA27" s="720"/>
      <c r="AB27" s="720"/>
      <c r="AC27" s="720"/>
      <c r="AD27" s="720"/>
      <c r="AE27" s="720"/>
      <c r="AF27" s="720"/>
      <c r="AG27" s="720"/>
      <c r="AH27" s="720"/>
      <c r="AI27" s="720"/>
      <c r="AJ27" s="720"/>
      <c r="AK27" s="720"/>
      <c r="AL27" s="718"/>
      <c r="AM27" s="719"/>
      <c r="AN27" s="719"/>
      <c r="AO27" s="719"/>
      <c r="AP27" s="720"/>
      <c r="AQ27" s="720"/>
      <c r="AR27" s="720"/>
      <c r="AS27" s="720"/>
      <c r="AT27" s="720"/>
      <c r="AU27" s="720"/>
      <c r="AV27" s="720"/>
      <c r="AW27" s="720"/>
      <c r="AX27" s="720"/>
      <c r="AY27" s="720"/>
      <c r="AZ27" s="720"/>
      <c r="BA27" s="720"/>
    </row>
    <row r="28" spans="1:53">
      <c r="A28" s="719"/>
      <c r="B28" s="719"/>
      <c r="C28" s="720"/>
      <c r="D28" s="720"/>
      <c r="E28" s="720"/>
      <c r="F28" s="720"/>
      <c r="G28" s="720"/>
      <c r="H28" s="720"/>
      <c r="I28" s="720"/>
      <c r="J28" s="720"/>
      <c r="K28" s="720"/>
      <c r="L28" s="720"/>
      <c r="M28" s="720"/>
      <c r="N28" s="720"/>
      <c r="O28" s="720"/>
      <c r="P28" s="720"/>
      <c r="Q28" s="720"/>
      <c r="R28" s="720"/>
      <c r="S28" s="720"/>
      <c r="T28" s="720"/>
      <c r="U28" s="720"/>
      <c r="V28" s="720"/>
      <c r="W28" s="720"/>
      <c r="X28" s="720"/>
      <c r="Y28" s="720"/>
      <c r="Z28" s="720"/>
      <c r="AA28" s="720"/>
      <c r="AB28" s="720"/>
      <c r="AC28" s="720"/>
      <c r="AD28" s="720"/>
      <c r="AE28" s="720"/>
      <c r="AF28" s="720"/>
      <c r="AG28" s="720"/>
      <c r="AH28" s="720"/>
      <c r="AI28" s="720"/>
      <c r="AJ28" s="720"/>
      <c r="AK28" s="720"/>
      <c r="AL28" s="718"/>
      <c r="AM28" s="719"/>
      <c r="AN28" s="719"/>
      <c r="AO28" s="719"/>
      <c r="AP28" s="720"/>
      <c r="AQ28" s="720"/>
      <c r="AR28" s="720"/>
      <c r="AS28" s="720"/>
      <c r="AT28" s="720"/>
      <c r="AU28" s="720"/>
      <c r="AV28" s="720"/>
      <c r="AW28" s="720"/>
      <c r="AX28" s="720"/>
      <c r="AY28" s="720"/>
      <c r="AZ28" s="720"/>
      <c r="BA28" s="720"/>
    </row>
    <row r="29" spans="1:53">
      <c r="A29" s="719"/>
      <c r="B29" s="719"/>
      <c r="C29" s="720"/>
      <c r="D29" s="720"/>
      <c r="E29" s="720"/>
      <c r="F29" s="720"/>
      <c r="G29" s="720"/>
      <c r="H29" s="720"/>
      <c r="I29" s="720"/>
      <c r="J29" s="720"/>
      <c r="K29" s="720"/>
      <c r="L29" s="720"/>
      <c r="M29" s="720"/>
      <c r="N29" s="720"/>
      <c r="O29" s="720"/>
      <c r="P29" s="720"/>
      <c r="Q29" s="720"/>
      <c r="R29" s="720"/>
      <c r="S29" s="720"/>
      <c r="T29" s="720"/>
      <c r="U29" s="720"/>
      <c r="V29" s="720"/>
      <c r="W29" s="720"/>
      <c r="X29" s="720"/>
      <c r="Y29" s="720"/>
      <c r="Z29" s="720"/>
      <c r="AA29" s="720"/>
      <c r="AB29" s="720"/>
      <c r="AC29" s="720"/>
      <c r="AD29" s="720"/>
      <c r="AE29" s="720"/>
      <c r="AF29" s="720"/>
      <c r="AG29" s="720"/>
      <c r="AH29" s="720"/>
      <c r="AI29" s="720"/>
      <c r="AJ29" s="720"/>
      <c r="AK29" s="720"/>
      <c r="AL29" s="718"/>
      <c r="AM29" s="719"/>
      <c r="AN29" s="719"/>
      <c r="AO29" s="719"/>
      <c r="AP29" s="720"/>
      <c r="AQ29" s="720"/>
      <c r="AR29" s="720"/>
      <c r="AS29" s="720"/>
      <c r="AT29" s="720"/>
      <c r="AU29" s="720"/>
      <c r="AV29" s="720"/>
      <c r="AW29" s="720"/>
      <c r="AX29" s="720"/>
      <c r="AY29" s="720"/>
      <c r="AZ29" s="720"/>
      <c r="BA29" s="720"/>
    </row>
    <row r="30" spans="1:53">
      <c r="A30" s="719"/>
      <c r="B30" s="719"/>
      <c r="C30" s="720"/>
      <c r="D30" s="720"/>
      <c r="E30" s="720"/>
      <c r="F30" s="720"/>
      <c r="G30" s="720"/>
      <c r="H30" s="720"/>
      <c r="I30" s="720"/>
      <c r="J30" s="720"/>
      <c r="K30" s="720"/>
      <c r="L30" s="720"/>
      <c r="M30" s="720"/>
      <c r="N30" s="720"/>
      <c r="O30" s="720"/>
      <c r="P30" s="720"/>
      <c r="Q30" s="720"/>
      <c r="R30" s="720"/>
      <c r="S30" s="720"/>
      <c r="T30" s="720"/>
      <c r="U30" s="720"/>
      <c r="V30" s="720"/>
      <c r="W30" s="720"/>
      <c r="X30" s="720"/>
      <c r="Y30" s="720"/>
      <c r="Z30" s="720"/>
      <c r="AA30" s="720"/>
      <c r="AB30" s="720"/>
      <c r="AC30" s="720"/>
      <c r="AD30" s="720"/>
      <c r="AE30" s="720"/>
      <c r="AF30" s="720"/>
      <c r="AG30" s="720"/>
      <c r="AH30" s="720"/>
      <c r="AI30" s="720"/>
      <c r="AJ30" s="720"/>
      <c r="AK30" s="720"/>
      <c r="AL30" s="719"/>
      <c r="AM30" s="719"/>
      <c r="AN30" s="719"/>
      <c r="AO30" s="719"/>
      <c r="AP30" s="720"/>
      <c r="AQ30" s="720"/>
      <c r="AR30" s="720"/>
      <c r="AS30" s="720"/>
      <c r="AT30" s="720"/>
      <c r="AU30" s="720"/>
      <c r="AV30" s="720"/>
      <c r="AW30" s="720"/>
      <c r="AX30" s="720"/>
      <c r="AY30" s="720"/>
      <c r="AZ30" s="720"/>
      <c r="BA30" s="720"/>
    </row>
    <row r="31" spans="1:53">
      <c r="A31" s="719"/>
      <c r="B31" s="719"/>
      <c r="C31" s="720"/>
      <c r="D31" s="720"/>
      <c r="E31" s="720"/>
      <c r="F31" s="720"/>
      <c r="G31" s="720"/>
      <c r="H31" s="720"/>
      <c r="I31" s="720"/>
      <c r="J31" s="720"/>
      <c r="K31" s="720"/>
      <c r="L31" s="720"/>
      <c r="M31" s="720"/>
      <c r="N31" s="720"/>
      <c r="O31" s="720"/>
      <c r="P31" s="720"/>
      <c r="Q31" s="720"/>
      <c r="R31" s="720"/>
      <c r="S31" s="720"/>
      <c r="T31" s="720"/>
      <c r="U31" s="720"/>
      <c r="V31" s="720"/>
      <c r="W31" s="720"/>
      <c r="X31" s="720"/>
      <c r="Y31" s="720"/>
      <c r="Z31" s="720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19"/>
      <c r="AM31" s="719"/>
      <c r="AN31" s="719"/>
      <c r="AO31" s="719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</row>
    <row r="32" spans="1:53">
      <c r="A32" s="719"/>
      <c r="B32" s="719"/>
      <c r="C32" s="720"/>
      <c r="D32" s="720"/>
      <c r="E32" s="720"/>
      <c r="F32" s="720"/>
      <c r="G32" s="720"/>
      <c r="H32" s="720"/>
      <c r="I32" s="720"/>
      <c r="J32" s="720"/>
      <c r="K32" s="720"/>
      <c r="L32" s="720"/>
      <c r="M32" s="720"/>
      <c r="N32" s="720"/>
      <c r="O32" s="720"/>
      <c r="P32" s="720"/>
      <c r="Q32" s="720"/>
      <c r="R32" s="720"/>
      <c r="S32" s="720"/>
      <c r="T32" s="720"/>
      <c r="U32" s="720"/>
      <c r="V32" s="720"/>
      <c r="W32" s="720"/>
      <c r="X32" s="720"/>
      <c r="Y32" s="720"/>
      <c r="Z32" s="720"/>
      <c r="AA32" s="720"/>
      <c r="AB32" s="720"/>
      <c r="AC32" s="720"/>
      <c r="AD32" s="720"/>
      <c r="AE32" s="720"/>
      <c r="AF32" s="720"/>
      <c r="AG32" s="720"/>
      <c r="AH32" s="720"/>
      <c r="AI32" s="720"/>
      <c r="AJ32" s="720"/>
      <c r="AK32" s="720"/>
      <c r="AL32" s="719"/>
      <c r="AM32" s="719"/>
      <c r="AN32" s="719"/>
      <c r="AO32" s="719"/>
      <c r="AP32" s="720"/>
      <c r="AQ32" s="720"/>
      <c r="AR32" s="720"/>
      <c r="AS32" s="720"/>
      <c r="AT32" s="720"/>
      <c r="AU32" s="720"/>
      <c r="AV32" s="720"/>
      <c r="AW32" s="720"/>
      <c r="AX32" s="720"/>
      <c r="AY32" s="720"/>
      <c r="AZ32" s="720"/>
      <c r="BA32" s="720"/>
    </row>
    <row r="33" spans="1:53">
      <c r="A33" s="719"/>
      <c r="B33" s="719"/>
      <c r="C33" s="720"/>
      <c r="D33" s="720"/>
      <c r="E33" s="720"/>
      <c r="F33" s="720"/>
      <c r="G33" s="720"/>
      <c r="H33" s="720"/>
      <c r="I33" s="720"/>
      <c r="J33" s="720"/>
      <c r="K33" s="720"/>
      <c r="L33" s="720"/>
      <c r="M33" s="720"/>
      <c r="N33" s="720"/>
      <c r="O33" s="720"/>
      <c r="P33" s="720"/>
      <c r="Q33" s="720"/>
      <c r="R33" s="720"/>
      <c r="S33" s="720"/>
      <c r="T33" s="720"/>
      <c r="U33" s="720"/>
      <c r="V33" s="720"/>
      <c r="W33" s="720"/>
      <c r="X33" s="720"/>
      <c r="Y33" s="720"/>
      <c r="Z33" s="720"/>
      <c r="AA33" s="720"/>
      <c r="AB33" s="720"/>
      <c r="AC33" s="720"/>
      <c r="AD33" s="720"/>
      <c r="AE33" s="720"/>
      <c r="AF33" s="720"/>
      <c r="AG33" s="720"/>
      <c r="AH33" s="720"/>
      <c r="AI33" s="720"/>
      <c r="AJ33" s="720"/>
      <c r="AK33" s="720"/>
      <c r="AL33" s="719"/>
      <c r="AM33" s="719"/>
      <c r="AN33" s="719"/>
      <c r="AO33" s="719"/>
      <c r="AP33" s="720"/>
      <c r="AQ33" s="720"/>
      <c r="AR33" s="720"/>
      <c r="AS33" s="720"/>
      <c r="AT33" s="720"/>
      <c r="AU33" s="720"/>
      <c r="AV33" s="720"/>
      <c r="AW33" s="720"/>
      <c r="AX33" s="720"/>
      <c r="AY33" s="720"/>
      <c r="AZ33" s="720"/>
      <c r="BA33" s="720"/>
    </row>
    <row r="34" spans="1:53">
      <c r="A34" s="719"/>
      <c r="B34" s="719"/>
      <c r="C34" s="720"/>
      <c r="D34" s="720"/>
      <c r="E34" s="720"/>
      <c r="F34" s="720"/>
      <c r="G34" s="720"/>
      <c r="H34" s="720"/>
      <c r="I34" s="720"/>
      <c r="J34" s="720"/>
      <c r="K34" s="720"/>
      <c r="L34" s="720"/>
      <c r="M34" s="720"/>
      <c r="N34" s="720"/>
      <c r="O34" s="720"/>
      <c r="P34" s="720"/>
      <c r="Q34" s="720"/>
      <c r="R34" s="720"/>
      <c r="S34" s="720"/>
      <c r="T34" s="720"/>
      <c r="U34" s="720"/>
      <c r="V34" s="720"/>
      <c r="W34" s="720"/>
      <c r="X34" s="720"/>
      <c r="Y34" s="720"/>
      <c r="Z34" s="720"/>
      <c r="AA34" s="720"/>
      <c r="AB34" s="720"/>
      <c r="AC34" s="720"/>
      <c r="AD34" s="720"/>
      <c r="AE34" s="720"/>
      <c r="AF34" s="720"/>
      <c r="AG34" s="720"/>
      <c r="AH34" s="720"/>
      <c r="AI34" s="720"/>
      <c r="AJ34" s="720"/>
      <c r="AK34" s="720"/>
      <c r="AL34" s="719"/>
      <c r="AM34" s="719"/>
      <c r="AN34" s="719"/>
      <c r="AO34" s="719"/>
      <c r="AP34" s="720"/>
      <c r="AQ34" s="720"/>
      <c r="AR34" s="720"/>
      <c r="AS34" s="720"/>
      <c r="AT34" s="720"/>
      <c r="AU34" s="720"/>
      <c r="AV34" s="720"/>
      <c r="AW34" s="720"/>
      <c r="AX34" s="720"/>
      <c r="AY34" s="720"/>
      <c r="AZ34" s="720"/>
      <c r="BA34" s="720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0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5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72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72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化学物質データ申請確認画面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72" ht="5.9" customHeight="1"/>
    <row r="5" spans="1:72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40"/>
      <c r="B7" s="589"/>
      <c r="C7" s="594" t="s">
        <v>574</v>
      </c>
      <c r="D7" s="590"/>
      <c r="E7" s="591"/>
      <c r="F7" s="591"/>
      <c r="G7" s="591"/>
      <c r="H7" s="585"/>
      <c r="I7" s="585"/>
      <c r="J7" s="801"/>
      <c r="K7" s="801"/>
      <c r="L7" s="801"/>
      <c r="M7" s="801"/>
      <c r="N7" s="588"/>
      <c r="O7" s="587"/>
      <c r="P7" s="588"/>
      <c r="Q7" s="585"/>
      <c r="R7" s="585"/>
      <c r="S7" s="585"/>
      <c r="T7" s="586"/>
      <c r="U7" s="586"/>
      <c r="V7" s="586"/>
      <c r="W7" s="586"/>
      <c r="X7" s="586"/>
      <c r="Y7" s="587"/>
      <c r="Z7" s="586"/>
      <c r="AA7" s="585"/>
      <c r="AB7" s="587"/>
      <c r="AC7" s="586"/>
      <c r="AD7" s="585"/>
      <c r="AE7" s="587"/>
      <c r="AF7" s="585"/>
      <c r="AG7" s="585"/>
      <c r="AH7" s="587"/>
      <c r="AI7" s="585"/>
      <c r="AJ7" s="585"/>
      <c r="AK7" s="592"/>
      <c r="AL7" s="585"/>
      <c r="AM7" s="585"/>
      <c r="AN7" s="585"/>
      <c r="AO7" s="585"/>
      <c r="AP7" s="585"/>
      <c r="AQ7" s="585"/>
      <c r="AR7" s="585"/>
      <c r="AS7" s="585"/>
      <c r="AT7" s="591"/>
      <c r="AU7" s="591"/>
      <c r="AV7" s="591"/>
      <c r="AW7" s="591"/>
      <c r="AX7" s="591"/>
      <c r="AY7" s="591"/>
      <c r="AZ7" s="593"/>
      <c r="BA7" s="569"/>
      <c r="BB7" s="551"/>
      <c r="BC7" s="552"/>
      <c r="BD7" s="538"/>
      <c r="BE7" s="576"/>
      <c r="BF7" s="596" t="s">
        <v>300</v>
      </c>
      <c r="BG7" s="596"/>
      <c r="BH7" s="596"/>
      <c r="BI7" s="596"/>
      <c r="BJ7" s="596"/>
      <c r="BK7" s="596"/>
      <c r="BL7" s="596"/>
      <c r="BM7" s="597"/>
      <c r="BN7" s="597"/>
      <c r="BO7" s="597"/>
      <c r="BP7" s="597"/>
      <c r="BQ7" s="597"/>
      <c r="BR7" s="597"/>
      <c r="BS7" s="596"/>
      <c r="BT7" s="596"/>
    </row>
    <row r="8" spans="1:72" ht="12.5" customHeight="1">
      <c r="A8" s="540"/>
      <c r="B8" s="566"/>
      <c r="C8" s="575"/>
      <c r="D8" s="576"/>
      <c r="E8" s="568"/>
      <c r="F8" s="568"/>
      <c r="G8" s="568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579"/>
      <c r="V8" s="579"/>
      <c r="W8" s="579"/>
      <c r="X8" s="579"/>
      <c r="Y8" s="579"/>
      <c r="Z8" s="579"/>
      <c r="AA8" s="579"/>
      <c r="AB8" s="579"/>
      <c r="AC8" s="579"/>
      <c r="AD8" s="579"/>
      <c r="AE8" s="579"/>
      <c r="AF8" s="579"/>
      <c r="AG8" s="579"/>
      <c r="AH8" s="579"/>
      <c r="AI8" s="579"/>
      <c r="AJ8" s="579"/>
      <c r="AK8" s="579"/>
      <c r="AL8" s="579"/>
      <c r="AM8" s="579"/>
      <c r="AN8" s="579"/>
      <c r="AO8" s="579"/>
      <c r="AP8" s="579"/>
      <c r="AQ8" s="579"/>
      <c r="AR8" s="579"/>
      <c r="AS8" s="581"/>
      <c r="AT8" s="577"/>
      <c r="AU8" s="577"/>
      <c r="AV8" s="577"/>
      <c r="AW8" s="577"/>
      <c r="AX8" s="577"/>
      <c r="AY8" s="577"/>
      <c r="AZ8" s="569"/>
      <c r="BA8" s="569"/>
      <c r="BB8" s="551"/>
      <c r="BC8" s="552"/>
      <c r="BD8" s="538"/>
      <c r="BE8" s="596"/>
      <c r="BF8" s="576" t="s">
        <v>603</v>
      </c>
      <c r="BG8" s="576"/>
      <c r="BH8" s="597"/>
      <c r="BI8" s="597"/>
      <c r="BJ8" s="597"/>
      <c r="BK8" s="597"/>
      <c r="BL8" s="597"/>
      <c r="BM8" s="596"/>
      <c r="BN8" s="596"/>
      <c r="BO8" s="596"/>
      <c r="BP8" s="596"/>
      <c r="BQ8" s="596"/>
      <c r="BR8" s="596"/>
      <c r="BS8" s="596"/>
      <c r="BT8" s="596"/>
    </row>
    <row r="9" spans="1:72" ht="24" customHeight="1">
      <c r="A9" s="540"/>
      <c r="B9" s="676"/>
      <c r="C9" s="559"/>
      <c r="D9" s="559"/>
      <c r="E9" s="559"/>
      <c r="F9" s="559"/>
      <c r="G9" s="559"/>
      <c r="H9" s="559"/>
      <c r="I9" s="559"/>
      <c r="J9" s="559"/>
      <c r="K9" s="559"/>
      <c r="L9" s="559"/>
      <c r="M9" s="559"/>
      <c r="N9" s="559"/>
      <c r="O9" s="559"/>
      <c r="P9" s="559"/>
      <c r="Q9" s="559"/>
      <c r="R9" s="559"/>
      <c r="S9" s="559"/>
      <c r="T9" s="560"/>
      <c r="U9" s="560"/>
      <c r="V9" s="560"/>
      <c r="W9" s="710" t="s">
        <v>652</v>
      </c>
      <c r="X9" s="558"/>
      <c r="Y9" s="558"/>
      <c r="Z9" s="560"/>
      <c r="AA9" s="560"/>
      <c r="AB9" s="562"/>
      <c r="AC9" s="560"/>
      <c r="AD9" s="563"/>
      <c r="AE9" s="563"/>
      <c r="AF9" s="563"/>
      <c r="AG9" s="563"/>
      <c r="AH9" s="563"/>
      <c r="AI9" s="559"/>
      <c r="AJ9" s="560"/>
      <c r="AK9" s="560"/>
      <c r="AL9" s="560"/>
      <c r="AM9" s="560"/>
      <c r="AN9" s="564"/>
      <c r="AO9" s="561"/>
      <c r="AP9" s="561"/>
      <c r="AQ9" s="560"/>
      <c r="AR9" s="560"/>
      <c r="AS9" s="560"/>
      <c r="AT9" s="671"/>
      <c r="AU9" s="672"/>
      <c r="AV9" s="673"/>
      <c r="AW9" s="673"/>
      <c r="AX9" s="673"/>
      <c r="AY9" s="674"/>
      <c r="AZ9" s="675"/>
      <c r="BA9" s="543"/>
      <c r="BB9" s="536"/>
      <c r="BC9" s="537"/>
      <c r="BD9" s="538"/>
      <c r="BE9" s="576"/>
      <c r="BF9" s="597"/>
      <c r="BG9" s="576" t="s">
        <v>604</v>
      </c>
      <c r="BH9" s="576"/>
      <c r="BI9" s="576"/>
      <c r="BJ9" s="597"/>
      <c r="BK9" s="597"/>
      <c r="BL9" s="597"/>
      <c r="BM9" s="596"/>
      <c r="BN9" s="596"/>
      <c r="BO9" s="596"/>
      <c r="BP9" s="596"/>
      <c r="BQ9" s="596"/>
      <c r="BR9" s="596"/>
      <c r="BS9" s="596"/>
      <c r="BT9" s="596"/>
    </row>
    <row r="10" spans="1:72" ht="12" customHeight="1">
      <c r="A10" s="540"/>
      <c r="B10" s="548"/>
      <c r="C10" s="792" t="s">
        <v>651</v>
      </c>
      <c r="D10" s="793"/>
      <c r="E10" s="793"/>
      <c r="F10" s="793"/>
      <c r="G10" s="793"/>
      <c r="H10" s="793"/>
      <c r="I10" s="793"/>
      <c r="J10" s="544"/>
      <c r="K10" s="545"/>
      <c r="L10" s="544"/>
      <c r="M10" s="550"/>
      <c r="N10" s="550"/>
      <c r="O10" s="547"/>
      <c r="P10" s="550"/>
      <c r="Q10" s="547"/>
      <c r="R10" s="550"/>
      <c r="S10" s="539"/>
      <c r="T10" s="538"/>
      <c r="U10" s="538"/>
      <c r="V10" s="538"/>
      <c r="W10" s="538"/>
      <c r="X10" s="538"/>
      <c r="Y10" s="549"/>
      <c r="Z10" s="545"/>
      <c r="AA10" s="544"/>
      <c r="AB10" s="545"/>
      <c r="AC10" s="544"/>
      <c r="AD10" s="550"/>
      <c r="AE10" s="550"/>
      <c r="AF10" s="547"/>
      <c r="AG10" s="550"/>
      <c r="AH10" s="550"/>
      <c r="AI10" s="546"/>
      <c r="AJ10" s="550"/>
      <c r="AK10" s="547"/>
      <c r="AL10" s="538"/>
      <c r="AM10" s="538"/>
      <c r="AN10" s="538"/>
      <c r="AO10" s="538"/>
      <c r="AP10" s="538"/>
      <c r="AQ10" s="538"/>
      <c r="AR10" s="538"/>
      <c r="AS10" s="544"/>
      <c r="AT10" s="546"/>
      <c r="AU10" s="544"/>
      <c r="AV10" s="547"/>
      <c r="AW10" s="547"/>
      <c r="AX10" s="547"/>
      <c r="AY10" s="542"/>
      <c r="AZ10" s="543"/>
      <c r="BA10" s="543"/>
      <c r="BB10" s="536"/>
      <c r="BC10" s="537"/>
      <c r="BD10" s="538"/>
      <c r="BE10" s="596"/>
      <c r="BF10" s="576"/>
      <c r="BG10" s="576"/>
      <c r="BH10" s="576" t="s">
        <v>653</v>
      </c>
      <c r="BI10" s="598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596"/>
    </row>
    <row r="11" spans="1:72" ht="12.5" customHeight="1">
      <c r="A11" s="540"/>
      <c r="B11" s="541"/>
      <c r="C11" s="794"/>
      <c r="D11" s="794"/>
      <c r="E11" s="794"/>
      <c r="F11" s="794"/>
      <c r="G11" s="794"/>
      <c r="H11" s="794"/>
      <c r="I11" s="794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576"/>
      <c r="BG11" s="576"/>
      <c r="BH11" s="576" t="s">
        <v>654</v>
      </c>
      <c r="BI11" s="598"/>
      <c r="BJ11" s="576"/>
      <c r="BK11" s="597"/>
      <c r="BL11" s="597"/>
      <c r="BM11" s="596"/>
      <c r="BN11" s="596"/>
      <c r="BO11" s="596"/>
      <c r="BP11" s="596"/>
      <c r="BQ11" s="596"/>
      <c r="BR11" s="596"/>
      <c r="BS11" s="596"/>
      <c r="BT11" s="596"/>
    </row>
    <row r="12" spans="1:72" ht="12.5" customHeight="1">
      <c r="A12" s="540"/>
      <c r="B12" s="566"/>
      <c r="C12" s="572"/>
      <c r="D12" s="568"/>
      <c r="E12" s="568"/>
      <c r="F12" s="565"/>
      <c r="G12" s="565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579"/>
      <c r="V12" s="579"/>
      <c r="W12" s="579"/>
      <c r="X12" s="579"/>
      <c r="Y12" s="579"/>
      <c r="Z12" s="579"/>
      <c r="AA12" s="579"/>
      <c r="AB12" s="579"/>
      <c r="AC12" s="579"/>
      <c r="AD12" s="579"/>
      <c r="AE12" s="579"/>
      <c r="AF12" s="579"/>
      <c r="AG12" s="579"/>
      <c r="AH12" s="579"/>
      <c r="AI12" s="579"/>
      <c r="AJ12" s="579"/>
      <c r="AK12" s="579"/>
      <c r="AL12" s="579"/>
      <c r="AM12" s="579"/>
      <c r="AN12" s="579"/>
      <c r="AO12" s="579"/>
      <c r="AP12" s="579"/>
      <c r="AQ12" s="579"/>
      <c r="AR12" s="579"/>
      <c r="AS12" s="580"/>
      <c r="AT12" s="571"/>
      <c r="AU12" s="565"/>
      <c r="AV12" s="568"/>
      <c r="AW12" s="568"/>
      <c r="AX12" s="568"/>
      <c r="AY12" s="565"/>
      <c r="AZ12" s="569"/>
      <c r="BA12" s="569"/>
      <c r="BB12" s="536"/>
      <c r="BC12" s="537"/>
      <c r="BD12" s="538"/>
      <c r="BE12" s="596"/>
      <c r="BF12" s="596"/>
      <c r="BG12" s="596"/>
      <c r="BH12" s="599"/>
      <c r="BI12" s="596"/>
      <c r="BJ12" s="596"/>
      <c r="BK12" s="596"/>
      <c r="BL12" s="596"/>
      <c r="BM12" s="596"/>
      <c r="BN12" s="596"/>
      <c r="BO12" s="596"/>
      <c r="BP12" s="596"/>
      <c r="BQ12" s="596"/>
      <c r="BR12" s="596"/>
      <c r="BS12" s="596"/>
      <c r="BT12" s="596"/>
    </row>
    <row r="13" spans="1:72" ht="12.5" customHeight="1">
      <c r="A13" s="540"/>
      <c r="B13" s="566"/>
      <c r="C13" s="795" t="s">
        <v>677</v>
      </c>
      <c r="D13" s="796"/>
      <c r="E13" s="796"/>
      <c r="F13" s="796"/>
      <c r="G13" s="796"/>
      <c r="H13" s="796"/>
      <c r="I13" s="796"/>
      <c r="J13" s="796"/>
      <c r="K13" s="796"/>
      <c r="L13" s="796"/>
      <c r="M13" s="796"/>
      <c r="N13" s="796"/>
      <c r="O13" s="796"/>
      <c r="P13" s="796"/>
      <c r="Q13" s="796"/>
      <c r="R13" s="796"/>
      <c r="S13" s="796"/>
      <c r="T13" s="796"/>
      <c r="U13" s="796"/>
      <c r="V13" s="796"/>
      <c r="W13" s="796"/>
      <c r="X13" s="796"/>
      <c r="Y13" s="796"/>
      <c r="Z13" s="796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569"/>
      <c r="BA13" s="569"/>
      <c r="BB13" s="536"/>
      <c r="BC13" s="537"/>
      <c r="BD13" s="538"/>
      <c r="BE13" s="599"/>
      <c r="BF13" s="576" t="s">
        <v>655</v>
      </c>
      <c r="BG13" s="596"/>
      <c r="BH13" s="596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596"/>
    </row>
    <row r="14" spans="1:72" ht="12.5" customHeight="1">
      <c r="A14" s="540"/>
      <c r="B14" s="566"/>
      <c r="C14" s="796"/>
      <c r="D14" s="796"/>
      <c r="E14" s="796"/>
      <c r="F14" s="796"/>
      <c r="G14" s="796"/>
      <c r="H14" s="796"/>
      <c r="I14" s="796"/>
      <c r="J14" s="796"/>
      <c r="K14" s="796"/>
      <c r="L14" s="796"/>
      <c r="M14" s="796"/>
      <c r="N14" s="796"/>
      <c r="O14" s="796"/>
      <c r="P14" s="796"/>
      <c r="Q14" s="796"/>
      <c r="R14" s="796"/>
      <c r="S14" s="796"/>
      <c r="T14" s="796"/>
      <c r="U14" s="796"/>
      <c r="V14" s="796"/>
      <c r="W14" s="796"/>
      <c r="X14" s="796"/>
      <c r="Y14" s="796"/>
      <c r="Z14" s="796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569"/>
      <c r="BA14" s="569"/>
      <c r="BB14" s="536"/>
      <c r="BC14" s="537"/>
      <c r="BD14" s="538"/>
      <c r="BE14" s="596"/>
      <c r="BF14" s="596"/>
      <c r="BG14" s="576" t="s">
        <v>656</v>
      </c>
      <c r="BH14" s="57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596"/>
    </row>
    <row r="15" spans="1:72" ht="12.5" customHeight="1">
      <c r="A15" s="540"/>
      <c r="B15" s="566"/>
      <c r="C15" s="796"/>
      <c r="D15" s="796"/>
      <c r="E15" s="796"/>
      <c r="F15" s="796"/>
      <c r="G15" s="796"/>
      <c r="H15" s="796"/>
      <c r="I15" s="796"/>
      <c r="J15" s="796"/>
      <c r="K15" s="796"/>
      <c r="L15" s="796"/>
      <c r="M15" s="796"/>
      <c r="N15" s="796"/>
      <c r="O15" s="796"/>
      <c r="P15" s="796"/>
      <c r="Q15" s="796"/>
      <c r="R15" s="796"/>
      <c r="S15" s="796"/>
      <c r="T15" s="796"/>
      <c r="U15" s="796"/>
      <c r="V15" s="796"/>
      <c r="W15" s="796"/>
      <c r="X15" s="796"/>
      <c r="Y15" s="796"/>
      <c r="Z15" s="796"/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569"/>
      <c r="BA15" s="569"/>
      <c r="BB15" s="536"/>
      <c r="BC15" s="537"/>
      <c r="BD15" s="538"/>
      <c r="BE15" s="596"/>
      <c r="BF15" s="596"/>
      <c r="BG15" s="576"/>
      <c r="BH15" s="576" t="s">
        <v>657</v>
      </c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596"/>
    </row>
    <row r="16" spans="1:72" ht="12.5" customHeight="1">
      <c r="A16" s="540"/>
      <c r="B16" s="566"/>
      <c r="C16" s="572"/>
      <c r="D16" s="568"/>
      <c r="E16" s="568"/>
      <c r="F16" s="565"/>
      <c r="G16" s="565"/>
      <c r="H16" s="579"/>
      <c r="I16" s="579"/>
      <c r="J16" s="579"/>
      <c r="K16" s="579"/>
      <c r="L16" s="579"/>
      <c r="M16" s="579"/>
      <c r="N16" s="579"/>
      <c r="O16" s="579"/>
      <c r="P16" s="579"/>
      <c r="Q16" s="579"/>
      <c r="R16" s="579"/>
      <c r="S16" s="579"/>
      <c r="T16" s="579"/>
      <c r="U16" s="579"/>
      <c r="V16" s="579"/>
      <c r="W16" s="579"/>
      <c r="X16" s="579"/>
      <c r="Y16" s="579"/>
      <c r="Z16" s="579"/>
      <c r="AA16" s="579"/>
      <c r="AB16" s="579"/>
      <c r="AC16" s="579"/>
      <c r="AD16" s="579"/>
      <c r="AE16" s="579"/>
      <c r="AF16" s="579"/>
      <c r="AG16" s="579"/>
      <c r="AH16" s="579"/>
      <c r="AI16" s="579"/>
      <c r="AJ16" s="579"/>
      <c r="AK16" s="579"/>
      <c r="AL16" s="579"/>
      <c r="AM16" s="579"/>
      <c r="AN16" s="579"/>
      <c r="AO16" s="579"/>
      <c r="AP16" s="579"/>
      <c r="AQ16" s="579"/>
      <c r="AR16" s="579"/>
      <c r="AS16" s="580"/>
      <c r="AT16" s="571"/>
      <c r="AU16" s="565"/>
      <c r="AV16" s="568"/>
      <c r="AW16" s="568"/>
      <c r="AX16" s="568"/>
      <c r="AY16" s="565"/>
      <c r="AZ16" s="569"/>
      <c r="BA16" s="569"/>
      <c r="BB16" s="536"/>
      <c r="BC16" s="537"/>
      <c r="BD16" s="538"/>
      <c r="BE16" s="596"/>
      <c r="BF16" s="599"/>
      <c r="BG16" s="576"/>
      <c r="BH16" s="576" t="s">
        <v>658</v>
      </c>
      <c r="BI16" s="596"/>
      <c r="BJ16" s="596"/>
      <c r="BK16" s="596"/>
      <c r="BL16" s="596"/>
      <c r="BM16" s="596"/>
      <c r="BN16" s="596"/>
      <c r="BO16" s="596"/>
      <c r="BP16" s="596"/>
      <c r="BQ16" s="596"/>
      <c r="BR16" s="596"/>
      <c r="BS16" s="596"/>
      <c r="BT16" s="596"/>
    </row>
    <row r="17" spans="1:72" ht="12.5" customHeight="1">
      <c r="A17" s="540"/>
      <c r="B17" s="566"/>
      <c r="C17" s="565"/>
      <c r="D17" s="568"/>
      <c r="E17" s="768" t="s">
        <v>663</v>
      </c>
      <c r="F17" s="769"/>
      <c r="G17" s="769"/>
      <c r="H17" s="769"/>
      <c r="I17" s="769"/>
      <c r="J17" s="769"/>
      <c r="K17" s="769"/>
      <c r="L17" s="769"/>
      <c r="M17" s="769"/>
      <c r="N17" s="769"/>
      <c r="O17" s="770"/>
      <c r="P17" s="768" t="s">
        <v>664</v>
      </c>
      <c r="Q17" s="769"/>
      <c r="R17" s="769"/>
      <c r="S17" s="769"/>
      <c r="T17" s="769"/>
      <c r="U17" s="769"/>
      <c r="V17" s="769"/>
      <c r="W17" s="769"/>
      <c r="X17" s="769"/>
      <c r="Y17" s="769"/>
      <c r="Z17" s="769"/>
      <c r="AA17" s="770"/>
      <c r="AB17" s="768" t="s">
        <v>665</v>
      </c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70"/>
      <c r="AX17" s="568"/>
      <c r="AY17" s="565"/>
      <c r="AZ17" s="569"/>
      <c r="BA17" s="569"/>
      <c r="BB17" s="536"/>
      <c r="BC17" s="537"/>
      <c r="BD17" s="538"/>
      <c r="BE17" s="596"/>
      <c r="BF17" s="596"/>
      <c r="BG17" s="596"/>
      <c r="BH17" s="596" t="s">
        <v>659</v>
      </c>
      <c r="BI17" s="596"/>
      <c r="BJ17" s="596"/>
      <c r="BK17" s="596"/>
      <c r="BL17" s="596"/>
      <c r="BM17" s="596"/>
      <c r="BN17" s="596"/>
      <c r="BO17" s="596"/>
      <c r="BP17" s="596"/>
      <c r="BQ17" s="596"/>
      <c r="BR17" s="596"/>
      <c r="BS17" s="596"/>
      <c r="BT17" s="596"/>
    </row>
    <row r="18" spans="1:72" ht="21" customHeight="1">
      <c r="A18" s="540"/>
      <c r="B18" s="566"/>
      <c r="C18" s="565"/>
      <c r="D18" s="565"/>
      <c r="E18" s="764" t="s">
        <v>666</v>
      </c>
      <c r="F18" s="765"/>
      <c r="G18" s="765"/>
      <c r="H18" s="765"/>
      <c r="I18" s="765"/>
      <c r="J18" s="765"/>
      <c r="K18" s="765"/>
      <c r="L18" s="765"/>
      <c r="M18" s="765"/>
      <c r="N18" s="765"/>
      <c r="O18" s="766"/>
      <c r="P18" s="764" t="s">
        <v>667</v>
      </c>
      <c r="Q18" s="765"/>
      <c r="R18" s="765"/>
      <c r="S18" s="765"/>
      <c r="T18" s="765"/>
      <c r="U18" s="765"/>
      <c r="V18" s="765"/>
      <c r="W18" s="765"/>
      <c r="X18" s="765"/>
      <c r="Y18" s="765"/>
      <c r="Z18" s="765"/>
      <c r="AA18" s="766"/>
      <c r="AB18" s="764" t="s">
        <v>668</v>
      </c>
      <c r="AC18" s="765"/>
      <c r="AD18" s="765"/>
      <c r="AE18" s="765"/>
      <c r="AF18" s="765"/>
      <c r="AG18" s="765"/>
      <c r="AH18" s="765"/>
      <c r="AI18" s="765"/>
      <c r="AJ18" s="765"/>
      <c r="AK18" s="765"/>
      <c r="AL18" s="765"/>
      <c r="AM18" s="765"/>
      <c r="AN18" s="765"/>
      <c r="AO18" s="765"/>
      <c r="AP18" s="765"/>
      <c r="AQ18" s="765"/>
      <c r="AR18" s="765"/>
      <c r="AS18" s="765"/>
      <c r="AT18" s="765"/>
      <c r="AU18" s="765"/>
      <c r="AV18" s="765"/>
      <c r="AW18" s="766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33.5" customHeight="1">
      <c r="A19" s="540"/>
      <c r="B19" s="566"/>
      <c r="C19" s="565"/>
      <c r="D19" s="565"/>
      <c r="E19" s="764" t="s">
        <v>599</v>
      </c>
      <c r="F19" s="765"/>
      <c r="G19" s="765"/>
      <c r="H19" s="765"/>
      <c r="I19" s="765"/>
      <c r="J19" s="765"/>
      <c r="K19" s="765"/>
      <c r="L19" s="765"/>
      <c r="M19" s="765"/>
      <c r="N19" s="765"/>
      <c r="O19" s="766"/>
      <c r="P19" s="771" t="s">
        <v>669</v>
      </c>
      <c r="Q19" s="772"/>
      <c r="R19" s="772"/>
      <c r="S19" s="772"/>
      <c r="T19" s="772"/>
      <c r="U19" s="772"/>
      <c r="V19" s="772"/>
      <c r="W19" s="772"/>
      <c r="X19" s="772"/>
      <c r="Y19" s="772"/>
      <c r="Z19" s="772"/>
      <c r="AA19" s="773"/>
      <c r="AB19" s="771" t="s">
        <v>670</v>
      </c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3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 t="s">
        <v>681</v>
      </c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27.5" customHeight="1">
      <c r="A20" s="540"/>
      <c r="B20" s="566"/>
      <c r="C20" s="565"/>
      <c r="D20" s="565"/>
      <c r="E20" s="771" t="s">
        <v>671</v>
      </c>
      <c r="F20" s="772"/>
      <c r="G20" s="772"/>
      <c r="H20" s="772"/>
      <c r="I20" s="772"/>
      <c r="J20" s="772"/>
      <c r="K20" s="772"/>
      <c r="L20" s="772"/>
      <c r="M20" s="772"/>
      <c r="N20" s="772"/>
      <c r="O20" s="773"/>
      <c r="P20" s="764" t="s">
        <v>672</v>
      </c>
      <c r="Q20" s="765"/>
      <c r="R20" s="765"/>
      <c r="S20" s="765"/>
      <c r="T20" s="765"/>
      <c r="U20" s="765"/>
      <c r="V20" s="765"/>
      <c r="W20" s="765"/>
      <c r="X20" s="765"/>
      <c r="Y20" s="765"/>
      <c r="Z20" s="765"/>
      <c r="AA20" s="766"/>
      <c r="AB20" s="764" t="s">
        <v>673</v>
      </c>
      <c r="AC20" s="765"/>
      <c r="AD20" s="765"/>
      <c r="AE20" s="765"/>
      <c r="AF20" s="765"/>
      <c r="AG20" s="765"/>
      <c r="AH20" s="765"/>
      <c r="AI20" s="765"/>
      <c r="AJ20" s="765"/>
      <c r="AK20" s="765"/>
      <c r="AL20" s="765"/>
      <c r="AM20" s="765"/>
      <c r="AN20" s="765"/>
      <c r="AO20" s="765"/>
      <c r="AP20" s="765"/>
      <c r="AQ20" s="765"/>
      <c r="AR20" s="765"/>
      <c r="AS20" s="765"/>
      <c r="AT20" s="765"/>
      <c r="AU20" s="765"/>
      <c r="AV20" s="765"/>
      <c r="AW20" s="766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 t="s">
        <v>682</v>
      </c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6" customHeight="1">
      <c r="A21" s="540"/>
      <c r="B21" s="566"/>
      <c r="C21" s="565"/>
      <c r="D21" s="565"/>
      <c r="E21" s="771" t="s">
        <v>674</v>
      </c>
      <c r="F21" s="772"/>
      <c r="G21" s="772"/>
      <c r="H21" s="772"/>
      <c r="I21" s="772"/>
      <c r="J21" s="772"/>
      <c r="K21" s="772"/>
      <c r="L21" s="772"/>
      <c r="M21" s="772"/>
      <c r="N21" s="772"/>
      <c r="O21" s="773"/>
      <c r="P21" s="764" t="s">
        <v>675</v>
      </c>
      <c r="Q21" s="765"/>
      <c r="R21" s="765"/>
      <c r="S21" s="765"/>
      <c r="T21" s="765"/>
      <c r="U21" s="765"/>
      <c r="V21" s="765"/>
      <c r="W21" s="765"/>
      <c r="X21" s="765"/>
      <c r="Y21" s="765"/>
      <c r="Z21" s="765"/>
      <c r="AA21" s="766"/>
      <c r="AB21" s="764" t="s">
        <v>676</v>
      </c>
      <c r="AC21" s="765"/>
      <c r="AD21" s="765"/>
      <c r="AE21" s="765"/>
      <c r="AF21" s="765"/>
      <c r="AG21" s="765"/>
      <c r="AH21" s="765"/>
      <c r="AI21" s="765"/>
      <c r="AJ21" s="765"/>
      <c r="AK21" s="765"/>
      <c r="AL21" s="765"/>
      <c r="AM21" s="765"/>
      <c r="AN21" s="765"/>
      <c r="AO21" s="765"/>
      <c r="AP21" s="765"/>
      <c r="AQ21" s="765"/>
      <c r="AR21" s="765"/>
      <c r="AS21" s="765"/>
      <c r="AT21" s="765"/>
      <c r="AU21" s="765"/>
      <c r="AV21" s="765"/>
      <c r="AW21" s="766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 t="s">
        <v>683</v>
      </c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12.5" customHeight="1">
      <c r="A22" s="540"/>
      <c r="B22" s="566"/>
      <c r="C22" s="565"/>
      <c r="D22" s="565"/>
      <c r="E22" s="571"/>
      <c r="F22" s="567"/>
      <c r="G22" s="565"/>
      <c r="H22" s="579"/>
      <c r="I22" s="579"/>
      <c r="J22" s="579"/>
      <c r="K22" s="579"/>
      <c r="L22" s="579"/>
      <c r="M22" s="579"/>
      <c r="N22" s="579"/>
      <c r="O22" s="579"/>
      <c r="P22" s="579"/>
      <c r="Q22" s="579"/>
      <c r="R22" s="579"/>
      <c r="S22" s="579"/>
      <c r="T22" s="579"/>
      <c r="U22" s="579"/>
      <c r="V22" s="579"/>
      <c r="W22" s="579"/>
      <c r="X22" s="579"/>
      <c r="Y22" s="579"/>
      <c r="Z22" s="579"/>
      <c r="AA22" s="579"/>
      <c r="AB22" s="579"/>
      <c r="AC22" s="579"/>
      <c r="AD22" s="579"/>
      <c r="AE22" s="579"/>
      <c r="AF22" s="579"/>
      <c r="AG22" s="579"/>
      <c r="AH22" s="579"/>
      <c r="AI22" s="579"/>
      <c r="AJ22" s="579"/>
      <c r="AK22" s="579"/>
      <c r="AL22" s="579"/>
      <c r="AM22" s="579"/>
      <c r="AN22" s="579"/>
      <c r="AO22" s="579"/>
      <c r="AP22" s="579"/>
      <c r="AQ22" s="579"/>
      <c r="AR22" s="579"/>
      <c r="AS22" s="580"/>
      <c r="AT22" s="571"/>
      <c r="AU22" s="565"/>
      <c r="AV22" s="568"/>
      <c r="AW22" s="568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 t="s">
        <v>684</v>
      </c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75"/>
      <c r="D23" s="576"/>
      <c r="E23" s="568"/>
      <c r="F23" s="568"/>
      <c r="G23" s="568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79"/>
      <c r="AT23" s="573"/>
      <c r="AU23" s="568"/>
      <c r="AV23" s="568"/>
      <c r="AW23" s="568"/>
      <c r="AX23" s="568"/>
      <c r="AY23" s="568"/>
      <c r="AZ23" s="569"/>
      <c r="BA23" s="569"/>
      <c r="BB23" s="551"/>
      <c r="BC23" s="552"/>
      <c r="BD23" s="538"/>
      <c r="BE23" s="596"/>
      <c r="BF23" s="596"/>
      <c r="BG23" s="596"/>
      <c r="BH23" s="596" t="s">
        <v>685</v>
      </c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5"/>
      <c r="D24" s="576"/>
      <c r="E24" s="568"/>
      <c r="F24" s="568"/>
      <c r="G24" s="568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1"/>
      <c r="AT24" s="577"/>
      <c r="AU24" s="577"/>
      <c r="AV24" s="577"/>
      <c r="AW24" s="577"/>
      <c r="AX24" s="577"/>
      <c r="AY24" s="577"/>
      <c r="AZ24" s="569"/>
      <c r="BA24" s="569"/>
      <c r="BB24" s="551"/>
      <c r="BC24" s="552"/>
      <c r="BD24" s="538"/>
      <c r="BE24" s="596"/>
      <c r="BF24" s="596"/>
      <c r="BG24" s="596"/>
      <c r="BH24" s="596" t="s">
        <v>686</v>
      </c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65"/>
      <c r="D25" s="565"/>
      <c r="E25" s="565"/>
      <c r="F25" s="565"/>
      <c r="G25" s="565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0"/>
      <c r="AT25" s="571"/>
      <c r="AU25" s="565"/>
      <c r="AV25" s="568"/>
      <c r="AW25" s="568"/>
      <c r="AX25" s="568"/>
      <c r="AY25" s="565"/>
      <c r="AZ25" s="569"/>
      <c r="BA25" s="569"/>
      <c r="BB25" s="536"/>
      <c r="BC25" s="537"/>
      <c r="BD25" s="538"/>
      <c r="BE25" s="596"/>
      <c r="BF25" s="596"/>
      <c r="BG25" s="596"/>
      <c r="BH25" s="599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70"/>
      <c r="D26" s="565"/>
      <c r="E26" s="565"/>
      <c r="F26" s="565"/>
      <c r="G26" s="565"/>
      <c r="H26" s="579"/>
      <c r="I26" s="579"/>
      <c r="J26" s="579"/>
      <c r="K26" s="579"/>
      <c r="L26" s="579"/>
      <c r="M26" s="579"/>
      <c r="N26" s="579"/>
      <c r="O26" s="579"/>
      <c r="P26" s="579"/>
      <c r="Q26" s="579"/>
      <c r="R26" s="579"/>
      <c r="S26" s="579"/>
      <c r="T26" s="579"/>
      <c r="U26" s="579"/>
      <c r="V26" s="579"/>
      <c r="W26" s="579"/>
      <c r="X26" s="579"/>
      <c r="Y26" s="579"/>
      <c r="Z26" s="579"/>
      <c r="AA26" s="579"/>
      <c r="AB26" s="579"/>
      <c r="AC26" s="579"/>
      <c r="AD26" s="579"/>
      <c r="AE26" s="579"/>
      <c r="AF26" s="579"/>
      <c r="AG26" s="579"/>
      <c r="AH26" s="579"/>
      <c r="AI26" s="579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8"/>
      <c r="BE26" s="596"/>
      <c r="BF26" s="596"/>
      <c r="BG26" s="596" t="s">
        <v>605</v>
      </c>
      <c r="BH26" s="599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568"/>
      <c r="F27" s="568"/>
      <c r="G27" s="568"/>
      <c r="H27" s="579"/>
      <c r="I27" s="579"/>
      <c r="J27" s="579"/>
      <c r="K27" s="579"/>
      <c r="L27" s="579"/>
      <c r="M27" s="579"/>
      <c r="N27" s="579"/>
      <c r="O27" s="579"/>
      <c r="P27" s="579"/>
      <c r="Q27" s="579"/>
      <c r="R27" s="579"/>
      <c r="S27" s="579"/>
      <c r="T27" s="579"/>
      <c r="U27" s="579"/>
      <c r="V27" s="579"/>
      <c r="W27" s="579"/>
      <c r="X27" s="579"/>
      <c r="Y27" s="579"/>
      <c r="Z27" s="579"/>
      <c r="AA27" s="579"/>
      <c r="AB27" s="579"/>
      <c r="AC27" s="579"/>
      <c r="AD27" s="579"/>
      <c r="AE27" s="579"/>
      <c r="AF27" s="579"/>
      <c r="AG27" s="579"/>
      <c r="AH27" s="579"/>
      <c r="AI27" s="579"/>
      <c r="AJ27" s="579"/>
      <c r="AK27" s="579"/>
      <c r="AL27" s="579"/>
      <c r="AM27" s="579"/>
      <c r="AN27" s="579"/>
      <c r="AO27" s="579"/>
      <c r="AP27" s="579"/>
      <c r="AQ27" s="579"/>
      <c r="AR27" s="579"/>
      <c r="AS27" s="581"/>
      <c r="AT27" s="577"/>
      <c r="AU27" s="577"/>
      <c r="AV27" s="577"/>
      <c r="AW27" s="577"/>
      <c r="AX27" s="577"/>
      <c r="AY27" s="577"/>
      <c r="AZ27" s="569"/>
      <c r="BA27" s="569"/>
      <c r="BB27" s="551"/>
      <c r="BC27" s="552"/>
      <c r="BD27" s="538"/>
      <c r="BE27" s="596"/>
      <c r="BF27" s="596"/>
      <c r="BG27" s="596"/>
      <c r="BH27" s="599" t="s">
        <v>735</v>
      </c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65"/>
      <c r="D28" s="565"/>
      <c r="E28" s="797" t="s">
        <v>639</v>
      </c>
      <c r="F28" s="798"/>
      <c r="G28" s="798"/>
      <c r="H28" s="798"/>
      <c r="I28" s="800">
        <v>123456</v>
      </c>
      <c r="J28" s="800"/>
      <c r="K28" s="800"/>
      <c r="L28" s="800"/>
      <c r="M28" s="800"/>
      <c r="N28" s="800"/>
      <c r="O28" s="579"/>
      <c r="P28" s="579"/>
      <c r="Q28" s="579"/>
      <c r="R28" s="579"/>
      <c r="S28" s="579"/>
      <c r="T28" s="579"/>
      <c r="U28" s="579"/>
      <c r="V28" s="579"/>
      <c r="W28" s="579"/>
      <c r="X28" s="579"/>
      <c r="Y28" s="579"/>
      <c r="Z28" s="579"/>
      <c r="AA28" s="579"/>
      <c r="AB28" s="579"/>
      <c r="AC28" s="579"/>
      <c r="AD28" s="579"/>
      <c r="AE28" s="579"/>
      <c r="AF28" s="579"/>
      <c r="AG28" s="579"/>
      <c r="AH28" s="579"/>
      <c r="AI28" s="579"/>
      <c r="AJ28" s="579"/>
      <c r="AK28" s="579"/>
      <c r="AL28" s="579"/>
      <c r="AM28" s="579"/>
      <c r="AN28" s="579"/>
      <c r="AO28" s="579"/>
      <c r="AP28" s="579"/>
      <c r="AQ28" s="579"/>
      <c r="AR28" s="579"/>
      <c r="AS28" s="580"/>
      <c r="AT28" s="571"/>
      <c r="AU28" s="565"/>
      <c r="AV28" s="568"/>
      <c r="AW28" s="568"/>
      <c r="AX28" s="568"/>
      <c r="AY28" s="565"/>
      <c r="AZ28" s="569"/>
      <c r="BA28" s="569"/>
      <c r="BB28" s="536"/>
      <c r="BC28" s="537"/>
      <c r="BD28" s="539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797"/>
      <c r="F29" s="798"/>
      <c r="G29" s="798"/>
      <c r="H29" s="798"/>
      <c r="I29" s="800"/>
      <c r="J29" s="800"/>
      <c r="K29" s="800"/>
      <c r="L29" s="800"/>
      <c r="M29" s="800"/>
      <c r="N29" s="800"/>
      <c r="O29" s="579"/>
      <c r="P29" s="579"/>
      <c r="Q29" s="579"/>
      <c r="R29" s="579"/>
      <c r="S29" s="579"/>
      <c r="T29" s="579"/>
      <c r="U29" s="579"/>
      <c r="V29" s="579"/>
      <c r="W29" s="579"/>
      <c r="X29" s="579"/>
      <c r="Y29" s="579"/>
      <c r="Z29" s="579"/>
      <c r="AA29" s="579"/>
      <c r="AB29" s="579"/>
      <c r="AC29" s="579"/>
      <c r="AD29" s="579"/>
      <c r="AE29" s="579"/>
      <c r="AF29" s="579"/>
      <c r="AG29" s="579"/>
      <c r="AH29" s="579"/>
      <c r="AI29" s="579"/>
      <c r="AJ29" s="579"/>
      <c r="AK29" s="579"/>
      <c r="AL29" s="579"/>
      <c r="AM29" s="579"/>
      <c r="AN29" s="579"/>
      <c r="AO29" s="579"/>
      <c r="AP29" s="579"/>
      <c r="AQ29" s="579"/>
      <c r="AR29" s="579"/>
      <c r="AS29" s="579"/>
      <c r="AT29" s="573"/>
      <c r="AU29" s="568"/>
      <c r="AV29" s="568"/>
      <c r="AW29" s="568"/>
      <c r="AX29" s="568"/>
      <c r="AY29" s="568"/>
      <c r="AZ29" s="569"/>
      <c r="BA29" s="569"/>
      <c r="BB29" s="551"/>
      <c r="BC29" s="552"/>
      <c r="BD29" s="538"/>
      <c r="BE29" s="596"/>
      <c r="BF29" s="596"/>
      <c r="BG29" s="596" t="s">
        <v>606</v>
      </c>
      <c r="BH29" s="599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75"/>
      <c r="D30" s="576"/>
      <c r="E30" s="798"/>
      <c r="F30" s="798"/>
      <c r="G30" s="798"/>
      <c r="H30" s="798"/>
      <c r="I30" s="800"/>
      <c r="J30" s="800"/>
      <c r="K30" s="800"/>
      <c r="L30" s="800"/>
      <c r="M30" s="800"/>
      <c r="N30" s="800"/>
      <c r="O30" s="579"/>
      <c r="P30" s="579"/>
      <c r="Q30" s="579"/>
      <c r="R30" s="579"/>
      <c r="S30" s="579"/>
      <c r="T30" s="579"/>
      <c r="U30" s="579"/>
      <c r="V30" s="579"/>
      <c r="W30" s="579"/>
      <c r="X30" s="579"/>
      <c r="Y30" s="579"/>
      <c r="Z30" s="579"/>
      <c r="AA30" s="579"/>
      <c r="AB30" s="579"/>
      <c r="AC30" s="579"/>
      <c r="AD30" s="579"/>
      <c r="AE30" s="579"/>
      <c r="AF30" s="579"/>
      <c r="AG30" s="579"/>
      <c r="AH30" s="579"/>
      <c r="AI30" s="579"/>
      <c r="AJ30" s="579"/>
      <c r="AK30" s="579"/>
      <c r="AL30" s="579"/>
      <c r="AM30" s="579"/>
      <c r="AN30" s="579"/>
      <c r="AO30" s="579"/>
      <c r="AP30" s="579"/>
      <c r="AQ30" s="579"/>
      <c r="AR30" s="579"/>
      <c r="AS30" s="579"/>
      <c r="AT30" s="573"/>
      <c r="AU30" s="568"/>
      <c r="AV30" s="568"/>
      <c r="AW30" s="568"/>
      <c r="AX30" s="568"/>
      <c r="AY30" s="568"/>
      <c r="AZ30" s="569"/>
      <c r="BA30" s="569"/>
      <c r="BB30" s="551"/>
      <c r="BC30" s="552"/>
      <c r="BD30" s="538"/>
      <c r="BE30" s="596"/>
      <c r="BF30" s="596"/>
      <c r="BG30" s="596"/>
      <c r="BH30" s="596" t="s">
        <v>687</v>
      </c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797" t="s">
        <v>640</v>
      </c>
      <c r="F31" s="798"/>
      <c r="G31" s="798"/>
      <c r="H31" s="798"/>
      <c r="I31" s="800" t="s">
        <v>575</v>
      </c>
      <c r="J31" s="800"/>
      <c r="K31" s="800"/>
      <c r="L31" s="800"/>
      <c r="M31" s="800"/>
      <c r="N31" s="800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81"/>
      <c r="AT31" s="577"/>
      <c r="AU31" s="577"/>
      <c r="AV31" s="577"/>
      <c r="AW31" s="577"/>
      <c r="AX31" s="577"/>
      <c r="AY31" s="577"/>
      <c r="AZ31" s="569"/>
      <c r="BA31" s="569"/>
      <c r="BB31" s="551"/>
      <c r="BC31" s="552"/>
      <c r="BD31" s="538"/>
      <c r="BE31" s="596"/>
      <c r="BF31" s="596"/>
      <c r="BG31" s="596"/>
      <c r="BH31" s="599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65"/>
      <c r="D32" s="565"/>
      <c r="E32" s="798"/>
      <c r="F32" s="798"/>
      <c r="G32" s="798"/>
      <c r="H32" s="798"/>
      <c r="I32" s="800"/>
      <c r="J32" s="800"/>
      <c r="K32" s="800"/>
      <c r="L32" s="800"/>
      <c r="M32" s="800"/>
      <c r="N32" s="800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0"/>
      <c r="AT32" s="571"/>
      <c r="AU32" s="565"/>
      <c r="AV32" s="568"/>
      <c r="AW32" s="568"/>
      <c r="AX32" s="568"/>
      <c r="AY32" s="565"/>
      <c r="AZ32" s="569"/>
      <c r="BA32" s="569"/>
      <c r="BB32" s="536"/>
      <c r="BC32" s="537"/>
      <c r="BD32" s="539"/>
      <c r="BE32" s="596"/>
      <c r="BF32" s="596"/>
      <c r="BG32" s="596" t="s">
        <v>607</v>
      </c>
      <c r="BH32" s="599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2.5" customHeight="1">
      <c r="A33" s="540"/>
      <c r="B33" s="566"/>
      <c r="C33" s="575"/>
      <c r="D33" s="576"/>
      <c r="E33" s="568"/>
      <c r="F33" s="568"/>
      <c r="G33" s="568"/>
      <c r="H33" s="579"/>
      <c r="I33" s="579"/>
      <c r="J33" s="579"/>
      <c r="K33" s="579"/>
      <c r="L33" s="579"/>
      <c r="M33" s="579"/>
      <c r="N33" s="579"/>
      <c r="O33" s="579"/>
      <c r="P33" s="579"/>
      <c r="Q33" s="579"/>
      <c r="R33" s="579"/>
      <c r="S33" s="579"/>
      <c r="T33" s="579"/>
      <c r="U33" s="579"/>
      <c r="V33" s="579"/>
      <c r="W33" s="579"/>
      <c r="X33" s="579"/>
      <c r="Y33" s="579"/>
      <c r="Z33" s="579"/>
      <c r="AA33" s="579"/>
      <c r="AB33" s="579"/>
      <c r="AC33" s="579"/>
      <c r="AD33" s="579"/>
      <c r="AE33" s="579"/>
      <c r="AF33" s="579"/>
      <c r="AG33" s="579"/>
      <c r="AH33" s="579"/>
      <c r="AI33" s="579"/>
      <c r="AJ33" s="579"/>
      <c r="AK33" s="579"/>
      <c r="AL33" s="579"/>
      <c r="AM33" s="579"/>
      <c r="AN33" s="579"/>
      <c r="AO33" s="579"/>
      <c r="AP33" s="579"/>
      <c r="AQ33" s="579"/>
      <c r="AR33" s="579"/>
      <c r="AS33" s="579"/>
      <c r="AT33" s="573"/>
      <c r="AU33" s="568"/>
      <c r="AV33" s="568"/>
      <c r="AW33" s="568"/>
      <c r="AX33" s="568"/>
      <c r="AY33" s="568"/>
      <c r="AZ33" s="569"/>
      <c r="BA33" s="569"/>
      <c r="BB33" s="551"/>
      <c r="BC33" s="552"/>
      <c r="BD33" s="538"/>
      <c r="BE33" s="596"/>
      <c r="BF33" s="596"/>
      <c r="BG33" s="596"/>
      <c r="BH33" s="596" t="s">
        <v>608</v>
      </c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2.5" customHeight="1">
      <c r="A34" s="540"/>
      <c r="B34" s="566"/>
      <c r="C34" s="575"/>
      <c r="D34" s="576"/>
      <c r="E34" s="568"/>
      <c r="F34" s="568"/>
      <c r="G34" s="568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/>
      <c r="AG34" s="579"/>
      <c r="AH34" s="579"/>
      <c r="AI34" s="579"/>
      <c r="AJ34" s="579"/>
      <c r="AK34" s="579"/>
      <c r="AL34" s="579"/>
      <c r="AM34" s="579"/>
      <c r="AN34" s="579"/>
      <c r="AO34" s="579"/>
      <c r="AP34" s="579"/>
      <c r="AQ34" s="579"/>
      <c r="AR34" s="579"/>
      <c r="AS34" s="581"/>
      <c r="AT34" s="577"/>
      <c r="AU34" s="577"/>
      <c r="AV34" s="577"/>
      <c r="AW34" s="577"/>
      <c r="AX34" s="577"/>
      <c r="AY34" s="577"/>
      <c r="AZ34" s="569"/>
      <c r="BA34" s="569"/>
      <c r="BB34" s="551"/>
      <c r="BC34" s="552"/>
      <c r="BD34" s="538"/>
      <c r="BE34" s="596"/>
      <c r="BF34" s="596"/>
      <c r="BG34" s="596"/>
      <c r="BH34" s="599" t="s">
        <v>609</v>
      </c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7.5" customHeight="1">
      <c r="A35" s="540"/>
      <c r="B35" s="566"/>
      <c r="C35" s="565"/>
      <c r="D35" s="565"/>
      <c r="E35" s="789"/>
      <c r="F35" s="789"/>
      <c r="G35" s="811" t="s">
        <v>641</v>
      </c>
      <c r="H35" s="785"/>
      <c r="I35" s="785"/>
      <c r="J35" s="785" t="s">
        <v>576</v>
      </c>
      <c r="K35" s="785"/>
      <c r="L35" s="785"/>
      <c r="M35" s="811" t="s">
        <v>736</v>
      </c>
      <c r="N35" s="811"/>
      <c r="O35" s="811"/>
      <c r="P35" s="784" t="s">
        <v>737</v>
      </c>
      <c r="Q35" s="811"/>
      <c r="R35" s="811"/>
      <c r="S35" s="784" t="s">
        <v>738</v>
      </c>
      <c r="T35" s="785"/>
      <c r="U35" s="785"/>
      <c r="V35" s="787" t="s">
        <v>739</v>
      </c>
      <c r="W35" s="787"/>
      <c r="X35" s="787"/>
      <c r="Y35" s="787" t="s">
        <v>740</v>
      </c>
      <c r="Z35" s="787"/>
      <c r="AA35" s="787"/>
      <c r="AB35" s="787" t="s">
        <v>741</v>
      </c>
      <c r="AC35" s="787"/>
      <c r="AD35" s="787"/>
      <c r="AE35" s="782" t="s">
        <v>678</v>
      </c>
      <c r="AF35" s="782"/>
      <c r="AG35" s="782"/>
      <c r="AH35" s="782" t="s">
        <v>577</v>
      </c>
      <c r="AI35" s="782"/>
      <c r="AJ35" s="782"/>
      <c r="AK35" s="782" t="s">
        <v>679</v>
      </c>
      <c r="AL35" s="782"/>
      <c r="AM35" s="782"/>
      <c r="AN35" s="782" t="s">
        <v>742</v>
      </c>
      <c r="AO35" s="782"/>
      <c r="AP35" s="782"/>
      <c r="AQ35" s="579"/>
      <c r="AR35" s="579"/>
      <c r="AS35" s="580"/>
      <c r="AT35" s="571"/>
      <c r="AU35" s="565"/>
      <c r="AV35" s="568"/>
      <c r="AW35" s="568"/>
      <c r="AX35" s="568"/>
      <c r="AY35" s="565"/>
      <c r="AZ35" s="569"/>
      <c r="BA35" s="569"/>
      <c r="BB35" s="536"/>
      <c r="BC35" s="537"/>
      <c r="BD35" s="539"/>
      <c r="BE35" s="596"/>
      <c r="BF35" s="596"/>
      <c r="BG35" s="596"/>
      <c r="BH35" s="599" t="s">
        <v>610</v>
      </c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7.5" customHeight="1">
      <c r="A36" s="540"/>
      <c r="B36" s="566"/>
      <c r="C36" s="575"/>
      <c r="D36" s="576"/>
      <c r="E36" s="790"/>
      <c r="F36" s="790"/>
      <c r="G36" s="812"/>
      <c r="H36" s="786"/>
      <c r="I36" s="786"/>
      <c r="J36" s="786"/>
      <c r="K36" s="786"/>
      <c r="L36" s="786"/>
      <c r="M36" s="812"/>
      <c r="N36" s="812"/>
      <c r="O36" s="812"/>
      <c r="P36" s="812"/>
      <c r="Q36" s="812"/>
      <c r="R36" s="812"/>
      <c r="S36" s="786"/>
      <c r="T36" s="786"/>
      <c r="U36" s="786"/>
      <c r="V36" s="788"/>
      <c r="W36" s="788"/>
      <c r="X36" s="788"/>
      <c r="Y36" s="788"/>
      <c r="Z36" s="788"/>
      <c r="AA36" s="788"/>
      <c r="AB36" s="788"/>
      <c r="AC36" s="788"/>
      <c r="AD36" s="788"/>
      <c r="AE36" s="783"/>
      <c r="AF36" s="783"/>
      <c r="AG36" s="783"/>
      <c r="AH36" s="783"/>
      <c r="AI36" s="783"/>
      <c r="AJ36" s="783"/>
      <c r="AK36" s="783"/>
      <c r="AL36" s="783"/>
      <c r="AM36" s="783"/>
      <c r="AN36" s="783"/>
      <c r="AO36" s="783"/>
      <c r="AP36" s="783"/>
      <c r="AQ36" s="579"/>
      <c r="AR36" s="579"/>
      <c r="AS36" s="579"/>
      <c r="AT36" s="573"/>
      <c r="AU36" s="568"/>
      <c r="AV36" s="568"/>
      <c r="AW36" s="568"/>
      <c r="AX36" s="568"/>
      <c r="AY36" s="568"/>
      <c r="AZ36" s="569"/>
      <c r="BA36" s="569"/>
      <c r="BB36" s="551"/>
      <c r="BC36" s="552"/>
      <c r="BD36" s="538"/>
      <c r="BE36" s="596"/>
      <c r="BF36" s="596"/>
      <c r="BG36" s="596"/>
      <c r="BH36" s="596" t="s">
        <v>688</v>
      </c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7.5" customHeight="1">
      <c r="A37" s="540"/>
      <c r="B37" s="566"/>
      <c r="C37" s="575"/>
      <c r="D37" s="576"/>
      <c r="E37" s="790"/>
      <c r="F37" s="790"/>
      <c r="G37" s="786"/>
      <c r="H37" s="786"/>
      <c r="I37" s="786"/>
      <c r="J37" s="786"/>
      <c r="K37" s="786"/>
      <c r="L37" s="786"/>
      <c r="M37" s="812"/>
      <c r="N37" s="812"/>
      <c r="O37" s="812"/>
      <c r="P37" s="812"/>
      <c r="Q37" s="812"/>
      <c r="R37" s="812"/>
      <c r="S37" s="786"/>
      <c r="T37" s="786"/>
      <c r="U37" s="786"/>
      <c r="V37" s="788"/>
      <c r="W37" s="788"/>
      <c r="X37" s="788"/>
      <c r="Y37" s="788"/>
      <c r="Z37" s="788"/>
      <c r="AA37" s="788"/>
      <c r="AB37" s="788"/>
      <c r="AC37" s="788"/>
      <c r="AD37" s="788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579"/>
      <c r="AR37" s="579"/>
      <c r="AS37" s="579"/>
      <c r="AT37" s="573"/>
      <c r="AU37" s="568"/>
      <c r="AV37" s="568"/>
      <c r="AW37" s="568"/>
      <c r="AX37" s="568"/>
      <c r="AY37" s="568"/>
      <c r="AZ37" s="569"/>
      <c r="BA37" s="569"/>
      <c r="BB37" s="551"/>
      <c r="BC37" s="552"/>
      <c r="BD37" s="538"/>
      <c r="BE37" s="596"/>
      <c r="BF37" s="596"/>
      <c r="BG37" s="596"/>
      <c r="BH37" s="599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75"/>
      <c r="D38" s="576"/>
      <c r="E38" s="777" t="s">
        <v>578</v>
      </c>
      <c r="F38" s="777"/>
      <c r="G38" s="791" t="s">
        <v>579</v>
      </c>
      <c r="H38" s="791"/>
      <c r="I38" s="791"/>
      <c r="J38" s="813" t="s">
        <v>585</v>
      </c>
      <c r="K38" s="791"/>
      <c r="L38" s="791"/>
      <c r="M38" s="813" t="s">
        <v>645</v>
      </c>
      <c r="N38" s="791"/>
      <c r="O38" s="791"/>
      <c r="P38" s="813" t="s">
        <v>642</v>
      </c>
      <c r="Q38" s="791"/>
      <c r="R38" s="791"/>
      <c r="S38" s="799" t="s">
        <v>592</v>
      </c>
      <c r="T38" s="791"/>
      <c r="U38" s="791"/>
      <c r="V38" s="802" t="s">
        <v>596</v>
      </c>
      <c r="W38" s="803"/>
      <c r="X38" s="804"/>
      <c r="Y38" s="802" t="s">
        <v>596</v>
      </c>
      <c r="Z38" s="803"/>
      <c r="AA38" s="804"/>
      <c r="AB38" s="802" t="s">
        <v>596</v>
      </c>
      <c r="AC38" s="803"/>
      <c r="AD38" s="804"/>
      <c r="AE38" s="802" t="s">
        <v>596</v>
      </c>
      <c r="AF38" s="803"/>
      <c r="AG38" s="804"/>
      <c r="AH38" s="802" t="s">
        <v>596</v>
      </c>
      <c r="AI38" s="803"/>
      <c r="AJ38" s="804"/>
      <c r="AK38" s="802" t="s">
        <v>596</v>
      </c>
      <c r="AL38" s="803"/>
      <c r="AM38" s="804"/>
      <c r="AN38" s="802" t="s">
        <v>596</v>
      </c>
      <c r="AO38" s="803"/>
      <c r="AP38" s="804"/>
      <c r="AQ38" s="579"/>
      <c r="AR38" s="579"/>
      <c r="AS38" s="581"/>
      <c r="AT38" s="577"/>
      <c r="AU38" s="577"/>
      <c r="AV38" s="577"/>
      <c r="AW38" s="577"/>
      <c r="AX38" s="577"/>
      <c r="AY38" s="577"/>
      <c r="AZ38" s="569"/>
      <c r="BA38" s="569"/>
      <c r="BB38" s="551"/>
      <c r="BC38" s="552"/>
      <c r="BD38" s="538"/>
      <c r="BE38" s="596"/>
      <c r="BF38" s="596"/>
      <c r="BG38" s="596" t="s">
        <v>689</v>
      </c>
      <c r="BH38" s="599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65"/>
      <c r="D39" s="565"/>
      <c r="E39" s="777"/>
      <c r="F39" s="777"/>
      <c r="G39" s="791"/>
      <c r="H39" s="791"/>
      <c r="I39" s="791"/>
      <c r="J39" s="813"/>
      <c r="K39" s="791"/>
      <c r="L39" s="791"/>
      <c r="M39" s="791"/>
      <c r="N39" s="791"/>
      <c r="O39" s="791"/>
      <c r="P39" s="813"/>
      <c r="Q39" s="791"/>
      <c r="R39" s="791"/>
      <c r="S39" s="799"/>
      <c r="T39" s="791"/>
      <c r="U39" s="791"/>
      <c r="V39" s="805"/>
      <c r="W39" s="806"/>
      <c r="X39" s="807"/>
      <c r="Y39" s="805"/>
      <c r="Z39" s="806"/>
      <c r="AA39" s="807"/>
      <c r="AB39" s="805"/>
      <c r="AC39" s="806"/>
      <c r="AD39" s="807"/>
      <c r="AE39" s="805"/>
      <c r="AF39" s="806"/>
      <c r="AG39" s="807"/>
      <c r="AH39" s="805"/>
      <c r="AI39" s="806"/>
      <c r="AJ39" s="807"/>
      <c r="AK39" s="805"/>
      <c r="AL39" s="806"/>
      <c r="AM39" s="807"/>
      <c r="AN39" s="805"/>
      <c r="AO39" s="806"/>
      <c r="AP39" s="807"/>
      <c r="AQ39" s="579"/>
      <c r="AR39" s="579"/>
      <c r="AS39" s="580"/>
      <c r="AT39" s="571"/>
      <c r="AU39" s="565"/>
      <c r="AV39" s="568"/>
      <c r="AW39" s="568"/>
      <c r="AX39" s="568"/>
      <c r="AY39" s="565"/>
      <c r="AZ39" s="569"/>
      <c r="BA39" s="569"/>
      <c r="BB39" s="536"/>
      <c r="BC39" s="537"/>
      <c r="BD39" s="539"/>
      <c r="BE39" s="596"/>
      <c r="BF39" s="596"/>
      <c r="BG39" s="596"/>
      <c r="BH39" s="596" t="s">
        <v>690</v>
      </c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2.5" customHeight="1">
      <c r="A40" s="540"/>
      <c r="B40" s="566"/>
      <c r="C40" s="565"/>
      <c r="D40" s="565"/>
      <c r="E40" s="777"/>
      <c r="F40" s="777"/>
      <c r="G40" s="791"/>
      <c r="H40" s="791"/>
      <c r="I40" s="791"/>
      <c r="J40" s="791"/>
      <c r="K40" s="791"/>
      <c r="L40" s="791"/>
      <c r="M40" s="791"/>
      <c r="N40" s="791"/>
      <c r="O40" s="791"/>
      <c r="P40" s="791"/>
      <c r="Q40" s="791"/>
      <c r="R40" s="791"/>
      <c r="S40" s="791"/>
      <c r="T40" s="791"/>
      <c r="U40" s="791"/>
      <c r="V40" s="808"/>
      <c r="W40" s="809"/>
      <c r="X40" s="810"/>
      <c r="Y40" s="808"/>
      <c r="Z40" s="809"/>
      <c r="AA40" s="810"/>
      <c r="AB40" s="808"/>
      <c r="AC40" s="809"/>
      <c r="AD40" s="810"/>
      <c r="AE40" s="808"/>
      <c r="AF40" s="809"/>
      <c r="AG40" s="810"/>
      <c r="AH40" s="808"/>
      <c r="AI40" s="809"/>
      <c r="AJ40" s="810"/>
      <c r="AK40" s="808"/>
      <c r="AL40" s="809"/>
      <c r="AM40" s="810"/>
      <c r="AN40" s="808"/>
      <c r="AO40" s="809"/>
      <c r="AP40" s="810"/>
      <c r="AQ40" s="579"/>
      <c r="AR40" s="579"/>
      <c r="AS40" s="580"/>
      <c r="AT40" s="571"/>
      <c r="AU40" s="565"/>
      <c r="AV40" s="568"/>
      <c r="AW40" s="568"/>
      <c r="AX40" s="568"/>
      <c r="AY40" s="565"/>
      <c r="AZ40" s="569"/>
      <c r="BA40" s="569"/>
      <c r="BB40" s="536"/>
      <c r="BC40" s="537"/>
      <c r="BD40" s="539"/>
      <c r="BE40" s="596"/>
      <c r="BF40" s="596"/>
      <c r="BG40" s="596"/>
      <c r="BH40" s="599" t="s">
        <v>691</v>
      </c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2.5" customHeight="1">
      <c r="A41" s="540"/>
      <c r="B41" s="566"/>
      <c r="C41" s="575"/>
      <c r="D41" s="576"/>
      <c r="E41" s="777"/>
      <c r="F41" s="777"/>
      <c r="G41" s="791" t="s">
        <v>579</v>
      </c>
      <c r="H41" s="791"/>
      <c r="I41" s="791"/>
      <c r="J41" s="813" t="s">
        <v>585</v>
      </c>
      <c r="K41" s="791"/>
      <c r="L41" s="791"/>
      <c r="M41" s="813" t="s">
        <v>645</v>
      </c>
      <c r="N41" s="791"/>
      <c r="O41" s="791"/>
      <c r="P41" s="813" t="s">
        <v>642</v>
      </c>
      <c r="Q41" s="791"/>
      <c r="R41" s="791"/>
      <c r="S41" s="799" t="s">
        <v>592</v>
      </c>
      <c r="T41" s="791"/>
      <c r="U41" s="791"/>
      <c r="V41" s="802" t="s">
        <v>596</v>
      </c>
      <c r="W41" s="803"/>
      <c r="X41" s="804"/>
      <c r="Y41" s="802" t="s">
        <v>596</v>
      </c>
      <c r="Z41" s="803"/>
      <c r="AA41" s="804"/>
      <c r="AB41" s="802" t="s">
        <v>596</v>
      </c>
      <c r="AC41" s="803"/>
      <c r="AD41" s="804"/>
      <c r="AE41" s="802" t="s">
        <v>596</v>
      </c>
      <c r="AF41" s="803"/>
      <c r="AG41" s="804"/>
      <c r="AH41" s="802" t="s">
        <v>596</v>
      </c>
      <c r="AI41" s="803"/>
      <c r="AJ41" s="804"/>
      <c r="AK41" s="802" t="s">
        <v>596</v>
      </c>
      <c r="AL41" s="803"/>
      <c r="AM41" s="804"/>
      <c r="AN41" s="802" t="s">
        <v>596</v>
      </c>
      <c r="AO41" s="803"/>
      <c r="AP41" s="804"/>
      <c r="AQ41" s="579"/>
      <c r="AR41" s="579"/>
      <c r="AS41" s="579"/>
      <c r="AT41" s="573"/>
      <c r="AU41" s="568"/>
      <c r="AV41" s="568"/>
      <c r="AW41" s="568"/>
      <c r="AX41" s="568"/>
      <c r="AY41" s="568"/>
      <c r="AZ41" s="569"/>
      <c r="BA41" s="569"/>
      <c r="BB41" s="551"/>
      <c r="BC41" s="552"/>
      <c r="BD41" s="538"/>
      <c r="BE41" s="596"/>
      <c r="BF41" s="596"/>
      <c r="BG41" s="596"/>
      <c r="BH41" s="599" t="s">
        <v>692</v>
      </c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2.5" customHeight="1">
      <c r="A42" s="540"/>
      <c r="B42" s="566"/>
      <c r="C42" s="575"/>
      <c r="D42" s="576"/>
      <c r="E42" s="777"/>
      <c r="F42" s="777"/>
      <c r="G42" s="791"/>
      <c r="H42" s="791"/>
      <c r="I42" s="791"/>
      <c r="J42" s="813"/>
      <c r="K42" s="791"/>
      <c r="L42" s="791"/>
      <c r="M42" s="791"/>
      <c r="N42" s="791"/>
      <c r="O42" s="791"/>
      <c r="P42" s="813"/>
      <c r="Q42" s="791"/>
      <c r="R42" s="791"/>
      <c r="S42" s="799"/>
      <c r="T42" s="791"/>
      <c r="U42" s="791"/>
      <c r="V42" s="805"/>
      <c r="W42" s="806"/>
      <c r="X42" s="807"/>
      <c r="Y42" s="805"/>
      <c r="Z42" s="806"/>
      <c r="AA42" s="807"/>
      <c r="AB42" s="805"/>
      <c r="AC42" s="806"/>
      <c r="AD42" s="807"/>
      <c r="AE42" s="805"/>
      <c r="AF42" s="806"/>
      <c r="AG42" s="807"/>
      <c r="AH42" s="805"/>
      <c r="AI42" s="806"/>
      <c r="AJ42" s="807"/>
      <c r="AK42" s="805"/>
      <c r="AL42" s="806"/>
      <c r="AM42" s="807"/>
      <c r="AN42" s="805"/>
      <c r="AO42" s="806"/>
      <c r="AP42" s="807"/>
      <c r="AQ42" s="579"/>
      <c r="AR42" s="579"/>
      <c r="AS42" s="581"/>
      <c r="AT42" s="577"/>
      <c r="AU42" s="577"/>
      <c r="AV42" s="577"/>
      <c r="AW42" s="577"/>
      <c r="AX42" s="577"/>
      <c r="AY42" s="577"/>
      <c r="AZ42" s="569"/>
      <c r="BA42" s="569"/>
      <c r="BB42" s="551"/>
      <c r="BC42" s="552"/>
      <c r="BD42" s="538"/>
      <c r="BE42" s="596"/>
      <c r="BF42" s="596"/>
      <c r="BG42" s="596"/>
      <c r="BH42" s="599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75"/>
      <c r="D43" s="576"/>
      <c r="E43" s="777"/>
      <c r="F43" s="777"/>
      <c r="G43" s="791"/>
      <c r="H43" s="791"/>
      <c r="I43" s="791"/>
      <c r="J43" s="791"/>
      <c r="K43" s="791"/>
      <c r="L43" s="791"/>
      <c r="M43" s="791"/>
      <c r="N43" s="791"/>
      <c r="O43" s="791"/>
      <c r="P43" s="791"/>
      <c r="Q43" s="791"/>
      <c r="R43" s="791"/>
      <c r="S43" s="791"/>
      <c r="T43" s="791"/>
      <c r="U43" s="791"/>
      <c r="V43" s="808"/>
      <c r="W43" s="809"/>
      <c r="X43" s="810"/>
      <c r="Y43" s="808"/>
      <c r="Z43" s="809"/>
      <c r="AA43" s="810"/>
      <c r="AB43" s="808"/>
      <c r="AC43" s="809"/>
      <c r="AD43" s="810"/>
      <c r="AE43" s="808"/>
      <c r="AF43" s="809"/>
      <c r="AG43" s="810"/>
      <c r="AH43" s="808"/>
      <c r="AI43" s="809"/>
      <c r="AJ43" s="810"/>
      <c r="AK43" s="808"/>
      <c r="AL43" s="809"/>
      <c r="AM43" s="810"/>
      <c r="AN43" s="808"/>
      <c r="AO43" s="809"/>
      <c r="AP43" s="810"/>
      <c r="AQ43" s="579"/>
      <c r="AR43" s="579"/>
      <c r="AS43" s="581"/>
      <c r="AT43" s="577"/>
      <c r="AU43" s="577"/>
      <c r="AV43" s="577"/>
      <c r="AW43" s="577"/>
      <c r="AX43" s="577"/>
      <c r="AY43" s="577"/>
      <c r="AZ43" s="569"/>
      <c r="BA43" s="569"/>
      <c r="BB43" s="551"/>
      <c r="BC43" s="552"/>
      <c r="BD43" s="538"/>
      <c r="BE43" s="596"/>
      <c r="BF43" s="596"/>
      <c r="BG43" s="596"/>
      <c r="BH43" s="596" t="s">
        <v>611</v>
      </c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75"/>
      <c r="D44" s="576"/>
      <c r="E44" s="777" t="s">
        <v>578</v>
      </c>
      <c r="F44" s="777"/>
      <c r="G44" s="791" t="s">
        <v>580</v>
      </c>
      <c r="H44" s="791"/>
      <c r="I44" s="791"/>
      <c r="J44" s="813" t="s">
        <v>586</v>
      </c>
      <c r="K44" s="791"/>
      <c r="L44" s="791"/>
      <c r="M44" s="813" t="s">
        <v>644</v>
      </c>
      <c r="N44" s="791"/>
      <c r="O44" s="791"/>
      <c r="P44" s="813" t="s">
        <v>642</v>
      </c>
      <c r="Q44" s="791"/>
      <c r="R44" s="791"/>
      <c r="S44" s="799" t="s">
        <v>593</v>
      </c>
      <c r="T44" s="791"/>
      <c r="U44" s="791"/>
      <c r="V44" s="813" t="s">
        <v>597</v>
      </c>
      <c r="W44" s="791"/>
      <c r="X44" s="791"/>
      <c r="Y44" s="813" t="s">
        <v>597</v>
      </c>
      <c r="Z44" s="791"/>
      <c r="AA44" s="791"/>
      <c r="AB44" s="802" t="s">
        <v>596</v>
      </c>
      <c r="AC44" s="803"/>
      <c r="AD44" s="804"/>
      <c r="AE44" s="802" t="s">
        <v>596</v>
      </c>
      <c r="AF44" s="803"/>
      <c r="AG44" s="804"/>
      <c r="AH44" s="791" t="s">
        <v>599</v>
      </c>
      <c r="AI44" s="791"/>
      <c r="AJ44" s="791"/>
      <c r="AK44" s="802" t="s">
        <v>596</v>
      </c>
      <c r="AL44" s="803"/>
      <c r="AM44" s="804"/>
      <c r="AN44" s="802" t="s">
        <v>596</v>
      </c>
      <c r="AO44" s="803"/>
      <c r="AP44" s="804"/>
      <c r="AQ44" s="579"/>
      <c r="AR44" s="579"/>
      <c r="AS44" s="581"/>
      <c r="AT44" s="577"/>
      <c r="AU44" s="577"/>
      <c r="AV44" s="577"/>
      <c r="AW44" s="577"/>
      <c r="AX44" s="577"/>
      <c r="AY44" s="577"/>
      <c r="AZ44" s="569"/>
      <c r="BA44" s="569"/>
      <c r="BB44" s="551"/>
      <c r="BC44" s="552"/>
      <c r="BD44" s="538"/>
      <c r="BE44" s="596"/>
      <c r="BF44" s="596"/>
      <c r="BG44" s="596"/>
      <c r="BH44" s="599" t="s">
        <v>612</v>
      </c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65"/>
      <c r="D45" s="565"/>
      <c r="E45" s="777"/>
      <c r="F45" s="777"/>
      <c r="G45" s="791"/>
      <c r="H45" s="791"/>
      <c r="I45" s="791"/>
      <c r="J45" s="813"/>
      <c r="K45" s="791"/>
      <c r="L45" s="791"/>
      <c r="M45" s="813"/>
      <c r="N45" s="791"/>
      <c r="O45" s="791"/>
      <c r="P45" s="813"/>
      <c r="Q45" s="791"/>
      <c r="R45" s="791"/>
      <c r="S45" s="799"/>
      <c r="T45" s="791"/>
      <c r="U45" s="791"/>
      <c r="V45" s="813"/>
      <c r="W45" s="791"/>
      <c r="X45" s="791"/>
      <c r="Y45" s="813"/>
      <c r="Z45" s="791"/>
      <c r="AA45" s="791"/>
      <c r="AB45" s="805"/>
      <c r="AC45" s="806"/>
      <c r="AD45" s="807"/>
      <c r="AE45" s="805"/>
      <c r="AF45" s="806"/>
      <c r="AG45" s="807"/>
      <c r="AH45" s="791"/>
      <c r="AI45" s="791"/>
      <c r="AJ45" s="791"/>
      <c r="AK45" s="805"/>
      <c r="AL45" s="806"/>
      <c r="AM45" s="807"/>
      <c r="AN45" s="805"/>
      <c r="AO45" s="806"/>
      <c r="AP45" s="807"/>
      <c r="AQ45" s="579"/>
      <c r="AR45" s="579"/>
      <c r="AS45" s="580"/>
      <c r="AT45" s="571"/>
      <c r="AU45" s="565"/>
      <c r="AV45" s="568"/>
      <c r="AW45" s="568"/>
      <c r="AX45" s="568"/>
      <c r="AY45" s="565"/>
      <c r="AZ45" s="569"/>
      <c r="BA45" s="569"/>
      <c r="BB45" s="536"/>
      <c r="BC45" s="537"/>
      <c r="BD45" s="539"/>
      <c r="BE45" s="596"/>
      <c r="BF45" s="596"/>
      <c r="BG45" s="596"/>
      <c r="BH45" s="599"/>
      <c r="BI45" s="596" t="s">
        <v>693</v>
      </c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65"/>
      <c r="D46" s="565"/>
      <c r="E46" s="777"/>
      <c r="F46" s="777"/>
      <c r="G46" s="791"/>
      <c r="H46" s="791"/>
      <c r="I46" s="791"/>
      <c r="J46" s="791"/>
      <c r="K46" s="791"/>
      <c r="L46" s="791"/>
      <c r="M46" s="791"/>
      <c r="N46" s="791"/>
      <c r="O46" s="791"/>
      <c r="P46" s="791"/>
      <c r="Q46" s="791"/>
      <c r="R46" s="791"/>
      <c r="S46" s="791"/>
      <c r="T46" s="791"/>
      <c r="U46" s="791"/>
      <c r="V46" s="791"/>
      <c r="W46" s="791"/>
      <c r="X46" s="791"/>
      <c r="Y46" s="791"/>
      <c r="Z46" s="791"/>
      <c r="AA46" s="791"/>
      <c r="AB46" s="808"/>
      <c r="AC46" s="809"/>
      <c r="AD46" s="810"/>
      <c r="AE46" s="808"/>
      <c r="AF46" s="809"/>
      <c r="AG46" s="810"/>
      <c r="AH46" s="791"/>
      <c r="AI46" s="791"/>
      <c r="AJ46" s="791"/>
      <c r="AK46" s="808"/>
      <c r="AL46" s="809"/>
      <c r="AM46" s="810"/>
      <c r="AN46" s="808"/>
      <c r="AO46" s="809"/>
      <c r="AP46" s="810"/>
      <c r="AQ46" s="579"/>
      <c r="AR46" s="579"/>
      <c r="AS46" s="580"/>
      <c r="AT46" s="571"/>
      <c r="AU46" s="565"/>
      <c r="AV46" s="568"/>
      <c r="AW46" s="568"/>
      <c r="AX46" s="568"/>
      <c r="AY46" s="565"/>
      <c r="AZ46" s="569"/>
      <c r="BA46" s="569"/>
      <c r="BB46" s="536"/>
      <c r="BC46" s="537"/>
      <c r="BD46" s="539"/>
      <c r="BE46" s="596"/>
      <c r="BF46" s="596"/>
      <c r="BG46" s="596"/>
      <c r="BH46" s="599" t="s">
        <v>613</v>
      </c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777" t="s">
        <v>578</v>
      </c>
      <c r="F47" s="777"/>
      <c r="G47" s="791" t="s">
        <v>581</v>
      </c>
      <c r="H47" s="791"/>
      <c r="I47" s="791"/>
      <c r="J47" s="813" t="s">
        <v>587</v>
      </c>
      <c r="K47" s="791"/>
      <c r="L47" s="791"/>
      <c r="M47" s="813" t="s">
        <v>643</v>
      </c>
      <c r="N47" s="791"/>
      <c r="O47" s="791"/>
      <c r="P47" s="813" t="s">
        <v>647</v>
      </c>
      <c r="Q47" s="791"/>
      <c r="R47" s="791"/>
      <c r="S47" s="791" t="s">
        <v>299</v>
      </c>
      <c r="T47" s="791"/>
      <c r="U47" s="791"/>
      <c r="V47" s="813" t="s">
        <v>597</v>
      </c>
      <c r="W47" s="791"/>
      <c r="X47" s="791"/>
      <c r="Y47" s="791" t="s">
        <v>596</v>
      </c>
      <c r="Z47" s="791"/>
      <c r="AA47" s="791"/>
      <c r="AB47" s="791" t="s">
        <v>596</v>
      </c>
      <c r="AC47" s="791"/>
      <c r="AD47" s="791"/>
      <c r="AE47" s="791" t="s">
        <v>596</v>
      </c>
      <c r="AF47" s="791"/>
      <c r="AG47" s="791"/>
      <c r="AH47" s="791" t="s">
        <v>599</v>
      </c>
      <c r="AI47" s="791"/>
      <c r="AJ47" s="791"/>
      <c r="AK47" s="791" t="s">
        <v>599</v>
      </c>
      <c r="AL47" s="791"/>
      <c r="AM47" s="791"/>
      <c r="AN47" s="791" t="s">
        <v>599</v>
      </c>
      <c r="AO47" s="791"/>
      <c r="AP47" s="791"/>
      <c r="AQ47" s="579"/>
      <c r="AR47" s="579"/>
      <c r="AS47" s="579"/>
      <c r="AT47" s="573"/>
      <c r="AU47" s="568"/>
      <c r="AV47" s="568"/>
      <c r="AW47" s="568"/>
      <c r="AX47" s="568"/>
      <c r="AY47" s="568"/>
      <c r="AZ47" s="569"/>
      <c r="BA47" s="569"/>
      <c r="BB47" s="551"/>
      <c r="BC47" s="552"/>
      <c r="BD47" s="538"/>
      <c r="BE47" s="596"/>
      <c r="BF47" s="596"/>
      <c r="BG47" s="596"/>
      <c r="BH47" s="596"/>
      <c r="BI47" s="596" t="s">
        <v>694</v>
      </c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777"/>
      <c r="F48" s="777"/>
      <c r="G48" s="791"/>
      <c r="H48" s="791"/>
      <c r="I48" s="791"/>
      <c r="J48" s="813"/>
      <c r="K48" s="791"/>
      <c r="L48" s="791"/>
      <c r="M48" s="813"/>
      <c r="N48" s="791"/>
      <c r="O48" s="791"/>
      <c r="P48" s="813"/>
      <c r="Q48" s="791"/>
      <c r="R48" s="791"/>
      <c r="S48" s="791"/>
      <c r="T48" s="791"/>
      <c r="U48" s="791"/>
      <c r="V48" s="813"/>
      <c r="W48" s="791"/>
      <c r="X48" s="791"/>
      <c r="Y48" s="791"/>
      <c r="Z48" s="791"/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9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777"/>
      <c r="F49" s="777"/>
      <c r="G49" s="791"/>
      <c r="H49" s="791"/>
      <c r="I49" s="791"/>
      <c r="J49" s="791"/>
      <c r="K49" s="791"/>
      <c r="L49" s="791"/>
      <c r="M49" s="791"/>
      <c r="N49" s="791"/>
      <c r="O49" s="791"/>
      <c r="P49" s="791"/>
      <c r="Q49" s="791"/>
      <c r="R49" s="791"/>
      <c r="S49" s="791"/>
      <c r="T49" s="791"/>
      <c r="U49" s="791"/>
      <c r="V49" s="791"/>
      <c r="W49" s="791"/>
      <c r="X49" s="791"/>
      <c r="Y49" s="791"/>
      <c r="Z49" s="791"/>
      <c r="AA49" s="791"/>
      <c r="AB49" s="791"/>
      <c r="AC49" s="791"/>
      <c r="AD49" s="791"/>
      <c r="AE49" s="791"/>
      <c r="AF49" s="791"/>
      <c r="AG49" s="791"/>
      <c r="AH49" s="791"/>
      <c r="AI49" s="791"/>
      <c r="AJ49" s="791"/>
      <c r="AK49" s="791"/>
      <c r="AL49" s="791"/>
      <c r="AM49" s="791"/>
      <c r="AN49" s="791"/>
      <c r="AO49" s="791"/>
      <c r="AP49" s="791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 t="s">
        <v>695</v>
      </c>
      <c r="BH49" s="599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75"/>
      <c r="D50" s="576"/>
      <c r="E50" s="777" t="s">
        <v>578</v>
      </c>
      <c r="F50" s="777"/>
      <c r="G50" s="791" t="s">
        <v>582</v>
      </c>
      <c r="H50" s="791"/>
      <c r="I50" s="791"/>
      <c r="J50" s="813" t="s">
        <v>588</v>
      </c>
      <c r="K50" s="791"/>
      <c r="L50" s="791"/>
      <c r="M50" s="813" t="s">
        <v>643</v>
      </c>
      <c r="N50" s="791"/>
      <c r="O50" s="791"/>
      <c r="P50" s="813" t="s">
        <v>647</v>
      </c>
      <c r="Q50" s="791"/>
      <c r="R50" s="791"/>
      <c r="S50" s="799" t="s">
        <v>595</v>
      </c>
      <c r="T50" s="791"/>
      <c r="U50" s="791"/>
      <c r="V50" s="791" t="s">
        <v>596</v>
      </c>
      <c r="W50" s="791"/>
      <c r="X50" s="791"/>
      <c r="Y50" s="813" t="s">
        <v>597</v>
      </c>
      <c r="Z50" s="791"/>
      <c r="AA50" s="791"/>
      <c r="AB50" s="791" t="s">
        <v>596</v>
      </c>
      <c r="AC50" s="791"/>
      <c r="AD50" s="791"/>
      <c r="AE50" s="791" t="s">
        <v>596</v>
      </c>
      <c r="AF50" s="791"/>
      <c r="AG50" s="791"/>
      <c r="AH50" s="791" t="s">
        <v>596</v>
      </c>
      <c r="AI50" s="791"/>
      <c r="AJ50" s="791"/>
      <c r="AK50" s="791" t="s">
        <v>596</v>
      </c>
      <c r="AL50" s="791"/>
      <c r="AM50" s="791"/>
      <c r="AN50" s="791" t="s">
        <v>596</v>
      </c>
      <c r="AO50" s="791"/>
      <c r="AP50" s="791"/>
      <c r="AQ50" s="579"/>
      <c r="AR50" s="579"/>
      <c r="AS50" s="581"/>
      <c r="AT50" s="577"/>
      <c r="AU50" s="577"/>
      <c r="AV50" s="577"/>
      <c r="AW50" s="577"/>
      <c r="AX50" s="577"/>
      <c r="AY50" s="577"/>
      <c r="AZ50" s="569"/>
      <c r="BA50" s="569"/>
      <c r="BB50" s="551"/>
      <c r="BC50" s="552"/>
      <c r="BD50" s="538"/>
      <c r="BE50" s="596"/>
      <c r="BF50" s="596"/>
      <c r="BG50" s="596"/>
      <c r="BH50" s="599" t="s">
        <v>696</v>
      </c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75"/>
      <c r="D51" s="576"/>
      <c r="E51" s="777"/>
      <c r="F51" s="777"/>
      <c r="G51" s="791"/>
      <c r="H51" s="791"/>
      <c r="I51" s="791"/>
      <c r="J51" s="813"/>
      <c r="K51" s="791"/>
      <c r="L51" s="791"/>
      <c r="M51" s="813"/>
      <c r="N51" s="791"/>
      <c r="O51" s="791"/>
      <c r="P51" s="813"/>
      <c r="Q51" s="791"/>
      <c r="R51" s="791"/>
      <c r="S51" s="799"/>
      <c r="T51" s="791"/>
      <c r="U51" s="791"/>
      <c r="V51" s="791"/>
      <c r="W51" s="791"/>
      <c r="X51" s="791"/>
      <c r="Y51" s="813"/>
      <c r="Z51" s="791"/>
      <c r="AA51" s="791"/>
      <c r="AB51" s="791"/>
      <c r="AC51" s="791"/>
      <c r="AD51" s="791"/>
      <c r="AE51" s="791"/>
      <c r="AF51" s="791"/>
      <c r="AG51" s="791"/>
      <c r="AH51" s="791"/>
      <c r="AI51" s="791"/>
      <c r="AJ51" s="791"/>
      <c r="AK51" s="791"/>
      <c r="AL51" s="791"/>
      <c r="AM51" s="791"/>
      <c r="AN51" s="791"/>
      <c r="AO51" s="791"/>
      <c r="AP51" s="791"/>
      <c r="AQ51" s="579"/>
      <c r="AR51" s="579"/>
      <c r="AS51" s="581"/>
      <c r="AT51" s="577"/>
      <c r="AU51" s="577"/>
      <c r="AV51" s="577"/>
      <c r="AW51" s="577"/>
      <c r="AX51" s="577"/>
      <c r="AY51" s="577"/>
      <c r="AZ51" s="569"/>
      <c r="BA51" s="569"/>
      <c r="BB51" s="551"/>
      <c r="BC51" s="552"/>
      <c r="BD51" s="538"/>
      <c r="BE51" s="596"/>
      <c r="BF51" s="596"/>
      <c r="BG51" s="596"/>
      <c r="BH51" s="596" t="s">
        <v>697</v>
      </c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65"/>
      <c r="D52" s="565"/>
      <c r="E52" s="777"/>
      <c r="F52" s="777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91"/>
      <c r="V52" s="791"/>
      <c r="W52" s="791"/>
      <c r="X52" s="791"/>
      <c r="Y52" s="791"/>
      <c r="Z52" s="791"/>
      <c r="AA52" s="791"/>
      <c r="AB52" s="791"/>
      <c r="AC52" s="791"/>
      <c r="AD52" s="791"/>
      <c r="AE52" s="791"/>
      <c r="AF52" s="791"/>
      <c r="AG52" s="791"/>
      <c r="AH52" s="791"/>
      <c r="AI52" s="791"/>
      <c r="AJ52" s="791"/>
      <c r="AK52" s="791"/>
      <c r="AL52" s="791"/>
      <c r="AM52" s="791"/>
      <c r="AN52" s="791"/>
      <c r="AO52" s="791"/>
      <c r="AP52" s="791"/>
      <c r="AQ52" s="579"/>
      <c r="AR52" s="579"/>
      <c r="AS52" s="580"/>
      <c r="AT52" s="571"/>
      <c r="AU52" s="565"/>
      <c r="AV52" s="568"/>
      <c r="AW52" s="568"/>
      <c r="AX52" s="568"/>
      <c r="AY52" s="565"/>
      <c r="AZ52" s="569"/>
      <c r="BA52" s="569"/>
      <c r="BB52" s="536"/>
      <c r="BC52" s="537"/>
      <c r="BD52" s="539"/>
      <c r="BE52" s="596"/>
      <c r="BF52" s="596"/>
      <c r="BG52" s="596"/>
      <c r="BH52" s="599" t="s">
        <v>614</v>
      </c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75"/>
      <c r="D53" s="576"/>
      <c r="E53" s="777"/>
      <c r="F53" s="777"/>
      <c r="G53" s="791" t="s">
        <v>583</v>
      </c>
      <c r="H53" s="791"/>
      <c r="I53" s="791"/>
      <c r="J53" s="813" t="s">
        <v>589</v>
      </c>
      <c r="K53" s="791"/>
      <c r="L53" s="791"/>
      <c r="M53" s="813" t="s">
        <v>646</v>
      </c>
      <c r="N53" s="791"/>
      <c r="O53" s="791"/>
      <c r="P53" s="813" t="s">
        <v>648</v>
      </c>
      <c r="Q53" s="791"/>
      <c r="R53" s="791"/>
      <c r="S53" s="791" t="s">
        <v>299</v>
      </c>
      <c r="T53" s="791"/>
      <c r="U53" s="791"/>
      <c r="V53" s="815" t="s">
        <v>598</v>
      </c>
      <c r="W53" s="815"/>
      <c r="X53" s="815"/>
      <c r="Y53" s="815" t="s">
        <v>598</v>
      </c>
      <c r="Z53" s="815"/>
      <c r="AA53" s="815"/>
      <c r="AB53" s="815" t="s">
        <v>598</v>
      </c>
      <c r="AC53" s="815"/>
      <c r="AD53" s="815"/>
      <c r="AE53" s="815" t="s">
        <v>598</v>
      </c>
      <c r="AF53" s="815"/>
      <c r="AG53" s="815"/>
      <c r="AH53" s="815" t="s">
        <v>598</v>
      </c>
      <c r="AI53" s="815"/>
      <c r="AJ53" s="815"/>
      <c r="AK53" s="815" t="s">
        <v>598</v>
      </c>
      <c r="AL53" s="815"/>
      <c r="AM53" s="815"/>
      <c r="AN53" s="815" t="s">
        <v>598</v>
      </c>
      <c r="AO53" s="815"/>
      <c r="AP53" s="815"/>
      <c r="AQ53" s="579"/>
      <c r="AR53" s="579"/>
      <c r="AS53" s="579"/>
      <c r="AT53" s="573"/>
      <c r="AU53" s="568"/>
      <c r="AV53" s="568"/>
      <c r="AW53" s="568"/>
      <c r="AX53" s="568"/>
      <c r="AY53" s="568"/>
      <c r="AZ53" s="569"/>
      <c r="BA53" s="569"/>
      <c r="BB53" s="551"/>
      <c r="BC53" s="552"/>
      <c r="BD53" s="538"/>
      <c r="BE53" s="596"/>
      <c r="BF53" s="596"/>
      <c r="BG53" s="596"/>
      <c r="BH53" s="599" t="s">
        <v>615</v>
      </c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777"/>
      <c r="F54" s="777"/>
      <c r="G54" s="791"/>
      <c r="H54" s="791"/>
      <c r="I54" s="791"/>
      <c r="J54" s="813"/>
      <c r="K54" s="791"/>
      <c r="L54" s="791"/>
      <c r="M54" s="813"/>
      <c r="N54" s="791"/>
      <c r="O54" s="791"/>
      <c r="P54" s="791"/>
      <c r="Q54" s="791"/>
      <c r="R54" s="791"/>
      <c r="S54" s="791"/>
      <c r="T54" s="791"/>
      <c r="U54" s="791"/>
      <c r="V54" s="815"/>
      <c r="W54" s="815"/>
      <c r="X54" s="815"/>
      <c r="Y54" s="815"/>
      <c r="Z54" s="815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579"/>
      <c r="AR54" s="579"/>
      <c r="AS54" s="579"/>
      <c r="AT54" s="573"/>
      <c r="AU54" s="568"/>
      <c r="AV54" s="568"/>
      <c r="AW54" s="568"/>
      <c r="AX54" s="568"/>
      <c r="AY54" s="568"/>
      <c r="AZ54" s="569"/>
      <c r="BA54" s="569"/>
      <c r="BB54" s="551"/>
      <c r="BC54" s="552"/>
      <c r="BD54" s="538"/>
      <c r="BE54" s="596"/>
      <c r="BF54" s="596"/>
      <c r="BG54" s="596"/>
      <c r="BH54" s="596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777"/>
      <c r="F55" s="777"/>
      <c r="G55" s="791"/>
      <c r="H55" s="791"/>
      <c r="I55" s="791"/>
      <c r="J55" s="791"/>
      <c r="K55" s="791"/>
      <c r="L55" s="791"/>
      <c r="M55" s="791"/>
      <c r="N55" s="791"/>
      <c r="O55" s="791"/>
      <c r="P55" s="791"/>
      <c r="Q55" s="791"/>
      <c r="R55" s="791"/>
      <c r="S55" s="791"/>
      <c r="T55" s="791"/>
      <c r="U55" s="791"/>
      <c r="V55" s="815"/>
      <c r="W55" s="815"/>
      <c r="X55" s="815"/>
      <c r="Y55" s="815"/>
      <c r="Z55" s="815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 t="s">
        <v>698</v>
      </c>
      <c r="BH55" s="599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777"/>
      <c r="F56" s="777"/>
      <c r="G56" s="791" t="s">
        <v>584</v>
      </c>
      <c r="H56" s="791"/>
      <c r="I56" s="791"/>
      <c r="J56" s="813" t="s">
        <v>590</v>
      </c>
      <c r="K56" s="791"/>
      <c r="L56" s="791"/>
      <c r="M56" s="813" t="s">
        <v>646</v>
      </c>
      <c r="N56" s="791"/>
      <c r="O56" s="791"/>
      <c r="P56" s="813" t="s">
        <v>648</v>
      </c>
      <c r="Q56" s="791"/>
      <c r="R56" s="791"/>
      <c r="S56" s="799" t="s">
        <v>594</v>
      </c>
      <c r="T56" s="791"/>
      <c r="U56" s="791"/>
      <c r="V56" s="791" t="s">
        <v>599</v>
      </c>
      <c r="W56" s="791"/>
      <c r="X56" s="791"/>
      <c r="Y56" s="791" t="s">
        <v>599</v>
      </c>
      <c r="Z56" s="791"/>
      <c r="AA56" s="791"/>
      <c r="AB56" s="791" t="s">
        <v>599</v>
      </c>
      <c r="AC56" s="791"/>
      <c r="AD56" s="791"/>
      <c r="AE56" s="791" t="s">
        <v>599</v>
      </c>
      <c r="AF56" s="791"/>
      <c r="AG56" s="791"/>
      <c r="AH56" s="791" t="s">
        <v>599</v>
      </c>
      <c r="AI56" s="791"/>
      <c r="AJ56" s="791"/>
      <c r="AK56" s="791" t="s">
        <v>599</v>
      </c>
      <c r="AL56" s="791"/>
      <c r="AM56" s="791"/>
      <c r="AN56" s="791" t="s">
        <v>599</v>
      </c>
      <c r="AO56" s="791"/>
      <c r="AP56" s="791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9" t="s">
        <v>696</v>
      </c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777"/>
      <c r="F57" s="777"/>
      <c r="G57" s="791"/>
      <c r="H57" s="791"/>
      <c r="I57" s="791"/>
      <c r="J57" s="813"/>
      <c r="K57" s="791"/>
      <c r="L57" s="791"/>
      <c r="M57" s="813"/>
      <c r="N57" s="791"/>
      <c r="O57" s="791"/>
      <c r="P57" s="791"/>
      <c r="Q57" s="791"/>
      <c r="R57" s="791"/>
      <c r="S57" s="799"/>
      <c r="T57" s="791"/>
      <c r="U57" s="791"/>
      <c r="V57" s="791"/>
      <c r="W57" s="791"/>
      <c r="X57" s="791"/>
      <c r="Y57" s="791"/>
      <c r="Z57" s="791"/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9" t="s">
        <v>699</v>
      </c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65"/>
      <c r="D58" s="565"/>
      <c r="E58" s="777"/>
      <c r="F58" s="777"/>
      <c r="G58" s="791"/>
      <c r="H58" s="791"/>
      <c r="I58" s="791"/>
      <c r="J58" s="791"/>
      <c r="K58" s="791"/>
      <c r="L58" s="791"/>
      <c r="M58" s="791"/>
      <c r="N58" s="791"/>
      <c r="O58" s="791"/>
      <c r="P58" s="791"/>
      <c r="Q58" s="791"/>
      <c r="R58" s="791"/>
      <c r="S58" s="791"/>
      <c r="T58" s="791"/>
      <c r="U58" s="791"/>
      <c r="V58" s="791"/>
      <c r="W58" s="791"/>
      <c r="X58" s="791"/>
      <c r="Y58" s="791"/>
      <c r="Z58" s="791"/>
      <c r="AA58" s="791"/>
      <c r="AB58" s="791"/>
      <c r="AC58" s="791"/>
      <c r="AD58" s="791"/>
      <c r="AE58" s="791"/>
      <c r="AF58" s="791"/>
      <c r="AG58" s="791"/>
      <c r="AH58" s="791"/>
      <c r="AI58" s="791"/>
      <c r="AJ58" s="791"/>
      <c r="AK58" s="791"/>
      <c r="AL58" s="791"/>
      <c r="AM58" s="791"/>
      <c r="AN58" s="791"/>
      <c r="AO58" s="791"/>
      <c r="AP58" s="791"/>
      <c r="AQ58" s="579"/>
      <c r="AR58" s="579"/>
      <c r="AS58" s="580"/>
      <c r="AT58" s="571"/>
      <c r="AU58" s="565"/>
      <c r="AV58" s="568"/>
      <c r="AW58" s="568"/>
      <c r="AX58" s="568"/>
      <c r="AY58" s="565"/>
      <c r="AZ58" s="569"/>
      <c r="BA58" s="569"/>
      <c r="BB58" s="536"/>
      <c r="BC58" s="537"/>
      <c r="BD58" s="539"/>
      <c r="BE58" s="596"/>
      <c r="BF58" s="596"/>
      <c r="BG58" s="596"/>
      <c r="BH58" s="599" t="s">
        <v>700</v>
      </c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777"/>
      <c r="F59" s="777"/>
      <c r="G59" s="791" t="s">
        <v>299</v>
      </c>
      <c r="H59" s="791"/>
      <c r="I59" s="791"/>
      <c r="J59" s="813" t="s">
        <v>591</v>
      </c>
      <c r="K59" s="791"/>
      <c r="L59" s="791"/>
      <c r="M59" s="791" t="s">
        <v>299</v>
      </c>
      <c r="N59" s="791"/>
      <c r="O59" s="791"/>
      <c r="P59" s="791" t="s">
        <v>299</v>
      </c>
      <c r="Q59" s="791"/>
      <c r="R59" s="791"/>
      <c r="S59" s="791" t="s">
        <v>299</v>
      </c>
      <c r="T59" s="791"/>
      <c r="U59" s="791"/>
      <c r="V59" s="791"/>
      <c r="W59" s="791"/>
      <c r="X59" s="791"/>
      <c r="Y59" s="791"/>
      <c r="Z59" s="791"/>
      <c r="AA59" s="791"/>
      <c r="AB59" s="791"/>
      <c r="AC59" s="791"/>
      <c r="AD59" s="791"/>
      <c r="AE59" s="791"/>
      <c r="AF59" s="791"/>
      <c r="AG59" s="791"/>
      <c r="AH59" s="791"/>
      <c r="AI59" s="791"/>
      <c r="AJ59" s="791"/>
      <c r="AK59" s="791"/>
      <c r="AL59" s="791"/>
      <c r="AM59" s="791"/>
      <c r="AN59" s="791"/>
      <c r="AO59" s="791"/>
      <c r="AP59" s="791"/>
      <c r="AQ59" s="579"/>
      <c r="AR59" s="579"/>
      <c r="AS59" s="579"/>
      <c r="AT59" s="573"/>
      <c r="AU59" s="568"/>
      <c r="AV59" s="568"/>
      <c r="AW59" s="568"/>
      <c r="AX59" s="568"/>
      <c r="AY59" s="568"/>
      <c r="AZ59" s="569"/>
      <c r="BA59" s="569"/>
      <c r="BB59" s="551"/>
      <c r="BC59" s="552"/>
      <c r="BD59" s="538"/>
      <c r="BE59" s="596"/>
      <c r="BF59" s="596"/>
      <c r="BG59" s="596"/>
      <c r="BH59" s="599" t="s">
        <v>701</v>
      </c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777"/>
      <c r="F60" s="777"/>
      <c r="G60" s="791"/>
      <c r="H60" s="791"/>
      <c r="I60" s="791"/>
      <c r="J60" s="813"/>
      <c r="K60" s="791"/>
      <c r="L60" s="791"/>
      <c r="M60" s="791"/>
      <c r="N60" s="791"/>
      <c r="O60" s="791"/>
      <c r="P60" s="791"/>
      <c r="Q60" s="791"/>
      <c r="R60" s="791"/>
      <c r="S60" s="791"/>
      <c r="T60" s="791"/>
      <c r="U60" s="791"/>
      <c r="V60" s="791"/>
      <c r="W60" s="791"/>
      <c r="X60" s="791"/>
      <c r="Y60" s="791"/>
      <c r="Z60" s="791"/>
      <c r="AA60" s="791"/>
      <c r="AB60" s="791"/>
      <c r="AC60" s="791"/>
      <c r="AD60" s="791"/>
      <c r="AE60" s="791"/>
      <c r="AF60" s="791"/>
      <c r="AG60" s="791"/>
      <c r="AH60" s="791"/>
      <c r="AI60" s="791"/>
      <c r="AJ60" s="791"/>
      <c r="AK60" s="791"/>
      <c r="AL60" s="791"/>
      <c r="AM60" s="791"/>
      <c r="AN60" s="791"/>
      <c r="AO60" s="791"/>
      <c r="AP60" s="791"/>
      <c r="AQ60" s="579"/>
      <c r="AR60" s="579"/>
      <c r="AS60" s="581"/>
      <c r="AT60" s="577"/>
      <c r="AU60" s="577"/>
      <c r="AV60" s="577"/>
      <c r="AW60" s="577"/>
      <c r="AX60" s="577"/>
      <c r="AY60" s="577"/>
      <c r="AZ60" s="569"/>
      <c r="BA60" s="569"/>
      <c r="BB60" s="551"/>
      <c r="BC60" s="552"/>
      <c r="BD60" s="538"/>
      <c r="BE60" s="596"/>
      <c r="BF60" s="596"/>
      <c r="BG60" s="596"/>
      <c r="BH60" s="599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777"/>
      <c r="F61" s="777"/>
      <c r="G61" s="791"/>
      <c r="H61" s="791"/>
      <c r="I61" s="791"/>
      <c r="J61" s="791"/>
      <c r="K61" s="791"/>
      <c r="L61" s="791"/>
      <c r="M61" s="791"/>
      <c r="N61" s="791"/>
      <c r="O61" s="791"/>
      <c r="P61" s="791"/>
      <c r="Q61" s="791"/>
      <c r="R61" s="791"/>
      <c r="S61" s="791"/>
      <c r="T61" s="791"/>
      <c r="U61" s="791"/>
      <c r="V61" s="791"/>
      <c r="W61" s="791"/>
      <c r="X61" s="791"/>
      <c r="Y61" s="791"/>
      <c r="Z61" s="791"/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579"/>
      <c r="AR61" s="579"/>
      <c r="AS61" s="581"/>
      <c r="AT61" s="577"/>
      <c r="AU61" s="577"/>
      <c r="AV61" s="577"/>
      <c r="AW61" s="577"/>
      <c r="AX61" s="577"/>
      <c r="AY61" s="577"/>
      <c r="AZ61" s="569"/>
      <c r="BA61" s="569"/>
      <c r="BB61" s="551"/>
      <c r="BC61" s="552"/>
      <c r="BD61" s="538"/>
      <c r="BE61" s="596"/>
      <c r="BF61" s="596"/>
      <c r="BG61" s="596" t="s">
        <v>702</v>
      </c>
      <c r="BH61" s="599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65"/>
      <c r="D62" s="565"/>
      <c r="E62" s="565"/>
      <c r="F62" s="565"/>
      <c r="G62" s="565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0"/>
      <c r="AT62" s="571"/>
      <c r="AU62" s="565"/>
      <c r="AV62" s="568"/>
      <c r="AW62" s="568"/>
      <c r="AX62" s="568"/>
      <c r="AY62" s="565"/>
      <c r="AZ62" s="569"/>
      <c r="BA62" s="569"/>
      <c r="BB62" s="536"/>
      <c r="BC62" s="537"/>
      <c r="BD62" s="539"/>
      <c r="BE62" s="596"/>
      <c r="BF62" s="596"/>
      <c r="BG62" s="596"/>
      <c r="BH62" s="599" t="s">
        <v>696</v>
      </c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579"/>
      <c r="K63" s="579"/>
      <c r="L63" s="579"/>
      <c r="M63" s="579"/>
      <c r="N63" s="579"/>
      <c r="O63" s="579"/>
      <c r="P63" s="579"/>
      <c r="Q63" s="579"/>
      <c r="R63" s="579"/>
      <c r="S63" s="579"/>
      <c r="T63" s="579"/>
      <c r="U63" s="579"/>
      <c r="V63" s="579"/>
      <c r="W63" s="579"/>
      <c r="X63" s="579"/>
      <c r="Y63" s="579"/>
      <c r="Z63" s="579"/>
      <c r="AA63" s="579"/>
      <c r="AB63" s="579"/>
      <c r="AC63" s="579"/>
      <c r="AD63" s="579"/>
      <c r="AE63" s="579"/>
      <c r="AF63" s="579"/>
      <c r="AG63" s="579"/>
      <c r="AH63" s="579"/>
      <c r="AI63" s="579"/>
      <c r="AJ63" s="579"/>
      <c r="AK63" s="579"/>
      <c r="AL63" s="579"/>
      <c r="AM63" s="579"/>
      <c r="AN63" s="579"/>
      <c r="AO63" s="579"/>
      <c r="AP63" s="579"/>
      <c r="AQ63" s="579"/>
      <c r="AR63" s="579"/>
      <c r="AS63" s="579"/>
      <c r="AT63" s="573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9" t="s">
        <v>703</v>
      </c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9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568"/>
      <c r="F65" s="568"/>
      <c r="G65" s="568"/>
      <c r="H65" s="579"/>
      <c r="I65" s="579"/>
      <c r="J65" s="778"/>
      <c r="K65" s="778"/>
      <c r="L65" s="778"/>
      <c r="M65" s="778"/>
      <c r="N65" s="582"/>
      <c r="O65" s="583"/>
      <c r="P65" s="582"/>
      <c r="Q65" s="579"/>
      <c r="R65" s="579"/>
      <c r="S65" s="579"/>
      <c r="T65" s="580"/>
      <c r="U65" s="580"/>
      <c r="V65" s="580"/>
      <c r="W65" s="580"/>
      <c r="X65" s="580"/>
      <c r="Y65" s="583"/>
      <c r="Z65" s="580"/>
      <c r="AA65" s="579"/>
      <c r="AB65" s="583"/>
      <c r="AC65" s="580"/>
      <c r="AD65" s="579"/>
      <c r="AE65" s="583"/>
      <c r="AF65" s="579"/>
      <c r="AG65" s="579"/>
      <c r="AH65" s="583"/>
      <c r="AI65" s="579"/>
      <c r="AJ65" s="579"/>
      <c r="AK65" s="584"/>
      <c r="AL65" s="579"/>
      <c r="AM65" s="579"/>
      <c r="AN65" s="579"/>
      <c r="AO65" s="579"/>
      <c r="AP65" s="579"/>
      <c r="AQ65" s="579"/>
      <c r="AR65" s="579"/>
      <c r="AS65" s="579"/>
      <c r="AT65" s="568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 t="s">
        <v>704</v>
      </c>
      <c r="BH65" s="599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/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79"/>
      <c r="AT66" s="573"/>
      <c r="AU66" s="568"/>
      <c r="AV66" s="568"/>
      <c r="AW66" s="568"/>
      <c r="AX66" s="568"/>
      <c r="AY66" s="568"/>
      <c r="AZ66" s="569"/>
      <c r="BA66" s="569"/>
      <c r="BB66" s="551"/>
      <c r="BC66" s="552"/>
      <c r="BD66" s="538"/>
      <c r="BE66" s="596"/>
      <c r="BF66" s="596"/>
      <c r="BG66" s="596"/>
      <c r="BH66" s="599" t="s">
        <v>696</v>
      </c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6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79"/>
      <c r="AI67" s="579"/>
      <c r="AJ67" s="579"/>
      <c r="AK67" s="579"/>
      <c r="AL67" s="579"/>
      <c r="AM67" s="579"/>
      <c r="AN67" s="579"/>
      <c r="AO67" s="579"/>
      <c r="AP67" s="579"/>
      <c r="AQ67" s="579"/>
      <c r="AR67" s="579"/>
      <c r="AS67" s="581"/>
      <c r="AT67" s="577"/>
      <c r="AU67" s="577"/>
      <c r="AV67" s="577"/>
      <c r="AW67" s="577"/>
      <c r="AX67" s="577"/>
      <c r="AY67" s="577"/>
      <c r="AZ67" s="569"/>
      <c r="BA67" s="569"/>
      <c r="BB67" s="551"/>
      <c r="BC67" s="552"/>
      <c r="BD67" s="538"/>
      <c r="BE67" s="596"/>
      <c r="BF67" s="596"/>
      <c r="BG67" s="596"/>
      <c r="BH67" s="599" t="s">
        <v>705</v>
      </c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6"/>
      <c r="BT67" s="596"/>
    </row>
    <row r="68" spans="1:72" ht="12.5" customHeight="1">
      <c r="A68" s="540"/>
      <c r="B68" s="566"/>
      <c r="C68" s="575"/>
      <c r="D68" s="576"/>
      <c r="E68" s="568"/>
      <c r="F68" s="568"/>
      <c r="G68" s="568"/>
      <c r="H68" s="579"/>
      <c r="I68" s="579"/>
      <c r="J68" s="778"/>
      <c r="K68" s="778"/>
      <c r="L68" s="778"/>
      <c r="M68" s="778"/>
      <c r="N68" s="582"/>
      <c r="O68" s="583"/>
      <c r="P68" s="582"/>
      <c r="Q68" s="579"/>
      <c r="R68" s="579"/>
      <c r="S68" s="579"/>
      <c r="T68" s="580"/>
      <c r="U68" s="580"/>
      <c r="V68" s="580"/>
      <c r="W68" s="580"/>
      <c r="X68" s="580"/>
      <c r="Y68" s="583"/>
      <c r="Z68" s="580"/>
      <c r="AA68" s="579"/>
      <c r="AB68" s="583"/>
      <c r="AC68" s="580"/>
      <c r="AD68" s="579"/>
      <c r="AE68" s="583"/>
      <c r="AF68" s="579"/>
      <c r="AG68" s="579"/>
      <c r="AH68" s="583"/>
      <c r="AI68" s="579"/>
      <c r="AJ68" s="579"/>
      <c r="AK68" s="584"/>
      <c r="AL68" s="579"/>
      <c r="AM68" s="579"/>
      <c r="AN68" s="579"/>
      <c r="AO68" s="579"/>
      <c r="AP68" s="579"/>
      <c r="AQ68" s="579"/>
      <c r="AR68" s="579"/>
      <c r="AS68" s="579"/>
      <c r="AT68" s="568"/>
      <c r="AU68" s="568"/>
      <c r="AV68" s="568"/>
      <c r="AW68" s="568"/>
      <c r="AX68" s="568"/>
      <c r="AY68" s="568"/>
      <c r="AZ68" s="569"/>
      <c r="BA68" s="569"/>
      <c r="BB68" s="551"/>
      <c r="BC68" s="552"/>
      <c r="BD68" s="538"/>
      <c r="BE68" s="596"/>
      <c r="BF68" s="596"/>
      <c r="BG68" s="596"/>
      <c r="BH68" s="599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6"/>
      <c r="BT68" s="596"/>
    </row>
    <row r="69" spans="1:72" ht="12.5" customHeight="1">
      <c r="A69" s="540"/>
      <c r="B69" s="566"/>
      <c r="C69" s="575"/>
      <c r="D69" s="576"/>
      <c r="E69" s="568"/>
      <c r="F69" s="568"/>
      <c r="G69" s="568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81"/>
      <c r="AT69" s="577"/>
      <c r="AU69" s="577"/>
      <c r="AV69" s="577"/>
      <c r="AW69" s="577"/>
      <c r="AX69" s="577"/>
      <c r="AY69" s="577"/>
      <c r="AZ69" s="569"/>
      <c r="BA69" s="569"/>
      <c r="BB69" s="551"/>
      <c r="BC69" s="552"/>
      <c r="BD69" s="538"/>
      <c r="BE69" s="596"/>
      <c r="BF69" s="596"/>
      <c r="BG69" s="596" t="s">
        <v>706</v>
      </c>
      <c r="BH69" s="599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6"/>
      <c r="BT69" s="596"/>
    </row>
    <row r="70" spans="1:72" ht="12.5" customHeight="1">
      <c r="A70" s="540"/>
      <c r="B70" s="566"/>
      <c r="C70" s="575"/>
      <c r="D70" s="576"/>
      <c r="E70" s="682" t="s">
        <v>600</v>
      </c>
      <c r="F70" s="568"/>
      <c r="G70" s="568"/>
      <c r="H70" s="579"/>
      <c r="I70" s="579"/>
      <c r="J70" s="579"/>
      <c r="K70" s="579"/>
      <c r="L70" s="579"/>
      <c r="M70" s="579"/>
      <c r="N70" s="579"/>
      <c r="O70" s="579"/>
      <c r="P70" s="579"/>
      <c r="Q70" s="579"/>
      <c r="R70" s="579"/>
      <c r="S70" s="579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79"/>
      <c r="AT70" s="573"/>
      <c r="AU70" s="568"/>
      <c r="AV70" s="568"/>
      <c r="AW70" s="568"/>
      <c r="AX70" s="568"/>
      <c r="AY70" s="568"/>
      <c r="AZ70" s="569"/>
      <c r="BA70" s="569"/>
      <c r="BB70" s="551"/>
      <c r="BC70" s="552"/>
      <c r="BD70" s="538"/>
      <c r="BE70" s="596"/>
      <c r="BF70" s="596"/>
      <c r="BG70" s="596"/>
      <c r="BH70" s="599" t="s">
        <v>696</v>
      </c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568" t="s">
        <v>649</v>
      </c>
      <c r="F71" s="568"/>
      <c r="G71" s="568"/>
      <c r="H71" s="579"/>
      <c r="I71" s="579"/>
      <c r="J71" s="579"/>
      <c r="K71" s="579"/>
      <c r="L71" s="579"/>
      <c r="M71" s="579"/>
      <c r="N71" s="579"/>
      <c r="O71" s="579"/>
      <c r="P71" s="579"/>
      <c r="Q71" s="579"/>
      <c r="R71" s="579"/>
      <c r="S71" s="579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81"/>
      <c r="AT71" s="577"/>
      <c r="AU71" s="577"/>
      <c r="AV71" s="577"/>
      <c r="AW71" s="577"/>
      <c r="AX71" s="577"/>
      <c r="AY71" s="577"/>
      <c r="AZ71" s="569"/>
      <c r="BA71" s="569"/>
      <c r="BB71" s="551"/>
      <c r="BC71" s="552"/>
      <c r="BD71" s="538"/>
      <c r="BE71" s="596"/>
      <c r="BF71" s="596"/>
      <c r="BG71" s="596"/>
      <c r="BH71" s="599" t="s">
        <v>707</v>
      </c>
      <c r="BI71" s="596"/>
      <c r="BJ71" s="596"/>
      <c r="BK71" s="596"/>
      <c r="BL71" s="596"/>
      <c r="BM71" s="596"/>
      <c r="BN71" s="596"/>
      <c r="BO71" s="596"/>
      <c r="BP71" s="596"/>
      <c r="BQ71" s="596"/>
      <c r="BR71" s="596"/>
      <c r="BS71" s="597"/>
      <c r="BT71" s="596"/>
    </row>
    <row r="72" spans="1:72" ht="12.5" customHeight="1">
      <c r="A72" s="540"/>
      <c r="B72" s="566"/>
      <c r="C72" s="575"/>
      <c r="D72" s="576"/>
      <c r="E72" s="568"/>
      <c r="F72" s="568"/>
      <c r="G72" s="568"/>
      <c r="H72" s="579"/>
      <c r="I72" s="579"/>
      <c r="J72" s="778"/>
      <c r="K72" s="778"/>
      <c r="L72" s="778"/>
      <c r="M72" s="778"/>
      <c r="N72" s="582"/>
      <c r="O72" s="583"/>
      <c r="P72" s="582"/>
      <c r="Q72" s="579"/>
      <c r="R72" s="579"/>
      <c r="S72" s="579"/>
      <c r="T72" s="580"/>
      <c r="U72" s="580"/>
      <c r="V72" s="580"/>
      <c r="W72" s="580"/>
      <c r="X72" s="580"/>
      <c r="Y72" s="583"/>
      <c r="Z72" s="580"/>
      <c r="AA72" s="579"/>
      <c r="AB72" s="583"/>
      <c r="AC72" s="580"/>
      <c r="AD72" s="579"/>
      <c r="AE72" s="583"/>
      <c r="AF72" s="579"/>
      <c r="AG72" s="579"/>
      <c r="AH72" s="583"/>
      <c r="AI72" s="579"/>
      <c r="AJ72" s="579"/>
      <c r="AK72" s="584"/>
      <c r="AL72" s="579"/>
      <c r="AM72" s="579"/>
      <c r="AN72" s="579"/>
      <c r="AO72" s="579"/>
      <c r="AP72" s="579"/>
      <c r="AQ72" s="579"/>
      <c r="AR72" s="579"/>
      <c r="AS72" s="579"/>
      <c r="AT72" s="568"/>
      <c r="AU72" s="568"/>
      <c r="AV72" s="568"/>
      <c r="AW72" s="568"/>
      <c r="AX72" s="568"/>
      <c r="AY72" s="568"/>
      <c r="AZ72" s="569"/>
      <c r="BA72" s="569"/>
      <c r="BB72" s="551"/>
      <c r="BC72" s="552"/>
      <c r="BD72" s="538"/>
      <c r="BE72" s="596"/>
      <c r="BF72" s="596"/>
      <c r="BG72" s="596"/>
      <c r="BH72" s="599"/>
      <c r="BI72" s="596"/>
      <c r="BJ72" s="596"/>
      <c r="BK72" s="596"/>
      <c r="BL72" s="596"/>
      <c r="BM72" s="596"/>
      <c r="BN72" s="596"/>
      <c r="BO72" s="596"/>
      <c r="BP72" s="596"/>
      <c r="BQ72" s="596"/>
      <c r="BR72" s="596"/>
      <c r="BS72" s="597"/>
      <c r="BT72" s="596"/>
    </row>
    <row r="73" spans="1:72" ht="12.5" customHeight="1">
      <c r="A73" s="540"/>
      <c r="B73" s="566"/>
      <c r="C73" s="567"/>
      <c r="D73" s="567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9"/>
      <c r="BA73" s="569"/>
      <c r="BB73" s="551"/>
      <c r="BC73" s="552"/>
      <c r="BD73" s="538"/>
      <c r="BE73" s="596"/>
      <c r="BF73" s="596"/>
      <c r="BG73" s="596" t="s">
        <v>708</v>
      </c>
      <c r="BH73" s="599"/>
      <c r="BI73" s="596"/>
      <c r="BJ73" s="596"/>
      <c r="BK73" s="596"/>
      <c r="BL73" s="596"/>
      <c r="BM73" s="596"/>
      <c r="BN73" s="596"/>
      <c r="BO73" s="596"/>
      <c r="BP73" s="596"/>
      <c r="BQ73" s="596"/>
      <c r="BR73" s="596"/>
      <c r="BS73" s="597"/>
      <c r="BT73" s="596"/>
    </row>
    <row r="74" spans="1:72" ht="12.5" customHeight="1">
      <c r="A74" s="540"/>
      <c r="B74" s="566"/>
      <c r="C74" s="575"/>
      <c r="D74" s="576"/>
      <c r="E74" s="684"/>
      <c r="F74" s="684"/>
      <c r="G74" s="689" t="s">
        <v>601</v>
      </c>
      <c r="H74" s="688"/>
      <c r="I74" s="688"/>
      <c r="J74" s="688"/>
      <c r="K74" s="688"/>
      <c r="L74" s="688"/>
      <c r="M74" s="688"/>
      <c r="N74" s="688"/>
      <c r="O74" s="688"/>
      <c r="P74" s="688"/>
      <c r="Q74" s="685"/>
      <c r="R74" s="685"/>
      <c r="S74" s="685"/>
      <c r="T74" s="579"/>
      <c r="U74" s="579"/>
      <c r="V74" s="579"/>
      <c r="W74" s="579"/>
      <c r="X74" s="579"/>
      <c r="Y74" s="579"/>
      <c r="Z74" s="579"/>
      <c r="AA74" s="579"/>
      <c r="AB74" s="579"/>
      <c r="AC74" s="579"/>
      <c r="AD74" s="579"/>
      <c r="AE74" s="579"/>
      <c r="AF74" s="579"/>
      <c r="AG74" s="579"/>
      <c r="AH74" s="579"/>
      <c r="AI74" s="579"/>
      <c r="AJ74" s="579"/>
      <c r="AK74" s="579"/>
      <c r="AL74" s="579"/>
      <c r="AM74" s="579"/>
      <c r="AN74" s="579"/>
      <c r="AO74" s="579"/>
      <c r="AP74" s="579"/>
      <c r="AQ74" s="579"/>
      <c r="AR74" s="579"/>
      <c r="AS74" s="579"/>
      <c r="AT74" s="573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7"/>
      <c r="BT74" s="596"/>
    </row>
    <row r="75" spans="1:72" ht="12.5" customHeight="1">
      <c r="A75" s="540"/>
      <c r="B75" s="566"/>
      <c r="C75" s="575"/>
      <c r="D75" s="576"/>
      <c r="E75" s="684"/>
      <c r="F75" s="684"/>
      <c r="G75" s="684"/>
      <c r="H75" s="685"/>
      <c r="I75" s="685"/>
      <c r="J75" s="688" t="s">
        <v>602</v>
      </c>
      <c r="K75" s="688"/>
      <c r="L75" s="688"/>
      <c r="M75" s="688"/>
      <c r="N75" s="685"/>
      <c r="O75" s="685"/>
      <c r="P75" s="685"/>
      <c r="Q75" s="685"/>
      <c r="R75" s="685"/>
      <c r="S75" s="685"/>
      <c r="T75" s="579"/>
      <c r="U75" s="579"/>
      <c r="V75" s="579"/>
      <c r="W75" s="579"/>
      <c r="X75" s="579"/>
      <c r="Y75" s="579"/>
      <c r="Z75" s="579"/>
      <c r="AA75" s="579"/>
      <c r="AB75" s="579"/>
      <c r="AC75" s="579"/>
      <c r="AD75" s="579"/>
      <c r="AE75" s="579"/>
      <c r="AF75" s="579"/>
      <c r="AG75" s="579"/>
      <c r="AH75" s="579"/>
      <c r="AI75" s="579"/>
      <c r="AJ75" s="579"/>
      <c r="AK75" s="579"/>
      <c r="AL75" s="579"/>
      <c r="AM75" s="579"/>
      <c r="AN75" s="579"/>
      <c r="AO75" s="579"/>
      <c r="AP75" s="579"/>
      <c r="AQ75" s="579"/>
      <c r="AR75" s="579"/>
      <c r="AS75" s="581"/>
      <c r="AT75" s="577"/>
      <c r="AU75" s="577"/>
      <c r="AV75" s="577"/>
      <c r="AW75" s="577"/>
      <c r="AX75" s="577"/>
      <c r="AY75" s="577"/>
      <c r="AZ75" s="569"/>
      <c r="BA75" s="569"/>
      <c r="BB75" s="551"/>
      <c r="BC75" s="552"/>
      <c r="BD75" s="538"/>
      <c r="BE75" s="596"/>
      <c r="BF75" s="596"/>
      <c r="BG75" s="596" t="s">
        <v>709</v>
      </c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767" t="s">
        <v>680</v>
      </c>
      <c r="F76" s="767"/>
      <c r="G76" s="767"/>
      <c r="H76" s="767"/>
      <c r="I76" s="767"/>
      <c r="J76" s="767"/>
      <c r="K76" s="767"/>
      <c r="L76" s="767"/>
      <c r="M76" s="767"/>
      <c r="N76" s="767"/>
      <c r="O76" s="767"/>
      <c r="P76" s="767"/>
      <c r="Q76" s="767"/>
      <c r="R76" s="767"/>
      <c r="S76" s="767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6" t="s">
        <v>710</v>
      </c>
      <c r="BI76" s="596"/>
      <c r="BJ76" s="596"/>
      <c r="BK76" s="596"/>
      <c r="BL76" s="596"/>
      <c r="BM76" s="597"/>
      <c r="BN76" s="597"/>
      <c r="BO76" s="597"/>
      <c r="BP76" s="597"/>
      <c r="BQ76" s="597"/>
      <c r="BR76" s="597"/>
      <c r="BS76" s="596"/>
      <c r="BT76" s="596"/>
    </row>
    <row r="77" spans="1:72" ht="12.5" customHeight="1">
      <c r="A77" s="540"/>
      <c r="B77" s="566"/>
      <c r="C77" s="575"/>
      <c r="D77" s="576"/>
      <c r="E77" s="684"/>
      <c r="F77" s="684"/>
      <c r="G77" s="684"/>
      <c r="H77" s="685"/>
      <c r="I77" s="685"/>
      <c r="J77" s="688" t="s">
        <v>650</v>
      </c>
      <c r="K77" s="688"/>
      <c r="L77" s="688"/>
      <c r="M77" s="688"/>
      <c r="N77" s="685"/>
      <c r="O77" s="685"/>
      <c r="P77" s="685"/>
      <c r="Q77" s="685"/>
      <c r="R77" s="685"/>
      <c r="S77" s="685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9" t="s">
        <v>711</v>
      </c>
      <c r="BI77" s="596"/>
      <c r="BJ77" s="596"/>
      <c r="BK77" s="596"/>
      <c r="BL77" s="596"/>
      <c r="BM77" s="597"/>
      <c r="BN77" s="597"/>
      <c r="BO77" s="597"/>
      <c r="BP77" s="597"/>
      <c r="BQ77" s="597"/>
      <c r="BR77" s="597"/>
      <c r="BS77" s="596"/>
      <c r="BT77" s="596"/>
    </row>
    <row r="78" spans="1:72" ht="12.5" customHeight="1">
      <c r="A78" s="540"/>
      <c r="B78" s="566"/>
      <c r="C78" s="575"/>
      <c r="D78" s="576"/>
      <c r="E78" s="684"/>
      <c r="F78" s="684"/>
      <c r="G78" s="684"/>
      <c r="H78" s="685"/>
      <c r="I78" s="685"/>
      <c r="J78" s="690"/>
      <c r="K78" s="690"/>
      <c r="L78" s="690"/>
      <c r="M78" s="690"/>
      <c r="N78" s="686"/>
      <c r="O78" s="687"/>
      <c r="P78" s="686"/>
      <c r="Q78" s="685"/>
      <c r="R78" s="685"/>
      <c r="S78" s="685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9" t="s">
        <v>712</v>
      </c>
      <c r="BI78" s="596"/>
      <c r="BJ78" s="596"/>
      <c r="BK78" s="596"/>
      <c r="BL78" s="596"/>
      <c r="BM78" s="597"/>
      <c r="BN78" s="597"/>
      <c r="BO78" s="597"/>
      <c r="BP78" s="597"/>
      <c r="BQ78" s="597"/>
      <c r="BR78" s="597"/>
      <c r="BS78" s="596"/>
      <c r="BT78" s="596"/>
    </row>
    <row r="79" spans="1:72" ht="12.5" customHeight="1">
      <c r="A79" s="540"/>
      <c r="B79" s="566"/>
      <c r="C79" s="575"/>
      <c r="D79" s="576"/>
      <c r="E79" s="684"/>
      <c r="F79" s="684"/>
      <c r="G79" s="684"/>
      <c r="H79" s="685"/>
      <c r="I79" s="685"/>
      <c r="J79" s="816"/>
      <c r="K79" s="816"/>
      <c r="L79" s="816"/>
      <c r="M79" s="816"/>
      <c r="N79" s="686"/>
      <c r="O79" s="687"/>
      <c r="P79" s="686"/>
      <c r="Q79" s="685"/>
      <c r="R79" s="685"/>
      <c r="S79" s="685"/>
      <c r="T79" s="580"/>
      <c r="U79" s="580"/>
      <c r="V79" s="580"/>
      <c r="W79" s="580"/>
      <c r="X79" s="580"/>
      <c r="Y79" s="583"/>
      <c r="Z79" s="580"/>
      <c r="AA79" s="579"/>
      <c r="AB79" s="583"/>
      <c r="AC79" s="580"/>
      <c r="AD79" s="579"/>
      <c r="AE79" s="583"/>
      <c r="AF79" s="579"/>
      <c r="AG79" s="579"/>
      <c r="AH79" s="583"/>
      <c r="AI79" s="579"/>
      <c r="AJ79" s="579"/>
      <c r="AK79" s="584"/>
      <c r="AL79" s="579"/>
      <c r="AM79" s="579"/>
      <c r="AN79" s="579"/>
      <c r="AO79" s="579"/>
      <c r="AP79" s="579"/>
      <c r="AQ79" s="579"/>
      <c r="AR79" s="579"/>
      <c r="AS79" s="579"/>
      <c r="AT79" s="568"/>
      <c r="AU79" s="568"/>
      <c r="AV79" s="568"/>
      <c r="AW79" s="568"/>
      <c r="AX79" s="568"/>
      <c r="AY79" s="568"/>
      <c r="AZ79" s="569"/>
      <c r="BA79" s="569"/>
      <c r="BB79" s="551"/>
      <c r="BC79" s="552"/>
      <c r="BD79" s="538"/>
      <c r="BE79" s="596"/>
      <c r="BF79" s="596"/>
      <c r="BG79" s="596"/>
      <c r="BH79" s="599"/>
      <c r="BI79" s="596" t="s">
        <v>616</v>
      </c>
      <c r="BJ79" s="596"/>
      <c r="BK79" s="596"/>
      <c r="BL79" s="596"/>
      <c r="BM79" s="597"/>
      <c r="BN79" s="597"/>
      <c r="BO79" s="597"/>
      <c r="BP79" s="597"/>
      <c r="BQ79" s="597"/>
      <c r="BR79" s="597"/>
      <c r="BS79" s="596"/>
      <c r="BT79" s="596"/>
    </row>
    <row r="80" spans="1:72" ht="12.5" customHeight="1">
      <c r="A80" s="540"/>
      <c r="B80" s="566"/>
      <c r="C80" s="567"/>
      <c r="D80" s="567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51"/>
      <c r="BC80" s="552"/>
      <c r="BD80" s="538"/>
      <c r="BE80" s="596"/>
      <c r="BF80" s="596"/>
      <c r="BG80" s="596"/>
      <c r="BH80" s="599"/>
      <c r="BI80" s="596" t="s">
        <v>713</v>
      </c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2.5" customHeight="1">
      <c r="A81" s="540"/>
      <c r="B81" s="566"/>
      <c r="C81" s="575"/>
      <c r="D81" s="576"/>
      <c r="E81" s="683"/>
      <c r="F81" s="683"/>
      <c r="G81" s="683"/>
      <c r="H81" s="683"/>
      <c r="I81" s="683"/>
      <c r="J81" s="683"/>
      <c r="K81" s="683"/>
      <c r="L81" s="683"/>
      <c r="M81" s="683"/>
      <c r="N81" s="683"/>
      <c r="O81" s="683"/>
      <c r="P81" s="683"/>
      <c r="Q81" s="683"/>
      <c r="R81" s="683"/>
      <c r="S81" s="683"/>
      <c r="T81" s="579"/>
      <c r="U81" s="579"/>
      <c r="V81" s="579"/>
      <c r="W81" s="579"/>
      <c r="X81" s="579"/>
      <c r="Y81" s="579"/>
      <c r="Z81" s="579"/>
      <c r="AA81" s="579"/>
      <c r="AB81" s="579"/>
      <c r="AC81" s="579"/>
      <c r="AD81" s="579"/>
      <c r="AE81" s="579"/>
      <c r="AF81" s="579"/>
      <c r="AG81" s="579"/>
      <c r="AH81" s="579"/>
      <c r="AI81" s="579"/>
      <c r="AJ81" s="579"/>
      <c r="AK81" s="579"/>
      <c r="AL81" s="579"/>
      <c r="AM81" s="579"/>
      <c r="AN81" s="579"/>
      <c r="AO81" s="579"/>
      <c r="AP81" s="579"/>
      <c r="AQ81" s="579"/>
      <c r="AR81" s="579"/>
      <c r="AS81" s="579"/>
      <c r="AT81" s="573"/>
      <c r="AU81" s="568"/>
      <c r="AV81" s="568"/>
      <c r="AW81" s="568"/>
      <c r="AX81" s="568"/>
      <c r="AY81" s="568"/>
      <c r="AZ81" s="569"/>
      <c r="BA81" s="569"/>
      <c r="BB81" s="551"/>
      <c r="BC81" s="552"/>
      <c r="BD81" s="538"/>
      <c r="BE81" s="596"/>
      <c r="BF81" s="596"/>
      <c r="BG81" s="596"/>
      <c r="BH81" s="599"/>
      <c r="BI81" s="596" t="s">
        <v>617</v>
      </c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2.5" customHeight="1">
      <c r="A82" s="540"/>
      <c r="B82" s="566"/>
      <c r="C82" s="575"/>
      <c r="D82" s="576"/>
      <c r="E82" s="568"/>
      <c r="F82" s="568"/>
      <c r="G82" s="568"/>
      <c r="H82" s="579"/>
      <c r="I82" s="579"/>
      <c r="J82" s="579"/>
      <c r="K82" s="579"/>
      <c r="L82" s="579"/>
      <c r="M82" s="579"/>
      <c r="N82" s="579"/>
      <c r="O82" s="579"/>
      <c r="P82" s="579"/>
      <c r="Q82" s="579"/>
      <c r="R82" s="579"/>
      <c r="S82" s="579"/>
      <c r="T82" s="579"/>
      <c r="U82" s="579"/>
      <c r="V82" s="579"/>
      <c r="W82" s="579"/>
      <c r="X82" s="579"/>
      <c r="Y82" s="579"/>
      <c r="Z82" s="579"/>
      <c r="AA82" s="579"/>
      <c r="AB82" s="579"/>
      <c r="AC82" s="579"/>
      <c r="AD82" s="579"/>
      <c r="AE82" s="579"/>
      <c r="AF82" s="579"/>
      <c r="AG82" s="579"/>
      <c r="AH82" s="579"/>
      <c r="AI82" s="579"/>
      <c r="AJ82" s="579"/>
      <c r="AK82" s="579"/>
      <c r="AL82" s="579"/>
      <c r="AM82" s="579"/>
      <c r="AN82" s="579"/>
      <c r="AO82" s="579"/>
      <c r="AP82" s="579"/>
      <c r="AQ82" s="579"/>
      <c r="AR82" s="579"/>
      <c r="AS82" s="581"/>
      <c r="AT82" s="577"/>
      <c r="AU82" s="577"/>
      <c r="AV82" s="577"/>
      <c r="AW82" s="577"/>
      <c r="AX82" s="577"/>
      <c r="AY82" s="577"/>
      <c r="AZ82" s="569"/>
      <c r="BA82" s="569"/>
      <c r="BB82" s="551"/>
      <c r="BC82" s="552"/>
      <c r="BD82" s="538"/>
      <c r="BE82" s="596"/>
      <c r="BF82" s="596"/>
      <c r="BG82" s="596"/>
      <c r="BH82" s="599"/>
      <c r="BI82" s="596" t="s">
        <v>618</v>
      </c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566"/>
      <c r="C83" s="575"/>
      <c r="D83" s="576"/>
      <c r="E83" s="568"/>
      <c r="F83" s="568"/>
      <c r="G83" s="568"/>
      <c r="H83" s="579"/>
      <c r="I83" s="579"/>
      <c r="J83" s="778"/>
      <c r="K83" s="778"/>
      <c r="L83" s="778"/>
      <c r="M83" s="778"/>
      <c r="N83" s="582"/>
      <c r="O83" s="583"/>
      <c r="P83" s="582"/>
      <c r="Q83" s="579"/>
      <c r="R83" s="579"/>
      <c r="S83" s="579"/>
      <c r="T83" s="580"/>
      <c r="U83" s="580"/>
      <c r="V83" s="580"/>
      <c r="W83" s="580"/>
      <c r="X83" s="580"/>
      <c r="Y83" s="583"/>
      <c r="Z83" s="580"/>
      <c r="AA83" s="579"/>
      <c r="AB83" s="583"/>
      <c r="AC83" s="580"/>
      <c r="AD83" s="579"/>
      <c r="AE83" s="583"/>
      <c r="AF83" s="579"/>
      <c r="AG83" s="579"/>
      <c r="AH83" s="583"/>
      <c r="AI83" s="579"/>
      <c r="AJ83" s="579"/>
      <c r="AK83" s="584"/>
      <c r="AL83" s="579"/>
      <c r="AM83" s="579"/>
      <c r="AN83" s="579"/>
      <c r="AO83" s="579"/>
      <c r="AP83" s="579"/>
      <c r="AQ83" s="579"/>
      <c r="AR83" s="579"/>
      <c r="AS83" s="579"/>
      <c r="AT83" s="568"/>
      <c r="AU83" s="568"/>
      <c r="AV83" s="568"/>
      <c r="AW83" s="568"/>
      <c r="AX83" s="568"/>
      <c r="AY83" s="568"/>
      <c r="AZ83" s="569"/>
      <c r="BA83" s="569"/>
      <c r="BB83" s="551"/>
      <c r="BC83" s="552"/>
      <c r="BD83" s="538"/>
      <c r="BE83" s="596"/>
      <c r="BF83" s="596"/>
      <c r="BG83" s="596"/>
      <c r="BH83" s="596" t="s">
        <v>714</v>
      </c>
      <c r="BI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6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9"/>
      <c r="BA84" s="569"/>
      <c r="BB84" s="551"/>
      <c r="BC84" s="552"/>
      <c r="BD84" s="538"/>
      <c r="BE84" s="596"/>
      <c r="BF84" s="596"/>
      <c r="BG84" s="596"/>
      <c r="BH84" s="596"/>
      <c r="BI84" s="596" t="s">
        <v>715</v>
      </c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74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9"/>
      <c r="BA85" s="569"/>
      <c r="BB85" s="536"/>
      <c r="BC85" s="537"/>
      <c r="BD85" s="538"/>
      <c r="BE85" s="596"/>
      <c r="BF85" s="596"/>
      <c r="BG85" s="596"/>
      <c r="BH85" s="596"/>
      <c r="BI85" s="596" t="s">
        <v>619</v>
      </c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3.5">
      <c r="A86" s="540"/>
      <c r="B86" s="677"/>
      <c r="C86" s="678"/>
      <c r="D86" s="678"/>
      <c r="E86" s="678"/>
      <c r="F86" s="678"/>
      <c r="G86" s="678"/>
      <c r="H86" s="678"/>
      <c r="I86" s="678"/>
      <c r="J86" s="678"/>
      <c r="K86" s="678"/>
      <c r="L86" s="678"/>
      <c r="M86" s="678"/>
      <c r="N86" s="678"/>
      <c r="O86" s="678"/>
      <c r="P86" s="678"/>
      <c r="Q86" s="678"/>
      <c r="R86" s="678"/>
      <c r="S86" s="679"/>
      <c r="T86" s="679"/>
      <c r="U86" s="679"/>
      <c r="V86" s="679"/>
      <c r="W86" s="678"/>
      <c r="X86" s="678"/>
      <c r="Y86" s="679"/>
      <c r="Z86" s="680"/>
      <c r="AA86" s="678"/>
      <c r="AB86" s="678"/>
      <c r="AC86" s="678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81"/>
      <c r="AZ86" s="578"/>
      <c r="BA86" s="569"/>
      <c r="BB86" s="551"/>
      <c r="BC86" s="552"/>
      <c r="BD86" s="553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5">
      <c r="A87" s="554"/>
      <c r="B87" s="600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602"/>
      <c r="T87" s="602"/>
      <c r="U87" s="602"/>
      <c r="V87" s="602"/>
      <c r="W87" s="601"/>
      <c r="X87" s="601"/>
      <c r="Y87" s="602"/>
      <c r="Z87" s="602"/>
      <c r="AA87" s="601"/>
      <c r="AB87" s="601"/>
      <c r="AC87" s="601"/>
      <c r="AD87" s="602"/>
      <c r="AE87" s="602"/>
      <c r="AF87" s="602"/>
      <c r="AG87" s="602"/>
      <c r="AH87" s="602"/>
      <c r="AI87" s="602"/>
      <c r="AJ87" s="602"/>
      <c r="AK87" s="602"/>
      <c r="AL87" s="602"/>
      <c r="AM87" s="602"/>
      <c r="AN87" s="602"/>
      <c r="AO87" s="602"/>
      <c r="AP87" s="602"/>
      <c r="AQ87" s="602"/>
      <c r="AR87" s="602"/>
      <c r="AS87" s="602"/>
      <c r="AT87" s="602"/>
      <c r="AU87" s="602"/>
      <c r="AV87" s="602"/>
      <c r="AW87" s="602"/>
      <c r="AX87" s="602"/>
      <c r="AY87" s="600"/>
      <c r="AZ87" s="600"/>
      <c r="BA87" s="578"/>
      <c r="BB87" s="604"/>
      <c r="BC87" s="552"/>
      <c r="BD87" s="553"/>
      <c r="BE87" s="596"/>
      <c r="BF87" s="596"/>
      <c r="BG87" s="596" t="s">
        <v>716</v>
      </c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691"/>
      <c r="C88" s="692"/>
      <c r="D88" s="693"/>
      <c r="E88" s="694"/>
      <c r="F88" s="694"/>
      <c r="G88" s="694"/>
      <c r="H88" s="695"/>
      <c r="I88" s="695"/>
      <c r="J88" s="814"/>
      <c r="K88" s="814"/>
      <c r="L88" s="814"/>
      <c r="M88" s="814"/>
      <c r="N88" s="696"/>
      <c r="O88" s="697"/>
      <c r="P88" s="696"/>
      <c r="Q88" s="695"/>
      <c r="R88" s="695"/>
      <c r="S88" s="695"/>
      <c r="T88" s="698"/>
      <c r="U88" s="698"/>
      <c r="V88" s="698"/>
      <c r="W88" s="698"/>
      <c r="X88" s="698"/>
      <c r="Y88" s="697"/>
      <c r="Z88" s="698"/>
      <c r="AA88" s="695"/>
      <c r="AB88" s="697"/>
      <c r="AC88" s="698"/>
      <c r="AD88" s="695"/>
      <c r="AE88" s="697"/>
      <c r="AF88" s="695"/>
      <c r="AG88" s="695"/>
      <c r="AH88" s="697"/>
      <c r="AI88" s="695"/>
      <c r="AJ88" s="695"/>
      <c r="AK88" s="699"/>
      <c r="AL88" s="695"/>
      <c r="AM88" s="695"/>
      <c r="AN88" s="695"/>
      <c r="AO88" s="695"/>
      <c r="AP88" s="695"/>
      <c r="AQ88" s="695"/>
      <c r="AR88" s="695"/>
      <c r="AS88" s="695"/>
      <c r="AT88" s="694"/>
      <c r="AU88" s="694"/>
      <c r="AV88" s="694"/>
      <c r="AW88" s="694"/>
      <c r="AX88" s="694"/>
      <c r="AY88" s="694"/>
      <c r="AZ88" s="603"/>
      <c r="BA88" s="569"/>
      <c r="BB88" s="551"/>
      <c r="BC88" s="552"/>
      <c r="BD88" s="538"/>
      <c r="BE88" s="596"/>
      <c r="BF88" s="596"/>
      <c r="BG88" s="596"/>
      <c r="BH88" s="596" t="s">
        <v>717</v>
      </c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78"/>
      <c r="K89" s="778"/>
      <c r="L89" s="778"/>
      <c r="M89" s="778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9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78"/>
      <c r="K90" s="778"/>
      <c r="L90" s="778"/>
      <c r="M90" s="778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 t="s">
        <v>718</v>
      </c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78"/>
      <c r="K91" s="778"/>
      <c r="L91" s="778"/>
      <c r="M91" s="778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 t="s">
        <v>719</v>
      </c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78"/>
      <c r="K92" s="778"/>
      <c r="L92" s="778"/>
      <c r="M92" s="778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 t="s">
        <v>720</v>
      </c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78"/>
      <c r="K93" s="778"/>
      <c r="L93" s="778"/>
      <c r="M93" s="778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 t="s">
        <v>721</v>
      </c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78"/>
      <c r="K94" s="778"/>
      <c r="L94" s="778"/>
      <c r="M94" s="778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 t="s">
        <v>722</v>
      </c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78"/>
      <c r="K95" s="778"/>
      <c r="L95" s="778"/>
      <c r="M95" s="778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 t="s">
        <v>723</v>
      </c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78"/>
      <c r="K96" s="778"/>
      <c r="L96" s="778"/>
      <c r="M96" s="778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78"/>
      <c r="K97" s="778"/>
      <c r="L97" s="778"/>
      <c r="M97" s="778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 t="s">
        <v>620</v>
      </c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78"/>
      <c r="K98" s="778"/>
      <c r="L98" s="778"/>
      <c r="M98" s="778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 t="s">
        <v>621</v>
      </c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78"/>
      <c r="K99" s="778"/>
      <c r="L99" s="778"/>
      <c r="M99" s="778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78"/>
      <c r="K100" s="778"/>
      <c r="L100" s="778"/>
      <c r="M100" s="778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 t="s">
        <v>622</v>
      </c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78"/>
      <c r="K101" s="778"/>
      <c r="L101" s="778"/>
      <c r="M101" s="778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 t="s">
        <v>724</v>
      </c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78"/>
      <c r="K102" s="778"/>
      <c r="L102" s="778"/>
      <c r="M102" s="778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 t="s">
        <v>725</v>
      </c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78"/>
      <c r="K103" s="778"/>
      <c r="L103" s="778"/>
      <c r="M103" s="778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78"/>
      <c r="K104" s="778"/>
      <c r="L104" s="778"/>
      <c r="M104" s="778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 t="s">
        <v>623</v>
      </c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78"/>
      <c r="K105" s="778"/>
      <c r="L105" s="778"/>
      <c r="M105" s="778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 t="s">
        <v>726</v>
      </c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78"/>
      <c r="K106" s="778"/>
      <c r="L106" s="778"/>
      <c r="M106" s="778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 t="s">
        <v>727</v>
      </c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78"/>
      <c r="K107" s="778"/>
      <c r="L107" s="778"/>
      <c r="M107" s="778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 t="s">
        <v>624</v>
      </c>
      <c r="BJ107" s="596" t="s">
        <v>728</v>
      </c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78"/>
      <c r="K108" s="778"/>
      <c r="L108" s="778"/>
      <c r="M108" s="778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 t="s">
        <v>625</v>
      </c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778"/>
      <c r="K109" s="778"/>
      <c r="L109" s="778"/>
      <c r="M109" s="778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 t="s">
        <v>626</v>
      </c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778"/>
      <c r="K110" s="778"/>
      <c r="L110" s="778"/>
      <c r="M110" s="778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 t="s">
        <v>729</v>
      </c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778"/>
      <c r="K111" s="778"/>
      <c r="L111" s="778"/>
      <c r="M111" s="778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 t="s">
        <v>628</v>
      </c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778"/>
      <c r="K112" s="778"/>
      <c r="L112" s="778"/>
      <c r="M112" s="778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 t="s">
        <v>730</v>
      </c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778"/>
      <c r="K113" s="778"/>
      <c r="L113" s="778"/>
      <c r="M113" s="778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 t="s">
        <v>630</v>
      </c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2.5" customHeight="1">
      <c r="A114" s="540"/>
      <c r="B114" s="567"/>
      <c r="C114" s="575"/>
      <c r="D114" s="576"/>
      <c r="E114" s="568"/>
      <c r="F114" s="568"/>
      <c r="G114" s="568"/>
      <c r="H114" s="579"/>
      <c r="I114" s="579"/>
      <c r="J114" s="711"/>
      <c r="K114" s="711"/>
      <c r="L114" s="711"/>
      <c r="M114" s="711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38"/>
      <c r="BE114" s="596"/>
      <c r="BF114" s="596"/>
      <c r="BG114" s="596"/>
      <c r="BH114" s="596"/>
      <c r="BI114" s="596" t="s">
        <v>631</v>
      </c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2.5" customHeight="1">
      <c r="A115" s="540"/>
      <c r="B115" s="567"/>
      <c r="C115" s="575"/>
      <c r="D115" s="576"/>
      <c r="E115" s="568"/>
      <c r="F115" s="568"/>
      <c r="G115" s="568"/>
      <c r="H115" s="579"/>
      <c r="I115" s="579"/>
      <c r="J115" s="711"/>
      <c r="K115" s="711"/>
      <c r="L115" s="711"/>
      <c r="M115" s="711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38"/>
      <c r="BE115" s="596"/>
      <c r="BF115" s="596"/>
      <c r="BG115" s="596"/>
      <c r="BH115" s="596"/>
      <c r="BI115" s="596" t="s">
        <v>632</v>
      </c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2.5" customHeight="1">
      <c r="A116" s="540"/>
      <c r="B116" s="567"/>
      <c r="C116" s="575"/>
      <c r="D116" s="576"/>
      <c r="E116" s="568"/>
      <c r="F116" s="568"/>
      <c r="G116" s="568"/>
      <c r="H116" s="579"/>
      <c r="I116" s="579"/>
      <c r="J116" s="711"/>
      <c r="K116" s="711"/>
      <c r="L116" s="711"/>
      <c r="M116" s="711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38"/>
      <c r="BE116" s="596"/>
      <c r="BF116" s="596"/>
      <c r="BG116" s="596"/>
      <c r="BH116" s="596"/>
      <c r="BI116" s="596" t="s">
        <v>633</v>
      </c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2.5" customHeight="1">
      <c r="A117" s="540"/>
      <c r="B117" s="567"/>
      <c r="C117" s="575"/>
      <c r="D117" s="576"/>
      <c r="E117" s="568"/>
      <c r="F117" s="568"/>
      <c r="G117" s="568"/>
      <c r="H117" s="579"/>
      <c r="I117" s="579"/>
      <c r="J117" s="711"/>
      <c r="K117" s="711"/>
      <c r="L117" s="711"/>
      <c r="M117" s="711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38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2.5" customHeight="1">
      <c r="A118" s="540"/>
      <c r="B118" s="567"/>
      <c r="C118" s="575"/>
      <c r="D118" s="576"/>
      <c r="E118" s="568"/>
      <c r="F118" s="568"/>
      <c r="G118" s="568"/>
      <c r="H118" s="579"/>
      <c r="I118" s="579"/>
      <c r="J118" s="711"/>
      <c r="K118" s="711"/>
      <c r="L118" s="711"/>
      <c r="M118" s="711"/>
      <c r="N118" s="582"/>
      <c r="O118" s="583"/>
      <c r="P118" s="582"/>
      <c r="Q118" s="579"/>
      <c r="R118" s="579"/>
      <c r="S118" s="579"/>
      <c r="T118" s="580"/>
      <c r="U118" s="580"/>
      <c r="V118" s="580"/>
      <c r="W118" s="580"/>
      <c r="X118" s="580"/>
      <c r="Y118" s="583"/>
      <c r="Z118" s="580"/>
      <c r="AA118" s="579"/>
      <c r="AB118" s="583"/>
      <c r="AC118" s="580"/>
      <c r="AD118" s="579"/>
      <c r="AE118" s="583"/>
      <c r="AF118" s="579"/>
      <c r="AG118" s="579"/>
      <c r="AH118" s="583"/>
      <c r="AI118" s="579"/>
      <c r="AJ118" s="579"/>
      <c r="AK118" s="584"/>
      <c r="AL118" s="579"/>
      <c r="AM118" s="579"/>
      <c r="AN118" s="579"/>
      <c r="AO118" s="579"/>
      <c r="AP118" s="579"/>
      <c r="AQ118" s="579"/>
      <c r="AR118" s="579"/>
      <c r="AS118" s="579"/>
      <c r="AT118" s="568"/>
      <c r="AU118" s="568"/>
      <c r="AV118" s="568"/>
      <c r="AW118" s="568"/>
      <c r="AX118" s="568"/>
      <c r="AY118" s="568"/>
      <c r="AZ118" s="565"/>
      <c r="BA118" s="569"/>
      <c r="BB118" s="551"/>
      <c r="BC118" s="552"/>
      <c r="BD118" s="538"/>
      <c r="BE118" s="596"/>
      <c r="BF118" s="596"/>
      <c r="BG118" s="596" t="s">
        <v>731</v>
      </c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3.5">
      <c r="A119" s="540"/>
      <c r="B119" s="567"/>
      <c r="C119" s="575"/>
      <c r="D119" s="576"/>
      <c r="E119" s="568"/>
      <c r="F119" s="568"/>
      <c r="G119" s="568"/>
      <c r="H119" s="579"/>
      <c r="I119" s="579"/>
      <c r="J119" s="711"/>
      <c r="K119" s="711"/>
      <c r="L119" s="711"/>
      <c r="M119" s="711"/>
      <c r="N119" s="582"/>
      <c r="O119" s="583"/>
      <c r="P119" s="582"/>
      <c r="Q119" s="579"/>
      <c r="R119" s="579"/>
      <c r="S119" s="579"/>
      <c r="T119" s="580"/>
      <c r="U119" s="580"/>
      <c r="V119" s="580"/>
      <c r="W119" s="580"/>
      <c r="X119" s="580"/>
      <c r="Y119" s="583"/>
      <c r="Z119" s="580"/>
      <c r="AA119" s="579"/>
      <c r="AB119" s="583"/>
      <c r="AC119" s="580"/>
      <c r="AD119" s="579"/>
      <c r="AE119" s="583"/>
      <c r="AF119" s="579"/>
      <c r="AG119" s="579"/>
      <c r="AH119" s="583"/>
      <c r="AI119" s="579"/>
      <c r="AJ119" s="579"/>
      <c r="AK119" s="584"/>
      <c r="AL119" s="579"/>
      <c r="AM119" s="579"/>
      <c r="AN119" s="579"/>
      <c r="AO119" s="579"/>
      <c r="AP119" s="579"/>
      <c r="AQ119" s="579"/>
      <c r="AR119" s="579"/>
      <c r="AS119" s="579"/>
      <c r="AT119" s="568"/>
      <c r="AU119" s="568"/>
      <c r="AV119" s="568"/>
      <c r="AW119" s="568"/>
      <c r="AX119" s="568"/>
      <c r="AY119" s="568"/>
      <c r="AZ119" s="565"/>
      <c r="BA119" s="569"/>
      <c r="BB119" s="551"/>
      <c r="BC119" s="552"/>
      <c r="BD119" s="553"/>
      <c r="BE119" s="596"/>
      <c r="BF119" s="596"/>
      <c r="BG119" s="596"/>
      <c r="BH119" s="596"/>
      <c r="BI119" s="596" t="s">
        <v>732</v>
      </c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3.5">
      <c r="A120" s="540"/>
      <c r="B120" s="567"/>
      <c r="C120" s="575"/>
      <c r="D120" s="576"/>
      <c r="E120" s="568"/>
      <c r="F120" s="568"/>
      <c r="G120" s="568"/>
      <c r="H120" s="579"/>
      <c r="I120" s="579"/>
      <c r="J120" s="711"/>
      <c r="K120" s="711"/>
      <c r="L120" s="711"/>
      <c r="M120" s="711"/>
      <c r="N120" s="582"/>
      <c r="O120" s="583"/>
      <c r="P120" s="582"/>
      <c r="Q120" s="579"/>
      <c r="R120" s="579"/>
      <c r="S120" s="579"/>
      <c r="T120" s="580"/>
      <c r="U120" s="580"/>
      <c r="V120" s="580"/>
      <c r="W120" s="580"/>
      <c r="X120" s="580"/>
      <c r="Y120" s="583"/>
      <c r="Z120" s="580"/>
      <c r="AA120" s="579"/>
      <c r="AB120" s="583"/>
      <c r="AC120" s="580"/>
      <c r="AD120" s="579"/>
      <c r="AE120" s="583"/>
      <c r="AF120" s="579"/>
      <c r="AG120" s="579"/>
      <c r="AH120" s="583"/>
      <c r="AI120" s="579"/>
      <c r="AJ120" s="579"/>
      <c r="AK120" s="584"/>
      <c r="AL120" s="579"/>
      <c r="AM120" s="579"/>
      <c r="AN120" s="579"/>
      <c r="AO120" s="579"/>
      <c r="AP120" s="579"/>
      <c r="AQ120" s="579"/>
      <c r="AR120" s="579"/>
      <c r="AS120" s="579"/>
      <c r="AT120" s="568"/>
      <c r="AU120" s="568"/>
      <c r="AV120" s="568"/>
      <c r="AW120" s="568"/>
      <c r="AX120" s="568"/>
      <c r="AY120" s="568"/>
      <c r="AZ120" s="565"/>
      <c r="BA120" s="569"/>
      <c r="BB120" s="551"/>
      <c r="BC120" s="552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3.5">
      <c r="A121" s="540"/>
      <c r="B121" s="567"/>
      <c r="C121" s="575"/>
      <c r="D121" s="576"/>
      <c r="E121" s="568"/>
      <c r="F121" s="568"/>
      <c r="G121" s="568"/>
      <c r="H121" s="579"/>
      <c r="I121" s="579"/>
      <c r="J121" s="711"/>
      <c r="K121" s="711"/>
      <c r="L121" s="711"/>
      <c r="M121" s="711"/>
      <c r="N121" s="582"/>
      <c r="O121" s="583"/>
      <c r="P121" s="582"/>
      <c r="Q121" s="579"/>
      <c r="R121" s="579"/>
      <c r="S121" s="579"/>
      <c r="T121" s="580"/>
      <c r="U121" s="580"/>
      <c r="V121" s="580"/>
      <c r="W121" s="580"/>
      <c r="X121" s="580"/>
      <c r="Y121" s="583"/>
      <c r="Z121" s="580"/>
      <c r="AA121" s="579"/>
      <c r="AB121" s="583"/>
      <c r="AC121" s="580"/>
      <c r="AD121" s="579"/>
      <c r="AE121" s="583"/>
      <c r="AF121" s="579"/>
      <c r="AG121" s="579"/>
      <c r="AH121" s="583"/>
      <c r="AI121" s="579"/>
      <c r="AJ121" s="579"/>
      <c r="AK121" s="584"/>
      <c r="AL121" s="579"/>
      <c r="AM121" s="579"/>
      <c r="AN121" s="579"/>
      <c r="AO121" s="579"/>
      <c r="AP121" s="579"/>
      <c r="AQ121" s="579"/>
      <c r="AR121" s="579"/>
      <c r="AS121" s="579"/>
      <c r="AT121" s="568"/>
      <c r="AU121" s="568"/>
      <c r="AV121" s="568"/>
      <c r="AW121" s="568"/>
      <c r="AX121" s="568"/>
      <c r="AY121" s="568"/>
      <c r="AZ121" s="565"/>
      <c r="BA121" s="569"/>
      <c r="BB121" s="551"/>
      <c r="BC121" s="552"/>
      <c r="BD121" s="553"/>
      <c r="BE121" s="596"/>
      <c r="BF121" s="596"/>
      <c r="BG121" s="596" t="s">
        <v>733</v>
      </c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3.5">
      <c r="A122" s="540"/>
      <c r="B122" s="567"/>
      <c r="C122" s="575"/>
      <c r="D122" s="576"/>
      <c r="E122" s="568"/>
      <c r="F122" s="568"/>
      <c r="G122" s="568"/>
      <c r="H122" s="579"/>
      <c r="I122" s="579"/>
      <c r="J122" s="711"/>
      <c r="K122" s="711"/>
      <c r="L122" s="711"/>
      <c r="M122" s="711"/>
      <c r="N122" s="582"/>
      <c r="O122" s="583"/>
      <c r="P122" s="582"/>
      <c r="Q122" s="579"/>
      <c r="R122" s="579"/>
      <c r="S122" s="579"/>
      <c r="T122" s="580"/>
      <c r="U122" s="580"/>
      <c r="V122" s="580"/>
      <c r="W122" s="580"/>
      <c r="X122" s="580"/>
      <c r="Y122" s="583"/>
      <c r="Z122" s="580"/>
      <c r="AA122" s="579"/>
      <c r="AB122" s="583"/>
      <c r="AC122" s="580"/>
      <c r="AD122" s="579"/>
      <c r="AE122" s="583"/>
      <c r="AF122" s="579"/>
      <c r="AG122" s="579"/>
      <c r="AH122" s="583"/>
      <c r="AI122" s="579"/>
      <c r="AJ122" s="579"/>
      <c r="AK122" s="584"/>
      <c r="AL122" s="579"/>
      <c r="AM122" s="579"/>
      <c r="AN122" s="579"/>
      <c r="AO122" s="579"/>
      <c r="AP122" s="579"/>
      <c r="AQ122" s="579"/>
      <c r="AR122" s="579"/>
      <c r="AS122" s="579"/>
      <c r="AT122" s="568"/>
      <c r="AU122" s="568"/>
      <c r="AV122" s="568"/>
      <c r="AW122" s="568"/>
      <c r="AX122" s="568"/>
      <c r="AY122" s="568"/>
      <c r="AZ122" s="565"/>
      <c r="BA122" s="569"/>
      <c r="BB122" s="551"/>
      <c r="BC122" s="552"/>
      <c r="BD122" s="553"/>
      <c r="BE122" s="596"/>
      <c r="BF122" s="596"/>
      <c r="BG122" s="596"/>
      <c r="BH122" s="596"/>
      <c r="BI122" s="596" t="s">
        <v>734</v>
      </c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3.5">
      <c r="A123" s="554"/>
      <c r="B123" s="700"/>
      <c r="C123" s="701"/>
      <c r="D123" s="702"/>
      <c r="E123" s="703"/>
      <c r="F123" s="703"/>
      <c r="G123" s="703"/>
      <c r="H123" s="704"/>
      <c r="I123" s="704"/>
      <c r="J123" s="705"/>
      <c r="K123" s="705"/>
      <c r="L123" s="705"/>
      <c r="M123" s="705"/>
      <c r="N123" s="706"/>
      <c r="O123" s="707"/>
      <c r="P123" s="706"/>
      <c r="Q123" s="704"/>
      <c r="R123" s="704"/>
      <c r="S123" s="704"/>
      <c r="T123" s="708"/>
      <c r="U123" s="708"/>
      <c r="V123" s="708"/>
      <c r="W123" s="708"/>
      <c r="X123" s="708"/>
      <c r="Y123" s="707"/>
      <c r="Z123" s="708"/>
      <c r="AA123" s="704"/>
      <c r="AB123" s="707"/>
      <c r="AC123" s="708"/>
      <c r="AD123" s="704"/>
      <c r="AE123" s="707"/>
      <c r="AF123" s="704"/>
      <c r="AG123" s="704"/>
      <c r="AH123" s="707"/>
      <c r="AI123" s="704"/>
      <c r="AJ123" s="704"/>
      <c r="AK123" s="709"/>
      <c r="AL123" s="704"/>
      <c r="AM123" s="704"/>
      <c r="AN123" s="704"/>
      <c r="AO123" s="704"/>
      <c r="AP123" s="704"/>
      <c r="AQ123" s="704"/>
      <c r="AR123" s="704"/>
      <c r="AS123" s="704"/>
      <c r="AT123" s="703"/>
      <c r="AU123" s="703"/>
      <c r="AV123" s="703"/>
      <c r="AW123" s="703"/>
      <c r="AX123" s="703"/>
      <c r="AY123" s="703"/>
      <c r="AZ123" s="600"/>
      <c r="BA123" s="578"/>
      <c r="BB123" s="555"/>
      <c r="BC123" s="556"/>
      <c r="BD123" s="553"/>
      <c r="BE123" s="596"/>
      <c r="BF123" s="596"/>
      <c r="BG123" s="596"/>
      <c r="BH123" s="596"/>
      <c r="BI123" s="596" t="s">
        <v>638</v>
      </c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  <c r="BE138" s="596"/>
      <c r="BF138" s="596"/>
      <c r="BG138" s="596"/>
      <c r="BH138" s="596"/>
      <c r="BI138" s="596"/>
      <c r="BJ138" s="596"/>
      <c r="BK138" s="596"/>
      <c r="BL138" s="596"/>
      <c r="BM138" s="596"/>
      <c r="BN138" s="596"/>
      <c r="BO138" s="596"/>
      <c r="BP138" s="596"/>
      <c r="BQ138" s="596"/>
      <c r="BR138" s="596"/>
      <c r="BS138" s="596"/>
      <c r="BT138" s="596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  <c r="BE139" s="596"/>
      <c r="BF139" s="596"/>
      <c r="BG139" s="596"/>
      <c r="BH139" s="596"/>
      <c r="BI139" s="596"/>
      <c r="BJ139" s="596"/>
      <c r="BK139" s="596"/>
      <c r="BL139" s="596"/>
      <c r="BM139" s="596"/>
      <c r="BN139" s="596"/>
      <c r="BO139" s="596"/>
      <c r="BP139" s="596"/>
      <c r="BQ139" s="596"/>
      <c r="BR139" s="596"/>
      <c r="BS139" s="596"/>
      <c r="BT139" s="596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  <c r="BE140" s="596"/>
      <c r="BF140" s="596"/>
      <c r="BG140" s="596"/>
      <c r="BH140" s="596"/>
      <c r="BI140" s="596"/>
      <c r="BJ140" s="596"/>
      <c r="BK140" s="596"/>
      <c r="BL140" s="596"/>
      <c r="BM140" s="596"/>
      <c r="BN140" s="596"/>
      <c r="BO140" s="596"/>
      <c r="BP140" s="596"/>
      <c r="BQ140" s="596"/>
      <c r="BR140" s="596"/>
      <c r="BS140" s="596"/>
      <c r="BT140" s="596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  <c r="BE141" s="596"/>
      <c r="BF141" s="596"/>
      <c r="BG141" s="596"/>
      <c r="BH141" s="596"/>
      <c r="BI141" s="596"/>
      <c r="BJ141" s="596"/>
      <c r="BK141" s="596"/>
      <c r="BL141" s="596"/>
      <c r="BM141" s="596"/>
      <c r="BN141" s="596"/>
      <c r="BO141" s="596"/>
      <c r="BP141" s="596"/>
      <c r="BQ141" s="596"/>
      <c r="BR141" s="596"/>
      <c r="BS141" s="596"/>
      <c r="BT141" s="596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  <c r="BE142" s="596"/>
      <c r="BF142" s="596"/>
      <c r="BG142" s="596"/>
      <c r="BH142" s="596"/>
      <c r="BI142" s="596"/>
      <c r="BJ142" s="596"/>
      <c r="BK142" s="596"/>
      <c r="BL142" s="596"/>
      <c r="BM142" s="596"/>
      <c r="BN142" s="596"/>
      <c r="BO142" s="596"/>
      <c r="BP142" s="596"/>
      <c r="BQ142" s="596"/>
      <c r="BR142" s="596"/>
      <c r="BS142" s="596"/>
      <c r="BT142" s="596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  <c r="BE143" s="596"/>
      <c r="BF143" s="596"/>
      <c r="BG143" s="596"/>
      <c r="BH143" s="596"/>
      <c r="BI143" s="596"/>
      <c r="BJ143" s="596"/>
      <c r="BK143" s="596"/>
      <c r="BL143" s="596"/>
      <c r="BM143" s="596"/>
      <c r="BN143" s="596"/>
      <c r="BO143" s="596"/>
      <c r="BP143" s="596"/>
      <c r="BQ143" s="596"/>
      <c r="BR143" s="596"/>
      <c r="BS143" s="596"/>
      <c r="BT143" s="596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  <c r="BE144" s="596"/>
      <c r="BF144" s="596"/>
      <c r="BG144" s="596"/>
      <c r="BH144" s="596"/>
      <c r="BI144" s="596"/>
      <c r="BJ144" s="596"/>
      <c r="BK144" s="596"/>
      <c r="BL144" s="596"/>
      <c r="BM144" s="596"/>
      <c r="BN144" s="596"/>
      <c r="BO144" s="596"/>
      <c r="BP144" s="596"/>
      <c r="BQ144" s="596"/>
      <c r="BR144" s="596"/>
      <c r="BS144" s="596"/>
      <c r="BT144" s="596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  <c r="BE145" s="596"/>
      <c r="BF145" s="596"/>
      <c r="BG145" s="596"/>
      <c r="BH145" s="596"/>
      <c r="BI145" s="596"/>
      <c r="BJ145" s="596"/>
      <c r="BK145" s="596"/>
      <c r="BL145" s="596"/>
      <c r="BM145" s="596"/>
      <c r="BN145" s="596"/>
      <c r="BO145" s="596"/>
      <c r="BP145" s="596"/>
      <c r="BQ145" s="596"/>
      <c r="BR145" s="596"/>
      <c r="BS145" s="596"/>
      <c r="BT145" s="596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  <c r="BE146" s="596"/>
      <c r="BF146" s="596"/>
      <c r="BG146" s="596"/>
      <c r="BH146" s="596"/>
      <c r="BI146" s="596"/>
      <c r="BJ146" s="596"/>
      <c r="BK146" s="596"/>
      <c r="BL146" s="596"/>
      <c r="BM146" s="596"/>
      <c r="BN146" s="596"/>
      <c r="BO146" s="596"/>
      <c r="BP146" s="596"/>
      <c r="BQ146" s="596"/>
      <c r="BR146" s="596"/>
      <c r="BS146" s="596"/>
      <c r="BT146" s="596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  <c r="BE147" s="596"/>
      <c r="BF147" s="596"/>
      <c r="BG147" s="596"/>
      <c r="BH147" s="596"/>
      <c r="BI147" s="596"/>
      <c r="BJ147" s="596"/>
      <c r="BK147" s="596"/>
      <c r="BL147" s="596"/>
      <c r="BM147" s="596"/>
      <c r="BN147" s="596"/>
      <c r="BO147" s="596"/>
      <c r="BP147" s="596"/>
      <c r="BQ147" s="596"/>
      <c r="BR147" s="596"/>
      <c r="BS147" s="596"/>
      <c r="BT147" s="596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  <c r="BE148" s="596"/>
      <c r="BF148" s="596"/>
      <c r="BG148" s="596"/>
      <c r="BH148" s="596"/>
      <c r="BI148" s="596"/>
      <c r="BJ148" s="596"/>
      <c r="BK148" s="596"/>
      <c r="BL148" s="596"/>
      <c r="BM148" s="596"/>
      <c r="BN148" s="596"/>
      <c r="BO148" s="596"/>
      <c r="BP148" s="596"/>
      <c r="BQ148" s="596"/>
      <c r="BR148" s="596"/>
      <c r="BS148" s="596"/>
      <c r="BT148" s="596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  <c r="BE149" s="596"/>
      <c r="BF149" s="596"/>
      <c r="BG149" s="596"/>
      <c r="BH149" s="596"/>
      <c r="BI149" s="596"/>
      <c r="BJ149" s="596"/>
      <c r="BK149" s="596"/>
      <c r="BL149" s="596"/>
      <c r="BM149" s="596"/>
      <c r="BN149" s="596"/>
      <c r="BO149" s="596"/>
      <c r="BP149" s="596"/>
      <c r="BQ149" s="596"/>
      <c r="BR149" s="596"/>
      <c r="BS149" s="596"/>
      <c r="BT149" s="596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  <c r="BE150" s="596"/>
      <c r="BF150" s="596"/>
      <c r="BG150" s="596"/>
      <c r="BH150" s="596"/>
      <c r="BI150" s="596"/>
      <c r="BJ150" s="596"/>
      <c r="BK150" s="596"/>
      <c r="BL150" s="596"/>
      <c r="BM150" s="596"/>
      <c r="BN150" s="596"/>
      <c r="BO150" s="596"/>
      <c r="BP150" s="596"/>
      <c r="BQ150" s="596"/>
      <c r="BR150" s="596"/>
      <c r="BS150" s="596"/>
      <c r="BT150" s="596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 t="s">
        <v>627</v>
      </c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 t="s">
        <v>628</v>
      </c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 t="s">
        <v>629</v>
      </c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 t="s">
        <v>630</v>
      </c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 t="s">
        <v>631</v>
      </c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 t="s">
        <v>632</v>
      </c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 t="s">
        <v>633</v>
      </c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 t="s">
        <v>634</v>
      </c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 t="s">
        <v>635</v>
      </c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 t="s">
        <v>636</v>
      </c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 t="s">
        <v>637</v>
      </c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 t="s">
        <v>638</v>
      </c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  <row r="246" spans="1:72" ht="15">
      <c r="A246" s="539"/>
      <c r="B246" s="539"/>
      <c r="C246" s="539"/>
      <c r="D246" s="539"/>
      <c r="E246" s="539"/>
      <c r="F246" s="539"/>
      <c r="G246" s="539"/>
      <c r="H246" s="539"/>
      <c r="I246" s="539"/>
      <c r="J246" s="539"/>
      <c r="K246" s="539"/>
      <c r="L246" s="539"/>
      <c r="M246" s="539"/>
      <c r="N246" s="539"/>
      <c r="O246" s="539"/>
      <c r="P246" s="539"/>
      <c r="Q246" s="539"/>
      <c r="R246" s="539"/>
      <c r="S246" s="557"/>
      <c r="T246" s="557"/>
      <c r="U246" s="557"/>
      <c r="V246" s="557"/>
      <c r="W246" s="539"/>
      <c r="X246" s="539"/>
      <c r="Y246" s="557"/>
      <c r="Z246" s="557"/>
      <c r="AA246" s="539"/>
      <c r="AB246" s="539"/>
      <c r="AC246" s="539"/>
      <c r="AD246" s="557"/>
      <c r="AE246" s="557"/>
      <c r="AF246" s="557"/>
      <c r="AG246" s="557"/>
      <c r="AH246" s="557"/>
      <c r="AI246" s="557"/>
      <c r="AJ246" s="557"/>
      <c r="AK246" s="557"/>
      <c r="AL246" s="557"/>
      <c r="AM246" s="557"/>
      <c r="AN246" s="557"/>
      <c r="AO246" s="557"/>
      <c r="AP246" s="557"/>
      <c r="AQ246" s="557"/>
      <c r="AR246" s="557"/>
      <c r="AS246" s="557"/>
      <c r="AT246" s="557"/>
      <c r="AU246" s="557"/>
      <c r="AV246" s="557"/>
      <c r="AW246" s="557"/>
      <c r="AX246" s="557"/>
      <c r="AY246" s="557"/>
      <c r="AZ246" s="557"/>
      <c r="BA246" s="557"/>
      <c r="BB246" s="557"/>
      <c r="BC246" s="557"/>
      <c r="BD246" s="553"/>
      <c r="BE246" s="596"/>
      <c r="BF246" s="596"/>
      <c r="BG246" s="596"/>
      <c r="BH246" s="596"/>
      <c r="BI246" s="596"/>
      <c r="BJ246" s="596"/>
      <c r="BK246" s="596"/>
      <c r="BL246" s="596"/>
      <c r="BM246" s="596"/>
      <c r="BN246" s="596"/>
      <c r="BO246" s="596"/>
      <c r="BP246" s="596"/>
      <c r="BQ246" s="596"/>
      <c r="BR246" s="596"/>
      <c r="BS246" s="596"/>
      <c r="BT246" s="596"/>
    </row>
    <row r="247" spans="1:72" ht="15">
      <c r="A247" s="539"/>
      <c r="B247" s="539"/>
      <c r="C247" s="539"/>
      <c r="D247" s="539"/>
      <c r="E247" s="539"/>
      <c r="F247" s="539"/>
      <c r="G247" s="539"/>
      <c r="H247" s="539"/>
      <c r="I247" s="539"/>
      <c r="J247" s="539"/>
      <c r="K247" s="539"/>
      <c r="L247" s="539"/>
      <c r="M247" s="539"/>
      <c r="N247" s="539"/>
      <c r="O247" s="539"/>
      <c r="P247" s="539"/>
      <c r="Q247" s="539"/>
      <c r="R247" s="539"/>
      <c r="S247" s="557"/>
      <c r="T247" s="557"/>
      <c r="U247" s="557"/>
      <c r="V247" s="557"/>
      <c r="W247" s="539"/>
      <c r="X247" s="539"/>
      <c r="Y247" s="557"/>
      <c r="Z247" s="557"/>
      <c r="AA247" s="539"/>
      <c r="AB247" s="539"/>
      <c r="AC247" s="539"/>
      <c r="AD247" s="557"/>
      <c r="AE247" s="557"/>
      <c r="AF247" s="557"/>
      <c r="AG247" s="557"/>
      <c r="AH247" s="557"/>
      <c r="AI247" s="557"/>
      <c r="AJ247" s="557"/>
      <c r="AK247" s="557"/>
      <c r="AL247" s="557"/>
      <c r="AM247" s="557"/>
      <c r="AN247" s="557"/>
      <c r="AO247" s="557"/>
      <c r="AP247" s="557"/>
      <c r="AQ247" s="557"/>
      <c r="AR247" s="557"/>
      <c r="AS247" s="557"/>
      <c r="AT247" s="557"/>
      <c r="AU247" s="557"/>
      <c r="AV247" s="557"/>
      <c r="AW247" s="557"/>
      <c r="AX247" s="557"/>
      <c r="AY247" s="557"/>
      <c r="AZ247" s="557"/>
      <c r="BA247" s="557"/>
      <c r="BB247" s="557"/>
      <c r="BC247" s="557"/>
      <c r="BD247" s="553"/>
      <c r="BE247" s="596"/>
      <c r="BF247" s="596"/>
      <c r="BG247" s="596"/>
      <c r="BH247" s="596"/>
      <c r="BI247" s="596"/>
      <c r="BJ247" s="596"/>
      <c r="BK247" s="596"/>
      <c r="BL247" s="596"/>
      <c r="BM247" s="596"/>
      <c r="BN247" s="596"/>
      <c r="BO247" s="596"/>
      <c r="BP247" s="596"/>
      <c r="BQ247" s="596"/>
      <c r="BR247" s="596"/>
      <c r="BS247" s="596"/>
      <c r="BT247" s="596"/>
    </row>
    <row r="248" spans="1:72" ht="15">
      <c r="A248" s="539"/>
      <c r="B248" s="539"/>
      <c r="C248" s="539"/>
      <c r="D248" s="539"/>
      <c r="E248" s="539"/>
      <c r="F248" s="539"/>
      <c r="G248" s="539"/>
      <c r="H248" s="539"/>
      <c r="I248" s="539"/>
      <c r="J248" s="539"/>
      <c r="K248" s="539"/>
      <c r="L248" s="539"/>
      <c r="M248" s="539"/>
      <c r="N248" s="539"/>
      <c r="O248" s="539"/>
      <c r="P248" s="539"/>
      <c r="Q248" s="539"/>
      <c r="R248" s="539"/>
      <c r="S248" s="557"/>
      <c r="T248" s="557"/>
      <c r="U248" s="557"/>
      <c r="V248" s="557"/>
      <c r="W248" s="539"/>
      <c r="X248" s="539"/>
      <c r="Y248" s="557"/>
      <c r="Z248" s="557"/>
      <c r="AA248" s="539"/>
      <c r="AB248" s="539"/>
      <c r="AC248" s="539"/>
      <c r="AD248" s="557"/>
      <c r="AE248" s="557"/>
      <c r="AF248" s="557"/>
      <c r="AG248" s="557"/>
      <c r="AH248" s="557"/>
      <c r="AI248" s="557"/>
      <c r="AJ248" s="557"/>
      <c r="AK248" s="557"/>
      <c r="AL248" s="557"/>
      <c r="AM248" s="557"/>
      <c r="AN248" s="557"/>
      <c r="AO248" s="557"/>
      <c r="AP248" s="557"/>
      <c r="AQ248" s="557"/>
      <c r="AR248" s="557"/>
      <c r="AS248" s="557"/>
      <c r="AT248" s="557"/>
      <c r="AU248" s="557"/>
      <c r="AV248" s="557"/>
      <c r="AW248" s="557"/>
      <c r="AX248" s="557"/>
      <c r="AY248" s="557"/>
      <c r="AZ248" s="557"/>
      <c r="BA248" s="557"/>
      <c r="BB248" s="557"/>
      <c r="BC248" s="557"/>
      <c r="BD248" s="553"/>
      <c r="BE248" s="596"/>
      <c r="BF248" s="596"/>
      <c r="BG248" s="596"/>
      <c r="BH248" s="596"/>
      <c r="BI248" s="596"/>
      <c r="BJ248" s="596"/>
      <c r="BK248" s="596"/>
      <c r="BL248" s="596"/>
      <c r="BM248" s="596"/>
      <c r="BN248" s="596"/>
      <c r="BO248" s="596"/>
      <c r="BP248" s="596"/>
      <c r="BQ248" s="596"/>
      <c r="BR248" s="596"/>
      <c r="BS248" s="596"/>
      <c r="BT248" s="596"/>
    </row>
    <row r="249" spans="1:72" ht="15">
      <c r="A249" s="539"/>
      <c r="B249" s="539"/>
      <c r="C249" s="539"/>
      <c r="D249" s="539"/>
      <c r="E249" s="539"/>
      <c r="F249" s="539"/>
      <c r="G249" s="539"/>
      <c r="H249" s="539"/>
      <c r="I249" s="539"/>
      <c r="J249" s="539"/>
      <c r="K249" s="539"/>
      <c r="L249" s="539"/>
      <c r="M249" s="539"/>
      <c r="N249" s="539"/>
      <c r="O249" s="539"/>
      <c r="P249" s="539"/>
      <c r="Q249" s="539"/>
      <c r="R249" s="539"/>
      <c r="S249" s="557"/>
      <c r="T249" s="557"/>
      <c r="U249" s="557"/>
      <c r="V249" s="557"/>
      <c r="W249" s="539"/>
      <c r="X249" s="539"/>
      <c r="Y249" s="557"/>
      <c r="Z249" s="557"/>
      <c r="AA249" s="539"/>
      <c r="AB249" s="539"/>
      <c r="AC249" s="539"/>
      <c r="AD249" s="557"/>
      <c r="AE249" s="557"/>
      <c r="AF249" s="557"/>
      <c r="AG249" s="557"/>
      <c r="AH249" s="557"/>
      <c r="AI249" s="557"/>
      <c r="AJ249" s="557"/>
      <c r="AK249" s="557"/>
      <c r="AL249" s="557"/>
      <c r="AM249" s="557"/>
      <c r="AN249" s="557"/>
      <c r="AO249" s="557"/>
      <c r="AP249" s="557"/>
      <c r="AQ249" s="557"/>
      <c r="AR249" s="557"/>
      <c r="AS249" s="557"/>
      <c r="AT249" s="557"/>
      <c r="AU249" s="557"/>
      <c r="AV249" s="557"/>
      <c r="AW249" s="557"/>
      <c r="AX249" s="557"/>
      <c r="AY249" s="557"/>
      <c r="AZ249" s="557"/>
      <c r="BA249" s="557"/>
      <c r="BB249" s="557"/>
      <c r="BC249" s="557"/>
      <c r="BD249" s="553"/>
      <c r="BE249" s="596"/>
      <c r="BF249" s="596"/>
      <c r="BG249" s="596"/>
      <c r="BH249" s="596"/>
      <c r="BI249" s="596"/>
      <c r="BJ249" s="596"/>
      <c r="BK249" s="596"/>
      <c r="BL249" s="596"/>
      <c r="BM249" s="596"/>
      <c r="BN249" s="596"/>
      <c r="BO249" s="596"/>
      <c r="BP249" s="596"/>
      <c r="BQ249" s="596"/>
      <c r="BR249" s="596"/>
      <c r="BS249" s="596"/>
      <c r="BT249" s="596"/>
    </row>
    <row r="250" spans="1:72" ht="15">
      <c r="A250" s="539"/>
      <c r="B250" s="539"/>
      <c r="C250" s="539"/>
      <c r="D250" s="539"/>
      <c r="E250" s="539"/>
      <c r="F250" s="539"/>
      <c r="G250" s="539"/>
      <c r="H250" s="539"/>
      <c r="I250" s="539"/>
      <c r="J250" s="539"/>
      <c r="K250" s="539"/>
      <c r="L250" s="539"/>
      <c r="M250" s="539"/>
      <c r="N250" s="539"/>
      <c r="O250" s="539"/>
      <c r="P250" s="539"/>
      <c r="Q250" s="539"/>
      <c r="R250" s="539"/>
      <c r="S250" s="557"/>
      <c r="T250" s="557"/>
      <c r="U250" s="557"/>
      <c r="V250" s="557"/>
      <c r="W250" s="539"/>
      <c r="X250" s="539"/>
      <c r="Y250" s="557"/>
      <c r="Z250" s="557"/>
      <c r="AA250" s="539"/>
      <c r="AB250" s="539"/>
      <c r="AC250" s="539"/>
      <c r="AD250" s="557"/>
      <c r="AE250" s="557"/>
      <c r="AF250" s="557"/>
      <c r="AG250" s="557"/>
      <c r="AH250" s="557"/>
      <c r="AI250" s="557"/>
      <c r="AJ250" s="557"/>
      <c r="AK250" s="557"/>
      <c r="AL250" s="557"/>
      <c r="AM250" s="557"/>
      <c r="AN250" s="557"/>
      <c r="AO250" s="557"/>
      <c r="AP250" s="557"/>
      <c r="AQ250" s="557"/>
      <c r="AR250" s="557"/>
      <c r="AS250" s="557"/>
      <c r="AT250" s="557"/>
      <c r="AU250" s="557"/>
      <c r="AV250" s="557"/>
      <c r="AW250" s="557"/>
      <c r="AX250" s="557"/>
      <c r="AY250" s="557"/>
      <c r="AZ250" s="557"/>
      <c r="BA250" s="557"/>
      <c r="BB250" s="557"/>
      <c r="BC250" s="557"/>
      <c r="BD250" s="553"/>
      <c r="BE250" s="596"/>
      <c r="BF250" s="596"/>
      <c r="BG250" s="596"/>
      <c r="BH250" s="596"/>
      <c r="BI250" s="596"/>
      <c r="BJ250" s="596"/>
      <c r="BK250" s="596"/>
      <c r="BL250" s="596"/>
      <c r="BM250" s="596"/>
      <c r="BN250" s="596"/>
      <c r="BO250" s="596"/>
      <c r="BP250" s="596"/>
      <c r="BQ250" s="596"/>
      <c r="BR250" s="596"/>
      <c r="BS250" s="596"/>
      <c r="BT250" s="596"/>
    </row>
  </sheetData>
  <mergeCells count="198">
    <mergeCell ref="J110:M110"/>
    <mergeCell ref="J111:M111"/>
    <mergeCell ref="J112:M112"/>
    <mergeCell ref="J113:M113"/>
    <mergeCell ref="J105:M105"/>
    <mergeCell ref="J106:M106"/>
    <mergeCell ref="J107:M107"/>
    <mergeCell ref="J108:M108"/>
    <mergeCell ref="J109:M109"/>
    <mergeCell ref="J100:M100"/>
    <mergeCell ref="J101:M101"/>
    <mergeCell ref="J102:M102"/>
    <mergeCell ref="J103:M103"/>
    <mergeCell ref="J104:M104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AE56:AG58"/>
    <mergeCell ref="AE59:AG61"/>
    <mergeCell ref="AB38:AD40"/>
    <mergeCell ref="AB41:AD43"/>
    <mergeCell ref="AB44:AD46"/>
    <mergeCell ref="J79:M79"/>
    <mergeCell ref="J68:M68"/>
    <mergeCell ref="J72:M72"/>
    <mergeCell ref="AN53:AP55"/>
    <mergeCell ref="AN56:AP58"/>
    <mergeCell ref="AN59:AP61"/>
    <mergeCell ref="J65:M65"/>
    <mergeCell ref="AH53:AJ55"/>
    <mergeCell ref="AH56:AJ58"/>
    <mergeCell ref="AH59:AJ61"/>
    <mergeCell ref="V53:X55"/>
    <mergeCell ref="V56:X58"/>
    <mergeCell ref="V59:X61"/>
    <mergeCell ref="S53:U55"/>
    <mergeCell ref="S56:U58"/>
    <mergeCell ref="S59:U61"/>
    <mergeCell ref="Y53:AA55"/>
    <mergeCell ref="Y56:AA58"/>
    <mergeCell ref="Y59:AA61"/>
    <mergeCell ref="AB47:AD49"/>
    <mergeCell ref="AB50:AD52"/>
    <mergeCell ref="Y44:AA46"/>
    <mergeCell ref="Y47:AA49"/>
    <mergeCell ref="Y50:AA52"/>
    <mergeCell ref="J88:M88"/>
    <mergeCell ref="J89:M89"/>
    <mergeCell ref="AK38:AM40"/>
    <mergeCell ref="AK41:AM43"/>
    <mergeCell ref="AK44:AM46"/>
    <mergeCell ref="AK47:AM49"/>
    <mergeCell ref="AK50:AM52"/>
    <mergeCell ref="AK53:AM55"/>
    <mergeCell ref="AK56:AM58"/>
    <mergeCell ref="AK59:AM61"/>
    <mergeCell ref="AB53:AD55"/>
    <mergeCell ref="AB56:AD58"/>
    <mergeCell ref="AB59:AD61"/>
    <mergeCell ref="AE38:AG40"/>
    <mergeCell ref="AE41:AG43"/>
    <mergeCell ref="AE44:AG46"/>
    <mergeCell ref="AE47:AG49"/>
    <mergeCell ref="AE50:AG52"/>
    <mergeCell ref="AE53:AG55"/>
    <mergeCell ref="M50:O52"/>
    <mergeCell ref="M53:O55"/>
    <mergeCell ref="M56:O58"/>
    <mergeCell ref="M59:O61"/>
    <mergeCell ref="V38:X40"/>
    <mergeCell ref="V41:X43"/>
    <mergeCell ref="V44:X46"/>
    <mergeCell ref="V47:X49"/>
    <mergeCell ref="V50:X52"/>
    <mergeCell ref="P53:R55"/>
    <mergeCell ref="P56:R58"/>
    <mergeCell ref="AH41:AJ43"/>
    <mergeCell ref="AH44:AJ46"/>
    <mergeCell ref="AH47:AJ49"/>
    <mergeCell ref="AH50:AJ52"/>
    <mergeCell ref="P47:R49"/>
    <mergeCell ref="P59:R61"/>
    <mergeCell ref="P50:R52"/>
    <mergeCell ref="G53:I55"/>
    <mergeCell ref="G56:I58"/>
    <mergeCell ref="G59:I61"/>
    <mergeCell ref="J41:L43"/>
    <mergeCell ref="J44:L46"/>
    <mergeCell ref="J47:L49"/>
    <mergeCell ref="M41:O43"/>
    <mergeCell ref="P44:R46"/>
    <mergeCell ref="G41:I43"/>
    <mergeCell ref="G44:I46"/>
    <mergeCell ref="P41:R43"/>
    <mergeCell ref="J50:L52"/>
    <mergeCell ref="J53:L55"/>
    <mergeCell ref="J56:L58"/>
    <mergeCell ref="J59:L61"/>
    <mergeCell ref="M44:O46"/>
    <mergeCell ref="M47:O49"/>
    <mergeCell ref="J7:M7"/>
    <mergeCell ref="Y38:AA40"/>
    <mergeCell ref="Y41:AA43"/>
    <mergeCell ref="P35:R37"/>
    <mergeCell ref="M35:O37"/>
    <mergeCell ref="J35:L37"/>
    <mergeCell ref="G35:I37"/>
    <mergeCell ref="E31:H32"/>
    <mergeCell ref="I28:N30"/>
    <mergeCell ref="E17:O17"/>
    <mergeCell ref="P17:AA17"/>
    <mergeCell ref="E21:O21"/>
    <mergeCell ref="P21:AA21"/>
    <mergeCell ref="J38:L40"/>
    <mergeCell ref="M38:O40"/>
    <mergeCell ref="G38:I40"/>
    <mergeCell ref="P38:R40"/>
    <mergeCell ref="J83:M83"/>
    <mergeCell ref="A5:BA5"/>
    <mergeCell ref="AH35:AJ37"/>
    <mergeCell ref="AK35:AM37"/>
    <mergeCell ref="AN35:AP37"/>
    <mergeCell ref="S35:U37"/>
    <mergeCell ref="V35:X37"/>
    <mergeCell ref="Y35:AA37"/>
    <mergeCell ref="AB35:AD37"/>
    <mergeCell ref="AE35:AG37"/>
    <mergeCell ref="E35:F37"/>
    <mergeCell ref="E59:F61"/>
    <mergeCell ref="E44:F46"/>
    <mergeCell ref="E47:F49"/>
    <mergeCell ref="E50:F52"/>
    <mergeCell ref="E53:F55"/>
    <mergeCell ref="E56:F58"/>
    <mergeCell ref="G47:I49"/>
    <mergeCell ref="G50:I52"/>
    <mergeCell ref="C10:I11"/>
    <mergeCell ref="C13:AY15"/>
    <mergeCell ref="E28:H30"/>
    <mergeCell ref="S38:U40"/>
    <mergeCell ref="S41:U43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B21:AW21"/>
    <mergeCell ref="E76:S76"/>
    <mergeCell ref="AB17:AW17"/>
    <mergeCell ref="E18:O18"/>
    <mergeCell ref="P18:AA18"/>
    <mergeCell ref="AB18:AW18"/>
    <mergeCell ref="E19:O19"/>
    <mergeCell ref="P19:AA19"/>
    <mergeCell ref="AB19:AW19"/>
    <mergeCell ref="E20:O20"/>
    <mergeCell ref="P20:AA20"/>
    <mergeCell ref="AB20:AW20"/>
    <mergeCell ref="E41:F43"/>
    <mergeCell ref="E38:F40"/>
    <mergeCell ref="S44:U46"/>
    <mergeCell ref="S47:U49"/>
    <mergeCell ref="S50:U52"/>
    <mergeCell ref="I31:N32"/>
    <mergeCell ref="AN38:AP40"/>
    <mergeCell ref="AN41:AP43"/>
    <mergeCell ref="AN44:AP46"/>
    <mergeCell ref="AN47:AP49"/>
    <mergeCell ref="AN50:AP52"/>
    <mergeCell ref="AH38:AJ40"/>
  </mergeCells>
  <phoneticPr fontId="56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CI62"/>
  <sheetViews>
    <sheetView showGridLines="0" view="pageBreakPreview" zoomScale="85" zoomScaleNormal="70" zoomScaleSheetLayoutView="85" workbookViewId="0">
      <selection sqref="A1:I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22" width="2.54296875" style="608" customWidth="1"/>
    <col min="23" max="38" width="2.54296875" style="608"/>
    <col min="39" max="39" width="2.54296875" style="608" customWidth="1"/>
    <col min="40" max="61" width="2.54296875" style="608"/>
    <col min="62" max="62" width="2.54296875" style="608" customWidth="1"/>
    <col min="63" max="248" width="2.54296875" style="608"/>
    <col min="249" max="249" width="4" style="608" customWidth="1"/>
    <col min="250" max="281" width="2.54296875" style="608"/>
    <col min="282" max="282" width="2.54296875" style="608" customWidth="1"/>
    <col min="283" max="504" width="2.54296875" style="608"/>
    <col min="505" max="505" width="4" style="608" customWidth="1"/>
    <col min="506" max="537" width="2.54296875" style="608"/>
    <col min="538" max="538" width="2.54296875" style="608" customWidth="1"/>
    <col min="539" max="760" width="2.54296875" style="608"/>
    <col min="761" max="761" width="4" style="608" customWidth="1"/>
    <col min="762" max="793" width="2.54296875" style="608"/>
    <col min="794" max="794" width="2.54296875" style="608" customWidth="1"/>
    <col min="795" max="1016" width="2.54296875" style="608"/>
    <col min="1017" max="1017" width="4" style="608" customWidth="1"/>
    <col min="1018" max="1049" width="2.54296875" style="608"/>
    <col min="1050" max="1050" width="2.54296875" style="608" customWidth="1"/>
    <col min="1051" max="1272" width="2.54296875" style="608"/>
    <col min="1273" max="1273" width="4" style="608" customWidth="1"/>
    <col min="1274" max="1305" width="2.54296875" style="608"/>
    <col min="1306" max="1306" width="2.54296875" style="608" customWidth="1"/>
    <col min="1307" max="1528" width="2.54296875" style="608"/>
    <col min="1529" max="1529" width="4" style="608" customWidth="1"/>
    <col min="1530" max="1561" width="2.54296875" style="608"/>
    <col min="1562" max="1562" width="2.54296875" style="608" customWidth="1"/>
    <col min="1563" max="1784" width="2.54296875" style="608"/>
    <col min="1785" max="1785" width="4" style="608" customWidth="1"/>
    <col min="1786" max="1817" width="2.54296875" style="608"/>
    <col min="1818" max="1818" width="2.54296875" style="608" customWidth="1"/>
    <col min="1819" max="2040" width="2.54296875" style="608"/>
    <col min="2041" max="2041" width="4" style="608" customWidth="1"/>
    <col min="2042" max="2073" width="2.54296875" style="608"/>
    <col min="2074" max="2074" width="2.54296875" style="608" customWidth="1"/>
    <col min="2075" max="2296" width="2.54296875" style="608"/>
    <col min="2297" max="2297" width="4" style="608" customWidth="1"/>
    <col min="2298" max="2329" width="2.54296875" style="608"/>
    <col min="2330" max="2330" width="2.54296875" style="608" customWidth="1"/>
    <col min="2331" max="2552" width="2.54296875" style="608"/>
    <col min="2553" max="2553" width="4" style="608" customWidth="1"/>
    <col min="2554" max="2585" width="2.54296875" style="608"/>
    <col min="2586" max="2586" width="2.54296875" style="608" customWidth="1"/>
    <col min="2587" max="2808" width="2.54296875" style="608"/>
    <col min="2809" max="2809" width="4" style="608" customWidth="1"/>
    <col min="2810" max="2841" width="2.54296875" style="608"/>
    <col min="2842" max="2842" width="2.54296875" style="608" customWidth="1"/>
    <col min="2843" max="3064" width="2.54296875" style="608"/>
    <col min="3065" max="3065" width="4" style="608" customWidth="1"/>
    <col min="3066" max="3097" width="2.54296875" style="608"/>
    <col min="3098" max="3098" width="2.54296875" style="608" customWidth="1"/>
    <col min="3099" max="3320" width="2.54296875" style="608"/>
    <col min="3321" max="3321" width="4" style="608" customWidth="1"/>
    <col min="3322" max="3353" width="2.54296875" style="608"/>
    <col min="3354" max="3354" width="2.54296875" style="608" customWidth="1"/>
    <col min="3355" max="3576" width="2.54296875" style="608"/>
    <col min="3577" max="3577" width="4" style="608" customWidth="1"/>
    <col min="3578" max="3609" width="2.54296875" style="608"/>
    <col min="3610" max="3610" width="2.54296875" style="608" customWidth="1"/>
    <col min="3611" max="3832" width="2.54296875" style="608"/>
    <col min="3833" max="3833" width="4" style="608" customWidth="1"/>
    <col min="3834" max="3865" width="2.54296875" style="608"/>
    <col min="3866" max="3866" width="2.54296875" style="608" customWidth="1"/>
    <col min="3867" max="4088" width="2.54296875" style="608"/>
    <col min="4089" max="4089" width="4" style="608" customWidth="1"/>
    <col min="4090" max="4121" width="2.54296875" style="608"/>
    <col min="4122" max="4122" width="2.54296875" style="608" customWidth="1"/>
    <col min="4123" max="4344" width="2.54296875" style="608"/>
    <col min="4345" max="4345" width="4" style="608" customWidth="1"/>
    <col min="4346" max="4377" width="2.54296875" style="608"/>
    <col min="4378" max="4378" width="2.54296875" style="608" customWidth="1"/>
    <col min="4379" max="4600" width="2.54296875" style="608"/>
    <col min="4601" max="4601" width="4" style="608" customWidth="1"/>
    <col min="4602" max="4633" width="2.54296875" style="608"/>
    <col min="4634" max="4634" width="2.54296875" style="608" customWidth="1"/>
    <col min="4635" max="4856" width="2.54296875" style="608"/>
    <col min="4857" max="4857" width="4" style="608" customWidth="1"/>
    <col min="4858" max="4889" width="2.54296875" style="608"/>
    <col min="4890" max="4890" width="2.54296875" style="608" customWidth="1"/>
    <col min="4891" max="5112" width="2.54296875" style="608"/>
    <col min="5113" max="5113" width="4" style="608" customWidth="1"/>
    <col min="5114" max="5145" width="2.54296875" style="608"/>
    <col min="5146" max="5146" width="2.54296875" style="608" customWidth="1"/>
    <col min="5147" max="5368" width="2.54296875" style="608"/>
    <col min="5369" max="5369" width="4" style="608" customWidth="1"/>
    <col min="5370" max="5401" width="2.54296875" style="608"/>
    <col min="5402" max="5402" width="2.54296875" style="608" customWidth="1"/>
    <col min="5403" max="5624" width="2.54296875" style="608"/>
    <col min="5625" max="5625" width="4" style="608" customWidth="1"/>
    <col min="5626" max="5657" width="2.54296875" style="608"/>
    <col min="5658" max="5658" width="2.54296875" style="608" customWidth="1"/>
    <col min="5659" max="5880" width="2.54296875" style="608"/>
    <col min="5881" max="5881" width="4" style="608" customWidth="1"/>
    <col min="5882" max="5913" width="2.54296875" style="608"/>
    <col min="5914" max="5914" width="2.54296875" style="608" customWidth="1"/>
    <col min="5915" max="6136" width="2.54296875" style="608"/>
    <col min="6137" max="6137" width="4" style="608" customWidth="1"/>
    <col min="6138" max="6169" width="2.54296875" style="608"/>
    <col min="6170" max="6170" width="2.54296875" style="608" customWidth="1"/>
    <col min="6171" max="6392" width="2.54296875" style="608"/>
    <col min="6393" max="6393" width="4" style="608" customWidth="1"/>
    <col min="6394" max="6425" width="2.54296875" style="608"/>
    <col min="6426" max="6426" width="2.54296875" style="608" customWidth="1"/>
    <col min="6427" max="6648" width="2.54296875" style="608"/>
    <col min="6649" max="6649" width="4" style="608" customWidth="1"/>
    <col min="6650" max="6681" width="2.54296875" style="608"/>
    <col min="6682" max="6682" width="2.54296875" style="608" customWidth="1"/>
    <col min="6683" max="6904" width="2.54296875" style="608"/>
    <col min="6905" max="6905" width="4" style="608" customWidth="1"/>
    <col min="6906" max="6937" width="2.54296875" style="608"/>
    <col min="6938" max="6938" width="2.54296875" style="608" customWidth="1"/>
    <col min="6939" max="7160" width="2.54296875" style="608"/>
    <col min="7161" max="7161" width="4" style="608" customWidth="1"/>
    <col min="7162" max="7193" width="2.54296875" style="608"/>
    <col min="7194" max="7194" width="2.54296875" style="608" customWidth="1"/>
    <col min="7195" max="7416" width="2.54296875" style="608"/>
    <col min="7417" max="7417" width="4" style="608" customWidth="1"/>
    <col min="7418" max="7449" width="2.54296875" style="608"/>
    <col min="7450" max="7450" width="2.54296875" style="608" customWidth="1"/>
    <col min="7451" max="7672" width="2.54296875" style="608"/>
    <col min="7673" max="7673" width="4" style="608" customWidth="1"/>
    <col min="7674" max="7705" width="2.54296875" style="608"/>
    <col min="7706" max="7706" width="2.54296875" style="608" customWidth="1"/>
    <col min="7707" max="7928" width="2.54296875" style="608"/>
    <col min="7929" max="7929" width="4" style="608" customWidth="1"/>
    <col min="7930" max="7961" width="2.54296875" style="608"/>
    <col min="7962" max="7962" width="2.54296875" style="608" customWidth="1"/>
    <col min="7963" max="8184" width="2.54296875" style="608"/>
    <col min="8185" max="8185" width="4" style="608" customWidth="1"/>
    <col min="8186" max="8217" width="2.54296875" style="608"/>
    <col min="8218" max="8218" width="2.54296875" style="608" customWidth="1"/>
    <col min="8219" max="8440" width="2.54296875" style="608"/>
    <col min="8441" max="8441" width="4" style="608" customWidth="1"/>
    <col min="8442" max="8473" width="2.54296875" style="608"/>
    <col min="8474" max="8474" width="2.54296875" style="608" customWidth="1"/>
    <col min="8475" max="8696" width="2.54296875" style="608"/>
    <col min="8697" max="8697" width="4" style="608" customWidth="1"/>
    <col min="8698" max="8729" width="2.54296875" style="608"/>
    <col min="8730" max="8730" width="2.54296875" style="608" customWidth="1"/>
    <col min="8731" max="8952" width="2.54296875" style="608"/>
    <col min="8953" max="8953" width="4" style="608" customWidth="1"/>
    <col min="8954" max="8985" width="2.54296875" style="608"/>
    <col min="8986" max="8986" width="2.54296875" style="608" customWidth="1"/>
    <col min="8987" max="9208" width="2.54296875" style="608"/>
    <col min="9209" max="9209" width="4" style="608" customWidth="1"/>
    <col min="9210" max="9241" width="2.54296875" style="608"/>
    <col min="9242" max="9242" width="2.54296875" style="608" customWidth="1"/>
    <col min="9243" max="9464" width="2.54296875" style="608"/>
    <col min="9465" max="9465" width="4" style="608" customWidth="1"/>
    <col min="9466" max="9497" width="2.54296875" style="608"/>
    <col min="9498" max="9498" width="2.54296875" style="608" customWidth="1"/>
    <col min="9499" max="9720" width="2.54296875" style="608"/>
    <col min="9721" max="9721" width="4" style="608" customWidth="1"/>
    <col min="9722" max="9753" width="2.54296875" style="608"/>
    <col min="9754" max="9754" width="2.54296875" style="608" customWidth="1"/>
    <col min="9755" max="9976" width="2.54296875" style="608"/>
    <col min="9977" max="9977" width="4" style="608" customWidth="1"/>
    <col min="9978" max="10009" width="2.54296875" style="608"/>
    <col min="10010" max="10010" width="2.54296875" style="608" customWidth="1"/>
    <col min="10011" max="10232" width="2.54296875" style="608"/>
    <col min="10233" max="10233" width="4" style="608" customWidth="1"/>
    <col min="10234" max="10265" width="2.54296875" style="608"/>
    <col min="10266" max="10266" width="2.54296875" style="608" customWidth="1"/>
    <col min="10267" max="10488" width="2.54296875" style="608"/>
    <col min="10489" max="10489" width="4" style="608" customWidth="1"/>
    <col min="10490" max="10521" width="2.54296875" style="608"/>
    <col min="10522" max="10522" width="2.54296875" style="608" customWidth="1"/>
    <col min="10523" max="10744" width="2.54296875" style="608"/>
    <col min="10745" max="10745" width="4" style="608" customWidth="1"/>
    <col min="10746" max="10777" width="2.54296875" style="608"/>
    <col min="10778" max="10778" width="2.54296875" style="608" customWidth="1"/>
    <col min="10779" max="11000" width="2.54296875" style="608"/>
    <col min="11001" max="11001" width="4" style="608" customWidth="1"/>
    <col min="11002" max="11033" width="2.54296875" style="608"/>
    <col min="11034" max="11034" width="2.54296875" style="608" customWidth="1"/>
    <col min="11035" max="11256" width="2.54296875" style="608"/>
    <col min="11257" max="11257" width="4" style="608" customWidth="1"/>
    <col min="11258" max="11289" width="2.54296875" style="608"/>
    <col min="11290" max="11290" width="2.54296875" style="608" customWidth="1"/>
    <col min="11291" max="11512" width="2.54296875" style="608"/>
    <col min="11513" max="11513" width="4" style="608" customWidth="1"/>
    <col min="11514" max="11545" width="2.54296875" style="608"/>
    <col min="11546" max="11546" width="2.54296875" style="608" customWidth="1"/>
    <col min="11547" max="11768" width="2.54296875" style="608"/>
    <col min="11769" max="11769" width="4" style="608" customWidth="1"/>
    <col min="11770" max="11801" width="2.54296875" style="608"/>
    <col min="11802" max="11802" width="2.54296875" style="608" customWidth="1"/>
    <col min="11803" max="12024" width="2.54296875" style="608"/>
    <col min="12025" max="12025" width="4" style="608" customWidth="1"/>
    <col min="12026" max="12057" width="2.54296875" style="608"/>
    <col min="12058" max="12058" width="2.54296875" style="608" customWidth="1"/>
    <col min="12059" max="12280" width="2.54296875" style="608"/>
    <col min="12281" max="12281" width="4" style="608" customWidth="1"/>
    <col min="12282" max="12313" width="2.54296875" style="608"/>
    <col min="12314" max="12314" width="2.54296875" style="608" customWidth="1"/>
    <col min="12315" max="12536" width="2.54296875" style="608"/>
    <col min="12537" max="12537" width="4" style="608" customWidth="1"/>
    <col min="12538" max="12569" width="2.54296875" style="608"/>
    <col min="12570" max="12570" width="2.54296875" style="608" customWidth="1"/>
    <col min="12571" max="12792" width="2.54296875" style="608"/>
    <col min="12793" max="12793" width="4" style="608" customWidth="1"/>
    <col min="12794" max="12825" width="2.54296875" style="608"/>
    <col min="12826" max="12826" width="2.54296875" style="608" customWidth="1"/>
    <col min="12827" max="13048" width="2.54296875" style="608"/>
    <col min="13049" max="13049" width="4" style="608" customWidth="1"/>
    <col min="13050" max="13081" width="2.54296875" style="608"/>
    <col min="13082" max="13082" width="2.54296875" style="608" customWidth="1"/>
    <col min="13083" max="13304" width="2.54296875" style="608"/>
    <col min="13305" max="13305" width="4" style="608" customWidth="1"/>
    <col min="13306" max="13337" width="2.54296875" style="608"/>
    <col min="13338" max="13338" width="2.54296875" style="608" customWidth="1"/>
    <col min="13339" max="13560" width="2.54296875" style="608"/>
    <col min="13561" max="13561" width="4" style="608" customWidth="1"/>
    <col min="13562" max="13593" width="2.54296875" style="608"/>
    <col min="13594" max="13594" width="2.54296875" style="608" customWidth="1"/>
    <col min="13595" max="13816" width="2.54296875" style="608"/>
    <col min="13817" max="13817" width="4" style="608" customWidth="1"/>
    <col min="13818" max="13849" width="2.54296875" style="608"/>
    <col min="13850" max="13850" width="2.54296875" style="608" customWidth="1"/>
    <col min="13851" max="14072" width="2.54296875" style="608"/>
    <col min="14073" max="14073" width="4" style="608" customWidth="1"/>
    <col min="14074" max="14105" width="2.54296875" style="608"/>
    <col min="14106" max="14106" width="2.54296875" style="608" customWidth="1"/>
    <col min="14107" max="14328" width="2.54296875" style="608"/>
    <col min="14329" max="14329" width="4" style="608" customWidth="1"/>
    <col min="14330" max="14361" width="2.54296875" style="608"/>
    <col min="14362" max="14362" width="2.54296875" style="608" customWidth="1"/>
    <col min="14363" max="14584" width="2.54296875" style="608"/>
    <col min="14585" max="14585" width="4" style="608" customWidth="1"/>
    <col min="14586" max="14617" width="2.54296875" style="608"/>
    <col min="14618" max="14618" width="2.54296875" style="608" customWidth="1"/>
    <col min="14619" max="14840" width="2.54296875" style="608"/>
    <col min="14841" max="14841" width="4" style="608" customWidth="1"/>
    <col min="14842" max="14873" width="2.54296875" style="608"/>
    <col min="14874" max="14874" width="2.54296875" style="608" customWidth="1"/>
    <col min="14875" max="15096" width="2.54296875" style="608"/>
    <col min="15097" max="15097" width="4" style="608" customWidth="1"/>
    <col min="15098" max="15129" width="2.54296875" style="608"/>
    <col min="15130" max="15130" width="2.54296875" style="608" customWidth="1"/>
    <col min="15131" max="15352" width="2.54296875" style="608"/>
    <col min="15353" max="15353" width="4" style="608" customWidth="1"/>
    <col min="15354" max="15385" width="2.54296875" style="608"/>
    <col min="15386" max="15386" width="2.54296875" style="608" customWidth="1"/>
    <col min="15387" max="15608" width="2.54296875" style="608"/>
    <col min="15609" max="15609" width="4" style="608" customWidth="1"/>
    <col min="15610" max="15641" width="2.54296875" style="608"/>
    <col min="15642" max="15642" width="2.54296875" style="608" customWidth="1"/>
    <col min="15643" max="15864" width="2.54296875" style="608"/>
    <col min="15865" max="15865" width="4" style="608" customWidth="1"/>
    <col min="15866" max="15897" width="2.54296875" style="608"/>
    <col min="15898" max="15898" width="2.54296875" style="608" customWidth="1"/>
    <col min="15899" max="16120" width="2.54296875" style="608"/>
    <col min="16121" max="16121" width="4" style="608" customWidth="1"/>
    <col min="16122" max="16153" width="2.54296875" style="608"/>
    <col min="16154" max="16154" width="2.54296875" style="608" customWidth="1"/>
    <col min="16155" max="16384" width="2.54296875" style="608"/>
  </cols>
  <sheetData>
    <row r="1" spans="1:87" ht="12.75" customHeight="1">
      <c r="A1" s="817" t="s">
        <v>319</v>
      </c>
      <c r="B1" s="817"/>
      <c r="C1" s="817"/>
      <c r="D1" s="817"/>
      <c r="E1" s="817"/>
      <c r="F1" s="817"/>
      <c r="G1" s="817"/>
      <c r="H1" s="817"/>
      <c r="I1" s="817"/>
      <c r="J1" s="606"/>
      <c r="K1" s="606"/>
      <c r="L1" s="606"/>
      <c r="M1" s="606"/>
      <c r="N1" s="606"/>
      <c r="O1" s="606"/>
      <c r="P1" s="606"/>
      <c r="Q1" s="606"/>
      <c r="R1" s="606"/>
      <c r="S1" s="606"/>
      <c r="T1" s="606"/>
      <c r="U1" s="606"/>
      <c r="V1" s="606"/>
      <c r="W1" s="606"/>
      <c r="X1" s="606"/>
      <c r="Y1" s="606"/>
      <c r="Z1" s="606"/>
      <c r="AA1" s="606"/>
      <c r="AB1" s="606"/>
      <c r="AC1" s="606"/>
      <c r="AD1" s="606"/>
      <c r="AE1" s="606"/>
      <c r="AF1" s="606"/>
      <c r="AG1" s="606"/>
      <c r="AH1" s="606"/>
      <c r="AI1" s="606"/>
      <c r="AJ1" s="606"/>
      <c r="AK1" s="606"/>
      <c r="AL1" s="606"/>
      <c r="AM1" s="606"/>
      <c r="AN1" s="606"/>
      <c r="AO1" s="606"/>
      <c r="AP1" s="606"/>
      <c r="AQ1" s="606"/>
      <c r="AR1" s="606"/>
      <c r="AS1" s="606"/>
      <c r="AT1" s="606"/>
      <c r="AU1" s="606"/>
      <c r="AV1" s="606"/>
      <c r="AW1" s="606"/>
      <c r="AX1" s="606"/>
      <c r="AY1" s="606"/>
      <c r="AZ1" s="606"/>
      <c r="BA1" s="606"/>
      <c r="BB1" s="606"/>
      <c r="BC1" s="606"/>
      <c r="BD1" s="606"/>
      <c r="BE1" s="606"/>
      <c r="BF1" s="606"/>
      <c r="BG1" s="606"/>
      <c r="BH1" s="606"/>
      <c r="BI1" s="606"/>
      <c r="BJ1" s="606"/>
      <c r="BK1" s="606"/>
      <c r="BL1" s="606"/>
      <c r="BM1" s="606"/>
      <c r="BN1" s="606"/>
      <c r="BO1" s="606"/>
      <c r="BP1" s="606"/>
      <c r="BQ1" s="606"/>
      <c r="BR1" s="606"/>
      <c r="BS1" s="606"/>
      <c r="BT1" s="606"/>
      <c r="BU1" s="606"/>
      <c r="BV1" s="606"/>
      <c r="BW1" s="606"/>
      <c r="BX1" s="606"/>
      <c r="BY1" s="606"/>
      <c r="BZ1" s="606"/>
      <c r="CA1" s="606"/>
      <c r="CB1" s="606"/>
      <c r="CC1" s="606"/>
      <c r="CD1" s="606"/>
      <c r="CE1" s="606"/>
      <c r="CF1" s="606"/>
      <c r="CG1" s="606"/>
      <c r="CH1" s="607"/>
      <c r="CI1" s="607"/>
    </row>
    <row r="2" spans="1:87" ht="12.75" customHeight="1">
      <c r="A2" s="818" t="s">
        <v>320</v>
      </c>
      <c r="B2" s="818"/>
      <c r="C2" s="818"/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818"/>
      <c r="V2" s="818"/>
      <c r="W2" s="818"/>
      <c r="X2" s="818"/>
      <c r="Y2" s="818"/>
      <c r="Z2" s="818"/>
      <c r="AA2" s="818"/>
      <c r="AB2" s="818"/>
      <c r="AC2" s="818"/>
      <c r="AD2" s="818"/>
      <c r="AE2" s="818"/>
      <c r="AF2" s="819" t="s">
        <v>321</v>
      </c>
      <c r="AG2" s="819"/>
      <c r="AH2" s="819"/>
      <c r="AI2" s="819"/>
      <c r="AJ2" s="819"/>
      <c r="AK2" s="819"/>
      <c r="AL2" s="819"/>
      <c r="AM2" s="819"/>
      <c r="AN2" s="819"/>
      <c r="AO2" s="819"/>
      <c r="AP2" s="819"/>
      <c r="AQ2" s="819"/>
      <c r="AR2" s="819"/>
      <c r="AS2" s="819"/>
      <c r="AT2" s="819"/>
      <c r="AU2" s="819"/>
      <c r="AV2" s="819"/>
      <c r="AW2" s="819"/>
      <c r="AX2" s="819"/>
      <c r="AY2" s="819"/>
      <c r="AZ2" s="819"/>
      <c r="BA2" s="819"/>
      <c r="BB2" s="819"/>
      <c r="BC2" s="819"/>
      <c r="BD2" s="819"/>
      <c r="BE2" s="819"/>
      <c r="BF2" s="819"/>
      <c r="BG2" s="819"/>
      <c r="BH2" s="819"/>
      <c r="BI2" s="819"/>
      <c r="BJ2" s="819"/>
      <c r="BK2" s="819"/>
      <c r="BL2" s="819"/>
      <c r="BM2" s="819"/>
      <c r="BN2" s="819"/>
      <c r="BO2" s="819"/>
      <c r="BP2" s="819"/>
      <c r="BQ2" s="819"/>
      <c r="BR2" s="819"/>
      <c r="BS2" s="819"/>
      <c r="BT2" s="819"/>
      <c r="BU2" s="819"/>
      <c r="BV2" s="819"/>
      <c r="BW2" s="819"/>
      <c r="BX2" s="819"/>
      <c r="BY2" s="819"/>
      <c r="BZ2" s="819"/>
      <c r="CA2" s="819"/>
      <c r="CB2" s="819"/>
      <c r="CC2" s="819"/>
      <c r="CD2" s="819"/>
      <c r="CE2" s="819"/>
      <c r="CF2" s="819"/>
      <c r="CG2" s="819"/>
      <c r="CH2" s="819"/>
      <c r="CI2" s="819"/>
    </row>
    <row r="3" spans="1:87" ht="27.75" customHeight="1">
      <c r="A3" s="821" t="s">
        <v>322</v>
      </c>
      <c r="B3" s="822"/>
      <c r="C3" s="822" t="s">
        <v>323</v>
      </c>
      <c r="D3" s="822"/>
      <c r="E3" s="822"/>
      <c r="F3" s="822"/>
      <c r="G3" s="822"/>
      <c r="H3" s="822"/>
      <c r="I3" s="822"/>
      <c r="J3" s="822"/>
      <c r="K3" s="822"/>
      <c r="L3" s="822"/>
      <c r="M3" s="822"/>
      <c r="N3" s="822"/>
      <c r="O3" s="822"/>
      <c r="P3" s="822"/>
      <c r="Q3" s="821" t="s">
        <v>324</v>
      </c>
      <c r="R3" s="822"/>
      <c r="S3" s="822"/>
      <c r="T3" s="822"/>
      <c r="U3" s="822"/>
      <c r="V3" s="822"/>
      <c r="W3" s="822"/>
      <c r="X3" s="821" t="s">
        <v>325</v>
      </c>
      <c r="Y3" s="822"/>
      <c r="Z3" s="822"/>
      <c r="AA3" s="822"/>
      <c r="AB3" s="822" t="s">
        <v>326</v>
      </c>
      <c r="AC3" s="822"/>
      <c r="AD3" s="823" t="s">
        <v>327</v>
      </c>
      <c r="AE3" s="824"/>
      <c r="AF3" s="821" t="s">
        <v>328</v>
      </c>
      <c r="AG3" s="822"/>
      <c r="AH3" s="822"/>
      <c r="AI3" s="822"/>
      <c r="AJ3" s="821" t="s">
        <v>329</v>
      </c>
      <c r="AK3" s="822"/>
      <c r="AL3" s="822"/>
      <c r="AM3" s="822"/>
      <c r="AN3" s="822"/>
      <c r="AO3" s="822"/>
      <c r="AP3" s="827" t="s">
        <v>330</v>
      </c>
      <c r="AQ3" s="828"/>
      <c r="AR3" s="828"/>
      <c r="AS3" s="828"/>
      <c r="AT3" s="828"/>
      <c r="AU3" s="828"/>
      <c r="AV3" s="828"/>
      <c r="AW3" s="828"/>
      <c r="AX3" s="828"/>
      <c r="AY3" s="828"/>
      <c r="AZ3" s="829"/>
      <c r="BA3" s="821" t="s">
        <v>331</v>
      </c>
      <c r="BB3" s="821"/>
      <c r="BC3" s="821"/>
      <c r="BD3" s="821"/>
      <c r="BE3" s="821"/>
      <c r="BF3" s="821"/>
      <c r="BG3" s="821"/>
      <c r="BH3" s="821"/>
      <c r="BI3" s="821"/>
      <c r="BJ3" s="821"/>
      <c r="BK3" s="821"/>
      <c r="BL3" s="821"/>
      <c r="BM3" s="821"/>
      <c r="BN3" s="821"/>
      <c r="BO3" s="821"/>
      <c r="BP3" s="821"/>
      <c r="BQ3" s="821"/>
      <c r="BR3" s="821"/>
      <c r="BS3" s="821"/>
      <c r="BT3" s="821"/>
      <c r="BU3" s="821"/>
      <c r="BV3" s="821"/>
      <c r="BW3" s="821"/>
      <c r="BX3" s="821"/>
      <c r="BY3" s="821"/>
      <c r="BZ3" s="821"/>
      <c r="CA3" s="821"/>
      <c r="CB3" s="821"/>
      <c r="CC3" s="821"/>
      <c r="CD3" s="821"/>
      <c r="CE3" s="821"/>
      <c r="CF3" s="821"/>
      <c r="CG3" s="821"/>
      <c r="CH3" s="821"/>
      <c r="CI3" s="821"/>
    </row>
    <row r="4" spans="1:87" ht="27.75" customHeight="1">
      <c r="A4" s="822"/>
      <c r="B4" s="822"/>
      <c r="C4" s="820" t="s">
        <v>332</v>
      </c>
      <c r="D4" s="820"/>
      <c r="E4" s="820"/>
      <c r="F4" s="820"/>
      <c r="G4" s="820"/>
      <c r="H4" s="820"/>
      <c r="I4" s="820"/>
      <c r="J4" s="820" t="s">
        <v>333</v>
      </c>
      <c r="K4" s="820"/>
      <c r="L4" s="820"/>
      <c r="M4" s="820"/>
      <c r="N4" s="820"/>
      <c r="O4" s="820"/>
      <c r="P4" s="820"/>
      <c r="Q4" s="822"/>
      <c r="R4" s="822"/>
      <c r="S4" s="822"/>
      <c r="T4" s="822"/>
      <c r="U4" s="822"/>
      <c r="V4" s="822"/>
      <c r="W4" s="822"/>
      <c r="X4" s="822"/>
      <c r="Y4" s="822"/>
      <c r="Z4" s="822"/>
      <c r="AA4" s="822"/>
      <c r="AB4" s="822"/>
      <c r="AC4" s="822"/>
      <c r="AD4" s="825"/>
      <c r="AE4" s="826"/>
      <c r="AF4" s="822"/>
      <c r="AG4" s="822"/>
      <c r="AH4" s="822"/>
      <c r="AI4" s="822"/>
      <c r="AJ4" s="822"/>
      <c r="AK4" s="822"/>
      <c r="AL4" s="822"/>
      <c r="AM4" s="822"/>
      <c r="AN4" s="822"/>
      <c r="AO4" s="822"/>
      <c r="AP4" s="830"/>
      <c r="AQ4" s="831"/>
      <c r="AR4" s="831"/>
      <c r="AS4" s="831"/>
      <c r="AT4" s="831"/>
      <c r="AU4" s="831"/>
      <c r="AV4" s="831"/>
      <c r="AW4" s="831"/>
      <c r="AX4" s="831"/>
      <c r="AY4" s="831"/>
      <c r="AZ4" s="832"/>
      <c r="BA4" s="821"/>
      <c r="BB4" s="821"/>
      <c r="BC4" s="821"/>
      <c r="BD4" s="821"/>
      <c r="BE4" s="821"/>
      <c r="BF4" s="821"/>
      <c r="BG4" s="821"/>
      <c r="BH4" s="821"/>
      <c r="BI4" s="821"/>
      <c r="BJ4" s="821"/>
      <c r="BK4" s="821"/>
      <c r="BL4" s="821"/>
      <c r="BM4" s="821"/>
      <c r="BN4" s="821"/>
      <c r="BO4" s="821"/>
      <c r="BP4" s="821"/>
      <c r="BQ4" s="821"/>
      <c r="BR4" s="821"/>
      <c r="BS4" s="821"/>
      <c r="BT4" s="821"/>
      <c r="BU4" s="821"/>
      <c r="BV4" s="821"/>
      <c r="BW4" s="821"/>
      <c r="BX4" s="821"/>
      <c r="BY4" s="821"/>
      <c r="BZ4" s="821"/>
      <c r="CA4" s="821"/>
      <c r="CB4" s="821"/>
      <c r="CC4" s="821"/>
      <c r="CD4" s="821"/>
      <c r="CE4" s="821"/>
      <c r="CF4" s="821"/>
      <c r="CG4" s="821"/>
      <c r="CH4" s="821"/>
      <c r="CI4" s="821"/>
    </row>
    <row r="5" spans="1:87">
      <c r="A5" s="843" t="s">
        <v>334</v>
      </c>
      <c r="B5" s="844"/>
      <c r="C5" s="845" t="s">
        <v>335</v>
      </c>
      <c r="D5" s="846"/>
      <c r="E5" s="846"/>
      <c r="F5" s="846"/>
      <c r="G5" s="846"/>
      <c r="H5" s="846"/>
      <c r="I5" s="847"/>
      <c r="J5" s="848"/>
      <c r="K5" s="849"/>
      <c r="L5" s="849"/>
      <c r="M5" s="849"/>
      <c r="N5" s="849"/>
      <c r="O5" s="849"/>
      <c r="P5" s="850"/>
      <c r="Q5" s="851"/>
      <c r="R5" s="852"/>
      <c r="S5" s="852"/>
      <c r="T5" s="852"/>
      <c r="U5" s="852"/>
      <c r="V5" s="852"/>
      <c r="W5" s="853"/>
      <c r="X5" s="854"/>
      <c r="Y5" s="855"/>
      <c r="Z5" s="855"/>
      <c r="AA5" s="856"/>
      <c r="AB5" s="833"/>
      <c r="AC5" s="834"/>
      <c r="AD5" s="833"/>
      <c r="AE5" s="834"/>
      <c r="AF5" s="835"/>
      <c r="AG5" s="836"/>
      <c r="AH5" s="836"/>
      <c r="AI5" s="836"/>
      <c r="AJ5" s="835"/>
      <c r="AK5" s="836"/>
      <c r="AL5" s="836"/>
      <c r="AM5" s="836"/>
      <c r="AN5" s="836"/>
      <c r="AO5" s="837"/>
      <c r="AP5" s="838"/>
      <c r="AQ5" s="839"/>
      <c r="AR5" s="839"/>
      <c r="AS5" s="839"/>
      <c r="AT5" s="839"/>
      <c r="AU5" s="839"/>
      <c r="AV5" s="839"/>
      <c r="AW5" s="839"/>
      <c r="AX5" s="839"/>
      <c r="AY5" s="839"/>
      <c r="AZ5" s="840"/>
      <c r="BA5" s="841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  <c r="BX5" s="839"/>
      <c r="BY5" s="839"/>
      <c r="BZ5" s="839"/>
      <c r="CA5" s="839"/>
      <c r="CB5" s="839"/>
      <c r="CC5" s="839"/>
      <c r="CD5" s="839"/>
      <c r="CE5" s="839"/>
      <c r="CF5" s="839"/>
      <c r="CG5" s="839"/>
      <c r="CH5" s="839"/>
      <c r="CI5" s="842"/>
    </row>
    <row r="6" spans="1:87">
      <c r="A6" s="843" t="s">
        <v>336</v>
      </c>
      <c r="B6" s="844"/>
      <c r="C6" s="845"/>
      <c r="D6" s="846"/>
      <c r="E6" s="846"/>
      <c r="F6" s="846"/>
      <c r="G6" s="846"/>
      <c r="H6" s="846"/>
      <c r="I6" s="847"/>
      <c r="J6" s="848" t="s">
        <v>337</v>
      </c>
      <c r="K6" s="849"/>
      <c r="L6" s="849"/>
      <c r="M6" s="849"/>
      <c r="N6" s="849"/>
      <c r="O6" s="849"/>
      <c r="P6" s="850"/>
      <c r="Q6" s="851" t="s">
        <v>338</v>
      </c>
      <c r="R6" s="852"/>
      <c r="S6" s="852"/>
      <c r="T6" s="852"/>
      <c r="U6" s="852"/>
      <c r="V6" s="852"/>
      <c r="W6" s="853"/>
      <c r="X6" s="854" t="s">
        <v>339</v>
      </c>
      <c r="Y6" s="855"/>
      <c r="Z6" s="855"/>
      <c r="AA6" s="856"/>
      <c r="AB6" s="833" t="s">
        <v>340</v>
      </c>
      <c r="AC6" s="834"/>
      <c r="AD6" s="833" t="s">
        <v>341</v>
      </c>
      <c r="AE6" s="834"/>
      <c r="AF6" s="838" t="s">
        <v>309</v>
      </c>
      <c r="AG6" s="839"/>
      <c r="AH6" s="839"/>
      <c r="AI6" s="840"/>
      <c r="AJ6" s="857"/>
      <c r="AK6" s="858"/>
      <c r="AL6" s="858"/>
      <c r="AM6" s="858"/>
      <c r="AN6" s="858"/>
      <c r="AO6" s="859"/>
      <c r="AP6" s="838" t="s">
        <v>309</v>
      </c>
      <c r="AQ6" s="839"/>
      <c r="AR6" s="839"/>
      <c r="AS6" s="839"/>
      <c r="AT6" s="839"/>
      <c r="AU6" s="839"/>
      <c r="AV6" s="839"/>
      <c r="AW6" s="839"/>
      <c r="AX6" s="839"/>
      <c r="AY6" s="839"/>
      <c r="AZ6" s="840"/>
      <c r="BA6" s="841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  <c r="BX6" s="839"/>
      <c r="BY6" s="839"/>
      <c r="BZ6" s="839"/>
      <c r="CA6" s="839"/>
      <c r="CB6" s="839"/>
      <c r="CC6" s="839"/>
      <c r="CD6" s="839"/>
      <c r="CE6" s="839"/>
      <c r="CF6" s="839"/>
      <c r="CG6" s="839"/>
      <c r="CH6" s="839"/>
      <c r="CI6" s="842"/>
    </row>
    <row r="7" spans="1:87" ht="15.75" customHeight="1">
      <c r="A7" s="843" t="s">
        <v>397</v>
      </c>
      <c r="B7" s="844"/>
      <c r="C7" s="866" t="s">
        <v>398</v>
      </c>
      <c r="D7" s="867"/>
      <c r="E7" s="867"/>
      <c r="F7" s="867"/>
      <c r="G7" s="867"/>
      <c r="H7" s="867"/>
      <c r="I7" s="868"/>
      <c r="J7" s="869"/>
      <c r="K7" s="869"/>
      <c r="L7" s="869"/>
      <c r="M7" s="869"/>
      <c r="N7" s="869"/>
      <c r="O7" s="869"/>
      <c r="P7" s="869"/>
      <c r="Q7" s="866"/>
      <c r="R7" s="867"/>
      <c r="S7" s="867"/>
      <c r="T7" s="867"/>
      <c r="U7" s="867"/>
      <c r="V7" s="867"/>
      <c r="W7" s="870"/>
      <c r="X7" s="854"/>
      <c r="Y7" s="855"/>
      <c r="Z7" s="855"/>
      <c r="AA7" s="856"/>
      <c r="AB7" s="833"/>
      <c r="AC7" s="834"/>
      <c r="AD7" s="833"/>
      <c r="AE7" s="834"/>
      <c r="AF7" s="860"/>
      <c r="AG7" s="861"/>
      <c r="AH7" s="861"/>
      <c r="AI7" s="861"/>
      <c r="AJ7" s="860"/>
      <c r="AK7" s="861"/>
      <c r="AL7" s="861"/>
      <c r="AM7" s="861"/>
      <c r="AN7" s="861"/>
      <c r="AO7" s="862"/>
      <c r="AP7" s="838" t="s">
        <v>345</v>
      </c>
      <c r="AQ7" s="839"/>
      <c r="AR7" s="839"/>
      <c r="AS7" s="839"/>
      <c r="AT7" s="839"/>
      <c r="AU7" s="839"/>
      <c r="AV7" s="839"/>
      <c r="AW7" s="839"/>
      <c r="AX7" s="839"/>
      <c r="AY7" s="839"/>
      <c r="AZ7" s="840"/>
      <c r="BA7" s="863"/>
      <c r="BB7" s="864"/>
      <c r="BC7" s="864"/>
      <c r="BD7" s="864"/>
      <c r="BE7" s="864"/>
      <c r="BF7" s="864"/>
      <c r="BG7" s="864"/>
      <c r="BH7" s="864"/>
      <c r="BI7" s="864"/>
      <c r="BJ7" s="864"/>
      <c r="BK7" s="864"/>
      <c r="BL7" s="864"/>
      <c r="BM7" s="864"/>
      <c r="BN7" s="864"/>
      <c r="BO7" s="864"/>
      <c r="BP7" s="864"/>
      <c r="BQ7" s="864"/>
      <c r="BR7" s="864"/>
      <c r="BS7" s="864"/>
      <c r="BT7" s="864"/>
      <c r="BU7" s="864"/>
      <c r="BV7" s="864"/>
      <c r="BW7" s="864"/>
      <c r="BX7" s="864"/>
      <c r="BY7" s="864"/>
      <c r="BZ7" s="864"/>
      <c r="CA7" s="864"/>
      <c r="CB7" s="864"/>
      <c r="CC7" s="864"/>
      <c r="CD7" s="864"/>
      <c r="CE7" s="864"/>
      <c r="CF7" s="864"/>
      <c r="CG7" s="864"/>
      <c r="CH7" s="864"/>
      <c r="CI7" s="865"/>
    </row>
    <row r="8" spans="1:87" ht="121.75" customHeight="1">
      <c r="A8" s="843" t="s">
        <v>399</v>
      </c>
      <c r="B8" s="844"/>
      <c r="C8" s="609"/>
      <c r="D8" s="610"/>
      <c r="E8" s="610"/>
      <c r="F8" s="610"/>
      <c r="G8" s="610"/>
      <c r="H8" s="610"/>
      <c r="I8" s="611"/>
      <c r="J8" s="872" t="s">
        <v>400</v>
      </c>
      <c r="K8" s="873"/>
      <c r="L8" s="873"/>
      <c r="M8" s="873"/>
      <c r="N8" s="873"/>
      <c r="O8" s="873"/>
      <c r="P8" s="874"/>
      <c r="Q8" s="875" t="s">
        <v>348</v>
      </c>
      <c r="R8" s="876"/>
      <c r="S8" s="876"/>
      <c r="T8" s="876"/>
      <c r="U8" s="876"/>
      <c r="V8" s="876"/>
      <c r="W8" s="877"/>
      <c r="X8" s="854" t="s">
        <v>342</v>
      </c>
      <c r="Y8" s="855"/>
      <c r="Z8" s="855"/>
      <c r="AA8" s="856"/>
      <c r="AB8" s="833" t="s">
        <v>340</v>
      </c>
      <c r="AC8" s="834"/>
      <c r="AD8" s="833" t="s">
        <v>344</v>
      </c>
      <c r="AE8" s="834"/>
      <c r="AF8" s="860"/>
      <c r="AG8" s="861"/>
      <c r="AH8" s="861"/>
      <c r="AI8" s="861"/>
      <c r="AJ8" s="860"/>
      <c r="AK8" s="861"/>
      <c r="AL8" s="861"/>
      <c r="AM8" s="861"/>
      <c r="AN8" s="861"/>
      <c r="AO8" s="862"/>
      <c r="AP8" s="833" t="s">
        <v>401</v>
      </c>
      <c r="AQ8" s="871"/>
      <c r="AR8" s="871"/>
      <c r="AS8" s="871"/>
      <c r="AT8" s="871"/>
      <c r="AU8" s="871"/>
      <c r="AV8" s="871"/>
      <c r="AW8" s="871"/>
      <c r="AX8" s="871"/>
      <c r="AY8" s="871"/>
      <c r="AZ8" s="834"/>
      <c r="BA8" s="841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  <c r="BX8" s="839"/>
      <c r="BY8" s="839"/>
      <c r="BZ8" s="839"/>
      <c r="CA8" s="839"/>
      <c r="CB8" s="839"/>
      <c r="CC8" s="839"/>
      <c r="CD8" s="839"/>
      <c r="CE8" s="839"/>
      <c r="CF8" s="839"/>
      <c r="CG8" s="839"/>
      <c r="CH8" s="839"/>
      <c r="CI8" s="842"/>
    </row>
    <row r="9" spans="1:87" ht="31.75" customHeight="1">
      <c r="A9" s="843" t="s">
        <v>402</v>
      </c>
      <c r="B9" s="844"/>
      <c r="C9" s="609"/>
      <c r="D9" s="610"/>
      <c r="E9" s="610"/>
      <c r="F9" s="610"/>
      <c r="G9" s="610"/>
      <c r="H9" s="610"/>
      <c r="I9" s="611"/>
      <c r="J9" s="872" t="s">
        <v>403</v>
      </c>
      <c r="K9" s="873"/>
      <c r="L9" s="873"/>
      <c r="M9" s="873"/>
      <c r="N9" s="873"/>
      <c r="O9" s="873"/>
      <c r="P9" s="874"/>
      <c r="Q9" s="875" t="s">
        <v>348</v>
      </c>
      <c r="R9" s="876"/>
      <c r="S9" s="876"/>
      <c r="T9" s="876"/>
      <c r="U9" s="876"/>
      <c r="V9" s="876"/>
      <c r="W9" s="877"/>
      <c r="X9" s="854" t="s">
        <v>339</v>
      </c>
      <c r="Y9" s="855"/>
      <c r="Z9" s="855"/>
      <c r="AA9" s="856"/>
      <c r="AB9" s="833" t="s">
        <v>340</v>
      </c>
      <c r="AC9" s="834"/>
      <c r="AD9" s="833" t="s">
        <v>344</v>
      </c>
      <c r="AE9" s="834"/>
      <c r="AF9" s="860"/>
      <c r="AG9" s="861"/>
      <c r="AH9" s="861"/>
      <c r="AI9" s="861"/>
      <c r="AJ9" s="860"/>
      <c r="AK9" s="861"/>
      <c r="AL9" s="861"/>
      <c r="AM9" s="861"/>
      <c r="AN9" s="861"/>
      <c r="AO9" s="862"/>
      <c r="AP9" s="833" t="s">
        <v>309</v>
      </c>
      <c r="AQ9" s="871"/>
      <c r="AR9" s="871"/>
      <c r="AS9" s="871"/>
      <c r="AT9" s="871"/>
      <c r="AU9" s="871"/>
      <c r="AV9" s="871"/>
      <c r="AW9" s="871"/>
      <c r="AX9" s="871"/>
      <c r="AY9" s="871"/>
      <c r="AZ9" s="834"/>
      <c r="BA9" s="617"/>
      <c r="BB9" s="615"/>
      <c r="BC9" s="615"/>
      <c r="BD9" s="615"/>
      <c r="BE9" s="615"/>
      <c r="BF9" s="615"/>
      <c r="BG9" s="615"/>
      <c r="BH9" s="615"/>
      <c r="BI9" s="615"/>
      <c r="BJ9" s="615"/>
      <c r="BK9" s="615"/>
      <c r="BL9" s="615"/>
      <c r="BM9" s="615"/>
      <c r="BN9" s="615"/>
      <c r="BO9" s="615"/>
      <c r="BP9" s="615"/>
      <c r="BQ9" s="615"/>
      <c r="BR9" s="615"/>
      <c r="BS9" s="615"/>
      <c r="BT9" s="615"/>
      <c r="BU9" s="615"/>
      <c r="BV9" s="615"/>
      <c r="BW9" s="615"/>
      <c r="BX9" s="615"/>
      <c r="BY9" s="615"/>
      <c r="BZ9" s="615"/>
      <c r="CA9" s="615"/>
      <c r="CB9" s="615"/>
      <c r="CC9" s="615"/>
      <c r="CD9" s="615"/>
      <c r="CE9" s="615"/>
      <c r="CF9" s="615"/>
      <c r="CG9" s="615"/>
      <c r="CH9" s="615"/>
      <c r="CI9" s="618"/>
    </row>
    <row r="10" spans="1:87" ht="33.75" customHeight="1">
      <c r="A10" s="843" t="s">
        <v>404</v>
      </c>
      <c r="B10" s="844"/>
      <c r="C10" s="609"/>
      <c r="D10" s="610"/>
      <c r="E10" s="610"/>
      <c r="F10" s="610"/>
      <c r="G10" s="610"/>
      <c r="H10" s="610"/>
      <c r="I10" s="611"/>
      <c r="J10" s="878" t="s">
        <v>350</v>
      </c>
      <c r="K10" s="879"/>
      <c r="L10" s="879"/>
      <c r="M10" s="879"/>
      <c r="N10" s="879"/>
      <c r="O10" s="879"/>
      <c r="P10" s="880"/>
      <c r="Q10" s="875" t="s">
        <v>348</v>
      </c>
      <c r="R10" s="876"/>
      <c r="S10" s="876"/>
      <c r="T10" s="876"/>
      <c r="U10" s="876"/>
      <c r="V10" s="876"/>
      <c r="W10" s="877"/>
      <c r="X10" s="854" t="s">
        <v>342</v>
      </c>
      <c r="Y10" s="855"/>
      <c r="Z10" s="855"/>
      <c r="AA10" s="856"/>
      <c r="AB10" s="833" t="s">
        <v>340</v>
      </c>
      <c r="AC10" s="834"/>
      <c r="AD10" s="833" t="s">
        <v>344</v>
      </c>
      <c r="AE10" s="834"/>
      <c r="AF10" s="860"/>
      <c r="AG10" s="861"/>
      <c r="AH10" s="861"/>
      <c r="AI10" s="861"/>
      <c r="AJ10" s="860"/>
      <c r="AK10" s="861"/>
      <c r="AL10" s="861"/>
      <c r="AM10" s="861"/>
      <c r="AN10" s="861"/>
      <c r="AO10" s="862"/>
      <c r="AP10" s="833" t="s">
        <v>405</v>
      </c>
      <c r="AQ10" s="871"/>
      <c r="AR10" s="871"/>
      <c r="AS10" s="871"/>
      <c r="AT10" s="871"/>
      <c r="AU10" s="871"/>
      <c r="AV10" s="871"/>
      <c r="AW10" s="871"/>
      <c r="AX10" s="871"/>
      <c r="AY10" s="871"/>
      <c r="AZ10" s="834"/>
      <c r="BA10" s="617"/>
      <c r="BB10" s="615"/>
      <c r="BC10" s="615"/>
      <c r="BD10" s="615"/>
      <c r="BE10" s="615"/>
      <c r="BF10" s="615"/>
      <c r="BG10" s="615"/>
      <c r="BH10" s="615"/>
      <c r="BI10" s="615"/>
      <c r="BJ10" s="615"/>
      <c r="BK10" s="615"/>
      <c r="BL10" s="615"/>
      <c r="BM10" s="615"/>
      <c r="BN10" s="615"/>
      <c r="BO10" s="615"/>
      <c r="BP10" s="615"/>
      <c r="BQ10" s="615"/>
      <c r="BR10" s="615"/>
      <c r="BS10" s="615"/>
      <c r="BT10" s="615"/>
      <c r="BU10" s="615"/>
      <c r="BV10" s="615"/>
      <c r="BW10" s="615"/>
      <c r="BX10" s="615"/>
      <c r="BY10" s="615"/>
      <c r="BZ10" s="615"/>
      <c r="CA10" s="615"/>
      <c r="CB10" s="615"/>
      <c r="CC10" s="615"/>
      <c r="CD10" s="615"/>
      <c r="CE10" s="615"/>
      <c r="CF10" s="615"/>
      <c r="CG10" s="615"/>
      <c r="CH10" s="615"/>
      <c r="CI10" s="618"/>
    </row>
    <row r="11" spans="1:87" ht="35.5" customHeight="1">
      <c r="A11" s="843" t="s">
        <v>406</v>
      </c>
      <c r="B11" s="844"/>
      <c r="C11" s="609"/>
      <c r="D11" s="610"/>
      <c r="E11" s="610"/>
      <c r="F11" s="610"/>
      <c r="G11" s="610"/>
      <c r="H11" s="610"/>
      <c r="I11" s="611"/>
      <c r="J11" s="872" t="s">
        <v>346</v>
      </c>
      <c r="K11" s="873"/>
      <c r="L11" s="873"/>
      <c r="M11" s="873"/>
      <c r="N11" s="873"/>
      <c r="O11" s="873"/>
      <c r="P11" s="874"/>
      <c r="Q11" s="875" t="s">
        <v>348</v>
      </c>
      <c r="R11" s="876"/>
      <c r="S11" s="876"/>
      <c r="T11" s="876"/>
      <c r="U11" s="876"/>
      <c r="V11" s="876"/>
      <c r="W11" s="877"/>
      <c r="X11" s="854" t="s">
        <v>342</v>
      </c>
      <c r="Y11" s="855"/>
      <c r="Z11" s="855"/>
      <c r="AA11" s="856"/>
      <c r="AB11" s="833" t="s">
        <v>340</v>
      </c>
      <c r="AC11" s="834"/>
      <c r="AD11" s="833" t="s">
        <v>344</v>
      </c>
      <c r="AE11" s="834"/>
      <c r="AF11" s="860"/>
      <c r="AG11" s="861"/>
      <c r="AH11" s="861"/>
      <c r="AI11" s="861"/>
      <c r="AJ11" s="860"/>
      <c r="AK11" s="861"/>
      <c r="AL11" s="861"/>
      <c r="AM11" s="861"/>
      <c r="AN11" s="861"/>
      <c r="AO11" s="862"/>
      <c r="AP11" s="833" t="s">
        <v>407</v>
      </c>
      <c r="AQ11" s="871"/>
      <c r="AR11" s="871"/>
      <c r="AS11" s="871"/>
      <c r="AT11" s="871"/>
      <c r="AU11" s="871"/>
      <c r="AV11" s="871"/>
      <c r="AW11" s="871"/>
      <c r="AX11" s="871"/>
      <c r="AY11" s="871"/>
      <c r="AZ11" s="834"/>
      <c r="BA11" s="617"/>
      <c r="BB11" s="615"/>
      <c r="BC11" s="615"/>
      <c r="BD11" s="615"/>
      <c r="BE11" s="615"/>
      <c r="BF11" s="615"/>
      <c r="BG11" s="615"/>
      <c r="BH11" s="615"/>
      <c r="BI11" s="615"/>
      <c r="BJ11" s="615"/>
      <c r="BK11" s="615"/>
      <c r="BL11" s="615"/>
      <c r="BM11" s="615"/>
      <c r="BN11" s="615"/>
      <c r="BO11" s="615"/>
      <c r="BP11" s="615"/>
      <c r="BQ11" s="615"/>
      <c r="BR11" s="615"/>
      <c r="BS11" s="615"/>
      <c r="BT11" s="615"/>
      <c r="BU11" s="615"/>
      <c r="BV11" s="615"/>
      <c r="BW11" s="615"/>
      <c r="BX11" s="615"/>
      <c r="BY11" s="615"/>
      <c r="BZ11" s="615"/>
      <c r="CA11" s="615"/>
      <c r="CB11" s="615"/>
      <c r="CC11" s="615"/>
      <c r="CD11" s="615"/>
      <c r="CE11" s="615"/>
      <c r="CF11" s="615"/>
      <c r="CG11" s="615"/>
      <c r="CH11" s="615"/>
      <c r="CI11" s="618"/>
    </row>
    <row r="12" spans="1:87" ht="26.5" customHeight="1">
      <c r="A12" s="843" t="s">
        <v>408</v>
      </c>
      <c r="B12" s="844"/>
      <c r="C12" s="609"/>
      <c r="D12" s="610"/>
      <c r="E12" s="610"/>
      <c r="F12" s="610"/>
      <c r="G12" s="610"/>
      <c r="H12" s="610"/>
      <c r="I12" s="611"/>
      <c r="J12" s="872" t="s">
        <v>409</v>
      </c>
      <c r="K12" s="873"/>
      <c r="L12" s="873"/>
      <c r="M12" s="873"/>
      <c r="N12" s="873"/>
      <c r="O12" s="873"/>
      <c r="P12" s="874"/>
      <c r="Q12" s="875" t="s">
        <v>347</v>
      </c>
      <c r="R12" s="876"/>
      <c r="S12" s="876"/>
      <c r="T12" s="876"/>
      <c r="U12" s="876"/>
      <c r="V12" s="876"/>
      <c r="W12" s="877"/>
      <c r="X12" s="854" t="s">
        <v>339</v>
      </c>
      <c r="Y12" s="855"/>
      <c r="Z12" s="855"/>
      <c r="AA12" s="856"/>
      <c r="AB12" s="833" t="s">
        <v>340</v>
      </c>
      <c r="AC12" s="834"/>
      <c r="AD12" s="833" t="s">
        <v>344</v>
      </c>
      <c r="AE12" s="834"/>
      <c r="AF12" s="860"/>
      <c r="AG12" s="861"/>
      <c r="AH12" s="861"/>
      <c r="AI12" s="861"/>
      <c r="AJ12" s="860"/>
      <c r="AK12" s="861"/>
      <c r="AL12" s="861"/>
      <c r="AM12" s="861"/>
      <c r="AN12" s="861"/>
      <c r="AO12" s="862"/>
      <c r="AP12" s="833" t="s">
        <v>345</v>
      </c>
      <c r="AQ12" s="871"/>
      <c r="AR12" s="871"/>
      <c r="AS12" s="871"/>
      <c r="AT12" s="871"/>
      <c r="AU12" s="871"/>
      <c r="AV12" s="871"/>
      <c r="AW12" s="871"/>
      <c r="AX12" s="871"/>
      <c r="AY12" s="871"/>
      <c r="AZ12" s="834"/>
      <c r="BA12" s="617"/>
      <c r="BB12" s="615"/>
      <c r="BC12" s="615"/>
      <c r="BD12" s="615"/>
      <c r="BE12" s="615"/>
      <c r="BF12" s="615"/>
      <c r="BG12" s="615"/>
      <c r="BH12" s="615"/>
      <c r="BI12" s="615"/>
      <c r="BJ12" s="615"/>
      <c r="BK12" s="615"/>
      <c r="BL12" s="615"/>
      <c r="BM12" s="615"/>
      <c r="BN12" s="615"/>
      <c r="BO12" s="615"/>
      <c r="BP12" s="615"/>
      <c r="BQ12" s="615"/>
      <c r="BR12" s="615"/>
      <c r="BS12" s="615"/>
      <c r="BT12" s="615"/>
      <c r="BU12" s="615"/>
      <c r="BV12" s="615"/>
      <c r="BW12" s="615"/>
      <c r="BX12" s="615"/>
      <c r="BY12" s="615"/>
      <c r="BZ12" s="615"/>
      <c r="CA12" s="615"/>
      <c r="CB12" s="615"/>
      <c r="CC12" s="615"/>
      <c r="CD12" s="615"/>
      <c r="CE12" s="615"/>
      <c r="CF12" s="615"/>
      <c r="CG12" s="615"/>
      <c r="CH12" s="615"/>
      <c r="CI12" s="618"/>
    </row>
    <row r="13" spans="1:87" ht="30" customHeight="1">
      <c r="A13" s="843" t="s">
        <v>410</v>
      </c>
      <c r="B13" s="844"/>
      <c r="C13" s="609"/>
      <c r="D13" s="610"/>
      <c r="E13" s="610"/>
      <c r="F13" s="610"/>
      <c r="G13" s="610"/>
      <c r="H13" s="610"/>
      <c r="I13" s="611"/>
      <c r="J13" s="872" t="s">
        <v>411</v>
      </c>
      <c r="K13" s="873"/>
      <c r="L13" s="873"/>
      <c r="M13" s="873"/>
      <c r="N13" s="873"/>
      <c r="O13" s="873"/>
      <c r="P13" s="874"/>
      <c r="Q13" s="875" t="s">
        <v>349</v>
      </c>
      <c r="R13" s="876"/>
      <c r="S13" s="876"/>
      <c r="T13" s="876"/>
      <c r="U13" s="876"/>
      <c r="V13" s="876"/>
      <c r="W13" s="877"/>
      <c r="X13" s="854" t="s">
        <v>342</v>
      </c>
      <c r="Y13" s="855"/>
      <c r="Z13" s="855"/>
      <c r="AA13" s="856"/>
      <c r="AB13" s="833" t="s">
        <v>326</v>
      </c>
      <c r="AC13" s="834"/>
      <c r="AD13" s="833" t="s">
        <v>344</v>
      </c>
      <c r="AE13" s="834"/>
      <c r="AF13" s="860"/>
      <c r="AG13" s="861"/>
      <c r="AH13" s="861"/>
      <c r="AI13" s="861"/>
      <c r="AJ13" s="860"/>
      <c r="AK13" s="861"/>
      <c r="AL13" s="861"/>
      <c r="AM13" s="861"/>
      <c r="AN13" s="861"/>
      <c r="AO13" s="862"/>
      <c r="AP13" s="833" t="s">
        <v>412</v>
      </c>
      <c r="AQ13" s="871"/>
      <c r="AR13" s="871"/>
      <c r="AS13" s="871"/>
      <c r="AT13" s="871"/>
      <c r="AU13" s="871"/>
      <c r="AV13" s="871"/>
      <c r="AW13" s="871"/>
      <c r="AX13" s="871"/>
      <c r="AY13" s="871"/>
      <c r="AZ13" s="834"/>
      <c r="BA13" s="841" t="s">
        <v>413</v>
      </c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  <c r="BX13" s="839"/>
      <c r="BY13" s="839"/>
      <c r="BZ13" s="839"/>
      <c r="CA13" s="839"/>
      <c r="CB13" s="839"/>
      <c r="CC13" s="839"/>
      <c r="CD13" s="839"/>
      <c r="CE13" s="839"/>
      <c r="CF13" s="839"/>
      <c r="CG13" s="839"/>
      <c r="CH13" s="839"/>
      <c r="CI13" s="842"/>
    </row>
    <row r="14" spans="1:87" ht="264.75" customHeight="1">
      <c r="A14" s="843" t="s">
        <v>414</v>
      </c>
      <c r="B14" s="844"/>
      <c r="C14" s="609"/>
      <c r="D14" s="610"/>
      <c r="E14" s="610"/>
      <c r="F14" s="610"/>
      <c r="G14" s="610"/>
      <c r="H14" s="610"/>
      <c r="I14" s="611"/>
      <c r="J14" s="872" t="s">
        <v>301</v>
      </c>
      <c r="K14" s="873"/>
      <c r="L14" s="873"/>
      <c r="M14" s="873"/>
      <c r="N14" s="873"/>
      <c r="O14" s="873"/>
      <c r="P14" s="874"/>
      <c r="Q14" s="875" t="s">
        <v>349</v>
      </c>
      <c r="R14" s="876"/>
      <c r="S14" s="876"/>
      <c r="T14" s="876"/>
      <c r="U14" s="876"/>
      <c r="V14" s="876"/>
      <c r="W14" s="877"/>
      <c r="X14" s="854" t="s">
        <v>342</v>
      </c>
      <c r="Y14" s="855"/>
      <c r="Z14" s="855"/>
      <c r="AA14" s="856"/>
      <c r="AB14" s="833" t="s">
        <v>340</v>
      </c>
      <c r="AC14" s="834"/>
      <c r="AD14" s="833" t="s">
        <v>344</v>
      </c>
      <c r="AE14" s="834"/>
      <c r="AF14" s="860"/>
      <c r="AG14" s="861"/>
      <c r="AH14" s="861"/>
      <c r="AI14" s="861"/>
      <c r="AJ14" s="860"/>
      <c r="AK14" s="861"/>
      <c r="AL14" s="861"/>
      <c r="AM14" s="861"/>
      <c r="AN14" s="861"/>
      <c r="AO14" s="862"/>
      <c r="AP14" s="833" t="s">
        <v>415</v>
      </c>
      <c r="AQ14" s="871"/>
      <c r="AR14" s="871"/>
      <c r="AS14" s="871"/>
      <c r="AT14" s="871"/>
      <c r="AU14" s="871"/>
      <c r="AV14" s="871"/>
      <c r="AW14" s="871"/>
      <c r="AX14" s="871"/>
      <c r="AY14" s="871"/>
      <c r="AZ14" s="834"/>
      <c r="BA14" s="841" t="s">
        <v>416</v>
      </c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  <c r="BX14" s="839"/>
      <c r="BY14" s="839"/>
      <c r="BZ14" s="839"/>
      <c r="CA14" s="839"/>
      <c r="CB14" s="839"/>
      <c r="CC14" s="839"/>
      <c r="CD14" s="839"/>
      <c r="CE14" s="839"/>
      <c r="CF14" s="839"/>
      <c r="CG14" s="839"/>
      <c r="CH14" s="839"/>
      <c r="CI14" s="842"/>
    </row>
    <row r="15" spans="1:87" ht="206.5" customHeight="1">
      <c r="A15" s="843" t="s">
        <v>417</v>
      </c>
      <c r="B15" s="844"/>
      <c r="C15" s="609"/>
      <c r="D15" s="610"/>
      <c r="E15" s="610"/>
      <c r="F15" s="610"/>
      <c r="G15" s="610"/>
      <c r="H15" s="610"/>
      <c r="I15" s="611"/>
      <c r="J15" s="872" t="s">
        <v>418</v>
      </c>
      <c r="K15" s="873"/>
      <c r="L15" s="873"/>
      <c r="M15" s="873"/>
      <c r="N15" s="873"/>
      <c r="O15" s="873"/>
      <c r="P15" s="874"/>
      <c r="Q15" s="875" t="s">
        <v>349</v>
      </c>
      <c r="R15" s="876"/>
      <c r="S15" s="876"/>
      <c r="T15" s="876"/>
      <c r="U15" s="876"/>
      <c r="V15" s="876"/>
      <c r="W15" s="877"/>
      <c r="X15" s="854" t="s">
        <v>342</v>
      </c>
      <c r="Y15" s="855"/>
      <c r="Z15" s="855"/>
      <c r="AA15" s="856"/>
      <c r="AB15" s="833" t="s">
        <v>340</v>
      </c>
      <c r="AC15" s="834"/>
      <c r="AD15" s="833" t="s">
        <v>344</v>
      </c>
      <c r="AE15" s="834"/>
      <c r="AF15" s="860"/>
      <c r="AG15" s="861"/>
      <c r="AH15" s="861"/>
      <c r="AI15" s="861"/>
      <c r="AJ15" s="860"/>
      <c r="AK15" s="861"/>
      <c r="AL15" s="861"/>
      <c r="AM15" s="861"/>
      <c r="AN15" s="861"/>
      <c r="AO15" s="862"/>
      <c r="AP15" s="833" t="s">
        <v>419</v>
      </c>
      <c r="AQ15" s="871"/>
      <c r="AR15" s="871"/>
      <c r="AS15" s="871"/>
      <c r="AT15" s="871"/>
      <c r="AU15" s="871"/>
      <c r="AV15" s="871"/>
      <c r="AW15" s="871"/>
      <c r="AX15" s="871"/>
      <c r="AY15" s="871"/>
      <c r="AZ15" s="834"/>
      <c r="BA15" s="841" t="s">
        <v>420</v>
      </c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  <c r="BX15" s="839"/>
      <c r="BY15" s="839"/>
      <c r="BZ15" s="839"/>
      <c r="CA15" s="839"/>
      <c r="CB15" s="839"/>
      <c r="CC15" s="839"/>
      <c r="CD15" s="839"/>
      <c r="CE15" s="839"/>
      <c r="CF15" s="839"/>
      <c r="CG15" s="839"/>
      <c r="CH15" s="839"/>
      <c r="CI15" s="842"/>
    </row>
    <row r="16" spans="1:87" ht="30.75" customHeight="1">
      <c r="A16" s="843" t="s">
        <v>421</v>
      </c>
      <c r="B16" s="844"/>
      <c r="C16" s="609"/>
      <c r="D16" s="610"/>
      <c r="E16" s="610"/>
      <c r="F16" s="610"/>
      <c r="G16" s="610"/>
      <c r="H16" s="610"/>
      <c r="I16" s="611"/>
      <c r="J16" s="872" t="s">
        <v>302</v>
      </c>
      <c r="K16" s="873"/>
      <c r="L16" s="873"/>
      <c r="M16" s="873"/>
      <c r="N16" s="873"/>
      <c r="O16" s="873"/>
      <c r="P16" s="874"/>
      <c r="Q16" s="875" t="s">
        <v>349</v>
      </c>
      <c r="R16" s="876"/>
      <c r="S16" s="876"/>
      <c r="T16" s="876"/>
      <c r="U16" s="876"/>
      <c r="V16" s="876"/>
      <c r="W16" s="877"/>
      <c r="X16" s="854" t="s">
        <v>342</v>
      </c>
      <c r="Y16" s="855"/>
      <c r="Z16" s="855"/>
      <c r="AA16" s="856"/>
      <c r="AB16" s="833" t="s">
        <v>340</v>
      </c>
      <c r="AC16" s="834"/>
      <c r="AD16" s="833" t="s">
        <v>344</v>
      </c>
      <c r="AE16" s="834"/>
      <c r="AF16" s="860"/>
      <c r="AG16" s="861"/>
      <c r="AH16" s="861"/>
      <c r="AI16" s="861"/>
      <c r="AJ16" s="860"/>
      <c r="AK16" s="861"/>
      <c r="AL16" s="861"/>
      <c r="AM16" s="861"/>
      <c r="AN16" s="861"/>
      <c r="AO16" s="862"/>
      <c r="AP16" s="833" t="s">
        <v>422</v>
      </c>
      <c r="AQ16" s="871"/>
      <c r="AR16" s="871"/>
      <c r="AS16" s="871"/>
      <c r="AT16" s="871"/>
      <c r="AU16" s="871"/>
      <c r="AV16" s="871"/>
      <c r="AW16" s="871"/>
      <c r="AX16" s="871"/>
      <c r="AY16" s="871"/>
      <c r="AZ16" s="834"/>
      <c r="BA16" s="841" t="s">
        <v>423</v>
      </c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  <c r="BX16" s="839"/>
      <c r="BY16" s="839"/>
      <c r="BZ16" s="839"/>
      <c r="CA16" s="839"/>
      <c r="CB16" s="839"/>
      <c r="CC16" s="839"/>
      <c r="CD16" s="839"/>
      <c r="CE16" s="839"/>
      <c r="CF16" s="839"/>
      <c r="CG16" s="839"/>
      <c r="CH16" s="839"/>
      <c r="CI16" s="842"/>
    </row>
    <row r="17" spans="1:87" ht="133.5" customHeight="1">
      <c r="A17" s="843" t="s">
        <v>424</v>
      </c>
      <c r="B17" s="844"/>
      <c r="C17" s="609"/>
      <c r="D17" s="610"/>
      <c r="E17" s="610"/>
      <c r="F17" s="610"/>
      <c r="G17" s="610"/>
      <c r="H17" s="610"/>
      <c r="I17" s="611"/>
      <c r="J17" s="872" t="s">
        <v>303</v>
      </c>
      <c r="K17" s="873"/>
      <c r="L17" s="873"/>
      <c r="M17" s="873"/>
      <c r="N17" s="873"/>
      <c r="O17" s="873"/>
      <c r="P17" s="874"/>
      <c r="Q17" s="875" t="s">
        <v>349</v>
      </c>
      <c r="R17" s="876"/>
      <c r="S17" s="876"/>
      <c r="T17" s="876"/>
      <c r="U17" s="876"/>
      <c r="V17" s="876"/>
      <c r="W17" s="877"/>
      <c r="X17" s="854" t="s">
        <v>342</v>
      </c>
      <c r="Y17" s="855"/>
      <c r="Z17" s="855"/>
      <c r="AA17" s="856"/>
      <c r="AB17" s="833" t="s">
        <v>340</v>
      </c>
      <c r="AC17" s="834"/>
      <c r="AD17" s="833" t="s">
        <v>344</v>
      </c>
      <c r="AE17" s="834"/>
      <c r="AF17" s="860"/>
      <c r="AG17" s="861"/>
      <c r="AH17" s="861"/>
      <c r="AI17" s="861"/>
      <c r="AJ17" s="860"/>
      <c r="AK17" s="861"/>
      <c r="AL17" s="861"/>
      <c r="AM17" s="861"/>
      <c r="AN17" s="861"/>
      <c r="AO17" s="862"/>
      <c r="AP17" s="833" t="s">
        <v>425</v>
      </c>
      <c r="AQ17" s="871"/>
      <c r="AR17" s="871"/>
      <c r="AS17" s="871"/>
      <c r="AT17" s="871"/>
      <c r="AU17" s="871"/>
      <c r="AV17" s="871"/>
      <c r="AW17" s="871"/>
      <c r="AX17" s="871"/>
      <c r="AY17" s="871"/>
      <c r="AZ17" s="834"/>
      <c r="BA17" s="841" t="s">
        <v>423</v>
      </c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  <c r="BX17" s="839"/>
      <c r="BY17" s="839"/>
      <c r="BZ17" s="839"/>
      <c r="CA17" s="839"/>
      <c r="CB17" s="839"/>
      <c r="CC17" s="839"/>
      <c r="CD17" s="839"/>
      <c r="CE17" s="839"/>
      <c r="CF17" s="839"/>
      <c r="CG17" s="839"/>
      <c r="CH17" s="839"/>
      <c r="CI17" s="842"/>
    </row>
    <row r="18" spans="1:87" ht="30.75" customHeight="1">
      <c r="A18" s="843" t="s">
        <v>426</v>
      </c>
      <c r="B18" s="844"/>
      <c r="C18" s="609"/>
      <c r="D18" s="610"/>
      <c r="E18" s="610"/>
      <c r="F18" s="610"/>
      <c r="G18" s="610"/>
      <c r="H18" s="610"/>
      <c r="I18" s="611"/>
      <c r="J18" s="872" t="s">
        <v>304</v>
      </c>
      <c r="K18" s="873"/>
      <c r="L18" s="873"/>
      <c r="M18" s="873"/>
      <c r="N18" s="873"/>
      <c r="O18" s="873"/>
      <c r="P18" s="874"/>
      <c r="Q18" s="875" t="s">
        <v>349</v>
      </c>
      <c r="R18" s="876"/>
      <c r="S18" s="876"/>
      <c r="T18" s="876"/>
      <c r="U18" s="876"/>
      <c r="V18" s="876"/>
      <c r="W18" s="877"/>
      <c r="X18" s="854" t="s">
        <v>342</v>
      </c>
      <c r="Y18" s="855"/>
      <c r="Z18" s="855"/>
      <c r="AA18" s="856"/>
      <c r="AB18" s="833" t="s">
        <v>340</v>
      </c>
      <c r="AC18" s="834"/>
      <c r="AD18" s="833" t="s">
        <v>344</v>
      </c>
      <c r="AE18" s="834"/>
      <c r="AF18" s="860"/>
      <c r="AG18" s="861"/>
      <c r="AH18" s="861"/>
      <c r="AI18" s="861"/>
      <c r="AJ18" s="860"/>
      <c r="AK18" s="861"/>
      <c r="AL18" s="861"/>
      <c r="AM18" s="861"/>
      <c r="AN18" s="861"/>
      <c r="AO18" s="862"/>
      <c r="AP18" s="833" t="s">
        <v>427</v>
      </c>
      <c r="AQ18" s="871"/>
      <c r="AR18" s="871"/>
      <c r="AS18" s="871"/>
      <c r="AT18" s="871"/>
      <c r="AU18" s="871"/>
      <c r="AV18" s="871"/>
      <c r="AW18" s="871"/>
      <c r="AX18" s="871"/>
      <c r="AY18" s="871"/>
      <c r="AZ18" s="834"/>
      <c r="BA18" s="841" t="s">
        <v>428</v>
      </c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  <c r="BX18" s="839"/>
      <c r="BY18" s="839"/>
      <c r="BZ18" s="839"/>
      <c r="CA18" s="839"/>
      <c r="CB18" s="839"/>
      <c r="CC18" s="839"/>
      <c r="CD18" s="839"/>
      <c r="CE18" s="839"/>
      <c r="CF18" s="839"/>
      <c r="CG18" s="839"/>
      <c r="CH18" s="839"/>
      <c r="CI18" s="842"/>
    </row>
    <row r="19" spans="1:87" ht="31.75" customHeight="1">
      <c r="A19" s="843" t="s">
        <v>429</v>
      </c>
      <c r="B19" s="844"/>
      <c r="C19" s="845"/>
      <c r="D19" s="846"/>
      <c r="E19" s="846"/>
      <c r="F19" s="846"/>
      <c r="G19" s="846"/>
      <c r="H19" s="846"/>
      <c r="I19" s="847"/>
      <c r="J19" s="872" t="s">
        <v>430</v>
      </c>
      <c r="K19" s="873"/>
      <c r="L19" s="873"/>
      <c r="M19" s="873"/>
      <c r="N19" s="873"/>
      <c r="O19" s="873"/>
      <c r="P19" s="874"/>
      <c r="Q19" s="875" t="s">
        <v>349</v>
      </c>
      <c r="R19" s="876"/>
      <c r="S19" s="876"/>
      <c r="T19" s="876"/>
      <c r="U19" s="876"/>
      <c r="V19" s="876"/>
      <c r="W19" s="877"/>
      <c r="X19" s="854" t="s">
        <v>342</v>
      </c>
      <c r="Y19" s="855"/>
      <c r="Z19" s="855"/>
      <c r="AA19" s="856"/>
      <c r="AB19" s="833" t="s">
        <v>340</v>
      </c>
      <c r="AC19" s="834"/>
      <c r="AD19" s="833" t="s">
        <v>344</v>
      </c>
      <c r="AE19" s="834"/>
      <c r="AF19" s="860"/>
      <c r="AG19" s="861"/>
      <c r="AH19" s="861"/>
      <c r="AI19" s="861"/>
      <c r="AJ19" s="860"/>
      <c r="AK19" s="861"/>
      <c r="AL19" s="861"/>
      <c r="AM19" s="861"/>
      <c r="AN19" s="861"/>
      <c r="AO19" s="862"/>
      <c r="AP19" s="857" t="s">
        <v>431</v>
      </c>
      <c r="AQ19" s="858"/>
      <c r="AR19" s="858"/>
      <c r="AS19" s="858"/>
      <c r="AT19" s="858"/>
      <c r="AU19" s="858"/>
      <c r="AV19" s="858"/>
      <c r="AW19" s="858"/>
      <c r="AX19" s="858"/>
      <c r="AY19" s="858"/>
      <c r="AZ19" s="859"/>
      <c r="BA19" s="881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  <c r="BX19" s="858"/>
      <c r="BY19" s="858"/>
      <c r="BZ19" s="858"/>
      <c r="CA19" s="858"/>
      <c r="CB19" s="858"/>
      <c r="CC19" s="858"/>
      <c r="CD19" s="858"/>
      <c r="CE19" s="858"/>
      <c r="CF19" s="858"/>
      <c r="CG19" s="858"/>
      <c r="CH19" s="858"/>
      <c r="CI19" s="882"/>
    </row>
    <row r="20" spans="1:87" ht="145.5" customHeight="1">
      <c r="A20" s="843" t="s">
        <v>432</v>
      </c>
      <c r="B20" s="844"/>
      <c r="C20" s="848"/>
      <c r="D20" s="849"/>
      <c r="E20" s="849"/>
      <c r="F20" s="849"/>
      <c r="G20" s="849"/>
      <c r="H20" s="849"/>
      <c r="I20" s="850"/>
      <c r="J20" s="872" t="s">
        <v>433</v>
      </c>
      <c r="K20" s="873"/>
      <c r="L20" s="873"/>
      <c r="M20" s="873"/>
      <c r="N20" s="873"/>
      <c r="O20" s="873"/>
      <c r="P20" s="874"/>
      <c r="Q20" s="875" t="s">
        <v>349</v>
      </c>
      <c r="R20" s="876"/>
      <c r="S20" s="876"/>
      <c r="T20" s="876"/>
      <c r="U20" s="876"/>
      <c r="V20" s="876"/>
      <c r="W20" s="877"/>
      <c r="X20" s="854" t="s">
        <v>342</v>
      </c>
      <c r="Y20" s="855"/>
      <c r="Z20" s="855"/>
      <c r="AA20" s="856"/>
      <c r="AB20" s="833" t="s">
        <v>340</v>
      </c>
      <c r="AC20" s="834"/>
      <c r="AD20" s="833" t="s">
        <v>344</v>
      </c>
      <c r="AE20" s="834"/>
      <c r="AF20" s="860"/>
      <c r="AG20" s="861"/>
      <c r="AH20" s="861"/>
      <c r="AI20" s="861"/>
      <c r="AJ20" s="860"/>
      <c r="AK20" s="861"/>
      <c r="AL20" s="861"/>
      <c r="AM20" s="861"/>
      <c r="AN20" s="861"/>
      <c r="AO20" s="862"/>
      <c r="AP20" s="857" t="s">
        <v>434</v>
      </c>
      <c r="AQ20" s="858"/>
      <c r="AR20" s="858"/>
      <c r="AS20" s="858"/>
      <c r="AT20" s="858"/>
      <c r="AU20" s="858"/>
      <c r="AV20" s="858"/>
      <c r="AW20" s="858"/>
      <c r="AX20" s="858"/>
      <c r="AY20" s="858"/>
      <c r="AZ20" s="859"/>
      <c r="BA20" s="841" t="s">
        <v>435</v>
      </c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  <c r="BX20" s="839"/>
      <c r="BY20" s="839"/>
      <c r="BZ20" s="839"/>
      <c r="CA20" s="839"/>
      <c r="CB20" s="839"/>
      <c r="CC20" s="839"/>
      <c r="CD20" s="839"/>
      <c r="CE20" s="839"/>
      <c r="CF20" s="839"/>
      <c r="CG20" s="839"/>
      <c r="CH20" s="839"/>
      <c r="CI20" s="842"/>
    </row>
    <row r="21" spans="1:87" ht="15.75" customHeight="1">
      <c r="A21" s="843" t="s">
        <v>436</v>
      </c>
      <c r="B21" s="844"/>
      <c r="C21" s="872"/>
      <c r="D21" s="873"/>
      <c r="E21" s="873"/>
      <c r="F21" s="873"/>
      <c r="G21" s="873"/>
      <c r="H21" s="873"/>
      <c r="I21" s="874"/>
      <c r="J21" s="872" t="s">
        <v>437</v>
      </c>
      <c r="K21" s="873"/>
      <c r="L21" s="873"/>
      <c r="M21" s="873"/>
      <c r="N21" s="873"/>
      <c r="O21" s="873"/>
      <c r="P21" s="874"/>
      <c r="Q21" s="875" t="s">
        <v>347</v>
      </c>
      <c r="R21" s="876"/>
      <c r="S21" s="876"/>
      <c r="T21" s="876"/>
      <c r="U21" s="876"/>
      <c r="V21" s="876"/>
      <c r="W21" s="877"/>
      <c r="X21" s="854" t="s">
        <v>339</v>
      </c>
      <c r="Y21" s="855"/>
      <c r="Z21" s="855"/>
      <c r="AA21" s="856"/>
      <c r="AB21" s="833" t="s">
        <v>340</v>
      </c>
      <c r="AC21" s="834"/>
      <c r="AD21" s="833" t="s">
        <v>344</v>
      </c>
      <c r="AE21" s="834"/>
      <c r="AF21" s="860"/>
      <c r="AG21" s="861"/>
      <c r="AH21" s="861"/>
      <c r="AI21" s="861"/>
      <c r="AJ21" s="860"/>
      <c r="AK21" s="861"/>
      <c r="AL21" s="861"/>
      <c r="AM21" s="861"/>
      <c r="AN21" s="861"/>
      <c r="AO21" s="862"/>
      <c r="AP21" s="857" t="s">
        <v>345</v>
      </c>
      <c r="AQ21" s="858"/>
      <c r="AR21" s="858"/>
      <c r="AS21" s="858"/>
      <c r="AT21" s="858"/>
      <c r="AU21" s="858"/>
      <c r="AV21" s="858"/>
      <c r="AW21" s="858"/>
      <c r="AX21" s="858"/>
      <c r="AY21" s="858"/>
      <c r="AZ21" s="859"/>
      <c r="BA21" s="841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  <c r="BX21" s="839"/>
      <c r="BY21" s="839"/>
      <c r="BZ21" s="839"/>
      <c r="CA21" s="839"/>
      <c r="CB21" s="839"/>
      <c r="CC21" s="839"/>
      <c r="CD21" s="839"/>
      <c r="CE21" s="839"/>
      <c r="CF21" s="839"/>
      <c r="CG21" s="839"/>
      <c r="CH21" s="839"/>
      <c r="CI21" s="842"/>
    </row>
    <row r="22" spans="1:87" ht="15.75" customHeight="1">
      <c r="A22" s="863">
        <v>2.15</v>
      </c>
      <c r="B22" s="883"/>
      <c r="C22" s="872"/>
      <c r="D22" s="873"/>
      <c r="E22" s="873"/>
      <c r="F22" s="873"/>
      <c r="G22" s="873"/>
      <c r="H22" s="873"/>
      <c r="I22" s="874"/>
      <c r="J22" s="872" t="s">
        <v>438</v>
      </c>
      <c r="K22" s="873"/>
      <c r="L22" s="873"/>
      <c r="M22" s="873"/>
      <c r="N22" s="873"/>
      <c r="O22" s="873"/>
      <c r="P22" s="874"/>
      <c r="Q22" s="875" t="s">
        <v>347</v>
      </c>
      <c r="R22" s="876"/>
      <c r="S22" s="876"/>
      <c r="T22" s="876"/>
      <c r="U22" s="876"/>
      <c r="V22" s="876"/>
      <c r="W22" s="877"/>
      <c r="X22" s="854" t="s">
        <v>339</v>
      </c>
      <c r="Y22" s="855"/>
      <c r="Z22" s="855"/>
      <c r="AA22" s="856"/>
      <c r="AB22" s="833" t="s">
        <v>340</v>
      </c>
      <c r="AC22" s="834"/>
      <c r="AD22" s="833" t="s">
        <v>344</v>
      </c>
      <c r="AE22" s="834"/>
      <c r="AF22" s="860"/>
      <c r="AG22" s="861"/>
      <c r="AH22" s="861"/>
      <c r="AI22" s="861"/>
      <c r="AJ22" s="860"/>
      <c r="AK22" s="861"/>
      <c r="AL22" s="861"/>
      <c r="AM22" s="861"/>
      <c r="AN22" s="861"/>
      <c r="AO22" s="862"/>
      <c r="AP22" s="857" t="s">
        <v>345</v>
      </c>
      <c r="AQ22" s="858"/>
      <c r="AR22" s="858"/>
      <c r="AS22" s="858"/>
      <c r="AT22" s="858"/>
      <c r="AU22" s="858"/>
      <c r="AV22" s="858"/>
      <c r="AW22" s="858"/>
      <c r="AX22" s="858"/>
      <c r="AY22" s="858"/>
      <c r="AZ22" s="859"/>
      <c r="BA22" s="841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  <c r="BX22" s="839"/>
      <c r="BY22" s="839"/>
      <c r="BZ22" s="839"/>
      <c r="CA22" s="839"/>
      <c r="CB22" s="839"/>
      <c r="CC22" s="839"/>
      <c r="CD22" s="839"/>
      <c r="CE22" s="839"/>
      <c r="CF22" s="839"/>
      <c r="CG22" s="839"/>
      <c r="CH22" s="839"/>
      <c r="CI22" s="842"/>
    </row>
    <row r="23" spans="1:87" ht="36" customHeight="1">
      <c r="A23" s="863">
        <v>2.16</v>
      </c>
      <c r="B23" s="883"/>
      <c r="C23" s="609"/>
      <c r="D23" s="610"/>
      <c r="E23" s="610"/>
      <c r="F23" s="610"/>
      <c r="G23" s="610"/>
      <c r="H23" s="610"/>
      <c r="I23" s="611"/>
      <c r="J23" s="872" t="s">
        <v>439</v>
      </c>
      <c r="K23" s="873"/>
      <c r="L23" s="873"/>
      <c r="M23" s="873"/>
      <c r="N23" s="873"/>
      <c r="O23" s="873"/>
      <c r="P23" s="874"/>
      <c r="Q23" s="875" t="s">
        <v>347</v>
      </c>
      <c r="R23" s="876"/>
      <c r="S23" s="876"/>
      <c r="T23" s="876"/>
      <c r="U23" s="876"/>
      <c r="V23" s="876"/>
      <c r="W23" s="877"/>
      <c r="X23" s="854" t="s">
        <v>339</v>
      </c>
      <c r="Y23" s="855"/>
      <c r="Z23" s="855"/>
      <c r="AA23" s="856"/>
      <c r="AB23" s="833" t="s">
        <v>340</v>
      </c>
      <c r="AC23" s="834"/>
      <c r="AD23" s="833" t="s">
        <v>344</v>
      </c>
      <c r="AE23" s="834"/>
      <c r="AF23" s="860"/>
      <c r="AG23" s="861"/>
      <c r="AH23" s="861"/>
      <c r="AI23" s="861"/>
      <c r="AJ23" s="860"/>
      <c r="AK23" s="861"/>
      <c r="AL23" s="861"/>
      <c r="AM23" s="861"/>
      <c r="AN23" s="861"/>
      <c r="AO23" s="862"/>
      <c r="AP23" s="833" t="s">
        <v>309</v>
      </c>
      <c r="AQ23" s="871"/>
      <c r="AR23" s="871"/>
      <c r="AS23" s="871"/>
      <c r="AT23" s="871"/>
      <c r="AU23" s="871"/>
      <c r="AV23" s="871"/>
      <c r="AW23" s="871"/>
      <c r="AX23" s="871"/>
      <c r="AY23" s="871"/>
      <c r="AZ23" s="834"/>
      <c r="BA23" s="617"/>
      <c r="BB23" s="615"/>
      <c r="BC23" s="615"/>
      <c r="BD23" s="615"/>
      <c r="BE23" s="615"/>
      <c r="BF23" s="615"/>
      <c r="BG23" s="615"/>
      <c r="BH23" s="615"/>
      <c r="BI23" s="615"/>
      <c r="BJ23" s="615"/>
      <c r="BK23" s="615"/>
      <c r="BL23" s="615"/>
      <c r="BM23" s="615"/>
      <c r="BN23" s="615"/>
      <c r="BO23" s="615"/>
      <c r="BP23" s="615"/>
      <c r="BQ23" s="615"/>
      <c r="BR23" s="615"/>
      <c r="BS23" s="615"/>
      <c r="BT23" s="615"/>
      <c r="BU23" s="615"/>
      <c r="BV23" s="615"/>
      <c r="BW23" s="615"/>
      <c r="BX23" s="615"/>
      <c r="BY23" s="615"/>
      <c r="BZ23" s="615"/>
      <c r="CA23" s="615"/>
      <c r="CB23" s="615"/>
      <c r="CC23" s="615"/>
      <c r="CD23" s="615"/>
      <c r="CE23" s="615"/>
      <c r="CF23" s="615"/>
      <c r="CG23" s="615"/>
      <c r="CH23" s="615"/>
      <c r="CI23" s="618"/>
    </row>
    <row r="24" spans="1:87" ht="36" customHeight="1">
      <c r="A24" s="843" t="s">
        <v>440</v>
      </c>
      <c r="B24" s="844"/>
      <c r="C24" s="609"/>
      <c r="D24" s="610"/>
      <c r="E24" s="610"/>
      <c r="F24" s="610"/>
      <c r="G24" s="610"/>
      <c r="H24" s="610"/>
      <c r="I24" s="611"/>
      <c r="J24" s="872" t="s">
        <v>441</v>
      </c>
      <c r="K24" s="873"/>
      <c r="L24" s="873"/>
      <c r="M24" s="873"/>
      <c r="N24" s="873"/>
      <c r="O24" s="873"/>
      <c r="P24" s="874"/>
      <c r="Q24" s="875" t="s">
        <v>347</v>
      </c>
      <c r="R24" s="876"/>
      <c r="S24" s="876"/>
      <c r="T24" s="876"/>
      <c r="U24" s="876"/>
      <c r="V24" s="876"/>
      <c r="W24" s="877"/>
      <c r="X24" s="854" t="s">
        <v>339</v>
      </c>
      <c r="Y24" s="855"/>
      <c r="Z24" s="855"/>
      <c r="AA24" s="856"/>
      <c r="AB24" s="833" t="s">
        <v>340</v>
      </c>
      <c r="AC24" s="834"/>
      <c r="AD24" s="833" t="s">
        <v>344</v>
      </c>
      <c r="AE24" s="834"/>
      <c r="AF24" s="860"/>
      <c r="AG24" s="861"/>
      <c r="AH24" s="861"/>
      <c r="AI24" s="861"/>
      <c r="AJ24" s="860"/>
      <c r="AK24" s="861"/>
      <c r="AL24" s="861"/>
      <c r="AM24" s="861"/>
      <c r="AN24" s="861"/>
      <c r="AO24" s="862"/>
      <c r="AP24" s="833" t="s">
        <v>309</v>
      </c>
      <c r="AQ24" s="871"/>
      <c r="AR24" s="871"/>
      <c r="AS24" s="871"/>
      <c r="AT24" s="871"/>
      <c r="AU24" s="871"/>
      <c r="AV24" s="871"/>
      <c r="AW24" s="871"/>
      <c r="AX24" s="871"/>
      <c r="AY24" s="871"/>
      <c r="AZ24" s="834"/>
      <c r="BA24" s="617"/>
      <c r="BB24" s="615"/>
      <c r="BC24" s="615"/>
      <c r="BD24" s="615"/>
      <c r="BE24" s="615"/>
      <c r="BF24" s="615"/>
      <c r="BG24" s="615"/>
      <c r="BH24" s="615"/>
      <c r="BI24" s="615"/>
      <c r="BJ24" s="615"/>
      <c r="BK24" s="615"/>
      <c r="BL24" s="615"/>
      <c r="BM24" s="615"/>
      <c r="BN24" s="615"/>
      <c r="BO24" s="615"/>
      <c r="BP24" s="615"/>
      <c r="BQ24" s="615"/>
      <c r="BR24" s="615"/>
      <c r="BS24" s="615"/>
      <c r="BT24" s="615"/>
      <c r="BU24" s="615"/>
      <c r="BV24" s="615"/>
      <c r="BW24" s="615"/>
      <c r="BX24" s="615"/>
      <c r="BY24" s="615"/>
      <c r="BZ24" s="615"/>
      <c r="CA24" s="615"/>
      <c r="CB24" s="615"/>
      <c r="CC24" s="615"/>
      <c r="CD24" s="615"/>
      <c r="CE24" s="615"/>
      <c r="CF24" s="615"/>
      <c r="CG24" s="615"/>
      <c r="CH24" s="615"/>
      <c r="CI24" s="618"/>
    </row>
    <row r="25" spans="1:87" ht="36" customHeight="1">
      <c r="A25" s="843" t="s">
        <v>442</v>
      </c>
      <c r="B25" s="844"/>
      <c r="C25" s="609"/>
      <c r="D25" s="610"/>
      <c r="E25" s="610"/>
      <c r="F25" s="610"/>
      <c r="G25" s="610"/>
      <c r="H25" s="610"/>
      <c r="I25" s="611"/>
      <c r="J25" s="872" t="s">
        <v>443</v>
      </c>
      <c r="K25" s="873"/>
      <c r="L25" s="873"/>
      <c r="M25" s="873"/>
      <c r="N25" s="873"/>
      <c r="O25" s="873"/>
      <c r="P25" s="874"/>
      <c r="Q25" s="875" t="s">
        <v>348</v>
      </c>
      <c r="R25" s="876"/>
      <c r="S25" s="876"/>
      <c r="T25" s="876"/>
      <c r="U25" s="876"/>
      <c r="V25" s="876"/>
      <c r="W25" s="877"/>
      <c r="X25" s="854" t="s">
        <v>342</v>
      </c>
      <c r="Y25" s="855"/>
      <c r="Z25" s="855"/>
      <c r="AA25" s="856"/>
      <c r="AB25" s="833" t="s">
        <v>340</v>
      </c>
      <c r="AC25" s="834"/>
      <c r="AD25" s="833" t="s">
        <v>344</v>
      </c>
      <c r="AE25" s="834"/>
      <c r="AF25" s="860"/>
      <c r="AG25" s="861"/>
      <c r="AH25" s="861"/>
      <c r="AI25" s="861"/>
      <c r="AJ25" s="860"/>
      <c r="AK25" s="861"/>
      <c r="AL25" s="861"/>
      <c r="AM25" s="861"/>
      <c r="AN25" s="861"/>
      <c r="AO25" s="862"/>
      <c r="AP25" s="833" t="s">
        <v>309</v>
      </c>
      <c r="AQ25" s="871"/>
      <c r="AR25" s="871"/>
      <c r="AS25" s="871"/>
      <c r="AT25" s="871"/>
      <c r="AU25" s="871"/>
      <c r="AV25" s="871"/>
      <c r="AW25" s="871"/>
      <c r="AX25" s="871"/>
      <c r="AY25" s="871"/>
      <c r="AZ25" s="834"/>
      <c r="BA25" s="841" t="s">
        <v>444</v>
      </c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  <c r="BX25" s="839"/>
      <c r="BY25" s="839"/>
      <c r="BZ25" s="839"/>
      <c r="CA25" s="839"/>
      <c r="CB25" s="839"/>
      <c r="CC25" s="839"/>
      <c r="CD25" s="839"/>
      <c r="CE25" s="839"/>
      <c r="CF25" s="839"/>
      <c r="CG25" s="839"/>
      <c r="CH25" s="839"/>
      <c r="CI25" s="842"/>
    </row>
    <row r="26" spans="1:87" ht="36" customHeight="1">
      <c r="A26" s="843" t="s">
        <v>445</v>
      </c>
      <c r="B26" s="844"/>
      <c r="C26" s="609"/>
      <c r="D26" s="610"/>
      <c r="E26" s="610"/>
      <c r="F26" s="610"/>
      <c r="G26" s="610"/>
      <c r="H26" s="610"/>
      <c r="I26" s="611"/>
      <c r="J26" s="872" t="s">
        <v>446</v>
      </c>
      <c r="K26" s="873"/>
      <c r="L26" s="873"/>
      <c r="M26" s="873"/>
      <c r="N26" s="873"/>
      <c r="O26" s="873"/>
      <c r="P26" s="874"/>
      <c r="Q26" s="875" t="s">
        <v>348</v>
      </c>
      <c r="R26" s="876"/>
      <c r="S26" s="876"/>
      <c r="T26" s="876"/>
      <c r="U26" s="876"/>
      <c r="V26" s="876"/>
      <c r="W26" s="877"/>
      <c r="X26" s="854" t="s">
        <v>342</v>
      </c>
      <c r="Y26" s="855"/>
      <c r="Z26" s="855"/>
      <c r="AA26" s="856"/>
      <c r="AB26" s="833" t="s">
        <v>340</v>
      </c>
      <c r="AC26" s="834"/>
      <c r="AD26" s="833" t="s">
        <v>344</v>
      </c>
      <c r="AE26" s="834"/>
      <c r="AF26" s="860"/>
      <c r="AG26" s="861"/>
      <c r="AH26" s="861"/>
      <c r="AI26" s="861"/>
      <c r="AJ26" s="860"/>
      <c r="AK26" s="861"/>
      <c r="AL26" s="861"/>
      <c r="AM26" s="861"/>
      <c r="AN26" s="861"/>
      <c r="AO26" s="862"/>
      <c r="AP26" s="833" t="s">
        <v>309</v>
      </c>
      <c r="AQ26" s="871"/>
      <c r="AR26" s="871"/>
      <c r="AS26" s="871"/>
      <c r="AT26" s="871"/>
      <c r="AU26" s="871"/>
      <c r="AV26" s="871"/>
      <c r="AW26" s="871"/>
      <c r="AX26" s="871"/>
      <c r="AY26" s="871"/>
      <c r="AZ26" s="834"/>
      <c r="BA26" s="617"/>
      <c r="BB26" s="615"/>
      <c r="BC26" s="615"/>
      <c r="BD26" s="615"/>
      <c r="BE26" s="615"/>
      <c r="BF26" s="615"/>
      <c r="BG26" s="615"/>
      <c r="BH26" s="615"/>
      <c r="BI26" s="615"/>
      <c r="BJ26" s="615"/>
      <c r="BK26" s="615"/>
      <c r="BL26" s="615"/>
      <c r="BM26" s="615"/>
      <c r="BN26" s="615"/>
      <c r="BO26" s="615"/>
      <c r="BP26" s="615"/>
      <c r="BQ26" s="615"/>
      <c r="BR26" s="615"/>
      <c r="BS26" s="615"/>
      <c r="BT26" s="615"/>
      <c r="BU26" s="615"/>
      <c r="BV26" s="615"/>
      <c r="BW26" s="615"/>
      <c r="BX26" s="615"/>
      <c r="BY26" s="615"/>
      <c r="BZ26" s="615"/>
      <c r="CA26" s="615"/>
      <c r="CB26" s="615"/>
      <c r="CC26" s="615"/>
      <c r="CD26" s="615"/>
      <c r="CE26" s="615"/>
      <c r="CF26" s="615"/>
      <c r="CG26" s="615"/>
      <c r="CH26" s="615"/>
      <c r="CI26" s="618"/>
    </row>
    <row r="27" spans="1:87" ht="36" customHeight="1">
      <c r="A27" s="843"/>
      <c r="B27" s="844"/>
      <c r="C27" s="609"/>
      <c r="D27" s="610"/>
      <c r="E27" s="610"/>
      <c r="F27" s="610"/>
      <c r="G27" s="610"/>
      <c r="H27" s="610"/>
      <c r="I27" s="611"/>
      <c r="J27" s="872"/>
      <c r="K27" s="873"/>
      <c r="L27" s="873"/>
      <c r="M27" s="873"/>
      <c r="N27" s="873"/>
      <c r="O27" s="873"/>
      <c r="P27" s="874"/>
      <c r="Q27" s="875"/>
      <c r="R27" s="876"/>
      <c r="S27" s="876"/>
      <c r="T27" s="876"/>
      <c r="U27" s="876"/>
      <c r="V27" s="876"/>
      <c r="W27" s="877"/>
      <c r="X27" s="854"/>
      <c r="Y27" s="855"/>
      <c r="Z27" s="855"/>
      <c r="AA27" s="856"/>
      <c r="AB27" s="833"/>
      <c r="AC27" s="834"/>
      <c r="AD27" s="833"/>
      <c r="AE27" s="834"/>
      <c r="AF27" s="612"/>
      <c r="AG27" s="613"/>
      <c r="AH27" s="613"/>
      <c r="AI27" s="613"/>
      <c r="AJ27" s="612"/>
      <c r="AK27" s="613"/>
      <c r="AL27" s="613"/>
      <c r="AM27" s="613"/>
      <c r="AN27" s="613"/>
      <c r="AO27" s="614"/>
      <c r="AP27" s="885"/>
      <c r="AQ27" s="886"/>
      <c r="AR27" s="886"/>
      <c r="AS27" s="886"/>
      <c r="AT27" s="886"/>
      <c r="AU27" s="886"/>
      <c r="AV27" s="886"/>
      <c r="AW27" s="886"/>
      <c r="AX27" s="886"/>
      <c r="AY27" s="886"/>
      <c r="AZ27" s="616"/>
      <c r="BA27" s="841"/>
      <c r="BB27" s="839"/>
      <c r="BC27" s="839"/>
      <c r="BD27" s="839"/>
      <c r="BE27" s="839"/>
      <c r="BF27" s="839"/>
      <c r="BG27" s="839"/>
      <c r="BH27" s="839"/>
      <c r="BI27" s="839"/>
      <c r="BJ27" s="839"/>
      <c r="BK27" s="839"/>
      <c r="BL27" s="839"/>
      <c r="BM27" s="839"/>
      <c r="BN27" s="839"/>
      <c r="BO27" s="839"/>
      <c r="BP27" s="839"/>
      <c r="BQ27" s="839"/>
      <c r="BR27" s="839"/>
      <c r="BS27" s="839"/>
      <c r="BT27" s="839"/>
      <c r="BU27" s="839"/>
      <c r="BV27" s="839"/>
      <c r="BW27" s="839"/>
      <c r="BX27" s="839"/>
      <c r="BY27" s="839"/>
      <c r="BZ27" s="839"/>
      <c r="CA27" s="839"/>
      <c r="CB27" s="839"/>
      <c r="CC27" s="839"/>
      <c r="CD27" s="839"/>
      <c r="CE27" s="839"/>
      <c r="CF27" s="839"/>
      <c r="CG27" s="839"/>
      <c r="CH27" s="839"/>
      <c r="CI27" s="842"/>
    </row>
    <row r="28" spans="1:87">
      <c r="A28" s="606"/>
      <c r="B28" s="606"/>
      <c r="C28" s="606"/>
      <c r="D28" s="606"/>
      <c r="E28" s="606"/>
      <c r="F28" s="606"/>
      <c r="G28" s="606"/>
      <c r="H28" s="606"/>
      <c r="I28" s="606"/>
      <c r="J28" s="606"/>
      <c r="K28" s="606"/>
      <c r="L28" s="606"/>
      <c r="M28" s="606"/>
      <c r="N28" s="606"/>
      <c r="O28" s="606"/>
      <c r="P28" s="606"/>
      <c r="Q28" s="606"/>
      <c r="R28" s="606"/>
      <c r="S28" s="606"/>
      <c r="T28" s="606"/>
      <c r="U28" s="606"/>
      <c r="V28" s="606"/>
      <c r="W28" s="606"/>
      <c r="X28" s="606"/>
      <c r="Y28" s="606"/>
      <c r="Z28" s="606"/>
      <c r="AA28" s="606"/>
      <c r="AB28" s="606"/>
      <c r="AC28" s="606"/>
      <c r="AD28" s="606"/>
      <c r="AE28" s="606"/>
      <c r="AF28" s="606"/>
      <c r="AG28" s="606"/>
      <c r="AH28" s="606"/>
      <c r="AI28" s="606"/>
      <c r="AJ28" s="622"/>
      <c r="AK28" s="622"/>
      <c r="AL28" s="622"/>
      <c r="AM28" s="622"/>
      <c r="AN28" s="606"/>
      <c r="AO28" s="606"/>
      <c r="AP28" s="606"/>
      <c r="AQ28" s="606"/>
      <c r="AR28" s="606"/>
      <c r="AS28" s="606"/>
      <c r="AT28" s="606"/>
      <c r="AU28" s="606"/>
      <c r="AV28" s="606"/>
      <c r="AW28" s="606"/>
      <c r="AX28" s="606"/>
      <c r="AY28" s="606"/>
      <c r="AZ28" s="606"/>
      <c r="BA28" s="606"/>
      <c r="BB28" s="606"/>
      <c r="BC28" s="606"/>
      <c r="BD28" s="606"/>
      <c r="BE28" s="606"/>
      <c r="BF28" s="606"/>
      <c r="BG28" s="606"/>
      <c r="BH28" s="606"/>
      <c r="BI28" s="606"/>
      <c r="BJ28" s="606"/>
      <c r="BK28" s="606"/>
      <c r="BL28" s="606"/>
      <c r="BM28" s="606"/>
      <c r="BN28" s="606"/>
      <c r="BO28" s="606"/>
      <c r="BP28" s="606"/>
      <c r="BQ28" s="606"/>
      <c r="BR28" s="606"/>
      <c r="BS28" s="606"/>
      <c r="BT28" s="606"/>
      <c r="BU28" s="606"/>
      <c r="BV28" s="606"/>
      <c r="BW28" s="606"/>
      <c r="BX28" s="606"/>
      <c r="BY28" s="606"/>
      <c r="BZ28" s="606"/>
      <c r="CA28" s="606"/>
      <c r="CB28" s="606"/>
      <c r="CC28" s="606"/>
      <c r="CD28" s="606"/>
      <c r="CE28" s="606"/>
      <c r="CF28" s="606"/>
      <c r="CG28" s="606"/>
      <c r="CH28" s="606"/>
      <c r="CI28" s="606"/>
    </row>
    <row r="29" spans="1:87">
      <c r="A29" s="884" t="s">
        <v>351</v>
      </c>
      <c r="B29" s="884"/>
      <c r="C29" s="884"/>
      <c r="D29" s="884"/>
      <c r="E29" s="884"/>
      <c r="F29" s="884"/>
      <c r="G29" s="884"/>
      <c r="H29" s="884"/>
      <c r="I29" s="606"/>
      <c r="J29" s="606"/>
      <c r="K29" s="606"/>
      <c r="L29" s="606"/>
      <c r="M29" s="606"/>
      <c r="N29" s="606"/>
      <c r="O29" s="606"/>
      <c r="P29" s="606"/>
      <c r="Q29" s="606"/>
      <c r="R29" s="606"/>
      <c r="S29" s="606"/>
      <c r="T29" s="606"/>
      <c r="U29" s="606"/>
      <c r="V29" s="606"/>
      <c r="W29" s="606"/>
      <c r="X29" s="606"/>
      <c r="Y29" s="606"/>
      <c r="Z29" s="606"/>
      <c r="AA29" s="606"/>
      <c r="AB29" s="606"/>
      <c r="AC29" s="606"/>
      <c r="AD29" s="606"/>
      <c r="AE29" s="606"/>
      <c r="AF29" s="606"/>
      <c r="AG29" s="606"/>
      <c r="AH29" s="606"/>
      <c r="AI29" s="606"/>
      <c r="AJ29" s="606"/>
      <c r="AK29" s="606"/>
      <c r="AL29" s="606"/>
      <c r="AM29" s="606"/>
      <c r="AN29" s="606"/>
      <c r="AO29" s="606"/>
      <c r="AP29" s="606"/>
      <c r="AQ29" s="606"/>
      <c r="AR29" s="606"/>
      <c r="AS29" s="606"/>
      <c r="AT29" s="606"/>
      <c r="AU29" s="606"/>
      <c r="AV29" s="606"/>
      <c r="AW29" s="606"/>
      <c r="AX29" s="606"/>
      <c r="AY29" s="606"/>
      <c r="AZ29" s="606"/>
      <c r="BA29" s="606"/>
      <c r="BB29" s="606"/>
      <c r="BC29" s="606"/>
      <c r="BD29" s="606"/>
      <c r="BE29" s="606"/>
      <c r="BF29" s="606"/>
      <c r="BG29" s="606"/>
      <c r="BH29" s="606"/>
      <c r="BI29" s="606"/>
      <c r="BJ29" s="606"/>
      <c r="BK29" s="606"/>
      <c r="BL29" s="606"/>
      <c r="BM29" s="606"/>
      <c r="BN29" s="606"/>
      <c r="BO29" s="606"/>
      <c r="BP29" s="606"/>
      <c r="BQ29" s="606"/>
      <c r="BR29" s="606"/>
      <c r="BS29" s="606"/>
      <c r="BT29" s="606"/>
      <c r="BU29" s="606"/>
      <c r="BV29" s="606"/>
      <c r="BW29" s="606"/>
      <c r="BX29" s="606"/>
      <c r="BY29" s="606"/>
      <c r="BZ29" s="606"/>
      <c r="CA29" s="606"/>
      <c r="CB29" s="606"/>
      <c r="CC29" s="606"/>
      <c r="CD29" s="606"/>
      <c r="CE29" s="606"/>
      <c r="CF29" s="606"/>
      <c r="CG29" s="606"/>
      <c r="CH29" s="607"/>
      <c r="CI29" s="607"/>
    </row>
    <row r="30" spans="1:87" ht="21.25" customHeight="1">
      <c r="A30" s="906" t="s">
        <v>352</v>
      </c>
      <c r="B30" s="907"/>
      <c r="C30" s="910" t="s">
        <v>353</v>
      </c>
      <c r="D30" s="911"/>
      <c r="E30" s="911"/>
      <c r="F30" s="911"/>
      <c r="G30" s="911"/>
      <c r="H30" s="911"/>
      <c r="I30" s="911"/>
      <c r="J30" s="903" t="s">
        <v>354</v>
      </c>
      <c r="K30" s="904"/>
      <c r="L30" s="904"/>
      <c r="M30" s="904"/>
      <c r="N30" s="904"/>
      <c r="O30" s="904"/>
      <c r="P30" s="904"/>
      <c r="Q30" s="904"/>
      <c r="R30" s="904"/>
      <c r="S30" s="904"/>
      <c r="T30" s="904"/>
      <c r="U30" s="904"/>
      <c r="V30" s="904"/>
      <c r="W30" s="905"/>
      <c r="X30" s="903" t="s">
        <v>355</v>
      </c>
      <c r="Y30" s="904"/>
      <c r="Z30" s="904"/>
      <c r="AA30" s="904"/>
      <c r="AB30" s="904"/>
      <c r="AC30" s="904"/>
      <c r="AD30" s="904"/>
      <c r="AE30" s="906" t="s">
        <v>356</v>
      </c>
      <c r="AF30" s="914"/>
      <c r="AG30" s="914"/>
      <c r="AH30" s="914"/>
      <c r="AI30" s="914"/>
      <c r="AJ30" s="914"/>
      <c r="AK30" s="914"/>
      <c r="AL30" s="907"/>
      <c r="AM30" s="903" t="s">
        <v>357</v>
      </c>
      <c r="AN30" s="904"/>
      <c r="AO30" s="904"/>
      <c r="AP30" s="904"/>
      <c r="AQ30" s="904"/>
      <c r="AR30" s="904"/>
      <c r="AS30" s="904"/>
      <c r="AT30" s="904"/>
      <c r="AU30" s="904"/>
      <c r="AV30" s="905"/>
      <c r="AW30" s="903" t="s">
        <v>358</v>
      </c>
      <c r="AX30" s="904"/>
      <c r="AY30" s="904"/>
      <c r="AZ30" s="904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4"/>
      <c r="BL30" s="904"/>
      <c r="BM30" s="904"/>
      <c r="BN30" s="904"/>
      <c r="BO30" s="904"/>
      <c r="BP30" s="904"/>
      <c r="BQ30" s="904"/>
      <c r="BR30" s="904"/>
      <c r="BS30" s="904"/>
      <c r="BT30" s="904"/>
      <c r="BU30" s="904"/>
      <c r="BV30" s="904"/>
      <c r="BW30" s="904"/>
      <c r="BX30" s="904"/>
      <c r="BY30" s="904"/>
      <c r="BZ30" s="904"/>
      <c r="CA30" s="904"/>
      <c r="CB30" s="904"/>
      <c r="CC30" s="904"/>
      <c r="CD30" s="904"/>
      <c r="CE30" s="904"/>
      <c r="CF30" s="904"/>
      <c r="CG30" s="904"/>
      <c r="CH30" s="904"/>
      <c r="CI30" s="905"/>
    </row>
    <row r="31" spans="1:87" ht="21.25" customHeight="1">
      <c r="A31" s="908"/>
      <c r="B31" s="909"/>
      <c r="C31" s="912"/>
      <c r="D31" s="913"/>
      <c r="E31" s="913"/>
      <c r="F31" s="913"/>
      <c r="G31" s="913"/>
      <c r="H31" s="913"/>
      <c r="I31" s="913"/>
      <c r="J31" s="830"/>
      <c r="K31" s="831"/>
      <c r="L31" s="831"/>
      <c r="M31" s="831"/>
      <c r="N31" s="831"/>
      <c r="O31" s="831"/>
      <c r="P31" s="831"/>
      <c r="Q31" s="831"/>
      <c r="R31" s="831"/>
      <c r="S31" s="831"/>
      <c r="T31" s="831"/>
      <c r="U31" s="831"/>
      <c r="V31" s="831"/>
      <c r="W31" s="832"/>
      <c r="X31" s="830"/>
      <c r="Y31" s="831"/>
      <c r="Z31" s="831"/>
      <c r="AA31" s="831"/>
      <c r="AB31" s="831"/>
      <c r="AC31" s="831"/>
      <c r="AD31" s="831"/>
      <c r="AE31" s="908"/>
      <c r="AF31" s="915"/>
      <c r="AG31" s="915"/>
      <c r="AH31" s="915"/>
      <c r="AI31" s="915"/>
      <c r="AJ31" s="915"/>
      <c r="AK31" s="915"/>
      <c r="AL31" s="909"/>
      <c r="AM31" s="830"/>
      <c r="AN31" s="831"/>
      <c r="AO31" s="831"/>
      <c r="AP31" s="831"/>
      <c r="AQ31" s="831"/>
      <c r="AR31" s="831"/>
      <c r="AS31" s="831"/>
      <c r="AT31" s="831"/>
      <c r="AU31" s="831"/>
      <c r="AV31" s="832"/>
      <c r="AW31" s="830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831"/>
      <c r="BL31" s="831"/>
      <c r="BM31" s="831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  <c r="BX31" s="831"/>
      <c r="BY31" s="831"/>
      <c r="BZ31" s="831"/>
      <c r="CA31" s="831"/>
      <c r="CB31" s="831"/>
      <c r="CC31" s="831"/>
      <c r="CD31" s="831"/>
      <c r="CE31" s="831"/>
      <c r="CF31" s="831"/>
      <c r="CG31" s="831"/>
      <c r="CH31" s="831"/>
      <c r="CI31" s="832"/>
    </row>
    <row r="32" spans="1:87" s="605" customFormat="1">
      <c r="A32" s="887">
        <v>1</v>
      </c>
      <c r="B32" s="888"/>
      <c r="C32" s="889" t="s">
        <v>359</v>
      </c>
      <c r="D32" s="890"/>
      <c r="E32" s="890"/>
      <c r="F32" s="890"/>
      <c r="G32" s="890"/>
      <c r="H32" s="890"/>
      <c r="I32" s="891"/>
      <c r="J32" s="892"/>
      <c r="K32" s="893"/>
      <c r="L32" s="893"/>
      <c r="M32" s="893"/>
      <c r="N32" s="893"/>
      <c r="O32" s="893"/>
      <c r="P32" s="894"/>
      <c r="Q32" s="892" t="s">
        <v>360</v>
      </c>
      <c r="R32" s="893"/>
      <c r="S32" s="893"/>
      <c r="T32" s="893"/>
      <c r="U32" s="893"/>
      <c r="V32" s="893"/>
      <c r="W32" s="895"/>
      <c r="X32" s="887" t="s">
        <v>361</v>
      </c>
      <c r="Y32" s="896"/>
      <c r="Z32" s="896"/>
      <c r="AA32" s="896"/>
      <c r="AB32" s="896"/>
      <c r="AC32" s="896"/>
      <c r="AD32" s="897"/>
      <c r="AE32" s="898" t="s">
        <v>362</v>
      </c>
      <c r="AF32" s="896"/>
      <c r="AG32" s="896"/>
      <c r="AH32" s="896"/>
      <c r="AI32" s="896"/>
      <c r="AJ32" s="896"/>
      <c r="AK32" s="896"/>
      <c r="AL32" s="888"/>
      <c r="AM32" s="899" t="s">
        <v>309</v>
      </c>
      <c r="AN32" s="900"/>
      <c r="AO32" s="900"/>
      <c r="AP32" s="900"/>
      <c r="AQ32" s="900"/>
      <c r="AR32" s="900"/>
      <c r="AS32" s="900"/>
      <c r="AT32" s="900"/>
      <c r="AU32" s="900"/>
      <c r="AV32" s="901"/>
      <c r="AW32" s="902" t="s">
        <v>447</v>
      </c>
      <c r="AX32" s="864"/>
      <c r="AY32" s="864"/>
      <c r="AZ32" s="864"/>
      <c r="BA32" s="864"/>
      <c r="BB32" s="864"/>
      <c r="BC32" s="864"/>
      <c r="BD32" s="864"/>
      <c r="BE32" s="864"/>
      <c r="BF32" s="864"/>
      <c r="BG32" s="864"/>
      <c r="BH32" s="864"/>
      <c r="BI32" s="864"/>
      <c r="BJ32" s="864"/>
      <c r="BK32" s="864"/>
      <c r="BL32" s="864"/>
      <c r="BM32" s="864"/>
      <c r="BN32" s="864"/>
      <c r="BO32" s="864"/>
      <c r="BP32" s="864"/>
      <c r="BQ32" s="864"/>
      <c r="BR32" s="864"/>
      <c r="BS32" s="864"/>
      <c r="BT32" s="864"/>
      <c r="BU32" s="864"/>
      <c r="BV32" s="864"/>
      <c r="BW32" s="864"/>
      <c r="BX32" s="864"/>
      <c r="BY32" s="864"/>
      <c r="BZ32" s="864"/>
      <c r="CA32" s="864"/>
      <c r="CB32" s="864"/>
      <c r="CC32" s="864"/>
      <c r="CD32" s="864"/>
      <c r="CE32" s="864"/>
      <c r="CF32" s="864"/>
      <c r="CG32" s="864"/>
      <c r="CH32" s="864"/>
      <c r="CI32" s="865"/>
    </row>
    <row r="33" spans="1:87" s="607" customFormat="1" ht="36" customHeight="1">
      <c r="A33" s="887">
        <v>2</v>
      </c>
      <c r="B33" s="888"/>
      <c r="C33" s="920" t="s">
        <v>448</v>
      </c>
      <c r="D33" s="921"/>
      <c r="E33" s="921"/>
      <c r="F33" s="921"/>
      <c r="G33" s="921"/>
      <c r="H33" s="921"/>
      <c r="I33" s="922"/>
      <c r="J33" s="845"/>
      <c r="K33" s="846"/>
      <c r="L33" s="846"/>
      <c r="M33" s="846"/>
      <c r="N33" s="846"/>
      <c r="O33" s="846"/>
      <c r="P33" s="847"/>
      <c r="Q33" s="923" t="s">
        <v>409</v>
      </c>
      <c r="R33" s="924"/>
      <c r="S33" s="924"/>
      <c r="T33" s="924"/>
      <c r="U33" s="924"/>
      <c r="V33" s="924"/>
      <c r="W33" s="925"/>
      <c r="X33" s="881" t="s">
        <v>364</v>
      </c>
      <c r="Y33" s="858"/>
      <c r="Z33" s="858"/>
      <c r="AA33" s="858"/>
      <c r="AB33" s="858"/>
      <c r="AC33" s="858"/>
      <c r="AD33" s="859"/>
      <c r="AE33" s="857" t="s">
        <v>365</v>
      </c>
      <c r="AF33" s="858"/>
      <c r="AG33" s="858"/>
      <c r="AH33" s="858"/>
      <c r="AI33" s="858"/>
      <c r="AJ33" s="858"/>
      <c r="AK33" s="858"/>
      <c r="AL33" s="882"/>
      <c r="AM33" s="926" t="s">
        <v>309</v>
      </c>
      <c r="AN33" s="927"/>
      <c r="AO33" s="927"/>
      <c r="AP33" s="927"/>
      <c r="AQ33" s="927"/>
      <c r="AR33" s="927"/>
      <c r="AS33" s="927"/>
      <c r="AT33" s="927"/>
      <c r="AU33" s="927"/>
      <c r="AV33" s="928"/>
      <c r="AW33" s="929" t="s">
        <v>449</v>
      </c>
      <c r="AX33" s="930"/>
      <c r="AY33" s="930"/>
      <c r="AZ33" s="930"/>
      <c r="BA33" s="930"/>
      <c r="BB33" s="930"/>
      <c r="BC33" s="930"/>
      <c r="BD33" s="930"/>
      <c r="BE33" s="930"/>
      <c r="BF33" s="930"/>
      <c r="BG33" s="930"/>
      <c r="BH33" s="930"/>
      <c r="BI33" s="930"/>
      <c r="BJ33" s="930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  <c r="BW33" s="930"/>
      <c r="BX33" s="930"/>
      <c r="BY33" s="930"/>
      <c r="BZ33" s="930"/>
      <c r="CA33" s="930"/>
      <c r="CB33" s="930"/>
      <c r="CC33" s="930"/>
      <c r="CD33" s="930"/>
      <c r="CE33" s="930"/>
      <c r="CF33" s="930"/>
      <c r="CG33" s="930"/>
      <c r="CH33" s="930"/>
      <c r="CI33" s="931"/>
    </row>
    <row r="34" spans="1:87" s="607" customFormat="1" ht="33" customHeight="1">
      <c r="A34" s="887">
        <v>3</v>
      </c>
      <c r="B34" s="888"/>
      <c r="C34" s="848" t="s">
        <v>450</v>
      </c>
      <c r="D34" s="849"/>
      <c r="E34" s="849"/>
      <c r="F34" s="849"/>
      <c r="G34" s="849"/>
      <c r="H34" s="849"/>
      <c r="I34" s="850"/>
      <c r="J34" s="845"/>
      <c r="K34" s="846"/>
      <c r="L34" s="846"/>
      <c r="M34" s="846"/>
      <c r="N34" s="846"/>
      <c r="O34" s="846"/>
      <c r="P34" s="847"/>
      <c r="Q34" s="848" t="s">
        <v>451</v>
      </c>
      <c r="R34" s="849"/>
      <c r="S34" s="849"/>
      <c r="T34" s="849"/>
      <c r="U34" s="849"/>
      <c r="V34" s="849"/>
      <c r="W34" s="850"/>
      <c r="X34" s="881" t="s">
        <v>363</v>
      </c>
      <c r="Y34" s="858"/>
      <c r="Z34" s="858"/>
      <c r="AA34" s="858"/>
      <c r="AB34" s="858"/>
      <c r="AC34" s="858"/>
      <c r="AD34" s="859"/>
      <c r="AE34" s="857" t="s">
        <v>362</v>
      </c>
      <c r="AF34" s="858"/>
      <c r="AG34" s="858"/>
      <c r="AH34" s="858"/>
      <c r="AI34" s="858"/>
      <c r="AJ34" s="858"/>
      <c r="AK34" s="858"/>
      <c r="AL34" s="882"/>
      <c r="AM34" s="916" t="s">
        <v>366</v>
      </c>
      <c r="AN34" s="917"/>
      <c r="AO34" s="917"/>
      <c r="AP34" s="917"/>
      <c r="AQ34" s="917"/>
      <c r="AR34" s="917"/>
      <c r="AS34" s="917"/>
      <c r="AT34" s="917"/>
      <c r="AU34" s="917"/>
      <c r="AV34" s="918"/>
      <c r="AW34" s="919"/>
      <c r="AX34" s="919"/>
      <c r="AY34" s="919"/>
      <c r="AZ34" s="919"/>
      <c r="BA34" s="919"/>
      <c r="BB34" s="919"/>
      <c r="BC34" s="919"/>
      <c r="BD34" s="919"/>
      <c r="BE34" s="919"/>
      <c r="BF34" s="919"/>
      <c r="BG34" s="919"/>
      <c r="BH34" s="919"/>
      <c r="BI34" s="919"/>
      <c r="BJ34" s="919"/>
      <c r="BK34" s="919"/>
      <c r="BL34" s="919"/>
      <c r="BM34" s="919"/>
      <c r="BN34" s="919"/>
      <c r="BO34" s="919"/>
      <c r="BP34" s="919"/>
      <c r="BQ34" s="919"/>
      <c r="BR34" s="919"/>
      <c r="BS34" s="919"/>
      <c r="BT34" s="919"/>
      <c r="BU34" s="919"/>
      <c r="BV34" s="919"/>
      <c r="BW34" s="919"/>
      <c r="BX34" s="919"/>
      <c r="BY34" s="919"/>
      <c r="BZ34" s="919"/>
      <c r="CA34" s="919"/>
      <c r="CB34" s="919"/>
      <c r="CC34" s="919"/>
      <c r="CD34" s="919"/>
      <c r="CE34" s="919"/>
      <c r="CF34" s="919"/>
      <c r="CG34" s="919"/>
      <c r="CH34" s="919"/>
      <c r="CI34" s="919"/>
    </row>
    <row r="35" spans="1:87" s="607" customFormat="1" ht="33" customHeight="1">
      <c r="A35" s="887">
        <v>2</v>
      </c>
      <c r="B35" s="888"/>
      <c r="C35" s="920" t="s">
        <v>452</v>
      </c>
      <c r="D35" s="921"/>
      <c r="E35" s="921"/>
      <c r="F35" s="921"/>
      <c r="G35" s="921"/>
      <c r="H35" s="921"/>
      <c r="I35" s="922"/>
      <c r="J35" s="845" t="s">
        <v>453</v>
      </c>
      <c r="K35" s="846"/>
      <c r="L35" s="846"/>
      <c r="M35" s="846"/>
      <c r="N35" s="846"/>
      <c r="O35" s="846"/>
      <c r="P35" s="847"/>
      <c r="Q35" s="923" t="s">
        <v>454</v>
      </c>
      <c r="R35" s="924"/>
      <c r="S35" s="924"/>
      <c r="T35" s="924"/>
      <c r="U35" s="924"/>
      <c r="V35" s="924"/>
      <c r="W35" s="925"/>
      <c r="X35" s="881" t="s">
        <v>364</v>
      </c>
      <c r="Y35" s="858"/>
      <c r="Z35" s="858"/>
      <c r="AA35" s="858"/>
      <c r="AB35" s="858"/>
      <c r="AC35" s="858"/>
      <c r="AD35" s="859"/>
      <c r="AE35" s="857" t="s">
        <v>455</v>
      </c>
      <c r="AF35" s="858"/>
      <c r="AG35" s="858"/>
      <c r="AH35" s="858"/>
      <c r="AI35" s="858"/>
      <c r="AJ35" s="858"/>
      <c r="AK35" s="858"/>
      <c r="AL35" s="882"/>
      <c r="AM35" s="926" t="s">
        <v>309</v>
      </c>
      <c r="AN35" s="927"/>
      <c r="AO35" s="927"/>
      <c r="AP35" s="927"/>
      <c r="AQ35" s="927"/>
      <c r="AR35" s="927"/>
      <c r="AS35" s="927"/>
      <c r="AT35" s="927"/>
      <c r="AU35" s="927"/>
      <c r="AV35" s="928"/>
      <c r="AW35" s="929" t="s">
        <v>456</v>
      </c>
      <c r="AX35" s="930"/>
      <c r="AY35" s="930"/>
      <c r="AZ35" s="930"/>
      <c r="BA35" s="930"/>
      <c r="BB35" s="930"/>
      <c r="BC35" s="930"/>
      <c r="BD35" s="930"/>
      <c r="BE35" s="930"/>
      <c r="BF35" s="930"/>
      <c r="BG35" s="930"/>
      <c r="BH35" s="930"/>
      <c r="BI35" s="930"/>
      <c r="BJ35" s="930"/>
      <c r="BK35" s="930"/>
      <c r="BL35" s="930"/>
      <c r="BM35" s="930"/>
      <c r="BN35" s="930"/>
      <c r="BO35" s="930"/>
      <c r="BP35" s="930"/>
      <c r="BQ35" s="930"/>
      <c r="BR35" s="930"/>
      <c r="BS35" s="930"/>
      <c r="BT35" s="930"/>
      <c r="BU35" s="930"/>
      <c r="BV35" s="930"/>
      <c r="BW35" s="930"/>
      <c r="BX35" s="930"/>
      <c r="BY35" s="930"/>
      <c r="BZ35" s="930"/>
      <c r="CA35" s="930"/>
      <c r="CB35" s="930"/>
      <c r="CC35" s="930"/>
      <c r="CD35" s="930"/>
      <c r="CE35" s="930"/>
      <c r="CF35" s="930"/>
      <c r="CG35" s="930"/>
      <c r="CH35" s="930"/>
      <c r="CI35" s="931"/>
    </row>
    <row r="36" spans="1:87" s="607" customFormat="1" ht="80.5" customHeight="1">
      <c r="A36" s="887">
        <v>4</v>
      </c>
      <c r="B36" s="888"/>
      <c r="C36" s="848" t="s">
        <v>457</v>
      </c>
      <c r="D36" s="849"/>
      <c r="E36" s="849"/>
      <c r="F36" s="849"/>
      <c r="G36" s="849"/>
      <c r="H36" s="849"/>
      <c r="I36" s="850"/>
      <c r="J36" s="845"/>
      <c r="K36" s="846"/>
      <c r="L36" s="846"/>
      <c r="M36" s="846"/>
      <c r="N36" s="846"/>
      <c r="O36" s="846"/>
      <c r="P36" s="847"/>
      <c r="Q36" s="848" t="s">
        <v>458</v>
      </c>
      <c r="R36" s="849"/>
      <c r="S36" s="849"/>
      <c r="T36" s="849"/>
      <c r="U36" s="849"/>
      <c r="V36" s="849"/>
      <c r="W36" s="850"/>
      <c r="X36" s="881" t="s">
        <v>363</v>
      </c>
      <c r="Y36" s="858"/>
      <c r="Z36" s="858"/>
      <c r="AA36" s="858"/>
      <c r="AB36" s="858"/>
      <c r="AC36" s="858"/>
      <c r="AD36" s="859"/>
      <c r="AE36" s="857" t="s">
        <v>455</v>
      </c>
      <c r="AF36" s="858"/>
      <c r="AG36" s="858"/>
      <c r="AH36" s="858"/>
      <c r="AI36" s="858"/>
      <c r="AJ36" s="858"/>
      <c r="AK36" s="858"/>
      <c r="AL36" s="882"/>
      <c r="AM36" s="926" t="s">
        <v>309</v>
      </c>
      <c r="AN36" s="927"/>
      <c r="AO36" s="927"/>
      <c r="AP36" s="927"/>
      <c r="AQ36" s="927"/>
      <c r="AR36" s="927"/>
      <c r="AS36" s="927"/>
      <c r="AT36" s="927"/>
      <c r="AU36" s="927"/>
      <c r="AV36" s="928"/>
      <c r="AW36" s="902" t="s">
        <v>459</v>
      </c>
      <c r="AX36" s="864"/>
      <c r="AY36" s="864"/>
      <c r="AZ36" s="864"/>
      <c r="BA36" s="864"/>
      <c r="BB36" s="864"/>
      <c r="BC36" s="864"/>
      <c r="BD36" s="864"/>
      <c r="BE36" s="864"/>
      <c r="BF36" s="864"/>
      <c r="BG36" s="864"/>
      <c r="BH36" s="864"/>
      <c r="BI36" s="864"/>
      <c r="BJ36" s="864"/>
      <c r="BK36" s="864"/>
      <c r="BL36" s="864"/>
      <c r="BM36" s="864"/>
      <c r="BN36" s="864"/>
      <c r="BO36" s="864"/>
      <c r="BP36" s="864"/>
      <c r="BQ36" s="864"/>
      <c r="BR36" s="864"/>
      <c r="BS36" s="864"/>
      <c r="BT36" s="864"/>
      <c r="BU36" s="864"/>
      <c r="BV36" s="864"/>
      <c r="BW36" s="864"/>
      <c r="BX36" s="864"/>
      <c r="BY36" s="864"/>
      <c r="BZ36" s="864"/>
      <c r="CA36" s="864"/>
      <c r="CB36" s="864"/>
      <c r="CC36" s="864"/>
      <c r="CD36" s="864"/>
      <c r="CE36" s="864"/>
      <c r="CF36" s="864"/>
      <c r="CG36" s="864"/>
      <c r="CH36" s="864"/>
      <c r="CI36" s="865"/>
    </row>
    <row r="37" spans="1:87" s="607" customFormat="1" ht="84.75" customHeight="1">
      <c r="A37" s="887">
        <v>5</v>
      </c>
      <c r="B37" s="888"/>
      <c r="C37" s="848" t="s">
        <v>441</v>
      </c>
      <c r="D37" s="849"/>
      <c r="E37" s="849"/>
      <c r="F37" s="849"/>
      <c r="G37" s="849"/>
      <c r="H37" s="849"/>
      <c r="I37" s="850"/>
      <c r="J37" s="845" t="s">
        <v>460</v>
      </c>
      <c r="K37" s="846"/>
      <c r="L37" s="846"/>
      <c r="M37" s="846"/>
      <c r="N37" s="846"/>
      <c r="O37" s="846"/>
      <c r="P37" s="847"/>
      <c r="Q37" s="848" t="s">
        <v>441</v>
      </c>
      <c r="R37" s="849"/>
      <c r="S37" s="849"/>
      <c r="T37" s="849"/>
      <c r="U37" s="849"/>
      <c r="V37" s="849"/>
      <c r="W37" s="850"/>
      <c r="X37" s="881" t="s">
        <v>363</v>
      </c>
      <c r="Y37" s="858"/>
      <c r="Z37" s="858"/>
      <c r="AA37" s="858"/>
      <c r="AB37" s="858"/>
      <c r="AC37" s="858"/>
      <c r="AD37" s="859"/>
      <c r="AE37" s="857" t="s">
        <v>362</v>
      </c>
      <c r="AF37" s="858"/>
      <c r="AG37" s="858"/>
      <c r="AH37" s="858"/>
      <c r="AI37" s="858"/>
      <c r="AJ37" s="858"/>
      <c r="AK37" s="858"/>
      <c r="AL37" s="882"/>
      <c r="AM37" s="916" t="s">
        <v>461</v>
      </c>
      <c r="AN37" s="917"/>
      <c r="AO37" s="917"/>
      <c r="AP37" s="917"/>
      <c r="AQ37" s="917"/>
      <c r="AR37" s="917"/>
      <c r="AS37" s="917"/>
      <c r="AT37" s="917"/>
      <c r="AU37" s="917"/>
      <c r="AV37" s="918"/>
      <c r="AW37" s="902" t="s">
        <v>462</v>
      </c>
      <c r="AX37" s="864"/>
      <c r="AY37" s="864"/>
      <c r="AZ37" s="864"/>
      <c r="BA37" s="864"/>
      <c r="BB37" s="864"/>
      <c r="BC37" s="864"/>
      <c r="BD37" s="864"/>
      <c r="BE37" s="864"/>
      <c r="BF37" s="864"/>
      <c r="BG37" s="864"/>
      <c r="BH37" s="864"/>
      <c r="BI37" s="864"/>
      <c r="BJ37" s="864"/>
      <c r="BK37" s="864"/>
      <c r="BL37" s="864"/>
      <c r="BM37" s="864"/>
      <c r="BN37" s="864"/>
      <c r="BO37" s="864"/>
      <c r="BP37" s="864"/>
      <c r="BQ37" s="864"/>
      <c r="BR37" s="864"/>
      <c r="BS37" s="864"/>
      <c r="BT37" s="864"/>
      <c r="BU37" s="864"/>
      <c r="BV37" s="864"/>
      <c r="BW37" s="864"/>
      <c r="BX37" s="864"/>
      <c r="BY37" s="864"/>
      <c r="BZ37" s="864"/>
      <c r="CA37" s="864"/>
      <c r="CB37" s="864"/>
      <c r="CC37" s="864"/>
      <c r="CD37" s="864"/>
      <c r="CE37" s="864"/>
      <c r="CF37" s="864"/>
      <c r="CG37" s="864"/>
      <c r="CH37" s="864"/>
      <c r="CI37" s="865"/>
    </row>
    <row r="38" spans="1:87">
      <c r="A38" s="887">
        <v>6</v>
      </c>
      <c r="B38" s="888"/>
      <c r="C38" s="872" t="s">
        <v>439</v>
      </c>
      <c r="D38" s="873"/>
      <c r="E38" s="873"/>
      <c r="F38" s="873"/>
      <c r="G38" s="873"/>
      <c r="H38" s="873"/>
      <c r="I38" s="874"/>
      <c r="J38" s="845" t="s">
        <v>460</v>
      </c>
      <c r="K38" s="846"/>
      <c r="L38" s="846"/>
      <c r="M38" s="846"/>
      <c r="N38" s="846"/>
      <c r="O38" s="846"/>
      <c r="P38" s="847"/>
      <c r="Q38" s="872" t="s">
        <v>439</v>
      </c>
      <c r="R38" s="873"/>
      <c r="S38" s="873"/>
      <c r="T38" s="873"/>
      <c r="U38" s="873"/>
      <c r="V38" s="873"/>
      <c r="W38" s="874"/>
      <c r="X38" s="881" t="s">
        <v>363</v>
      </c>
      <c r="Y38" s="858"/>
      <c r="Z38" s="858"/>
      <c r="AA38" s="858"/>
      <c r="AB38" s="858"/>
      <c r="AC38" s="858"/>
      <c r="AD38" s="859"/>
      <c r="AE38" s="857" t="s">
        <v>455</v>
      </c>
      <c r="AF38" s="858"/>
      <c r="AG38" s="858"/>
      <c r="AH38" s="858"/>
      <c r="AI38" s="858"/>
      <c r="AJ38" s="858"/>
      <c r="AK38" s="858"/>
      <c r="AL38" s="882"/>
      <c r="AM38" s="926" t="s">
        <v>309</v>
      </c>
      <c r="AN38" s="927"/>
      <c r="AO38" s="927"/>
      <c r="AP38" s="927"/>
      <c r="AQ38" s="927"/>
      <c r="AR38" s="927"/>
      <c r="AS38" s="927"/>
      <c r="AT38" s="927"/>
      <c r="AU38" s="927"/>
      <c r="AV38" s="928"/>
      <c r="AW38" s="919" t="s">
        <v>463</v>
      </c>
      <c r="AX38" s="919"/>
      <c r="AY38" s="919"/>
      <c r="AZ38" s="919"/>
      <c r="BA38" s="919"/>
      <c r="BB38" s="919"/>
      <c r="BC38" s="919"/>
      <c r="BD38" s="919"/>
      <c r="BE38" s="919"/>
      <c r="BF38" s="919"/>
      <c r="BG38" s="919"/>
      <c r="BH38" s="919"/>
      <c r="BI38" s="919"/>
      <c r="BJ38" s="919"/>
      <c r="BK38" s="919"/>
      <c r="BL38" s="919"/>
      <c r="BM38" s="919"/>
      <c r="BN38" s="919"/>
      <c r="BO38" s="919"/>
      <c r="BP38" s="919"/>
      <c r="BQ38" s="919"/>
      <c r="BR38" s="919"/>
      <c r="BS38" s="919"/>
      <c r="BT38" s="919"/>
      <c r="BU38" s="919"/>
      <c r="BV38" s="919"/>
      <c r="BW38" s="919"/>
      <c r="BX38" s="919"/>
      <c r="BY38" s="919"/>
      <c r="BZ38" s="919"/>
      <c r="CA38" s="919"/>
      <c r="CB38" s="919"/>
      <c r="CC38" s="919"/>
      <c r="CD38" s="919"/>
      <c r="CE38" s="919"/>
      <c r="CF38" s="919"/>
      <c r="CG38" s="919"/>
      <c r="CH38" s="919"/>
      <c r="CI38" s="919"/>
    </row>
    <row r="41" spans="1:87">
      <c r="C41" s="623" t="s">
        <v>367</v>
      </c>
      <c r="D41" s="624"/>
      <c r="E41" s="625"/>
      <c r="F41" s="626"/>
      <c r="G41" s="626"/>
      <c r="H41" s="626"/>
      <c r="I41" s="626"/>
      <c r="J41" s="626"/>
      <c r="K41" s="626"/>
      <c r="L41" s="627"/>
      <c r="P41" s="628" t="s">
        <v>368</v>
      </c>
      <c r="Q41" s="629"/>
      <c r="R41" s="629"/>
      <c r="S41" s="630"/>
      <c r="T41" s="631"/>
      <c r="U41" s="628" t="s">
        <v>326</v>
      </c>
      <c r="V41" s="630"/>
      <c r="Y41" s="619" t="s">
        <v>327</v>
      </c>
      <c r="Z41" s="620"/>
      <c r="AA41" s="619"/>
      <c r="AB41" s="620"/>
      <c r="AC41" s="620"/>
      <c r="AD41" s="620"/>
      <c r="AE41" s="621"/>
    </row>
    <row r="42" spans="1:87">
      <c r="C42" s="632" t="s">
        <v>369</v>
      </c>
      <c r="D42" s="625"/>
      <c r="E42" s="625"/>
      <c r="F42" s="626"/>
      <c r="G42" s="626"/>
      <c r="H42" s="626"/>
      <c r="I42" s="625"/>
      <c r="J42" s="626"/>
      <c r="K42" s="626"/>
      <c r="L42" s="627"/>
      <c r="P42" s="633" t="s">
        <v>370</v>
      </c>
      <c r="Q42" s="634"/>
      <c r="R42" s="634"/>
      <c r="S42" s="635"/>
      <c r="T42" s="631"/>
      <c r="U42" s="633" t="s">
        <v>343</v>
      </c>
      <c r="V42" s="635"/>
      <c r="Y42" s="619" t="s">
        <v>371</v>
      </c>
      <c r="Z42" s="620"/>
      <c r="AA42" s="619" t="s">
        <v>372</v>
      </c>
      <c r="AB42" s="620"/>
      <c r="AC42" s="620"/>
      <c r="AD42" s="620"/>
      <c r="AE42" s="621"/>
    </row>
    <row r="43" spans="1:87">
      <c r="C43" s="632" t="s">
        <v>373</v>
      </c>
      <c r="D43" s="625"/>
      <c r="E43" s="625"/>
      <c r="F43" s="626"/>
      <c r="G43" s="626"/>
      <c r="H43" s="626"/>
      <c r="I43" s="625"/>
      <c r="J43" s="626"/>
      <c r="K43" s="626"/>
      <c r="L43" s="627"/>
      <c r="P43" s="633" t="s">
        <v>374</v>
      </c>
      <c r="Q43" s="634"/>
      <c r="R43" s="634"/>
      <c r="S43" s="635"/>
      <c r="T43" s="631"/>
      <c r="U43" s="633" t="s">
        <v>340</v>
      </c>
      <c r="V43" s="635"/>
      <c r="Y43" s="619" t="s">
        <v>375</v>
      </c>
      <c r="Z43" s="620"/>
      <c r="AA43" s="619" t="s">
        <v>376</v>
      </c>
      <c r="AB43" s="620"/>
      <c r="AC43" s="620"/>
      <c r="AD43" s="620"/>
      <c r="AE43" s="621"/>
    </row>
    <row r="44" spans="1:87">
      <c r="C44" s="632" t="s">
        <v>377</v>
      </c>
      <c r="D44" s="625"/>
      <c r="E44" s="625"/>
      <c r="F44" s="626"/>
      <c r="G44" s="626"/>
      <c r="H44" s="626"/>
      <c r="I44" s="625"/>
      <c r="J44" s="626"/>
      <c r="K44" s="626"/>
      <c r="L44" s="627"/>
      <c r="T44" s="631"/>
      <c r="U44" s="633" t="s">
        <v>326</v>
      </c>
      <c r="V44" s="635"/>
      <c r="Y44" s="636" t="s">
        <v>378</v>
      </c>
      <c r="Z44" s="637"/>
      <c r="AA44" s="636" t="s">
        <v>379</v>
      </c>
      <c r="AB44" s="637"/>
      <c r="AC44" s="637"/>
      <c r="AD44" s="637"/>
      <c r="AE44" s="638"/>
    </row>
    <row r="45" spans="1:87">
      <c r="C45" s="632" t="s">
        <v>380</v>
      </c>
      <c r="D45" s="625"/>
      <c r="E45" s="625"/>
      <c r="F45" s="626"/>
      <c r="G45" s="626"/>
      <c r="H45" s="626"/>
      <c r="I45" s="625"/>
      <c r="J45" s="626"/>
      <c r="K45" s="626"/>
      <c r="L45" s="627"/>
      <c r="T45" s="631"/>
      <c r="U45" s="633" t="s">
        <v>345</v>
      </c>
      <c r="V45" s="635"/>
      <c r="Z45" s="639"/>
      <c r="AA45" s="639"/>
      <c r="AB45" s="639"/>
      <c r="AC45" s="639"/>
      <c r="AD45" s="639"/>
      <c r="AE45" s="639"/>
      <c r="AF45" s="639"/>
      <c r="AG45" s="639"/>
      <c r="AH45" s="639"/>
      <c r="AI45" s="639"/>
      <c r="AJ45" s="639"/>
      <c r="AK45" s="639"/>
      <c r="AL45" s="639"/>
      <c r="AM45" s="639"/>
      <c r="AN45" s="639"/>
      <c r="AO45" s="639"/>
      <c r="AP45" s="639"/>
      <c r="AQ45" s="639"/>
      <c r="AR45" s="639"/>
      <c r="AS45" s="639"/>
      <c r="AT45" s="639"/>
      <c r="AU45" s="640"/>
      <c r="AV45" s="640"/>
      <c r="AW45" s="640"/>
      <c r="AX45" s="640"/>
      <c r="AY45" s="639"/>
      <c r="AZ45" s="639"/>
      <c r="BA45" s="639"/>
      <c r="BB45" s="639"/>
      <c r="BC45" s="639"/>
      <c r="BD45" s="639"/>
      <c r="BE45" s="639"/>
      <c r="BF45" s="639"/>
      <c r="BG45" s="639"/>
    </row>
    <row r="46" spans="1:87">
      <c r="C46" s="632" t="s">
        <v>381</v>
      </c>
      <c r="D46" s="625"/>
      <c r="E46" s="625"/>
      <c r="F46" s="626"/>
      <c r="G46" s="626"/>
      <c r="H46" s="626"/>
      <c r="I46" s="625"/>
      <c r="J46" s="626"/>
      <c r="K46" s="626"/>
      <c r="L46" s="627"/>
      <c r="Z46" s="641"/>
      <c r="AA46" s="641"/>
      <c r="AB46" s="641"/>
      <c r="AC46" s="641"/>
      <c r="AD46" s="641"/>
      <c r="AE46" s="641"/>
      <c r="AF46" s="641"/>
      <c r="AG46" s="641"/>
      <c r="AH46" s="641"/>
      <c r="AI46" s="641"/>
      <c r="AJ46" s="641"/>
      <c r="AK46" s="641"/>
      <c r="AL46" s="641"/>
      <c r="AM46" s="641"/>
      <c r="AN46" s="641"/>
      <c r="AO46" s="641"/>
      <c r="AP46" s="642"/>
      <c r="AQ46" s="642"/>
      <c r="AR46" s="642"/>
      <c r="AS46" s="642"/>
      <c r="AT46" s="642"/>
      <c r="AU46" s="643"/>
      <c r="AV46" s="643"/>
      <c r="AW46" s="643"/>
      <c r="AX46" s="643"/>
      <c r="AY46" s="644"/>
      <c r="AZ46" s="644"/>
      <c r="BA46" s="644"/>
      <c r="BB46" s="644"/>
      <c r="BC46" s="644"/>
      <c r="BD46" s="644"/>
      <c r="BE46" s="644"/>
      <c r="BF46" s="644"/>
      <c r="BG46" s="644"/>
    </row>
    <row r="47" spans="1:87">
      <c r="C47" s="632" t="s">
        <v>382</v>
      </c>
      <c r="D47" s="625"/>
      <c r="E47" s="625"/>
      <c r="F47" s="626"/>
      <c r="G47" s="626"/>
      <c r="H47" s="626"/>
      <c r="I47" s="625"/>
      <c r="J47" s="626"/>
      <c r="K47" s="626"/>
      <c r="L47" s="627"/>
      <c r="Z47" s="641"/>
      <c r="AA47" s="641"/>
      <c r="AB47" s="641"/>
      <c r="AC47" s="641"/>
      <c r="AD47" s="641"/>
      <c r="AE47" s="641"/>
      <c r="AF47" s="641"/>
      <c r="AG47" s="641"/>
      <c r="AH47" s="641"/>
      <c r="AI47" s="641"/>
      <c r="AJ47" s="641"/>
      <c r="AK47" s="641"/>
      <c r="AL47" s="641"/>
      <c r="AM47" s="641"/>
      <c r="AN47" s="641"/>
      <c r="AO47" s="641"/>
      <c r="AP47" s="642"/>
      <c r="AQ47" s="642"/>
      <c r="AR47" s="642"/>
      <c r="AS47" s="642"/>
      <c r="AT47" s="642"/>
      <c r="AU47" s="643"/>
      <c r="AV47" s="643"/>
      <c r="AW47" s="643"/>
      <c r="AX47" s="643"/>
      <c r="AY47" s="644"/>
      <c r="AZ47" s="644"/>
      <c r="BA47" s="644"/>
      <c r="BB47" s="644"/>
      <c r="BC47" s="644"/>
      <c r="BD47" s="644"/>
      <c r="BE47" s="644"/>
      <c r="BF47" s="644"/>
      <c r="BG47" s="644"/>
    </row>
    <row r="48" spans="1:87">
      <c r="C48" s="632" t="s">
        <v>383</v>
      </c>
      <c r="D48" s="625"/>
      <c r="E48" s="625"/>
      <c r="F48" s="626"/>
      <c r="G48" s="626"/>
      <c r="H48" s="626"/>
      <c r="I48" s="625"/>
      <c r="J48" s="626"/>
      <c r="K48" s="626"/>
      <c r="L48" s="627"/>
      <c r="Z48" s="641"/>
      <c r="AA48" s="641"/>
      <c r="AB48" s="641"/>
      <c r="AC48" s="641"/>
      <c r="AD48" s="641"/>
      <c r="AE48" s="641"/>
      <c r="AF48" s="641"/>
      <c r="AG48" s="641"/>
      <c r="AH48" s="641"/>
      <c r="AI48" s="641"/>
      <c r="AJ48" s="641"/>
      <c r="AK48" s="641"/>
      <c r="AL48" s="641"/>
      <c r="AM48" s="641"/>
      <c r="AN48" s="641"/>
      <c r="AO48" s="641"/>
      <c r="AP48" s="642"/>
      <c r="AQ48" s="642"/>
      <c r="AR48" s="642"/>
      <c r="AS48" s="642"/>
      <c r="AT48" s="642"/>
      <c r="AU48" s="643"/>
      <c r="AV48" s="643"/>
      <c r="AW48" s="643"/>
      <c r="AX48" s="643"/>
      <c r="AY48" s="644"/>
      <c r="AZ48" s="644"/>
      <c r="BA48" s="644"/>
      <c r="BB48" s="644"/>
      <c r="BC48" s="644"/>
      <c r="BD48" s="644"/>
      <c r="BE48" s="644"/>
      <c r="BF48" s="644"/>
      <c r="BG48" s="644"/>
    </row>
    <row r="49" spans="3:59">
      <c r="C49" s="632" t="s">
        <v>384</v>
      </c>
      <c r="D49" s="625"/>
      <c r="E49" s="625"/>
      <c r="F49" s="626"/>
      <c r="G49" s="626"/>
      <c r="H49" s="626"/>
      <c r="I49" s="625"/>
      <c r="J49" s="626"/>
      <c r="K49" s="626"/>
      <c r="L49" s="627"/>
      <c r="Z49" s="641"/>
      <c r="AA49" s="641"/>
      <c r="AB49" s="641"/>
      <c r="AC49" s="641"/>
      <c r="AD49" s="641"/>
      <c r="AE49" s="641"/>
      <c r="AF49" s="641"/>
      <c r="AG49" s="641"/>
      <c r="AH49" s="641"/>
      <c r="AI49" s="641"/>
      <c r="AJ49" s="641"/>
      <c r="AK49" s="641"/>
      <c r="AL49" s="641"/>
      <c r="AM49" s="641"/>
      <c r="AN49" s="641"/>
      <c r="AO49" s="641"/>
      <c r="AP49" s="642"/>
      <c r="AQ49" s="642"/>
      <c r="AR49" s="642"/>
      <c r="AS49" s="642"/>
      <c r="AT49" s="642"/>
      <c r="AU49" s="643"/>
      <c r="AV49" s="643"/>
      <c r="AW49" s="643"/>
      <c r="AX49" s="643"/>
      <c r="AY49" s="644"/>
      <c r="AZ49" s="644"/>
      <c r="BA49" s="644"/>
      <c r="BB49" s="644"/>
      <c r="BC49" s="644"/>
      <c r="BD49" s="644"/>
      <c r="BE49" s="644"/>
      <c r="BF49" s="644"/>
      <c r="BG49" s="644"/>
    </row>
    <row r="50" spans="3:59">
      <c r="C50" s="632" t="s">
        <v>385</v>
      </c>
      <c r="D50" s="625"/>
      <c r="E50" s="625"/>
      <c r="F50" s="626"/>
      <c r="G50" s="626"/>
      <c r="H50" s="626"/>
      <c r="I50" s="625"/>
      <c r="J50" s="626"/>
      <c r="K50" s="626"/>
      <c r="L50" s="627"/>
    </row>
    <row r="51" spans="3:59">
      <c r="C51" s="632" t="s">
        <v>386</v>
      </c>
      <c r="D51" s="625"/>
      <c r="E51" s="625"/>
      <c r="F51" s="626"/>
      <c r="G51" s="626"/>
      <c r="H51" s="626"/>
      <c r="I51" s="625"/>
      <c r="J51" s="626"/>
      <c r="K51" s="626"/>
      <c r="L51" s="627"/>
    </row>
    <row r="52" spans="3:59">
      <c r="C52" s="632" t="s">
        <v>387</v>
      </c>
      <c r="D52" s="625"/>
      <c r="E52" s="625"/>
      <c r="F52" s="626"/>
      <c r="G52" s="626"/>
      <c r="H52" s="626"/>
      <c r="I52" s="625"/>
      <c r="J52" s="626"/>
      <c r="K52" s="626"/>
      <c r="L52" s="627"/>
    </row>
    <row r="53" spans="3:59">
      <c r="C53" s="632" t="s">
        <v>388</v>
      </c>
      <c r="D53" s="625"/>
      <c r="E53" s="625"/>
      <c r="F53" s="626"/>
      <c r="G53" s="626"/>
      <c r="H53" s="626"/>
      <c r="I53" s="625"/>
      <c r="J53" s="626"/>
      <c r="K53" s="626"/>
      <c r="L53" s="627"/>
    </row>
    <row r="54" spans="3:59">
      <c r="C54" s="632" t="s">
        <v>389</v>
      </c>
      <c r="D54" s="625"/>
      <c r="E54" s="625"/>
      <c r="F54" s="626"/>
      <c r="G54" s="626"/>
      <c r="H54" s="626"/>
      <c r="I54" s="625"/>
      <c r="J54" s="626"/>
      <c r="K54" s="626"/>
      <c r="L54" s="627"/>
    </row>
    <row r="55" spans="3:59">
      <c r="C55" s="632" t="s">
        <v>390</v>
      </c>
      <c r="D55" s="625"/>
      <c r="E55" s="625"/>
      <c r="F55" s="626"/>
      <c r="G55" s="626"/>
      <c r="H55" s="626"/>
      <c r="I55" s="625"/>
      <c r="J55" s="626"/>
      <c r="K55" s="626"/>
      <c r="L55" s="627"/>
    </row>
    <row r="56" spans="3:59">
      <c r="C56" s="632" t="s">
        <v>391</v>
      </c>
      <c r="D56" s="625"/>
      <c r="E56" s="625"/>
      <c r="F56" s="626"/>
      <c r="G56" s="626"/>
      <c r="H56" s="626"/>
      <c r="I56" s="625"/>
      <c r="J56" s="626"/>
      <c r="K56" s="626"/>
      <c r="L56" s="627"/>
    </row>
    <row r="57" spans="3:59">
      <c r="C57" s="632" t="s">
        <v>392</v>
      </c>
      <c r="D57" s="625"/>
      <c r="E57" s="625"/>
      <c r="F57" s="626"/>
      <c r="G57" s="626"/>
      <c r="H57" s="626"/>
      <c r="I57" s="625"/>
      <c r="J57" s="626"/>
      <c r="K57" s="626"/>
      <c r="L57" s="627"/>
    </row>
    <row r="58" spans="3:59">
      <c r="C58" s="632" t="s">
        <v>393</v>
      </c>
      <c r="D58" s="625"/>
      <c r="E58" s="625"/>
      <c r="F58" s="626"/>
      <c r="G58" s="626"/>
      <c r="H58" s="626"/>
      <c r="I58" s="625"/>
      <c r="J58" s="626"/>
      <c r="K58" s="626"/>
      <c r="L58" s="627"/>
    </row>
    <row r="59" spans="3:59">
      <c r="C59" s="632" t="s">
        <v>394</v>
      </c>
      <c r="D59" s="625"/>
      <c r="E59" s="625"/>
      <c r="F59" s="626"/>
      <c r="G59" s="626"/>
      <c r="H59" s="626"/>
      <c r="I59" s="625"/>
      <c r="J59" s="626"/>
      <c r="K59" s="626"/>
      <c r="L59" s="627"/>
    </row>
    <row r="60" spans="3:59">
      <c r="C60" s="632" t="s">
        <v>395</v>
      </c>
      <c r="D60" s="625"/>
      <c r="E60" s="625"/>
      <c r="F60" s="626"/>
      <c r="G60" s="626"/>
      <c r="H60" s="626"/>
      <c r="I60" s="625"/>
      <c r="J60" s="626"/>
      <c r="K60" s="626"/>
      <c r="L60" s="627"/>
    </row>
    <row r="61" spans="3:59">
      <c r="C61" s="632" t="s">
        <v>396</v>
      </c>
      <c r="D61" s="625"/>
      <c r="E61" s="625"/>
      <c r="F61" s="626"/>
      <c r="G61" s="626"/>
      <c r="H61" s="626"/>
      <c r="I61" s="625"/>
      <c r="J61" s="626"/>
      <c r="K61" s="626"/>
      <c r="L61" s="627"/>
    </row>
    <row r="62" spans="3:59">
      <c r="C62" s="632" t="s">
        <v>345</v>
      </c>
      <c r="D62" s="625"/>
      <c r="E62" s="625"/>
      <c r="F62" s="626"/>
      <c r="G62" s="626"/>
      <c r="H62" s="626"/>
      <c r="I62" s="625"/>
      <c r="J62" s="626"/>
      <c r="K62" s="626"/>
      <c r="L62" s="627"/>
    </row>
  </sheetData>
  <mergeCells count="307">
    <mergeCell ref="A38:B38"/>
    <mergeCell ref="C38:I38"/>
    <mergeCell ref="J38:P38"/>
    <mergeCell ref="Q38:W38"/>
    <mergeCell ref="X38:AD38"/>
    <mergeCell ref="AE38:AL38"/>
    <mergeCell ref="AM38:AV38"/>
    <mergeCell ref="AW38:CI38"/>
    <mergeCell ref="A37:B37"/>
    <mergeCell ref="C37:I37"/>
    <mergeCell ref="J37:P37"/>
    <mergeCell ref="Q37:W37"/>
    <mergeCell ref="X37:AD37"/>
    <mergeCell ref="AE37:AL37"/>
    <mergeCell ref="AM37:AV37"/>
    <mergeCell ref="AW37:CI37"/>
    <mergeCell ref="A36:B36"/>
    <mergeCell ref="C36:I36"/>
    <mergeCell ref="J36:P36"/>
    <mergeCell ref="Q36:W36"/>
    <mergeCell ref="X36:AD36"/>
    <mergeCell ref="AE36:AL36"/>
    <mergeCell ref="AM36:AV36"/>
    <mergeCell ref="AW36:CI36"/>
    <mergeCell ref="A35:B35"/>
    <mergeCell ref="C35:I35"/>
    <mergeCell ref="J35:P35"/>
    <mergeCell ref="Q35:W35"/>
    <mergeCell ref="X35:AD35"/>
    <mergeCell ref="AE35:AL35"/>
    <mergeCell ref="AM35:AV35"/>
    <mergeCell ref="AW35:CI35"/>
    <mergeCell ref="A34:B34"/>
    <mergeCell ref="C34:I34"/>
    <mergeCell ref="J34:P34"/>
    <mergeCell ref="Q34:W34"/>
    <mergeCell ref="X34:AD34"/>
    <mergeCell ref="AE34:AL34"/>
    <mergeCell ref="AM34:AV34"/>
    <mergeCell ref="AW34:CI34"/>
    <mergeCell ref="A33:B33"/>
    <mergeCell ref="C33:I33"/>
    <mergeCell ref="J33:P33"/>
    <mergeCell ref="Q33:W33"/>
    <mergeCell ref="X33:AD33"/>
    <mergeCell ref="AE33:AL33"/>
    <mergeCell ref="AM33:AV33"/>
    <mergeCell ref="AW33:CI33"/>
    <mergeCell ref="A32:B32"/>
    <mergeCell ref="C32:I32"/>
    <mergeCell ref="J32:P32"/>
    <mergeCell ref="Q32:W32"/>
    <mergeCell ref="X32:AD32"/>
    <mergeCell ref="AE32:AL32"/>
    <mergeCell ref="AM32:AV32"/>
    <mergeCell ref="AW32:CI32"/>
    <mergeCell ref="AW30:CI31"/>
    <mergeCell ref="A30:B31"/>
    <mergeCell ref="C30:I31"/>
    <mergeCell ref="J30:W31"/>
    <mergeCell ref="X30:AD31"/>
    <mergeCell ref="AE30:AL31"/>
    <mergeCell ref="AM30:AV31"/>
    <mergeCell ref="BA27:CI27"/>
    <mergeCell ref="A29:H29"/>
    <mergeCell ref="A27:B27"/>
    <mergeCell ref="J27:P27"/>
    <mergeCell ref="Q27:W27"/>
    <mergeCell ref="X27:AA27"/>
    <mergeCell ref="AB27:AC27"/>
    <mergeCell ref="AD27:AE27"/>
    <mergeCell ref="AP27:AY27"/>
    <mergeCell ref="A26:B26"/>
    <mergeCell ref="J26:P26"/>
    <mergeCell ref="Q26:W26"/>
    <mergeCell ref="X26:AA26"/>
    <mergeCell ref="AB26:AC26"/>
    <mergeCell ref="AD26:AE26"/>
    <mergeCell ref="AF26:AI26"/>
    <mergeCell ref="AJ26:AO26"/>
    <mergeCell ref="AP26:AZ26"/>
    <mergeCell ref="AF25:AI25"/>
    <mergeCell ref="AJ25:AO25"/>
    <mergeCell ref="AP25:AZ25"/>
    <mergeCell ref="BA25:CI25"/>
    <mergeCell ref="A25:B25"/>
    <mergeCell ref="J25:P25"/>
    <mergeCell ref="Q25:W25"/>
    <mergeCell ref="X25:AA25"/>
    <mergeCell ref="AB25:AC25"/>
    <mergeCell ref="AD25:AE25"/>
    <mergeCell ref="AF24:AI24"/>
    <mergeCell ref="AJ24:AO24"/>
    <mergeCell ref="AP24:AZ24"/>
    <mergeCell ref="A24:B24"/>
    <mergeCell ref="J24:P24"/>
    <mergeCell ref="Q24:W24"/>
    <mergeCell ref="X24:AA24"/>
    <mergeCell ref="AB24:AC24"/>
    <mergeCell ref="AD24:AE24"/>
    <mergeCell ref="AF23:AI23"/>
    <mergeCell ref="AJ23:AO23"/>
    <mergeCell ref="AP23:AZ23"/>
    <mergeCell ref="A23:B23"/>
    <mergeCell ref="J23:P23"/>
    <mergeCell ref="Q23:W23"/>
    <mergeCell ref="X23:AA23"/>
    <mergeCell ref="AB23:AC23"/>
    <mergeCell ref="AD23:AE23"/>
    <mergeCell ref="BA22:CI22"/>
    <mergeCell ref="AB22:AC22"/>
    <mergeCell ref="AD22:AE22"/>
    <mergeCell ref="AF22:AI22"/>
    <mergeCell ref="AJ22:AO22"/>
    <mergeCell ref="AP22:AZ22"/>
    <mergeCell ref="A22:B22"/>
    <mergeCell ref="C22:I22"/>
    <mergeCell ref="J22:P22"/>
    <mergeCell ref="Q22:W22"/>
    <mergeCell ref="X22:AA22"/>
    <mergeCell ref="AD21:AE21"/>
    <mergeCell ref="AF21:AI21"/>
    <mergeCell ref="AJ21:AO21"/>
    <mergeCell ref="AP21:AZ21"/>
    <mergeCell ref="BA21:CI21"/>
    <mergeCell ref="A21:B21"/>
    <mergeCell ref="C21:I21"/>
    <mergeCell ref="J21:P21"/>
    <mergeCell ref="Q21:W21"/>
    <mergeCell ref="X21:AA21"/>
    <mergeCell ref="AB21:AC21"/>
    <mergeCell ref="BA20:CI20"/>
    <mergeCell ref="AB20:AC20"/>
    <mergeCell ref="AD20:AE20"/>
    <mergeCell ref="AF20:AI20"/>
    <mergeCell ref="AJ20:AO20"/>
    <mergeCell ref="AP20:AZ20"/>
    <mergeCell ref="A20:B20"/>
    <mergeCell ref="C20:I20"/>
    <mergeCell ref="J20:P20"/>
    <mergeCell ref="Q20:W20"/>
    <mergeCell ref="X20:AA20"/>
    <mergeCell ref="AD19:AE19"/>
    <mergeCell ref="AF19:AI19"/>
    <mergeCell ref="AJ19:AO19"/>
    <mergeCell ref="AP19:AZ19"/>
    <mergeCell ref="BA19:CI19"/>
    <mergeCell ref="BA18:CI18"/>
    <mergeCell ref="A19:B19"/>
    <mergeCell ref="C19:I19"/>
    <mergeCell ref="J19:P19"/>
    <mergeCell ref="Q19:W19"/>
    <mergeCell ref="X19:AA19"/>
    <mergeCell ref="AB19:AC19"/>
    <mergeCell ref="A18:B18"/>
    <mergeCell ref="J18:P18"/>
    <mergeCell ref="Q18:W18"/>
    <mergeCell ref="X18:AA18"/>
    <mergeCell ref="AB18:AC18"/>
    <mergeCell ref="AD18:AE18"/>
    <mergeCell ref="AF18:AI18"/>
    <mergeCell ref="AJ18:AO18"/>
    <mergeCell ref="AP18:AZ18"/>
    <mergeCell ref="AF17:AI17"/>
    <mergeCell ref="AJ17:AO17"/>
    <mergeCell ref="AP17:AZ17"/>
    <mergeCell ref="BA17:CI17"/>
    <mergeCell ref="BA16:CI16"/>
    <mergeCell ref="A17:B17"/>
    <mergeCell ref="J17:P17"/>
    <mergeCell ref="Q17:W17"/>
    <mergeCell ref="X17:AA17"/>
    <mergeCell ref="AB17:AC17"/>
    <mergeCell ref="AD17:AE17"/>
    <mergeCell ref="A16:B16"/>
    <mergeCell ref="J16:P16"/>
    <mergeCell ref="Q16:W16"/>
    <mergeCell ref="X16:AA16"/>
    <mergeCell ref="AB16:AC16"/>
    <mergeCell ref="AD16:AE16"/>
    <mergeCell ref="AF16:AI16"/>
    <mergeCell ref="AJ16:AO16"/>
    <mergeCell ref="AP16:AZ16"/>
    <mergeCell ref="AF15:AI15"/>
    <mergeCell ref="AJ15:AO15"/>
    <mergeCell ref="AP15:AZ15"/>
    <mergeCell ref="BA15:CI15"/>
    <mergeCell ref="BA14:CI14"/>
    <mergeCell ref="A15:B15"/>
    <mergeCell ref="J15:P15"/>
    <mergeCell ref="Q15:W15"/>
    <mergeCell ref="X15:AA15"/>
    <mergeCell ref="AB15:AC15"/>
    <mergeCell ref="AD15:AE15"/>
    <mergeCell ref="A14:B14"/>
    <mergeCell ref="J14:P14"/>
    <mergeCell ref="Q14:W14"/>
    <mergeCell ref="X14:AA14"/>
    <mergeCell ref="AB14:AC14"/>
    <mergeCell ref="AD14:AE14"/>
    <mergeCell ref="AF14:AI14"/>
    <mergeCell ref="AJ14:AO14"/>
    <mergeCell ref="AP14:AZ14"/>
    <mergeCell ref="AF13:AI13"/>
    <mergeCell ref="AJ13:AO13"/>
    <mergeCell ref="AP13:AZ13"/>
    <mergeCell ref="BA13:CI13"/>
    <mergeCell ref="A13:B13"/>
    <mergeCell ref="J13:P13"/>
    <mergeCell ref="Q13:W13"/>
    <mergeCell ref="X13:AA13"/>
    <mergeCell ref="AB13:AC13"/>
    <mergeCell ref="AD13:AE13"/>
    <mergeCell ref="AF12:AI12"/>
    <mergeCell ref="AJ12:AO12"/>
    <mergeCell ref="AP12:AZ12"/>
    <mergeCell ref="A12:B12"/>
    <mergeCell ref="J12:P12"/>
    <mergeCell ref="Q12:W12"/>
    <mergeCell ref="X12:AA12"/>
    <mergeCell ref="AB12:AC12"/>
    <mergeCell ref="AD12:AE12"/>
    <mergeCell ref="AF11:AI11"/>
    <mergeCell ref="AJ11:AO11"/>
    <mergeCell ref="AP11:AZ11"/>
    <mergeCell ref="A11:B11"/>
    <mergeCell ref="J11:P11"/>
    <mergeCell ref="Q11:W11"/>
    <mergeCell ref="X11:AA11"/>
    <mergeCell ref="AB11:AC11"/>
    <mergeCell ref="AD11:AE11"/>
    <mergeCell ref="AF10:AI10"/>
    <mergeCell ref="AJ10:AO10"/>
    <mergeCell ref="AP10:AZ10"/>
    <mergeCell ref="AP9:AZ9"/>
    <mergeCell ref="A10:B10"/>
    <mergeCell ref="J10:P10"/>
    <mergeCell ref="Q10:W10"/>
    <mergeCell ref="X10:AA10"/>
    <mergeCell ref="AB10:AC10"/>
    <mergeCell ref="AD10:AE10"/>
    <mergeCell ref="A9:B9"/>
    <mergeCell ref="J9:P9"/>
    <mergeCell ref="Q9:W9"/>
    <mergeCell ref="X9:AA9"/>
    <mergeCell ref="AB9:AC9"/>
    <mergeCell ref="AD9:AE9"/>
    <mergeCell ref="AF9:AI9"/>
    <mergeCell ref="AJ9:AO9"/>
    <mergeCell ref="AD8:AE8"/>
    <mergeCell ref="AF8:AI8"/>
    <mergeCell ref="AJ8:AO8"/>
    <mergeCell ref="AP8:AZ8"/>
    <mergeCell ref="BA8:CI8"/>
    <mergeCell ref="A8:B8"/>
    <mergeCell ref="J8:P8"/>
    <mergeCell ref="Q8:W8"/>
    <mergeCell ref="X8:AA8"/>
    <mergeCell ref="AB8:AC8"/>
    <mergeCell ref="AD7:AE7"/>
    <mergeCell ref="AF7:AI7"/>
    <mergeCell ref="AJ7:AO7"/>
    <mergeCell ref="AP7:AZ7"/>
    <mergeCell ref="BA7:CI7"/>
    <mergeCell ref="A7:B7"/>
    <mergeCell ref="C7:I7"/>
    <mergeCell ref="J7:P7"/>
    <mergeCell ref="Q7:W7"/>
    <mergeCell ref="X7:AA7"/>
    <mergeCell ref="AB7:AC7"/>
    <mergeCell ref="BA6:CI6"/>
    <mergeCell ref="AB6:AC6"/>
    <mergeCell ref="AD6:AE6"/>
    <mergeCell ref="AF6:AI6"/>
    <mergeCell ref="AJ6:AO6"/>
    <mergeCell ref="AP6:AZ6"/>
    <mergeCell ref="A6:B6"/>
    <mergeCell ref="C6:I6"/>
    <mergeCell ref="J6:P6"/>
    <mergeCell ref="Q6:W6"/>
    <mergeCell ref="X6:AA6"/>
    <mergeCell ref="AD5:AE5"/>
    <mergeCell ref="AF5:AI5"/>
    <mergeCell ref="AJ5:AO5"/>
    <mergeCell ref="AP5:AZ5"/>
    <mergeCell ref="BA5:CI5"/>
    <mergeCell ref="A5:B5"/>
    <mergeCell ref="C5:I5"/>
    <mergeCell ref="J5:P5"/>
    <mergeCell ref="Q5:W5"/>
    <mergeCell ref="X5:AA5"/>
    <mergeCell ref="AB5:AC5"/>
    <mergeCell ref="A1:I1"/>
    <mergeCell ref="A2:AE2"/>
    <mergeCell ref="AF2:CI2"/>
    <mergeCell ref="C4:I4"/>
    <mergeCell ref="J4:P4"/>
    <mergeCell ref="BA3:CI4"/>
    <mergeCell ref="A3:B4"/>
    <mergeCell ref="C3:P3"/>
    <mergeCell ref="Q3:W4"/>
    <mergeCell ref="X3:AA4"/>
    <mergeCell ref="AB3:AC4"/>
    <mergeCell ref="AD3:AE4"/>
    <mergeCell ref="AF3:AI4"/>
    <mergeCell ref="AJ3:AO4"/>
    <mergeCell ref="AP3:AZ4"/>
  </mergeCells>
  <phoneticPr fontId="56"/>
  <conditionalFormatting sqref="AF6 AJ6 AP6 BA6">
    <cfRule type="expression" dxfId="54" priority="18" stopIfTrue="1">
      <formula>FIND("○",$AD6:$AE21)</formula>
    </cfRule>
  </conditionalFormatting>
  <conditionalFormatting sqref="AF18:AO26">
    <cfRule type="expression" dxfId="53" priority="4" stopIfTrue="1">
      <formula>FIND("○",$AD18:$AE18)</formula>
    </cfRule>
  </conditionalFormatting>
  <conditionalFormatting sqref="AF27:AO27 BA27">
    <cfRule type="expression" dxfId="52" priority="22" stopIfTrue="1">
      <formula>FIND("○",$AD27:$AE72)</formula>
    </cfRule>
  </conditionalFormatting>
  <conditionalFormatting sqref="AF5:AP5 BA5">
    <cfRule type="expression" dxfId="51" priority="20" stopIfTrue="1">
      <formula>FIND("○",$AD5:$AE21)</formula>
    </cfRule>
  </conditionalFormatting>
  <conditionalFormatting sqref="AF7:AP17">
    <cfRule type="expression" dxfId="50" priority="1" stopIfTrue="1">
      <formula>FIND("○",$AD7:$AE7)</formula>
    </cfRule>
  </conditionalFormatting>
  <conditionalFormatting sqref="AP18">
    <cfRule type="expression" dxfId="49" priority="5" stopIfTrue="1">
      <formula>FIND("○",$AD18:$AE18)</formula>
    </cfRule>
  </conditionalFormatting>
  <conditionalFormatting sqref="AP19:AP20 BA19:BA20">
    <cfRule type="expression" dxfId="48" priority="23" stopIfTrue="1">
      <formula>FIND("○",$AD19:$AE58)</formula>
    </cfRule>
  </conditionalFormatting>
  <conditionalFormatting sqref="AP21 BA21">
    <cfRule type="expression" dxfId="47" priority="19" stopIfTrue="1">
      <formula>FIND("○",$AD21:$AE66)</formula>
    </cfRule>
  </conditionalFormatting>
  <conditionalFormatting sqref="AP22">
    <cfRule type="expression" dxfId="46" priority="16" stopIfTrue="1">
      <formula>FIND("○",$AD22:$AE70)</formula>
    </cfRule>
  </conditionalFormatting>
  <conditionalFormatting sqref="AP23:AP26">
    <cfRule type="expression" dxfId="45" priority="10" stopIfTrue="1">
      <formula>FIND("○",$AD23:$AE23)</formula>
    </cfRule>
  </conditionalFormatting>
  <conditionalFormatting sqref="AP27">
    <cfRule type="expression" dxfId="44" priority="15" stopIfTrue="1">
      <formula>FIND("○",$AD27:$AE61)</formula>
    </cfRule>
  </conditionalFormatting>
  <conditionalFormatting sqref="BA7">
    <cfRule type="expression" dxfId="43" priority="21" stopIfTrue="1">
      <formula>FIND("○",$AD7:$AE7)</formula>
    </cfRule>
  </conditionalFormatting>
  <conditionalFormatting sqref="BA8:BA13">
    <cfRule type="expression" dxfId="42" priority="7" stopIfTrue="1">
      <formula>FIND("○",$AD8:$AE60)</formula>
    </cfRule>
  </conditionalFormatting>
  <conditionalFormatting sqref="BA14:BA18">
    <cfRule type="expression" dxfId="41" priority="2" stopIfTrue="1">
      <formula>FIND("○",$AD14:$AE65)</formula>
    </cfRule>
  </conditionalFormatting>
  <conditionalFormatting sqref="BA22">
    <cfRule type="expression" dxfId="40" priority="17" stopIfTrue="1">
      <formula>FIND("○",$AD22:$AE59)</formula>
    </cfRule>
  </conditionalFormatting>
  <conditionalFormatting sqref="BA23:BA26">
    <cfRule type="expression" dxfId="39" priority="9" stopIfTrue="1">
      <formula>FIND("○",$AD23:$AE61)</formula>
    </cfRule>
  </conditionalFormatting>
  <dataValidations count="13">
    <dataValidation type="list" allowBlank="1" showInputMessage="1" showErrorMessage="1" sqref="AD10" xr:uid="{6ACA7FED-1AE4-4AA9-A729-97E8D4D821FF}">
      <formula1>$Y$38:$Y$40</formula1>
    </dataValidation>
    <dataValidation type="list" allowBlank="1" showInputMessage="1" showErrorMessage="1" sqref="Q10:W10" xr:uid="{1B9950B6-4641-4F74-A2EF-87AD0E7E1C23}">
      <formula1>$C$38:$C$58</formula1>
    </dataValidation>
    <dataValidation type="list" allowBlank="1" showInputMessage="1" showErrorMessage="1" sqref="AB10:AC10" xr:uid="{331E4F04-AF26-411D-973D-4FAF57CF56C3}">
      <formula1>$U$38:$U$40</formula1>
    </dataValidation>
    <dataValidation type="list" allowBlank="1" showInputMessage="1" showErrorMessage="1" sqref="X10:AA10" xr:uid="{B2E27B05-EA36-42CF-9298-5CC8FE202EFE}">
      <formula1>$P$38:$P$39</formula1>
    </dataValidation>
    <dataValidation type="list" allowBlank="1" showInputMessage="1" showErrorMessage="1" sqref="X5:AA9 X11:AA27" xr:uid="{C3AD9988-0265-437D-9570-657DAF3BE761}">
      <formula1>$P$42:$P$43</formula1>
    </dataValidation>
    <dataValidation type="list" allowBlank="1" showInputMessage="1" showErrorMessage="1" sqref="AB5:AC9 AB11:AC27" xr:uid="{295F8FB5-C5C5-4DAA-9371-0C17C9C7069D}">
      <formula1>$U$42:$U$44</formula1>
    </dataValidation>
    <dataValidation type="list" allowBlank="1" showInputMessage="1" showErrorMessage="1" sqref="AT65576:AW65576 IV65576:IY65576 SR65576:SU65576 ACN65576:ACQ65576 AMJ65576:AMM65576 AWF65576:AWI65576 BGB65576:BGE65576 BPX65576:BQA65576 BZT65576:BZW65576 CJP65576:CJS65576 CTL65576:CTO65576 DDH65576:DDK65576 DND65576:DNG65576 DWZ65576:DXC65576 EGV65576:EGY65576 EQR65576:EQU65576 FAN65576:FAQ65576 FKJ65576:FKM65576 FUF65576:FUI65576 GEB65576:GEE65576 GNX65576:GOA65576 GXT65576:GXW65576 HHP65576:HHS65576 HRL65576:HRO65576 IBH65576:IBK65576 ILD65576:ILG65576 IUZ65576:IVC65576 JEV65576:JEY65576 JOR65576:JOU65576 JYN65576:JYQ65576 KIJ65576:KIM65576 KSF65576:KSI65576 LCB65576:LCE65576 LLX65576:LMA65576 LVT65576:LVW65576 MFP65576:MFS65576 MPL65576:MPO65576 MZH65576:MZK65576 NJD65576:NJG65576 NSZ65576:NTC65576 OCV65576:OCY65576 OMR65576:OMU65576 OWN65576:OWQ65576 PGJ65576:PGM65576 PQF65576:PQI65576 QAB65576:QAE65576 QJX65576:QKA65576 QTT65576:QTW65576 RDP65576:RDS65576 RNL65576:RNO65576 RXH65576:RXK65576 SHD65576:SHG65576 SQZ65576:SRC65576 TAV65576:TAY65576 TKR65576:TKU65576 TUN65576:TUQ65576 UEJ65576:UEM65576 UOF65576:UOI65576 UYB65576:UYE65576 VHX65576:VIA65576 VRT65576:VRW65576 WBP65576:WBS65576 WLL65576:WLO65576 WVH65576:WVK65576 AT131112:AW131112 IV131112:IY131112 SR131112:SU131112 ACN131112:ACQ131112 AMJ131112:AMM131112 AWF131112:AWI131112 BGB131112:BGE131112 BPX131112:BQA131112 BZT131112:BZW131112 CJP131112:CJS131112 CTL131112:CTO131112 DDH131112:DDK131112 DND131112:DNG131112 DWZ131112:DXC131112 EGV131112:EGY131112 EQR131112:EQU131112 FAN131112:FAQ131112 FKJ131112:FKM131112 FUF131112:FUI131112 GEB131112:GEE131112 GNX131112:GOA131112 GXT131112:GXW131112 HHP131112:HHS131112 HRL131112:HRO131112 IBH131112:IBK131112 ILD131112:ILG131112 IUZ131112:IVC131112 JEV131112:JEY131112 JOR131112:JOU131112 JYN131112:JYQ131112 KIJ131112:KIM131112 KSF131112:KSI131112 LCB131112:LCE131112 LLX131112:LMA131112 LVT131112:LVW131112 MFP131112:MFS131112 MPL131112:MPO131112 MZH131112:MZK131112 NJD131112:NJG131112 NSZ131112:NTC131112 OCV131112:OCY131112 OMR131112:OMU131112 OWN131112:OWQ131112 PGJ131112:PGM131112 PQF131112:PQI131112 QAB131112:QAE131112 QJX131112:QKA131112 QTT131112:QTW131112 RDP131112:RDS131112 RNL131112:RNO131112 RXH131112:RXK131112 SHD131112:SHG131112 SQZ131112:SRC131112 TAV131112:TAY131112 TKR131112:TKU131112 TUN131112:TUQ131112 UEJ131112:UEM131112 UOF131112:UOI131112 UYB131112:UYE131112 VHX131112:VIA131112 VRT131112:VRW131112 WBP131112:WBS131112 WLL131112:WLO131112 WVH131112:WVK131112 AT196648:AW196648 IV196648:IY196648 SR196648:SU196648 ACN196648:ACQ196648 AMJ196648:AMM196648 AWF196648:AWI196648 BGB196648:BGE196648 BPX196648:BQA196648 BZT196648:BZW196648 CJP196648:CJS196648 CTL196648:CTO196648 DDH196648:DDK196648 DND196648:DNG196648 DWZ196648:DXC196648 EGV196648:EGY196648 EQR196648:EQU196648 FAN196648:FAQ196648 FKJ196648:FKM196648 FUF196648:FUI196648 GEB196648:GEE196648 GNX196648:GOA196648 GXT196648:GXW196648 HHP196648:HHS196648 HRL196648:HRO196648 IBH196648:IBK196648 ILD196648:ILG196648 IUZ196648:IVC196648 JEV196648:JEY196648 JOR196648:JOU196648 JYN196648:JYQ196648 KIJ196648:KIM196648 KSF196648:KSI196648 LCB196648:LCE196648 LLX196648:LMA196648 LVT196648:LVW196648 MFP196648:MFS196648 MPL196648:MPO196648 MZH196648:MZK196648 NJD196648:NJG196648 NSZ196648:NTC196648 OCV196648:OCY196648 OMR196648:OMU196648 OWN196648:OWQ196648 PGJ196648:PGM196648 PQF196648:PQI196648 QAB196648:QAE196648 QJX196648:QKA196648 QTT196648:QTW196648 RDP196648:RDS196648 RNL196648:RNO196648 RXH196648:RXK196648 SHD196648:SHG196648 SQZ196648:SRC196648 TAV196648:TAY196648 TKR196648:TKU196648 TUN196648:TUQ196648 UEJ196648:UEM196648 UOF196648:UOI196648 UYB196648:UYE196648 VHX196648:VIA196648 VRT196648:VRW196648 WBP196648:WBS196648 WLL196648:WLO196648 WVH196648:WVK196648 AT262184:AW262184 IV262184:IY262184 SR262184:SU262184 ACN262184:ACQ262184 AMJ262184:AMM262184 AWF262184:AWI262184 BGB262184:BGE262184 BPX262184:BQA262184 BZT262184:BZW262184 CJP262184:CJS262184 CTL262184:CTO262184 DDH262184:DDK262184 DND262184:DNG262184 DWZ262184:DXC262184 EGV262184:EGY262184 EQR262184:EQU262184 FAN262184:FAQ262184 FKJ262184:FKM262184 FUF262184:FUI262184 GEB262184:GEE262184 GNX262184:GOA262184 GXT262184:GXW262184 HHP262184:HHS262184 HRL262184:HRO262184 IBH262184:IBK262184 ILD262184:ILG262184 IUZ262184:IVC262184 JEV262184:JEY262184 JOR262184:JOU262184 JYN262184:JYQ262184 KIJ262184:KIM262184 KSF262184:KSI262184 LCB262184:LCE262184 LLX262184:LMA262184 LVT262184:LVW262184 MFP262184:MFS262184 MPL262184:MPO262184 MZH262184:MZK262184 NJD262184:NJG262184 NSZ262184:NTC262184 OCV262184:OCY262184 OMR262184:OMU262184 OWN262184:OWQ262184 PGJ262184:PGM262184 PQF262184:PQI262184 QAB262184:QAE262184 QJX262184:QKA262184 QTT262184:QTW262184 RDP262184:RDS262184 RNL262184:RNO262184 RXH262184:RXK262184 SHD262184:SHG262184 SQZ262184:SRC262184 TAV262184:TAY262184 TKR262184:TKU262184 TUN262184:TUQ262184 UEJ262184:UEM262184 UOF262184:UOI262184 UYB262184:UYE262184 VHX262184:VIA262184 VRT262184:VRW262184 WBP262184:WBS262184 WLL262184:WLO262184 WVH262184:WVK262184 AT327720:AW327720 IV327720:IY327720 SR327720:SU327720 ACN327720:ACQ327720 AMJ327720:AMM327720 AWF327720:AWI327720 BGB327720:BGE327720 BPX327720:BQA327720 BZT327720:BZW327720 CJP327720:CJS327720 CTL327720:CTO327720 DDH327720:DDK327720 DND327720:DNG327720 DWZ327720:DXC327720 EGV327720:EGY327720 EQR327720:EQU327720 FAN327720:FAQ327720 FKJ327720:FKM327720 FUF327720:FUI327720 GEB327720:GEE327720 GNX327720:GOA327720 GXT327720:GXW327720 HHP327720:HHS327720 HRL327720:HRO327720 IBH327720:IBK327720 ILD327720:ILG327720 IUZ327720:IVC327720 JEV327720:JEY327720 JOR327720:JOU327720 JYN327720:JYQ327720 KIJ327720:KIM327720 KSF327720:KSI327720 LCB327720:LCE327720 LLX327720:LMA327720 LVT327720:LVW327720 MFP327720:MFS327720 MPL327720:MPO327720 MZH327720:MZK327720 NJD327720:NJG327720 NSZ327720:NTC327720 OCV327720:OCY327720 OMR327720:OMU327720 OWN327720:OWQ327720 PGJ327720:PGM327720 PQF327720:PQI327720 QAB327720:QAE327720 QJX327720:QKA327720 QTT327720:QTW327720 RDP327720:RDS327720 RNL327720:RNO327720 RXH327720:RXK327720 SHD327720:SHG327720 SQZ327720:SRC327720 TAV327720:TAY327720 TKR327720:TKU327720 TUN327720:TUQ327720 UEJ327720:UEM327720 UOF327720:UOI327720 UYB327720:UYE327720 VHX327720:VIA327720 VRT327720:VRW327720 WBP327720:WBS327720 WLL327720:WLO327720 WVH327720:WVK327720 AT393256:AW393256 IV393256:IY393256 SR393256:SU393256 ACN393256:ACQ393256 AMJ393256:AMM393256 AWF393256:AWI393256 BGB393256:BGE393256 BPX393256:BQA393256 BZT393256:BZW393256 CJP393256:CJS393256 CTL393256:CTO393256 DDH393256:DDK393256 DND393256:DNG393256 DWZ393256:DXC393256 EGV393256:EGY393256 EQR393256:EQU393256 FAN393256:FAQ393256 FKJ393256:FKM393256 FUF393256:FUI393256 GEB393256:GEE393256 GNX393256:GOA393256 GXT393256:GXW393256 HHP393256:HHS393256 HRL393256:HRO393256 IBH393256:IBK393256 ILD393256:ILG393256 IUZ393256:IVC393256 JEV393256:JEY393256 JOR393256:JOU393256 JYN393256:JYQ393256 KIJ393256:KIM393256 KSF393256:KSI393256 LCB393256:LCE393256 LLX393256:LMA393256 LVT393256:LVW393256 MFP393256:MFS393256 MPL393256:MPO393256 MZH393256:MZK393256 NJD393256:NJG393256 NSZ393256:NTC393256 OCV393256:OCY393256 OMR393256:OMU393256 OWN393256:OWQ393256 PGJ393256:PGM393256 PQF393256:PQI393256 QAB393256:QAE393256 QJX393256:QKA393256 QTT393256:QTW393256 RDP393256:RDS393256 RNL393256:RNO393256 RXH393256:RXK393256 SHD393256:SHG393256 SQZ393256:SRC393256 TAV393256:TAY393256 TKR393256:TKU393256 TUN393256:TUQ393256 UEJ393256:UEM393256 UOF393256:UOI393256 UYB393256:UYE393256 VHX393256:VIA393256 VRT393256:VRW393256 WBP393256:WBS393256 WLL393256:WLO393256 WVH393256:WVK393256 AT458792:AW458792 IV458792:IY458792 SR458792:SU458792 ACN458792:ACQ458792 AMJ458792:AMM458792 AWF458792:AWI458792 BGB458792:BGE458792 BPX458792:BQA458792 BZT458792:BZW458792 CJP458792:CJS458792 CTL458792:CTO458792 DDH458792:DDK458792 DND458792:DNG458792 DWZ458792:DXC458792 EGV458792:EGY458792 EQR458792:EQU458792 FAN458792:FAQ458792 FKJ458792:FKM458792 FUF458792:FUI458792 GEB458792:GEE458792 GNX458792:GOA458792 GXT458792:GXW458792 HHP458792:HHS458792 HRL458792:HRO458792 IBH458792:IBK458792 ILD458792:ILG458792 IUZ458792:IVC458792 JEV458792:JEY458792 JOR458792:JOU458792 JYN458792:JYQ458792 KIJ458792:KIM458792 KSF458792:KSI458792 LCB458792:LCE458792 LLX458792:LMA458792 LVT458792:LVW458792 MFP458792:MFS458792 MPL458792:MPO458792 MZH458792:MZK458792 NJD458792:NJG458792 NSZ458792:NTC458792 OCV458792:OCY458792 OMR458792:OMU458792 OWN458792:OWQ458792 PGJ458792:PGM458792 PQF458792:PQI458792 QAB458792:QAE458792 QJX458792:QKA458792 QTT458792:QTW458792 RDP458792:RDS458792 RNL458792:RNO458792 RXH458792:RXK458792 SHD458792:SHG458792 SQZ458792:SRC458792 TAV458792:TAY458792 TKR458792:TKU458792 TUN458792:TUQ458792 UEJ458792:UEM458792 UOF458792:UOI458792 UYB458792:UYE458792 VHX458792:VIA458792 VRT458792:VRW458792 WBP458792:WBS458792 WLL458792:WLO458792 WVH458792:WVK458792 AT524328:AW524328 IV524328:IY524328 SR524328:SU524328 ACN524328:ACQ524328 AMJ524328:AMM524328 AWF524328:AWI524328 BGB524328:BGE524328 BPX524328:BQA524328 BZT524328:BZW524328 CJP524328:CJS524328 CTL524328:CTO524328 DDH524328:DDK524328 DND524328:DNG524328 DWZ524328:DXC524328 EGV524328:EGY524328 EQR524328:EQU524328 FAN524328:FAQ524328 FKJ524328:FKM524328 FUF524328:FUI524328 GEB524328:GEE524328 GNX524328:GOA524328 GXT524328:GXW524328 HHP524328:HHS524328 HRL524328:HRO524328 IBH524328:IBK524328 ILD524328:ILG524328 IUZ524328:IVC524328 JEV524328:JEY524328 JOR524328:JOU524328 JYN524328:JYQ524328 KIJ524328:KIM524328 KSF524328:KSI524328 LCB524328:LCE524328 LLX524328:LMA524328 LVT524328:LVW524328 MFP524328:MFS524328 MPL524328:MPO524328 MZH524328:MZK524328 NJD524328:NJG524328 NSZ524328:NTC524328 OCV524328:OCY524328 OMR524328:OMU524328 OWN524328:OWQ524328 PGJ524328:PGM524328 PQF524328:PQI524328 QAB524328:QAE524328 QJX524328:QKA524328 QTT524328:QTW524328 RDP524328:RDS524328 RNL524328:RNO524328 RXH524328:RXK524328 SHD524328:SHG524328 SQZ524328:SRC524328 TAV524328:TAY524328 TKR524328:TKU524328 TUN524328:TUQ524328 UEJ524328:UEM524328 UOF524328:UOI524328 UYB524328:UYE524328 VHX524328:VIA524328 VRT524328:VRW524328 WBP524328:WBS524328 WLL524328:WLO524328 WVH524328:WVK524328 AT589864:AW589864 IV589864:IY589864 SR589864:SU589864 ACN589864:ACQ589864 AMJ589864:AMM589864 AWF589864:AWI589864 BGB589864:BGE589864 BPX589864:BQA589864 BZT589864:BZW589864 CJP589864:CJS589864 CTL589864:CTO589864 DDH589864:DDK589864 DND589864:DNG589864 DWZ589864:DXC589864 EGV589864:EGY589864 EQR589864:EQU589864 FAN589864:FAQ589864 FKJ589864:FKM589864 FUF589864:FUI589864 GEB589864:GEE589864 GNX589864:GOA589864 GXT589864:GXW589864 HHP589864:HHS589864 HRL589864:HRO589864 IBH589864:IBK589864 ILD589864:ILG589864 IUZ589864:IVC589864 JEV589864:JEY589864 JOR589864:JOU589864 JYN589864:JYQ589864 KIJ589864:KIM589864 KSF589864:KSI589864 LCB589864:LCE589864 LLX589864:LMA589864 LVT589864:LVW589864 MFP589864:MFS589864 MPL589864:MPO589864 MZH589864:MZK589864 NJD589864:NJG589864 NSZ589864:NTC589864 OCV589864:OCY589864 OMR589864:OMU589864 OWN589864:OWQ589864 PGJ589864:PGM589864 PQF589864:PQI589864 QAB589864:QAE589864 QJX589864:QKA589864 QTT589864:QTW589864 RDP589864:RDS589864 RNL589864:RNO589864 RXH589864:RXK589864 SHD589864:SHG589864 SQZ589864:SRC589864 TAV589864:TAY589864 TKR589864:TKU589864 TUN589864:TUQ589864 UEJ589864:UEM589864 UOF589864:UOI589864 UYB589864:UYE589864 VHX589864:VIA589864 VRT589864:VRW589864 WBP589864:WBS589864 WLL589864:WLO589864 WVH589864:WVK589864 AT655400:AW655400 IV655400:IY655400 SR655400:SU655400 ACN655400:ACQ655400 AMJ655400:AMM655400 AWF655400:AWI655400 BGB655400:BGE655400 BPX655400:BQA655400 BZT655400:BZW655400 CJP655400:CJS655400 CTL655400:CTO655400 DDH655400:DDK655400 DND655400:DNG655400 DWZ655400:DXC655400 EGV655400:EGY655400 EQR655400:EQU655400 FAN655400:FAQ655400 FKJ655400:FKM655400 FUF655400:FUI655400 GEB655400:GEE655400 GNX655400:GOA655400 GXT655400:GXW655400 HHP655400:HHS655400 HRL655400:HRO655400 IBH655400:IBK655400 ILD655400:ILG655400 IUZ655400:IVC655400 JEV655400:JEY655400 JOR655400:JOU655400 JYN655400:JYQ655400 KIJ655400:KIM655400 KSF655400:KSI655400 LCB655400:LCE655400 LLX655400:LMA655400 LVT655400:LVW655400 MFP655400:MFS655400 MPL655400:MPO655400 MZH655400:MZK655400 NJD655400:NJG655400 NSZ655400:NTC655400 OCV655400:OCY655400 OMR655400:OMU655400 OWN655400:OWQ655400 PGJ655400:PGM655400 PQF655400:PQI655400 QAB655400:QAE655400 QJX655400:QKA655400 QTT655400:QTW655400 RDP655400:RDS655400 RNL655400:RNO655400 RXH655400:RXK655400 SHD655400:SHG655400 SQZ655400:SRC655400 TAV655400:TAY655400 TKR655400:TKU655400 TUN655400:TUQ655400 UEJ655400:UEM655400 UOF655400:UOI655400 UYB655400:UYE655400 VHX655400:VIA655400 VRT655400:VRW655400 WBP655400:WBS655400 WLL655400:WLO655400 WVH655400:WVK655400 AT720936:AW720936 IV720936:IY720936 SR720936:SU720936 ACN720936:ACQ720936 AMJ720936:AMM720936 AWF720936:AWI720936 BGB720936:BGE720936 BPX720936:BQA720936 BZT720936:BZW720936 CJP720936:CJS720936 CTL720936:CTO720936 DDH720936:DDK720936 DND720936:DNG720936 DWZ720936:DXC720936 EGV720936:EGY720936 EQR720936:EQU720936 FAN720936:FAQ720936 FKJ720936:FKM720936 FUF720936:FUI720936 GEB720936:GEE720936 GNX720936:GOA720936 GXT720936:GXW720936 HHP720936:HHS720936 HRL720936:HRO720936 IBH720936:IBK720936 ILD720936:ILG720936 IUZ720936:IVC720936 JEV720936:JEY720936 JOR720936:JOU720936 JYN720936:JYQ720936 KIJ720936:KIM720936 KSF720936:KSI720936 LCB720936:LCE720936 LLX720936:LMA720936 LVT720936:LVW720936 MFP720936:MFS720936 MPL720936:MPO720936 MZH720936:MZK720936 NJD720936:NJG720936 NSZ720936:NTC720936 OCV720936:OCY720936 OMR720936:OMU720936 OWN720936:OWQ720936 PGJ720936:PGM720936 PQF720936:PQI720936 QAB720936:QAE720936 QJX720936:QKA720936 QTT720936:QTW720936 RDP720936:RDS720936 RNL720936:RNO720936 RXH720936:RXK720936 SHD720936:SHG720936 SQZ720936:SRC720936 TAV720936:TAY720936 TKR720936:TKU720936 TUN720936:TUQ720936 UEJ720936:UEM720936 UOF720936:UOI720936 UYB720936:UYE720936 VHX720936:VIA720936 VRT720936:VRW720936 WBP720936:WBS720936 WLL720936:WLO720936 WVH720936:WVK720936 AT786472:AW786472 IV786472:IY786472 SR786472:SU786472 ACN786472:ACQ786472 AMJ786472:AMM786472 AWF786472:AWI786472 BGB786472:BGE786472 BPX786472:BQA786472 BZT786472:BZW786472 CJP786472:CJS786472 CTL786472:CTO786472 DDH786472:DDK786472 DND786472:DNG786472 DWZ786472:DXC786472 EGV786472:EGY786472 EQR786472:EQU786472 FAN786472:FAQ786472 FKJ786472:FKM786472 FUF786472:FUI786472 GEB786472:GEE786472 GNX786472:GOA786472 GXT786472:GXW786472 HHP786472:HHS786472 HRL786472:HRO786472 IBH786472:IBK786472 ILD786472:ILG786472 IUZ786472:IVC786472 JEV786472:JEY786472 JOR786472:JOU786472 JYN786472:JYQ786472 KIJ786472:KIM786472 KSF786472:KSI786472 LCB786472:LCE786472 LLX786472:LMA786472 LVT786472:LVW786472 MFP786472:MFS786472 MPL786472:MPO786472 MZH786472:MZK786472 NJD786472:NJG786472 NSZ786472:NTC786472 OCV786472:OCY786472 OMR786472:OMU786472 OWN786472:OWQ786472 PGJ786472:PGM786472 PQF786472:PQI786472 QAB786472:QAE786472 QJX786472:QKA786472 QTT786472:QTW786472 RDP786472:RDS786472 RNL786472:RNO786472 RXH786472:RXK786472 SHD786472:SHG786472 SQZ786472:SRC786472 TAV786472:TAY786472 TKR786472:TKU786472 TUN786472:TUQ786472 UEJ786472:UEM786472 UOF786472:UOI786472 UYB786472:UYE786472 VHX786472:VIA786472 VRT786472:VRW786472 WBP786472:WBS786472 WLL786472:WLO786472 WVH786472:WVK786472 AT852008:AW852008 IV852008:IY852008 SR852008:SU852008 ACN852008:ACQ852008 AMJ852008:AMM852008 AWF852008:AWI852008 BGB852008:BGE852008 BPX852008:BQA852008 BZT852008:BZW852008 CJP852008:CJS852008 CTL852008:CTO852008 DDH852008:DDK852008 DND852008:DNG852008 DWZ852008:DXC852008 EGV852008:EGY852008 EQR852008:EQU852008 FAN852008:FAQ852008 FKJ852008:FKM852008 FUF852008:FUI852008 GEB852008:GEE852008 GNX852008:GOA852008 GXT852008:GXW852008 HHP852008:HHS852008 HRL852008:HRO852008 IBH852008:IBK852008 ILD852008:ILG852008 IUZ852008:IVC852008 JEV852008:JEY852008 JOR852008:JOU852008 JYN852008:JYQ852008 KIJ852008:KIM852008 KSF852008:KSI852008 LCB852008:LCE852008 LLX852008:LMA852008 LVT852008:LVW852008 MFP852008:MFS852008 MPL852008:MPO852008 MZH852008:MZK852008 NJD852008:NJG852008 NSZ852008:NTC852008 OCV852008:OCY852008 OMR852008:OMU852008 OWN852008:OWQ852008 PGJ852008:PGM852008 PQF852008:PQI852008 QAB852008:QAE852008 QJX852008:QKA852008 QTT852008:QTW852008 RDP852008:RDS852008 RNL852008:RNO852008 RXH852008:RXK852008 SHD852008:SHG852008 SQZ852008:SRC852008 TAV852008:TAY852008 TKR852008:TKU852008 TUN852008:TUQ852008 UEJ852008:UEM852008 UOF852008:UOI852008 UYB852008:UYE852008 VHX852008:VIA852008 VRT852008:VRW852008 WBP852008:WBS852008 WLL852008:WLO852008 WVH852008:WVK852008 AT917544:AW917544 IV917544:IY917544 SR917544:SU917544 ACN917544:ACQ917544 AMJ917544:AMM917544 AWF917544:AWI917544 BGB917544:BGE917544 BPX917544:BQA917544 BZT917544:BZW917544 CJP917544:CJS917544 CTL917544:CTO917544 DDH917544:DDK917544 DND917544:DNG917544 DWZ917544:DXC917544 EGV917544:EGY917544 EQR917544:EQU917544 FAN917544:FAQ917544 FKJ917544:FKM917544 FUF917544:FUI917544 GEB917544:GEE917544 GNX917544:GOA917544 GXT917544:GXW917544 HHP917544:HHS917544 HRL917544:HRO917544 IBH917544:IBK917544 ILD917544:ILG917544 IUZ917544:IVC917544 JEV917544:JEY917544 JOR917544:JOU917544 JYN917544:JYQ917544 KIJ917544:KIM917544 KSF917544:KSI917544 LCB917544:LCE917544 LLX917544:LMA917544 LVT917544:LVW917544 MFP917544:MFS917544 MPL917544:MPO917544 MZH917544:MZK917544 NJD917544:NJG917544 NSZ917544:NTC917544 OCV917544:OCY917544 OMR917544:OMU917544 OWN917544:OWQ917544 PGJ917544:PGM917544 PQF917544:PQI917544 QAB917544:QAE917544 QJX917544:QKA917544 QTT917544:QTW917544 RDP917544:RDS917544 RNL917544:RNO917544 RXH917544:RXK917544 SHD917544:SHG917544 SQZ917544:SRC917544 TAV917544:TAY917544 TKR917544:TKU917544 TUN917544:TUQ917544 UEJ917544:UEM917544 UOF917544:UOI917544 UYB917544:UYE917544 VHX917544:VIA917544 VRT917544:VRW917544 WBP917544:WBS917544 WLL917544:WLO917544 WVH917544:WVK917544 AT983080:AW983080 IV983080:IY983080 SR983080:SU983080 ACN983080:ACQ983080 AMJ983080:AMM983080 AWF983080:AWI983080 BGB983080:BGE983080 BPX983080:BQA983080 BZT983080:BZW983080 CJP983080:CJS983080 CTL983080:CTO983080 DDH983080:DDK983080 DND983080:DNG983080 DWZ983080:DXC983080 EGV983080:EGY983080 EQR983080:EQU983080 FAN983080:FAQ983080 FKJ983080:FKM983080 FUF983080:FUI983080 GEB983080:GEE983080 GNX983080:GOA983080 GXT983080:GXW983080 HHP983080:HHS983080 HRL983080:HRO983080 IBH983080:IBK983080 ILD983080:ILG983080 IUZ983080:IVC983080 JEV983080:JEY983080 JOR983080:JOU983080 JYN983080:JYQ983080 KIJ983080:KIM983080 KSF983080:KSI983080 LCB983080:LCE983080 LLX983080:LMA983080 LVT983080:LVW983080 MFP983080:MFS983080 MPL983080:MPO983080 MZH983080:MZK983080 NJD983080:NJG983080 NSZ983080:NTC983080 OCV983080:OCY983080 OMR983080:OMU983080 OWN983080:OWQ983080 PGJ983080:PGM983080 PQF983080:PQI983080 QAB983080:QAE983080 QJX983080:QKA983080 QTT983080:QTW983080 RDP983080:RDS983080 RNL983080:RNO983080 RXH983080:RXK983080 SHD983080:SHG983080 SQZ983080:SRC983080 TAV983080:TAY983080 TKR983080:TKU983080 TUN983080:TUQ983080 UEJ983080:UEM983080 UOF983080:UOI983080 UYB983080:UYE983080 VHX983080:VIA983080 VRT983080:VRW983080 WBP983080:WBS983080 WLL983080:WLO983080 WVH983080:WVK983080 AO983079:AR983079 IQ983079:IT983079 SM983079:SP983079 ACI983079:ACL983079 AME983079:AMH983079 AWA983079:AWD983079 BFW983079:BFZ983079 BPS983079:BPV983079 BZO983079:BZR983079 CJK983079:CJN983079 CTG983079:CTJ983079 DDC983079:DDF983079 DMY983079:DNB983079 DWU983079:DWX983079 EGQ983079:EGT983079 EQM983079:EQP983079 FAI983079:FAL983079 FKE983079:FKH983079 FUA983079:FUD983079 GDW983079:GDZ983079 GNS983079:GNV983079 GXO983079:GXR983079 HHK983079:HHN983079 HRG983079:HRJ983079 IBC983079:IBF983079 IKY983079:ILB983079 IUU983079:IUX983079 JEQ983079:JET983079 JOM983079:JOP983079 JYI983079:JYL983079 KIE983079:KIH983079 KSA983079:KSD983079 LBW983079:LBZ983079 LLS983079:LLV983079 LVO983079:LVR983079 MFK983079:MFN983079 MPG983079:MPJ983079 MZC983079:MZF983079 NIY983079:NJB983079 NSU983079:NSX983079 OCQ983079:OCT983079 OMM983079:OMP983079 OWI983079:OWL983079 PGE983079:PGH983079 PQA983079:PQD983079 PZW983079:PZZ983079 QJS983079:QJV983079 QTO983079:QTR983079 RDK983079:RDN983079 RNG983079:RNJ983079 RXC983079:RXF983079 SGY983079:SHB983079 SQU983079:SQX983079 TAQ983079:TAT983079 TKM983079:TKP983079 TUI983079:TUL983079 UEE983079:UEH983079 UOA983079:UOD983079 UXW983079:UXZ983079 VHS983079:VHV983079 VRO983079:VRR983079 WBK983079:WBN983079 WLG983079:WLJ983079 WVC983079:WVF983079 AO65575:AR65575 IQ65575:IT65575 SM65575:SP65575 ACI65575:ACL65575 AME65575:AMH65575 AWA65575:AWD65575 BFW65575:BFZ65575 BPS65575:BPV65575 BZO65575:BZR65575 CJK65575:CJN65575 CTG65575:CTJ65575 DDC65575:DDF65575 DMY65575:DNB65575 DWU65575:DWX65575 EGQ65575:EGT65575 EQM65575:EQP65575 FAI65575:FAL65575 FKE65575:FKH65575 FUA65575:FUD65575 GDW65575:GDZ65575 GNS65575:GNV65575 GXO65575:GXR65575 HHK65575:HHN65575 HRG65575:HRJ65575 IBC65575:IBF65575 IKY65575:ILB65575 IUU65575:IUX65575 JEQ65575:JET65575 JOM65575:JOP65575 JYI65575:JYL65575 KIE65575:KIH65575 KSA65575:KSD65575 LBW65575:LBZ65575 LLS65575:LLV65575 LVO65575:LVR65575 MFK65575:MFN65575 MPG65575:MPJ65575 MZC65575:MZF65575 NIY65575:NJB65575 NSU65575:NSX65575 OCQ65575:OCT65575 OMM65575:OMP65575 OWI65575:OWL65575 PGE65575:PGH65575 PQA65575:PQD65575 PZW65575:PZZ65575 QJS65575:QJV65575 QTO65575:QTR65575 RDK65575:RDN65575 RNG65575:RNJ65575 RXC65575:RXF65575 SGY65575:SHB65575 SQU65575:SQX65575 TAQ65575:TAT65575 TKM65575:TKP65575 TUI65575:TUL65575 UEE65575:UEH65575 UOA65575:UOD65575 UXW65575:UXZ65575 VHS65575:VHV65575 VRO65575:VRR65575 WBK65575:WBN65575 WLG65575:WLJ65575 WVC65575:WVF65575 AO131111:AR131111 IQ131111:IT131111 SM131111:SP131111 ACI131111:ACL131111 AME131111:AMH131111 AWA131111:AWD131111 BFW131111:BFZ131111 BPS131111:BPV131111 BZO131111:BZR131111 CJK131111:CJN131111 CTG131111:CTJ131111 DDC131111:DDF131111 DMY131111:DNB131111 DWU131111:DWX131111 EGQ131111:EGT131111 EQM131111:EQP131111 FAI131111:FAL131111 FKE131111:FKH131111 FUA131111:FUD131111 GDW131111:GDZ131111 GNS131111:GNV131111 GXO131111:GXR131111 HHK131111:HHN131111 HRG131111:HRJ131111 IBC131111:IBF131111 IKY131111:ILB131111 IUU131111:IUX131111 JEQ131111:JET131111 JOM131111:JOP131111 JYI131111:JYL131111 KIE131111:KIH131111 KSA131111:KSD131111 LBW131111:LBZ131111 LLS131111:LLV131111 LVO131111:LVR131111 MFK131111:MFN131111 MPG131111:MPJ131111 MZC131111:MZF131111 NIY131111:NJB131111 NSU131111:NSX131111 OCQ131111:OCT131111 OMM131111:OMP131111 OWI131111:OWL131111 PGE131111:PGH131111 PQA131111:PQD131111 PZW131111:PZZ131111 QJS131111:QJV131111 QTO131111:QTR131111 RDK131111:RDN131111 RNG131111:RNJ131111 RXC131111:RXF131111 SGY131111:SHB131111 SQU131111:SQX131111 TAQ131111:TAT131111 TKM131111:TKP131111 TUI131111:TUL131111 UEE131111:UEH131111 UOA131111:UOD131111 UXW131111:UXZ131111 VHS131111:VHV131111 VRO131111:VRR131111 WBK131111:WBN131111 WLG131111:WLJ131111 WVC131111:WVF131111 AO196647:AR196647 IQ196647:IT196647 SM196647:SP196647 ACI196647:ACL196647 AME196647:AMH196647 AWA196647:AWD196647 BFW196647:BFZ196647 BPS196647:BPV196647 BZO196647:BZR196647 CJK196647:CJN196647 CTG196647:CTJ196647 DDC196647:DDF196647 DMY196647:DNB196647 DWU196647:DWX196647 EGQ196647:EGT196647 EQM196647:EQP196647 FAI196647:FAL196647 FKE196647:FKH196647 FUA196647:FUD196647 GDW196647:GDZ196647 GNS196647:GNV196647 GXO196647:GXR196647 HHK196647:HHN196647 HRG196647:HRJ196647 IBC196647:IBF196647 IKY196647:ILB196647 IUU196647:IUX196647 JEQ196647:JET196647 JOM196647:JOP196647 JYI196647:JYL196647 KIE196647:KIH196647 KSA196647:KSD196647 LBW196647:LBZ196647 LLS196647:LLV196647 LVO196647:LVR196647 MFK196647:MFN196647 MPG196647:MPJ196647 MZC196647:MZF196647 NIY196647:NJB196647 NSU196647:NSX196647 OCQ196647:OCT196647 OMM196647:OMP196647 OWI196647:OWL196647 PGE196647:PGH196647 PQA196647:PQD196647 PZW196647:PZZ196647 QJS196647:QJV196647 QTO196647:QTR196647 RDK196647:RDN196647 RNG196647:RNJ196647 RXC196647:RXF196647 SGY196647:SHB196647 SQU196647:SQX196647 TAQ196647:TAT196647 TKM196647:TKP196647 TUI196647:TUL196647 UEE196647:UEH196647 UOA196647:UOD196647 UXW196647:UXZ196647 VHS196647:VHV196647 VRO196647:VRR196647 WBK196647:WBN196647 WLG196647:WLJ196647 WVC196647:WVF196647 AO262183:AR262183 IQ262183:IT262183 SM262183:SP262183 ACI262183:ACL262183 AME262183:AMH262183 AWA262183:AWD262183 BFW262183:BFZ262183 BPS262183:BPV262183 BZO262183:BZR262183 CJK262183:CJN262183 CTG262183:CTJ262183 DDC262183:DDF262183 DMY262183:DNB262183 DWU262183:DWX262183 EGQ262183:EGT262183 EQM262183:EQP262183 FAI262183:FAL262183 FKE262183:FKH262183 FUA262183:FUD262183 GDW262183:GDZ262183 GNS262183:GNV262183 GXO262183:GXR262183 HHK262183:HHN262183 HRG262183:HRJ262183 IBC262183:IBF262183 IKY262183:ILB262183 IUU262183:IUX262183 JEQ262183:JET262183 JOM262183:JOP262183 JYI262183:JYL262183 KIE262183:KIH262183 KSA262183:KSD262183 LBW262183:LBZ262183 LLS262183:LLV262183 LVO262183:LVR262183 MFK262183:MFN262183 MPG262183:MPJ262183 MZC262183:MZF262183 NIY262183:NJB262183 NSU262183:NSX262183 OCQ262183:OCT262183 OMM262183:OMP262183 OWI262183:OWL262183 PGE262183:PGH262183 PQA262183:PQD262183 PZW262183:PZZ262183 QJS262183:QJV262183 QTO262183:QTR262183 RDK262183:RDN262183 RNG262183:RNJ262183 RXC262183:RXF262183 SGY262183:SHB262183 SQU262183:SQX262183 TAQ262183:TAT262183 TKM262183:TKP262183 TUI262183:TUL262183 UEE262183:UEH262183 UOA262183:UOD262183 UXW262183:UXZ262183 VHS262183:VHV262183 VRO262183:VRR262183 WBK262183:WBN262183 WLG262183:WLJ262183 WVC262183:WVF262183 AO327719:AR327719 IQ327719:IT327719 SM327719:SP327719 ACI327719:ACL327719 AME327719:AMH327719 AWA327719:AWD327719 BFW327719:BFZ327719 BPS327719:BPV327719 BZO327719:BZR327719 CJK327719:CJN327719 CTG327719:CTJ327719 DDC327719:DDF327719 DMY327719:DNB327719 DWU327719:DWX327719 EGQ327719:EGT327719 EQM327719:EQP327719 FAI327719:FAL327719 FKE327719:FKH327719 FUA327719:FUD327719 GDW327719:GDZ327719 GNS327719:GNV327719 GXO327719:GXR327719 HHK327719:HHN327719 HRG327719:HRJ327719 IBC327719:IBF327719 IKY327719:ILB327719 IUU327719:IUX327719 JEQ327719:JET327719 JOM327719:JOP327719 JYI327719:JYL327719 KIE327719:KIH327719 KSA327719:KSD327719 LBW327719:LBZ327719 LLS327719:LLV327719 LVO327719:LVR327719 MFK327719:MFN327719 MPG327719:MPJ327719 MZC327719:MZF327719 NIY327719:NJB327719 NSU327719:NSX327719 OCQ327719:OCT327719 OMM327719:OMP327719 OWI327719:OWL327719 PGE327719:PGH327719 PQA327719:PQD327719 PZW327719:PZZ327719 QJS327719:QJV327719 QTO327719:QTR327719 RDK327719:RDN327719 RNG327719:RNJ327719 RXC327719:RXF327719 SGY327719:SHB327719 SQU327719:SQX327719 TAQ327719:TAT327719 TKM327719:TKP327719 TUI327719:TUL327719 UEE327719:UEH327719 UOA327719:UOD327719 UXW327719:UXZ327719 VHS327719:VHV327719 VRO327719:VRR327719 WBK327719:WBN327719 WLG327719:WLJ327719 WVC327719:WVF327719 AO393255:AR393255 IQ393255:IT393255 SM393255:SP393255 ACI393255:ACL393255 AME393255:AMH393255 AWA393255:AWD393255 BFW393255:BFZ393255 BPS393255:BPV393255 BZO393255:BZR393255 CJK393255:CJN393255 CTG393255:CTJ393255 DDC393255:DDF393255 DMY393255:DNB393255 DWU393255:DWX393255 EGQ393255:EGT393255 EQM393255:EQP393255 FAI393255:FAL393255 FKE393255:FKH393255 FUA393255:FUD393255 GDW393255:GDZ393255 GNS393255:GNV393255 GXO393255:GXR393255 HHK393255:HHN393255 HRG393255:HRJ393255 IBC393255:IBF393255 IKY393255:ILB393255 IUU393255:IUX393255 JEQ393255:JET393255 JOM393255:JOP393255 JYI393255:JYL393255 KIE393255:KIH393255 KSA393255:KSD393255 LBW393255:LBZ393255 LLS393255:LLV393255 LVO393255:LVR393255 MFK393255:MFN393255 MPG393255:MPJ393255 MZC393255:MZF393255 NIY393255:NJB393255 NSU393255:NSX393255 OCQ393255:OCT393255 OMM393255:OMP393255 OWI393255:OWL393255 PGE393255:PGH393255 PQA393255:PQD393255 PZW393255:PZZ393255 QJS393255:QJV393255 QTO393255:QTR393255 RDK393255:RDN393255 RNG393255:RNJ393255 RXC393255:RXF393255 SGY393255:SHB393255 SQU393255:SQX393255 TAQ393255:TAT393255 TKM393255:TKP393255 TUI393255:TUL393255 UEE393255:UEH393255 UOA393255:UOD393255 UXW393255:UXZ393255 VHS393255:VHV393255 VRO393255:VRR393255 WBK393255:WBN393255 WLG393255:WLJ393255 WVC393255:WVF393255 AO458791:AR458791 IQ458791:IT458791 SM458791:SP458791 ACI458791:ACL458791 AME458791:AMH458791 AWA458791:AWD458791 BFW458791:BFZ458791 BPS458791:BPV458791 BZO458791:BZR458791 CJK458791:CJN458791 CTG458791:CTJ458791 DDC458791:DDF458791 DMY458791:DNB458791 DWU458791:DWX458791 EGQ458791:EGT458791 EQM458791:EQP458791 FAI458791:FAL458791 FKE458791:FKH458791 FUA458791:FUD458791 GDW458791:GDZ458791 GNS458791:GNV458791 GXO458791:GXR458791 HHK458791:HHN458791 HRG458791:HRJ458791 IBC458791:IBF458791 IKY458791:ILB458791 IUU458791:IUX458791 JEQ458791:JET458791 JOM458791:JOP458791 JYI458791:JYL458791 KIE458791:KIH458791 KSA458791:KSD458791 LBW458791:LBZ458791 LLS458791:LLV458791 LVO458791:LVR458791 MFK458791:MFN458791 MPG458791:MPJ458791 MZC458791:MZF458791 NIY458791:NJB458791 NSU458791:NSX458791 OCQ458791:OCT458791 OMM458791:OMP458791 OWI458791:OWL458791 PGE458791:PGH458791 PQA458791:PQD458791 PZW458791:PZZ458791 QJS458791:QJV458791 QTO458791:QTR458791 RDK458791:RDN458791 RNG458791:RNJ458791 RXC458791:RXF458791 SGY458791:SHB458791 SQU458791:SQX458791 TAQ458791:TAT458791 TKM458791:TKP458791 TUI458791:TUL458791 UEE458791:UEH458791 UOA458791:UOD458791 UXW458791:UXZ458791 VHS458791:VHV458791 VRO458791:VRR458791 WBK458791:WBN458791 WLG458791:WLJ458791 WVC458791:WVF458791 AO524327:AR524327 IQ524327:IT524327 SM524327:SP524327 ACI524327:ACL524327 AME524327:AMH524327 AWA524327:AWD524327 BFW524327:BFZ524327 BPS524327:BPV524327 BZO524327:BZR524327 CJK524327:CJN524327 CTG524327:CTJ524327 DDC524327:DDF524327 DMY524327:DNB524327 DWU524327:DWX524327 EGQ524327:EGT524327 EQM524327:EQP524327 FAI524327:FAL524327 FKE524327:FKH524327 FUA524327:FUD524327 GDW524327:GDZ524327 GNS524327:GNV524327 GXO524327:GXR524327 HHK524327:HHN524327 HRG524327:HRJ524327 IBC524327:IBF524327 IKY524327:ILB524327 IUU524327:IUX524327 JEQ524327:JET524327 JOM524327:JOP524327 JYI524327:JYL524327 KIE524327:KIH524327 KSA524327:KSD524327 LBW524327:LBZ524327 LLS524327:LLV524327 LVO524327:LVR524327 MFK524327:MFN524327 MPG524327:MPJ524327 MZC524327:MZF524327 NIY524327:NJB524327 NSU524327:NSX524327 OCQ524327:OCT524327 OMM524327:OMP524327 OWI524327:OWL524327 PGE524327:PGH524327 PQA524327:PQD524327 PZW524327:PZZ524327 QJS524327:QJV524327 QTO524327:QTR524327 RDK524327:RDN524327 RNG524327:RNJ524327 RXC524327:RXF524327 SGY524327:SHB524327 SQU524327:SQX524327 TAQ524327:TAT524327 TKM524327:TKP524327 TUI524327:TUL524327 UEE524327:UEH524327 UOA524327:UOD524327 UXW524327:UXZ524327 VHS524327:VHV524327 VRO524327:VRR524327 WBK524327:WBN524327 WLG524327:WLJ524327 WVC524327:WVF524327 AO589863:AR589863 IQ589863:IT589863 SM589863:SP589863 ACI589863:ACL589863 AME589863:AMH589863 AWA589863:AWD589863 BFW589863:BFZ589863 BPS589863:BPV589863 BZO589863:BZR589863 CJK589863:CJN589863 CTG589863:CTJ589863 DDC589863:DDF589863 DMY589863:DNB589863 DWU589863:DWX589863 EGQ589863:EGT589863 EQM589863:EQP589863 FAI589863:FAL589863 FKE589863:FKH589863 FUA589863:FUD589863 GDW589863:GDZ589863 GNS589863:GNV589863 GXO589863:GXR589863 HHK589863:HHN589863 HRG589863:HRJ589863 IBC589863:IBF589863 IKY589863:ILB589863 IUU589863:IUX589863 JEQ589863:JET589863 JOM589863:JOP589863 JYI589863:JYL589863 KIE589863:KIH589863 KSA589863:KSD589863 LBW589863:LBZ589863 LLS589863:LLV589863 LVO589863:LVR589863 MFK589863:MFN589863 MPG589863:MPJ589863 MZC589863:MZF589863 NIY589863:NJB589863 NSU589863:NSX589863 OCQ589863:OCT589863 OMM589863:OMP589863 OWI589863:OWL589863 PGE589863:PGH589863 PQA589863:PQD589863 PZW589863:PZZ589863 QJS589863:QJV589863 QTO589863:QTR589863 RDK589863:RDN589863 RNG589863:RNJ589863 RXC589863:RXF589863 SGY589863:SHB589863 SQU589863:SQX589863 TAQ589863:TAT589863 TKM589863:TKP589863 TUI589863:TUL589863 UEE589863:UEH589863 UOA589863:UOD589863 UXW589863:UXZ589863 VHS589863:VHV589863 VRO589863:VRR589863 WBK589863:WBN589863 WLG589863:WLJ589863 WVC589863:WVF589863 AO655399:AR655399 IQ655399:IT655399 SM655399:SP655399 ACI655399:ACL655399 AME655399:AMH655399 AWA655399:AWD655399 BFW655399:BFZ655399 BPS655399:BPV655399 BZO655399:BZR655399 CJK655399:CJN655399 CTG655399:CTJ655399 DDC655399:DDF655399 DMY655399:DNB655399 DWU655399:DWX655399 EGQ655399:EGT655399 EQM655399:EQP655399 FAI655399:FAL655399 FKE655399:FKH655399 FUA655399:FUD655399 GDW655399:GDZ655399 GNS655399:GNV655399 GXO655399:GXR655399 HHK655399:HHN655399 HRG655399:HRJ655399 IBC655399:IBF655399 IKY655399:ILB655399 IUU655399:IUX655399 JEQ655399:JET655399 JOM655399:JOP655399 JYI655399:JYL655399 KIE655399:KIH655399 KSA655399:KSD655399 LBW655399:LBZ655399 LLS655399:LLV655399 LVO655399:LVR655399 MFK655399:MFN655399 MPG655399:MPJ655399 MZC655399:MZF655399 NIY655399:NJB655399 NSU655399:NSX655399 OCQ655399:OCT655399 OMM655399:OMP655399 OWI655399:OWL655399 PGE655399:PGH655399 PQA655399:PQD655399 PZW655399:PZZ655399 QJS655399:QJV655399 QTO655399:QTR655399 RDK655399:RDN655399 RNG655399:RNJ655399 RXC655399:RXF655399 SGY655399:SHB655399 SQU655399:SQX655399 TAQ655399:TAT655399 TKM655399:TKP655399 TUI655399:TUL655399 UEE655399:UEH655399 UOA655399:UOD655399 UXW655399:UXZ655399 VHS655399:VHV655399 VRO655399:VRR655399 WBK655399:WBN655399 WLG655399:WLJ655399 WVC655399:WVF655399 AO720935:AR720935 IQ720935:IT720935 SM720935:SP720935 ACI720935:ACL720935 AME720935:AMH720935 AWA720935:AWD720935 BFW720935:BFZ720935 BPS720935:BPV720935 BZO720935:BZR720935 CJK720935:CJN720935 CTG720935:CTJ720935 DDC720935:DDF720935 DMY720935:DNB720935 DWU720935:DWX720935 EGQ720935:EGT720935 EQM720935:EQP720935 FAI720935:FAL720935 FKE720935:FKH720935 FUA720935:FUD720935 GDW720935:GDZ720935 GNS720935:GNV720935 GXO720935:GXR720935 HHK720935:HHN720935 HRG720935:HRJ720935 IBC720935:IBF720935 IKY720935:ILB720935 IUU720935:IUX720935 JEQ720935:JET720935 JOM720935:JOP720935 JYI720935:JYL720935 KIE720935:KIH720935 KSA720935:KSD720935 LBW720935:LBZ720935 LLS720935:LLV720935 LVO720935:LVR720935 MFK720935:MFN720935 MPG720935:MPJ720935 MZC720935:MZF720935 NIY720935:NJB720935 NSU720935:NSX720935 OCQ720935:OCT720935 OMM720935:OMP720935 OWI720935:OWL720935 PGE720935:PGH720935 PQA720935:PQD720935 PZW720935:PZZ720935 QJS720935:QJV720935 QTO720935:QTR720935 RDK720935:RDN720935 RNG720935:RNJ720935 RXC720935:RXF720935 SGY720935:SHB720935 SQU720935:SQX720935 TAQ720935:TAT720935 TKM720935:TKP720935 TUI720935:TUL720935 UEE720935:UEH720935 UOA720935:UOD720935 UXW720935:UXZ720935 VHS720935:VHV720935 VRO720935:VRR720935 WBK720935:WBN720935 WLG720935:WLJ720935 WVC720935:WVF720935 AO786471:AR786471 IQ786471:IT786471 SM786471:SP786471 ACI786471:ACL786471 AME786471:AMH786471 AWA786471:AWD786471 BFW786471:BFZ786471 BPS786471:BPV786471 BZO786471:BZR786471 CJK786471:CJN786471 CTG786471:CTJ786471 DDC786471:DDF786471 DMY786471:DNB786471 DWU786471:DWX786471 EGQ786471:EGT786471 EQM786471:EQP786471 FAI786471:FAL786471 FKE786471:FKH786471 FUA786471:FUD786471 GDW786471:GDZ786471 GNS786471:GNV786471 GXO786471:GXR786471 HHK786471:HHN786471 HRG786471:HRJ786471 IBC786471:IBF786471 IKY786471:ILB786471 IUU786471:IUX786471 JEQ786471:JET786471 JOM786471:JOP786471 JYI786471:JYL786471 KIE786471:KIH786471 KSA786471:KSD786471 LBW786471:LBZ786471 LLS786471:LLV786471 LVO786471:LVR786471 MFK786471:MFN786471 MPG786471:MPJ786471 MZC786471:MZF786471 NIY786471:NJB786471 NSU786471:NSX786471 OCQ786471:OCT786471 OMM786471:OMP786471 OWI786471:OWL786471 PGE786471:PGH786471 PQA786471:PQD786471 PZW786471:PZZ786471 QJS786471:QJV786471 QTO786471:QTR786471 RDK786471:RDN786471 RNG786471:RNJ786471 RXC786471:RXF786471 SGY786471:SHB786471 SQU786471:SQX786471 TAQ786471:TAT786471 TKM786471:TKP786471 TUI786471:TUL786471 UEE786471:UEH786471 UOA786471:UOD786471 UXW786471:UXZ786471 VHS786471:VHV786471 VRO786471:VRR786471 WBK786471:WBN786471 WLG786471:WLJ786471 WVC786471:WVF786471 AO852007:AR852007 IQ852007:IT852007 SM852007:SP852007 ACI852007:ACL852007 AME852007:AMH852007 AWA852007:AWD852007 BFW852007:BFZ852007 BPS852007:BPV852007 BZO852007:BZR852007 CJK852007:CJN852007 CTG852007:CTJ852007 DDC852007:DDF852007 DMY852007:DNB852007 DWU852007:DWX852007 EGQ852007:EGT852007 EQM852007:EQP852007 FAI852007:FAL852007 FKE852007:FKH852007 FUA852007:FUD852007 GDW852007:GDZ852007 GNS852007:GNV852007 GXO852007:GXR852007 HHK852007:HHN852007 HRG852007:HRJ852007 IBC852007:IBF852007 IKY852007:ILB852007 IUU852007:IUX852007 JEQ852007:JET852007 JOM852007:JOP852007 JYI852007:JYL852007 KIE852007:KIH852007 KSA852007:KSD852007 LBW852007:LBZ852007 LLS852007:LLV852007 LVO852007:LVR852007 MFK852007:MFN852007 MPG852007:MPJ852007 MZC852007:MZF852007 NIY852007:NJB852007 NSU852007:NSX852007 OCQ852007:OCT852007 OMM852007:OMP852007 OWI852007:OWL852007 PGE852007:PGH852007 PQA852007:PQD852007 PZW852007:PZZ852007 QJS852007:QJV852007 QTO852007:QTR852007 RDK852007:RDN852007 RNG852007:RNJ852007 RXC852007:RXF852007 SGY852007:SHB852007 SQU852007:SQX852007 TAQ852007:TAT852007 TKM852007:TKP852007 TUI852007:TUL852007 UEE852007:UEH852007 UOA852007:UOD852007 UXW852007:UXZ852007 VHS852007:VHV852007 VRO852007:VRR852007 WBK852007:WBN852007 WLG852007:WLJ852007 WVC852007:WVF852007 AO917543:AR917543 IQ917543:IT917543 SM917543:SP917543 ACI917543:ACL917543 AME917543:AMH917543 AWA917543:AWD917543 BFW917543:BFZ917543 BPS917543:BPV917543 BZO917543:BZR917543 CJK917543:CJN917543 CTG917543:CTJ917543 DDC917543:DDF917543 DMY917543:DNB917543 DWU917543:DWX917543 EGQ917543:EGT917543 EQM917543:EQP917543 FAI917543:FAL917543 FKE917543:FKH917543 FUA917543:FUD917543 GDW917543:GDZ917543 GNS917543:GNV917543 GXO917543:GXR917543 HHK917543:HHN917543 HRG917543:HRJ917543 IBC917543:IBF917543 IKY917543:ILB917543 IUU917543:IUX917543 JEQ917543:JET917543 JOM917543:JOP917543 JYI917543:JYL917543 KIE917543:KIH917543 KSA917543:KSD917543 LBW917543:LBZ917543 LLS917543:LLV917543 LVO917543:LVR917543 MFK917543:MFN917543 MPG917543:MPJ917543 MZC917543:MZF917543 NIY917543:NJB917543 NSU917543:NSX917543 OCQ917543:OCT917543 OMM917543:OMP917543 OWI917543:OWL917543 PGE917543:PGH917543 PQA917543:PQD917543 PZW917543:PZZ917543 QJS917543:QJV917543 QTO917543:QTR917543 RDK917543:RDN917543 RNG917543:RNJ917543 RXC917543:RXF917543 SGY917543:SHB917543 SQU917543:SQX917543 TAQ917543:TAT917543 TKM917543:TKP917543 TUI917543:TUL917543 UEE917543:UEH917543 UOA917543:UOD917543 UXW917543:UXZ917543 VHS917543:VHV917543 VRO917543:VRR917543 WBK917543:WBN917543 WLG917543:WLJ917543 WVC917543:WVF917543" xr:uid="{87090E45-91C1-418E-8188-C4A72504E6B6}">
      <formula1>"○, ○（オンライン処理設計書なし）"</formula1>
    </dataValidation>
    <dataValidation type="list" allowBlank="1" showInputMessage="1" showErrorMessage="1" sqref="AU46:AX49 IW46:IZ49 SS46:SV49 ACO46:ACR49 AMK46:AMN49 AWG46:AWJ49 BGC46:BGF49 BPY46:BQB49 BZU46:BZX49 CJQ46:CJT49 CTM46:CTP49 DDI46:DDL49 DNE46:DNH49 DXA46:DXD49 EGW46:EGZ49 EQS46:EQV49 FAO46:FAR49 FKK46:FKN49 FUG46:FUJ49 GEC46:GEF49 GNY46:GOB49 GXU46:GXX49 HHQ46:HHT49 HRM46:HRP49 IBI46:IBL49 ILE46:ILH49 IVA46:IVD49 JEW46:JEZ49 JOS46:JOV49 JYO46:JYR49 KIK46:KIN49 KSG46:KSJ49 LCC46:LCF49 LLY46:LMB49 LVU46:LVX49 MFQ46:MFT49 MPM46:MPP49 MZI46:MZL49 NJE46:NJH49 NTA46:NTD49 OCW46:OCZ49 OMS46:OMV49 OWO46:OWR49 PGK46:PGN49 PQG46:PQJ49 QAC46:QAF49 QJY46:QKB49 QTU46:QTX49 RDQ46:RDT49 RNM46:RNP49 RXI46:RXL49 SHE46:SHH49 SRA46:SRD49 TAW46:TAZ49 TKS46:TKV49 TUO46:TUR49 UEK46:UEN49 UOG46:UOJ49 UYC46:UYF49 VHY46:VIB49 VRU46:VRX49 WBQ46:WBT49 WLM46:WLP49 WVI46:WVL49 AU65582:AX65585 IW65582:IZ65585 SS65582:SV65585 ACO65582:ACR65585 AMK65582:AMN65585 AWG65582:AWJ65585 BGC65582:BGF65585 BPY65582:BQB65585 BZU65582:BZX65585 CJQ65582:CJT65585 CTM65582:CTP65585 DDI65582:DDL65585 DNE65582:DNH65585 DXA65582:DXD65585 EGW65582:EGZ65585 EQS65582:EQV65585 FAO65582:FAR65585 FKK65582:FKN65585 FUG65582:FUJ65585 GEC65582:GEF65585 GNY65582:GOB65585 GXU65582:GXX65585 HHQ65582:HHT65585 HRM65582:HRP65585 IBI65582:IBL65585 ILE65582:ILH65585 IVA65582:IVD65585 JEW65582:JEZ65585 JOS65582:JOV65585 JYO65582:JYR65585 KIK65582:KIN65585 KSG65582:KSJ65585 LCC65582:LCF65585 LLY65582:LMB65585 LVU65582:LVX65585 MFQ65582:MFT65585 MPM65582:MPP65585 MZI65582:MZL65585 NJE65582:NJH65585 NTA65582:NTD65585 OCW65582:OCZ65585 OMS65582:OMV65585 OWO65582:OWR65585 PGK65582:PGN65585 PQG65582:PQJ65585 QAC65582:QAF65585 QJY65582:QKB65585 QTU65582:QTX65585 RDQ65582:RDT65585 RNM65582:RNP65585 RXI65582:RXL65585 SHE65582:SHH65585 SRA65582:SRD65585 TAW65582:TAZ65585 TKS65582:TKV65585 TUO65582:TUR65585 UEK65582:UEN65585 UOG65582:UOJ65585 UYC65582:UYF65585 VHY65582:VIB65585 VRU65582:VRX65585 WBQ65582:WBT65585 WLM65582:WLP65585 WVI65582:WVL65585 AU131118:AX131121 IW131118:IZ131121 SS131118:SV131121 ACO131118:ACR131121 AMK131118:AMN131121 AWG131118:AWJ131121 BGC131118:BGF131121 BPY131118:BQB131121 BZU131118:BZX131121 CJQ131118:CJT131121 CTM131118:CTP131121 DDI131118:DDL131121 DNE131118:DNH131121 DXA131118:DXD131121 EGW131118:EGZ131121 EQS131118:EQV131121 FAO131118:FAR131121 FKK131118:FKN131121 FUG131118:FUJ131121 GEC131118:GEF131121 GNY131118:GOB131121 GXU131118:GXX131121 HHQ131118:HHT131121 HRM131118:HRP131121 IBI131118:IBL131121 ILE131118:ILH131121 IVA131118:IVD131121 JEW131118:JEZ131121 JOS131118:JOV131121 JYO131118:JYR131121 KIK131118:KIN131121 KSG131118:KSJ131121 LCC131118:LCF131121 LLY131118:LMB131121 LVU131118:LVX131121 MFQ131118:MFT131121 MPM131118:MPP131121 MZI131118:MZL131121 NJE131118:NJH131121 NTA131118:NTD131121 OCW131118:OCZ131121 OMS131118:OMV131121 OWO131118:OWR131121 PGK131118:PGN131121 PQG131118:PQJ131121 QAC131118:QAF131121 QJY131118:QKB131121 QTU131118:QTX131121 RDQ131118:RDT131121 RNM131118:RNP131121 RXI131118:RXL131121 SHE131118:SHH131121 SRA131118:SRD131121 TAW131118:TAZ131121 TKS131118:TKV131121 TUO131118:TUR131121 UEK131118:UEN131121 UOG131118:UOJ131121 UYC131118:UYF131121 VHY131118:VIB131121 VRU131118:VRX131121 WBQ131118:WBT131121 WLM131118:WLP131121 WVI131118:WVL131121 AU196654:AX196657 IW196654:IZ196657 SS196654:SV196657 ACO196654:ACR196657 AMK196654:AMN196657 AWG196654:AWJ196657 BGC196654:BGF196657 BPY196654:BQB196657 BZU196654:BZX196657 CJQ196654:CJT196657 CTM196654:CTP196657 DDI196654:DDL196657 DNE196654:DNH196657 DXA196654:DXD196657 EGW196654:EGZ196657 EQS196654:EQV196657 FAO196654:FAR196657 FKK196654:FKN196657 FUG196654:FUJ196657 GEC196654:GEF196657 GNY196654:GOB196657 GXU196654:GXX196657 HHQ196654:HHT196657 HRM196654:HRP196657 IBI196654:IBL196657 ILE196654:ILH196657 IVA196654:IVD196657 JEW196654:JEZ196657 JOS196654:JOV196657 JYO196654:JYR196657 KIK196654:KIN196657 KSG196654:KSJ196657 LCC196654:LCF196657 LLY196654:LMB196657 LVU196654:LVX196657 MFQ196654:MFT196657 MPM196654:MPP196657 MZI196654:MZL196657 NJE196654:NJH196657 NTA196654:NTD196657 OCW196654:OCZ196657 OMS196654:OMV196657 OWO196654:OWR196657 PGK196654:PGN196657 PQG196654:PQJ196657 QAC196654:QAF196657 QJY196654:QKB196657 QTU196654:QTX196657 RDQ196654:RDT196657 RNM196654:RNP196657 RXI196654:RXL196657 SHE196654:SHH196657 SRA196654:SRD196657 TAW196654:TAZ196657 TKS196654:TKV196657 TUO196654:TUR196657 UEK196654:UEN196657 UOG196654:UOJ196657 UYC196654:UYF196657 VHY196654:VIB196657 VRU196654:VRX196657 WBQ196654:WBT196657 WLM196654:WLP196657 WVI196654:WVL196657 AU262190:AX262193 IW262190:IZ262193 SS262190:SV262193 ACO262190:ACR262193 AMK262190:AMN262193 AWG262190:AWJ262193 BGC262190:BGF262193 BPY262190:BQB262193 BZU262190:BZX262193 CJQ262190:CJT262193 CTM262190:CTP262193 DDI262190:DDL262193 DNE262190:DNH262193 DXA262190:DXD262193 EGW262190:EGZ262193 EQS262190:EQV262193 FAO262190:FAR262193 FKK262190:FKN262193 FUG262190:FUJ262193 GEC262190:GEF262193 GNY262190:GOB262193 GXU262190:GXX262193 HHQ262190:HHT262193 HRM262190:HRP262193 IBI262190:IBL262193 ILE262190:ILH262193 IVA262190:IVD262193 JEW262190:JEZ262193 JOS262190:JOV262193 JYO262190:JYR262193 KIK262190:KIN262193 KSG262190:KSJ262193 LCC262190:LCF262193 LLY262190:LMB262193 LVU262190:LVX262193 MFQ262190:MFT262193 MPM262190:MPP262193 MZI262190:MZL262193 NJE262190:NJH262193 NTA262190:NTD262193 OCW262190:OCZ262193 OMS262190:OMV262193 OWO262190:OWR262193 PGK262190:PGN262193 PQG262190:PQJ262193 QAC262190:QAF262193 QJY262190:QKB262193 QTU262190:QTX262193 RDQ262190:RDT262193 RNM262190:RNP262193 RXI262190:RXL262193 SHE262190:SHH262193 SRA262190:SRD262193 TAW262190:TAZ262193 TKS262190:TKV262193 TUO262190:TUR262193 UEK262190:UEN262193 UOG262190:UOJ262193 UYC262190:UYF262193 VHY262190:VIB262193 VRU262190:VRX262193 WBQ262190:WBT262193 WLM262190:WLP262193 WVI262190:WVL262193 AU327726:AX327729 IW327726:IZ327729 SS327726:SV327729 ACO327726:ACR327729 AMK327726:AMN327729 AWG327726:AWJ327729 BGC327726:BGF327729 BPY327726:BQB327729 BZU327726:BZX327729 CJQ327726:CJT327729 CTM327726:CTP327729 DDI327726:DDL327729 DNE327726:DNH327729 DXA327726:DXD327729 EGW327726:EGZ327729 EQS327726:EQV327729 FAO327726:FAR327729 FKK327726:FKN327729 FUG327726:FUJ327729 GEC327726:GEF327729 GNY327726:GOB327729 GXU327726:GXX327729 HHQ327726:HHT327729 HRM327726:HRP327729 IBI327726:IBL327729 ILE327726:ILH327729 IVA327726:IVD327729 JEW327726:JEZ327729 JOS327726:JOV327729 JYO327726:JYR327729 KIK327726:KIN327729 KSG327726:KSJ327729 LCC327726:LCF327729 LLY327726:LMB327729 LVU327726:LVX327729 MFQ327726:MFT327729 MPM327726:MPP327729 MZI327726:MZL327729 NJE327726:NJH327729 NTA327726:NTD327729 OCW327726:OCZ327729 OMS327726:OMV327729 OWO327726:OWR327729 PGK327726:PGN327729 PQG327726:PQJ327729 QAC327726:QAF327729 QJY327726:QKB327729 QTU327726:QTX327729 RDQ327726:RDT327729 RNM327726:RNP327729 RXI327726:RXL327729 SHE327726:SHH327729 SRA327726:SRD327729 TAW327726:TAZ327729 TKS327726:TKV327729 TUO327726:TUR327729 UEK327726:UEN327729 UOG327726:UOJ327729 UYC327726:UYF327729 VHY327726:VIB327729 VRU327726:VRX327729 WBQ327726:WBT327729 WLM327726:WLP327729 WVI327726:WVL327729 AU393262:AX393265 IW393262:IZ393265 SS393262:SV393265 ACO393262:ACR393265 AMK393262:AMN393265 AWG393262:AWJ393265 BGC393262:BGF393265 BPY393262:BQB393265 BZU393262:BZX393265 CJQ393262:CJT393265 CTM393262:CTP393265 DDI393262:DDL393265 DNE393262:DNH393265 DXA393262:DXD393265 EGW393262:EGZ393265 EQS393262:EQV393265 FAO393262:FAR393265 FKK393262:FKN393265 FUG393262:FUJ393265 GEC393262:GEF393265 GNY393262:GOB393265 GXU393262:GXX393265 HHQ393262:HHT393265 HRM393262:HRP393265 IBI393262:IBL393265 ILE393262:ILH393265 IVA393262:IVD393265 JEW393262:JEZ393265 JOS393262:JOV393265 JYO393262:JYR393265 KIK393262:KIN393265 KSG393262:KSJ393265 LCC393262:LCF393265 LLY393262:LMB393265 LVU393262:LVX393265 MFQ393262:MFT393265 MPM393262:MPP393265 MZI393262:MZL393265 NJE393262:NJH393265 NTA393262:NTD393265 OCW393262:OCZ393265 OMS393262:OMV393265 OWO393262:OWR393265 PGK393262:PGN393265 PQG393262:PQJ393265 QAC393262:QAF393265 QJY393262:QKB393265 QTU393262:QTX393265 RDQ393262:RDT393265 RNM393262:RNP393265 RXI393262:RXL393265 SHE393262:SHH393265 SRA393262:SRD393265 TAW393262:TAZ393265 TKS393262:TKV393265 TUO393262:TUR393265 UEK393262:UEN393265 UOG393262:UOJ393265 UYC393262:UYF393265 VHY393262:VIB393265 VRU393262:VRX393265 WBQ393262:WBT393265 WLM393262:WLP393265 WVI393262:WVL393265 AU458798:AX458801 IW458798:IZ458801 SS458798:SV458801 ACO458798:ACR458801 AMK458798:AMN458801 AWG458798:AWJ458801 BGC458798:BGF458801 BPY458798:BQB458801 BZU458798:BZX458801 CJQ458798:CJT458801 CTM458798:CTP458801 DDI458798:DDL458801 DNE458798:DNH458801 DXA458798:DXD458801 EGW458798:EGZ458801 EQS458798:EQV458801 FAO458798:FAR458801 FKK458798:FKN458801 FUG458798:FUJ458801 GEC458798:GEF458801 GNY458798:GOB458801 GXU458798:GXX458801 HHQ458798:HHT458801 HRM458798:HRP458801 IBI458798:IBL458801 ILE458798:ILH458801 IVA458798:IVD458801 JEW458798:JEZ458801 JOS458798:JOV458801 JYO458798:JYR458801 KIK458798:KIN458801 KSG458798:KSJ458801 LCC458798:LCF458801 LLY458798:LMB458801 LVU458798:LVX458801 MFQ458798:MFT458801 MPM458798:MPP458801 MZI458798:MZL458801 NJE458798:NJH458801 NTA458798:NTD458801 OCW458798:OCZ458801 OMS458798:OMV458801 OWO458798:OWR458801 PGK458798:PGN458801 PQG458798:PQJ458801 QAC458798:QAF458801 QJY458798:QKB458801 QTU458798:QTX458801 RDQ458798:RDT458801 RNM458798:RNP458801 RXI458798:RXL458801 SHE458798:SHH458801 SRA458798:SRD458801 TAW458798:TAZ458801 TKS458798:TKV458801 TUO458798:TUR458801 UEK458798:UEN458801 UOG458798:UOJ458801 UYC458798:UYF458801 VHY458798:VIB458801 VRU458798:VRX458801 WBQ458798:WBT458801 WLM458798:WLP458801 WVI458798:WVL458801 AU524334:AX524337 IW524334:IZ524337 SS524334:SV524337 ACO524334:ACR524337 AMK524334:AMN524337 AWG524334:AWJ524337 BGC524334:BGF524337 BPY524334:BQB524337 BZU524334:BZX524337 CJQ524334:CJT524337 CTM524334:CTP524337 DDI524334:DDL524337 DNE524334:DNH524337 DXA524334:DXD524337 EGW524334:EGZ524337 EQS524334:EQV524337 FAO524334:FAR524337 FKK524334:FKN524337 FUG524334:FUJ524337 GEC524334:GEF524337 GNY524334:GOB524337 GXU524334:GXX524337 HHQ524334:HHT524337 HRM524334:HRP524337 IBI524334:IBL524337 ILE524334:ILH524337 IVA524334:IVD524337 JEW524334:JEZ524337 JOS524334:JOV524337 JYO524334:JYR524337 KIK524334:KIN524337 KSG524334:KSJ524337 LCC524334:LCF524337 LLY524334:LMB524337 LVU524334:LVX524337 MFQ524334:MFT524337 MPM524334:MPP524337 MZI524334:MZL524337 NJE524334:NJH524337 NTA524334:NTD524337 OCW524334:OCZ524337 OMS524334:OMV524337 OWO524334:OWR524337 PGK524334:PGN524337 PQG524334:PQJ524337 QAC524334:QAF524337 QJY524334:QKB524337 QTU524334:QTX524337 RDQ524334:RDT524337 RNM524334:RNP524337 RXI524334:RXL524337 SHE524334:SHH524337 SRA524334:SRD524337 TAW524334:TAZ524337 TKS524334:TKV524337 TUO524334:TUR524337 UEK524334:UEN524337 UOG524334:UOJ524337 UYC524334:UYF524337 VHY524334:VIB524337 VRU524334:VRX524337 WBQ524334:WBT524337 WLM524334:WLP524337 WVI524334:WVL524337 AU589870:AX589873 IW589870:IZ589873 SS589870:SV589873 ACO589870:ACR589873 AMK589870:AMN589873 AWG589870:AWJ589873 BGC589870:BGF589873 BPY589870:BQB589873 BZU589870:BZX589873 CJQ589870:CJT589873 CTM589870:CTP589873 DDI589870:DDL589873 DNE589870:DNH589873 DXA589870:DXD589873 EGW589870:EGZ589873 EQS589870:EQV589873 FAO589870:FAR589873 FKK589870:FKN589873 FUG589870:FUJ589873 GEC589870:GEF589873 GNY589870:GOB589873 GXU589870:GXX589873 HHQ589870:HHT589873 HRM589870:HRP589873 IBI589870:IBL589873 ILE589870:ILH589873 IVA589870:IVD589873 JEW589870:JEZ589873 JOS589870:JOV589873 JYO589870:JYR589873 KIK589870:KIN589873 KSG589870:KSJ589873 LCC589870:LCF589873 LLY589870:LMB589873 LVU589870:LVX589873 MFQ589870:MFT589873 MPM589870:MPP589873 MZI589870:MZL589873 NJE589870:NJH589873 NTA589870:NTD589873 OCW589870:OCZ589873 OMS589870:OMV589873 OWO589870:OWR589873 PGK589870:PGN589873 PQG589870:PQJ589873 QAC589870:QAF589873 QJY589870:QKB589873 QTU589870:QTX589873 RDQ589870:RDT589873 RNM589870:RNP589873 RXI589870:RXL589873 SHE589870:SHH589873 SRA589870:SRD589873 TAW589870:TAZ589873 TKS589870:TKV589873 TUO589870:TUR589873 UEK589870:UEN589873 UOG589870:UOJ589873 UYC589870:UYF589873 VHY589870:VIB589873 VRU589870:VRX589873 WBQ589870:WBT589873 WLM589870:WLP589873 WVI589870:WVL589873 AU655406:AX655409 IW655406:IZ655409 SS655406:SV655409 ACO655406:ACR655409 AMK655406:AMN655409 AWG655406:AWJ655409 BGC655406:BGF655409 BPY655406:BQB655409 BZU655406:BZX655409 CJQ655406:CJT655409 CTM655406:CTP655409 DDI655406:DDL655409 DNE655406:DNH655409 DXA655406:DXD655409 EGW655406:EGZ655409 EQS655406:EQV655409 FAO655406:FAR655409 FKK655406:FKN655409 FUG655406:FUJ655409 GEC655406:GEF655409 GNY655406:GOB655409 GXU655406:GXX655409 HHQ655406:HHT655409 HRM655406:HRP655409 IBI655406:IBL655409 ILE655406:ILH655409 IVA655406:IVD655409 JEW655406:JEZ655409 JOS655406:JOV655409 JYO655406:JYR655409 KIK655406:KIN655409 KSG655406:KSJ655409 LCC655406:LCF655409 LLY655406:LMB655409 LVU655406:LVX655409 MFQ655406:MFT655409 MPM655406:MPP655409 MZI655406:MZL655409 NJE655406:NJH655409 NTA655406:NTD655409 OCW655406:OCZ655409 OMS655406:OMV655409 OWO655406:OWR655409 PGK655406:PGN655409 PQG655406:PQJ655409 QAC655406:QAF655409 QJY655406:QKB655409 QTU655406:QTX655409 RDQ655406:RDT655409 RNM655406:RNP655409 RXI655406:RXL655409 SHE655406:SHH655409 SRA655406:SRD655409 TAW655406:TAZ655409 TKS655406:TKV655409 TUO655406:TUR655409 UEK655406:UEN655409 UOG655406:UOJ655409 UYC655406:UYF655409 VHY655406:VIB655409 VRU655406:VRX655409 WBQ655406:WBT655409 WLM655406:WLP655409 WVI655406:WVL655409 AU720942:AX720945 IW720942:IZ720945 SS720942:SV720945 ACO720942:ACR720945 AMK720942:AMN720945 AWG720942:AWJ720945 BGC720942:BGF720945 BPY720942:BQB720945 BZU720942:BZX720945 CJQ720942:CJT720945 CTM720942:CTP720945 DDI720942:DDL720945 DNE720942:DNH720945 DXA720942:DXD720945 EGW720942:EGZ720945 EQS720942:EQV720945 FAO720942:FAR720945 FKK720942:FKN720945 FUG720942:FUJ720945 GEC720942:GEF720945 GNY720942:GOB720945 GXU720942:GXX720945 HHQ720942:HHT720945 HRM720942:HRP720945 IBI720942:IBL720945 ILE720942:ILH720945 IVA720942:IVD720945 JEW720942:JEZ720945 JOS720942:JOV720945 JYO720942:JYR720945 KIK720942:KIN720945 KSG720942:KSJ720945 LCC720942:LCF720945 LLY720942:LMB720945 LVU720942:LVX720945 MFQ720942:MFT720945 MPM720942:MPP720945 MZI720942:MZL720945 NJE720942:NJH720945 NTA720942:NTD720945 OCW720942:OCZ720945 OMS720942:OMV720945 OWO720942:OWR720945 PGK720942:PGN720945 PQG720942:PQJ720945 QAC720942:QAF720945 QJY720942:QKB720945 QTU720942:QTX720945 RDQ720942:RDT720945 RNM720942:RNP720945 RXI720942:RXL720945 SHE720942:SHH720945 SRA720942:SRD720945 TAW720942:TAZ720945 TKS720942:TKV720945 TUO720942:TUR720945 UEK720942:UEN720945 UOG720942:UOJ720945 UYC720942:UYF720945 VHY720942:VIB720945 VRU720942:VRX720945 WBQ720942:WBT720945 WLM720942:WLP720945 WVI720942:WVL720945 AU786478:AX786481 IW786478:IZ786481 SS786478:SV786481 ACO786478:ACR786481 AMK786478:AMN786481 AWG786478:AWJ786481 BGC786478:BGF786481 BPY786478:BQB786481 BZU786478:BZX786481 CJQ786478:CJT786481 CTM786478:CTP786481 DDI786478:DDL786481 DNE786478:DNH786481 DXA786478:DXD786481 EGW786478:EGZ786481 EQS786478:EQV786481 FAO786478:FAR786481 FKK786478:FKN786481 FUG786478:FUJ786481 GEC786478:GEF786481 GNY786478:GOB786481 GXU786478:GXX786481 HHQ786478:HHT786481 HRM786478:HRP786481 IBI786478:IBL786481 ILE786478:ILH786481 IVA786478:IVD786481 JEW786478:JEZ786481 JOS786478:JOV786481 JYO786478:JYR786481 KIK786478:KIN786481 KSG786478:KSJ786481 LCC786478:LCF786481 LLY786478:LMB786481 LVU786478:LVX786481 MFQ786478:MFT786481 MPM786478:MPP786481 MZI786478:MZL786481 NJE786478:NJH786481 NTA786478:NTD786481 OCW786478:OCZ786481 OMS786478:OMV786481 OWO786478:OWR786481 PGK786478:PGN786481 PQG786478:PQJ786481 QAC786478:QAF786481 QJY786478:QKB786481 QTU786478:QTX786481 RDQ786478:RDT786481 RNM786478:RNP786481 RXI786478:RXL786481 SHE786478:SHH786481 SRA786478:SRD786481 TAW786478:TAZ786481 TKS786478:TKV786481 TUO786478:TUR786481 UEK786478:UEN786481 UOG786478:UOJ786481 UYC786478:UYF786481 VHY786478:VIB786481 VRU786478:VRX786481 WBQ786478:WBT786481 WLM786478:WLP786481 WVI786478:WVL786481 AU852014:AX852017 IW852014:IZ852017 SS852014:SV852017 ACO852014:ACR852017 AMK852014:AMN852017 AWG852014:AWJ852017 BGC852014:BGF852017 BPY852014:BQB852017 BZU852014:BZX852017 CJQ852014:CJT852017 CTM852014:CTP852017 DDI852014:DDL852017 DNE852014:DNH852017 DXA852014:DXD852017 EGW852014:EGZ852017 EQS852014:EQV852017 FAO852014:FAR852017 FKK852014:FKN852017 FUG852014:FUJ852017 GEC852014:GEF852017 GNY852014:GOB852017 GXU852014:GXX852017 HHQ852014:HHT852017 HRM852014:HRP852017 IBI852014:IBL852017 ILE852014:ILH852017 IVA852014:IVD852017 JEW852014:JEZ852017 JOS852014:JOV852017 JYO852014:JYR852017 KIK852014:KIN852017 KSG852014:KSJ852017 LCC852014:LCF852017 LLY852014:LMB852017 LVU852014:LVX852017 MFQ852014:MFT852017 MPM852014:MPP852017 MZI852014:MZL852017 NJE852014:NJH852017 NTA852014:NTD852017 OCW852014:OCZ852017 OMS852014:OMV852017 OWO852014:OWR852017 PGK852014:PGN852017 PQG852014:PQJ852017 QAC852014:QAF852017 QJY852014:QKB852017 QTU852014:QTX852017 RDQ852014:RDT852017 RNM852014:RNP852017 RXI852014:RXL852017 SHE852014:SHH852017 SRA852014:SRD852017 TAW852014:TAZ852017 TKS852014:TKV852017 TUO852014:TUR852017 UEK852014:UEN852017 UOG852014:UOJ852017 UYC852014:UYF852017 VHY852014:VIB852017 VRU852014:VRX852017 WBQ852014:WBT852017 WLM852014:WLP852017 WVI852014:WVL852017 AU917550:AX917553 IW917550:IZ917553 SS917550:SV917553 ACO917550:ACR917553 AMK917550:AMN917553 AWG917550:AWJ917553 BGC917550:BGF917553 BPY917550:BQB917553 BZU917550:BZX917553 CJQ917550:CJT917553 CTM917550:CTP917553 DDI917550:DDL917553 DNE917550:DNH917553 DXA917550:DXD917553 EGW917550:EGZ917553 EQS917550:EQV917553 FAO917550:FAR917553 FKK917550:FKN917553 FUG917550:FUJ917553 GEC917550:GEF917553 GNY917550:GOB917553 GXU917550:GXX917553 HHQ917550:HHT917553 HRM917550:HRP917553 IBI917550:IBL917553 ILE917550:ILH917553 IVA917550:IVD917553 JEW917550:JEZ917553 JOS917550:JOV917553 JYO917550:JYR917553 KIK917550:KIN917553 KSG917550:KSJ917553 LCC917550:LCF917553 LLY917550:LMB917553 LVU917550:LVX917553 MFQ917550:MFT917553 MPM917550:MPP917553 MZI917550:MZL917553 NJE917550:NJH917553 NTA917550:NTD917553 OCW917550:OCZ917553 OMS917550:OMV917553 OWO917550:OWR917553 PGK917550:PGN917553 PQG917550:PQJ917553 QAC917550:QAF917553 QJY917550:QKB917553 QTU917550:QTX917553 RDQ917550:RDT917553 RNM917550:RNP917553 RXI917550:RXL917553 SHE917550:SHH917553 SRA917550:SRD917553 TAW917550:TAZ917553 TKS917550:TKV917553 TUO917550:TUR917553 UEK917550:UEN917553 UOG917550:UOJ917553 UYC917550:UYF917553 VHY917550:VIB917553 VRU917550:VRX917553 WBQ917550:WBT917553 WLM917550:WLP917553 WVI917550:WVL917553 AU983086:AX983089 IW983086:IZ983089 SS983086:SV983089 ACO983086:ACR983089 AMK983086:AMN983089 AWG983086:AWJ983089 BGC983086:BGF983089 BPY983086:BQB983089 BZU983086:BZX983089 CJQ983086:CJT983089 CTM983086:CTP983089 DDI983086:DDL983089 DNE983086:DNH983089 DXA983086:DXD983089 EGW983086:EGZ983089 EQS983086:EQV983089 FAO983086:FAR983089 FKK983086:FKN983089 FUG983086:FUJ983089 GEC983086:GEF983089 GNY983086:GOB983089 GXU983086:GXX983089 HHQ983086:HHT983089 HRM983086:HRP983089 IBI983086:IBL983089 ILE983086:ILH983089 IVA983086:IVD983089 JEW983086:JEZ983089 JOS983086:JOV983089 JYO983086:JYR983089 KIK983086:KIN983089 KSG983086:KSJ983089 LCC983086:LCF983089 LLY983086:LMB983089 LVU983086:LVX983089 MFQ983086:MFT983089 MPM983086:MPP983089 MZI983086:MZL983089 NJE983086:NJH983089 NTA983086:NTD983089 OCW983086:OCZ983089 OMS983086:OMV983089 OWO983086:OWR983089 PGK983086:PGN983089 PQG983086:PQJ983089 QAC983086:QAF983089 QJY983086:QKB983089 QTU983086:QTX983089 RDQ983086:RDT983089 RNM983086:RNP983089 RXI983086:RXL983089 SHE983086:SHH983089 SRA983086:SRD983089 TAW983086:TAZ983089 TKS983086:TKV983089 TUO983086:TUR983089 UEK983086:UEN983089 UOG983086:UOJ983089 UYC983086:UYF983089 VHY983086:VIB983089 VRU983086:VRX983089 WBQ983086:WBT983089 WLM983086:WLP983089 WVI983086:WVL983089 AP65576:AS65576 IR65576:IU65576 SN65576:SQ65576 ACJ65576:ACM65576 AMF65576:AMI65576 AWB65576:AWE65576 BFX65576:BGA65576 BPT65576:BPW65576 BZP65576:BZS65576 CJL65576:CJO65576 CTH65576:CTK65576 DDD65576:DDG65576 DMZ65576:DNC65576 DWV65576:DWY65576 EGR65576:EGU65576 EQN65576:EQQ65576 FAJ65576:FAM65576 FKF65576:FKI65576 FUB65576:FUE65576 GDX65576:GEA65576 GNT65576:GNW65576 GXP65576:GXS65576 HHL65576:HHO65576 HRH65576:HRK65576 IBD65576:IBG65576 IKZ65576:ILC65576 IUV65576:IUY65576 JER65576:JEU65576 JON65576:JOQ65576 JYJ65576:JYM65576 KIF65576:KII65576 KSB65576:KSE65576 LBX65576:LCA65576 LLT65576:LLW65576 LVP65576:LVS65576 MFL65576:MFO65576 MPH65576:MPK65576 MZD65576:MZG65576 NIZ65576:NJC65576 NSV65576:NSY65576 OCR65576:OCU65576 OMN65576:OMQ65576 OWJ65576:OWM65576 PGF65576:PGI65576 PQB65576:PQE65576 PZX65576:QAA65576 QJT65576:QJW65576 QTP65576:QTS65576 RDL65576:RDO65576 RNH65576:RNK65576 RXD65576:RXG65576 SGZ65576:SHC65576 SQV65576:SQY65576 TAR65576:TAU65576 TKN65576:TKQ65576 TUJ65576:TUM65576 UEF65576:UEI65576 UOB65576:UOE65576 UXX65576:UYA65576 VHT65576:VHW65576 VRP65576:VRS65576 WBL65576:WBO65576 WLH65576:WLK65576 WVD65576:WVG65576 AP131112:AS131112 IR131112:IU131112 SN131112:SQ131112 ACJ131112:ACM131112 AMF131112:AMI131112 AWB131112:AWE131112 BFX131112:BGA131112 BPT131112:BPW131112 BZP131112:BZS131112 CJL131112:CJO131112 CTH131112:CTK131112 DDD131112:DDG131112 DMZ131112:DNC131112 DWV131112:DWY131112 EGR131112:EGU131112 EQN131112:EQQ131112 FAJ131112:FAM131112 FKF131112:FKI131112 FUB131112:FUE131112 GDX131112:GEA131112 GNT131112:GNW131112 GXP131112:GXS131112 HHL131112:HHO131112 HRH131112:HRK131112 IBD131112:IBG131112 IKZ131112:ILC131112 IUV131112:IUY131112 JER131112:JEU131112 JON131112:JOQ131112 JYJ131112:JYM131112 KIF131112:KII131112 KSB131112:KSE131112 LBX131112:LCA131112 LLT131112:LLW131112 LVP131112:LVS131112 MFL131112:MFO131112 MPH131112:MPK131112 MZD131112:MZG131112 NIZ131112:NJC131112 NSV131112:NSY131112 OCR131112:OCU131112 OMN131112:OMQ131112 OWJ131112:OWM131112 PGF131112:PGI131112 PQB131112:PQE131112 PZX131112:QAA131112 QJT131112:QJW131112 QTP131112:QTS131112 RDL131112:RDO131112 RNH131112:RNK131112 RXD131112:RXG131112 SGZ131112:SHC131112 SQV131112:SQY131112 TAR131112:TAU131112 TKN131112:TKQ131112 TUJ131112:TUM131112 UEF131112:UEI131112 UOB131112:UOE131112 UXX131112:UYA131112 VHT131112:VHW131112 VRP131112:VRS131112 WBL131112:WBO131112 WLH131112:WLK131112 WVD131112:WVG131112 AP196648:AS196648 IR196648:IU196648 SN196648:SQ196648 ACJ196648:ACM196648 AMF196648:AMI196648 AWB196648:AWE196648 BFX196648:BGA196648 BPT196648:BPW196648 BZP196648:BZS196648 CJL196648:CJO196648 CTH196648:CTK196648 DDD196648:DDG196648 DMZ196648:DNC196648 DWV196648:DWY196648 EGR196648:EGU196648 EQN196648:EQQ196648 FAJ196648:FAM196648 FKF196648:FKI196648 FUB196648:FUE196648 GDX196648:GEA196648 GNT196648:GNW196648 GXP196648:GXS196648 HHL196648:HHO196648 HRH196648:HRK196648 IBD196648:IBG196648 IKZ196648:ILC196648 IUV196648:IUY196648 JER196648:JEU196648 JON196648:JOQ196648 JYJ196648:JYM196648 KIF196648:KII196648 KSB196648:KSE196648 LBX196648:LCA196648 LLT196648:LLW196648 LVP196648:LVS196648 MFL196648:MFO196648 MPH196648:MPK196648 MZD196648:MZG196648 NIZ196648:NJC196648 NSV196648:NSY196648 OCR196648:OCU196648 OMN196648:OMQ196648 OWJ196648:OWM196648 PGF196648:PGI196648 PQB196648:PQE196648 PZX196648:QAA196648 QJT196648:QJW196648 QTP196648:QTS196648 RDL196648:RDO196648 RNH196648:RNK196648 RXD196648:RXG196648 SGZ196648:SHC196648 SQV196648:SQY196648 TAR196648:TAU196648 TKN196648:TKQ196648 TUJ196648:TUM196648 UEF196648:UEI196648 UOB196648:UOE196648 UXX196648:UYA196648 VHT196648:VHW196648 VRP196648:VRS196648 WBL196648:WBO196648 WLH196648:WLK196648 WVD196648:WVG196648 AP262184:AS262184 IR262184:IU262184 SN262184:SQ262184 ACJ262184:ACM262184 AMF262184:AMI262184 AWB262184:AWE262184 BFX262184:BGA262184 BPT262184:BPW262184 BZP262184:BZS262184 CJL262184:CJO262184 CTH262184:CTK262184 DDD262184:DDG262184 DMZ262184:DNC262184 DWV262184:DWY262184 EGR262184:EGU262184 EQN262184:EQQ262184 FAJ262184:FAM262184 FKF262184:FKI262184 FUB262184:FUE262184 GDX262184:GEA262184 GNT262184:GNW262184 GXP262184:GXS262184 HHL262184:HHO262184 HRH262184:HRK262184 IBD262184:IBG262184 IKZ262184:ILC262184 IUV262184:IUY262184 JER262184:JEU262184 JON262184:JOQ262184 JYJ262184:JYM262184 KIF262184:KII262184 KSB262184:KSE262184 LBX262184:LCA262184 LLT262184:LLW262184 LVP262184:LVS262184 MFL262184:MFO262184 MPH262184:MPK262184 MZD262184:MZG262184 NIZ262184:NJC262184 NSV262184:NSY262184 OCR262184:OCU262184 OMN262184:OMQ262184 OWJ262184:OWM262184 PGF262184:PGI262184 PQB262184:PQE262184 PZX262184:QAA262184 QJT262184:QJW262184 QTP262184:QTS262184 RDL262184:RDO262184 RNH262184:RNK262184 RXD262184:RXG262184 SGZ262184:SHC262184 SQV262184:SQY262184 TAR262184:TAU262184 TKN262184:TKQ262184 TUJ262184:TUM262184 UEF262184:UEI262184 UOB262184:UOE262184 UXX262184:UYA262184 VHT262184:VHW262184 VRP262184:VRS262184 WBL262184:WBO262184 WLH262184:WLK262184 WVD262184:WVG262184 AP327720:AS327720 IR327720:IU327720 SN327720:SQ327720 ACJ327720:ACM327720 AMF327720:AMI327720 AWB327720:AWE327720 BFX327720:BGA327720 BPT327720:BPW327720 BZP327720:BZS327720 CJL327720:CJO327720 CTH327720:CTK327720 DDD327720:DDG327720 DMZ327720:DNC327720 DWV327720:DWY327720 EGR327720:EGU327720 EQN327720:EQQ327720 FAJ327720:FAM327720 FKF327720:FKI327720 FUB327720:FUE327720 GDX327720:GEA327720 GNT327720:GNW327720 GXP327720:GXS327720 HHL327720:HHO327720 HRH327720:HRK327720 IBD327720:IBG327720 IKZ327720:ILC327720 IUV327720:IUY327720 JER327720:JEU327720 JON327720:JOQ327720 JYJ327720:JYM327720 KIF327720:KII327720 KSB327720:KSE327720 LBX327720:LCA327720 LLT327720:LLW327720 LVP327720:LVS327720 MFL327720:MFO327720 MPH327720:MPK327720 MZD327720:MZG327720 NIZ327720:NJC327720 NSV327720:NSY327720 OCR327720:OCU327720 OMN327720:OMQ327720 OWJ327720:OWM327720 PGF327720:PGI327720 PQB327720:PQE327720 PZX327720:QAA327720 QJT327720:QJW327720 QTP327720:QTS327720 RDL327720:RDO327720 RNH327720:RNK327720 RXD327720:RXG327720 SGZ327720:SHC327720 SQV327720:SQY327720 TAR327720:TAU327720 TKN327720:TKQ327720 TUJ327720:TUM327720 UEF327720:UEI327720 UOB327720:UOE327720 UXX327720:UYA327720 VHT327720:VHW327720 VRP327720:VRS327720 WBL327720:WBO327720 WLH327720:WLK327720 WVD327720:WVG327720 AP393256:AS393256 IR393256:IU393256 SN393256:SQ393256 ACJ393256:ACM393256 AMF393256:AMI393256 AWB393256:AWE393256 BFX393256:BGA393256 BPT393256:BPW393256 BZP393256:BZS393256 CJL393256:CJO393256 CTH393256:CTK393256 DDD393256:DDG393256 DMZ393256:DNC393256 DWV393256:DWY393256 EGR393256:EGU393256 EQN393256:EQQ393256 FAJ393256:FAM393256 FKF393256:FKI393256 FUB393256:FUE393256 GDX393256:GEA393256 GNT393256:GNW393256 GXP393256:GXS393256 HHL393256:HHO393256 HRH393256:HRK393256 IBD393256:IBG393256 IKZ393256:ILC393256 IUV393256:IUY393256 JER393256:JEU393256 JON393256:JOQ393256 JYJ393256:JYM393256 KIF393256:KII393256 KSB393256:KSE393256 LBX393256:LCA393256 LLT393256:LLW393256 LVP393256:LVS393256 MFL393256:MFO393256 MPH393256:MPK393256 MZD393256:MZG393256 NIZ393256:NJC393256 NSV393256:NSY393256 OCR393256:OCU393256 OMN393256:OMQ393256 OWJ393256:OWM393256 PGF393256:PGI393256 PQB393256:PQE393256 PZX393256:QAA393256 QJT393256:QJW393256 QTP393256:QTS393256 RDL393256:RDO393256 RNH393256:RNK393256 RXD393256:RXG393256 SGZ393256:SHC393256 SQV393256:SQY393256 TAR393256:TAU393256 TKN393256:TKQ393256 TUJ393256:TUM393256 UEF393256:UEI393256 UOB393256:UOE393256 UXX393256:UYA393256 VHT393256:VHW393256 VRP393256:VRS393256 WBL393256:WBO393256 WLH393256:WLK393256 WVD393256:WVG393256 AP458792:AS458792 IR458792:IU458792 SN458792:SQ458792 ACJ458792:ACM458792 AMF458792:AMI458792 AWB458792:AWE458792 BFX458792:BGA458792 BPT458792:BPW458792 BZP458792:BZS458792 CJL458792:CJO458792 CTH458792:CTK458792 DDD458792:DDG458792 DMZ458792:DNC458792 DWV458792:DWY458792 EGR458792:EGU458792 EQN458792:EQQ458792 FAJ458792:FAM458792 FKF458792:FKI458792 FUB458792:FUE458792 GDX458792:GEA458792 GNT458792:GNW458792 GXP458792:GXS458792 HHL458792:HHO458792 HRH458792:HRK458792 IBD458792:IBG458792 IKZ458792:ILC458792 IUV458792:IUY458792 JER458792:JEU458792 JON458792:JOQ458792 JYJ458792:JYM458792 KIF458792:KII458792 KSB458792:KSE458792 LBX458792:LCA458792 LLT458792:LLW458792 LVP458792:LVS458792 MFL458792:MFO458792 MPH458792:MPK458792 MZD458792:MZG458792 NIZ458792:NJC458792 NSV458792:NSY458792 OCR458792:OCU458792 OMN458792:OMQ458792 OWJ458792:OWM458792 PGF458792:PGI458792 PQB458792:PQE458792 PZX458792:QAA458792 QJT458792:QJW458792 QTP458792:QTS458792 RDL458792:RDO458792 RNH458792:RNK458792 RXD458792:RXG458792 SGZ458792:SHC458792 SQV458792:SQY458792 TAR458792:TAU458792 TKN458792:TKQ458792 TUJ458792:TUM458792 UEF458792:UEI458792 UOB458792:UOE458792 UXX458792:UYA458792 VHT458792:VHW458792 VRP458792:VRS458792 WBL458792:WBO458792 WLH458792:WLK458792 WVD458792:WVG458792 AP524328:AS524328 IR524328:IU524328 SN524328:SQ524328 ACJ524328:ACM524328 AMF524328:AMI524328 AWB524328:AWE524328 BFX524328:BGA524328 BPT524328:BPW524328 BZP524328:BZS524328 CJL524328:CJO524328 CTH524328:CTK524328 DDD524328:DDG524328 DMZ524328:DNC524328 DWV524328:DWY524328 EGR524328:EGU524328 EQN524328:EQQ524328 FAJ524328:FAM524328 FKF524328:FKI524328 FUB524328:FUE524328 GDX524328:GEA524328 GNT524328:GNW524328 GXP524328:GXS524328 HHL524328:HHO524328 HRH524328:HRK524328 IBD524328:IBG524328 IKZ524328:ILC524328 IUV524328:IUY524328 JER524328:JEU524328 JON524328:JOQ524328 JYJ524328:JYM524328 KIF524328:KII524328 KSB524328:KSE524328 LBX524328:LCA524328 LLT524328:LLW524328 LVP524328:LVS524328 MFL524328:MFO524328 MPH524328:MPK524328 MZD524328:MZG524328 NIZ524328:NJC524328 NSV524328:NSY524328 OCR524328:OCU524328 OMN524328:OMQ524328 OWJ524328:OWM524328 PGF524328:PGI524328 PQB524328:PQE524328 PZX524328:QAA524328 QJT524328:QJW524328 QTP524328:QTS524328 RDL524328:RDO524328 RNH524328:RNK524328 RXD524328:RXG524328 SGZ524328:SHC524328 SQV524328:SQY524328 TAR524328:TAU524328 TKN524328:TKQ524328 TUJ524328:TUM524328 UEF524328:UEI524328 UOB524328:UOE524328 UXX524328:UYA524328 VHT524328:VHW524328 VRP524328:VRS524328 WBL524328:WBO524328 WLH524328:WLK524328 WVD524328:WVG524328 AP589864:AS589864 IR589864:IU589864 SN589864:SQ589864 ACJ589864:ACM589864 AMF589864:AMI589864 AWB589864:AWE589864 BFX589864:BGA589864 BPT589864:BPW589864 BZP589864:BZS589864 CJL589864:CJO589864 CTH589864:CTK589864 DDD589864:DDG589864 DMZ589864:DNC589864 DWV589864:DWY589864 EGR589864:EGU589864 EQN589864:EQQ589864 FAJ589864:FAM589864 FKF589864:FKI589864 FUB589864:FUE589864 GDX589864:GEA589864 GNT589864:GNW589864 GXP589864:GXS589864 HHL589864:HHO589864 HRH589864:HRK589864 IBD589864:IBG589864 IKZ589864:ILC589864 IUV589864:IUY589864 JER589864:JEU589864 JON589864:JOQ589864 JYJ589864:JYM589864 KIF589864:KII589864 KSB589864:KSE589864 LBX589864:LCA589864 LLT589864:LLW589864 LVP589864:LVS589864 MFL589864:MFO589864 MPH589864:MPK589864 MZD589864:MZG589864 NIZ589864:NJC589864 NSV589864:NSY589864 OCR589864:OCU589864 OMN589864:OMQ589864 OWJ589864:OWM589864 PGF589864:PGI589864 PQB589864:PQE589864 PZX589864:QAA589864 QJT589864:QJW589864 QTP589864:QTS589864 RDL589864:RDO589864 RNH589864:RNK589864 RXD589864:RXG589864 SGZ589864:SHC589864 SQV589864:SQY589864 TAR589864:TAU589864 TKN589864:TKQ589864 TUJ589864:TUM589864 UEF589864:UEI589864 UOB589864:UOE589864 UXX589864:UYA589864 VHT589864:VHW589864 VRP589864:VRS589864 WBL589864:WBO589864 WLH589864:WLK589864 WVD589864:WVG589864 AP655400:AS655400 IR655400:IU655400 SN655400:SQ655400 ACJ655400:ACM655400 AMF655400:AMI655400 AWB655400:AWE655400 BFX655400:BGA655400 BPT655400:BPW655400 BZP655400:BZS655400 CJL655400:CJO655400 CTH655400:CTK655400 DDD655400:DDG655400 DMZ655400:DNC655400 DWV655400:DWY655400 EGR655400:EGU655400 EQN655400:EQQ655400 FAJ655400:FAM655400 FKF655400:FKI655400 FUB655400:FUE655400 GDX655400:GEA655400 GNT655400:GNW655400 GXP655400:GXS655400 HHL655400:HHO655400 HRH655400:HRK655400 IBD655400:IBG655400 IKZ655400:ILC655400 IUV655400:IUY655400 JER655400:JEU655400 JON655400:JOQ655400 JYJ655400:JYM655400 KIF655400:KII655400 KSB655400:KSE655400 LBX655400:LCA655400 LLT655400:LLW655400 LVP655400:LVS655400 MFL655400:MFO655400 MPH655400:MPK655400 MZD655400:MZG655400 NIZ655400:NJC655400 NSV655400:NSY655400 OCR655400:OCU655400 OMN655400:OMQ655400 OWJ655400:OWM655400 PGF655400:PGI655400 PQB655400:PQE655400 PZX655400:QAA655400 QJT655400:QJW655400 QTP655400:QTS655400 RDL655400:RDO655400 RNH655400:RNK655400 RXD655400:RXG655400 SGZ655400:SHC655400 SQV655400:SQY655400 TAR655400:TAU655400 TKN655400:TKQ655400 TUJ655400:TUM655400 UEF655400:UEI655400 UOB655400:UOE655400 UXX655400:UYA655400 VHT655400:VHW655400 VRP655400:VRS655400 WBL655400:WBO655400 WLH655400:WLK655400 WVD655400:WVG655400 AP720936:AS720936 IR720936:IU720936 SN720936:SQ720936 ACJ720936:ACM720936 AMF720936:AMI720936 AWB720936:AWE720936 BFX720936:BGA720936 BPT720936:BPW720936 BZP720936:BZS720936 CJL720936:CJO720936 CTH720936:CTK720936 DDD720936:DDG720936 DMZ720936:DNC720936 DWV720936:DWY720936 EGR720936:EGU720936 EQN720936:EQQ720936 FAJ720936:FAM720936 FKF720936:FKI720936 FUB720936:FUE720936 GDX720936:GEA720936 GNT720936:GNW720936 GXP720936:GXS720936 HHL720936:HHO720936 HRH720936:HRK720936 IBD720936:IBG720936 IKZ720936:ILC720936 IUV720936:IUY720936 JER720936:JEU720936 JON720936:JOQ720936 JYJ720936:JYM720936 KIF720936:KII720936 KSB720936:KSE720936 LBX720936:LCA720936 LLT720936:LLW720936 LVP720936:LVS720936 MFL720936:MFO720936 MPH720936:MPK720936 MZD720936:MZG720936 NIZ720936:NJC720936 NSV720936:NSY720936 OCR720936:OCU720936 OMN720936:OMQ720936 OWJ720936:OWM720936 PGF720936:PGI720936 PQB720936:PQE720936 PZX720936:QAA720936 QJT720936:QJW720936 QTP720936:QTS720936 RDL720936:RDO720936 RNH720936:RNK720936 RXD720936:RXG720936 SGZ720936:SHC720936 SQV720936:SQY720936 TAR720936:TAU720936 TKN720936:TKQ720936 TUJ720936:TUM720936 UEF720936:UEI720936 UOB720936:UOE720936 UXX720936:UYA720936 VHT720936:VHW720936 VRP720936:VRS720936 WBL720936:WBO720936 WLH720936:WLK720936 WVD720936:WVG720936 AP786472:AS786472 IR786472:IU786472 SN786472:SQ786472 ACJ786472:ACM786472 AMF786472:AMI786472 AWB786472:AWE786472 BFX786472:BGA786472 BPT786472:BPW786472 BZP786472:BZS786472 CJL786472:CJO786472 CTH786472:CTK786472 DDD786472:DDG786472 DMZ786472:DNC786472 DWV786472:DWY786472 EGR786472:EGU786472 EQN786472:EQQ786472 FAJ786472:FAM786472 FKF786472:FKI786472 FUB786472:FUE786472 GDX786472:GEA786472 GNT786472:GNW786472 GXP786472:GXS786472 HHL786472:HHO786472 HRH786472:HRK786472 IBD786472:IBG786472 IKZ786472:ILC786472 IUV786472:IUY786472 JER786472:JEU786472 JON786472:JOQ786472 JYJ786472:JYM786472 KIF786472:KII786472 KSB786472:KSE786472 LBX786472:LCA786472 LLT786472:LLW786472 LVP786472:LVS786472 MFL786472:MFO786472 MPH786472:MPK786472 MZD786472:MZG786472 NIZ786472:NJC786472 NSV786472:NSY786472 OCR786472:OCU786472 OMN786472:OMQ786472 OWJ786472:OWM786472 PGF786472:PGI786472 PQB786472:PQE786472 PZX786472:QAA786472 QJT786472:QJW786472 QTP786472:QTS786472 RDL786472:RDO786472 RNH786472:RNK786472 RXD786472:RXG786472 SGZ786472:SHC786472 SQV786472:SQY786472 TAR786472:TAU786472 TKN786472:TKQ786472 TUJ786472:TUM786472 UEF786472:UEI786472 UOB786472:UOE786472 UXX786472:UYA786472 VHT786472:VHW786472 VRP786472:VRS786472 WBL786472:WBO786472 WLH786472:WLK786472 WVD786472:WVG786472 AP852008:AS852008 IR852008:IU852008 SN852008:SQ852008 ACJ852008:ACM852008 AMF852008:AMI852008 AWB852008:AWE852008 BFX852008:BGA852008 BPT852008:BPW852008 BZP852008:BZS852008 CJL852008:CJO852008 CTH852008:CTK852008 DDD852008:DDG852008 DMZ852008:DNC852008 DWV852008:DWY852008 EGR852008:EGU852008 EQN852008:EQQ852008 FAJ852008:FAM852008 FKF852008:FKI852008 FUB852008:FUE852008 GDX852008:GEA852008 GNT852008:GNW852008 GXP852008:GXS852008 HHL852008:HHO852008 HRH852008:HRK852008 IBD852008:IBG852008 IKZ852008:ILC852008 IUV852008:IUY852008 JER852008:JEU852008 JON852008:JOQ852008 JYJ852008:JYM852008 KIF852008:KII852008 KSB852008:KSE852008 LBX852008:LCA852008 LLT852008:LLW852008 LVP852008:LVS852008 MFL852008:MFO852008 MPH852008:MPK852008 MZD852008:MZG852008 NIZ852008:NJC852008 NSV852008:NSY852008 OCR852008:OCU852008 OMN852008:OMQ852008 OWJ852008:OWM852008 PGF852008:PGI852008 PQB852008:PQE852008 PZX852008:QAA852008 QJT852008:QJW852008 QTP852008:QTS852008 RDL852008:RDO852008 RNH852008:RNK852008 RXD852008:RXG852008 SGZ852008:SHC852008 SQV852008:SQY852008 TAR852008:TAU852008 TKN852008:TKQ852008 TUJ852008:TUM852008 UEF852008:UEI852008 UOB852008:UOE852008 UXX852008:UYA852008 VHT852008:VHW852008 VRP852008:VRS852008 WBL852008:WBO852008 WLH852008:WLK852008 WVD852008:WVG852008 AP917544:AS917544 IR917544:IU917544 SN917544:SQ917544 ACJ917544:ACM917544 AMF917544:AMI917544 AWB917544:AWE917544 BFX917544:BGA917544 BPT917544:BPW917544 BZP917544:BZS917544 CJL917544:CJO917544 CTH917544:CTK917544 DDD917544:DDG917544 DMZ917544:DNC917544 DWV917544:DWY917544 EGR917544:EGU917544 EQN917544:EQQ917544 FAJ917544:FAM917544 FKF917544:FKI917544 FUB917544:FUE917544 GDX917544:GEA917544 GNT917544:GNW917544 GXP917544:GXS917544 HHL917544:HHO917544 HRH917544:HRK917544 IBD917544:IBG917544 IKZ917544:ILC917544 IUV917544:IUY917544 JER917544:JEU917544 JON917544:JOQ917544 JYJ917544:JYM917544 KIF917544:KII917544 KSB917544:KSE917544 LBX917544:LCA917544 LLT917544:LLW917544 LVP917544:LVS917544 MFL917544:MFO917544 MPH917544:MPK917544 MZD917544:MZG917544 NIZ917544:NJC917544 NSV917544:NSY917544 OCR917544:OCU917544 OMN917544:OMQ917544 OWJ917544:OWM917544 PGF917544:PGI917544 PQB917544:PQE917544 PZX917544:QAA917544 QJT917544:QJW917544 QTP917544:QTS917544 RDL917544:RDO917544 RNH917544:RNK917544 RXD917544:RXG917544 SGZ917544:SHC917544 SQV917544:SQY917544 TAR917544:TAU917544 TKN917544:TKQ917544 TUJ917544:TUM917544 UEF917544:UEI917544 UOB917544:UOE917544 UXX917544:UYA917544 VHT917544:VHW917544 VRP917544:VRS917544 WBL917544:WBO917544 WLH917544:WLK917544 WVD917544:WVG917544 AP983080:AS983080 IR983080:IU983080 SN983080:SQ983080 ACJ983080:ACM983080 AMF983080:AMI983080 AWB983080:AWE983080 BFX983080:BGA983080 BPT983080:BPW983080 BZP983080:BZS983080 CJL983080:CJO983080 CTH983080:CTK983080 DDD983080:DDG983080 DMZ983080:DNC983080 DWV983080:DWY983080 EGR983080:EGU983080 EQN983080:EQQ983080 FAJ983080:FAM983080 FKF983080:FKI983080 FUB983080:FUE983080 GDX983080:GEA983080 GNT983080:GNW983080 GXP983080:GXS983080 HHL983080:HHO983080 HRH983080:HRK983080 IBD983080:IBG983080 IKZ983080:ILC983080 IUV983080:IUY983080 JER983080:JEU983080 JON983080:JOQ983080 JYJ983080:JYM983080 KIF983080:KII983080 KSB983080:KSE983080 LBX983080:LCA983080 LLT983080:LLW983080 LVP983080:LVS983080 MFL983080:MFO983080 MPH983080:MPK983080 MZD983080:MZG983080 NIZ983080:NJC983080 NSV983080:NSY983080 OCR983080:OCU983080 OMN983080:OMQ983080 OWJ983080:OWM983080 PGF983080:PGI983080 PQB983080:PQE983080 PZX983080:QAA983080 QJT983080:QJW983080 QTP983080:QTS983080 RDL983080:RDO983080 RNH983080:RNK983080 RXD983080:RXG983080 SGZ983080:SHC983080 SQV983080:SQY983080 TAR983080:TAU983080 TKN983080:TKQ983080 TUJ983080:TUM983080 UEF983080:UEI983080 UOB983080:UOE983080 UXX983080:UYA983080 VHT983080:VHW983080 VRP983080:VRS983080 WBL983080:WBO983080 WLH983080:WLK983080 WVD983080:WVG983080 AK983079:AN983079 IM983079:IP983079 SI983079:SL983079 ACE983079:ACH983079 AMA983079:AMD983079 AVW983079:AVZ983079 BFS983079:BFV983079 BPO983079:BPR983079 BZK983079:BZN983079 CJG983079:CJJ983079 CTC983079:CTF983079 DCY983079:DDB983079 DMU983079:DMX983079 DWQ983079:DWT983079 EGM983079:EGP983079 EQI983079:EQL983079 FAE983079:FAH983079 FKA983079:FKD983079 FTW983079:FTZ983079 GDS983079:GDV983079 GNO983079:GNR983079 GXK983079:GXN983079 HHG983079:HHJ983079 HRC983079:HRF983079 IAY983079:IBB983079 IKU983079:IKX983079 IUQ983079:IUT983079 JEM983079:JEP983079 JOI983079:JOL983079 JYE983079:JYH983079 KIA983079:KID983079 KRW983079:KRZ983079 LBS983079:LBV983079 LLO983079:LLR983079 LVK983079:LVN983079 MFG983079:MFJ983079 MPC983079:MPF983079 MYY983079:MZB983079 NIU983079:NIX983079 NSQ983079:NST983079 OCM983079:OCP983079 OMI983079:OML983079 OWE983079:OWH983079 PGA983079:PGD983079 PPW983079:PPZ983079 PZS983079:PZV983079 QJO983079:QJR983079 QTK983079:QTN983079 RDG983079:RDJ983079 RNC983079:RNF983079 RWY983079:RXB983079 SGU983079:SGX983079 SQQ983079:SQT983079 TAM983079:TAP983079 TKI983079:TKL983079 TUE983079:TUH983079 UEA983079:UED983079 UNW983079:UNZ983079 UXS983079:UXV983079 VHO983079:VHR983079 VRK983079:VRN983079 WBG983079:WBJ983079 WLC983079:WLF983079 WUY983079:WVB983079 AK65575:AN65575 IM65575:IP65575 SI65575:SL65575 ACE65575:ACH65575 AMA65575:AMD65575 AVW65575:AVZ65575 BFS65575:BFV65575 BPO65575:BPR65575 BZK65575:BZN65575 CJG65575:CJJ65575 CTC65575:CTF65575 DCY65575:DDB65575 DMU65575:DMX65575 DWQ65575:DWT65575 EGM65575:EGP65575 EQI65575:EQL65575 FAE65575:FAH65575 FKA65575:FKD65575 FTW65575:FTZ65575 GDS65575:GDV65575 GNO65575:GNR65575 GXK65575:GXN65575 HHG65575:HHJ65575 HRC65575:HRF65575 IAY65575:IBB65575 IKU65575:IKX65575 IUQ65575:IUT65575 JEM65575:JEP65575 JOI65575:JOL65575 JYE65575:JYH65575 KIA65575:KID65575 KRW65575:KRZ65575 LBS65575:LBV65575 LLO65575:LLR65575 LVK65575:LVN65575 MFG65575:MFJ65575 MPC65575:MPF65575 MYY65575:MZB65575 NIU65575:NIX65575 NSQ65575:NST65575 OCM65575:OCP65575 OMI65575:OML65575 OWE65575:OWH65575 PGA65575:PGD65575 PPW65575:PPZ65575 PZS65575:PZV65575 QJO65575:QJR65575 QTK65575:QTN65575 RDG65575:RDJ65575 RNC65575:RNF65575 RWY65575:RXB65575 SGU65575:SGX65575 SQQ65575:SQT65575 TAM65575:TAP65575 TKI65575:TKL65575 TUE65575:TUH65575 UEA65575:UED65575 UNW65575:UNZ65575 UXS65575:UXV65575 VHO65575:VHR65575 VRK65575:VRN65575 WBG65575:WBJ65575 WLC65575:WLF65575 WUY65575:WVB65575 AK131111:AN131111 IM131111:IP131111 SI131111:SL131111 ACE131111:ACH131111 AMA131111:AMD131111 AVW131111:AVZ131111 BFS131111:BFV131111 BPO131111:BPR131111 BZK131111:BZN131111 CJG131111:CJJ131111 CTC131111:CTF131111 DCY131111:DDB131111 DMU131111:DMX131111 DWQ131111:DWT131111 EGM131111:EGP131111 EQI131111:EQL131111 FAE131111:FAH131111 FKA131111:FKD131111 FTW131111:FTZ131111 GDS131111:GDV131111 GNO131111:GNR131111 GXK131111:GXN131111 HHG131111:HHJ131111 HRC131111:HRF131111 IAY131111:IBB131111 IKU131111:IKX131111 IUQ131111:IUT131111 JEM131111:JEP131111 JOI131111:JOL131111 JYE131111:JYH131111 KIA131111:KID131111 KRW131111:KRZ131111 LBS131111:LBV131111 LLO131111:LLR131111 LVK131111:LVN131111 MFG131111:MFJ131111 MPC131111:MPF131111 MYY131111:MZB131111 NIU131111:NIX131111 NSQ131111:NST131111 OCM131111:OCP131111 OMI131111:OML131111 OWE131111:OWH131111 PGA131111:PGD131111 PPW131111:PPZ131111 PZS131111:PZV131111 QJO131111:QJR131111 QTK131111:QTN131111 RDG131111:RDJ131111 RNC131111:RNF131111 RWY131111:RXB131111 SGU131111:SGX131111 SQQ131111:SQT131111 TAM131111:TAP131111 TKI131111:TKL131111 TUE131111:TUH131111 UEA131111:UED131111 UNW131111:UNZ131111 UXS131111:UXV131111 VHO131111:VHR131111 VRK131111:VRN131111 WBG131111:WBJ131111 WLC131111:WLF131111 WUY131111:WVB131111 AK196647:AN196647 IM196647:IP196647 SI196647:SL196647 ACE196647:ACH196647 AMA196647:AMD196647 AVW196647:AVZ196647 BFS196647:BFV196647 BPO196647:BPR196647 BZK196647:BZN196647 CJG196647:CJJ196647 CTC196647:CTF196647 DCY196647:DDB196647 DMU196647:DMX196647 DWQ196647:DWT196647 EGM196647:EGP196647 EQI196647:EQL196647 FAE196647:FAH196647 FKA196647:FKD196647 FTW196647:FTZ196647 GDS196647:GDV196647 GNO196647:GNR196647 GXK196647:GXN196647 HHG196647:HHJ196647 HRC196647:HRF196647 IAY196647:IBB196647 IKU196647:IKX196647 IUQ196647:IUT196647 JEM196647:JEP196647 JOI196647:JOL196647 JYE196647:JYH196647 KIA196647:KID196647 KRW196647:KRZ196647 LBS196647:LBV196647 LLO196647:LLR196647 LVK196647:LVN196647 MFG196647:MFJ196647 MPC196647:MPF196647 MYY196647:MZB196647 NIU196647:NIX196647 NSQ196647:NST196647 OCM196647:OCP196647 OMI196647:OML196647 OWE196647:OWH196647 PGA196647:PGD196647 PPW196647:PPZ196647 PZS196647:PZV196647 QJO196647:QJR196647 QTK196647:QTN196647 RDG196647:RDJ196647 RNC196647:RNF196647 RWY196647:RXB196647 SGU196647:SGX196647 SQQ196647:SQT196647 TAM196647:TAP196647 TKI196647:TKL196647 TUE196647:TUH196647 UEA196647:UED196647 UNW196647:UNZ196647 UXS196647:UXV196647 VHO196647:VHR196647 VRK196647:VRN196647 WBG196647:WBJ196647 WLC196647:WLF196647 WUY196647:WVB196647 AK262183:AN262183 IM262183:IP262183 SI262183:SL262183 ACE262183:ACH262183 AMA262183:AMD262183 AVW262183:AVZ262183 BFS262183:BFV262183 BPO262183:BPR262183 BZK262183:BZN262183 CJG262183:CJJ262183 CTC262183:CTF262183 DCY262183:DDB262183 DMU262183:DMX262183 DWQ262183:DWT262183 EGM262183:EGP262183 EQI262183:EQL262183 FAE262183:FAH262183 FKA262183:FKD262183 FTW262183:FTZ262183 GDS262183:GDV262183 GNO262183:GNR262183 GXK262183:GXN262183 HHG262183:HHJ262183 HRC262183:HRF262183 IAY262183:IBB262183 IKU262183:IKX262183 IUQ262183:IUT262183 JEM262183:JEP262183 JOI262183:JOL262183 JYE262183:JYH262183 KIA262183:KID262183 KRW262183:KRZ262183 LBS262183:LBV262183 LLO262183:LLR262183 LVK262183:LVN262183 MFG262183:MFJ262183 MPC262183:MPF262183 MYY262183:MZB262183 NIU262183:NIX262183 NSQ262183:NST262183 OCM262183:OCP262183 OMI262183:OML262183 OWE262183:OWH262183 PGA262183:PGD262183 PPW262183:PPZ262183 PZS262183:PZV262183 QJO262183:QJR262183 QTK262183:QTN262183 RDG262183:RDJ262183 RNC262183:RNF262183 RWY262183:RXB262183 SGU262183:SGX262183 SQQ262183:SQT262183 TAM262183:TAP262183 TKI262183:TKL262183 TUE262183:TUH262183 UEA262183:UED262183 UNW262183:UNZ262183 UXS262183:UXV262183 VHO262183:VHR262183 VRK262183:VRN262183 WBG262183:WBJ262183 WLC262183:WLF262183 WUY262183:WVB262183 AK327719:AN327719 IM327719:IP327719 SI327719:SL327719 ACE327719:ACH327719 AMA327719:AMD327719 AVW327719:AVZ327719 BFS327719:BFV327719 BPO327719:BPR327719 BZK327719:BZN327719 CJG327719:CJJ327719 CTC327719:CTF327719 DCY327719:DDB327719 DMU327719:DMX327719 DWQ327719:DWT327719 EGM327719:EGP327719 EQI327719:EQL327719 FAE327719:FAH327719 FKA327719:FKD327719 FTW327719:FTZ327719 GDS327719:GDV327719 GNO327719:GNR327719 GXK327719:GXN327719 HHG327719:HHJ327719 HRC327719:HRF327719 IAY327719:IBB327719 IKU327719:IKX327719 IUQ327719:IUT327719 JEM327719:JEP327719 JOI327719:JOL327719 JYE327719:JYH327719 KIA327719:KID327719 KRW327719:KRZ327719 LBS327719:LBV327719 LLO327719:LLR327719 LVK327719:LVN327719 MFG327719:MFJ327719 MPC327719:MPF327719 MYY327719:MZB327719 NIU327719:NIX327719 NSQ327719:NST327719 OCM327719:OCP327719 OMI327719:OML327719 OWE327719:OWH327719 PGA327719:PGD327719 PPW327719:PPZ327719 PZS327719:PZV327719 QJO327719:QJR327719 QTK327719:QTN327719 RDG327719:RDJ327719 RNC327719:RNF327719 RWY327719:RXB327719 SGU327719:SGX327719 SQQ327719:SQT327719 TAM327719:TAP327719 TKI327719:TKL327719 TUE327719:TUH327719 UEA327719:UED327719 UNW327719:UNZ327719 UXS327719:UXV327719 VHO327719:VHR327719 VRK327719:VRN327719 WBG327719:WBJ327719 WLC327719:WLF327719 WUY327719:WVB327719 AK393255:AN393255 IM393255:IP393255 SI393255:SL393255 ACE393255:ACH393255 AMA393255:AMD393255 AVW393255:AVZ393255 BFS393255:BFV393255 BPO393255:BPR393255 BZK393255:BZN393255 CJG393255:CJJ393255 CTC393255:CTF393255 DCY393255:DDB393255 DMU393255:DMX393255 DWQ393255:DWT393255 EGM393255:EGP393255 EQI393255:EQL393255 FAE393255:FAH393255 FKA393255:FKD393255 FTW393255:FTZ393255 GDS393255:GDV393255 GNO393255:GNR393255 GXK393255:GXN393255 HHG393255:HHJ393255 HRC393255:HRF393255 IAY393255:IBB393255 IKU393255:IKX393255 IUQ393255:IUT393255 JEM393255:JEP393255 JOI393255:JOL393255 JYE393255:JYH393255 KIA393255:KID393255 KRW393255:KRZ393255 LBS393255:LBV393255 LLO393255:LLR393255 LVK393255:LVN393255 MFG393255:MFJ393255 MPC393255:MPF393255 MYY393255:MZB393255 NIU393255:NIX393255 NSQ393255:NST393255 OCM393255:OCP393255 OMI393255:OML393255 OWE393255:OWH393255 PGA393255:PGD393255 PPW393255:PPZ393255 PZS393255:PZV393255 QJO393255:QJR393255 QTK393255:QTN393255 RDG393255:RDJ393255 RNC393255:RNF393255 RWY393255:RXB393255 SGU393255:SGX393255 SQQ393255:SQT393255 TAM393255:TAP393255 TKI393255:TKL393255 TUE393255:TUH393255 UEA393255:UED393255 UNW393255:UNZ393255 UXS393255:UXV393255 VHO393255:VHR393255 VRK393255:VRN393255 WBG393255:WBJ393255 WLC393255:WLF393255 WUY393255:WVB393255 AK458791:AN458791 IM458791:IP458791 SI458791:SL458791 ACE458791:ACH458791 AMA458791:AMD458791 AVW458791:AVZ458791 BFS458791:BFV458791 BPO458791:BPR458791 BZK458791:BZN458791 CJG458791:CJJ458791 CTC458791:CTF458791 DCY458791:DDB458791 DMU458791:DMX458791 DWQ458791:DWT458791 EGM458791:EGP458791 EQI458791:EQL458791 FAE458791:FAH458791 FKA458791:FKD458791 FTW458791:FTZ458791 GDS458791:GDV458791 GNO458791:GNR458791 GXK458791:GXN458791 HHG458791:HHJ458791 HRC458791:HRF458791 IAY458791:IBB458791 IKU458791:IKX458791 IUQ458791:IUT458791 JEM458791:JEP458791 JOI458791:JOL458791 JYE458791:JYH458791 KIA458791:KID458791 KRW458791:KRZ458791 LBS458791:LBV458791 LLO458791:LLR458791 LVK458791:LVN458791 MFG458791:MFJ458791 MPC458791:MPF458791 MYY458791:MZB458791 NIU458791:NIX458791 NSQ458791:NST458791 OCM458791:OCP458791 OMI458791:OML458791 OWE458791:OWH458791 PGA458791:PGD458791 PPW458791:PPZ458791 PZS458791:PZV458791 QJO458791:QJR458791 QTK458791:QTN458791 RDG458791:RDJ458791 RNC458791:RNF458791 RWY458791:RXB458791 SGU458791:SGX458791 SQQ458791:SQT458791 TAM458791:TAP458791 TKI458791:TKL458791 TUE458791:TUH458791 UEA458791:UED458791 UNW458791:UNZ458791 UXS458791:UXV458791 VHO458791:VHR458791 VRK458791:VRN458791 WBG458791:WBJ458791 WLC458791:WLF458791 WUY458791:WVB458791 AK524327:AN524327 IM524327:IP524327 SI524327:SL524327 ACE524327:ACH524327 AMA524327:AMD524327 AVW524327:AVZ524327 BFS524327:BFV524327 BPO524327:BPR524327 BZK524327:BZN524327 CJG524327:CJJ524327 CTC524327:CTF524327 DCY524327:DDB524327 DMU524327:DMX524327 DWQ524327:DWT524327 EGM524327:EGP524327 EQI524327:EQL524327 FAE524327:FAH524327 FKA524327:FKD524327 FTW524327:FTZ524327 GDS524327:GDV524327 GNO524327:GNR524327 GXK524327:GXN524327 HHG524327:HHJ524327 HRC524327:HRF524327 IAY524327:IBB524327 IKU524327:IKX524327 IUQ524327:IUT524327 JEM524327:JEP524327 JOI524327:JOL524327 JYE524327:JYH524327 KIA524327:KID524327 KRW524327:KRZ524327 LBS524327:LBV524327 LLO524327:LLR524327 LVK524327:LVN524327 MFG524327:MFJ524327 MPC524327:MPF524327 MYY524327:MZB524327 NIU524327:NIX524327 NSQ524327:NST524327 OCM524327:OCP524327 OMI524327:OML524327 OWE524327:OWH524327 PGA524327:PGD524327 PPW524327:PPZ524327 PZS524327:PZV524327 QJO524327:QJR524327 QTK524327:QTN524327 RDG524327:RDJ524327 RNC524327:RNF524327 RWY524327:RXB524327 SGU524327:SGX524327 SQQ524327:SQT524327 TAM524327:TAP524327 TKI524327:TKL524327 TUE524327:TUH524327 UEA524327:UED524327 UNW524327:UNZ524327 UXS524327:UXV524327 VHO524327:VHR524327 VRK524327:VRN524327 WBG524327:WBJ524327 WLC524327:WLF524327 WUY524327:WVB524327 AK589863:AN589863 IM589863:IP589863 SI589863:SL589863 ACE589863:ACH589863 AMA589863:AMD589863 AVW589863:AVZ589863 BFS589863:BFV589863 BPO589863:BPR589863 BZK589863:BZN589863 CJG589863:CJJ589863 CTC589863:CTF589863 DCY589863:DDB589863 DMU589863:DMX589863 DWQ589863:DWT589863 EGM589863:EGP589863 EQI589863:EQL589863 FAE589863:FAH589863 FKA589863:FKD589863 FTW589863:FTZ589863 GDS589863:GDV589863 GNO589863:GNR589863 GXK589863:GXN589863 HHG589863:HHJ589863 HRC589863:HRF589863 IAY589863:IBB589863 IKU589863:IKX589863 IUQ589863:IUT589863 JEM589863:JEP589863 JOI589863:JOL589863 JYE589863:JYH589863 KIA589863:KID589863 KRW589863:KRZ589863 LBS589863:LBV589863 LLO589863:LLR589863 LVK589863:LVN589863 MFG589863:MFJ589863 MPC589863:MPF589863 MYY589863:MZB589863 NIU589863:NIX589863 NSQ589863:NST589863 OCM589863:OCP589863 OMI589863:OML589863 OWE589863:OWH589863 PGA589863:PGD589863 PPW589863:PPZ589863 PZS589863:PZV589863 QJO589863:QJR589863 QTK589863:QTN589863 RDG589863:RDJ589863 RNC589863:RNF589863 RWY589863:RXB589863 SGU589863:SGX589863 SQQ589863:SQT589863 TAM589863:TAP589863 TKI589863:TKL589863 TUE589863:TUH589863 UEA589863:UED589863 UNW589863:UNZ589863 UXS589863:UXV589863 VHO589863:VHR589863 VRK589863:VRN589863 WBG589863:WBJ589863 WLC589863:WLF589863 WUY589863:WVB589863 AK655399:AN655399 IM655399:IP655399 SI655399:SL655399 ACE655399:ACH655399 AMA655399:AMD655399 AVW655399:AVZ655399 BFS655399:BFV655399 BPO655399:BPR655399 BZK655399:BZN655399 CJG655399:CJJ655399 CTC655399:CTF655399 DCY655399:DDB655399 DMU655399:DMX655399 DWQ655399:DWT655399 EGM655399:EGP655399 EQI655399:EQL655399 FAE655399:FAH655399 FKA655399:FKD655399 FTW655399:FTZ655399 GDS655399:GDV655399 GNO655399:GNR655399 GXK655399:GXN655399 HHG655399:HHJ655399 HRC655399:HRF655399 IAY655399:IBB655399 IKU655399:IKX655399 IUQ655399:IUT655399 JEM655399:JEP655399 JOI655399:JOL655399 JYE655399:JYH655399 KIA655399:KID655399 KRW655399:KRZ655399 LBS655399:LBV655399 LLO655399:LLR655399 LVK655399:LVN655399 MFG655399:MFJ655399 MPC655399:MPF655399 MYY655399:MZB655399 NIU655399:NIX655399 NSQ655399:NST655399 OCM655399:OCP655399 OMI655399:OML655399 OWE655399:OWH655399 PGA655399:PGD655399 PPW655399:PPZ655399 PZS655399:PZV655399 QJO655399:QJR655399 QTK655399:QTN655399 RDG655399:RDJ655399 RNC655399:RNF655399 RWY655399:RXB655399 SGU655399:SGX655399 SQQ655399:SQT655399 TAM655399:TAP655399 TKI655399:TKL655399 TUE655399:TUH655399 UEA655399:UED655399 UNW655399:UNZ655399 UXS655399:UXV655399 VHO655399:VHR655399 VRK655399:VRN655399 WBG655399:WBJ655399 WLC655399:WLF655399 WUY655399:WVB655399 AK720935:AN720935 IM720935:IP720935 SI720935:SL720935 ACE720935:ACH720935 AMA720935:AMD720935 AVW720935:AVZ720935 BFS720935:BFV720935 BPO720935:BPR720935 BZK720935:BZN720935 CJG720935:CJJ720935 CTC720935:CTF720935 DCY720935:DDB720935 DMU720935:DMX720935 DWQ720935:DWT720935 EGM720935:EGP720935 EQI720935:EQL720935 FAE720935:FAH720935 FKA720935:FKD720935 FTW720935:FTZ720935 GDS720935:GDV720935 GNO720935:GNR720935 GXK720935:GXN720935 HHG720935:HHJ720935 HRC720935:HRF720935 IAY720935:IBB720935 IKU720935:IKX720935 IUQ720935:IUT720935 JEM720935:JEP720935 JOI720935:JOL720935 JYE720935:JYH720935 KIA720935:KID720935 KRW720935:KRZ720935 LBS720935:LBV720935 LLO720935:LLR720935 LVK720935:LVN720935 MFG720935:MFJ720935 MPC720935:MPF720935 MYY720935:MZB720935 NIU720935:NIX720935 NSQ720935:NST720935 OCM720935:OCP720935 OMI720935:OML720935 OWE720935:OWH720935 PGA720935:PGD720935 PPW720935:PPZ720935 PZS720935:PZV720935 QJO720935:QJR720935 QTK720935:QTN720935 RDG720935:RDJ720935 RNC720935:RNF720935 RWY720935:RXB720935 SGU720935:SGX720935 SQQ720935:SQT720935 TAM720935:TAP720935 TKI720935:TKL720935 TUE720935:TUH720935 UEA720935:UED720935 UNW720935:UNZ720935 UXS720935:UXV720935 VHO720935:VHR720935 VRK720935:VRN720935 WBG720935:WBJ720935 WLC720935:WLF720935 WUY720935:WVB720935 AK786471:AN786471 IM786471:IP786471 SI786471:SL786471 ACE786471:ACH786471 AMA786471:AMD786471 AVW786471:AVZ786471 BFS786471:BFV786471 BPO786471:BPR786471 BZK786471:BZN786471 CJG786471:CJJ786471 CTC786471:CTF786471 DCY786471:DDB786471 DMU786471:DMX786471 DWQ786471:DWT786471 EGM786471:EGP786471 EQI786471:EQL786471 FAE786471:FAH786471 FKA786471:FKD786471 FTW786471:FTZ786471 GDS786471:GDV786471 GNO786471:GNR786471 GXK786471:GXN786471 HHG786471:HHJ786471 HRC786471:HRF786471 IAY786471:IBB786471 IKU786471:IKX786471 IUQ786471:IUT786471 JEM786471:JEP786471 JOI786471:JOL786471 JYE786471:JYH786471 KIA786471:KID786471 KRW786471:KRZ786471 LBS786471:LBV786471 LLO786471:LLR786471 LVK786471:LVN786471 MFG786471:MFJ786471 MPC786471:MPF786471 MYY786471:MZB786471 NIU786471:NIX786471 NSQ786471:NST786471 OCM786471:OCP786471 OMI786471:OML786471 OWE786471:OWH786471 PGA786471:PGD786471 PPW786471:PPZ786471 PZS786471:PZV786471 QJO786471:QJR786471 QTK786471:QTN786471 RDG786471:RDJ786471 RNC786471:RNF786471 RWY786471:RXB786471 SGU786471:SGX786471 SQQ786471:SQT786471 TAM786471:TAP786471 TKI786471:TKL786471 TUE786471:TUH786471 UEA786471:UED786471 UNW786471:UNZ786471 UXS786471:UXV786471 VHO786471:VHR786471 VRK786471:VRN786471 WBG786471:WBJ786471 WLC786471:WLF786471 WUY786471:WVB786471 AK852007:AN852007 IM852007:IP852007 SI852007:SL852007 ACE852007:ACH852007 AMA852007:AMD852007 AVW852007:AVZ852007 BFS852007:BFV852007 BPO852007:BPR852007 BZK852007:BZN852007 CJG852007:CJJ852007 CTC852007:CTF852007 DCY852007:DDB852007 DMU852007:DMX852007 DWQ852007:DWT852007 EGM852007:EGP852007 EQI852007:EQL852007 FAE852007:FAH852007 FKA852007:FKD852007 FTW852007:FTZ852007 GDS852007:GDV852007 GNO852007:GNR852007 GXK852007:GXN852007 HHG852007:HHJ852007 HRC852007:HRF852007 IAY852007:IBB852007 IKU852007:IKX852007 IUQ852007:IUT852007 JEM852007:JEP852007 JOI852007:JOL852007 JYE852007:JYH852007 KIA852007:KID852007 KRW852007:KRZ852007 LBS852007:LBV852007 LLO852007:LLR852007 LVK852007:LVN852007 MFG852007:MFJ852007 MPC852007:MPF852007 MYY852007:MZB852007 NIU852007:NIX852007 NSQ852007:NST852007 OCM852007:OCP852007 OMI852007:OML852007 OWE852007:OWH852007 PGA852007:PGD852007 PPW852007:PPZ852007 PZS852007:PZV852007 QJO852007:QJR852007 QTK852007:QTN852007 RDG852007:RDJ852007 RNC852007:RNF852007 RWY852007:RXB852007 SGU852007:SGX852007 SQQ852007:SQT852007 TAM852007:TAP852007 TKI852007:TKL852007 TUE852007:TUH852007 UEA852007:UED852007 UNW852007:UNZ852007 UXS852007:UXV852007 VHO852007:VHR852007 VRK852007:VRN852007 WBG852007:WBJ852007 WLC852007:WLF852007 WUY852007:WVB852007 AK917543:AN917543 IM917543:IP917543 SI917543:SL917543 ACE917543:ACH917543 AMA917543:AMD917543 AVW917543:AVZ917543 BFS917543:BFV917543 BPO917543:BPR917543 BZK917543:BZN917543 CJG917543:CJJ917543 CTC917543:CTF917543 DCY917543:DDB917543 DMU917543:DMX917543 DWQ917543:DWT917543 EGM917543:EGP917543 EQI917543:EQL917543 FAE917543:FAH917543 FKA917543:FKD917543 FTW917543:FTZ917543 GDS917543:GDV917543 GNO917543:GNR917543 GXK917543:GXN917543 HHG917543:HHJ917543 HRC917543:HRF917543 IAY917543:IBB917543 IKU917543:IKX917543 IUQ917543:IUT917543 JEM917543:JEP917543 JOI917543:JOL917543 JYE917543:JYH917543 KIA917543:KID917543 KRW917543:KRZ917543 LBS917543:LBV917543 LLO917543:LLR917543 LVK917543:LVN917543 MFG917543:MFJ917543 MPC917543:MPF917543 MYY917543:MZB917543 NIU917543:NIX917543 NSQ917543:NST917543 OCM917543:OCP917543 OMI917543:OML917543 OWE917543:OWH917543 PGA917543:PGD917543 PPW917543:PPZ917543 PZS917543:PZV917543 QJO917543:QJR917543 QTK917543:QTN917543 RDG917543:RDJ917543 RNC917543:RNF917543 RWY917543:RXB917543 SGU917543:SGX917543 SQQ917543:SQT917543 TAM917543:TAP917543 TKI917543:TKL917543 TUE917543:TUH917543 UEA917543:UED917543 UNW917543:UNZ917543 UXS917543:UXV917543 VHO917543:VHR917543 VRK917543:VRN917543 WBG917543:WBJ917543 WLC917543:WLF917543 WUY917543:WVB917543" xr:uid="{1F41FD54-6119-4DAF-A90D-E246A62C70A7}">
      <formula1>"○"</formula1>
    </dataValidation>
    <dataValidation type="list" allowBlank="1" showInputMessage="1" showErrorMessage="1" sqref="WUE983032:WUO983069 Q11:W27 Q5:W9 WAM5:WAW27 VQQ5:VRA27 VGU5:VHE27 UWY5:UXI27 UNC5:UNM27 UDG5:UDQ27 TTK5:TTU27 TJO5:TJY27 SZS5:TAC27 SPW5:SQG27 SGA5:SGK27 RWE5:RWO27 RMI5:RMS27 RCM5:RCW27 QSQ5:QTA27 QIU5:QJE27 PYY5:PZI27 PPC5:PPM27 PFG5:PFQ27 OVK5:OVU27 OLO5:OLY27 OBS5:OCC27 NRW5:NSG27 NIA5:NIK27 MYE5:MYO27 MOI5:MOS27 MEM5:MEW27 LUQ5:LVA27 LKU5:LLE27 LAY5:LBI27 KRC5:KRM27 KHG5:KHQ27 JXK5:JXU27 JNO5:JNY27 JDS5:JEC27 ITW5:IUG27 IKA5:IKK27 IAE5:IAO27 HQI5:HQS27 HGM5:HGW27 GWQ5:GXA27 GMU5:GNE27 GCY5:GDI27 FTC5:FTM27 FJG5:FJQ27 EZK5:EZU27 EPO5:EPY27 EFS5:EGC27 DVW5:DWG27 DMA5:DMK27 DCE5:DCO27 CSI5:CSS27 CIM5:CIW27 BYQ5:BZA27 BOU5:BPE27 BEY5:BFI27 AVC5:AVM27 ALG5:ALQ27 ABK5:ABU27 RO5:RY27 HS5:IC27 WUE5:WUO27 WKI5:WKS27 WKI983032:WKS983069 WAM983032:WAW983069 VQQ983032:VRA983069 VGU983032:VHE983069 UWY983032:UXI983069 UNC983032:UNM983069 UDG983032:UDQ983069 TTK983032:TTU983069 TJO983032:TJY983069 SZS983032:TAC983069 SPW983032:SQG983069 SGA983032:SGK983069 RWE983032:RWO983069 RMI983032:RMS983069 RCM983032:RCW983069 QSQ983032:QTA983069 QIU983032:QJE983069 PYY983032:PZI983069 PPC983032:PPM983069 PFG983032:PFQ983069 OVK983032:OVU983069 OLO983032:OLY983069 OBS983032:OCC983069 NRW983032:NSG983069 NIA983032:NIK983069 MYE983032:MYO983069 MOI983032:MOS983069 MEM983032:MEW983069 LUQ983032:LVA983069 LKU983032:LLE983069 LAY983032:LBI983069 KRC983032:KRM983069 KHG983032:KHQ983069 JXK983032:JXU983069 JNO983032:JNY983069 JDS983032:JEC983069 ITW983032:IUG983069 IKA983032:IKK983069 IAE983032:IAO983069 HQI983032:HQS983069 HGM983032:HGW983069 GWQ983032:GXA983069 GMU983032:GNE983069 GCY983032:GDI983069 FTC983032:FTM983069 FJG983032:FJQ983069 EZK983032:EZU983069 EPO983032:EPY983069 EFS983032:EGC983069 DVW983032:DWG983069 DMA983032:DMK983069 DCE983032:DCO983069 CSI983032:CSS983069 CIM983032:CIW983069 BYQ983032:BZA983069 BOU983032:BPE983069 BEY983032:BFI983069 AVC983032:AVM983069 ALG983032:ALQ983069 ABK983032:ABU983069 RO983032:RY983069 HS983032:IC983069 Q983032:AA983069 WUE917496:WUO917533 WKI917496:WKS917533 WAM917496:WAW917533 VQQ917496:VRA917533 VGU917496:VHE917533 UWY917496:UXI917533 UNC917496:UNM917533 UDG917496:UDQ917533 TTK917496:TTU917533 TJO917496:TJY917533 SZS917496:TAC917533 SPW917496:SQG917533 SGA917496:SGK917533 RWE917496:RWO917533 RMI917496:RMS917533 RCM917496:RCW917533 QSQ917496:QTA917533 QIU917496:QJE917533 PYY917496:PZI917533 PPC917496:PPM917533 PFG917496:PFQ917533 OVK917496:OVU917533 OLO917496:OLY917533 OBS917496:OCC917533 NRW917496:NSG917533 NIA917496:NIK917533 MYE917496:MYO917533 MOI917496:MOS917533 MEM917496:MEW917533 LUQ917496:LVA917533 LKU917496:LLE917533 LAY917496:LBI917533 KRC917496:KRM917533 KHG917496:KHQ917533 JXK917496:JXU917533 JNO917496:JNY917533 JDS917496:JEC917533 ITW917496:IUG917533 IKA917496:IKK917533 IAE917496:IAO917533 HQI917496:HQS917533 HGM917496:HGW917533 GWQ917496:GXA917533 GMU917496:GNE917533 GCY917496:GDI917533 FTC917496:FTM917533 FJG917496:FJQ917533 EZK917496:EZU917533 EPO917496:EPY917533 EFS917496:EGC917533 DVW917496:DWG917533 DMA917496:DMK917533 DCE917496:DCO917533 CSI917496:CSS917533 CIM917496:CIW917533 BYQ917496:BZA917533 BOU917496:BPE917533 BEY917496:BFI917533 AVC917496:AVM917533 ALG917496:ALQ917533 ABK917496:ABU917533 RO917496:RY917533 HS917496:IC917533 Q917496:AA917533 WUE851960:WUO851997 WKI851960:WKS851997 WAM851960:WAW851997 VQQ851960:VRA851997 VGU851960:VHE851997 UWY851960:UXI851997 UNC851960:UNM851997 UDG851960:UDQ851997 TTK851960:TTU851997 TJO851960:TJY851997 SZS851960:TAC851997 SPW851960:SQG851997 SGA851960:SGK851997 RWE851960:RWO851997 RMI851960:RMS851997 RCM851960:RCW851997 QSQ851960:QTA851997 QIU851960:QJE851997 PYY851960:PZI851997 PPC851960:PPM851997 PFG851960:PFQ851997 OVK851960:OVU851997 OLO851960:OLY851997 OBS851960:OCC851997 NRW851960:NSG851997 NIA851960:NIK851997 MYE851960:MYO851997 MOI851960:MOS851997 MEM851960:MEW851997 LUQ851960:LVA851997 LKU851960:LLE851997 LAY851960:LBI851997 KRC851960:KRM851997 KHG851960:KHQ851997 JXK851960:JXU851997 JNO851960:JNY851997 JDS851960:JEC851997 ITW851960:IUG851997 IKA851960:IKK851997 IAE851960:IAO851997 HQI851960:HQS851997 HGM851960:HGW851997 GWQ851960:GXA851997 GMU851960:GNE851997 GCY851960:GDI851997 FTC851960:FTM851997 FJG851960:FJQ851997 EZK851960:EZU851997 EPO851960:EPY851997 EFS851960:EGC851997 DVW851960:DWG851997 DMA851960:DMK851997 DCE851960:DCO851997 CSI851960:CSS851997 CIM851960:CIW851997 BYQ851960:BZA851997 BOU851960:BPE851997 BEY851960:BFI851997 AVC851960:AVM851997 ALG851960:ALQ851997 ABK851960:ABU851997 RO851960:RY851997 HS851960:IC851997 Q851960:AA851997 WUE786424:WUO786461 WKI786424:WKS786461 WAM786424:WAW786461 VQQ786424:VRA786461 VGU786424:VHE786461 UWY786424:UXI786461 UNC786424:UNM786461 UDG786424:UDQ786461 TTK786424:TTU786461 TJO786424:TJY786461 SZS786424:TAC786461 SPW786424:SQG786461 SGA786424:SGK786461 RWE786424:RWO786461 RMI786424:RMS786461 RCM786424:RCW786461 QSQ786424:QTA786461 QIU786424:QJE786461 PYY786424:PZI786461 PPC786424:PPM786461 PFG786424:PFQ786461 OVK786424:OVU786461 OLO786424:OLY786461 OBS786424:OCC786461 NRW786424:NSG786461 NIA786424:NIK786461 MYE786424:MYO786461 MOI786424:MOS786461 MEM786424:MEW786461 LUQ786424:LVA786461 LKU786424:LLE786461 LAY786424:LBI786461 KRC786424:KRM786461 KHG786424:KHQ786461 JXK786424:JXU786461 JNO786424:JNY786461 JDS786424:JEC786461 ITW786424:IUG786461 IKA786424:IKK786461 IAE786424:IAO786461 HQI786424:HQS786461 HGM786424:HGW786461 GWQ786424:GXA786461 GMU786424:GNE786461 GCY786424:GDI786461 FTC786424:FTM786461 FJG786424:FJQ786461 EZK786424:EZU786461 EPO786424:EPY786461 EFS786424:EGC786461 DVW786424:DWG786461 DMA786424:DMK786461 DCE786424:DCO786461 CSI786424:CSS786461 CIM786424:CIW786461 BYQ786424:BZA786461 BOU786424:BPE786461 BEY786424:BFI786461 AVC786424:AVM786461 ALG786424:ALQ786461 ABK786424:ABU786461 RO786424:RY786461 HS786424:IC786461 Q786424:AA786461 WUE720888:WUO720925 WKI720888:WKS720925 WAM720888:WAW720925 VQQ720888:VRA720925 VGU720888:VHE720925 UWY720888:UXI720925 UNC720888:UNM720925 UDG720888:UDQ720925 TTK720888:TTU720925 TJO720888:TJY720925 SZS720888:TAC720925 SPW720888:SQG720925 SGA720888:SGK720925 RWE720888:RWO720925 RMI720888:RMS720925 RCM720888:RCW720925 QSQ720888:QTA720925 QIU720888:QJE720925 PYY720888:PZI720925 PPC720888:PPM720925 PFG720888:PFQ720925 OVK720888:OVU720925 OLO720888:OLY720925 OBS720888:OCC720925 NRW720888:NSG720925 NIA720888:NIK720925 MYE720888:MYO720925 MOI720888:MOS720925 MEM720888:MEW720925 LUQ720888:LVA720925 LKU720888:LLE720925 LAY720888:LBI720925 KRC720888:KRM720925 KHG720888:KHQ720925 JXK720888:JXU720925 JNO720888:JNY720925 JDS720888:JEC720925 ITW720888:IUG720925 IKA720888:IKK720925 IAE720888:IAO720925 HQI720888:HQS720925 HGM720888:HGW720925 GWQ720888:GXA720925 GMU720888:GNE720925 GCY720888:GDI720925 FTC720888:FTM720925 FJG720888:FJQ720925 EZK720888:EZU720925 EPO720888:EPY720925 EFS720888:EGC720925 DVW720888:DWG720925 DMA720888:DMK720925 DCE720888:DCO720925 CSI720888:CSS720925 CIM720888:CIW720925 BYQ720888:BZA720925 BOU720888:BPE720925 BEY720888:BFI720925 AVC720888:AVM720925 ALG720888:ALQ720925 ABK720888:ABU720925 RO720888:RY720925 HS720888:IC720925 Q720888:AA720925 WUE655352:WUO655389 WKI655352:WKS655389 WAM655352:WAW655389 VQQ655352:VRA655389 VGU655352:VHE655389 UWY655352:UXI655389 UNC655352:UNM655389 UDG655352:UDQ655389 TTK655352:TTU655389 TJO655352:TJY655389 SZS655352:TAC655389 SPW655352:SQG655389 SGA655352:SGK655389 RWE655352:RWO655389 RMI655352:RMS655389 RCM655352:RCW655389 QSQ655352:QTA655389 QIU655352:QJE655389 PYY655352:PZI655389 PPC655352:PPM655389 PFG655352:PFQ655389 OVK655352:OVU655389 OLO655352:OLY655389 OBS655352:OCC655389 NRW655352:NSG655389 NIA655352:NIK655389 MYE655352:MYO655389 MOI655352:MOS655389 MEM655352:MEW655389 LUQ655352:LVA655389 LKU655352:LLE655389 LAY655352:LBI655389 KRC655352:KRM655389 KHG655352:KHQ655389 JXK655352:JXU655389 JNO655352:JNY655389 JDS655352:JEC655389 ITW655352:IUG655389 IKA655352:IKK655389 IAE655352:IAO655389 HQI655352:HQS655389 HGM655352:HGW655389 GWQ655352:GXA655389 GMU655352:GNE655389 GCY655352:GDI655389 FTC655352:FTM655389 FJG655352:FJQ655389 EZK655352:EZU655389 EPO655352:EPY655389 EFS655352:EGC655389 DVW655352:DWG655389 DMA655352:DMK655389 DCE655352:DCO655389 CSI655352:CSS655389 CIM655352:CIW655389 BYQ655352:BZA655389 BOU655352:BPE655389 BEY655352:BFI655389 AVC655352:AVM655389 ALG655352:ALQ655389 ABK655352:ABU655389 RO655352:RY655389 HS655352:IC655389 Q655352:AA655389 WUE589816:WUO589853 WKI589816:WKS589853 WAM589816:WAW589853 VQQ589816:VRA589853 VGU589816:VHE589853 UWY589816:UXI589853 UNC589816:UNM589853 UDG589816:UDQ589853 TTK589816:TTU589853 TJO589816:TJY589853 SZS589816:TAC589853 SPW589816:SQG589853 SGA589816:SGK589853 RWE589816:RWO589853 RMI589816:RMS589853 RCM589816:RCW589853 QSQ589816:QTA589853 QIU589816:QJE589853 PYY589816:PZI589853 PPC589816:PPM589853 PFG589816:PFQ589853 OVK589816:OVU589853 OLO589816:OLY589853 OBS589816:OCC589853 NRW589816:NSG589853 NIA589816:NIK589853 MYE589816:MYO589853 MOI589816:MOS589853 MEM589816:MEW589853 LUQ589816:LVA589853 LKU589816:LLE589853 LAY589816:LBI589853 KRC589816:KRM589853 KHG589816:KHQ589853 JXK589816:JXU589853 JNO589816:JNY589853 JDS589816:JEC589853 ITW589816:IUG589853 IKA589816:IKK589853 IAE589816:IAO589853 HQI589816:HQS589853 HGM589816:HGW589853 GWQ589816:GXA589853 GMU589816:GNE589853 GCY589816:GDI589853 FTC589816:FTM589853 FJG589816:FJQ589853 EZK589816:EZU589853 EPO589816:EPY589853 EFS589816:EGC589853 DVW589816:DWG589853 DMA589816:DMK589853 DCE589816:DCO589853 CSI589816:CSS589853 CIM589816:CIW589853 BYQ589816:BZA589853 BOU589816:BPE589853 BEY589816:BFI589853 AVC589816:AVM589853 ALG589816:ALQ589853 ABK589816:ABU589853 RO589816:RY589853 HS589816:IC589853 Q589816:AA589853 WUE524280:WUO524317 WKI524280:WKS524317 WAM524280:WAW524317 VQQ524280:VRA524317 VGU524280:VHE524317 UWY524280:UXI524317 UNC524280:UNM524317 UDG524280:UDQ524317 TTK524280:TTU524317 TJO524280:TJY524317 SZS524280:TAC524317 SPW524280:SQG524317 SGA524280:SGK524317 RWE524280:RWO524317 RMI524280:RMS524317 RCM524280:RCW524317 QSQ524280:QTA524317 QIU524280:QJE524317 PYY524280:PZI524317 PPC524280:PPM524317 PFG524280:PFQ524317 OVK524280:OVU524317 OLO524280:OLY524317 OBS524280:OCC524317 NRW524280:NSG524317 NIA524280:NIK524317 MYE524280:MYO524317 MOI524280:MOS524317 MEM524280:MEW524317 LUQ524280:LVA524317 LKU524280:LLE524317 LAY524280:LBI524317 KRC524280:KRM524317 KHG524280:KHQ524317 JXK524280:JXU524317 JNO524280:JNY524317 JDS524280:JEC524317 ITW524280:IUG524317 IKA524280:IKK524317 IAE524280:IAO524317 HQI524280:HQS524317 HGM524280:HGW524317 GWQ524280:GXA524317 GMU524280:GNE524317 GCY524280:GDI524317 FTC524280:FTM524317 FJG524280:FJQ524317 EZK524280:EZU524317 EPO524280:EPY524317 EFS524280:EGC524317 DVW524280:DWG524317 DMA524280:DMK524317 DCE524280:DCO524317 CSI524280:CSS524317 CIM524280:CIW524317 BYQ524280:BZA524317 BOU524280:BPE524317 BEY524280:BFI524317 AVC524280:AVM524317 ALG524280:ALQ524317 ABK524280:ABU524317 RO524280:RY524317 HS524280:IC524317 Q524280:AA524317 WUE458744:WUO458781 WKI458744:WKS458781 WAM458744:WAW458781 VQQ458744:VRA458781 VGU458744:VHE458781 UWY458744:UXI458781 UNC458744:UNM458781 UDG458744:UDQ458781 TTK458744:TTU458781 TJO458744:TJY458781 SZS458744:TAC458781 SPW458744:SQG458781 SGA458744:SGK458781 RWE458744:RWO458781 RMI458744:RMS458781 RCM458744:RCW458781 QSQ458744:QTA458781 QIU458744:QJE458781 PYY458744:PZI458781 PPC458744:PPM458781 PFG458744:PFQ458781 OVK458744:OVU458781 OLO458744:OLY458781 OBS458744:OCC458781 NRW458744:NSG458781 NIA458744:NIK458781 MYE458744:MYO458781 MOI458744:MOS458781 MEM458744:MEW458781 LUQ458744:LVA458781 LKU458744:LLE458781 LAY458744:LBI458781 KRC458744:KRM458781 KHG458744:KHQ458781 JXK458744:JXU458781 JNO458744:JNY458781 JDS458744:JEC458781 ITW458744:IUG458781 IKA458744:IKK458781 IAE458744:IAO458781 HQI458744:HQS458781 HGM458744:HGW458781 GWQ458744:GXA458781 GMU458744:GNE458781 GCY458744:GDI458781 FTC458744:FTM458781 FJG458744:FJQ458781 EZK458744:EZU458781 EPO458744:EPY458781 EFS458744:EGC458781 DVW458744:DWG458781 DMA458744:DMK458781 DCE458744:DCO458781 CSI458744:CSS458781 CIM458744:CIW458781 BYQ458744:BZA458781 BOU458744:BPE458781 BEY458744:BFI458781 AVC458744:AVM458781 ALG458744:ALQ458781 ABK458744:ABU458781 RO458744:RY458781 HS458744:IC458781 Q458744:AA458781 WUE393208:WUO393245 WKI393208:WKS393245 WAM393208:WAW393245 VQQ393208:VRA393245 VGU393208:VHE393245 UWY393208:UXI393245 UNC393208:UNM393245 UDG393208:UDQ393245 TTK393208:TTU393245 TJO393208:TJY393245 SZS393208:TAC393245 SPW393208:SQG393245 SGA393208:SGK393245 RWE393208:RWO393245 RMI393208:RMS393245 RCM393208:RCW393245 QSQ393208:QTA393245 QIU393208:QJE393245 PYY393208:PZI393245 PPC393208:PPM393245 PFG393208:PFQ393245 OVK393208:OVU393245 OLO393208:OLY393245 OBS393208:OCC393245 NRW393208:NSG393245 NIA393208:NIK393245 MYE393208:MYO393245 MOI393208:MOS393245 MEM393208:MEW393245 LUQ393208:LVA393245 LKU393208:LLE393245 LAY393208:LBI393245 KRC393208:KRM393245 KHG393208:KHQ393245 JXK393208:JXU393245 JNO393208:JNY393245 JDS393208:JEC393245 ITW393208:IUG393245 IKA393208:IKK393245 IAE393208:IAO393245 HQI393208:HQS393245 HGM393208:HGW393245 GWQ393208:GXA393245 GMU393208:GNE393245 GCY393208:GDI393245 FTC393208:FTM393245 FJG393208:FJQ393245 EZK393208:EZU393245 EPO393208:EPY393245 EFS393208:EGC393245 DVW393208:DWG393245 DMA393208:DMK393245 DCE393208:DCO393245 CSI393208:CSS393245 CIM393208:CIW393245 BYQ393208:BZA393245 BOU393208:BPE393245 BEY393208:BFI393245 AVC393208:AVM393245 ALG393208:ALQ393245 ABK393208:ABU393245 RO393208:RY393245 HS393208:IC393245 Q393208:AA393245 WUE327672:WUO327709 WKI327672:WKS327709 WAM327672:WAW327709 VQQ327672:VRA327709 VGU327672:VHE327709 UWY327672:UXI327709 UNC327672:UNM327709 UDG327672:UDQ327709 TTK327672:TTU327709 TJO327672:TJY327709 SZS327672:TAC327709 SPW327672:SQG327709 SGA327672:SGK327709 RWE327672:RWO327709 RMI327672:RMS327709 RCM327672:RCW327709 QSQ327672:QTA327709 QIU327672:QJE327709 PYY327672:PZI327709 PPC327672:PPM327709 PFG327672:PFQ327709 OVK327672:OVU327709 OLO327672:OLY327709 OBS327672:OCC327709 NRW327672:NSG327709 NIA327672:NIK327709 MYE327672:MYO327709 MOI327672:MOS327709 MEM327672:MEW327709 LUQ327672:LVA327709 LKU327672:LLE327709 LAY327672:LBI327709 KRC327672:KRM327709 KHG327672:KHQ327709 JXK327672:JXU327709 JNO327672:JNY327709 JDS327672:JEC327709 ITW327672:IUG327709 IKA327672:IKK327709 IAE327672:IAO327709 HQI327672:HQS327709 HGM327672:HGW327709 GWQ327672:GXA327709 GMU327672:GNE327709 GCY327672:GDI327709 FTC327672:FTM327709 FJG327672:FJQ327709 EZK327672:EZU327709 EPO327672:EPY327709 EFS327672:EGC327709 DVW327672:DWG327709 DMA327672:DMK327709 DCE327672:DCO327709 CSI327672:CSS327709 CIM327672:CIW327709 BYQ327672:BZA327709 BOU327672:BPE327709 BEY327672:BFI327709 AVC327672:AVM327709 ALG327672:ALQ327709 ABK327672:ABU327709 RO327672:RY327709 HS327672:IC327709 Q327672:AA327709 WUE262136:WUO262173 WKI262136:WKS262173 WAM262136:WAW262173 VQQ262136:VRA262173 VGU262136:VHE262173 UWY262136:UXI262173 UNC262136:UNM262173 UDG262136:UDQ262173 TTK262136:TTU262173 TJO262136:TJY262173 SZS262136:TAC262173 SPW262136:SQG262173 SGA262136:SGK262173 RWE262136:RWO262173 RMI262136:RMS262173 RCM262136:RCW262173 QSQ262136:QTA262173 QIU262136:QJE262173 PYY262136:PZI262173 PPC262136:PPM262173 PFG262136:PFQ262173 OVK262136:OVU262173 OLO262136:OLY262173 OBS262136:OCC262173 NRW262136:NSG262173 NIA262136:NIK262173 MYE262136:MYO262173 MOI262136:MOS262173 MEM262136:MEW262173 LUQ262136:LVA262173 LKU262136:LLE262173 LAY262136:LBI262173 KRC262136:KRM262173 KHG262136:KHQ262173 JXK262136:JXU262173 JNO262136:JNY262173 JDS262136:JEC262173 ITW262136:IUG262173 IKA262136:IKK262173 IAE262136:IAO262173 HQI262136:HQS262173 HGM262136:HGW262173 GWQ262136:GXA262173 GMU262136:GNE262173 GCY262136:GDI262173 FTC262136:FTM262173 FJG262136:FJQ262173 EZK262136:EZU262173 EPO262136:EPY262173 EFS262136:EGC262173 DVW262136:DWG262173 DMA262136:DMK262173 DCE262136:DCO262173 CSI262136:CSS262173 CIM262136:CIW262173 BYQ262136:BZA262173 BOU262136:BPE262173 BEY262136:BFI262173 AVC262136:AVM262173 ALG262136:ALQ262173 ABK262136:ABU262173 RO262136:RY262173 HS262136:IC262173 Q262136:AA262173 WUE196600:WUO196637 WKI196600:WKS196637 WAM196600:WAW196637 VQQ196600:VRA196637 VGU196600:VHE196637 UWY196600:UXI196637 UNC196600:UNM196637 UDG196600:UDQ196637 TTK196600:TTU196637 TJO196600:TJY196637 SZS196600:TAC196637 SPW196600:SQG196637 SGA196600:SGK196637 RWE196600:RWO196637 RMI196600:RMS196637 RCM196600:RCW196637 QSQ196600:QTA196637 QIU196600:QJE196637 PYY196600:PZI196637 PPC196600:PPM196637 PFG196600:PFQ196637 OVK196600:OVU196637 OLO196600:OLY196637 OBS196600:OCC196637 NRW196600:NSG196637 NIA196600:NIK196637 MYE196600:MYO196637 MOI196600:MOS196637 MEM196600:MEW196637 LUQ196600:LVA196637 LKU196600:LLE196637 LAY196600:LBI196637 KRC196600:KRM196637 KHG196600:KHQ196637 JXK196600:JXU196637 JNO196600:JNY196637 JDS196600:JEC196637 ITW196600:IUG196637 IKA196600:IKK196637 IAE196600:IAO196637 HQI196600:HQS196637 HGM196600:HGW196637 GWQ196600:GXA196637 GMU196600:GNE196637 GCY196600:GDI196637 FTC196600:FTM196637 FJG196600:FJQ196637 EZK196600:EZU196637 EPO196600:EPY196637 EFS196600:EGC196637 DVW196600:DWG196637 DMA196600:DMK196637 DCE196600:DCO196637 CSI196600:CSS196637 CIM196600:CIW196637 BYQ196600:BZA196637 BOU196600:BPE196637 BEY196600:BFI196637 AVC196600:AVM196637 ALG196600:ALQ196637 ABK196600:ABU196637 RO196600:RY196637 HS196600:IC196637 Q196600:AA196637 WUE131064:WUO131101 WKI131064:WKS131101 WAM131064:WAW131101 VQQ131064:VRA131101 VGU131064:VHE131101 UWY131064:UXI131101 UNC131064:UNM131101 UDG131064:UDQ131101 TTK131064:TTU131101 TJO131064:TJY131101 SZS131064:TAC131101 SPW131064:SQG131101 SGA131064:SGK131101 RWE131064:RWO131101 RMI131064:RMS131101 RCM131064:RCW131101 QSQ131064:QTA131101 QIU131064:QJE131101 PYY131064:PZI131101 PPC131064:PPM131101 PFG131064:PFQ131101 OVK131064:OVU131101 OLO131064:OLY131101 OBS131064:OCC131101 NRW131064:NSG131101 NIA131064:NIK131101 MYE131064:MYO131101 MOI131064:MOS131101 MEM131064:MEW131101 LUQ131064:LVA131101 LKU131064:LLE131101 LAY131064:LBI131101 KRC131064:KRM131101 KHG131064:KHQ131101 JXK131064:JXU131101 JNO131064:JNY131101 JDS131064:JEC131101 ITW131064:IUG131101 IKA131064:IKK131101 IAE131064:IAO131101 HQI131064:HQS131101 HGM131064:HGW131101 GWQ131064:GXA131101 GMU131064:GNE131101 GCY131064:GDI131101 FTC131064:FTM131101 FJG131064:FJQ131101 EZK131064:EZU131101 EPO131064:EPY131101 EFS131064:EGC131101 DVW131064:DWG131101 DMA131064:DMK131101 DCE131064:DCO131101 CSI131064:CSS131101 CIM131064:CIW131101 BYQ131064:BZA131101 BOU131064:BPE131101 BEY131064:BFI131101 AVC131064:AVM131101 ALG131064:ALQ131101 ABK131064:ABU131101 RO131064:RY131101 HS131064:IC131101 Q131064:AA131101 WUE65528:WUO65565 WKI65528:WKS65565 WAM65528:WAW65565 VQQ65528:VRA65565 VGU65528:VHE65565 UWY65528:UXI65565 UNC65528:UNM65565 UDG65528:UDQ65565 TTK65528:TTU65565 TJO65528:TJY65565 SZS65528:TAC65565 SPW65528:SQG65565 SGA65528:SGK65565 RWE65528:RWO65565 RMI65528:RMS65565 RCM65528:RCW65565 QSQ65528:QTA65565 QIU65528:QJE65565 PYY65528:PZI65565 PPC65528:PPM65565 PFG65528:PFQ65565 OVK65528:OVU65565 OLO65528:OLY65565 OBS65528:OCC65565 NRW65528:NSG65565 NIA65528:NIK65565 MYE65528:MYO65565 MOI65528:MOS65565 MEM65528:MEW65565 LUQ65528:LVA65565 LKU65528:LLE65565 LAY65528:LBI65565 KRC65528:KRM65565 KHG65528:KHQ65565 JXK65528:JXU65565 JNO65528:JNY65565 JDS65528:JEC65565 ITW65528:IUG65565 IKA65528:IKK65565 IAE65528:IAO65565 HQI65528:HQS65565 HGM65528:HGW65565 GWQ65528:GXA65565 GMU65528:GNE65565 GCY65528:GDI65565 FTC65528:FTM65565 FJG65528:FJQ65565 EZK65528:EZU65565 EPO65528:EPY65565 EFS65528:EGC65565 DVW65528:DWG65565 DMA65528:DMK65565 DCE65528:DCO65565 CSI65528:CSS65565 CIM65528:CIW65565 BYQ65528:BZA65565 BOU65528:BPE65565 BEY65528:BFI65565 AVC65528:AVM65565 ALG65528:ALQ65565 ABK65528:ABU65565 RO65528:RY65565 HS65528:IC65565 Q65528:AA65565" xr:uid="{F9FA6065-A332-4F40-AADA-5EB35076845A}">
      <formula1>$C$42:$C$62</formula1>
    </dataValidation>
    <dataValidation type="list" allowBlank="1" showInputMessage="1" showErrorMessage="1" sqref="WUP983036:WUQ983069 WAX7:WAY27 VRB7:VRC27 VHF7:VHG27 UXJ7:UXK27 UNN7:UNO27 UDR7:UDS27 TTV7:TTW27 TJZ7:TKA27 TAD7:TAE27 SQH7:SQI27 SGL7:SGM27 RWP7:RWQ27 RMT7:RMU27 RCX7:RCY27 QTB7:QTC27 QJF7:QJG27 PZJ7:PZK27 PPN7:PPO27 PFR7:PFS27 OVV7:OVW27 OLZ7:OMA27 OCD7:OCE27 NSH7:NSI27 NIL7:NIM27 MYP7:MYQ27 MOT7:MOU27 MEX7:MEY27 LVB7:LVC27 LLF7:LLG27 LBJ7:LBK27 KRN7:KRO27 KHR7:KHS27 JXV7:JXW27 JNZ7:JOA27 JED7:JEE27 IUH7:IUI27 IKL7:IKM27 IAP7:IAQ27 HQT7:HQU27 HGX7:HGY27 GXB7:GXC27 GNF7:GNG27 GDJ7:GDK27 FTN7:FTO27 FJR7:FJS27 EZV7:EZW27 EPZ7:EQA27 EGD7:EGE27 DWH7:DWI27 DML7:DMM27 DCP7:DCQ27 CST7:CSU27 CIX7:CIY27 BZB7:BZC27 BPF7:BPG27 BFJ7:BFK27 AVN7:AVO27 ALR7:ALS27 ABV7:ABW27 RZ7:SA27 ID7:IE27 WUP7:WUQ27 WKT7:WKU27 VRB983036:VRC983069 VHF983036:VHG983069 UXJ983036:UXK983069 UNN983036:UNO983069 UDR983036:UDS983069 TTV983036:TTW983069 TJZ983036:TKA983069 TAD983036:TAE983069 SQH983036:SQI983069 SGL983036:SGM983069 RWP983036:RWQ983069 RMT983036:RMU983069 RCX983036:RCY983069 QTB983036:QTC983069 QJF983036:QJG983069 PZJ983036:PZK983069 PPN983036:PPO983069 PFR983036:PFS983069 OVV983036:OVW983069 OLZ983036:OMA983069 OCD983036:OCE983069 NSH983036:NSI983069 NIL983036:NIM983069 MYP983036:MYQ983069 MOT983036:MOU983069 MEX983036:MEY983069 LVB983036:LVC983069 LLF983036:LLG983069 LBJ983036:LBK983069 KRN983036:KRO983069 KHR983036:KHS983069 JXV983036:JXW983069 JNZ983036:JOA983069 JED983036:JEE983069 IUH983036:IUI983069 IKL983036:IKM983069 IAP983036:IAQ983069 HQT983036:HQU983069 HGX983036:HGY983069 GXB983036:GXC983069 GNF983036:GNG983069 GDJ983036:GDK983069 FTN983036:FTO983069 FJR983036:FJS983069 EZV983036:EZW983069 EPZ983036:EQA983069 EGD983036:EGE983069 DWH983036:DWI983069 DML983036:DMM983069 DCP983036:DCQ983069 CST983036:CSU983069 CIX983036:CIY983069 BZB983036:BZC983069 BPF983036:BPG983069 BFJ983036:BFK983069 AVN983036:AVO983069 ALR983036:ALS983069 ABV983036:ABW983069 RZ983036:SA983069 ID983036:IE983069 AB983036:AC983069 WUP917500:WUQ917533 WKT917500:WKU917533 WAX917500:WAY917533 VRB917500:VRC917533 VHF917500:VHG917533 UXJ917500:UXK917533 UNN917500:UNO917533 UDR917500:UDS917533 TTV917500:TTW917533 TJZ917500:TKA917533 TAD917500:TAE917533 SQH917500:SQI917533 SGL917500:SGM917533 RWP917500:RWQ917533 RMT917500:RMU917533 RCX917500:RCY917533 QTB917500:QTC917533 QJF917500:QJG917533 PZJ917500:PZK917533 PPN917500:PPO917533 PFR917500:PFS917533 OVV917500:OVW917533 OLZ917500:OMA917533 OCD917500:OCE917533 NSH917500:NSI917533 NIL917500:NIM917533 MYP917500:MYQ917533 MOT917500:MOU917533 MEX917500:MEY917533 LVB917500:LVC917533 LLF917500:LLG917533 LBJ917500:LBK917533 KRN917500:KRO917533 KHR917500:KHS917533 JXV917500:JXW917533 JNZ917500:JOA917533 JED917500:JEE917533 IUH917500:IUI917533 IKL917500:IKM917533 IAP917500:IAQ917533 HQT917500:HQU917533 HGX917500:HGY917533 GXB917500:GXC917533 GNF917500:GNG917533 GDJ917500:GDK917533 FTN917500:FTO917533 FJR917500:FJS917533 EZV917500:EZW917533 EPZ917500:EQA917533 EGD917500:EGE917533 DWH917500:DWI917533 DML917500:DMM917533 DCP917500:DCQ917533 CST917500:CSU917533 CIX917500:CIY917533 BZB917500:BZC917533 BPF917500:BPG917533 BFJ917500:BFK917533 AVN917500:AVO917533 ALR917500:ALS917533 ABV917500:ABW917533 RZ917500:SA917533 ID917500:IE917533 AB917500:AC917533 WUP851964:WUQ851997 WKT851964:WKU851997 WAX851964:WAY851997 VRB851964:VRC851997 VHF851964:VHG851997 UXJ851964:UXK851997 UNN851964:UNO851997 UDR851964:UDS851997 TTV851964:TTW851997 TJZ851964:TKA851997 TAD851964:TAE851997 SQH851964:SQI851997 SGL851964:SGM851997 RWP851964:RWQ851997 RMT851964:RMU851997 RCX851964:RCY851997 QTB851964:QTC851997 QJF851964:QJG851997 PZJ851964:PZK851997 PPN851964:PPO851997 PFR851964:PFS851997 OVV851964:OVW851997 OLZ851964:OMA851997 OCD851964:OCE851997 NSH851964:NSI851997 NIL851964:NIM851997 MYP851964:MYQ851997 MOT851964:MOU851997 MEX851964:MEY851997 LVB851964:LVC851997 LLF851964:LLG851997 LBJ851964:LBK851997 KRN851964:KRO851997 KHR851964:KHS851997 JXV851964:JXW851997 JNZ851964:JOA851997 JED851964:JEE851997 IUH851964:IUI851997 IKL851964:IKM851997 IAP851964:IAQ851997 HQT851964:HQU851997 HGX851964:HGY851997 GXB851964:GXC851997 GNF851964:GNG851997 GDJ851964:GDK851997 FTN851964:FTO851997 FJR851964:FJS851997 EZV851964:EZW851997 EPZ851964:EQA851997 EGD851964:EGE851997 DWH851964:DWI851997 DML851964:DMM851997 DCP851964:DCQ851997 CST851964:CSU851997 CIX851964:CIY851997 BZB851964:BZC851997 BPF851964:BPG851997 BFJ851964:BFK851997 AVN851964:AVO851997 ALR851964:ALS851997 ABV851964:ABW851997 RZ851964:SA851997 ID851964:IE851997 AB851964:AC851997 WUP786428:WUQ786461 WKT786428:WKU786461 WAX786428:WAY786461 VRB786428:VRC786461 VHF786428:VHG786461 UXJ786428:UXK786461 UNN786428:UNO786461 UDR786428:UDS786461 TTV786428:TTW786461 TJZ786428:TKA786461 TAD786428:TAE786461 SQH786428:SQI786461 SGL786428:SGM786461 RWP786428:RWQ786461 RMT786428:RMU786461 RCX786428:RCY786461 QTB786428:QTC786461 QJF786428:QJG786461 PZJ786428:PZK786461 PPN786428:PPO786461 PFR786428:PFS786461 OVV786428:OVW786461 OLZ786428:OMA786461 OCD786428:OCE786461 NSH786428:NSI786461 NIL786428:NIM786461 MYP786428:MYQ786461 MOT786428:MOU786461 MEX786428:MEY786461 LVB786428:LVC786461 LLF786428:LLG786461 LBJ786428:LBK786461 KRN786428:KRO786461 KHR786428:KHS786461 JXV786428:JXW786461 JNZ786428:JOA786461 JED786428:JEE786461 IUH786428:IUI786461 IKL786428:IKM786461 IAP786428:IAQ786461 HQT786428:HQU786461 HGX786428:HGY786461 GXB786428:GXC786461 GNF786428:GNG786461 GDJ786428:GDK786461 FTN786428:FTO786461 FJR786428:FJS786461 EZV786428:EZW786461 EPZ786428:EQA786461 EGD786428:EGE786461 DWH786428:DWI786461 DML786428:DMM786461 DCP786428:DCQ786461 CST786428:CSU786461 CIX786428:CIY786461 BZB786428:BZC786461 BPF786428:BPG786461 BFJ786428:BFK786461 AVN786428:AVO786461 ALR786428:ALS786461 ABV786428:ABW786461 RZ786428:SA786461 ID786428:IE786461 AB786428:AC786461 WUP720892:WUQ720925 WKT720892:WKU720925 WAX720892:WAY720925 VRB720892:VRC720925 VHF720892:VHG720925 UXJ720892:UXK720925 UNN720892:UNO720925 UDR720892:UDS720925 TTV720892:TTW720925 TJZ720892:TKA720925 TAD720892:TAE720925 SQH720892:SQI720925 SGL720892:SGM720925 RWP720892:RWQ720925 RMT720892:RMU720925 RCX720892:RCY720925 QTB720892:QTC720925 QJF720892:QJG720925 PZJ720892:PZK720925 PPN720892:PPO720925 PFR720892:PFS720925 OVV720892:OVW720925 OLZ720892:OMA720925 OCD720892:OCE720925 NSH720892:NSI720925 NIL720892:NIM720925 MYP720892:MYQ720925 MOT720892:MOU720925 MEX720892:MEY720925 LVB720892:LVC720925 LLF720892:LLG720925 LBJ720892:LBK720925 KRN720892:KRO720925 KHR720892:KHS720925 JXV720892:JXW720925 JNZ720892:JOA720925 JED720892:JEE720925 IUH720892:IUI720925 IKL720892:IKM720925 IAP720892:IAQ720925 HQT720892:HQU720925 HGX720892:HGY720925 GXB720892:GXC720925 GNF720892:GNG720925 GDJ720892:GDK720925 FTN720892:FTO720925 FJR720892:FJS720925 EZV720892:EZW720925 EPZ720892:EQA720925 EGD720892:EGE720925 DWH720892:DWI720925 DML720892:DMM720925 DCP720892:DCQ720925 CST720892:CSU720925 CIX720892:CIY720925 BZB720892:BZC720925 BPF720892:BPG720925 BFJ720892:BFK720925 AVN720892:AVO720925 ALR720892:ALS720925 ABV720892:ABW720925 RZ720892:SA720925 ID720892:IE720925 AB720892:AC720925 WUP655356:WUQ655389 WKT655356:WKU655389 WAX655356:WAY655389 VRB655356:VRC655389 VHF655356:VHG655389 UXJ655356:UXK655389 UNN655356:UNO655389 UDR655356:UDS655389 TTV655356:TTW655389 TJZ655356:TKA655389 TAD655356:TAE655389 SQH655356:SQI655389 SGL655356:SGM655389 RWP655356:RWQ655389 RMT655356:RMU655389 RCX655356:RCY655389 QTB655356:QTC655389 QJF655356:QJG655389 PZJ655356:PZK655389 PPN655356:PPO655389 PFR655356:PFS655389 OVV655356:OVW655389 OLZ655356:OMA655389 OCD655356:OCE655389 NSH655356:NSI655389 NIL655356:NIM655389 MYP655356:MYQ655389 MOT655356:MOU655389 MEX655356:MEY655389 LVB655356:LVC655389 LLF655356:LLG655389 LBJ655356:LBK655389 KRN655356:KRO655389 KHR655356:KHS655389 JXV655356:JXW655389 JNZ655356:JOA655389 JED655356:JEE655389 IUH655356:IUI655389 IKL655356:IKM655389 IAP655356:IAQ655389 HQT655356:HQU655389 HGX655356:HGY655389 GXB655356:GXC655389 GNF655356:GNG655389 GDJ655356:GDK655389 FTN655356:FTO655389 FJR655356:FJS655389 EZV655356:EZW655389 EPZ655356:EQA655389 EGD655356:EGE655389 DWH655356:DWI655389 DML655356:DMM655389 DCP655356:DCQ655389 CST655356:CSU655389 CIX655356:CIY655389 BZB655356:BZC655389 BPF655356:BPG655389 BFJ655356:BFK655389 AVN655356:AVO655389 ALR655356:ALS655389 ABV655356:ABW655389 RZ655356:SA655389 ID655356:IE655389 AB655356:AC655389 WUP589820:WUQ589853 WKT589820:WKU589853 WAX589820:WAY589853 VRB589820:VRC589853 VHF589820:VHG589853 UXJ589820:UXK589853 UNN589820:UNO589853 UDR589820:UDS589853 TTV589820:TTW589853 TJZ589820:TKA589853 TAD589820:TAE589853 SQH589820:SQI589853 SGL589820:SGM589853 RWP589820:RWQ589853 RMT589820:RMU589853 RCX589820:RCY589853 QTB589820:QTC589853 QJF589820:QJG589853 PZJ589820:PZK589853 PPN589820:PPO589853 PFR589820:PFS589853 OVV589820:OVW589853 OLZ589820:OMA589853 OCD589820:OCE589853 NSH589820:NSI589853 NIL589820:NIM589853 MYP589820:MYQ589853 MOT589820:MOU589853 MEX589820:MEY589853 LVB589820:LVC589853 LLF589820:LLG589853 LBJ589820:LBK589853 KRN589820:KRO589853 KHR589820:KHS589853 JXV589820:JXW589853 JNZ589820:JOA589853 JED589820:JEE589853 IUH589820:IUI589853 IKL589820:IKM589853 IAP589820:IAQ589853 HQT589820:HQU589853 HGX589820:HGY589853 GXB589820:GXC589853 GNF589820:GNG589853 GDJ589820:GDK589853 FTN589820:FTO589853 FJR589820:FJS589853 EZV589820:EZW589853 EPZ589820:EQA589853 EGD589820:EGE589853 DWH589820:DWI589853 DML589820:DMM589853 DCP589820:DCQ589853 CST589820:CSU589853 CIX589820:CIY589853 BZB589820:BZC589853 BPF589820:BPG589853 BFJ589820:BFK589853 AVN589820:AVO589853 ALR589820:ALS589853 ABV589820:ABW589853 RZ589820:SA589853 ID589820:IE589853 AB589820:AC589853 WUP524284:WUQ524317 WKT524284:WKU524317 WAX524284:WAY524317 VRB524284:VRC524317 VHF524284:VHG524317 UXJ524284:UXK524317 UNN524284:UNO524317 UDR524284:UDS524317 TTV524284:TTW524317 TJZ524284:TKA524317 TAD524284:TAE524317 SQH524284:SQI524317 SGL524284:SGM524317 RWP524284:RWQ524317 RMT524284:RMU524317 RCX524284:RCY524317 QTB524284:QTC524317 QJF524284:QJG524317 PZJ524284:PZK524317 PPN524284:PPO524317 PFR524284:PFS524317 OVV524284:OVW524317 OLZ524284:OMA524317 OCD524284:OCE524317 NSH524284:NSI524317 NIL524284:NIM524317 MYP524284:MYQ524317 MOT524284:MOU524317 MEX524284:MEY524317 LVB524284:LVC524317 LLF524284:LLG524317 LBJ524284:LBK524317 KRN524284:KRO524317 KHR524284:KHS524317 JXV524284:JXW524317 JNZ524284:JOA524317 JED524284:JEE524317 IUH524284:IUI524317 IKL524284:IKM524317 IAP524284:IAQ524317 HQT524284:HQU524317 HGX524284:HGY524317 GXB524284:GXC524317 GNF524284:GNG524317 GDJ524284:GDK524317 FTN524284:FTO524317 FJR524284:FJS524317 EZV524284:EZW524317 EPZ524284:EQA524317 EGD524284:EGE524317 DWH524284:DWI524317 DML524284:DMM524317 DCP524284:DCQ524317 CST524284:CSU524317 CIX524284:CIY524317 BZB524284:BZC524317 BPF524284:BPG524317 BFJ524284:BFK524317 AVN524284:AVO524317 ALR524284:ALS524317 ABV524284:ABW524317 RZ524284:SA524317 ID524284:IE524317 AB524284:AC524317 WUP458748:WUQ458781 WKT458748:WKU458781 WAX458748:WAY458781 VRB458748:VRC458781 VHF458748:VHG458781 UXJ458748:UXK458781 UNN458748:UNO458781 UDR458748:UDS458781 TTV458748:TTW458781 TJZ458748:TKA458781 TAD458748:TAE458781 SQH458748:SQI458781 SGL458748:SGM458781 RWP458748:RWQ458781 RMT458748:RMU458781 RCX458748:RCY458781 QTB458748:QTC458781 QJF458748:QJG458781 PZJ458748:PZK458781 PPN458748:PPO458781 PFR458748:PFS458781 OVV458748:OVW458781 OLZ458748:OMA458781 OCD458748:OCE458781 NSH458748:NSI458781 NIL458748:NIM458781 MYP458748:MYQ458781 MOT458748:MOU458781 MEX458748:MEY458781 LVB458748:LVC458781 LLF458748:LLG458781 LBJ458748:LBK458781 KRN458748:KRO458781 KHR458748:KHS458781 JXV458748:JXW458781 JNZ458748:JOA458781 JED458748:JEE458781 IUH458748:IUI458781 IKL458748:IKM458781 IAP458748:IAQ458781 HQT458748:HQU458781 HGX458748:HGY458781 GXB458748:GXC458781 GNF458748:GNG458781 GDJ458748:GDK458781 FTN458748:FTO458781 FJR458748:FJS458781 EZV458748:EZW458781 EPZ458748:EQA458781 EGD458748:EGE458781 DWH458748:DWI458781 DML458748:DMM458781 DCP458748:DCQ458781 CST458748:CSU458781 CIX458748:CIY458781 BZB458748:BZC458781 BPF458748:BPG458781 BFJ458748:BFK458781 AVN458748:AVO458781 ALR458748:ALS458781 ABV458748:ABW458781 RZ458748:SA458781 ID458748:IE458781 AB458748:AC458781 WUP393212:WUQ393245 WKT393212:WKU393245 WAX393212:WAY393245 VRB393212:VRC393245 VHF393212:VHG393245 UXJ393212:UXK393245 UNN393212:UNO393245 UDR393212:UDS393245 TTV393212:TTW393245 TJZ393212:TKA393245 TAD393212:TAE393245 SQH393212:SQI393245 SGL393212:SGM393245 RWP393212:RWQ393245 RMT393212:RMU393245 RCX393212:RCY393245 QTB393212:QTC393245 QJF393212:QJG393245 PZJ393212:PZK393245 PPN393212:PPO393245 PFR393212:PFS393245 OVV393212:OVW393245 OLZ393212:OMA393245 OCD393212:OCE393245 NSH393212:NSI393245 NIL393212:NIM393245 MYP393212:MYQ393245 MOT393212:MOU393245 MEX393212:MEY393245 LVB393212:LVC393245 LLF393212:LLG393245 LBJ393212:LBK393245 KRN393212:KRO393245 KHR393212:KHS393245 JXV393212:JXW393245 JNZ393212:JOA393245 JED393212:JEE393245 IUH393212:IUI393245 IKL393212:IKM393245 IAP393212:IAQ393245 HQT393212:HQU393245 HGX393212:HGY393245 GXB393212:GXC393245 GNF393212:GNG393245 GDJ393212:GDK393245 FTN393212:FTO393245 FJR393212:FJS393245 EZV393212:EZW393245 EPZ393212:EQA393245 EGD393212:EGE393245 DWH393212:DWI393245 DML393212:DMM393245 DCP393212:DCQ393245 CST393212:CSU393245 CIX393212:CIY393245 BZB393212:BZC393245 BPF393212:BPG393245 BFJ393212:BFK393245 AVN393212:AVO393245 ALR393212:ALS393245 ABV393212:ABW393245 RZ393212:SA393245 ID393212:IE393245 AB393212:AC393245 WUP327676:WUQ327709 WKT327676:WKU327709 WAX327676:WAY327709 VRB327676:VRC327709 VHF327676:VHG327709 UXJ327676:UXK327709 UNN327676:UNO327709 UDR327676:UDS327709 TTV327676:TTW327709 TJZ327676:TKA327709 TAD327676:TAE327709 SQH327676:SQI327709 SGL327676:SGM327709 RWP327676:RWQ327709 RMT327676:RMU327709 RCX327676:RCY327709 QTB327676:QTC327709 QJF327676:QJG327709 PZJ327676:PZK327709 PPN327676:PPO327709 PFR327676:PFS327709 OVV327676:OVW327709 OLZ327676:OMA327709 OCD327676:OCE327709 NSH327676:NSI327709 NIL327676:NIM327709 MYP327676:MYQ327709 MOT327676:MOU327709 MEX327676:MEY327709 LVB327676:LVC327709 LLF327676:LLG327709 LBJ327676:LBK327709 KRN327676:KRO327709 KHR327676:KHS327709 JXV327676:JXW327709 JNZ327676:JOA327709 JED327676:JEE327709 IUH327676:IUI327709 IKL327676:IKM327709 IAP327676:IAQ327709 HQT327676:HQU327709 HGX327676:HGY327709 GXB327676:GXC327709 GNF327676:GNG327709 GDJ327676:GDK327709 FTN327676:FTO327709 FJR327676:FJS327709 EZV327676:EZW327709 EPZ327676:EQA327709 EGD327676:EGE327709 DWH327676:DWI327709 DML327676:DMM327709 DCP327676:DCQ327709 CST327676:CSU327709 CIX327676:CIY327709 BZB327676:BZC327709 BPF327676:BPG327709 BFJ327676:BFK327709 AVN327676:AVO327709 ALR327676:ALS327709 ABV327676:ABW327709 RZ327676:SA327709 ID327676:IE327709 AB327676:AC327709 WUP262140:WUQ262173 WKT262140:WKU262173 WAX262140:WAY262173 VRB262140:VRC262173 VHF262140:VHG262173 UXJ262140:UXK262173 UNN262140:UNO262173 UDR262140:UDS262173 TTV262140:TTW262173 TJZ262140:TKA262173 TAD262140:TAE262173 SQH262140:SQI262173 SGL262140:SGM262173 RWP262140:RWQ262173 RMT262140:RMU262173 RCX262140:RCY262173 QTB262140:QTC262173 QJF262140:QJG262173 PZJ262140:PZK262173 PPN262140:PPO262173 PFR262140:PFS262173 OVV262140:OVW262173 OLZ262140:OMA262173 OCD262140:OCE262173 NSH262140:NSI262173 NIL262140:NIM262173 MYP262140:MYQ262173 MOT262140:MOU262173 MEX262140:MEY262173 LVB262140:LVC262173 LLF262140:LLG262173 LBJ262140:LBK262173 KRN262140:KRO262173 KHR262140:KHS262173 JXV262140:JXW262173 JNZ262140:JOA262173 JED262140:JEE262173 IUH262140:IUI262173 IKL262140:IKM262173 IAP262140:IAQ262173 HQT262140:HQU262173 HGX262140:HGY262173 GXB262140:GXC262173 GNF262140:GNG262173 GDJ262140:GDK262173 FTN262140:FTO262173 FJR262140:FJS262173 EZV262140:EZW262173 EPZ262140:EQA262173 EGD262140:EGE262173 DWH262140:DWI262173 DML262140:DMM262173 DCP262140:DCQ262173 CST262140:CSU262173 CIX262140:CIY262173 BZB262140:BZC262173 BPF262140:BPG262173 BFJ262140:BFK262173 AVN262140:AVO262173 ALR262140:ALS262173 ABV262140:ABW262173 RZ262140:SA262173 ID262140:IE262173 AB262140:AC262173 WUP196604:WUQ196637 WKT196604:WKU196637 WAX196604:WAY196637 VRB196604:VRC196637 VHF196604:VHG196637 UXJ196604:UXK196637 UNN196604:UNO196637 UDR196604:UDS196637 TTV196604:TTW196637 TJZ196604:TKA196637 TAD196604:TAE196637 SQH196604:SQI196637 SGL196604:SGM196637 RWP196604:RWQ196637 RMT196604:RMU196637 RCX196604:RCY196637 QTB196604:QTC196637 QJF196604:QJG196637 PZJ196604:PZK196637 PPN196604:PPO196637 PFR196604:PFS196637 OVV196604:OVW196637 OLZ196604:OMA196637 OCD196604:OCE196637 NSH196604:NSI196637 NIL196604:NIM196637 MYP196604:MYQ196637 MOT196604:MOU196637 MEX196604:MEY196637 LVB196604:LVC196637 LLF196604:LLG196637 LBJ196604:LBK196637 KRN196604:KRO196637 KHR196604:KHS196637 JXV196604:JXW196637 JNZ196604:JOA196637 JED196604:JEE196637 IUH196604:IUI196637 IKL196604:IKM196637 IAP196604:IAQ196637 HQT196604:HQU196637 HGX196604:HGY196637 GXB196604:GXC196637 GNF196604:GNG196637 GDJ196604:GDK196637 FTN196604:FTO196637 FJR196604:FJS196637 EZV196604:EZW196637 EPZ196604:EQA196637 EGD196604:EGE196637 DWH196604:DWI196637 DML196604:DMM196637 DCP196604:DCQ196637 CST196604:CSU196637 CIX196604:CIY196637 BZB196604:BZC196637 BPF196604:BPG196637 BFJ196604:BFK196637 AVN196604:AVO196637 ALR196604:ALS196637 ABV196604:ABW196637 RZ196604:SA196637 ID196604:IE196637 AB196604:AC196637 WUP131068:WUQ131101 WKT131068:WKU131101 WAX131068:WAY131101 VRB131068:VRC131101 VHF131068:VHG131101 UXJ131068:UXK131101 UNN131068:UNO131101 UDR131068:UDS131101 TTV131068:TTW131101 TJZ131068:TKA131101 TAD131068:TAE131101 SQH131068:SQI131101 SGL131068:SGM131101 RWP131068:RWQ131101 RMT131068:RMU131101 RCX131068:RCY131101 QTB131068:QTC131101 QJF131068:QJG131101 PZJ131068:PZK131101 PPN131068:PPO131101 PFR131068:PFS131101 OVV131068:OVW131101 OLZ131068:OMA131101 OCD131068:OCE131101 NSH131068:NSI131101 NIL131068:NIM131101 MYP131068:MYQ131101 MOT131068:MOU131101 MEX131068:MEY131101 LVB131068:LVC131101 LLF131068:LLG131101 LBJ131068:LBK131101 KRN131068:KRO131101 KHR131068:KHS131101 JXV131068:JXW131101 JNZ131068:JOA131101 JED131068:JEE131101 IUH131068:IUI131101 IKL131068:IKM131101 IAP131068:IAQ131101 HQT131068:HQU131101 HGX131068:HGY131101 GXB131068:GXC131101 GNF131068:GNG131101 GDJ131068:GDK131101 FTN131068:FTO131101 FJR131068:FJS131101 EZV131068:EZW131101 EPZ131068:EQA131101 EGD131068:EGE131101 DWH131068:DWI131101 DML131068:DMM131101 DCP131068:DCQ131101 CST131068:CSU131101 CIX131068:CIY131101 BZB131068:BZC131101 BPF131068:BPG131101 BFJ131068:BFK131101 AVN131068:AVO131101 ALR131068:ALS131101 ABV131068:ABW131101 RZ131068:SA131101 ID131068:IE131101 AB131068:AC131101 WUP65532:WUQ65565 WKT65532:WKU65565 WAX65532:WAY65565 VRB65532:VRC65565 VHF65532:VHG65565 UXJ65532:UXK65565 UNN65532:UNO65565 UDR65532:UDS65565 TTV65532:TTW65565 TJZ65532:TKA65565 TAD65532:TAE65565 SQH65532:SQI65565 SGL65532:SGM65565 RWP65532:RWQ65565 RMT65532:RMU65565 RCX65532:RCY65565 QTB65532:QTC65565 QJF65532:QJG65565 PZJ65532:PZK65565 PPN65532:PPO65565 PFR65532:PFS65565 OVV65532:OVW65565 OLZ65532:OMA65565 OCD65532:OCE65565 NSH65532:NSI65565 NIL65532:NIM65565 MYP65532:MYQ65565 MOT65532:MOU65565 MEX65532:MEY65565 LVB65532:LVC65565 LLF65532:LLG65565 LBJ65532:LBK65565 KRN65532:KRO65565 KHR65532:KHS65565 JXV65532:JXW65565 JNZ65532:JOA65565 JED65532:JEE65565 IUH65532:IUI65565 IKL65532:IKM65565 IAP65532:IAQ65565 HQT65532:HQU65565 HGX65532:HGY65565 GXB65532:GXC65565 GNF65532:GNG65565 GDJ65532:GDK65565 FTN65532:FTO65565 FJR65532:FJS65565 EZV65532:EZW65565 EPZ65532:EQA65565 EGD65532:EGE65565 DWH65532:DWI65565 DML65532:DMM65565 DCP65532:DCQ65565 CST65532:CSU65565 CIX65532:CIY65565 BZB65532:BZC65565 BPF65532:BPG65565 BFJ65532:BFK65565 AVN65532:AVO65565 ALR65532:ALS65565 ABV65532:ABW65565 RZ65532:SA65565 ID65532:IE65565 AB65532:AC65565 WKT983036:WKU983069 WAX983036:WAY983069" xr:uid="{9AC90A44-67B0-473C-A1EA-06FD9120210E}">
      <formula1>$U$42:$U$45</formula1>
    </dataValidation>
    <dataValidation type="list" allowBlank="1" showInputMessage="1" showErrorMessage="1" sqref="WUP983032:WUQ983035 WAX983032:WAY983035 VRB983032:VRC983035 VHF983032:VHG983035 UXJ983032:UXK983035 UNN983032:UNO983035 UDR983032:UDS983035 TTV983032:TTW983035 TJZ983032:TKA983035 TAD983032:TAE983035 SQH983032:SQI983035 SGL983032:SGM983035 RWP983032:RWQ983035 RMT983032:RMU983035 RCX983032:RCY983035 QTB983032:QTC983035 QJF983032:QJG983035 PZJ983032:PZK983035 PPN983032:PPO983035 PFR983032:PFS983035 OVV983032:OVW983035 OLZ983032:OMA983035 OCD983032:OCE983035 NSH983032:NSI983035 NIL983032:NIM983035 MYP983032:MYQ983035 MOT983032:MOU983035 MEX983032:MEY983035 LVB983032:LVC983035 LLF983032:LLG983035 LBJ983032:LBK983035 KRN983032:KRO983035 KHR983032:KHS983035 JXV983032:JXW983035 JNZ983032:JOA983035 JED983032:JEE983035 IUH983032:IUI983035 IKL983032:IKM983035 IAP983032:IAQ983035 HQT983032:HQU983035 HGX983032:HGY983035 GXB983032:GXC983035 GNF983032:GNG983035 GDJ983032:GDK983035 FTN983032:FTO983035 FJR983032:FJS983035 EZV983032:EZW983035 EPZ983032:EQA983035 EGD983032:EGE983035 DWH983032:DWI983035 DML983032:DMM983035 DCP983032:DCQ983035 CST983032:CSU983035 CIX983032:CIY983035 BZB983032:BZC983035 BPF983032:BPG983035 BFJ983032:BFK983035 AVN983032:AVO983035 ALR983032:ALS983035 ABV983032:ABW983035 RZ983032:SA983035 ID983032:IE983035 AB983032:AC983035 WUP917496:WUQ917499 WKT917496:WKU917499 WAX917496:WAY917499 VRB917496:VRC917499 VHF917496:VHG917499 UXJ917496:UXK917499 UNN917496:UNO917499 UDR917496:UDS917499 TTV917496:TTW917499 TJZ917496:TKA917499 TAD917496:TAE917499 SQH917496:SQI917499 SGL917496:SGM917499 RWP917496:RWQ917499 RMT917496:RMU917499 RCX917496:RCY917499 QTB917496:QTC917499 QJF917496:QJG917499 PZJ917496:PZK917499 PPN917496:PPO917499 PFR917496:PFS917499 OVV917496:OVW917499 OLZ917496:OMA917499 OCD917496:OCE917499 NSH917496:NSI917499 NIL917496:NIM917499 MYP917496:MYQ917499 MOT917496:MOU917499 MEX917496:MEY917499 LVB917496:LVC917499 LLF917496:LLG917499 LBJ917496:LBK917499 KRN917496:KRO917499 KHR917496:KHS917499 JXV917496:JXW917499 JNZ917496:JOA917499 JED917496:JEE917499 IUH917496:IUI917499 IKL917496:IKM917499 IAP917496:IAQ917499 HQT917496:HQU917499 HGX917496:HGY917499 GXB917496:GXC917499 GNF917496:GNG917499 GDJ917496:GDK917499 FTN917496:FTO917499 FJR917496:FJS917499 EZV917496:EZW917499 EPZ917496:EQA917499 EGD917496:EGE917499 DWH917496:DWI917499 DML917496:DMM917499 DCP917496:DCQ917499 CST917496:CSU917499 CIX917496:CIY917499 BZB917496:BZC917499 BPF917496:BPG917499 BFJ917496:BFK917499 AVN917496:AVO917499 ALR917496:ALS917499 ABV917496:ABW917499 RZ917496:SA917499 ID917496:IE917499 AB917496:AC917499 WUP851960:WUQ851963 WKT851960:WKU851963 WAX851960:WAY851963 VRB851960:VRC851963 VHF851960:VHG851963 UXJ851960:UXK851963 UNN851960:UNO851963 UDR851960:UDS851963 TTV851960:TTW851963 TJZ851960:TKA851963 TAD851960:TAE851963 SQH851960:SQI851963 SGL851960:SGM851963 RWP851960:RWQ851963 RMT851960:RMU851963 RCX851960:RCY851963 QTB851960:QTC851963 QJF851960:QJG851963 PZJ851960:PZK851963 PPN851960:PPO851963 PFR851960:PFS851963 OVV851960:OVW851963 OLZ851960:OMA851963 OCD851960:OCE851963 NSH851960:NSI851963 NIL851960:NIM851963 MYP851960:MYQ851963 MOT851960:MOU851963 MEX851960:MEY851963 LVB851960:LVC851963 LLF851960:LLG851963 LBJ851960:LBK851963 KRN851960:KRO851963 KHR851960:KHS851963 JXV851960:JXW851963 JNZ851960:JOA851963 JED851960:JEE851963 IUH851960:IUI851963 IKL851960:IKM851963 IAP851960:IAQ851963 HQT851960:HQU851963 HGX851960:HGY851963 GXB851960:GXC851963 GNF851960:GNG851963 GDJ851960:GDK851963 FTN851960:FTO851963 FJR851960:FJS851963 EZV851960:EZW851963 EPZ851960:EQA851963 EGD851960:EGE851963 DWH851960:DWI851963 DML851960:DMM851963 DCP851960:DCQ851963 CST851960:CSU851963 CIX851960:CIY851963 BZB851960:BZC851963 BPF851960:BPG851963 BFJ851960:BFK851963 AVN851960:AVO851963 ALR851960:ALS851963 ABV851960:ABW851963 RZ851960:SA851963 ID851960:IE851963 AB851960:AC851963 WUP786424:WUQ786427 WKT786424:WKU786427 WAX786424:WAY786427 VRB786424:VRC786427 VHF786424:VHG786427 UXJ786424:UXK786427 UNN786424:UNO786427 UDR786424:UDS786427 TTV786424:TTW786427 TJZ786424:TKA786427 TAD786424:TAE786427 SQH786424:SQI786427 SGL786424:SGM786427 RWP786424:RWQ786427 RMT786424:RMU786427 RCX786424:RCY786427 QTB786424:QTC786427 QJF786424:QJG786427 PZJ786424:PZK786427 PPN786424:PPO786427 PFR786424:PFS786427 OVV786424:OVW786427 OLZ786424:OMA786427 OCD786424:OCE786427 NSH786424:NSI786427 NIL786424:NIM786427 MYP786424:MYQ786427 MOT786424:MOU786427 MEX786424:MEY786427 LVB786424:LVC786427 LLF786424:LLG786427 LBJ786424:LBK786427 KRN786424:KRO786427 KHR786424:KHS786427 JXV786424:JXW786427 JNZ786424:JOA786427 JED786424:JEE786427 IUH786424:IUI786427 IKL786424:IKM786427 IAP786424:IAQ786427 HQT786424:HQU786427 HGX786424:HGY786427 GXB786424:GXC786427 GNF786424:GNG786427 GDJ786424:GDK786427 FTN786424:FTO786427 FJR786424:FJS786427 EZV786424:EZW786427 EPZ786424:EQA786427 EGD786424:EGE786427 DWH786424:DWI786427 DML786424:DMM786427 DCP786424:DCQ786427 CST786424:CSU786427 CIX786424:CIY786427 BZB786424:BZC786427 BPF786424:BPG786427 BFJ786424:BFK786427 AVN786424:AVO786427 ALR786424:ALS786427 ABV786424:ABW786427 RZ786424:SA786427 ID786424:IE786427 AB786424:AC786427 WUP720888:WUQ720891 WKT720888:WKU720891 WAX720888:WAY720891 VRB720888:VRC720891 VHF720888:VHG720891 UXJ720888:UXK720891 UNN720888:UNO720891 UDR720888:UDS720891 TTV720888:TTW720891 TJZ720888:TKA720891 TAD720888:TAE720891 SQH720888:SQI720891 SGL720888:SGM720891 RWP720888:RWQ720891 RMT720888:RMU720891 RCX720888:RCY720891 QTB720888:QTC720891 QJF720888:QJG720891 PZJ720888:PZK720891 PPN720888:PPO720891 PFR720888:PFS720891 OVV720888:OVW720891 OLZ720888:OMA720891 OCD720888:OCE720891 NSH720888:NSI720891 NIL720888:NIM720891 MYP720888:MYQ720891 MOT720888:MOU720891 MEX720888:MEY720891 LVB720888:LVC720891 LLF720888:LLG720891 LBJ720888:LBK720891 KRN720888:KRO720891 KHR720888:KHS720891 JXV720888:JXW720891 JNZ720888:JOA720891 JED720888:JEE720891 IUH720888:IUI720891 IKL720888:IKM720891 IAP720888:IAQ720891 HQT720888:HQU720891 HGX720888:HGY720891 GXB720888:GXC720891 GNF720888:GNG720891 GDJ720888:GDK720891 FTN720888:FTO720891 FJR720888:FJS720891 EZV720888:EZW720891 EPZ720888:EQA720891 EGD720888:EGE720891 DWH720888:DWI720891 DML720888:DMM720891 DCP720888:DCQ720891 CST720888:CSU720891 CIX720888:CIY720891 BZB720888:BZC720891 BPF720888:BPG720891 BFJ720888:BFK720891 AVN720888:AVO720891 ALR720888:ALS720891 ABV720888:ABW720891 RZ720888:SA720891 ID720888:IE720891 AB720888:AC720891 WUP655352:WUQ655355 WKT655352:WKU655355 WAX655352:WAY655355 VRB655352:VRC655355 VHF655352:VHG655355 UXJ655352:UXK655355 UNN655352:UNO655355 UDR655352:UDS655355 TTV655352:TTW655355 TJZ655352:TKA655355 TAD655352:TAE655355 SQH655352:SQI655355 SGL655352:SGM655355 RWP655352:RWQ655355 RMT655352:RMU655355 RCX655352:RCY655355 QTB655352:QTC655355 QJF655352:QJG655355 PZJ655352:PZK655355 PPN655352:PPO655355 PFR655352:PFS655355 OVV655352:OVW655355 OLZ655352:OMA655355 OCD655352:OCE655355 NSH655352:NSI655355 NIL655352:NIM655355 MYP655352:MYQ655355 MOT655352:MOU655355 MEX655352:MEY655355 LVB655352:LVC655355 LLF655352:LLG655355 LBJ655352:LBK655355 KRN655352:KRO655355 KHR655352:KHS655355 JXV655352:JXW655355 JNZ655352:JOA655355 JED655352:JEE655355 IUH655352:IUI655355 IKL655352:IKM655355 IAP655352:IAQ655355 HQT655352:HQU655355 HGX655352:HGY655355 GXB655352:GXC655355 GNF655352:GNG655355 GDJ655352:GDK655355 FTN655352:FTO655355 FJR655352:FJS655355 EZV655352:EZW655355 EPZ655352:EQA655355 EGD655352:EGE655355 DWH655352:DWI655355 DML655352:DMM655355 DCP655352:DCQ655355 CST655352:CSU655355 CIX655352:CIY655355 BZB655352:BZC655355 BPF655352:BPG655355 BFJ655352:BFK655355 AVN655352:AVO655355 ALR655352:ALS655355 ABV655352:ABW655355 RZ655352:SA655355 ID655352:IE655355 AB655352:AC655355 WUP589816:WUQ589819 WKT589816:WKU589819 WAX589816:WAY589819 VRB589816:VRC589819 VHF589816:VHG589819 UXJ589816:UXK589819 UNN589816:UNO589819 UDR589816:UDS589819 TTV589816:TTW589819 TJZ589816:TKA589819 TAD589816:TAE589819 SQH589816:SQI589819 SGL589816:SGM589819 RWP589816:RWQ589819 RMT589816:RMU589819 RCX589816:RCY589819 QTB589816:QTC589819 QJF589816:QJG589819 PZJ589816:PZK589819 PPN589816:PPO589819 PFR589816:PFS589819 OVV589816:OVW589819 OLZ589816:OMA589819 OCD589816:OCE589819 NSH589816:NSI589819 NIL589816:NIM589819 MYP589816:MYQ589819 MOT589816:MOU589819 MEX589816:MEY589819 LVB589816:LVC589819 LLF589816:LLG589819 LBJ589816:LBK589819 KRN589816:KRO589819 KHR589816:KHS589819 JXV589816:JXW589819 JNZ589816:JOA589819 JED589816:JEE589819 IUH589816:IUI589819 IKL589816:IKM589819 IAP589816:IAQ589819 HQT589816:HQU589819 HGX589816:HGY589819 GXB589816:GXC589819 GNF589816:GNG589819 GDJ589816:GDK589819 FTN589816:FTO589819 FJR589816:FJS589819 EZV589816:EZW589819 EPZ589816:EQA589819 EGD589816:EGE589819 DWH589816:DWI589819 DML589816:DMM589819 DCP589816:DCQ589819 CST589816:CSU589819 CIX589816:CIY589819 BZB589816:BZC589819 BPF589816:BPG589819 BFJ589816:BFK589819 AVN589816:AVO589819 ALR589816:ALS589819 ABV589816:ABW589819 RZ589816:SA589819 ID589816:IE589819 AB589816:AC589819 WUP524280:WUQ524283 WKT524280:WKU524283 WAX524280:WAY524283 VRB524280:VRC524283 VHF524280:VHG524283 UXJ524280:UXK524283 UNN524280:UNO524283 UDR524280:UDS524283 TTV524280:TTW524283 TJZ524280:TKA524283 TAD524280:TAE524283 SQH524280:SQI524283 SGL524280:SGM524283 RWP524280:RWQ524283 RMT524280:RMU524283 RCX524280:RCY524283 QTB524280:QTC524283 QJF524280:QJG524283 PZJ524280:PZK524283 PPN524280:PPO524283 PFR524280:PFS524283 OVV524280:OVW524283 OLZ524280:OMA524283 OCD524280:OCE524283 NSH524280:NSI524283 NIL524280:NIM524283 MYP524280:MYQ524283 MOT524280:MOU524283 MEX524280:MEY524283 LVB524280:LVC524283 LLF524280:LLG524283 LBJ524280:LBK524283 KRN524280:KRO524283 KHR524280:KHS524283 JXV524280:JXW524283 JNZ524280:JOA524283 JED524280:JEE524283 IUH524280:IUI524283 IKL524280:IKM524283 IAP524280:IAQ524283 HQT524280:HQU524283 HGX524280:HGY524283 GXB524280:GXC524283 GNF524280:GNG524283 GDJ524280:GDK524283 FTN524280:FTO524283 FJR524280:FJS524283 EZV524280:EZW524283 EPZ524280:EQA524283 EGD524280:EGE524283 DWH524280:DWI524283 DML524280:DMM524283 DCP524280:DCQ524283 CST524280:CSU524283 CIX524280:CIY524283 BZB524280:BZC524283 BPF524280:BPG524283 BFJ524280:BFK524283 AVN524280:AVO524283 ALR524280:ALS524283 ABV524280:ABW524283 RZ524280:SA524283 ID524280:IE524283 AB524280:AC524283 WUP458744:WUQ458747 WKT458744:WKU458747 WAX458744:WAY458747 VRB458744:VRC458747 VHF458744:VHG458747 UXJ458744:UXK458747 UNN458744:UNO458747 UDR458744:UDS458747 TTV458744:TTW458747 TJZ458744:TKA458747 TAD458744:TAE458747 SQH458744:SQI458747 SGL458744:SGM458747 RWP458744:RWQ458747 RMT458744:RMU458747 RCX458744:RCY458747 QTB458744:QTC458747 QJF458744:QJG458747 PZJ458744:PZK458747 PPN458744:PPO458747 PFR458744:PFS458747 OVV458744:OVW458747 OLZ458744:OMA458747 OCD458744:OCE458747 NSH458744:NSI458747 NIL458744:NIM458747 MYP458744:MYQ458747 MOT458744:MOU458747 MEX458744:MEY458747 LVB458744:LVC458747 LLF458744:LLG458747 LBJ458744:LBK458747 KRN458744:KRO458747 KHR458744:KHS458747 JXV458744:JXW458747 JNZ458744:JOA458747 JED458744:JEE458747 IUH458744:IUI458747 IKL458744:IKM458747 IAP458744:IAQ458747 HQT458744:HQU458747 HGX458744:HGY458747 GXB458744:GXC458747 GNF458744:GNG458747 GDJ458744:GDK458747 FTN458744:FTO458747 FJR458744:FJS458747 EZV458744:EZW458747 EPZ458744:EQA458747 EGD458744:EGE458747 DWH458744:DWI458747 DML458744:DMM458747 DCP458744:DCQ458747 CST458744:CSU458747 CIX458744:CIY458747 BZB458744:BZC458747 BPF458744:BPG458747 BFJ458744:BFK458747 AVN458744:AVO458747 ALR458744:ALS458747 ABV458744:ABW458747 RZ458744:SA458747 ID458744:IE458747 AB458744:AC458747 WUP393208:WUQ393211 WKT393208:WKU393211 WAX393208:WAY393211 VRB393208:VRC393211 VHF393208:VHG393211 UXJ393208:UXK393211 UNN393208:UNO393211 UDR393208:UDS393211 TTV393208:TTW393211 TJZ393208:TKA393211 TAD393208:TAE393211 SQH393208:SQI393211 SGL393208:SGM393211 RWP393208:RWQ393211 RMT393208:RMU393211 RCX393208:RCY393211 QTB393208:QTC393211 QJF393208:QJG393211 PZJ393208:PZK393211 PPN393208:PPO393211 PFR393208:PFS393211 OVV393208:OVW393211 OLZ393208:OMA393211 OCD393208:OCE393211 NSH393208:NSI393211 NIL393208:NIM393211 MYP393208:MYQ393211 MOT393208:MOU393211 MEX393208:MEY393211 LVB393208:LVC393211 LLF393208:LLG393211 LBJ393208:LBK393211 KRN393208:KRO393211 KHR393208:KHS393211 JXV393208:JXW393211 JNZ393208:JOA393211 JED393208:JEE393211 IUH393208:IUI393211 IKL393208:IKM393211 IAP393208:IAQ393211 HQT393208:HQU393211 HGX393208:HGY393211 GXB393208:GXC393211 GNF393208:GNG393211 GDJ393208:GDK393211 FTN393208:FTO393211 FJR393208:FJS393211 EZV393208:EZW393211 EPZ393208:EQA393211 EGD393208:EGE393211 DWH393208:DWI393211 DML393208:DMM393211 DCP393208:DCQ393211 CST393208:CSU393211 CIX393208:CIY393211 BZB393208:BZC393211 BPF393208:BPG393211 BFJ393208:BFK393211 AVN393208:AVO393211 ALR393208:ALS393211 ABV393208:ABW393211 RZ393208:SA393211 ID393208:IE393211 AB393208:AC393211 WUP327672:WUQ327675 WKT327672:WKU327675 WAX327672:WAY327675 VRB327672:VRC327675 VHF327672:VHG327675 UXJ327672:UXK327675 UNN327672:UNO327675 UDR327672:UDS327675 TTV327672:TTW327675 TJZ327672:TKA327675 TAD327672:TAE327675 SQH327672:SQI327675 SGL327672:SGM327675 RWP327672:RWQ327675 RMT327672:RMU327675 RCX327672:RCY327675 QTB327672:QTC327675 QJF327672:QJG327675 PZJ327672:PZK327675 PPN327672:PPO327675 PFR327672:PFS327675 OVV327672:OVW327675 OLZ327672:OMA327675 OCD327672:OCE327675 NSH327672:NSI327675 NIL327672:NIM327675 MYP327672:MYQ327675 MOT327672:MOU327675 MEX327672:MEY327675 LVB327672:LVC327675 LLF327672:LLG327675 LBJ327672:LBK327675 KRN327672:KRO327675 KHR327672:KHS327675 JXV327672:JXW327675 JNZ327672:JOA327675 JED327672:JEE327675 IUH327672:IUI327675 IKL327672:IKM327675 IAP327672:IAQ327675 HQT327672:HQU327675 HGX327672:HGY327675 GXB327672:GXC327675 GNF327672:GNG327675 GDJ327672:GDK327675 FTN327672:FTO327675 FJR327672:FJS327675 EZV327672:EZW327675 EPZ327672:EQA327675 EGD327672:EGE327675 DWH327672:DWI327675 DML327672:DMM327675 DCP327672:DCQ327675 CST327672:CSU327675 CIX327672:CIY327675 BZB327672:BZC327675 BPF327672:BPG327675 BFJ327672:BFK327675 AVN327672:AVO327675 ALR327672:ALS327675 ABV327672:ABW327675 RZ327672:SA327675 ID327672:IE327675 AB327672:AC327675 WUP262136:WUQ262139 WKT262136:WKU262139 WAX262136:WAY262139 VRB262136:VRC262139 VHF262136:VHG262139 UXJ262136:UXK262139 UNN262136:UNO262139 UDR262136:UDS262139 TTV262136:TTW262139 TJZ262136:TKA262139 TAD262136:TAE262139 SQH262136:SQI262139 SGL262136:SGM262139 RWP262136:RWQ262139 RMT262136:RMU262139 RCX262136:RCY262139 QTB262136:QTC262139 QJF262136:QJG262139 PZJ262136:PZK262139 PPN262136:PPO262139 PFR262136:PFS262139 OVV262136:OVW262139 OLZ262136:OMA262139 OCD262136:OCE262139 NSH262136:NSI262139 NIL262136:NIM262139 MYP262136:MYQ262139 MOT262136:MOU262139 MEX262136:MEY262139 LVB262136:LVC262139 LLF262136:LLG262139 LBJ262136:LBK262139 KRN262136:KRO262139 KHR262136:KHS262139 JXV262136:JXW262139 JNZ262136:JOA262139 JED262136:JEE262139 IUH262136:IUI262139 IKL262136:IKM262139 IAP262136:IAQ262139 HQT262136:HQU262139 HGX262136:HGY262139 GXB262136:GXC262139 GNF262136:GNG262139 GDJ262136:GDK262139 FTN262136:FTO262139 FJR262136:FJS262139 EZV262136:EZW262139 EPZ262136:EQA262139 EGD262136:EGE262139 DWH262136:DWI262139 DML262136:DMM262139 DCP262136:DCQ262139 CST262136:CSU262139 CIX262136:CIY262139 BZB262136:BZC262139 BPF262136:BPG262139 BFJ262136:BFK262139 AVN262136:AVO262139 ALR262136:ALS262139 ABV262136:ABW262139 RZ262136:SA262139 ID262136:IE262139 AB262136:AC262139 WUP196600:WUQ196603 WKT196600:WKU196603 WAX196600:WAY196603 VRB196600:VRC196603 VHF196600:VHG196603 UXJ196600:UXK196603 UNN196600:UNO196603 UDR196600:UDS196603 TTV196600:TTW196603 TJZ196600:TKA196603 TAD196600:TAE196603 SQH196600:SQI196603 SGL196600:SGM196603 RWP196600:RWQ196603 RMT196600:RMU196603 RCX196600:RCY196603 QTB196600:QTC196603 QJF196600:QJG196603 PZJ196600:PZK196603 PPN196600:PPO196603 PFR196600:PFS196603 OVV196600:OVW196603 OLZ196600:OMA196603 OCD196600:OCE196603 NSH196600:NSI196603 NIL196600:NIM196603 MYP196600:MYQ196603 MOT196600:MOU196603 MEX196600:MEY196603 LVB196600:LVC196603 LLF196600:LLG196603 LBJ196600:LBK196603 KRN196600:KRO196603 KHR196600:KHS196603 JXV196600:JXW196603 JNZ196600:JOA196603 JED196600:JEE196603 IUH196600:IUI196603 IKL196600:IKM196603 IAP196600:IAQ196603 HQT196600:HQU196603 HGX196600:HGY196603 GXB196600:GXC196603 GNF196600:GNG196603 GDJ196600:GDK196603 FTN196600:FTO196603 FJR196600:FJS196603 EZV196600:EZW196603 EPZ196600:EQA196603 EGD196600:EGE196603 DWH196600:DWI196603 DML196600:DMM196603 DCP196600:DCQ196603 CST196600:CSU196603 CIX196600:CIY196603 BZB196600:BZC196603 BPF196600:BPG196603 BFJ196600:BFK196603 AVN196600:AVO196603 ALR196600:ALS196603 ABV196600:ABW196603 RZ196600:SA196603 ID196600:IE196603 AB196600:AC196603 WUP131064:WUQ131067 WKT131064:WKU131067 WAX131064:WAY131067 VRB131064:VRC131067 VHF131064:VHG131067 UXJ131064:UXK131067 UNN131064:UNO131067 UDR131064:UDS131067 TTV131064:TTW131067 TJZ131064:TKA131067 TAD131064:TAE131067 SQH131064:SQI131067 SGL131064:SGM131067 RWP131064:RWQ131067 RMT131064:RMU131067 RCX131064:RCY131067 QTB131064:QTC131067 QJF131064:QJG131067 PZJ131064:PZK131067 PPN131064:PPO131067 PFR131064:PFS131067 OVV131064:OVW131067 OLZ131064:OMA131067 OCD131064:OCE131067 NSH131064:NSI131067 NIL131064:NIM131067 MYP131064:MYQ131067 MOT131064:MOU131067 MEX131064:MEY131067 LVB131064:LVC131067 LLF131064:LLG131067 LBJ131064:LBK131067 KRN131064:KRO131067 KHR131064:KHS131067 JXV131064:JXW131067 JNZ131064:JOA131067 JED131064:JEE131067 IUH131064:IUI131067 IKL131064:IKM131067 IAP131064:IAQ131067 HQT131064:HQU131067 HGX131064:HGY131067 GXB131064:GXC131067 GNF131064:GNG131067 GDJ131064:GDK131067 FTN131064:FTO131067 FJR131064:FJS131067 EZV131064:EZW131067 EPZ131064:EQA131067 EGD131064:EGE131067 DWH131064:DWI131067 DML131064:DMM131067 DCP131064:DCQ131067 CST131064:CSU131067 CIX131064:CIY131067 BZB131064:BZC131067 BPF131064:BPG131067 BFJ131064:BFK131067 AVN131064:AVO131067 ALR131064:ALS131067 ABV131064:ABW131067 RZ131064:SA131067 ID131064:IE131067 AB131064:AC131067 WUP65528:WUQ65531 WKT65528:WKU65531 WAX65528:WAY65531 VRB65528:VRC65531 VHF65528:VHG65531 UXJ65528:UXK65531 UNN65528:UNO65531 UDR65528:UDS65531 TTV65528:TTW65531 TJZ65528:TKA65531 TAD65528:TAE65531 SQH65528:SQI65531 SGL65528:SGM65531 RWP65528:RWQ65531 RMT65528:RMU65531 RCX65528:RCY65531 QTB65528:QTC65531 QJF65528:QJG65531 PZJ65528:PZK65531 PPN65528:PPO65531 PFR65528:PFS65531 OVV65528:OVW65531 OLZ65528:OMA65531 OCD65528:OCE65531 NSH65528:NSI65531 NIL65528:NIM65531 MYP65528:MYQ65531 MOT65528:MOU65531 MEX65528:MEY65531 LVB65528:LVC65531 LLF65528:LLG65531 LBJ65528:LBK65531 KRN65528:KRO65531 KHR65528:KHS65531 JXV65528:JXW65531 JNZ65528:JOA65531 JED65528:JEE65531 IUH65528:IUI65531 IKL65528:IKM65531 IAP65528:IAQ65531 HQT65528:HQU65531 HGX65528:HGY65531 GXB65528:GXC65531 GNF65528:GNG65531 GDJ65528:GDK65531 FTN65528:FTO65531 FJR65528:FJS65531 EZV65528:EZW65531 EPZ65528:EQA65531 EGD65528:EGE65531 DWH65528:DWI65531 DML65528:DMM65531 DCP65528:DCQ65531 CST65528:CSU65531 CIX65528:CIY65531 BZB65528:BZC65531 BPF65528:BPG65531 BFJ65528:BFK65531 AVN65528:AVO65531 ALR65528:ALS65531 ABV65528:ABW65531 RZ65528:SA65531 ID65528:IE65531 AB65528:AC65531 WKT983032:WKU983035 WUP5:WUQ6 WKT5:WKU6 WAX5:WAY6 VRB5:VRC6 VHF5:VHG6 UXJ5:UXK6 UNN5:UNO6 UDR5:UDS6 TTV5:TTW6 TJZ5:TKA6 TAD5:TAE6 SQH5:SQI6 SGL5:SGM6 RWP5:RWQ6 RMT5:RMU6 RCX5:RCY6 QTB5:QTC6 QJF5:QJG6 PZJ5:PZK6 PPN5:PPO6 PFR5:PFS6 OVV5:OVW6 OLZ5:OMA6 OCD5:OCE6 NSH5:NSI6 NIL5:NIM6 MYP5:MYQ6 MOT5:MOU6 MEX5:MEY6 LVB5:LVC6 LLF5:LLG6 LBJ5:LBK6 KRN5:KRO6 KHR5:KHS6 JXV5:JXW6 JNZ5:JOA6 JED5:JEE6 IUH5:IUI6 IKL5:IKM6 IAP5:IAQ6 HQT5:HQU6 HGX5:HGY6 GXB5:GXC6 GNF5:GNG6 GDJ5:GDK6 FTN5:FTO6 FJR5:FJS6 EZV5:EZW6 EPZ5:EQA6 EGD5:EGE6 DWH5:DWI6 DML5:DMM6 DCP5:DCQ6 CST5:CSU6 CIX5:CIY6 BZB5:BZC6 BPF5:BPG6 BFJ5:BFK6 AVN5:AVO6 ALR5:ALS6 ABV5:ABW6 RZ5:SA6 ID5:IE6" xr:uid="{AF998A6D-56D6-42C8-AEEC-6F66026549BB}">
      <formula1>$U$51:$U$54</formula1>
    </dataValidation>
    <dataValidation type="list" allowBlank="1" showInputMessage="1" showErrorMessage="1" sqref="AE983073:AL983078 IG983073:IN983078 SC983073:SJ983078 ABY983073:ACF983078 ALU983073:AMB983078 AVQ983073:AVX983078 BFM983073:BFT983078 BPI983073:BPP983078 BZE983073:BZL983078 CJA983073:CJH983078 CSW983073:CTD983078 DCS983073:DCZ983078 DMO983073:DMV983078 DWK983073:DWR983078 EGG983073:EGN983078 EQC983073:EQJ983078 EZY983073:FAF983078 FJU983073:FKB983078 FTQ983073:FTX983078 GDM983073:GDT983078 GNI983073:GNP983078 GXE983073:GXL983078 HHA983073:HHH983078 HQW983073:HRD983078 IAS983073:IAZ983078 IKO983073:IKV983078 IUK983073:IUR983078 JEG983073:JEN983078 JOC983073:JOJ983078 JXY983073:JYF983078 KHU983073:KIB983078 KRQ983073:KRX983078 LBM983073:LBT983078 LLI983073:LLP983078 LVE983073:LVL983078 MFA983073:MFH983078 MOW983073:MPD983078 MYS983073:MYZ983078 NIO983073:NIV983078 NSK983073:NSR983078 OCG983073:OCN983078 OMC983073:OMJ983078 OVY983073:OWF983078 PFU983073:PGB983078 PPQ983073:PPX983078 PZM983073:PZT983078 QJI983073:QJP983078 QTE983073:QTL983078 RDA983073:RDH983078 RMW983073:RND983078 RWS983073:RWZ983078 SGO983073:SGV983078 SQK983073:SQR983078 TAG983073:TAN983078 TKC983073:TKJ983078 TTY983073:TUF983078 UDU983073:UEB983078 UNQ983073:UNX983078 UXM983073:UXT983078 VHI983073:VHP983078 VRE983073:VRL983078 WBA983073:WBH983078 WKW983073:WLD983078 WUS983073:WUZ983078 AE65569:AL65574 IG65569:IN65574 SC65569:SJ65574 ABY65569:ACF65574 ALU65569:AMB65574 AVQ65569:AVX65574 BFM65569:BFT65574 BPI65569:BPP65574 BZE65569:BZL65574 CJA65569:CJH65574 CSW65569:CTD65574 DCS65569:DCZ65574 DMO65569:DMV65574 DWK65569:DWR65574 EGG65569:EGN65574 EQC65569:EQJ65574 EZY65569:FAF65574 FJU65569:FKB65574 FTQ65569:FTX65574 GDM65569:GDT65574 GNI65569:GNP65574 GXE65569:GXL65574 HHA65569:HHH65574 HQW65569:HRD65574 IAS65569:IAZ65574 IKO65569:IKV65574 IUK65569:IUR65574 JEG65569:JEN65574 JOC65569:JOJ65574 JXY65569:JYF65574 KHU65569:KIB65574 KRQ65569:KRX65574 LBM65569:LBT65574 LLI65569:LLP65574 LVE65569:LVL65574 MFA65569:MFH65574 MOW65569:MPD65574 MYS65569:MYZ65574 NIO65569:NIV65574 NSK65569:NSR65574 OCG65569:OCN65574 OMC65569:OMJ65574 OVY65569:OWF65574 PFU65569:PGB65574 PPQ65569:PPX65574 PZM65569:PZT65574 QJI65569:QJP65574 QTE65569:QTL65574 RDA65569:RDH65574 RMW65569:RND65574 RWS65569:RWZ65574 SGO65569:SGV65574 SQK65569:SQR65574 TAG65569:TAN65574 TKC65569:TKJ65574 TTY65569:TUF65574 UDU65569:UEB65574 UNQ65569:UNX65574 UXM65569:UXT65574 VHI65569:VHP65574 VRE65569:VRL65574 WBA65569:WBH65574 WKW65569:WLD65574 WUS65569:WUZ65574 AE131105:AL131110 IG131105:IN131110 SC131105:SJ131110 ABY131105:ACF131110 ALU131105:AMB131110 AVQ131105:AVX131110 BFM131105:BFT131110 BPI131105:BPP131110 BZE131105:BZL131110 CJA131105:CJH131110 CSW131105:CTD131110 DCS131105:DCZ131110 DMO131105:DMV131110 DWK131105:DWR131110 EGG131105:EGN131110 EQC131105:EQJ131110 EZY131105:FAF131110 FJU131105:FKB131110 FTQ131105:FTX131110 GDM131105:GDT131110 GNI131105:GNP131110 GXE131105:GXL131110 HHA131105:HHH131110 HQW131105:HRD131110 IAS131105:IAZ131110 IKO131105:IKV131110 IUK131105:IUR131110 JEG131105:JEN131110 JOC131105:JOJ131110 JXY131105:JYF131110 KHU131105:KIB131110 KRQ131105:KRX131110 LBM131105:LBT131110 LLI131105:LLP131110 LVE131105:LVL131110 MFA131105:MFH131110 MOW131105:MPD131110 MYS131105:MYZ131110 NIO131105:NIV131110 NSK131105:NSR131110 OCG131105:OCN131110 OMC131105:OMJ131110 OVY131105:OWF131110 PFU131105:PGB131110 PPQ131105:PPX131110 PZM131105:PZT131110 QJI131105:QJP131110 QTE131105:QTL131110 RDA131105:RDH131110 RMW131105:RND131110 RWS131105:RWZ131110 SGO131105:SGV131110 SQK131105:SQR131110 TAG131105:TAN131110 TKC131105:TKJ131110 TTY131105:TUF131110 UDU131105:UEB131110 UNQ131105:UNX131110 UXM131105:UXT131110 VHI131105:VHP131110 VRE131105:VRL131110 WBA131105:WBH131110 WKW131105:WLD131110 WUS131105:WUZ131110 AE196641:AL196646 IG196641:IN196646 SC196641:SJ196646 ABY196641:ACF196646 ALU196641:AMB196646 AVQ196641:AVX196646 BFM196641:BFT196646 BPI196641:BPP196646 BZE196641:BZL196646 CJA196641:CJH196646 CSW196641:CTD196646 DCS196641:DCZ196646 DMO196641:DMV196646 DWK196641:DWR196646 EGG196641:EGN196646 EQC196641:EQJ196646 EZY196641:FAF196646 FJU196641:FKB196646 FTQ196641:FTX196646 GDM196641:GDT196646 GNI196641:GNP196646 GXE196641:GXL196646 HHA196641:HHH196646 HQW196641:HRD196646 IAS196641:IAZ196646 IKO196641:IKV196646 IUK196641:IUR196646 JEG196641:JEN196646 JOC196641:JOJ196646 JXY196641:JYF196646 KHU196641:KIB196646 KRQ196641:KRX196646 LBM196641:LBT196646 LLI196641:LLP196646 LVE196641:LVL196646 MFA196641:MFH196646 MOW196641:MPD196646 MYS196641:MYZ196646 NIO196641:NIV196646 NSK196641:NSR196646 OCG196641:OCN196646 OMC196641:OMJ196646 OVY196641:OWF196646 PFU196641:PGB196646 PPQ196641:PPX196646 PZM196641:PZT196646 QJI196641:QJP196646 QTE196641:QTL196646 RDA196641:RDH196646 RMW196641:RND196646 RWS196641:RWZ196646 SGO196641:SGV196646 SQK196641:SQR196646 TAG196641:TAN196646 TKC196641:TKJ196646 TTY196641:TUF196646 UDU196641:UEB196646 UNQ196641:UNX196646 UXM196641:UXT196646 VHI196641:VHP196646 VRE196641:VRL196646 WBA196641:WBH196646 WKW196641:WLD196646 WUS196641:WUZ196646 AE262177:AL262182 IG262177:IN262182 SC262177:SJ262182 ABY262177:ACF262182 ALU262177:AMB262182 AVQ262177:AVX262182 BFM262177:BFT262182 BPI262177:BPP262182 BZE262177:BZL262182 CJA262177:CJH262182 CSW262177:CTD262182 DCS262177:DCZ262182 DMO262177:DMV262182 DWK262177:DWR262182 EGG262177:EGN262182 EQC262177:EQJ262182 EZY262177:FAF262182 FJU262177:FKB262182 FTQ262177:FTX262182 GDM262177:GDT262182 GNI262177:GNP262182 GXE262177:GXL262182 HHA262177:HHH262182 HQW262177:HRD262182 IAS262177:IAZ262182 IKO262177:IKV262182 IUK262177:IUR262182 JEG262177:JEN262182 JOC262177:JOJ262182 JXY262177:JYF262182 KHU262177:KIB262182 KRQ262177:KRX262182 LBM262177:LBT262182 LLI262177:LLP262182 LVE262177:LVL262182 MFA262177:MFH262182 MOW262177:MPD262182 MYS262177:MYZ262182 NIO262177:NIV262182 NSK262177:NSR262182 OCG262177:OCN262182 OMC262177:OMJ262182 OVY262177:OWF262182 PFU262177:PGB262182 PPQ262177:PPX262182 PZM262177:PZT262182 QJI262177:QJP262182 QTE262177:QTL262182 RDA262177:RDH262182 RMW262177:RND262182 RWS262177:RWZ262182 SGO262177:SGV262182 SQK262177:SQR262182 TAG262177:TAN262182 TKC262177:TKJ262182 TTY262177:TUF262182 UDU262177:UEB262182 UNQ262177:UNX262182 UXM262177:UXT262182 VHI262177:VHP262182 VRE262177:VRL262182 WBA262177:WBH262182 WKW262177:WLD262182 WUS262177:WUZ262182 AE327713:AL327718 IG327713:IN327718 SC327713:SJ327718 ABY327713:ACF327718 ALU327713:AMB327718 AVQ327713:AVX327718 BFM327713:BFT327718 BPI327713:BPP327718 BZE327713:BZL327718 CJA327713:CJH327718 CSW327713:CTD327718 DCS327713:DCZ327718 DMO327713:DMV327718 DWK327713:DWR327718 EGG327713:EGN327718 EQC327713:EQJ327718 EZY327713:FAF327718 FJU327713:FKB327718 FTQ327713:FTX327718 GDM327713:GDT327718 GNI327713:GNP327718 GXE327713:GXL327718 HHA327713:HHH327718 HQW327713:HRD327718 IAS327713:IAZ327718 IKO327713:IKV327718 IUK327713:IUR327718 JEG327713:JEN327718 JOC327713:JOJ327718 JXY327713:JYF327718 KHU327713:KIB327718 KRQ327713:KRX327718 LBM327713:LBT327718 LLI327713:LLP327718 LVE327713:LVL327718 MFA327713:MFH327718 MOW327713:MPD327718 MYS327713:MYZ327718 NIO327713:NIV327718 NSK327713:NSR327718 OCG327713:OCN327718 OMC327713:OMJ327718 OVY327713:OWF327718 PFU327713:PGB327718 PPQ327713:PPX327718 PZM327713:PZT327718 QJI327713:QJP327718 QTE327713:QTL327718 RDA327713:RDH327718 RMW327713:RND327718 RWS327713:RWZ327718 SGO327713:SGV327718 SQK327713:SQR327718 TAG327713:TAN327718 TKC327713:TKJ327718 TTY327713:TUF327718 UDU327713:UEB327718 UNQ327713:UNX327718 UXM327713:UXT327718 VHI327713:VHP327718 VRE327713:VRL327718 WBA327713:WBH327718 WKW327713:WLD327718 WUS327713:WUZ327718 AE393249:AL393254 IG393249:IN393254 SC393249:SJ393254 ABY393249:ACF393254 ALU393249:AMB393254 AVQ393249:AVX393254 BFM393249:BFT393254 BPI393249:BPP393254 BZE393249:BZL393254 CJA393249:CJH393254 CSW393249:CTD393254 DCS393249:DCZ393254 DMO393249:DMV393254 DWK393249:DWR393254 EGG393249:EGN393254 EQC393249:EQJ393254 EZY393249:FAF393254 FJU393249:FKB393254 FTQ393249:FTX393254 GDM393249:GDT393254 GNI393249:GNP393254 GXE393249:GXL393254 HHA393249:HHH393254 HQW393249:HRD393254 IAS393249:IAZ393254 IKO393249:IKV393254 IUK393249:IUR393254 JEG393249:JEN393254 JOC393249:JOJ393254 JXY393249:JYF393254 KHU393249:KIB393254 KRQ393249:KRX393254 LBM393249:LBT393254 LLI393249:LLP393254 LVE393249:LVL393254 MFA393249:MFH393254 MOW393249:MPD393254 MYS393249:MYZ393254 NIO393249:NIV393254 NSK393249:NSR393254 OCG393249:OCN393254 OMC393249:OMJ393254 OVY393249:OWF393254 PFU393249:PGB393254 PPQ393249:PPX393254 PZM393249:PZT393254 QJI393249:QJP393254 QTE393249:QTL393254 RDA393249:RDH393254 RMW393249:RND393254 RWS393249:RWZ393254 SGO393249:SGV393254 SQK393249:SQR393254 TAG393249:TAN393254 TKC393249:TKJ393254 TTY393249:TUF393254 UDU393249:UEB393254 UNQ393249:UNX393254 UXM393249:UXT393254 VHI393249:VHP393254 VRE393249:VRL393254 WBA393249:WBH393254 WKW393249:WLD393254 WUS393249:WUZ393254 AE458785:AL458790 IG458785:IN458790 SC458785:SJ458790 ABY458785:ACF458790 ALU458785:AMB458790 AVQ458785:AVX458790 BFM458785:BFT458790 BPI458785:BPP458790 BZE458785:BZL458790 CJA458785:CJH458790 CSW458785:CTD458790 DCS458785:DCZ458790 DMO458785:DMV458790 DWK458785:DWR458790 EGG458785:EGN458790 EQC458785:EQJ458790 EZY458785:FAF458790 FJU458785:FKB458790 FTQ458785:FTX458790 GDM458785:GDT458790 GNI458785:GNP458790 GXE458785:GXL458790 HHA458785:HHH458790 HQW458785:HRD458790 IAS458785:IAZ458790 IKO458785:IKV458790 IUK458785:IUR458790 JEG458785:JEN458790 JOC458785:JOJ458790 JXY458785:JYF458790 KHU458785:KIB458790 KRQ458785:KRX458790 LBM458785:LBT458790 LLI458785:LLP458790 LVE458785:LVL458790 MFA458785:MFH458790 MOW458785:MPD458790 MYS458785:MYZ458790 NIO458785:NIV458790 NSK458785:NSR458790 OCG458785:OCN458790 OMC458785:OMJ458790 OVY458785:OWF458790 PFU458785:PGB458790 PPQ458785:PPX458790 PZM458785:PZT458790 QJI458785:QJP458790 QTE458785:QTL458790 RDA458785:RDH458790 RMW458785:RND458790 RWS458785:RWZ458790 SGO458785:SGV458790 SQK458785:SQR458790 TAG458785:TAN458790 TKC458785:TKJ458790 TTY458785:TUF458790 UDU458785:UEB458790 UNQ458785:UNX458790 UXM458785:UXT458790 VHI458785:VHP458790 VRE458785:VRL458790 WBA458785:WBH458790 WKW458785:WLD458790 WUS458785:WUZ458790 AE524321:AL524326 IG524321:IN524326 SC524321:SJ524326 ABY524321:ACF524326 ALU524321:AMB524326 AVQ524321:AVX524326 BFM524321:BFT524326 BPI524321:BPP524326 BZE524321:BZL524326 CJA524321:CJH524326 CSW524321:CTD524326 DCS524321:DCZ524326 DMO524321:DMV524326 DWK524321:DWR524326 EGG524321:EGN524326 EQC524321:EQJ524326 EZY524321:FAF524326 FJU524321:FKB524326 FTQ524321:FTX524326 GDM524321:GDT524326 GNI524321:GNP524326 GXE524321:GXL524326 HHA524321:HHH524326 HQW524321:HRD524326 IAS524321:IAZ524326 IKO524321:IKV524326 IUK524321:IUR524326 JEG524321:JEN524326 JOC524321:JOJ524326 JXY524321:JYF524326 KHU524321:KIB524326 KRQ524321:KRX524326 LBM524321:LBT524326 LLI524321:LLP524326 LVE524321:LVL524326 MFA524321:MFH524326 MOW524321:MPD524326 MYS524321:MYZ524326 NIO524321:NIV524326 NSK524321:NSR524326 OCG524321:OCN524326 OMC524321:OMJ524326 OVY524321:OWF524326 PFU524321:PGB524326 PPQ524321:PPX524326 PZM524321:PZT524326 QJI524321:QJP524326 QTE524321:QTL524326 RDA524321:RDH524326 RMW524321:RND524326 RWS524321:RWZ524326 SGO524321:SGV524326 SQK524321:SQR524326 TAG524321:TAN524326 TKC524321:TKJ524326 TTY524321:TUF524326 UDU524321:UEB524326 UNQ524321:UNX524326 UXM524321:UXT524326 VHI524321:VHP524326 VRE524321:VRL524326 WBA524321:WBH524326 WKW524321:WLD524326 WUS524321:WUZ524326 AE589857:AL589862 IG589857:IN589862 SC589857:SJ589862 ABY589857:ACF589862 ALU589857:AMB589862 AVQ589857:AVX589862 BFM589857:BFT589862 BPI589857:BPP589862 BZE589857:BZL589862 CJA589857:CJH589862 CSW589857:CTD589862 DCS589857:DCZ589862 DMO589857:DMV589862 DWK589857:DWR589862 EGG589857:EGN589862 EQC589857:EQJ589862 EZY589857:FAF589862 FJU589857:FKB589862 FTQ589857:FTX589862 GDM589857:GDT589862 GNI589857:GNP589862 GXE589857:GXL589862 HHA589857:HHH589862 HQW589857:HRD589862 IAS589857:IAZ589862 IKO589857:IKV589862 IUK589857:IUR589862 JEG589857:JEN589862 JOC589857:JOJ589862 JXY589857:JYF589862 KHU589857:KIB589862 KRQ589857:KRX589862 LBM589857:LBT589862 LLI589857:LLP589862 LVE589857:LVL589862 MFA589857:MFH589862 MOW589857:MPD589862 MYS589857:MYZ589862 NIO589857:NIV589862 NSK589857:NSR589862 OCG589857:OCN589862 OMC589857:OMJ589862 OVY589857:OWF589862 PFU589857:PGB589862 PPQ589857:PPX589862 PZM589857:PZT589862 QJI589857:QJP589862 QTE589857:QTL589862 RDA589857:RDH589862 RMW589857:RND589862 RWS589857:RWZ589862 SGO589857:SGV589862 SQK589857:SQR589862 TAG589857:TAN589862 TKC589857:TKJ589862 TTY589857:TUF589862 UDU589857:UEB589862 UNQ589857:UNX589862 UXM589857:UXT589862 VHI589857:VHP589862 VRE589857:VRL589862 WBA589857:WBH589862 WKW589857:WLD589862 WUS589857:WUZ589862 AE655393:AL655398 IG655393:IN655398 SC655393:SJ655398 ABY655393:ACF655398 ALU655393:AMB655398 AVQ655393:AVX655398 BFM655393:BFT655398 BPI655393:BPP655398 BZE655393:BZL655398 CJA655393:CJH655398 CSW655393:CTD655398 DCS655393:DCZ655398 DMO655393:DMV655398 DWK655393:DWR655398 EGG655393:EGN655398 EQC655393:EQJ655398 EZY655393:FAF655398 FJU655393:FKB655398 FTQ655393:FTX655398 GDM655393:GDT655398 GNI655393:GNP655398 GXE655393:GXL655398 HHA655393:HHH655398 HQW655393:HRD655398 IAS655393:IAZ655398 IKO655393:IKV655398 IUK655393:IUR655398 JEG655393:JEN655398 JOC655393:JOJ655398 JXY655393:JYF655398 KHU655393:KIB655398 KRQ655393:KRX655398 LBM655393:LBT655398 LLI655393:LLP655398 LVE655393:LVL655398 MFA655393:MFH655398 MOW655393:MPD655398 MYS655393:MYZ655398 NIO655393:NIV655398 NSK655393:NSR655398 OCG655393:OCN655398 OMC655393:OMJ655398 OVY655393:OWF655398 PFU655393:PGB655398 PPQ655393:PPX655398 PZM655393:PZT655398 QJI655393:QJP655398 QTE655393:QTL655398 RDA655393:RDH655398 RMW655393:RND655398 RWS655393:RWZ655398 SGO655393:SGV655398 SQK655393:SQR655398 TAG655393:TAN655398 TKC655393:TKJ655398 TTY655393:TUF655398 UDU655393:UEB655398 UNQ655393:UNX655398 UXM655393:UXT655398 VHI655393:VHP655398 VRE655393:VRL655398 WBA655393:WBH655398 WKW655393:WLD655398 WUS655393:WUZ655398 AE720929:AL720934 IG720929:IN720934 SC720929:SJ720934 ABY720929:ACF720934 ALU720929:AMB720934 AVQ720929:AVX720934 BFM720929:BFT720934 BPI720929:BPP720934 BZE720929:BZL720934 CJA720929:CJH720934 CSW720929:CTD720934 DCS720929:DCZ720934 DMO720929:DMV720934 DWK720929:DWR720934 EGG720929:EGN720934 EQC720929:EQJ720934 EZY720929:FAF720934 FJU720929:FKB720934 FTQ720929:FTX720934 GDM720929:GDT720934 GNI720929:GNP720934 GXE720929:GXL720934 HHA720929:HHH720934 HQW720929:HRD720934 IAS720929:IAZ720934 IKO720929:IKV720934 IUK720929:IUR720934 JEG720929:JEN720934 JOC720929:JOJ720934 JXY720929:JYF720934 KHU720929:KIB720934 KRQ720929:KRX720934 LBM720929:LBT720934 LLI720929:LLP720934 LVE720929:LVL720934 MFA720929:MFH720934 MOW720929:MPD720934 MYS720929:MYZ720934 NIO720929:NIV720934 NSK720929:NSR720934 OCG720929:OCN720934 OMC720929:OMJ720934 OVY720929:OWF720934 PFU720929:PGB720934 PPQ720929:PPX720934 PZM720929:PZT720934 QJI720929:QJP720934 QTE720929:QTL720934 RDA720929:RDH720934 RMW720929:RND720934 RWS720929:RWZ720934 SGO720929:SGV720934 SQK720929:SQR720934 TAG720929:TAN720934 TKC720929:TKJ720934 TTY720929:TUF720934 UDU720929:UEB720934 UNQ720929:UNX720934 UXM720929:UXT720934 VHI720929:VHP720934 VRE720929:VRL720934 WBA720929:WBH720934 WKW720929:WLD720934 WUS720929:WUZ720934 AE786465:AL786470 IG786465:IN786470 SC786465:SJ786470 ABY786465:ACF786470 ALU786465:AMB786470 AVQ786465:AVX786470 BFM786465:BFT786470 BPI786465:BPP786470 BZE786465:BZL786470 CJA786465:CJH786470 CSW786465:CTD786470 DCS786465:DCZ786470 DMO786465:DMV786470 DWK786465:DWR786470 EGG786465:EGN786470 EQC786465:EQJ786470 EZY786465:FAF786470 FJU786465:FKB786470 FTQ786465:FTX786470 GDM786465:GDT786470 GNI786465:GNP786470 GXE786465:GXL786470 HHA786465:HHH786470 HQW786465:HRD786470 IAS786465:IAZ786470 IKO786465:IKV786470 IUK786465:IUR786470 JEG786465:JEN786470 JOC786465:JOJ786470 JXY786465:JYF786470 KHU786465:KIB786470 KRQ786465:KRX786470 LBM786465:LBT786470 LLI786465:LLP786470 LVE786465:LVL786470 MFA786465:MFH786470 MOW786465:MPD786470 MYS786465:MYZ786470 NIO786465:NIV786470 NSK786465:NSR786470 OCG786465:OCN786470 OMC786465:OMJ786470 OVY786465:OWF786470 PFU786465:PGB786470 PPQ786465:PPX786470 PZM786465:PZT786470 QJI786465:QJP786470 QTE786465:QTL786470 RDA786465:RDH786470 RMW786465:RND786470 RWS786465:RWZ786470 SGO786465:SGV786470 SQK786465:SQR786470 TAG786465:TAN786470 TKC786465:TKJ786470 TTY786465:TUF786470 UDU786465:UEB786470 UNQ786465:UNX786470 UXM786465:UXT786470 VHI786465:VHP786470 VRE786465:VRL786470 WBA786465:WBH786470 WKW786465:WLD786470 WUS786465:WUZ786470 AE852001:AL852006 IG852001:IN852006 SC852001:SJ852006 ABY852001:ACF852006 ALU852001:AMB852006 AVQ852001:AVX852006 BFM852001:BFT852006 BPI852001:BPP852006 BZE852001:BZL852006 CJA852001:CJH852006 CSW852001:CTD852006 DCS852001:DCZ852006 DMO852001:DMV852006 DWK852001:DWR852006 EGG852001:EGN852006 EQC852001:EQJ852006 EZY852001:FAF852006 FJU852001:FKB852006 FTQ852001:FTX852006 GDM852001:GDT852006 GNI852001:GNP852006 GXE852001:GXL852006 HHA852001:HHH852006 HQW852001:HRD852006 IAS852001:IAZ852006 IKO852001:IKV852006 IUK852001:IUR852006 JEG852001:JEN852006 JOC852001:JOJ852006 JXY852001:JYF852006 KHU852001:KIB852006 KRQ852001:KRX852006 LBM852001:LBT852006 LLI852001:LLP852006 LVE852001:LVL852006 MFA852001:MFH852006 MOW852001:MPD852006 MYS852001:MYZ852006 NIO852001:NIV852006 NSK852001:NSR852006 OCG852001:OCN852006 OMC852001:OMJ852006 OVY852001:OWF852006 PFU852001:PGB852006 PPQ852001:PPX852006 PZM852001:PZT852006 QJI852001:QJP852006 QTE852001:QTL852006 RDA852001:RDH852006 RMW852001:RND852006 RWS852001:RWZ852006 SGO852001:SGV852006 SQK852001:SQR852006 TAG852001:TAN852006 TKC852001:TKJ852006 TTY852001:TUF852006 UDU852001:UEB852006 UNQ852001:UNX852006 UXM852001:UXT852006 VHI852001:VHP852006 VRE852001:VRL852006 WBA852001:WBH852006 WKW852001:WLD852006 WUS852001:WUZ852006 AE917537:AL917542 IG917537:IN917542 SC917537:SJ917542 ABY917537:ACF917542 ALU917537:AMB917542 AVQ917537:AVX917542 BFM917537:BFT917542 BPI917537:BPP917542 BZE917537:BZL917542 CJA917537:CJH917542 CSW917537:CTD917542 DCS917537:DCZ917542 DMO917537:DMV917542 DWK917537:DWR917542 EGG917537:EGN917542 EQC917537:EQJ917542 EZY917537:FAF917542 FJU917537:FKB917542 FTQ917537:FTX917542 GDM917537:GDT917542 GNI917537:GNP917542 GXE917537:GXL917542 HHA917537:HHH917542 HQW917537:HRD917542 IAS917537:IAZ917542 IKO917537:IKV917542 IUK917537:IUR917542 JEG917537:JEN917542 JOC917537:JOJ917542 JXY917537:JYF917542 KHU917537:KIB917542 KRQ917537:KRX917542 LBM917537:LBT917542 LLI917537:LLP917542 LVE917537:LVL917542 MFA917537:MFH917542 MOW917537:MPD917542 MYS917537:MYZ917542 NIO917537:NIV917542 NSK917537:NSR917542 OCG917537:OCN917542 OMC917537:OMJ917542 OVY917537:OWF917542 PFU917537:PGB917542 PPQ917537:PPX917542 PZM917537:PZT917542 QJI917537:QJP917542 QTE917537:QTL917542 RDA917537:RDH917542 RMW917537:RND917542 RWS917537:RWZ917542 SGO917537:SGV917542 SQK917537:SQR917542 TAG917537:TAN917542 TKC917537:TKJ917542 TTY917537:TUF917542 UDU917537:UEB917542 UNQ917537:UNX917542 UXM917537:UXT917542 VHI917537:VHP917542 VRE917537:VRL917542 WBA917537:WBH917542 WKW917537:WLD917542 WUS917537:WUZ917542 WUS32:WUZ37 IG32:IN37 SC32:SJ37 ABY32:ACF37 ALU32:AMB37 AVQ32:AVX37 BFM32:BFT37 BPI32:BPP37 BZE32:BZL37 CJA32:CJH37 CSW32:CTD37 DCS32:DCZ37 DMO32:DMV37 DWK32:DWR37 EGG32:EGN37 EQC32:EQJ37 EZY32:FAF37 FJU32:FKB37 FTQ32:FTX37 GDM32:GDT37 GNI32:GNP37 GXE32:GXL37 HHA32:HHH37 HQW32:HRD37 IAS32:IAZ37 IKO32:IKV37 IUK32:IUR37 JEG32:JEN37 JOC32:JOJ37 JXY32:JYF37 KHU32:KIB37 KRQ32:KRX37 LBM32:LBT37 LLI32:LLP37 LVE32:LVL37 MFA32:MFH37 MOW32:MPD37 MYS32:MYZ37 NIO32:NIV37 NSK32:NSR37 OCG32:OCN37 OMC32:OMJ37 OVY32:OWF37 PFU32:PGB37 PPQ32:PPX37 PZM32:PZT37 QJI32:QJP37 QTE32:QTL37 RDA32:RDH37 RMW32:RND37 RWS32:RWZ37 SGO32:SGV37 SQK32:SQR37 TAG32:TAN37 TKC32:TKJ37 TTY32:TUF37 UDU32:UEB37 UNQ32:UNX37 UXM32:UXT37 VHI32:VHP37 VRE32:VRL37 WBA32:WBH37 WKW32:WLD37 AE32:AL38" xr:uid="{845E1607-DDA4-4DAB-99EB-EF8F27A27D4E}">
      <formula1>"サーバ,クライアント"</formula1>
    </dataValidation>
    <dataValidation type="list" allowBlank="1" showInputMessage="1" showErrorMessage="1" sqref="WKV983032:WKW983069 AD11:AD27 AD5:AD9 WUR5:WUS27 WAZ5:WBA27 VRD5:VRE27 VHH5:VHI27 UXL5:UXM27 UNP5:UNQ27 UDT5:UDU27 TTX5:TTY27 TKB5:TKC27 TAF5:TAG27 SQJ5:SQK27 SGN5:SGO27 RWR5:RWS27 RMV5:RMW27 RCZ5:RDA27 QTD5:QTE27 QJH5:QJI27 PZL5:PZM27 PPP5:PPQ27 PFT5:PFU27 OVX5:OVY27 OMB5:OMC27 OCF5:OCG27 NSJ5:NSK27 NIN5:NIO27 MYR5:MYS27 MOV5:MOW27 MEZ5:MFA27 LVD5:LVE27 LLH5:LLI27 LBL5:LBM27 KRP5:KRQ27 KHT5:KHU27 JXX5:JXY27 JOB5:JOC27 JEF5:JEG27 IUJ5:IUK27 IKN5:IKO27 IAR5:IAS27 HQV5:HQW27 HGZ5:HHA27 GXD5:GXE27 GNH5:GNI27 GDL5:GDM27 FTP5:FTQ27 FJT5:FJU27 EZX5:EZY27 EQB5:EQC27 EGF5:EGG27 DWJ5:DWK27 DMN5:DMO27 DCR5:DCS27 CSV5:CSW27 CIZ5:CJA27 BZD5:BZE27 BPH5:BPI27 BFL5:BFM27 AVP5:AVQ27 ALT5:ALU27 ABX5:ABY27 SB5:SC27 IF5:IG27 WKV5:WKW27 AE5:AE7 WUR983032:WUS983069 WAZ983032:WBA983069 VRD983032:VRE983069 VHH983032:VHI983069 UXL983032:UXM983069 UNP983032:UNQ983069 UDT983032:UDU983069 TTX983032:TTY983069 TKB983032:TKC983069 TAF983032:TAG983069 SQJ983032:SQK983069 SGN983032:SGO983069 RWR983032:RWS983069 RMV983032:RMW983069 RCZ983032:RDA983069 QTD983032:QTE983069 QJH983032:QJI983069 PZL983032:PZM983069 PPP983032:PPQ983069 PFT983032:PFU983069 OVX983032:OVY983069 OMB983032:OMC983069 OCF983032:OCG983069 NSJ983032:NSK983069 NIN983032:NIO983069 MYR983032:MYS983069 MOV983032:MOW983069 MEZ983032:MFA983069 LVD983032:LVE983069 LLH983032:LLI983069 LBL983032:LBM983069 KRP983032:KRQ983069 KHT983032:KHU983069 JXX983032:JXY983069 JOB983032:JOC983069 JEF983032:JEG983069 IUJ983032:IUK983069 IKN983032:IKO983069 IAR983032:IAS983069 HQV983032:HQW983069 HGZ983032:HHA983069 GXD983032:GXE983069 GNH983032:GNI983069 GDL983032:GDM983069 FTP983032:FTQ983069 FJT983032:FJU983069 EZX983032:EZY983069 EQB983032:EQC983069 EGF983032:EGG983069 DWJ983032:DWK983069 DMN983032:DMO983069 DCR983032:DCS983069 CSV983032:CSW983069 CIZ983032:CJA983069 BZD983032:BZE983069 BPH983032:BPI983069 BFL983032:BFM983069 AVP983032:AVQ983069 ALT983032:ALU983069 ABX983032:ABY983069 SB983032:SC983069 IF983032:IG983069 AD983032:AE983069 WUR917496:WUS917533 WKV917496:WKW917533 WAZ917496:WBA917533 VRD917496:VRE917533 VHH917496:VHI917533 UXL917496:UXM917533 UNP917496:UNQ917533 UDT917496:UDU917533 TTX917496:TTY917533 TKB917496:TKC917533 TAF917496:TAG917533 SQJ917496:SQK917533 SGN917496:SGO917533 RWR917496:RWS917533 RMV917496:RMW917533 RCZ917496:RDA917533 QTD917496:QTE917533 QJH917496:QJI917533 PZL917496:PZM917533 PPP917496:PPQ917533 PFT917496:PFU917533 OVX917496:OVY917533 OMB917496:OMC917533 OCF917496:OCG917533 NSJ917496:NSK917533 NIN917496:NIO917533 MYR917496:MYS917533 MOV917496:MOW917533 MEZ917496:MFA917533 LVD917496:LVE917533 LLH917496:LLI917533 LBL917496:LBM917533 KRP917496:KRQ917533 KHT917496:KHU917533 JXX917496:JXY917533 JOB917496:JOC917533 JEF917496:JEG917533 IUJ917496:IUK917533 IKN917496:IKO917533 IAR917496:IAS917533 HQV917496:HQW917533 HGZ917496:HHA917533 GXD917496:GXE917533 GNH917496:GNI917533 GDL917496:GDM917533 FTP917496:FTQ917533 FJT917496:FJU917533 EZX917496:EZY917533 EQB917496:EQC917533 EGF917496:EGG917533 DWJ917496:DWK917533 DMN917496:DMO917533 DCR917496:DCS917533 CSV917496:CSW917533 CIZ917496:CJA917533 BZD917496:BZE917533 BPH917496:BPI917533 BFL917496:BFM917533 AVP917496:AVQ917533 ALT917496:ALU917533 ABX917496:ABY917533 SB917496:SC917533 IF917496:IG917533 AD917496:AE917533 WUR851960:WUS851997 WKV851960:WKW851997 WAZ851960:WBA851997 VRD851960:VRE851997 VHH851960:VHI851997 UXL851960:UXM851997 UNP851960:UNQ851997 UDT851960:UDU851997 TTX851960:TTY851997 TKB851960:TKC851997 TAF851960:TAG851997 SQJ851960:SQK851997 SGN851960:SGO851997 RWR851960:RWS851997 RMV851960:RMW851997 RCZ851960:RDA851997 QTD851960:QTE851997 QJH851960:QJI851997 PZL851960:PZM851997 PPP851960:PPQ851997 PFT851960:PFU851997 OVX851960:OVY851997 OMB851960:OMC851997 OCF851960:OCG851997 NSJ851960:NSK851997 NIN851960:NIO851997 MYR851960:MYS851997 MOV851960:MOW851997 MEZ851960:MFA851997 LVD851960:LVE851997 LLH851960:LLI851997 LBL851960:LBM851997 KRP851960:KRQ851997 KHT851960:KHU851997 JXX851960:JXY851997 JOB851960:JOC851997 JEF851960:JEG851997 IUJ851960:IUK851997 IKN851960:IKO851997 IAR851960:IAS851997 HQV851960:HQW851997 HGZ851960:HHA851997 GXD851960:GXE851997 GNH851960:GNI851997 GDL851960:GDM851997 FTP851960:FTQ851997 FJT851960:FJU851997 EZX851960:EZY851997 EQB851960:EQC851997 EGF851960:EGG851997 DWJ851960:DWK851997 DMN851960:DMO851997 DCR851960:DCS851997 CSV851960:CSW851997 CIZ851960:CJA851997 BZD851960:BZE851997 BPH851960:BPI851997 BFL851960:BFM851997 AVP851960:AVQ851997 ALT851960:ALU851997 ABX851960:ABY851997 SB851960:SC851997 IF851960:IG851997 AD851960:AE851997 WUR786424:WUS786461 WKV786424:WKW786461 WAZ786424:WBA786461 VRD786424:VRE786461 VHH786424:VHI786461 UXL786424:UXM786461 UNP786424:UNQ786461 UDT786424:UDU786461 TTX786424:TTY786461 TKB786424:TKC786461 TAF786424:TAG786461 SQJ786424:SQK786461 SGN786424:SGO786461 RWR786424:RWS786461 RMV786424:RMW786461 RCZ786424:RDA786461 QTD786424:QTE786461 QJH786424:QJI786461 PZL786424:PZM786461 PPP786424:PPQ786461 PFT786424:PFU786461 OVX786424:OVY786461 OMB786424:OMC786461 OCF786424:OCG786461 NSJ786424:NSK786461 NIN786424:NIO786461 MYR786424:MYS786461 MOV786424:MOW786461 MEZ786424:MFA786461 LVD786424:LVE786461 LLH786424:LLI786461 LBL786424:LBM786461 KRP786424:KRQ786461 KHT786424:KHU786461 JXX786424:JXY786461 JOB786424:JOC786461 JEF786424:JEG786461 IUJ786424:IUK786461 IKN786424:IKO786461 IAR786424:IAS786461 HQV786424:HQW786461 HGZ786424:HHA786461 GXD786424:GXE786461 GNH786424:GNI786461 GDL786424:GDM786461 FTP786424:FTQ786461 FJT786424:FJU786461 EZX786424:EZY786461 EQB786424:EQC786461 EGF786424:EGG786461 DWJ786424:DWK786461 DMN786424:DMO786461 DCR786424:DCS786461 CSV786424:CSW786461 CIZ786424:CJA786461 BZD786424:BZE786461 BPH786424:BPI786461 BFL786424:BFM786461 AVP786424:AVQ786461 ALT786424:ALU786461 ABX786424:ABY786461 SB786424:SC786461 IF786424:IG786461 AD786424:AE786461 WUR720888:WUS720925 WKV720888:WKW720925 WAZ720888:WBA720925 VRD720888:VRE720925 VHH720888:VHI720925 UXL720888:UXM720925 UNP720888:UNQ720925 UDT720888:UDU720925 TTX720888:TTY720925 TKB720888:TKC720925 TAF720888:TAG720925 SQJ720888:SQK720925 SGN720888:SGO720925 RWR720888:RWS720925 RMV720888:RMW720925 RCZ720888:RDA720925 QTD720888:QTE720925 QJH720888:QJI720925 PZL720888:PZM720925 PPP720888:PPQ720925 PFT720888:PFU720925 OVX720888:OVY720925 OMB720888:OMC720925 OCF720888:OCG720925 NSJ720888:NSK720925 NIN720888:NIO720925 MYR720888:MYS720925 MOV720888:MOW720925 MEZ720888:MFA720925 LVD720888:LVE720925 LLH720888:LLI720925 LBL720888:LBM720925 KRP720888:KRQ720925 KHT720888:KHU720925 JXX720888:JXY720925 JOB720888:JOC720925 JEF720888:JEG720925 IUJ720888:IUK720925 IKN720888:IKO720925 IAR720888:IAS720925 HQV720888:HQW720925 HGZ720888:HHA720925 GXD720888:GXE720925 GNH720888:GNI720925 GDL720888:GDM720925 FTP720888:FTQ720925 FJT720888:FJU720925 EZX720888:EZY720925 EQB720888:EQC720925 EGF720888:EGG720925 DWJ720888:DWK720925 DMN720888:DMO720925 DCR720888:DCS720925 CSV720888:CSW720925 CIZ720888:CJA720925 BZD720888:BZE720925 BPH720888:BPI720925 BFL720888:BFM720925 AVP720888:AVQ720925 ALT720888:ALU720925 ABX720888:ABY720925 SB720888:SC720925 IF720888:IG720925 AD720888:AE720925 WUR655352:WUS655389 WKV655352:WKW655389 WAZ655352:WBA655389 VRD655352:VRE655389 VHH655352:VHI655389 UXL655352:UXM655389 UNP655352:UNQ655389 UDT655352:UDU655389 TTX655352:TTY655389 TKB655352:TKC655389 TAF655352:TAG655389 SQJ655352:SQK655389 SGN655352:SGO655389 RWR655352:RWS655389 RMV655352:RMW655389 RCZ655352:RDA655389 QTD655352:QTE655389 QJH655352:QJI655389 PZL655352:PZM655389 PPP655352:PPQ655389 PFT655352:PFU655389 OVX655352:OVY655389 OMB655352:OMC655389 OCF655352:OCG655389 NSJ655352:NSK655389 NIN655352:NIO655389 MYR655352:MYS655389 MOV655352:MOW655389 MEZ655352:MFA655389 LVD655352:LVE655389 LLH655352:LLI655389 LBL655352:LBM655389 KRP655352:KRQ655389 KHT655352:KHU655389 JXX655352:JXY655389 JOB655352:JOC655389 JEF655352:JEG655389 IUJ655352:IUK655389 IKN655352:IKO655389 IAR655352:IAS655389 HQV655352:HQW655389 HGZ655352:HHA655389 GXD655352:GXE655389 GNH655352:GNI655389 GDL655352:GDM655389 FTP655352:FTQ655389 FJT655352:FJU655389 EZX655352:EZY655389 EQB655352:EQC655389 EGF655352:EGG655389 DWJ655352:DWK655389 DMN655352:DMO655389 DCR655352:DCS655389 CSV655352:CSW655389 CIZ655352:CJA655389 BZD655352:BZE655389 BPH655352:BPI655389 BFL655352:BFM655389 AVP655352:AVQ655389 ALT655352:ALU655389 ABX655352:ABY655389 SB655352:SC655389 IF655352:IG655389 AD655352:AE655389 WUR589816:WUS589853 WKV589816:WKW589853 WAZ589816:WBA589853 VRD589816:VRE589853 VHH589816:VHI589853 UXL589816:UXM589853 UNP589816:UNQ589853 UDT589816:UDU589853 TTX589816:TTY589853 TKB589816:TKC589853 TAF589816:TAG589853 SQJ589816:SQK589853 SGN589816:SGO589853 RWR589816:RWS589853 RMV589816:RMW589853 RCZ589816:RDA589853 QTD589816:QTE589853 QJH589816:QJI589853 PZL589816:PZM589853 PPP589816:PPQ589853 PFT589816:PFU589853 OVX589816:OVY589853 OMB589816:OMC589853 OCF589816:OCG589853 NSJ589816:NSK589853 NIN589816:NIO589853 MYR589816:MYS589853 MOV589816:MOW589853 MEZ589816:MFA589853 LVD589816:LVE589853 LLH589816:LLI589853 LBL589816:LBM589853 KRP589816:KRQ589853 KHT589816:KHU589853 JXX589816:JXY589853 JOB589816:JOC589853 JEF589816:JEG589853 IUJ589816:IUK589853 IKN589816:IKO589853 IAR589816:IAS589853 HQV589816:HQW589853 HGZ589816:HHA589853 GXD589816:GXE589853 GNH589816:GNI589853 GDL589816:GDM589853 FTP589816:FTQ589853 FJT589816:FJU589853 EZX589816:EZY589853 EQB589816:EQC589853 EGF589816:EGG589853 DWJ589816:DWK589853 DMN589816:DMO589853 DCR589816:DCS589853 CSV589816:CSW589853 CIZ589816:CJA589853 BZD589816:BZE589853 BPH589816:BPI589853 BFL589816:BFM589853 AVP589816:AVQ589853 ALT589816:ALU589853 ABX589816:ABY589853 SB589816:SC589853 IF589816:IG589853 AD589816:AE589853 WUR524280:WUS524317 WKV524280:WKW524317 WAZ524280:WBA524317 VRD524280:VRE524317 VHH524280:VHI524317 UXL524280:UXM524317 UNP524280:UNQ524317 UDT524280:UDU524317 TTX524280:TTY524317 TKB524280:TKC524317 TAF524280:TAG524317 SQJ524280:SQK524317 SGN524280:SGO524317 RWR524280:RWS524317 RMV524280:RMW524317 RCZ524280:RDA524317 QTD524280:QTE524317 QJH524280:QJI524317 PZL524280:PZM524317 PPP524280:PPQ524317 PFT524280:PFU524317 OVX524280:OVY524317 OMB524280:OMC524317 OCF524280:OCG524317 NSJ524280:NSK524317 NIN524280:NIO524317 MYR524280:MYS524317 MOV524280:MOW524317 MEZ524280:MFA524317 LVD524280:LVE524317 LLH524280:LLI524317 LBL524280:LBM524317 KRP524280:KRQ524317 KHT524280:KHU524317 JXX524280:JXY524317 JOB524280:JOC524317 JEF524280:JEG524317 IUJ524280:IUK524317 IKN524280:IKO524317 IAR524280:IAS524317 HQV524280:HQW524317 HGZ524280:HHA524317 GXD524280:GXE524317 GNH524280:GNI524317 GDL524280:GDM524317 FTP524280:FTQ524317 FJT524280:FJU524317 EZX524280:EZY524317 EQB524280:EQC524317 EGF524280:EGG524317 DWJ524280:DWK524317 DMN524280:DMO524317 DCR524280:DCS524317 CSV524280:CSW524317 CIZ524280:CJA524317 BZD524280:BZE524317 BPH524280:BPI524317 BFL524280:BFM524317 AVP524280:AVQ524317 ALT524280:ALU524317 ABX524280:ABY524317 SB524280:SC524317 IF524280:IG524317 AD524280:AE524317 WUR458744:WUS458781 WKV458744:WKW458781 WAZ458744:WBA458781 VRD458744:VRE458781 VHH458744:VHI458781 UXL458744:UXM458781 UNP458744:UNQ458781 UDT458744:UDU458781 TTX458744:TTY458781 TKB458744:TKC458781 TAF458744:TAG458781 SQJ458744:SQK458781 SGN458744:SGO458781 RWR458744:RWS458781 RMV458744:RMW458781 RCZ458744:RDA458781 QTD458744:QTE458781 QJH458744:QJI458781 PZL458744:PZM458781 PPP458744:PPQ458781 PFT458744:PFU458781 OVX458744:OVY458781 OMB458744:OMC458781 OCF458744:OCG458781 NSJ458744:NSK458781 NIN458744:NIO458781 MYR458744:MYS458781 MOV458744:MOW458781 MEZ458744:MFA458781 LVD458744:LVE458781 LLH458744:LLI458781 LBL458744:LBM458781 KRP458744:KRQ458781 KHT458744:KHU458781 JXX458744:JXY458781 JOB458744:JOC458781 JEF458744:JEG458781 IUJ458744:IUK458781 IKN458744:IKO458781 IAR458744:IAS458781 HQV458744:HQW458781 HGZ458744:HHA458781 GXD458744:GXE458781 GNH458744:GNI458781 GDL458744:GDM458781 FTP458744:FTQ458781 FJT458744:FJU458781 EZX458744:EZY458781 EQB458744:EQC458781 EGF458744:EGG458781 DWJ458744:DWK458781 DMN458744:DMO458781 DCR458744:DCS458781 CSV458744:CSW458781 CIZ458744:CJA458781 BZD458744:BZE458781 BPH458744:BPI458781 BFL458744:BFM458781 AVP458744:AVQ458781 ALT458744:ALU458781 ABX458744:ABY458781 SB458744:SC458781 IF458744:IG458781 AD458744:AE458781 WUR393208:WUS393245 WKV393208:WKW393245 WAZ393208:WBA393245 VRD393208:VRE393245 VHH393208:VHI393245 UXL393208:UXM393245 UNP393208:UNQ393245 UDT393208:UDU393245 TTX393208:TTY393245 TKB393208:TKC393245 TAF393208:TAG393245 SQJ393208:SQK393245 SGN393208:SGO393245 RWR393208:RWS393245 RMV393208:RMW393245 RCZ393208:RDA393245 QTD393208:QTE393245 QJH393208:QJI393245 PZL393208:PZM393245 PPP393208:PPQ393245 PFT393208:PFU393245 OVX393208:OVY393245 OMB393208:OMC393245 OCF393208:OCG393245 NSJ393208:NSK393245 NIN393208:NIO393245 MYR393208:MYS393245 MOV393208:MOW393245 MEZ393208:MFA393245 LVD393208:LVE393245 LLH393208:LLI393245 LBL393208:LBM393245 KRP393208:KRQ393245 KHT393208:KHU393245 JXX393208:JXY393245 JOB393208:JOC393245 JEF393208:JEG393245 IUJ393208:IUK393245 IKN393208:IKO393245 IAR393208:IAS393245 HQV393208:HQW393245 HGZ393208:HHA393245 GXD393208:GXE393245 GNH393208:GNI393245 GDL393208:GDM393245 FTP393208:FTQ393245 FJT393208:FJU393245 EZX393208:EZY393245 EQB393208:EQC393245 EGF393208:EGG393245 DWJ393208:DWK393245 DMN393208:DMO393245 DCR393208:DCS393245 CSV393208:CSW393245 CIZ393208:CJA393245 BZD393208:BZE393245 BPH393208:BPI393245 BFL393208:BFM393245 AVP393208:AVQ393245 ALT393208:ALU393245 ABX393208:ABY393245 SB393208:SC393245 IF393208:IG393245 AD393208:AE393245 WUR327672:WUS327709 WKV327672:WKW327709 WAZ327672:WBA327709 VRD327672:VRE327709 VHH327672:VHI327709 UXL327672:UXM327709 UNP327672:UNQ327709 UDT327672:UDU327709 TTX327672:TTY327709 TKB327672:TKC327709 TAF327672:TAG327709 SQJ327672:SQK327709 SGN327672:SGO327709 RWR327672:RWS327709 RMV327672:RMW327709 RCZ327672:RDA327709 QTD327672:QTE327709 QJH327672:QJI327709 PZL327672:PZM327709 PPP327672:PPQ327709 PFT327672:PFU327709 OVX327672:OVY327709 OMB327672:OMC327709 OCF327672:OCG327709 NSJ327672:NSK327709 NIN327672:NIO327709 MYR327672:MYS327709 MOV327672:MOW327709 MEZ327672:MFA327709 LVD327672:LVE327709 LLH327672:LLI327709 LBL327672:LBM327709 KRP327672:KRQ327709 KHT327672:KHU327709 JXX327672:JXY327709 JOB327672:JOC327709 JEF327672:JEG327709 IUJ327672:IUK327709 IKN327672:IKO327709 IAR327672:IAS327709 HQV327672:HQW327709 HGZ327672:HHA327709 GXD327672:GXE327709 GNH327672:GNI327709 GDL327672:GDM327709 FTP327672:FTQ327709 FJT327672:FJU327709 EZX327672:EZY327709 EQB327672:EQC327709 EGF327672:EGG327709 DWJ327672:DWK327709 DMN327672:DMO327709 DCR327672:DCS327709 CSV327672:CSW327709 CIZ327672:CJA327709 BZD327672:BZE327709 BPH327672:BPI327709 BFL327672:BFM327709 AVP327672:AVQ327709 ALT327672:ALU327709 ABX327672:ABY327709 SB327672:SC327709 IF327672:IG327709 AD327672:AE327709 WUR262136:WUS262173 WKV262136:WKW262173 WAZ262136:WBA262173 VRD262136:VRE262173 VHH262136:VHI262173 UXL262136:UXM262173 UNP262136:UNQ262173 UDT262136:UDU262173 TTX262136:TTY262173 TKB262136:TKC262173 TAF262136:TAG262173 SQJ262136:SQK262173 SGN262136:SGO262173 RWR262136:RWS262173 RMV262136:RMW262173 RCZ262136:RDA262173 QTD262136:QTE262173 QJH262136:QJI262173 PZL262136:PZM262173 PPP262136:PPQ262173 PFT262136:PFU262173 OVX262136:OVY262173 OMB262136:OMC262173 OCF262136:OCG262173 NSJ262136:NSK262173 NIN262136:NIO262173 MYR262136:MYS262173 MOV262136:MOW262173 MEZ262136:MFA262173 LVD262136:LVE262173 LLH262136:LLI262173 LBL262136:LBM262173 KRP262136:KRQ262173 KHT262136:KHU262173 JXX262136:JXY262173 JOB262136:JOC262173 JEF262136:JEG262173 IUJ262136:IUK262173 IKN262136:IKO262173 IAR262136:IAS262173 HQV262136:HQW262173 HGZ262136:HHA262173 GXD262136:GXE262173 GNH262136:GNI262173 GDL262136:GDM262173 FTP262136:FTQ262173 FJT262136:FJU262173 EZX262136:EZY262173 EQB262136:EQC262173 EGF262136:EGG262173 DWJ262136:DWK262173 DMN262136:DMO262173 DCR262136:DCS262173 CSV262136:CSW262173 CIZ262136:CJA262173 BZD262136:BZE262173 BPH262136:BPI262173 BFL262136:BFM262173 AVP262136:AVQ262173 ALT262136:ALU262173 ABX262136:ABY262173 SB262136:SC262173 IF262136:IG262173 AD262136:AE262173 WUR196600:WUS196637 WKV196600:WKW196637 WAZ196600:WBA196637 VRD196600:VRE196637 VHH196600:VHI196637 UXL196600:UXM196637 UNP196600:UNQ196637 UDT196600:UDU196637 TTX196600:TTY196637 TKB196600:TKC196637 TAF196600:TAG196637 SQJ196600:SQK196637 SGN196600:SGO196637 RWR196600:RWS196637 RMV196600:RMW196637 RCZ196600:RDA196637 QTD196600:QTE196637 QJH196600:QJI196637 PZL196600:PZM196637 PPP196600:PPQ196637 PFT196600:PFU196637 OVX196600:OVY196637 OMB196600:OMC196637 OCF196600:OCG196637 NSJ196600:NSK196637 NIN196600:NIO196637 MYR196600:MYS196637 MOV196600:MOW196637 MEZ196600:MFA196637 LVD196600:LVE196637 LLH196600:LLI196637 LBL196600:LBM196637 KRP196600:KRQ196637 KHT196600:KHU196637 JXX196600:JXY196637 JOB196600:JOC196637 JEF196600:JEG196637 IUJ196600:IUK196637 IKN196600:IKO196637 IAR196600:IAS196637 HQV196600:HQW196637 HGZ196600:HHA196637 GXD196600:GXE196637 GNH196600:GNI196637 GDL196600:GDM196637 FTP196600:FTQ196637 FJT196600:FJU196637 EZX196600:EZY196637 EQB196600:EQC196637 EGF196600:EGG196637 DWJ196600:DWK196637 DMN196600:DMO196637 DCR196600:DCS196637 CSV196600:CSW196637 CIZ196600:CJA196637 BZD196600:BZE196637 BPH196600:BPI196637 BFL196600:BFM196637 AVP196600:AVQ196637 ALT196600:ALU196637 ABX196600:ABY196637 SB196600:SC196637 IF196600:IG196637 AD196600:AE196637 WUR131064:WUS131101 WKV131064:WKW131101 WAZ131064:WBA131101 VRD131064:VRE131101 VHH131064:VHI131101 UXL131064:UXM131101 UNP131064:UNQ131101 UDT131064:UDU131101 TTX131064:TTY131101 TKB131064:TKC131101 TAF131064:TAG131101 SQJ131064:SQK131101 SGN131064:SGO131101 RWR131064:RWS131101 RMV131064:RMW131101 RCZ131064:RDA131101 QTD131064:QTE131101 QJH131064:QJI131101 PZL131064:PZM131101 PPP131064:PPQ131101 PFT131064:PFU131101 OVX131064:OVY131101 OMB131064:OMC131101 OCF131064:OCG131101 NSJ131064:NSK131101 NIN131064:NIO131101 MYR131064:MYS131101 MOV131064:MOW131101 MEZ131064:MFA131101 LVD131064:LVE131101 LLH131064:LLI131101 LBL131064:LBM131101 KRP131064:KRQ131101 KHT131064:KHU131101 JXX131064:JXY131101 JOB131064:JOC131101 JEF131064:JEG131101 IUJ131064:IUK131101 IKN131064:IKO131101 IAR131064:IAS131101 HQV131064:HQW131101 HGZ131064:HHA131101 GXD131064:GXE131101 GNH131064:GNI131101 GDL131064:GDM131101 FTP131064:FTQ131101 FJT131064:FJU131101 EZX131064:EZY131101 EQB131064:EQC131101 EGF131064:EGG131101 DWJ131064:DWK131101 DMN131064:DMO131101 DCR131064:DCS131101 CSV131064:CSW131101 CIZ131064:CJA131101 BZD131064:BZE131101 BPH131064:BPI131101 BFL131064:BFM131101 AVP131064:AVQ131101 ALT131064:ALU131101 ABX131064:ABY131101 SB131064:SC131101 IF131064:IG131101 AD131064:AE131101 WUR65528:WUS65565 WKV65528:WKW65565 WAZ65528:WBA65565 VRD65528:VRE65565 VHH65528:VHI65565 UXL65528:UXM65565 UNP65528:UNQ65565 UDT65528:UDU65565 TTX65528:TTY65565 TKB65528:TKC65565 TAF65528:TAG65565 SQJ65528:SQK65565 SGN65528:SGO65565 RWR65528:RWS65565 RMV65528:RMW65565 RCZ65528:RDA65565 QTD65528:QTE65565 QJH65528:QJI65565 PZL65528:PZM65565 PPP65528:PPQ65565 PFT65528:PFU65565 OVX65528:OVY65565 OMB65528:OMC65565 OCF65528:OCG65565 NSJ65528:NSK65565 NIN65528:NIO65565 MYR65528:MYS65565 MOV65528:MOW65565 MEZ65528:MFA65565 LVD65528:LVE65565 LLH65528:LLI65565 LBL65528:LBM65565 KRP65528:KRQ65565 KHT65528:KHU65565 JXX65528:JXY65565 JOB65528:JOC65565 JEF65528:JEG65565 IUJ65528:IUK65565 IKN65528:IKO65565 IAR65528:IAS65565 HQV65528:HQW65565 HGZ65528:HHA65565 GXD65528:GXE65565 GNH65528:GNI65565 GDL65528:GDM65565 FTP65528:FTQ65565 FJT65528:FJU65565 EZX65528:EZY65565 EQB65528:EQC65565 EGF65528:EGG65565 DWJ65528:DWK65565 DMN65528:DMO65565 DCR65528:DCS65565 CSV65528:CSW65565 CIZ65528:CJA65565 BZD65528:BZE65565 BPH65528:BPI65565 BFL65528:BFM65565 AVP65528:AVQ65565 ALT65528:ALU65565 ABX65528:ABY65565 SB65528:SC65565 IF65528:IG65565 AD65528:AE65565 AE21:AE27" xr:uid="{2CE78C6F-16BB-4EEE-8849-F2A30690C30F}">
      <formula1>$Y$42:$Y$44</formula1>
    </dataValidation>
  </dataValidations>
  <pageMargins left="0.7" right="0.7" top="0.75" bottom="0.75" header="0.3" footer="0.3"/>
  <pageSetup paperSize="9" scale="58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F54-8FE3-476B-BBE8-B773DD74E61A}">
  <sheetPr>
    <pageSetUpPr fitToPage="1"/>
  </sheetPr>
  <dimension ref="A1:DQ31"/>
  <sheetViews>
    <sheetView showGridLines="0" view="pageBreakPreview" zoomScale="80" zoomScaleNormal="85" zoomScaleSheetLayoutView="80" workbookViewId="0">
      <selection sqref="A1:J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58" width="2.54296875" style="608" customWidth="1"/>
    <col min="59" max="16384" width="2.54296875" style="608"/>
  </cols>
  <sheetData>
    <row r="1" spans="1:121" ht="13.75" customHeight="1">
      <c r="A1" s="884" t="s">
        <v>464</v>
      </c>
      <c r="B1" s="884"/>
      <c r="C1" s="884"/>
      <c r="D1" s="884"/>
      <c r="E1" s="884"/>
      <c r="F1" s="884"/>
      <c r="G1" s="884"/>
      <c r="H1" s="884"/>
      <c r="I1" s="884"/>
      <c r="J1" s="884"/>
      <c r="K1" s="646"/>
      <c r="L1" s="646"/>
      <c r="M1" s="646"/>
      <c r="N1" s="646"/>
      <c r="O1" s="646"/>
      <c r="P1" s="646"/>
      <c r="Q1" s="646"/>
      <c r="R1" s="646"/>
      <c r="S1" s="646"/>
      <c r="T1" s="646"/>
      <c r="U1" s="646"/>
      <c r="V1" s="646"/>
      <c r="W1" s="646"/>
      <c r="X1" s="646"/>
      <c r="Y1" s="646"/>
      <c r="Z1" s="646"/>
      <c r="AA1" s="646"/>
      <c r="AB1" s="646"/>
      <c r="AC1" s="646"/>
      <c r="AD1" s="646"/>
      <c r="AE1" s="646"/>
      <c r="AF1" s="646"/>
      <c r="AG1" s="646"/>
      <c r="AH1" s="646"/>
      <c r="AI1" s="646"/>
      <c r="AJ1" s="646"/>
      <c r="AK1" s="646"/>
      <c r="AL1" s="646"/>
      <c r="AM1" s="646"/>
      <c r="AN1" s="646"/>
      <c r="AO1" s="646"/>
      <c r="AP1" s="646"/>
      <c r="AQ1" s="646"/>
      <c r="AR1" s="646"/>
      <c r="AS1" s="647"/>
      <c r="AT1" s="647"/>
      <c r="AU1" s="647"/>
      <c r="AV1" s="647"/>
      <c r="AW1" s="647"/>
      <c r="AX1" s="647"/>
      <c r="AY1" s="647"/>
      <c r="AZ1" s="647"/>
      <c r="BA1" s="647"/>
      <c r="BB1" s="647"/>
      <c r="BC1" s="647"/>
      <c r="BD1" s="647"/>
      <c r="BE1" s="647"/>
      <c r="BF1" s="647"/>
      <c r="BG1" s="648"/>
      <c r="BH1" s="649"/>
      <c r="BI1" s="649"/>
      <c r="BJ1" s="649"/>
      <c r="BK1" s="649"/>
      <c r="BL1" s="649"/>
      <c r="BM1" s="649"/>
      <c r="BN1" s="649"/>
      <c r="BO1" s="649"/>
      <c r="BP1" s="649"/>
      <c r="BQ1" s="649"/>
      <c r="BR1" s="649"/>
      <c r="BS1" s="649"/>
      <c r="BT1" s="649"/>
      <c r="BU1" s="649"/>
      <c r="BV1" s="649"/>
      <c r="BW1" s="649"/>
      <c r="BX1" s="649"/>
      <c r="BY1" s="649"/>
      <c r="BZ1" s="649"/>
      <c r="CA1" s="649"/>
      <c r="CB1" s="649"/>
      <c r="CC1" s="649"/>
      <c r="CD1" s="649"/>
      <c r="CE1" s="649"/>
      <c r="CF1" s="649"/>
      <c r="CG1" s="649"/>
      <c r="CH1" s="649"/>
      <c r="CI1" s="649"/>
      <c r="CJ1" s="649"/>
      <c r="CK1" s="649"/>
      <c r="CL1" s="649"/>
      <c r="CM1" s="649"/>
      <c r="CN1" s="649"/>
      <c r="CO1" s="649"/>
      <c r="CP1" s="649"/>
      <c r="CQ1" s="649"/>
      <c r="CR1" s="649"/>
      <c r="CS1" s="649"/>
      <c r="CT1" s="649"/>
      <c r="CU1" s="649"/>
      <c r="CV1" s="649"/>
      <c r="CW1" s="649"/>
      <c r="CX1" s="649"/>
      <c r="CY1" s="649"/>
      <c r="CZ1" s="649"/>
      <c r="DA1" s="649"/>
      <c r="DB1" s="649"/>
      <c r="DC1" s="649"/>
      <c r="DD1" s="649"/>
      <c r="DE1" s="649"/>
      <c r="DF1" s="649"/>
      <c r="DG1" s="649"/>
      <c r="DH1" s="649"/>
      <c r="DI1" s="649"/>
      <c r="DJ1" s="649"/>
      <c r="DK1" s="649"/>
      <c r="DL1" s="649"/>
      <c r="DM1" s="649"/>
      <c r="DN1" s="649"/>
      <c r="DO1" s="649"/>
      <c r="DP1" s="649"/>
      <c r="DQ1" s="649"/>
    </row>
    <row r="2" spans="1:121" ht="13.75" customHeight="1">
      <c r="A2" s="821" t="s">
        <v>352</v>
      </c>
      <c r="B2" s="822"/>
      <c r="C2" s="821" t="s">
        <v>465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932" t="s">
        <v>466</v>
      </c>
      <c r="R2" s="933"/>
      <c r="S2" s="933"/>
      <c r="T2" s="933"/>
      <c r="U2" s="933"/>
      <c r="V2" s="933"/>
      <c r="W2" s="933"/>
      <c r="X2" s="933"/>
      <c r="Y2" s="933"/>
      <c r="Z2" s="933"/>
      <c r="AA2" s="933"/>
      <c r="AB2" s="933"/>
      <c r="AC2" s="933"/>
      <c r="AD2" s="933"/>
      <c r="AE2" s="933"/>
      <c r="AF2" s="933"/>
      <c r="AG2" s="933"/>
      <c r="AH2" s="933"/>
      <c r="AI2" s="933"/>
      <c r="AJ2" s="933"/>
      <c r="AK2" s="933"/>
      <c r="AL2" s="933"/>
      <c r="AM2" s="933"/>
      <c r="AN2" s="933"/>
      <c r="AO2" s="933"/>
      <c r="AP2" s="933"/>
      <c r="AQ2" s="933"/>
      <c r="AR2" s="933"/>
      <c r="AS2" s="933"/>
      <c r="AT2" s="933"/>
      <c r="AU2" s="933"/>
      <c r="AV2" s="933"/>
      <c r="AW2" s="933"/>
      <c r="AX2" s="933"/>
      <c r="AY2" s="933"/>
      <c r="AZ2" s="650"/>
      <c r="BA2" s="650"/>
      <c r="BB2" s="650"/>
      <c r="BC2" s="650"/>
      <c r="BD2" s="650"/>
      <c r="BE2" s="650"/>
      <c r="BF2" s="650"/>
      <c r="BG2" s="651"/>
      <c r="BH2" s="652"/>
      <c r="BI2" s="652"/>
      <c r="BJ2" s="652"/>
      <c r="BK2" s="652"/>
      <c r="BL2" s="652"/>
      <c r="BM2" s="652"/>
      <c r="BN2" s="652"/>
      <c r="BO2" s="652"/>
      <c r="BP2" s="652"/>
      <c r="BQ2" s="652"/>
      <c r="BR2" s="652"/>
      <c r="BS2" s="652"/>
      <c r="BT2" s="652"/>
      <c r="BU2" s="652"/>
      <c r="BV2" s="652"/>
      <c r="BW2" s="652"/>
      <c r="BX2" s="652"/>
      <c r="BY2" s="652"/>
      <c r="BZ2" s="652"/>
      <c r="CA2" s="652"/>
      <c r="CB2" s="652"/>
      <c r="CC2" s="652"/>
      <c r="CD2" s="652"/>
      <c r="CE2" s="652"/>
      <c r="CF2" s="652"/>
      <c r="CG2" s="652"/>
      <c r="CH2" s="934"/>
      <c r="CI2" s="934"/>
      <c r="CJ2" s="934"/>
      <c r="CK2" s="934"/>
      <c r="CL2" s="934"/>
      <c r="CM2" s="934"/>
      <c r="CN2" s="934"/>
      <c r="CO2" s="934"/>
      <c r="CP2" s="934"/>
      <c r="CQ2" s="934"/>
      <c r="CR2" s="934"/>
      <c r="CS2" s="934"/>
      <c r="CT2" s="934"/>
      <c r="CU2" s="934"/>
      <c r="CV2" s="934"/>
      <c r="CW2" s="934"/>
      <c r="CX2" s="934"/>
      <c r="CY2" s="934"/>
      <c r="CZ2" s="934"/>
      <c r="DA2" s="934"/>
      <c r="DB2" s="934"/>
      <c r="DC2" s="934"/>
      <c r="DD2" s="934"/>
      <c r="DE2" s="934"/>
      <c r="DF2" s="934"/>
      <c r="DG2" s="934"/>
      <c r="DH2" s="934"/>
      <c r="DI2" s="934"/>
      <c r="DJ2" s="934"/>
      <c r="DK2" s="934"/>
      <c r="DL2" s="934"/>
      <c r="DM2" s="934"/>
      <c r="DN2" s="934"/>
      <c r="DO2" s="934"/>
      <c r="DP2" s="934"/>
      <c r="DQ2" s="934"/>
    </row>
    <row r="3" spans="1:121" ht="38.25" customHeight="1">
      <c r="A3" s="822"/>
      <c r="B3" s="822"/>
      <c r="C3" s="822"/>
      <c r="D3" s="822"/>
      <c r="E3" s="822"/>
      <c r="F3" s="822"/>
      <c r="G3" s="822"/>
      <c r="H3" s="822"/>
      <c r="I3" s="822"/>
      <c r="J3" s="822"/>
      <c r="K3" s="822"/>
      <c r="L3" s="822"/>
      <c r="M3" s="822"/>
      <c r="N3" s="822"/>
      <c r="O3" s="822"/>
      <c r="P3" s="822"/>
      <c r="Q3" s="935" t="s">
        <v>467</v>
      </c>
      <c r="R3" s="935"/>
      <c r="S3" s="935"/>
      <c r="T3" s="935"/>
      <c r="U3" s="935"/>
      <c r="V3" s="935"/>
      <c r="W3" s="935"/>
      <c r="X3" s="935" t="s">
        <v>468</v>
      </c>
      <c r="Y3" s="935"/>
      <c r="Z3" s="935"/>
      <c r="AA3" s="935"/>
      <c r="AB3" s="935"/>
      <c r="AC3" s="935"/>
      <c r="AD3" s="935"/>
      <c r="AE3" s="935" t="s">
        <v>469</v>
      </c>
      <c r="AF3" s="935"/>
      <c r="AG3" s="935"/>
      <c r="AH3" s="935"/>
      <c r="AI3" s="935"/>
      <c r="AJ3" s="935"/>
      <c r="AK3" s="935"/>
      <c r="AL3" s="935" t="s">
        <v>470</v>
      </c>
      <c r="AM3" s="935"/>
      <c r="AN3" s="935"/>
      <c r="AO3" s="935"/>
      <c r="AP3" s="935"/>
      <c r="AQ3" s="935"/>
      <c r="AR3" s="935"/>
      <c r="AS3" s="935" t="s">
        <v>471</v>
      </c>
      <c r="AT3" s="935"/>
      <c r="AU3" s="935"/>
      <c r="AV3" s="935"/>
      <c r="AW3" s="935"/>
      <c r="AX3" s="935"/>
      <c r="AY3" s="935"/>
      <c r="AZ3" s="881" t="s">
        <v>472</v>
      </c>
      <c r="BA3" s="858"/>
      <c r="BB3" s="858"/>
      <c r="BC3" s="858"/>
      <c r="BD3" s="858"/>
      <c r="BE3" s="858"/>
      <c r="BF3" s="882"/>
      <c r="BG3" s="651"/>
      <c r="BH3" s="652"/>
      <c r="BI3" s="652"/>
      <c r="BJ3" s="652"/>
      <c r="BK3" s="652"/>
      <c r="BL3" s="652"/>
      <c r="BM3" s="652"/>
      <c r="BN3" s="652"/>
      <c r="BO3" s="652"/>
      <c r="BP3" s="652"/>
      <c r="BQ3" s="652"/>
      <c r="BR3" s="652"/>
      <c r="BS3" s="652"/>
      <c r="BT3" s="652"/>
      <c r="BU3" s="652"/>
      <c r="BV3" s="652"/>
      <c r="BW3" s="652"/>
      <c r="BX3" s="652"/>
      <c r="BY3" s="652"/>
      <c r="BZ3" s="652"/>
      <c r="CA3" s="652"/>
      <c r="CB3" s="652"/>
      <c r="CC3" s="652"/>
      <c r="CD3" s="652"/>
      <c r="CE3" s="652"/>
      <c r="CF3" s="652"/>
      <c r="CG3" s="652"/>
      <c r="CH3" s="934"/>
      <c r="CI3" s="934"/>
      <c r="CJ3" s="934"/>
      <c r="CK3" s="934"/>
      <c r="CL3" s="934"/>
      <c r="CM3" s="934"/>
      <c r="CN3" s="934"/>
      <c r="CO3" s="934"/>
      <c r="CP3" s="934"/>
      <c r="CQ3" s="934"/>
      <c r="CR3" s="934"/>
      <c r="CS3" s="934"/>
      <c r="CT3" s="934"/>
      <c r="CU3" s="934"/>
      <c r="CV3" s="934"/>
      <c r="CW3" s="934"/>
      <c r="CX3" s="934"/>
      <c r="CY3" s="934"/>
      <c r="CZ3" s="934"/>
      <c r="DA3" s="934"/>
      <c r="DB3" s="934"/>
      <c r="DC3" s="934"/>
      <c r="DD3" s="934"/>
      <c r="DE3" s="934"/>
      <c r="DF3" s="934"/>
      <c r="DG3" s="934"/>
      <c r="DH3" s="934"/>
      <c r="DI3" s="934"/>
      <c r="DJ3" s="934"/>
      <c r="DK3" s="934"/>
      <c r="DL3" s="934"/>
      <c r="DM3" s="934"/>
      <c r="DN3" s="934"/>
      <c r="DO3" s="934"/>
      <c r="DP3" s="934"/>
      <c r="DQ3" s="934"/>
    </row>
    <row r="4" spans="1:121" ht="13.75" customHeight="1">
      <c r="A4" s="941" t="str">
        <f>IF(ISBLANK(画面項目!A5),"",画面項目!A5)</f>
        <v>1</v>
      </c>
      <c r="B4" s="942"/>
      <c r="C4" s="943" t="s">
        <v>335</v>
      </c>
      <c r="D4" s="944"/>
      <c r="E4" s="944"/>
      <c r="F4" s="944"/>
      <c r="G4" s="944"/>
      <c r="H4" s="944"/>
      <c r="I4" s="945"/>
      <c r="J4" s="946"/>
      <c r="K4" s="947"/>
      <c r="L4" s="947"/>
      <c r="M4" s="947"/>
      <c r="N4" s="947"/>
      <c r="O4" s="947"/>
      <c r="P4" s="948"/>
      <c r="Q4" s="898"/>
      <c r="R4" s="896"/>
      <c r="S4" s="896"/>
      <c r="T4" s="896"/>
      <c r="U4" s="896"/>
      <c r="V4" s="896"/>
      <c r="W4" s="888"/>
      <c r="X4" s="898"/>
      <c r="Y4" s="896"/>
      <c r="Z4" s="896"/>
      <c r="AA4" s="896"/>
      <c r="AB4" s="896"/>
      <c r="AC4" s="896"/>
      <c r="AD4" s="888"/>
      <c r="AE4" s="898"/>
      <c r="AF4" s="896"/>
      <c r="AG4" s="896"/>
      <c r="AH4" s="896"/>
      <c r="AI4" s="896"/>
      <c r="AJ4" s="896"/>
      <c r="AK4" s="888"/>
      <c r="AL4" s="898"/>
      <c r="AM4" s="896"/>
      <c r="AN4" s="896"/>
      <c r="AO4" s="896"/>
      <c r="AP4" s="896"/>
      <c r="AQ4" s="896"/>
      <c r="AR4" s="888"/>
      <c r="AS4" s="898"/>
      <c r="AT4" s="896"/>
      <c r="AU4" s="896"/>
      <c r="AV4" s="896"/>
      <c r="AW4" s="896"/>
      <c r="AX4" s="896"/>
      <c r="AY4" s="888"/>
      <c r="AZ4" s="898"/>
      <c r="BA4" s="896"/>
      <c r="BB4" s="896"/>
      <c r="BC4" s="896"/>
      <c r="BD4" s="896"/>
      <c r="BE4" s="896"/>
      <c r="BF4" s="888"/>
      <c r="BG4" s="653"/>
      <c r="BH4" s="654"/>
      <c r="BI4" s="654"/>
      <c r="BJ4" s="655"/>
      <c r="BK4" s="655"/>
      <c r="BL4" s="654"/>
      <c r="BM4" s="654"/>
      <c r="BN4" s="655"/>
      <c r="BO4" s="655"/>
      <c r="BP4" s="654"/>
      <c r="BQ4" s="655"/>
      <c r="BR4" s="656"/>
      <c r="BS4" s="656"/>
      <c r="BT4" s="656"/>
      <c r="BU4" s="656"/>
      <c r="BV4" s="656"/>
      <c r="BW4" s="656"/>
      <c r="BX4" s="656"/>
      <c r="BY4" s="656"/>
      <c r="BZ4" s="656"/>
      <c r="CA4" s="656"/>
      <c r="CB4" s="656"/>
      <c r="CC4" s="656"/>
      <c r="CD4" s="656"/>
      <c r="CE4" s="656"/>
      <c r="CF4" s="656"/>
      <c r="CG4" s="656"/>
      <c r="CH4" s="939"/>
      <c r="CI4" s="939"/>
      <c r="CJ4" s="940"/>
      <c r="CK4" s="940"/>
      <c r="CL4" s="939"/>
      <c r="CM4" s="939"/>
      <c r="CN4" s="940"/>
      <c r="CO4" s="940"/>
      <c r="CP4" s="949"/>
      <c r="CQ4" s="940"/>
      <c r="CR4" s="654"/>
      <c r="CS4" s="654"/>
      <c r="CT4" s="655"/>
      <c r="CU4" s="655"/>
      <c r="CV4" s="936"/>
      <c r="CW4" s="936"/>
      <c r="CX4" s="937"/>
      <c r="CY4" s="937"/>
      <c r="CZ4" s="936"/>
      <c r="DA4" s="937"/>
      <c r="DB4" s="938"/>
      <c r="DC4" s="938"/>
      <c r="DD4" s="938"/>
      <c r="DE4" s="938"/>
      <c r="DF4" s="938"/>
      <c r="DG4" s="938"/>
      <c r="DH4" s="938"/>
      <c r="DI4" s="938"/>
      <c r="DJ4" s="938"/>
      <c r="DK4" s="938"/>
      <c r="DL4" s="938"/>
      <c r="DM4" s="938"/>
      <c r="DN4" s="938"/>
      <c r="DO4" s="938"/>
      <c r="DP4" s="938"/>
      <c r="DQ4" s="938"/>
    </row>
    <row r="5" spans="1:121" ht="13.75" customHeight="1">
      <c r="A5" s="941" t="str">
        <f>IF(ISBLANK(画面項目!A6),"",画面項目!A6)</f>
        <v>1.1</v>
      </c>
      <c r="B5" s="942"/>
      <c r="C5" s="943"/>
      <c r="D5" s="944"/>
      <c r="E5" s="944"/>
      <c r="F5" s="944"/>
      <c r="G5" s="944"/>
      <c r="H5" s="944"/>
      <c r="I5" s="945"/>
      <c r="J5" s="946" t="s">
        <v>337</v>
      </c>
      <c r="K5" s="947"/>
      <c r="L5" s="947"/>
      <c r="M5" s="947"/>
      <c r="N5" s="947"/>
      <c r="O5" s="947"/>
      <c r="P5" s="948"/>
      <c r="Q5" s="898" t="s">
        <v>341</v>
      </c>
      <c r="R5" s="896"/>
      <c r="S5" s="896"/>
      <c r="T5" s="896"/>
      <c r="U5" s="896"/>
      <c r="V5" s="896"/>
      <c r="W5" s="888"/>
      <c r="X5" s="898" t="s">
        <v>341</v>
      </c>
      <c r="Y5" s="896"/>
      <c r="Z5" s="896"/>
      <c r="AA5" s="896"/>
      <c r="AB5" s="896"/>
      <c r="AC5" s="896"/>
      <c r="AD5" s="888"/>
      <c r="AE5" s="898" t="s">
        <v>341</v>
      </c>
      <c r="AF5" s="896"/>
      <c r="AG5" s="896"/>
      <c r="AH5" s="896"/>
      <c r="AI5" s="896"/>
      <c r="AJ5" s="896"/>
      <c r="AK5" s="888"/>
      <c r="AL5" s="898" t="s">
        <v>341</v>
      </c>
      <c r="AM5" s="896"/>
      <c r="AN5" s="896"/>
      <c r="AO5" s="896"/>
      <c r="AP5" s="896"/>
      <c r="AQ5" s="896"/>
      <c r="AR5" s="888"/>
      <c r="AS5" s="898" t="s">
        <v>341</v>
      </c>
      <c r="AT5" s="896"/>
      <c r="AU5" s="896"/>
      <c r="AV5" s="896"/>
      <c r="AW5" s="896"/>
      <c r="AX5" s="896"/>
      <c r="AY5" s="888"/>
      <c r="AZ5" s="898" t="s">
        <v>341</v>
      </c>
      <c r="BA5" s="896"/>
      <c r="BB5" s="896"/>
      <c r="BC5" s="896"/>
      <c r="BD5" s="896"/>
      <c r="BE5" s="896"/>
      <c r="BF5" s="888"/>
      <c r="BG5" s="653"/>
      <c r="BH5" s="654"/>
      <c r="BI5" s="654"/>
      <c r="BJ5" s="655"/>
      <c r="BK5" s="655"/>
      <c r="BL5" s="654"/>
      <c r="BM5" s="654"/>
      <c r="BN5" s="655"/>
      <c r="BO5" s="655"/>
      <c r="BP5" s="654"/>
      <c r="BQ5" s="655"/>
      <c r="BR5" s="656"/>
      <c r="BS5" s="656"/>
      <c r="BT5" s="656"/>
      <c r="BU5" s="656"/>
      <c r="BV5" s="656"/>
      <c r="BW5" s="656"/>
      <c r="BX5" s="656"/>
      <c r="BY5" s="656"/>
      <c r="BZ5" s="656"/>
      <c r="CA5" s="656"/>
      <c r="CB5" s="656"/>
      <c r="CC5" s="656"/>
      <c r="CD5" s="656"/>
      <c r="CE5" s="656"/>
      <c r="CF5" s="656"/>
      <c r="CG5" s="656"/>
      <c r="CH5" s="939"/>
      <c r="CI5" s="939"/>
      <c r="CJ5" s="940"/>
      <c r="CK5" s="940"/>
      <c r="CL5" s="939"/>
      <c r="CM5" s="939"/>
      <c r="CN5" s="940"/>
      <c r="CO5" s="940"/>
      <c r="CP5" s="949"/>
      <c r="CQ5" s="940"/>
      <c r="CR5" s="654"/>
      <c r="CS5" s="654"/>
      <c r="CT5" s="655"/>
      <c r="CU5" s="655"/>
      <c r="CV5" s="936"/>
      <c r="CW5" s="936"/>
      <c r="CX5" s="937"/>
      <c r="CY5" s="937"/>
      <c r="CZ5" s="936"/>
      <c r="DA5" s="937"/>
      <c r="DB5" s="938"/>
      <c r="DC5" s="938"/>
      <c r="DD5" s="938"/>
      <c r="DE5" s="938"/>
      <c r="DF5" s="938"/>
      <c r="DG5" s="938"/>
      <c r="DH5" s="938"/>
      <c r="DI5" s="938"/>
      <c r="DJ5" s="938"/>
      <c r="DK5" s="938"/>
      <c r="DL5" s="938"/>
      <c r="DM5" s="938"/>
      <c r="DN5" s="938"/>
      <c r="DO5" s="938"/>
      <c r="DP5" s="938"/>
      <c r="DQ5" s="938"/>
    </row>
    <row r="6" spans="1:121" ht="13.75" customHeight="1">
      <c r="A6" s="941" t="str">
        <f>IF(ISBLANK(画面項目!A7),"",画面項目!A7)</f>
        <v>2</v>
      </c>
      <c r="B6" s="942"/>
      <c r="C6" s="953" t="str">
        <f>IF(ISBLANK(画面項目!C7),"",画面項目!C7)</f>
        <v>申請確認エリア</v>
      </c>
      <c r="D6" s="954"/>
      <c r="E6" s="954"/>
      <c r="F6" s="954"/>
      <c r="G6" s="954"/>
      <c r="H6" s="954"/>
      <c r="I6" s="955"/>
      <c r="J6" s="956"/>
      <c r="K6" s="956"/>
      <c r="L6" s="956"/>
      <c r="M6" s="956"/>
      <c r="N6" s="956"/>
      <c r="O6" s="956"/>
      <c r="P6" s="956"/>
      <c r="Q6" s="898"/>
      <c r="R6" s="896"/>
      <c r="S6" s="896"/>
      <c r="T6" s="896"/>
      <c r="U6" s="896"/>
      <c r="V6" s="896"/>
      <c r="W6" s="888"/>
      <c r="X6" s="898"/>
      <c r="Y6" s="896"/>
      <c r="Z6" s="896"/>
      <c r="AA6" s="896"/>
      <c r="AB6" s="896"/>
      <c r="AC6" s="896"/>
      <c r="AD6" s="888"/>
      <c r="AE6" s="898"/>
      <c r="AF6" s="896"/>
      <c r="AG6" s="896"/>
      <c r="AH6" s="896"/>
      <c r="AI6" s="896"/>
      <c r="AJ6" s="896"/>
      <c r="AK6" s="888"/>
      <c r="AL6" s="898"/>
      <c r="AM6" s="896"/>
      <c r="AN6" s="896"/>
      <c r="AO6" s="896"/>
      <c r="AP6" s="896"/>
      <c r="AQ6" s="896"/>
      <c r="AR6" s="888"/>
      <c r="AS6" s="898"/>
      <c r="AT6" s="896"/>
      <c r="AU6" s="896"/>
      <c r="AV6" s="896"/>
      <c r="AW6" s="896"/>
      <c r="AX6" s="896"/>
      <c r="AY6" s="888"/>
      <c r="AZ6" s="898"/>
      <c r="BA6" s="896"/>
      <c r="BB6" s="896"/>
      <c r="BC6" s="896"/>
      <c r="BD6" s="896"/>
      <c r="BE6" s="896"/>
      <c r="BF6" s="888"/>
      <c r="BG6" s="653"/>
      <c r="BH6" s="654"/>
      <c r="BI6" s="654"/>
      <c r="BJ6" s="655"/>
      <c r="BK6" s="655"/>
      <c r="BL6" s="654"/>
      <c r="BM6" s="654"/>
      <c r="BN6" s="655"/>
      <c r="BO6" s="655"/>
      <c r="BP6" s="654"/>
      <c r="BQ6" s="655"/>
      <c r="BR6" s="656"/>
      <c r="BS6" s="656"/>
      <c r="BT6" s="656"/>
      <c r="BU6" s="656"/>
      <c r="BV6" s="656"/>
      <c r="BW6" s="656"/>
      <c r="BX6" s="656"/>
      <c r="BY6" s="656"/>
      <c r="BZ6" s="656"/>
      <c r="CA6" s="656"/>
      <c r="CB6" s="656"/>
      <c r="CC6" s="656"/>
      <c r="CD6" s="656"/>
      <c r="CE6" s="656"/>
      <c r="CF6" s="656"/>
      <c r="CG6" s="656"/>
      <c r="CH6" s="939"/>
      <c r="CI6" s="939"/>
      <c r="CJ6" s="940"/>
      <c r="CK6" s="940"/>
      <c r="CL6" s="939"/>
      <c r="CM6" s="939"/>
      <c r="CN6" s="940"/>
      <c r="CO6" s="940"/>
      <c r="CP6" s="949"/>
      <c r="CQ6" s="940"/>
      <c r="CR6" s="654"/>
      <c r="CS6" s="654"/>
      <c r="CT6" s="655"/>
      <c r="CU6" s="655"/>
      <c r="CV6" s="936"/>
      <c r="CW6" s="936"/>
      <c r="CX6" s="937"/>
      <c r="CY6" s="937"/>
      <c r="CZ6" s="936"/>
      <c r="DA6" s="937"/>
      <c r="DB6" s="938"/>
      <c r="DC6" s="938"/>
      <c r="DD6" s="938"/>
      <c r="DE6" s="938"/>
      <c r="DF6" s="938"/>
      <c r="DG6" s="938"/>
      <c r="DH6" s="938"/>
      <c r="DI6" s="938"/>
      <c r="DJ6" s="938"/>
      <c r="DK6" s="938"/>
      <c r="DL6" s="938"/>
      <c r="DM6" s="938"/>
      <c r="DN6" s="938"/>
      <c r="DO6" s="938"/>
      <c r="DP6" s="938"/>
      <c r="DQ6" s="938"/>
    </row>
    <row r="7" spans="1:121" ht="13.75" customHeight="1">
      <c r="A7" s="941" t="str">
        <f>IF(ISBLANK(画面項目!A8),"",画面項目!A8)</f>
        <v>2.1</v>
      </c>
      <c r="B7" s="942"/>
      <c r="C7" s="950"/>
      <c r="D7" s="951"/>
      <c r="E7" s="951"/>
      <c r="F7" s="951"/>
      <c r="G7" s="951"/>
      <c r="H7" s="951"/>
      <c r="I7" s="952"/>
      <c r="J7" s="953" t="str">
        <f>IF(ISBLANK(画面項目!J8),"",画面項目!J8)</f>
        <v>初期申請製品数</v>
      </c>
      <c r="K7" s="954"/>
      <c r="L7" s="954"/>
      <c r="M7" s="954"/>
      <c r="N7" s="954"/>
      <c r="O7" s="954"/>
      <c r="P7" s="955"/>
      <c r="Q7" s="898" t="s">
        <v>341</v>
      </c>
      <c r="R7" s="896"/>
      <c r="S7" s="896"/>
      <c r="T7" s="896"/>
      <c r="U7" s="896"/>
      <c r="V7" s="896"/>
      <c r="W7" s="888"/>
      <c r="X7" s="898" t="s">
        <v>341</v>
      </c>
      <c r="Y7" s="896"/>
      <c r="Z7" s="896"/>
      <c r="AA7" s="896"/>
      <c r="AB7" s="896"/>
      <c r="AC7" s="896"/>
      <c r="AD7" s="888"/>
      <c r="AE7" s="898" t="s">
        <v>341</v>
      </c>
      <c r="AF7" s="896"/>
      <c r="AG7" s="896"/>
      <c r="AH7" s="896"/>
      <c r="AI7" s="896"/>
      <c r="AJ7" s="896"/>
      <c r="AK7" s="888"/>
      <c r="AL7" s="898" t="s">
        <v>341</v>
      </c>
      <c r="AM7" s="896"/>
      <c r="AN7" s="896"/>
      <c r="AO7" s="896"/>
      <c r="AP7" s="896"/>
      <c r="AQ7" s="896"/>
      <c r="AR7" s="888"/>
      <c r="AS7" s="898" t="s">
        <v>341</v>
      </c>
      <c r="AT7" s="896"/>
      <c r="AU7" s="896"/>
      <c r="AV7" s="896"/>
      <c r="AW7" s="896"/>
      <c r="AX7" s="896"/>
      <c r="AY7" s="888"/>
      <c r="AZ7" s="898" t="s">
        <v>341</v>
      </c>
      <c r="BA7" s="896"/>
      <c r="BB7" s="896"/>
      <c r="BC7" s="896"/>
      <c r="BD7" s="896"/>
      <c r="BE7" s="896"/>
      <c r="BF7" s="888"/>
      <c r="BG7" s="653"/>
      <c r="BH7" s="654"/>
      <c r="BI7" s="654"/>
      <c r="BJ7" s="655"/>
      <c r="BK7" s="655"/>
      <c r="BL7" s="654"/>
      <c r="BM7" s="654"/>
      <c r="BN7" s="655"/>
      <c r="BO7" s="655"/>
      <c r="BP7" s="654"/>
      <c r="BQ7" s="655"/>
      <c r="BR7" s="656"/>
      <c r="BS7" s="656"/>
      <c r="BT7" s="656"/>
      <c r="BU7" s="656"/>
      <c r="BV7" s="656"/>
      <c r="BW7" s="656"/>
      <c r="BX7" s="656"/>
      <c r="BY7" s="656"/>
      <c r="BZ7" s="656"/>
      <c r="CA7" s="656"/>
      <c r="CB7" s="656"/>
      <c r="CC7" s="656"/>
      <c r="CD7" s="656"/>
      <c r="CE7" s="656"/>
      <c r="CF7" s="656"/>
      <c r="CG7" s="656"/>
      <c r="CH7" s="939"/>
      <c r="CI7" s="939"/>
      <c r="CJ7" s="940"/>
      <c r="CK7" s="940"/>
      <c r="CL7" s="939"/>
      <c r="CM7" s="939"/>
      <c r="CN7" s="940"/>
      <c r="CO7" s="940"/>
      <c r="CP7" s="949"/>
      <c r="CQ7" s="940"/>
      <c r="CR7" s="654"/>
      <c r="CS7" s="654"/>
      <c r="CT7" s="655"/>
      <c r="CU7" s="655"/>
      <c r="CV7" s="936"/>
      <c r="CW7" s="936"/>
      <c r="CX7" s="937"/>
      <c r="CY7" s="937"/>
      <c r="CZ7" s="936"/>
      <c r="DA7" s="937"/>
      <c r="DB7" s="938"/>
      <c r="DC7" s="938"/>
      <c r="DD7" s="938"/>
      <c r="DE7" s="938"/>
      <c r="DF7" s="938"/>
      <c r="DG7" s="938"/>
      <c r="DH7" s="938"/>
      <c r="DI7" s="938"/>
      <c r="DJ7" s="938"/>
      <c r="DK7" s="938"/>
      <c r="DL7" s="938"/>
      <c r="DM7" s="938"/>
      <c r="DN7" s="938"/>
      <c r="DO7" s="938"/>
      <c r="DP7" s="938"/>
      <c r="DQ7" s="938"/>
    </row>
    <row r="8" spans="1:121" ht="13.75" customHeight="1">
      <c r="A8" s="941" t="str">
        <f>IF(ISBLANK(画面項目!A9),"",画面項目!A9)</f>
        <v>2.2</v>
      </c>
      <c r="B8" s="942"/>
      <c r="C8" s="950"/>
      <c r="D8" s="951"/>
      <c r="E8" s="951"/>
      <c r="F8" s="951"/>
      <c r="G8" s="951"/>
      <c r="H8" s="951"/>
      <c r="I8" s="952"/>
      <c r="J8" s="953" t="str">
        <f>IF(ISBLANK(画面項目!J9),"",画面項目!J9)</f>
        <v>申請に対するチェック結果の説明</v>
      </c>
      <c r="K8" s="954"/>
      <c r="L8" s="954"/>
      <c r="M8" s="954"/>
      <c r="N8" s="954"/>
      <c r="O8" s="954"/>
      <c r="P8" s="955"/>
      <c r="Q8" s="898" t="s">
        <v>341</v>
      </c>
      <c r="R8" s="896"/>
      <c r="S8" s="896"/>
      <c r="T8" s="896"/>
      <c r="U8" s="896"/>
      <c r="V8" s="896"/>
      <c r="W8" s="888"/>
      <c r="X8" s="898" t="s">
        <v>341</v>
      </c>
      <c r="Y8" s="896"/>
      <c r="Z8" s="896"/>
      <c r="AA8" s="896"/>
      <c r="AB8" s="896"/>
      <c r="AC8" s="896"/>
      <c r="AD8" s="888"/>
      <c r="AE8" s="898" t="s">
        <v>341</v>
      </c>
      <c r="AF8" s="896"/>
      <c r="AG8" s="896"/>
      <c r="AH8" s="896"/>
      <c r="AI8" s="896"/>
      <c r="AJ8" s="896"/>
      <c r="AK8" s="888"/>
      <c r="AL8" s="898" t="s">
        <v>341</v>
      </c>
      <c r="AM8" s="896"/>
      <c r="AN8" s="896"/>
      <c r="AO8" s="896"/>
      <c r="AP8" s="896"/>
      <c r="AQ8" s="896"/>
      <c r="AR8" s="888"/>
      <c r="AS8" s="898" t="s">
        <v>341</v>
      </c>
      <c r="AT8" s="896"/>
      <c r="AU8" s="896"/>
      <c r="AV8" s="896"/>
      <c r="AW8" s="896"/>
      <c r="AX8" s="896"/>
      <c r="AY8" s="888"/>
      <c r="AZ8" s="898" t="s">
        <v>341</v>
      </c>
      <c r="BA8" s="896"/>
      <c r="BB8" s="896"/>
      <c r="BC8" s="896"/>
      <c r="BD8" s="896"/>
      <c r="BE8" s="896"/>
      <c r="BF8" s="888"/>
      <c r="BG8" s="653"/>
      <c r="BH8" s="654"/>
      <c r="BI8" s="654"/>
      <c r="BJ8" s="655"/>
      <c r="BK8" s="655"/>
      <c r="BL8" s="654"/>
      <c r="BM8" s="654"/>
      <c r="BN8" s="655"/>
      <c r="BO8" s="655"/>
      <c r="BP8" s="654"/>
      <c r="BQ8" s="655"/>
      <c r="BR8" s="656"/>
      <c r="BS8" s="656"/>
      <c r="BT8" s="656"/>
      <c r="BU8" s="656"/>
      <c r="BV8" s="656"/>
      <c r="BW8" s="656"/>
      <c r="BX8" s="656"/>
      <c r="BY8" s="656"/>
      <c r="BZ8" s="656"/>
      <c r="CA8" s="656"/>
      <c r="CB8" s="656"/>
      <c r="CC8" s="656"/>
      <c r="CD8" s="656"/>
      <c r="CE8" s="656"/>
      <c r="CF8" s="656"/>
      <c r="CG8" s="656"/>
      <c r="CH8" s="939"/>
      <c r="CI8" s="939"/>
      <c r="CJ8" s="940"/>
      <c r="CK8" s="940"/>
      <c r="CL8" s="939"/>
      <c r="CM8" s="939"/>
      <c r="CN8" s="940"/>
      <c r="CO8" s="940"/>
      <c r="CP8" s="949"/>
      <c r="CQ8" s="940"/>
      <c r="CR8" s="654"/>
      <c r="CS8" s="654"/>
      <c r="CT8" s="655"/>
      <c r="CU8" s="655"/>
      <c r="CV8" s="936"/>
      <c r="CW8" s="936"/>
      <c r="CX8" s="937"/>
      <c r="CY8" s="937"/>
      <c r="CZ8" s="936"/>
      <c r="DA8" s="937"/>
      <c r="DB8" s="938"/>
      <c r="DC8" s="938"/>
      <c r="DD8" s="938"/>
      <c r="DE8" s="938"/>
      <c r="DF8" s="938"/>
      <c r="DG8" s="938"/>
      <c r="DH8" s="938"/>
      <c r="DI8" s="938"/>
      <c r="DJ8" s="938"/>
      <c r="DK8" s="938"/>
      <c r="DL8" s="938"/>
      <c r="DM8" s="938"/>
      <c r="DN8" s="938"/>
      <c r="DO8" s="938"/>
      <c r="DP8" s="938"/>
      <c r="DQ8" s="938"/>
    </row>
    <row r="9" spans="1:121" ht="13.75" customHeight="1">
      <c r="A9" s="941" t="str">
        <f>IF(ISBLANK(画面項目!A10),"",画面項目!A10)</f>
        <v>2.3</v>
      </c>
      <c r="B9" s="942"/>
      <c r="C9" s="950"/>
      <c r="D9" s="951"/>
      <c r="E9" s="951"/>
      <c r="F9" s="951"/>
      <c r="G9" s="951"/>
      <c r="H9" s="951"/>
      <c r="I9" s="952"/>
      <c r="J9" s="957" t="str">
        <f>IF(ISBLANK(画面項目!J10),"",画面項目!J10)</f>
        <v>提出先企業名</v>
      </c>
      <c r="K9" s="958"/>
      <c r="L9" s="958"/>
      <c r="M9" s="958"/>
      <c r="N9" s="958"/>
      <c r="O9" s="958"/>
      <c r="P9" s="959"/>
      <c r="Q9" s="898" t="s">
        <v>341</v>
      </c>
      <c r="R9" s="896"/>
      <c r="S9" s="896"/>
      <c r="T9" s="896"/>
      <c r="U9" s="896"/>
      <c r="V9" s="896"/>
      <c r="W9" s="888"/>
      <c r="X9" s="898" t="s">
        <v>341</v>
      </c>
      <c r="Y9" s="896"/>
      <c r="Z9" s="896"/>
      <c r="AA9" s="896"/>
      <c r="AB9" s="896"/>
      <c r="AC9" s="896"/>
      <c r="AD9" s="888"/>
      <c r="AE9" s="898" t="s">
        <v>341</v>
      </c>
      <c r="AF9" s="896"/>
      <c r="AG9" s="896"/>
      <c r="AH9" s="896"/>
      <c r="AI9" s="896"/>
      <c r="AJ9" s="896"/>
      <c r="AK9" s="888"/>
      <c r="AL9" s="898" t="s">
        <v>341</v>
      </c>
      <c r="AM9" s="896"/>
      <c r="AN9" s="896"/>
      <c r="AO9" s="896"/>
      <c r="AP9" s="896"/>
      <c r="AQ9" s="896"/>
      <c r="AR9" s="888"/>
      <c r="AS9" s="898" t="s">
        <v>341</v>
      </c>
      <c r="AT9" s="896"/>
      <c r="AU9" s="896"/>
      <c r="AV9" s="896"/>
      <c r="AW9" s="896"/>
      <c r="AX9" s="896"/>
      <c r="AY9" s="888"/>
      <c r="AZ9" s="898" t="s">
        <v>341</v>
      </c>
      <c r="BA9" s="896"/>
      <c r="BB9" s="896"/>
      <c r="BC9" s="896"/>
      <c r="BD9" s="896"/>
      <c r="BE9" s="896"/>
      <c r="BF9" s="888"/>
      <c r="BG9" s="653"/>
      <c r="BH9" s="654"/>
      <c r="BI9" s="654"/>
      <c r="BJ9" s="655"/>
      <c r="BK9" s="655"/>
      <c r="BL9" s="654"/>
      <c r="BM9" s="654"/>
      <c r="BN9" s="655"/>
      <c r="BO9" s="655"/>
      <c r="BP9" s="654"/>
      <c r="BQ9" s="655"/>
      <c r="BR9" s="656"/>
      <c r="BS9" s="656"/>
      <c r="BT9" s="656"/>
      <c r="BU9" s="656"/>
      <c r="BV9" s="656"/>
      <c r="BW9" s="656"/>
      <c r="BX9" s="656"/>
      <c r="BY9" s="656"/>
      <c r="BZ9" s="656"/>
      <c r="CA9" s="656"/>
      <c r="CB9" s="656"/>
      <c r="CC9" s="656"/>
      <c r="CD9" s="656"/>
      <c r="CE9" s="656"/>
      <c r="CF9" s="656"/>
      <c r="CG9" s="656"/>
      <c r="CH9" s="939"/>
      <c r="CI9" s="939"/>
      <c r="CJ9" s="940"/>
      <c r="CK9" s="940"/>
      <c r="CL9" s="939"/>
      <c r="CM9" s="939"/>
      <c r="CN9" s="940"/>
      <c r="CO9" s="940"/>
      <c r="CP9" s="949"/>
      <c r="CQ9" s="940"/>
      <c r="CR9" s="654"/>
      <c r="CS9" s="654"/>
      <c r="CT9" s="655"/>
      <c r="CU9" s="655"/>
      <c r="CV9" s="936"/>
      <c r="CW9" s="936"/>
      <c r="CX9" s="937"/>
      <c r="CY9" s="937"/>
      <c r="CZ9" s="936"/>
      <c r="DA9" s="937"/>
      <c r="DB9" s="938"/>
      <c r="DC9" s="938"/>
      <c r="DD9" s="938"/>
      <c r="DE9" s="938"/>
      <c r="DF9" s="938"/>
      <c r="DG9" s="938"/>
      <c r="DH9" s="938"/>
      <c r="DI9" s="938"/>
      <c r="DJ9" s="938"/>
      <c r="DK9" s="938"/>
      <c r="DL9" s="938"/>
      <c r="DM9" s="938"/>
      <c r="DN9" s="938"/>
      <c r="DO9" s="938"/>
      <c r="DP9" s="938"/>
      <c r="DQ9" s="938"/>
    </row>
    <row r="10" spans="1:121" ht="13.75" customHeight="1">
      <c r="A10" s="941" t="str">
        <f>IF(ISBLANK(画面項目!A11),"",画面項目!A11)</f>
        <v>2.4</v>
      </c>
      <c r="B10" s="942"/>
      <c r="C10" s="960"/>
      <c r="D10" s="961"/>
      <c r="E10" s="961"/>
      <c r="F10" s="961"/>
      <c r="G10" s="961"/>
      <c r="H10" s="961"/>
      <c r="I10" s="962"/>
      <c r="J10" s="953" t="str">
        <f>IF(ISBLANK(画面項目!J11),"",画面項目!J11)</f>
        <v>エンドユーザー</v>
      </c>
      <c r="K10" s="954"/>
      <c r="L10" s="954"/>
      <c r="M10" s="954"/>
      <c r="N10" s="954"/>
      <c r="O10" s="954"/>
      <c r="P10" s="955"/>
      <c r="Q10" s="898" t="s">
        <v>341</v>
      </c>
      <c r="R10" s="896"/>
      <c r="S10" s="896"/>
      <c r="T10" s="896"/>
      <c r="U10" s="896"/>
      <c r="V10" s="896"/>
      <c r="W10" s="888"/>
      <c r="X10" s="898" t="s">
        <v>341</v>
      </c>
      <c r="Y10" s="896"/>
      <c r="Z10" s="896"/>
      <c r="AA10" s="896"/>
      <c r="AB10" s="896"/>
      <c r="AC10" s="896"/>
      <c r="AD10" s="888"/>
      <c r="AE10" s="898" t="s">
        <v>341</v>
      </c>
      <c r="AF10" s="896"/>
      <c r="AG10" s="896"/>
      <c r="AH10" s="896"/>
      <c r="AI10" s="896"/>
      <c r="AJ10" s="896"/>
      <c r="AK10" s="888"/>
      <c r="AL10" s="898" t="s">
        <v>341</v>
      </c>
      <c r="AM10" s="896"/>
      <c r="AN10" s="896"/>
      <c r="AO10" s="896"/>
      <c r="AP10" s="896"/>
      <c r="AQ10" s="896"/>
      <c r="AR10" s="888"/>
      <c r="AS10" s="898" t="s">
        <v>341</v>
      </c>
      <c r="AT10" s="896"/>
      <c r="AU10" s="896"/>
      <c r="AV10" s="896"/>
      <c r="AW10" s="896"/>
      <c r="AX10" s="896"/>
      <c r="AY10" s="888"/>
      <c r="AZ10" s="898" t="s">
        <v>341</v>
      </c>
      <c r="BA10" s="896"/>
      <c r="BB10" s="896"/>
      <c r="BC10" s="896"/>
      <c r="BD10" s="896"/>
      <c r="BE10" s="896"/>
      <c r="BF10" s="888"/>
      <c r="BG10" s="653"/>
      <c r="BH10" s="654"/>
      <c r="BI10" s="654"/>
      <c r="BJ10" s="655"/>
      <c r="BK10" s="655"/>
      <c r="BL10" s="654"/>
      <c r="BM10" s="654"/>
      <c r="BN10" s="655"/>
      <c r="BO10" s="655"/>
      <c r="BP10" s="654"/>
      <c r="BQ10" s="655"/>
      <c r="BR10" s="656"/>
      <c r="BS10" s="656"/>
      <c r="BT10" s="656"/>
      <c r="BU10" s="656"/>
      <c r="BV10" s="656"/>
      <c r="BW10" s="656"/>
      <c r="BX10" s="656"/>
      <c r="BY10" s="656"/>
      <c r="BZ10" s="656"/>
      <c r="CA10" s="656"/>
      <c r="CB10" s="656"/>
      <c r="CC10" s="656"/>
      <c r="CD10" s="656"/>
      <c r="CE10" s="656"/>
      <c r="CF10" s="656"/>
      <c r="CG10" s="656"/>
      <c r="CH10" s="939"/>
      <c r="CI10" s="939"/>
      <c r="CJ10" s="940"/>
      <c r="CK10" s="940"/>
      <c r="CL10" s="939"/>
      <c r="CM10" s="939"/>
      <c r="CN10" s="940"/>
      <c r="CO10" s="940"/>
      <c r="CP10" s="949"/>
      <c r="CQ10" s="940"/>
      <c r="CR10" s="654"/>
      <c r="CS10" s="654"/>
      <c r="CT10" s="655"/>
      <c r="CU10" s="655"/>
      <c r="CV10" s="936"/>
      <c r="CW10" s="936"/>
      <c r="CX10" s="937"/>
      <c r="CY10" s="937"/>
      <c r="CZ10" s="936"/>
      <c r="DA10" s="937"/>
      <c r="DB10" s="938"/>
      <c r="DC10" s="938"/>
      <c r="DD10" s="938"/>
      <c r="DE10" s="938"/>
      <c r="DF10" s="938"/>
      <c r="DG10" s="938"/>
      <c r="DH10" s="938"/>
      <c r="DI10" s="938"/>
      <c r="DJ10" s="938"/>
      <c r="DK10" s="938"/>
      <c r="DL10" s="938"/>
      <c r="DM10" s="938"/>
      <c r="DN10" s="938"/>
      <c r="DO10" s="938"/>
      <c r="DP10" s="938"/>
      <c r="DQ10" s="938"/>
    </row>
    <row r="11" spans="1:121" ht="13.75" customHeight="1">
      <c r="A11" s="941" t="str">
        <f>IF(ISBLANK(画面項目!A12),"",画面項目!A12)</f>
        <v>2.5</v>
      </c>
      <c r="B11" s="942"/>
      <c r="C11" s="960"/>
      <c r="D11" s="961"/>
      <c r="E11" s="961"/>
      <c r="F11" s="961"/>
      <c r="G11" s="961"/>
      <c r="H11" s="961"/>
      <c r="I11" s="962"/>
      <c r="J11" s="953" t="str">
        <f>IF(ISBLANK(画面項目!J12),"",画面項目!J12)</f>
        <v>CSVダウンロードボタン</v>
      </c>
      <c r="K11" s="954"/>
      <c r="L11" s="954"/>
      <c r="M11" s="954"/>
      <c r="N11" s="954"/>
      <c r="O11" s="954"/>
      <c r="P11" s="955"/>
      <c r="Q11" s="898" t="s">
        <v>341</v>
      </c>
      <c r="R11" s="896"/>
      <c r="S11" s="896"/>
      <c r="T11" s="896"/>
      <c r="U11" s="896"/>
      <c r="V11" s="896"/>
      <c r="W11" s="888"/>
      <c r="X11" s="898" t="s">
        <v>341</v>
      </c>
      <c r="Y11" s="896"/>
      <c r="Z11" s="896"/>
      <c r="AA11" s="896"/>
      <c r="AB11" s="896"/>
      <c r="AC11" s="896"/>
      <c r="AD11" s="888"/>
      <c r="AE11" s="898" t="s">
        <v>341</v>
      </c>
      <c r="AF11" s="896"/>
      <c r="AG11" s="896"/>
      <c r="AH11" s="896"/>
      <c r="AI11" s="896"/>
      <c r="AJ11" s="896"/>
      <c r="AK11" s="888"/>
      <c r="AL11" s="898" t="s">
        <v>341</v>
      </c>
      <c r="AM11" s="896"/>
      <c r="AN11" s="896"/>
      <c r="AO11" s="896"/>
      <c r="AP11" s="896"/>
      <c r="AQ11" s="896"/>
      <c r="AR11" s="888"/>
      <c r="AS11" s="898" t="s">
        <v>341</v>
      </c>
      <c r="AT11" s="896"/>
      <c r="AU11" s="896"/>
      <c r="AV11" s="896"/>
      <c r="AW11" s="896"/>
      <c r="AX11" s="896"/>
      <c r="AY11" s="888"/>
      <c r="AZ11" s="898" t="s">
        <v>341</v>
      </c>
      <c r="BA11" s="896"/>
      <c r="BB11" s="896"/>
      <c r="BC11" s="896"/>
      <c r="BD11" s="896"/>
      <c r="BE11" s="896"/>
      <c r="BF11" s="888"/>
      <c r="BG11" s="653"/>
      <c r="BH11" s="654"/>
      <c r="BI11" s="654"/>
      <c r="BJ11" s="655"/>
      <c r="BK11" s="655"/>
      <c r="BL11" s="654"/>
      <c r="BM11" s="654"/>
      <c r="BN11" s="655"/>
      <c r="BO11" s="655"/>
      <c r="BP11" s="654"/>
      <c r="BQ11" s="655"/>
      <c r="BR11" s="656"/>
      <c r="BS11" s="656"/>
      <c r="BT11" s="656"/>
      <c r="BU11" s="656"/>
      <c r="BV11" s="656"/>
      <c r="BW11" s="656"/>
      <c r="BX11" s="656"/>
      <c r="BY11" s="656"/>
      <c r="BZ11" s="656"/>
      <c r="CA11" s="656"/>
      <c r="CB11" s="656"/>
      <c r="CC11" s="656"/>
      <c r="CD11" s="656"/>
      <c r="CE11" s="656"/>
      <c r="CF11" s="656"/>
      <c r="CG11" s="656"/>
      <c r="CH11" s="939"/>
      <c r="CI11" s="939"/>
      <c r="CJ11" s="940"/>
      <c r="CK11" s="940"/>
      <c r="CL11" s="939"/>
      <c r="CM11" s="939"/>
      <c r="CN11" s="940"/>
      <c r="CO11" s="940"/>
      <c r="CP11" s="949"/>
      <c r="CQ11" s="940"/>
      <c r="CR11" s="654"/>
      <c r="CS11" s="654"/>
      <c r="CT11" s="655"/>
      <c r="CU11" s="655"/>
      <c r="CV11" s="936"/>
      <c r="CW11" s="936"/>
      <c r="CX11" s="937"/>
      <c r="CY11" s="937"/>
      <c r="CZ11" s="936"/>
      <c r="DA11" s="937"/>
      <c r="DB11" s="938"/>
      <c r="DC11" s="938"/>
      <c r="DD11" s="938"/>
      <c r="DE11" s="938"/>
      <c r="DF11" s="938"/>
      <c r="DG11" s="938"/>
      <c r="DH11" s="938"/>
      <c r="DI11" s="938"/>
      <c r="DJ11" s="938"/>
      <c r="DK11" s="938"/>
      <c r="DL11" s="938"/>
      <c r="DM11" s="938"/>
      <c r="DN11" s="938"/>
      <c r="DO11" s="938"/>
      <c r="DP11" s="938"/>
      <c r="DQ11" s="938"/>
    </row>
    <row r="12" spans="1:121" ht="13.75" customHeight="1">
      <c r="A12" s="941" t="str">
        <f>IF(ISBLANK(画面項目!A13),"",画面項目!A13)</f>
        <v>2.6</v>
      </c>
      <c r="B12" s="942"/>
      <c r="C12" s="946"/>
      <c r="D12" s="947"/>
      <c r="E12" s="947"/>
      <c r="F12" s="947"/>
      <c r="G12" s="947"/>
      <c r="H12" s="947"/>
      <c r="I12" s="948"/>
      <c r="J12" s="953" t="str">
        <f>IF(ISBLANK(画面項目!J13),"",画面項目!J13)</f>
        <v>申請チェックボックス</v>
      </c>
      <c r="K12" s="954"/>
      <c r="L12" s="954"/>
      <c r="M12" s="954"/>
      <c r="N12" s="954"/>
      <c r="O12" s="954"/>
      <c r="P12" s="955"/>
      <c r="Q12" s="898" t="s">
        <v>341</v>
      </c>
      <c r="R12" s="896"/>
      <c r="S12" s="896"/>
      <c r="T12" s="896"/>
      <c r="U12" s="896"/>
      <c r="V12" s="896"/>
      <c r="W12" s="888"/>
      <c r="X12" s="898" t="s">
        <v>341</v>
      </c>
      <c r="Y12" s="896"/>
      <c r="Z12" s="896"/>
      <c r="AA12" s="896"/>
      <c r="AB12" s="896"/>
      <c r="AC12" s="896"/>
      <c r="AD12" s="888"/>
      <c r="AE12" s="898" t="s">
        <v>341</v>
      </c>
      <c r="AF12" s="896"/>
      <c r="AG12" s="896"/>
      <c r="AH12" s="896"/>
      <c r="AI12" s="896"/>
      <c r="AJ12" s="896"/>
      <c r="AK12" s="888"/>
      <c r="AL12" s="898" t="s">
        <v>341</v>
      </c>
      <c r="AM12" s="896"/>
      <c r="AN12" s="896"/>
      <c r="AO12" s="896"/>
      <c r="AP12" s="896"/>
      <c r="AQ12" s="896"/>
      <c r="AR12" s="888"/>
      <c r="AS12" s="898" t="s">
        <v>341</v>
      </c>
      <c r="AT12" s="896"/>
      <c r="AU12" s="896"/>
      <c r="AV12" s="896"/>
      <c r="AW12" s="896"/>
      <c r="AX12" s="896"/>
      <c r="AY12" s="888"/>
      <c r="AZ12" s="898" t="s">
        <v>341</v>
      </c>
      <c r="BA12" s="896"/>
      <c r="BB12" s="896"/>
      <c r="BC12" s="896"/>
      <c r="BD12" s="896"/>
      <c r="BE12" s="896"/>
      <c r="BF12" s="888"/>
      <c r="BG12" s="653"/>
      <c r="BH12" s="654"/>
      <c r="BI12" s="654"/>
      <c r="BJ12" s="655"/>
      <c r="BK12" s="655"/>
      <c r="BL12" s="654"/>
      <c r="BM12" s="654"/>
      <c r="BN12" s="655"/>
      <c r="BO12" s="655"/>
      <c r="BP12" s="654"/>
      <c r="BQ12" s="655"/>
      <c r="BR12" s="656"/>
      <c r="BS12" s="656"/>
      <c r="BT12" s="656"/>
      <c r="BU12" s="656"/>
      <c r="BV12" s="656"/>
      <c r="BW12" s="656"/>
      <c r="BX12" s="656"/>
      <c r="BY12" s="656"/>
      <c r="BZ12" s="656"/>
      <c r="CA12" s="656"/>
      <c r="CB12" s="656"/>
      <c r="CC12" s="656"/>
      <c r="CD12" s="656"/>
      <c r="CE12" s="656"/>
      <c r="CF12" s="656"/>
      <c r="CG12" s="656"/>
      <c r="CH12" s="939"/>
      <c r="CI12" s="939"/>
      <c r="CJ12" s="940"/>
      <c r="CK12" s="940"/>
      <c r="CL12" s="939"/>
      <c r="CM12" s="939"/>
      <c r="CN12" s="940"/>
      <c r="CO12" s="940"/>
      <c r="CP12" s="949"/>
      <c r="CQ12" s="940"/>
      <c r="CR12" s="654"/>
      <c r="CS12" s="654"/>
      <c r="CT12" s="655"/>
      <c r="CU12" s="655"/>
      <c r="CV12" s="936"/>
      <c r="CW12" s="936"/>
      <c r="CX12" s="937"/>
      <c r="CY12" s="937"/>
      <c r="CZ12" s="936"/>
      <c r="DA12" s="937"/>
      <c r="DB12" s="938"/>
      <c r="DC12" s="938"/>
      <c r="DD12" s="938"/>
      <c r="DE12" s="938"/>
      <c r="DF12" s="938"/>
      <c r="DG12" s="938"/>
      <c r="DH12" s="938"/>
      <c r="DI12" s="938"/>
      <c r="DJ12" s="938"/>
      <c r="DK12" s="938"/>
      <c r="DL12" s="938"/>
      <c r="DM12" s="938"/>
      <c r="DN12" s="938"/>
      <c r="DO12" s="938"/>
      <c r="DP12" s="938"/>
      <c r="DQ12" s="938"/>
    </row>
    <row r="13" spans="1:121" ht="13.75" customHeight="1">
      <c r="A13" s="941" t="str">
        <f>IF(ISBLANK(画面項目!A14),"",画面項目!A14)</f>
        <v>2.7</v>
      </c>
      <c r="B13" s="942"/>
      <c r="C13" s="963"/>
      <c r="D13" s="964"/>
      <c r="E13" s="964"/>
      <c r="F13" s="964"/>
      <c r="G13" s="964"/>
      <c r="H13" s="964"/>
      <c r="I13" s="965"/>
      <c r="J13" s="953" t="str">
        <f>IF(ISBLANK(画面項目!J14),"",画面項目!J14)</f>
        <v>製品名</v>
      </c>
      <c r="K13" s="954"/>
      <c r="L13" s="954"/>
      <c r="M13" s="954"/>
      <c r="N13" s="954"/>
      <c r="O13" s="954"/>
      <c r="P13" s="955"/>
      <c r="Q13" s="898" t="s">
        <v>341</v>
      </c>
      <c r="R13" s="896"/>
      <c r="S13" s="896"/>
      <c r="T13" s="896"/>
      <c r="U13" s="896"/>
      <c r="V13" s="896"/>
      <c r="W13" s="888"/>
      <c r="X13" s="898" t="s">
        <v>341</v>
      </c>
      <c r="Y13" s="896"/>
      <c r="Z13" s="896"/>
      <c r="AA13" s="896"/>
      <c r="AB13" s="896"/>
      <c r="AC13" s="896"/>
      <c r="AD13" s="888"/>
      <c r="AE13" s="898" t="s">
        <v>341</v>
      </c>
      <c r="AF13" s="896"/>
      <c r="AG13" s="896"/>
      <c r="AH13" s="896"/>
      <c r="AI13" s="896"/>
      <c r="AJ13" s="896"/>
      <c r="AK13" s="888"/>
      <c r="AL13" s="898" t="s">
        <v>341</v>
      </c>
      <c r="AM13" s="896"/>
      <c r="AN13" s="896"/>
      <c r="AO13" s="896"/>
      <c r="AP13" s="896"/>
      <c r="AQ13" s="896"/>
      <c r="AR13" s="888"/>
      <c r="AS13" s="898" t="s">
        <v>341</v>
      </c>
      <c r="AT13" s="896"/>
      <c r="AU13" s="896"/>
      <c r="AV13" s="896"/>
      <c r="AW13" s="896"/>
      <c r="AX13" s="896"/>
      <c r="AY13" s="888"/>
      <c r="AZ13" s="898" t="s">
        <v>341</v>
      </c>
      <c r="BA13" s="896"/>
      <c r="BB13" s="896"/>
      <c r="BC13" s="896"/>
      <c r="BD13" s="896"/>
      <c r="BE13" s="896"/>
      <c r="BF13" s="888"/>
      <c r="BG13" s="653"/>
      <c r="BH13" s="654"/>
      <c r="BI13" s="654"/>
      <c r="BJ13" s="655"/>
      <c r="BK13" s="655"/>
      <c r="BL13" s="654"/>
      <c r="BM13" s="654"/>
      <c r="BN13" s="655"/>
      <c r="BO13" s="655"/>
      <c r="BP13" s="654"/>
      <c r="BQ13" s="655"/>
      <c r="BR13" s="656"/>
      <c r="BS13" s="656"/>
      <c r="BT13" s="656"/>
      <c r="BU13" s="656"/>
      <c r="BV13" s="656"/>
      <c r="BW13" s="656"/>
      <c r="BX13" s="656"/>
      <c r="BY13" s="656"/>
      <c r="BZ13" s="656"/>
      <c r="CA13" s="656"/>
      <c r="CB13" s="656"/>
      <c r="CC13" s="656"/>
      <c r="CD13" s="656"/>
      <c r="CE13" s="656"/>
      <c r="CF13" s="656"/>
      <c r="CG13" s="656"/>
      <c r="CH13" s="939"/>
      <c r="CI13" s="939"/>
      <c r="CJ13" s="940"/>
      <c r="CK13" s="940"/>
      <c r="CL13" s="939"/>
      <c r="CM13" s="939"/>
      <c r="CN13" s="940"/>
      <c r="CO13" s="940"/>
      <c r="CP13" s="949"/>
      <c r="CQ13" s="940"/>
      <c r="CR13" s="654"/>
      <c r="CS13" s="654"/>
      <c r="CT13" s="655"/>
      <c r="CU13" s="655"/>
      <c r="CV13" s="936"/>
      <c r="CW13" s="936"/>
      <c r="CX13" s="937"/>
      <c r="CY13" s="937"/>
      <c r="CZ13" s="936"/>
      <c r="DA13" s="937"/>
      <c r="DB13" s="938"/>
      <c r="DC13" s="938"/>
      <c r="DD13" s="938"/>
      <c r="DE13" s="938"/>
      <c r="DF13" s="938"/>
      <c r="DG13" s="938"/>
      <c r="DH13" s="938"/>
      <c r="DI13" s="938"/>
      <c r="DJ13" s="938"/>
      <c r="DK13" s="938"/>
      <c r="DL13" s="938"/>
      <c r="DM13" s="938"/>
      <c r="DN13" s="938"/>
      <c r="DO13" s="938"/>
      <c r="DP13" s="938"/>
      <c r="DQ13" s="938"/>
    </row>
    <row r="14" spans="1:121" ht="13.75" customHeight="1">
      <c r="A14" s="941" t="str">
        <f>IF(ISBLANK(画面項目!A15),"",画面項目!A15)</f>
        <v>2.8</v>
      </c>
      <c r="B14" s="942"/>
      <c r="C14" s="963"/>
      <c r="D14" s="964"/>
      <c r="E14" s="964"/>
      <c r="F14" s="964"/>
      <c r="G14" s="964"/>
      <c r="H14" s="964"/>
      <c r="I14" s="965"/>
      <c r="J14" s="953" t="str">
        <f>IF(ISBLANK(画面項目!J15),"",画面項目!J15)</f>
        <v>CL（製品番号）</v>
      </c>
      <c r="K14" s="954"/>
      <c r="L14" s="954"/>
      <c r="M14" s="954"/>
      <c r="N14" s="954"/>
      <c r="O14" s="954"/>
      <c r="P14" s="955"/>
      <c r="Q14" s="898" t="s">
        <v>341</v>
      </c>
      <c r="R14" s="896"/>
      <c r="S14" s="896"/>
      <c r="T14" s="896"/>
      <c r="U14" s="896"/>
      <c r="V14" s="896"/>
      <c r="W14" s="888"/>
      <c r="X14" s="898" t="s">
        <v>341</v>
      </c>
      <c r="Y14" s="896"/>
      <c r="Z14" s="896"/>
      <c r="AA14" s="896"/>
      <c r="AB14" s="896"/>
      <c r="AC14" s="896"/>
      <c r="AD14" s="888"/>
      <c r="AE14" s="898" t="s">
        <v>341</v>
      </c>
      <c r="AF14" s="896"/>
      <c r="AG14" s="896"/>
      <c r="AH14" s="896"/>
      <c r="AI14" s="896"/>
      <c r="AJ14" s="896"/>
      <c r="AK14" s="888"/>
      <c r="AL14" s="898" t="s">
        <v>341</v>
      </c>
      <c r="AM14" s="896"/>
      <c r="AN14" s="896"/>
      <c r="AO14" s="896"/>
      <c r="AP14" s="896"/>
      <c r="AQ14" s="896"/>
      <c r="AR14" s="888"/>
      <c r="AS14" s="898" t="s">
        <v>341</v>
      </c>
      <c r="AT14" s="896"/>
      <c r="AU14" s="896"/>
      <c r="AV14" s="896"/>
      <c r="AW14" s="896"/>
      <c r="AX14" s="896"/>
      <c r="AY14" s="888"/>
      <c r="AZ14" s="898" t="s">
        <v>341</v>
      </c>
      <c r="BA14" s="896"/>
      <c r="BB14" s="896"/>
      <c r="BC14" s="896"/>
      <c r="BD14" s="896"/>
      <c r="BE14" s="896"/>
      <c r="BF14" s="888"/>
      <c r="BG14" s="653"/>
      <c r="BH14" s="654"/>
      <c r="BI14" s="654"/>
      <c r="BJ14" s="655"/>
      <c r="BK14" s="655"/>
      <c r="BL14" s="654"/>
      <c r="BM14" s="654"/>
      <c r="BN14" s="655"/>
      <c r="BO14" s="655"/>
      <c r="BP14" s="654"/>
      <c r="BQ14" s="655"/>
      <c r="BR14" s="656"/>
      <c r="BS14" s="656"/>
      <c r="BT14" s="656"/>
      <c r="BU14" s="656"/>
      <c r="BV14" s="656"/>
      <c r="BW14" s="656"/>
      <c r="BX14" s="656"/>
      <c r="BY14" s="656"/>
      <c r="BZ14" s="656"/>
      <c r="CA14" s="656"/>
      <c r="CB14" s="656"/>
      <c r="CC14" s="656"/>
      <c r="CD14" s="656"/>
      <c r="CE14" s="656"/>
      <c r="CF14" s="656"/>
      <c r="CG14" s="656"/>
      <c r="CH14" s="939"/>
      <c r="CI14" s="939"/>
      <c r="CJ14" s="940"/>
      <c r="CK14" s="940"/>
      <c r="CL14" s="939"/>
      <c r="CM14" s="939"/>
      <c r="CN14" s="940"/>
      <c r="CO14" s="940"/>
      <c r="CP14" s="949"/>
      <c r="CQ14" s="940"/>
      <c r="CR14" s="654"/>
      <c r="CS14" s="654"/>
      <c r="CT14" s="655"/>
      <c r="CU14" s="655"/>
      <c r="CV14" s="936"/>
      <c r="CW14" s="936"/>
      <c r="CX14" s="937"/>
      <c r="CY14" s="937"/>
      <c r="CZ14" s="936"/>
      <c r="DA14" s="937"/>
      <c r="DB14" s="938"/>
      <c r="DC14" s="938"/>
      <c r="DD14" s="938"/>
      <c r="DE14" s="938"/>
      <c r="DF14" s="938"/>
      <c r="DG14" s="938"/>
      <c r="DH14" s="938"/>
      <c r="DI14" s="938"/>
      <c r="DJ14" s="938"/>
      <c r="DK14" s="938"/>
      <c r="DL14" s="938"/>
      <c r="DM14" s="938"/>
      <c r="DN14" s="938"/>
      <c r="DO14" s="938"/>
      <c r="DP14" s="938"/>
      <c r="DQ14" s="938"/>
    </row>
    <row r="15" spans="1:121" ht="13.75" customHeight="1">
      <c r="A15" s="941" t="str">
        <f>IF(ISBLANK(画面項目!A16),"",画面項目!A16)</f>
        <v>2.9</v>
      </c>
      <c r="B15" s="942"/>
      <c r="C15" s="963"/>
      <c r="D15" s="964"/>
      <c r="E15" s="964"/>
      <c r="F15" s="964"/>
      <c r="G15" s="964"/>
      <c r="H15" s="964"/>
      <c r="I15" s="965"/>
      <c r="J15" s="953" t="str">
        <f>IF(ISBLANK(画面項目!J16),"",画面項目!J16)</f>
        <v>新製品区分</v>
      </c>
      <c r="K15" s="954"/>
      <c r="L15" s="954"/>
      <c r="M15" s="954"/>
      <c r="N15" s="954"/>
      <c r="O15" s="954"/>
      <c r="P15" s="955"/>
      <c r="Q15" s="898" t="s">
        <v>341</v>
      </c>
      <c r="R15" s="896"/>
      <c r="S15" s="896"/>
      <c r="T15" s="896"/>
      <c r="U15" s="896"/>
      <c r="V15" s="896"/>
      <c r="W15" s="888"/>
      <c r="X15" s="898" t="s">
        <v>341</v>
      </c>
      <c r="Y15" s="896"/>
      <c r="Z15" s="896"/>
      <c r="AA15" s="896"/>
      <c r="AB15" s="896"/>
      <c r="AC15" s="896"/>
      <c r="AD15" s="888"/>
      <c r="AE15" s="898" t="s">
        <v>341</v>
      </c>
      <c r="AF15" s="896"/>
      <c r="AG15" s="896"/>
      <c r="AH15" s="896"/>
      <c r="AI15" s="896"/>
      <c r="AJ15" s="896"/>
      <c r="AK15" s="888"/>
      <c r="AL15" s="898" t="s">
        <v>341</v>
      </c>
      <c r="AM15" s="896"/>
      <c r="AN15" s="896"/>
      <c r="AO15" s="896"/>
      <c r="AP15" s="896"/>
      <c r="AQ15" s="896"/>
      <c r="AR15" s="888"/>
      <c r="AS15" s="898" t="s">
        <v>341</v>
      </c>
      <c r="AT15" s="896"/>
      <c r="AU15" s="896"/>
      <c r="AV15" s="896"/>
      <c r="AW15" s="896"/>
      <c r="AX15" s="896"/>
      <c r="AY15" s="888"/>
      <c r="AZ15" s="898" t="s">
        <v>341</v>
      </c>
      <c r="BA15" s="896"/>
      <c r="BB15" s="896"/>
      <c r="BC15" s="896"/>
      <c r="BD15" s="896"/>
      <c r="BE15" s="896"/>
      <c r="BF15" s="888"/>
      <c r="BG15" s="653"/>
      <c r="BH15" s="654"/>
      <c r="BI15" s="654"/>
      <c r="BJ15" s="655"/>
      <c r="BK15" s="655"/>
      <c r="BL15" s="654"/>
      <c r="BM15" s="654"/>
      <c r="BN15" s="655"/>
      <c r="BO15" s="655"/>
      <c r="BP15" s="654"/>
      <c r="BQ15" s="655"/>
      <c r="BR15" s="656"/>
      <c r="BS15" s="656"/>
      <c r="BT15" s="656"/>
      <c r="BU15" s="656"/>
      <c r="BV15" s="656"/>
      <c r="BW15" s="656"/>
      <c r="BX15" s="656"/>
      <c r="BY15" s="656"/>
      <c r="BZ15" s="656"/>
      <c r="CA15" s="656"/>
      <c r="CB15" s="656"/>
      <c r="CC15" s="656"/>
      <c r="CD15" s="656"/>
      <c r="CE15" s="656"/>
      <c r="CF15" s="656"/>
      <c r="CG15" s="656"/>
      <c r="CH15" s="939"/>
      <c r="CI15" s="939"/>
      <c r="CJ15" s="940"/>
      <c r="CK15" s="940"/>
      <c r="CL15" s="939"/>
      <c r="CM15" s="939"/>
      <c r="CN15" s="940"/>
      <c r="CO15" s="940"/>
      <c r="CP15" s="949"/>
      <c r="CQ15" s="940"/>
      <c r="CR15" s="654"/>
      <c r="CS15" s="654"/>
      <c r="CT15" s="655"/>
      <c r="CU15" s="655"/>
      <c r="CV15" s="936"/>
      <c r="CW15" s="936"/>
      <c r="CX15" s="937"/>
      <c r="CY15" s="937"/>
      <c r="CZ15" s="936"/>
      <c r="DA15" s="937"/>
      <c r="DB15" s="938"/>
      <c r="DC15" s="938"/>
      <c r="DD15" s="938"/>
      <c r="DE15" s="938"/>
      <c r="DF15" s="938"/>
      <c r="DG15" s="938"/>
      <c r="DH15" s="938"/>
      <c r="DI15" s="938"/>
      <c r="DJ15" s="938"/>
      <c r="DK15" s="938"/>
      <c r="DL15" s="938"/>
      <c r="DM15" s="938"/>
      <c r="DN15" s="938"/>
      <c r="DO15" s="938"/>
      <c r="DP15" s="938"/>
      <c r="DQ15" s="938"/>
    </row>
    <row r="16" spans="1:121" ht="13.75" customHeight="1">
      <c r="A16" s="941" t="str">
        <f>IF(ISBLANK(画面項目!A17),"",画面項目!A17)</f>
        <v>2.10</v>
      </c>
      <c r="B16" s="942"/>
      <c r="C16" s="963"/>
      <c r="D16" s="964"/>
      <c r="E16" s="964"/>
      <c r="F16" s="964"/>
      <c r="G16" s="964"/>
      <c r="H16" s="964"/>
      <c r="I16" s="965"/>
      <c r="J16" s="953" t="str">
        <f>IF(ISBLANK(画面項目!J17),"",画面項目!J17)</f>
        <v>製品販売状況</v>
      </c>
      <c r="K16" s="954"/>
      <c r="L16" s="954"/>
      <c r="M16" s="954"/>
      <c r="N16" s="954"/>
      <c r="O16" s="954"/>
      <c r="P16" s="955"/>
      <c r="Q16" s="898" t="s">
        <v>341</v>
      </c>
      <c r="R16" s="896"/>
      <c r="S16" s="896"/>
      <c r="T16" s="896"/>
      <c r="U16" s="896"/>
      <c r="V16" s="896"/>
      <c r="W16" s="888"/>
      <c r="X16" s="898" t="s">
        <v>341</v>
      </c>
      <c r="Y16" s="896"/>
      <c r="Z16" s="896"/>
      <c r="AA16" s="896"/>
      <c r="AB16" s="896"/>
      <c r="AC16" s="896"/>
      <c r="AD16" s="888"/>
      <c r="AE16" s="898" t="s">
        <v>341</v>
      </c>
      <c r="AF16" s="896"/>
      <c r="AG16" s="896"/>
      <c r="AH16" s="896"/>
      <c r="AI16" s="896"/>
      <c r="AJ16" s="896"/>
      <c r="AK16" s="888"/>
      <c r="AL16" s="898" t="s">
        <v>341</v>
      </c>
      <c r="AM16" s="896"/>
      <c r="AN16" s="896"/>
      <c r="AO16" s="896"/>
      <c r="AP16" s="896"/>
      <c r="AQ16" s="896"/>
      <c r="AR16" s="888"/>
      <c r="AS16" s="898" t="s">
        <v>341</v>
      </c>
      <c r="AT16" s="896"/>
      <c r="AU16" s="896"/>
      <c r="AV16" s="896"/>
      <c r="AW16" s="896"/>
      <c r="AX16" s="896"/>
      <c r="AY16" s="888"/>
      <c r="AZ16" s="898" t="s">
        <v>341</v>
      </c>
      <c r="BA16" s="896"/>
      <c r="BB16" s="896"/>
      <c r="BC16" s="896"/>
      <c r="BD16" s="896"/>
      <c r="BE16" s="896"/>
      <c r="BF16" s="888"/>
      <c r="BG16" s="653"/>
      <c r="BH16" s="654"/>
      <c r="BI16" s="654"/>
      <c r="BJ16" s="655"/>
      <c r="BK16" s="655"/>
      <c r="BL16" s="654"/>
      <c r="BM16" s="654"/>
      <c r="BN16" s="655"/>
      <c r="BO16" s="655"/>
      <c r="BP16" s="654"/>
      <c r="BQ16" s="655"/>
      <c r="BR16" s="656"/>
      <c r="BS16" s="656"/>
      <c r="BT16" s="656"/>
      <c r="BU16" s="656"/>
      <c r="BV16" s="656"/>
      <c r="BW16" s="656"/>
      <c r="BX16" s="656"/>
      <c r="BY16" s="656"/>
      <c r="BZ16" s="656"/>
      <c r="CA16" s="656"/>
      <c r="CB16" s="656"/>
      <c r="CC16" s="656"/>
      <c r="CD16" s="656"/>
      <c r="CE16" s="656"/>
      <c r="CF16" s="656"/>
      <c r="CG16" s="656"/>
      <c r="CH16" s="939"/>
      <c r="CI16" s="939"/>
      <c r="CJ16" s="940"/>
      <c r="CK16" s="940"/>
      <c r="CL16" s="939"/>
      <c r="CM16" s="939"/>
      <c r="CN16" s="940"/>
      <c r="CO16" s="940"/>
      <c r="CP16" s="949"/>
      <c r="CQ16" s="940"/>
      <c r="CR16" s="654"/>
      <c r="CS16" s="654"/>
      <c r="CT16" s="655"/>
      <c r="CU16" s="655"/>
      <c r="CV16" s="936"/>
      <c r="CW16" s="936"/>
      <c r="CX16" s="937"/>
      <c r="CY16" s="937"/>
      <c r="CZ16" s="936"/>
      <c r="DA16" s="937"/>
      <c r="DB16" s="938"/>
      <c r="DC16" s="938"/>
      <c r="DD16" s="938"/>
      <c r="DE16" s="938"/>
      <c r="DF16" s="938"/>
      <c r="DG16" s="938"/>
      <c r="DH16" s="938"/>
      <c r="DI16" s="938"/>
      <c r="DJ16" s="938"/>
      <c r="DK16" s="938"/>
      <c r="DL16" s="938"/>
      <c r="DM16" s="938"/>
      <c r="DN16" s="938"/>
      <c r="DO16" s="938"/>
      <c r="DP16" s="938"/>
      <c r="DQ16" s="938"/>
    </row>
    <row r="17" spans="1:121" ht="13.75" customHeight="1">
      <c r="A17" s="941" t="str">
        <f>IF(ISBLANK(画面項目!A18),"",画面項目!A18)</f>
        <v>2.11</v>
      </c>
      <c r="B17" s="942"/>
      <c r="C17" s="963"/>
      <c r="D17" s="964"/>
      <c r="E17" s="964"/>
      <c r="F17" s="964"/>
      <c r="G17" s="964"/>
      <c r="H17" s="964"/>
      <c r="I17" s="965"/>
      <c r="J17" s="953" t="str">
        <f>IF(ISBLANK(画面項目!J18),"",画面項目!J18)</f>
        <v>PCN番号</v>
      </c>
      <c r="K17" s="954"/>
      <c r="L17" s="954"/>
      <c r="M17" s="954"/>
      <c r="N17" s="954"/>
      <c r="O17" s="954"/>
      <c r="P17" s="955"/>
      <c r="Q17" s="898" t="s">
        <v>341</v>
      </c>
      <c r="R17" s="896"/>
      <c r="S17" s="896"/>
      <c r="T17" s="896"/>
      <c r="U17" s="896"/>
      <c r="V17" s="896"/>
      <c r="W17" s="888"/>
      <c r="X17" s="898" t="s">
        <v>341</v>
      </c>
      <c r="Y17" s="896"/>
      <c r="Z17" s="896"/>
      <c r="AA17" s="896"/>
      <c r="AB17" s="896"/>
      <c r="AC17" s="896"/>
      <c r="AD17" s="888"/>
      <c r="AE17" s="898" t="s">
        <v>341</v>
      </c>
      <c r="AF17" s="896"/>
      <c r="AG17" s="896"/>
      <c r="AH17" s="896"/>
      <c r="AI17" s="896"/>
      <c r="AJ17" s="896"/>
      <c r="AK17" s="888"/>
      <c r="AL17" s="898" t="s">
        <v>341</v>
      </c>
      <c r="AM17" s="896"/>
      <c r="AN17" s="896"/>
      <c r="AO17" s="896"/>
      <c r="AP17" s="896"/>
      <c r="AQ17" s="896"/>
      <c r="AR17" s="888"/>
      <c r="AS17" s="898" t="s">
        <v>341</v>
      </c>
      <c r="AT17" s="896"/>
      <c r="AU17" s="896"/>
      <c r="AV17" s="896"/>
      <c r="AW17" s="896"/>
      <c r="AX17" s="896"/>
      <c r="AY17" s="888"/>
      <c r="AZ17" s="898" t="s">
        <v>341</v>
      </c>
      <c r="BA17" s="896"/>
      <c r="BB17" s="896"/>
      <c r="BC17" s="896"/>
      <c r="BD17" s="896"/>
      <c r="BE17" s="896"/>
      <c r="BF17" s="888"/>
      <c r="BG17" s="653"/>
      <c r="BH17" s="654"/>
      <c r="BI17" s="654"/>
      <c r="BJ17" s="655"/>
      <c r="BK17" s="655"/>
      <c r="BL17" s="654"/>
      <c r="BM17" s="654"/>
      <c r="BN17" s="655"/>
      <c r="BO17" s="655"/>
      <c r="BP17" s="654"/>
      <c r="BQ17" s="655"/>
      <c r="BR17" s="656"/>
      <c r="BS17" s="656"/>
      <c r="BT17" s="656"/>
      <c r="BU17" s="656"/>
      <c r="BV17" s="656"/>
      <c r="BW17" s="656"/>
      <c r="BX17" s="656"/>
      <c r="BY17" s="656"/>
      <c r="BZ17" s="656"/>
      <c r="CA17" s="656"/>
      <c r="CB17" s="656"/>
      <c r="CC17" s="656"/>
      <c r="CD17" s="656"/>
      <c r="CE17" s="656"/>
      <c r="CF17" s="656"/>
      <c r="CG17" s="656"/>
      <c r="CH17" s="939"/>
      <c r="CI17" s="939"/>
      <c r="CJ17" s="940"/>
      <c r="CK17" s="940"/>
      <c r="CL17" s="939"/>
      <c r="CM17" s="939"/>
      <c r="CN17" s="940"/>
      <c r="CO17" s="940"/>
      <c r="CP17" s="949"/>
      <c r="CQ17" s="940"/>
      <c r="CR17" s="654"/>
      <c r="CS17" s="654"/>
      <c r="CT17" s="655"/>
      <c r="CU17" s="655"/>
      <c r="CV17" s="936"/>
      <c r="CW17" s="936"/>
      <c r="CX17" s="937"/>
      <c r="CY17" s="937"/>
      <c r="CZ17" s="936"/>
      <c r="DA17" s="937"/>
      <c r="DB17" s="938"/>
      <c r="DC17" s="938"/>
      <c r="DD17" s="938"/>
      <c r="DE17" s="938"/>
      <c r="DF17" s="938"/>
      <c r="DG17" s="938"/>
      <c r="DH17" s="938"/>
      <c r="DI17" s="938"/>
      <c r="DJ17" s="938"/>
      <c r="DK17" s="938"/>
      <c r="DL17" s="938"/>
      <c r="DM17" s="938"/>
      <c r="DN17" s="938"/>
      <c r="DO17" s="938"/>
      <c r="DP17" s="938"/>
      <c r="DQ17" s="938"/>
    </row>
    <row r="18" spans="1:121">
      <c r="A18" s="941" t="str">
        <f>IF(ISBLANK(画面項目!A19),"",画面項目!A19)</f>
        <v>2.12</v>
      </c>
      <c r="B18" s="942"/>
      <c r="C18" s="950"/>
      <c r="D18" s="951"/>
      <c r="E18" s="951"/>
      <c r="F18" s="951"/>
      <c r="G18" s="951"/>
      <c r="H18" s="951"/>
      <c r="I18" s="952"/>
      <c r="J18" s="953" t="str">
        <f>IF(ISBLANK(画面項目!J19),"",画面項目!J19)</f>
        <v>申請された証明書種類</v>
      </c>
      <c r="K18" s="954"/>
      <c r="L18" s="954"/>
      <c r="M18" s="954"/>
      <c r="N18" s="954"/>
      <c r="O18" s="954"/>
      <c r="P18" s="955"/>
      <c r="Q18" s="898" t="s">
        <v>341</v>
      </c>
      <c r="R18" s="896"/>
      <c r="S18" s="896"/>
      <c r="T18" s="896"/>
      <c r="U18" s="896"/>
      <c r="V18" s="896"/>
      <c r="W18" s="888"/>
      <c r="X18" s="898" t="s">
        <v>341</v>
      </c>
      <c r="Y18" s="896"/>
      <c r="Z18" s="896"/>
      <c r="AA18" s="896"/>
      <c r="AB18" s="896"/>
      <c r="AC18" s="896"/>
      <c r="AD18" s="888"/>
      <c r="AE18" s="898" t="s">
        <v>341</v>
      </c>
      <c r="AF18" s="896"/>
      <c r="AG18" s="896"/>
      <c r="AH18" s="896"/>
      <c r="AI18" s="896"/>
      <c r="AJ18" s="896"/>
      <c r="AK18" s="888"/>
      <c r="AL18" s="898" t="s">
        <v>341</v>
      </c>
      <c r="AM18" s="896"/>
      <c r="AN18" s="896"/>
      <c r="AO18" s="896"/>
      <c r="AP18" s="896"/>
      <c r="AQ18" s="896"/>
      <c r="AR18" s="888"/>
      <c r="AS18" s="898" t="s">
        <v>341</v>
      </c>
      <c r="AT18" s="896"/>
      <c r="AU18" s="896"/>
      <c r="AV18" s="896"/>
      <c r="AW18" s="896"/>
      <c r="AX18" s="896"/>
      <c r="AY18" s="888"/>
      <c r="AZ18" s="898" t="s">
        <v>341</v>
      </c>
      <c r="BA18" s="896"/>
      <c r="BB18" s="896"/>
      <c r="BC18" s="896"/>
      <c r="BD18" s="896"/>
      <c r="BE18" s="896"/>
      <c r="BF18" s="888"/>
      <c r="BG18" s="653"/>
      <c r="BH18" s="654"/>
      <c r="BI18" s="654"/>
      <c r="BJ18" s="655"/>
      <c r="BK18" s="655"/>
      <c r="BL18" s="654"/>
      <c r="BM18" s="654"/>
      <c r="BN18" s="655"/>
      <c r="BO18" s="655"/>
      <c r="BP18" s="654"/>
      <c r="BQ18" s="655"/>
      <c r="BR18" s="656"/>
      <c r="BS18" s="656"/>
      <c r="BT18" s="656"/>
      <c r="BU18" s="656"/>
      <c r="BV18" s="656"/>
      <c r="BW18" s="656"/>
      <c r="BX18" s="656"/>
      <c r="BY18" s="656"/>
      <c r="BZ18" s="656"/>
      <c r="CA18" s="656"/>
      <c r="CB18" s="656"/>
      <c r="CC18" s="656"/>
      <c r="CD18" s="656"/>
      <c r="CE18" s="656"/>
      <c r="CF18" s="656"/>
      <c r="CG18" s="656"/>
      <c r="CH18" s="939"/>
      <c r="CI18" s="939"/>
      <c r="CJ18" s="940"/>
      <c r="CK18" s="940"/>
      <c r="CL18" s="939"/>
      <c r="CM18" s="939"/>
      <c r="CN18" s="940"/>
      <c r="CO18" s="940"/>
      <c r="CP18" s="949"/>
      <c r="CQ18" s="940"/>
      <c r="CR18" s="654"/>
      <c r="CS18" s="654"/>
      <c r="CT18" s="655"/>
      <c r="CU18" s="655"/>
      <c r="CV18" s="936"/>
      <c r="CW18" s="936"/>
      <c r="CX18" s="937"/>
      <c r="CY18" s="937"/>
      <c r="CZ18" s="936"/>
      <c r="DA18" s="937"/>
      <c r="DB18" s="938"/>
      <c r="DC18" s="938"/>
      <c r="DD18" s="938"/>
      <c r="DE18" s="938"/>
      <c r="DF18" s="938"/>
      <c r="DG18" s="938"/>
      <c r="DH18" s="938"/>
      <c r="DI18" s="938"/>
      <c r="DJ18" s="938"/>
      <c r="DK18" s="938"/>
      <c r="DL18" s="938"/>
      <c r="DM18" s="938"/>
      <c r="DN18" s="938"/>
      <c r="DO18" s="938"/>
      <c r="DP18" s="938"/>
      <c r="DQ18" s="938"/>
    </row>
    <row r="19" spans="1:121">
      <c r="A19" s="941" t="str">
        <f>IF(ISBLANK(画面項目!A20),"",画面項目!A20)</f>
        <v>2.13</v>
      </c>
      <c r="B19" s="942"/>
      <c r="C19" s="851" t="s">
        <v>30</v>
      </c>
      <c r="D19" s="852"/>
      <c r="E19" s="852"/>
      <c r="F19" s="852"/>
      <c r="G19" s="852"/>
      <c r="H19" s="852"/>
      <c r="I19" s="853"/>
      <c r="J19" s="953" t="str">
        <f>IF(ISBLANK(画面項目!J20),"",画面項目!J20)</f>
        <v>製品毎の申請可否チェック結果</v>
      </c>
      <c r="K19" s="954"/>
      <c r="L19" s="954"/>
      <c r="M19" s="954"/>
      <c r="N19" s="954"/>
      <c r="O19" s="954"/>
      <c r="P19" s="955"/>
      <c r="Q19" s="898" t="s">
        <v>341</v>
      </c>
      <c r="R19" s="896"/>
      <c r="S19" s="896"/>
      <c r="T19" s="896"/>
      <c r="U19" s="896"/>
      <c r="V19" s="896"/>
      <c r="W19" s="888"/>
      <c r="X19" s="898" t="s">
        <v>341</v>
      </c>
      <c r="Y19" s="896"/>
      <c r="Z19" s="896"/>
      <c r="AA19" s="896"/>
      <c r="AB19" s="896"/>
      <c r="AC19" s="896"/>
      <c r="AD19" s="888"/>
      <c r="AE19" s="898" t="s">
        <v>341</v>
      </c>
      <c r="AF19" s="896"/>
      <c r="AG19" s="896"/>
      <c r="AH19" s="896"/>
      <c r="AI19" s="896"/>
      <c r="AJ19" s="896"/>
      <c r="AK19" s="888"/>
      <c r="AL19" s="898" t="s">
        <v>341</v>
      </c>
      <c r="AM19" s="896"/>
      <c r="AN19" s="896"/>
      <c r="AO19" s="896"/>
      <c r="AP19" s="896"/>
      <c r="AQ19" s="896"/>
      <c r="AR19" s="888"/>
      <c r="AS19" s="898" t="s">
        <v>341</v>
      </c>
      <c r="AT19" s="896"/>
      <c r="AU19" s="896"/>
      <c r="AV19" s="896"/>
      <c r="AW19" s="896"/>
      <c r="AX19" s="896"/>
      <c r="AY19" s="888"/>
      <c r="AZ19" s="898" t="s">
        <v>341</v>
      </c>
      <c r="BA19" s="896"/>
      <c r="BB19" s="896"/>
      <c r="BC19" s="896"/>
      <c r="BD19" s="896"/>
      <c r="BE19" s="896"/>
      <c r="BF19" s="888"/>
      <c r="BG19" s="653"/>
      <c r="BH19" s="654"/>
      <c r="BI19" s="654"/>
      <c r="BJ19" s="655"/>
      <c r="BK19" s="655"/>
      <c r="BL19" s="654"/>
      <c r="BM19" s="654"/>
      <c r="BN19" s="655"/>
      <c r="BO19" s="655"/>
      <c r="BP19" s="654"/>
      <c r="BQ19" s="655"/>
      <c r="BR19" s="656"/>
      <c r="BS19" s="656"/>
      <c r="BT19" s="656"/>
      <c r="BU19" s="656"/>
      <c r="BV19" s="656"/>
      <c r="BW19" s="656"/>
      <c r="BX19" s="656"/>
      <c r="BY19" s="656"/>
      <c r="BZ19" s="656"/>
      <c r="CA19" s="656"/>
      <c r="CB19" s="656"/>
      <c r="CC19" s="656"/>
      <c r="CD19" s="656"/>
      <c r="CE19" s="656"/>
      <c r="CF19" s="656"/>
      <c r="CG19" s="656"/>
      <c r="CH19" s="939"/>
      <c r="CI19" s="939"/>
      <c r="CJ19" s="940"/>
      <c r="CK19" s="940"/>
      <c r="CL19" s="939"/>
      <c r="CM19" s="939"/>
      <c r="CN19" s="940"/>
      <c r="CO19" s="940"/>
      <c r="CP19" s="949"/>
      <c r="CQ19" s="940"/>
      <c r="CR19" s="654"/>
      <c r="CS19" s="654"/>
      <c r="CT19" s="655"/>
      <c r="CU19" s="655"/>
      <c r="CV19" s="936"/>
      <c r="CW19" s="936"/>
      <c r="CX19" s="937"/>
      <c r="CY19" s="937"/>
      <c r="CZ19" s="936"/>
      <c r="DA19" s="937"/>
      <c r="DB19" s="938"/>
      <c r="DC19" s="938"/>
      <c r="DD19" s="938"/>
      <c r="DE19" s="938"/>
      <c r="DF19" s="938"/>
      <c r="DG19" s="938"/>
      <c r="DH19" s="938"/>
      <c r="DI19" s="938"/>
      <c r="DJ19" s="938"/>
      <c r="DK19" s="938"/>
      <c r="DL19" s="938"/>
      <c r="DM19" s="938"/>
      <c r="DN19" s="938"/>
      <c r="DO19" s="938"/>
      <c r="DP19" s="938"/>
      <c r="DQ19" s="938"/>
    </row>
    <row r="20" spans="1:121" ht="13.75" customHeight="1">
      <c r="A20" s="941" t="str">
        <f>IF(ISBLANK(画面項目!A21),"",画面項目!A21)</f>
        <v>2.14</v>
      </c>
      <c r="B20" s="942"/>
      <c r="C20" s="851" t="s">
        <v>30</v>
      </c>
      <c r="D20" s="852"/>
      <c r="E20" s="852"/>
      <c r="F20" s="852"/>
      <c r="G20" s="852"/>
      <c r="H20" s="852"/>
      <c r="I20" s="853"/>
      <c r="J20" s="953" t="str">
        <f>IF(ISBLANK(画面項目!J21),"",画面項目!J21)</f>
        <v>戻る</v>
      </c>
      <c r="K20" s="954"/>
      <c r="L20" s="954"/>
      <c r="M20" s="954"/>
      <c r="N20" s="954"/>
      <c r="O20" s="954"/>
      <c r="P20" s="955"/>
      <c r="Q20" s="898" t="s">
        <v>341</v>
      </c>
      <c r="R20" s="896"/>
      <c r="S20" s="896"/>
      <c r="T20" s="896"/>
      <c r="U20" s="896"/>
      <c r="V20" s="896"/>
      <c r="W20" s="888"/>
      <c r="X20" s="898" t="s">
        <v>341</v>
      </c>
      <c r="Y20" s="896"/>
      <c r="Z20" s="896"/>
      <c r="AA20" s="896"/>
      <c r="AB20" s="896"/>
      <c r="AC20" s="896"/>
      <c r="AD20" s="888"/>
      <c r="AE20" s="898" t="s">
        <v>341</v>
      </c>
      <c r="AF20" s="896"/>
      <c r="AG20" s="896"/>
      <c r="AH20" s="896"/>
      <c r="AI20" s="896"/>
      <c r="AJ20" s="896"/>
      <c r="AK20" s="888"/>
      <c r="AL20" s="898" t="s">
        <v>341</v>
      </c>
      <c r="AM20" s="896"/>
      <c r="AN20" s="896"/>
      <c r="AO20" s="896"/>
      <c r="AP20" s="896"/>
      <c r="AQ20" s="896"/>
      <c r="AR20" s="888"/>
      <c r="AS20" s="898" t="s">
        <v>341</v>
      </c>
      <c r="AT20" s="896"/>
      <c r="AU20" s="896"/>
      <c r="AV20" s="896"/>
      <c r="AW20" s="896"/>
      <c r="AX20" s="896"/>
      <c r="AY20" s="888"/>
      <c r="AZ20" s="898" t="s">
        <v>341</v>
      </c>
      <c r="BA20" s="896"/>
      <c r="BB20" s="896"/>
      <c r="BC20" s="896"/>
      <c r="BD20" s="896"/>
      <c r="BE20" s="896"/>
      <c r="BF20" s="888"/>
      <c r="BG20" s="653"/>
      <c r="BH20" s="654"/>
      <c r="BI20" s="654"/>
      <c r="BJ20" s="655"/>
      <c r="BK20" s="655"/>
      <c r="BL20" s="654"/>
      <c r="BM20" s="654"/>
      <c r="BN20" s="655"/>
      <c r="BO20" s="655"/>
      <c r="BP20" s="654"/>
      <c r="BQ20" s="655"/>
      <c r="BR20" s="656"/>
      <c r="BS20" s="656"/>
      <c r="BT20" s="656"/>
      <c r="BU20" s="656"/>
      <c r="BV20" s="656"/>
      <c r="BW20" s="656"/>
      <c r="BX20" s="656"/>
      <c r="BY20" s="656"/>
      <c r="BZ20" s="656"/>
      <c r="CA20" s="656"/>
      <c r="CB20" s="656"/>
      <c r="CC20" s="656"/>
      <c r="CD20" s="656"/>
      <c r="CE20" s="656"/>
      <c r="CF20" s="656"/>
      <c r="CG20" s="656"/>
      <c r="CH20" s="939"/>
      <c r="CI20" s="939"/>
      <c r="CJ20" s="940"/>
      <c r="CK20" s="940"/>
      <c r="CL20" s="939"/>
      <c r="CM20" s="939"/>
      <c r="CN20" s="940"/>
      <c r="CO20" s="940"/>
      <c r="CP20" s="949"/>
      <c r="CQ20" s="940"/>
      <c r="CR20" s="654"/>
      <c r="CS20" s="654"/>
      <c r="CT20" s="655"/>
      <c r="CU20" s="655"/>
      <c r="CV20" s="936"/>
      <c r="CW20" s="936"/>
      <c r="CX20" s="937"/>
      <c r="CY20" s="937"/>
      <c r="CZ20" s="936"/>
      <c r="DA20" s="937"/>
      <c r="DB20" s="938"/>
      <c r="DC20" s="938"/>
      <c r="DD20" s="938"/>
      <c r="DE20" s="938"/>
      <c r="DF20" s="938"/>
      <c r="DG20" s="938"/>
      <c r="DH20" s="938"/>
      <c r="DI20" s="938"/>
      <c r="DJ20" s="938"/>
      <c r="DK20" s="938"/>
      <c r="DL20" s="938"/>
      <c r="DM20" s="938"/>
      <c r="DN20" s="938"/>
      <c r="DO20" s="938"/>
      <c r="DP20" s="938"/>
      <c r="DQ20" s="938"/>
    </row>
    <row r="21" spans="1:121" ht="13.75" customHeight="1">
      <c r="A21" s="941">
        <f>IF(ISBLANK(画面項目!A22),"",画面項目!A22)</f>
        <v>2.15</v>
      </c>
      <c r="B21" s="942"/>
      <c r="C21" s="953" t="str">
        <f>IF(ISBLANK(画面項目!C22),"",画面項目!C22)</f>
        <v/>
      </c>
      <c r="D21" s="954"/>
      <c r="E21" s="954"/>
      <c r="F21" s="954"/>
      <c r="G21" s="954"/>
      <c r="H21" s="954"/>
      <c r="I21" s="955"/>
      <c r="J21" s="953" t="str">
        <f>IF(ISBLANK(画面項目!J22),"",画面項目!J22)</f>
        <v>申請</v>
      </c>
      <c r="K21" s="954"/>
      <c r="L21" s="954"/>
      <c r="M21" s="954"/>
      <c r="N21" s="954"/>
      <c r="O21" s="954"/>
      <c r="P21" s="955"/>
      <c r="Q21" s="898" t="s">
        <v>341</v>
      </c>
      <c r="R21" s="896"/>
      <c r="S21" s="896"/>
      <c r="T21" s="896"/>
      <c r="U21" s="896"/>
      <c r="V21" s="896"/>
      <c r="W21" s="888"/>
      <c r="X21" s="898" t="s">
        <v>473</v>
      </c>
      <c r="Y21" s="896"/>
      <c r="Z21" s="896"/>
      <c r="AA21" s="896"/>
      <c r="AB21" s="896"/>
      <c r="AC21" s="896"/>
      <c r="AD21" s="888"/>
      <c r="AE21" s="898" t="s">
        <v>473</v>
      </c>
      <c r="AF21" s="896"/>
      <c r="AG21" s="896"/>
      <c r="AH21" s="896"/>
      <c r="AI21" s="896"/>
      <c r="AJ21" s="896"/>
      <c r="AK21" s="888"/>
      <c r="AL21" s="898" t="s">
        <v>341</v>
      </c>
      <c r="AM21" s="896"/>
      <c r="AN21" s="896"/>
      <c r="AO21" s="896"/>
      <c r="AP21" s="896"/>
      <c r="AQ21" s="896"/>
      <c r="AR21" s="888"/>
      <c r="AS21" s="898" t="s">
        <v>341</v>
      </c>
      <c r="AT21" s="896"/>
      <c r="AU21" s="896"/>
      <c r="AV21" s="896"/>
      <c r="AW21" s="896"/>
      <c r="AX21" s="896"/>
      <c r="AY21" s="888"/>
      <c r="AZ21" s="898" t="s">
        <v>341</v>
      </c>
      <c r="BA21" s="896"/>
      <c r="BB21" s="896"/>
      <c r="BC21" s="896"/>
      <c r="BD21" s="896"/>
      <c r="BE21" s="896"/>
      <c r="BF21" s="888"/>
      <c r="BG21" s="653"/>
      <c r="BH21" s="654"/>
      <c r="BI21" s="654"/>
      <c r="BJ21" s="655"/>
      <c r="BK21" s="655"/>
      <c r="BL21" s="654"/>
      <c r="BM21" s="654"/>
      <c r="BN21" s="655"/>
      <c r="BO21" s="655"/>
      <c r="BP21" s="654"/>
      <c r="BQ21" s="655"/>
      <c r="BR21" s="656"/>
      <c r="BS21" s="656"/>
      <c r="BT21" s="656"/>
      <c r="BU21" s="656"/>
      <c r="BV21" s="656"/>
      <c r="BW21" s="656"/>
      <c r="BX21" s="656"/>
      <c r="BY21" s="656"/>
      <c r="BZ21" s="656"/>
      <c r="CA21" s="656"/>
      <c r="CB21" s="656"/>
      <c r="CC21" s="656"/>
      <c r="CD21" s="656"/>
      <c r="CE21" s="656"/>
      <c r="CF21" s="656"/>
      <c r="CG21" s="656"/>
      <c r="CH21" s="939"/>
      <c r="CI21" s="939"/>
      <c r="CJ21" s="940"/>
      <c r="CK21" s="940"/>
      <c r="CL21" s="939"/>
      <c r="CM21" s="939"/>
      <c r="CN21" s="940"/>
      <c r="CO21" s="940"/>
      <c r="CP21" s="949"/>
      <c r="CQ21" s="940"/>
      <c r="CR21" s="654"/>
      <c r="CS21" s="654"/>
      <c r="CT21" s="655"/>
      <c r="CU21" s="655"/>
      <c r="CV21" s="936"/>
      <c r="CW21" s="936"/>
      <c r="CX21" s="937"/>
      <c r="CY21" s="937"/>
      <c r="CZ21" s="936"/>
      <c r="DA21" s="937"/>
      <c r="DB21" s="938"/>
      <c r="DC21" s="938"/>
      <c r="DD21" s="938"/>
      <c r="DE21" s="938"/>
      <c r="DF21" s="938"/>
      <c r="DG21" s="938"/>
      <c r="DH21" s="938"/>
      <c r="DI21" s="938"/>
      <c r="DJ21" s="938"/>
      <c r="DK21" s="938"/>
      <c r="DL21" s="938"/>
      <c r="DM21" s="938"/>
      <c r="DN21" s="938"/>
      <c r="DO21" s="938"/>
      <c r="DP21" s="938"/>
      <c r="DQ21" s="938"/>
    </row>
    <row r="22" spans="1:121" ht="13.75" customHeight="1">
      <c r="A22" s="941">
        <f>IF(ISBLANK(画面項目!A23),"",画面項目!A23)</f>
        <v>2.16</v>
      </c>
      <c r="B22" s="942"/>
      <c r="C22" s="851" t="s">
        <v>30</v>
      </c>
      <c r="D22" s="852"/>
      <c r="E22" s="852"/>
      <c r="F22" s="852"/>
      <c r="G22" s="852"/>
      <c r="H22" s="852"/>
      <c r="I22" s="853"/>
      <c r="J22" s="953" t="str">
        <f>IF(ISBLANK(画面項目!J23),"",画面項目!J23)</f>
        <v>いいえボタン</v>
      </c>
      <c r="K22" s="954"/>
      <c r="L22" s="954"/>
      <c r="M22" s="954"/>
      <c r="N22" s="954"/>
      <c r="O22" s="954"/>
      <c r="P22" s="955"/>
      <c r="Q22" s="898" t="s">
        <v>344</v>
      </c>
      <c r="R22" s="896"/>
      <c r="S22" s="896"/>
      <c r="T22" s="896"/>
      <c r="U22" s="896"/>
      <c r="V22" s="896"/>
      <c r="W22" s="888"/>
      <c r="X22" s="898" t="s">
        <v>344</v>
      </c>
      <c r="Y22" s="896"/>
      <c r="Z22" s="896"/>
      <c r="AA22" s="896"/>
      <c r="AB22" s="896"/>
      <c r="AC22" s="896"/>
      <c r="AD22" s="888"/>
      <c r="AE22" s="898" t="s">
        <v>344</v>
      </c>
      <c r="AF22" s="896"/>
      <c r="AG22" s="896"/>
      <c r="AH22" s="896"/>
      <c r="AI22" s="896"/>
      <c r="AJ22" s="896"/>
      <c r="AK22" s="888"/>
      <c r="AL22" s="898" t="s">
        <v>344</v>
      </c>
      <c r="AM22" s="896"/>
      <c r="AN22" s="896"/>
      <c r="AO22" s="896"/>
      <c r="AP22" s="896"/>
      <c r="AQ22" s="896"/>
      <c r="AR22" s="888"/>
      <c r="AS22" s="898" t="s">
        <v>341</v>
      </c>
      <c r="AT22" s="896"/>
      <c r="AU22" s="896"/>
      <c r="AV22" s="896"/>
      <c r="AW22" s="896"/>
      <c r="AX22" s="896"/>
      <c r="AY22" s="888"/>
      <c r="AZ22" s="887" t="s">
        <v>344</v>
      </c>
      <c r="BA22" s="896"/>
      <c r="BB22" s="896"/>
      <c r="BC22" s="896"/>
      <c r="BD22" s="896"/>
      <c r="BE22" s="896"/>
      <c r="BF22" s="888"/>
      <c r="BG22" s="653"/>
      <c r="BH22" s="654"/>
      <c r="BI22" s="654"/>
      <c r="BJ22" s="655"/>
      <c r="BK22" s="655"/>
      <c r="BL22" s="654"/>
      <c r="BM22" s="654"/>
      <c r="BN22" s="655"/>
      <c r="BO22" s="655"/>
      <c r="BP22" s="654"/>
      <c r="BQ22" s="655"/>
      <c r="BR22" s="656"/>
      <c r="BS22" s="656"/>
      <c r="BT22" s="656"/>
      <c r="BU22" s="656"/>
      <c r="BV22" s="656"/>
      <c r="BW22" s="656"/>
      <c r="BX22" s="656"/>
      <c r="BY22" s="656"/>
      <c r="BZ22" s="656"/>
      <c r="CA22" s="656"/>
      <c r="CB22" s="656"/>
      <c r="CC22" s="656"/>
      <c r="CD22" s="656"/>
      <c r="CE22" s="656"/>
      <c r="CF22" s="656"/>
      <c r="CG22" s="656"/>
      <c r="CH22" s="939"/>
      <c r="CI22" s="939"/>
      <c r="CJ22" s="940"/>
      <c r="CK22" s="940"/>
      <c r="CL22" s="939"/>
      <c r="CM22" s="939"/>
      <c r="CN22" s="940"/>
      <c r="CO22" s="940"/>
      <c r="CP22" s="949"/>
      <c r="CQ22" s="940"/>
      <c r="CR22" s="654"/>
      <c r="CS22" s="654"/>
      <c r="CT22" s="655"/>
      <c r="CU22" s="655"/>
      <c r="CV22" s="936"/>
      <c r="CW22" s="936"/>
      <c r="CX22" s="937"/>
      <c r="CY22" s="937"/>
      <c r="CZ22" s="936"/>
      <c r="DA22" s="937"/>
      <c r="DB22" s="938"/>
      <c r="DC22" s="938"/>
      <c r="DD22" s="938"/>
      <c r="DE22" s="938"/>
      <c r="DF22" s="938"/>
      <c r="DG22" s="938"/>
      <c r="DH22" s="938"/>
      <c r="DI22" s="938"/>
      <c r="DJ22" s="938"/>
      <c r="DK22" s="938"/>
      <c r="DL22" s="938"/>
      <c r="DM22" s="938"/>
      <c r="DN22" s="938"/>
      <c r="DO22" s="938"/>
      <c r="DP22" s="938"/>
      <c r="DQ22" s="938"/>
    </row>
    <row r="23" spans="1:121" ht="13.75" customHeight="1">
      <c r="A23" s="941" t="str">
        <f>IF(ISBLANK(画面項目!A24),"",画面項目!A24)</f>
        <v>2.17</v>
      </c>
      <c r="B23" s="942"/>
      <c r="C23" s="851"/>
      <c r="D23" s="852"/>
      <c r="E23" s="852"/>
      <c r="F23" s="852"/>
      <c r="G23" s="852"/>
      <c r="H23" s="852"/>
      <c r="I23" s="853"/>
      <c r="J23" s="953" t="str">
        <f>IF(ISBLANK(画面項目!J24),"",画面項目!J24)</f>
        <v>はいボタン</v>
      </c>
      <c r="K23" s="954"/>
      <c r="L23" s="954"/>
      <c r="M23" s="954"/>
      <c r="N23" s="954"/>
      <c r="O23" s="954"/>
      <c r="P23" s="955"/>
      <c r="Q23" s="898" t="s">
        <v>344</v>
      </c>
      <c r="R23" s="896"/>
      <c r="S23" s="896"/>
      <c r="T23" s="896"/>
      <c r="U23" s="896"/>
      <c r="V23" s="896"/>
      <c r="W23" s="888"/>
      <c r="X23" s="898" t="s">
        <v>344</v>
      </c>
      <c r="Y23" s="896"/>
      <c r="Z23" s="896"/>
      <c r="AA23" s="896"/>
      <c r="AB23" s="896"/>
      <c r="AC23" s="896"/>
      <c r="AD23" s="888"/>
      <c r="AE23" s="898" t="s">
        <v>344</v>
      </c>
      <c r="AF23" s="896"/>
      <c r="AG23" s="896"/>
      <c r="AH23" s="896"/>
      <c r="AI23" s="896"/>
      <c r="AJ23" s="896"/>
      <c r="AK23" s="888"/>
      <c r="AL23" s="898" t="s">
        <v>344</v>
      </c>
      <c r="AM23" s="896"/>
      <c r="AN23" s="896"/>
      <c r="AO23" s="896"/>
      <c r="AP23" s="896"/>
      <c r="AQ23" s="896"/>
      <c r="AR23" s="888"/>
      <c r="AS23" s="898" t="s">
        <v>341</v>
      </c>
      <c r="AT23" s="896"/>
      <c r="AU23" s="896"/>
      <c r="AV23" s="896"/>
      <c r="AW23" s="896"/>
      <c r="AX23" s="896"/>
      <c r="AY23" s="888"/>
      <c r="AZ23" s="887" t="s">
        <v>344</v>
      </c>
      <c r="BA23" s="896"/>
      <c r="BB23" s="896"/>
      <c r="BC23" s="896"/>
      <c r="BD23" s="896"/>
      <c r="BE23" s="896"/>
      <c r="BF23" s="888"/>
      <c r="BG23" s="653"/>
      <c r="BH23" s="654"/>
      <c r="BI23" s="654"/>
      <c r="BJ23" s="655"/>
      <c r="BK23" s="655"/>
      <c r="BL23" s="654"/>
      <c r="BM23" s="654"/>
      <c r="BN23" s="655"/>
      <c r="BO23" s="655"/>
      <c r="BP23" s="654"/>
      <c r="BQ23" s="655"/>
      <c r="BR23" s="656"/>
      <c r="BS23" s="656"/>
      <c r="BT23" s="656"/>
      <c r="BU23" s="656"/>
      <c r="BV23" s="656"/>
      <c r="BW23" s="656"/>
      <c r="BX23" s="656"/>
      <c r="BY23" s="656"/>
      <c r="BZ23" s="656"/>
      <c r="CA23" s="656"/>
      <c r="CB23" s="656"/>
      <c r="CC23" s="656"/>
      <c r="CD23" s="656"/>
      <c r="CE23" s="656"/>
      <c r="CF23" s="656"/>
      <c r="CG23" s="656"/>
      <c r="CH23" s="939"/>
      <c r="CI23" s="939"/>
      <c r="CJ23" s="940"/>
      <c r="CK23" s="940"/>
      <c r="CL23" s="939"/>
      <c r="CM23" s="939"/>
      <c r="CN23" s="940"/>
      <c r="CO23" s="940"/>
      <c r="CP23" s="949"/>
      <c r="CQ23" s="940"/>
      <c r="CR23" s="654"/>
      <c r="CS23" s="654"/>
      <c r="CT23" s="655"/>
      <c r="CU23" s="655"/>
      <c r="CV23" s="936"/>
      <c r="CW23" s="936"/>
      <c r="CX23" s="937"/>
      <c r="CY23" s="937"/>
      <c r="CZ23" s="936"/>
      <c r="DA23" s="937"/>
      <c r="DB23" s="938"/>
      <c r="DC23" s="938"/>
      <c r="DD23" s="938"/>
      <c r="DE23" s="938"/>
      <c r="DF23" s="938"/>
      <c r="DG23" s="938"/>
      <c r="DH23" s="938"/>
      <c r="DI23" s="938"/>
      <c r="DJ23" s="938"/>
      <c r="DK23" s="938"/>
      <c r="DL23" s="938"/>
      <c r="DM23" s="938"/>
      <c r="DN23" s="938"/>
      <c r="DO23" s="938"/>
      <c r="DP23" s="938"/>
      <c r="DQ23" s="938"/>
    </row>
    <row r="24" spans="1:121" ht="13.75" customHeight="1">
      <c r="A24" s="941" t="str">
        <f>IF(ISBLANK(画面項目!A25),"",画面項目!A25)</f>
        <v>2.18</v>
      </c>
      <c r="B24" s="942"/>
      <c r="C24" s="851"/>
      <c r="D24" s="852"/>
      <c r="E24" s="852"/>
      <c r="F24" s="852"/>
      <c r="G24" s="852"/>
      <c r="H24" s="852"/>
      <c r="I24" s="853"/>
      <c r="J24" s="953" t="str">
        <f>IF(ISBLANK(画面項目!J25),"",画面項目!J25)</f>
        <v>申請製品数</v>
      </c>
      <c r="K24" s="954"/>
      <c r="L24" s="954"/>
      <c r="M24" s="954"/>
      <c r="N24" s="954"/>
      <c r="O24" s="954"/>
      <c r="P24" s="955"/>
      <c r="Q24" s="887" t="s">
        <v>341</v>
      </c>
      <c r="R24" s="896"/>
      <c r="S24" s="896"/>
      <c r="T24" s="896"/>
      <c r="U24" s="896"/>
      <c r="V24" s="896"/>
      <c r="W24" s="897"/>
      <c r="X24" s="898" t="s">
        <v>344</v>
      </c>
      <c r="Y24" s="896"/>
      <c r="Z24" s="896"/>
      <c r="AA24" s="896"/>
      <c r="AB24" s="896"/>
      <c r="AC24" s="896"/>
      <c r="AD24" s="888"/>
      <c r="AE24" s="898" t="s">
        <v>344</v>
      </c>
      <c r="AF24" s="896"/>
      <c r="AG24" s="896"/>
      <c r="AH24" s="896"/>
      <c r="AI24" s="896"/>
      <c r="AJ24" s="896"/>
      <c r="AK24" s="888"/>
      <c r="AL24" s="898" t="s">
        <v>344</v>
      </c>
      <c r="AM24" s="896"/>
      <c r="AN24" s="896"/>
      <c r="AO24" s="896"/>
      <c r="AP24" s="896"/>
      <c r="AQ24" s="896"/>
      <c r="AR24" s="888"/>
      <c r="AS24" s="898" t="s">
        <v>341</v>
      </c>
      <c r="AT24" s="896"/>
      <c r="AU24" s="896"/>
      <c r="AV24" s="896"/>
      <c r="AW24" s="896"/>
      <c r="AX24" s="896"/>
      <c r="AY24" s="888"/>
      <c r="AZ24" s="887" t="s">
        <v>344</v>
      </c>
      <c r="BA24" s="896"/>
      <c r="BB24" s="896"/>
      <c r="BC24" s="896"/>
      <c r="BD24" s="896"/>
      <c r="BE24" s="896"/>
      <c r="BF24" s="888"/>
      <c r="BG24" s="653"/>
      <c r="BH24" s="654"/>
      <c r="BI24" s="654"/>
      <c r="BJ24" s="655"/>
      <c r="BK24" s="655"/>
      <c r="BL24" s="654"/>
      <c r="BM24" s="654"/>
      <c r="BN24" s="655"/>
      <c r="BO24" s="655"/>
      <c r="BP24" s="654"/>
      <c r="BQ24" s="655"/>
      <c r="BR24" s="656"/>
      <c r="BS24" s="656"/>
      <c r="BT24" s="656"/>
      <c r="BU24" s="656"/>
      <c r="BV24" s="656"/>
      <c r="BW24" s="656"/>
      <c r="BX24" s="656"/>
      <c r="BY24" s="656"/>
      <c r="BZ24" s="656"/>
      <c r="CA24" s="656"/>
      <c r="CB24" s="656"/>
      <c r="CC24" s="656"/>
      <c r="CD24" s="656"/>
      <c r="CE24" s="656"/>
      <c r="CF24" s="656"/>
      <c r="CG24" s="656"/>
      <c r="CH24" s="939"/>
      <c r="CI24" s="939"/>
      <c r="CJ24" s="940"/>
      <c r="CK24" s="940"/>
      <c r="CL24" s="939"/>
      <c r="CM24" s="939"/>
      <c r="CN24" s="940"/>
      <c r="CO24" s="940"/>
      <c r="CP24" s="949"/>
      <c r="CQ24" s="940"/>
      <c r="CR24" s="654"/>
      <c r="CS24" s="654"/>
      <c r="CT24" s="655"/>
      <c r="CU24" s="655"/>
      <c r="CV24" s="936"/>
      <c r="CW24" s="936"/>
      <c r="CX24" s="937"/>
      <c r="CY24" s="937"/>
      <c r="CZ24" s="936"/>
      <c r="DA24" s="937"/>
      <c r="DB24" s="938"/>
      <c r="DC24" s="938"/>
      <c r="DD24" s="938"/>
      <c r="DE24" s="938"/>
      <c r="DF24" s="938"/>
      <c r="DG24" s="938"/>
      <c r="DH24" s="938"/>
      <c r="DI24" s="938"/>
      <c r="DJ24" s="938"/>
      <c r="DK24" s="938"/>
      <c r="DL24" s="938"/>
      <c r="DM24" s="938"/>
      <c r="DN24" s="938"/>
      <c r="DO24" s="938"/>
      <c r="DP24" s="938"/>
      <c r="DQ24" s="938"/>
    </row>
    <row r="25" spans="1:121" ht="13.75" customHeight="1">
      <c r="A25" s="941" t="str">
        <f>IF(ISBLANK(画面項目!A26),"",画面項目!A26)</f>
        <v>2.19</v>
      </c>
      <c r="B25" s="942"/>
      <c r="C25" s="851"/>
      <c r="D25" s="852"/>
      <c r="E25" s="852"/>
      <c r="F25" s="852"/>
      <c r="G25" s="852"/>
      <c r="H25" s="852"/>
      <c r="I25" s="853"/>
      <c r="J25" s="953" t="str">
        <f>IF(ISBLANK(画面項目!J26),"",画面項目!J26)</f>
        <v>エラーメッセージ</v>
      </c>
      <c r="K25" s="954"/>
      <c r="L25" s="954"/>
      <c r="M25" s="954"/>
      <c r="N25" s="954"/>
      <c r="O25" s="954"/>
      <c r="P25" s="955"/>
      <c r="Q25" s="898" t="s">
        <v>344</v>
      </c>
      <c r="R25" s="896"/>
      <c r="S25" s="896"/>
      <c r="T25" s="896"/>
      <c r="U25" s="896"/>
      <c r="V25" s="896"/>
      <c r="W25" s="888"/>
      <c r="X25" s="898" t="s">
        <v>344</v>
      </c>
      <c r="Y25" s="896"/>
      <c r="Z25" s="896"/>
      <c r="AA25" s="896"/>
      <c r="AB25" s="896"/>
      <c r="AC25" s="896"/>
      <c r="AD25" s="888"/>
      <c r="AE25" s="898" t="s">
        <v>344</v>
      </c>
      <c r="AF25" s="896"/>
      <c r="AG25" s="896"/>
      <c r="AH25" s="896"/>
      <c r="AI25" s="896"/>
      <c r="AJ25" s="896"/>
      <c r="AK25" s="888"/>
      <c r="AL25" s="898" t="s">
        <v>344</v>
      </c>
      <c r="AM25" s="896"/>
      <c r="AN25" s="896"/>
      <c r="AO25" s="896"/>
      <c r="AP25" s="896"/>
      <c r="AQ25" s="896"/>
      <c r="AR25" s="888"/>
      <c r="AS25" s="898" t="s">
        <v>341</v>
      </c>
      <c r="AT25" s="896"/>
      <c r="AU25" s="896"/>
      <c r="AV25" s="896"/>
      <c r="AW25" s="896"/>
      <c r="AX25" s="896"/>
      <c r="AY25" s="888"/>
      <c r="AZ25" s="898" t="s">
        <v>341</v>
      </c>
      <c r="BA25" s="896"/>
      <c r="BB25" s="896"/>
      <c r="BC25" s="896"/>
      <c r="BD25" s="896"/>
      <c r="BE25" s="896"/>
      <c r="BF25" s="888"/>
      <c r="BG25" s="653"/>
      <c r="BH25" s="654"/>
      <c r="BI25" s="654"/>
      <c r="BJ25" s="655"/>
      <c r="BK25" s="655"/>
      <c r="BL25" s="654"/>
      <c r="BM25" s="654"/>
      <c r="BN25" s="655"/>
      <c r="BO25" s="655"/>
      <c r="BP25" s="654"/>
      <c r="BQ25" s="655"/>
      <c r="BR25" s="656"/>
      <c r="BS25" s="656"/>
      <c r="BT25" s="656"/>
      <c r="BU25" s="656"/>
      <c r="BV25" s="656"/>
      <c r="BW25" s="656"/>
      <c r="BX25" s="656"/>
      <c r="BY25" s="656"/>
      <c r="BZ25" s="656"/>
      <c r="CA25" s="656"/>
      <c r="CB25" s="656"/>
      <c r="CC25" s="656"/>
      <c r="CD25" s="656"/>
      <c r="CE25" s="656"/>
      <c r="CF25" s="656"/>
      <c r="CG25" s="656"/>
      <c r="CH25" s="939"/>
      <c r="CI25" s="939"/>
      <c r="CJ25" s="940"/>
      <c r="CK25" s="940"/>
      <c r="CL25" s="939"/>
      <c r="CM25" s="939"/>
      <c r="CN25" s="940"/>
      <c r="CO25" s="940"/>
      <c r="CP25" s="949"/>
      <c r="CQ25" s="940"/>
      <c r="CR25" s="654"/>
      <c r="CS25" s="654"/>
      <c r="CT25" s="655"/>
      <c r="CU25" s="655"/>
      <c r="CV25" s="936"/>
      <c r="CW25" s="936"/>
      <c r="CX25" s="937"/>
      <c r="CY25" s="937"/>
      <c r="CZ25" s="936"/>
      <c r="DA25" s="937"/>
      <c r="DB25" s="938"/>
      <c r="DC25" s="938"/>
      <c r="DD25" s="938"/>
      <c r="DE25" s="938"/>
      <c r="DF25" s="938"/>
      <c r="DG25" s="938"/>
      <c r="DH25" s="938"/>
      <c r="DI25" s="938"/>
      <c r="DJ25" s="938"/>
      <c r="DK25" s="938"/>
      <c r="DL25" s="938"/>
      <c r="DM25" s="938"/>
      <c r="DN25" s="938"/>
      <c r="DO25" s="938"/>
      <c r="DP25" s="938"/>
      <c r="DQ25" s="938"/>
    </row>
    <row r="26" spans="1:121" ht="13.75" customHeight="1"/>
    <row r="27" spans="1:121" ht="13.75" customHeight="1"/>
    <row r="28" spans="1:121" ht="13.75" customHeight="1">
      <c r="D28" s="968" t="s">
        <v>474</v>
      </c>
      <c r="E28" s="968"/>
      <c r="F28" s="968"/>
      <c r="G28" s="968"/>
      <c r="H28" s="968"/>
      <c r="I28" s="968"/>
      <c r="J28" s="968"/>
      <c r="K28" s="969" t="s">
        <v>475</v>
      </c>
      <c r="L28" s="969"/>
      <c r="M28" s="969"/>
      <c r="N28" s="969"/>
      <c r="O28" s="969"/>
      <c r="P28" s="969"/>
    </row>
    <row r="29" spans="1:121" ht="13.75" customHeight="1">
      <c r="D29" s="966" t="s">
        <v>476</v>
      </c>
      <c r="E29" s="966"/>
      <c r="F29" s="966"/>
      <c r="G29" s="966"/>
      <c r="H29" s="966"/>
      <c r="I29" s="966"/>
      <c r="J29" s="966"/>
      <c r="K29" s="967" t="s">
        <v>371</v>
      </c>
      <c r="L29" s="967"/>
      <c r="M29" s="967"/>
      <c r="N29" s="967"/>
      <c r="O29" s="967"/>
      <c r="P29" s="967"/>
    </row>
    <row r="30" spans="1:121" ht="13.75" customHeight="1">
      <c r="D30" s="966" t="s">
        <v>477</v>
      </c>
      <c r="E30" s="966"/>
      <c r="F30" s="966"/>
      <c r="G30" s="966"/>
      <c r="H30" s="966"/>
      <c r="I30" s="966"/>
      <c r="J30" s="966"/>
      <c r="K30" s="967" t="s">
        <v>478</v>
      </c>
      <c r="L30" s="967"/>
      <c r="M30" s="967"/>
      <c r="N30" s="967"/>
      <c r="O30" s="967"/>
      <c r="P30" s="967"/>
    </row>
    <row r="31" spans="1:121" ht="13.75" customHeight="1">
      <c r="D31" s="966" t="s">
        <v>479</v>
      </c>
      <c r="E31" s="966"/>
      <c r="F31" s="966"/>
      <c r="G31" s="966"/>
      <c r="H31" s="966"/>
      <c r="I31" s="966"/>
      <c r="J31" s="966"/>
      <c r="K31" s="967" t="s">
        <v>378</v>
      </c>
      <c r="L31" s="967"/>
      <c r="M31" s="967"/>
      <c r="N31" s="967"/>
      <c r="O31" s="967"/>
      <c r="P31" s="967"/>
    </row>
  </sheetData>
  <mergeCells count="380">
    <mergeCell ref="D30:J30"/>
    <mergeCell ref="K30:P30"/>
    <mergeCell ref="A25:B25"/>
    <mergeCell ref="C25:I25"/>
    <mergeCell ref="J25:P25"/>
    <mergeCell ref="Q25:W25"/>
    <mergeCell ref="X25:AD25"/>
    <mergeCell ref="AE25:AK25"/>
    <mergeCell ref="D31:J31"/>
    <mergeCell ref="K31:P31"/>
    <mergeCell ref="D28:J28"/>
    <mergeCell ref="K28:P28"/>
    <mergeCell ref="D29:J29"/>
    <mergeCell ref="K29:P29"/>
    <mergeCell ref="CV25:CY25"/>
    <mergeCell ref="DJ25:DQ25"/>
    <mergeCell ref="CH25:CK25"/>
    <mergeCell ref="CL25:CO25"/>
    <mergeCell ref="AL25:AR25"/>
    <mergeCell ref="AS25:AY25"/>
    <mergeCell ref="AZ25:BF25"/>
    <mergeCell ref="CP25:CQ25"/>
    <mergeCell ref="CZ25:DA25"/>
    <mergeCell ref="DB25:DI25"/>
    <mergeCell ref="CZ23:DA23"/>
    <mergeCell ref="DB23:DI23"/>
    <mergeCell ref="DJ23:DQ23"/>
    <mergeCell ref="CH23:CK23"/>
    <mergeCell ref="CL23:CO23"/>
    <mergeCell ref="AL23:AR23"/>
    <mergeCell ref="AS23:AY23"/>
    <mergeCell ref="AZ23:BF23"/>
    <mergeCell ref="A24:B24"/>
    <mergeCell ref="C24:I24"/>
    <mergeCell ref="J24:P24"/>
    <mergeCell ref="Q24:W24"/>
    <mergeCell ref="X24:AD24"/>
    <mergeCell ref="CZ24:DA24"/>
    <mergeCell ref="DB24:DI24"/>
    <mergeCell ref="DJ24:DQ24"/>
    <mergeCell ref="CH24:CK24"/>
    <mergeCell ref="AE24:AK24"/>
    <mergeCell ref="AL24:AR24"/>
    <mergeCell ref="AS24:AY24"/>
    <mergeCell ref="AZ24:BF24"/>
    <mergeCell ref="CL24:CO24"/>
    <mergeCell ref="CP24:CQ24"/>
    <mergeCell ref="CV24:CY24"/>
    <mergeCell ref="A23:B23"/>
    <mergeCell ref="C23:I23"/>
    <mergeCell ref="J23:P23"/>
    <mergeCell ref="Q23:W23"/>
    <mergeCell ref="X23:AD23"/>
    <mergeCell ref="AE23:AK23"/>
    <mergeCell ref="CL22:CO22"/>
    <mergeCell ref="CP22:CQ22"/>
    <mergeCell ref="CV22:CY22"/>
    <mergeCell ref="A22:B22"/>
    <mergeCell ref="C22:I22"/>
    <mergeCell ref="J22:P22"/>
    <mergeCell ref="Q22:W22"/>
    <mergeCell ref="X22:AD22"/>
    <mergeCell ref="CP23:CQ23"/>
    <mergeCell ref="CV23:CY23"/>
    <mergeCell ref="CZ22:DA22"/>
    <mergeCell ref="DB22:DI22"/>
    <mergeCell ref="DJ22:DQ22"/>
    <mergeCell ref="CH22:CK22"/>
    <mergeCell ref="AE22:AK22"/>
    <mergeCell ref="AL22:AR22"/>
    <mergeCell ref="AS22:AY22"/>
    <mergeCell ref="AZ22:BF22"/>
    <mergeCell ref="CP21:CQ21"/>
    <mergeCell ref="CV21:CY21"/>
    <mergeCell ref="CZ21:DA21"/>
    <mergeCell ref="DB21:DI21"/>
    <mergeCell ref="DJ21:DQ21"/>
    <mergeCell ref="CH21:CK21"/>
    <mergeCell ref="CL21:CO21"/>
    <mergeCell ref="AL21:AR21"/>
    <mergeCell ref="AS21:AY21"/>
    <mergeCell ref="AZ21:BF21"/>
    <mergeCell ref="A21:B21"/>
    <mergeCell ref="C21:I21"/>
    <mergeCell ref="J21:P21"/>
    <mergeCell ref="Q21:W21"/>
    <mergeCell ref="X21:AD21"/>
    <mergeCell ref="AE21:AK21"/>
    <mergeCell ref="CL20:CO20"/>
    <mergeCell ref="CP20:CQ20"/>
    <mergeCell ref="CV20:CY20"/>
    <mergeCell ref="A20:B20"/>
    <mergeCell ref="C20:I20"/>
    <mergeCell ref="J20:P20"/>
    <mergeCell ref="Q20:W20"/>
    <mergeCell ref="X20:AD20"/>
    <mergeCell ref="CZ20:DA20"/>
    <mergeCell ref="DB20:DI20"/>
    <mergeCell ref="DJ20:DQ20"/>
    <mergeCell ref="CH20:CK20"/>
    <mergeCell ref="AE20:AK20"/>
    <mergeCell ref="AL20:AR20"/>
    <mergeCell ref="AS20:AY20"/>
    <mergeCell ref="AZ20:BF20"/>
    <mergeCell ref="CP19:CQ19"/>
    <mergeCell ref="CV19:CY19"/>
    <mergeCell ref="CZ19:DA19"/>
    <mergeCell ref="DB19:DI19"/>
    <mergeCell ref="DJ19:DQ19"/>
    <mergeCell ref="CH19:CK19"/>
    <mergeCell ref="CL19:CO19"/>
    <mergeCell ref="AL19:AR19"/>
    <mergeCell ref="AS19:AY19"/>
    <mergeCell ref="AZ19:BF19"/>
    <mergeCell ref="A19:B19"/>
    <mergeCell ref="C19:I19"/>
    <mergeCell ref="J19:P19"/>
    <mergeCell ref="Q19:W19"/>
    <mergeCell ref="X19:AD19"/>
    <mergeCell ref="AE19:AK19"/>
    <mergeCell ref="CL18:CO18"/>
    <mergeCell ref="CP18:CQ18"/>
    <mergeCell ref="CV18:CY18"/>
    <mergeCell ref="A18:B18"/>
    <mergeCell ref="C18:I18"/>
    <mergeCell ref="J18:P18"/>
    <mergeCell ref="Q18:W18"/>
    <mergeCell ref="X18:AD18"/>
    <mergeCell ref="CZ18:DA18"/>
    <mergeCell ref="DB18:DI18"/>
    <mergeCell ref="DJ18:DQ18"/>
    <mergeCell ref="CH18:CK18"/>
    <mergeCell ref="AE18:AK18"/>
    <mergeCell ref="AL18:AR18"/>
    <mergeCell ref="AS18:AY18"/>
    <mergeCell ref="AZ18:BF18"/>
    <mergeCell ref="CP17:CQ17"/>
    <mergeCell ref="CV17:CY17"/>
    <mergeCell ref="CZ17:DA17"/>
    <mergeCell ref="DB17:DI17"/>
    <mergeCell ref="DJ17:DQ17"/>
    <mergeCell ref="CH17:CK17"/>
    <mergeCell ref="CL17:CO17"/>
    <mergeCell ref="AL17:AR17"/>
    <mergeCell ref="AS17:AY17"/>
    <mergeCell ref="AZ17:BF17"/>
    <mergeCell ref="A17:B17"/>
    <mergeCell ref="C17:I17"/>
    <mergeCell ref="J17:P17"/>
    <mergeCell ref="Q17:W17"/>
    <mergeCell ref="X17:AD17"/>
    <mergeCell ref="AE17:AK17"/>
    <mergeCell ref="CL16:CO16"/>
    <mergeCell ref="CP16:CQ16"/>
    <mergeCell ref="CV16:CY16"/>
    <mergeCell ref="A16:B16"/>
    <mergeCell ref="C16:I16"/>
    <mergeCell ref="J16:P16"/>
    <mergeCell ref="Q16:W16"/>
    <mergeCell ref="X16:AD16"/>
    <mergeCell ref="CZ16:DA16"/>
    <mergeCell ref="DB16:DI16"/>
    <mergeCell ref="DJ16:DQ16"/>
    <mergeCell ref="CH16:CK16"/>
    <mergeCell ref="AE16:AK16"/>
    <mergeCell ref="AL16:AR16"/>
    <mergeCell ref="AS16:AY16"/>
    <mergeCell ref="AZ16:BF16"/>
    <mergeCell ref="CP15:CQ15"/>
    <mergeCell ref="CV15:CY15"/>
    <mergeCell ref="CZ15:DA15"/>
    <mergeCell ref="DB15:DI15"/>
    <mergeCell ref="DJ15:DQ15"/>
    <mergeCell ref="CH15:CK15"/>
    <mergeCell ref="CL15:CO15"/>
    <mergeCell ref="AL15:AR15"/>
    <mergeCell ref="AS15:AY15"/>
    <mergeCell ref="AZ15:BF15"/>
    <mergeCell ref="A15:B15"/>
    <mergeCell ref="C15:I15"/>
    <mergeCell ref="J15:P15"/>
    <mergeCell ref="Q15:W15"/>
    <mergeCell ref="X15:AD15"/>
    <mergeCell ref="AE15:AK15"/>
    <mergeCell ref="CL14:CO14"/>
    <mergeCell ref="CP14:CQ14"/>
    <mergeCell ref="CV14:CY14"/>
    <mergeCell ref="A14:B14"/>
    <mergeCell ref="C14:I14"/>
    <mergeCell ref="J14:P14"/>
    <mergeCell ref="Q14:W14"/>
    <mergeCell ref="X14:AD14"/>
    <mergeCell ref="CZ14:DA14"/>
    <mergeCell ref="DB14:DI14"/>
    <mergeCell ref="DJ14:DQ14"/>
    <mergeCell ref="CH14:CK14"/>
    <mergeCell ref="AE14:AK14"/>
    <mergeCell ref="AL14:AR14"/>
    <mergeCell ref="AS14:AY14"/>
    <mergeCell ref="AZ14:BF14"/>
    <mergeCell ref="CP13:CQ13"/>
    <mergeCell ref="CV13:CY13"/>
    <mergeCell ref="CZ13:DA13"/>
    <mergeCell ref="DB13:DI13"/>
    <mergeCell ref="DJ13:DQ13"/>
    <mergeCell ref="CH13:CK13"/>
    <mergeCell ref="CL13:CO13"/>
    <mergeCell ref="AL13:AR13"/>
    <mergeCell ref="AS13:AY13"/>
    <mergeCell ref="AZ13:BF13"/>
    <mergeCell ref="A13:B13"/>
    <mergeCell ref="C13:I13"/>
    <mergeCell ref="J13:P13"/>
    <mergeCell ref="Q13:W13"/>
    <mergeCell ref="X13:AD13"/>
    <mergeCell ref="AE13:AK13"/>
    <mergeCell ref="CL12:CO12"/>
    <mergeCell ref="CP12:CQ12"/>
    <mergeCell ref="CV12:CY12"/>
    <mergeCell ref="A12:B12"/>
    <mergeCell ref="C12:I12"/>
    <mergeCell ref="J12:P12"/>
    <mergeCell ref="Q12:W12"/>
    <mergeCell ref="X12:AD12"/>
    <mergeCell ref="CZ12:DA12"/>
    <mergeCell ref="DB12:DI12"/>
    <mergeCell ref="DJ12:DQ12"/>
    <mergeCell ref="CH12:CK12"/>
    <mergeCell ref="AE12:AK12"/>
    <mergeCell ref="AL12:AR12"/>
    <mergeCell ref="AS12:AY12"/>
    <mergeCell ref="AZ12:BF12"/>
    <mergeCell ref="CP11:CQ11"/>
    <mergeCell ref="CV11:CY11"/>
    <mergeCell ref="CZ11:DA11"/>
    <mergeCell ref="DB11:DI11"/>
    <mergeCell ref="DJ11:DQ11"/>
    <mergeCell ref="CH11:CK11"/>
    <mergeCell ref="CL11:CO11"/>
    <mergeCell ref="AL11:AR11"/>
    <mergeCell ref="AS11:AY11"/>
    <mergeCell ref="AZ11:BF11"/>
    <mergeCell ref="A11:B11"/>
    <mergeCell ref="C11:I11"/>
    <mergeCell ref="J11:P11"/>
    <mergeCell ref="Q11:W11"/>
    <mergeCell ref="X11:AD11"/>
    <mergeCell ref="AE11:AK11"/>
    <mergeCell ref="CL10:CO10"/>
    <mergeCell ref="CP10:CQ10"/>
    <mergeCell ref="CV10:CY10"/>
    <mergeCell ref="A10:B10"/>
    <mergeCell ref="C10:I10"/>
    <mergeCell ref="J10:P10"/>
    <mergeCell ref="Q10:W10"/>
    <mergeCell ref="X10:AD10"/>
    <mergeCell ref="CZ10:DA10"/>
    <mergeCell ref="DB10:DI10"/>
    <mergeCell ref="DJ10:DQ10"/>
    <mergeCell ref="CH10:CK10"/>
    <mergeCell ref="AE10:AK10"/>
    <mergeCell ref="AL10:AR10"/>
    <mergeCell ref="AS10:AY10"/>
    <mergeCell ref="AZ10:BF10"/>
    <mergeCell ref="CP9:CQ9"/>
    <mergeCell ref="CV9:CY9"/>
    <mergeCell ref="CZ9:DA9"/>
    <mergeCell ref="DB9:DI9"/>
    <mergeCell ref="DJ9:DQ9"/>
    <mergeCell ref="CH9:CK9"/>
    <mergeCell ref="CL9:CO9"/>
    <mergeCell ref="AL9:AR9"/>
    <mergeCell ref="AS9:AY9"/>
    <mergeCell ref="AZ9:BF9"/>
    <mergeCell ref="A9:B9"/>
    <mergeCell ref="C9:I9"/>
    <mergeCell ref="J9:P9"/>
    <mergeCell ref="Q9:W9"/>
    <mergeCell ref="X9:AD9"/>
    <mergeCell ref="AE9:AK9"/>
    <mergeCell ref="CL8:CO8"/>
    <mergeCell ref="CP8:CQ8"/>
    <mergeCell ref="CV8:CY8"/>
    <mergeCell ref="A8:B8"/>
    <mergeCell ref="C8:I8"/>
    <mergeCell ref="J8:P8"/>
    <mergeCell ref="Q8:W8"/>
    <mergeCell ref="X8:AD8"/>
    <mergeCell ref="CZ8:DA8"/>
    <mergeCell ref="DB8:DI8"/>
    <mergeCell ref="DJ8:DQ8"/>
    <mergeCell ref="CH8:CK8"/>
    <mergeCell ref="AE8:AK8"/>
    <mergeCell ref="AL8:AR8"/>
    <mergeCell ref="AS8:AY8"/>
    <mergeCell ref="AZ8:BF8"/>
    <mergeCell ref="CP7:CQ7"/>
    <mergeCell ref="CV7:CY7"/>
    <mergeCell ref="CZ7:DA7"/>
    <mergeCell ref="DB7:DI7"/>
    <mergeCell ref="DJ7:DQ7"/>
    <mergeCell ref="CH7:CK7"/>
    <mergeCell ref="CL7:CO7"/>
    <mergeCell ref="AL7:AR7"/>
    <mergeCell ref="AS7:AY7"/>
    <mergeCell ref="AZ7:BF7"/>
    <mergeCell ref="A7:B7"/>
    <mergeCell ref="C7:I7"/>
    <mergeCell ref="J7:P7"/>
    <mergeCell ref="Q7:W7"/>
    <mergeCell ref="X7:AD7"/>
    <mergeCell ref="AE7:AK7"/>
    <mergeCell ref="CL6:CO6"/>
    <mergeCell ref="CP6:CQ6"/>
    <mergeCell ref="CV6:CY6"/>
    <mergeCell ref="A6:B6"/>
    <mergeCell ref="C6:I6"/>
    <mergeCell ref="J6:P6"/>
    <mergeCell ref="Q6:W6"/>
    <mergeCell ref="X6:AD6"/>
    <mergeCell ref="CZ6:DA6"/>
    <mergeCell ref="DB6:DI6"/>
    <mergeCell ref="DJ6:DQ6"/>
    <mergeCell ref="CH6:CK6"/>
    <mergeCell ref="AE6:AK6"/>
    <mergeCell ref="AL6:AR6"/>
    <mergeCell ref="AS6:AY6"/>
    <mergeCell ref="AZ6:BF6"/>
    <mergeCell ref="CP5:CQ5"/>
    <mergeCell ref="CV5:CY5"/>
    <mergeCell ref="CZ5:DA5"/>
    <mergeCell ref="DB5:DI5"/>
    <mergeCell ref="DJ5:DQ5"/>
    <mergeCell ref="CH5:CK5"/>
    <mergeCell ref="CL5:CO5"/>
    <mergeCell ref="AL5:AR5"/>
    <mergeCell ref="AS5:AY5"/>
    <mergeCell ref="AZ5:BF5"/>
    <mergeCell ref="A5:B5"/>
    <mergeCell ref="C5:I5"/>
    <mergeCell ref="J5:P5"/>
    <mergeCell ref="Q5:W5"/>
    <mergeCell ref="X5:AD5"/>
    <mergeCell ref="AE5:AK5"/>
    <mergeCell ref="CL4:CO4"/>
    <mergeCell ref="CP4:CQ4"/>
    <mergeCell ref="CV4:CY4"/>
    <mergeCell ref="A4:B4"/>
    <mergeCell ref="C4:I4"/>
    <mergeCell ref="J4:P4"/>
    <mergeCell ref="Q4:W4"/>
    <mergeCell ref="X4:AD4"/>
    <mergeCell ref="CZ4:DA4"/>
    <mergeCell ref="DB4:DI4"/>
    <mergeCell ref="DJ4:DQ4"/>
    <mergeCell ref="CH4:CK4"/>
    <mergeCell ref="AE4:AK4"/>
    <mergeCell ref="AL4:AR4"/>
    <mergeCell ref="AS4:AY4"/>
    <mergeCell ref="AZ4:BF4"/>
    <mergeCell ref="CL3:CO3"/>
    <mergeCell ref="CP3:CQ3"/>
    <mergeCell ref="CR3:CU3"/>
    <mergeCell ref="CV3:CY3"/>
    <mergeCell ref="CZ3:DA3"/>
    <mergeCell ref="CH3:CK3"/>
    <mergeCell ref="A1:J1"/>
    <mergeCell ref="A2:B3"/>
    <mergeCell ref="C2:P3"/>
    <mergeCell ref="Q2:AY2"/>
    <mergeCell ref="CH2:CQ2"/>
    <mergeCell ref="CR2:DA2"/>
    <mergeCell ref="DB2:DI3"/>
    <mergeCell ref="DJ2:DQ3"/>
    <mergeCell ref="Q3:W3"/>
    <mergeCell ref="X3:AD3"/>
    <mergeCell ref="AE3:AK3"/>
    <mergeCell ref="AL3:AR3"/>
    <mergeCell ref="AS3:AY3"/>
    <mergeCell ref="AZ3:BF3"/>
  </mergeCells>
  <phoneticPr fontId="56"/>
  <dataValidations disablePrompts="1" count="1">
    <dataValidation type="list" allowBlank="1" showInputMessage="1" showErrorMessage="1" sqref="Q4:BF25" xr:uid="{F236B8A7-3CB0-4570-A3C3-380C1C38946F}">
      <formula1>$K$29:$K$31</formula1>
    </dataValidation>
  </dataValidations>
  <pageMargins left="0.7" right="0.7" top="0.75" bottom="0.75" header="0.3" footer="0.3"/>
  <pageSetup paperSize="9" scale="86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D633-C62E-4BAC-BE6F-5710B5E1186E}">
  <sheetPr>
    <pageSetUpPr fitToPage="1"/>
  </sheetPr>
  <dimension ref="A1:AK35"/>
  <sheetViews>
    <sheetView showGridLines="0" view="pageBreakPreview" zoomScale="90" zoomScaleNormal="70" zoomScaleSheetLayoutView="90" workbookViewId="0">
      <selection sqref="A1:M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29" width="2.54296875" style="608" customWidth="1"/>
    <col min="30" max="36" width="2.90625" style="608" customWidth="1"/>
    <col min="37" max="54" width="2.54296875" style="608" customWidth="1"/>
    <col min="55" max="16384" width="2.54296875" style="608"/>
  </cols>
  <sheetData>
    <row r="1" spans="1:37" ht="13.75" customHeight="1">
      <c r="A1" s="817" t="s">
        <v>480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</row>
    <row r="2" spans="1:37" ht="13.75" customHeight="1">
      <c r="A2" s="970" t="s">
        <v>481</v>
      </c>
      <c r="B2" s="970"/>
      <c r="C2" s="970"/>
      <c r="D2" s="970"/>
      <c r="E2" s="970"/>
      <c r="F2" s="970"/>
      <c r="G2" s="970"/>
      <c r="H2" s="970"/>
      <c r="I2" s="970"/>
      <c r="J2" s="970"/>
      <c r="K2" s="970"/>
      <c r="L2" s="970"/>
      <c r="M2" s="970"/>
      <c r="N2" s="970"/>
      <c r="O2" s="970"/>
      <c r="P2" s="970"/>
      <c r="Q2" s="970"/>
      <c r="R2" s="970"/>
      <c r="S2" s="970"/>
      <c r="T2" s="970"/>
      <c r="U2" s="970"/>
      <c r="V2" s="970"/>
      <c r="W2" s="970"/>
      <c r="X2" s="970"/>
      <c r="Y2" s="970"/>
      <c r="Z2" s="970"/>
      <c r="AA2" s="970"/>
      <c r="AB2" s="970"/>
      <c r="AC2" s="970"/>
      <c r="AD2" s="970"/>
      <c r="AE2" s="970"/>
      <c r="AF2" s="970"/>
      <c r="AG2" s="970"/>
      <c r="AH2" s="970"/>
      <c r="AI2" s="970"/>
      <c r="AJ2" s="970"/>
    </row>
    <row r="3" spans="1:37" ht="13.75" customHeight="1">
      <c r="A3" s="970"/>
      <c r="B3" s="970"/>
      <c r="C3" s="970"/>
      <c r="D3" s="970"/>
      <c r="E3" s="970"/>
      <c r="F3" s="970"/>
      <c r="G3" s="970"/>
      <c r="H3" s="970"/>
      <c r="I3" s="970"/>
      <c r="J3" s="970"/>
      <c r="K3" s="970"/>
      <c r="L3" s="970"/>
      <c r="M3" s="970"/>
      <c r="N3" s="970"/>
      <c r="O3" s="970"/>
      <c r="P3" s="970"/>
      <c r="Q3" s="970"/>
      <c r="R3" s="970"/>
      <c r="S3" s="970"/>
      <c r="T3" s="970"/>
      <c r="U3" s="970"/>
      <c r="V3" s="970"/>
      <c r="W3" s="970"/>
      <c r="X3" s="970"/>
      <c r="Y3" s="970"/>
      <c r="Z3" s="970"/>
      <c r="AA3" s="970"/>
      <c r="AB3" s="970"/>
      <c r="AC3" s="970"/>
      <c r="AD3" s="970"/>
      <c r="AE3" s="970"/>
      <c r="AF3" s="970"/>
      <c r="AG3" s="970"/>
      <c r="AH3" s="970"/>
      <c r="AI3" s="970"/>
      <c r="AJ3" s="970"/>
    </row>
    <row r="4" spans="1:37" ht="13.75" customHeight="1">
      <c r="A4" s="970"/>
      <c r="B4" s="970"/>
      <c r="C4" s="970"/>
      <c r="D4" s="970"/>
      <c r="E4" s="970"/>
      <c r="F4" s="970"/>
      <c r="G4" s="970"/>
      <c r="H4" s="970"/>
      <c r="I4" s="970"/>
      <c r="J4" s="970"/>
      <c r="K4" s="970"/>
      <c r="L4" s="970"/>
      <c r="M4" s="970"/>
      <c r="N4" s="970"/>
      <c r="O4" s="970"/>
      <c r="P4" s="970"/>
      <c r="Q4" s="970"/>
      <c r="R4" s="970"/>
      <c r="S4" s="970"/>
      <c r="T4" s="970"/>
      <c r="U4" s="970"/>
      <c r="V4" s="970"/>
      <c r="W4" s="970"/>
      <c r="X4" s="970"/>
      <c r="Y4" s="970"/>
      <c r="Z4" s="970"/>
      <c r="AA4" s="970"/>
      <c r="AB4" s="970"/>
      <c r="AC4" s="970"/>
      <c r="AD4" s="970"/>
      <c r="AE4" s="970"/>
      <c r="AF4" s="970"/>
      <c r="AG4" s="970"/>
      <c r="AH4" s="970"/>
      <c r="AI4" s="970"/>
      <c r="AJ4" s="970"/>
    </row>
    <row r="5" spans="1:37" ht="13.75" customHeight="1">
      <c r="A5" s="819" t="s">
        <v>482</v>
      </c>
      <c r="B5" s="819"/>
      <c r="C5" s="819"/>
      <c r="D5" s="819"/>
      <c r="E5" s="819"/>
      <c r="F5" s="819"/>
      <c r="G5" s="819"/>
      <c r="H5" s="819"/>
      <c r="I5" s="819"/>
      <c r="J5" s="970" t="s">
        <v>483</v>
      </c>
      <c r="K5" s="970"/>
      <c r="L5" s="970"/>
      <c r="M5" s="970"/>
      <c r="N5" s="970"/>
      <c r="O5" s="970"/>
      <c r="P5" s="970"/>
      <c r="Q5" s="970"/>
      <c r="R5" s="970"/>
      <c r="S5" s="970"/>
      <c r="T5" s="970"/>
      <c r="U5" s="970"/>
      <c r="V5" s="970"/>
      <c r="W5" s="970"/>
      <c r="X5" s="970"/>
      <c r="Y5" s="970"/>
      <c r="Z5" s="970"/>
      <c r="AA5" s="970"/>
      <c r="AB5" s="970"/>
      <c r="AC5" s="970"/>
      <c r="AD5" s="970"/>
      <c r="AE5" s="970"/>
      <c r="AF5" s="970"/>
      <c r="AG5" s="970"/>
      <c r="AH5" s="970"/>
      <c r="AI5" s="970"/>
      <c r="AJ5" s="970"/>
    </row>
    <row r="6" spans="1:37" ht="13.75" customHeight="1">
      <c r="A6" s="819" t="s">
        <v>484</v>
      </c>
      <c r="B6" s="819"/>
      <c r="C6" s="819"/>
      <c r="D6" s="819"/>
      <c r="E6" s="819"/>
      <c r="F6" s="819"/>
      <c r="G6" s="819"/>
      <c r="H6" s="819"/>
      <c r="I6" s="819"/>
      <c r="J6" s="971" t="s">
        <v>485</v>
      </c>
      <c r="K6" s="971"/>
      <c r="L6" s="971"/>
      <c r="M6" s="971"/>
      <c r="N6" s="971"/>
      <c r="O6" s="971"/>
      <c r="P6" s="971"/>
      <c r="Q6" s="971"/>
      <c r="R6" s="971"/>
      <c r="S6" s="971"/>
      <c r="T6" s="971"/>
      <c r="U6" s="971"/>
      <c r="V6" s="971"/>
      <c r="W6" s="971"/>
      <c r="X6" s="971"/>
      <c r="Y6" s="971"/>
      <c r="Z6" s="971"/>
      <c r="AA6" s="971"/>
      <c r="AB6" s="971"/>
      <c r="AC6" s="971"/>
      <c r="AD6" s="819" t="s">
        <v>486</v>
      </c>
      <c r="AE6" s="819"/>
      <c r="AF6" s="819"/>
      <c r="AG6" s="819"/>
      <c r="AH6" s="819"/>
      <c r="AI6" s="819"/>
      <c r="AJ6" s="819"/>
    </row>
    <row r="7" spans="1:37" ht="13.75" customHeight="1">
      <c r="A7" s="819"/>
      <c r="B7" s="819"/>
      <c r="C7" s="819"/>
      <c r="D7" s="819"/>
      <c r="E7" s="819"/>
      <c r="F7" s="819"/>
      <c r="G7" s="819"/>
      <c r="H7" s="819"/>
      <c r="I7" s="819"/>
      <c r="J7" s="971"/>
      <c r="K7" s="971"/>
      <c r="L7" s="971"/>
      <c r="M7" s="971"/>
      <c r="N7" s="971"/>
      <c r="O7" s="971"/>
      <c r="P7" s="971"/>
      <c r="Q7" s="971"/>
      <c r="R7" s="971"/>
      <c r="S7" s="971"/>
      <c r="T7" s="971"/>
      <c r="U7" s="971"/>
      <c r="V7" s="971"/>
      <c r="W7" s="971"/>
      <c r="X7" s="971"/>
      <c r="Y7" s="971"/>
      <c r="Z7" s="971"/>
      <c r="AA7" s="971"/>
      <c r="AB7" s="971"/>
      <c r="AC7" s="971"/>
      <c r="AD7" s="819"/>
      <c r="AE7" s="819"/>
      <c r="AF7" s="819"/>
      <c r="AG7" s="819"/>
      <c r="AH7" s="819"/>
      <c r="AI7" s="819"/>
      <c r="AJ7" s="819"/>
    </row>
    <row r="8" spans="1:37" ht="13.75" customHeight="1">
      <c r="A8" s="659" t="s">
        <v>487</v>
      </c>
      <c r="B8" s="819" t="s">
        <v>488</v>
      </c>
      <c r="C8" s="819"/>
      <c r="D8" s="819"/>
      <c r="E8" s="819"/>
      <c r="F8" s="819"/>
      <c r="G8" s="819"/>
      <c r="H8" s="819"/>
      <c r="I8" s="819"/>
      <c r="J8" s="971"/>
      <c r="K8" s="971"/>
      <c r="L8" s="971"/>
      <c r="M8" s="971"/>
      <c r="N8" s="971"/>
      <c r="O8" s="971"/>
      <c r="P8" s="971"/>
      <c r="Q8" s="971"/>
      <c r="R8" s="971"/>
      <c r="S8" s="971"/>
      <c r="T8" s="971"/>
      <c r="U8" s="971"/>
      <c r="V8" s="971"/>
      <c r="W8" s="971"/>
      <c r="X8" s="971"/>
      <c r="Y8" s="971"/>
      <c r="Z8" s="971"/>
      <c r="AA8" s="971"/>
      <c r="AB8" s="971"/>
      <c r="AC8" s="971"/>
      <c r="AD8" s="819"/>
      <c r="AE8" s="819"/>
      <c r="AF8" s="819"/>
      <c r="AG8" s="819"/>
      <c r="AH8" s="819"/>
      <c r="AI8" s="819"/>
      <c r="AJ8" s="819"/>
    </row>
    <row r="9" spans="1:37" ht="13.75" customHeight="1">
      <c r="A9" s="658"/>
      <c r="B9" s="972" t="s">
        <v>489</v>
      </c>
      <c r="C9" s="972"/>
      <c r="D9" s="972"/>
      <c r="E9" s="972"/>
      <c r="F9" s="972"/>
      <c r="G9" s="972"/>
      <c r="H9" s="972"/>
      <c r="I9" s="972"/>
      <c r="J9" s="819"/>
      <c r="K9" s="819"/>
      <c r="L9" s="819"/>
      <c r="M9" s="819"/>
      <c r="N9" s="819"/>
      <c r="O9" s="819"/>
      <c r="P9" s="819"/>
      <c r="Q9" s="819"/>
      <c r="R9" s="819"/>
      <c r="S9" s="819"/>
      <c r="T9" s="819"/>
      <c r="U9" s="819"/>
      <c r="V9" s="819"/>
      <c r="W9" s="819"/>
      <c r="X9" s="819"/>
      <c r="Y9" s="819"/>
      <c r="Z9" s="819"/>
      <c r="AA9" s="819"/>
      <c r="AB9" s="819"/>
      <c r="AC9" s="819"/>
      <c r="AD9" s="819"/>
      <c r="AE9" s="819"/>
      <c r="AF9" s="819"/>
      <c r="AG9" s="819"/>
      <c r="AH9" s="819"/>
      <c r="AI9" s="819"/>
      <c r="AJ9" s="819"/>
    </row>
    <row r="10" spans="1:37" ht="45" customHeight="1">
      <c r="A10" s="658">
        <v>1</v>
      </c>
      <c r="B10" s="973" t="s">
        <v>490</v>
      </c>
      <c r="C10" s="973"/>
      <c r="D10" s="973"/>
      <c r="E10" s="973"/>
      <c r="F10" s="973"/>
      <c r="G10" s="973"/>
      <c r="H10" s="973"/>
      <c r="I10" s="973"/>
      <c r="J10" s="974" t="s">
        <v>491</v>
      </c>
      <c r="K10" s="975"/>
      <c r="L10" s="975"/>
      <c r="M10" s="975"/>
      <c r="N10" s="975"/>
      <c r="O10" s="975"/>
      <c r="P10" s="975"/>
      <c r="Q10" s="975"/>
      <c r="R10" s="975"/>
      <c r="S10" s="975"/>
      <c r="T10" s="975"/>
      <c r="U10" s="975"/>
      <c r="V10" s="975"/>
      <c r="W10" s="975"/>
      <c r="X10" s="975"/>
      <c r="Y10" s="975"/>
      <c r="Z10" s="975"/>
      <c r="AA10" s="975"/>
      <c r="AB10" s="975"/>
      <c r="AC10" s="975"/>
      <c r="AD10" s="976" t="s">
        <v>492</v>
      </c>
      <c r="AE10" s="977"/>
      <c r="AF10" s="977"/>
      <c r="AG10" s="977"/>
      <c r="AH10" s="977"/>
      <c r="AI10" s="977"/>
      <c r="AJ10" s="978"/>
      <c r="AK10" s="655"/>
    </row>
    <row r="11" spans="1:37" ht="13.75" customHeight="1">
      <c r="A11" s="658">
        <v>2</v>
      </c>
      <c r="B11" s="973" t="s">
        <v>493</v>
      </c>
      <c r="C11" s="973"/>
      <c r="D11" s="973"/>
      <c r="E11" s="973"/>
      <c r="F11" s="973"/>
      <c r="G11" s="973"/>
      <c r="H11" s="973"/>
      <c r="I11" s="973"/>
      <c r="J11" s="975" t="s">
        <v>494</v>
      </c>
      <c r="K11" s="975"/>
      <c r="L11" s="975"/>
      <c r="M11" s="975"/>
      <c r="N11" s="975"/>
      <c r="O11" s="975"/>
      <c r="P11" s="975"/>
      <c r="Q11" s="975"/>
      <c r="R11" s="975"/>
      <c r="S11" s="975"/>
      <c r="T11" s="975"/>
      <c r="U11" s="975"/>
      <c r="V11" s="975"/>
      <c r="W11" s="975"/>
      <c r="X11" s="975"/>
      <c r="Y11" s="975"/>
      <c r="Z11" s="975"/>
      <c r="AA11" s="975"/>
      <c r="AB11" s="975"/>
      <c r="AC11" s="975"/>
      <c r="AD11" s="976"/>
      <c r="AE11" s="977"/>
      <c r="AF11" s="977"/>
      <c r="AG11" s="977"/>
      <c r="AH11" s="977"/>
      <c r="AI11" s="977"/>
      <c r="AJ11" s="978"/>
      <c r="AK11" s="655"/>
    </row>
    <row r="12" spans="1:37" ht="13.75" customHeight="1">
      <c r="A12" s="658">
        <v>3</v>
      </c>
      <c r="B12" s="973" t="s">
        <v>495</v>
      </c>
      <c r="C12" s="973"/>
      <c r="D12" s="973"/>
      <c r="E12" s="973"/>
      <c r="F12" s="973"/>
      <c r="G12" s="973"/>
      <c r="H12" s="973"/>
      <c r="I12" s="973"/>
      <c r="J12" s="975" t="s">
        <v>496</v>
      </c>
      <c r="K12" s="975"/>
      <c r="L12" s="975"/>
      <c r="M12" s="975"/>
      <c r="N12" s="975"/>
      <c r="O12" s="975"/>
      <c r="P12" s="975"/>
      <c r="Q12" s="975"/>
      <c r="R12" s="975"/>
      <c r="S12" s="975"/>
      <c r="T12" s="975"/>
      <c r="U12" s="975"/>
      <c r="V12" s="975"/>
      <c r="W12" s="975"/>
      <c r="X12" s="975"/>
      <c r="Y12" s="975"/>
      <c r="Z12" s="975"/>
      <c r="AA12" s="975"/>
      <c r="AB12" s="975"/>
      <c r="AC12" s="975"/>
      <c r="AD12" s="976"/>
      <c r="AE12" s="977"/>
      <c r="AF12" s="977"/>
      <c r="AG12" s="977"/>
      <c r="AH12" s="977"/>
      <c r="AI12" s="977"/>
      <c r="AJ12" s="978"/>
      <c r="AK12" s="655"/>
    </row>
    <row r="13" spans="1:37" ht="13.75" customHeight="1">
      <c r="A13" s="658">
        <v>4</v>
      </c>
      <c r="B13" s="973" t="s">
        <v>497</v>
      </c>
      <c r="C13" s="973"/>
      <c r="D13" s="973"/>
      <c r="E13" s="973"/>
      <c r="F13" s="973"/>
      <c r="G13" s="973"/>
      <c r="H13" s="973"/>
      <c r="I13" s="973"/>
      <c r="J13" s="975" t="s">
        <v>498</v>
      </c>
      <c r="K13" s="975"/>
      <c r="L13" s="975"/>
      <c r="M13" s="975"/>
      <c r="N13" s="975"/>
      <c r="O13" s="975"/>
      <c r="P13" s="975"/>
      <c r="Q13" s="975"/>
      <c r="R13" s="975"/>
      <c r="S13" s="975"/>
      <c r="T13" s="975"/>
      <c r="U13" s="975"/>
      <c r="V13" s="975"/>
      <c r="W13" s="975"/>
      <c r="X13" s="975"/>
      <c r="Y13" s="975"/>
      <c r="Z13" s="975"/>
      <c r="AA13" s="975"/>
      <c r="AB13" s="975"/>
      <c r="AC13" s="975"/>
      <c r="AD13" s="976" t="s">
        <v>499</v>
      </c>
      <c r="AE13" s="977"/>
      <c r="AF13" s="977"/>
      <c r="AG13" s="977"/>
      <c r="AH13" s="977"/>
      <c r="AI13" s="977"/>
      <c r="AJ13" s="978"/>
      <c r="AK13" s="655"/>
    </row>
    <row r="14" spans="1:37" ht="13.75" customHeight="1">
      <c r="A14" s="658">
        <v>5</v>
      </c>
      <c r="B14" s="973" t="s">
        <v>500</v>
      </c>
      <c r="C14" s="973"/>
      <c r="D14" s="973"/>
      <c r="E14" s="973"/>
      <c r="F14" s="973"/>
      <c r="G14" s="973"/>
      <c r="H14" s="973"/>
      <c r="I14" s="973"/>
      <c r="J14" s="975" t="s">
        <v>501</v>
      </c>
      <c r="K14" s="975"/>
      <c r="L14" s="975"/>
      <c r="M14" s="975"/>
      <c r="N14" s="975"/>
      <c r="O14" s="975"/>
      <c r="P14" s="975"/>
      <c r="Q14" s="975"/>
      <c r="R14" s="975"/>
      <c r="S14" s="975"/>
      <c r="T14" s="975"/>
      <c r="U14" s="975"/>
      <c r="V14" s="975"/>
      <c r="W14" s="975"/>
      <c r="X14" s="975"/>
      <c r="Y14" s="975"/>
      <c r="Z14" s="975"/>
      <c r="AA14" s="975"/>
      <c r="AB14" s="975"/>
      <c r="AC14" s="975"/>
      <c r="AD14" s="976" t="s">
        <v>502</v>
      </c>
      <c r="AE14" s="977"/>
      <c r="AF14" s="977"/>
      <c r="AG14" s="977"/>
      <c r="AH14" s="977"/>
      <c r="AI14" s="977"/>
      <c r="AJ14" s="978"/>
      <c r="AK14" s="655"/>
    </row>
    <row r="15" spans="1:37" ht="27" customHeight="1">
      <c r="A15" s="658">
        <v>6</v>
      </c>
      <c r="B15" s="973" t="s">
        <v>503</v>
      </c>
      <c r="C15" s="973"/>
      <c r="D15" s="973"/>
      <c r="E15" s="973"/>
      <c r="F15" s="973"/>
      <c r="G15" s="973"/>
      <c r="H15" s="973"/>
      <c r="I15" s="973"/>
      <c r="J15" s="975" t="s">
        <v>504</v>
      </c>
      <c r="K15" s="975"/>
      <c r="L15" s="975"/>
      <c r="M15" s="975"/>
      <c r="N15" s="975"/>
      <c r="O15" s="975"/>
      <c r="P15" s="975"/>
      <c r="Q15" s="975"/>
      <c r="R15" s="975"/>
      <c r="S15" s="975"/>
      <c r="T15" s="975"/>
      <c r="U15" s="975"/>
      <c r="V15" s="975"/>
      <c r="W15" s="975"/>
      <c r="X15" s="975"/>
      <c r="Y15" s="975"/>
      <c r="Z15" s="975"/>
      <c r="AA15" s="975"/>
      <c r="AB15" s="975"/>
      <c r="AC15" s="975"/>
      <c r="AD15" s="841" t="s">
        <v>505</v>
      </c>
      <c r="AE15" s="839"/>
      <c r="AF15" s="839"/>
      <c r="AG15" s="839"/>
      <c r="AH15" s="839"/>
      <c r="AI15" s="839"/>
      <c r="AJ15" s="842"/>
      <c r="AK15" s="655"/>
    </row>
    <row r="16" spans="1:37" ht="27.75" customHeight="1">
      <c r="A16" s="658">
        <v>7</v>
      </c>
      <c r="B16" s="973" t="s">
        <v>506</v>
      </c>
      <c r="C16" s="973"/>
      <c r="D16" s="973"/>
      <c r="E16" s="973"/>
      <c r="F16" s="973"/>
      <c r="G16" s="973"/>
      <c r="H16" s="973"/>
      <c r="I16" s="973"/>
      <c r="J16" s="970" t="s">
        <v>309</v>
      </c>
      <c r="K16" s="970"/>
      <c r="L16" s="970"/>
      <c r="M16" s="970"/>
      <c r="N16" s="970"/>
      <c r="O16" s="970"/>
      <c r="P16" s="970"/>
      <c r="Q16" s="970"/>
      <c r="R16" s="970"/>
      <c r="S16" s="970"/>
      <c r="T16" s="970"/>
      <c r="U16" s="970"/>
      <c r="V16" s="970"/>
      <c r="W16" s="970"/>
      <c r="X16" s="970"/>
      <c r="Y16" s="970"/>
      <c r="Z16" s="970"/>
      <c r="AA16" s="970"/>
      <c r="AB16" s="970"/>
      <c r="AC16" s="970"/>
      <c r="AD16" s="841" t="s">
        <v>507</v>
      </c>
      <c r="AE16" s="839"/>
      <c r="AF16" s="839"/>
      <c r="AG16" s="839"/>
      <c r="AH16" s="839"/>
      <c r="AI16" s="839"/>
      <c r="AJ16" s="842"/>
      <c r="AK16" s="655"/>
    </row>
    <row r="17" spans="1:37" ht="13.75" customHeight="1">
      <c r="A17" s="658">
        <v>8</v>
      </c>
      <c r="B17" s="973" t="s">
        <v>508</v>
      </c>
      <c r="C17" s="973"/>
      <c r="D17" s="973"/>
      <c r="E17" s="973"/>
      <c r="F17" s="973"/>
      <c r="G17" s="973"/>
      <c r="H17" s="973"/>
      <c r="I17" s="973"/>
      <c r="J17" s="970" t="s">
        <v>309</v>
      </c>
      <c r="K17" s="970"/>
      <c r="L17" s="970"/>
      <c r="M17" s="970"/>
      <c r="N17" s="970"/>
      <c r="O17" s="970"/>
      <c r="P17" s="970"/>
      <c r="Q17" s="970"/>
      <c r="R17" s="970"/>
      <c r="S17" s="970"/>
      <c r="T17" s="970"/>
      <c r="U17" s="970"/>
      <c r="V17" s="970"/>
      <c r="W17" s="970"/>
      <c r="X17" s="970"/>
      <c r="Y17" s="970"/>
      <c r="Z17" s="970"/>
      <c r="AA17" s="970"/>
      <c r="AB17" s="970"/>
      <c r="AC17" s="970"/>
      <c r="AD17" s="841" t="s">
        <v>509</v>
      </c>
      <c r="AE17" s="839"/>
      <c r="AF17" s="839"/>
      <c r="AG17" s="839"/>
      <c r="AH17" s="839"/>
      <c r="AI17" s="839"/>
      <c r="AJ17" s="842"/>
      <c r="AK17" s="655"/>
    </row>
    <row r="18" spans="1:37" ht="13.75" customHeight="1">
      <c r="A18" s="658">
        <v>9</v>
      </c>
      <c r="B18" s="973" t="s">
        <v>510</v>
      </c>
      <c r="C18" s="973"/>
      <c r="D18" s="973"/>
      <c r="E18" s="973"/>
      <c r="F18" s="973"/>
      <c r="G18" s="973"/>
      <c r="H18" s="973"/>
      <c r="I18" s="973"/>
      <c r="J18" s="970" t="s">
        <v>309</v>
      </c>
      <c r="K18" s="970"/>
      <c r="L18" s="970"/>
      <c r="M18" s="970"/>
      <c r="N18" s="970"/>
      <c r="O18" s="970"/>
      <c r="P18" s="970"/>
      <c r="Q18" s="970"/>
      <c r="R18" s="970"/>
      <c r="S18" s="970"/>
      <c r="T18" s="970"/>
      <c r="U18" s="970"/>
      <c r="V18" s="970"/>
      <c r="W18" s="970"/>
      <c r="X18" s="970"/>
      <c r="Y18" s="970"/>
      <c r="Z18" s="970"/>
      <c r="AA18" s="970"/>
      <c r="AB18" s="970"/>
      <c r="AC18" s="970"/>
      <c r="AD18" s="841" t="s">
        <v>509</v>
      </c>
      <c r="AE18" s="839"/>
      <c r="AF18" s="839"/>
      <c r="AG18" s="839"/>
      <c r="AH18" s="839"/>
      <c r="AI18" s="839"/>
      <c r="AJ18" s="842"/>
      <c r="AK18" s="655"/>
    </row>
    <row r="19" spans="1:37" ht="13.75" customHeight="1">
      <c r="A19" s="658">
        <v>10</v>
      </c>
      <c r="B19" s="973" t="s">
        <v>511</v>
      </c>
      <c r="C19" s="973"/>
      <c r="D19" s="973"/>
      <c r="E19" s="973"/>
      <c r="F19" s="973"/>
      <c r="G19" s="973"/>
      <c r="H19" s="973"/>
      <c r="I19" s="973"/>
      <c r="J19" s="970" t="s">
        <v>309</v>
      </c>
      <c r="K19" s="970"/>
      <c r="L19" s="970"/>
      <c r="M19" s="970"/>
      <c r="N19" s="970"/>
      <c r="O19" s="970"/>
      <c r="P19" s="970"/>
      <c r="Q19" s="970"/>
      <c r="R19" s="970"/>
      <c r="S19" s="970"/>
      <c r="T19" s="970"/>
      <c r="U19" s="970"/>
      <c r="V19" s="970"/>
      <c r="W19" s="970"/>
      <c r="X19" s="970"/>
      <c r="Y19" s="970"/>
      <c r="Z19" s="970"/>
      <c r="AA19" s="970"/>
      <c r="AB19" s="970"/>
      <c r="AC19" s="970"/>
      <c r="AD19" s="841" t="s">
        <v>509</v>
      </c>
      <c r="AE19" s="839"/>
      <c r="AF19" s="839"/>
      <c r="AG19" s="839"/>
      <c r="AH19" s="839"/>
      <c r="AI19" s="839"/>
      <c r="AJ19" s="842"/>
      <c r="AK19" s="655"/>
    </row>
    <row r="20" spans="1:37" ht="13.75" customHeight="1">
      <c r="A20" s="658"/>
      <c r="B20" s="973"/>
      <c r="C20" s="973"/>
      <c r="D20" s="973"/>
      <c r="E20" s="973"/>
      <c r="F20" s="973"/>
      <c r="G20" s="973"/>
      <c r="H20" s="973"/>
      <c r="I20" s="973"/>
      <c r="J20" s="975"/>
      <c r="K20" s="975"/>
      <c r="L20" s="975"/>
      <c r="M20" s="975"/>
      <c r="N20" s="975"/>
      <c r="O20" s="975"/>
      <c r="P20" s="975"/>
      <c r="Q20" s="975"/>
      <c r="R20" s="975"/>
      <c r="S20" s="975"/>
      <c r="T20" s="975"/>
      <c r="U20" s="975"/>
      <c r="V20" s="975"/>
      <c r="W20" s="975"/>
      <c r="X20" s="975"/>
      <c r="Y20" s="975"/>
      <c r="Z20" s="975"/>
      <c r="AA20" s="975"/>
      <c r="AB20" s="975"/>
      <c r="AC20" s="975"/>
      <c r="AD20" s="976"/>
      <c r="AE20" s="977"/>
      <c r="AF20" s="977"/>
      <c r="AG20" s="977"/>
      <c r="AH20" s="977"/>
      <c r="AI20" s="977"/>
      <c r="AJ20" s="978"/>
      <c r="AK20" s="655"/>
    </row>
    <row r="21" spans="1:37" ht="13.75" customHeight="1">
      <c r="A21" s="660"/>
      <c r="B21" s="973"/>
      <c r="C21" s="973"/>
      <c r="D21" s="973"/>
      <c r="E21" s="973"/>
      <c r="F21" s="973"/>
      <c r="G21" s="973"/>
      <c r="H21" s="973"/>
      <c r="I21" s="973"/>
      <c r="J21" s="975"/>
      <c r="K21" s="975"/>
      <c r="L21" s="975"/>
      <c r="M21" s="975"/>
      <c r="N21" s="975"/>
      <c r="O21" s="975"/>
      <c r="P21" s="975"/>
      <c r="Q21" s="975"/>
      <c r="R21" s="975"/>
      <c r="S21" s="975"/>
      <c r="T21" s="975"/>
      <c r="U21" s="975"/>
      <c r="V21" s="975"/>
      <c r="W21" s="975"/>
      <c r="X21" s="975"/>
      <c r="Y21" s="975"/>
      <c r="Z21" s="975"/>
      <c r="AA21" s="975"/>
      <c r="AB21" s="975"/>
      <c r="AC21" s="975"/>
      <c r="AD21" s="976"/>
      <c r="AE21" s="977"/>
      <c r="AF21" s="977"/>
      <c r="AG21" s="977"/>
      <c r="AH21" s="977"/>
      <c r="AI21" s="977"/>
      <c r="AJ21" s="978"/>
      <c r="AK21" s="655"/>
    </row>
    <row r="22" spans="1:37" ht="13.75" customHeight="1">
      <c r="A22" s="658"/>
      <c r="B22" s="972" t="s">
        <v>512</v>
      </c>
      <c r="C22" s="972"/>
      <c r="D22" s="972"/>
      <c r="E22" s="972"/>
      <c r="F22" s="972"/>
      <c r="G22" s="972"/>
      <c r="H22" s="972"/>
      <c r="I22" s="972"/>
      <c r="J22" s="979"/>
      <c r="K22" s="979"/>
      <c r="L22" s="979"/>
      <c r="M22" s="979"/>
      <c r="N22" s="979"/>
      <c r="O22" s="979"/>
      <c r="P22" s="979"/>
      <c r="Q22" s="979"/>
      <c r="R22" s="979"/>
      <c r="S22" s="979"/>
      <c r="T22" s="979"/>
      <c r="U22" s="979"/>
      <c r="V22" s="979"/>
      <c r="W22" s="979"/>
      <c r="X22" s="979"/>
      <c r="Y22" s="979"/>
      <c r="Z22" s="979"/>
      <c r="AA22" s="979"/>
      <c r="AB22" s="979"/>
      <c r="AC22" s="979"/>
      <c r="AD22" s="979"/>
      <c r="AE22" s="979"/>
      <c r="AF22" s="979"/>
      <c r="AG22" s="979"/>
      <c r="AH22" s="979"/>
      <c r="AI22" s="979"/>
      <c r="AJ22" s="979"/>
      <c r="AK22" s="655"/>
    </row>
    <row r="23" spans="1:37" ht="13.75" customHeight="1">
      <c r="A23" s="658">
        <v>1</v>
      </c>
      <c r="B23" s="973" t="s">
        <v>513</v>
      </c>
      <c r="C23" s="973"/>
      <c r="D23" s="973"/>
      <c r="E23" s="973"/>
      <c r="F23" s="973"/>
      <c r="G23" s="973"/>
      <c r="H23" s="973"/>
      <c r="I23" s="973"/>
      <c r="J23" s="975" t="s">
        <v>514</v>
      </c>
      <c r="K23" s="975"/>
      <c r="L23" s="975"/>
      <c r="M23" s="975"/>
      <c r="N23" s="975"/>
      <c r="O23" s="975"/>
      <c r="P23" s="975"/>
      <c r="Q23" s="975"/>
      <c r="R23" s="975"/>
      <c r="S23" s="975"/>
      <c r="T23" s="975"/>
      <c r="U23" s="975"/>
      <c r="V23" s="975"/>
      <c r="W23" s="975"/>
      <c r="X23" s="975"/>
      <c r="Y23" s="975"/>
      <c r="Z23" s="975"/>
      <c r="AA23" s="975"/>
      <c r="AB23" s="975"/>
      <c r="AC23" s="975"/>
      <c r="AD23" s="976" t="s">
        <v>515</v>
      </c>
      <c r="AE23" s="977"/>
      <c r="AF23" s="977"/>
      <c r="AG23" s="977"/>
      <c r="AH23" s="977"/>
      <c r="AI23" s="977"/>
      <c r="AJ23" s="978"/>
      <c r="AK23" s="655"/>
    </row>
    <row r="24" spans="1:37" ht="34.5" customHeight="1">
      <c r="A24" s="658">
        <v>2</v>
      </c>
      <c r="B24" s="973" t="s">
        <v>516</v>
      </c>
      <c r="C24" s="973"/>
      <c r="D24" s="973"/>
      <c r="E24" s="973"/>
      <c r="F24" s="973"/>
      <c r="G24" s="973"/>
      <c r="H24" s="973"/>
      <c r="I24" s="973"/>
      <c r="J24" s="975" t="s">
        <v>517</v>
      </c>
      <c r="K24" s="975"/>
      <c r="L24" s="975"/>
      <c r="M24" s="975"/>
      <c r="N24" s="975"/>
      <c r="O24" s="975"/>
      <c r="P24" s="975"/>
      <c r="Q24" s="975"/>
      <c r="R24" s="975"/>
      <c r="S24" s="975"/>
      <c r="T24" s="975"/>
      <c r="U24" s="975"/>
      <c r="V24" s="975"/>
      <c r="W24" s="975"/>
      <c r="X24" s="975"/>
      <c r="Y24" s="975"/>
      <c r="Z24" s="975"/>
      <c r="AA24" s="975"/>
      <c r="AB24" s="975"/>
      <c r="AC24" s="975"/>
      <c r="AD24" s="976" t="s">
        <v>518</v>
      </c>
      <c r="AE24" s="977"/>
      <c r="AF24" s="977"/>
      <c r="AG24" s="977"/>
      <c r="AH24" s="977"/>
      <c r="AI24" s="977"/>
      <c r="AJ24" s="978"/>
      <c r="AK24" s="655"/>
    </row>
    <row r="25" spans="1:37" ht="13.75" customHeight="1">
      <c r="A25" s="658">
        <v>3</v>
      </c>
      <c r="B25" s="973" t="s">
        <v>519</v>
      </c>
      <c r="C25" s="973"/>
      <c r="D25" s="973"/>
      <c r="E25" s="973"/>
      <c r="F25" s="973"/>
      <c r="G25" s="973"/>
      <c r="H25" s="973"/>
      <c r="I25" s="973"/>
      <c r="J25" s="975" t="s">
        <v>520</v>
      </c>
      <c r="K25" s="975"/>
      <c r="L25" s="975"/>
      <c r="M25" s="975"/>
      <c r="N25" s="975"/>
      <c r="O25" s="975"/>
      <c r="P25" s="975"/>
      <c r="Q25" s="975"/>
      <c r="R25" s="975"/>
      <c r="S25" s="975"/>
      <c r="T25" s="975"/>
      <c r="U25" s="975"/>
      <c r="V25" s="975"/>
      <c r="W25" s="975"/>
      <c r="X25" s="975"/>
      <c r="Y25" s="975"/>
      <c r="Z25" s="975"/>
      <c r="AA25" s="975"/>
      <c r="AB25" s="975"/>
      <c r="AC25" s="975"/>
      <c r="AD25" s="976" t="s">
        <v>521</v>
      </c>
      <c r="AE25" s="977"/>
      <c r="AF25" s="977"/>
      <c r="AG25" s="977"/>
      <c r="AH25" s="977"/>
      <c r="AI25" s="977"/>
      <c r="AJ25" s="978"/>
    </row>
    <row r="26" spans="1:37" ht="13.75" customHeight="1">
      <c r="A26" s="658">
        <v>4</v>
      </c>
      <c r="B26" s="973" t="s">
        <v>522</v>
      </c>
      <c r="C26" s="973"/>
      <c r="D26" s="973"/>
      <c r="E26" s="973"/>
      <c r="F26" s="973"/>
      <c r="G26" s="973"/>
      <c r="H26" s="973"/>
      <c r="I26" s="973"/>
      <c r="J26" s="975" t="s">
        <v>523</v>
      </c>
      <c r="K26" s="975"/>
      <c r="L26" s="975"/>
      <c r="M26" s="975"/>
      <c r="N26" s="975"/>
      <c r="O26" s="975"/>
      <c r="P26" s="975"/>
      <c r="Q26" s="975"/>
      <c r="R26" s="975"/>
      <c r="S26" s="975"/>
      <c r="T26" s="975"/>
      <c r="U26" s="975"/>
      <c r="V26" s="975"/>
      <c r="W26" s="975"/>
      <c r="X26" s="975"/>
      <c r="Y26" s="975"/>
      <c r="Z26" s="975"/>
      <c r="AA26" s="975"/>
      <c r="AB26" s="975"/>
      <c r="AC26" s="975"/>
      <c r="AD26" s="976" t="s">
        <v>521</v>
      </c>
      <c r="AE26" s="977"/>
      <c r="AF26" s="977"/>
      <c r="AG26" s="977"/>
      <c r="AH26" s="977"/>
      <c r="AI26" s="977"/>
      <c r="AJ26" s="978"/>
    </row>
    <row r="27" spans="1:37" ht="74.25" customHeight="1">
      <c r="A27" s="658">
        <v>5</v>
      </c>
      <c r="B27" s="973" t="s">
        <v>524</v>
      </c>
      <c r="C27" s="973"/>
      <c r="D27" s="973"/>
      <c r="E27" s="973"/>
      <c r="F27" s="973"/>
      <c r="G27" s="973"/>
      <c r="H27" s="973"/>
      <c r="I27" s="973"/>
      <c r="J27" s="974" t="s">
        <v>525</v>
      </c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75"/>
      <c r="V27" s="975"/>
      <c r="W27" s="975"/>
      <c r="X27" s="975"/>
      <c r="Y27" s="975"/>
      <c r="Z27" s="975"/>
      <c r="AA27" s="975"/>
      <c r="AB27" s="975"/>
      <c r="AC27" s="975"/>
      <c r="AD27" s="976" t="s">
        <v>521</v>
      </c>
      <c r="AE27" s="977"/>
      <c r="AF27" s="977"/>
      <c r="AG27" s="977"/>
      <c r="AH27" s="977"/>
      <c r="AI27" s="977"/>
      <c r="AJ27" s="978"/>
    </row>
    <row r="28" spans="1:37" ht="13.75" customHeight="1">
      <c r="A28" s="658">
        <v>6</v>
      </c>
      <c r="B28" s="973" t="s">
        <v>526</v>
      </c>
      <c r="C28" s="973"/>
      <c r="D28" s="973"/>
      <c r="E28" s="973"/>
      <c r="F28" s="973"/>
      <c r="G28" s="973"/>
      <c r="H28" s="973"/>
      <c r="I28" s="973"/>
      <c r="J28" s="975" t="s">
        <v>527</v>
      </c>
      <c r="K28" s="975"/>
      <c r="L28" s="975"/>
      <c r="M28" s="975"/>
      <c r="N28" s="975"/>
      <c r="O28" s="975"/>
      <c r="P28" s="975"/>
      <c r="Q28" s="975"/>
      <c r="R28" s="975"/>
      <c r="S28" s="975"/>
      <c r="T28" s="975"/>
      <c r="U28" s="975"/>
      <c r="V28" s="975"/>
      <c r="W28" s="975"/>
      <c r="X28" s="975"/>
      <c r="Y28" s="975"/>
      <c r="Z28" s="975"/>
      <c r="AA28" s="975"/>
      <c r="AB28" s="975"/>
      <c r="AC28" s="975"/>
      <c r="AD28" s="976" t="s">
        <v>521</v>
      </c>
      <c r="AE28" s="977"/>
      <c r="AF28" s="977"/>
      <c r="AG28" s="977"/>
      <c r="AH28" s="977"/>
      <c r="AI28" s="977"/>
      <c r="AJ28" s="978"/>
    </row>
    <row r="29" spans="1:37" ht="13.75" customHeight="1">
      <c r="A29" s="658"/>
      <c r="B29" s="973"/>
      <c r="C29" s="973"/>
      <c r="D29" s="973"/>
      <c r="E29" s="973"/>
      <c r="F29" s="973"/>
      <c r="G29" s="973"/>
      <c r="H29" s="973"/>
      <c r="I29" s="973"/>
      <c r="J29" s="975"/>
      <c r="K29" s="975"/>
      <c r="L29" s="975"/>
      <c r="M29" s="975"/>
      <c r="N29" s="975"/>
      <c r="O29" s="975"/>
      <c r="P29" s="975"/>
      <c r="Q29" s="975"/>
      <c r="R29" s="975"/>
      <c r="S29" s="975"/>
      <c r="T29" s="975"/>
      <c r="U29" s="975"/>
      <c r="V29" s="975"/>
      <c r="W29" s="975"/>
      <c r="X29" s="975"/>
      <c r="Y29" s="975"/>
      <c r="Z29" s="975"/>
      <c r="AA29" s="975"/>
      <c r="AB29" s="975"/>
      <c r="AC29" s="975"/>
      <c r="AD29" s="976"/>
      <c r="AE29" s="977"/>
      <c r="AF29" s="977"/>
      <c r="AG29" s="977"/>
      <c r="AH29" s="977"/>
      <c r="AI29" s="977"/>
      <c r="AJ29" s="978"/>
    </row>
    <row r="30" spans="1:37">
      <c r="A30" s="819" t="s">
        <v>22</v>
      </c>
      <c r="B30" s="819"/>
      <c r="C30" s="819"/>
      <c r="D30" s="819"/>
      <c r="E30" s="819"/>
      <c r="F30" s="819"/>
      <c r="G30" s="819"/>
      <c r="H30" s="819"/>
      <c r="I30" s="819"/>
      <c r="J30" s="661"/>
      <c r="K30" s="662"/>
      <c r="L30" s="662"/>
      <c r="M30" s="662"/>
      <c r="N30" s="662"/>
      <c r="O30" s="662"/>
      <c r="P30" s="662"/>
      <c r="Q30" s="662"/>
      <c r="R30" s="662"/>
      <c r="S30" s="662"/>
      <c r="T30" s="657"/>
      <c r="U30" s="657"/>
      <c r="V30" s="657"/>
      <c r="W30" s="657"/>
      <c r="X30" s="657"/>
      <c r="Y30" s="657"/>
      <c r="Z30" s="657"/>
      <c r="AA30" s="657"/>
      <c r="AB30" s="657"/>
      <c r="AC30" s="657"/>
      <c r="AD30" s="657"/>
      <c r="AE30" s="657"/>
      <c r="AF30" s="657"/>
      <c r="AG30" s="657"/>
      <c r="AH30" s="657"/>
      <c r="AI30" s="657"/>
      <c r="AJ30" s="663"/>
    </row>
    <row r="31" spans="1:37">
      <c r="A31" s="664" t="s">
        <v>528</v>
      </c>
      <c r="B31" s="662"/>
      <c r="C31" s="665" t="s">
        <v>529</v>
      </c>
      <c r="D31" s="662"/>
      <c r="E31" s="662"/>
      <c r="F31" s="662"/>
      <c r="G31" s="662"/>
      <c r="H31" s="662"/>
      <c r="I31" s="662"/>
      <c r="J31" s="665"/>
      <c r="K31" s="665"/>
      <c r="L31" s="665"/>
      <c r="M31" s="665"/>
      <c r="N31" s="665"/>
      <c r="O31" s="665"/>
      <c r="P31" s="665"/>
      <c r="Q31" s="665"/>
      <c r="R31" s="665"/>
      <c r="S31" s="665"/>
      <c r="T31" s="655"/>
      <c r="U31" s="655"/>
      <c r="V31" s="655"/>
      <c r="W31" s="655"/>
      <c r="X31" s="655"/>
      <c r="Y31" s="655"/>
      <c r="Z31" s="655"/>
      <c r="AA31" s="655"/>
      <c r="AB31" s="655"/>
      <c r="AC31" s="655"/>
      <c r="AD31" s="655"/>
      <c r="AE31" s="655"/>
      <c r="AF31" s="655"/>
      <c r="AG31" s="655"/>
      <c r="AH31" s="655"/>
      <c r="AI31" s="655"/>
      <c r="AJ31" s="666"/>
    </row>
    <row r="32" spans="1:37">
      <c r="A32" s="653"/>
      <c r="B32" s="665"/>
      <c r="C32" s="665" t="s">
        <v>530</v>
      </c>
      <c r="D32" s="665"/>
      <c r="E32" s="665"/>
      <c r="F32" s="665"/>
      <c r="G32" s="665"/>
      <c r="H32" s="665"/>
      <c r="I32" s="665"/>
      <c r="J32" s="665"/>
      <c r="K32" s="665"/>
      <c r="L32" s="665"/>
      <c r="M32" s="665"/>
      <c r="N32" s="665"/>
      <c r="O32" s="665"/>
      <c r="P32" s="665"/>
      <c r="Q32" s="665"/>
      <c r="R32" s="665"/>
      <c r="S32" s="665"/>
      <c r="T32" s="655"/>
      <c r="U32" s="655"/>
      <c r="V32" s="655"/>
      <c r="W32" s="655"/>
      <c r="X32" s="655"/>
      <c r="Y32" s="655"/>
      <c r="Z32" s="655"/>
      <c r="AA32" s="655"/>
      <c r="AB32" s="655"/>
      <c r="AC32" s="655"/>
      <c r="AD32" s="655"/>
      <c r="AE32" s="655"/>
      <c r="AF32" s="655"/>
      <c r="AG32" s="655"/>
      <c r="AH32" s="655"/>
      <c r="AI32" s="655"/>
      <c r="AJ32" s="666"/>
    </row>
    <row r="33" spans="1:36">
      <c r="A33" s="653"/>
      <c r="B33" s="665"/>
      <c r="C33" s="665" t="s">
        <v>531</v>
      </c>
      <c r="D33" s="665"/>
      <c r="E33" s="665"/>
      <c r="F33" s="665"/>
      <c r="G33" s="665"/>
      <c r="H33" s="665"/>
      <c r="I33" s="665"/>
      <c r="J33" s="665"/>
      <c r="K33" s="665"/>
      <c r="L33" s="665"/>
      <c r="M33" s="665"/>
      <c r="N33" s="665"/>
      <c r="O33" s="665"/>
      <c r="P33" s="665"/>
      <c r="Q33" s="665"/>
      <c r="R33" s="665"/>
      <c r="S33" s="665"/>
      <c r="T33" s="655"/>
      <c r="U33" s="655"/>
      <c r="V33" s="655"/>
      <c r="W33" s="655"/>
      <c r="X33" s="655"/>
      <c r="Y33" s="655"/>
      <c r="Z33" s="655"/>
      <c r="AA33" s="655"/>
      <c r="AB33" s="655"/>
      <c r="AC33" s="655"/>
      <c r="AD33" s="655"/>
      <c r="AE33" s="655"/>
      <c r="AF33" s="655"/>
      <c r="AG33" s="655"/>
      <c r="AH33" s="655"/>
      <c r="AI33" s="655"/>
      <c r="AJ33" s="666"/>
    </row>
    <row r="34" spans="1:36">
      <c r="A34" s="653"/>
      <c r="B34" s="665"/>
      <c r="C34" s="665"/>
      <c r="D34" s="665"/>
      <c r="E34" s="665"/>
      <c r="F34" s="665"/>
      <c r="G34" s="665"/>
      <c r="H34" s="665"/>
      <c r="I34" s="665"/>
      <c r="J34" s="665"/>
      <c r="K34" s="665"/>
      <c r="L34" s="665"/>
      <c r="M34" s="665"/>
      <c r="N34" s="665"/>
      <c r="O34" s="665"/>
      <c r="P34" s="665"/>
      <c r="Q34" s="665"/>
      <c r="R34" s="665"/>
      <c r="S34" s="665"/>
      <c r="T34" s="655"/>
      <c r="U34" s="655"/>
      <c r="V34" s="655"/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66"/>
    </row>
    <row r="35" spans="1:36">
      <c r="A35" s="667"/>
      <c r="B35" s="668"/>
      <c r="C35" s="668"/>
      <c r="D35" s="668"/>
      <c r="E35" s="668"/>
      <c r="F35" s="668"/>
      <c r="G35" s="668"/>
      <c r="H35" s="668"/>
      <c r="I35" s="668"/>
      <c r="J35" s="668"/>
      <c r="K35" s="668"/>
      <c r="L35" s="668"/>
      <c r="M35" s="668"/>
      <c r="N35" s="668"/>
      <c r="O35" s="668"/>
      <c r="P35" s="668"/>
      <c r="Q35" s="668"/>
      <c r="R35" s="668"/>
      <c r="S35" s="668"/>
      <c r="T35" s="669"/>
      <c r="U35" s="669"/>
      <c r="V35" s="669"/>
      <c r="W35" s="669"/>
      <c r="X35" s="669"/>
      <c r="Y35" s="669"/>
      <c r="Z35" s="669"/>
      <c r="AA35" s="669"/>
      <c r="AB35" s="669"/>
      <c r="AC35" s="669"/>
      <c r="AD35" s="669"/>
      <c r="AE35" s="669"/>
      <c r="AF35" s="669"/>
      <c r="AG35" s="669"/>
      <c r="AH35" s="669"/>
      <c r="AI35" s="669"/>
      <c r="AJ35" s="670"/>
    </row>
  </sheetData>
  <mergeCells count="72">
    <mergeCell ref="B29:I29"/>
    <mergeCell ref="J29:AC29"/>
    <mergeCell ref="AD29:AJ29"/>
    <mergeCell ref="A30:I30"/>
    <mergeCell ref="B27:I27"/>
    <mergeCell ref="J27:AC27"/>
    <mergeCell ref="AD27:AJ27"/>
    <mergeCell ref="B28:I28"/>
    <mergeCell ref="J28:AC28"/>
    <mergeCell ref="AD28:AJ28"/>
    <mergeCell ref="B25:I25"/>
    <mergeCell ref="J25:AC25"/>
    <mergeCell ref="AD25:AJ25"/>
    <mergeCell ref="B26:I26"/>
    <mergeCell ref="J26:AC26"/>
    <mergeCell ref="AD26:AJ26"/>
    <mergeCell ref="B23:I23"/>
    <mergeCell ref="J23:AC23"/>
    <mergeCell ref="AD23:AJ23"/>
    <mergeCell ref="B24:I24"/>
    <mergeCell ref="J24:AC24"/>
    <mergeCell ref="AD24:AJ24"/>
    <mergeCell ref="B21:I21"/>
    <mergeCell ref="J21:AC21"/>
    <mergeCell ref="AD21:AJ21"/>
    <mergeCell ref="B22:I22"/>
    <mergeCell ref="J22:AC22"/>
    <mergeCell ref="AD22:AJ22"/>
    <mergeCell ref="B19:I19"/>
    <mergeCell ref="J19:AC19"/>
    <mergeCell ref="AD19:AJ19"/>
    <mergeCell ref="B20:I20"/>
    <mergeCell ref="J20:AC20"/>
    <mergeCell ref="AD20:AJ20"/>
    <mergeCell ref="B17:I17"/>
    <mergeCell ref="J17:AC17"/>
    <mergeCell ref="AD17:AJ17"/>
    <mergeCell ref="B18:I18"/>
    <mergeCell ref="J18:AC18"/>
    <mergeCell ref="AD18:AJ18"/>
    <mergeCell ref="B15:I15"/>
    <mergeCell ref="J15:AC15"/>
    <mergeCell ref="AD15:AJ15"/>
    <mergeCell ref="B16:I16"/>
    <mergeCell ref="J16:AC16"/>
    <mergeCell ref="AD16:AJ16"/>
    <mergeCell ref="B13:I13"/>
    <mergeCell ref="J13:AC13"/>
    <mergeCell ref="AD13:AJ13"/>
    <mergeCell ref="B14:I14"/>
    <mergeCell ref="J14:AC14"/>
    <mergeCell ref="AD14:AJ14"/>
    <mergeCell ref="B11:I11"/>
    <mergeCell ref="J11:AC11"/>
    <mergeCell ref="AD11:AJ11"/>
    <mergeCell ref="B12:I12"/>
    <mergeCell ref="J12:AC12"/>
    <mergeCell ref="AD12:AJ12"/>
    <mergeCell ref="B9:I9"/>
    <mergeCell ref="J9:AC9"/>
    <mergeCell ref="AD9:AJ9"/>
    <mergeCell ref="B10:I10"/>
    <mergeCell ref="J10:AC10"/>
    <mergeCell ref="AD10:AJ10"/>
    <mergeCell ref="A1:M1"/>
    <mergeCell ref="A2:AJ4"/>
    <mergeCell ref="A5:I5"/>
    <mergeCell ref="J5:AJ5"/>
    <mergeCell ref="A6:I7"/>
    <mergeCell ref="J6:AC8"/>
    <mergeCell ref="AD6:AJ8"/>
    <mergeCell ref="B8:I8"/>
  </mergeCells>
  <phoneticPr fontId="56"/>
  <dataValidations count="1">
    <dataValidation type="list" allowBlank="1" showInputMessage="1" showErrorMessage="1" sqref="WVR982940:WVW982961 WLV982940:WMA982961 WBZ982940:WCE982961 VSD982940:VSI982961 VIH982940:VIM982961 UYL982940:UYQ982961 UOP982940:UOU982961 UET982940:UEY982961 TUX982940:TVC982961 TLB982940:TLG982961 TBF982940:TBK982961 SRJ982940:SRO982961 SHN982940:SHS982961 RXR982940:RXW982961 RNV982940:ROA982961 RDZ982940:REE982961 QUD982940:QUI982961 QKH982940:QKM982961 QAL982940:QAQ982961 PQP982940:PQU982961 PGT982940:PGY982961 OWX982940:OXC982961 ONB982940:ONG982961 ODF982940:ODK982961 NTJ982940:NTO982961 NJN982940:NJS982961 MZR982940:MZW982961 MPV982940:MQA982961 MFZ982940:MGE982961 LWD982940:LWI982961 LMH982940:LMM982961 LCL982940:LCQ982961 KSP982940:KSU982961 KIT982940:KIY982961 JYX982940:JZC982961 JPB982940:JPG982961 JFF982940:JFK982961 IVJ982940:IVO982961 ILN982940:ILS982961 IBR982940:IBW982961 HRV982940:HSA982961 HHZ982940:HIE982961 GYD982940:GYI982961 GOH982940:GOM982961 GEL982940:GEQ982961 FUP982940:FUU982961 FKT982940:FKY982961 FAX982940:FBC982961 ERB982940:ERG982961 EHF982940:EHK982961 DXJ982940:DXO982961 DNN982940:DNS982961 DDR982940:DDW982961 CTV982940:CUA982961 CJZ982940:CKE982961 CAD982940:CAI982961 BQH982940:BQM982961 BGL982940:BGQ982961 AWP982940:AWU982961 AMT982940:AMY982961 ACX982940:ADC982961 TB982940:TG982961 JF982940:JK982961 J982940:O982961 WVR917404:WVW917425 WLV917404:WMA917425 WBZ917404:WCE917425 VSD917404:VSI917425 VIH917404:VIM917425 UYL917404:UYQ917425 UOP917404:UOU917425 UET917404:UEY917425 TUX917404:TVC917425 TLB917404:TLG917425 TBF917404:TBK917425 SRJ917404:SRO917425 SHN917404:SHS917425 RXR917404:RXW917425 RNV917404:ROA917425 RDZ917404:REE917425 QUD917404:QUI917425 QKH917404:QKM917425 QAL917404:QAQ917425 PQP917404:PQU917425 PGT917404:PGY917425 OWX917404:OXC917425 ONB917404:ONG917425 ODF917404:ODK917425 NTJ917404:NTO917425 NJN917404:NJS917425 MZR917404:MZW917425 MPV917404:MQA917425 MFZ917404:MGE917425 LWD917404:LWI917425 LMH917404:LMM917425 LCL917404:LCQ917425 KSP917404:KSU917425 KIT917404:KIY917425 JYX917404:JZC917425 JPB917404:JPG917425 JFF917404:JFK917425 IVJ917404:IVO917425 ILN917404:ILS917425 IBR917404:IBW917425 HRV917404:HSA917425 HHZ917404:HIE917425 GYD917404:GYI917425 GOH917404:GOM917425 GEL917404:GEQ917425 FUP917404:FUU917425 FKT917404:FKY917425 FAX917404:FBC917425 ERB917404:ERG917425 EHF917404:EHK917425 DXJ917404:DXO917425 DNN917404:DNS917425 DDR917404:DDW917425 CTV917404:CUA917425 CJZ917404:CKE917425 CAD917404:CAI917425 BQH917404:BQM917425 BGL917404:BGQ917425 AWP917404:AWU917425 AMT917404:AMY917425 ACX917404:ADC917425 TB917404:TG917425 JF917404:JK917425 J917404:O917425 WVR851868:WVW851889 WLV851868:WMA851889 WBZ851868:WCE851889 VSD851868:VSI851889 VIH851868:VIM851889 UYL851868:UYQ851889 UOP851868:UOU851889 UET851868:UEY851889 TUX851868:TVC851889 TLB851868:TLG851889 TBF851868:TBK851889 SRJ851868:SRO851889 SHN851868:SHS851889 RXR851868:RXW851889 RNV851868:ROA851889 RDZ851868:REE851889 QUD851868:QUI851889 QKH851868:QKM851889 QAL851868:QAQ851889 PQP851868:PQU851889 PGT851868:PGY851889 OWX851868:OXC851889 ONB851868:ONG851889 ODF851868:ODK851889 NTJ851868:NTO851889 NJN851868:NJS851889 MZR851868:MZW851889 MPV851868:MQA851889 MFZ851868:MGE851889 LWD851868:LWI851889 LMH851868:LMM851889 LCL851868:LCQ851889 KSP851868:KSU851889 KIT851868:KIY851889 JYX851868:JZC851889 JPB851868:JPG851889 JFF851868:JFK851889 IVJ851868:IVO851889 ILN851868:ILS851889 IBR851868:IBW851889 HRV851868:HSA851889 HHZ851868:HIE851889 GYD851868:GYI851889 GOH851868:GOM851889 GEL851868:GEQ851889 FUP851868:FUU851889 FKT851868:FKY851889 FAX851868:FBC851889 ERB851868:ERG851889 EHF851868:EHK851889 DXJ851868:DXO851889 DNN851868:DNS851889 DDR851868:DDW851889 CTV851868:CUA851889 CJZ851868:CKE851889 CAD851868:CAI851889 BQH851868:BQM851889 BGL851868:BGQ851889 AWP851868:AWU851889 AMT851868:AMY851889 ACX851868:ADC851889 TB851868:TG851889 JF851868:JK851889 J851868:O851889 WVR786332:WVW786353 WLV786332:WMA786353 WBZ786332:WCE786353 VSD786332:VSI786353 VIH786332:VIM786353 UYL786332:UYQ786353 UOP786332:UOU786353 UET786332:UEY786353 TUX786332:TVC786353 TLB786332:TLG786353 TBF786332:TBK786353 SRJ786332:SRO786353 SHN786332:SHS786353 RXR786332:RXW786353 RNV786332:ROA786353 RDZ786332:REE786353 QUD786332:QUI786353 QKH786332:QKM786353 QAL786332:QAQ786353 PQP786332:PQU786353 PGT786332:PGY786353 OWX786332:OXC786353 ONB786332:ONG786353 ODF786332:ODK786353 NTJ786332:NTO786353 NJN786332:NJS786353 MZR786332:MZW786353 MPV786332:MQA786353 MFZ786332:MGE786353 LWD786332:LWI786353 LMH786332:LMM786353 LCL786332:LCQ786353 KSP786332:KSU786353 KIT786332:KIY786353 JYX786332:JZC786353 JPB786332:JPG786353 JFF786332:JFK786353 IVJ786332:IVO786353 ILN786332:ILS786353 IBR786332:IBW786353 HRV786332:HSA786353 HHZ786332:HIE786353 GYD786332:GYI786353 GOH786332:GOM786353 GEL786332:GEQ786353 FUP786332:FUU786353 FKT786332:FKY786353 FAX786332:FBC786353 ERB786332:ERG786353 EHF786332:EHK786353 DXJ786332:DXO786353 DNN786332:DNS786353 DDR786332:DDW786353 CTV786332:CUA786353 CJZ786332:CKE786353 CAD786332:CAI786353 BQH786332:BQM786353 BGL786332:BGQ786353 AWP786332:AWU786353 AMT786332:AMY786353 ACX786332:ADC786353 TB786332:TG786353 JF786332:JK786353 J786332:O786353 WVR720796:WVW720817 WLV720796:WMA720817 WBZ720796:WCE720817 VSD720796:VSI720817 VIH720796:VIM720817 UYL720796:UYQ720817 UOP720796:UOU720817 UET720796:UEY720817 TUX720796:TVC720817 TLB720796:TLG720817 TBF720796:TBK720817 SRJ720796:SRO720817 SHN720796:SHS720817 RXR720796:RXW720817 RNV720796:ROA720817 RDZ720796:REE720817 QUD720796:QUI720817 QKH720796:QKM720817 QAL720796:QAQ720817 PQP720796:PQU720817 PGT720796:PGY720817 OWX720796:OXC720817 ONB720796:ONG720817 ODF720796:ODK720817 NTJ720796:NTO720817 NJN720796:NJS720817 MZR720796:MZW720817 MPV720796:MQA720817 MFZ720796:MGE720817 LWD720796:LWI720817 LMH720796:LMM720817 LCL720796:LCQ720817 KSP720796:KSU720817 KIT720796:KIY720817 JYX720796:JZC720817 JPB720796:JPG720817 JFF720796:JFK720817 IVJ720796:IVO720817 ILN720796:ILS720817 IBR720796:IBW720817 HRV720796:HSA720817 HHZ720796:HIE720817 GYD720796:GYI720817 GOH720796:GOM720817 GEL720796:GEQ720817 FUP720796:FUU720817 FKT720796:FKY720817 FAX720796:FBC720817 ERB720796:ERG720817 EHF720796:EHK720817 DXJ720796:DXO720817 DNN720796:DNS720817 DDR720796:DDW720817 CTV720796:CUA720817 CJZ720796:CKE720817 CAD720796:CAI720817 BQH720796:BQM720817 BGL720796:BGQ720817 AWP720796:AWU720817 AMT720796:AMY720817 ACX720796:ADC720817 TB720796:TG720817 JF720796:JK720817 J720796:O720817 WVR655260:WVW655281 WLV655260:WMA655281 WBZ655260:WCE655281 VSD655260:VSI655281 VIH655260:VIM655281 UYL655260:UYQ655281 UOP655260:UOU655281 UET655260:UEY655281 TUX655260:TVC655281 TLB655260:TLG655281 TBF655260:TBK655281 SRJ655260:SRO655281 SHN655260:SHS655281 RXR655260:RXW655281 RNV655260:ROA655281 RDZ655260:REE655281 QUD655260:QUI655281 QKH655260:QKM655281 QAL655260:QAQ655281 PQP655260:PQU655281 PGT655260:PGY655281 OWX655260:OXC655281 ONB655260:ONG655281 ODF655260:ODK655281 NTJ655260:NTO655281 NJN655260:NJS655281 MZR655260:MZW655281 MPV655260:MQA655281 MFZ655260:MGE655281 LWD655260:LWI655281 LMH655260:LMM655281 LCL655260:LCQ655281 KSP655260:KSU655281 KIT655260:KIY655281 JYX655260:JZC655281 JPB655260:JPG655281 JFF655260:JFK655281 IVJ655260:IVO655281 ILN655260:ILS655281 IBR655260:IBW655281 HRV655260:HSA655281 HHZ655260:HIE655281 GYD655260:GYI655281 GOH655260:GOM655281 GEL655260:GEQ655281 FUP655260:FUU655281 FKT655260:FKY655281 FAX655260:FBC655281 ERB655260:ERG655281 EHF655260:EHK655281 DXJ655260:DXO655281 DNN655260:DNS655281 DDR655260:DDW655281 CTV655260:CUA655281 CJZ655260:CKE655281 CAD655260:CAI655281 BQH655260:BQM655281 BGL655260:BGQ655281 AWP655260:AWU655281 AMT655260:AMY655281 ACX655260:ADC655281 TB655260:TG655281 JF655260:JK655281 J655260:O655281 WVR589724:WVW589745 WLV589724:WMA589745 WBZ589724:WCE589745 VSD589724:VSI589745 VIH589724:VIM589745 UYL589724:UYQ589745 UOP589724:UOU589745 UET589724:UEY589745 TUX589724:TVC589745 TLB589724:TLG589745 TBF589724:TBK589745 SRJ589724:SRO589745 SHN589724:SHS589745 RXR589724:RXW589745 RNV589724:ROA589745 RDZ589724:REE589745 QUD589724:QUI589745 QKH589724:QKM589745 QAL589724:QAQ589745 PQP589724:PQU589745 PGT589724:PGY589745 OWX589724:OXC589745 ONB589724:ONG589745 ODF589724:ODK589745 NTJ589724:NTO589745 NJN589724:NJS589745 MZR589724:MZW589745 MPV589724:MQA589745 MFZ589724:MGE589745 LWD589724:LWI589745 LMH589724:LMM589745 LCL589724:LCQ589745 KSP589724:KSU589745 KIT589724:KIY589745 JYX589724:JZC589745 JPB589724:JPG589745 JFF589724:JFK589745 IVJ589724:IVO589745 ILN589724:ILS589745 IBR589724:IBW589745 HRV589724:HSA589745 HHZ589724:HIE589745 GYD589724:GYI589745 GOH589724:GOM589745 GEL589724:GEQ589745 FUP589724:FUU589745 FKT589724:FKY589745 FAX589724:FBC589745 ERB589724:ERG589745 EHF589724:EHK589745 DXJ589724:DXO589745 DNN589724:DNS589745 DDR589724:DDW589745 CTV589724:CUA589745 CJZ589724:CKE589745 CAD589724:CAI589745 BQH589724:BQM589745 BGL589724:BGQ589745 AWP589724:AWU589745 AMT589724:AMY589745 ACX589724:ADC589745 TB589724:TG589745 JF589724:JK589745 J589724:O589745 WVR524188:WVW524209 WLV524188:WMA524209 WBZ524188:WCE524209 VSD524188:VSI524209 VIH524188:VIM524209 UYL524188:UYQ524209 UOP524188:UOU524209 UET524188:UEY524209 TUX524188:TVC524209 TLB524188:TLG524209 TBF524188:TBK524209 SRJ524188:SRO524209 SHN524188:SHS524209 RXR524188:RXW524209 RNV524188:ROA524209 RDZ524188:REE524209 QUD524188:QUI524209 QKH524188:QKM524209 QAL524188:QAQ524209 PQP524188:PQU524209 PGT524188:PGY524209 OWX524188:OXC524209 ONB524188:ONG524209 ODF524188:ODK524209 NTJ524188:NTO524209 NJN524188:NJS524209 MZR524188:MZW524209 MPV524188:MQA524209 MFZ524188:MGE524209 LWD524188:LWI524209 LMH524188:LMM524209 LCL524188:LCQ524209 KSP524188:KSU524209 KIT524188:KIY524209 JYX524188:JZC524209 JPB524188:JPG524209 JFF524188:JFK524209 IVJ524188:IVO524209 ILN524188:ILS524209 IBR524188:IBW524209 HRV524188:HSA524209 HHZ524188:HIE524209 GYD524188:GYI524209 GOH524188:GOM524209 GEL524188:GEQ524209 FUP524188:FUU524209 FKT524188:FKY524209 FAX524188:FBC524209 ERB524188:ERG524209 EHF524188:EHK524209 DXJ524188:DXO524209 DNN524188:DNS524209 DDR524188:DDW524209 CTV524188:CUA524209 CJZ524188:CKE524209 CAD524188:CAI524209 BQH524188:BQM524209 BGL524188:BGQ524209 AWP524188:AWU524209 AMT524188:AMY524209 ACX524188:ADC524209 TB524188:TG524209 JF524188:JK524209 J524188:O524209 WVR458652:WVW458673 WLV458652:WMA458673 WBZ458652:WCE458673 VSD458652:VSI458673 VIH458652:VIM458673 UYL458652:UYQ458673 UOP458652:UOU458673 UET458652:UEY458673 TUX458652:TVC458673 TLB458652:TLG458673 TBF458652:TBK458673 SRJ458652:SRO458673 SHN458652:SHS458673 RXR458652:RXW458673 RNV458652:ROA458673 RDZ458652:REE458673 QUD458652:QUI458673 QKH458652:QKM458673 QAL458652:QAQ458673 PQP458652:PQU458673 PGT458652:PGY458673 OWX458652:OXC458673 ONB458652:ONG458673 ODF458652:ODK458673 NTJ458652:NTO458673 NJN458652:NJS458673 MZR458652:MZW458673 MPV458652:MQA458673 MFZ458652:MGE458673 LWD458652:LWI458673 LMH458652:LMM458673 LCL458652:LCQ458673 KSP458652:KSU458673 KIT458652:KIY458673 JYX458652:JZC458673 JPB458652:JPG458673 JFF458652:JFK458673 IVJ458652:IVO458673 ILN458652:ILS458673 IBR458652:IBW458673 HRV458652:HSA458673 HHZ458652:HIE458673 GYD458652:GYI458673 GOH458652:GOM458673 GEL458652:GEQ458673 FUP458652:FUU458673 FKT458652:FKY458673 FAX458652:FBC458673 ERB458652:ERG458673 EHF458652:EHK458673 DXJ458652:DXO458673 DNN458652:DNS458673 DDR458652:DDW458673 CTV458652:CUA458673 CJZ458652:CKE458673 CAD458652:CAI458673 BQH458652:BQM458673 BGL458652:BGQ458673 AWP458652:AWU458673 AMT458652:AMY458673 ACX458652:ADC458673 TB458652:TG458673 JF458652:JK458673 J458652:O458673 WVR393116:WVW393137 WLV393116:WMA393137 WBZ393116:WCE393137 VSD393116:VSI393137 VIH393116:VIM393137 UYL393116:UYQ393137 UOP393116:UOU393137 UET393116:UEY393137 TUX393116:TVC393137 TLB393116:TLG393137 TBF393116:TBK393137 SRJ393116:SRO393137 SHN393116:SHS393137 RXR393116:RXW393137 RNV393116:ROA393137 RDZ393116:REE393137 QUD393116:QUI393137 QKH393116:QKM393137 QAL393116:QAQ393137 PQP393116:PQU393137 PGT393116:PGY393137 OWX393116:OXC393137 ONB393116:ONG393137 ODF393116:ODK393137 NTJ393116:NTO393137 NJN393116:NJS393137 MZR393116:MZW393137 MPV393116:MQA393137 MFZ393116:MGE393137 LWD393116:LWI393137 LMH393116:LMM393137 LCL393116:LCQ393137 KSP393116:KSU393137 KIT393116:KIY393137 JYX393116:JZC393137 JPB393116:JPG393137 JFF393116:JFK393137 IVJ393116:IVO393137 ILN393116:ILS393137 IBR393116:IBW393137 HRV393116:HSA393137 HHZ393116:HIE393137 GYD393116:GYI393137 GOH393116:GOM393137 GEL393116:GEQ393137 FUP393116:FUU393137 FKT393116:FKY393137 FAX393116:FBC393137 ERB393116:ERG393137 EHF393116:EHK393137 DXJ393116:DXO393137 DNN393116:DNS393137 DDR393116:DDW393137 CTV393116:CUA393137 CJZ393116:CKE393137 CAD393116:CAI393137 BQH393116:BQM393137 BGL393116:BGQ393137 AWP393116:AWU393137 AMT393116:AMY393137 ACX393116:ADC393137 TB393116:TG393137 JF393116:JK393137 J393116:O393137 WVR327580:WVW327601 WLV327580:WMA327601 WBZ327580:WCE327601 VSD327580:VSI327601 VIH327580:VIM327601 UYL327580:UYQ327601 UOP327580:UOU327601 UET327580:UEY327601 TUX327580:TVC327601 TLB327580:TLG327601 TBF327580:TBK327601 SRJ327580:SRO327601 SHN327580:SHS327601 RXR327580:RXW327601 RNV327580:ROA327601 RDZ327580:REE327601 QUD327580:QUI327601 QKH327580:QKM327601 QAL327580:QAQ327601 PQP327580:PQU327601 PGT327580:PGY327601 OWX327580:OXC327601 ONB327580:ONG327601 ODF327580:ODK327601 NTJ327580:NTO327601 NJN327580:NJS327601 MZR327580:MZW327601 MPV327580:MQA327601 MFZ327580:MGE327601 LWD327580:LWI327601 LMH327580:LMM327601 LCL327580:LCQ327601 KSP327580:KSU327601 KIT327580:KIY327601 JYX327580:JZC327601 JPB327580:JPG327601 JFF327580:JFK327601 IVJ327580:IVO327601 ILN327580:ILS327601 IBR327580:IBW327601 HRV327580:HSA327601 HHZ327580:HIE327601 GYD327580:GYI327601 GOH327580:GOM327601 GEL327580:GEQ327601 FUP327580:FUU327601 FKT327580:FKY327601 FAX327580:FBC327601 ERB327580:ERG327601 EHF327580:EHK327601 DXJ327580:DXO327601 DNN327580:DNS327601 DDR327580:DDW327601 CTV327580:CUA327601 CJZ327580:CKE327601 CAD327580:CAI327601 BQH327580:BQM327601 BGL327580:BGQ327601 AWP327580:AWU327601 AMT327580:AMY327601 ACX327580:ADC327601 TB327580:TG327601 JF327580:JK327601 J327580:O327601 WVR262044:WVW262065 WLV262044:WMA262065 WBZ262044:WCE262065 VSD262044:VSI262065 VIH262044:VIM262065 UYL262044:UYQ262065 UOP262044:UOU262065 UET262044:UEY262065 TUX262044:TVC262065 TLB262044:TLG262065 TBF262044:TBK262065 SRJ262044:SRO262065 SHN262044:SHS262065 RXR262044:RXW262065 RNV262044:ROA262065 RDZ262044:REE262065 QUD262044:QUI262065 QKH262044:QKM262065 QAL262044:QAQ262065 PQP262044:PQU262065 PGT262044:PGY262065 OWX262044:OXC262065 ONB262044:ONG262065 ODF262044:ODK262065 NTJ262044:NTO262065 NJN262044:NJS262065 MZR262044:MZW262065 MPV262044:MQA262065 MFZ262044:MGE262065 LWD262044:LWI262065 LMH262044:LMM262065 LCL262044:LCQ262065 KSP262044:KSU262065 KIT262044:KIY262065 JYX262044:JZC262065 JPB262044:JPG262065 JFF262044:JFK262065 IVJ262044:IVO262065 ILN262044:ILS262065 IBR262044:IBW262065 HRV262044:HSA262065 HHZ262044:HIE262065 GYD262044:GYI262065 GOH262044:GOM262065 GEL262044:GEQ262065 FUP262044:FUU262065 FKT262044:FKY262065 FAX262044:FBC262065 ERB262044:ERG262065 EHF262044:EHK262065 DXJ262044:DXO262065 DNN262044:DNS262065 DDR262044:DDW262065 CTV262044:CUA262065 CJZ262044:CKE262065 CAD262044:CAI262065 BQH262044:BQM262065 BGL262044:BGQ262065 AWP262044:AWU262065 AMT262044:AMY262065 ACX262044:ADC262065 TB262044:TG262065 JF262044:JK262065 J262044:O262065 WVR196508:WVW196529 WLV196508:WMA196529 WBZ196508:WCE196529 VSD196508:VSI196529 VIH196508:VIM196529 UYL196508:UYQ196529 UOP196508:UOU196529 UET196508:UEY196529 TUX196508:TVC196529 TLB196508:TLG196529 TBF196508:TBK196529 SRJ196508:SRO196529 SHN196508:SHS196529 RXR196508:RXW196529 RNV196508:ROA196529 RDZ196508:REE196529 QUD196508:QUI196529 QKH196508:QKM196529 QAL196508:QAQ196529 PQP196508:PQU196529 PGT196508:PGY196529 OWX196508:OXC196529 ONB196508:ONG196529 ODF196508:ODK196529 NTJ196508:NTO196529 NJN196508:NJS196529 MZR196508:MZW196529 MPV196508:MQA196529 MFZ196508:MGE196529 LWD196508:LWI196529 LMH196508:LMM196529 LCL196508:LCQ196529 KSP196508:KSU196529 KIT196508:KIY196529 JYX196508:JZC196529 JPB196508:JPG196529 JFF196508:JFK196529 IVJ196508:IVO196529 ILN196508:ILS196529 IBR196508:IBW196529 HRV196508:HSA196529 HHZ196508:HIE196529 GYD196508:GYI196529 GOH196508:GOM196529 GEL196508:GEQ196529 FUP196508:FUU196529 FKT196508:FKY196529 FAX196508:FBC196529 ERB196508:ERG196529 EHF196508:EHK196529 DXJ196508:DXO196529 DNN196508:DNS196529 DDR196508:DDW196529 CTV196508:CUA196529 CJZ196508:CKE196529 CAD196508:CAI196529 BQH196508:BQM196529 BGL196508:BGQ196529 AWP196508:AWU196529 AMT196508:AMY196529 ACX196508:ADC196529 TB196508:TG196529 JF196508:JK196529 J196508:O196529 WVR130972:WVW130993 WLV130972:WMA130993 WBZ130972:WCE130993 VSD130972:VSI130993 VIH130972:VIM130993 UYL130972:UYQ130993 UOP130972:UOU130993 UET130972:UEY130993 TUX130972:TVC130993 TLB130972:TLG130993 TBF130972:TBK130993 SRJ130972:SRO130993 SHN130972:SHS130993 RXR130972:RXW130993 RNV130972:ROA130993 RDZ130972:REE130993 QUD130972:QUI130993 QKH130972:QKM130993 QAL130972:QAQ130993 PQP130972:PQU130993 PGT130972:PGY130993 OWX130972:OXC130993 ONB130972:ONG130993 ODF130972:ODK130993 NTJ130972:NTO130993 NJN130972:NJS130993 MZR130972:MZW130993 MPV130972:MQA130993 MFZ130972:MGE130993 LWD130972:LWI130993 LMH130972:LMM130993 LCL130972:LCQ130993 KSP130972:KSU130993 KIT130972:KIY130993 JYX130972:JZC130993 JPB130972:JPG130993 JFF130972:JFK130993 IVJ130972:IVO130993 ILN130972:ILS130993 IBR130972:IBW130993 HRV130972:HSA130993 HHZ130972:HIE130993 GYD130972:GYI130993 GOH130972:GOM130993 GEL130972:GEQ130993 FUP130972:FUU130993 FKT130972:FKY130993 FAX130972:FBC130993 ERB130972:ERG130993 EHF130972:EHK130993 DXJ130972:DXO130993 DNN130972:DNS130993 DDR130972:DDW130993 CTV130972:CUA130993 CJZ130972:CKE130993 CAD130972:CAI130993 BQH130972:BQM130993 BGL130972:BGQ130993 AWP130972:AWU130993 AMT130972:AMY130993 ACX130972:ADC130993 TB130972:TG130993 JF130972:JK130993 J130972:O130993 WVR65436:WVW65457 WLV65436:WMA65457 WBZ65436:WCE65457 VSD65436:VSI65457 VIH65436:VIM65457 UYL65436:UYQ65457 UOP65436:UOU65457 UET65436:UEY65457 TUX65436:TVC65457 TLB65436:TLG65457 TBF65436:TBK65457 SRJ65436:SRO65457 SHN65436:SHS65457 RXR65436:RXW65457 RNV65436:ROA65457 RDZ65436:REE65457 QUD65436:QUI65457 QKH65436:QKM65457 QAL65436:QAQ65457 PQP65436:PQU65457 PGT65436:PGY65457 OWX65436:OXC65457 ONB65436:ONG65457 ODF65436:ODK65457 NTJ65436:NTO65457 NJN65436:NJS65457 MZR65436:MZW65457 MPV65436:MQA65457 MFZ65436:MGE65457 LWD65436:LWI65457 LMH65436:LMM65457 LCL65436:LCQ65457 KSP65436:KSU65457 KIT65436:KIY65457 JYX65436:JZC65457 JPB65436:JPG65457 JFF65436:JFK65457 IVJ65436:IVO65457 ILN65436:ILS65457 IBR65436:IBW65457 HRV65436:HSA65457 HHZ65436:HIE65457 GYD65436:GYI65457 GOH65436:GOM65457 GEL65436:GEQ65457 FUP65436:FUU65457 FKT65436:FKY65457 FAX65436:FBC65457 ERB65436:ERG65457 EHF65436:EHK65457 DXJ65436:DXO65457 DNN65436:DNS65457 DDR65436:DDW65457 CTV65436:CUA65457 CJZ65436:CKE65457 CAD65436:CAI65457 BQH65436:BQM65457 BGL65436:BGQ65457 AWP65436:AWU65457 AMT65436:AMY65457 ACX65436:ADC65457 TB65436:TG65457 JF65436:JK65457 J65436:O65457 WWF982940:WWM982961 WMJ982940:WMQ982961 WCN982940:WCU982961 VSR982940:VSY982961 VIV982940:VJC982961 UYZ982940:UZG982961 UPD982940:UPK982961 UFH982940:UFO982961 TVL982940:TVS982961 TLP982940:TLW982961 TBT982940:TCA982961 SRX982940:SSE982961 SIB982940:SII982961 RYF982940:RYM982961 ROJ982940:ROQ982961 REN982940:REU982961 QUR982940:QUY982961 QKV982940:QLC982961 QAZ982940:QBG982961 PRD982940:PRK982961 PHH982940:PHO982961 OXL982940:OXS982961 ONP982940:ONW982961 ODT982940:OEA982961 NTX982940:NUE982961 NKB982940:NKI982961 NAF982940:NAM982961 MQJ982940:MQQ982961 MGN982940:MGU982961 LWR982940:LWY982961 LMV982940:LNC982961 LCZ982940:LDG982961 KTD982940:KTK982961 KJH982940:KJO982961 JZL982940:JZS982961 JPP982940:JPW982961 JFT982940:JGA982961 IVX982940:IWE982961 IMB982940:IMI982961 ICF982940:ICM982961 HSJ982940:HSQ982961 HIN982940:HIU982961 GYR982940:GYY982961 GOV982940:GPC982961 GEZ982940:GFG982961 FVD982940:FVK982961 FLH982940:FLO982961 FBL982940:FBS982961 ERP982940:ERW982961 EHT982940:EIA982961 DXX982940:DYE982961 DOB982940:DOI982961 DEF982940:DEM982961 CUJ982940:CUQ982961 CKN982940:CKU982961 CAR982940:CAY982961 BQV982940:BRC982961 BGZ982940:BHG982961 AXD982940:AXK982961 ANH982940:ANO982961 ADL982940:ADS982961 TP982940:TW982961 JT982940:KA982961 X982940:AE982961 WWF917404:WWM917425 WMJ917404:WMQ917425 WCN917404:WCU917425 VSR917404:VSY917425 VIV917404:VJC917425 UYZ917404:UZG917425 UPD917404:UPK917425 UFH917404:UFO917425 TVL917404:TVS917425 TLP917404:TLW917425 TBT917404:TCA917425 SRX917404:SSE917425 SIB917404:SII917425 RYF917404:RYM917425 ROJ917404:ROQ917425 REN917404:REU917425 QUR917404:QUY917425 QKV917404:QLC917425 QAZ917404:QBG917425 PRD917404:PRK917425 PHH917404:PHO917425 OXL917404:OXS917425 ONP917404:ONW917425 ODT917404:OEA917425 NTX917404:NUE917425 NKB917404:NKI917425 NAF917404:NAM917425 MQJ917404:MQQ917425 MGN917404:MGU917425 LWR917404:LWY917425 LMV917404:LNC917425 LCZ917404:LDG917425 KTD917404:KTK917425 KJH917404:KJO917425 JZL917404:JZS917425 JPP917404:JPW917425 JFT917404:JGA917425 IVX917404:IWE917425 IMB917404:IMI917425 ICF917404:ICM917425 HSJ917404:HSQ917425 HIN917404:HIU917425 GYR917404:GYY917425 GOV917404:GPC917425 GEZ917404:GFG917425 FVD917404:FVK917425 FLH917404:FLO917425 FBL917404:FBS917425 ERP917404:ERW917425 EHT917404:EIA917425 DXX917404:DYE917425 DOB917404:DOI917425 DEF917404:DEM917425 CUJ917404:CUQ917425 CKN917404:CKU917425 CAR917404:CAY917425 BQV917404:BRC917425 BGZ917404:BHG917425 AXD917404:AXK917425 ANH917404:ANO917425 ADL917404:ADS917425 TP917404:TW917425 JT917404:KA917425 X917404:AE917425 WWF851868:WWM851889 WMJ851868:WMQ851889 WCN851868:WCU851889 VSR851868:VSY851889 VIV851868:VJC851889 UYZ851868:UZG851889 UPD851868:UPK851889 UFH851868:UFO851889 TVL851868:TVS851889 TLP851868:TLW851889 TBT851868:TCA851889 SRX851868:SSE851889 SIB851868:SII851889 RYF851868:RYM851889 ROJ851868:ROQ851889 REN851868:REU851889 QUR851868:QUY851889 QKV851868:QLC851889 QAZ851868:QBG851889 PRD851868:PRK851889 PHH851868:PHO851889 OXL851868:OXS851889 ONP851868:ONW851889 ODT851868:OEA851889 NTX851868:NUE851889 NKB851868:NKI851889 NAF851868:NAM851889 MQJ851868:MQQ851889 MGN851868:MGU851889 LWR851868:LWY851889 LMV851868:LNC851889 LCZ851868:LDG851889 KTD851868:KTK851889 KJH851868:KJO851889 JZL851868:JZS851889 JPP851868:JPW851889 JFT851868:JGA851889 IVX851868:IWE851889 IMB851868:IMI851889 ICF851868:ICM851889 HSJ851868:HSQ851889 HIN851868:HIU851889 GYR851868:GYY851889 GOV851868:GPC851889 GEZ851868:GFG851889 FVD851868:FVK851889 FLH851868:FLO851889 FBL851868:FBS851889 ERP851868:ERW851889 EHT851868:EIA851889 DXX851868:DYE851889 DOB851868:DOI851889 DEF851868:DEM851889 CUJ851868:CUQ851889 CKN851868:CKU851889 CAR851868:CAY851889 BQV851868:BRC851889 BGZ851868:BHG851889 AXD851868:AXK851889 ANH851868:ANO851889 ADL851868:ADS851889 TP851868:TW851889 JT851868:KA851889 X851868:AE851889 WWF786332:WWM786353 WMJ786332:WMQ786353 WCN786332:WCU786353 VSR786332:VSY786353 VIV786332:VJC786353 UYZ786332:UZG786353 UPD786332:UPK786353 UFH786332:UFO786353 TVL786332:TVS786353 TLP786332:TLW786353 TBT786332:TCA786353 SRX786332:SSE786353 SIB786332:SII786353 RYF786332:RYM786353 ROJ786332:ROQ786353 REN786332:REU786353 QUR786332:QUY786353 QKV786332:QLC786353 QAZ786332:QBG786353 PRD786332:PRK786353 PHH786332:PHO786353 OXL786332:OXS786353 ONP786332:ONW786353 ODT786332:OEA786353 NTX786332:NUE786353 NKB786332:NKI786353 NAF786332:NAM786353 MQJ786332:MQQ786353 MGN786332:MGU786353 LWR786332:LWY786353 LMV786332:LNC786353 LCZ786332:LDG786353 KTD786332:KTK786353 KJH786332:KJO786353 JZL786332:JZS786353 JPP786332:JPW786353 JFT786332:JGA786353 IVX786332:IWE786353 IMB786332:IMI786353 ICF786332:ICM786353 HSJ786332:HSQ786353 HIN786332:HIU786353 GYR786332:GYY786353 GOV786332:GPC786353 GEZ786332:GFG786353 FVD786332:FVK786353 FLH786332:FLO786353 FBL786332:FBS786353 ERP786332:ERW786353 EHT786332:EIA786353 DXX786332:DYE786353 DOB786332:DOI786353 DEF786332:DEM786353 CUJ786332:CUQ786353 CKN786332:CKU786353 CAR786332:CAY786353 BQV786332:BRC786353 BGZ786332:BHG786353 AXD786332:AXK786353 ANH786332:ANO786353 ADL786332:ADS786353 TP786332:TW786353 JT786332:KA786353 X786332:AE786353 WWF720796:WWM720817 WMJ720796:WMQ720817 WCN720796:WCU720817 VSR720796:VSY720817 VIV720796:VJC720817 UYZ720796:UZG720817 UPD720796:UPK720817 UFH720796:UFO720817 TVL720796:TVS720817 TLP720796:TLW720817 TBT720796:TCA720817 SRX720796:SSE720817 SIB720796:SII720817 RYF720796:RYM720817 ROJ720796:ROQ720817 REN720796:REU720817 QUR720796:QUY720817 QKV720796:QLC720817 QAZ720796:QBG720817 PRD720796:PRK720817 PHH720796:PHO720817 OXL720796:OXS720817 ONP720796:ONW720817 ODT720796:OEA720817 NTX720796:NUE720817 NKB720796:NKI720817 NAF720796:NAM720817 MQJ720796:MQQ720817 MGN720796:MGU720817 LWR720796:LWY720817 LMV720796:LNC720817 LCZ720796:LDG720817 KTD720796:KTK720817 KJH720796:KJO720817 JZL720796:JZS720817 JPP720796:JPW720817 JFT720796:JGA720817 IVX720796:IWE720817 IMB720796:IMI720817 ICF720796:ICM720817 HSJ720796:HSQ720817 HIN720796:HIU720817 GYR720796:GYY720817 GOV720796:GPC720817 GEZ720796:GFG720817 FVD720796:FVK720817 FLH720796:FLO720817 FBL720796:FBS720817 ERP720796:ERW720817 EHT720796:EIA720817 DXX720796:DYE720817 DOB720796:DOI720817 DEF720796:DEM720817 CUJ720796:CUQ720817 CKN720796:CKU720817 CAR720796:CAY720817 BQV720796:BRC720817 BGZ720796:BHG720817 AXD720796:AXK720817 ANH720796:ANO720817 ADL720796:ADS720817 TP720796:TW720817 JT720796:KA720817 X720796:AE720817 WWF655260:WWM655281 WMJ655260:WMQ655281 WCN655260:WCU655281 VSR655260:VSY655281 VIV655260:VJC655281 UYZ655260:UZG655281 UPD655260:UPK655281 UFH655260:UFO655281 TVL655260:TVS655281 TLP655260:TLW655281 TBT655260:TCA655281 SRX655260:SSE655281 SIB655260:SII655281 RYF655260:RYM655281 ROJ655260:ROQ655281 REN655260:REU655281 QUR655260:QUY655281 QKV655260:QLC655281 QAZ655260:QBG655281 PRD655260:PRK655281 PHH655260:PHO655281 OXL655260:OXS655281 ONP655260:ONW655281 ODT655260:OEA655281 NTX655260:NUE655281 NKB655260:NKI655281 NAF655260:NAM655281 MQJ655260:MQQ655281 MGN655260:MGU655281 LWR655260:LWY655281 LMV655260:LNC655281 LCZ655260:LDG655281 KTD655260:KTK655281 KJH655260:KJO655281 JZL655260:JZS655281 JPP655260:JPW655281 JFT655260:JGA655281 IVX655260:IWE655281 IMB655260:IMI655281 ICF655260:ICM655281 HSJ655260:HSQ655281 HIN655260:HIU655281 GYR655260:GYY655281 GOV655260:GPC655281 GEZ655260:GFG655281 FVD655260:FVK655281 FLH655260:FLO655281 FBL655260:FBS655281 ERP655260:ERW655281 EHT655260:EIA655281 DXX655260:DYE655281 DOB655260:DOI655281 DEF655260:DEM655281 CUJ655260:CUQ655281 CKN655260:CKU655281 CAR655260:CAY655281 BQV655260:BRC655281 BGZ655260:BHG655281 AXD655260:AXK655281 ANH655260:ANO655281 ADL655260:ADS655281 TP655260:TW655281 JT655260:KA655281 X655260:AE655281 WWF589724:WWM589745 WMJ589724:WMQ589745 WCN589724:WCU589745 VSR589724:VSY589745 VIV589724:VJC589745 UYZ589724:UZG589745 UPD589724:UPK589745 UFH589724:UFO589745 TVL589724:TVS589745 TLP589724:TLW589745 TBT589724:TCA589745 SRX589724:SSE589745 SIB589724:SII589745 RYF589724:RYM589745 ROJ589724:ROQ589745 REN589724:REU589745 QUR589724:QUY589745 QKV589724:QLC589745 QAZ589724:QBG589745 PRD589724:PRK589745 PHH589724:PHO589745 OXL589724:OXS589745 ONP589724:ONW589745 ODT589724:OEA589745 NTX589724:NUE589745 NKB589724:NKI589745 NAF589724:NAM589745 MQJ589724:MQQ589745 MGN589724:MGU589745 LWR589724:LWY589745 LMV589724:LNC589745 LCZ589724:LDG589745 KTD589724:KTK589745 KJH589724:KJO589745 JZL589724:JZS589745 JPP589724:JPW589745 JFT589724:JGA589745 IVX589724:IWE589745 IMB589724:IMI589745 ICF589724:ICM589745 HSJ589724:HSQ589745 HIN589724:HIU589745 GYR589724:GYY589745 GOV589724:GPC589745 GEZ589724:GFG589745 FVD589724:FVK589745 FLH589724:FLO589745 FBL589724:FBS589745 ERP589724:ERW589745 EHT589724:EIA589745 DXX589724:DYE589745 DOB589724:DOI589745 DEF589724:DEM589745 CUJ589724:CUQ589745 CKN589724:CKU589745 CAR589724:CAY589745 BQV589724:BRC589745 BGZ589724:BHG589745 AXD589724:AXK589745 ANH589724:ANO589745 ADL589724:ADS589745 TP589724:TW589745 JT589724:KA589745 X589724:AE589745 WWF524188:WWM524209 WMJ524188:WMQ524209 WCN524188:WCU524209 VSR524188:VSY524209 VIV524188:VJC524209 UYZ524188:UZG524209 UPD524188:UPK524209 UFH524188:UFO524209 TVL524188:TVS524209 TLP524188:TLW524209 TBT524188:TCA524209 SRX524188:SSE524209 SIB524188:SII524209 RYF524188:RYM524209 ROJ524188:ROQ524209 REN524188:REU524209 QUR524188:QUY524209 QKV524188:QLC524209 QAZ524188:QBG524209 PRD524188:PRK524209 PHH524188:PHO524209 OXL524188:OXS524209 ONP524188:ONW524209 ODT524188:OEA524209 NTX524188:NUE524209 NKB524188:NKI524209 NAF524188:NAM524209 MQJ524188:MQQ524209 MGN524188:MGU524209 LWR524188:LWY524209 LMV524188:LNC524209 LCZ524188:LDG524209 KTD524188:KTK524209 KJH524188:KJO524209 JZL524188:JZS524209 JPP524188:JPW524209 JFT524188:JGA524209 IVX524188:IWE524209 IMB524188:IMI524209 ICF524188:ICM524209 HSJ524188:HSQ524209 HIN524188:HIU524209 GYR524188:GYY524209 GOV524188:GPC524209 GEZ524188:GFG524209 FVD524188:FVK524209 FLH524188:FLO524209 FBL524188:FBS524209 ERP524188:ERW524209 EHT524188:EIA524209 DXX524188:DYE524209 DOB524188:DOI524209 DEF524188:DEM524209 CUJ524188:CUQ524209 CKN524188:CKU524209 CAR524188:CAY524209 BQV524188:BRC524209 BGZ524188:BHG524209 AXD524188:AXK524209 ANH524188:ANO524209 ADL524188:ADS524209 TP524188:TW524209 JT524188:KA524209 X524188:AE524209 WWF458652:WWM458673 WMJ458652:WMQ458673 WCN458652:WCU458673 VSR458652:VSY458673 VIV458652:VJC458673 UYZ458652:UZG458673 UPD458652:UPK458673 UFH458652:UFO458673 TVL458652:TVS458673 TLP458652:TLW458673 TBT458652:TCA458673 SRX458652:SSE458673 SIB458652:SII458673 RYF458652:RYM458673 ROJ458652:ROQ458673 REN458652:REU458673 QUR458652:QUY458673 QKV458652:QLC458673 QAZ458652:QBG458673 PRD458652:PRK458673 PHH458652:PHO458673 OXL458652:OXS458673 ONP458652:ONW458673 ODT458652:OEA458673 NTX458652:NUE458673 NKB458652:NKI458673 NAF458652:NAM458673 MQJ458652:MQQ458673 MGN458652:MGU458673 LWR458652:LWY458673 LMV458652:LNC458673 LCZ458652:LDG458673 KTD458652:KTK458673 KJH458652:KJO458673 JZL458652:JZS458673 JPP458652:JPW458673 JFT458652:JGA458673 IVX458652:IWE458673 IMB458652:IMI458673 ICF458652:ICM458673 HSJ458652:HSQ458673 HIN458652:HIU458673 GYR458652:GYY458673 GOV458652:GPC458673 GEZ458652:GFG458673 FVD458652:FVK458673 FLH458652:FLO458673 FBL458652:FBS458673 ERP458652:ERW458673 EHT458652:EIA458673 DXX458652:DYE458673 DOB458652:DOI458673 DEF458652:DEM458673 CUJ458652:CUQ458673 CKN458652:CKU458673 CAR458652:CAY458673 BQV458652:BRC458673 BGZ458652:BHG458673 AXD458652:AXK458673 ANH458652:ANO458673 ADL458652:ADS458673 TP458652:TW458673 JT458652:KA458673 X458652:AE458673 WWF393116:WWM393137 WMJ393116:WMQ393137 WCN393116:WCU393137 VSR393116:VSY393137 VIV393116:VJC393137 UYZ393116:UZG393137 UPD393116:UPK393137 UFH393116:UFO393137 TVL393116:TVS393137 TLP393116:TLW393137 TBT393116:TCA393137 SRX393116:SSE393137 SIB393116:SII393137 RYF393116:RYM393137 ROJ393116:ROQ393137 REN393116:REU393137 QUR393116:QUY393137 QKV393116:QLC393137 QAZ393116:QBG393137 PRD393116:PRK393137 PHH393116:PHO393137 OXL393116:OXS393137 ONP393116:ONW393137 ODT393116:OEA393137 NTX393116:NUE393137 NKB393116:NKI393137 NAF393116:NAM393137 MQJ393116:MQQ393137 MGN393116:MGU393137 LWR393116:LWY393137 LMV393116:LNC393137 LCZ393116:LDG393137 KTD393116:KTK393137 KJH393116:KJO393137 JZL393116:JZS393137 JPP393116:JPW393137 JFT393116:JGA393137 IVX393116:IWE393137 IMB393116:IMI393137 ICF393116:ICM393137 HSJ393116:HSQ393137 HIN393116:HIU393137 GYR393116:GYY393137 GOV393116:GPC393137 GEZ393116:GFG393137 FVD393116:FVK393137 FLH393116:FLO393137 FBL393116:FBS393137 ERP393116:ERW393137 EHT393116:EIA393137 DXX393116:DYE393137 DOB393116:DOI393137 DEF393116:DEM393137 CUJ393116:CUQ393137 CKN393116:CKU393137 CAR393116:CAY393137 BQV393116:BRC393137 BGZ393116:BHG393137 AXD393116:AXK393137 ANH393116:ANO393137 ADL393116:ADS393137 TP393116:TW393137 JT393116:KA393137 X393116:AE393137 WWF327580:WWM327601 WMJ327580:WMQ327601 WCN327580:WCU327601 VSR327580:VSY327601 VIV327580:VJC327601 UYZ327580:UZG327601 UPD327580:UPK327601 UFH327580:UFO327601 TVL327580:TVS327601 TLP327580:TLW327601 TBT327580:TCA327601 SRX327580:SSE327601 SIB327580:SII327601 RYF327580:RYM327601 ROJ327580:ROQ327601 REN327580:REU327601 QUR327580:QUY327601 QKV327580:QLC327601 QAZ327580:QBG327601 PRD327580:PRK327601 PHH327580:PHO327601 OXL327580:OXS327601 ONP327580:ONW327601 ODT327580:OEA327601 NTX327580:NUE327601 NKB327580:NKI327601 NAF327580:NAM327601 MQJ327580:MQQ327601 MGN327580:MGU327601 LWR327580:LWY327601 LMV327580:LNC327601 LCZ327580:LDG327601 KTD327580:KTK327601 KJH327580:KJO327601 JZL327580:JZS327601 JPP327580:JPW327601 JFT327580:JGA327601 IVX327580:IWE327601 IMB327580:IMI327601 ICF327580:ICM327601 HSJ327580:HSQ327601 HIN327580:HIU327601 GYR327580:GYY327601 GOV327580:GPC327601 GEZ327580:GFG327601 FVD327580:FVK327601 FLH327580:FLO327601 FBL327580:FBS327601 ERP327580:ERW327601 EHT327580:EIA327601 DXX327580:DYE327601 DOB327580:DOI327601 DEF327580:DEM327601 CUJ327580:CUQ327601 CKN327580:CKU327601 CAR327580:CAY327601 BQV327580:BRC327601 BGZ327580:BHG327601 AXD327580:AXK327601 ANH327580:ANO327601 ADL327580:ADS327601 TP327580:TW327601 JT327580:KA327601 X327580:AE327601 WWF262044:WWM262065 WMJ262044:WMQ262065 WCN262044:WCU262065 VSR262044:VSY262065 VIV262044:VJC262065 UYZ262044:UZG262065 UPD262044:UPK262065 UFH262044:UFO262065 TVL262044:TVS262065 TLP262044:TLW262065 TBT262044:TCA262065 SRX262044:SSE262065 SIB262044:SII262065 RYF262044:RYM262065 ROJ262044:ROQ262065 REN262044:REU262065 QUR262044:QUY262065 QKV262044:QLC262065 QAZ262044:QBG262065 PRD262044:PRK262065 PHH262044:PHO262065 OXL262044:OXS262065 ONP262044:ONW262065 ODT262044:OEA262065 NTX262044:NUE262065 NKB262044:NKI262065 NAF262044:NAM262065 MQJ262044:MQQ262065 MGN262044:MGU262065 LWR262044:LWY262065 LMV262044:LNC262065 LCZ262044:LDG262065 KTD262044:KTK262065 KJH262044:KJO262065 JZL262044:JZS262065 JPP262044:JPW262065 JFT262044:JGA262065 IVX262044:IWE262065 IMB262044:IMI262065 ICF262044:ICM262065 HSJ262044:HSQ262065 HIN262044:HIU262065 GYR262044:GYY262065 GOV262044:GPC262065 GEZ262044:GFG262065 FVD262044:FVK262065 FLH262044:FLO262065 FBL262044:FBS262065 ERP262044:ERW262065 EHT262044:EIA262065 DXX262044:DYE262065 DOB262044:DOI262065 DEF262044:DEM262065 CUJ262044:CUQ262065 CKN262044:CKU262065 CAR262044:CAY262065 BQV262044:BRC262065 BGZ262044:BHG262065 AXD262044:AXK262065 ANH262044:ANO262065 ADL262044:ADS262065 TP262044:TW262065 JT262044:KA262065 X262044:AE262065 WWF196508:WWM196529 WMJ196508:WMQ196529 WCN196508:WCU196529 VSR196508:VSY196529 VIV196508:VJC196529 UYZ196508:UZG196529 UPD196508:UPK196529 UFH196508:UFO196529 TVL196508:TVS196529 TLP196508:TLW196529 TBT196508:TCA196529 SRX196508:SSE196529 SIB196508:SII196529 RYF196508:RYM196529 ROJ196508:ROQ196529 REN196508:REU196529 QUR196508:QUY196529 QKV196508:QLC196529 QAZ196508:QBG196529 PRD196508:PRK196529 PHH196508:PHO196529 OXL196508:OXS196529 ONP196508:ONW196529 ODT196508:OEA196529 NTX196508:NUE196529 NKB196508:NKI196529 NAF196508:NAM196529 MQJ196508:MQQ196529 MGN196508:MGU196529 LWR196508:LWY196529 LMV196508:LNC196529 LCZ196508:LDG196529 KTD196508:KTK196529 KJH196508:KJO196529 JZL196508:JZS196529 JPP196508:JPW196529 JFT196508:JGA196529 IVX196508:IWE196529 IMB196508:IMI196529 ICF196508:ICM196529 HSJ196508:HSQ196529 HIN196508:HIU196529 GYR196508:GYY196529 GOV196508:GPC196529 GEZ196508:GFG196529 FVD196508:FVK196529 FLH196508:FLO196529 FBL196508:FBS196529 ERP196508:ERW196529 EHT196508:EIA196529 DXX196508:DYE196529 DOB196508:DOI196529 DEF196508:DEM196529 CUJ196508:CUQ196529 CKN196508:CKU196529 CAR196508:CAY196529 BQV196508:BRC196529 BGZ196508:BHG196529 AXD196508:AXK196529 ANH196508:ANO196529 ADL196508:ADS196529 TP196508:TW196529 JT196508:KA196529 X196508:AE196529 WWF130972:WWM130993 WMJ130972:WMQ130993 WCN130972:WCU130993 VSR130972:VSY130993 VIV130972:VJC130993 UYZ130972:UZG130993 UPD130972:UPK130993 UFH130972:UFO130993 TVL130972:TVS130993 TLP130972:TLW130993 TBT130972:TCA130993 SRX130972:SSE130993 SIB130972:SII130993 RYF130972:RYM130993 ROJ130972:ROQ130993 REN130972:REU130993 QUR130972:QUY130993 QKV130972:QLC130993 QAZ130972:QBG130993 PRD130972:PRK130993 PHH130972:PHO130993 OXL130972:OXS130993 ONP130972:ONW130993 ODT130972:OEA130993 NTX130972:NUE130993 NKB130972:NKI130993 NAF130972:NAM130993 MQJ130972:MQQ130993 MGN130972:MGU130993 LWR130972:LWY130993 LMV130972:LNC130993 LCZ130972:LDG130993 KTD130972:KTK130993 KJH130972:KJO130993 JZL130972:JZS130993 JPP130972:JPW130993 JFT130972:JGA130993 IVX130972:IWE130993 IMB130972:IMI130993 ICF130972:ICM130993 HSJ130972:HSQ130993 HIN130972:HIU130993 GYR130972:GYY130993 GOV130972:GPC130993 GEZ130972:GFG130993 FVD130972:FVK130993 FLH130972:FLO130993 FBL130972:FBS130993 ERP130972:ERW130993 EHT130972:EIA130993 DXX130972:DYE130993 DOB130972:DOI130993 DEF130972:DEM130993 CUJ130972:CUQ130993 CKN130972:CKU130993 CAR130972:CAY130993 BQV130972:BRC130993 BGZ130972:BHG130993 AXD130972:AXK130993 ANH130972:ANO130993 ADL130972:ADS130993 TP130972:TW130993 JT130972:KA130993 X130972:AE130993 WWF65436:WWM65457 WMJ65436:WMQ65457 WCN65436:WCU65457 VSR65436:VSY65457 VIV65436:VJC65457 UYZ65436:UZG65457 UPD65436:UPK65457 UFH65436:UFO65457 TVL65436:TVS65457 TLP65436:TLW65457 TBT65436:TCA65457 SRX65436:SSE65457 SIB65436:SII65457 RYF65436:RYM65457 ROJ65436:ROQ65457 REN65436:REU65457 QUR65436:QUY65457 QKV65436:QLC65457 QAZ65436:QBG65457 PRD65436:PRK65457 PHH65436:PHO65457 OXL65436:OXS65457 ONP65436:ONW65457 ODT65436:OEA65457 NTX65436:NUE65457 NKB65436:NKI65457 NAF65436:NAM65457 MQJ65436:MQQ65457 MGN65436:MGU65457 LWR65436:LWY65457 LMV65436:LNC65457 LCZ65436:LDG65457 KTD65436:KTK65457 KJH65436:KJO65457 JZL65436:JZS65457 JPP65436:JPW65457 JFT65436:JGA65457 IVX65436:IWE65457 IMB65436:IMI65457 ICF65436:ICM65457 HSJ65436:HSQ65457 HIN65436:HIU65457 GYR65436:GYY65457 GOV65436:GPC65457 GEZ65436:GFG65457 FVD65436:FVK65457 FLH65436:FLO65457 FBL65436:FBS65457 ERP65436:ERW65457 EHT65436:EIA65457 DXX65436:DYE65457 DOB65436:DOI65457 DEF65436:DEM65457 CUJ65436:CUQ65457 CKN65436:CKU65457 CAR65436:CAY65457 BQV65436:BRC65457 BGZ65436:BHG65457 AXD65436:AXK65457 ANH65436:ANO65457 ADL65436:ADS65457 TP65436:TW65457 JT65436:KA65457 X65436:AE65457" xr:uid="{4B128F4F-B49F-4F48-9A2E-E1AF6981D852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06590-56D5-403A-BB69-DB76E57C14FD}">
  <sheetPr>
    <pageSetUpPr fitToPage="1"/>
  </sheetPr>
  <dimension ref="A1:DD33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54" width="2.54296875" style="608" customWidth="1"/>
    <col min="55" max="16384" width="2.54296875" style="608"/>
  </cols>
  <sheetData>
    <row r="1" spans="1:108" ht="13.75" customHeight="1">
      <c r="A1" s="884" t="s">
        <v>532</v>
      </c>
      <c r="B1" s="884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</row>
    <row r="2" spans="1:108" ht="13.75" customHeight="1">
      <c r="A2" s="980" t="s">
        <v>533</v>
      </c>
      <c r="B2" s="973"/>
      <c r="C2" s="973"/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73"/>
      <c r="V2" s="973"/>
      <c r="W2" s="973"/>
      <c r="X2" s="973"/>
      <c r="Y2" s="973"/>
      <c r="Z2" s="973"/>
      <c r="AA2" s="973"/>
      <c r="AB2" s="973"/>
      <c r="AC2" s="973"/>
    </row>
    <row r="3" spans="1:108" ht="13.75" customHeight="1">
      <c r="A3" s="973"/>
      <c r="B3" s="973"/>
      <c r="C3" s="973"/>
      <c r="D3" s="973"/>
      <c r="E3" s="973"/>
      <c r="F3" s="973"/>
      <c r="G3" s="973"/>
      <c r="H3" s="973"/>
      <c r="I3" s="973"/>
      <c r="J3" s="973"/>
      <c r="K3" s="973"/>
      <c r="L3" s="973"/>
      <c r="M3" s="973"/>
      <c r="N3" s="973"/>
      <c r="O3" s="973"/>
      <c r="P3" s="973"/>
      <c r="Q3" s="973"/>
      <c r="R3" s="973"/>
      <c r="S3" s="973"/>
      <c r="T3" s="973"/>
      <c r="U3" s="973"/>
      <c r="V3" s="973"/>
      <c r="W3" s="973"/>
      <c r="X3" s="973"/>
      <c r="Y3" s="973"/>
      <c r="Z3" s="973"/>
      <c r="AA3" s="973"/>
      <c r="AB3" s="973"/>
      <c r="AC3" s="973"/>
    </row>
    <row r="5" spans="1:108">
      <c r="B5" s="645" t="s">
        <v>534</v>
      </c>
    </row>
    <row r="7" spans="1:108">
      <c r="C7" s="645" t="s">
        <v>535</v>
      </c>
    </row>
    <row r="8" spans="1:108">
      <c r="C8" s="645"/>
    </row>
    <row r="9" spans="1:108">
      <c r="D9" s="608" t="s">
        <v>536</v>
      </c>
    </row>
    <row r="10" spans="1:108" ht="15.75" customHeight="1">
      <c r="D10" s="981" t="s">
        <v>537</v>
      </c>
      <c r="E10" s="981"/>
      <c r="F10" s="981"/>
      <c r="G10" s="981"/>
      <c r="H10" s="981"/>
      <c r="I10" s="981"/>
      <c r="J10" s="981"/>
      <c r="K10" s="981" t="s">
        <v>538</v>
      </c>
      <c r="L10" s="981"/>
      <c r="M10" s="981"/>
      <c r="N10" s="981"/>
      <c r="O10" s="981"/>
      <c r="P10" s="981"/>
      <c r="Q10" s="981"/>
      <c r="R10" s="981" t="s">
        <v>539</v>
      </c>
      <c r="S10" s="981"/>
      <c r="T10" s="981"/>
      <c r="U10" s="981"/>
      <c r="V10" s="981"/>
      <c r="W10" s="981"/>
      <c r="X10" s="981"/>
      <c r="Y10" s="981" t="s">
        <v>540</v>
      </c>
      <c r="Z10" s="981"/>
      <c r="AA10" s="981"/>
      <c r="AB10" s="981"/>
      <c r="AC10" s="981"/>
      <c r="AD10" s="981"/>
      <c r="AE10" s="981"/>
      <c r="AF10" s="981" t="s">
        <v>541</v>
      </c>
      <c r="AG10" s="981"/>
      <c r="AH10" s="981"/>
      <c r="AI10" s="981"/>
      <c r="AJ10" s="981"/>
      <c r="AK10" s="981"/>
      <c r="AL10" s="981"/>
      <c r="AM10" s="981" t="s">
        <v>542</v>
      </c>
      <c r="AN10" s="981"/>
      <c r="AO10" s="981"/>
      <c r="AP10" s="981"/>
      <c r="AQ10" s="981"/>
      <c r="AR10" s="981"/>
      <c r="AS10" s="981"/>
      <c r="AT10" s="985" t="s">
        <v>543</v>
      </c>
      <c r="AU10" s="985"/>
      <c r="AV10" s="985"/>
      <c r="AW10" s="985"/>
      <c r="AX10" s="985"/>
      <c r="AY10" s="985"/>
      <c r="AZ10" s="985"/>
      <c r="BA10" s="981" t="s">
        <v>544</v>
      </c>
      <c r="BB10" s="981"/>
      <c r="BC10" s="981"/>
      <c r="BD10" s="981"/>
      <c r="BE10" s="981"/>
      <c r="BF10" s="981"/>
      <c r="BG10" s="981"/>
      <c r="BH10" s="981" t="s">
        <v>545</v>
      </c>
      <c r="BI10" s="981"/>
      <c r="BJ10" s="981"/>
      <c r="BK10" s="981"/>
      <c r="BL10" s="981"/>
      <c r="BM10" s="981"/>
      <c r="BN10" s="981"/>
      <c r="BO10" s="981" t="s">
        <v>546</v>
      </c>
      <c r="BP10" s="981"/>
      <c r="BQ10" s="981"/>
      <c r="BR10" s="981"/>
      <c r="BS10" s="981"/>
      <c r="BT10" s="981"/>
      <c r="BU10" s="981"/>
      <c r="BV10" s="981" t="s">
        <v>547</v>
      </c>
      <c r="BW10" s="981"/>
      <c r="BX10" s="981"/>
      <c r="BY10" s="981"/>
      <c r="BZ10" s="981"/>
      <c r="CA10" s="981"/>
      <c r="CB10" s="981"/>
      <c r="CC10" s="981" t="s">
        <v>548</v>
      </c>
      <c r="CD10" s="981"/>
      <c r="CE10" s="981"/>
      <c r="CF10" s="981"/>
      <c r="CG10" s="981"/>
      <c r="CH10" s="981"/>
      <c r="CI10" s="981"/>
      <c r="CJ10" s="981" t="s">
        <v>549</v>
      </c>
      <c r="CK10" s="981"/>
      <c r="CL10" s="981"/>
      <c r="CM10" s="981"/>
      <c r="CN10" s="981"/>
      <c r="CO10" s="981"/>
      <c r="CP10" s="981"/>
      <c r="CQ10" s="981" t="s">
        <v>550</v>
      </c>
      <c r="CR10" s="981"/>
      <c r="CS10" s="981"/>
      <c r="CT10" s="981"/>
      <c r="CU10" s="981"/>
      <c r="CV10" s="981"/>
      <c r="CW10" s="981"/>
      <c r="CX10" s="981" t="s">
        <v>551</v>
      </c>
      <c r="CY10" s="981"/>
      <c r="CZ10" s="981"/>
      <c r="DA10" s="981"/>
      <c r="DB10" s="981"/>
      <c r="DC10" s="981"/>
      <c r="DD10" s="981"/>
    </row>
    <row r="11" spans="1:108" ht="15.75" customHeight="1">
      <c r="D11" s="982" t="s">
        <v>305</v>
      </c>
      <c r="E11" s="982"/>
      <c r="F11" s="982"/>
      <c r="G11" s="982"/>
      <c r="H11" s="982"/>
      <c r="I11" s="982"/>
      <c r="J11" s="982"/>
      <c r="K11" s="982" t="s">
        <v>552</v>
      </c>
      <c r="L11" s="982"/>
      <c r="M11" s="982"/>
      <c r="N11" s="982"/>
      <c r="O11" s="982"/>
      <c r="P11" s="982"/>
      <c r="Q11" s="982"/>
      <c r="R11" s="982" t="s">
        <v>306</v>
      </c>
      <c r="S11" s="982"/>
      <c r="T11" s="982"/>
      <c r="U11" s="982"/>
      <c r="V11" s="982"/>
      <c r="W11" s="982"/>
      <c r="X11" s="982"/>
      <c r="Y11" s="982" t="s">
        <v>553</v>
      </c>
      <c r="Z11" s="982"/>
      <c r="AA11" s="982"/>
      <c r="AB11" s="982"/>
      <c r="AC11" s="982"/>
      <c r="AD11" s="982"/>
      <c r="AE11" s="982"/>
      <c r="AF11" s="984" t="s">
        <v>307</v>
      </c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3" t="s">
        <v>554</v>
      </c>
      <c r="AU11" s="983"/>
      <c r="AV11" s="983"/>
      <c r="AW11" s="983"/>
      <c r="AX11" s="983"/>
      <c r="AY11" s="983"/>
      <c r="AZ11" s="983"/>
      <c r="BA11" s="982" t="s">
        <v>555</v>
      </c>
      <c r="BB11" s="982"/>
      <c r="BC11" s="982"/>
      <c r="BD11" s="982"/>
      <c r="BE11" s="982"/>
      <c r="BF11" s="982"/>
      <c r="BG11" s="982"/>
      <c r="BH11" s="982" t="s">
        <v>308</v>
      </c>
      <c r="BI11" s="982"/>
      <c r="BJ11" s="982"/>
      <c r="BK11" s="982"/>
      <c r="BL11" s="982"/>
      <c r="BM11" s="982"/>
      <c r="BN11" s="982"/>
      <c r="BO11" s="982" t="s">
        <v>556</v>
      </c>
      <c r="BP11" s="982"/>
      <c r="BQ11" s="982"/>
      <c r="BR11" s="982"/>
      <c r="BS11" s="982"/>
      <c r="BT11" s="982"/>
      <c r="BU11" s="982"/>
      <c r="BV11" s="982" t="s">
        <v>556</v>
      </c>
      <c r="BW11" s="982"/>
      <c r="BX11" s="982"/>
      <c r="BY11" s="982"/>
      <c r="BZ11" s="982"/>
      <c r="CA11" s="982"/>
      <c r="CB11" s="982"/>
      <c r="CC11" s="982" t="s">
        <v>556</v>
      </c>
      <c r="CD11" s="982"/>
      <c r="CE11" s="982"/>
      <c r="CF11" s="982"/>
      <c r="CG11" s="982"/>
      <c r="CH11" s="982"/>
      <c r="CI11" s="982"/>
      <c r="CJ11" s="982" t="s">
        <v>556</v>
      </c>
      <c r="CK11" s="982"/>
      <c r="CL11" s="982"/>
      <c r="CM11" s="982"/>
      <c r="CN11" s="982"/>
      <c r="CO11" s="982"/>
      <c r="CP11" s="982"/>
      <c r="CQ11" s="982" t="s">
        <v>556</v>
      </c>
      <c r="CR11" s="982"/>
      <c r="CS11" s="982"/>
      <c r="CT11" s="982"/>
      <c r="CU11" s="982"/>
      <c r="CV11" s="982"/>
      <c r="CW11" s="982"/>
      <c r="CX11" s="982" t="s">
        <v>556</v>
      </c>
      <c r="CY11" s="982"/>
      <c r="CZ11" s="982"/>
      <c r="DA11" s="982"/>
      <c r="DB11" s="982"/>
      <c r="DC11" s="982"/>
      <c r="DD11" s="982"/>
    </row>
    <row r="12" spans="1:108" ht="15.75" customHeight="1">
      <c r="D12" s="982" t="s">
        <v>305</v>
      </c>
      <c r="E12" s="982"/>
      <c r="F12" s="982"/>
      <c r="G12" s="982"/>
      <c r="H12" s="982"/>
      <c r="I12" s="982"/>
      <c r="J12" s="982"/>
      <c r="K12" s="982" t="s">
        <v>552</v>
      </c>
      <c r="L12" s="982"/>
      <c r="M12" s="982"/>
      <c r="N12" s="982"/>
      <c r="O12" s="982"/>
      <c r="P12" s="982"/>
      <c r="Q12" s="982"/>
      <c r="R12" s="982" t="s">
        <v>306</v>
      </c>
      <c r="S12" s="982"/>
      <c r="T12" s="982"/>
      <c r="U12" s="982"/>
      <c r="V12" s="982"/>
      <c r="W12" s="982"/>
      <c r="X12" s="982"/>
      <c r="Y12" s="982" t="s">
        <v>553</v>
      </c>
      <c r="Z12" s="982"/>
      <c r="AA12" s="982"/>
      <c r="AB12" s="982"/>
      <c r="AC12" s="982"/>
      <c r="AD12" s="982"/>
      <c r="AE12" s="982"/>
      <c r="AF12" s="984" t="s">
        <v>307</v>
      </c>
      <c r="AG12" s="982"/>
      <c r="AH12" s="982"/>
      <c r="AI12" s="982"/>
      <c r="AJ12" s="982"/>
      <c r="AK12" s="982"/>
      <c r="AL12" s="982"/>
      <c r="AM12" s="982" t="s">
        <v>557</v>
      </c>
      <c r="AN12" s="982"/>
      <c r="AO12" s="982"/>
      <c r="AP12" s="982"/>
      <c r="AQ12" s="982"/>
      <c r="AR12" s="982"/>
      <c r="AS12" s="982"/>
      <c r="AT12" s="982"/>
      <c r="AU12" s="982"/>
      <c r="AV12" s="982"/>
      <c r="AW12" s="982"/>
      <c r="AX12" s="982"/>
      <c r="AY12" s="982"/>
      <c r="AZ12" s="982"/>
      <c r="BA12" s="982"/>
      <c r="BB12" s="982"/>
      <c r="BC12" s="982"/>
      <c r="BD12" s="982"/>
      <c r="BE12" s="982"/>
      <c r="BF12" s="982"/>
      <c r="BG12" s="982"/>
      <c r="BH12" s="982"/>
      <c r="BI12" s="982"/>
      <c r="BJ12" s="982"/>
      <c r="BK12" s="982"/>
      <c r="BL12" s="982"/>
      <c r="BM12" s="982"/>
      <c r="BN12" s="982"/>
      <c r="BO12" s="982"/>
      <c r="BP12" s="982"/>
      <c r="BQ12" s="982"/>
      <c r="BR12" s="982"/>
      <c r="BS12" s="982"/>
      <c r="BT12" s="982"/>
      <c r="BU12" s="982"/>
      <c r="BV12" s="982"/>
      <c r="BW12" s="982"/>
      <c r="BX12" s="982"/>
      <c r="BY12" s="982"/>
      <c r="BZ12" s="982"/>
      <c r="CA12" s="982"/>
      <c r="CB12" s="982"/>
      <c r="CC12" s="982"/>
      <c r="CD12" s="982"/>
      <c r="CE12" s="982"/>
      <c r="CF12" s="982"/>
      <c r="CG12" s="982"/>
      <c r="CH12" s="982"/>
      <c r="CI12" s="982"/>
      <c r="CJ12" s="982"/>
      <c r="CK12" s="982"/>
      <c r="CL12" s="982"/>
      <c r="CM12" s="982"/>
      <c r="CN12" s="982"/>
      <c r="CO12" s="982"/>
      <c r="CP12" s="982"/>
      <c r="CQ12" s="982"/>
      <c r="CR12" s="982"/>
      <c r="CS12" s="982"/>
      <c r="CT12" s="982"/>
      <c r="CU12" s="982"/>
      <c r="CV12" s="982"/>
      <c r="CW12" s="982"/>
      <c r="CX12" s="982"/>
      <c r="CY12" s="982"/>
      <c r="CZ12" s="982"/>
      <c r="DA12" s="982"/>
      <c r="DB12" s="982"/>
      <c r="DC12" s="982"/>
      <c r="DD12" s="982"/>
    </row>
    <row r="13" spans="1:108" ht="15.75" customHeight="1">
      <c r="D13" s="982" t="s">
        <v>310</v>
      </c>
      <c r="E13" s="982"/>
      <c r="F13" s="982"/>
      <c r="G13" s="982"/>
      <c r="H13" s="982"/>
      <c r="I13" s="982"/>
      <c r="J13" s="982"/>
      <c r="K13" s="982" t="s">
        <v>558</v>
      </c>
      <c r="L13" s="982"/>
      <c r="M13" s="982"/>
      <c r="N13" s="982"/>
      <c r="O13" s="982"/>
      <c r="P13" s="982"/>
      <c r="Q13" s="982"/>
      <c r="R13" s="982" t="s">
        <v>311</v>
      </c>
      <c r="S13" s="982"/>
      <c r="T13" s="982"/>
      <c r="U13" s="982"/>
      <c r="V13" s="982"/>
      <c r="W13" s="982"/>
      <c r="X13" s="982"/>
      <c r="Y13" s="982" t="s">
        <v>559</v>
      </c>
      <c r="Z13" s="982"/>
      <c r="AA13" s="982"/>
      <c r="AB13" s="982"/>
      <c r="AC13" s="982"/>
      <c r="AD13" s="982"/>
      <c r="AE13" s="982"/>
      <c r="AF13" s="986" t="s">
        <v>312</v>
      </c>
      <c r="AG13" s="982"/>
      <c r="AH13" s="982"/>
      <c r="AI13" s="982"/>
      <c r="AJ13" s="982"/>
      <c r="AK13" s="982"/>
      <c r="AL13" s="982"/>
      <c r="AM13" s="982"/>
      <c r="AN13" s="982"/>
      <c r="AO13" s="982"/>
      <c r="AP13" s="982"/>
      <c r="AQ13" s="982"/>
      <c r="AR13" s="982"/>
      <c r="AS13" s="982"/>
      <c r="AT13" s="983" t="s">
        <v>554</v>
      </c>
      <c r="AU13" s="983"/>
      <c r="AV13" s="983"/>
      <c r="AW13" s="983"/>
      <c r="AX13" s="983"/>
      <c r="AY13" s="983"/>
      <c r="AZ13" s="983"/>
      <c r="BA13" s="982" t="s">
        <v>555</v>
      </c>
      <c r="BB13" s="982"/>
      <c r="BC13" s="982"/>
      <c r="BD13" s="982"/>
      <c r="BE13" s="982"/>
      <c r="BF13" s="982"/>
      <c r="BG13" s="982"/>
      <c r="BH13" s="982" t="s">
        <v>560</v>
      </c>
      <c r="BI13" s="982"/>
      <c r="BJ13" s="982"/>
      <c r="BK13" s="982"/>
      <c r="BL13" s="982"/>
      <c r="BM13" s="982"/>
      <c r="BN13" s="982"/>
      <c r="BO13" s="982" t="s">
        <v>560</v>
      </c>
      <c r="BP13" s="982"/>
      <c r="BQ13" s="982"/>
      <c r="BR13" s="982"/>
      <c r="BS13" s="982"/>
      <c r="BT13" s="982"/>
      <c r="BU13" s="982"/>
      <c r="BV13" s="982" t="s">
        <v>556</v>
      </c>
      <c r="BW13" s="982"/>
      <c r="BX13" s="982"/>
      <c r="BY13" s="982"/>
      <c r="BZ13" s="982"/>
      <c r="CA13" s="982"/>
      <c r="CB13" s="982"/>
      <c r="CC13" s="982" t="s">
        <v>556</v>
      </c>
      <c r="CD13" s="982"/>
      <c r="CE13" s="982"/>
      <c r="CF13" s="982"/>
      <c r="CG13" s="982"/>
      <c r="CH13" s="982"/>
      <c r="CI13" s="982"/>
      <c r="CJ13" s="982" t="s">
        <v>561</v>
      </c>
      <c r="CK13" s="982"/>
      <c r="CL13" s="982"/>
      <c r="CM13" s="982"/>
      <c r="CN13" s="982"/>
      <c r="CO13" s="982"/>
      <c r="CP13" s="982"/>
      <c r="CQ13" s="982" t="s">
        <v>556</v>
      </c>
      <c r="CR13" s="982"/>
      <c r="CS13" s="982"/>
      <c r="CT13" s="982"/>
      <c r="CU13" s="982"/>
      <c r="CV13" s="982"/>
      <c r="CW13" s="982"/>
      <c r="CX13" s="982" t="s">
        <v>556</v>
      </c>
      <c r="CY13" s="982"/>
      <c r="CZ13" s="982"/>
      <c r="DA13" s="982"/>
      <c r="DB13" s="982"/>
      <c r="DC13" s="982"/>
      <c r="DD13" s="982"/>
    </row>
    <row r="14" spans="1:108" ht="15.75" customHeight="1">
      <c r="D14" s="982" t="s">
        <v>313</v>
      </c>
      <c r="E14" s="982"/>
      <c r="F14" s="982"/>
      <c r="G14" s="982"/>
      <c r="H14" s="982"/>
      <c r="I14" s="982"/>
      <c r="J14" s="982"/>
      <c r="K14" s="982" t="s">
        <v>562</v>
      </c>
      <c r="L14" s="982"/>
      <c r="M14" s="982"/>
      <c r="N14" s="982"/>
      <c r="O14" s="982"/>
      <c r="P14" s="982"/>
      <c r="Q14" s="982"/>
      <c r="R14" s="982" t="s">
        <v>314</v>
      </c>
      <c r="S14" s="982"/>
      <c r="T14" s="982"/>
      <c r="U14" s="982"/>
      <c r="V14" s="982"/>
      <c r="W14" s="982"/>
      <c r="X14" s="982"/>
      <c r="Y14" s="982" t="s">
        <v>563</v>
      </c>
      <c r="Z14" s="982"/>
      <c r="AA14" s="982"/>
      <c r="AB14" s="982"/>
      <c r="AC14" s="982"/>
      <c r="AD14" s="982"/>
      <c r="AE14" s="982"/>
      <c r="AF14" s="984" t="s">
        <v>309</v>
      </c>
      <c r="AG14" s="982"/>
      <c r="AH14" s="982"/>
      <c r="AI14" s="982"/>
      <c r="AJ14" s="982"/>
      <c r="AK14" s="982"/>
      <c r="AL14" s="982"/>
      <c r="AM14" s="982"/>
      <c r="AN14" s="982"/>
      <c r="AO14" s="982"/>
      <c r="AP14" s="982"/>
      <c r="AQ14" s="982"/>
      <c r="AR14" s="982"/>
      <c r="AS14" s="982"/>
      <c r="AT14" s="983" t="s">
        <v>554</v>
      </c>
      <c r="AU14" s="983"/>
      <c r="AV14" s="983"/>
      <c r="AW14" s="983"/>
      <c r="AX14" s="983"/>
      <c r="AY14" s="983"/>
      <c r="AZ14" s="983"/>
      <c r="BA14" s="982" t="s">
        <v>555</v>
      </c>
      <c r="BB14" s="982"/>
      <c r="BC14" s="982"/>
      <c r="BD14" s="982"/>
      <c r="BE14" s="982"/>
      <c r="BF14" s="982"/>
      <c r="BG14" s="982"/>
      <c r="BH14" s="982" t="s">
        <v>556</v>
      </c>
      <c r="BI14" s="982"/>
      <c r="BJ14" s="982"/>
      <c r="BK14" s="982"/>
      <c r="BL14" s="982"/>
      <c r="BM14" s="982"/>
      <c r="BN14" s="982"/>
      <c r="BO14" s="982" t="s">
        <v>556</v>
      </c>
      <c r="BP14" s="982"/>
      <c r="BQ14" s="982"/>
      <c r="BR14" s="982"/>
      <c r="BS14" s="982"/>
      <c r="BT14" s="982"/>
      <c r="BU14" s="982"/>
      <c r="BV14" s="982" t="s">
        <v>556</v>
      </c>
      <c r="BW14" s="982"/>
      <c r="BX14" s="982"/>
      <c r="BY14" s="982"/>
      <c r="BZ14" s="982"/>
      <c r="CA14" s="982"/>
      <c r="CB14" s="982"/>
      <c r="CC14" s="982" t="s">
        <v>556</v>
      </c>
      <c r="CD14" s="982"/>
      <c r="CE14" s="982"/>
      <c r="CF14" s="982"/>
      <c r="CG14" s="982"/>
      <c r="CH14" s="982"/>
      <c r="CI14" s="982"/>
      <c r="CJ14" s="982" t="s">
        <v>561</v>
      </c>
      <c r="CK14" s="982"/>
      <c r="CL14" s="982"/>
      <c r="CM14" s="982"/>
      <c r="CN14" s="982"/>
      <c r="CO14" s="982"/>
      <c r="CP14" s="982"/>
      <c r="CQ14" s="982" t="s">
        <v>561</v>
      </c>
      <c r="CR14" s="982"/>
      <c r="CS14" s="982"/>
      <c r="CT14" s="982"/>
      <c r="CU14" s="982"/>
      <c r="CV14" s="982"/>
      <c r="CW14" s="982"/>
      <c r="CX14" s="982" t="s">
        <v>561</v>
      </c>
      <c r="CY14" s="982"/>
      <c r="CZ14" s="982"/>
      <c r="DA14" s="982"/>
      <c r="DB14" s="982"/>
      <c r="DC14" s="982"/>
      <c r="DD14" s="982"/>
    </row>
    <row r="15" spans="1:108" ht="15.75" customHeight="1">
      <c r="D15" s="982" t="s">
        <v>315</v>
      </c>
      <c r="E15" s="982"/>
      <c r="F15" s="982"/>
      <c r="G15" s="982"/>
      <c r="H15" s="982"/>
      <c r="I15" s="982"/>
      <c r="J15" s="982"/>
      <c r="K15" s="982" t="s">
        <v>316</v>
      </c>
      <c r="L15" s="982"/>
      <c r="M15" s="982"/>
      <c r="N15" s="982"/>
      <c r="O15" s="982"/>
      <c r="P15" s="982"/>
      <c r="Q15" s="982"/>
      <c r="R15" s="982" t="s">
        <v>317</v>
      </c>
      <c r="S15" s="982"/>
      <c r="T15" s="982"/>
      <c r="U15" s="982"/>
      <c r="V15" s="982"/>
      <c r="W15" s="982"/>
      <c r="X15" s="982"/>
      <c r="Y15" s="987" t="s">
        <v>318</v>
      </c>
      <c r="Z15" s="988"/>
      <c r="AA15" s="988"/>
      <c r="AB15" s="988"/>
      <c r="AC15" s="988"/>
      <c r="AD15" s="988"/>
      <c r="AE15" s="989"/>
      <c r="AF15" s="984" t="s">
        <v>309</v>
      </c>
      <c r="AG15" s="982"/>
      <c r="AH15" s="982"/>
      <c r="AI15" s="982"/>
      <c r="AJ15" s="982"/>
      <c r="AK15" s="982"/>
      <c r="AL15" s="982"/>
      <c r="AM15" s="982"/>
      <c r="AN15" s="982"/>
      <c r="AO15" s="982"/>
      <c r="AP15" s="982"/>
      <c r="AQ15" s="982"/>
      <c r="AR15" s="982"/>
      <c r="AS15" s="982"/>
      <c r="AT15" s="983" t="s">
        <v>554</v>
      </c>
      <c r="AU15" s="983"/>
      <c r="AV15" s="983"/>
      <c r="AW15" s="983"/>
      <c r="AX15" s="983"/>
      <c r="AY15" s="983"/>
      <c r="AZ15" s="983"/>
      <c r="BA15" s="982" t="s">
        <v>555</v>
      </c>
      <c r="BB15" s="982"/>
      <c r="BC15" s="982"/>
      <c r="BD15" s="982"/>
      <c r="BE15" s="982"/>
      <c r="BF15" s="982"/>
      <c r="BG15" s="982"/>
      <c r="BH15" s="982" t="s">
        <v>556</v>
      </c>
      <c r="BI15" s="982"/>
      <c r="BJ15" s="982"/>
      <c r="BK15" s="982"/>
      <c r="BL15" s="982"/>
      <c r="BM15" s="982"/>
      <c r="BN15" s="982"/>
      <c r="BO15" s="982" t="s">
        <v>556</v>
      </c>
      <c r="BP15" s="982"/>
      <c r="BQ15" s="982"/>
      <c r="BR15" s="982"/>
      <c r="BS15" s="982"/>
      <c r="BT15" s="982"/>
      <c r="BU15" s="982"/>
      <c r="BV15" s="982" t="s">
        <v>556</v>
      </c>
      <c r="BW15" s="982"/>
      <c r="BX15" s="982"/>
      <c r="BY15" s="982"/>
      <c r="BZ15" s="982"/>
      <c r="CA15" s="982"/>
      <c r="CB15" s="982"/>
      <c r="CC15" s="982" t="s">
        <v>556</v>
      </c>
      <c r="CD15" s="982"/>
      <c r="CE15" s="982"/>
      <c r="CF15" s="982"/>
      <c r="CG15" s="982"/>
      <c r="CH15" s="982"/>
      <c r="CI15" s="982"/>
      <c r="CJ15" s="982" t="s">
        <v>556</v>
      </c>
      <c r="CK15" s="982"/>
      <c r="CL15" s="982"/>
      <c r="CM15" s="982"/>
      <c r="CN15" s="982"/>
      <c r="CO15" s="982"/>
      <c r="CP15" s="982"/>
      <c r="CQ15" s="982" t="s">
        <v>556</v>
      </c>
      <c r="CR15" s="982"/>
      <c r="CS15" s="982"/>
      <c r="CT15" s="982"/>
      <c r="CU15" s="982"/>
      <c r="CV15" s="982"/>
      <c r="CW15" s="982"/>
      <c r="CX15" s="982" t="s">
        <v>556</v>
      </c>
      <c r="CY15" s="982"/>
      <c r="CZ15" s="982"/>
      <c r="DA15" s="982"/>
      <c r="DB15" s="982"/>
      <c r="DC15" s="982"/>
      <c r="DD15" s="982"/>
    </row>
    <row r="16" spans="1:108">
      <c r="D16" s="984" t="s">
        <v>309</v>
      </c>
      <c r="E16" s="982"/>
      <c r="F16" s="982"/>
      <c r="G16" s="982"/>
      <c r="H16" s="982"/>
      <c r="I16" s="982"/>
      <c r="J16" s="982"/>
      <c r="K16" s="982" t="s">
        <v>564</v>
      </c>
      <c r="L16" s="982"/>
      <c r="M16" s="982"/>
      <c r="N16" s="982"/>
      <c r="O16" s="982"/>
      <c r="P16" s="982"/>
      <c r="Q16" s="982"/>
      <c r="R16" s="984" t="s">
        <v>309</v>
      </c>
      <c r="S16" s="982"/>
      <c r="T16" s="982"/>
      <c r="U16" s="982"/>
      <c r="V16" s="982"/>
      <c r="W16" s="982"/>
      <c r="X16" s="982"/>
      <c r="Y16" s="984" t="s">
        <v>309</v>
      </c>
      <c r="Z16" s="982"/>
      <c r="AA16" s="982"/>
      <c r="AB16" s="982"/>
      <c r="AC16" s="982"/>
      <c r="AD16" s="982"/>
      <c r="AE16" s="982"/>
      <c r="AF16" s="984" t="s">
        <v>309</v>
      </c>
      <c r="AG16" s="982"/>
      <c r="AH16" s="982"/>
      <c r="AI16" s="982"/>
      <c r="AJ16" s="982"/>
      <c r="AK16" s="982"/>
      <c r="AL16" s="982"/>
      <c r="AM16" s="982" t="s">
        <v>565</v>
      </c>
      <c r="AN16" s="982"/>
      <c r="AO16" s="982"/>
      <c r="AP16" s="982"/>
      <c r="AQ16" s="982"/>
      <c r="AR16" s="982"/>
      <c r="AS16" s="982"/>
      <c r="AT16" s="983" t="s">
        <v>554</v>
      </c>
      <c r="AU16" s="983"/>
      <c r="AV16" s="983"/>
      <c r="AW16" s="983"/>
      <c r="AX16" s="983"/>
      <c r="AY16" s="983"/>
      <c r="AZ16" s="983"/>
      <c r="BA16" s="982" t="s">
        <v>555</v>
      </c>
      <c r="BB16" s="982"/>
      <c r="BC16" s="982"/>
      <c r="BD16" s="982"/>
      <c r="BE16" s="982"/>
      <c r="BF16" s="982"/>
      <c r="BG16" s="982"/>
      <c r="BH16" s="982" t="s">
        <v>561</v>
      </c>
      <c r="BI16" s="982"/>
      <c r="BJ16" s="982"/>
      <c r="BK16" s="982"/>
      <c r="BL16" s="982"/>
      <c r="BM16" s="982"/>
      <c r="BN16" s="982"/>
      <c r="BO16" s="982" t="s">
        <v>561</v>
      </c>
      <c r="BP16" s="982"/>
      <c r="BQ16" s="982"/>
      <c r="BR16" s="982"/>
      <c r="BS16" s="982"/>
      <c r="BT16" s="982"/>
      <c r="BU16" s="982"/>
      <c r="BV16" s="982" t="s">
        <v>561</v>
      </c>
      <c r="BW16" s="982"/>
      <c r="BX16" s="982"/>
      <c r="BY16" s="982"/>
      <c r="BZ16" s="982"/>
      <c r="CA16" s="982"/>
      <c r="CB16" s="982"/>
      <c r="CC16" s="982" t="s">
        <v>561</v>
      </c>
      <c r="CD16" s="982"/>
      <c r="CE16" s="982"/>
      <c r="CF16" s="982"/>
      <c r="CG16" s="982"/>
      <c r="CH16" s="982"/>
      <c r="CI16" s="982"/>
      <c r="CJ16" s="982" t="s">
        <v>561</v>
      </c>
      <c r="CK16" s="982"/>
      <c r="CL16" s="982"/>
      <c r="CM16" s="982"/>
      <c r="CN16" s="982"/>
      <c r="CO16" s="982"/>
      <c r="CP16" s="982"/>
      <c r="CQ16" s="982" t="s">
        <v>561</v>
      </c>
      <c r="CR16" s="982"/>
      <c r="CS16" s="982"/>
      <c r="CT16" s="982"/>
      <c r="CU16" s="982"/>
      <c r="CV16" s="982"/>
      <c r="CW16" s="982"/>
      <c r="CX16" s="982" t="s">
        <v>561</v>
      </c>
      <c r="CY16" s="982"/>
      <c r="CZ16" s="982"/>
      <c r="DA16" s="982"/>
      <c r="DB16" s="982"/>
      <c r="DC16" s="982"/>
      <c r="DD16" s="982"/>
    </row>
    <row r="19" spans="2:87">
      <c r="C19" s="645" t="s">
        <v>566</v>
      </c>
    </row>
    <row r="20" spans="2:87">
      <c r="C20" s="645"/>
    </row>
    <row r="21" spans="2:87">
      <c r="D21" s="608" t="s">
        <v>536</v>
      </c>
    </row>
    <row r="22" spans="2:87">
      <c r="D22" s="981" t="s">
        <v>537</v>
      </c>
      <c r="E22" s="981"/>
      <c r="F22" s="981"/>
      <c r="G22" s="981"/>
      <c r="H22" s="981"/>
      <c r="I22" s="981"/>
      <c r="J22" s="981"/>
      <c r="K22" s="990" t="s">
        <v>538</v>
      </c>
      <c r="L22" s="990"/>
      <c r="M22" s="990"/>
      <c r="N22" s="990"/>
      <c r="O22" s="990"/>
      <c r="P22" s="990"/>
      <c r="Q22" s="990"/>
      <c r="R22" s="981" t="s">
        <v>539</v>
      </c>
      <c r="S22" s="981"/>
      <c r="T22" s="981"/>
      <c r="U22" s="981"/>
      <c r="V22" s="981"/>
      <c r="W22" s="981"/>
      <c r="X22" s="981"/>
      <c r="Y22" s="981" t="s">
        <v>540</v>
      </c>
      <c r="Z22" s="981"/>
      <c r="AA22" s="981"/>
      <c r="AB22" s="981"/>
      <c r="AC22" s="981"/>
      <c r="AD22" s="981"/>
      <c r="AE22" s="981"/>
      <c r="AF22" s="981" t="s">
        <v>541</v>
      </c>
      <c r="AG22" s="981"/>
      <c r="AH22" s="981"/>
      <c r="AI22" s="981"/>
      <c r="AJ22" s="981"/>
      <c r="AK22" s="981"/>
      <c r="AL22" s="981"/>
      <c r="AM22" s="990" t="s">
        <v>542</v>
      </c>
      <c r="AN22" s="990"/>
      <c r="AO22" s="990"/>
      <c r="AP22" s="990"/>
      <c r="AQ22" s="990"/>
      <c r="AR22" s="990"/>
      <c r="AS22" s="990"/>
      <c r="AT22" s="985" t="s">
        <v>543</v>
      </c>
      <c r="AU22" s="985"/>
      <c r="AV22" s="985"/>
      <c r="AW22" s="985"/>
      <c r="AX22" s="985"/>
      <c r="AY22" s="985"/>
      <c r="AZ22" s="985"/>
      <c r="BA22" s="990" t="s">
        <v>544</v>
      </c>
      <c r="BB22" s="990"/>
      <c r="BC22" s="990"/>
      <c r="BD22" s="990"/>
      <c r="BE22" s="990"/>
      <c r="BF22" s="990"/>
      <c r="BG22" s="990"/>
      <c r="BH22" s="990" t="s">
        <v>545</v>
      </c>
      <c r="BI22" s="990"/>
      <c r="BJ22" s="990"/>
      <c r="BK22" s="990"/>
      <c r="BL22" s="990"/>
      <c r="BM22" s="990"/>
      <c r="BN22" s="990"/>
      <c r="BO22" s="990" t="s">
        <v>546</v>
      </c>
      <c r="BP22" s="990"/>
      <c r="BQ22" s="990"/>
      <c r="BR22" s="990"/>
      <c r="BS22" s="990"/>
      <c r="BT22" s="990"/>
      <c r="BU22" s="990"/>
      <c r="BV22" s="990" t="s">
        <v>547</v>
      </c>
      <c r="BW22" s="990"/>
      <c r="BX22" s="990"/>
      <c r="BY22" s="990"/>
      <c r="BZ22" s="990"/>
      <c r="CA22" s="990"/>
      <c r="CB22" s="990"/>
      <c r="CC22" s="990" t="s">
        <v>548</v>
      </c>
      <c r="CD22" s="990"/>
      <c r="CE22" s="990"/>
      <c r="CF22" s="990"/>
      <c r="CG22" s="990"/>
      <c r="CH22" s="990"/>
      <c r="CI22" s="990"/>
    </row>
    <row r="23" spans="2:87">
      <c r="D23" s="982" t="s">
        <v>305</v>
      </c>
      <c r="E23" s="982"/>
      <c r="F23" s="982"/>
      <c r="G23" s="982"/>
      <c r="H23" s="982"/>
      <c r="I23" s="982"/>
      <c r="J23" s="982"/>
      <c r="K23" s="982" t="s">
        <v>552</v>
      </c>
      <c r="L23" s="982"/>
      <c r="M23" s="982"/>
      <c r="N23" s="982"/>
      <c r="O23" s="982"/>
      <c r="P23" s="982"/>
      <c r="Q23" s="982"/>
      <c r="R23" s="982" t="s">
        <v>306</v>
      </c>
      <c r="S23" s="982"/>
      <c r="T23" s="982"/>
      <c r="U23" s="982"/>
      <c r="V23" s="982"/>
      <c r="W23" s="982"/>
      <c r="X23" s="982"/>
      <c r="Y23" s="982" t="s">
        <v>553</v>
      </c>
      <c r="Z23" s="982"/>
      <c r="AA23" s="982"/>
      <c r="AB23" s="982"/>
      <c r="AC23" s="982"/>
      <c r="AD23" s="982"/>
      <c r="AE23" s="982"/>
      <c r="AF23" s="984" t="s">
        <v>307</v>
      </c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3" t="s">
        <v>554</v>
      </c>
      <c r="AU23" s="983"/>
      <c r="AV23" s="983"/>
      <c r="AW23" s="983"/>
      <c r="AX23" s="983"/>
      <c r="AY23" s="983"/>
      <c r="AZ23" s="983"/>
      <c r="BA23" s="982" t="s">
        <v>555</v>
      </c>
      <c r="BB23" s="982"/>
      <c r="BC23" s="982"/>
      <c r="BD23" s="982"/>
      <c r="BE23" s="982"/>
      <c r="BF23" s="982"/>
      <c r="BG23" s="982"/>
      <c r="BH23" s="982" t="s">
        <v>556</v>
      </c>
      <c r="BI23" s="982"/>
      <c r="BJ23" s="982"/>
      <c r="BK23" s="982"/>
      <c r="BL23" s="982"/>
      <c r="BM23" s="982"/>
      <c r="BN23" s="982"/>
      <c r="BO23" s="982" t="s">
        <v>556</v>
      </c>
      <c r="BP23" s="982"/>
      <c r="BQ23" s="982"/>
      <c r="BR23" s="982"/>
      <c r="BS23" s="982"/>
      <c r="BT23" s="982"/>
      <c r="BU23" s="982"/>
      <c r="BV23" s="982" t="s">
        <v>556</v>
      </c>
      <c r="BW23" s="982"/>
      <c r="BX23" s="982"/>
      <c r="BY23" s="982"/>
      <c r="BZ23" s="982"/>
      <c r="CA23" s="982"/>
      <c r="CB23" s="982"/>
      <c r="CC23" s="982" t="s">
        <v>556</v>
      </c>
      <c r="CD23" s="982"/>
      <c r="CE23" s="982"/>
      <c r="CF23" s="982"/>
      <c r="CG23" s="982"/>
      <c r="CH23" s="982"/>
      <c r="CI23" s="982"/>
    </row>
    <row r="24" spans="2:87">
      <c r="D24" s="982" t="s">
        <v>305</v>
      </c>
      <c r="E24" s="982"/>
      <c r="F24" s="982"/>
      <c r="G24" s="982"/>
      <c r="H24" s="982"/>
      <c r="I24" s="982"/>
      <c r="J24" s="982"/>
      <c r="K24" s="982" t="s">
        <v>552</v>
      </c>
      <c r="L24" s="982"/>
      <c r="M24" s="982"/>
      <c r="N24" s="982"/>
      <c r="O24" s="982"/>
      <c r="P24" s="982"/>
      <c r="Q24" s="982"/>
      <c r="R24" s="982" t="s">
        <v>306</v>
      </c>
      <c r="S24" s="982"/>
      <c r="T24" s="982"/>
      <c r="U24" s="982"/>
      <c r="V24" s="982"/>
      <c r="W24" s="982"/>
      <c r="X24" s="982"/>
      <c r="Y24" s="982" t="s">
        <v>553</v>
      </c>
      <c r="Z24" s="982"/>
      <c r="AA24" s="982"/>
      <c r="AB24" s="982"/>
      <c r="AC24" s="982"/>
      <c r="AD24" s="982"/>
      <c r="AE24" s="982"/>
      <c r="AF24" s="984" t="s">
        <v>307</v>
      </c>
      <c r="AG24" s="982"/>
      <c r="AH24" s="982"/>
      <c r="AI24" s="982"/>
      <c r="AJ24" s="982"/>
      <c r="AK24" s="982"/>
      <c r="AL24" s="982"/>
      <c r="AM24" s="982" t="s">
        <v>567</v>
      </c>
      <c r="AN24" s="982"/>
      <c r="AO24" s="982"/>
      <c r="AP24" s="982"/>
      <c r="AQ24" s="982"/>
      <c r="AR24" s="982"/>
      <c r="AS24" s="982"/>
      <c r="AT24" s="982"/>
      <c r="AU24" s="982"/>
      <c r="AV24" s="982"/>
      <c r="AW24" s="982"/>
      <c r="AX24" s="982"/>
      <c r="AY24" s="982"/>
      <c r="AZ24" s="982"/>
      <c r="BA24" s="982"/>
      <c r="BB24" s="982"/>
      <c r="BC24" s="982"/>
      <c r="BD24" s="982"/>
      <c r="BE24" s="982"/>
      <c r="BF24" s="982"/>
      <c r="BG24" s="982"/>
      <c r="BH24" s="982"/>
      <c r="BI24" s="982"/>
      <c r="BJ24" s="982"/>
      <c r="BK24" s="982"/>
      <c r="BL24" s="982"/>
      <c r="BM24" s="982"/>
      <c r="BN24" s="982"/>
      <c r="BO24" s="982"/>
      <c r="BP24" s="982"/>
      <c r="BQ24" s="982"/>
      <c r="BR24" s="982"/>
      <c r="BS24" s="982"/>
      <c r="BT24" s="982"/>
      <c r="BU24" s="982"/>
      <c r="BV24" s="982"/>
      <c r="BW24" s="982"/>
      <c r="BX24" s="982"/>
      <c r="BY24" s="982"/>
      <c r="BZ24" s="982"/>
      <c r="CA24" s="982"/>
      <c r="CB24" s="982"/>
      <c r="CC24" s="982"/>
      <c r="CD24" s="982"/>
      <c r="CE24" s="982"/>
      <c r="CF24" s="982"/>
      <c r="CG24" s="982"/>
      <c r="CH24" s="982"/>
      <c r="CI24" s="982"/>
    </row>
    <row r="25" spans="2:87">
      <c r="D25" s="982" t="s">
        <v>310</v>
      </c>
      <c r="E25" s="982"/>
      <c r="F25" s="982"/>
      <c r="G25" s="982"/>
      <c r="H25" s="982"/>
      <c r="I25" s="982"/>
      <c r="J25" s="982"/>
      <c r="K25" s="982" t="s">
        <v>558</v>
      </c>
      <c r="L25" s="982"/>
      <c r="M25" s="982"/>
      <c r="N25" s="982"/>
      <c r="O25" s="982"/>
      <c r="P25" s="982"/>
      <c r="Q25" s="982"/>
      <c r="R25" s="982" t="s">
        <v>311</v>
      </c>
      <c r="S25" s="982"/>
      <c r="T25" s="982"/>
      <c r="U25" s="982"/>
      <c r="V25" s="982"/>
      <c r="W25" s="982"/>
      <c r="X25" s="982"/>
      <c r="Y25" s="982" t="s">
        <v>559</v>
      </c>
      <c r="Z25" s="982"/>
      <c r="AA25" s="982"/>
      <c r="AB25" s="982"/>
      <c r="AC25" s="982"/>
      <c r="AD25" s="982"/>
      <c r="AE25" s="982"/>
      <c r="AF25" s="986" t="s">
        <v>312</v>
      </c>
      <c r="AG25" s="982"/>
      <c r="AH25" s="982"/>
      <c r="AI25" s="982"/>
      <c r="AJ25" s="982"/>
      <c r="AK25" s="982"/>
      <c r="AL25" s="982"/>
      <c r="AM25" s="982"/>
      <c r="AN25" s="982"/>
      <c r="AO25" s="982"/>
      <c r="AP25" s="982"/>
      <c r="AQ25" s="982"/>
      <c r="AR25" s="982"/>
      <c r="AS25" s="982"/>
      <c r="AT25" s="983" t="s">
        <v>554</v>
      </c>
      <c r="AU25" s="983"/>
      <c r="AV25" s="983"/>
      <c r="AW25" s="983"/>
      <c r="AX25" s="983"/>
      <c r="AY25" s="983"/>
      <c r="AZ25" s="983"/>
      <c r="BA25" s="982" t="s">
        <v>555</v>
      </c>
      <c r="BB25" s="982"/>
      <c r="BC25" s="982"/>
      <c r="BD25" s="982"/>
      <c r="BE25" s="982"/>
      <c r="BF25" s="982"/>
      <c r="BG25" s="982"/>
      <c r="BH25" s="982" t="s">
        <v>560</v>
      </c>
      <c r="BI25" s="982"/>
      <c r="BJ25" s="982"/>
      <c r="BK25" s="982"/>
      <c r="BL25" s="982"/>
      <c r="BM25" s="982"/>
      <c r="BN25" s="982"/>
      <c r="BO25" s="982" t="s">
        <v>568</v>
      </c>
      <c r="BP25" s="982"/>
      <c r="BQ25" s="982"/>
      <c r="BR25" s="982"/>
      <c r="BS25" s="982"/>
      <c r="BT25" s="982"/>
      <c r="BU25" s="982"/>
      <c r="BV25" s="982" t="s">
        <v>556</v>
      </c>
      <c r="BW25" s="982"/>
      <c r="BX25" s="982"/>
      <c r="BY25" s="982"/>
      <c r="BZ25" s="982"/>
      <c r="CA25" s="982"/>
      <c r="CB25" s="982"/>
      <c r="CC25" s="982" t="s">
        <v>556</v>
      </c>
      <c r="CD25" s="982"/>
      <c r="CE25" s="982"/>
      <c r="CF25" s="982"/>
      <c r="CG25" s="982"/>
      <c r="CH25" s="982"/>
      <c r="CI25" s="982"/>
    </row>
    <row r="26" spans="2:87">
      <c r="D26" s="982" t="s">
        <v>313</v>
      </c>
      <c r="E26" s="982"/>
      <c r="F26" s="982"/>
      <c r="G26" s="982"/>
      <c r="H26" s="982"/>
      <c r="I26" s="982"/>
      <c r="J26" s="982"/>
      <c r="K26" s="982" t="s">
        <v>562</v>
      </c>
      <c r="L26" s="982"/>
      <c r="M26" s="982"/>
      <c r="N26" s="982"/>
      <c r="O26" s="982"/>
      <c r="P26" s="982"/>
      <c r="Q26" s="982"/>
      <c r="R26" s="982" t="s">
        <v>314</v>
      </c>
      <c r="S26" s="982"/>
      <c r="T26" s="982"/>
      <c r="U26" s="982"/>
      <c r="V26" s="982"/>
      <c r="W26" s="982"/>
      <c r="X26" s="982"/>
      <c r="Y26" s="982" t="s">
        <v>563</v>
      </c>
      <c r="Z26" s="982"/>
      <c r="AA26" s="982"/>
      <c r="AB26" s="982"/>
      <c r="AC26" s="982"/>
      <c r="AD26" s="982"/>
      <c r="AE26" s="982"/>
      <c r="AF26" s="984" t="s">
        <v>309</v>
      </c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3" t="s">
        <v>554</v>
      </c>
      <c r="AU26" s="983"/>
      <c r="AV26" s="983"/>
      <c r="AW26" s="983"/>
      <c r="AX26" s="983"/>
      <c r="AY26" s="983"/>
      <c r="AZ26" s="983"/>
      <c r="BA26" s="982" t="s">
        <v>555</v>
      </c>
      <c r="BB26" s="982"/>
      <c r="BC26" s="982"/>
      <c r="BD26" s="982"/>
      <c r="BE26" s="982"/>
      <c r="BF26" s="982"/>
      <c r="BG26" s="982"/>
      <c r="BH26" s="982" t="s">
        <v>556</v>
      </c>
      <c r="BI26" s="982"/>
      <c r="BJ26" s="982"/>
      <c r="BK26" s="982"/>
      <c r="BL26" s="982"/>
      <c r="BM26" s="982"/>
      <c r="BN26" s="982"/>
      <c r="BO26" s="982" t="s">
        <v>556</v>
      </c>
      <c r="BP26" s="982"/>
      <c r="BQ26" s="982"/>
      <c r="BR26" s="982"/>
      <c r="BS26" s="982"/>
      <c r="BT26" s="982"/>
      <c r="BU26" s="982"/>
      <c r="BV26" s="982" t="s">
        <v>556</v>
      </c>
      <c r="BW26" s="982"/>
      <c r="BX26" s="982"/>
      <c r="BY26" s="982"/>
      <c r="BZ26" s="982"/>
      <c r="CA26" s="982"/>
      <c r="CB26" s="982"/>
      <c r="CC26" s="982" t="s">
        <v>556</v>
      </c>
      <c r="CD26" s="982"/>
      <c r="CE26" s="982"/>
      <c r="CF26" s="982"/>
      <c r="CG26" s="982"/>
      <c r="CH26" s="982"/>
      <c r="CI26" s="982"/>
    </row>
    <row r="27" spans="2:87">
      <c r="D27" s="982" t="s">
        <v>315</v>
      </c>
      <c r="E27" s="982"/>
      <c r="F27" s="982"/>
      <c r="G27" s="982"/>
      <c r="H27" s="982"/>
      <c r="I27" s="982"/>
      <c r="J27" s="982"/>
      <c r="K27" s="982" t="s">
        <v>316</v>
      </c>
      <c r="L27" s="982"/>
      <c r="M27" s="982"/>
      <c r="N27" s="982"/>
      <c r="O27" s="982"/>
      <c r="P27" s="982"/>
      <c r="Q27" s="982"/>
      <c r="R27" s="982" t="s">
        <v>317</v>
      </c>
      <c r="S27" s="982"/>
      <c r="T27" s="982"/>
      <c r="U27" s="982"/>
      <c r="V27" s="982"/>
      <c r="W27" s="982"/>
      <c r="X27" s="982"/>
      <c r="Y27" s="987" t="s">
        <v>318</v>
      </c>
      <c r="Z27" s="988"/>
      <c r="AA27" s="988"/>
      <c r="AB27" s="988"/>
      <c r="AC27" s="988"/>
      <c r="AD27" s="988"/>
      <c r="AE27" s="989"/>
      <c r="AF27" s="984" t="s">
        <v>309</v>
      </c>
      <c r="AG27" s="982"/>
      <c r="AH27" s="982"/>
      <c r="AI27" s="982"/>
      <c r="AJ27" s="982"/>
      <c r="AK27" s="982"/>
      <c r="AL27" s="982"/>
      <c r="AM27" s="982"/>
      <c r="AN27" s="982"/>
      <c r="AO27" s="982"/>
      <c r="AP27" s="982"/>
      <c r="AQ27" s="982"/>
      <c r="AR27" s="982"/>
      <c r="AS27" s="982"/>
      <c r="AT27" s="983" t="s">
        <v>554</v>
      </c>
      <c r="AU27" s="983"/>
      <c r="AV27" s="983"/>
      <c r="AW27" s="983"/>
      <c r="AX27" s="983"/>
      <c r="AY27" s="983"/>
      <c r="AZ27" s="983"/>
      <c r="BA27" s="982" t="s">
        <v>555</v>
      </c>
      <c r="BB27" s="982"/>
      <c r="BC27" s="982"/>
      <c r="BD27" s="982"/>
      <c r="BE27" s="982"/>
      <c r="BF27" s="982"/>
      <c r="BG27" s="982"/>
      <c r="BH27" s="982" t="s">
        <v>556</v>
      </c>
      <c r="BI27" s="982"/>
      <c r="BJ27" s="982"/>
      <c r="BK27" s="982"/>
      <c r="BL27" s="982"/>
      <c r="BM27" s="982"/>
      <c r="BN27" s="982"/>
      <c r="BO27" s="982" t="s">
        <v>556</v>
      </c>
      <c r="BP27" s="982"/>
      <c r="BQ27" s="982"/>
      <c r="BR27" s="982"/>
      <c r="BS27" s="982"/>
      <c r="BT27" s="982"/>
      <c r="BU27" s="982"/>
      <c r="BV27" s="982" t="s">
        <v>556</v>
      </c>
      <c r="BW27" s="982"/>
      <c r="BX27" s="982"/>
      <c r="BY27" s="982"/>
      <c r="BZ27" s="982"/>
      <c r="CA27" s="982"/>
      <c r="CB27" s="982"/>
      <c r="CC27" s="982" t="s">
        <v>556</v>
      </c>
      <c r="CD27" s="982"/>
      <c r="CE27" s="982"/>
      <c r="CF27" s="982"/>
      <c r="CG27" s="982"/>
      <c r="CH27" s="982"/>
      <c r="CI27" s="982"/>
    </row>
    <row r="28" spans="2:87">
      <c r="D28" s="984" t="s">
        <v>309</v>
      </c>
      <c r="E28" s="982"/>
      <c r="F28" s="982"/>
      <c r="G28" s="982"/>
      <c r="H28" s="982"/>
      <c r="I28" s="982"/>
      <c r="J28" s="982"/>
      <c r="K28" s="982" t="s">
        <v>564</v>
      </c>
      <c r="L28" s="982"/>
      <c r="M28" s="982"/>
      <c r="N28" s="982"/>
      <c r="O28" s="982"/>
      <c r="P28" s="982"/>
      <c r="Q28" s="982"/>
      <c r="R28" s="984" t="s">
        <v>309</v>
      </c>
      <c r="S28" s="982"/>
      <c r="T28" s="982"/>
      <c r="U28" s="982"/>
      <c r="V28" s="982"/>
      <c r="W28" s="982"/>
      <c r="X28" s="982"/>
      <c r="Y28" s="984" t="s">
        <v>309</v>
      </c>
      <c r="Z28" s="982"/>
      <c r="AA28" s="982"/>
      <c r="AB28" s="982"/>
      <c r="AC28" s="982"/>
      <c r="AD28" s="982"/>
      <c r="AE28" s="982"/>
      <c r="AF28" s="984" t="s">
        <v>309</v>
      </c>
      <c r="AG28" s="982"/>
      <c r="AH28" s="982"/>
      <c r="AI28" s="982"/>
      <c r="AJ28" s="982"/>
      <c r="AK28" s="982"/>
      <c r="AL28" s="982"/>
      <c r="AM28" s="982" t="s">
        <v>565</v>
      </c>
      <c r="AN28" s="982"/>
      <c r="AO28" s="982"/>
      <c r="AP28" s="982"/>
      <c r="AQ28" s="982"/>
      <c r="AR28" s="982"/>
      <c r="AS28" s="982"/>
      <c r="AT28" s="983" t="s">
        <v>554</v>
      </c>
      <c r="AU28" s="983"/>
      <c r="AV28" s="983"/>
      <c r="AW28" s="983"/>
      <c r="AX28" s="983"/>
      <c r="AY28" s="983"/>
      <c r="AZ28" s="983"/>
      <c r="BA28" s="982" t="s">
        <v>555</v>
      </c>
      <c r="BB28" s="982"/>
      <c r="BC28" s="982"/>
      <c r="BD28" s="982"/>
      <c r="BE28" s="982"/>
      <c r="BF28" s="982"/>
      <c r="BG28" s="982"/>
      <c r="BH28" s="982" t="s">
        <v>561</v>
      </c>
      <c r="BI28" s="982"/>
      <c r="BJ28" s="982"/>
      <c r="BK28" s="982"/>
      <c r="BL28" s="982"/>
      <c r="BM28" s="982"/>
      <c r="BN28" s="982"/>
      <c r="BO28" s="982" t="s">
        <v>561</v>
      </c>
      <c r="BP28" s="982"/>
      <c r="BQ28" s="982"/>
      <c r="BR28" s="982"/>
      <c r="BS28" s="982"/>
      <c r="BT28" s="982"/>
      <c r="BU28" s="982"/>
      <c r="BV28" s="982" t="s">
        <v>561</v>
      </c>
      <c r="BW28" s="982"/>
      <c r="BX28" s="982"/>
      <c r="BY28" s="982"/>
      <c r="BZ28" s="982"/>
      <c r="CA28" s="982"/>
      <c r="CB28" s="982"/>
      <c r="CC28" s="982" t="s">
        <v>561</v>
      </c>
      <c r="CD28" s="982"/>
      <c r="CE28" s="982"/>
      <c r="CF28" s="982"/>
      <c r="CG28" s="982"/>
      <c r="CH28" s="982"/>
      <c r="CI28" s="982"/>
    </row>
    <row r="30" spans="2:87">
      <c r="B30" s="608" t="s">
        <v>569</v>
      </c>
      <c r="C30" s="608" t="s">
        <v>570</v>
      </c>
    </row>
    <row r="31" spans="2:87">
      <c r="C31" s="608" t="s">
        <v>571</v>
      </c>
    </row>
    <row r="32" spans="2:87">
      <c r="C32" s="608" t="s">
        <v>572</v>
      </c>
    </row>
    <row r="33" spans="3:3">
      <c r="C33" s="608" t="s">
        <v>573</v>
      </c>
    </row>
  </sheetData>
  <mergeCells count="191"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AM23:AS23"/>
    <mergeCell ref="AT23:AZ23"/>
    <mergeCell ref="BA23:BG23"/>
    <mergeCell ref="BH23:BN23"/>
    <mergeCell ref="BO23:BU23"/>
    <mergeCell ref="BV23:CB23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D14:J14"/>
    <mergeCell ref="K14:Q14"/>
    <mergeCell ref="R14:X14"/>
    <mergeCell ref="Y14:AE14"/>
    <mergeCell ref="AF14:AL14"/>
    <mergeCell ref="AM14:AS14"/>
    <mergeCell ref="AT14:AZ14"/>
    <mergeCell ref="BA14:BG14"/>
    <mergeCell ref="BA13:BG13"/>
    <mergeCell ref="CJ12:CP12"/>
    <mergeCell ref="CQ12:CW12"/>
    <mergeCell ref="Y12:AE12"/>
    <mergeCell ref="AF12:AL12"/>
    <mergeCell ref="AM12:AS12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BH13:BN13"/>
    <mergeCell ref="BO13:BU13"/>
    <mergeCell ref="BV13:CB13"/>
    <mergeCell ref="CC13:CI13"/>
    <mergeCell ref="CJ13:CP13"/>
    <mergeCell ref="D12:J12"/>
    <mergeCell ref="K12:Q12"/>
    <mergeCell ref="R12:X12"/>
    <mergeCell ref="AM11:AS11"/>
    <mergeCell ref="AT11:AZ11"/>
    <mergeCell ref="BA11:BG11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BH11:BN11"/>
    <mergeCell ref="BO11:BU11"/>
    <mergeCell ref="BV11:CB11"/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</mergeCells>
  <phoneticPr fontId="56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8CD130F8-CF80-4B2F-98B8-2D07D8790A86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選択画面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46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165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166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167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132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168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169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133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134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91"/>
      <c r="K38" s="991"/>
      <c r="L38" s="991"/>
      <c r="M38" s="991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91"/>
      <c r="K39" s="991"/>
      <c r="L39" s="991"/>
      <c r="M39" s="991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6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285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288</v>
      </c>
      <c r="E40" s="28"/>
      <c r="F40" s="28"/>
      <c r="G40" s="28"/>
      <c r="H40" s="86" t="s">
        <v>139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64</v>
      </c>
      <c r="E41" s="206"/>
      <c r="F41" s="206"/>
      <c r="G41" s="207"/>
      <c r="H41" s="208" t="s">
        <v>73</v>
      </c>
      <c r="I41" s="209"/>
      <c r="J41" s="209"/>
      <c r="K41" s="209"/>
      <c r="L41" s="206"/>
      <c r="M41" s="207"/>
      <c r="N41" s="205" t="s">
        <v>74</v>
      </c>
      <c r="O41" s="206"/>
      <c r="P41" s="206"/>
      <c r="Q41" s="207"/>
      <c r="R41" s="205" t="s">
        <v>75</v>
      </c>
      <c r="S41" s="206"/>
      <c r="T41" s="206"/>
      <c r="U41" s="206"/>
      <c r="V41" s="210" t="s">
        <v>87</v>
      </c>
      <c r="W41" s="211"/>
      <c r="X41" s="211"/>
      <c r="Y41" s="212"/>
      <c r="Z41" s="211" t="s">
        <v>89</v>
      </c>
      <c r="AA41" s="211"/>
      <c r="AB41" s="211"/>
      <c r="AC41" s="212"/>
      <c r="AD41" s="211" t="s">
        <v>76</v>
      </c>
      <c r="AE41" s="211"/>
      <c r="AF41" s="211"/>
      <c r="AG41" s="212"/>
      <c r="AH41" s="210" t="s">
        <v>77</v>
      </c>
      <c r="AI41" s="211"/>
      <c r="AJ41" s="211"/>
      <c r="AK41" s="211"/>
      <c r="AL41" s="212"/>
      <c r="AM41" s="210" t="s">
        <v>83</v>
      </c>
      <c r="AN41" s="211"/>
      <c r="AO41" s="211"/>
      <c r="AP41" s="212"/>
      <c r="AQ41" s="211" t="s">
        <v>85</v>
      </c>
      <c r="AR41" s="211"/>
      <c r="AS41" s="212"/>
      <c r="AT41" s="305" t="s">
        <v>86</v>
      </c>
      <c r="AU41" s="211"/>
      <c r="AV41" s="211"/>
      <c r="AW41" s="212"/>
      <c r="AX41" s="211" t="s">
        <v>69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88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90</v>
      </c>
      <c r="E43" s="149"/>
      <c r="F43" s="149"/>
      <c r="G43" s="151"/>
      <c r="H43" s="242" t="s">
        <v>91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21">
        <v>5000</v>
      </c>
      <c r="S43" s="1022"/>
      <c r="T43" s="1022"/>
      <c r="U43" s="1023"/>
      <c r="V43" s="1010">
        <v>122.5</v>
      </c>
      <c r="W43" s="1019"/>
      <c r="X43" s="1019"/>
      <c r="Y43" s="1020"/>
      <c r="Z43" s="1010">
        <v>125</v>
      </c>
      <c r="AA43" s="1019"/>
      <c r="AB43" s="1019"/>
      <c r="AC43" s="1020"/>
      <c r="AD43" s="1010">
        <v>124</v>
      </c>
      <c r="AE43" s="1019"/>
      <c r="AF43" s="1019"/>
      <c r="AG43" s="1020"/>
      <c r="AH43" s="1010">
        <v>94.52</v>
      </c>
      <c r="AI43" s="1019"/>
      <c r="AJ43" s="1019"/>
      <c r="AK43" s="1019"/>
      <c r="AL43" s="1020"/>
      <c r="AM43" s="1010">
        <v>125</v>
      </c>
      <c r="AN43" s="1019"/>
      <c r="AO43" s="1019"/>
      <c r="AP43" s="1020"/>
      <c r="AQ43" s="1007">
        <v>10.3</v>
      </c>
      <c r="AR43" s="1008"/>
      <c r="AS43" s="1009"/>
      <c r="AT43" s="309" t="s">
        <v>96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94</v>
      </c>
      <c r="E44" s="149"/>
      <c r="F44" s="149"/>
      <c r="G44" s="151"/>
      <c r="H44" s="242" t="s">
        <v>95</v>
      </c>
      <c r="I44" s="150"/>
      <c r="J44" s="150"/>
      <c r="K44" s="150"/>
      <c r="L44" s="161"/>
      <c r="M44" s="162"/>
      <c r="N44" s="242" t="s">
        <v>92</v>
      </c>
      <c r="O44" s="150"/>
      <c r="P44" s="150"/>
      <c r="Q44" s="99" t="s">
        <v>33</v>
      </c>
      <c r="R44" s="1021">
        <v>5000</v>
      </c>
      <c r="S44" s="1022"/>
      <c r="T44" s="1022"/>
      <c r="U44" s="1023"/>
      <c r="V44" s="1010">
        <v>39</v>
      </c>
      <c r="W44" s="1019"/>
      <c r="X44" s="1019"/>
      <c r="Y44" s="1020"/>
      <c r="Z44" s="1010">
        <v>40</v>
      </c>
      <c r="AA44" s="1019"/>
      <c r="AB44" s="1019"/>
      <c r="AC44" s="1020"/>
      <c r="AD44" s="1010">
        <v>40</v>
      </c>
      <c r="AE44" s="1019"/>
      <c r="AF44" s="1019"/>
      <c r="AG44" s="1020"/>
      <c r="AH44" s="1010">
        <v>36.89</v>
      </c>
      <c r="AI44" s="1019"/>
      <c r="AJ44" s="1019"/>
      <c r="AK44" s="1019"/>
      <c r="AL44" s="1020"/>
      <c r="AM44" s="1010">
        <v>41</v>
      </c>
      <c r="AN44" s="1019"/>
      <c r="AO44" s="1019"/>
      <c r="AP44" s="1020"/>
      <c r="AQ44" s="1007">
        <v>12.3</v>
      </c>
      <c r="AR44" s="1008"/>
      <c r="AS44" s="1009"/>
      <c r="AT44" s="309" t="s">
        <v>97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244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78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72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260</v>
      </c>
      <c r="E57" s="235"/>
      <c r="F57" s="234" t="s">
        <v>64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67</v>
      </c>
      <c r="Q57" s="240"/>
      <c r="R57" s="240"/>
      <c r="S57" s="241"/>
      <c r="T57" s="234" t="s">
        <v>79</v>
      </c>
      <c r="U57" s="235"/>
      <c r="V57" s="235"/>
      <c r="W57" s="236"/>
      <c r="X57" s="234" t="s">
        <v>80</v>
      </c>
      <c r="Y57" s="235"/>
      <c r="Z57" s="235"/>
      <c r="AA57" s="235"/>
      <c r="AB57" s="239" t="s">
        <v>65</v>
      </c>
      <c r="AC57" s="240"/>
      <c r="AD57" s="240"/>
      <c r="AE57" s="240"/>
      <c r="AF57" s="241"/>
      <c r="AG57" s="240" t="s">
        <v>68</v>
      </c>
      <c r="AH57" s="240"/>
      <c r="AI57" s="240"/>
      <c r="AJ57" s="241"/>
      <c r="AK57" s="240" t="s">
        <v>66</v>
      </c>
      <c r="AL57" s="240"/>
      <c r="AM57" s="240"/>
      <c r="AN57" s="241"/>
      <c r="AO57" s="239" t="s">
        <v>81</v>
      </c>
      <c r="AP57" s="240"/>
      <c r="AQ57" s="240"/>
      <c r="AR57" s="241"/>
      <c r="AS57" s="239" t="s">
        <v>82</v>
      </c>
      <c r="AT57" s="240"/>
      <c r="AU57" s="240"/>
      <c r="AV57" s="240"/>
      <c r="AW57" s="239" t="s">
        <v>83</v>
      </c>
      <c r="AX57" s="240"/>
      <c r="AY57" s="240"/>
      <c r="AZ57" s="241"/>
      <c r="BA57" s="239" t="s">
        <v>84</v>
      </c>
      <c r="BB57" s="240"/>
      <c r="BC57" s="240"/>
      <c r="BD57" s="241"/>
      <c r="BE57" s="240" t="s">
        <v>85</v>
      </c>
      <c r="BF57" s="240"/>
      <c r="BG57" s="241"/>
      <c r="BH57" s="240" t="s">
        <v>86</v>
      </c>
      <c r="BI57" s="240"/>
      <c r="BJ57" s="240"/>
      <c r="BK57" s="241"/>
      <c r="BL57" s="240" t="s">
        <v>69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93</v>
      </c>
      <c r="Q58" s="150"/>
      <c r="R58" s="150"/>
      <c r="S58" s="162"/>
      <c r="T58" s="1021">
        <f>R43</f>
        <v>5000</v>
      </c>
      <c r="U58" s="1022"/>
      <c r="V58" s="1022"/>
      <c r="W58" s="1023"/>
      <c r="X58" s="995">
        <f>AH43</f>
        <v>94.52</v>
      </c>
      <c r="Y58" s="996"/>
      <c r="Z58" s="996"/>
      <c r="AA58" s="997"/>
      <c r="AB58" s="995">
        <f>V43</f>
        <v>122.5</v>
      </c>
      <c r="AC58" s="996"/>
      <c r="AD58" s="996"/>
      <c r="AE58" s="996"/>
      <c r="AF58" s="997"/>
      <c r="AG58" s="995">
        <f>Z43</f>
        <v>125</v>
      </c>
      <c r="AH58" s="996"/>
      <c r="AI58" s="996"/>
      <c r="AJ58" s="997"/>
      <c r="AK58" s="995">
        <f>AD43</f>
        <v>124</v>
      </c>
      <c r="AL58" s="996"/>
      <c r="AM58" s="996"/>
      <c r="AN58" s="997"/>
      <c r="AO58" s="1001">
        <f>1-X58/AK58</f>
        <v>0.23774193548387101</v>
      </c>
      <c r="AP58" s="1002"/>
      <c r="AQ58" s="1002"/>
      <c r="AR58" s="1003"/>
      <c r="AS58" s="1013">
        <f>(AK58-AG58)/AG58</f>
        <v>-8.0000000000000002E-3</v>
      </c>
      <c r="AT58" s="1014"/>
      <c r="AU58" s="1014"/>
      <c r="AV58" s="1015"/>
      <c r="AW58" s="148"/>
      <c r="AX58" s="150"/>
      <c r="AY58" s="150"/>
      <c r="AZ58" s="162"/>
      <c r="BA58" s="1016">
        <f>1-(AD43/AM43)</f>
        <v>8.0000000000000071E-3</v>
      </c>
      <c r="BB58" s="1017"/>
      <c r="BC58" s="1017"/>
      <c r="BD58" s="1018"/>
      <c r="BE58" s="1007">
        <f>AQ43</f>
        <v>10.3</v>
      </c>
      <c r="BF58" s="1008"/>
      <c r="BG58" s="1009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93</v>
      </c>
      <c r="Q59" s="150"/>
      <c r="R59" s="150"/>
      <c r="S59" s="162"/>
      <c r="T59" s="1021">
        <f>R44</f>
        <v>5000</v>
      </c>
      <c r="U59" s="1022"/>
      <c r="V59" s="1022"/>
      <c r="W59" s="1023"/>
      <c r="X59" s="995">
        <f>AH44</f>
        <v>36.89</v>
      </c>
      <c r="Y59" s="996"/>
      <c r="Z59" s="996"/>
      <c r="AA59" s="997"/>
      <c r="AB59" s="995">
        <f>V44</f>
        <v>39</v>
      </c>
      <c r="AC59" s="996"/>
      <c r="AD59" s="996"/>
      <c r="AE59" s="996"/>
      <c r="AF59" s="997"/>
      <c r="AG59" s="995">
        <f>Z44</f>
        <v>40</v>
      </c>
      <c r="AH59" s="996"/>
      <c r="AI59" s="996"/>
      <c r="AJ59" s="997"/>
      <c r="AK59" s="995">
        <f>AD44</f>
        <v>40</v>
      </c>
      <c r="AL59" s="996"/>
      <c r="AM59" s="996"/>
      <c r="AN59" s="997"/>
      <c r="AO59" s="1001">
        <f>1-X59/AK59</f>
        <v>7.7749999999999986E-2</v>
      </c>
      <c r="AP59" s="1002"/>
      <c r="AQ59" s="1002"/>
      <c r="AR59" s="1003"/>
      <c r="AS59" s="1013">
        <f>(AK59-AG59)/AG59</f>
        <v>0</v>
      </c>
      <c r="AT59" s="1014"/>
      <c r="AU59" s="1014"/>
      <c r="AV59" s="1015"/>
      <c r="AW59" s="148"/>
      <c r="AX59" s="150"/>
      <c r="AY59" s="150"/>
      <c r="AZ59" s="162"/>
      <c r="BA59" s="1016">
        <f>1-(AD44/AM44)</f>
        <v>2.4390243902439046E-2</v>
      </c>
      <c r="BB59" s="1017"/>
      <c r="BC59" s="1017"/>
      <c r="BD59" s="1018"/>
      <c r="BE59" s="1007">
        <f>AQ44</f>
        <v>12.3</v>
      </c>
      <c r="BF59" s="1008"/>
      <c r="BG59" s="1009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281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280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98</v>
      </c>
      <c r="AC61" s="508"/>
      <c r="AD61" s="508"/>
      <c r="AE61" s="508"/>
      <c r="AF61" s="509"/>
      <c r="AG61" s="508" t="s">
        <v>259</v>
      </c>
      <c r="AH61" s="503"/>
      <c r="AI61" s="503"/>
      <c r="AJ61" s="503"/>
      <c r="AK61" s="510" t="s">
        <v>99</v>
      </c>
      <c r="AL61" s="508"/>
      <c r="AM61" s="508"/>
      <c r="AN61" s="509"/>
      <c r="AO61" s="507" t="s">
        <v>81</v>
      </c>
      <c r="AP61" s="508"/>
      <c r="AQ61" s="508"/>
      <c r="AR61" s="509"/>
      <c r="AS61" s="507" t="s">
        <v>82</v>
      </c>
      <c r="AT61" s="508"/>
      <c r="AU61" s="508"/>
      <c r="AV61" s="508"/>
      <c r="AW61" s="507" t="s">
        <v>100</v>
      </c>
      <c r="AX61" s="508"/>
      <c r="AY61" s="508"/>
      <c r="AZ61" s="509"/>
      <c r="BA61" s="507" t="s">
        <v>101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92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1010"/>
      <c r="Y62" s="1011"/>
      <c r="Z62" s="1011"/>
      <c r="AA62" s="1012"/>
      <c r="AB62" s="1027">
        <f>SUMPRODUCT($T$58:$W$59,$AK$58:$AN$59)</f>
        <v>820000</v>
      </c>
      <c r="AC62" s="1028"/>
      <c r="AD62" s="1028"/>
      <c r="AE62" s="1028"/>
      <c r="AF62" s="1029"/>
      <c r="AG62" s="995">
        <f>SUM($X$58:$AA$59)</f>
        <v>131.41</v>
      </c>
      <c r="AH62" s="996"/>
      <c r="AI62" s="996"/>
      <c r="AJ62" s="997"/>
      <c r="AK62" s="998">
        <f>AB62-SUMPRODUCT($T$58:$W$59,$X$58:$AA$59)</f>
        <v>162950</v>
      </c>
      <c r="AL62" s="999"/>
      <c r="AM62" s="999"/>
      <c r="AN62" s="1000"/>
      <c r="AO62" s="1001">
        <f>$AK62/$AB62</f>
        <v>0.19871951219512196</v>
      </c>
      <c r="AP62" s="1002"/>
      <c r="AQ62" s="1002"/>
      <c r="AR62" s="1003"/>
      <c r="AS62" s="1001">
        <f>AW62/($AB62-AW62)</f>
        <v>-6.0606060606060606E-3</v>
      </c>
      <c r="AT62" s="1002"/>
      <c r="AU62" s="1002"/>
      <c r="AV62" s="1003"/>
      <c r="AW62" s="1004">
        <f>$T$58*($AK$58-$AG$58)+$T$59*($AK$59-$AG$59)</f>
        <v>-5000</v>
      </c>
      <c r="AX62" s="1005"/>
      <c r="AY62" s="1005"/>
      <c r="AZ62" s="1006"/>
      <c r="BA62" s="992">
        <f>SUMPRODUCT($T$58:$W$59,$AG$58:$AJ$59)</f>
        <v>825000</v>
      </c>
      <c r="BB62" s="993"/>
      <c r="BC62" s="993"/>
      <c r="BD62" s="994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279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98</v>
      </c>
      <c r="AC64" s="249"/>
      <c r="AD64" s="249"/>
      <c r="AE64" s="249"/>
      <c r="AF64" s="250"/>
      <c r="AG64" s="249" t="s">
        <v>259</v>
      </c>
      <c r="AH64" s="244"/>
      <c r="AI64" s="244"/>
      <c r="AJ64" s="244"/>
      <c r="AK64" s="330" t="s">
        <v>99</v>
      </c>
      <c r="AL64" s="249"/>
      <c r="AM64" s="249"/>
      <c r="AN64" s="250"/>
      <c r="AO64" s="248" t="s">
        <v>81</v>
      </c>
      <c r="AP64" s="249"/>
      <c r="AQ64" s="249"/>
      <c r="AR64" s="250"/>
      <c r="AS64" s="248" t="s">
        <v>82</v>
      </c>
      <c r="AT64" s="249"/>
      <c r="AU64" s="249"/>
      <c r="AV64" s="249"/>
      <c r="AW64" s="248" t="s">
        <v>100</v>
      </c>
      <c r="AX64" s="249"/>
      <c r="AY64" s="249"/>
      <c r="AZ64" s="250"/>
      <c r="BA64" s="248" t="s">
        <v>101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1010"/>
      <c r="Y65" s="1011"/>
      <c r="Z65" s="1011"/>
      <c r="AA65" s="1012"/>
      <c r="AB65" s="1027">
        <f>SUMPRODUCT($T$58:$W$59,$AK$58:$AN$59)</f>
        <v>820000</v>
      </c>
      <c r="AC65" s="1028"/>
      <c r="AD65" s="1028"/>
      <c r="AE65" s="1028"/>
      <c r="AF65" s="1029"/>
      <c r="AG65" s="995">
        <f>SUM($X$58:$AA$59)</f>
        <v>131.41</v>
      </c>
      <c r="AH65" s="996"/>
      <c r="AI65" s="996"/>
      <c r="AJ65" s="997"/>
      <c r="AK65" s="998">
        <f>AB65-SUMPRODUCT($T$58:$W$59,$X$58:$AA$59)</f>
        <v>162950</v>
      </c>
      <c r="AL65" s="999"/>
      <c r="AM65" s="999"/>
      <c r="AN65" s="1000"/>
      <c r="AO65" s="1001">
        <f>$AK65/$AB65</f>
        <v>0.19871951219512196</v>
      </c>
      <c r="AP65" s="1002"/>
      <c r="AQ65" s="1002"/>
      <c r="AR65" s="1003"/>
      <c r="AS65" s="1001">
        <f>AW65/($AB65-AW65)</f>
        <v>-6.0606060606060606E-3</v>
      </c>
      <c r="AT65" s="1002"/>
      <c r="AU65" s="1002"/>
      <c r="AV65" s="1003"/>
      <c r="AW65" s="1004">
        <f>$T$58*($AK$58-$AG$58)+$T$59*($AK$59-$AG$59)</f>
        <v>-5000</v>
      </c>
      <c r="AX65" s="1005"/>
      <c r="AY65" s="1005"/>
      <c r="AZ65" s="1006"/>
      <c r="BA65" s="992">
        <f>SUMPRODUCT($T$58:$W$59,$AG$58:$AJ$59)</f>
        <v>825000</v>
      </c>
      <c r="BB65" s="993"/>
      <c r="BC65" s="993"/>
      <c r="BD65" s="994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24"/>
      <c r="K68" s="1025"/>
      <c r="L68" s="1025"/>
      <c r="M68" s="1025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26"/>
      <c r="K70" s="1026"/>
      <c r="L70" s="1026"/>
      <c r="M70" s="1026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91"/>
      <c r="K77" s="991"/>
      <c r="L77" s="991"/>
      <c r="M77" s="991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297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91"/>
      <c r="K78" s="991"/>
      <c r="L78" s="991"/>
      <c r="M78" s="991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30"/>
      <c r="K80" s="1030"/>
      <c r="L80" s="1030"/>
      <c r="M80" s="1030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91"/>
      <c r="K86" s="991"/>
      <c r="L86" s="991"/>
      <c r="M86" s="991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91"/>
      <c r="K94" s="991"/>
      <c r="L94" s="991"/>
      <c r="M94" s="991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91"/>
      <c r="K103" s="991"/>
      <c r="L103" s="991"/>
      <c r="M103" s="991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91"/>
      <c r="K104" s="991"/>
      <c r="L104" s="991"/>
      <c r="M104" s="991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X62:AA62"/>
    <mergeCell ref="AB62:AF62"/>
    <mergeCell ref="AO59:AR59"/>
    <mergeCell ref="AB58:AF58"/>
    <mergeCell ref="AB59:AF59"/>
    <mergeCell ref="T58:W58"/>
    <mergeCell ref="T59:W59"/>
    <mergeCell ref="AG59:AJ59"/>
    <mergeCell ref="AK58:AN58"/>
    <mergeCell ref="AK59:AN59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R43:U43"/>
    <mergeCell ref="R44:U44"/>
    <mergeCell ref="V43:Y43"/>
    <mergeCell ref="V44:Y44"/>
    <mergeCell ref="Z43:AC43"/>
    <mergeCell ref="Z44:AC44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BA62:BD62"/>
    <mergeCell ref="AG62:AJ62"/>
    <mergeCell ref="AK62:AN62"/>
    <mergeCell ref="AO62:AR62"/>
    <mergeCell ref="AS62:AV62"/>
    <mergeCell ref="AW62:AZ62"/>
  </mergeCells>
  <phoneticPr fontId="56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288</v>
      </c>
      <c r="E39" s="28"/>
      <c r="F39" s="28"/>
      <c r="G39" s="28"/>
      <c r="H39" s="86" t="s">
        <v>128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64</v>
      </c>
      <c r="E40" s="206"/>
      <c r="F40" s="206"/>
      <c r="G40" s="207"/>
      <c r="H40" s="208" t="s">
        <v>73</v>
      </c>
      <c r="I40" s="209"/>
      <c r="J40" s="209"/>
      <c r="K40" s="209"/>
      <c r="L40" s="206"/>
      <c r="M40" s="207"/>
      <c r="N40" s="205" t="s">
        <v>74</v>
      </c>
      <c r="O40" s="206"/>
      <c r="P40" s="206"/>
      <c r="Q40" s="207"/>
      <c r="R40" s="205" t="s">
        <v>75</v>
      </c>
      <c r="S40" s="206"/>
      <c r="T40" s="206"/>
      <c r="U40" s="206"/>
      <c r="V40" s="210" t="s">
        <v>87</v>
      </c>
      <c r="W40" s="211"/>
      <c r="X40" s="211"/>
      <c r="Y40" s="212"/>
      <c r="Z40" s="211" t="s">
        <v>89</v>
      </c>
      <c r="AA40" s="211"/>
      <c r="AB40" s="211"/>
      <c r="AC40" s="212"/>
      <c r="AD40" s="211" t="s">
        <v>76</v>
      </c>
      <c r="AE40" s="211"/>
      <c r="AF40" s="211"/>
      <c r="AG40" s="212"/>
      <c r="AH40" s="210" t="s">
        <v>278</v>
      </c>
      <c r="AI40" s="211"/>
      <c r="AJ40" s="211"/>
      <c r="AK40" s="211"/>
      <c r="AL40" s="212"/>
      <c r="AM40" s="210" t="s">
        <v>105</v>
      </c>
      <c r="AN40" s="211"/>
      <c r="AO40" s="211"/>
      <c r="AP40" s="211"/>
      <c r="AQ40" s="210" t="s">
        <v>83</v>
      </c>
      <c r="AR40" s="211"/>
      <c r="AS40" s="211"/>
      <c r="AT40" s="212"/>
      <c r="AU40" s="211" t="s">
        <v>85</v>
      </c>
      <c r="AV40" s="211"/>
      <c r="AW40" s="212"/>
      <c r="AX40" s="305" t="s">
        <v>86</v>
      </c>
      <c r="AY40" s="211"/>
      <c r="AZ40" s="211"/>
      <c r="BA40" s="212"/>
      <c r="BB40" s="211" t="s">
        <v>69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88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135</v>
      </c>
      <c r="E42" s="149"/>
      <c r="F42" s="149"/>
      <c r="G42" s="151"/>
      <c r="H42" s="242" t="s">
        <v>137</v>
      </c>
      <c r="I42" s="150"/>
      <c r="J42" s="150"/>
      <c r="K42" s="150"/>
      <c r="L42" s="161"/>
      <c r="M42" s="162"/>
      <c r="N42" s="242" t="s">
        <v>92</v>
      </c>
      <c r="O42" s="150"/>
      <c r="P42" s="150"/>
      <c r="Q42" s="99" t="s">
        <v>33</v>
      </c>
      <c r="R42" s="1021">
        <v>1000</v>
      </c>
      <c r="S42" s="1022"/>
      <c r="T42" s="1022"/>
      <c r="U42" s="1023"/>
      <c r="V42" s="1010">
        <v>980</v>
      </c>
      <c r="W42" s="1019"/>
      <c r="X42" s="1019"/>
      <c r="Y42" s="1020"/>
      <c r="Z42" s="1010">
        <v>1610</v>
      </c>
      <c r="AA42" s="1019"/>
      <c r="AB42" s="1019"/>
      <c r="AC42" s="1020"/>
      <c r="AD42" s="1010">
        <v>1035</v>
      </c>
      <c r="AE42" s="1019"/>
      <c r="AF42" s="1019"/>
      <c r="AG42" s="1020"/>
      <c r="AH42" s="1010">
        <v>510.27</v>
      </c>
      <c r="AI42" s="1019"/>
      <c r="AJ42" s="1019"/>
      <c r="AK42" s="1019"/>
      <c r="AL42" s="1020"/>
      <c r="AM42" s="1010">
        <v>796.03</v>
      </c>
      <c r="AN42" s="1019"/>
      <c r="AO42" s="1019"/>
      <c r="AP42" s="1020"/>
      <c r="AQ42" s="1010"/>
      <c r="AR42" s="1019"/>
      <c r="AS42" s="1019"/>
      <c r="AT42" s="1020"/>
      <c r="AU42" s="1007">
        <v>64.7</v>
      </c>
      <c r="AV42" s="1008"/>
      <c r="AW42" s="1009"/>
      <c r="AX42" s="309" t="s">
        <v>140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136</v>
      </c>
      <c r="E43" s="149"/>
      <c r="F43" s="149"/>
      <c r="G43" s="151"/>
      <c r="H43" s="242" t="s">
        <v>138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21">
        <v>500</v>
      </c>
      <c r="S43" s="1022"/>
      <c r="T43" s="1022"/>
      <c r="U43" s="1023"/>
      <c r="V43" s="1010">
        <v>500</v>
      </c>
      <c r="W43" s="1019"/>
      <c r="X43" s="1019"/>
      <c r="Y43" s="1020"/>
      <c r="Z43" s="1010">
        <v>794</v>
      </c>
      <c r="AA43" s="1019"/>
      <c r="AB43" s="1019"/>
      <c r="AC43" s="1020"/>
      <c r="AD43" s="1010">
        <v>630</v>
      </c>
      <c r="AE43" s="1019"/>
      <c r="AF43" s="1019"/>
      <c r="AG43" s="1020"/>
      <c r="AH43" s="1010">
        <v>247.92</v>
      </c>
      <c r="AI43" s="1019"/>
      <c r="AJ43" s="1019"/>
      <c r="AK43" s="1019"/>
      <c r="AL43" s="1020"/>
      <c r="AM43" s="1010">
        <v>483.47</v>
      </c>
      <c r="AN43" s="1019"/>
      <c r="AO43" s="1019"/>
      <c r="AP43" s="1020"/>
      <c r="AQ43" s="1010"/>
      <c r="AR43" s="1019"/>
      <c r="AS43" s="1019"/>
      <c r="AT43" s="1020"/>
      <c r="AU43" s="1007">
        <v>39.4</v>
      </c>
      <c r="AV43" s="1008"/>
      <c r="AW43" s="1009"/>
      <c r="AX43" s="309" t="s">
        <v>140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71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78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72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260</v>
      </c>
      <c r="E56" s="235"/>
      <c r="F56" s="234" t="s">
        <v>64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67</v>
      </c>
      <c r="Q56" s="240"/>
      <c r="R56" s="240"/>
      <c r="S56" s="241"/>
      <c r="T56" s="234" t="s">
        <v>79</v>
      </c>
      <c r="U56" s="235"/>
      <c r="V56" s="235"/>
      <c r="W56" s="236"/>
      <c r="X56" s="234" t="s">
        <v>224</v>
      </c>
      <c r="Y56" s="235"/>
      <c r="Z56" s="235"/>
      <c r="AA56" s="235"/>
      <c r="AB56" s="239" t="s">
        <v>65</v>
      </c>
      <c r="AC56" s="240"/>
      <c r="AD56" s="240"/>
      <c r="AE56" s="240"/>
      <c r="AF56" s="241"/>
      <c r="AG56" s="240" t="s">
        <v>68</v>
      </c>
      <c r="AH56" s="240"/>
      <c r="AI56" s="240"/>
      <c r="AJ56" s="241"/>
      <c r="AK56" s="240" t="s">
        <v>66</v>
      </c>
      <c r="AL56" s="240"/>
      <c r="AM56" s="240"/>
      <c r="AN56" s="241"/>
      <c r="AO56" s="239" t="s">
        <v>141</v>
      </c>
      <c r="AP56" s="240"/>
      <c r="AQ56" s="240"/>
      <c r="AR56" s="241"/>
      <c r="AS56" s="239" t="s">
        <v>82</v>
      </c>
      <c r="AT56" s="240"/>
      <c r="AU56" s="240"/>
      <c r="AV56" s="240"/>
      <c r="AW56" s="239" t="s">
        <v>83</v>
      </c>
      <c r="AX56" s="240"/>
      <c r="AY56" s="240"/>
      <c r="AZ56" s="241"/>
      <c r="BA56" s="239" t="s">
        <v>84</v>
      </c>
      <c r="BB56" s="240"/>
      <c r="BC56" s="240"/>
      <c r="BD56" s="241"/>
      <c r="BE56" s="240" t="s">
        <v>85</v>
      </c>
      <c r="BF56" s="240"/>
      <c r="BG56" s="241"/>
      <c r="BH56" s="240" t="s">
        <v>86</v>
      </c>
      <c r="BI56" s="240"/>
      <c r="BJ56" s="240"/>
      <c r="BK56" s="241"/>
      <c r="BL56" s="240" t="s">
        <v>69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144</v>
      </c>
      <c r="Q57" s="150"/>
      <c r="R57" s="150"/>
      <c r="S57" s="162"/>
      <c r="T57" s="1021">
        <f>R42</f>
        <v>1000</v>
      </c>
      <c r="U57" s="1022"/>
      <c r="V57" s="1022"/>
      <c r="W57" s="1023"/>
      <c r="X57" s="1031">
        <f>AH42</f>
        <v>510.27</v>
      </c>
      <c r="Y57" s="1032"/>
      <c r="Z57" s="1032"/>
      <c r="AA57" s="1033"/>
      <c r="AB57" s="1031">
        <f>V42</f>
        <v>980</v>
      </c>
      <c r="AC57" s="1032"/>
      <c r="AD57" s="1032"/>
      <c r="AE57" s="1032"/>
      <c r="AF57" s="1033"/>
      <c r="AG57" s="1031">
        <f>Z42</f>
        <v>1610</v>
      </c>
      <c r="AH57" s="1032"/>
      <c r="AI57" s="1032"/>
      <c r="AJ57" s="1033"/>
      <c r="AK57" s="1031">
        <f>AD42</f>
        <v>1035</v>
      </c>
      <c r="AL57" s="1032"/>
      <c r="AM57" s="1032"/>
      <c r="AN57" s="1033"/>
      <c r="AO57" s="1016">
        <f>AD42/AM42-1</f>
        <v>0.30020225368390641</v>
      </c>
      <c r="AP57" s="1017"/>
      <c r="AQ57" s="1017"/>
      <c r="AR57" s="1018"/>
      <c r="AS57" s="1013">
        <f>(AK57-AG57)/AG57</f>
        <v>-0.35714285714285715</v>
      </c>
      <c r="AT57" s="1014"/>
      <c r="AU57" s="1014"/>
      <c r="AV57" s="1015"/>
      <c r="AW57" s="148"/>
      <c r="AX57" s="150"/>
      <c r="AY57" s="150"/>
      <c r="AZ57" s="162"/>
      <c r="BA57" s="1016" t="str">
        <f>IFERROR(1-(AD42/AQ42),"")</f>
        <v/>
      </c>
      <c r="BB57" s="1017"/>
      <c r="BC57" s="1017"/>
      <c r="BD57" s="1018"/>
      <c r="BE57" s="1007">
        <f>AU42</f>
        <v>64.7</v>
      </c>
      <c r="BF57" s="1008"/>
      <c r="BG57" s="1009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144</v>
      </c>
      <c r="Q58" s="150"/>
      <c r="R58" s="150"/>
      <c r="S58" s="162"/>
      <c r="T58" s="1021">
        <f>R43</f>
        <v>500</v>
      </c>
      <c r="U58" s="1022"/>
      <c r="V58" s="1022"/>
      <c r="W58" s="1023"/>
      <c r="X58" s="1031">
        <f>AH43</f>
        <v>247.92</v>
      </c>
      <c r="Y58" s="1032"/>
      <c r="Z58" s="1032"/>
      <c r="AA58" s="1033"/>
      <c r="AB58" s="1031">
        <f>V43</f>
        <v>500</v>
      </c>
      <c r="AC58" s="1032"/>
      <c r="AD58" s="1032"/>
      <c r="AE58" s="1032"/>
      <c r="AF58" s="1033"/>
      <c r="AG58" s="1031">
        <f>Z43</f>
        <v>794</v>
      </c>
      <c r="AH58" s="1032"/>
      <c r="AI58" s="1032"/>
      <c r="AJ58" s="1033"/>
      <c r="AK58" s="1031">
        <f>AD43</f>
        <v>630</v>
      </c>
      <c r="AL58" s="1032"/>
      <c r="AM58" s="1032"/>
      <c r="AN58" s="1033"/>
      <c r="AO58" s="1016">
        <f>AD43/AM43-1</f>
        <v>0.3030798188098538</v>
      </c>
      <c r="AP58" s="1017"/>
      <c r="AQ58" s="1017"/>
      <c r="AR58" s="1018"/>
      <c r="AS58" s="1013">
        <f>(AK58-AG58)/AG58</f>
        <v>-0.20654911838790932</v>
      </c>
      <c r="AT58" s="1014"/>
      <c r="AU58" s="1014"/>
      <c r="AV58" s="1015"/>
      <c r="AW58" s="148"/>
      <c r="AX58" s="150"/>
      <c r="AY58" s="150"/>
      <c r="AZ58" s="162"/>
      <c r="BA58" s="1016" t="str">
        <f>IFERROR(1-(AD43/AQ43),"")</f>
        <v/>
      </c>
      <c r="BB58" s="1017"/>
      <c r="BC58" s="1017"/>
      <c r="BD58" s="1018"/>
      <c r="BE58" s="1007">
        <f>AU43</f>
        <v>39.4</v>
      </c>
      <c r="BF58" s="1008"/>
      <c r="BG58" s="1009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281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280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98</v>
      </c>
      <c r="AC60" s="508"/>
      <c r="AD60" s="508"/>
      <c r="AE60" s="508"/>
      <c r="AF60" s="509"/>
      <c r="AG60" s="510" t="s">
        <v>145</v>
      </c>
      <c r="AH60" s="508"/>
      <c r="AI60" s="508"/>
      <c r="AJ60" s="509"/>
      <c r="AK60" s="510" t="s">
        <v>142</v>
      </c>
      <c r="AL60" s="508"/>
      <c r="AM60" s="508"/>
      <c r="AN60" s="509"/>
      <c r="AO60" s="507" t="s">
        <v>143</v>
      </c>
      <c r="AP60" s="508"/>
      <c r="AQ60" s="508"/>
      <c r="AR60" s="509"/>
      <c r="AS60" s="507" t="s">
        <v>82</v>
      </c>
      <c r="AT60" s="508"/>
      <c r="AU60" s="508"/>
      <c r="AV60" s="508"/>
      <c r="AW60" s="507" t="s">
        <v>100</v>
      </c>
      <c r="AX60" s="508"/>
      <c r="AY60" s="508"/>
      <c r="AZ60" s="509"/>
      <c r="BA60" s="507" t="s">
        <v>101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92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1010"/>
      <c r="Y61" s="1011"/>
      <c r="Z61" s="1011"/>
      <c r="AA61" s="1012"/>
      <c r="AB61" s="1027">
        <f>SUMPRODUCT($T$57:$W$58,$AK$57:$AN$58)</f>
        <v>1350000</v>
      </c>
      <c r="AC61" s="1028"/>
      <c r="AD61" s="1028"/>
      <c r="AE61" s="1028"/>
      <c r="AF61" s="1029"/>
      <c r="AG61" s="998">
        <f>SUM(AM$42:AP$43)</f>
        <v>1279.5</v>
      </c>
      <c r="AH61" s="999"/>
      <c r="AI61" s="999"/>
      <c r="AJ61" s="1000"/>
      <c r="AK61" s="998">
        <f>$AB61-SUMPRODUCT($R$42:$U$43,$AM$42:$AP$43)</f>
        <v>312235</v>
      </c>
      <c r="AL61" s="999"/>
      <c r="AM61" s="999"/>
      <c r="AN61" s="1000"/>
      <c r="AO61" s="1001">
        <f>$AK61/($AB61-$AK61)</f>
        <v>0.30087254821660009</v>
      </c>
      <c r="AP61" s="1002"/>
      <c r="AQ61" s="1002"/>
      <c r="AR61" s="1003"/>
      <c r="AS61" s="1001">
        <f>AW61/($AB61-AW61)</f>
        <v>-0.3273542600896861</v>
      </c>
      <c r="AT61" s="1002"/>
      <c r="AU61" s="1002"/>
      <c r="AV61" s="1003"/>
      <c r="AW61" s="1004">
        <f>$T$57*($AK$57-$AG$57)+$T$58*($AK$58-$AG$58)</f>
        <v>-657000</v>
      </c>
      <c r="AX61" s="1005"/>
      <c r="AY61" s="1005"/>
      <c r="AZ61" s="1006"/>
      <c r="BA61" s="992">
        <f>SUMPRODUCT($T$57:$W$58,$AG$57:$AJ$58)</f>
        <v>2007000</v>
      </c>
      <c r="BB61" s="993"/>
      <c r="BC61" s="993"/>
      <c r="BD61" s="994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98</v>
      </c>
      <c r="AC63" s="249"/>
      <c r="AD63" s="249"/>
      <c r="AE63" s="249"/>
      <c r="AF63" s="250"/>
      <c r="AG63" s="330" t="s">
        <v>145</v>
      </c>
      <c r="AH63" s="249"/>
      <c r="AI63" s="249"/>
      <c r="AJ63" s="250"/>
      <c r="AK63" s="330" t="s">
        <v>142</v>
      </c>
      <c r="AL63" s="249"/>
      <c r="AM63" s="249"/>
      <c r="AN63" s="250"/>
      <c r="AO63" s="248" t="s">
        <v>143</v>
      </c>
      <c r="AP63" s="249"/>
      <c r="AQ63" s="249"/>
      <c r="AR63" s="250"/>
      <c r="AS63" s="248" t="s">
        <v>82</v>
      </c>
      <c r="AT63" s="249"/>
      <c r="AU63" s="249"/>
      <c r="AV63" s="249"/>
      <c r="AW63" s="248" t="s">
        <v>100</v>
      </c>
      <c r="AX63" s="249"/>
      <c r="AY63" s="249"/>
      <c r="AZ63" s="250"/>
      <c r="BA63" s="248" t="s">
        <v>101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1010"/>
      <c r="Y64" s="1011"/>
      <c r="Z64" s="1011"/>
      <c r="AA64" s="1012"/>
      <c r="AB64" s="1027">
        <f>SUMPRODUCT($T$57:$W$58,$AK$57:$AN$58)</f>
        <v>1350000</v>
      </c>
      <c r="AC64" s="1028"/>
      <c r="AD64" s="1028"/>
      <c r="AE64" s="1028"/>
      <c r="AF64" s="1029"/>
      <c r="AG64" s="998">
        <f>SUM(AM$42:AP$43)</f>
        <v>1279.5</v>
      </c>
      <c r="AH64" s="999"/>
      <c r="AI64" s="999"/>
      <c r="AJ64" s="1000"/>
      <c r="AK64" s="998">
        <f>$AB64-SUMPRODUCT($R$42:$U$43,$AM$42:$AP$43)</f>
        <v>312235</v>
      </c>
      <c r="AL64" s="999"/>
      <c r="AM64" s="999"/>
      <c r="AN64" s="1000"/>
      <c r="AO64" s="1001">
        <f>$AK64/($AB64-$AK64)</f>
        <v>0.30087254821660009</v>
      </c>
      <c r="AP64" s="1002"/>
      <c r="AQ64" s="1002"/>
      <c r="AR64" s="1003"/>
      <c r="AS64" s="1001">
        <f>AW64/($AB64-AW64)</f>
        <v>-0.3273542600896861</v>
      </c>
      <c r="AT64" s="1002"/>
      <c r="AU64" s="1002"/>
      <c r="AV64" s="1003"/>
      <c r="AW64" s="1004">
        <f>$T$57*($AK$57-$AG$57)+$T$58*($AK$58-$AG$58)</f>
        <v>-657000</v>
      </c>
      <c r="AX64" s="1005"/>
      <c r="AY64" s="1005"/>
      <c r="AZ64" s="1006"/>
      <c r="BA64" s="992">
        <f>SUMPRODUCT($T$57:$W$58,$AG$57:$AJ$58)</f>
        <v>2007000</v>
      </c>
      <c r="BB64" s="993"/>
      <c r="BC64" s="993"/>
      <c r="BD64" s="994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24"/>
      <c r="K68" s="1025"/>
      <c r="L68" s="1025"/>
      <c r="M68" s="1025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26"/>
      <c r="K70" s="1026"/>
      <c r="L70" s="1026"/>
      <c r="M70" s="1026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34"/>
      <c r="K77" s="1034"/>
      <c r="L77" s="1034"/>
      <c r="M77" s="1034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91"/>
      <c r="K78" s="991"/>
      <c r="L78" s="991"/>
      <c r="M78" s="991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30"/>
      <c r="K80" s="1030"/>
      <c r="L80" s="1030"/>
      <c r="M80" s="1030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91"/>
      <c r="K86" s="991"/>
      <c r="L86" s="991"/>
      <c r="M86" s="991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91"/>
      <c r="K94" s="991"/>
      <c r="L94" s="991"/>
      <c r="M94" s="991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91"/>
      <c r="K103" s="991"/>
      <c r="L103" s="991"/>
      <c r="M103" s="991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91"/>
      <c r="K104" s="991"/>
      <c r="L104" s="991"/>
      <c r="M104" s="991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W61:AZ61"/>
    <mergeCell ref="BA61:BD61"/>
    <mergeCell ref="X61:AA61"/>
    <mergeCell ref="AB61:AF61"/>
    <mergeCell ref="AG61:AJ61"/>
    <mergeCell ref="AK61:AN61"/>
    <mergeCell ref="AO61:AR61"/>
  </mergeCells>
  <phoneticPr fontId="56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264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282</v>
      </c>
      <c r="D39" s="28"/>
      <c r="E39" s="28"/>
      <c r="F39" s="28"/>
      <c r="G39" s="86" t="s">
        <v>277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262</v>
      </c>
      <c r="E40" s="206"/>
      <c r="F40" s="206"/>
      <c r="G40" s="207"/>
      <c r="H40" s="208" t="s">
        <v>276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148</v>
      </c>
      <c r="E41" s="149"/>
      <c r="F41" s="149"/>
      <c r="G41" s="151"/>
      <c r="H41" s="1041">
        <v>110</v>
      </c>
      <c r="I41" s="1011"/>
      <c r="J41" s="1011"/>
      <c r="K41" s="1011"/>
      <c r="L41" s="1012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263</v>
      </c>
      <c r="E42" s="149"/>
      <c r="F42" s="149"/>
      <c r="G42" s="151"/>
      <c r="H42" s="1041">
        <v>125</v>
      </c>
      <c r="I42" s="1011"/>
      <c r="J42" s="1011"/>
      <c r="K42" s="1011"/>
      <c r="L42" s="1012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63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288</v>
      </c>
      <c r="E47" s="28"/>
      <c r="F47" s="28"/>
      <c r="G47" s="28"/>
      <c r="H47" s="86" t="s">
        <v>146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64</v>
      </c>
      <c r="E48" s="206"/>
      <c r="F48" s="206"/>
      <c r="G48" s="207"/>
      <c r="H48" s="208" t="s">
        <v>73</v>
      </c>
      <c r="I48" s="209"/>
      <c r="J48" s="209"/>
      <c r="K48" s="209"/>
      <c r="L48" s="206"/>
      <c r="M48" s="207"/>
      <c r="N48" s="205" t="s">
        <v>74</v>
      </c>
      <c r="O48" s="206"/>
      <c r="P48" s="206"/>
      <c r="Q48" s="207"/>
      <c r="R48" s="205" t="s">
        <v>75</v>
      </c>
      <c r="S48" s="206"/>
      <c r="T48" s="206"/>
      <c r="U48" s="206"/>
      <c r="V48" s="210" t="s">
        <v>292</v>
      </c>
      <c r="W48" s="211"/>
      <c r="X48" s="211"/>
      <c r="Y48" s="212"/>
      <c r="Z48" s="210" t="s">
        <v>150</v>
      </c>
      <c r="AA48" s="211"/>
      <c r="AB48" s="211"/>
      <c r="AC48" s="212"/>
      <c r="AD48" s="210" t="s">
        <v>293</v>
      </c>
      <c r="AE48" s="211"/>
      <c r="AF48" s="211"/>
      <c r="AG48" s="212"/>
      <c r="AH48" s="211" t="s">
        <v>76</v>
      </c>
      <c r="AI48" s="211"/>
      <c r="AJ48" s="211"/>
      <c r="AK48" s="212"/>
      <c r="AL48" s="211" t="s">
        <v>89</v>
      </c>
      <c r="AM48" s="211"/>
      <c r="AN48" s="211"/>
      <c r="AO48" s="212"/>
      <c r="AP48" s="210" t="s">
        <v>153</v>
      </c>
      <c r="AQ48" s="211"/>
      <c r="AR48" s="211"/>
      <c r="AS48" s="211"/>
      <c r="AT48" s="210" t="s">
        <v>154</v>
      </c>
      <c r="AU48" s="211"/>
      <c r="AV48" s="211"/>
      <c r="AW48" s="211"/>
      <c r="AX48" s="210" t="s">
        <v>83</v>
      </c>
      <c r="AY48" s="211"/>
      <c r="AZ48" s="211"/>
      <c r="BA48" s="212"/>
      <c r="BB48" s="210" t="s">
        <v>87</v>
      </c>
      <c r="BC48" s="211"/>
      <c r="BD48" s="211"/>
      <c r="BE48" s="212"/>
      <c r="BF48" s="210" t="s">
        <v>156</v>
      </c>
      <c r="BG48" s="211"/>
      <c r="BH48" s="211"/>
      <c r="BI48" s="212"/>
      <c r="BJ48" s="305" t="s">
        <v>86</v>
      </c>
      <c r="BK48" s="211"/>
      <c r="BL48" s="211"/>
      <c r="BM48" s="212"/>
      <c r="BN48" s="211" t="s">
        <v>69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155</v>
      </c>
      <c r="AU49" s="218"/>
      <c r="AV49" s="219"/>
      <c r="AW49" s="219"/>
      <c r="AX49" s="217" t="s">
        <v>155</v>
      </c>
      <c r="AY49" s="218"/>
      <c r="AZ49" s="219"/>
      <c r="BA49" s="220"/>
      <c r="BB49" s="217" t="s">
        <v>88</v>
      </c>
      <c r="BC49" s="218"/>
      <c r="BD49" s="219"/>
      <c r="BE49" s="220"/>
      <c r="BF49" s="217" t="s">
        <v>157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158</v>
      </c>
      <c r="E50" s="149"/>
      <c r="F50" s="149"/>
      <c r="G50" s="151"/>
      <c r="H50" s="242" t="s">
        <v>159</v>
      </c>
      <c r="I50" s="150"/>
      <c r="J50" s="150"/>
      <c r="K50" s="150"/>
      <c r="L50" s="161"/>
      <c r="M50" s="162"/>
      <c r="N50" s="242" t="s">
        <v>160</v>
      </c>
      <c r="O50" s="150"/>
      <c r="P50" s="150"/>
      <c r="Q50" s="99" t="s">
        <v>33</v>
      </c>
      <c r="R50" s="1021">
        <v>70000</v>
      </c>
      <c r="S50" s="1022"/>
      <c r="T50" s="1022"/>
      <c r="U50" s="1023"/>
      <c r="V50" s="148" t="s">
        <v>148</v>
      </c>
      <c r="W50" s="150"/>
      <c r="X50" s="150"/>
      <c r="Y50" s="99" t="s">
        <v>33</v>
      </c>
      <c r="Z50" s="1035">
        <v>6.7299999999999999E-2</v>
      </c>
      <c r="AA50" s="1036"/>
      <c r="AB50" s="1036"/>
      <c r="AC50" s="1037"/>
      <c r="AD50" s="148" t="s">
        <v>148</v>
      </c>
      <c r="AE50" s="150"/>
      <c r="AF50" s="150"/>
      <c r="AG50" s="99" t="s">
        <v>33</v>
      </c>
      <c r="AH50" s="1035">
        <v>0.1211</v>
      </c>
      <c r="AI50" s="1036"/>
      <c r="AJ50" s="1036"/>
      <c r="AK50" s="1037"/>
      <c r="AL50" s="1035"/>
      <c r="AM50" s="1036"/>
      <c r="AN50" s="1036"/>
      <c r="AO50" s="1037"/>
      <c r="AP50" s="1038">
        <v>0.01</v>
      </c>
      <c r="AQ50" s="1039"/>
      <c r="AR50" s="1039"/>
      <c r="AS50" s="1040"/>
      <c r="AT50" s="1035">
        <v>0.13589999999999999</v>
      </c>
      <c r="AU50" s="1036"/>
      <c r="AV50" s="1036"/>
      <c r="AW50" s="1037"/>
      <c r="AX50" s="1035">
        <v>0.151</v>
      </c>
      <c r="AY50" s="1036"/>
      <c r="AZ50" s="1036"/>
      <c r="BA50" s="1037"/>
      <c r="BB50" s="1035">
        <v>0.151</v>
      </c>
      <c r="BC50" s="1036"/>
      <c r="BD50" s="1036"/>
      <c r="BE50" s="1037"/>
      <c r="BF50" s="1035">
        <v>6.1000000000000004E-3</v>
      </c>
      <c r="BG50" s="1036"/>
      <c r="BH50" s="1036"/>
      <c r="BI50" s="1037"/>
      <c r="BJ50" s="1045"/>
      <c r="BK50" s="1046"/>
      <c r="BL50" s="1046"/>
      <c r="BM50" s="1047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21"/>
      <c r="S51" s="1022"/>
      <c r="T51" s="1022"/>
      <c r="U51" s="1023"/>
      <c r="V51" s="148"/>
      <c r="W51" s="150"/>
      <c r="X51" s="150"/>
      <c r="Y51" s="99" t="s">
        <v>33</v>
      </c>
      <c r="Z51" s="1010"/>
      <c r="AA51" s="1019"/>
      <c r="AB51" s="1019"/>
      <c r="AC51" s="1020"/>
      <c r="AD51" s="148"/>
      <c r="AE51" s="150"/>
      <c r="AF51" s="150"/>
      <c r="AG51" s="99" t="s">
        <v>33</v>
      </c>
      <c r="AH51" s="1010"/>
      <c r="AI51" s="1019"/>
      <c r="AJ51" s="1019"/>
      <c r="AK51" s="1020"/>
      <c r="AL51" s="1010"/>
      <c r="AM51" s="1019"/>
      <c r="AN51" s="1019"/>
      <c r="AO51" s="1020"/>
      <c r="AP51" s="1010"/>
      <c r="AQ51" s="1019"/>
      <c r="AR51" s="1019"/>
      <c r="AS51" s="1020"/>
      <c r="AT51" s="1010"/>
      <c r="AU51" s="1019"/>
      <c r="AV51" s="1019"/>
      <c r="AW51" s="1020"/>
      <c r="AX51" s="1010"/>
      <c r="AY51" s="1019"/>
      <c r="AZ51" s="1019"/>
      <c r="BA51" s="1020"/>
      <c r="BB51" s="1010"/>
      <c r="BC51" s="1019"/>
      <c r="BD51" s="1019"/>
      <c r="BE51" s="1020"/>
      <c r="BF51" s="1010"/>
      <c r="BG51" s="1019"/>
      <c r="BH51" s="1019"/>
      <c r="BI51" s="1020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71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78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72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260</v>
      </c>
      <c r="E64" s="235"/>
      <c r="F64" s="234" t="s">
        <v>64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67</v>
      </c>
      <c r="Q64" s="240"/>
      <c r="R64" s="240"/>
      <c r="S64" s="241"/>
      <c r="T64" s="234" t="s">
        <v>79</v>
      </c>
      <c r="U64" s="235"/>
      <c r="V64" s="235"/>
      <c r="W64" s="236"/>
      <c r="X64" s="234" t="s">
        <v>150</v>
      </c>
      <c r="Y64" s="235"/>
      <c r="Z64" s="235"/>
      <c r="AA64" s="235"/>
      <c r="AB64" s="239" t="s">
        <v>65</v>
      </c>
      <c r="AC64" s="240"/>
      <c r="AD64" s="240"/>
      <c r="AE64" s="240"/>
      <c r="AF64" s="241"/>
      <c r="AG64" s="240" t="s">
        <v>68</v>
      </c>
      <c r="AH64" s="240"/>
      <c r="AI64" s="240"/>
      <c r="AJ64" s="241"/>
      <c r="AK64" s="240" t="s">
        <v>66</v>
      </c>
      <c r="AL64" s="240"/>
      <c r="AM64" s="240"/>
      <c r="AN64" s="241"/>
      <c r="AO64" s="239" t="s">
        <v>161</v>
      </c>
      <c r="AP64" s="240"/>
      <c r="AQ64" s="240"/>
      <c r="AR64" s="241"/>
      <c r="AS64" s="239" t="s">
        <v>82</v>
      </c>
      <c r="AT64" s="240"/>
      <c r="AU64" s="240"/>
      <c r="AV64" s="240"/>
      <c r="AW64" s="357" t="s">
        <v>83</v>
      </c>
      <c r="AX64" s="240"/>
      <c r="AY64" s="240"/>
      <c r="AZ64" s="241"/>
      <c r="BA64" s="239" t="s">
        <v>84</v>
      </c>
      <c r="BB64" s="240"/>
      <c r="BC64" s="240"/>
      <c r="BD64" s="241"/>
      <c r="BE64" s="240" t="s">
        <v>85</v>
      </c>
      <c r="BF64" s="240"/>
      <c r="BG64" s="241"/>
      <c r="BH64" s="240" t="s">
        <v>86</v>
      </c>
      <c r="BI64" s="240"/>
      <c r="BJ64" s="240"/>
      <c r="BK64" s="241"/>
      <c r="BL64" s="240" t="s">
        <v>69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147</v>
      </c>
      <c r="Q65" s="150"/>
      <c r="R65" s="150"/>
      <c r="S65" s="162"/>
      <c r="T65" s="1021">
        <f>R50</f>
        <v>70000</v>
      </c>
      <c r="U65" s="1022"/>
      <c r="V65" s="1022"/>
      <c r="W65" s="1023"/>
      <c r="X65" s="1051">
        <f>SUM(Z50:AC51)</f>
        <v>6.7299999999999999E-2</v>
      </c>
      <c r="Y65" s="1052"/>
      <c r="Z65" s="1052"/>
      <c r="AA65" s="1053"/>
      <c r="AB65" s="1054">
        <f>BB50</f>
        <v>0.151</v>
      </c>
      <c r="AC65" s="1055"/>
      <c r="AD65" s="1055"/>
      <c r="AE65" s="1055"/>
      <c r="AF65" s="1056"/>
      <c r="AG65" s="1035">
        <f>AL50</f>
        <v>0</v>
      </c>
      <c r="AH65" s="1036"/>
      <c r="AI65" s="1036"/>
      <c r="AJ65" s="1037"/>
      <c r="AK65" s="1035">
        <f>AH50</f>
        <v>0.1211</v>
      </c>
      <c r="AL65" s="1036"/>
      <c r="AM65" s="1036"/>
      <c r="AN65" s="1037"/>
      <c r="AO65" s="1016">
        <f>1-Z50/AT50</f>
        <v>0.50478292862398821</v>
      </c>
      <c r="AP65" s="1017"/>
      <c r="AQ65" s="1017"/>
      <c r="AR65" s="1018"/>
      <c r="AS65" s="1013" t="str">
        <f>IFERROR((AK65-AG65)/AG65,"")</f>
        <v/>
      </c>
      <c r="AT65" s="1014"/>
      <c r="AU65" s="1014"/>
      <c r="AV65" s="1015"/>
      <c r="AW65" s="1035">
        <f>AX50</f>
        <v>0.151</v>
      </c>
      <c r="AX65" s="1036"/>
      <c r="AY65" s="1036"/>
      <c r="AZ65" s="1037"/>
      <c r="BA65" s="1016">
        <f>1-(AH50/AX50)</f>
        <v>0.19801324503311257</v>
      </c>
      <c r="BB65" s="1017"/>
      <c r="BC65" s="1017"/>
      <c r="BD65" s="1018"/>
      <c r="BE65" s="1051">
        <f>BF50</f>
        <v>6.1000000000000004E-3</v>
      </c>
      <c r="BF65" s="1052"/>
      <c r="BG65" s="1053"/>
      <c r="BH65" s="1045"/>
      <c r="BI65" s="1046"/>
      <c r="BJ65" s="1046"/>
      <c r="BK65" s="1047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21"/>
      <c r="U66" s="1022"/>
      <c r="V66" s="1022"/>
      <c r="W66" s="1023"/>
      <c r="X66" s="1010"/>
      <c r="Y66" s="1019"/>
      <c r="Z66" s="1019"/>
      <c r="AA66" s="1020"/>
      <c r="AB66" s="1048"/>
      <c r="AC66" s="1049"/>
      <c r="AD66" s="1049"/>
      <c r="AE66" s="1049"/>
      <c r="AF66" s="1050"/>
      <c r="AG66" s="1010"/>
      <c r="AH66" s="1019"/>
      <c r="AI66" s="1019"/>
      <c r="AJ66" s="1020"/>
      <c r="AK66" s="1010"/>
      <c r="AL66" s="1019"/>
      <c r="AM66" s="1019"/>
      <c r="AN66" s="1020"/>
      <c r="AO66" s="1016"/>
      <c r="AP66" s="1017"/>
      <c r="AQ66" s="1017"/>
      <c r="AR66" s="1018"/>
      <c r="AS66" s="1013"/>
      <c r="AT66" s="1014"/>
      <c r="AU66" s="1014"/>
      <c r="AV66" s="1015"/>
      <c r="AW66" s="1010"/>
      <c r="AX66" s="1019"/>
      <c r="AY66" s="1019"/>
      <c r="AZ66" s="1020"/>
      <c r="BA66" s="1016"/>
      <c r="BB66" s="1017"/>
      <c r="BC66" s="1017"/>
      <c r="BD66" s="1018"/>
      <c r="BE66" s="1007"/>
      <c r="BF66" s="1008"/>
      <c r="BG66" s="1009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281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280</v>
      </c>
      <c r="E68" s="503"/>
      <c r="F68" s="504" t="s">
        <v>294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102</v>
      </c>
      <c r="U68" s="503"/>
      <c r="V68" s="503"/>
      <c r="W68" s="509"/>
      <c r="X68" s="510" t="s">
        <v>234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163</v>
      </c>
      <c r="AH68" s="508"/>
      <c r="AI68" s="508"/>
      <c r="AJ68" s="509"/>
      <c r="AK68" s="514" t="s">
        <v>164</v>
      </c>
      <c r="AL68" s="508"/>
      <c r="AM68" s="508"/>
      <c r="AN68" s="509"/>
      <c r="AO68" s="507" t="s">
        <v>82</v>
      </c>
      <c r="AP68" s="508"/>
      <c r="AQ68" s="508"/>
      <c r="AR68" s="508"/>
      <c r="AS68" s="507" t="s">
        <v>100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160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21">
        <f>SUMPRODUCT($T$65:$W$66,$AK$65:$AN$66)</f>
        <v>8477</v>
      </c>
      <c r="U69" s="1022"/>
      <c r="V69" s="1022"/>
      <c r="W69" s="1023"/>
      <c r="X69" s="998">
        <f>SUMPRODUCT(R46:U47,Z46:AC47)</f>
        <v>0</v>
      </c>
      <c r="Y69" s="999"/>
      <c r="Z69" s="999"/>
      <c r="AA69" s="1000"/>
      <c r="AB69" s="252"/>
      <c r="AC69" s="252"/>
      <c r="AD69" s="252"/>
      <c r="AE69" s="252"/>
      <c r="AF69" s="252"/>
      <c r="AG69" s="998">
        <f>$T69-$X69</f>
        <v>8477</v>
      </c>
      <c r="AH69" s="999"/>
      <c r="AI69" s="999"/>
      <c r="AJ69" s="1000"/>
      <c r="AK69" s="1042">
        <f>AG69/T69</f>
        <v>1</v>
      </c>
      <c r="AL69" s="1043"/>
      <c r="AM69" s="1043"/>
      <c r="AN69" s="1044"/>
      <c r="AO69" s="1001">
        <f>IFERROR(AS69/($T69-AS69),"")</f>
        <v>-0.5</v>
      </c>
      <c r="AP69" s="1002"/>
      <c r="AQ69" s="1002"/>
      <c r="AR69" s="1003"/>
      <c r="AS69" s="1004">
        <f>$T$65*($AG$65-$AK$65)+$T$66*($AG$66-$AK$66)</f>
        <v>-8477</v>
      </c>
      <c r="AT69" s="1005"/>
      <c r="AU69" s="1005"/>
      <c r="AV69" s="1006"/>
      <c r="AW69" s="992"/>
      <c r="AX69" s="993"/>
      <c r="AY69" s="993"/>
      <c r="AZ69" s="994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160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21">
        <f>SUMPRODUCT($T$65:$W$66,$AK$65:$AN$66)</f>
        <v>8477</v>
      </c>
      <c r="U70" s="1022"/>
      <c r="V70" s="1022"/>
      <c r="W70" s="1023"/>
      <c r="X70" s="998">
        <f>SUMPRODUCT(R47:U48,Z47:AC48)</f>
        <v>0</v>
      </c>
      <c r="Y70" s="999"/>
      <c r="Z70" s="999"/>
      <c r="AA70" s="1000"/>
      <c r="AB70" s="252"/>
      <c r="AC70" s="252"/>
      <c r="AD70" s="252"/>
      <c r="AE70" s="252"/>
      <c r="AF70" s="252"/>
      <c r="AG70" s="998">
        <f>$T70-$X70</f>
        <v>8477</v>
      </c>
      <c r="AH70" s="999"/>
      <c r="AI70" s="999"/>
      <c r="AJ70" s="1000"/>
      <c r="AK70" s="1042">
        <f>AG70/T70</f>
        <v>1</v>
      </c>
      <c r="AL70" s="1043"/>
      <c r="AM70" s="1043"/>
      <c r="AN70" s="1044"/>
      <c r="AO70" s="1001">
        <f>IFERROR(AS70/($T70-AS70),"")</f>
        <v>-0.5</v>
      </c>
      <c r="AP70" s="1002"/>
      <c r="AQ70" s="1002"/>
      <c r="AR70" s="1003"/>
      <c r="AS70" s="1004">
        <f>$T$65*($AG$65-$AK$65)+$T$66*($AG$66-$AK$66)</f>
        <v>-8477</v>
      </c>
      <c r="AT70" s="1005"/>
      <c r="AU70" s="1005"/>
      <c r="AV70" s="1006"/>
      <c r="AW70" s="992"/>
      <c r="AX70" s="993"/>
      <c r="AY70" s="993"/>
      <c r="AZ70" s="994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296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102</v>
      </c>
      <c r="U72" s="244"/>
      <c r="V72" s="244"/>
      <c r="W72" s="250"/>
      <c r="X72" s="330" t="s">
        <v>234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163</v>
      </c>
      <c r="AH72" s="249"/>
      <c r="AI72" s="249"/>
      <c r="AJ72" s="250"/>
      <c r="AK72" s="358" t="s">
        <v>164</v>
      </c>
      <c r="AL72" s="249"/>
      <c r="AM72" s="249"/>
      <c r="AN72" s="250"/>
      <c r="AO72" s="248" t="s">
        <v>82</v>
      </c>
      <c r="AP72" s="249"/>
      <c r="AQ72" s="249"/>
      <c r="AR72" s="249"/>
      <c r="AS72" s="248" t="s">
        <v>100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148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21">
        <f>SUMPRODUCT($T$65:$W$66,$AK$65:$AN$66)</f>
        <v>8477</v>
      </c>
      <c r="U73" s="1022"/>
      <c r="V73" s="1022"/>
      <c r="W73" s="1023"/>
      <c r="X73" s="998">
        <f>SUMPRODUCT(R49:U50,Z49:AC50)</f>
        <v>4711</v>
      </c>
      <c r="Y73" s="999"/>
      <c r="Z73" s="999"/>
      <c r="AA73" s="1000"/>
      <c r="AB73" s="252"/>
      <c r="AC73" s="252"/>
      <c r="AD73" s="252"/>
      <c r="AE73" s="252"/>
      <c r="AF73" s="252"/>
      <c r="AG73" s="998">
        <f>$T73-$X73</f>
        <v>3766</v>
      </c>
      <c r="AH73" s="999"/>
      <c r="AI73" s="999"/>
      <c r="AJ73" s="1000"/>
      <c r="AK73" s="1042">
        <f>AG73/T73</f>
        <v>0.44426094137076794</v>
      </c>
      <c r="AL73" s="1043"/>
      <c r="AM73" s="1043"/>
      <c r="AN73" s="1044"/>
      <c r="AO73" s="1001">
        <f>IFERROR(AS73/($T73-AS73),"")</f>
        <v>-0.5</v>
      </c>
      <c r="AP73" s="1002"/>
      <c r="AQ73" s="1002"/>
      <c r="AR73" s="1003"/>
      <c r="AS73" s="1004">
        <f>$T$65*($AG$65-$AK$65)+$T$66*($AG$66-$AK$66)</f>
        <v>-8477</v>
      </c>
      <c r="AT73" s="1005"/>
      <c r="AU73" s="1005"/>
      <c r="AV73" s="1006"/>
      <c r="AW73" s="992"/>
      <c r="AX73" s="993"/>
      <c r="AY73" s="993"/>
      <c r="AZ73" s="994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21">
        <f>SUMPRODUCT($T$65:$W$66,$AK$65:$AN$66)</f>
        <v>8477</v>
      </c>
      <c r="U74" s="1022"/>
      <c r="V74" s="1022"/>
      <c r="W74" s="1023"/>
      <c r="X74" s="998">
        <f>SUMPRODUCT(R50:U51,Z50:AC51)</f>
        <v>4711</v>
      </c>
      <c r="Y74" s="999"/>
      <c r="Z74" s="999"/>
      <c r="AA74" s="1000"/>
      <c r="AB74" s="252"/>
      <c r="AC74" s="252"/>
      <c r="AD74" s="252"/>
      <c r="AE74" s="252"/>
      <c r="AF74" s="252"/>
      <c r="AG74" s="998">
        <f>$T74-$X74</f>
        <v>3766</v>
      </c>
      <c r="AH74" s="999"/>
      <c r="AI74" s="999"/>
      <c r="AJ74" s="1000"/>
      <c r="AK74" s="1042">
        <f>AG74/T74</f>
        <v>0.44426094137076794</v>
      </c>
      <c r="AL74" s="1043"/>
      <c r="AM74" s="1043"/>
      <c r="AN74" s="1044"/>
      <c r="AO74" s="1001">
        <f>IFERROR(AS74/($T74-AS74),"")</f>
        <v>-0.5</v>
      </c>
      <c r="AP74" s="1002"/>
      <c r="AQ74" s="1002"/>
      <c r="AR74" s="1003"/>
      <c r="AS74" s="1004">
        <f>$T$65*($AG$65-$AK$65)+$T$66*($AG$66-$AK$66)</f>
        <v>-8477</v>
      </c>
      <c r="AT74" s="1005"/>
      <c r="AU74" s="1005"/>
      <c r="AV74" s="1006"/>
      <c r="AW74" s="992"/>
      <c r="AX74" s="993"/>
      <c r="AY74" s="993"/>
      <c r="AZ74" s="994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24"/>
      <c r="K78" s="1025"/>
      <c r="L78" s="1025"/>
      <c r="M78" s="1025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26"/>
      <c r="K80" s="1026"/>
      <c r="L80" s="1026"/>
      <c r="M80" s="1026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131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44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45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34"/>
      <c r="K87" s="1034"/>
      <c r="L87" s="1034"/>
      <c r="M87" s="1034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247</v>
      </c>
      <c r="D88" s="332"/>
      <c r="E88" s="65"/>
      <c r="F88" s="65"/>
      <c r="G88" s="65"/>
      <c r="H88" s="65"/>
      <c r="I88" s="65"/>
      <c r="J88" s="991"/>
      <c r="K88" s="991"/>
      <c r="L88" s="991"/>
      <c r="M88" s="991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248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30"/>
      <c r="K90" s="1030"/>
      <c r="L90" s="1030"/>
      <c r="M90" s="1030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240</v>
      </c>
      <c r="E92" s="28"/>
      <c r="F92" s="28"/>
      <c r="G92" s="28"/>
      <c r="H92" s="468" t="s">
        <v>245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246</v>
      </c>
      <c r="S92" s="470"/>
      <c r="T92" s="471"/>
      <c r="U92" s="471"/>
      <c r="V92" s="483"/>
      <c r="W92" s="472"/>
      <c r="X92" s="471"/>
      <c r="Y92" s="473"/>
      <c r="Z92" s="474"/>
      <c r="AB92" s="469" t="s">
        <v>289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54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243</v>
      </c>
      <c r="D96" s="332"/>
      <c r="E96" s="65"/>
      <c r="F96" s="65"/>
      <c r="G96" s="65"/>
      <c r="H96" s="65"/>
      <c r="I96" s="65"/>
      <c r="J96" s="991"/>
      <c r="K96" s="991"/>
      <c r="L96" s="991"/>
      <c r="M96" s="991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240</v>
      </c>
      <c r="E98" s="28"/>
      <c r="F98" s="28"/>
      <c r="G98" s="28"/>
      <c r="H98" s="468" t="s">
        <v>241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242</v>
      </c>
      <c r="S98" s="470"/>
      <c r="T98" s="471"/>
      <c r="U98" s="471"/>
      <c r="V98" s="483"/>
      <c r="W98" s="484" t="s">
        <v>254</v>
      </c>
      <c r="X98" s="471"/>
      <c r="Y98" s="473"/>
      <c r="Z98" s="474"/>
      <c r="AB98" s="529" t="s">
        <v>290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253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243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249</v>
      </c>
      <c r="D104" s="332"/>
      <c r="E104" s="65"/>
      <c r="F104" s="65"/>
      <c r="G104" s="65"/>
      <c r="H104" s="65"/>
      <c r="I104" s="65"/>
      <c r="J104" s="991"/>
      <c r="K104" s="991"/>
      <c r="L104" s="991"/>
      <c r="M104" s="991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250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252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251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44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255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54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91"/>
      <c r="K112" s="991"/>
      <c r="L112" s="991"/>
      <c r="M112" s="991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91"/>
      <c r="K113" s="991"/>
      <c r="L113" s="991"/>
      <c r="M113" s="991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91"/>
      <c r="K114" s="991"/>
      <c r="L114" s="991"/>
      <c r="M114" s="991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6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291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287</v>
      </c>
      <c r="P7" s="36"/>
      <c r="Q7" s="36"/>
      <c r="R7" s="36"/>
      <c r="S7" s="49" t="s">
        <v>286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172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173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112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264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282</v>
      </c>
      <c r="D45" s="28"/>
      <c r="E45" s="28"/>
      <c r="F45" s="28"/>
      <c r="G45" s="86" t="s">
        <v>277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262</v>
      </c>
      <c r="E46" s="206"/>
      <c r="F46" s="206"/>
      <c r="G46" s="207"/>
      <c r="H46" s="208" t="s">
        <v>276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148</v>
      </c>
      <c r="E47" s="149"/>
      <c r="F47" s="149"/>
      <c r="G47" s="151"/>
      <c r="H47" s="1041">
        <v>110</v>
      </c>
      <c r="I47" s="1011"/>
      <c r="J47" s="1011"/>
      <c r="K47" s="1011"/>
      <c r="L47" s="1012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263</v>
      </c>
      <c r="E48" s="149"/>
      <c r="F48" s="149"/>
      <c r="G48" s="151"/>
      <c r="H48" s="1041">
        <v>125</v>
      </c>
      <c r="I48" s="1011"/>
      <c r="J48" s="1011"/>
      <c r="K48" s="1011"/>
      <c r="L48" s="1012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63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288</v>
      </c>
      <c r="E53" s="28"/>
      <c r="F53" s="28"/>
      <c r="G53" s="28"/>
      <c r="H53" s="86" t="s">
        <v>139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64</v>
      </c>
      <c r="E54" s="206"/>
      <c r="F54" s="206"/>
      <c r="G54" s="207"/>
      <c r="H54" s="208" t="s">
        <v>73</v>
      </c>
      <c r="I54" s="209"/>
      <c r="J54" s="209"/>
      <c r="K54" s="209"/>
      <c r="L54" s="206"/>
      <c r="M54" s="207"/>
      <c r="N54" s="205" t="s">
        <v>74</v>
      </c>
      <c r="O54" s="206"/>
      <c r="P54" s="206"/>
      <c r="Q54" s="207"/>
      <c r="R54" s="205" t="s">
        <v>75</v>
      </c>
      <c r="S54" s="206"/>
      <c r="T54" s="206"/>
      <c r="U54" s="206"/>
      <c r="V54" s="210" t="s">
        <v>292</v>
      </c>
      <c r="W54" s="211"/>
      <c r="X54" s="211"/>
      <c r="Y54" s="212"/>
      <c r="Z54" s="528" t="s">
        <v>77</v>
      </c>
      <c r="AA54" s="211"/>
      <c r="AB54" s="211"/>
      <c r="AC54" s="211"/>
      <c r="AD54" s="212"/>
      <c r="AE54" s="210" t="s">
        <v>293</v>
      </c>
      <c r="AF54" s="211"/>
      <c r="AG54" s="211"/>
      <c r="AH54" s="212"/>
      <c r="AI54" s="210" t="s">
        <v>162</v>
      </c>
      <c r="AJ54" s="211"/>
      <c r="AK54" s="211"/>
      <c r="AL54" s="212"/>
      <c r="AM54" s="211" t="s">
        <v>152</v>
      </c>
      <c r="AN54" s="211"/>
      <c r="AO54" s="211"/>
      <c r="AP54" s="212"/>
      <c r="AQ54" s="211" t="s">
        <v>197</v>
      </c>
      <c r="AR54" s="211"/>
      <c r="AS54" s="211"/>
      <c r="AT54" s="212"/>
      <c r="AU54" s="210" t="s">
        <v>199</v>
      </c>
      <c r="AV54" s="211"/>
      <c r="AW54" s="211"/>
      <c r="AX54" s="212"/>
      <c r="AY54" s="210" t="s">
        <v>83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156</v>
      </c>
      <c r="BH54" s="211"/>
      <c r="BI54" s="212"/>
      <c r="BJ54" s="305" t="s">
        <v>86</v>
      </c>
      <c r="BK54" s="211"/>
      <c r="BL54" s="211"/>
      <c r="BM54" s="212"/>
      <c r="BN54" s="211" t="s">
        <v>69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198</v>
      </c>
      <c r="AR55" s="218"/>
      <c r="AS55" s="219"/>
      <c r="AT55" s="220"/>
      <c r="AU55" s="217" t="s">
        <v>155</v>
      </c>
      <c r="AV55" s="218"/>
      <c r="AW55" s="219"/>
      <c r="AX55" s="220"/>
      <c r="AY55" s="217" t="s">
        <v>155</v>
      </c>
      <c r="AZ55" s="218"/>
      <c r="BA55" s="219"/>
      <c r="BB55" s="220"/>
      <c r="BC55" s="217" t="s">
        <v>200</v>
      </c>
      <c r="BD55" s="218"/>
      <c r="BE55" s="219"/>
      <c r="BF55" s="220"/>
      <c r="BG55" s="218" t="s">
        <v>201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202</v>
      </c>
      <c r="E56" s="149"/>
      <c r="F56" s="149"/>
      <c r="G56" s="151"/>
      <c r="H56" s="242" t="s">
        <v>204</v>
      </c>
      <c r="I56" s="150"/>
      <c r="J56" s="150"/>
      <c r="K56" s="150"/>
      <c r="L56" s="161"/>
      <c r="M56" s="162"/>
      <c r="N56" s="242" t="s">
        <v>206</v>
      </c>
      <c r="O56" s="150"/>
      <c r="P56" s="150"/>
      <c r="Q56" s="99" t="s">
        <v>33</v>
      </c>
      <c r="R56" s="1021">
        <v>2000000</v>
      </c>
      <c r="S56" s="1022"/>
      <c r="T56" s="1022"/>
      <c r="U56" s="1023"/>
      <c r="V56" s="148" t="s">
        <v>207</v>
      </c>
      <c r="W56" s="150"/>
      <c r="X56" s="150"/>
      <c r="Y56" s="99" t="s">
        <v>33</v>
      </c>
      <c r="Z56" s="1010">
        <v>5.29</v>
      </c>
      <c r="AA56" s="1019"/>
      <c r="AB56" s="1019"/>
      <c r="AC56" s="1019"/>
      <c r="AD56" s="1020"/>
      <c r="AE56" s="148" t="s">
        <v>148</v>
      </c>
      <c r="AF56" s="150"/>
      <c r="AG56" s="150"/>
      <c r="AH56" s="99" t="s">
        <v>33</v>
      </c>
      <c r="AI56" s="1035">
        <v>9.2200000000000004E-2</v>
      </c>
      <c r="AJ56" s="1036"/>
      <c r="AK56" s="1036"/>
      <c r="AL56" s="1037"/>
      <c r="AM56" s="1035">
        <v>9.4E-2</v>
      </c>
      <c r="AN56" s="1036"/>
      <c r="AO56" s="1036"/>
      <c r="AP56" s="1037"/>
      <c r="AQ56" s="1038">
        <v>0.01</v>
      </c>
      <c r="AR56" s="1039"/>
      <c r="AS56" s="1039"/>
      <c r="AT56" s="1040"/>
      <c r="AU56" s="1035">
        <v>0.1012</v>
      </c>
      <c r="AV56" s="1036"/>
      <c r="AW56" s="1036"/>
      <c r="AX56" s="1037"/>
      <c r="AY56" s="1035">
        <v>0.11</v>
      </c>
      <c r="AZ56" s="1036"/>
      <c r="BA56" s="1036"/>
      <c r="BB56" s="1037"/>
      <c r="BC56" s="1035">
        <v>0.11</v>
      </c>
      <c r="BD56" s="1036"/>
      <c r="BE56" s="1036"/>
      <c r="BF56" s="1037"/>
      <c r="BG56" s="1051">
        <f>AI56/21</f>
        <v>4.3904761904761903E-3</v>
      </c>
      <c r="BH56" s="1052"/>
      <c r="BI56" s="1053"/>
      <c r="BJ56" s="309" t="s">
        <v>208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203</v>
      </c>
      <c r="E57" s="149"/>
      <c r="F57" s="149"/>
      <c r="G57" s="151"/>
      <c r="H57" s="242" t="s">
        <v>205</v>
      </c>
      <c r="I57" s="150"/>
      <c r="J57" s="150"/>
      <c r="K57" s="150"/>
      <c r="L57" s="161"/>
      <c r="M57" s="162"/>
      <c r="N57" s="242" t="s">
        <v>206</v>
      </c>
      <c r="O57" s="150"/>
      <c r="P57" s="150"/>
      <c r="Q57" s="99" t="s">
        <v>33</v>
      </c>
      <c r="R57" s="1021">
        <v>20000</v>
      </c>
      <c r="S57" s="1022"/>
      <c r="T57" s="1022"/>
      <c r="U57" s="1023"/>
      <c r="V57" s="148" t="s">
        <v>207</v>
      </c>
      <c r="W57" s="150"/>
      <c r="X57" s="150"/>
      <c r="Y57" s="99" t="s">
        <v>33</v>
      </c>
      <c r="Z57" s="1010">
        <v>11</v>
      </c>
      <c r="AA57" s="1019"/>
      <c r="AB57" s="1019"/>
      <c r="AC57" s="1019"/>
      <c r="AD57" s="1020"/>
      <c r="AE57" s="148" t="s">
        <v>148</v>
      </c>
      <c r="AF57" s="150"/>
      <c r="AG57" s="150"/>
      <c r="AH57" s="99" t="s">
        <v>33</v>
      </c>
      <c r="AI57" s="1035">
        <v>0.12970000000000001</v>
      </c>
      <c r="AJ57" s="1036"/>
      <c r="AK57" s="1036"/>
      <c r="AL57" s="1037"/>
      <c r="AM57" s="1035">
        <v>0.13</v>
      </c>
      <c r="AN57" s="1036"/>
      <c r="AO57" s="1036"/>
      <c r="AP57" s="1037"/>
      <c r="AQ57" s="1038">
        <v>0.01</v>
      </c>
      <c r="AR57" s="1039"/>
      <c r="AS57" s="1039"/>
      <c r="AT57" s="1040"/>
      <c r="AU57" s="1035">
        <v>0.13600000000000001</v>
      </c>
      <c r="AV57" s="1036"/>
      <c r="AW57" s="1036"/>
      <c r="AX57" s="1037"/>
      <c r="AY57" s="1035">
        <v>0.156</v>
      </c>
      <c r="AZ57" s="1036"/>
      <c r="BA57" s="1036"/>
      <c r="BB57" s="1037"/>
      <c r="BC57" s="1035">
        <v>0.156</v>
      </c>
      <c r="BD57" s="1036"/>
      <c r="BE57" s="1036"/>
      <c r="BF57" s="1037"/>
      <c r="BG57" s="1051">
        <f>AI57/21</f>
        <v>6.1761904761904766E-3</v>
      </c>
      <c r="BH57" s="1052"/>
      <c r="BI57" s="1053"/>
      <c r="BJ57" s="309" t="s">
        <v>209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71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174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72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182</v>
      </c>
      <c r="E63" s="433"/>
      <c r="F63" s="433"/>
      <c r="G63" s="434"/>
      <c r="H63" s="435" t="s">
        <v>183</v>
      </c>
      <c r="I63" s="436"/>
      <c r="J63" s="436"/>
      <c r="K63" s="436"/>
      <c r="L63" s="433"/>
      <c r="M63" s="434"/>
      <c r="N63" s="432" t="s">
        <v>184</v>
      </c>
      <c r="O63" s="433"/>
      <c r="P63" s="433"/>
      <c r="Q63" s="433"/>
      <c r="R63" s="433"/>
      <c r="S63" s="434"/>
      <c r="T63" s="432" t="s">
        <v>185</v>
      </c>
      <c r="U63" s="433"/>
      <c r="V63" s="433"/>
      <c r="W63" s="433"/>
      <c r="X63" s="433"/>
      <c r="Y63" s="433"/>
      <c r="Z63" s="437" t="s">
        <v>179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180</v>
      </c>
      <c r="E64" s="149"/>
      <c r="F64" s="149"/>
      <c r="G64" s="99" t="s">
        <v>33</v>
      </c>
      <c r="H64" s="242" t="s">
        <v>192</v>
      </c>
      <c r="I64" s="150"/>
      <c r="J64" s="150"/>
      <c r="K64" s="150"/>
      <c r="L64" s="161"/>
      <c r="M64" s="162"/>
      <c r="N64" s="1073">
        <v>5000</v>
      </c>
      <c r="O64" s="1074"/>
      <c r="P64" s="1074"/>
      <c r="Q64" s="1074"/>
      <c r="R64" s="1074"/>
      <c r="S64" s="1075"/>
      <c r="T64" s="1073">
        <v>5000</v>
      </c>
      <c r="U64" s="1068"/>
      <c r="V64" s="1068"/>
      <c r="W64" s="1068"/>
      <c r="X64" s="1068"/>
      <c r="Y64" s="1069"/>
      <c r="Z64" s="1076">
        <v>10</v>
      </c>
      <c r="AA64" s="1077"/>
      <c r="AB64" s="1077"/>
      <c r="AC64" s="1078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71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181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72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182</v>
      </c>
      <c r="E69" s="445"/>
      <c r="F69" s="445"/>
      <c r="G69" s="446"/>
      <c r="H69" s="447" t="s">
        <v>189</v>
      </c>
      <c r="I69" s="448"/>
      <c r="J69" s="448"/>
      <c r="K69" s="448"/>
      <c r="L69" s="445"/>
      <c r="M69" s="446"/>
      <c r="N69" s="449" t="s">
        <v>190</v>
      </c>
      <c r="O69" s="445"/>
      <c r="P69" s="445"/>
      <c r="Q69" s="445"/>
      <c r="R69" s="445"/>
      <c r="S69" s="446"/>
      <c r="T69" s="449" t="s">
        <v>191</v>
      </c>
      <c r="U69" s="445"/>
      <c r="V69" s="445"/>
      <c r="W69" s="445"/>
      <c r="X69" s="445"/>
      <c r="Y69" s="445"/>
      <c r="Z69" s="450" t="s">
        <v>179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180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067">
        <v>5000</v>
      </c>
      <c r="O70" s="1068"/>
      <c r="P70" s="1068"/>
      <c r="Q70" s="1068"/>
      <c r="R70" s="1068"/>
      <c r="S70" s="1069"/>
      <c r="T70" s="1067">
        <v>5000</v>
      </c>
      <c r="U70" s="1068"/>
      <c r="V70" s="1068"/>
      <c r="W70" s="1068"/>
      <c r="X70" s="1068"/>
      <c r="Y70" s="1069"/>
      <c r="Z70" s="1070">
        <v>10</v>
      </c>
      <c r="AA70" s="1071"/>
      <c r="AB70" s="1071"/>
      <c r="AC70" s="1072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71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78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260</v>
      </c>
      <c r="E79" s="235"/>
      <c r="F79" s="234" t="s">
        <v>64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67</v>
      </c>
      <c r="Q79" s="240"/>
      <c r="R79" s="240"/>
      <c r="S79" s="241"/>
      <c r="T79" s="239" t="s">
        <v>151</v>
      </c>
      <c r="U79" s="240"/>
      <c r="V79" s="240"/>
      <c r="W79" s="241"/>
      <c r="X79" s="234" t="s">
        <v>79</v>
      </c>
      <c r="Y79" s="235"/>
      <c r="Z79" s="235"/>
      <c r="AA79" s="236"/>
      <c r="AB79" s="234" t="s">
        <v>80</v>
      </c>
      <c r="AC79" s="235"/>
      <c r="AD79" s="235"/>
      <c r="AE79" s="235"/>
      <c r="AF79" s="239" t="s">
        <v>65</v>
      </c>
      <c r="AG79" s="240"/>
      <c r="AH79" s="240"/>
      <c r="AI79" s="240"/>
      <c r="AJ79" s="241"/>
      <c r="AK79" s="240" t="s">
        <v>210</v>
      </c>
      <c r="AL79" s="240"/>
      <c r="AM79" s="240"/>
      <c r="AN79" s="241"/>
      <c r="AO79" s="240" t="s">
        <v>162</v>
      </c>
      <c r="AP79" s="240"/>
      <c r="AQ79" s="240"/>
      <c r="AR79" s="241"/>
      <c r="AS79" s="240" t="s">
        <v>211</v>
      </c>
      <c r="AT79" s="240"/>
      <c r="AU79" s="240"/>
      <c r="AV79" s="241"/>
      <c r="AW79" s="240" t="s">
        <v>66</v>
      </c>
      <c r="AX79" s="240"/>
      <c r="AY79" s="240"/>
      <c r="AZ79" s="241"/>
      <c r="BA79" s="239" t="s">
        <v>212</v>
      </c>
      <c r="BB79" s="240"/>
      <c r="BC79" s="240"/>
      <c r="BD79" s="241"/>
      <c r="BE79" s="239" t="s">
        <v>213</v>
      </c>
      <c r="BF79" s="240"/>
      <c r="BG79" s="240"/>
      <c r="BH79" s="240"/>
      <c r="BI79" s="239" t="s">
        <v>199</v>
      </c>
      <c r="BJ79" s="240"/>
      <c r="BK79" s="240"/>
      <c r="BL79" s="241"/>
      <c r="BM79" s="239" t="s">
        <v>214</v>
      </c>
      <c r="BN79" s="240"/>
      <c r="BO79" s="240"/>
      <c r="BP79" s="241"/>
      <c r="BQ79" s="239" t="s">
        <v>215</v>
      </c>
      <c r="BR79" s="240"/>
      <c r="BS79" s="240"/>
      <c r="BT79" s="241"/>
      <c r="BU79" s="239" t="s">
        <v>83</v>
      </c>
      <c r="BV79" s="240"/>
      <c r="BW79" s="240"/>
      <c r="BX79" s="241"/>
      <c r="BY79" s="239" t="s">
        <v>84</v>
      </c>
      <c r="BZ79" s="240"/>
      <c r="CA79" s="240"/>
      <c r="CB79" s="241"/>
      <c r="CC79" s="240" t="s">
        <v>85</v>
      </c>
      <c r="CD79" s="240"/>
      <c r="CE79" s="241"/>
      <c r="CF79" s="240" t="s">
        <v>86</v>
      </c>
      <c r="CG79" s="240"/>
      <c r="CH79" s="240"/>
      <c r="CI79" s="241"/>
      <c r="CJ79" s="240" t="s">
        <v>69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93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21">
        <f>R56</f>
        <v>2000000</v>
      </c>
      <c r="Y80" s="1022"/>
      <c r="Z80" s="1022"/>
      <c r="AA80" s="1023"/>
      <c r="AB80" s="1035">
        <f>Z56/111</f>
        <v>4.7657657657657657E-2</v>
      </c>
      <c r="AC80" s="1036"/>
      <c r="AD80" s="1036"/>
      <c r="AE80" s="1037"/>
      <c r="AF80" s="1035">
        <f>BC56</f>
        <v>0.11</v>
      </c>
      <c r="AG80" s="1036"/>
      <c r="AH80" s="1036"/>
      <c r="AI80" s="1036"/>
      <c r="AJ80" s="1037"/>
      <c r="AK80" s="1035">
        <f>AM56</f>
        <v>9.4E-2</v>
      </c>
      <c r="AL80" s="1036"/>
      <c r="AM80" s="1036"/>
      <c r="AN80" s="1037"/>
      <c r="AO80" s="1035">
        <f>AI56</f>
        <v>9.2200000000000004E-2</v>
      </c>
      <c r="AP80" s="1036"/>
      <c r="AQ80" s="1036"/>
      <c r="AR80" s="1037"/>
      <c r="AS80" s="1035">
        <f>AI56/(1-AQ56)</f>
        <v>9.3131313131313134E-2</v>
      </c>
      <c r="AT80" s="1036"/>
      <c r="AU80" s="1036"/>
      <c r="AV80" s="1037"/>
      <c r="AW80" s="1035">
        <f>AO80-(AS80*$K$20)</f>
        <v>8.7543434343434354E-2</v>
      </c>
      <c r="AX80" s="1036"/>
      <c r="AY80" s="1036"/>
      <c r="AZ80" s="1037"/>
      <c r="BA80" s="1001">
        <f>1-Z56/111/AW80</f>
        <v>0.4556112858138982</v>
      </c>
      <c r="BB80" s="1002"/>
      <c r="BC80" s="1002"/>
      <c r="BD80" s="1003"/>
      <c r="BE80" s="1013">
        <f>(AI56-AM56)/AM56</f>
        <v>-1.9148936170212724E-2</v>
      </c>
      <c r="BF80" s="1014"/>
      <c r="BG80" s="1014"/>
      <c r="BH80" s="1015"/>
      <c r="BI80" s="1063">
        <f>AU56</f>
        <v>0.1012</v>
      </c>
      <c r="BJ80" s="1064"/>
      <c r="BK80" s="1064"/>
      <c r="BL80" s="1065"/>
      <c r="BM80" s="1016">
        <f>1-AI56/(1-AQ56)/AU56</f>
        <v>7.9730107398091499E-2</v>
      </c>
      <c r="BN80" s="1017"/>
      <c r="BO80" s="1017"/>
      <c r="BP80" s="1018"/>
      <c r="BQ80" s="1016">
        <f>1-(Z56/111+AI56*AQ56+AS80*$K$20)/AU56</f>
        <v>0.47395036250767475</v>
      </c>
      <c r="BR80" s="1017"/>
      <c r="BS80" s="1017"/>
      <c r="BT80" s="1018"/>
      <c r="BU80" s="1051">
        <f>AY56</f>
        <v>0.11</v>
      </c>
      <c r="BV80" s="1052"/>
      <c r="BW80" s="1052"/>
      <c r="BX80" s="1053"/>
      <c r="BY80" s="1016">
        <f>1-AU56/AY56</f>
        <v>8.0000000000000071E-2</v>
      </c>
      <c r="BZ80" s="1017"/>
      <c r="CA80" s="1017"/>
      <c r="CB80" s="1018"/>
      <c r="CC80" s="1007">
        <f>BG56</f>
        <v>4.3904761904761903E-3</v>
      </c>
      <c r="CD80" s="1008"/>
      <c r="CE80" s="1009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93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21">
        <f>R57</f>
        <v>20000</v>
      </c>
      <c r="Y81" s="1022"/>
      <c r="Z81" s="1022"/>
      <c r="AA81" s="1023"/>
      <c r="AB81" s="1035">
        <f>Z57/111</f>
        <v>9.90990990990991E-2</v>
      </c>
      <c r="AC81" s="1036"/>
      <c r="AD81" s="1036"/>
      <c r="AE81" s="1037"/>
      <c r="AF81" s="1035">
        <f>BC57</f>
        <v>0.156</v>
      </c>
      <c r="AG81" s="1036"/>
      <c r="AH81" s="1036"/>
      <c r="AI81" s="1036"/>
      <c r="AJ81" s="1037"/>
      <c r="AK81" s="1035">
        <f>AM57</f>
        <v>0.13</v>
      </c>
      <c r="AL81" s="1036"/>
      <c r="AM81" s="1036"/>
      <c r="AN81" s="1037"/>
      <c r="AO81" s="1035">
        <f>AI57</f>
        <v>0.12970000000000001</v>
      </c>
      <c r="AP81" s="1036"/>
      <c r="AQ81" s="1036"/>
      <c r="AR81" s="1037"/>
      <c r="AS81" s="1035">
        <f>AI57/(1-AQ57)</f>
        <v>0.13101010101010102</v>
      </c>
      <c r="AT81" s="1036"/>
      <c r="AU81" s="1036"/>
      <c r="AV81" s="1037"/>
      <c r="AW81" s="1035">
        <f>AO81-(AS81*$K$20)</f>
        <v>0.12314949494949495</v>
      </c>
      <c r="AX81" s="1036"/>
      <c r="AY81" s="1036"/>
      <c r="AZ81" s="1037"/>
      <c r="BA81" s="1001">
        <f>1-Z57/111/AW81</f>
        <v>0.19529431168401623</v>
      </c>
      <c r="BB81" s="1002"/>
      <c r="BC81" s="1002"/>
      <c r="BD81" s="1003"/>
      <c r="BE81" s="1013">
        <f>(AI57-AM57)/AM57</f>
        <v>-2.3076923076922671E-3</v>
      </c>
      <c r="BF81" s="1014"/>
      <c r="BG81" s="1014"/>
      <c r="BH81" s="1015"/>
      <c r="BI81" s="1063">
        <f>AU57</f>
        <v>0.13600000000000001</v>
      </c>
      <c r="BJ81" s="1064"/>
      <c r="BK81" s="1064"/>
      <c r="BL81" s="1065"/>
      <c r="BM81" s="1016">
        <f>1-AI57/(1-AQ57)/AU57</f>
        <v>3.669043374925729E-2</v>
      </c>
      <c r="BN81" s="1017"/>
      <c r="BO81" s="1017"/>
      <c r="BP81" s="1018"/>
      <c r="BQ81" s="1016">
        <f>1-(Z57/111+AI57*AQ57+AS81*$K$20)/AU57</f>
        <v>0.21362791066467535</v>
      </c>
      <c r="BR81" s="1017"/>
      <c r="BS81" s="1017"/>
      <c r="BT81" s="1018"/>
      <c r="BU81" s="1051">
        <f>AY57</f>
        <v>0.156</v>
      </c>
      <c r="BV81" s="1052"/>
      <c r="BW81" s="1052"/>
      <c r="BX81" s="1053"/>
      <c r="BY81" s="1016">
        <f>1-AU57/AY57</f>
        <v>0.12820512820512819</v>
      </c>
      <c r="BZ81" s="1017"/>
      <c r="CA81" s="1017"/>
      <c r="CB81" s="1018"/>
      <c r="CC81" s="1007">
        <f>BG57</f>
        <v>6.1761904761904766E-3</v>
      </c>
      <c r="CD81" s="1008"/>
      <c r="CE81" s="1009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281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280</v>
      </c>
      <c r="E83" s="503"/>
      <c r="F83" s="504" t="s">
        <v>294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216</v>
      </c>
      <c r="Y83" s="503"/>
      <c r="Z83" s="503"/>
      <c r="AA83" s="503"/>
      <c r="AB83" s="507" t="s">
        <v>217</v>
      </c>
      <c r="AC83" s="503"/>
      <c r="AD83" s="503"/>
      <c r="AE83" s="503"/>
      <c r="AF83" s="507" t="s">
        <v>218</v>
      </c>
      <c r="AG83" s="508"/>
      <c r="AH83" s="508"/>
      <c r="AI83" s="508"/>
      <c r="AJ83" s="509"/>
      <c r="AK83" s="507" t="s">
        <v>219</v>
      </c>
      <c r="AL83" s="508"/>
      <c r="AM83" s="508"/>
      <c r="AN83" s="509"/>
      <c r="AO83" s="507" t="s">
        <v>220</v>
      </c>
      <c r="AP83" s="508"/>
      <c r="AQ83" s="508"/>
      <c r="AR83" s="509"/>
      <c r="AS83" s="507" t="s">
        <v>221</v>
      </c>
      <c r="AT83" s="508"/>
      <c r="AU83" s="508"/>
      <c r="AV83" s="508"/>
      <c r="AW83" s="507" t="s">
        <v>101</v>
      </c>
      <c r="AX83" s="508"/>
      <c r="AY83" s="508"/>
      <c r="AZ83" s="509"/>
      <c r="BA83" s="511" t="s">
        <v>222</v>
      </c>
      <c r="BB83" s="508"/>
      <c r="BC83" s="508"/>
      <c r="BD83" s="509"/>
      <c r="BE83" s="513" t="s">
        <v>223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233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206</v>
      </c>
      <c r="E85" s="149"/>
      <c r="F85" s="148" t="s">
        <v>148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98">
        <f>SUMPRODUCT(X$80:AA$81,AO$80:AR$81)</f>
        <v>186994</v>
      </c>
      <c r="Y85" s="999"/>
      <c r="Z85" s="999"/>
      <c r="AA85" s="1000"/>
      <c r="AB85" s="998">
        <f>SUMPRODUCT(X$80:AA$81,AB$80:AE$81)</f>
        <v>97297.297297297293</v>
      </c>
      <c r="AC85" s="999"/>
      <c r="AD85" s="999"/>
      <c r="AE85" s="1000"/>
      <c r="AF85" s="1027">
        <f>X$86-AB$86</f>
        <v>89696.702702702707</v>
      </c>
      <c r="AG85" s="1028"/>
      <c r="AH85" s="1028"/>
      <c r="AI85" s="1028"/>
      <c r="AJ85" s="1029"/>
      <c r="AK85" s="1001">
        <f>AF85/X85</f>
        <v>0.4796769024819123</v>
      </c>
      <c r="AL85" s="1002"/>
      <c r="AM85" s="1002"/>
      <c r="AN85" s="1003"/>
      <c r="AO85" s="1001">
        <f>AS85/AW85</f>
        <v>-1.8919202518363022E-2</v>
      </c>
      <c r="AP85" s="1002"/>
      <c r="AQ85" s="1002"/>
      <c r="AR85" s="1003"/>
      <c r="AS85" s="1057">
        <f>X$80*(AO$80-AK$80)+X$81*(AO$81-AK$81)</f>
        <v>-3605.9999999999923</v>
      </c>
      <c r="AT85" s="1058"/>
      <c r="AU85" s="1058"/>
      <c r="AV85" s="1059"/>
      <c r="AW85" s="1060">
        <f>SUMPRODUCT(X$80:AA$81,AK$80:AN$81)</f>
        <v>190600</v>
      </c>
      <c r="AX85" s="1061"/>
      <c r="AY85" s="1061"/>
      <c r="AZ85" s="1062"/>
      <c r="BA85" s="998">
        <f>SUMPRODUCT(X$80:AA$81,BI$80:BL$81)</f>
        <v>205120</v>
      </c>
      <c r="BB85" s="999"/>
      <c r="BC85" s="999"/>
      <c r="BD85" s="1000"/>
      <c r="BE85" s="1016">
        <f>1-(AB$91+X$80*(AO$80*AQ$56+AS$80*$K$20)+X$81*(AO$81*AQ$57+AS$81*$K$20))/BA$91</f>
        <v>0.47049834871568497</v>
      </c>
      <c r="BF85" s="1017"/>
      <c r="BG85" s="1017"/>
      <c r="BH85" s="1018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206</v>
      </c>
      <c r="E86" s="149"/>
      <c r="F86" s="148" t="s">
        <v>207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98">
        <f>SUMPRODUCT(X$80:AA$81,AO$80:AR$81)</f>
        <v>186994</v>
      </c>
      <c r="Y86" s="999"/>
      <c r="Z86" s="999"/>
      <c r="AA86" s="1000"/>
      <c r="AB86" s="998">
        <f>SUMPRODUCT(X$80:AA$81,AB$80:AE$81)</f>
        <v>97297.297297297293</v>
      </c>
      <c r="AC86" s="999"/>
      <c r="AD86" s="999"/>
      <c r="AE86" s="1000"/>
      <c r="AF86" s="1027">
        <f>X$86-AB$86</f>
        <v>89696.702702702707</v>
      </c>
      <c r="AG86" s="1028"/>
      <c r="AH86" s="1028"/>
      <c r="AI86" s="1028"/>
      <c r="AJ86" s="1029"/>
      <c r="AK86" s="1001">
        <f>AF86/X86</f>
        <v>0.4796769024819123</v>
      </c>
      <c r="AL86" s="1002"/>
      <c r="AM86" s="1002"/>
      <c r="AN86" s="1003"/>
      <c r="AO86" s="1001">
        <f>AS86/AW86</f>
        <v>-1.8919202518363022E-2</v>
      </c>
      <c r="AP86" s="1002"/>
      <c r="AQ86" s="1002"/>
      <c r="AR86" s="1003"/>
      <c r="AS86" s="1057">
        <f>X$80*(AO$80-AK$80)+X$81*(AO$81-AK$81)</f>
        <v>-3605.9999999999923</v>
      </c>
      <c r="AT86" s="1058"/>
      <c r="AU86" s="1058"/>
      <c r="AV86" s="1059"/>
      <c r="AW86" s="1060">
        <f>SUMPRODUCT(X$80:AA$81,AK$80:AN$81)</f>
        <v>190600</v>
      </c>
      <c r="AX86" s="1061"/>
      <c r="AY86" s="1061"/>
      <c r="AZ86" s="1062"/>
      <c r="BA86" s="998">
        <f>SUMPRODUCT(X$80:AA$81,BI$80:BL$81)</f>
        <v>205120</v>
      </c>
      <c r="BB86" s="999"/>
      <c r="BC86" s="999"/>
      <c r="BD86" s="1000"/>
      <c r="BE86" s="1016">
        <f>1-(AB$91+X$80*(AO$80*AQ$56+AS$80*$K$20)+X$81*(AO$81*AQ$57+AS$81*$K$20))/BA$91</f>
        <v>0.47049834871568497</v>
      </c>
      <c r="BF86" s="1017"/>
      <c r="BG86" s="1017"/>
      <c r="BH86" s="1018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279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295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216</v>
      </c>
      <c r="Y88" s="244"/>
      <c r="Z88" s="244"/>
      <c r="AA88" s="244"/>
      <c r="AB88" s="248" t="s">
        <v>217</v>
      </c>
      <c r="AC88" s="244"/>
      <c r="AD88" s="244"/>
      <c r="AE88" s="244"/>
      <c r="AF88" s="248" t="s">
        <v>218</v>
      </c>
      <c r="AG88" s="249"/>
      <c r="AH88" s="249"/>
      <c r="AI88" s="249"/>
      <c r="AJ88" s="250"/>
      <c r="AK88" s="248" t="s">
        <v>219</v>
      </c>
      <c r="AL88" s="249"/>
      <c r="AM88" s="249"/>
      <c r="AN88" s="250"/>
      <c r="AO88" s="248" t="s">
        <v>220</v>
      </c>
      <c r="AP88" s="249"/>
      <c r="AQ88" s="249"/>
      <c r="AR88" s="250"/>
      <c r="AS88" s="248" t="s">
        <v>221</v>
      </c>
      <c r="AT88" s="249"/>
      <c r="AU88" s="249"/>
      <c r="AV88" s="249"/>
      <c r="AW88" s="248" t="s">
        <v>101</v>
      </c>
      <c r="AX88" s="249"/>
      <c r="AY88" s="249"/>
      <c r="AZ88" s="250"/>
      <c r="BA88" s="253" t="s">
        <v>222</v>
      </c>
      <c r="BB88" s="249"/>
      <c r="BC88" s="249"/>
      <c r="BD88" s="250"/>
      <c r="BE88" s="251" t="s">
        <v>223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233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148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98">
        <f>SUMPRODUCT(X$80:AA$81,AO$80:AR$81)</f>
        <v>186994</v>
      </c>
      <c r="Y90" s="999"/>
      <c r="Z90" s="999"/>
      <c r="AA90" s="1000"/>
      <c r="AB90" s="998">
        <f>SUMPRODUCT(X$80:AA$81,AB$80:AE$81)</f>
        <v>97297.297297297293</v>
      </c>
      <c r="AC90" s="999"/>
      <c r="AD90" s="999"/>
      <c r="AE90" s="1000"/>
      <c r="AF90" s="1027">
        <f>X$91-AB$91</f>
        <v>89696.702702702707</v>
      </c>
      <c r="AG90" s="1028"/>
      <c r="AH90" s="1028"/>
      <c r="AI90" s="1028"/>
      <c r="AJ90" s="1029"/>
      <c r="AK90" s="1001">
        <f>AF90/X90</f>
        <v>0.4796769024819123</v>
      </c>
      <c r="AL90" s="1002"/>
      <c r="AM90" s="1002"/>
      <c r="AN90" s="1003"/>
      <c r="AO90" s="1001">
        <f>AS90/AW90</f>
        <v>-1.8919202518363022E-2</v>
      </c>
      <c r="AP90" s="1002"/>
      <c r="AQ90" s="1002"/>
      <c r="AR90" s="1003"/>
      <c r="AS90" s="1057">
        <f>X$80*(AO$80-AK$80)+X$81*(AO$81-AK$81)</f>
        <v>-3605.9999999999923</v>
      </c>
      <c r="AT90" s="1058"/>
      <c r="AU90" s="1058"/>
      <c r="AV90" s="1059"/>
      <c r="AW90" s="1060">
        <f>SUMPRODUCT(X$80:AA$81,AK$80:AN$81)</f>
        <v>190600</v>
      </c>
      <c r="AX90" s="1061"/>
      <c r="AY90" s="1061"/>
      <c r="AZ90" s="1062"/>
      <c r="BA90" s="998">
        <f>SUMPRODUCT(X$80:AA$81,BI$80:BL$81)</f>
        <v>205120</v>
      </c>
      <c r="BB90" s="999"/>
      <c r="BC90" s="999"/>
      <c r="BD90" s="1000"/>
      <c r="BE90" s="1016">
        <f>1-(AB$91+X$80*(AO$80*AQ$56+AS$80*$K$20)+X$81*(AO$81*AQ$57+AS$81*$K$20))/BA$91</f>
        <v>0.47049834871568497</v>
      </c>
      <c r="BF90" s="1017"/>
      <c r="BG90" s="1017"/>
      <c r="BH90" s="1018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207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98">
        <f>SUMPRODUCT(X$80:AA$81,AO$80:AR$81)</f>
        <v>186994</v>
      </c>
      <c r="Y91" s="999"/>
      <c r="Z91" s="999"/>
      <c r="AA91" s="1000"/>
      <c r="AB91" s="998">
        <f>SUMPRODUCT(X$80:AA$81,AB$80:AE$81)</f>
        <v>97297.297297297293</v>
      </c>
      <c r="AC91" s="999"/>
      <c r="AD91" s="999"/>
      <c r="AE91" s="1000"/>
      <c r="AF91" s="1027">
        <f>X$91-AB$91</f>
        <v>89696.702702702707</v>
      </c>
      <c r="AG91" s="1028"/>
      <c r="AH91" s="1028"/>
      <c r="AI91" s="1028"/>
      <c r="AJ91" s="1029"/>
      <c r="AK91" s="1001">
        <f>AF91/X91</f>
        <v>0.4796769024819123</v>
      </c>
      <c r="AL91" s="1002"/>
      <c r="AM91" s="1002"/>
      <c r="AN91" s="1003"/>
      <c r="AO91" s="1001">
        <f>AS91/AW91</f>
        <v>-1.8919202518363022E-2</v>
      </c>
      <c r="AP91" s="1002"/>
      <c r="AQ91" s="1002"/>
      <c r="AR91" s="1003"/>
      <c r="AS91" s="1057">
        <f>X$80*(AO$80-AK$80)+X$81*(AO$81-AK$81)</f>
        <v>-3605.9999999999923</v>
      </c>
      <c r="AT91" s="1058"/>
      <c r="AU91" s="1058"/>
      <c r="AV91" s="1059"/>
      <c r="AW91" s="1060">
        <f>SUMPRODUCT(X$80:AA$81,AK$80:AN$81)</f>
        <v>190600</v>
      </c>
      <c r="AX91" s="1061"/>
      <c r="AY91" s="1061"/>
      <c r="AZ91" s="1062"/>
      <c r="BA91" s="998">
        <f>SUMPRODUCT(X$80:AA$81,BI$80:BL$81)</f>
        <v>205120</v>
      </c>
      <c r="BB91" s="999"/>
      <c r="BC91" s="999"/>
      <c r="BD91" s="1000"/>
      <c r="BE91" s="1016">
        <f>1-(AB$91+X$80*(AO$80*AQ$56+AS$80*$K$20)+X$81*(AO$81*AQ$57+AS$81*$K$20))/BA$91</f>
        <v>0.47049834871568497</v>
      </c>
      <c r="BF91" s="1017"/>
      <c r="BG91" s="1017"/>
      <c r="BH91" s="1018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24"/>
      <c r="K93" s="1025"/>
      <c r="L93" s="1025"/>
      <c r="M93" s="1025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174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72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175</v>
      </c>
      <c r="E95" s="404"/>
      <c r="F95" s="404"/>
      <c r="G95" s="405"/>
      <c r="H95" s="406" t="s">
        <v>176</v>
      </c>
      <c r="I95" s="407"/>
      <c r="J95" s="407"/>
      <c r="K95" s="407"/>
      <c r="L95" s="404"/>
      <c r="M95" s="405"/>
      <c r="N95" s="403" t="s">
        <v>177</v>
      </c>
      <c r="O95" s="404"/>
      <c r="P95" s="404"/>
      <c r="Q95" s="404"/>
      <c r="R95" s="404"/>
      <c r="S95" s="405"/>
      <c r="T95" s="403" t="s">
        <v>178</v>
      </c>
      <c r="U95" s="404"/>
      <c r="V95" s="404"/>
      <c r="W95" s="404"/>
      <c r="X95" s="404"/>
      <c r="Y95" s="404"/>
      <c r="Z95" s="408" t="s">
        <v>179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261</v>
      </c>
      <c r="E96" s="428"/>
      <c r="F96" s="428"/>
      <c r="G96" s="429"/>
      <c r="H96" s="420" t="s">
        <v>192</v>
      </c>
      <c r="I96" s="117"/>
      <c r="J96" s="117"/>
      <c r="K96" s="117"/>
      <c r="L96" s="421"/>
      <c r="M96" s="422"/>
      <c r="N96" s="1073">
        <v>5000</v>
      </c>
      <c r="O96" s="1074"/>
      <c r="P96" s="1074"/>
      <c r="Q96" s="1074"/>
      <c r="R96" s="1074"/>
      <c r="S96" s="1075"/>
      <c r="T96" s="1073">
        <v>5000</v>
      </c>
      <c r="U96" s="1068"/>
      <c r="V96" s="1068"/>
      <c r="W96" s="1068"/>
      <c r="X96" s="1068"/>
      <c r="Y96" s="1069"/>
      <c r="Z96" s="1076">
        <v>10</v>
      </c>
      <c r="AA96" s="1077"/>
      <c r="AB96" s="1077"/>
      <c r="AC96" s="1078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73">
        <v>5000</v>
      </c>
      <c r="O97" s="1074"/>
      <c r="P97" s="1074"/>
      <c r="Q97" s="1074"/>
      <c r="R97" s="1074"/>
      <c r="S97" s="1075"/>
      <c r="T97" s="1073">
        <v>5000</v>
      </c>
      <c r="U97" s="1068"/>
      <c r="V97" s="1068"/>
      <c r="W97" s="1068"/>
      <c r="X97" s="1068"/>
      <c r="Y97" s="1069"/>
      <c r="Z97" s="1076"/>
      <c r="AA97" s="1077"/>
      <c r="AB97" s="1077"/>
      <c r="AC97" s="1078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66"/>
      <c r="S98" s="1066"/>
      <c r="T98" s="1066"/>
      <c r="U98" s="1066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181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72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175</v>
      </c>
      <c r="E100" s="412"/>
      <c r="F100" s="412"/>
      <c r="G100" s="413"/>
      <c r="H100" s="414" t="s">
        <v>186</v>
      </c>
      <c r="I100" s="415"/>
      <c r="J100" s="415"/>
      <c r="K100" s="415"/>
      <c r="L100" s="412"/>
      <c r="M100" s="413"/>
      <c r="N100" s="411" t="s">
        <v>187</v>
      </c>
      <c r="O100" s="412"/>
      <c r="P100" s="412"/>
      <c r="Q100" s="412"/>
      <c r="R100" s="412"/>
      <c r="S100" s="413"/>
      <c r="T100" s="411" t="s">
        <v>188</v>
      </c>
      <c r="U100" s="412"/>
      <c r="V100" s="412"/>
      <c r="W100" s="412"/>
      <c r="X100" s="412"/>
      <c r="Y100" s="412"/>
      <c r="Z100" s="416" t="s">
        <v>179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261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067">
        <v>5000</v>
      </c>
      <c r="O101" s="1068"/>
      <c r="P101" s="1068"/>
      <c r="Q101" s="1068"/>
      <c r="R101" s="1068"/>
      <c r="S101" s="1069"/>
      <c r="T101" s="1067">
        <v>5000</v>
      </c>
      <c r="U101" s="1068"/>
      <c r="V101" s="1068"/>
      <c r="W101" s="1068"/>
      <c r="X101" s="1068"/>
      <c r="Y101" s="1069"/>
      <c r="Z101" s="1070">
        <v>10</v>
      </c>
      <c r="AA101" s="1071"/>
      <c r="AB101" s="1071"/>
      <c r="AC101" s="1072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067">
        <v>5000</v>
      </c>
      <c r="O102" s="1068"/>
      <c r="P102" s="1068"/>
      <c r="Q102" s="1068"/>
      <c r="R102" s="1068"/>
      <c r="S102" s="1069"/>
      <c r="T102" s="1067">
        <v>5000</v>
      </c>
      <c r="U102" s="1068"/>
      <c r="V102" s="1068"/>
      <c r="W102" s="1068"/>
      <c r="X102" s="1068"/>
      <c r="Y102" s="1069"/>
      <c r="Z102" s="1070"/>
      <c r="AA102" s="1071"/>
      <c r="AB102" s="1071"/>
      <c r="AC102" s="1072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193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194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196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195</v>
      </c>
      <c r="D106" s="28"/>
      <c r="E106" s="28"/>
      <c r="F106" s="28"/>
      <c r="H106" s="516" t="s">
        <v>283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284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26"/>
      <c r="K114" s="1026"/>
      <c r="L114" s="1026"/>
      <c r="M114" s="1026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131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44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45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91"/>
      <c r="K121" s="991"/>
      <c r="L121" s="991"/>
      <c r="M121" s="991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247</v>
      </c>
      <c r="D122" s="332"/>
      <c r="E122" s="65"/>
      <c r="F122" s="65"/>
      <c r="G122" s="65"/>
      <c r="H122" s="65"/>
      <c r="I122" s="65"/>
      <c r="J122" s="991"/>
      <c r="K122" s="991"/>
      <c r="L122" s="991"/>
      <c r="M122" s="991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248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30"/>
      <c r="K124" s="1030"/>
      <c r="L124" s="1030"/>
      <c r="M124" s="1030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240</v>
      </c>
      <c r="E126" s="28"/>
      <c r="F126" s="28"/>
      <c r="G126" s="28"/>
      <c r="H126" s="468" t="s">
        <v>245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246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289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54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243</v>
      </c>
      <c r="D130" s="332"/>
      <c r="E130" s="65"/>
      <c r="F130" s="65"/>
      <c r="G130" s="65"/>
      <c r="H130" s="65"/>
      <c r="I130" s="65"/>
      <c r="J130" s="991"/>
      <c r="K130" s="991"/>
      <c r="L130" s="991"/>
      <c r="M130" s="991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240</v>
      </c>
      <c r="E132" s="28"/>
      <c r="F132" s="28"/>
      <c r="G132" s="28"/>
      <c r="H132" s="468" t="s">
        <v>241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242</v>
      </c>
      <c r="S132" s="470"/>
      <c r="T132" s="471"/>
      <c r="U132" s="471"/>
      <c r="V132" s="483"/>
      <c r="W132" s="484" t="s">
        <v>254</v>
      </c>
      <c r="X132" s="471"/>
      <c r="Y132" s="473"/>
      <c r="Z132" s="474"/>
      <c r="AB132" s="529" t="s">
        <v>290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253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243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249</v>
      </c>
      <c r="D138" s="332"/>
      <c r="E138" s="65"/>
      <c r="F138" s="65"/>
      <c r="G138" s="65"/>
      <c r="H138" s="65"/>
      <c r="I138" s="65"/>
      <c r="J138" s="991"/>
      <c r="K138" s="991"/>
      <c r="L138" s="991"/>
      <c r="M138" s="991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250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252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251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44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255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54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256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54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257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54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91"/>
      <c r="K146" s="991"/>
      <c r="L146" s="991"/>
      <c r="M146" s="991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91"/>
      <c r="K147" s="991"/>
      <c r="L147" s="991"/>
      <c r="M147" s="991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91"/>
      <c r="K148" s="991"/>
      <c r="L148" s="991"/>
      <c r="M148" s="991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</mergeCells>
  <phoneticPr fontId="56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41">
        <v>110</v>
      </c>
      <c r="I42" s="1011"/>
      <c r="J42" s="1011"/>
      <c r="K42" s="1011"/>
      <c r="L42" s="1012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41">
        <v>125</v>
      </c>
      <c r="I43" s="1011"/>
      <c r="J43" s="1011"/>
      <c r="K43" s="1011"/>
      <c r="L43" s="1012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128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278</v>
      </c>
      <c r="AA49" s="211"/>
      <c r="AB49" s="211"/>
      <c r="AC49" s="211"/>
      <c r="AD49" s="212"/>
      <c r="AE49" s="210" t="s">
        <v>224</v>
      </c>
      <c r="AF49" s="211"/>
      <c r="AG49" s="211"/>
      <c r="AH49" s="211"/>
      <c r="AI49" s="212"/>
      <c r="AJ49" s="210" t="s">
        <v>293</v>
      </c>
      <c r="AK49" s="211"/>
      <c r="AL49" s="211"/>
      <c r="AM49" s="212"/>
      <c r="AN49" s="210" t="s">
        <v>162</v>
      </c>
      <c r="AO49" s="211"/>
      <c r="AP49" s="211"/>
      <c r="AQ49" s="212"/>
      <c r="AR49" s="211" t="s">
        <v>152</v>
      </c>
      <c r="AS49" s="211"/>
      <c r="AT49" s="211"/>
      <c r="AU49" s="212"/>
      <c r="AV49" s="211" t="s">
        <v>197</v>
      </c>
      <c r="AW49" s="211"/>
      <c r="AX49" s="211"/>
      <c r="AY49" s="212"/>
      <c r="AZ49" s="210" t="s">
        <v>199</v>
      </c>
      <c r="BA49" s="211"/>
      <c r="BB49" s="211"/>
      <c r="BC49" s="212"/>
      <c r="BD49" s="210" t="s">
        <v>83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156</v>
      </c>
      <c r="BM49" s="211"/>
      <c r="BN49" s="212"/>
      <c r="BO49" s="305" t="s">
        <v>86</v>
      </c>
      <c r="BP49" s="211"/>
      <c r="BQ49" s="211"/>
      <c r="BR49" s="212"/>
      <c r="BS49" s="211" t="s">
        <v>69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198</v>
      </c>
      <c r="AW50" s="218"/>
      <c r="AX50" s="219"/>
      <c r="AY50" s="220"/>
      <c r="AZ50" s="217" t="s">
        <v>155</v>
      </c>
      <c r="BA50" s="218"/>
      <c r="BB50" s="219"/>
      <c r="BC50" s="220"/>
      <c r="BD50" s="217" t="s">
        <v>155</v>
      </c>
      <c r="BE50" s="218"/>
      <c r="BF50" s="219"/>
      <c r="BG50" s="220"/>
      <c r="BH50" s="217" t="s">
        <v>200</v>
      </c>
      <c r="BI50" s="218"/>
      <c r="BJ50" s="219"/>
      <c r="BK50" s="220"/>
      <c r="BL50" s="218" t="s">
        <v>201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225</v>
      </c>
      <c r="E51" s="149"/>
      <c r="F51" s="149"/>
      <c r="G51" s="151"/>
      <c r="H51" s="242" t="s">
        <v>227</v>
      </c>
      <c r="I51" s="150"/>
      <c r="J51" s="150"/>
      <c r="K51" s="150"/>
      <c r="L51" s="161"/>
      <c r="M51" s="162"/>
      <c r="N51" s="242" t="s">
        <v>229</v>
      </c>
      <c r="O51" s="150"/>
      <c r="P51" s="150"/>
      <c r="Q51" s="99" t="s">
        <v>33</v>
      </c>
      <c r="R51" s="1021">
        <v>200</v>
      </c>
      <c r="S51" s="1022"/>
      <c r="T51" s="1022"/>
      <c r="U51" s="1023"/>
      <c r="V51" s="148" t="s">
        <v>207</v>
      </c>
      <c r="W51" s="150"/>
      <c r="X51" s="150"/>
      <c r="Y51" s="99" t="s">
        <v>33</v>
      </c>
      <c r="Z51" s="1010">
        <v>34690.32</v>
      </c>
      <c r="AA51" s="1019"/>
      <c r="AB51" s="1019"/>
      <c r="AC51" s="1019"/>
      <c r="AD51" s="1020"/>
      <c r="AE51" s="1010">
        <v>46831.94</v>
      </c>
      <c r="AF51" s="1019"/>
      <c r="AG51" s="1019"/>
      <c r="AH51" s="1019"/>
      <c r="AI51" s="1020"/>
      <c r="AJ51" s="148" t="s">
        <v>148</v>
      </c>
      <c r="AK51" s="150"/>
      <c r="AL51" s="150"/>
      <c r="AM51" s="99" t="s">
        <v>33</v>
      </c>
      <c r="AN51" s="1035">
        <v>547.11950000000002</v>
      </c>
      <c r="AO51" s="1036"/>
      <c r="AP51" s="1036"/>
      <c r="AQ51" s="1037"/>
      <c r="AR51" s="1035">
        <v>560</v>
      </c>
      <c r="AS51" s="1036"/>
      <c r="AT51" s="1036"/>
      <c r="AU51" s="1037"/>
      <c r="AV51" s="1038">
        <v>4.4999999999999998E-2</v>
      </c>
      <c r="AW51" s="1039"/>
      <c r="AX51" s="1039"/>
      <c r="AY51" s="1040"/>
      <c r="AZ51" s="1035">
        <v>674</v>
      </c>
      <c r="BA51" s="1036"/>
      <c r="BB51" s="1036"/>
      <c r="BC51" s="1037"/>
      <c r="BD51" s="1035"/>
      <c r="BE51" s="1036"/>
      <c r="BF51" s="1036"/>
      <c r="BG51" s="1037"/>
      <c r="BH51" s="1035"/>
      <c r="BI51" s="1036"/>
      <c r="BJ51" s="1036"/>
      <c r="BK51" s="1037"/>
      <c r="BL51" s="1051"/>
      <c r="BM51" s="1052"/>
      <c r="BN51" s="1053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226</v>
      </c>
      <c r="E52" s="149"/>
      <c r="F52" s="149"/>
      <c r="G52" s="151"/>
      <c r="H52" s="242" t="s">
        <v>228</v>
      </c>
      <c r="I52" s="150"/>
      <c r="J52" s="150"/>
      <c r="K52" s="150"/>
      <c r="L52" s="161"/>
      <c r="M52" s="162"/>
      <c r="N52" s="242" t="s">
        <v>229</v>
      </c>
      <c r="O52" s="150"/>
      <c r="P52" s="150"/>
      <c r="Q52" s="99" t="s">
        <v>33</v>
      </c>
      <c r="R52" s="1021">
        <v>200</v>
      </c>
      <c r="S52" s="1022"/>
      <c r="T52" s="1022"/>
      <c r="U52" s="1023"/>
      <c r="V52" s="148" t="s">
        <v>207</v>
      </c>
      <c r="W52" s="150"/>
      <c r="X52" s="150"/>
      <c r="Y52" s="99" t="s">
        <v>33</v>
      </c>
      <c r="Z52" s="1010">
        <v>11230.49</v>
      </c>
      <c r="AA52" s="1019"/>
      <c r="AB52" s="1019"/>
      <c r="AC52" s="1019"/>
      <c r="AD52" s="1020"/>
      <c r="AE52" s="1010">
        <v>15161.17</v>
      </c>
      <c r="AF52" s="1019"/>
      <c r="AG52" s="1019"/>
      <c r="AH52" s="1019"/>
      <c r="AI52" s="1020"/>
      <c r="AJ52" s="148" t="s">
        <v>148</v>
      </c>
      <c r="AK52" s="150"/>
      <c r="AL52" s="150"/>
      <c r="AM52" s="99" t="s">
        <v>33</v>
      </c>
      <c r="AN52" s="1035">
        <v>177.12389999999999</v>
      </c>
      <c r="AO52" s="1036"/>
      <c r="AP52" s="1036"/>
      <c r="AQ52" s="1037"/>
      <c r="AR52" s="1035">
        <v>180</v>
      </c>
      <c r="AS52" s="1036"/>
      <c r="AT52" s="1036"/>
      <c r="AU52" s="1037"/>
      <c r="AV52" s="1038">
        <v>4.4999999999999998E-2</v>
      </c>
      <c r="AW52" s="1039"/>
      <c r="AX52" s="1039"/>
      <c r="AY52" s="1040"/>
      <c r="AZ52" s="1035">
        <v>218.2</v>
      </c>
      <c r="BA52" s="1036"/>
      <c r="BB52" s="1036"/>
      <c r="BC52" s="1037"/>
      <c r="BD52" s="1035"/>
      <c r="BE52" s="1036"/>
      <c r="BF52" s="1036"/>
      <c r="BG52" s="1037"/>
      <c r="BH52" s="1035"/>
      <c r="BI52" s="1036"/>
      <c r="BJ52" s="1036"/>
      <c r="BK52" s="1037"/>
      <c r="BL52" s="1051"/>
      <c r="BM52" s="1052"/>
      <c r="BN52" s="1053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80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212</v>
      </c>
      <c r="BB63" s="240"/>
      <c r="BC63" s="240"/>
      <c r="BD63" s="241"/>
      <c r="BE63" s="239" t="s">
        <v>213</v>
      </c>
      <c r="BF63" s="240"/>
      <c r="BG63" s="240"/>
      <c r="BH63" s="240"/>
      <c r="BI63" s="239" t="s">
        <v>199</v>
      </c>
      <c r="BJ63" s="240"/>
      <c r="BK63" s="240"/>
      <c r="BL63" s="241"/>
      <c r="BM63" s="239" t="s">
        <v>214</v>
      </c>
      <c r="BN63" s="240"/>
      <c r="BO63" s="240"/>
      <c r="BP63" s="241"/>
      <c r="BQ63" s="239" t="s">
        <v>215</v>
      </c>
      <c r="BR63" s="240"/>
      <c r="BS63" s="240"/>
      <c r="BT63" s="241"/>
      <c r="BU63" s="239" t="s">
        <v>83</v>
      </c>
      <c r="BV63" s="240"/>
      <c r="BW63" s="240"/>
      <c r="BX63" s="241"/>
      <c r="BY63" s="239" t="s">
        <v>84</v>
      </c>
      <c r="BZ63" s="240"/>
      <c r="CA63" s="240"/>
      <c r="CB63" s="241"/>
      <c r="CC63" s="240" t="s">
        <v>85</v>
      </c>
      <c r="CD63" s="240"/>
      <c r="CE63" s="241"/>
      <c r="CF63" s="240" t="s">
        <v>86</v>
      </c>
      <c r="CG63" s="240"/>
      <c r="CH63" s="240"/>
      <c r="CI63" s="241"/>
      <c r="CJ63" s="240" t="s">
        <v>69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275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21">
        <f>R51</f>
        <v>200</v>
      </c>
      <c r="Y64" s="1022"/>
      <c r="Z64" s="1022"/>
      <c r="AA64" s="1023"/>
      <c r="AB64" s="1035">
        <f>Z51/H42</f>
        <v>315.36654545454547</v>
      </c>
      <c r="AC64" s="1036"/>
      <c r="AD64" s="1036"/>
      <c r="AE64" s="1037"/>
      <c r="AF64" s="1035">
        <f>BH51</f>
        <v>0</v>
      </c>
      <c r="AG64" s="1036"/>
      <c r="AH64" s="1036"/>
      <c r="AI64" s="1036"/>
      <c r="AJ64" s="1037"/>
      <c r="AK64" s="1035">
        <f>AR51</f>
        <v>560</v>
      </c>
      <c r="AL64" s="1036"/>
      <c r="AM64" s="1036"/>
      <c r="AN64" s="1037"/>
      <c r="AO64" s="1035">
        <f>AN51</f>
        <v>547.11950000000002</v>
      </c>
      <c r="AP64" s="1036"/>
      <c r="AQ64" s="1036"/>
      <c r="AR64" s="1037"/>
      <c r="AS64" s="1035">
        <f>AN51/(1-AV51)</f>
        <v>572.90000000000009</v>
      </c>
      <c r="AT64" s="1036"/>
      <c r="AU64" s="1036"/>
      <c r="AV64" s="1037"/>
      <c r="AW64" s="1035">
        <f>AN51-(AS64*$K$20)</f>
        <v>518.47450000000003</v>
      </c>
      <c r="AX64" s="1036"/>
      <c r="AY64" s="1036"/>
      <c r="AZ64" s="1037"/>
      <c r="BA64" s="1001">
        <f>(AO64-AS64*$K$20-AE51/H42)/(AE51/H42)</f>
        <v>0.21780551905387649</v>
      </c>
      <c r="BB64" s="1002"/>
      <c r="BC64" s="1002"/>
      <c r="BD64" s="1003"/>
      <c r="BE64" s="1013">
        <f>(AN51-AR51)/AR51</f>
        <v>-2.3000892857142827E-2</v>
      </c>
      <c r="BF64" s="1014"/>
      <c r="BG64" s="1014"/>
      <c r="BH64" s="1015"/>
      <c r="BI64" s="1063">
        <f>AZ51</f>
        <v>674</v>
      </c>
      <c r="BJ64" s="1064"/>
      <c r="BK64" s="1064"/>
      <c r="BL64" s="1065"/>
      <c r="BM64" s="1016">
        <f>1-AN51/(1-AV51)/AZ51</f>
        <v>0.14999999999999991</v>
      </c>
      <c r="BN64" s="1017"/>
      <c r="BO64" s="1017"/>
      <c r="BP64" s="1018"/>
      <c r="BQ64" s="1016">
        <f>1-(Z51/H42+AN51*AV51+AS64*$K$20)/AZ51</f>
        <v>0.45306836356892366</v>
      </c>
      <c r="BR64" s="1017"/>
      <c r="BS64" s="1017"/>
      <c r="BT64" s="1018"/>
      <c r="BU64" s="1051">
        <f>BD51</f>
        <v>0</v>
      </c>
      <c r="BV64" s="1052"/>
      <c r="BW64" s="1052"/>
      <c r="BX64" s="1053"/>
      <c r="BY64" s="1016" t="str">
        <f>IFERROR(1-AZ51/BD51,"")</f>
        <v/>
      </c>
      <c r="BZ64" s="1017"/>
      <c r="CA64" s="1017"/>
      <c r="CB64" s="1018"/>
      <c r="CC64" s="1007">
        <f>BL51</f>
        <v>0</v>
      </c>
      <c r="CD64" s="1008"/>
      <c r="CE64" s="1009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275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21">
        <f>R52</f>
        <v>200</v>
      </c>
      <c r="Y65" s="1022"/>
      <c r="Z65" s="1022"/>
      <c r="AA65" s="1023"/>
      <c r="AB65" s="1035">
        <f>Z52/H42</f>
        <v>102.09536363636363</v>
      </c>
      <c r="AC65" s="1036"/>
      <c r="AD65" s="1036"/>
      <c r="AE65" s="1037"/>
      <c r="AF65" s="1035">
        <f>BH52</f>
        <v>0</v>
      </c>
      <c r="AG65" s="1036"/>
      <c r="AH65" s="1036"/>
      <c r="AI65" s="1036"/>
      <c r="AJ65" s="1037"/>
      <c r="AK65" s="1035">
        <f>AR52</f>
        <v>180</v>
      </c>
      <c r="AL65" s="1036"/>
      <c r="AM65" s="1036"/>
      <c r="AN65" s="1037"/>
      <c r="AO65" s="1035">
        <f>AN52</f>
        <v>177.12389999999999</v>
      </c>
      <c r="AP65" s="1036"/>
      <c r="AQ65" s="1036"/>
      <c r="AR65" s="1037"/>
      <c r="AS65" s="1035">
        <f>AN52/(1-AV52)</f>
        <v>185.47005235602094</v>
      </c>
      <c r="AT65" s="1036"/>
      <c r="AU65" s="1036"/>
      <c r="AV65" s="1037"/>
      <c r="AW65" s="1035">
        <f>AN52-(AS65*$K$20)</f>
        <v>167.85039738219893</v>
      </c>
      <c r="AX65" s="1036"/>
      <c r="AY65" s="1036"/>
      <c r="AZ65" s="1037"/>
      <c r="BA65" s="1001">
        <f>(AO65-AS65*$K$20-AE52/H42)/(AE52/H42)</f>
        <v>0.21781786709349499</v>
      </c>
      <c r="BB65" s="1002"/>
      <c r="BC65" s="1002"/>
      <c r="BD65" s="1003"/>
      <c r="BE65" s="1013">
        <f>(AN52-AR52)/AR52</f>
        <v>-1.5978333333333379E-2</v>
      </c>
      <c r="BF65" s="1014"/>
      <c r="BG65" s="1014"/>
      <c r="BH65" s="1015"/>
      <c r="BI65" s="1063">
        <f>AZ52</f>
        <v>218.2</v>
      </c>
      <c r="BJ65" s="1064"/>
      <c r="BK65" s="1064"/>
      <c r="BL65" s="1065"/>
      <c r="BM65" s="1016">
        <f>1-AN52/(1-AV52)/AZ52</f>
        <v>0.14999976005489934</v>
      </c>
      <c r="BN65" s="1017"/>
      <c r="BO65" s="1017"/>
      <c r="BP65" s="1018"/>
      <c r="BQ65" s="1016">
        <f>1-(Z52/H42+AN52*AV52+AS65*$K$20)/AZ52</f>
        <v>0.45307313586542308</v>
      </c>
      <c r="BR65" s="1017"/>
      <c r="BS65" s="1017"/>
      <c r="BT65" s="1018"/>
      <c r="BU65" s="1051">
        <f>BD52</f>
        <v>0</v>
      </c>
      <c r="BV65" s="1052"/>
      <c r="BW65" s="1052"/>
      <c r="BX65" s="1053"/>
      <c r="BY65" s="1016" t="str">
        <f>IFERROR(1-AZ52/BD52,"")</f>
        <v/>
      </c>
      <c r="BZ65" s="1017"/>
      <c r="CA65" s="1017"/>
      <c r="CB65" s="1018"/>
      <c r="CC65" s="1007">
        <f>BL52</f>
        <v>0</v>
      </c>
      <c r="CD65" s="1008"/>
      <c r="CE65" s="1009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281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280</v>
      </c>
      <c r="E67" s="503"/>
      <c r="F67" s="504" t="s">
        <v>294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216</v>
      </c>
      <c r="Y67" s="503"/>
      <c r="Z67" s="503"/>
      <c r="AA67" s="503"/>
      <c r="AB67" s="507" t="s">
        <v>145</v>
      </c>
      <c r="AC67" s="503"/>
      <c r="AD67" s="503"/>
      <c r="AE67" s="503"/>
      <c r="AF67" s="507" t="s">
        <v>230</v>
      </c>
      <c r="AG67" s="508"/>
      <c r="AH67" s="508"/>
      <c r="AI67" s="508"/>
      <c r="AJ67" s="509"/>
      <c r="AK67" s="507" t="s">
        <v>219</v>
      </c>
      <c r="AL67" s="508"/>
      <c r="AM67" s="508"/>
      <c r="AN67" s="509"/>
      <c r="AO67" s="507" t="s">
        <v>220</v>
      </c>
      <c r="AP67" s="508"/>
      <c r="AQ67" s="508"/>
      <c r="AR67" s="509"/>
      <c r="AS67" s="507" t="s">
        <v>221</v>
      </c>
      <c r="AT67" s="508"/>
      <c r="AU67" s="508"/>
      <c r="AV67" s="508"/>
      <c r="AW67" s="507" t="s">
        <v>101</v>
      </c>
      <c r="AX67" s="508"/>
      <c r="AY67" s="508"/>
      <c r="AZ67" s="509"/>
      <c r="BA67" s="511" t="s">
        <v>222</v>
      </c>
      <c r="BB67" s="508"/>
      <c r="BC67" s="508"/>
      <c r="BD67" s="509"/>
      <c r="BE67" s="513" t="s">
        <v>223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231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232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229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1010">
        <f>SUMPRODUCT(X$64:AA$65,AO$64:AR$65)</f>
        <v>144848.68</v>
      </c>
      <c r="Y69" s="1019"/>
      <c r="Z69" s="1019"/>
      <c r="AA69" s="1020"/>
      <c r="AB69" s="1010">
        <f>SUMPRODUCT(R$51:R$52,AE$51:AE$52)/H42</f>
        <v>112714.74545454545</v>
      </c>
      <c r="AC69" s="1019"/>
      <c r="AD69" s="1019"/>
      <c r="AE69" s="1020"/>
      <c r="AF69" s="1027">
        <f>X69-AB69</f>
        <v>32133.93454545454</v>
      </c>
      <c r="AG69" s="1028"/>
      <c r="AH69" s="1028"/>
      <c r="AI69" s="1028"/>
      <c r="AJ69" s="1029"/>
      <c r="AK69" s="1080">
        <f>AF69/AB69</f>
        <v>0.2850907786365291</v>
      </c>
      <c r="AL69" s="1081"/>
      <c r="AM69" s="1081"/>
      <c r="AN69" s="1082"/>
      <c r="AO69" s="1001">
        <f>AS69/(X69-AS69)</f>
        <v>-2.1292702702702691E-2</v>
      </c>
      <c r="AP69" s="1002"/>
      <c r="AQ69" s="1002"/>
      <c r="AR69" s="1003"/>
      <c r="AS69" s="1083">
        <f>X$64*(AO$64-AK$64)+X$65*(AO$65-AK$65)</f>
        <v>-3151.3199999999983</v>
      </c>
      <c r="AT69" s="1084"/>
      <c r="AU69" s="1084"/>
      <c r="AV69" s="1085"/>
      <c r="AW69" s="1086">
        <f>SUMPRODUCT(X$64:AA$65,AK$64:AN$65)</f>
        <v>148000</v>
      </c>
      <c r="AX69" s="1087"/>
      <c r="AY69" s="1087"/>
      <c r="AZ69" s="1088"/>
      <c r="BA69" s="1010">
        <f>SUMPRODUCT(X$64:AA$65,BI$64:BL$65)</f>
        <v>178440</v>
      </c>
      <c r="BB69" s="1019"/>
      <c r="BC69" s="1019"/>
      <c r="BD69" s="1020"/>
      <c r="BE69" s="1016">
        <f>1-(SUMPRODUCT(R$51:R$52,Z$51:Z$52)/107+(AN$51*AV$51+AN$51/(1-AV$51)*$K$20)*R$51+(AN$52*AV$52+AN$52/(1-AV$52)*$K$20)*R$52)/BA$75</f>
        <v>0.43995079106037671</v>
      </c>
      <c r="BF69" s="1017"/>
      <c r="BG69" s="1017"/>
      <c r="BH69" s="1018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229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98">
        <f>SUMPRODUCT(X$64:AA$65,AO$64:AR$65)*H42</f>
        <v>15933354.799999999</v>
      </c>
      <c r="Y70" s="999"/>
      <c r="Z70" s="999"/>
      <c r="AA70" s="1000"/>
      <c r="AB70" s="998">
        <f>SUMPRODUCT(R$51:R$52,AE$51:AE$52)</f>
        <v>12398622</v>
      </c>
      <c r="AC70" s="999"/>
      <c r="AD70" s="999"/>
      <c r="AE70" s="1000"/>
      <c r="AF70" s="1027">
        <f>X70-AB70</f>
        <v>3534732.7999999989</v>
      </c>
      <c r="AG70" s="1028"/>
      <c r="AH70" s="1028"/>
      <c r="AI70" s="1028"/>
      <c r="AJ70" s="1029"/>
      <c r="AK70" s="1080">
        <f>AF70/AB70</f>
        <v>0.28509077863652904</v>
      </c>
      <c r="AL70" s="1081"/>
      <c r="AM70" s="1081"/>
      <c r="AN70" s="1082"/>
      <c r="AO70" s="1001">
        <f>AS70/(X70-AS70)</f>
        <v>-1.9774221377452075E-4</v>
      </c>
      <c r="AP70" s="1002"/>
      <c r="AQ70" s="1002"/>
      <c r="AR70" s="1003"/>
      <c r="AS70" s="1057">
        <f>X$64*(AO$64-AK$64)+X$65*(AO$65-AK$65)</f>
        <v>-3151.3199999999983</v>
      </c>
      <c r="AT70" s="1058"/>
      <c r="AU70" s="1058"/>
      <c r="AV70" s="1059"/>
      <c r="AW70" s="1060">
        <f>SUMPRODUCT(X$64:AA$65,AK$64:AN$65)</f>
        <v>148000</v>
      </c>
      <c r="AX70" s="1061"/>
      <c r="AY70" s="1061"/>
      <c r="AZ70" s="1062"/>
      <c r="BA70" s="998">
        <f>SUMPRODUCT(X$64:AA$65,BI$64:BL$65)</f>
        <v>178440</v>
      </c>
      <c r="BB70" s="999"/>
      <c r="BC70" s="999"/>
      <c r="BD70" s="1000"/>
      <c r="BE70" s="1016">
        <f>1-(SUMPRODUCT(R$51:R$52,Z$51:Z$52)/107+(AN$51*AV$51+AN$51/(1-AV$51)*$K$20)*R$51+(AN$52*AV$52+AN$52/(1-AV$52)*$K$20)*R$52)/BA$75</f>
        <v>0.43995079106037671</v>
      </c>
      <c r="BF70" s="1017"/>
      <c r="BG70" s="1017"/>
      <c r="BH70" s="1018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295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216</v>
      </c>
      <c r="Y72" s="244"/>
      <c r="Z72" s="244"/>
      <c r="AA72" s="244"/>
      <c r="AB72" s="248" t="s">
        <v>145</v>
      </c>
      <c r="AC72" s="244"/>
      <c r="AD72" s="244"/>
      <c r="AE72" s="244"/>
      <c r="AF72" s="248" t="s">
        <v>230</v>
      </c>
      <c r="AG72" s="249"/>
      <c r="AH72" s="249"/>
      <c r="AI72" s="249"/>
      <c r="AJ72" s="250"/>
      <c r="AK72" s="248" t="s">
        <v>219</v>
      </c>
      <c r="AL72" s="249"/>
      <c r="AM72" s="249"/>
      <c r="AN72" s="250"/>
      <c r="AO72" s="248" t="s">
        <v>220</v>
      </c>
      <c r="AP72" s="249"/>
      <c r="AQ72" s="249"/>
      <c r="AR72" s="250"/>
      <c r="AS72" s="248" t="s">
        <v>221</v>
      </c>
      <c r="AT72" s="249"/>
      <c r="AU72" s="249"/>
      <c r="AV72" s="249"/>
      <c r="AW72" s="248" t="s">
        <v>101</v>
      </c>
      <c r="AX72" s="249"/>
      <c r="AY72" s="249"/>
      <c r="AZ72" s="250"/>
      <c r="BA72" s="253" t="s">
        <v>222</v>
      </c>
      <c r="BB72" s="249"/>
      <c r="BC72" s="249"/>
      <c r="BD72" s="250"/>
      <c r="BE72" s="251" t="s">
        <v>223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231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232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1010">
        <f>SUMPRODUCT(X$64:AA$65,AO$64:AR$65)</f>
        <v>144848.68</v>
      </c>
      <c r="Y74" s="1019"/>
      <c r="Z74" s="1019"/>
      <c r="AA74" s="1020"/>
      <c r="AB74" s="1010">
        <f>SUMPRODUCT(R$51:R$52,AE$51:AE$52)/107</f>
        <v>115874.97196261682</v>
      </c>
      <c r="AC74" s="1019"/>
      <c r="AD74" s="1019"/>
      <c r="AE74" s="1020"/>
      <c r="AF74" s="1027">
        <f>X74-AB74</f>
        <v>28973.70803738317</v>
      </c>
      <c r="AG74" s="1028"/>
      <c r="AH74" s="1028"/>
      <c r="AI74" s="1028"/>
      <c r="AJ74" s="1029"/>
      <c r="AK74" s="1080">
        <f>AF74/AB74</f>
        <v>0.25004284831007828</v>
      </c>
      <c r="AL74" s="1081"/>
      <c r="AM74" s="1081"/>
      <c r="AN74" s="1082"/>
      <c r="AO74" s="1001">
        <f>AS74/(X74-AS74)</f>
        <v>-2.1292702702702691E-2</v>
      </c>
      <c r="AP74" s="1002"/>
      <c r="AQ74" s="1002"/>
      <c r="AR74" s="1003"/>
      <c r="AS74" s="1083">
        <f>X$64*(AO$64-AK$64)+X$65*(AO$65-AK$65)</f>
        <v>-3151.3199999999983</v>
      </c>
      <c r="AT74" s="1084"/>
      <c r="AU74" s="1084"/>
      <c r="AV74" s="1085"/>
      <c r="AW74" s="1086">
        <f>SUMPRODUCT(X$64:AA$65,AK$64:AN$65)</f>
        <v>148000</v>
      </c>
      <c r="AX74" s="1087"/>
      <c r="AY74" s="1087"/>
      <c r="AZ74" s="1088"/>
      <c r="BA74" s="1010">
        <f>SUMPRODUCT(X$64:AA$65,BI$64:BL$65)</f>
        <v>178440</v>
      </c>
      <c r="BB74" s="1019"/>
      <c r="BC74" s="1019"/>
      <c r="BD74" s="1020"/>
      <c r="BE74" s="1016">
        <f>1-(SUMPRODUCT(R$51:R$52,Z$51:Z$52)/107+(AN$51*AV$51+AN$51/(1-AV$51)*$K$20)*R$51+(AN$52*AV$52+AN$52/(1-AV$52)*$K$20)*R$52)/BA$75</f>
        <v>0.43995079106037671</v>
      </c>
      <c r="BF74" s="1017"/>
      <c r="BG74" s="1017"/>
      <c r="BH74" s="1018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207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98">
        <f>SUMPRODUCT(X$64:AA$65,AO$64:AR$65)</f>
        <v>144848.68</v>
      </c>
      <c r="Y75" s="999"/>
      <c r="Z75" s="999"/>
      <c r="AA75" s="1000"/>
      <c r="AB75" s="998">
        <f>SUMPRODUCT(R$51:R$52,AE$51:AE$52)/107</f>
        <v>115874.97196261682</v>
      </c>
      <c r="AC75" s="999"/>
      <c r="AD75" s="999"/>
      <c r="AE75" s="1000"/>
      <c r="AF75" s="1027">
        <f>X75-AB75</f>
        <v>28973.70803738317</v>
      </c>
      <c r="AG75" s="1028"/>
      <c r="AH75" s="1028"/>
      <c r="AI75" s="1028"/>
      <c r="AJ75" s="1029"/>
      <c r="AK75" s="1080">
        <f>AF75/AB75</f>
        <v>0.25004284831007828</v>
      </c>
      <c r="AL75" s="1081"/>
      <c r="AM75" s="1081"/>
      <c r="AN75" s="1082"/>
      <c r="AO75" s="1001">
        <f>AS75/(X75-AS75)</f>
        <v>-2.1292702702702691E-2</v>
      </c>
      <c r="AP75" s="1002"/>
      <c r="AQ75" s="1002"/>
      <c r="AR75" s="1003"/>
      <c r="AS75" s="1057">
        <f>X$64*(AO$64-AK$64)+X$65*(AO$65-AK$65)</f>
        <v>-3151.3199999999983</v>
      </c>
      <c r="AT75" s="1058"/>
      <c r="AU75" s="1058"/>
      <c r="AV75" s="1059"/>
      <c r="AW75" s="1060">
        <f>SUMPRODUCT(X$64:AA$65,AK$64:AN$65)</f>
        <v>148000</v>
      </c>
      <c r="AX75" s="1061"/>
      <c r="AY75" s="1061"/>
      <c r="AZ75" s="1062"/>
      <c r="BA75" s="998">
        <f>SUMPRODUCT(X$64:AA$65,BI$64:BL$65)</f>
        <v>178440</v>
      </c>
      <c r="BB75" s="999"/>
      <c r="BC75" s="999"/>
      <c r="BD75" s="1000"/>
      <c r="BE75" s="1016">
        <f>1-(SUMPRODUCT(R$51:R$52,Z$51:Z$52)/107+(AN$51*AV$51+AN$51/(1-AV$51)*$K$20)*R$51+(AN$52*AV$52+AN$52/(1-AV$52)*$K$20)*R$52)/BA$75</f>
        <v>0.43995079106037671</v>
      </c>
      <c r="BF75" s="1017"/>
      <c r="BG75" s="1017"/>
      <c r="BH75" s="1018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90"/>
      <c r="BE76" s="1091"/>
      <c r="BF76" s="1091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24"/>
      <c r="K77" s="1025"/>
      <c r="L77" s="1025"/>
      <c r="M77" s="1025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26"/>
      <c r="K81" s="1026"/>
      <c r="L81" s="1026"/>
      <c r="M81" s="1026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89"/>
      <c r="BL81" s="1089"/>
      <c r="BM81" s="1089"/>
      <c r="BN81" s="1089"/>
      <c r="BO81" s="1089"/>
    </row>
    <row r="82" spans="1:67" ht="14.15" customHeight="1">
      <c r="A82" s="22"/>
      <c r="B82" s="129"/>
      <c r="C82" s="346" t="s">
        <v>131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79"/>
      <c r="BF82" s="1079"/>
      <c r="BG82" s="1079"/>
      <c r="BH82" s="1079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44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45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91"/>
      <c r="K88" s="991"/>
      <c r="L88" s="991"/>
      <c r="M88" s="991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247</v>
      </c>
      <c r="D89" s="332"/>
      <c r="E89" s="65"/>
      <c r="F89" s="65"/>
      <c r="G89" s="65"/>
      <c r="H89" s="65"/>
      <c r="I89" s="65"/>
      <c r="J89" s="991"/>
      <c r="K89" s="991"/>
      <c r="L89" s="991"/>
      <c r="M89" s="991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248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30"/>
      <c r="K91" s="1030"/>
      <c r="L91" s="1030"/>
      <c r="M91" s="1030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240</v>
      </c>
      <c r="E93" s="28"/>
      <c r="F93" s="28"/>
      <c r="G93" s="28"/>
      <c r="H93" s="468" t="s">
        <v>245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246</v>
      </c>
      <c r="S93" s="470"/>
      <c r="T93" s="471"/>
      <c r="U93" s="471"/>
      <c r="V93" s="483"/>
      <c r="W93" s="472"/>
      <c r="X93" s="471"/>
      <c r="Y93" s="473"/>
      <c r="Z93" s="474"/>
      <c r="AB93" s="469" t="s">
        <v>289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54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243</v>
      </c>
      <c r="D97" s="332"/>
      <c r="E97" s="65"/>
      <c r="F97" s="65"/>
      <c r="G97" s="65"/>
      <c r="H97" s="65"/>
      <c r="I97" s="65"/>
      <c r="J97" s="991"/>
      <c r="K97" s="991"/>
      <c r="L97" s="991"/>
      <c r="M97" s="991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240</v>
      </c>
      <c r="E99" s="28"/>
      <c r="F99" s="28"/>
      <c r="G99" s="28"/>
      <c r="H99" s="468" t="s">
        <v>241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242</v>
      </c>
      <c r="S99" s="470"/>
      <c r="T99" s="471"/>
      <c r="U99" s="471"/>
      <c r="V99" s="483"/>
      <c r="W99" s="484" t="s">
        <v>254</v>
      </c>
      <c r="X99" s="471"/>
      <c r="Y99" s="473"/>
      <c r="Z99" s="474"/>
      <c r="AB99" s="529" t="s">
        <v>290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253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243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249</v>
      </c>
      <c r="D105" s="332"/>
      <c r="E105" s="65"/>
      <c r="F105" s="65"/>
      <c r="G105" s="65"/>
      <c r="H105" s="65"/>
      <c r="I105" s="65"/>
      <c r="J105" s="991"/>
      <c r="K105" s="991"/>
      <c r="L105" s="991"/>
      <c r="M105" s="991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250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252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251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44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257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54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91"/>
      <c r="K114" s="991"/>
      <c r="L114" s="991"/>
      <c r="M114" s="991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91"/>
      <c r="K115" s="991"/>
      <c r="L115" s="991"/>
      <c r="M115" s="991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</mergeCells>
  <phoneticPr fontId="56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74" t="str">
        <f>変更来歴!M2</f>
        <v>　</v>
      </c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46157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79" t="str">
        <f ca="1">"画面レイアウト"&amp;"("&amp;MID(CELL("filename"),FIND("]",CELL("filename"))+1,LEN(CELL("filename")))&amp;")"</f>
        <v>画面レイアウト(変更来歴)</v>
      </c>
      <c r="B5" s="780"/>
      <c r="C5" s="780"/>
      <c r="D5" s="780"/>
      <c r="E5" s="780"/>
      <c r="F5" s="780"/>
      <c r="G5" s="780"/>
      <c r="H5" s="780"/>
      <c r="I5" s="780"/>
      <c r="J5" s="780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  <c r="V5" s="780"/>
      <c r="W5" s="780"/>
      <c r="X5" s="780"/>
      <c r="Y5" s="780"/>
      <c r="Z5" s="780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1"/>
      <c r="BB5" s="775" t="s">
        <v>24</v>
      </c>
      <c r="BC5" s="77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41">
        <v>110</v>
      </c>
      <c r="I42" s="1011"/>
      <c r="J42" s="1011"/>
      <c r="K42" s="1011"/>
      <c r="L42" s="1012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41">
        <v>125</v>
      </c>
      <c r="I43" s="1011"/>
      <c r="J43" s="1011"/>
      <c r="K43" s="1011"/>
      <c r="L43" s="1012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146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150</v>
      </c>
      <c r="AA49" s="211"/>
      <c r="AB49" s="211"/>
      <c r="AC49" s="211"/>
      <c r="AD49" s="212"/>
      <c r="AE49" s="210" t="s">
        <v>293</v>
      </c>
      <c r="AF49" s="211"/>
      <c r="AG49" s="211"/>
      <c r="AH49" s="212"/>
      <c r="AI49" s="210" t="s">
        <v>162</v>
      </c>
      <c r="AJ49" s="211"/>
      <c r="AK49" s="211"/>
      <c r="AL49" s="212"/>
      <c r="AM49" s="211" t="s">
        <v>152</v>
      </c>
      <c r="AN49" s="211"/>
      <c r="AO49" s="211"/>
      <c r="AP49" s="212"/>
      <c r="AQ49" s="211" t="s">
        <v>197</v>
      </c>
      <c r="AR49" s="211"/>
      <c r="AS49" s="211"/>
      <c r="AT49" s="212"/>
      <c r="AU49" s="210" t="s">
        <v>199</v>
      </c>
      <c r="AV49" s="211"/>
      <c r="AW49" s="211"/>
      <c r="AX49" s="212"/>
      <c r="AY49" s="210" t="s">
        <v>83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156</v>
      </c>
      <c r="BH49" s="211"/>
      <c r="BI49" s="212"/>
      <c r="BJ49" s="305" t="s">
        <v>86</v>
      </c>
      <c r="BK49" s="211"/>
      <c r="BL49" s="211"/>
      <c r="BM49" s="212"/>
      <c r="BN49" s="211" t="s">
        <v>69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198</v>
      </c>
      <c r="AR50" s="218"/>
      <c r="AS50" s="219"/>
      <c r="AT50" s="220"/>
      <c r="AU50" s="217" t="s">
        <v>155</v>
      </c>
      <c r="AV50" s="218"/>
      <c r="AW50" s="219"/>
      <c r="AX50" s="220"/>
      <c r="AY50" s="217" t="s">
        <v>155</v>
      </c>
      <c r="AZ50" s="218"/>
      <c r="BA50" s="219"/>
      <c r="BB50" s="220"/>
      <c r="BC50" s="217" t="s">
        <v>200</v>
      </c>
      <c r="BD50" s="218"/>
      <c r="BE50" s="219"/>
      <c r="BF50" s="220"/>
      <c r="BG50" s="218" t="s">
        <v>201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158</v>
      </c>
      <c r="E51" s="149"/>
      <c r="F51" s="149"/>
      <c r="G51" s="151"/>
      <c r="H51" s="242" t="s">
        <v>159</v>
      </c>
      <c r="I51" s="150"/>
      <c r="J51" s="150"/>
      <c r="K51" s="150"/>
      <c r="L51" s="161"/>
      <c r="M51" s="162"/>
      <c r="N51" s="242" t="s">
        <v>160</v>
      </c>
      <c r="O51" s="150"/>
      <c r="P51" s="150"/>
      <c r="Q51" s="99" t="s">
        <v>33</v>
      </c>
      <c r="R51" s="1021">
        <v>70000</v>
      </c>
      <c r="S51" s="1022"/>
      <c r="T51" s="1022"/>
      <c r="U51" s="1023"/>
      <c r="V51" s="148" t="s">
        <v>148</v>
      </c>
      <c r="W51" s="150"/>
      <c r="X51" s="150"/>
      <c r="Y51" s="99" t="s">
        <v>33</v>
      </c>
      <c r="Z51" s="1035">
        <v>6.7299999999999999E-2</v>
      </c>
      <c r="AA51" s="1036"/>
      <c r="AB51" s="1036"/>
      <c r="AC51" s="1036"/>
      <c r="AD51" s="1037"/>
      <c r="AE51" s="148" t="s">
        <v>148</v>
      </c>
      <c r="AF51" s="150"/>
      <c r="AG51" s="150"/>
      <c r="AH51" s="99" t="s">
        <v>33</v>
      </c>
      <c r="AI51" s="1035">
        <v>0.1211</v>
      </c>
      <c r="AJ51" s="1036"/>
      <c r="AK51" s="1036"/>
      <c r="AL51" s="1037"/>
      <c r="AM51" s="1035">
        <v>0.12</v>
      </c>
      <c r="AN51" s="1036"/>
      <c r="AO51" s="1036"/>
      <c r="AP51" s="1037"/>
      <c r="AQ51" s="1038">
        <v>0.01</v>
      </c>
      <c r="AR51" s="1039"/>
      <c r="AS51" s="1039"/>
      <c r="AT51" s="1040"/>
      <c r="AU51" s="1035">
        <v>0.13589999999999999</v>
      </c>
      <c r="AV51" s="1036"/>
      <c r="AW51" s="1036"/>
      <c r="AX51" s="1037"/>
      <c r="AY51" s="1035">
        <v>0.151</v>
      </c>
      <c r="AZ51" s="1036"/>
      <c r="BA51" s="1036"/>
      <c r="BB51" s="1037"/>
      <c r="BC51" s="1035">
        <v>0.151</v>
      </c>
      <c r="BD51" s="1036"/>
      <c r="BE51" s="1036"/>
      <c r="BF51" s="1037"/>
      <c r="BG51" s="1051">
        <v>6.1000000000000004E-3</v>
      </c>
      <c r="BH51" s="1052"/>
      <c r="BI51" s="1053"/>
      <c r="BJ51" s="309" t="s">
        <v>208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21"/>
      <c r="S52" s="1022"/>
      <c r="T52" s="1022"/>
      <c r="U52" s="1023"/>
      <c r="V52" s="148"/>
      <c r="W52" s="150"/>
      <c r="X52" s="150"/>
      <c r="Y52" s="99" t="s">
        <v>33</v>
      </c>
      <c r="Z52" s="1010"/>
      <c r="AA52" s="1019"/>
      <c r="AB52" s="1019"/>
      <c r="AC52" s="1019"/>
      <c r="AD52" s="1020"/>
      <c r="AE52" s="148"/>
      <c r="AF52" s="150"/>
      <c r="AG52" s="150"/>
      <c r="AH52" s="99" t="s">
        <v>33</v>
      </c>
      <c r="AI52" s="1035"/>
      <c r="AJ52" s="1036"/>
      <c r="AK52" s="1036"/>
      <c r="AL52" s="1037"/>
      <c r="AM52" s="1035"/>
      <c r="AN52" s="1036"/>
      <c r="AO52" s="1036"/>
      <c r="AP52" s="1037"/>
      <c r="AQ52" s="1038"/>
      <c r="AR52" s="1039"/>
      <c r="AS52" s="1039"/>
      <c r="AT52" s="1040"/>
      <c r="AU52" s="1035"/>
      <c r="AV52" s="1036"/>
      <c r="AW52" s="1036"/>
      <c r="AX52" s="1037"/>
      <c r="AY52" s="1035"/>
      <c r="AZ52" s="1036"/>
      <c r="BA52" s="1036"/>
      <c r="BB52" s="1037"/>
      <c r="BC52" s="1035"/>
      <c r="BD52" s="1036"/>
      <c r="BE52" s="1036"/>
      <c r="BF52" s="1037"/>
      <c r="BG52" s="1051"/>
      <c r="BH52" s="1052"/>
      <c r="BI52" s="1053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95">
        <f>1-(0.0673/0.1359)</f>
        <v>0.50478292862398821</v>
      </c>
      <c r="BN58" s="1095"/>
      <c r="BO58" s="1095"/>
      <c r="BP58" s="1095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150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213</v>
      </c>
      <c r="BB63" s="240"/>
      <c r="BC63" s="240"/>
      <c r="BD63" s="240"/>
      <c r="BE63" s="239" t="s">
        <v>199</v>
      </c>
      <c r="BF63" s="240"/>
      <c r="BG63" s="240"/>
      <c r="BH63" s="241"/>
      <c r="BI63" s="239" t="s">
        <v>214</v>
      </c>
      <c r="BJ63" s="240"/>
      <c r="BK63" s="240"/>
      <c r="BL63" s="241"/>
      <c r="BM63" s="239" t="s">
        <v>236</v>
      </c>
      <c r="BN63" s="240"/>
      <c r="BO63" s="240"/>
      <c r="BP63" s="241"/>
      <c r="BQ63" s="239" t="s">
        <v>83</v>
      </c>
      <c r="BR63" s="240"/>
      <c r="BS63" s="240"/>
      <c r="BT63" s="241"/>
      <c r="BU63" s="239" t="s">
        <v>84</v>
      </c>
      <c r="BV63" s="240"/>
      <c r="BW63" s="240"/>
      <c r="BX63" s="241"/>
      <c r="BY63" s="240" t="s">
        <v>85</v>
      </c>
      <c r="BZ63" s="240"/>
      <c r="CA63" s="241"/>
      <c r="CB63" s="240" t="s">
        <v>86</v>
      </c>
      <c r="CC63" s="240"/>
      <c r="CD63" s="240"/>
      <c r="CE63" s="241"/>
      <c r="CF63" s="240" t="s">
        <v>69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149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21">
        <f>R51</f>
        <v>70000</v>
      </c>
      <c r="Y64" s="1022"/>
      <c r="Z64" s="1022"/>
      <c r="AA64" s="1023"/>
      <c r="AB64" s="1035">
        <f>Z51</f>
        <v>6.7299999999999999E-2</v>
      </c>
      <c r="AC64" s="1036"/>
      <c r="AD64" s="1036"/>
      <c r="AE64" s="1037"/>
      <c r="AF64" s="1035">
        <f>BC51</f>
        <v>0.151</v>
      </c>
      <c r="AG64" s="1036"/>
      <c r="AH64" s="1036"/>
      <c r="AI64" s="1036"/>
      <c r="AJ64" s="1037"/>
      <c r="AK64" s="1035">
        <f>AM51</f>
        <v>0.12</v>
      </c>
      <c r="AL64" s="1036"/>
      <c r="AM64" s="1036"/>
      <c r="AN64" s="1037"/>
      <c r="AO64" s="1035">
        <f>AI51</f>
        <v>0.1211</v>
      </c>
      <c r="AP64" s="1036"/>
      <c r="AQ64" s="1036"/>
      <c r="AR64" s="1037"/>
      <c r="AS64" s="1035">
        <f>AI51/(1-AQ51)</f>
        <v>0.12232323232323232</v>
      </c>
      <c r="AT64" s="1036"/>
      <c r="AU64" s="1036"/>
      <c r="AV64" s="1037"/>
      <c r="AW64" s="1035">
        <f>AO64-(AS64*$K$20)</f>
        <v>0.11498383838383838</v>
      </c>
      <c r="AX64" s="1036"/>
      <c r="AY64" s="1036"/>
      <c r="AZ64" s="1037"/>
      <c r="BA64" s="1013">
        <f>IFERROR((AI51-AM51)/AM51,"")</f>
        <v>9.1666666666666979E-3</v>
      </c>
      <c r="BB64" s="1014"/>
      <c r="BC64" s="1014"/>
      <c r="BD64" s="1015"/>
      <c r="BE64" s="1063">
        <f>AU51</f>
        <v>0.13589999999999999</v>
      </c>
      <c r="BF64" s="1064"/>
      <c r="BG64" s="1064"/>
      <c r="BH64" s="1065"/>
      <c r="BI64" s="1016">
        <f>1-AI51/(1-AQ51)/AU51</f>
        <v>9.990263191146187E-2</v>
      </c>
      <c r="BJ64" s="1017"/>
      <c r="BK64" s="1017"/>
      <c r="BL64" s="1018"/>
      <c r="BM64" s="1016">
        <f>1-AB64/BE64</f>
        <v>0.50478292862398821</v>
      </c>
      <c r="BN64" s="1017"/>
      <c r="BO64" s="1017"/>
      <c r="BP64" s="1018"/>
      <c r="BQ64" s="1051">
        <f>AY51</f>
        <v>0.151</v>
      </c>
      <c r="BR64" s="1052"/>
      <c r="BS64" s="1052"/>
      <c r="BT64" s="1053"/>
      <c r="BU64" s="1016">
        <f>1-AU51/AY51</f>
        <v>9.9999999999999978E-2</v>
      </c>
      <c r="BV64" s="1017"/>
      <c r="BW64" s="1017"/>
      <c r="BX64" s="1018"/>
      <c r="BY64" s="1035">
        <f>BG51</f>
        <v>6.1000000000000004E-3</v>
      </c>
      <c r="BZ64" s="1036"/>
      <c r="CA64" s="1037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281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280</v>
      </c>
      <c r="E66" s="503"/>
      <c r="F66" s="504" t="s">
        <v>294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239</v>
      </c>
      <c r="Y66" s="503"/>
      <c r="Z66" s="503"/>
      <c r="AA66" s="503"/>
      <c r="AB66" s="507" t="s">
        <v>234</v>
      </c>
      <c r="AC66" s="503"/>
      <c r="AD66" s="503"/>
      <c r="AE66" s="503"/>
      <c r="AF66" s="507" t="s">
        <v>235</v>
      </c>
      <c r="AG66" s="508"/>
      <c r="AH66" s="508"/>
      <c r="AI66" s="508"/>
      <c r="AJ66" s="509"/>
      <c r="AK66" s="507" t="s">
        <v>236</v>
      </c>
      <c r="AL66" s="508"/>
      <c r="AM66" s="508"/>
      <c r="AN66" s="509"/>
      <c r="AO66" s="507" t="s">
        <v>237</v>
      </c>
      <c r="AP66" s="508"/>
      <c r="AQ66" s="508"/>
      <c r="AR66" s="509"/>
      <c r="AS66" s="507" t="s">
        <v>238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160</v>
      </c>
      <c r="E67" s="149"/>
      <c r="F67" s="148" t="s">
        <v>148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1010">
        <f>SUMPRODUCT(X$64:AA$64,BE$64:BH$64)</f>
        <v>9513</v>
      </c>
      <c r="Y67" s="1019"/>
      <c r="Z67" s="1019"/>
      <c r="AA67" s="1020"/>
      <c r="AB67" s="1010">
        <f>SUMPRODUCT(X$64:AA$64,AB$64:AE$64)</f>
        <v>4711</v>
      </c>
      <c r="AC67" s="1019"/>
      <c r="AD67" s="1019"/>
      <c r="AE67" s="1020"/>
      <c r="AF67" s="1010">
        <f>X67-AB67</f>
        <v>4802</v>
      </c>
      <c r="AG67" s="1019"/>
      <c r="AH67" s="1019"/>
      <c r="AI67" s="1019"/>
      <c r="AJ67" s="1020"/>
      <c r="AK67" s="1001">
        <f>AF67/X67</f>
        <v>0.50478292862398821</v>
      </c>
      <c r="AL67" s="1002"/>
      <c r="AM67" s="1002"/>
      <c r="AN67" s="1003"/>
      <c r="AO67" s="1001">
        <f>IFERROR(AS67/(X67-AS67),"")</f>
        <v>0.13249999999999998</v>
      </c>
      <c r="AP67" s="1002"/>
      <c r="AQ67" s="1002"/>
      <c r="AR67" s="1003"/>
      <c r="AS67" s="1092">
        <f>X$64*(BE$64-AK$64)</f>
        <v>1112.9999999999998</v>
      </c>
      <c r="AT67" s="1093"/>
      <c r="AU67" s="1093"/>
      <c r="AV67" s="1094"/>
      <c r="AW67" s="1060"/>
      <c r="AX67" s="1061"/>
      <c r="AY67" s="1061"/>
      <c r="AZ67" s="1062"/>
      <c r="BA67" s="998"/>
      <c r="BB67" s="999"/>
      <c r="BC67" s="999"/>
      <c r="BD67" s="1000"/>
      <c r="BE67" s="1016"/>
      <c r="BF67" s="1017"/>
      <c r="BG67" s="1017"/>
      <c r="BH67" s="1018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160</v>
      </c>
      <c r="E68" s="149"/>
      <c r="F68" s="148" t="s">
        <v>207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98">
        <f>SUMPRODUCT(X$64:AA$64,BE$64:BH$64)</f>
        <v>9513</v>
      </c>
      <c r="Y68" s="999"/>
      <c r="Z68" s="999"/>
      <c r="AA68" s="1000"/>
      <c r="AB68" s="998">
        <f>SUMPRODUCT(X$64:AA$64,AB$64:AE$64)</f>
        <v>4711</v>
      </c>
      <c r="AC68" s="999"/>
      <c r="AD68" s="999"/>
      <c r="AE68" s="1000"/>
      <c r="AF68" s="998">
        <f>X68-AB68</f>
        <v>4802</v>
      </c>
      <c r="AG68" s="999"/>
      <c r="AH68" s="999"/>
      <c r="AI68" s="999"/>
      <c r="AJ68" s="1000"/>
      <c r="AK68" s="1001">
        <f>AF68/X68</f>
        <v>0.50478292862398821</v>
      </c>
      <c r="AL68" s="1002"/>
      <c r="AM68" s="1002"/>
      <c r="AN68" s="1003"/>
      <c r="AO68" s="1001">
        <f>IFERROR(AS68/(X68-AS68),"")</f>
        <v>0.13249999999999998</v>
      </c>
      <c r="AP68" s="1002"/>
      <c r="AQ68" s="1002"/>
      <c r="AR68" s="1003"/>
      <c r="AS68" s="1057">
        <f>X$64*(BE$64-AK$64)</f>
        <v>1112.9999999999998</v>
      </c>
      <c r="AT68" s="1058"/>
      <c r="AU68" s="1058"/>
      <c r="AV68" s="1059"/>
      <c r="AW68" s="1060"/>
      <c r="AX68" s="1061"/>
      <c r="AY68" s="1061"/>
      <c r="AZ68" s="1062"/>
      <c r="BA68" s="998"/>
      <c r="BB68" s="999"/>
      <c r="BC68" s="999"/>
      <c r="BD68" s="1000"/>
      <c r="BE68" s="1016"/>
      <c r="BF68" s="1017"/>
      <c r="BG68" s="1017"/>
      <c r="BH68" s="1018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279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295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239</v>
      </c>
      <c r="Y70" s="244"/>
      <c r="Z70" s="244"/>
      <c r="AA70" s="244"/>
      <c r="AB70" s="248" t="s">
        <v>234</v>
      </c>
      <c r="AC70" s="244"/>
      <c r="AD70" s="244"/>
      <c r="AE70" s="244"/>
      <c r="AF70" s="248" t="s">
        <v>235</v>
      </c>
      <c r="AG70" s="249"/>
      <c r="AH70" s="249"/>
      <c r="AI70" s="249"/>
      <c r="AJ70" s="250"/>
      <c r="AK70" s="248" t="s">
        <v>236</v>
      </c>
      <c r="AL70" s="249"/>
      <c r="AM70" s="249"/>
      <c r="AN70" s="250"/>
      <c r="AO70" s="248" t="s">
        <v>237</v>
      </c>
      <c r="AP70" s="249"/>
      <c r="AQ70" s="249"/>
      <c r="AR70" s="250"/>
      <c r="AS70" s="248" t="s">
        <v>238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148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1010">
        <f>SUMPRODUCT(X$64:AA$64,BE$64:BH$64)</f>
        <v>9513</v>
      </c>
      <c r="Y71" s="1019"/>
      <c r="Z71" s="1019"/>
      <c r="AA71" s="1020"/>
      <c r="AB71" s="1010">
        <f>SUMPRODUCT(X$64:AA$64,AB$64:AE$64)</f>
        <v>4711</v>
      </c>
      <c r="AC71" s="1019"/>
      <c r="AD71" s="1019"/>
      <c r="AE71" s="1020"/>
      <c r="AF71" s="1010">
        <f>X71-AB71</f>
        <v>4802</v>
      </c>
      <c r="AG71" s="1019"/>
      <c r="AH71" s="1019"/>
      <c r="AI71" s="1019"/>
      <c r="AJ71" s="1020"/>
      <c r="AK71" s="1001">
        <f>AF71/X71</f>
        <v>0.50478292862398821</v>
      </c>
      <c r="AL71" s="1002"/>
      <c r="AM71" s="1002"/>
      <c r="AN71" s="1003"/>
      <c r="AO71" s="1001">
        <f>IFERROR(AS71/(X71-AS71),"")</f>
        <v>0.13249999999999998</v>
      </c>
      <c r="AP71" s="1002"/>
      <c r="AQ71" s="1002"/>
      <c r="AR71" s="1003"/>
      <c r="AS71" s="1092">
        <f>X$64*(BE$64-AK$64)</f>
        <v>1112.9999999999998</v>
      </c>
      <c r="AT71" s="1093"/>
      <c r="AU71" s="1093"/>
      <c r="AV71" s="1094"/>
      <c r="AW71" s="1060"/>
      <c r="AX71" s="1061"/>
      <c r="AY71" s="1061"/>
      <c r="AZ71" s="1062"/>
      <c r="BA71" s="998"/>
      <c r="BB71" s="999"/>
      <c r="BC71" s="999"/>
      <c r="BD71" s="1000"/>
      <c r="BE71" s="1016"/>
      <c r="BF71" s="1017"/>
      <c r="BG71" s="1017"/>
      <c r="BH71" s="1018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207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98">
        <f>SUMPRODUCT(X$64:AA$64,BE$64:BH$64)</f>
        <v>9513</v>
      </c>
      <c r="Y72" s="999"/>
      <c r="Z72" s="999"/>
      <c r="AA72" s="1000"/>
      <c r="AB72" s="998">
        <f>SUMPRODUCT(X$64:AA$64,AB$64:AE$64)</f>
        <v>4711</v>
      </c>
      <c r="AC72" s="999"/>
      <c r="AD72" s="999"/>
      <c r="AE72" s="1000"/>
      <c r="AF72" s="998">
        <f>X72-AB72</f>
        <v>4802</v>
      </c>
      <c r="AG72" s="999"/>
      <c r="AH72" s="999"/>
      <c r="AI72" s="999"/>
      <c r="AJ72" s="1000"/>
      <c r="AK72" s="1001">
        <f>AF72/X72</f>
        <v>0.50478292862398821</v>
      </c>
      <c r="AL72" s="1002"/>
      <c r="AM72" s="1002"/>
      <c r="AN72" s="1003"/>
      <c r="AO72" s="1001">
        <f>IFERROR(AS72/(X72-AS72),"")</f>
        <v>0.13249999999999998</v>
      </c>
      <c r="AP72" s="1002"/>
      <c r="AQ72" s="1002"/>
      <c r="AR72" s="1003"/>
      <c r="AS72" s="1057">
        <f>X$64*(BE$64-AK$64)</f>
        <v>1112.9999999999998</v>
      </c>
      <c r="AT72" s="1058"/>
      <c r="AU72" s="1058"/>
      <c r="AV72" s="1059"/>
      <c r="AW72" s="1060"/>
      <c r="AX72" s="1061"/>
      <c r="AY72" s="1061"/>
      <c r="AZ72" s="1062"/>
      <c r="BA72" s="998"/>
      <c r="BB72" s="999"/>
      <c r="BC72" s="999"/>
      <c r="BD72" s="1000"/>
      <c r="BE72" s="1016"/>
      <c r="BF72" s="1017"/>
      <c r="BG72" s="1017"/>
      <c r="BH72" s="1018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90"/>
      <c r="BE73" s="1091"/>
      <c r="BF73" s="1091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26"/>
      <c r="K77" s="1026"/>
      <c r="L77" s="1026"/>
      <c r="M77" s="1026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131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44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45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91"/>
      <c r="K84" s="991"/>
      <c r="L84" s="991"/>
      <c r="M84" s="991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247</v>
      </c>
      <c r="D85" s="332"/>
      <c r="E85" s="65"/>
      <c r="F85" s="65"/>
      <c r="G85" s="65"/>
      <c r="H85" s="65"/>
      <c r="I85" s="65"/>
      <c r="J85" s="991"/>
      <c r="K85" s="991"/>
      <c r="L85" s="991"/>
      <c r="M85" s="991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248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30"/>
      <c r="K87" s="1030"/>
      <c r="L87" s="1030"/>
      <c r="M87" s="1030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240</v>
      </c>
      <c r="E89" s="28"/>
      <c r="F89" s="28"/>
      <c r="G89" s="28"/>
      <c r="H89" s="468" t="s">
        <v>245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246</v>
      </c>
      <c r="S89" s="470"/>
      <c r="T89" s="471"/>
      <c r="U89" s="471"/>
      <c r="V89" s="483"/>
      <c r="W89" s="472"/>
      <c r="X89" s="471"/>
      <c r="Y89" s="473"/>
      <c r="Z89" s="474"/>
      <c r="AB89" s="469" t="s">
        <v>289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54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243</v>
      </c>
      <c r="D93" s="332"/>
      <c r="E93" s="65"/>
      <c r="F93" s="65"/>
      <c r="G93" s="65"/>
      <c r="H93" s="65"/>
      <c r="I93" s="65"/>
      <c r="J93" s="991"/>
      <c r="K93" s="991"/>
      <c r="L93" s="991"/>
      <c r="M93" s="991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240</v>
      </c>
      <c r="E95" s="28"/>
      <c r="F95" s="28"/>
      <c r="G95" s="28"/>
      <c r="H95" s="468" t="s">
        <v>241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242</v>
      </c>
      <c r="S95" s="470"/>
      <c r="T95" s="471"/>
      <c r="U95" s="471"/>
      <c r="V95" s="483"/>
      <c r="W95" s="484" t="s">
        <v>254</v>
      </c>
      <c r="X95" s="471"/>
      <c r="Y95" s="473"/>
      <c r="Z95" s="474"/>
      <c r="AB95" s="529" t="s">
        <v>290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253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243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249</v>
      </c>
      <c r="D101" s="332"/>
      <c r="E101" s="65"/>
      <c r="F101" s="65"/>
      <c r="G101" s="65"/>
      <c r="H101" s="65"/>
      <c r="I101" s="65"/>
      <c r="J101" s="991"/>
      <c r="K101" s="991"/>
      <c r="L101" s="991"/>
      <c r="M101" s="991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250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252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251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44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255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54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256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54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257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54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91"/>
      <c r="K110" s="991"/>
      <c r="L110" s="991"/>
      <c r="M110" s="991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91"/>
      <c r="K111" s="991"/>
      <c r="L111" s="991"/>
      <c r="M111" s="991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6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画面状態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画面状態!Print_Area</vt:lpstr>
      <vt:lpstr>'外貨(PPM)'!Print_Area</vt:lpstr>
      <vt:lpstr>'外貨(コリア原計)'!Print_Area</vt:lpstr>
      <vt:lpstr>'外貨(技術原計)'!Print_Area</vt:lpstr>
      <vt:lpstr>出力編集仕様!Print_Area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2026-05-15T06:50:46Z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