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C6DEBD47-3A5F-479B-84F4-BB04AAD33C94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処理詳細" sheetId="74" r:id="rId5"/>
    <sheet name="出力編集仕様" sheetId="76" r:id="rId6"/>
    <sheet name="ダウンロードCSVファイルについて" sheetId="75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化学物質データ申請確認画面!$A$1:$BC$86</definedName>
    <definedName name="_xlnm.Print_Area" localSheetId="3">画面項目!$A$1:$CA$29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出力編集仕様!$A$1:$FJ$36</definedName>
    <definedName name="_xlnm.Print_Area" localSheetId="4">処理詳細!$A$1:$CH$326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画面遷移new_1" localSheetId="6" hidden="1">{"'画面仕様'!$C$22:$BY$40","'画面仕様'!$C$28:$BY$39"}</definedName>
    <definedName name="画面遷移new_1" localSheetId="5" hidden="1">{"'画面仕様'!$C$22:$BY$40","'画面仕様'!$C$28:$BY$39"}</definedName>
    <definedName name="画面遷移new_1" localSheetId="4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7" l="1"/>
  <c r="AA3" i="67"/>
  <c r="M3" i="67"/>
  <c r="A3" i="67"/>
  <c r="AZ2" i="67"/>
  <c r="M2" i="67"/>
  <c r="AV1" i="67"/>
  <c r="AN1" i="67"/>
  <c r="AA1" i="67"/>
  <c r="M1" i="67"/>
  <c r="BM58" i="66"/>
  <c r="AV2" i="67"/>
  <c r="AN2" i="67"/>
  <c r="AV3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N2" i="66"/>
  <c r="AV3" i="65"/>
  <c r="AV3" i="66"/>
  <c r="AV2" i="65"/>
  <c r="AN2" i="65"/>
  <c r="AV2" i="66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N2" i="63"/>
  <c r="AV3" i="59"/>
  <c r="AV2" i="64"/>
  <c r="AN2" i="61"/>
  <c r="AN2" i="64"/>
  <c r="AV3" i="64"/>
  <c r="AV2" i="63"/>
  <c r="AN2" i="59"/>
  <c r="AV3" i="61"/>
  <c r="AV3" i="63"/>
  <c r="AV2" i="61"/>
  <c r="AV2" i="59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2" i="16"/>
  <c r="AV3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67858B71-2687-4CE5-8C4C-92FA0CD9720D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17CA0F34-1279-4A93-9F48-C9F28889DCF1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<sst xmlns="http://schemas.openxmlformats.org/spreadsheetml/2006/main" count="2307" uniqueCount="716">
  <si>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</si>
  <si>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</si>
  <si>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</si>
  <si>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</si>
  <si>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</si>
  <si>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</si>
  <si>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</si>
  <si>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</si>
  <si>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</si>
  <si>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</si>
  <si>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</si>
  <si>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</si>
  <si>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</si>
  <si>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</si>
  <si>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</si>
  <si>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</si>
  <si>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</si>
  <si>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</si>
  <si>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</si>
  <si>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</si>
  <si>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</si>
  <si>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</si>
  <si>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</si>
  <si>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</si>
  <si>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</si>
  <si>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</si>
  <si>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</si>
  <si>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</si>
  <si>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</si>
  <si>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　</t>
    <phoneticPr fontId="51"/>
  </si>
  <si>
    <t/>
  </si>
  <si>
    <t>IMWF-53</t>
    <phoneticPr fontId="51"/>
  </si>
  <si>
    <t>No</t>
    <phoneticPr fontId="57"/>
  </si>
  <si>
    <t>▼</t>
    <phoneticPr fontId="57"/>
  </si>
  <si>
    <t>品名</t>
    <rPh sb="0" eb="1">
      <t>ヒンメイ</t>
    </rPh>
    <phoneticPr fontId="57"/>
  </si>
  <si>
    <t>○</t>
    <phoneticPr fontId="57"/>
  </si>
  <si>
    <t>◎</t>
    <phoneticPr fontId="57"/>
  </si>
  <si>
    <t>▲</t>
    <phoneticPr fontId="57"/>
  </si>
  <si>
    <t>ファイル名</t>
    <rPh sb="4" eb="5">
      <t>メイ</t>
    </rPh>
    <phoneticPr fontId="57"/>
  </si>
  <si>
    <t>得意先コード</t>
    <rPh sb="0" eb="3">
      <t>トクイサキ</t>
    </rPh>
    <phoneticPr fontId="57"/>
  </si>
  <si>
    <t>サイズ</t>
    <phoneticPr fontId="57"/>
  </si>
  <si>
    <t>102 KB</t>
    <phoneticPr fontId="57"/>
  </si>
  <si>
    <t>得意先</t>
    <rPh sb="0" eb="3">
      <t>トクイサキ</t>
    </rPh>
    <phoneticPr fontId="61"/>
  </si>
  <si>
    <t>　</t>
    <phoneticPr fontId="57"/>
  </si>
  <si>
    <t>クリア</t>
    <phoneticPr fontId="57"/>
  </si>
  <si>
    <t>ファイル001.xlsx</t>
    <phoneticPr fontId="57"/>
  </si>
  <si>
    <t>CD-1234567</t>
    <phoneticPr fontId="57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</si>
  <si>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7"/>
  </si>
  <si>
    <t>過去の申請から内容コピー</t>
    <rPh sb="0" eb="2">
      <t>カコ</t>
    </rPh>
    <rPh sb="3" eb="5">
      <t>シンセイ</t>
    </rPh>
    <rPh sb="7" eb="9">
      <t>ナイヨウ</t>
    </rPh>
    <phoneticPr fontId="57"/>
  </si>
  <si>
    <t>起票日</t>
    <rPh sb="0" eb="3">
      <t>キヒョウビ</t>
    </rPh>
    <phoneticPr fontId="57"/>
  </si>
  <si>
    <t>所属</t>
    <rPh sb="0" eb="2">
      <t>ショゾク</t>
    </rPh>
    <phoneticPr fontId="57"/>
  </si>
  <si>
    <t>社員番号</t>
    <rPh sb="0" eb="2">
      <t>シャイン</t>
    </rPh>
    <rPh sb="2" eb="4">
      <t>バンゴウ</t>
    </rPh>
    <phoneticPr fontId="57"/>
  </si>
  <si>
    <t>2022/09/29</t>
    <phoneticPr fontId="57"/>
  </si>
  <si>
    <t>：</t>
    <phoneticPr fontId="57"/>
  </si>
  <si>
    <t>ヒロセ電機株式会社/管理本部/ＩＴ統括部/情報システム企画課</t>
    <phoneticPr fontId="57"/>
  </si>
  <si>
    <t>hirose</t>
    <phoneticPr fontId="57"/>
  </si>
  <si>
    <t>氏名　：</t>
    <rPh sb="0" eb="2">
      <t>シメイ</t>
    </rPh>
    <phoneticPr fontId="57"/>
  </si>
  <si>
    <t>システム担当者</t>
    <rPh sb="4" eb="7">
      <t>タントウシャ</t>
    </rPh>
    <phoneticPr fontId="57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</si>
  <si>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</si>
  <si>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7"/>
  </si>
  <si>
    <t>客先担当者名</t>
    <rPh sb="0" eb="2">
      <t>キャクサキ</t>
    </rPh>
    <rPh sb="2" eb="6">
      <t>タントウシャメイ</t>
    </rPh>
    <phoneticPr fontId="57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</si>
  <si>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7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</si>
  <si>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7"/>
  </si>
  <si>
    <t>申請価格入力</t>
    <rPh sb="0" eb="2">
      <t>シンセイ</t>
    </rPh>
    <rPh sb="2" eb="4">
      <t>カカク</t>
    </rPh>
    <rPh sb="4" eb="6">
      <t>ニュウリョク</t>
    </rPh>
    <phoneticPr fontId="57"/>
  </si>
  <si>
    <t>CL</t>
    <phoneticPr fontId="61"/>
  </si>
  <si>
    <t>得意先要求価格</t>
    <rPh sb="0" eb="3">
      <t>トクイサキ</t>
    </rPh>
    <rPh sb="3" eb="5">
      <t>ヨウキュウ</t>
    </rPh>
    <rPh sb="5" eb="7">
      <t>カカク</t>
    </rPh>
    <phoneticPr fontId="61"/>
  </si>
  <si>
    <t>申請価格</t>
    <rPh sb="0" eb="2">
      <t>シンセイ</t>
    </rPh>
    <rPh sb="2" eb="4">
      <t>カカク</t>
    </rPh>
    <phoneticPr fontId="61"/>
  </si>
  <si>
    <t>原計タイプ</t>
    <rPh sb="0" eb="2">
      <t>ゲンケイ</t>
    </rPh>
    <phoneticPr fontId="61"/>
  </si>
  <si>
    <t>従来価格</t>
    <rPh sb="0" eb="2">
      <t>ジュウライ</t>
    </rPh>
    <rPh sb="2" eb="4">
      <t>カカク</t>
    </rPh>
    <phoneticPr fontId="61"/>
  </si>
  <si>
    <t>備考</t>
    <rPh sb="0" eb="2">
      <t>ビコウ</t>
    </rPh>
    <phoneticPr fontId="61"/>
  </si>
  <si>
    <t>2022/9/29</t>
    <phoneticPr fontId="57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</si>
  <si>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</si>
  <si>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通貨：JPY</t>
    <rPh sb="0" eb="2">
      <t>ツウカ</t>
    </rPh>
    <phoneticPr fontId="57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</si>
  <si>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7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</si>
  <si>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1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</si>
  <si>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1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</si>
  <si>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1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</si>
  <si>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7"/>
  </si>
  <si>
    <t>承認者確認用</t>
    <rPh sb="0" eb="3">
      <t>ショウニンシャ</t>
    </rPh>
    <rPh sb="3" eb="6">
      <t>カクニンヨウ</t>
    </rPh>
    <phoneticPr fontId="57"/>
  </si>
  <si>
    <t>数量pcs/月</t>
    <rPh sb="0" eb="2">
      <t>スウリョウ</t>
    </rPh>
    <rPh sb="6" eb="7">
      <t>ツキ</t>
    </rPh>
    <phoneticPr fontId="61"/>
  </si>
  <si>
    <t>コスト</t>
    <phoneticPr fontId="61"/>
  </si>
  <si>
    <t>貢献率</t>
    <rPh sb="0" eb="2">
      <t>コウケン</t>
    </rPh>
    <rPh sb="2" eb="3">
      <t>リツ</t>
    </rPh>
    <phoneticPr fontId="57"/>
  </si>
  <si>
    <t>値引き率</t>
    <rPh sb="0" eb="2">
      <t>ネビ</t>
    </rPh>
    <rPh sb="3" eb="4">
      <t>リツ</t>
    </rPh>
    <phoneticPr fontId="61"/>
  </si>
  <si>
    <t>代理店売価</t>
    <rPh sb="0" eb="3">
      <t>ダイリテン</t>
    </rPh>
    <rPh sb="3" eb="5">
      <t>バイカ</t>
    </rPh>
    <phoneticPr fontId="61"/>
  </si>
  <si>
    <t>代理店粗利率</t>
    <rPh sb="0" eb="3">
      <t>ダイリテン</t>
    </rPh>
    <rPh sb="3" eb="6">
      <t>アラリリツ</t>
    </rPh>
    <phoneticPr fontId="61"/>
  </si>
  <si>
    <t>ピン@</t>
    <phoneticPr fontId="61"/>
  </si>
  <si>
    <t>競合名</t>
    <rPh sb="0" eb="3">
      <t>キョウゴウメイ</t>
    </rPh>
    <phoneticPr fontId="61"/>
  </si>
  <si>
    <t>得意先要求</t>
    <rPh sb="0" eb="3">
      <t>トクイサキ</t>
    </rPh>
    <rPh sb="3" eb="5">
      <t>ヨウキュウ</t>
    </rPh>
    <phoneticPr fontId="61"/>
  </si>
  <si>
    <t>価格</t>
    <rPh sb="0" eb="1">
      <t>カカク</t>
    </rPh>
    <phoneticPr fontId="57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</si>
  <si>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1"/>
  </si>
  <si>
    <t>1130511471</t>
    <phoneticPr fontId="57"/>
  </si>
  <si>
    <t>RP17-13RA-12SD(71)</t>
    <phoneticPr fontId="57"/>
  </si>
  <si>
    <t>R</t>
    <phoneticPr fontId="57"/>
  </si>
  <si>
    <t>PPM原計</t>
    <rPh sb="2" eb="4">
      <t>ゲンケイ</t>
    </rPh>
    <phoneticPr fontId="57"/>
  </si>
  <si>
    <t>1135042200</t>
    <phoneticPr fontId="57"/>
  </si>
  <si>
    <t>RP34-8R-3PDL</t>
    <phoneticPr fontId="57"/>
  </si>
  <si>
    <t>SMK</t>
    <phoneticPr fontId="57"/>
  </si>
  <si>
    <t>中国</t>
    <rPh sb="0" eb="1">
      <t>チュウゴク</t>
    </rPh>
    <phoneticPr fontId="57"/>
  </si>
  <si>
    <t>売上</t>
    <rPh sb="0" eb="2">
      <t>ウリアゲ</t>
    </rPh>
    <phoneticPr fontId="61"/>
  </si>
  <si>
    <t>貢献額</t>
    <rPh sb="0" eb="2">
      <t>コウケン</t>
    </rPh>
    <rPh sb="2" eb="3">
      <t>ガク</t>
    </rPh>
    <phoneticPr fontId="61"/>
  </si>
  <si>
    <t>値引き額</t>
    <rPh sb="0" eb="2">
      <t>ネビ</t>
    </rPh>
    <rPh sb="3" eb="4">
      <t>ガク</t>
    </rPh>
    <phoneticPr fontId="61"/>
  </si>
  <si>
    <t>値引き前売上</t>
    <rPh sb="0" eb="2">
      <t>ネビ</t>
    </rPh>
    <rPh sb="3" eb="4">
      <t>マエ</t>
    </rPh>
    <rPh sb="4" eb="6">
      <t>ウリアゲ</t>
    </rPh>
    <phoneticPr fontId="61"/>
  </si>
  <si>
    <t>売上</t>
    <rPh sb="0" eb="2">
      <t>ウリアゲ</t>
    </rPh>
    <phoneticPr fontId="57"/>
  </si>
  <si>
    <t>申請内容</t>
    <rPh sb="0" eb="2">
      <t>シンセイ</t>
    </rPh>
    <rPh sb="2" eb="4">
      <t>ナイヨウ</t>
    </rPh>
    <phoneticPr fontId="57"/>
  </si>
  <si>
    <t>起票区分</t>
    <rPh sb="0" eb="2">
      <t>キヒョウ</t>
    </rPh>
    <rPh sb="2" eb="4">
      <t>クブン</t>
    </rPh>
    <phoneticPr fontId="57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</si>
  <si>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1"/>
  </si>
  <si>
    <t>口銭率</t>
    <rPh sb="0" eb="2">
      <t>コウセン</t>
    </rPh>
    <rPh sb="2" eb="3">
      <t>リツ</t>
    </rPh>
    <phoneticPr fontId="57"/>
  </si>
  <si>
    <t>☑ 口銭申請有り</t>
    <rPh sb="2" eb="4">
      <t>コウセン</t>
    </rPh>
    <rPh sb="4" eb="6">
      <t>シンセイ</t>
    </rPh>
    <rPh sb="6" eb="7">
      <t>アリ</t>
    </rPh>
    <phoneticPr fontId="57"/>
  </si>
  <si>
    <t>プロジェクト情報</t>
    <rPh sb="6" eb="8">
      <t>ジョウホウ</t>
    </rPh>
    <phoneticPr fontId="57"/>
  </si>
  <si>
    <t>工事金額</t>
    <rPh sb="0" eb="4">
      <t>コウジキンガク</t>
    </rPh>
    <phoneticPr fontId="57"/>
  </si>
  <si>
    <t>万円/月</t>
    <rPh sb="0" eb="2">
      <t>マンエン</t>
    </rPh>
    <rPh sb="3" eb="4">
      <t>ツキ</t>
    </rPh>
    <phoneticPr fontId="57"/>
  </si>
  <si>
    <t>MFC PJ番号</t>
    <rPh sb="6" eb="8">
      <t>バンゴウ</t>
    </rPh>
    <phoneticPr fontId="57"/>
  </si>
  <si>
    <t>ヵ月</t>
    <rPh sb="1" eb="2">
      <t>ゲツ</t>
    </rPh>
    <phoneticPr fontId="57"/>
  </si>
  <si>
    <t>総工事金額</t>
    <rPh sb="0" eb="5">
      <t>ソウコウジキンガク</t>
    </rPh>
    <phoneticPr fontId="57"/>
  </si>
  <si>
    <t>万円</t>
    <rPh sb="0" eb="2">
      <t>マンエン</t>
    </rPh>
    <phoneticPr fontId="57"/>
  </si>
  <si>
    <t>MFC OPPORTUNITY番号</t>
    <rPh sb="15" eb="17">
      <t>バンゴウ</t>
    </rPh>
    <phoneticPr fontId="57"/>
  </si>
  <si>
    <t>機種A</t>
    <rPh sb="0" eb="2">
      <t>キシュ</t>
    </rPh>
    <phoneticPr fontId="57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</si>
  <si>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7"/>
  </si>
  <si>
    <t>競合名</t>
    <rPh sb="0" eb="3">
      <t>キョウゴウメイ</t>
    </rPh>
    <phoneticPr fontId="57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</si>
  <si>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7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</si>
  <si>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7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</si>
  <si>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7"/>
  </si>
  <si>
    <t>大分類A</t>
    <rPh sb="0" eb="3">
      <t>ダイブンルイ</t>
    </rPh>
    <phoneticPr fontId="57"/>
  </si>
  <si>
    <t>中分類B</t>
    <rPh sb="0" eb="3">
      <t>チュウブンルイ</t>
    </rPh>
    <phoneticPr fontId="57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</si>
  <si>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7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</si>
  <si>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7"/>
  </si>
  <si>
    <t>値引補填工事</t>
    <rPh sb="0" eb="2">
      <t>ネビ</t>
    </rPh>
    <rPh sb="2" eb="4">
      <t>ホテン</t>
    </rPh>
    <rPh sb="4" eb="6">
      <t>コウジ</t>
    </rPh>
    <phoneticPr fontId="57"/>
  </si>
  <si>
    <t>備考欄</t>
    <rPh sb="0" eb="3">
      <t>ビコウラン</t>
    </rPh>
    <phoneticPr fontId="57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</si>
  <si>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</si>
  <si>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/月</t>
    <rPh sb="1" eb="2">
      <t>ゲツ</t>
    </rPh>
    <phoneticPr fontId="57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</si>
  <si>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7"/>
  </si>
  <si>
    <t>添付書類</t>
    <rPh sb="0" eb="2">
      <t>テンプ</t>
    </rPh>
    <rPh sb="2" eb="4">
      <t>ショルイ</t>
    </rPh>
    <phoneticPr fontId="57"/>
  </si>
  <si>
    <t>一般品</t>
    <rPh sb="0" eb="3">
      <t>イッパンヒン</t>
    </rPh>
    <phoneticPr fontId="57"/>
  </si>
  <si>
    <t>円販売</t>
    <rPh sb="0" eb="3">
      <t>エンハンバイ</t>
    </rPh>
    <phoneticPr fontId="57"/>
  </si>
  <si>
    <t>外貨販売</t>
    <rPh sb="0" eb="2">
      <t>ガイカ</t>
    </rPh>
    <rPh sb="2" eb="4">
      <t>ハンバイ</t>
    </rPh>
    <phoneticPr fontId="57"/>
  </si>
  <si>
    <t>1250103874</t>
    <phoneticPr fontId="57"/>
  </si>
  <si>
    <t>1250109471</t>
    <phoneticPr fontId="57"/>
  </si>
  <si>
    <t>HR25-9TP-16P(74)</t>
    <phoneticPr fontId="57"/>
  </si>
  <si>
    <t>HR25-9TR-16S(71)</t>
    <phoneticPr fontId="57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</si>
  <si>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</si>
  <si>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サンウー</t>
    <phoneticPr fontId="57"/>
  </si>
  <si>
    <t>総原価利益率</t>
    <rPh sb="0" eb="3">
      <t>ソウゲンカ</t>
    </rPh>
    <rPh sb="3" eb="6">
      <t>リエキリツ</t>
    </rPh>
    <phoneticPr fontId="57"/>
  </si>
  <si>
    <t>総原価利益額</t>
    <rPh sb="0" eb="3">
      <t>ソウゲンカ</t>
    </rPh>
    <rPh sb="3" eb="5">
      <t>リエキ</t>
    </rPh>
    <rPh sb="5" eb="6">
      <t>ガク</t>
    </rPh>
    <phoneticPr fontId="61"/>
  </si>
  <si>
    <t>総原価利益率</t>
    <rPh sb="0" eb="3">
      <t>ソウゲンカ</t>
    </rPh>
    <rPh sb="3" eb="5">
      <t>リエキ</t>
    </rPh>
    <rPh sb="5" eb="6">
      <t>リツ</t>
    </rPh>
    <phoneticPr fontId="57"/>
  </si>
  <si>
    <t>技術原計</t>
    <rPh sb="0" eb="2">
      <t>ギジュツ</t>
    </rPh>
    <rPh sb="2" eb="4">
      <t>ゲンケイ</t>
    </rPh>
    <phoneticPr fontId="57"/>
  </si>
  <si>
    <t>総原価合計</t>
    <rPh sb="0" eb="3">
      <t>ソウゲンカ</t>
    </rPh>
    <rPh sb="3" eb="5">
      <t>ゴウケイ</t>
    </rPh>
    <phoneticPr fontId="61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</si>
  <si>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</si>
  <si>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コリア術原計</t>
    <rPh sb="2" eb="3">
      <t>ジュツ</t>
    </rPh>
    <rPh sb="3" eb="5">
      <t>ゲンケイ</t>
    </rPh>
    <phoneticPr fontId="57"/>
  </si>
  <si>
    <t>USD</t>
    <phoneticPr fontId="57"/>
  </si>
  <si>
    <t>コリア原計</t>
    <rPh sb="2" eb="4">
      <t>ゲンケイ</t>
    </rPh>
    <phoneticPr fontId="57"/>
  </si>
  <si>
    <t>純原価</t>
    <rPh sb="0" eb="1">
      <t>ジュン</t>
    </rPh>
    <rPh sb="1" eb="3">
      <t>ゲンカ</t>
    </rPh>
    <phoneticPr fontId="61"/>
  </si>
  <si>
    <t>申請通貨</t>
    <rPh sb="0" eb="2">
      <t>シンセイ</t>
    </rPh>
    <rPh sb="2" eb="4">
      <t>ツウカ</t>
    </rPh>
    <phoneticPr fontId="61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</si>
  <si>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1"/>
  </si>
  <si>
    <t>物流コスト率%</t>
    <rPh sb="0" eb="2">
      <t>ブツリュウ</t>
    </rPh>
    <rPh sb="5" eb="6">
      <t>リツ</t>
    </rPh>
    <phoneticPr fontId="61"/>
  </si>
  <si>
    <t>販社売価</t>
    <rPh sb="0" eb="2">
      <t>ハンシャ</t>
    </rPh>
    <rPh sb="2" eb="4">
      <t>バイカ</t>
    </rPh>
    <phoneticPr fontId="57"/>
  </si>
  <si>
    <t>(外貨)</t>
    <rPh sb="0" eb="2">
      <t>ガイカ</t>
    </rPh>
    <phoneticPr fontId="57"/>
  </si>
  <si>
    <t>ピン@FOB</t>
    <phoneticPr fontId="61"/>
  </si>
  <si>
    <t>価格基準</t>
    <rPh sb="0" eb="1">
      <t>カカク</t>
    </rPh>
    <rPh sb="2" eb="4">
      <t>キジュン</t>
    </rPh>
    <phoneticPr fontId="57"/>
  </si>
  <si>
    <t>4800215830</t>
    <phoneticPr fontId="57"/>
  </si>
  <si>
    <t>TF38-20S-0.5SV(830)</t>
    <phoneticPr fontId="57"/>
  </si>
  <si>
    <t>KFH</t>
    <phoneticPr fontId="57"/>
  </si>
  <si>
    <t>総連結利益率</t>
    <rPh sb="0" eb="3">
      <t>ソウレンケツ</t>
    </rPh>
    <rPh sb="3" eb="6">
      <t>リエキリツ</t>
    </rPh>
    <phoneticPr fontId="57"/>
  </si>
  <si>
    <t>FOB価格</t>
    <rPh sb="3" eb="5">
      <t>カカク</t>
    </rPh>
    <phoneticPr fontId="61"/>
  </si>
  <si>
    <t>連結粗利額</t>
    <rPh sb="0" eb="1">
      <t>レンケツ</t>
    </rPh>
    <rPh sb="1" eb="3">
      <t>アラリ</t>
    </rPh>
    <rPh sb="3" eb="4">
      <t>ガク</t>
    </rPh>
    <phoneticPr fontId="57"/>
  </si>
  <si>
    <t>連結粗利率</t>
    <rPh sb="0" eb="1">
      <t>レンケツ</t>
    </rPh>
    <rPh sb="1" eb="3">
      <t>アラリ</t>
    </rPh>
    <rPh sb="3" eb="4">
      <t>リツ</t>
    </rPh>
    <phoneticPr fontId="57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</si>
  <si>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7"/>
  </si>
  <si>
    <t>販売単価上申書</t>
    <rPh sb="0" eb="2">
      <t>ハンバイ</t>
    </rPh>
    <rPh sb="2" eb="4">
      <t>タンカ</t>
    </rPh>
    <rPh sb="4" eb="7">
      <t>ジョウシンショ</t>
    </rPh>
    <phoneticPr fontId="57"/>
  </si>
  <si>
    <t>Step ２： 一般品またはカスタムのいずれかを選択してください</t>
    <rPh sb="8" eb="11">
      <t>イッパンヒン</t>
    </rPh>
    <rPh sb="24" eb="26">
      <t>センタク</t>
    </rPh>
    <phoneticPr fontId="57"/>
  </si>
  <si>
    <t>カスタム</t>
    <phoneticPr fontId="57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</si>
  <si>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7"/>
  </si>
  <si>
    <t>◎ 単価上申書</t>
    <rPh sb="2" eb="4">
      <t>タンカ</t>
    </rPh>
    <rPh sb="4" eb="6">
      <t>ジョウシン</t>
    </rPh>
    <rPh sb="6" eb="7">
      <t>ショ</t>
    </rPh>
    <phoneticPr fontId="57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</si>
  <si>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7"/>
  </si>
  <si>
    <t>カスタム品申請情報</t>
    <rPh sb="4" eb="5">
      <t>ヒン</t>
    </rPh>
    <rPh sb="5" eb="7">
      <t>シンセイ</t>
    </rPh>
    <rPh sb="7" eb="9">
      <t>ジョウホウ</t>
    </rPh>
    <phoneticPr fontId="57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</si>
  <si>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7"/>
  </si>
  <si>
    <t>金型</t>
    <rPh sb="0" eb="2">
      <t>カナガタ</t>
    </rPh>
    <phoneticPr fontId="57"/>
  </si>
  <si>
    <t>有償or無償</t>
    <rPh sb="0" eb="2">
      <t>ユウショウ</t>
    </rPh>
    <rPh sb="4" eb="6">
      <t>ムショウ</t>
    </rPh>
    <phoneticPr fontId="61"/>
  </si>
  <si>
    <t>個品名称</t>
    <rPh sb="0" eb="1">
      <t>コヒン</t>
    </rPh>
    <rPh sb="1" eb="3">
      <t>メイショウ</t>
    </rPh>
    <phoneticPr fontId="57"/>
  </si>
  <si>
    <t>個品実費価格</t>
    <rPh sb="0" eb="2">
      <t>コヒン</t>
    </rPh>
    <rPh sb="2" eb="4">
      <t>ジッピ</t>
    </rPh>
    <rPh sb="4" eb="6">
      <t>カカク</t>
    </rPh>
    <phoneticPr fontId="61"/>
  </si>
  <si>
    <t>個品販売価格</t>
    <rPh sb="0" eb="2">
      <t>コヒン</t>
    </rPh>
    <rPh sb="2" eb="4">
      <t>ハンバイ</t>
    </rPh>
    <rPh sb="4" eb="6">
      <t>カカク</t>
    </rPh>
    <phoneticPr fontId="61"/>
  </si>
  <si>
    <t>倍率</t>
    <rPh sb="0" eb="2">
      <t>バイリツ</t>
    </rPh>
    <phoneticPr fontId="61"/>
  </si>
  <si>
    <t>有償</t>
    <rPh sb="0" eb="1">
      <t>ユウショウ</t>
    </rPh>
    <phoneticPr fontId="57"/>
  </si>
  <si>
    <t>治工具</t>
    <rPh sb="0" eb="3">
      <t>チコウグ</t>
    </rPh>
    <phoneticPr fontId="57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</si>
  <si>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1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</si>
  <si>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7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</si>
  <si>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1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</si>
  <si>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1"/>
  </si>
  <si>
    <t>治工具名称</t>
    <phoneticPr fontId="57"/>
  </si>
  <si>
    <t>治工具実費価格</t>
    <rPh sb="3" eb="5">
      <t>ジッピ</t>
    </rPh>
    <rPh sb="5" eb="7">
      <t>カカク</t>
    </rPh>
    <phoneticPr fontId="61"/>
  </si>
  <si>
    <t>治工具販売価格</t>
    <rPh sb="3" eb="5">
      <t>ハンバイ</t>
    </rPh>
    <rPh sb="5" eb="7">
      <t>カカク</t>
    </rPh>
    <phoneticPr fontId="61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</si>
  <si>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</si>
  <si>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1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</si>
  <si>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1"/>
  </si>
  <si>
    <t>個品A</t>
    <rPh sb="0" eb="1">
      <t>コヒン</t>
    </rPh>
    <phoneticPr fontId="57"/>
  </si>
  <si>
    <t>償却数量</t>
    <rPh sb="0" eb="2">
      <t>ショウキャク</t>
    </rPh>
    <rPh sb="2" eb="4">
      <t>スウリョウ</t>
    </rPh>
    <phoneticPr fontId="57"/>
  </si>
  <si>
    <t>一個当たりの償却金額</t>
    <rPh sb="0" eb="3">
      <t>イッコア</t>
    </rPh>
    <rPh sb="6" eb="8">
      <t>ショウキャク</t>
    </rPh>
    <rPh sb="8" eb="10">
      <t>キンガク</t>
    </rPh>
    <phoneticPr fontId="57"/>
  </si>
  <si>
    <t>未償却リスク</t>
    <rPh sb="0" eb="1">
      <t>ミ</t>
    </rPh>
    <rPh sb="1" eb="3">
      <t>ショウキャク</t>
    </rPh>
    <phoneticPr fontId="57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</si>
  <si>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7"/>
  </si>
  <si>
    <t>物流コスト率</t>
    <rPh sb="0" eb="2">
      <t>ブツリュウ</t>
    </rPh>
    <rPh sb="5" eb="6">
      <t>リツ</t>
    </rPh>
    <phoneticPr fontId="61"/>
  </si>
  <si>
    <t>(%)</t>
    <phoneticPr fontId="57"/>
  </si>
  <si>
    <t>販社売価</t>
    <rPh sb="0" eb="2">
      <t>ハンシャ</t>
    </rPh>
    <rPh sb="2" eb="4">
      <t>バイカ</t>
    </rPh>
    <phoneticPr fontId="61"/>
  </si>
  <si>
    <t>要求価格</t>
    <rPh sb="0" eb="1">
      <t>ヨウキュウ</t>
    </rPh>
    <rPh sb="1" eb="3">
      <t>カカク</t>
    </rPh>
    <phoneticPr fontId="57"/>
  </si>
  <si>
    <t>価格基準</t>
    <rPh sb="0" eb="1">
      <t>カカク</t>
    </rPh>
    <rPh sb="1" eb="3">
      <t>キジュン</t>
    </rPh>
    <phoneticPr fontId="57"/>
  </si>
  <si>
    <t>5802922450</t>
    <phoneticPr fontId="57"/>
  </si>
  <si>
    <t>5801232050</t>
    <phoneticPr fontId="57"/>
  </si>
  <si>
    <t>FH35C-21S-0.3SHW(50)</t>
    <phoneticPr fontId="57"/>
  </si>
  <si>
    <t>FH34SRJ-30S-0.5SH(50)</t>
    <phoneticPr fontId="57"/>
  </si>
  <si>
    <t>FH</t>
    <phoneticPr fontId="57"/>
  </si>
  <si>
    <t>JPY</t>
    <phoneticPr fontId="57"/>
  </si>
  <si>
    <t>JAE</t>
    <phoneticPr fontId="57"/>
  </si>
  <si>
    <t>TE</t>
    <phoneticPr fontId="57"/>
  </si>
  <si>
    <t>従来FOB価格</t>
    <rPh sb="0" eb="2">
      <t>ジュウライ</t>
    </rPh>
    <rPh sb="5" eb="7">
      <t>カカク</t>
    </rPh>
    <phoneticPr fontId="61"/>
  </si>
  <si>
    <t>CIF価格</t>
    <rPh sb="3" eb="5">
      <t>カカク</t>
    </rPh>
    <phoneticPr fontId="61"/>
  </si>
  <si>
    <t>国内収益性</t>
    <rPh sb="0" eb="2">
      <t>コクナイ</t>
    </rPh>
    <rPh sb="2" eb="5">
      <t>シュウエキセイ</t>
    </rPh>
    <phoneticPr fontId="57"/>
  </si>
  <si>
    <t>FOB値引き率</t>
    <rPh sb="3" eb="5">
      <t>ネビ</t>
    </rPh>
    <rPh sb="6" eb="7">
      <t>リツ</t>
    </rPh>
    <phoneticPr fontId="61"/>
  </si>
  <si>
    <t>販社粗利率</t>
    <rPh sb="0" eb="2">
      <t>ハンシャ</t>
    </rPh>
    <rPh sb="2" eb="5">
      <t>アラリリツ</t>
    </rPh>
    <phoneticPr fontId="61"/>
  </si>
  <si>
    <t>連結収益性</t>
    <rPh sb="0" eb="2">
      <t>レンケツ</t>
    </rPh>
    <rPh sb="2" eb="5">
      <t>シュウエキセイ</t>
    </rPh>
    <phoneticPr fontId="61"/>
  </si>
  <si>
    <t>売上(国内)</t>
    <rPh sb="0" eb="2">
      <t>ウリアゲ</t>
    </rPh>
    <rPh sb="3" eb="5">
      <t>コクナイ</t>
    </rPh>
    <phoneticPr fontId="57"/>
  </si>
  <si>
    <t>直接コスト合計</t>
    <rPh sb="0" eb="2">
      <t>チョクセツ</t>
    </rPh>
    <rPh sb="5" eb="7">
      <t>ゴウケイ</t>
    </rPh>
    <phoneticPr fontId="61"/>
  </si>
  <si>
    <t>貢献額</t>
    <rPh sb="0" eb="3">
      <t>コウケンガク</t>
    </rPh>
    <phoneticPr fontId="61"/>
  </si>
  <si>
    <t>国内収益性</t>
    <rPh sb="0" eb="2">
      <t>コクナイ</t>
    </rPh>
    <rPh sb="2" eb="5">
      <t>シュウエキセイ</t>
    </rPh>
    <phoneticPr fontId="61"/>
  </si>
  <si>
    <t>値引き率(FOB)</t>
    <rPh sb="0" eb="2">
      <t>ネビ</t>
    </rPh>
    <rPh sb="3" eb="4">
      <t>リツ</t>
    </rPh>
    <phoneticPr fontId="57"/>
  </si>
  <si>
    <t>値引き額(FOB)</t>
    <rPh sb="0" eb="2">
      <t>ネビ</t>
    </rPh>
    <rPh sb="3" eb="4">
      <t>ガク</t>
    </rPh>
    <phoneticPr fontId="57"/>
  </si>
  <si>
    <t>売上(連結)</t>
    <rPh sb="0" eb="1">
      <t>ウリアゲ</t>
    </rPh>
    <rPh sb="2" eb="4">
      <t>レンケツ</t>
    </rPh>
    <phoneticPr fontId="57"/>
  </si>
  <si>
    <t>連結収益性</t>
    <rPh sb="0" eb="1">
      <t>レンケツ</t>
    </rPh>
    <rPh sb="1" eb="4">
      <t>シュウエキセイ</t>
    </rPh>
    <phoneticPr fontId="57"/>
  </si>
  <si>
    <t>総原価</t>
    <rPh sb="0" eb="3">
      <t>ソウゲンカ</t>
    </rPh>
    <phoneticPr fontId="61"/>
  </si>
  <si>
    <t>8311308000</t>
    <phoneticPr fontId="57"/>
  </si>
  <si>
    <t>8311309000</t>
    <phoneticPr fontId="57"/>
  </si>
  <si>
    <t>BF4MC-(375161-01)</t>
    <phoneticPr fontId="57"/>
  </si>
  <si>
    <t>BF4MC-(375168-01)</t>
    <phoneticPr fontId="57"/>
  </si>
  <si>
    <t>OPT</t>
    <phoneticPr fontId="57"/>
  </si>
  <si>
    <t>総原価利益率</t>
    <rPh sb="0" eb="3">
      <t>ソウゲンカ</t>
    </rPh>
    <rPh sb="3" eb="6">
      <t>リエキリツ</t>
    </rPh>
    <phoneticPr fontId="61"/>
  </si>
  <si>
    <t>(国内)</t>
    <phoneticPr fontId="57"/>
  </si>
  <si>
    <t>(粗利)</t>
    <rPh sb="0" eb="2">
      <t>アラリ</t>
    </rPh>
    <phoneticPr fontId="57"/>
  </si>
  <si>
    <t>(国内)</t>
    <rPh sb="1" eb="3">
      <t>コクナイ</t>
    </rPh>
    <phoneticPr fontId="57"/>
  </si>
  <si>
    <t>純原価合計</t>
    <rPh sb="0" eb="1">
      <t>ジュン</t>
    </rPh>
    <rPh sb="1" eb="3">
      <t>ゲンカ</t>
    </rPh>
    <rPh sb="3" eb="5">
      <t>ゴウケイ</t>
    </rPh>
    <phoneticPr fontId="61"/>
  </si>
  <si>
    <t>連結粗利額</t>
    <rPh sb="0" eb="2">
      <t>レンケツ</t>
    </rPh>
    <rPh sb="2" eb="5">
      <t>アラリガク</t>
    </rPh>
    <phoneticPr fontId="61"/>
  </si>
  <si>
    <t>連結粗利率</t>
    <rPh sb="0" eb="2">
      <t>レンケツ</t>
    </rPh>
    <rPh sb="2" eb="5">
      <t>アラリリツ</t>
    </rPh>
    <phoneticPr fontId="61"/>
  </si>
  <si>
    <t>値引き率</t>
    <rPh sb="0" eb="2">
      <t>ネビ</t>
    </rPh>
    <rPh sb="3" eb="4">
      <t>リツ</t>
    </rPh>
    <phoneticPr fontId="57"/>
  </si>
  <si>
    <t>値引き額</t>
    <rPh sb="0" eb="2">
      <t>ネビ</t>
    </rPh>
    <rPh sb="3" eb="4">
      <t>ガク</t>
    </rPh>
    <phoneticPr fontId="57"/>
  </si>
  <si>
    <t>売上(連結)</t>
    <rPh sb="0" eb="2">
      <t>ウリアゲ</t>
    </rPh>
    <rPh sb="3" eb="5">
      <t>レンケツ</t>
    </rPh>
    <phoneticPr fontId="57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</si>
  <si>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7"/>
  </si>
  <si>
    <t>10347008</t>
    <phoneticPr fontId="57"/>
  </si>
  <si>
    <t>関　博一</t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</si>
  <si>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</si>
  <si>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</si>
  <si>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10637000</t>
    <phoneticPr fontId="57"/>
  </si>
  <si>
    <t>古川　福待</t>
    <phoneticPr fontId="57"/>
  </si>
  <si>
    <t>承認者設定</t>
    <rPh sb="0" eb="3">
      <t>ショウニンシャ</t>
    </rPh>
    <rPh sb="3" eb="5">
      <t>セッテイ</t>
    </rPh>
    <phoneticPr fontId="57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</si>
  <si>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7"/>
  </si>
  <si>
    <t>確認者設定</t>
    <rPh sb="0" eb="3">
      <t>カクニンシャ</t>
    </rPh>
    <rPh sb="3" eb="5">
      <t>セッテイ</t>
    </rPh>
    <phoneticPr fontId="57"/>
  </si>
  <si>
    <t>確認者一覧</t>
    <rPh sb="0" eb="3">
      <t>カクニンシャ</t>
    </rPh>
    <rPh sb="3" eb="5">
      <t>イチラン</t>
    </rPh>
    <phoneticPr fontId="57"/>
  </si>
  <si>
    <t>部門</t>
    <rPh sb="0" eb="2">
      <t>ブモン</t>
    </rPh>
    <phoneticPr fontId="57"/>
  </si>
  <si>
    <t>確認者名</t>
    <rPh sb="0" eb="4">
      <t>カクニンシャメイ</t>
    </rPh>
    <phoneticPr fontId="57"/>
  </si>
  <si>
    <t>ヒロセ電機株式会社/管理本部/ＩＴ統括部</t>
    <phoneticPr fontId="57"/>
  </si>
  <si>
    <t>部長</t>
    <rPh sb="0" eb="2">
      <t>ブチョウ</t>
    </rPh>
    <phoneticPr fontId="57"/>
  </si>
  <si>
    <t>志村 亜里沙</t>
    <rPh sb="0" eb="1">
      <t>シムラ</t>
    </rPh>
    <rPh sb="2" eb="5">
      <t>アリサ</t>
    </rPh>
    <phoneticPr fontId="57"/>
  </si>
  <si>
    <t>出水 瞳</t>
    <rPh sb="0" eb="1">
      <t>デミズ</t>
    </rPh>
    <rPh sb="2" eb="3">
      <t>ヒトミ</t>
    </rPh>
    <phoneticPr fontId="57"/>
  </si>
  <si>
    <t>松澤 朱海</t>
    <rPh sb="0" eb="1">
      <t>マツザワ</t>
    </rPh>
    <rPh sb="2" eb="3">
      <t>シュ</t>
    </rPh>
    <rPh sb="3" eb="4">
      <t>ウミ</t>
    </rPh>
    <phoneticPr fontId="57"/>
  </si>
  <si>
    <t>ｒ1.0</t>
    <phoneticPr fontId="51"/>
  </si>
  <si>
    <t>コスト合計</t>
    <rPh sb="3" eb="5">
      <t>ゴウケイ</t>
    </rPh>
    <phoneticPr fontId="61"/>
  </si>
  <si>
    <t>形</t>
    <rPh sb="0" eb="1">
      <t>カタ</t>
    </rPh>
    <phoneticPr fontId="61"/>
  </si>
  <si>
    <t>無償</t>
    <rPh sb="0" eb="1">
      <t>ムショウ</t>
    </rPh>
    <phoneticPr fontId="57"/>
  </si>
  <si>
    <t>通貨</t>
    <rPh sb="0" eb="2">
      <t>ツウカ</t>
    </rPh>
    <phoneticPr fontId="61"/>
  </si>
  <si>
    <t>EUR</t>
    <phoneticPr fontId="57"/>
  </si>
  <si>
    <t>精算通貨</t>
    <rPh sb="0" eb="2">
      <t>セイサン</t>
    </rPh>
    <rPh sb="2" eb="4">
      <t>ツウカ</t>
    </rPh>
    <phoneticPr fontId="57"/>
  </si>
  <si>
    <t>SFDC工事番号</t>
    <rPh sb="4" eb="6">
      <t>コウジ</t>
    </rPh>
    <rPh sb="6" eb="8">
      <t>バンゴウ</t>
    </rPh>
    <phoneticPr fontId="57"/>
  </si>
  <si>
    <t>円/月</t>
    <rPh sb="0" eb="1">
      <t>エン</t>
    </rPh>
    <rPh sb="2" eb="3">
      <t>ツキ</t>
    </rPh>
    <phoneticPr fontId="57"/>
  </si>
  <si>
    <t>海外販社</t>
    <rPh sb="0" eb="2">
      <t>カイガイ</t>
    </rPh>
    <rPh sb="2" eb="4">
      <t>ハンシャ</t>
    </rPh>
    <phoneticPr fontId="57"/>
  </si>
  <si>
    <t>レップ社名</t>
    <rPh sb="3" eb="4">
      <t>シャ</t>
    </rPh>
    <rPh sb="4" eb="5">
      <t>メイ</t>
    </rPh>
    <phoneticPr fontId="57"/>
  </si>
  <si>
    <t>量産時期</t>
    <rPh sb="0" eb="2">
      <t>リョウサン</t>
    </rPh>
    <rPh sb="2" eb="4">
      <t>ジキ</t>
    </rPh>
    <phoneticPr fontId="57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</si>
  <si>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7"/>
  </si>
  <si>
    <t>生産セット台数</t>
    <rPh sb="0" eb="2">
      <t>セイサン</t>
    </rPh>
    <rPh sb="5" eb="7">
      <t>ダイスウ</t>
    </rPh>
    <phoneticPr fontId="57"/>
  </si>
  <si>
    <t>プロジェクトピーク金額</t>
    <rPh sb="9" eb="11">
      <t>キンガク</t>
    </rPh>
    <phoneticPr fontId="57"/>
  </si>
  <si>
    <t>大分類</t>
    <rPh sb="0" eb="3">
      <t>ダイブンルイ</t>
    </rPh>
    <phoneticPr fontId="57"/>
  </si>
  <si>
    <t>中分類</t>
    <rPh sb="0" eb="3">
      <t>チュウブンルイ</t>
    </rPh>
    <phoneticPr fontId="57"/>
  </si>
  <si>
    <t>技術原計</t>
    <rPh sb="0" eb="1">
      <t>ギジュツ</t>
    </rPh>
    <rPh sb="1" eb="3">
      <t>ゲンケイ</t>
    </rPh>
    <phoneticPr fontId="57"/>
  </si>
  <si>
    <t>レート</t>
    <phoneticPr fontId="57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</si>
  <si>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7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</si>
  <si>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1"/>
  </si>
  <si>
    <t>総合計</t>
    <rPh sb="0" eb="3">
      <t>ソウゴウケイ</t>
    </rPh>
    <phoneticPr fontId="57"/>
  </si>
  <si>
    <t>形</t>
    <rPh sb="0" eb="1">
      <t>カタ</t>
    </rPh>
    <phoneticPr fontId="57"/>
  </si>
  <si>
    <t>形小計</t>
    <rPh sb="0" eb="1">
      <t>カタ</t>
    </rPh>
    <rPh sb="1" eb="3">
      <t>ショウケイ</t>
    </rPh>
    <phoneticPr fontId="57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</si>
  <si>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</si>
  <si>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有</t>
    <rPh sb="0" eb="1">
      <t>ア</t>
    </rPh>
    <phoneticPr fontId="57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</si>
  <si>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</si>
  <si>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7"/>
  </si>
  <si>
    <t>SA-PR123456</t>
    <phoneticPr fontId="57"/>
  </si>
  <si>
    <t>案件番号：</t>
    <phoneticPr fontId="57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</si>
  <si>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7"/>
  </si>
  <si>
    <t>コメント</t>
    <phoneticPr fontId="57"/>
  </si>
  <si>
    <t>コメント入力</t>
    <rPh sb="3" eb="5">
      <t>ニュウリョク</t>
    </rPh>
    <phoneticPr fontId="57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</si>
  <si>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7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</si>
  <si>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1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</si>
  <si>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1"/>
  </si>
  <si>
    <t>表示通貨</t>
    <rPh sb="0" eb="1">
      <t>ヒョウジ</t>
    </rPh>
    <rPh sb="1" eb="3">
      <t>ツウカ</t>
    </rPh>
    <phoneticPr fontId="57"/>
  </si>
  <si>
    <t>表示通貨</t>
    <rPh sb="0" eb="2">
      <t>ヒョウジ</t>
    </rPh>
    <rPh sb="2" eb="4">
      <t>ツウカ</t>
    </rPh>
    <phoneticPr fontId="57"/>
  </si>
  <si>
    <t>表示通貨</t>
    <rPh sb="0" eb="4">
      <t>ヒョウジツウカ</t>
    </rPh>
    <phoneticPr fontId="57"/>
  </si>
  <si>
    <t>r.1.1</t>
    <phoneticPr fontId="57"/>
  </si>
  <si>
    <t>古竹</t>
    <rPh sb="0" eb="2">
      <t>フルタケ</t>
    </rPh>
    <phoneticPr fontId="51"/>
  </si>
  <si>
    <t>-</t>
    <phoneticPr fontId="57"/>
  </si>
  <si>
    <t>機能仕様</t>
    <rPh sb="0" eb="4">
      <t>キノウシヨウ</t>
    </rPh>
    <phoneticPr fontId="57"/>
  </si>
  <si>
    <t>製品名</t>
    <rPh sb="0" eb="3">
      <t>セイヒンメイ</t>
    </rPh>
    <phoneticPr fontId="61"/>
  </si>
  <si>
    <t>新製品区分</t>
    <rPh sb="0" eb="3">
      <t>シンセイヒン</t>
    </rPh>
    <rPh sb="3" eb="5">
      <t>クブン</t>
    </rPh>
    <phoneticPr fontId="61"/>
  </si>
  <si>
    <t>製品販売状況</t>
    <rPh sb="0" eb="2">
      <t>セイヒン</t>
    </rPh>
    <rPh sb="2" eb="4">
      <t>ハンバイ</t>
    </rPh>
    <rPh sb="4" eb="6">
      <t>ジョウキョウ</t>
    </rPh>
    <phoneticPr fontId="61"/>
  </si>
  <si>
    <t>PCN番号</t>
    <rPh sb="3" eb="5">
      <t>バンゴウ</t>
    </rPh>
    <phoneticPr fontId="61"/>
  </si>
  <si>
    <t>-</t>
    <phoneticPr fontId="6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</si>
  <si>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</si>
  <si>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</si>
  <si>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</si>
  <si>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</si>
  <si>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</si>
  <si>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</si>
  <si>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</si>
  <si>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</si>
  <si>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</si>
  <si>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パンくずリストエリア</t>
  </si>
  <si>
    <t>1.1</t>
  </si>
  <si>
    <t>パンくずリスト</t>
  </si>
  <si>
    <t>-</t>
  </si>
  <si>
    <t>エンドユーザー</t>
    <phoneticPr fontId="61"/>
  </si>
  <si>
    <t>提出先企業名</t>
    <phoneticPr fontId="61"/>
  </si>
  <si>
    <t>2</t>
  </si>
  <si>
    <t>申請確認エリア</t>
    <rPh sb="0" eb="2">
      <t>シンセイ</t>
    </rPh>
    <rPh sb="2" eb="4">
      <t>カクニン</t>
    </rPh>
    <phoneticPr fontId="61"/>
  </si>
  <si>
    <t>2.1</t>
    <phoneticPr fontId="61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</si>
  <si>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1"/>
  </si>
  <si>
    <t>申請確認画面で表示された製品数
※重複、製品データ該当なしの件数も含む</t>
    <phoneticPr fontId="61"/>
  </si>
  <si>
    <t>2.2</t>
    <phoneticPr fontId="61"/>
  </si>
  <si>
    <t>申請に対するチェック結果の説明</t>
    <phoneticPr fontId="61"/>
  </si>
  <si>
    <t>2.3</t>
  </si>
  <si>
    <t>2.4</t>
  </si>
  <si>
    <t>申請画面からフォーム送信される「エンドユーザー」パラメータの値</t>
    <phoneticPr fontId="61"/>
  </si>
  <si>
    <t>2.5</t>
  </si>
  <si>
    <t>CSVダウンロードボタン</t>
    <phoneticPr fontId="61"/>
  </si>
  <si>
    <t>2.6</t>
    <phoneticPr fontId="61"/>
  </si>
  <si>
    <t>申請チェックボックス</t>
    <phoneticPr fontId="61"/>
  </si>
  <si>
    <t>申請可否の情報</t>
    <rPh sb="0" eb="2">
      <t>シンセイ</t>
    </rPh>
    <rPh sb="2" eb="4">
      <t>カヒ</t>
    </rPh>
    <rPh sb="5" eb="7">
      <t>ジョウホウ</t>
    </rPh>
    <phoneticPr fontId="61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</si>
  <si>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1"/>
  </si>
  <si>
    <t>2.7</t>
    <phoneticPr fontId="61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</si>
  <si>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1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</si>
  <si>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1"/>
  </si>
  <si>
    <t>2.8</t>
    <phoneticPr fontId="61"/>
  </si>
  <si>
    <t>CL（製品番号）</t>
    <phoneticPr fontId="61"/>
  </si>
  <si>
    <t>申請画面からフォーム送信される「製品名/CL-No」の配列パラメータの値、または、「環境証明書申請製品情報」の「CLコード」の値</t>
    <phoneticPr fontId="61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</si>
  <si>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1"/>
  </si>
  <si>
    <t>2.9</t>
    <phoneticPr fontId="61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</si>
  <si>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61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</si>
  <si>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61"/>
  </si>
  <si>
    <t>2.10</t>
    <phoneticPr fontId="61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</si>
  <si>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61"/>
  </si>
  <si>
    <t>2.11</t>
    <phoneticPr fontId="61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</si>
  <si>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61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</si>
  <si>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61"/>
  </si>
  <si>
    <t>2.12</t>
    <phoneticPr fontId="61"/>
  </si>
  <si>
    <t>申請された証明書種類</t>
    <phoneticPr fontId="61"/>
  </si>
  <si>
    <t>申請画面からフォーム送信される「化学物質データ選択」配列パラメータの値</t>
    <phoneticPr fontId="61"/>
  </si>
  <si>
    <t>2.13</t>
    <phoneticPr fontId="61"/>
  </si>
  <si>
    <t>製品毎の申請可否チェック結果</t>
    <phoneticPr fontId="61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</si>
  <si>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1"/>
  </si>
  <si>
    <t>2.14</t>
    <phoneticPr fontId="61"/>
  </si>
  <si>
    <t>戻る</t>
    <phoneticPr fontId="61"/>
  </si>
  <si>
    <t>申請</t>
    <phoneticPr fontId="61"/>
  </si>
  <si>
    <t>いいえボタン</t>
    <phoneticPr fontId="61"/>
  </si>
  <si>
    <t>2.17</t>
    <phoneticPr fontId="61"/>
  </si>
  <si>
    <t>はいボタン</t>
    <phoneticPr fontId="61"/>
  </si>
  <si>
    <t>2.18</t>
    <phoneticPr fontId="61"/>
  </si>
  <si>
    <t>申請製品数</t>
    <phoneticPr fontId="61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</si>
  <si>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1"/>
  </si>
  <si>
    <t>2.19</t>
    <phoneticPr fontId="61"/>
  </si>
  <si>
    <t>エラーメッセージ</t>
    <phoneticPr fontId="61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</si>
  <si>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1"/>
  </si>
  <si>
    <t>No</t>
    <phoneticPr fontId="61"/>
  </si>
  <si>
    <t>修飾子</t>
    <rPh sb="0" eb="3">
      <t>シュウショクシ</t>
    </rPh>
    <phoneticPr fontId="61"/>
  </si>
  <si>
    <t>clCode</t>
    <phoneticPr fontId="61"/>
  </si>
  <si>
    <t>partNo</t>
    <phoneticPr fontId="61"/>
  </si>
  <si>
    <t>CLコード</t>
    <phoneticPr fontId="61"/>
  </si>
  <si>
    <t>Non-compliant</t>
    <phoneticPr fontId="61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</si>
  <si>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7"/>
  </si>
  <si>
    <t xml:space="preserve"> A社</t>
    <rPh sb="2" eb="3">
      <t>シャ</t>
    </rPh>
    <phoneticPr fontId="57"/>
  </si>
  <si>
    <t>CL</t>
    <phoneticPr fontId="57"/>
  </si>
  <si>
    <t>SDS</t>
    <phoneticPr fontId="57"/>
  </si>
  <si>
    <t>☑</t>
    <phoneticPr fontId="57"/>
  </si>
  <si>
    <t>NameA</t>
    <phoneticPr fontId="57"/>
  </si>
  <si>
    <t>NameB</t>
    <phoneticPr fontId="57"/>
  </si>
  <si>
    <t>NameC</t>
    <phoneticPr fontId="57"/>
  </si>
  <si>
    <t>NameD</t>
    <phoneticPr fontId="57"/>
  </si>
  <si>
    <t>NameE</t>
    <phoneticPr fontId="57"/>
  </si>
  <si>
    <t>NameF</t>
    <phoneticPr fontId="57"/>
  </si>
  <si>
    <t>CL0123-
4567-8-90</t>
    <phoneticPr fontId="57"/>
  </si>
  <si>
    <t>CL0123-
4567-8-91</t>
    <phoneticPr fontId="57"/>
  </si>
  <si>
    <t>CL0123-
4567-8-92</t>
    <phoneticPr fontId="57"/>
  </si>
  <si>
    <t>CL0123-
4567-8-93</t>
    <phoneticPr fontId="57"/>
  </si>
  <si>
    <t>CL0123-
4567-8-94</t>
    <phoneticPr fontId="57"/>
  </si>
  <si>
    <t>CL0123-
4567-8-95</t>
    <phoneticPr fontId="57"/>
  </si>
  <si>
    <t>CL0123-
4567-8-96</t>
    <phoneticPr fontId="57"/>
  </si>
  <si>
    <t>2024-01</t>
    <phoneticPr fontId="57"/>
  </si>
  <si>
    <t>2023-12</t>
    <phoneticPr fontId="57"/>
  </si>
  <si>
    <t>2023-10</t>
    <phoneticPr fontId="57"/>
  </si>
  <si>
    <t>2023-11</t>
    <phoneticPr fontId="57"/>
  </si>
  <si>
    <t>YES</t>
    <phoneticPr fontId="57"/>
  </si>
  <si>
    <t>Non-complia
nt</t>
    <phoneticPr fontId="57"/>
  </si>
  <si>
    <t>Contact</t>
    <phoneticPr fontId="57"/>
  </si>
  <si>
    <t>Request</t>
    <phoneticPr fontId="57"/>
  </si>
  <si>
    <t>申請確認ダイアログ</t>
    <rPh sb="0" eb="4">
      <t>シンセイカクニン</t>
    </rPh>
    <phoneticPr fontId="57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</si>
  <si>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7"/>
  </si>
  <si>
    <t>(○○　件)</t>
    <rPh sb="4" eb="5">
      <t>ケン</t>
    </rPh>
    <phoneticPr fontId="57"/>
  </si>
  <si>
    <t>1. パンくずリストエリア</t>
  </si>
  <si>
    <t>1.1　パンくずリスト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</si>
  <si>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7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</si>
  <si>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7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</si>
  <si>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7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</si>
  <si>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7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</si>
  <si>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7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</si>
  <si>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7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</si>
  <si>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7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</si>
  <si>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7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</si>
  <si>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7"/>
  </si>
  <si>
    <t>販売品
Items for sales</t>
    <rPh sb="0" eb="3">
      <t>ハンバイヒン</t>
    </rPh>
    <phoneticPr fontId="57"/>
  </si>
  <si>
    <t>Application confirmation dialog</t>
    <phoneticPr fontId="57"/>
  </si>
  <si>
    <t>(○○　Items)</t>
    <phoneticPr fontId="57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</si>
  <si>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7"/>
  </si>
  <si>
    <t>化学物質データ/Chemical substance data</t>
    <rPh sb="0" eb="2">
      <t>カガクブッシツ</t>
    </rPh>
    <phoneticPr fontId="57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</si>
  <si>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</si>
  <si>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3"/>
  </si>
  <si>
    <t>r1.1</t>
    <phoneticPr fontId="13"/>
  </si>
  <si>
    <t>古竹</t>
    <rPh sb="0" eb="2">
      <t>フルタケ</t>
    </rPh>
    <phoneticPr fontId="13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</si>
  <si>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3"/>
  </si>
  <si>
    <t>Items</t>
    <phoneticPr fontId="57"/>
  </si>
  <si>
    <t>日本語</t>
    <rPh sb="0" eb="3">
      <t>ニホンゴ</t>
    </rPh>
    <phoneticPr fontId="57"/>
  </si>
  <si>
    <t>English</t>
    <phoneticPr fontId="57"/>
  </si>
  <si>
    <t>Non-compliant</t>
    <phoneticPr fontId="57"/>
  </si>
  <si>
    <t>We can't submit the certificate for non-compliant.</t>
    <phoneticPr fontId="57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</si>
  <si>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7"/>
  </si>
  <si>
    <t>Please contact to Hirose sales or request on the environment data base.</t>
    <phoneticPr fontId="57"/>
  </si>
  <si>
    <t>グレー背景
Gray background</t>
    <phoneticPr fontId="57"/>
  </si>
  <si>
    <t>重複した製品</t>
    <phoneticPr fontId="57"/>
  </si>
  <si>
    <t>Duplicate products</t>
    <phoneticPr fontId="57"/>
  </si>
  <si>
    <t>赤背景
Red background</t>
    <phoneticPr fontId="57"/>
  </si>
  <si>
    <t>システムに製品の該当なし</t>
    <phoneticPr fontId="57"/>
  </si>
  <si>
    <t>Products are not registered in the system.</t>
    <phoneticPr fontId="57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</si>
  <si>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7"/>
  </si>
  <si>
    <t>高精度分析データ(ICP)
Analysis Data(ICP)</t>
    <phoneticPr fontId="57"/>
  </si>
  <si>
    <t>chemSHERPA</t>
    <phoneticPr fontId="57"/>
  </si>
  <si>
    <t>Do you want to apply?</t>
    <phoneticPr fontId="57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</si>
  <si>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Class</t>
    </r>
    <rPh sb="0" eb="3">
      <t>シンセイヒン</t>
    </rPh>
    <rPh sb="3" eb="4">
      <t>ク</t>
    </rPh>
    <rPh sb="4" eb="5">
      <t>フン</t>
    </rPh>
    <phoneticPr fontId="57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</si>
  <si>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7"/>
  </si>
  <si>
    <r>
      <t xml:space="preserve">PCN番号
</t>
    </r>
    <r>
      <rPr>
        <sz val="6"/>
        <rFont val="Meiryo UI"/>
        <family val="3"/>
        <charset val="128"/>
      </rPr>
      <t>PCN No</t>
    </r>
    <rPh sb="3" eb="5">
      <t>バンゴウ</t>
    </rPh>
    <phoneticPr fontId="57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</si>
  <si>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7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</si>
  <si>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7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</si>
  <si>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7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</si>
  <si>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7"/>
  </si>
  <si>
    <t>化学物質データ申請確認</t>
    <phoneticPr fontId="51"/>
  </si>
  <si>
    <t>化学物質データ申請</t>
    <phoneticPr fontId="51"/>
  </si>
  <si>
    <t>r1.2</t>
    <phoneticPr fontId="51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</si>
  <si>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1"/>
  </si>
  <si>
    <t>「化学物質データ申請確認画面」シート</t>
    <phoneticPr fontId="51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</si>
  <si>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1"/>
  </si>
  <si>
    <t>処理詳細</t>
    <rPh sb="0" eb="2">
      <t>ショリ</t>
    </rPh>
    <rPh sb="2" eb="4">
      <t>ショウサイ</t>
    </rPh>
    <phoneticPr fontId="13"/>
  </si>
  <si>
    <t>※以下のフロー図を参照する</t>
    <rPh sb="1" eb="3">
      <t>イカ</t>
    </rPh>
    <rPh sb="7" eb="8">
      <t>ズ</t>
    </rPh>
    <rPh sb="9" eb="11">
      <t>サンショウ</t>
    </rPh>
    <phoneticPr fontId="61"/>
  </si>
  <si>
    <t>申請画面からのHTTPパラメータで製品名/CLコードリスト取得</t>
    <rPh sb="17" eb="20">
      <t>セイヒンメイ</t>
    </rPh>
    <phoneticPr fontId="61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</si>
  <si>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1"/>
  </si>
  <si>
    <t>抽出条件（OR）</t>
    <rPh sb="0" eb="2">
      <t>チュウシュツ</t>
    </rPh>
    <rPh sb="2" eb="4">
      <t>ジョウケン</t>
    </rPh>
    <phoneticPr fontId="61"/>
  </si>
  <si>
    <t>※1　入力値の形式がHRS-No（数字11桁）の場合はCLコードの形式（CL9999-9999-9-99）に変換</t>
    <phoneticPr fontId="61"/>
  </si>
  <si>
    <t>※2　入力値に以下の全角記号が含まれる場合は半角に変換</t>
    <rPh sb="7" eb="9">
      <t>イカ</t>
    </rPh>
    <rPh sb="12" eb="14">
      <t>キゴウ</t>
    </rPh>
    <phoneticPr fontId="61"/>
  </si>
  <si>
    <t>－　→　-</t>
  </si>
  <si>
    <t>（　→　(</t>
  </si>
  <si>
    <t>）　→　)</t>
  </si>
  <si>
    <t>＋　→　+</t>
  </si>
  <si>
    <t>＊　→　*</t>
  </si>
  <si>
    <t>／　→　/</t>
  </si>
  <si>
    <t>項目名</t>
    <rPh sb="0" eb="2">
      <t>コウモク</t>
    </rPh>
    <rPh sb="2" eb="3">
      <t>メイ</t>
    </rPh>
    <phoneticPr fontId="61"/>
  </si>
  <si>
    <t>hrsNo</t>
    <phoneticPr fontId="61"/>
  </si>
  <si>
    <t>HRS No</t>
    <phoneticPr fontId="61"/>
  </si>
  <si>
    <t>製品名</t>
    <phoneticPr fontId="61"/>
  </si>
  <si>
    <t>available</t>
    <phoneticPr fontId="61"/>
  </si>
  <si>
    <t>申請可能</t>
    <phoneticPr fontId="61"/>
  </si>
  <si>
    <t>request</t>
    <phoneticPr fontId="61"/>
  </si>
  <si>
    <t>Request</t>
    <phoneticPr fontId="61"/>
  </si>
  <si>
    <t>nonCompliant</t>
    <phoneticPr fontId="61"/>
  </si>
  <si>
    <t>製品名/CLコードの重複チェック</t>
    <rPh sb="0" eb="3">
      <t>セイヒンメイ</t>
    </rPh>
    <rPh sb="10" eb="12">
      <t>チョウフク</t>
    </rPh>
    <phoneticPr fontId="13"/>
  </si>
  <si>
    <t>：</t>
    <phoneticPr fontId="61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</si>
  <si>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1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</si>
  <si>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1"/>
  </si>
  <si>
    <t>CLコードより製品マスター情報取得</t>
    <rPh sb="7" eb="9">
      <t>セイヒン</t>
    </rPh>
    <rPh sb="13" eb="15">
      <t>ジョウホウ</t>
    </rPh>
    <rPh sb="15" eb="17">
      <t>シュトク</t>
    </rPh>
    <phoneticPr fontId="61"/>
  </si>
  <si>
    <t>code</t>
    <phoneticPr fontId="61"/>
  </si>
  <si>
    <t>newProductClass[lang]</t>
    <phoneticPr fontId="61"/>
  </si>
  <si>
    <t>discontinued</t>
    <phoneticPr fontId="61"/>
  </si>
  <si>
    <t>廃図フラグ</t>
    <phoneticPr fontId="61"/>
  </si>
  <si>
    <t>lastOrderDate</t>
    <phoneticPr fontId="61"/>
  </si>
  <si>
    <t>最終受注受付日</t>
    <phoneticPr fontId="61"/>
  </si>
  <si>
    <t>nrndPriorityFlag</t>
    <phoneticPr fontId="61"/>
  </si>
  <si>
    <t>新規設計非推奨（手動優先フラグ）</t>
    <phoneticPr fontId="61"/>
  </si>
  <si>
    <t>nrndManualFlag</t>
    <phoneticPr fontId="61"/>
  </si>
  <si>
    <t>新規設計非推奨（手動設定フラグ）</t>
    <rPh sb="0" eb="2">
      <t>シンキ</t>
    </rPh>
    <rPh sb="2" eb="4">
      <t>セッケイ</t>
    </rPh>
    <rPh sb="4" eb="5">
      <t>ヒ</t>
    </rPh>
    <rPh sb="5" eb="7">
      <t>スイショウ</t>
    </rPh>
    <rPh sb="8" eb="10">
      <t>シュドウ</t>
    </rPh>
    <rPh sb="10" eb="12">
      <t>セッテイ</t>
    </rPh>
    <phoneticPr fontId="61"/>
  </si>
  <si>
    <t>salesCondition</t>
    <phoneticPr fontId="61"/>
  </si>
  <si>
    <t>新規受注制限</t>
    <rPh sb="0" eb="2">
      <t>シンキ</t>
    </rPh>
    <rPh sb="2" eb="4">
      <t>ジュチュウ</t>
    </rPh>
    <rPh sb="4" eb="6">
      <t>セイゲン</t>
    </rPh>
    <phoneticPr fontId="61"/>
  </si>
  <si>
    <t>terminationPlanDocumentNo</t>
    <phoneticPr fontId="61"/>
  </si>
  <si>
    <t>変更通知No.</t>
    <rPh sb="0" eb="2">
      <t>ヘンコウ</t>
    </rPh>
    <rPh sb="2" eb="4">
      <t>ツウチ</t>
    </rPh>
    <phoneticPr fontId="61"/>
  </si>
  <si>
    <t>申請可能条件よりチェック</t>
    <rPh sb="0" eb="2">
      <t>シンセイ</t>
    </rPh>
    <rPh sb="2" eb="4">
      <t>カノウ</t>
    </rPh>
    <rPh sb="4" eb="6">
      <t>ジョウケン</t>
    </rPh>
    <phoneticPr fontId="61"/>
  </si>
  <si>
    <t>※本処理を実施しない場合は「申請可能チェック結果OK」扱いとなる。</t>
    <rPh sb="1" eb="2">
      <t>ホン</t>
    </rPh>
    <rPh sb="2" eb="4">
      <t>ショリ</t>
    </rPh>
    <rPh sb="5" eb="7">
      <t>ジッシ</t>
    </rPh>
    <rPh sb="10" eb="12">
      <t>バアイ</t>
    </rPh>
    <rPh sb="27" eb="28">
      <t>アツカ</t>
    </rPh>
    <phoneticPr fontId="61"/>
  </si>
  <si>
    <t>申請可能チェック結果OK</t>
    <rPh sb="0" eb="2">
      <t>シンセイ</t>
    </rPh>
    <rPh sb="2" eb="4">
      <t>カノウ</t>
    </rPh>
    <rPh sb="8" eb="10">
      <t>ケッカ</t>
    </rPh>
    <phoneticPr fontId="61"/>
  </si>
  <si>
    <t>申請可能チェック結果NG</t>
    <rPh sb="0" eb="2">
      <t>シンセイ</t>
    </rPh>
    <rPh sb="2" eb="4">
      <t>カノウ</t>
    </rPh>
    <rPh sb="8" eb="10">
      <t>ケッカ</t>
    </rPh>
    <phoneticPr fontId="61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</si>
  <si>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1"/>
  </si>
  <si>
    <t>代理店権限</t>
    <rPh sb="0" eb="3">
      <t>ダイリテン</t>
    </rPh>
    <rPh sb="3" eb="5">
      <t>ケンゲン</t>
    </rPh>
    <phoneticPr fontId="61"/>
  </si>
  <si>
    <t>すべての証明書が（Non-compliant ）申請不可</t>
    <phoneticPr fontId="61"/>
  </si>
  <si>
    <t>なにもしない</t>
    <phoneticPr fontId="61"/>
  </si>
  <si>
    <t>証明書は１件以上申請可能
※「YES : 申請可能」または「Request : 問い合わせ可否はシステムで判断できない」）</t>
    <phoneticPr fontId="61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</si>
  <si>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1"/>
  </si>
  <si>
    <t>製品が重複する</t>
    <phoneticPr fontId="61"/>
  </si>
  <si>
    <t>背景色</t>
    <phoneticPr fontId="61"/>
  </si>
  <si>
    <t>文字列</t>
    <rPh sb="0" eb="3">
      <t>モジレツ</t>
    </rPh>
    <phoneticPr fontId="61"/>
  </si>
  <si>
    <t>チェックボックス</t>
    <phoneticPr fontId="61"/>
  </si>
  <si>
    <t>パターン</t>
    <phoneticPr fontId="61"/>
  </si>
  <si>
    <t>灰色</t>
    <phoneticPr fontId="61"/>
  </si>
  <si>
    <t>表示しない</t>
    <phoneticPr fontId="61"/>
  </si>
  <si>
    <t>①</t>
    <phoneticPr fontId="61"/>
  </si>
  <si>
    <t>左と同様※①</t>
    <rPh sb="0" eb="1">
      <t>ヒダリ</t>
    </rPh>
    <rPh sb="2" eb="4">
      <t>ドウヨウ</t>
    </rPh>
    <phoneticPr fontId="61"/>
  </si>
  <si>
    <t>申請可能（YES）の証明書がない
※「Non-compliant : 申請不可」または「Request : 問い合わせ可否はシステムで判断できない」）</t>
    <phoneticPr fontId="61"/>
  </si>
  <si>
    <t>なし</t>
    <phoneticPr fontId="61"/>
  </si>
  <si>
    <t>Request(+)/Non-compliant(*)</t>
    <phoneticPr fontId="61"/>
  </si>
  <si>
    <t>②</t>
    <phoneticPr fontId="61"/>
  </si>
  <si>
    <t>左と同様※②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</si>
  <si>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※⑥</t>
    </r>
    <phoneticPr fontId="61"/>
  </si>
  <si>
    <t>証明書は１件以上申請可能
※「YES : 申請可能」</t>
    <phoneticPr fontId="61"/>
  </si>
  <si>
    <t>YES(+)/Request(*)/Non-compliant(*)</t>
    <phoneticPr fontId="61"/>
  </si>
  <si>
    <t>表示</t>
    <phoneticPr fontId="61"/>
  </si>
  <si>
    <t>③</t>
    <phoneticPr fontId="61"/>
  </si>
  <si>
    <t>左と同様※③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</si>
  <si>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 xml:space="preserve">※⑥
</t>
    </r>
    <r>
      <rPr>
        <b/>
        <sz val="11"/>
        <rFont val="Meiryo UI"/>
        <family val="3"/>
        <charset val="128"/>
      </rPr>
      <t>※チェックボックス表示しない</t>
    </r>
    <rPh sb="19" eb="21">
      <t>ヒョウジ</t>
    </rPh>
    <phoneticPr fontId="61"/>
  </si>
  <si>
    <t>赤</t>
    <phoneticPr fontId="61"/>
  </si>
  <si>
    <t>空白</t>
    <rPh sb="0" eb="2">
      <t>クウハク</t>
    </rPh>
    <phoneticPr fontId="61"/>
  </si>
  <si>
    <t>④</t>
    <phoneticPr fontId="61"/>
  </si>
  <si>
    <t>左と同様※④</t>
    <rPh sb="0" eb="1">
      <t>ヒダリ</t>
    </rPh>
    <rPh sb="2" eb="4">
      <t>ドウヨウ</t>
    </rPh>
    <phoneticPr fontId="61"/>
  </si>
  <si>
    <t>⑤</t>
    <phoneticPr fontId="61"/>
  </si>
  <si>
    <t>左と同様※⑤</t>
    <rPh sb="0" eb="1">
      <t>ヒダリ</t>
    </rPh>
    <rPh sb="2" eb="4">
      <t>ドウヨウ</t>
    </rPh>
    <phoneticPr fontId="61"/>
  </si>
  <si>
    <t>※別シート「画面項目」を参照</t>
    <rPh sb="1" eb="2">
      <t>ベツ</t>
    </rPh>
    <phoneticPr fontId="61"/>
  </si>
  <si>
    <t>※「ダウンロードCSVファイルについて」のシートを参照する</t>
    <rPh sb="25" eb="27">
      <t>サンショウ</t>
    </rPh>
    <phoneticPr fontId="61"/>
  </si>
  <si>
    <t>※別ブック「SERP110_帳票定義書_環境証明書申請製品一覧.xlsx」を参照</t>
    <phoneticPr fontId="61"/>
  </si>
  <si>
    <t>◆CSVヘッダーのファイル出力例と導出元</t>
    <phoneticPr fontId="61"/>
  </si>
  <si>
    <t>項目</t>
    <rPh sb="0" eb="2">
      <t>コウモク</t>
    </rPh>
    <phoneticPr fontId="61"/>
  </si>
  <si>
    <t>導出元(Source)</t>
    <rPh sb="0" eb="2">
      <t>ドウシュツ</t>
    </rPh>
    <rPh sb="2" eb="3">
      <t>モト</t>
    </rPh>
    <phoneticPr fontId="61"/>
  </si>
  <si>
    <t>◆CSV本文のファイル出力例と導出元</t>
    <rPh sb="4" eb="6">
      <t>ホンブン</t>
    </rPh>
    <phoneticPr fontId="61"/>
  </si>
  <si>
    <t>申請データをinsertする処理</t>
    <phoneticPr fontId="61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</si>
  <si>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1"/>
  </si>
  <si>
    <t>申請CSVファイル出力</t>
  </si>
  <si>
    <t>■ファイル出力例と導出元</t>
    <phoneticPr fontId="61"/>
  </si>
  <si>
    <t>行番号</t>
    <rPh sb="0" eb="3">
      <t>ギョウバンゴウ</t>
    </rPh>
    <phoneticPr fontId="61"/>
  </si>
  <si>
    <t>説明</t>
    <rPh sb="0" eb="2">
      <t>セツメイ</t>
    </rPh>
    <phoneticPr fontId="61"/>
  </si>
  <si>
    <t>2018-00001</t>
    <phoneticPr fontId="61"/>
  </si>
  <si>
    <t>申請番号</t>
    <phoneticPr fontId="61"/>
  </si>
  <si>
    <t>HrsChemicalSubstance.appNo</t>
    <phoneticPr fontId="61"/>
  </si>
  <si>
    <t>DB自動採番</t>
    <rPh sb="2" eb="4">
      <t>ジドウ</t>
    </rPh>
    <rPh sb="4" eb="6">
      <t>サイバン</t>
    </rPh>
    <phoneticPr fontId="61"/>
  </si>
  <si>
    <t>"1","1","0","1","0","1","0"</t>
    <phoneticPr fontId="61"/>
  </si>
  <si>
    <t>申請する化学物質証明書</t>
    <phoneticPr fontId="61"/>
  </si>
  <si>
    <t>HTTPリクエストパラメータの「化学物質データ選択」の配列数分ループ。
1件のパラメータについて、
RoHS適合証明書→ハロゲンフリー証明書→ICP→SDS→AIS→chemSHERPA→SVHC調査報告書
の順番で照合し、マッチした場合は"1"、アンマッチの場合は"0"
※証明書順番の情報はシステムマスタの対応するキーを参照する
　　　　Key：chemicalsubstancedata.csv.sort
　　　　Value：rohc,ais,halogen_free   ..etc</t>
    <rPh sb="144" eb="146">
      <t>ジョウホウ</t>
    </rPh>
    <rPh sb="155" eb="157">
      <t>タイオウ</t>
    </rPh>
    <rPh sb="162" eb="164">
      <t>サンショウ</t>
    </rPh>
    <phoneticPr fontId="61"/>
  </si>
  <si>
    <t>例：
・RoHS、ハロゲンフリ、証明書、ICP、SDS、AIS、chemSHERPA、SVHC調査報告書を申請する場合、「RoHS適合証明書→ハロゲンフリー証明書→ICP→SDS→AIS→chemSHERPA→SVHC調査報告書」とぴったりマッチするため、「"1","1","1","1","1","1","1","1"」になります。
・RoHS、ICP、AIS、chemSHERPAを申請する場合、「RoHS適合証明書→ハロゲンフリー証明書→ICP→SDS→AIS→chemSHERPA→SVHC調査報告書」とマッチして、太字の項目がマッチしないため、「"1","0","0","1","0","1","1","0"」になります。</t>
    <rPh sb="0" eb="1">
      <t>タト</t>
    </rPh>
    <rPh sb="265" eb="267">
      <t>コウモク</t>
    </rPh>
    <phoneticPr fontId="61"/>
  </si>
  <si>
    <t>CL0222-4567-8-90</t>
    <phoneticPr fontId="61"/>
  </si>
  <si>
    <t>申請したCL番号</t>
    <rPh sb="0" eb="2">
      <t>シンセイ</t>
    </rPh>
    <rPh sb="6" eb="8">
      <t>バンゴウ</t>
    </rPh>
    <phoneticPr fontId="61"/>
  </si>
  <si>
    <t>画面.CLコードリスト
※画面で選択されたCLコードが対象となる</t>
    <rPh sb="13" eb="15">
      <t>ガメン</t>
    </rPh>
    <rPh sb="16" eb="18">
      <t>センタク</t>
    </rPh>
    <rPh sb="27" eb="29">
      <t>タイショウ</t>
    </rPh>
    <phoneticPr fontId="61"/>
  </si>
  <si>
    <t>CL0222-4567-8-91</t>
    <phoneticPr fontId="61"/>
  </si>
  <si>
    <t>CL0222-4567-8-92</t>
    <phoneticPr fontId="61"/>
  </si>
  <si>
    <t>Ａ－３－３．</t>
    <phoneticPr fontId="61"/>
  </si>
  <si>
    <t>環境証明書申請完了お知らせメール送信</t>
  </si>
  <si>
    <t>「SEML030　環境証明書申請完了お知らせメール」を送信する。</t>
    <phoneticPr fontId="61"/>
  </si>
  <si>
    <t>また、申請者のサイト言語(HrsCustomer.sessionLanguage)に対応するメールテンプレートを使用する。</t>
    <rPh sb="42" eb="44">
      <t>タイオウ</t>
    </rPh>
    <phoneticPr fontId="61"/>
  </si>
  <si>
    <t>■区分値（証明書単位）のセット仕様	
・YES : 申請可能
・Non-compliant : 申請不可
・Request : 別途問合せしてください、の意味
・Contact：既存の問い合わせルートでの申請に促す											
■行（製品単位）のセット仕様：							
・グレー背景色：重複した製品名/CL番号
・赤背景色：システムに製品の該当なし
※画面表示フォーマットは「処理詳細」シートの「■A－１－７－２．製品証明書情報取得処理よりエラーハンドリングフォーマット」を参照する</t>
    <phoneticPr fontId="61"/>
  </si>
  <si>
    <t>非適合の為、提出できません。</t>
    <phoneticPr fontId="57"/>
  </si>
  <si>
    <t>申請確認ダイアログをクローズして、申請処理は実行しない。</t>
    <phoneticPr fontId="57"/>
  </si>
  <si>
    <t>フォーマット
(Format)</t>
    <phoneticPr fontId="13"/>
  </si>
  <si>
    <t>導出元
(Source)</t>
    <rPh sb="0" eb="3">
      <t>ドウシュツモト</t>
    </rPh>
    <phoneticPr fontId="13"/>
  </si>
  <si>
    <t>申請画面のHTTPパラメータ</t>
    <rPh sb="0" eb="4">
      <t>シンセイガメン</t>
    </rPh>
    <phoneticPr fontId="57"/>
  </si>
  <si>
    <t>申請画面からフォーム送信される「提出先企業名」パラメータの値</t>
    <phoneticPr fontId="61"/>
  </si>
  <si>
    <t>処理項目：項番1参照</t>
    <phoneticPr fontId="57"/>
  </si>
  <si>
    <t>申請製品情報マスタ 製品名</t>
    <rPh sb="0" eb="2">
      <t>シンセイ</t>
    </rPh>
    <rPh sb="2" eb="4">
      <t>セイヒン</t>
    </rPh>
    <rPh sb="4" eb="6">
      <t>ジョウホウ</t>
    </rPh>
    <rPh sb="10" eb="13">
      <t>セイヒンメイ</t>
    </rPh>
    <phoneticPr fontId="57"/>
  </si>
  <si>
    <t>申請製品情報マスタ CLコード</t>
    <rPh sb="0" eb="2">
      <t>シンセイ</t>
    </rPh>
    <rPh sb="2" eb="4">
      <t>セイヒン</t>
    </rPh>
    <rPh sb="4" eb="6">
      <t>ジョウホウ</t>
    </rPh>
    <phoneticPr fontId="57"/>
  </si>
  <si>
    <t>製品マスタ 新製品区分</t>
    <rPh sb="0" eb="2">
      <t>セイヒン</t>
    </rPh>
    <rPh sb="6" eb="11">
      <t>シンセイヒンクブン</t>
    </rPh>
    <phoneticPr fontId="57"/>
  </si>
  <si>
    <t>製品マスタ 製品販売状況</t>
    <rPh sb="0" eb="2">
      <t>セイヒン</t>
    </rPh>
    <rPh sb="6" eb="8">
      <t>セイヒン</t>
    </rPh>
    <rPh sb="8" eb="10">
      <t>ハンバイ</t>
    </rPh>
    <rPh sb="10" eb="12">
      <t>ジョウキョウ</t>
    </rPh>
    <phoneticPr fontId="57"/>
  </si>
  <si>
    <t>製品マスタ PCN No</t>
    <rPh sb="0" eb="2">
      <t>セイヒン</t>
    </rPh>
    <phoneticPr fontId="57"/>
  </si>
  <si>
    <t>ダウンロードCSV</t>
    <phoneticPr fontId="13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</si>
  <si>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1"/>
  </si>
  <si>
    <t>◆出力項目について</t>
    <rPh sb="1" eb="3">
      <t>シュツリョク</t>
    </rPh>
    <rPh sb="3" eb="5">
      <t>コウモク</t>
    </rPh>
    <phoneticPr fontId="61"/>
  </si>
  <si>
    <t>■RoHS、ハロゲンフリー、成分表、JAMP、SDS、chemSHERPA、SVHC調査報告書を申請する場合</t>
    <phoneticPr fontId="61"/>
  </si>
  <si>
    <t>例：</t>
    <rPh sb="0" eb="1">
      <t>レイ</t>
    </rPh>
    <phoneticPr fontId="61"/>
  </si>
  <si>
    <t>Part No</t>
    <phoneticPr fontId="61"/>
  </si>
  <si>
    <t>New Product Class</t>
    <phoneticPr fontId="61"/>
  </si>
  <si>
    <t>Product Sales Status Class</t>
    <phoneticPr fontId="61"/>
  </si>
  <si>
    <t>PCN No</t>
    <phoneticPr fontId="61"/>
  </si>
  <si>
    <t>CL check</t>
  </si>
  <si>
    <t>Name of company to be submitted</t>
    <phoneticPr fontId="61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</si>
  <si>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</si>
  <si>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</si>
  <si>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</si>
  <si>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</si>
  <si>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</si>
  <si>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</si>
  <si>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</si>
  <si>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1"/>
  </si>
  <si>
    <t>NameA</t>
    <phoneticPr fontId="61"/>
  </si>
  <si>
    <t>CL0123-4567-8-90</t>
  </si>
  <si>
    <t>オリジナル</t>
    <phoneticPr fontId="61"/>
  </si>
  <si>
    <t>生産終了予定品</t>
    <phoneticPr fontId="61"/>
  </si>
  <si>
    <t>2024-01</t>
    <phoneticPr fontId="61"/>
  </si>
  <si>
    <t>B社</t>
    <rPh sb="1" eb="2">
      <t>シャ</t>
    </rPh>
    <phoneticPr fontId="61"/>
  </si>
  <si>
    <t>A社</t>
  </si>
  <si>
    <t>YES</t>
    <phoneticPr fontId="61"/>
  </si>
  <si>
    <t>YES</t>
  </si>
  <si>
    <t>重複</t>
    <phoneticPr fontId="61"/>
  </si>
  <si>
    <t>NameB</t>
    <phoneticPr fontId="61"/>
  </si>
  <si>
    <t>CL0123-4567-8-91</t>
  </si>
  <si>
    <t>オリジナル(特定社)</t>
    <phoneticPr fontId="61"/>
  </si>
  <si>
    <t>生産終了品</t>
    <phoneticPr fontId="61"/>
  </si>
  <si>
    <t>2023-12</t>
    <phoneticPr fontId="61"/>
  </si>
  <si>
    <t>Non-compliant</t>
  </si>
  <si>
    <t>Request</t>
  </si>
  <si>
    <t>NameC</t>
    <phoneticPr fontId="61"/>
  </si>
  <si>
    <t>CL0123-4567-8-92</t>
  </si>
  <si>
    <t>カスタム(他社販売可)</t>
    <phoneticPr fontId="61"/>
  </si>
  <si>
    <t>新規設計非推奨</t>
    <phoneticPr fontId="61"/>
  </si>
  <si>
    <t>NameE</t>
    <phoneticPr fontId="61"/>
  </si>
  <si>
    <t>CL0123-4567-8-94</t>
    <phoneticPr fontId="61"/>
  </si>
  <si>
    <t>カスタム(他社販売不可)</t>
    <phoneticPr fontId="61"/>
  </si>
  <si>
    <t>販売品</t>
    <rPh sb="0" eb="2">
      <t>ハンバイ</t>
    </rPh>
    <rPh sb="2" eb="3">
      <t>ヒン</t>
    </rPh>
    <phoneticPr fontId="61"/>
  </si>
  <si>
    <t>CL0123-4567-8-96</t>
    <phoneticPr fontId="61"/>
  </si>
  <si>
    <t>該当なし</t>
  </si>
  <si>
    <t>■RoHS、ハロゲンフリー、成分表、JAMPを申請する場合</t>
    <phoneticPr fontId="61"/>
  </si>
  <si>
    <t>重複</t>
  </si>
  <si>
    <t>※</t>
    <phoneticPr fontId="61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</si>
  <si>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61"/>
  </si>
  <si>
    <t>②画面でチェックボックスを選択してないデータ、重複したデータまたはNon-compliantのデータもすべて出力される。</t>
    <phoneticPr fontId="61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</si>
  <si>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1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</si>
  <si>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1"/>
  </si>
  <si>
    <t>テーブル</t>
    <phoneticPr fontId="61"/>
  </si>
  <si>
    <t>証明書申請テーブル</t>
    <rPh sb="0" eb="5">
      <t>ショウメイショシンセイ</t>
    </rPh>
    <phoneticPr fontId="61"/>
  </si>
  <si>
    <t>申請製品情報マスタ CLコード=入力リスト.製品名/CLコード　※1</t>
    <rPh sb="0" eb="2">
      <t>シンセイ</t>
    </rPh>
    <rPh sb="2" eb="4">
      <t>セイヒン</t>
    </rPh>
    <rPh sb="4" eb="6">
      <t>ジョウホウ</t>
    </rPh>
    <rPh sb="16" eb="18">
      <t>ニュウリョク</t>
    </rPh>
    <rPh sb="22" eb="25">
      <t>セイヒンメイ</t>
    </rPh>
    <phoneticPr fontId="61"/>
  </si>
  <si>
    <t>申請製品情報マスタ 製品名=入力リスト.製品名/CLコード　※2</t>
    <rPh sb="0" eb="2">
      <t>シンセイ</t>
    </rPh>
    <rPh sb="2" eb="4">
      <t>セイヒン</t>
    </rPh>
    <rPh sb="4" eb="6">
      <t>ジョウホウ</t>
    </rPh>
    <rPh sb="10" eb="13">
      <t>セイヒンメイ</t>
    </rPh>
    <rPh sb="14" eb="16">
      <t>ニュウリョク</t>
    </rPh>
    <rPh sb="20" eb="23">
      <t>セイヒンメイ</t>
    </rPh>
    <phoneticPr fontId="61"/>
  </si>
  <si>
    <t>製品マスタ</t>
    <rPh sb="0" eb="2">
      <t>セイヒン</t>
    </rPh>
    <phoneticPr fontId="61"/>
  </si>
  <si>
    <t>申請製品情報マスタに存在する</t>
  </si>
  <si>
    <t>申請製品情報マスタに存在しない</t>
  </si>
  <si>
    <t>version</t>
    <phoneticPr fontId="61"/>
  </si>
  <si>
    <t>バージョン</t>
    <phoneticPr fontId="61"/>
  </si>
  <si>
    <t>出力編集仕様</t>
    <rPh sb="0" eb="2">
      <t>シュツリョク</t>
    </rPh>
    <rPh sb="2" eb="4">
      <t>ヘンシュウ</t>
    </rPh>
    <rPh sb="4" eb="6">
      <t>シヨウ</t>
    </rPh>
    <phoneticPr fontId="13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</si>
  <si>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1"/>
  </si>
  <si>
    <t>タイプ</t>
    <phoneticPr fontId="13"/>
  </si>
  <si>
    <t>説明</t>
    <rPh sb="0" eb="2">
      <t>セツメイ</t>
    </rPh>
    <phoneticPr fontId="13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</si>
  <si>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1"/>
  </si>
  <si>
    <t>備考</t>
    <phoneticPr fontId="61"/>
  </si>
  <si>
    <t>暦年と5桁の追番の間にハイフン（例：2018-00001）
※追番はhybrisのGeneratorの機構で生成する値（hrsChemicalSubstanceAppNoSeq）</t>
    <rPh sb="16" eb="17">
      <t>レイ</t>
    </rPh>
    <phoneticPr fontId="61"/>
  </si>
  <si>
    <t>画面項目の2.8毎に処理</t>
    <rPh sb="8" eb="9">
      <t>ゴト</t>
    </rPh>
    <rPh sb="10" eb="12">
      <t>ショリ</t>
    </rPh>
    <phoneticPr fontId="61"/>
  </si>
  <si>
    <t>ログインユーザのHrsCustomer.uid</t>
    <phoneticPr fontId="61"/>
  </si>
  <si>
    <t>システムの日付</t>
    <rPh sb="5" eb="7">
      <t>ヒヅケ</t>
    </rPh>
    <phoneticPr fontId="61"/>
  </si>
  <si>
    <r>
      <t>画面.</t>
    </r>
    <r>
      <rPr>
        <sz val="10"/>
        <color rgb="FFFF0000"/>
        <rFont val="Meiryo UI"/>
        <family val="3"/>
        <charset val="128"/>
      </rPr>
      <t>提出先企業名</t>
    </r>
    <phoneticPr fontId="61"/>
  </si>
  <si>
    <t>画面項目の2.3</t>
    <rPh sb="0" eb="2">
      <t>ガメン</t>
    </rPh>
    <rPh sb="2" eb="4">
      <t>コウモク</t>
    </rPh>
    <phoneticPr fontId="61"/>
  </si>
  <si>
    <t>画面.エンドユーザ</t>
    <phoneticPr fontId="61"/>
  </si>
  <si>
    <t>画面項目の2.4</t>
    <phoneticPr fontId="61"/>
  </si>
  <si>
    <t>未処理（ChemicalSubstanceStatus.unprocessed）</t>
    <rPh sb="0" eb="1">
      <t>ミ</t>
    </rPh>
    <rPh sb="1" eb="3">
      <t>ショリ</t>
    </rPh>
    <phoneticPr fontId="61"/>
  </si>
  <si>
    <t>申請ファイル取り込みバッチで更新できる</t>
    <rPh sb="14" eb="16">
      <t>コウシン</t>
    </rPh>
    <phoneticPr fontId="61"/>
  </si>
  <si>
    <t>申請ファイル取り込みバッチで更新する</t>
    <rPh sb="14" eb="16">
      <t>コウシン</t>
    </rPh>
    <phoneticPr fontId="61"/>
  </si>
  <si>
    <t>同上</t>
    <rPh sb="0" eb="2">
      <t>ドウジョウ</t>
    </rPh>
    <phoneticPr fontId="61"/>
  </si>
  <si>
    <t>画面.CLコード</t>
    <phoneticPr fontId="61"/>
  </si>
  <si>
    <t>画面項目の2.8毎に処理</t>
    <phoneticPr fontId="61"/>
  </si>
  <si>
    <t>画面.申請した証明書種類配列の各証明書</t>
    <rPh sb="0" eb="2">
      <t>ガメン</t>
    </rPh>
    <rPh sb="3" eb="5">
      <t>シンセイ</t>
    </rPh>
    <rPh sb="7" eb="10">
      <t>ショウメイショ</t>
    </rPh>
    <rPh sb="10" eb="12">
      <t>シュルイ</t>
    </rPh>
    <rPh sb="15" eb="16">
      <t>カク</t>
    </rPh>
    <phoneticPr fontId="61"/>
  </si>
  <si>
    <t>画面項目の2.12</t>
    <phoneticPr fontId="61"/>
  </si>
  <si>
    <t>環境証明書申請製品情報.製品名</t>
    <rPh sb="12" eb="15">
      <t>セイヒンメイ</t>
    </rPh>
    <phoneticPr fontId="61"/>
  </si>
  <si>
    <t>CLコードを基に再取得</t>
    <rPh sb="6" eb="7">
      <t>モト</t>
    </rPh>
    <rPh sb="8" eb="9">
      <t>サイ</t>
    </rPh>
    <rPh sb="9" eb="11">
      <t>シュトク</t>
    </rPh>
    <phoneticPr fontId="61"/>
  </si>
  <si>
    <t>製品マスター情報.新製品区分　※1</t>
    <rPh sb="0" eb="2">
      <t>セイヒン</t>
    </rPh>
    <rPh sb="6" eb="8">
      <t>ジョウホウ</t>
    </rPh>
    <rPh sb="9" eb="12">
      <t>シンセイヒン</t>
    </rPh>
    <rPh sb="12" eb="14">
      <t>クブン</t>
    </rPh>
    <phoneticPr fontId="61"/>
  </si>
  <si>
    <t>製品マスター情報を基に判定した「製品販売状況」
※判定方法の詳細は
別ブック「SERP070_帳票定義書_製品一覧（フロント）.xlsx」の
「帳票定義」シートの「販売状況」を参照</t>
    <rPh sb="9" eb="10">
      <t>モト</t>
    </rPh>
    <rPh sb="11" eb="13">
      <t>ハンテイ</t>
    </rPh>
    <rPh sb="16" eb="18">
      <t>セイヒン</t>
    </rPh>
    <rPh sb="18" eb="20">
      <t>ハンバイ</t>
    </rPh>
    <rPh sb="20" eb="22">
      <t>ジョウキョウ</t>
    </rPh>
    <rPh sb="25" eb="27">
      <t>ハンテイ</t>
    </rPh>
    <rPh sb="27" eb="29">
      <t>ホウホウ</t>
    </rPh>
    <rPh sb="30" eb="32">
      <t>ショウサイ</t>
    </rPh>
    <rPh sb="34" eb="35">
      <t>ベツ</t>
    </rPh>
    <rPh sb="82" eb="84">
      <t>ハンバイ</t>
    </rPh>
    <rPh sb="84" eb="86">
      <t>ジョウキョウ</t>
    </rPh>
    <rPh sb="88" eb="90">
      <t>サンショウ</t>
    </rPh>
    <phoneticPr fontId="61"/>
  </si>
  <si>
    <t>製品マスター情報.変更通知No.</t>
    <rPh sb="9" eb="11">
      <t>ヘンコウ</t>
    </rPh>
    <rPh sb="11" eb="13">
      <t>ツウチ</t>
    </rPh>
    <phoneticPr fontId="61"/>
  </si>
  <si>
    <t>※1</t>
    <phoneticPr fontId="61"/>
  </si>
  <si>
    <t>登録対象の言語は画面で選択可能な7言語（英語、日本語、韓国語、中国語、フランス語、ドイツ語、ロシア語）</t>
    <phoneticPr fontId="61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</si>
  <si>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1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</si>
  <si>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1"/>
  </si>
  <si>
    <t>証明書申請テーブル, 証明書申請入力テーブル</t>
    <rPh sb="0" eb="5">
      <t>ショウメイショシンセイ</t>
    </rPh>
    <rPh sb="11" eb="18">
      <t>ショウメイショシンセイニュウリョク</t>
    </rPh>
    <phoneticPr fontId="61"/>
  </si>
  <si>
    <t>受付番号</t>
    <rPh sb="0" eb="4">
      <t>ウケツケバンゴウ</t>
    </rPh>
    <phoneticPr fontId="61"/>
  </si>
  <si>
    <t>ユーザーコード</t>
    <phoneticPr fontId="61"/>
  </si>
  <si>
    <t>要求日</t>
    <rPh sb="0" eb="3">
      <t>ヨウキュウビ</t>
    </rPh>
    <phoneticPr fontId="61"/>
  </si>
  <si>
    <t>ステータス</t>
    <phoneticPr fontId="61"/>
  </si>
  <si>
    <t>ダウンロード有効期限</t>
    <rPh sb="6" eb="8">
      <t>ユウコウ</t>
    </rPh>
    <rPh sb="8" eb="10">
      <t>キゲン</t>
    </rPh>
    <phoneticPr fontId="61"/>
  </si>
  <si>
    <t>ファイルサイズ</t>
    <phoneticPr fontId="61"/>
  </si>
  <si>
    <t>フォルダカウント</t>
    <phoneticPr fontId="61"/>
  </si>
  <si>
    <t>ファイルカウント</t>
    <phoneticPr fontId="61"/>
  </si>
  <si>
    <t>証明書申請入力テーブル</t>
    <rPh sb="0" eb="5">
      <t>ショウメイショシンセイ</t>
    </rPh>
    <rPh sb="5" eb="7">
      <t>ニュウリョク</t>
    </rPh>
    <phoneticPr fontId="61"/>
  </si>
  <si>
    <t>申請書証明書種類</t>
    <rPh sb="0" eb="6">
      <t>シンセイショショウメイショ</t>
    </rPh>
    <rPh sb="6" eb="8">
      <t>シュルイ</t>
    </rPh>
    <phoneticPr fontId="61"/>
  </si>
  <si>
    <t>新製品区分</t>
    <rPh sb="0" eb="5">
      <t>シンセイヒンクブン</t>
    </rPh>
    <phoneticPr fontId="61"/>
  </si>
  <si>
    <t>製品販売状況</t>
    <rPh sb="0" eb="6">
      <t>セイヒンハンバイジョウキョウ</t>
    </rPh>
    <phoneticPr fontId="61"/>
  </si>
  <si>
    <t>１－１．画面初期表示について</t>
    <rPh sb="4" eb="6">
      <t>ガメン</t>
    </rPh>
    <rPh sb="6" eb="8">
      <t>ショキ</t>
    </rPh>
    <rPh sb="8" eb="10">
      <t>ヒョウジ</t>
    </rPh>
    <phoneticPr fontId="13"/>
  </si>
  <si>
    <t>１－１－１．</t>
    <phoneticPr fontId="61"/>
  </si>
  <si>
    <t>１－１－２．</t>
  </si>
  <si>
    <t>■１－１－２－１．申請製品情報マスタ（HrsChemicalSubstanceProduct）</t>
  </si>
  <si>
    <t>■１－１－２－２．取得した製品照明書の情報と画面表示のマッピング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3"/>
  </si>
  <si>
    <t>１－１－３．</t>
  </si>
  <si>
    <t>・１－１－２．で環境証明書申請製品情報を取得できた場合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1"/>
  </si>
  <si>
    <t>・１－１－２．で環境証明書申請製品情報を取得できなかった場合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1"/>
  </si>
  <si>
    <t>１－１－５．</t>
  </si>
  <si>
    <t>製品マスタ CLコード=１－１－２．で取得した「環境証明書申請製品情報」の「CLコード」</t>
    <rPh sb="0" eb="2">
      <t>セイヒン</t>
    </rPh>
    <rPh sb="19" eb="21">
      <t>シュトク</t>
    </rPh>
    <phoneticPr fontId="61"/>
  </si>
  <si>
    <t>■１－１－５－１．製品マスターテーブル抜粋（HrsProduct）</t>
    <rPh sb="9" eb="11">
      <t>セイヒン</t>
    </rPh>
    <rPh sb="19" eb="21">
      <t>バッスイ</t>
    </rPh>
    <phoneticPr fontId="61"/>
  </si>
  <si>
    <t>１－１－６．</t>
  </si>
  <si>
    <t>前提：１－１－５．で「製品マスター情報」のレコードを取得した場合に本処理を実施</t>
    <rPh sb="0" eb="2">
      <t>ゼンテイ</t>
    </rPh>
    <rPh sb="11" eb="13">
      <t>セイヒン</t>
    </rPh>
    <rPh sb="17" eb="19">
      <t>ジョウホウ</t>
    </rPh>
    <rPh sb="26" eb="28">
      <t>シュトク</t>
    </rPh>
    <rPh sb="30" eb="32">
      <t>バアイ</t>
    </rPh>
    <rPh sb="33" eb="34">
      <t>ホン</t>
    </rPh>
    <rPh sb="34" eb="36">
      <t>ショリ</t>
    </rPh>
    <rPh sb="37" eb="39">
      <t>ジッシ</t>
    </rPh>
    <phoneticPr fontId="61"/>
  </si>
  <si>
    <t>■１－１－６－１．申請可能条件</t>
  </si>
  <si>
    <t>・１－１－５．で取得した「製品マスター情報」の「新製品区分」[en]==Original[固定値]の場合</t>
    <rPh sb="8" eb="10">
      <t>シュトク</t>
    </rPh>
    <rPh sb="13" eb="15">
      <t>セイヒン</t>
    </rPh>
    <rPh sb="19" eb="21">
      <t>ジョウホウ</t>
    </rPh>
    <rPh sb="24" eb="27">
      <t>シンセイヒン</t>
    </rPh>
    <rPh sb="27" eb="29">
      <t>クブン</t>
    </rPh>
    <rPh sb="50" eb="52">
      <t>バアイ</t>
    </rPh>
    <phoneticPr fontId="61"/>
  </si>
  <si>
    <t>・１－１－５．で取得した「製品マスター情報」の「新製品区分」[en]==Original[固定値]でない場合</t>
    <rPh sb="19" eb="21">
      <t>ジョウホウ</t>
    </rPh>
    <rPh sb="52" eb="54">
      <t>バアイ</t>
    </rPh>
    <phoneticPr fontId="61"/>
  </si>
  <si>
    <t>１－１－７．申請可能チェック結果取得</t>
  </si>
  <si>
    <t>■１－１－７－１．判断結果より処理について</t>
    <rPh sb="9" eb="11">
      <t>ハンダン</t>
    </rPh>
    <rPh sb="11" eb="13">
      <t>ケッカ</t>
    </rPh>
    <rPh sb="15" eb="17">
      <t>ショリ</t>
    </rPh>
    <phoneticPr fontId="13"/>
  </si>
  <si>
    <t>１－１－４．CLコードより一致する製品証明書の情報を取得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1"/>
  </si>
  <si>
    <t>１－１－６．申請可能チェック結果OK</t>
  </si>
  <si>
    <t>１－１－６．申請可能チェック結果NG</t>
    <rPh sb="6" eb="8">
      <t>シンセイ</t>
    </rPh>
    <rPh sb="8" eb="10">
      <t>カノウ</t>
    </rPh>
    <rPh sb="14" eb="16">
      <t>ケッカ</t>
    </rPh>
    <phoneticPr fontId="61"/>
  </si>
  <si>
    <t>■１－１－７－２．製品証明書情報取得処理よりエラーハンドリングフォーマット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3"/>
  </si>
  <si>
    <t>１－１－８．製品マスター情報を表示内容として設定</t>
    <rPh sb="15" eb="17">
      <t>ヒョウジ</t>
    </rPh>
    <rPh sb="17" eb="19">
      <t>ナイヨウ</t>
    </rPh>
    <phoneticPr fontId="61"/>
  </si>
  <si>
    <t>※対応するデータ情報の取得について、「２－１－２．製品名/CLコードより証明書の情報取得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1"/>
  </si>
  <si>
    <t>※対応するデータ情報の取得について、「２－１－５．製品名/CLコードより製品マスター情報取得 」を参照する</t>
    <rPh sb="1" eb="3">
      <t>タイオウ</t>
    </rPh>
    <rPh sb="8" eb="10">
      <t>ジョウホウ</t>
    </rPh>
    <rPh sb="11" eb="13">
      <t>シュトク</t>
    </rPh>
    <rPh sb="49" eb="51">
      <t>サンショウ</t>
    </rPh>
    <phoneticPr fontId="61"/>
  </si>
  <si>
    <t>２－１．CSVダウンロードについて</t>
    <phoneticPr fontId="57"/>
  </si>
  <si>
    <t>■２－１－１ダウンロードCSVファイルのフォーマット</t>
    <phoneticPr fontId="57"/>
  </si>
  <si>
    <t>■２－１－２データ情報取得</t>
    <rPh sb="9" eb="11">
      <t>ジョウホウ</t>
    </rPh>
    <rPh sb="11" eb="13">
      <t>シュトク</t>
    </rPh>
    <phoneticPr fontId="61"/>
  </si>
  <si>
    <t>■２－１－３取得した製品証明書の情報とダウンロードCSV項目のマッピング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3"/>
  </si>
  <si>
    <t>■２－１－４取得した製品マスターの情報と画面表示のマッピング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3"/>
  </si>
  <si>
    <t>３－１．申請について</t>
    <rPh sb="4" eb="6">
      <t>シンセイ</t>
    </rPh>
    <phoneticPr fontId="13"/>
  </si>
  <si>
    <t>３－１－１．</t>
    <phoneticPr fontId="61"/>
  </si>
  <si>
    <t>３－１－２．</t>
    <phoneticPr fontId="6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</si>
</sst>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4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b/>
      <sz val="6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b/>
      <sz val="11"/>
      <name val="ＭＳ Ｐゴシック"/>
      <family val="2"/>
      <charset val="128"/>
      <scheme val="minor"/>
    </font>
    <font>
      <sz val="11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0" fillId="0" borderId="0"/>
    <xf numFmtId="0" fontId="6" fillId="0" borderId="0">
      <alignment vertical="center"/>
    </xf>
    <xf numFmtId="0" fontId="63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086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21" fillId="10" borderId="6" xfId="49" applyFont="1" applyFill="1" applyBorder="1" applyAlignment="1">
      <alignment horizontal="right" vertical="center"/>
    </xf>
    <xf numFmtId="0" fontId="53" fillId="14" borderId="6" xfId="49" applyFont="1" applyFill="1" applyBorder="1" applyAlignment="1">
      <alignment horizontal="right" vertical="center"/>
    </xf>
    <xf numFmtId="0" fontId="55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4" fillId="14" borderId="8" xfId="0" applyFont="1" applyFill="1" applyBorder="1">
      <alignment vertical="center"/>
    </xf>
    <xf numFmtId="49" fontId="21" fillId="10" borderId="15" xfId="0" applyNumberFormat="1" applyFont="1" applyFill="1" applyBorder="1" applyAlignment="1">
      <alignment horizontal="center" vertical="center"/>
    </xf>
    <xf numFmtId="0" fontId="54" fillId="14" borderId="0" xfId="0" applyFont="1" applyFill="1">
      <alignment vertical="center"/>
    </xf>
    <xf numFmtId="49" fontId="21" fillId="10" borderId="6" xfId="0" applyNumberFormat="1" applyFont="1" applyFill="1" applyBorder="1" applyAlignment="1">
      <alignment horizontal="left" vertical="center"/>
    </xf>
    <xf numFmtId="0" fontId="59" fillId="14" borderId="0" xfId="161" applyFont="1" applyFill="1">
      <alignment vertical="center"/>
    </xf>
    <xf numFmtId="0" fontId="54" fillId="14" borderId="0" xfId="161" applyFont="1" applyFill="1">
      <alignment vertical="center"/>
    </xf>
    <xf numFmtId="0" fontId="54" fillId="14" borderId="6" xfId="161" applyFont="1" applyFill="1" applyBorder="1">
      <alignment vertical="center"/>
    </xf>
    <xf numFmtId="0" fontId="54" fillId="14" borderId="11" xfId="161" applyFont="1" applyFill="1" applyBorder="1">
      <alignment vertical="center"/>
    </xf>
    <xf numFmtId="0" fontId="21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8" fillId="18" borderId="2" xfId="161" applyFont="1" applyFill="1" applyBorder="1">
      <alignment vertical="center"/>
    </xf>
    <xf numFmtId="0" fontId="54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4" fillId="14" borderId="12" xfId="0" applyFont="1" applyFill="1" applyBorder="1">
      <alignment vertical="center"/>
    </xf>
    <xf numFmtId="0" fontId="21" fillId="10" borderId="22" xfId="46" applyFont="1" applyFill="1" applyBorder="1" applyAlignment="1">
      <alignment horizontal="centerContinuous"/>
    </xf>
    <xf numFmtId="0" fontId="54" fillId="14" borderId="0" xfId="161" applyFont="1" applyFill="1" applyAlignment="1">
      <alignment horizontal="left" vertical="center"/>
    </xf>
    <xf numFmtId="0" fontId="21" fillId="10" borderId="20" xfId="46" applyFont="1" applyFill="1" applyBorder="1" applyAlignment="1">
      <alignment horizontal="centerContinuous"/>
    </xf>
    <xf numFmtId="0" fontId="55" fillId="14" borderId="0" xfId="161" applyFont="1" applyFill="1">
      <alignment vertical="center"/>
    </xf>
    <xf numFmtId="0" fontId="54" fillId="14" borderId="0" xfId="161" applyFont="1" applyFill="1" applyAlignment="1">
      <alignment horizontal="center" vertical="center"/>
    </xf>
    <xf numFmtId="0" fontId="59" fillId="14" borderId="6" xfId="161" quotePrefix="1" applyFont="1" applyFill="1" applyBorder="1">
      <alignment vertical="center"/>
    </xf>
    <xf numFmtId="0" fontId="59" fillId="14" borderId="11" xfId="161" applyFont="1" applyFill="1" applyBorder="1">
      <alignment vertical="center"/>
    </xf>
    <xf numFmtId="0" fontId="69" fillId="18" borderId="10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68" fillId="18" borderId="2" xfId="161" applyFont="1" applyFill="1" applyBorder="1">
      <alignment vertical="center"/>
    </xf>
    <xf numFmtId="0" fontId="58" fillId="18" borderId="2" xfId="161" applyFont="1" applyFill="1" applyBorder="1" applyAlignment="1">
      <alignment horizontal="centerContinuous" vertical="center"/>
    </xf>
    <xf numFmtId="0" fontId="58" fillId="18" borderId="17" xfId="161" applyFont="1" applyFill="1" applyBorder="1" applyAlignment="1">
      <alignment horizontal="centerContinuous" vertical="center"/>
    </xf>
    <xf numFmtId="0" fontId="54" fillId="14" borderId="8" xfId="161" applyFont="1" applyFill="1" applyBorder="1">
      <alignment vertical="center"/>
    </xf>
    <xf numFmtId="0" fontId="54" fillId="14" borderId="12" xfId="161" applyFont="1" applyFill="1" applyBorder="1">
      <alignment vertical="center"/>
    </xf>
    <xf numFmtId="0" fontId="54" fillId="19" borderId="10" xfId="161" quotePrefix="1" applyFont="1" applyFill="1" applyBorder="1">
      <alignment vertical="center"/>
    </xf>
    <xf numFmtId="0" fontId="54" fillId="19" borderId="2" xfId="161" applyFont="1" applyFill="1" applyBorder="1">
      <alignment vertical="center"/>
    </xf>
    <xf numFmtId="0" fontId="54" fillId="19" borderId="2" xfId="161" applyFont="1" applyFill="1" applyBorder="1" applyAlignment="1">
      <alignment horizontal="center" vertical="center"/>
    </xf>
    <xf numFmtId="0" fontId="54" fillId="19" borderId="2" xfId="0" applyFont="1" applyFill="1" applyBorder="1">
      <alignment vertical="center"/>
    </xf>
    <xf numFmtId="0" fontId="54" fillId="0" borderId="10" xfId="161" quotePrefix="1" applyFont="1" applyBorder="1">
      <alignment vertical="center"/>
    </xf>
    <xf numFmtId="0" fontId="54" fillId="0" borderId="2" xfId="161" applyFont="1" applyBorder="1">
      <alignment vertical="center"/>
    </xf>
    <xf numFmtId="0" fontId="54" fillId="0" borderId="2" xfId="161" applyFont="1" applyBorder="1" applyAlignment="1">
      <alignment horizontal="center" vertical="center"/>
    </xf>
    <xf numFmtId="0" fontId="54" fillId="0" borderId="2" xfId="0" applyFont="1" applyBorder="1">
      <alignment vertical="center"/>
    </xf>
    <xf numFmtId="0" fontId="54" fillId="0" borderId="0" xfId="161" quotePrefix="1" applyFont="1">
      <alignment vertical="center"/>
    </xf>
    <xf numFmtId="0" fontId="54" fillId="0" borderId="0" xfId="161" applyFont="1">
      <alignment vertical="center"/>
    </xf>
    <xf numFmtId="0" fontId="54" fillId="0" borderId="0" xfId="161" applyFont="1" applyAlignment="1">
      <alignment horizontal="center" vertical="center"/>
    </xf>
    <xf numFmtId="0" fontId="54" fillId="0" borderId="0" xfId="0" applyFont="1">
      <alignment vertical="center"/>
    </xf>
    <xf numFmtId="0" fontId="54" fillId="19" borderId="17" xfId="0" applyFont="1" applyFill="1" applyBorder="1">
      <alignment vertical="center"/>
    </xf>
    <xf numFmtId="0" fontId="54" fillId="0" borderId="8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4" fillId="0" borderId="0" xfId="161" applyFont="1" applyAlignment="1">
      <alignment horizontal="left" vertical="center"/>
    </xf>
    <xf numFmtId="0" fontId="54" fillId="0" borderId="17" xfId="0" applyFont="1" applyBorder="1">
      <alignment vertical="center"/>
    </xf>
    <xf numFmtId="0" fontId="55" fillId="0" borderId="0" xfId="161" applyFont="1" applyAlignment="1">
      <alignment horizontal="centerContinuous" vertical="center"/>
    </xf>
    <xf numFmtId="0" fontId="54" fillId="14" borderId="28" xfId="0" applyFont="1" applyFill="1" applyBorder="1">
      <alignment vertical="center"/>
    </xf>
    <xf numFmtId="0" fontId="54" fillId="14" borderId="31" xfId="0" applyFont="1" applyFill="1" applyBorder="1">
      <alignment vertical="center"/>
    </xf>
    <xf numFmtId="0" fontId="54" fillId="0" borderId="12" xfId="0" applyFont="1" applyBorder="1">
      <alignment vertical="center"/>
    </xf>
    <xf numFmtId="0" fontId="55" fillId="0" borderId="0" xfId="161" applyFont="1">
      <alignment vertical="center"/>
    </xf>
    <xf numFmtId="0" fontId="54" fillId="14" borderId="0" xfId="0" applyFont="1" applyFill="1" applyAlignment="1">
      <alignment horizontal="center" vertical="center"/>
    </xf>
    <xf numFmtId="0" fontId="21" fillId="10" borderId="19" xfId="46" applyFont="1" applyFill="1" applyBorder="1" applyAlignment="1">
      <alignment horizontal="centerContinuous"/>
    </xf>
    <xf numFmtId="0" fontId="21" fillId="10" borderId="16" xfId="46" applyFont="1" applyFill="1" applyBorder="1" applyAlignment="1">
      <alignment horizontal="centerContinuous"/>
    </xf>
    <xf numFmtId="0" fontId="21" fillId="10" borderId="21" xfId="46" applyFont="1" applyFill="1" applyBorder="1" applyAlignment="1">
      <alignment horizontal="centerContinuous"/>
    </xf>
    <xf numFmtId="0" fontId="58" fillId="14" borderId="11" xfId="161" quotePrefix="1" applyFont="1" applyFill="1" applyBorder="1" applyAlignment="1">
      <alignment horizontal="centerContinuous" vertical="center"/>
    </xf>
    <xf numFmtId="0" fontId="54" fillId="14" borderId="0" xfId="0" applyFont="1" applyFill="1" applyAlignment="1">
      <alignment vertical="center" wrapText="1"/>
    </xf>
    <xf numFmtId="0" fontId="55" fillId="14" borderId="0" xfId="161" applyFont="1" applyFill="1" applyAlignment="1">
      <alignment horizontal="center" vertical="center"/>
    </xf>
    <xf numFmtId="0" fontId="55" fillId="0" borderId="0" xfId="161" applyFont="1" applyAlignment="1">
      <alignment horizontal="left" vertical="center"/>
    </xf>
    <xf numFmtId="0" fontId="55" fillId="0" borderId="0" xfId="0" applyFont="1">
      <alignment vertical="center"/>
    </xf>
    <xf numFmtId="0" fontId="55" fillId="0" borderId="0" xfId="161" applyFont="1" applyAlignment="1">
      <alignment horizontal="center" vertical="center"/>
    </xf>
    <xf numFmtId="0" fontId="55" fillId="14" borderId="8" xfId="0" applyFont="1" applyFill="1" applyBorder="1">
      <alignment vertical="center"/>
    </xf>
    <xf numFmtId="0" fontId="55" fillId="0" borderId="8" xfId="161" applyFont="1" applyBorder="1">
      <alignment vertical="center"/>
    </xf>
    <xf numFmtId="0" fontId="55" fillId="0" borderId="8" xfId="0" applyFont="1" applyBorder="1">
      <alignment vertical="center"/>
    </xf>
    <xf numFmtId="0" fontId="55" fillId="0" borderId="8" xfId="161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4" fillId="0" borderId="0" xfId="161" quotePrefix="1" applyFont="1" applyAlignment="1">
      <alignment horizontal="centerContinuous" vertical="center"/>
    </xf>
    <xf numFmtId="0" fontId="59" fillId="14" borderId="2" xfId="161" applyFont="1" applyFill="1" applyBorder="1">
      <alignment vertical="center"/>
    </xf>
    <xf numFmtId="0" fontId="59" fillId="14" borderId="8" xfId="161" applyFont="1" applyFill="1" applyBorder="1">
      <alignment vertical="center"/>
    </xf>
    <xf numFmtId="0" fontId="54" fillId="0" borderId="6" xfId="0" applyFont="1" applyBorder="1">
      <alignment vertical="center"/>
    </xf>
    <xf numFmtId="0" fontId="54" fillId="14" borderId="2" xfId="161" applyFont="1" applyFill="1" applyBorder="1">
      <alignment vertical="center"/>
    </xf>
    <xf numFmtId="0" fontId="54" fillId="14" borderId="2" xfId="161" applyFont="1" applyFill="1" applyBorder="1" applyAlignment="1">
      <alignment horizontal="center" vertical="center"/>
    </xf>
    <xf numFmtId="0" fontId="54" fillId="14" borderId="17" xfId="0" applyFont="1" applyFill="1" applyBorder="1">
      <alignment vertical="center"/>
    </xf>
    <xf numFmtId="0" fontId="54" fillId="14" borderId="10" xfId="0" applyFont="1" applyFill="1" applyBorder="1">
      <alignment vertical="center"/>
    </xf>
    <xf numFmtId="0" fontId="55" fillId="14" borderId="3" xfId="161" applyFont="1" applyFill="1" applyBorder="1" applyAlignment="1">
      <alignment horizontal="center" vertical="center"/>
    </xf>
    <xf numFmtId="0" fontId="54" fillId="0" borderId="8" xfId="161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12" xfId="161" quotePrefix="1" applyFont="1" applyBorder="1">
      <alignment vertical="center"/>
    </xf>
    <xf numFmtId="0" fontId="54" fillId="0" borderId="12" xfId="161" applyFont="1" applyBorder="1">
      <alignment vertical="center"/>
    </xf>
    <xf numFmtId="0" fontId="54" fillId="0" borderId="12" xfId="161" applyFont="1" applyBorder="1" applyAlignment="1">
      <alignment horizontal="center" vertical="center"/>
    </xf>
    <xf numFmtId="0" fontId="54" fillId="0" borderId="8" xfId="161" quotePrefix="1" applyFont="1" applyBorder="1">
      <alignment vertical="center"/>
    </xf>
    <xf numFmtId="0" fontId="62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4" fillId="0" borderId="0" xfId="161" applyFont="1">
      <alignment vertical="center"/>
    </xf>
    <xf numFmtId="0" fontId="74" fillId="0" borderId="0" xfId="0" applyFont="1">
      <alignment vertical="center"/>
    </xf>
    <xf numFmtId="0" fontId="74" fillId="14" borderId="0" xfId="0" applyFont="1" applyFill="1">
      <alignment vertical="center"/>
    </xf>
    <xf numFmtId="0" fontId="55" fillId="14" borderId="12" xfId="161" applyFont="1" applyFill="1" applyBorder="1">
      <alignment vertical="center"/>
    </xf>
    <xf numFmtId="0" fontId="21" fillId="10" borderId="18" xfId="46" applyFont="1" applyFill="1" applyBorder="1" applyAlignment="1">
      <alignment horizontal="centerContinuous"/>
    </xf>
    <xf numFmtId="0" fontId="54" fillId="14" borderId="0" xfId="0" applyFont="1" applyFill="1" applyAlignment="1">
      <alignment horizontal="left" vertical="center"/>
    </xf>
    <xf numFmtId="0" fontId="62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2" fillId="0" borderId="10" xfId="161" quotePrefix="1" applyFont="1" applyBorder="1">
      <alignment vertical="center"/>
    </xf>
    <xf numFmtId="0" fontId="62" fillId="0" borderId="2" xfId="161" quotePrefix="1" applyFont="1" applyBorder="1">
      <alignment vertical="center"/>
    </xf>
    <xf numFmtId="0" fontId="54" fillId="0" borderId="0" xfId="161" quotePrefix="1" applyFont="1" applyAlignment="1">
      <alignment horizontal="left" vertical="center"/>
    </xf>
    <xf numFmtId="0" fontId="54" fillId="0" borderId="25" xfId="161" applyFont="1" applyBorder="1" applyAlignment="1">
      <alignment horizontal="center" vertical="center"/>
    </xf>
    <xf numFmtId="0" fontId="54" fillId="0" borderId="2" xfId="161" quotePrefix="1" applyFont="1" applyBorder="1">
      <alignment vertical="center"/>
    </xf>
    <xf numFmtId="14" fontId="54" fillId="0" borderId="10" xfId="161" quotePrefix="1" applyNumberFormat="1" applyFont="1" applyBorder="1">
      <alignment vertical="center"/>
    </xf>
    <xf numFmtId="0" fontId="54" fillId="0" borderId="0" xfId="0" applyFont="1" applyAlignment="1">
      <alignment vertical="center" wrapText="1"/>
    </xf>
    <xf numFmtId="0" fontId="54" fillId="0" borderId="0" xfId="0" applyFont="1" applyAlignment="1">
      <alignment horizontal="center" vertical="center"/>
    </xf>
    <xf numFmtId="0" fontId="55" fillId="0" borderId="0" xfId="161" quotePrefix="1" applyFont="1">
      <alignment vertical="center"/>
    </xf>
    <xf numFmtId="0" fontId="55" fillId="0" borderId="2" xfId="161" applyFont="1" applyBorder="1">
      <alignment vertical="center"/>
    </xf>
    <xf numFmtId="0" fontId="59" fillId="14" borderId="6" xfId="180" quotePrefix="1" applyFont="1" applyFill="1" applyBorder="1">
      <alignment vertical="center"/>
    </xf>
    <xf numFmtId="0" fontId="54" fillId="14" borderId="0" xfId="180" applyFont="1" applyFill="1">
      <alignment vertical="center"/>
    </xf>
    <xf numFmtId="0" fontId="55" fillId="19" borderId="2" xfId="180" applyFont="1" applyFill="1" applyBorder="1" applyAlignment="1">
      <alignment horizontal="centerContinuous" vertical="center"/>
    </xf>
    <xf numFmtId="0" fontId="62" fillId="19" borderId="2" xfId="180" applyFont="1" applyFill="1" applyBorder="1" applyAlignment="1">
      <alignment horizontal="centerContinuous" vertical="center"/>
    </xf>
    <xf numFmtId="0" fontId="55" fillId="19" borderId="10" xfId="180" applyFont="1" applyFill="1" applyBorder="1" applyAlignment="1">
      <alignment horizontal="centerContinuous" vertical="center"/>
    </xf>
    <xf numFmtId="0" fontId="54" fillId="19" borderId="2" xfId="180" applyFont="1" applyFill="1" applyBorder="1" applyAlignment="1">
      <alignment horizontal="centerContinuous" vertical="center"/>
    </xf>
    <xf numFmtId="0" fontId="54" fillId="0" borderId="0" xfId="180" applyFont="1">
      <alignment vertical="center"/>
    </xf>
    <xf numFmtId="0" fontId="66" fillId="14" borderId="0" xfId="180" applyFont="1" applyFill="1">
      <alignment vertical="center"/>
    </xf>
    <xf numFmtId="0" fontId="78" fillId="14" borderId="2" xfId="180" quotePrefix="1" applyFont="1" applyFill="1" applyBorder="1">
      <alignment vertical="center"/>
    </xf>
    <xf numFmtId="0" fontId="54" fillId="14" borderId="10" xfId="180" applyFont="1" applyFill="1" applyBorder="1" applyAlignment="1">
      <alignment horizontal="centerContinuous" vertical="center"/>
    </xf>
    <xf numFmtId="0" fontId="54" fillId="14" borderId="2" xfId="180" applyFont="1" applyFill="1" applyBorder="1" applyAlignment="1">
      <alignment horizontal="centerContinuous" vertical="center"/>
    </xf>
    <xf numFmtId="0" fontId="75" fillId="14" borderId="10" xfId="180" applyFont="1" applyFill="1" applyBorder="1" applyAlignment="1">
      <alignment horizontal="center" vertical="center"/>
    </xf>
    <xf numFmtId="0" fontId="54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9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5" fillId="14" borderId="2" xfId="180" applyFont="1" applyFill="1" applyBorder="1" applyAlignment="1">
      <alignment horizontal="centerContinuous" vertical="center"/>
    </xf>
    <xf numFmtId="0" fontId="54" fillId="14" borderId="0" xfId="180" applyFont="1" applyFill="1" applyAlignment="1">
      <alignment horizontal="center" vertical="center"/>
    </xf>
    <xf numFmtId="0" fontId="54" fillId="14" borderId="0" xfId="180" quotePrefix="1" applyFont="1" applyFill="1">
      <alignment vertical="center"/>
    </xf>
    <xf numFmtId="14" fontId="62" fillId="0" borderId="10" xfId="161" quotePrefix="1" applyNumberFormat="1" applyFont="1" applyBorder="1" applyAlignment="1">
      <alignment horizontal="centerContinuous" vertical="center"/>
    </xf>
    <xf numFmtId="14" fontId="62" fillId="0" borderId="2" xfId="161" quotePrefix="1" applyNumberFormat="1" applyFont="1" applyBorder="1" applyAlignment="1">
      <alignment horizontal="centerContinuous" vertical="center"/>
    </xf>
    <xf numFmtId="0" fontId="62" fillId="0" borderId="2" xfId="161" quotePrefix="1" applyFont="1" applyBorder="1" applyAlignment="1">
      <alignment horizontal="centerContinuous" vertical="center"/>
    </xf>
    <xf numFmtId="0" fontId="62" fillId="0" borderId="17" xfId="161" quotePrefix="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1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9" fillId="14" borderId="14" xfId="161" applyFont="1" applyFill="1" applyBorder="1">
      <alignment vertical="center"/>
    </xf>
    <xf numFmtId="0" fontId="80" fillId="0" borderId="0" xfId="0" applyFont="1">
      <alignment vertical="center"/>
    </xf>
    <xf numFmtId="0" fontId="21" fillId="10" borderId="26" xfId="46" applyFont="1" applyFill="1" applyBorder="1" applyAlignment="1">
      <alignment horizontal="centerContinuous"/>
    </xf>
    <xf numFmtId="0" fontId="54" fillId="0" borderId="23" xfId="161" applyFont="1" applyBorder="1" applyAlignment="1">
      <alignment horizontal="center" vertical="center"/>
    </xf>
    <xf numFmtId="0" fontId="64" fillId="0" borderId="2" xfId="161" applyFont="1" applyBorder="1" applyAlignment="1">
      <alignment horizontal="centerContinuous" vertical="center"/>
    </xf>
    <xf numFmtId="0" fontId="64" fillId="0" borderId="17" xfId="161" applyFont="1" applyBorder="1" applyAlignment="1">
      <alignment horizontal="centerContinuous" vertical="center"/>
    </xf>
    <xf numFmtId="0" fontId="70" fillId="0" borderId="15" xfId="161" applyFont="1" applyBorder="1" applyAlignment="1">
      <alignment horizontal="left" vertical="center"/>
    </xf>
    <xf numFmtId="0" fontId="70" fillId="0" borderId="12" xfId="161" applyFont="1" applyBorder="1" applyAlignment="1">
      <alignment horizontal="left" vertical="center"/>
    </xf>
    <xf numFmtId="0" fontId="70" fillId="0" borderId="12" xfId="0" applyFont="1" applyBorder="1">
      <alignment vertical="center"/>
    </xf>
    <xf numFmtId="0" fontId="70" fillId="0" borderId="12" xfId="161" applyFont="1" applyBorder="1" applyAlignment="1">
      <alignment horizontal="center" vertical="center"/>
    </xf>
    <xf numFmtId="0" fontId="70" fillId="0" borderId="12" xfId="161" applyFont="1" applyBorder="1">
      <alignment vertical="center"/>
    </xf>
    <xf numFmtId="0" fontId="70" fillId="0" borderId="12" xfId="0" applyFont="1" applyBorder="1" applyAlignment="1">
      <alignment horizontal="center" vertical="center"/>
    </xf>
    <xf numFmtId="0" fontId="70" fillId="0" borderId="7" xfId="161" applyFont="1" applyBorder="1" applyAlignment="1">
      <alignment horizontal="left" vertical="center"/>
    </xf>
    <xf numFmtId="0" fontId="70" fillId="0" borderId="8" xfId="161" applyFont="1" applyBorder="1" applyAlignment="1">
      <alignment horizontal="left" vertical="center"/>
    </xf>
    <xf numFmtId="0" fontId="70" fillId="0" borderId="8" xfId="0" applyFont="1" applyBorder="1">
      <alignment vertical="center"/>
    </xf>
    <xf numFmtId="0" fontId="70" fillId="0" borderId="8" xfId="161" applyFont="1" applyBorder="1" applyAlignment="1">
      <alignment horizontal="center" vertical="center"/>
    </xf>
    <xf numFmtId="0" fontId="70" fillId="0" borderId="8" xfId="161" applyFont="1" applyBorder="1">
      <alignment vertical="center"/>
    </xf>
    <xf numFmtId="0" fontId="70" fillId="0" borderId="8" xfId="0" applyFont="1" applyBorder="1" applyAlignment="1">
      <alignment horizontal="center" vertical="center"/>
    </xf>
    <xf numFmtId="0" fontId="21" fillId="10" borderId="0" xfId="46" applyFont="1" applyFill="1" applyAlignment="1">
      <alignment horizontal="centerContinuous"/>
    </xf>
    <xf numFmtId="0" fontId="59" fillId="19" borderId="10" xfId="180" applyFont="1" applyFill="1" applyBorder="1">
      <alignment vertical="center"/>
    </xf>
    <xf numFmtId="0" fontId="59" fillId="19" borderId="2" xfId="180" applyFont="1" applyFill="1" applyBorder="1">
      <alignment vertical="center"/>
    </xf>
    <xf numFmtId="0" fontId="54" fillId="19" borderId="2" xfId="180" applyFont="1" applyFill="1" applyBorder="1">
      <alignment vertical="center"/>
    </xf>
    <xf numFmtId="0" fontId="54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4" fillId="19" borderId="2" xfId="180" quotePrefix="1" applyFont="1" applyFill="1" applyBorder="1">
      <alignment vertical="center"/>
    </xf>
    <xf numFmtId="0" fontId="66" fillId="19" borderId="2" xfId="161" applyFont="1" applyFill="1" applyBorder="1">
      <alignment vertical="center"/>
    </xf>
    <xf numFmtId="0" fontId="54" fillId="19" borderId="2" xfId="0" applyFont="1" applyFill="1" applyBorder="1" applyAlignment="1">
      <alignment vertical="center" wrapText="1"/>
    </xf>
    <xf numFmtId="0" fontId="54" fillId="19" borderId="2" xfId="161" quotePrefix="1" applyFont="1" applyFill="1" applyBorder="1">
      <alignment vertical="center"/>
    </xf>
    <xf numFmtId="0" fontId="59" fillId="19" borderId="17" xfId="180" applyFont="1" applyFill="1" applyBorder="1">
      <alignment vertical="center"/>
    </xf>
    <xf numFmtId="0" fontId="21" fillId="0" borderId="2" xfId="0" applyFont="1" applyBorder="1" applyAlignment="1">
      <alignment horizontal="center" vertical="top"/>
    </xf>
    <xf numFmtId="0" fontId="21" fillId="22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center" vertical="top"/>
    </xf>
    <xf numFmtId="0" fontId="54" fillId="0" borderId="15" xfId="0" applyFont="1" applyBorder="1">
      <alignment vertical="center"/>
    </xf>
    <xf numFmtId="0" fontId="82" fillId="0" borderId="0" xfId="161" applyFont="1">
      <alignment vertical="center"/>
    </xf>
    <xf numFmtId="0" fontId="82" fillId="0" borderId="0" xfId="0" applyFont="1">
      <alignment vertical="center"/>
    </xf>
    <xf numFmtId="0" fontId="82" fillId="0" borderId="0" xfId="161" applyFont="1" applyAlignment="1">
      <alignment horizontal="center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70" fillId="0" borderId="0" xfId="161" applyFont="1" applyAlignment="1">
      <alignment horizontal="center" vertical="center"/>
    </xf>
    <xf numFmtId="0" fontId="70" fillId="0" borderId="0" xfId="161" applyFont="1">
      <alignment vertical="center"/>
    </xf>
    <xf numFmtId="0" fontId="70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71" fillId="0" borderId="0" xfId="161" applyFont="1" applyAlignment="1">
      <alignment horizontal="left" vertical="center"/>
    </xf>
    <xf numFmtId="0" fontId="71" fillId="0" borderId="0" xfId="0" applyFont="1">
      <alignment vertical="center"/>
    </xf>
    <xf numFmtId="0" fontId="54" fillId="14" borderId="6" xfId="161" quotePrefix="1" applyFont="1" applyFill="1" applyBorder="1">
      <alignment vertical="center"/>
    </xf>
    <xf numFmtId="0" fontId="80" fillId="14" borderId="6" xfId="161" quotePrefix="1" applyFont="1" applyFill="1" applyBorder="1">
      <alignment vertical="center"/>
    </xf>
    <xf numFmtId="0" fontId="80" fillId="14" borderId="0" xfId="161" applyFont="1" applyFill="1">
      <alignment vertical="center"/>
    </xf>
    <xf numFmtId="0" fontId="77" fillId="14" borderId="0" xfId="0" applyFont="1" applyFill="1">
      <alignment vertical="center"/>
    </xf>
    <xf numFmtId="0" fontId="55" fillId="24" borderId="15" xfId="161" applyFont="1" applyFill="1" applyBorder="1" applyAlignment="1">
      <alignment horizontal="centerContinuous" vertical="center"/>
    </xf>
    <xf numFmtId="0" fontId="55" fillId="24" borderId="12" xfId="161" applyFont="1" applyFill="1" applyBorder="1" applyAlignment="1">
      <alignment horizontal="centerContinuous" vertical="center"/>
    </xf>
    <xf numFmtId="0" fontId="55" fillId="24" borderId="13" xfId="161" applyFont="1" applyFill="1" applyBorder="1" applyAlignment="1">
      <alignment horizontal="centerContinuous" vertical="center"/>
    </xf>
    <xf numFmtId="0" fontId="55" fillId="24" borderId="15" xfId="161" quotePrefix="1" applyFont="1" applyFill="1" applyBorder="1" applyAlignment="1">
      <alignment horizontal="centerContinuous" vertical="center"/>
    </xf>
    <xf numFmtId="0" fontId="55" fillId="24" borderId="12" xfId="161" quotePrefix="1" applyFont="1" applyFill="1" applyBorder="1" applyAlignment="1">
      <alignment horizontal="centerContinuous" vertical="center"/>
    </xf>
    <xf numFmtId="0" fontId="62" fillId="24" borderId="15" xfId="161" applyFont="1" applyFill="1" applyBorder="1" applyAlignment="1">
      <alignment horizontal="centerContinuous" vertical="center"/>
    </xf>
    <xf numFmtId="0" fontId="62" fillId="24" borderId="12" xfId="161" applyFont="1" applyFill="1" applyBorder="1" applyAlignment="1">
      <alignment horizontal="centerContinuous" vertical="center"/>
    </xf>
    <xf numFmtId="0" fontId="62" fillId="24" borderId="13" xfId="161" applyFont="1" applyFill="1" applyBorder="1" applyAlignment="1">
      <alignment horizontal="centerContinuous" vertical="center"/>
    </xf>
    <xf numFmtId="0" fontId="55" fillId="24" borderId="7" xfId="161" quotePrefix="1" applyFont="1" applyFill="1" applyBorder="1" applyAlignment="1">
      <alignment horizontal="centerContinuous" vertical="center"/>
    </xf>
    <xf numFmtId="0" fontId="55" fillId="24" borderId="8" xfId="161" applyFont="1" applyFill="1" applyBorder="1" applyAlignment="1">
      <alignment horizontal="centerContinuous" vertical="center"/>
    </xf>
    <xf numFmtId="0" fontId="55" fillId="24" borderId="14" xfId="161" applyFont="1" applyFill="1" applyBorder="1" applyAlignment="1">
      <alignment horizontal="centerContinuous" vertical="center"/>
    </xf>
    <xf numFmtId="0" fontId="55" fillId="24" borderId="8" xfId="161" quotePrefix="1" applyFont="1" applyFill="1" applyBorder="1" applyAlignment="1">
      <alignment horizontal="centerContinuous" vertical="center"/>
    </xf>
    <xf numFmtId="0" fontId="62" fillId="24" borderId="7" xfId="161" quotePrefix="1" applyFont="1" applyFill="1" applyBorder="1" applyAlignment="1">
      <alignment horizontal="centerContinuous" vertical="center"/>
    </xf>
    <xf numFmtId="0" fontId="62" fillId="24" borderId="8" xfId="161" quotePrefix="1" applyFont="1" applyFill="1" applyBorder="1" applyAlignment="1">
      <alignment horizontal="centerContinuous" vertical="center"/>
    </xf>
    <xf numFmtId="0" fontId="62" fillId="24" borderId="8" xfId="161" applyFont="1" applyFill="1" applyBorder="1" applyAlignment="1">
      <alignment horizontal="centerContinuous" vertical="center"/>
    </xf>
    <xf numFmtId="0" fontId="62" fillId="24" borderId="14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left" vertical="center"/>
    </xf>
    <xf numFmtId="0" fontId="62" fillId="0" borderId="2" xfId="161" quotePrefix="1" applyFont="1" applyBorder="1" applyAlignment="1">
      <alignment horizontal="left" vertical="center"/>
    </xf>
    <xf numFmtId="0" fontId="54" fillId="25" borderId="2" xfId="161" quotePrefix="1" applyFont="1" applyFill="1" applyBorder="1">
      <alignment vertical="center"/>
    </xf>
    <xf numFmtId="0" fontId="54" fillId="25" borderId="2" xfId="161" applyFont="1" applyFill="1" applyBorder="1">
      <alignment vertical="center"/>
    </xf>
    <xf numFmtId="0" fontId="55" fillId="25" borderId="2" xfId="0" applyFont="1" applyFill="1" applyBorder="1">
      <alignment vertical="center"/>
    </xf>
    <xf numFmtId="0" fontId="54" fillId="25" borderId="2" xfId="0" quotePrefix="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4" fillId="25" borderId="2" xfId="0" applyFont="1" applyFill="1" applyBorder="1" applyAlignment="1">
      <alignment horizontal="center" vertical="center"/>
    </xf>
    <xf numFmtId="0" fontId="54" fillId="25" borderId="2" xfId="0" applyFont="1" applyFill="1" applyBorder="1" applyAlignment="1">
      <alignment horizontal="left" vertical="center"/>
    </xf>
    <xf numFmtId="0" fontId="54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80" fillId="25" borderId="2" xfId="0" applyFont="1" applyFill="1" applyBorder="1">
      <alignment vertical="center"/>
    </xf>
    <xf numFmtId="0" fontId="81" fillId="14" borderId="0" xfId="0" applyFont="1" applyFill="1">
      <alignment vertical="center"/>
    </xf>
    <xf numFmtId="0" fontId="55" fillId="21" borderId="15" xfId="161" applyFont="1" applyFill="1" applyBorder="1" applyAlignment="1">
      <alignment horizontal="centerContinuous" vertical="center"/>
    </xf>
    <xf numFmtId="0" fontId="55" fillId="21" borderId="12" xfId="161" applyFont="1" applyFill="1" applyBorder="1" applyAlignment="1">
      <alignment horizontal="centerContinuous" vertical="center"/>
    </xf>
    <xf numFmtId="0" fontId="55" fillId="21" borderId="13" xfId="161" applyFont="1" applyFill="1" applyBorder="1" applyAlignment="1">
      <alignment horizontal="centerContinuous" vertical="center"/>
    </xf>
    <xf numFmtId="0" fontId="55" fillId="21" borderId="15" xfId="161" quotePrefix="1" applyFont="1" applyFill="1" applyBorder="1" applyAlignment="1">
      <alignment horizontal="centerContinuous" vertical="center"/>
    </xf>
    <xf numFmtId="0" fontId="55" fillId="21" borderId="12" xfId="161" quotePrefix="1" applyFont="1" applyFill="1" applyBorder="1" applyAlignment="1">
      <alignment horizontal="centerContinuous" vertical="center"/>
    </xf>
    <xf numFmtId="0" fontId="62" fillId="21" borderId="15" xfId="161" applyFont="1" applyFill="1" applyBorder="1" applyAlignment="1">
      <alignment horizontal="centerContinuous" vertical="center"/>
    </xf>
    <xf numFmtId="0" fontId="62" fillId="21" borderId="12" xfId="161" applyFont="1" applyFill="1" applyBorder="1" applyAlignment="1">
      <alignment horizontal="centerContinuous" vertical="center"/>
    </xf>
    <xf numFmtId="0" fontId="62" fillId="21" borderId="13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centerContinuous" vertical="center"/>
    </xf>
    <xf numFmtId="0" fontId="55" fillId="26" borderId="15" xfId="161" applyFont="1" applyFill="1" applyBorder="1" applyAlignment="1">
      <alignment horizontal="centerContinuous" vertical="center"/>
    </xf>
    <xf numFmtId="0" fontId="55" fillId="26" borderId="12" xfId="161" applyFont="1" applyFill="1" applyBorder="1" applyAlignment="1">
      <alignment horizontal="centerContinuous" vertical="center"/>
    </xf>
    <xf numFmtId="0" fontId="55" fillId="26" borderId="13" xfId="161" applyFont="1" applyFill="1" applyBorder="1" applyAlignment="1">
      <alignment horizontal="centerContinuous" vertical="center"/>
    </xf>
    <xf numFmtId="0" fontId="55" fillId="26" borderId="15" xfId="161" quotePrefix="1" applyFont="1" applyFill="1" applyBorder="1" applyAlignment="1">
      <alignment horizontal="centerContinuous" vertical="center"/>
    </xf>
    <xf numFmtId="0" fontId="55" fillId="26" borderId="12" xfId="161" quotePrefix="1" applyFont="1" applyFill="1" applyBorder="1" applyAlignment="1">
      <alignment horizontal="centerContinuous" vertical="center"/>
    </xf>
    <xf numFmtId="0" fontId="62" fillId="26" borderId="15" xfId="161" applyFont="1" applyFill="1" applyBorder="1" applyAlignment="1">
      <alignment horizontal="centerContinuous" vertical="center"/>
    </xf>
    <xf numFmtId="0" fontId="62" fillId="26" borderId="12" xfId="161" applyFont="1" applyFill="1" applyBorder="1" applyAlignment="1">
      <alignment horizontal="centerContinuous" vertical="center"/>
    </xf>
    <xf numFmtId="0" fontId="62" fillId="26" borderId="13" xfId="161" applyFont="1" applyFill="1" applyBorder="1" applyAlignment="1">
      <alignment horizontal="centerContinuous" vertical="center"/>
    </xf>
    <xf numFmtId="0" fontId="62" fillId="26" borderId="12" xfId="161" quotePrefix="1" applyFont="1" applyFill="1" applyBorder="1" applyAlignment="1">
      <alignment horizontal="centerContinuous" vertical="center"/>
    </xf>
    <xf numFmtId="183" fontId="62" fillId="0" borderId="2" xfId="161" quotePrefix="1" applyNumberFormat="1" applyFont="1" applyBorder="1" applyAlignment="1">
      <alignment horizontal="right" vertical="center"/>
    </xf>
    <xf numFmtId="0" fontId="62" fillId="26" borderId="15" xfId="161" quotePrefix="1" applyFont="1" applyFill="1" applyBorder="1" applyAlignment="1">
      <alignment horizontal="centerContinuous" vertical="center"/>
    </xf>
    <xf numFmtId="0" fontId="89" fillId="0" borderId="0" xfId="0" applyFont="1">
      <alignment vertical="center"/>
    </xf>
    <xf numFmtId="0" fontId="74" fillId="14" borderId="8" xfId="0" applyFont="1" applyFill="1" applyBorder="1">
      <alignment vertical="center"/>
    </xf>
    <xf numFmtId="0" fontId="54" fillId="14" borderId="6" xfId="180" applyFont="1" applyFill="1" applyBorder="1">
      <alignment vertical="center"/>
    </xf>
    <xf numFmtId="0" fontId="54" fillId="14" borderId="2" xfId="180" quotePrefix="1" applyFont="1" applyFill="1" applyBorder="1">
      <alignment vertical="center"/>
    </xf>
    <xf numFmtId="0" fontId="54" fillId="14" borderId="2" xfId="180" applyFont="1" applyFill="1" applyBorder="1">
      <alignment vertical="center"/>
    </xf>
    <xf numFmtId="0" fontId="54" fillId="14" borderId="2" xfId="180" applyFont="1" applyFill="1" applyBorder="1" applyAlignment="1">
      <alignment horizontal="center" vertical="center"/>
    </xf>
    <xf numFmtId="0" fontId="55" fillId="14" borderId="3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65" fillId="14" borderId="3" xfId="180" applyFont="1" applyFill="1" applyBorder="1" applyAlignment="1">
      <alignment horizontal="center" vertical="center"/>
    </xf>
    <xf numFmtId="0" fontId="54" fillId="0" borderId="28" xfId="0" applyFont="1" applyBorder="1">
      <alignment vertical="center"/>
    </xf>
    <xf numFmtId="0" fontId="54" fillId="14" borderId="28" xfId="161" applyFont="1" applyFill="1" applyBorder="1">
      <alignment vertical="center"/>
    </xf>
    <xf numFmtId="0" fontId="54" fillId="14" borderId="29" xfId="161" applyFont="1" applyFill="1" applyBorder="1">
      <alignment vertical="center"/>
    </xf>
    <xf numFmtId="0" fontId="55" fillId="14" borderId="33" xfId="161" applyFont="1" applyFill="1" applyBorder="1">
      <alignment vertical="center"/>
    </xf>
    <xf numFmtId="0" fontId="54" fillId="14" borderId="34" xfId="161" applyFont="1" applyFill="1" applyBorder="1">
      <alignment vertical="center"/>
    </xf>
    <xf numFmtId="0" fontId="55" fillId="14" borderId="30" xfId="161" applyFont="1" applyFill="1" applyBorder="1">
      <alignment vertical="center"/>
    </xf>
    <xf numFmtId="0" fontId="54" fillId="14" borderId="31" xfId="161" applyFont="1" applyFill="1" applyBorder="1">
      <alignment vertical="center"/>
    </xf>
    <xf numFmtId="0" fontId="54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5" fillId="0" borderId="31" xfId="161" applyFont="1" applyBorder="1">
      <alignment vertical="center"/>
    </xf>
    <xf numFmtId="0" fontId="54" fillId="0" borderId="31" xfId="161" applyFont="1" applyBorder="1">
      <alignment vertical="center"/>
    </xf>
    <xf numFmtId="0" fontId="54" fillId="0" borderId="31" xfId="0" applyFont="1" applyBorder="1" applyAlignment="1">
      <alignment vertical="center" wrapText="1"/>
    </xf>
    <xf numFmtId="0" fontId="54" fillId="0" borderId="31" xfId="161" quotePrefix="1" applyFont="1" applyBorder="1">
      <alignment vertical="center"/>
    </xf>
    <xf numFmtId="0" fontId="54" fillId="0" borderId="31" xfId="161" applyFont="1" applyBorder="1" applyAlignment="1">
      <alignment horizontal="center" vertical="center"/>
    </xf>
    <xf numFmtId="0" fontId="54" fillId="14" borderId="32" xfId="161" applyFont="1" applyFill="1" applyBorder="1">
      <alignment vertical="center"/>
    </xf>
    <xf numFmtId="0" fontId="54" fillId="0" borderId="28" xfId="161" quotePrefix="1" applyFont="1" applyBorder="1">
      <alignment vertical="center"/>
    </xf>
    <xf numFmtId="0" fontId="54" fillId="0" borderId="28" xfId="161" applyFont="1" applyBorder="1">
      <alignment vertical="center"/>
    </xf>
    <xf numFmtId="0" fontId="54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4" fillId="14" borderId="33" xfId="0" applyFont="1" applyFill="1" applyBorder="1">
      <alignment vertical="center"/>
    </xf>
    <xf numFmtId="0" fontId="54" fillId="0" borderId="34" xfId="161" applyFont="1" applyBorder="1">
      <alignment vertical="center"/>
    </xf>
    <xf numFmtId="0" fontId="65" fillId="0" borderId="33" xfId="180" applyFont="1" applyBorder="1" applyAlignment="1">
      <alignment vertical="top"/>
    </xf>
    <xf numFmtId="0" fontId="54" fillId="0" borderId="0" xfId="180" applyFont="1" applyAlignment="1">
      <alignment vertical="top"/>
    </xf>
    <xf numFmtId="0" fontId="54" fillId="14" borderId="34" xfId="180" applyFont="1" applyFill="1" applyBorder="1">
      <alignment vertical="center"/>
    </xf>
    <xf numFmtId="0" fontId="54" fillId="14" borderId="33" xfId="161" applyFont="1" applyFill="1" applyBorder="1" applyAlignment="1">
      <alignment horizontal="left" vertical="center"/>
    </xf>
    <xf numFmtId="0" fontId="54" fillId="14" borderId="30" xfId="161" applyFont="1" applyFill="1" applyBorder="1" applyAlignment="1">
      <alignment horizontal="left" vertical="center"/>
    </xf>
    <xf numFmtId="0" fontId="54" fillId="14" borderId="31" xfId="161" applyFont="1" applyFill="1" applyBorder="1" applyAlignment="1">
      <alignment horizontal="left" vertical="center"/>
    </xf>
    <xf numFmtId="0" fontId="70" fillId="0" borderId="31" xfId="161" applyFont="1" applyBorder="1" applyAlignment="1">
      <alignment horizontal="left" vertical="center"/>
    </xf>
    <xf numFmtId="0" fontId="70" fillId="0" borderId="31" xfId="0" applyFont="1" applyBorder="1">
      <alignment vertical="center"/>
    </xf>
    <xf numFmtId="0" fontId="70" fillId="0" borderId="31" xfId="161" applyFont="1" applyBorder="1" applyAlignment="1">
      <alignment horizontal="center" vertical="center"/>
    </xf>
    <xf numFmtId="0" fontId="70" fillId="0" borderId="31" xfId="161" applyFont="1" applyBorder="1">
      <alignment vertical="center"/>
    </xf>
    <xf numFmtId="0" fontId="70" fillId="0" borderId="31" xfId="0" applyFont="1" applyBorder="1" applyAlignment="1">
      <alignment horizontal="center" vertical="center"/>
    </xf>
    <xf numFmtId="0" fontId="54" fillId="0" borderId="32" xfId="161" applyFont="1" applyBorder="1">
      <alignment vertical="center"/>
    </xf>
    <xf numFmtId="0" fontId="77" fillId="14" borderId="27" xfId="0" applyFont="1" applyFill="1" applyBorder="1">
      <alignment vertical="center"/>
    </xf>
    <xf numFmtId="0" fontId="54" fillId="0" borderId="28" xfId="161" quotePrefix="1" applyFont="1" applyBorder="1" applyAlignment="1">
      <alignment horizontal="left" vertical="center"/>
    </xf>
    <xf numFmtId="0" fontId="54" fillId="0" borderId="28" xfId="161" applyFont="1" applyBorder="1" applyAlignment="1">
      <alignment horizontal="left" vertical="center"/>
    </xf>
    <xf numFmtId="0" fontId="55" fillId="0" borderId="15" xfId="161" applyFont="1" applyBorder="1">
      <alignment vertical="center"/>
    </xf>
    <xf numFmtId="0" fontId="81" fillId="14" borderId="28" xfId="0" applyFont="1" applyFill="1" applyBorder="1">
      <alignment vertical="center"/>
    </xf>
    <xf numFmtId="0" fontId="59" fillId="14" borderId="28" xfId="161" applyFont="1" applyFill="1" applyBorder="1">
      <alignment vertical="center"/>
    </xf>
    <xf numFmtId="0" fontId="21" fillId="10" borderId="28" xfId="46" applyFont="1" applyFill="1" applyBorder="1" applyAlignment="1">
      <alignment horizontal="centerContinuous"/>
    </xf>
    <xf numFmtId="0" fontId="21" fillId="10" borderId="29" xfId="46" applyFont="1" applyFill="1" applyBorder="1" applyAlignment="1">
      <alignment horizontal="centerContinuous"/>
    </xf>
    <xf numFmtId="0" fontId="62" fillId="19" borderId="35" xfId="161" applyFont="1" applyFill="1" applyBorder="1" applyAlignment="1">
      <alignment horizontal="center" vertical="center"/>
    </xf>
    <xf numFmtId="0" fontId="62" fillId="24" borderId="36" xfId="161" applyFont="1" applyFill="1" applyBorder="1" applyAlignment="1">
      <alignment horizontal="centerContinuous" vertical="center"/>
    </xf>
    <xf numFmtId="0" fontId="55" fillId="19" borderId="37" xfId="161" applyFont="1" applyFill="1" applyBorder="1" applyAlignment="1">
      <alignment horizontal="centerContinuous" vertical="center"/>
    </xf>
    <xf numFmtId="0" fontId="62" fillId="24" borderId="38" xfId="161" quotePrefix="1" applyFont="1" applyFill="1" applyBorder="1" applyAlignment="1">
      <alignment horizontal="centerContinuous" vertical="center"/>
    </xf>
    <xf numFmtId="0" fontId="54" fillId="19" borderId="39" xfId="161" quotePrefix="1" applyFont="1" applyFill="1" applyBorder="1" applyAlignment="1">
      <alignment horizontal="center" vertical="center"/>
    </xf>
    <xf numFmtId="14" fontId="62" fillId="0" borderId="40" xfId="161" quotePrefix="1" applyNumberFormat="1" applyFont="1" applyBorder="1" applyAlignment="1">
      <alignment horizontal="centerContinuous" vertical="center"/>
    </xf>
    <xf numFmtId="0" fontId="65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4" fillId="0" borderId="33" xfId="0" applyFont="1" applyBorder="1">
      <alignment vertical="center"/>
    </xf>
    <xf numFmtId="0" fontId="86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7" fillId="14" borderId="30" xfId="0" applyFont="1" applyFill="1" applyBorder="1">
      <alignment vertical="center"/>
    </xf>
    <xf numFmtId="0" fontId="54" fillId="0" borderId="31" xfId="161" quotePrefix="1" applyFont="1" applyBorder="1" applyAlignment="1">
      <alignment horizontal="left" vertical="center"/>
    </xf>
    <xf numFmtId="0" fontId="54" fillId="0" borderId="31" xfId="161" applyFont="1" applyBorder="1" applyAlignment="1">
      <alignment horizontal="left" vertical="center"/>
    </xf>
    <xf numFmtId="0" fontId="81" fillId="14" borderId="31" xfId="0" applyFont="1" applyFill="1" applyBorder="1">
      <alignment vertical="center"/>
    </xf>
    <xf numFmtId="0" fontId="59" fillId="14" borderId="31" xfId="161" applyFont="1" applyFill="1" applyBorder="1">
      <alignment vertical="center"/>
    </xf>
    <xf numFmtId="0" fontId="21" fillId="10" borderId="31" xfId="46" applyFont="1" applyFill="1" applyBorder="1" applyAlignment="1">
      <alignment horizontal="centerContinuous"/>
    </xf>
    <xf numFmtId="0" fontId="21" fillId="10" borderId="32" xfId="46" applyFont="1" applyFill="1" applyBorder="1" applyAlignment="1">
      <alignment horizontal="centerContinuous"/>
    </xf>
    <xf numFmtId="0" fontId="55" fillId="0" borderId="8" xfId="161" quotePrefix="1" applyFont="1" applyBorder="1">
      <alignment vertical="center"/>
    </xf>
    <xf numFmtId="0" fontId="59" fillId="14" borderId="12" xfId="161" applyFont="1" applyFill="1" applyBorder="1">
      <alignment vertical="center"/>
    </xf>
    <xf numFmtId="0" fontId="21" fillId="10" borderId="12" xfId="46" applyFont="1" applyFill="1" applyBorder="1" applyAlignment="1">
      <alignment horizontal="centerContinuous"/>
    </xf>
    <xf numFmtId="0" fontId="21" fillId="10" borderId="36" xfId="46" applyFont="1" applyFill="1" applyBorder="1" applyAlignment="1">
      <alignment horizontal="centerContinuous"/>
    </xf>
    <xf numFmtId="0" fontId="21" fillId="10" borderId="34" xfId="46" applyFont="1" applyFill="1" applyBorder="1" applyAlignment="1">
      <alignment horizontal="centerContinuous"/>
    </xf>
    <xf numFmtId="0" fontId="21" fillId="10" borderId="8" xfId="46" applyFont="1" applyFill="1" applyBorder="1" applyAlignment="1">
      <alignment horizontal="centerContinuous"/>
    </xf>
    <xf numFmtId="0" fontId="21" fillId="10" borderId="38" xfId="46" applyFont="1" applyFill="1" applyBorder="1" applyAlignment="1">
      <alignment horizontal="centerContinuous"/>
    </xf>
    <xf numFmtId="0" fontId="21" fillId="10" borderId="2" xfId="46" applyFont="1" applyFill="1" applyBorder="1" applyAlignment="1">
      <alignment horizontal="centerContinuous"/>
    </xf>
    <xf numFmtId="0" fontId="62" fillId="26" borderId="10" xfId="161" applyFont="1" applyFill="1" applyBorder="1" applyAlignment="1">
      <alignment horizontal="centerContinuous" vertical="center"/>
    </xf>
    <xf numFmtId="0" fontId="54" fillId="0" borderId="0" xfId="161" quotePrefix="1" applyFont="1" applyAlignment="1">
      <alignment horizontal="center" vertical="center"/>
    </xf>
    <xf numFmtId="0" fontId="75" fillId="0" borderId="0" xfId="0" applyFont="1">
      <alignment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0" fontId="21" fillId="10" borderId="16" xfId="46" applyFont="1" applyFill="1" applyBorder="1" applyAlignment="1">
      <alignment horizontal="center"/>
    </xf>
    <xf numFmtId="0" fontId="21" fillId="10" borderId="9" xfId="46" applyFont="1" applyFill="1" applyBorder="1" applyAlignment="1">
      <alignment horizontal="center"/>
    </xf>
    <xf numFmtId="0" fontId="77" fillId="14" borderId="33" xfId="0" applyFont="1" applyFill="1" applyBorder="1">
      <alignment vertical="center"/>
    </xf>
    <xf numFmtId="0" fontId="21" fillId="10" borderId="40" xfId="46" applyFont="1" applyFill="1" applyBorder="1" applyAlignment="1">
      <alignment horizontal="centerContinuous"/>
    </xf>
    <xf numFmtId="0" fontId="55" fillId="0" borderId="33" xfId="161" applyFont="1" applyBorder="1">
      <alignment vertical="center"/>
    </xf>
    <xf numFmtId="0" fontId="77" fillId="0" borderId="33" xfId="0" applyFont="1" applyBorder="1">
      <alignment vertical="center"/>
    </xf>
    <xf numFmtId="0" fontId="62" fillId="0" borderId="33" xfId="161" applyFont="1" applyBorder="1" applyAlignment="1">
      <alignment horizontal="center" vertical="center"/>
    </xf>
    <xf numFmtId="0" fontId="54" fillId="0" borderId="33" xfId="161" quotePrefix="1" applyFont="1" applyBorder="1" applyAlignment="1">
      <alignment horizontal="center" vertical="center"/>
    </xf>
    <xf numFmtId="0" fontId="21" fillId="10" borderId="42" xfId="46" applyFont="1" applyFill="1" applyBorder="1" applyAlignment="1">
      <alignment horizontal="centerContinuous"/>
    </xf>
    <xf numFmtId="0" fontId="21" fillId="10" borderId="43" xfId="46" applyFont="1" applyFill="1" applyBorder="1" applyAlignment="1">
      <alignment horizontal="centerContinuous"/>
    </xf>
    <xf numFmtId="0" fontId="21" fillId="10" borderId="11" xfId="46" applyFont="1" applyFill="1" applyBorder="1" applyAlignment="1">
      <alignment horizontal="centerContinuous"/>
    </xf>
    <xf numFmtId="0" fontId="76" fillId="14" borderId="0" xfId="180" applyFont="1" applyFill="1">
      <alignment vertical="center"/>
    </xf>
    <xf numFmtId="0" fontId="54" fillId="0" borderId="34" xfId="0" applyFont="1" applyBorder="1">
      <alignment vertical="center"/>
    </xf>
    <xf numFmtId="0" fontId="66" fillId="19" borderId="41" xfId="180" applyFont="1" applyFill="1" applyBorder="1" applyAlignment="1">
      <alignment horizontal="centerContinuous" vertical="center"/>
    </xf>
    <xf numFmtId="0" fontId="78" fillId="14" borderId="41" xfId="180" quotePrefix="1" applyFont="1" applyFill="1" applyBorder="1">
      <alignment vertical="center"/>
    </xf>
    <xf numFmtId="14" fontId="54" fillId="14" borderId="2" xfId="180" applyNumberFormat="1" applyFont="1" applyFill="1" applyBorder="1" applyAlignment="1">
      <alignment horizontal="centerContinuous" vertical="center"/>
    </xf>
    <xf numFmtId="0" fontId="54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4" fillId="14" borderId="44" xfId="161" applyFont="1" applyFill="1" applyBorder="1">
      <alignment vertical="center"/>
    </xf>
    <xf numFmtId="185" fontId="62" fillId="0" borderId="0" xfId="161" quotePrefix="1" applyNumberFormat="1" applyFont="1" applyAlignment="1">
      <alignment horizontal="right" vertical="center"/>
    </xf>
    <xf numFmtId="0" fontId="21" fillId="10" borderId="21" xfId="46" applyFont="1" applyFill="1" applyBorder="1" applyAlignment="1">
      <alignment horizontal="center"/>
    </xf>
    <xf numFmtId="0" fontId="21" fillId="10" borderId="22" xfId="46" applyFont="1" applyFill="1" applyBorder="1" applyAlignment="1">
      <alignment horizontal="center"/>
    </xf>
    <xf numFmtId="0" fontId="62" fillId="21" borderId="10" xfId="161" applyFont="1" applyFill="1" applyBorder="1" applyAlignment="1">
      <alignment horizontal="centerContinuous" vertical="center"/>
    </xf>
    <xf numFmtId="0" fontId="62" fillId="26" borderId="10" xfId="161" quotePrefix="1" applyFont="1" applyFill="1" applyBorder="1" applyAlignment="1">
      <alignment horizontal="centerContinuous" vertical="center"/>
    </xf>
    <xf numFmtId="0" fontId="79" fillId="14" borderId="0" xfId="161" applyFont="1" applyFill="1">
      <alignment vertical="center"/>
    </xf>
    <xf numFmtId="14" fontId="54" fillId="0" borderId="0" xfId="161" quotePrefix="1" applyNumberFormat="1" applyFont="1">
      <alignment vertical="center"/>
    </xf>
    <xf numFmtId="0" fontId="65" fillId="0" borderId="0" xfId="180" applyFont="1" applyAlignment="1">
      <alignment vertical="top"/>
    </xf>
    <xf numFmtId="0" fontId="55" fillId="14" borderId="0" xfId="180" applyFont="1" applyFill="1" applyAlignment="1">
      <alignment horizontal="center" vertical="center"/>
    </xf>
    <xf numFmtId="0" fontId="65" fillId="14" borderId="0" xfId="180" applyFont="1" applyFill="1" applyAlignment="1">
      <alignment horizontal="center" vertical="center"/>
    </xf>
    <xf numFmtId="0" fontId="70" fillId="0" borderId="28" xfId="161" applyFont="1" applyBorder="1" applyAlignment="1">
      <alignment horizontal="left" vertical="center"/>
    </xf>
    <xf numFmtId="0" fontId="70" fillId="0" borderId="28" xfId="0" applyFont="1" applyBorder="1">
      <alignment vertical="center"/>
    </xf>
    <xf numFmtId="0" fontId="70" fillId="0" borderId="28" xfId="161" applyFont="1" applyBorder="1" applyAlignment="1">
      <alignment horizontal="center" vertical="center"/>
    </xf>
    <xf numFmtId="0" fontId="70" fillId="0" borderId="28" xfId="161" applyFont="1" applyBorder="1">
      <alignment vertical="center"/>
    </xf>
    <xf numFmtId="0" fontId="70" fillId="0" borderId="28" xfId="0" applyFont="1" applyBorder="1" applyAlignment="1">
      <alignment horizontal="center" vertical="center"/>
    </xf>
    <xf numFmtId="0" fontId="77" fillId="27" borderId="27" xfId="0" applyFont="1" applyFill="1" applyBorder="1">
      <alignment vertical="center"/>
    </xf>
    <xf numFmtId="0" fontId="54" fillId="27" borderId="28" xfId="0" applyFont="1" applyFill="1" applyBorder="1">
      <alignment vertical="center"/>
    </xf>
    <xf numFmtId="0" fontId="54" fillId="27" borderId="28" xfId="161" quotePrefix="1" applyFont="1" applyFill="1" applyBorder="1" applyAlignment="1">
      <alignment horizontal="left" vertical="center"/>
    </xf>
    <xf numFmtId="0" fontId="54" fillId="27" borderId="28" xfId="161" quotePrefix="1" applyFont="1" applyFill="1" applyBorder="1">
      <alignment vertical="center"/>
    </xf>
    <xf numFmtId="0" fontId="54" fillId="27" borderId="28" xfId="161" applyFont="1" applyFill="1" applyBorder="1">
      <alignment vertical="center"/>
    </xf>
    <xf numFmtId="0" fontId="54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4" fillId="27" borderId="28" xfId="161" applyFont="1" applyFill="1" applyBorder="1" applyAlignment="1">
      <alignment horizontal="center" vertical="center"/>
    </xf>
    <xf numFmtId="0" fontId="55" fillId="27" borderId="33" xfId="161" applyFont="1" applyFill="1" applyBorder="1">
      <alignment vertical="center"/>
    </xf>
    <xf numFmtId="0" fontId="54" fillId="27" borderId="0" xfId="0" applyFont="1" applyFill="1">
      <alignment vertical="center"/>
    </xf>
    <xf numFmtId="0" fontId="54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4" fillId="27" borderId="0" xfId="161" applyFont="1" applyFill="1" applyAlignment="1">
      <alignment horizontal="center" vertical="center"/>
    </xf>
    <xf numFmtId="0" fontId="54" fillId="27" borderId="0" xfId="161" applyFont="1" applyFill="1">
      <alignment vertical="center"/>
    </xf>
    <xf numFmtId="0" fontId="54" fillId="27" borderId="0" xfId="161" quotePrefix="1" applyFont="1" applyFill="1">
      <alignment vertical="center"/>
    </xf>
    <xf numFmtId="0" fontId="54" fillId="27" borderId="30" xfId="161" applyFont="1" applyFill="1" applyBorder="1" applyAlignment="1">
      <alignment horizontal="left" vertical="center"/>
    </xf>
    <xf numFmtId="0" fontId="54" fillId="27" borderId="31" xfId="161" applyFont="1" applyFill="1" applyBorder="1" applyAlignment="1">
      <alignment horizontal="left" vertical="center"/>
    </xf>
    <xf numFmtId="0" fontId="70" fillId="27" borderId="31" xfId="161" applyFont="1" applyFill="1" applyBorder="1" applyAlignment="1">
      <alignment horizontal="left" vertical="center"/>
    </xf>
    <xf numFmtId="0" fontId="70" fillId="27" borderId="31" xfId="0" applyFont="1" applyFill="1" applyBorder="1">
      <alignment vertical="center"/>
    </xf>
    <xf numFmtId="0" fontId="70" fillId="27" borderId="31" xfId="161" applyFont="1" applyFill="1" applyBorder="1" applyAlignment="1">
      <alignment horizontal="center" vertical="center"/>
    </xf>
    <xf numFmtId="0" fontId="70" fillId="27" borderId="31" xfId="161" applyFont="1" applyFill="1" applyBorder="1">
      <alignment vertical="center"/>
    </xf>
    <xf numFmtId="0" fontId="70" fillId="27" borderId="31" xfId="0" applyFont="1" applyFill="1" applyBorder="1" applyAlignment="1">
      <alignment horizontal="center" vertical="center"/>
    </xf>
    <xf numFmtId="0" fontId="54" fillId="27" borderId="31" xfId="161" applyFont="1" applyFill="1" applyBorder="1" applyAlignment="1">
      <alignment horizontal="center" vertical="center"/>
    </xf>
    <xf numFmtId="0" fontId="54" fillId="14" borderId="10" xfId="161" quotePrefix="1" applyFont="1" applyFill="1" applyBorder="1">
      <alignment vertical="center"/>
    </xf>
    <xf numFmtId="0" fontId="90" fillId="14" borderId="33" xfId="161" applyFont="1" applyFill="1" applyBorder="1">
      <alignment vertical="center"/>
    </xf>
    <xf numFmtId="0" fontId="86" fillId="0" borderId="33" xfId="161" quotePrefix="1" applyFont="1" applyBorder="1" applyAlignment="1">
      <alignment horizontal="left" vertical="center"/>
    </xf>
    <xf numFmtId="0" fontId="54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5" fillId="0" borderId="12" xfId="0" applyFont="1" applyBorder="1">
      <alignment vertical="center"/>
    </xf>
    <xf numFmtId="0" fontId="54" fillId="0" borderId="12" xfId="0" quotePrefix="1" applyFont="1" applyBorder="1">
      <alignment vertical="center"/>
    </xf>
    <xf numFmtId="0" fontId="54" fillId="0" borderId="12" xfId="0" applyFont="1" applyBorder="1" applyAlignment="1">
      <alignment horizontal="center" vertical="center"/>
    </xf>
    <xf numFmtId="0" fontId="54" fillId="0" borderId="12" xfId="0" applyFont="1" applyBorder="1" applyAlignment="1">
      <alignment horizontal="left" vertical="center"/>
    </xf>
    <xf numFmtId="0" fontId="62" fillId="19" borderId="45" xfId="161" applyFont="1" applyFill="1" applyBorder="1" applyAlignment="1">
      <alignment horizontal="center" vertical="center"/>
    </xf>
    <xf numFmtId="0" fontId="55" fillId="28" borderId="46" xfId="161" applyFont="1" applyFill="1" applyBorder="1" applyAlignment="1">
      <alignment horizontal="centerContinuous" vertical="center"/>
    </xf>
    <xf numFmtId="0" fontId="55" fillId="28" borderId="28" xfId="161" applyFont="1" applyFill="1" applyBorder="1" applyAlignment="1">
      <alignment horizontal="centerContinuous" vertical="center"/>
    </xf>
    <xf numFmtId="0" fontId="55" fillId="28" borderId="42" xfId="161" applyFont="1" applyFill="1" applyBorder="1" applyAlignment="1">
      <alignment horizontal="centerContinuous" vertical="center"/>
    </xf>
    <xf numFmtId="0" fontId="55" fillId="28" borderId="46" xfId="161" quotePrefix="1" applyFont="1" applyFill="1" applyBorder="1" applyAlignment="1">
      <alignment horizontal="centerContinuous" vertical="center"/>
    </xf>
    <xf numFmtId="0" fontId="55" fillId="28" borderId="28" xfId="161" quotePrefix="1" applyFont="1" applyFill="1" applyBorder="1" applyAlignment="1">
      <alignment horizontal="centerContinuous" vertical="center"/>
    </xf>
    <xf numFmtId="0" fontId="62" fillId="28" borderId="46" xfId="161" applyFont="1" applyFill="1" applyBorder="1" applyAlignment="1">
      <alignment horizontal="centerContinuous" vertical="center"/>
    </xf>
    <xf numFmtId="0" fontId="62" fillId="28" borderId="28" xfId="161" applyFont="1" applyFill="1" applyBorder="1" applyAlignment="1">
      <alignment horizontal="centerContinuous" vertical="center"/>
    </xf>
    <xf numFmtId="0" fontId="62" fillId="28" borderId="42" xfId="161" applyFont="1" applyFill="1" applyBorder="1" applyAlignment="1">
      <alignment horizontal="centerContinuous" vertical="center"/>
    </xf>
    <xf numFmtId="0" fontId="55" fillId="20" borderId="46" xfId="161" applyFont="1" applyFill="1" applyBorder="1" applyAlignment="1">
      <alignment horizontal="centerContinuous" vertical="center"/>
    </xf>
    <xf numFmtId="0" fontId="55" fillId="20" borderId="28" xfId="161" applyFont="1" applyFill="1" applyBorder="1" applyAlignment="1">
      <alignment horizontal="centerContinuous" vertical="center"/>
    </xf>
    <xf numFmtId="0" fontId="55" fillId="20" borderId="42" xfId="161" applyFont="1" applyFill="1" applyBorder="1" applyAlignment="1">
      <alignment horizontal="centerContinuous" vertical="center"/>
    </xf>
    <xf numFmtId="0" fontId="55" fillId="20" borderId="46" xfId="161" quotePrefix="1" applyFont="1" applyFill="1" applyBorder="1" applyAlignment="1">
      <alignment horizontal="centerContinuous" vertical="center"/>
    </xf>
    <xf numFmtId="0" fontId="55" fillId="20" borderId="28" xfId="161" quotePrefix="1" applyFont="1" applyFill="1" applyBorder="1" applyAlignment="1">
      <alignment horizontal="centerContinuous" vertical="center"/>
    </xf>
    <xf numFmtId="0" fontId="62" fillId="20" borderId="46" xfId="161" applyFont="1" applyFill="1" applyBorder="1" applyAlignment="1">
      <alignment horizontal="centerContinuous" vertical="center"/>
    </xf>
    <xf numFmtId="0" fontId="62" fillId="20" borderId="28" xfId="161" applyFont="1" applyFill="1" applyBorder="1" applyAlignment="1">
      <alignment horizontal="centerContinuous" vertical="center"/>
    </xf>
    <xf numFmtId="0" fontId="62" fillId="20" borderId="42" xfId="161" applyFont="1" applyFill="1" applyBorder="1" applyAlignment="1">
      <alignment horizontal="centerContinuous" vertical="center"/>
    </xf>
    <xf numFmtId="0" fontId="54" fillId="19" borderId="35" xfId="161" quotePrefix="1" applyFont="1" applyFill="1" applyBorder="1" applyAlignment="1">
      <alignment horizontal="center" vertical="center"/>
    </xf>
    <xf numFmtId="0" fontId="62" fillId="0" borderId="15" xfId="161" quotePrefix="1" applyFont="1" applyBorder="1" applyAlignment="1">
      <alignment horizontal="centerContinuous" vertical="center"/>
    </xf>
    <xf numFmtId="0" fontId="64" fillId="0" borderId="12" xfId="161" applyFont="1" applyBorder="1" applyAlignment="1">
      <alignment horizontal="centerContinuous" vertical="center"/>
    </xf>
    <xf numFmtId="0" fontId="64" fillId="0" borderId="13" xfId="161" applyFont="1" applyBorder="1" applyAlignment="1">
      <alignment horizontal="centerContinuous" vertical="center"/>
    </xf>
    <xf numFmtId="14" fontId="62" fillId="0" borderId="28" xfId="161" quotePrefix="1" applyNumberFormat="1" applyFont="1" applyBorder="1" applyAlignment="1">
      <alignment horizontal="centerContinuous" vertical="center"/>
    </xf>
    <xf numFmtId="0" fontId="62" fillId="0" borderId="28" xfId="161" quotePrefix="1" applyFont="1" applyBorder="1" applyAlignment="1">
      <alignment horizontal="centerContinuous" vertical="center"/>
    </xf>
    <xf numFmtId="0" fontId="64" fillId="0" borderId="28" xfId="161" applyFont="1" applyBorder="1" applyAlignment="1">
      <alignment horizontal="centerContinuous" vertical="center"/>
    </xf>
    <xf numFmtId="0" fontId="55" fillId="0" borderId="28" xfId="161" applyFont="1" applyBorder="1" applyAlignment="1">
      <alignment horizontal="center" vertical="center"/>
    </xf>
    <xf numFmtId="14" fontId="62" fillId="0" borderId="47" xfId="161" quotePrefix="1" applyNumberFormat="1" applyFont="1" applyBorder="1" applyAlignment="1">
      <alignment horizontal="centerContinuous" vertical="center"/>
    </xf>
    <xf numFmtId="14" fontId="62" fillId="0" borderId="48" xfId="161" quotePrefix="1" applyNumberFormat="1" applyFont="1" applyBorder="1" applyAlignment="1">
      <alignment horizontal="centerContinuous" vertical="center"/>
    </xf>
    <xf numFmtId="0" fontId="55" fillId="14" borderId="49" xfId="161" applyFont="1" applyFill="1" applyBorder="1" applyAlignment="1">
      <alignment horizontal="centerContinuous" vertical="center"/>
    </xf>
    <xf numFmtId="0" fontId="54" fillId="0" borderId="27" xfId="161" quotePrefix="1" applyFont="1" applyBorder="1" applyAlignment="1">
      <alignment horizontal="center" vertical="center"/>
    </xf>
    <xf numFmtId="0" fontId="62" fillId="19" borderId="23" xfId="161" applyFont="1" applyFill="1" applyBorder="1" applyAlignment="1">
      <alignment horizontal="center" vertical="center"/>
    </xf>
    <xf numFmtId="0" fontId="55" fillId="28" borderId="15" xfId="161" applyFont="1" applyFill="1" applyBorder="1" applyAlignment="1">
      <alignment horizontal="centerContinuous" vertical="center"/>
    </xf>
    <xf numFmtId="0" fontId="55" fillId="28" borderId="12" xfId="161" applyFont="1" applyFill="1" applyBorder="1" applyAlignment="1">
      <alignment horizontal="centerContinuous" vertical="center"/>
    </xf>
    <xf numFmtId="0" fontId="55" fillId="28" borderId="13" xfId="161" applyFont="1" applyFill="1" applyBorder="1" applyAlignment="1">
      <alignment horizontal="centerContinuous" vertical="center"/>
    </xf>
    <xf numFmtId="0" fontId="55" fillId="28" borderId="15" xfId="161" quotePrefix="1" applyFont="1" applyFill="1" applyBorder="1" applyAlignment="1">
      <alignment horizontal="centerContinuous" vertical="center"/>
    </xf>
    <xf numFmtId="0" fontId="55" fillId="28" borderId="12" xfId="161" quotePrefix="1" applyFont="1" applyFill="1" applyBorder="1" applyAlignment="1">
      <alignment horizontal="centerContinuous" vertical="center"/>
    </xf>
    <xf numFmtId="0" fontId="62" fillId="28" borderId="15" xfId="161" applyFont="1" applyFill="1" applyBorder="1" applyAlignment="1">
      <alignment horizontal="centerContinuous" vertical="center"/>
    </xf>
    <xf numFmtId="0" fontId="62" fillId="28" borderId="12" xfId="161" applyFont="1" applyFill="1" applyBorder="1" applyAlignment="1">
      <alignment horizontal="centerContinuous" vertical="center"/>
    </xf>
    <xf numFmtId="0" fontId="62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4" fillId="19" borderId="3" xfId="161" quotePrefix="1" applyFont="1" applyFill="1" applyBorder="1" applyAlignment="1">
      <alignment horizontal="center" vertical="center"/>
    </xf>
    <xf numFmtId="0" fontId="54" fillId="0" borderId="11" xfId="0" applyFont="1" applyBorder="1">
      <alignment vertical="center"/>
    </xf>
    <xf numFmtId="0" fontId="86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5" fillId="20" borderId="12" xfId="161" applyFont="1" applyFill="1" applyBorder="1" applyAlignment="1">
      <alignment horizontal="centerContinuous" vertical="center"/>
    </xf>
    <xf numFmtId="0" fontId="55" fillId="20" borderId="13" xfId="161" applyFont="1" applyFill="1" applyBorder="1" applyAlignment="1">
      <alignment horizontal="centerContinuous" vertical="center"/>
    </xf>
    <xf numFmtId="0" fontId="55" fillId="20" borderId="15" xfId="161" quotePrefix="1" applyFont="1" applyFill="1" applyBorder="1" applyAlignment="1">
      <alignment horizontal="centerContinuous" vertical="center"/>
    </xf>
    <xf numFmtId="0" fontId="55" fillId="20" borderId="12" xfId="161" quotePrefix="1" applyFont="1" applyFill="1" applyBorder="1" applyAlignment="1">
      <alignment horizontal="centerContinuous" vertical="center"/>
    </xf>
    <xf numFmtId="0" fontId="55" fillId="20" borderId="15" xfId="161" applyFont="1" applyFill="1" applyBorder="1" applyAlignment="1">
      <alignment horizontal="centerContinuous" vertical="center"/>
    </xf>
    <xf numFmtId="0" fontId="62" fillId="20" borderId="15" xfId="161" applyFont="1" applyFill="1" applyBorder="1" applyAlignment="1">
      <alignment horizontal="centerContinuous" vertical="center"/>
    </xf>
    <xf numFmtId="0" fontId="62" fillId="20" borderId="12" xfId="161" applyFont="1" applyFill="1" applyBorder="1" applyAlignment="1">
      <alignment horizontal="centerContinuous" vertical="center"/>
    </xf>
    <xf numFmtId="0" fontId="62" fillId="20" borderId="13" xfId="161" applyFont="1" applyFill="1" applyBorder="1" applyAlignment="1">
      <alignment horizontal="centerContinuous" vertical="center"/>
    </xf>
    <xf numFmtId="0" fontId="54" fillId="0" borderId="7" xfId="0" applyFont="1" applyBorder="1">
      <alignment vertical="center"/>
    </xf>
    <xf numFmtId="0" fontId="54" fillId="0" borderId="8" xfId="0" applyFont="1" applyBorder="1" applyAlignment="1">
      <alignment vertical="center" wrapText="1"/>
    </xf>
    <xf numFmtId="0" fontId="74" fillId="0" borderId="8" xfId="0" applyFont="1" applyBorder="1">
      <alignment vertical="center"/>
    </xf>
    <xf numFmtId="9" fontId="54" fillId="0" borderId="2" xfId="161" applyNumberFormat="1" applyFont="1" applyBorder="1">
      <alignment vertical="center"/>
    </xf>
    <xf numFmtId="0" fontId="62" fillId="26" borderId="7" xfId="161" quotePrefix="1" applyFont="1" applyFill="1" applyBorder="1" applyAlignment="1">
      <alignment horizontal="centerContinuous" vertical="center"/>
    </xf>
    <xf numFmtId="0" fontId="62" fillId="26" borderId="8" xfId="161" applyFont="1" applyFill="1" applyBorder="1" applyAlignment="1">
      <alignment horizontal="centerContinuous" vertical="center"/>
    </xf>
    <xf numFmtId="0" fontId="62" fillId="26" borderId="14" xfId="161" applyFont="1" applyFill="1" applyBorder="1" applyAlignment="1">
      <alignment horizontal="centerContinuous" vertical="center"/>
    </xf>
    <xf numFmtId="0" fontId="62" fillId="26" borderId="8" xfId="161" quotePrefix="1" applyFont="1" applyFill="1" applyBorder="1" applyAlignment="1">
      <alignment horizontal="centerContinuous" vertical="center"/>
    </xf>
    <xf numFmtId="0" fontId="62" fillId="19" borderId="37" xfId="161" applyFont="1" applyFill="1" applyBorder="1" applyAlignment="1">
      <alignment horizontal="center" vertical="center"/>
    </xf>
    <xf numFmtId="0" fontId="55" fillId="26" borderId="7" xfId="161" applyFont="1" applyFill="1" applyBorder="1" applyAlignment="1">
      <alignment horizontal="centerContinuous" vertical="center"/>
    </xf>
    <xf numFmtId="0" fontId="55" fillId="26" borderId="8" xfId="161" applyFont="1" applyFill="1" applyBorder="1" applyAlignment="1">
      <alignment horizontal="centerContinuous" vertical="center"/>
    </xf>
    <xf numFmtId="0" fontId="55" fillId="26" borderId="14" xfId="161" applyFont="1" applyFill="1" applyBorder="1" applyAlignment="1">
      <alignment horizontal="centerContinuous" vertical="center"/>
    </xf>
    <xf numFmtId="0" fontId="55" fillId="26" borderId="7" xfId="161" quotePrefix="1" applyFont="1" applyFill="1" applyBorder="1" applyAlignment="1">
      <alignment horizontal="centerContinuous" vertical="center"/>
    </xf>
    <xf numFmtId="0" fontId="55" fillId="26" borderId="8" xfId="161" quotePrefix="1" applyFont="1" applyFill="1" applyBorder="1" applyAlignment="1">
      <alignment horizontal="centerContinuous" vertical="center"/>
    </xf>
    <xf numFmtId="0" fontId="62" fillId="26" borderId="7" xfId="161" applyFont="1" applyFill="1" applyBorder="1" applyAlignment="1">
      <alignment horizontal="centerContinuous" vertical="center"/>
    </xf>
    <xf numFmtId="0" fontId="54" fillId="14" borderId="10" xfId="0" quotePrefix="1" applyFont="1" applyFill="1" applyBorder="1">
      <alignment vertical="center"/>
    </xf>
    <xf numFmtId="0" fontId="54" fillId="29" borderId="10" xfId="0" quotePrefix="1" applyFont="1" applyFill="1" applyBorder="1">
      <alignment vertical="center"/>
    </xf>
    <xf numFmtId="0" fontId="54" fillId="29" borderId="2" xfId="180" quotePrefix="1" applyFont="1" applyFill="1" applyBorder="1">
      <alignment vertical="center"/>
    </xf>
    <xf numFmtId="0" fontId="54" fillId="29" borderId="2" xfId="180" applyFont="1" applyFill="1" applyBorder="1">
      <alignment vertical="center"/>
    </xf>
    <xf numFmtId="0" fontId="54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4" fillId="29" borderId="17" xfId="180" applyFont="1" applyFill="1" applyBorder="1" applyAlignment="1">
      <alignment horizontal="center" vertical="center"/>
    </xf>
    <xf numFmtId="0" fontId="91" fillId="25" borderId="41" xfId="161" quotePrefix="1" applyFont="1" applyFill="1" applyBorder="1" applyAlignment="1">
      <alignment horizontal="left" vertical="center"/>
    </xf>
    <xf numFmtId="0" fontId="77" fillId="14" borderId="28" xfId="0" applyFont="1" applyFill="1" applyBorder="1">
      <alignment vertical="center"/>
    </xf>
    <xf numFmtId="185" fontId="62" fillId="0" borderId="0" xfId="161" quotePrefix="1" applyNumberFormat="1" applyFont="1">
      <alignment vertical="center"/>
    </xf>
    <xf numFmtId="0" fontId="92" fillId="0" borderId="0" xfId="0" applyFont="1">
      <alignment vertical="center"/>
    </xf>
    <xf numFmtId="0" fontId="54" fillId="29" borderId="2" xfId="0" applyFont="1" applyFill="1" applyBorder="1">
      <alignment vertical="center"/>
    </xf>
    <xf numFmtId="0" fontId="66" fillId="29" borderId="2" xfId="180" applyFont="1" applyFill="1" applyBorder="1">
      <alignment vertical="center"/>
    </xf>
    <xf numFmtId="0" fontId="54" fillId="29" borderId="2" xfId="0" applyFont="1" applyFill="1" applyBorder="1" applyAlignment="1">
      <alignment vertical="center" wrapText="1"/>
    </xf>
    <xf numFmtId="0" fontId="54" fillId="29" borderId="17" xfId="0" applyFont="1" applyFill="1" applyBorder="1">
      <alignment vertical="center"/>
    </xf>
    <xf numFmtId="0" fontId="54" fillId="0" borderId="24" xfId="180" applyFont="1" applyBorder="1">
      <alignment vertical="center"/>
    </xf>
    <xf numFmtId="0" fontId="54" fillId="29" borderId="2" xfId="180" applyFont="1" applyFill="1" applyBorder="1" applyAlignment="1">
      <alignment horizontal="left" vertical="center"/>
    </xf>
    <xf numFmtId="0" fontId="55" fillId="14" borderId="41" xfId="180" quotePrefix="1" applyFont="1" applyFill="1" applyBorder="1">
      <alignment vertical="center"/>
    </xf>
    <xf numFmtId="0" fontId="54" fillId="14" borderId="10" xfId="180" quotePrefix="1" applyFont="1" applyFill="1" applyBorder="1" applyAlignment="1">
      <alignment horizontal="left" vertical="center"/>
    </xf>
    <xf numFmtId="0" fontId="54" fillId="0" borderId="33" xfId="161" applyFont="1" applyBorder="1">
      <alignment vertical="center"/>
    </xf>
    <xf numFmtId="0" fontId="93" fillId="0" borderId="0" xfId="0" applyFont="1">
      <alignment vertical="center"/>
    </xf>
    <xf numFmtId="0" fontId="80" fillId="14" borderId="44" xfId="161" quotePrefix="1" applyFont="1" applyFill="1" applyBorder="1">
      <alignment vertical="center"/>
    </xf>
    <xf numFmtId="0" fontId="54" fillId="14" borderId="50" xfId="161" applyFont="1" applyFill="1" applyBorder="1">
      <alignment vertical="center"/>
    </xf>
    <xf numFmtId="0" fontId="54" fillId="14" borderId="11" xfId="0" applyFont="1" applyFill="1" applyBorder="1">
      <alignment vertical="center"/>
    </xf>
    <xf numFmtId="0" fontId="65" fillId="0" borderId="28" xfId="0" applyFont="1" applyBorder="1">
      <alignment vertical="center"/>
    </xf>
    <xf numFmtId="0" fontId="54" fillId="14" borderId="8" xfId="180" quotePrefix="1" applyFont="1" applyFill="1" applyBorder="1">
      <alignment vertical="center"/>
    </xf>
    <xf numFmtId="0" fontId="54" fillId="14" borderId="8" xfId="180" applyFont="1" applyFill="1" applyBorder="1">
      <alignment vertical="center"/>
    </xf>
    <xf numFmtId="0" fontId="54" fillId="14" borderId="8" xfId="180" applyFont="1" applyFill="1" applyBorder="1" applyAlignment="1">
      <alignment horizontal="center" vertical="center"/>
    </xf>
    <xf numFmtId="0" fontId="54" fillId="14" borderId="25" xfId="180" applyFont="1" applyFill="1" applyBorder="1" applyAlignment="1">
      <alignment horizontal="center" vertical="center"/>
    </xf>
    <xf numFmtId="0" fontId="55" fillId="0" borderId="33" xfId="180" applyFont="1" applyBorder="1" applyAlignment="1">
      <alignment vertical="top"/>
    </xf>
    <xf numFmtId="0" fontId="55" fillId="14" borderId="17" xfId="180" applyFont="1" applyFill="1" applyBorder="1" applyAlignment="1">
      <alignment horizontal="center" vertical="center"/>
    </xf>
    <xf numFmtId="0" fontId="65" fillId="14" borderId="8" xfId="180" applyFont="1" applyFill="1" applyBorder="1" applyAlignment="1">
      <alignment horizontal="center" vertical="center"/>
    </xf>
    <xf numFmtId="0" fontId="94" fillId="24" borderId="8" xfId="161" quotePrefix="1" applyFont="1" applyFill="1" applyBorder="1" applyAlignment="1">
      <alignment horizontal="centerContinuous" vertical="center"/>
    </xf>
    <xf numFmtId="0" fontId="54" fillId="14" borderId="51" xfId="0" applyFont="1" applyFill="1" applyBorder="1">
      <alignment vertical="center"/>
    </xf>
    <xf numFmtId="0" fontId="55" fillId="30" borderId="15" xfId="161" applyFont="1" applyFill="1" applyBorder="1" applyAlignment="1">
      <alignment horizontal="centerContinuous" vertical="center"/>
    </xf>
    <xf numFmtId="0" fontId="55" fillId="30" borderId="12" xfId="161" applyFont="1" applyFill="1" applyBorder="1" applyAlignment="1">
      <alignment horizontal="centerContinuous" vertical="center"/>
    </xf>
    <xf numFmtId="0" fontId="55" fillId="30" borderId="15" xfId="161" quotePrefix="1" applyFont="1" applyFill="1" applyBorder="1" applyAlignment="1">
      <alignment horizontal="centerContinuous" vertical="center"/>
    </xf>
    <xf numFmtId="0" fontId="55" fillId="30" borderId="13" xfId="161" applyFont="1" applyFill="1" applyBorder="1" applyAlignment="1">
      <alignment horizontal="centerContinuous" vertical="center"/>
    </xf>
    <xf numFmtId="0" fontId="55" fillId="30" borderId="12" xfId="161" quotePrefix="1" applyFont="1" applyFill="1" applyBorder="1" applyAlignment="1">
      <alignment horizontal="centerContinuous" vertical="center"/>
    </xf>
    <xf numFmtId="0" fontId="62" fillId="30" borderId="15" xfId="161" applyFont="1" applyFill="1" applyBorder="1" applyAlignment="1">
      <alignment horizontal="centerContinuous" vertical="center"/>
    </xf>
    <xf numFmtId="0" fontId="62" fillId="30" borderId="12" xfId="161" applyFont="1" applyFill="1" applyBorder="1" applyAlignment="1">
      <alignment horizontal="centerContinuous" vertical="center"/>
    </xf>
    <xf numFmtId="0" fontId="62" fillId="30" borderId="13" xfId="161" applyFont="1" applyFill="1" applyBorder="1" applyAlignment="1">
      <alignment horizontal="centerContinuous" vertical="center"/>
    </xf>
    <xf numFmtId="0" fontId="62" fillId="30" borderId="10" xfId="161" applyFont="1" applyFill="1" applyBorder="1" applyAlignment="1">
      <alignment horizontal="centerContinuous" vertical="center"/>
    </xf>
    <xf numFmtId="0" fontId="62" fillId="30" borderId="15" xfId="161" quotePrefix="1" applyFont="1" applyFill="1" applyBorder="1" applyAlignment="1">
      <alignment horizontal="centerContinuous" vertical="center"/>
    </xf>
    <xf numFmtId="0" fontId="95" fillId="0" borderId="0" xfId="0" applyFont="1">
      <alignment vertical="center"/>
    </xf>
    <xf numFmtId="0" fontId="62" fillId="30" borderId="12" xfId="161" quotePrefix="1" applyFont="1" applyFill="1" applyBorder="1" applyAlignment="1">
      <alignment horizontal="centerContinuous" vertical="center"/>
    </xf>
    <xf numFmtId="0" fontId="62" fillId="30" borderId="10" xfId="161" quotePrefix="1" applyFont="1" applyFill="1" applyBorder="1" applyAlignment="1">
      <alignment horizontal="centerContinuous" vertical="center"/>
    </xf>
    <xf numFmtId="0" fontId="54" fillId="14" borderId="6" xfId="0" applyFont="1" applyFill="1" applyBorder="1">
      <alignment vertical="center"/>
    </xf>
    <xf numFmtId="0" fontId="65" fillId="0" borderId="10" xfId="161" quotePrefix="1" applyFont="1" applyBorder="1">
      <alignment vertical="center"/>
    </xf>
    <xf numFmtId="0" fontId="55" fillId="30" borderId="7" xfId="161" applyFont="1" applyFill="1" applyBorder="1" applyAlignment="1">
      <alignment horizontal="centerContinuous" vertical="center"/>
    </xf>
    <xf numFmtId="0" fontId="55" fillId="30" borderId="8" xfId="161" applyFont="1" applyFill="1" applyBorder="1" applyAlignment="1">
      <alignment horizontal="centerContinuous" vertical="center"/>
    </xf>
    <xf numFmtId="0" fontId="55" fillId="30" borderId="14" xfId="161" applyFont="1" applyFill="1" applyBorder="1" applyAlignment="1">
      <alignment horizontal="centerContinuous" vertical="center"/>
    </xf>
    <xf numFmtId="0" fontId="55" fillId="30" borderId="7" xfId="161" quotePrefix="1" applyFont="1" applyFill="1" applyBorder="1" applyAlignment="1">
      <alignment horizontal="centerContinuous" vertical="center"/>
    </xf>
    <xf numFmtId="0" fontId="55" fillId="30" borderId="8" xfId="161" quotePrefix="1" applyFont="1" applyFill="1" applyBorder="1" applyAlignment="1">
      <alignment horizontal="centerContinuous" vertical="center"/>
    </xf>
    <xf numFmtId="0" fontId="62" fillId="30" borderId="7" xfId="161" applyFont="1" applyFill="1" applyBorder="1" applyAlignment="1">
      <alignment horizontal="centerContinuous" vertical="center"/>
    </xf>
    <xf numFmtId="0" fontId="62" fillId="30" borderId="8" xfId="161" applyFont="1" applyFill="1" applyBorder="1" applyAlignment="1">
      <alignment horizontal="centerContinuous" vertical="center"/>
    </xf>
    <xf numFmtId="0" fontId="62" fillId="30" borderId="14" xfId="161" applyFont="1" applyFill="1" applyBorder="1" applyAlignment="1">
      <alignment horizontal="centerContinuous" vertical="center"/>
    </xf>
    <xf numFmtId="0" fontId="62" fillId="30" borderId="7" xfId="161" quotePrefix="1" applyFont="1" applyFill="1" applyBorder="1" applyAlignment="1">
      <alignment horizontal="centerContinuous" vertical="center"/>
    </xf>
    <xf numFmtId="0" fontId="62" fillId="30" borderId="8" xfId="161" quotePrefix="1" applyFont="1" applyFill="1" applyBorder="1" applyAlignment="1">
      <alignment horizontal="centerContinuous" vertical="center"/>
    </xf>
    <xf numFmtId="0" fontId="65" fillId="14" borderId="33" xfId="161" applyFont="1" applyFill="1" applyBorder="1">
      <alignment vertical="center"/>
    </xf>
    <xf numFmtId="0" fontId="62" fillId="24" borderId="15" xfId="161" quotePrefix="1" applyFont="1" applyFill="1" applyBorder="1" applyAlignment="1">
      <alignment horizontal="centerContinuous" vertical="center"/>
    </xf>
    <xf numFmtId="0" fontId="54" fillId="0" borderId="10" xfId="0" quotePrefix="1" applyFont="1" applyBorder="1">
      <alignment vertical="center"/>
    </xf>
    <xf numFmtId="0" fontId="54" fillId="0" borderId="2" xfId="180" quotePrefix="1" applyFont="1" applyBorder="1">
      <alignment vertical="center"/>
    </xf>
    <xf numFmtId="0" fontId="54" fillId="0" borderId="2" xfId="180" applyFont="1" applyBorder="1">
      <alignment vertical="center"/>
    </xf>
    <xf numFmtId="0" fontId="54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6" fillId="0" borderId="2" xfId="180" applyFont="1" applyBorder="1">
      <alignment vertical="center"/>
    </xf>
    <xf numFmtId="0" fontId="54" fillId="0" borderId="2" xfId="0" applyFont="1" applyBorder="1" applyAlignment="1">
      <alignment vertical="center" wrapText="1"/>
    </xf>
    <xf numFmtId="0" fontId="97" fillId="10" borderId="16" xfId="46" applyFont="1" applyFill="1" applyBorder="1" applyAlignment="1">
      <alignment horizontal="centerContinuous"/>
    </xf>
    <xf numFmtId="0" fontId="97" fillId="10" borderId="9" xfId="46" applyFont="1" applyFill="1" applyBorder="1" applyAlignment="1">
      <alignment horizontal="centerContinuous"/>
    </xf>
    <xf numFmtId="0" fontId="98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7" fillId="10" borderId="6" xfId="49" applyFont="1" applyFill="1" applyBorder="1" applyAlignment="1">
      <alignment horizontal="right" vertical="center"/>
    </xf>
    <xf numFmtId="0" fontId="98" fillId="14" borderId="6" xfId="161" quotePrefix="1" applyFont="1" applyFill="1" applyBorder="1">
      <alignment vertical="center"/>
    </xf>
    <xf numFmtId="0" fontId="98" fillId="14" borderId="0" xfId="161" applyFont="1" applyFill="1">
      <alignment vertical="center"/>
    </xf>
    <xf numFmtId="0" fontId="98" fillId="14" borderId="11" xfId="161" applyFont="1" applyFill="1" applyBorder="1">
      <alignment vertical="center"/>
    </xf>
    <xf numFmtId="0" fontId="98" fillId="0" borderId="0" xfId="161" applyFont="1">
      <alignment vertical="center"/>
    </xf>
    <xf numFmtId="0" fontId="98" fillId="0" borderId="0" xfId="161" quotePrefix="1" applyFont="1">
      <alignment vertical="center"/>
    </xf>
    <xf numFmtId="0" fontId="98" fillId="0" borderId="0" xfId="161" applyFont="1" applyAlignment="1">
      <alignment horizontal="center" vertical="center"/>
    </xf>
    <xf numFmtId="0" fontId="98" fillId="0" borderId="0" xfId="0" applyFont="1">
      <alignment vertical="center"/>
    </xf>
    <xf numFmtId="0" fontId="96" fillId="14" borderId="6" xfId="161" quotePrefix="1" applyFont="1" applyFill="1" applyBorder="1">
      <alignment vertical="center"/>
    </xf>
    <xf numFmtId="0" fontId="98" fillId="0" borderId="0" xfId="161" quotePrefix="1" applyFont="1" applyAlignment="1">
      <alignment horizontal="left" vertical="center"/>
    </xf>
    <xf numFmtId="0" fontId="98" fillId="0" borderId="0" xfId="161" applyFont="1" applyAlignment="1">
      <alignment horizontal="left" vertical="center"/>
    </xf>
    <xf numFmtId="0" fontId="97" fillId="10" borderId="16" xfId="46" applyFont="1" applyFill="1" applyBorder="1" applyAlignment="1">
      <alignment horizontal="center"/>
    </xf>
    <xf numFmtId="0" fontId="97" fillId="10" borderId="9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97" fillId="10" borderId="7" xfId="49" applyFont="1" applyFill="1" applyBorder="1" applyAlignment="1">
      <alignment horizontal="right" vertical="center"/>
    </xf>
    <xf numFmtId="0" fontId="97" fillId="10" borderId="21" xfId="46" applyFont="1" applyFill="1" applyBorder="1" applyAlignment="1">
      <alignment horizontal="center"/>
    </xf>
    <xf numFmtId="0" fontId="97" fillId="10" borderId="22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102" fillId="0" borderId="52" xfId="161" quotePrefix="1" applyFont="1" applyBorder="1">
      <alignment vertical="center"/>
    </xf>
    <xf numFmtId="0" fontId="97" fillId="0" borderId="52" xfId="161" applyFont="1" applyBorder="1">
      <alignment vertical="center"/>
    </xf>
    <xf numFmtId="0" fontId="98" fillId="0" borderId="52" xfId="161" applyFont="1" applyBorder="1">
      <alignment vertical="center"/>
    </xf>
    <xf numFmtId="0" fontId="98" fillId="0" borderId="52" xfId="161" quotePrefix="1" applyFont="1" applyBorder="1">
      <alignment vertical="center"/>
    </xf>
    <xf numFmtId="0" fontId="98" fillId="0" borderId="52" xfId="161" applyFont="1" applyBorder="1" applyAlignment="1">
      <alignment horizontal="center" vertical="center"/>
    </xf>
    <xf numFmtId="0" fontId="98" fillId="0" borderId="52" xfId="0" applyFont="1" applyBorder="1">
      <alignment vertical="center"/>
    </xf>
    <xf numFmtId="0" fontId="98" fillId="0" borderId="52" xfId="0" applyFont="1" applyBorder="1" applyAlignment="1">
      <alignment vertical="center" wrapText="1"/>
    </xf>
    <xf numFmtId="0" fontId="97" fillId="0" borderId="0" xfId="161" applyFont="1">
      <alignment vertical="center"/>
    </xf>
    <xf numFmtId="0" fontId="97" fillId="0" borderId="6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11" xfId="161" applyFont="1" applyBorder="1">
      <alignment vertical="center"/>
    </xf>
    <xf numFmtId="0" fontId="101" fillId="0" borderId="0" xfId="161" applyFont="1">
      <alignment vertical="center"/>
    </xf>
    <xf numFmtId="0" fontId="97" fillId="0" borderId="0" xfId="161" applyFont="1" applyAlignment="1">
      <alignment horizontal="center" vertical="center"/>
    </xf>
    <xf numFmtId="0" fontId="103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97" fillId="0" borderId="6" xfId="161" applyFont="1" applyBorder="1">
      <alignment vertical="center"/>
    </xf>
    <xf numFmtId="0" fontId="97" fillId="0" borderId="0" xfId="161" quotePrefix="1" applyFont="1" applyAlignment="1">
      <alignment horizontal="center" vertical="center"/>
    </xf>
    <xf numFmtId="0" fontId="100" fillId="0" borderId="0" xfId="0" applyFont="1">
      <alignment vertical="center"/>
    </xf>
    <xf numFmtId="0" fontId="97" fillId="0" borderId="0" xfId="0" applyFont="1" applyAlignment="1">
      <alignment horizontal="left" vertical="center"/>
    </xf>
    <xf numFmtId="0" fontId="97" fillId="0" borderId="14" xfId="161" applyFont="1" applyBorder="1">
      <alignment vertical="center"/>
    </xf>
    <xf numFmtId="0" fontId="104" fillId="14" borderId="0" xfId="0" applyFont="1" applyFill="1">
      <alignment vertical="center"/>
    </xf>
    <xf numFmtId="0" fontId="104" fillId="14" borderId="0" xfId="161" applyFont="1" applyFill="1">
      <alignment vertical="center"/>
    </xf>
    <xf numFmtId="0" fontId="104" fillId="14" borderId="0" xfId="0" applyFont="1" applyFill="1" applyAlignment="1">
      <alignment horizontal="left" vertical="center"/>
    </xf>
    <xf numFmtId="0" fontId="104" fillId="14" borderId="0" xfId="161" applyFont="1" applyFill="1" applyAlignment="1">
      <alignment horizontal="left" vertical="center"/>
    </xf>
    <xf numFmtId="0" fontId="104" fillId="14" borderId="0" xfId="161" applyFont="1" applyFill="1" applyAlignment="1">
      <alignment horizontal="center" vertical="center"/>
    </xf>
    <xf numFmtId="0" fontId="104" fillId="14" borderId="0" xfId="0" applyFont="1" applyFill="1" applyAlignment="1">
      <alignment horizontal="center" vertical="center"/>
    </xf>
    <xf numFmtId="0" fontId="104" fillId="19" borderId="0" xfId="0" applyFont="1" applyFill="1">
      <alignment vertical="center"/>
    </xf>
    <xf numFmtId="0" fontId="104" fillId="19" borderId="0" xfId="161" applyFont="1" applyFill="1">
      <alignment vertical="center"/>
    </xf>
    <xf numFmtId="0" fontId="104" fillId="19" borderId="0" xfId="161" applyFont="1" applyFill="1" applyAlignment="1">
      <alignment horizontal="center" vertical="center"/>
    </xf>
    <xf numFmtId="0" fontId="104" fillId="19" borderId="0" xfId="161" applyFont="1" applyFill="1" applyAlignment="1">
      <alignment horizontal="left" vertical="center"/>
    </xf>
    <xf numFmtId="0" fontId="97" fillId="19" borderId="6" xfId="161" quotePrefix="1" applyFont="1" applyFill="1" applyBorder="1">
      <alignment vertical="center"/>
    </xf>
    <xf numFmtId="0" fontId="100" fillId="19" borderId="0" xfId="0" applyFont="1" applyFill="1">
      <alignment vertical="center"/>
    </xf>
    <xf numFmtId="0" fontId="97" fillId="19" borderId="0" xfId="0" applyFont="1" applyFill="1">
      <alignment vertical="center"/>
    </xf>
    <xf numFmtId="0" fontId="104" fillId="19" borderId="0" xfId="0" applyFont="1" applyFill="1" applyAlignment="1">
      <alignment horizontal="center" vertical="center"/>
    </xf>
    <xf numFmtId="0" fontId="97" fillId="19" borderId="11" xfId="161" applyFont="1" applyFill="1" applyBorder="1">
      <alignment vertical="center"/>
    </xf>
    <xf numFmtId="0" fontId="97" fillId="19" borderId="0" xfId="161" quotePrefix="1" applyFont="1" applyFill="1">
      <alignment vertical="center"/>
    </xf>
    <xf numFmtId="0" fontId="75" fillId="14" borderId="0" xfId="0" applyFont="1" applyFill="1">
      <alignment vertical="center"/>
    </xf>
    <xf numFmtId="0" fontId="109" fillId="14" borderId="0" xfId="0" applyFont="1" applyFill="1">
      <alignment vertical="center"/>
    </xf>
    <xf numFmtId="0" fontId="100" fillId="31" borderId="0" xfId="0" applyFont="1" applyFill="1" applyAlignment="1">
      <alignment horizontal="left" vertical="center"/>
    </xf>
    <xf numFmtId="0" fontId="100" fillId="14" borderId="0" xfId="0" applyFont="1" applyFill="1">
      <alignment vertical="center"/>
    </xf>
    <xf numFmtId="0" fontId="97" fillId="0" borderId="8" xfId="161" applyFont="1" applyBorder="1">
      <alignment vertical="center"/>
    </xf>
    <xf numFmtId="0" fontId="101" fillId="0" borderId="8" xfId="0" applyFont="1" applyBorder="1">
      <alignment vertical="center"/>
    </xf>
    <xf numFmtId="0" fontId="101" fillId="0" borderId="8" xfId="0" applyFont="1" applyBorder="1" applyAlignment="1">
      <alignment vertical="center" wrapText="1"/>
    </xf>
    <xf numFmtId="0" fontId="97" fillId="0" borderId="12" xfId="161" applyFont="1" applyBorder="1">
      <alignment vertical="center"/>
    </xf>
    <xf numFmtId="0" fontId="97" fillId="10" borderId="53" xfId="46" applyFont="1" applyFill="1" applyBorder="1" applyAlignment="1">
      <alignment horizontal="center"/>
    </xf>
    <xf numFmtId="0" fontId="101" fillId="31" borderId="0" xfId="185" applyFont="1" applyFill="1">
      <alignment vertical="center"/>
    </xf>
    <xf numFmtId="0" fontId="101" fillId="14" borderId="0" xfId="185" applyFont="1" applyFill="1">
      <alignment vertical="center"/>
    </xf>
    <xf numFmtId="0" fontId="101" fillId="0" borderId="0" xfId="185" applyFont="1">
      <alignment vertical="center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8" fillId="0" borderId="70" xfId="161" applyFont="1" applyBorder="1" applyAlignment="1">
      <alignment horizontal="center" vertical="center"/>
    </xf>
    <xf numFmtId="0" fontId="98" fillId="0" borderId="70" xfId="161" applyFont="1" applyBorder="1">
      <alignment vertical="center"/>
    </xf>
    <xf numFmtId="0" fontId="98" fillId="0" borderId="70" xfId="0" applyFont="1" applyBorder="1">
      <alignment vertical="center"/>
    </xf>
    <xf numFmtId="0" fontId="98" fillId="14" borderId="70" xfId="161" applyFont="1" applyFill="1" applyBorder="1">
      <alignment vertical="center"/>
    </xf>
    <xf numFmtId="0" fontId="98" fillId="14" borderId="69" xfId="161" applyFont="1" applyFill="1" applyBorder="1">
      <alignment vertical="center"/>
    </xf>
    <xf numFmtId="0" fontId="97" fillId="0" borderId="71" xfId="161" applyFont="1" applyBorder="1">
      <alignment vertical="center"/>
    </xf>
    <xf numFmtId="0" fontId="97" fillId="0" borderId="7" xfId="161" applyFont="1" applyBorder="1">
      <alignment vertical="center"/>
    </xf>
    <xf numFmtId="0" fontId="97" fillId="0" borderId="65" xfId="0" applyFont="1" applyBorder="1">
      <alignment vertical="center"/>
    </xf>
    <xf numFmtId="0" fontId="97" fillId="0" borderId="65" xfId="0" applyFont="1" applyBorder="1" applyAlignment="1">
      <alignment vertical="center" wrapText="1"/>
    </xf>
    <xf numFmtId="0" fontId="107" fillId="14" borderId="65" xfId="0" applyFont="1" applyFill="1" applyBorder="1">
      <alignment vertical="center"/>
    </xf>
    <xf numFmtId="0" fontId="97" fillId="0" borderId="65" xfId="161" applyFont="1" applyBorder="1">
      <alignment vertical="center"/>
    </xf>
    <xf numFmtId="0" fontId="112" fillId="0" borderId="0" xfId="0" applyFont="1">
      <alignment vertical="center"/>
    </xf>
    <xf numFmtId="0" fontId="97" fillId="36" borderId="0" xfId="161" quotePrefix="1" applyFont="1" applyFill="1">
      <alignment vertical="center"/>
    </xf>
    <xf numFmtId="0" fontId="97" fillId="36" borderId="0" xfId="0" applyFont="1" applyFill="1">
      <alignment vertical="center"/>
    </xf>
    <xf numFmtId="0" fontId="104" fillId="36" borderId="0" xfId="0" applyFont="1" applyFill="1">
      <alignment vertical="center"/>
    </xf>
    <xf numFmtId="0" fontId="104" fillId="36" borderId="0" xfId="161" applyFont="1" applyFill="1" applyAlignment="1">
      <alignment horizontal="left" vertical="center"/>
    </xf>
    <xf numFmtId="0" fontId="104" fillId="36" borderId="0" xfId="161" applyFont="1" applyFill="1" applyAlignment="1">
      <alignment horizontal="center" vertical="center"/>
    </xf>
    <xf numFmtId="0" fontId="104" fillId="36" borderId="0" xfId="0" applyFont="1" applyFill="1" applyAlignment="1">
      <alignment horizontal="centerContinuous" vertical="center"/>
    </xf>
    <xf numFmtId="0" fontId="113" fillId="36" borderId="0" xfId="0" applyFont="1" applyFill="1" applyAlignment="1">
      <alignment horizontal="centerContinuous" vertical="center"/>
    </xf>
    <xf numFmtId="185" fontId="104" fillId="36" borderId="0" xfId="161" quotePrefix="1" applyNumberFormat="1" applyFont="1" applyFill="1">
      <alignment vertical="center"/>
    </xf>
    <xf numFmtId="0" fontId="97" fillId="0" borderId="12" xfId="161" quotePrefix="1" applyFont="1" applyBorder="1">
      <alignment vertical="center"/>
    </xf>
    <xf numFmtId="0" fontId="97" fillId="0" borderId="12" xfId="161" quotePrefix="1" applyFont="1" applyBorder="1" applyAlignment="1">
      <alignment horizontal="center" vertical="center"/>
    </xf>
    <xf numFmtId="0" fontId="100" fillId="0" borderId="12" xfId="0" applyFont="1" applyBorder="1">
      <alignment vertical="center"/>
    </xf>
    <xf numFmtId="0" fontId="97" fillId="0" borderId="12" xfId="0" applyFont="1" applyBorder="1">
      <alignment vertical="center"/>
    </xf>
    <xf numFmtId="0" fontId="104" fillId="14" borderId="12" xfId="0" applyFont="1" applyFill="1" applyBorder="1">
      <alignment vertical="center"/>
    </xf>
    <xf numFmtId="0" fontId="104" fillId="14" borderId="12" xfId="161" applyFont="1" applyFill="1" applyBorder="1" applyAlignment="1">
      <alignment horizontal="left" vertical="center"/>
    </xf>
    <xf numFmtId="0" fontId="104" fillId="14" borderId="12" xfId="161" applyFont="1" applyFill="1" applyBorder="1" applyAlignment="1">
      <alignment horizontal="center" vertical="center"/>
    </xf>
    <xf numFmtId="0" fontId="104" fillId="14" borderId="12" xfId="161" applyFont="1" applyFill="1" applyBorder="1">
      <alignment vertical="center"/>
    </xf>
    <xf numFmtId="0" fontId="104" fillId="14" borderId="12" xfId="0" applyFont="1" applyFill="1" applyBorder="1" applyAlignment="1">
      <alignment horizontal="center" vertical="center"/>
    </xf>
    <xf numFmtId="0" fontId="97" fillId="0" borderId="8" xfId="161" quotePrefix="1" applyFont="1" applyBorder="1">
      <alignment vertical="center"/>
    </xf>
    <xf numFmtId="0" fontId="97" fillId="0" borderId="8" xfId="161" quotePrefix="1" applyFont="1" applyBorder="1" applyAlignment="1">
      <alignment horizontal="center" vertical="center"/>
    </xf>
    <xf numFmtId="0" fontId="100" fillId="0" borderId="8" xfId="0" applyFont="1" applyBorder="1">
      <alignment vertical="center"/>
    </xf>
    <xf numFmtId="0" fontId="97" fillId="0" borderId="8" xfId="0" applyFont="1" applyBorder="1">
      <alignment vertical="center"/>
    </xf>
    <xf numFmtId="0" fontId="104" fillId="14" borderId="8" xfId="0" applyFont="1" applyFill="1" applyBorder="1">
      <alignment vertical="center"/>
    </xf>
    <xf numFmtId="185" fontId="104" fillId="14" borderId="8" xfId="161" quotePrefix="1" applyNumberFormat="1" applyFont="1" applyFill="1" applyBorder="1">
      <alignment vertical="center"/>
    </xf>
    <xf numFmtId="0" fontId="104" fillId="14" borderId="8" xfId="161" applyFont="1" applyFill="1" applyBorder="1" applyAlignment="1">
      <alignment horizontal="left" vertical="center"/>
    </xf>
    <xf numFmtId="0" fontId="104" fillId="14" borderId="8" xfId="161" applyFont="1" applyFill="1" applyBorder="1" applyAlignment="1">
      <alignment horizontal="center" vertical="center"/>
    </xf>
    <xf numFmtId="0" fontId="104" fillId="14" borderId="8" xfId="161" applyFont="1" applyFill="1" applyBorder="1">
      <alignment vertical="center"/>
    </xf>
    <xf numFmtId="0" fontId="104" fillId="14" borderId="8" xfId="0" applyFont="1" applyFill="1" applyBorder="1" applyAlignment="1">
      <alignment horizontal="center" vertical="center"/>
    </xf>
    <xf numFmtId="0" fontId="102" fillId="0" borderId="52" xfId="161" quotePrefix="1" applyFont="1" applyBorder="1" applyAlignment="1">
      <alignment horizontal="center" vertical="center"/>
    </xf>
    <xf numFmtId="185" fontId="104" fillId="14" borderId="0" xfId="161" quotePrefix="1" applyNumberFormat="1" applyFont="1" applyFill="1">
      <alignment vertical="center"/>
    </xf>
    <xf numFmtId="0" fontId="110" fillId="0" borderId="0" xfId="186" applyFont="1">
      <alignment vertical="center"/>
    </xf>
    <xf numFmtId="0" fontId="101" fillId="0" borderId="11" xfId="186" applyFont="1" applyBorder="1">
      <alignment vertical="center"/>
    </xf>
    <xf numFmtId="0" fontId="101" fillId="0" borderId="0" xfId="186" applyFont="1">
      <alignment vertical="center"/>
    </xf>
    <xf numFmtId="0" fontId="101" fillId="0" borderId="15" xfId="186" applyFont="1" applyBorder="1">
      <alignment vertical="center"/>
    </xf>
    <xf numFmtId="0" fontId="101" fillId="0" borderId="12" xfId="186" applyFont="1" applyBorder="1">
      <alignment vertical="center"/>
    </xf>
    <xf numFmtId="0" fontId="101" fillId="0" borderId="13" xfId="186" applyFont="1" applyBorder="1">
      <alignment vertical="center"/>
    </xf>
    <xf numFmtId="0" fontId="101" fillId="0" borderId="6" xfId="186" applyFont="1" applyBorder="1">
      <alignment vertical="center"/>
    </xf>
    <xf numFmtId="0" fontId="110" fillId="0" borderId="0" xfId="187" applyFont="1">
      <alignment vertical="center"/>
    </xf>
    <xf numFmtId="0" fontId="101" fillId="0" borderId="0" xfId="187" applyFont="1">
      <alignment vertical="center"/>
    </xf>
    <xf numFmtId="0" fontId="101" fillId="14" borderId="0" xfId="186" applyFont="1" applyFill="1" applyAlignment="1">
      <alignment horizontal="left" vertical="center"/>
    </xf>
    <xf numFmtId="0" fontId="101" fillId="14" borderId="0" xfId="187" applyFont="1" applyFill="1">
      <alignment vertical="center"/>
    </xf>
    <xf numFmtId="0" fontId="101" fillId="34" borderId="3" xfId="186" applyFont="1" applyFill="1" applyBorder="1" applyAlignment="1">
      <alignment vertical="center" shrinkToFit="1"/>
    </xf>
    <xf numFmtId="0" fontId="101" fillId="0" borderId="3" xfId="186" applyFont="1" applyBorder="1" applyAlignment="1">
      <alignment vertical="center" shrinkToFit="1"/>
    </xf>
    <xf numFmtId="0" fontId="119" fillId="0" borderId="0" xfId="186" applyFont="1" applyAlignment="1">
      <alignment horizontal="left" vertical="center"/>
    </xf>
    <xf numFmtId="0" fontId="120" fillId="0" borderId="0" xfId="186" applyFont="1" applyAlignment="1">
      <alignment horizontal="left" vertical="center"/>
    </xf>
    <xf numFmtId="0" fontId="101" fillId="0" borderId="0" xfId="186" applyFont="1" applyAlignment="1">
      <alignment vertical="center" shrinkToFit="1"/>
    </xf>
    <xf numFmtId="0" fontId="101" fillId="0" borderId="0" xfId="186" applyFont="1" applyAlignment="1">
      <alignment horizontal="left" vertical="center"/>
    </xf>
    <xf numFmtId="0" fontId="121" fillId="0" borderId="0" xfId="186" applyFont="1">
      <alignment vertical="center"/>
    </xf>
    <xf numFmtId="0" fontId="101" fillId="0" borderId="7" xfId="186" applyFont="1" applyBorder="1">
      <alignment vertical="center"/>
    </xf>
    <xf numFmtId="0" fontId="101" fillId="0" borderId="8" xfId="186" applyFont="1" applyBorder="1">
      <alignment vertical="center"/>
    </xf>
    <xf numFmtId="0" fontId="101" fillId="0" borderId="14" xfId="186" applyFont="1" applyBorder="1">
      <alignment vertical="center"/>
    </xf>
    <xf numFmtId="0" fontId="101" fillId="31" borderId="0" xfId="184" applyFont="1" applyFill="1">
      <alignment vertical="center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1" fillId="0" borderId="0" xfId="184" applyFont="1">
      <alignment vertical="center"/>
    </xf>
    <xf numFmtId="0" fontId="100" fillId="0" borderId="62" xfId="0" applyFont="1" applyBorder="1">
      <alignment vertical="center"/>
    </xf>
    <xf numFmtId="0" fontId="100" fillId="0" borderId="63" xfId="0" applyFont="1" applyBorder="1">
      <alignment vertical="center"/>
    </xf>
    <xf numFmtId="0" fontId="100" fillId="31" borderId="63" xfId="0" applyFont="1" applyFill="1" applyBorder="1" applyAlignment="1">
      <alignment horizontal="left" vertical="center"/>
    </xf>
    <xf numFmtId="0" fontId="109" fillId="14" borderId="63" xfId="0" applyFont="1" applyFill="1" applyBorder="1">
      <alignment vertical="center"/>
    </xf>
    <xf numFmtId="0" fontId="109" fillId="14" borderId="64" xfId="0" applyFont="1" applyFill="1" applyBorder="1">
      <alignment vertical="center"/>
    </xf>
    <xf numFmtId="0" fontId="100" fillId="31" borderId="6" xfId="0" applyFont="1" applyFill="1" applyBorder="1" applyAlignment="1">
      <alignment horizontal="left" vertical="center"/>
    </xf>
    <xf numFmtId="0" fontId="109" fillId="14" borderId="11" xfId="0" applyFont="1" applyFill="1" applyBorder="1">
      <alignment vertical="center"/>
    </xf>
    <xf numFmtId="0" fontId="100" fillId="0" borderId="6" xfId="0" applyFont="1" applyBorder="1">
      <alignment vertical="center"/>
    </xf>
    <xf numFmtId="0" fontId="100" fillId="31" borderId="0" xfId="0" applyFont="1" applyFill="1">
      <alignment vertical="center"/>
    </xf>
    <xf numFmtId="0" fontId="109" fillId="14" borderId="6" xfId="0" applyFont="1" applyFill="1" applyBorder="1">
      <alignment vertical="center"/>
    </xf>
    <xf numFmtId="0" fontId="100" fillId="14" borderId="85" xfId="0" applyFont="1" applyFill="1" applyBorder="1">
      <alignment vertical="center"/>
    </xf>
    <xf numFmtId="0" fontId="100" fillId="0" borderId="65" xfId="0" applyFont="1" applyBorder="1">
      <alignment vertical="center"/>
    </xf>
    <xf numFmtId="0" fontId="109" fillId="14" borderId="65" xfId="0" applyFont="1" applyFill="1" applyBorder="1">
      <alignment vertical="center"/>
    </xf>
    <xf numFmtId="0" fontId="109" fillId="14" borderId="66" xfId="0" applyFont="1" applyFill="1" applyBorder="1">
      <alignment vertical="center"/>
    </xf>
    <xf numFmtId="0" fontId="101" fillId="0" borderId="0" xfId="188" applyFont="1">
      <alignment vertical="center"/>
    </xf>
    <xf numFmtId="0" fontId="97" fillId="0" borderId="0" xfId="188" applyFont="1">
      <alignment vertical="center"/>
    </xf>
    <xf numFmtId="0" fontId="110" fillId="0" borderId="0" xfId="188" applyFont="1">
      <alignment vertical="center"/>
    </xf>
    <xf numFmtId="0" fontId="97" fillId="34" borderId="3" xfId="188" applyFont="1" applyFill="1" applyBorder="1" applyAlignment="1">
      <alignment vertical="center" shrinkToFit="1"/>
    </xf>
    <xf numFmtId="0" fontId="97" fillId="0" borderId="3" xfId="188" applyFont="1" applyBorder="1" applyAlignment="1">
      <alignment vertical="center" shrinkToFit="1"/>
    </xf>
    <xf numFmtId="0" fontId="101" fillId="0" borderId="3" xfId="188" applyFont="1" applyBorder="1" applyAlignment="1">
      <alignment vertical="center" shrinkToFit="1"/>
    </xf>
    <xf numFmtId="0" fontId="97" fillId="0" borderId="15" xfId="188" applyFont="1" applyBorder="1" applyAlignment="1">
      <alignment horizontal="left" vertical="center"/>
    </xf>
    <xf numFmtId="0" fontId="97" fillId="0" borderId="12" xfId="188" applyFont="1" applyBorder="1" applyAlignment="1">
      <alignment horizontal="left" vertical="center"/>
    </xf>
    <xf numFmtId="0" fontId="97" fillId="0" borderId="12" xfId="188" applyFont="1" applyBorder="1">
      <alignment vertical="center"/>
    </xf>
    <xf numFmtId="0" fontId="97" fillId="0" borderId="13" xfId="188" applyFont="1" applyBorder="1">
      <alignment vertical="center"/>
    </xf>
    <xf numFmtId="0" fontId="97" fillId="0" borderId="15" xfId="188" applyFont="1" applyBorder="1">
      <alignment vertical="center"/>
    </xf>
    <xf numFmtId="0" fontId="97" fillId="0" borderId="0" xfId="188" applyFont="1" applyAlignment="1">
      <alignment horizontal="left" vertical="center"/>
    </xf>
    <xf numFmtId="0" fontId="97" fillId="0" borderId="11" xfId="188" applyFont="1" applyBorder="1">
      <alignment vertical="center"/>
    </xf>
    <xf numFmtId="0" fontId="97" fillId="0" borderId="6" xfId="188" applyFont="1" applyBorder="1">
      <alignment vertical="center"/>
    </xf>
    <xf numFmtId="0" fontId="97" fillId="0" borderId="85" xfId="188" applyFont="1" applyBorder="1">
      <alignment vertical="center"/>
    </xf>
    <xf numFmtId="0" fontId="97" fillId="0" borderId="65" xfId="188" applyFont="1" applyBorder="1" applyAlignment="1">
      <alignment horizontal="left" vertical="center"/>
    </xf>
    <xf numFmtId="0" fontId="97" fillId="0" borderId="65" xfId="188" applyFont="1" applyBorder="1">
      <alignment vertical="center"/>
    </xf>
    <xf numFmtId="0" fontId="97" fillId="0" borderId="66" xfId="188" applyFont="1" applyBorder="1">
      <alignment vertical="center"/>
    </xf>
    <xf numFmtId="14" fontId="83" fillId="14" borderId="0" xfId="48" applyNumberFormat="1" applyFont="1" applyFill="1" applyAlignment="1">
      <alignment horizontal="center" vertical="center"/>
    </xf>
    <xf numFmtId="0" fontId="83" fillId="14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 wrapText="1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1" fillId="0" borderId="0" xfId="48" applyFont="1" applyAlignment="1">
      <alignment horizontal="center" vertical="center"/>
    </xf>
    <xf numFmtId="14" fontId="54" fillId="0" borderId="3" xfId="0" applyNumberFormat="1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4" fillId="0" borderId="3" xfId="0" applyFont="1" applyBorder="1">
      <alignment vertical="center"/>
    </xf>
    <xf numFmtId="0" fontId="54" fillId="0" borderId="3" xfId="0" applyFont="1" applyBorder="1" applyAlignment="1">
      <alignment vertical="center" wrapText="1"/>
    </xf>
    <xf numFmtId="0" fontId="54" fillId="0" borderId="23" xfId="0" applyFont="1" applyBorder="1">
      <alignment vertical="center"/>
    </xf>
    <xf numFmtId="0" fontId="0" fillId="0" borderId="3" xfId="0" applyBorder="1">
      <alignment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4" fillId="0" borderId="23" xfId="0" applyNumberFormat="1" applyFont="1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0" fontId="54" fillId="0" borderId="10" xfId="0" applyFont="1" applyBorder="1" applyAlignment="1">
      <alignment vertical="center" wrapText="1"/>
    </xf>
    <xf numFmtId="0" fontId="54" fillId="0" borderId="2" xfId="0" applyFont="1" applyBorder="1">
      <alignment vertical="center"/>
    </xf>
    <xf numFmtId="0" fontId="54" fillId="0" borderId="17" xfId="0" applyFont="1" applyBorder="1">
      <alignment vertical="center"/>
    </xf>
    <xf numFmtId="0" fontId="54" fillId="0" borderId="15" xfId="0" applyFont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left" vertical="center"/>
    </xf>
    <xf numFmtId="0" fontId="15" fillId="16" borderId="3" xfId="50" applyFill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54" fillId="14" borderId="15" xfId="0" applyFont="1" applyFill="1" applyBorder="1" applyAlignment="1">
      <alignment vertical="center" wrapText="1"/>
    </xf>
    <xf numFmtId="0" fontId="54" fillId="14" borderId="12" xfId="0" applyFont="1" applyFill="1" applyBorder="1" applyAlignment="1">
      <alignment vertical="center" wrapText="1"/>
    </xf>
    <xf numFmtId="0" fontId="54" fillId="14" borderId="13" xfId="0" applyFont="1" applyFill="1" applyBorder="1" applyAlignment="1">
      <alignment vertical="center" wrapText="1"/>
    </xf>
    <xf numFmtId="0" fontId="54" fillId="14" borderId="7" xfId="0" applyFont="1" applyFill="1" applyBorder="1" applyAlignment="1">
      <alignment vertical="center" wrapText="1"/>
    </xf>
    <xf numFmtId="0" fontId="54" fillId="14" borderId="8" xfId="0" applyFont="1" applyFill="1" applyBorder="1" applyAlignment="1">
      <alignment vertical="center" wrapText="1"/>
    </xf>
    <xf numFmtId="0" fontId="54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4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6" fillId="17" borderId="8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vertical="center" wrapText="1"/>
    </xf>
    <xf numFmtId="0" fontId="21" fillId="0" borderId="3" xfId="48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06" fillId="36" borderId="0" xfId="0" applyFont="1" applyFill="1" applyAlignment="1">
      <alignment horizontal="center" vertical="center"/>
    </xf>
    <xf numFmtId="0" fontId="97" fillId="19" borderId="10" xfId="161" applyFont="1" applyFill="1" applyBorder="1" applyAlignment="1">
      <alignment horizontal="left" vertical="center"/>
    </xf>
    <xf numFmtId="0" fontId="97" fillId="19" borderId="2" xfId="161" applyFont="1" applyFill="1" applyBorder="1" applyAlignment="1">
      <alignment horizontal="left" vertical="center"/>
    </xf>
    <xf numFmtId="0" fontId="97" fillId="19" borderId="17" xfId="161" applyFont="1" applyFill="1" applyBorder="1" applyAlignment="1">
      <alignment horizontal="left" vertical="center"/>
    </xf>
    <xf numFmtId="0" fontId="97" fillId="0" borderId="10" xfId="161" applyFont="1" applyBorder="1" applyAlignment="1">
      <alignment horizontal="left" vertical="center"/>
    </xf>
    <xf numFmtId="0" fontId="97" fillId="0" borderId="2" xfId="161" applyFont="1" applyBorder="1" applyAlignment="1">
      <alignment horizontal="left" vertical="center"/>
    </xf>
    <xf numFmtId="0" fontId="97" fillId="0" borderId="17" xfId="161" applyFont="1" applyBorder="1" applyAlignment="1">
      <alignment horizontal="left" vertical="center"/>
    </xf>
    <xf numFmtId="0" fontId="97" fillId="0" borderId="10" xfId="161" applyFont="1" applyBorder="1" applyAlignment="1">
      <alignment horizontal="left" vertical="center" wrapText="1"/>
    </xf>
    <xf numFmtId="0" fontId="97" fillId="0" borderId="2" xfId="161" applyFont="1" applyBorder="1" applyAlignment="1">
      <alignment horizontal="left" vertical="center" wrapText="1"/>
    </xf>
    <xf numFmtId="0" fontId="97" fillId="0" borderId="17" xfId="161" applyFont="1" applyBorder="1" applyAlignment="1">
      <alignment horizontal="left" vertical="center" wrapText="1"/>
    </xf>
    <xf numFmtId="0" fontId="114" fillId="0" borderId="74" xfId="0" applyFont="1" applyBorder="1" applyAlignment="1">
      <alignment horizontal="center" vertical="center"/>
    </xf>
    <xf numFmtId="17" fontId="106" fillId="0" borderId="74" xfId="0" quotePrefix="1" applyNumberFormat="1" applyFont="1" applyBorder="1" applyAlignment="1">
      <alignment horizontal="left" vertical="center"/>
    </xf>
    <xf numFmtId="0" fontId="106" fillId="0" borderId="74" xfId="0" applyFont="1" applyBorder="1" applyAlignment="1">
      <alignment horizontal="left" vertical="center"/>
    </xf>
    <xf numFmtId="0" fontId="104" fillId="14" borderId="73" xfId="0" applyFont="1" applyFill="1" applyBorder="1" applyAlignment="1">
      <alignment horizontal="left" vertical="center"/>
    </xf>
    <xf numFmtId="0" fontId="106" fillId="0" borderId="81" xfId="0" applyFont="1" applyBorder="1" applyAlignment="1">
      <alignment horizontal="left" vertical="center"/>
    </xf>
    <xf numFmtId="0" fontId="106" fillId="0" borderId="76" xfId="0" applyFont="1" applyBorder="1" applyAlignment="1">
      <alignment horizontal="left" vertical="center"/>
    </xf>
    <xf numFmtId="0" fontId="106" fillId="0" borderId="80" xfId="0" applyFont="1" applyBorder="1" applyAlignment="1">
      <alignment horizontal="left" vertical="center"/>
    </xf>
    <xf numFmtId="0" fontId="106" fillId="0" borderId="83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0" fontId="106" fillId="0" borderId="84" xfId="0" applyFont="1" applyBorder="1" applyAlignment="1">
      <alignment horizontal="left" vertical="center"/>
    </xf>
    <xf numFmtId="0" fontId="106" fillId="0" borderId="79" xfId="0" applyFont="1" applyBorder="1" applyAlignment="1">
      <alignment horizontal="left" vertical="center"/>
    </xf>
    <xf numFmtId="0" fontId="106" fillId="0" borderId="82" xfId="0" applyFont="1" applyBorder="1" applyAlignment="1">
      <alignment horizontal="left" vertical="center"/>
    </xf>
    <xf numFmtId="0" fontId="106" fillId="0" borderId="78" xfId="0" applyFont="1" applyBorder="1" applyAlignment="1">
      <alignment horizontal="left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109" fillId="35" borderId="62" xfId="0" applyFont="1" applyFill="1" applyBorder="1" applyAlignment="1">
      <alignment horizontal="center" vertical="center"/>
    </xf>
    <xf numFmtId="0" fontId="109" fillId="35" borderId="63" xfId="0" applyFont="1" applyFill="1" applyBorder="1" applyAlignment="1">
      <alignment horizontal="center" vertical="center"/>
    </xf>
    <xf numFmtId="0" fontId="109" fillId="35" borderId="64" xfId="0" applyFont="1" applyFill="1" applyBorder="1" applyAlignment="1">
      <alignment horizontal="center" vertical="center"/>
    </xf>
    <xf numFmtId="0" fontId="22" fillId="0" borderId="3" xfId="48" applyFont="1" applyBorder="1" applyAlignment="1">
      <alignment vertical="center"/>
    </xf>
    <xf numFmtId="185" fontId="104" fillId="14" borderId="0" xfId="161" quotePrefix="1" applyNumberFormat="1" applyFont="1" applyFill="1" applyAlignment="1">
      <alignment horizontal="right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116" fillId="36" borderId="75" xfId="0" applyFont="1" applyFill="1" applyBorder="1" applyAlignment="1">
      <alignment horizontal="left" vertical="center" wrapText="1"/>
    </xf>
    <xf numFmtId="0" fontId="116" fillId="36" borderId="77" xfId="0" applyFont="1" applyFill="1" applyBorder="1" applyAlignment="1">
      <alignment horizontal="left" vertical="center" wrapText="1"/>
    </xf>
    <xf numFmtId="0" fontId="116" fillId="19" borderId="75" xfId="161" applyFont="1" applyFill="1" applyBorder="1" applyAlignment="1">
      <alignment horizontal="left" vertical="center" wrapText="1"/>
    </xf>
    <xf numFmtId="0" fontId="113" fillId="19" borderId="75" xfId="161" applyFont="1" applyFill="1" applyBorder="1" applyAlignment="1">
      <alignment horizontal="left" vertical="center"/>
    </xf>
    <xf numFmtId="0" fontId="113" fillId="19" borderId="77" xfId="161" applyFont="1" applyFill="1" applyBorder="1" applyAlignment="1">
      <alignment horizontal="left" vertical="center"/>
    </xf>
    <xf numFmtId="0" fontId="113" fillId="36" borderId="75" xfId="0" applyFont="1" applyFill="1" applyBorder="1" applyAlignment="1">
      <alignment horizontal="left" vertical="center" wrapText="1"/>
    </xf>
    <xf numFmtId="0" fontId="113" fillId="36" borderId="77" xfId="0" applyFont="1" applyFill="1" applyBorder="1" applyAlignment="1">
      <alignment horizontal="left" vertical="center" wrapText="1"/>
    </xf>
    <xf numFmtId="0" fontId="97" fillId="36" borderId="75" xfId="161" applyFont="1" applyFill="1" applyBorder="1" applyAlignment="1">
      <alignment horizontal="center" vertical="center"/>
    </xf>
    <xf numFmtId="0" fontId="97" fillId="36" borderId="77" xfId="161" applyFont="1" applyFill="1" applyBorder="1" applyAlignment="1">
      <alignment horizontal="center" vertical="center"/>
    </xf>
    <xf numFmtId="0" fontId="118" fillId="14" borderId="72" xfId="0" applyFont="1" applyFill="1" applyBorder="1" applyAlignment="1">
      <alignment horizontal="center" vertical="center" wrapText="1"/>
    </xf>
    <xf numFmtId="0" fontId="118" fillId="14" borderId="72" xfId="0" applyFont="1" applyFill="1" applyBorder="1" applyAlignment="1">
      <alignment horizontal="center" vertical="center"/>
    </xf>
    <xf numFmtId="0" fontId="118" fillId="14" borderId="0" xfId="0" applyFont="1" applyFill="1" applyAlignment="1">
      <alignment horizontal="center" vertical="center"/>
    </xf>
    <xf numFmtId="0" fontId="101" fillId="19" borderId="0" xfId="161" applyFont="1" applyFill="1" applyAlignment="1">
      <alignment horizontal="left" vertical="center" wrapText="1"/>
    </xf>
    <xf numFmtId="0" fontId="101" fillId="19" borderId="0" xfId="161" applyFont="1" applyFill="1" applyAlignment="1">
      <alignment horizontal="left" vertical="center"/>
    </xf>
    <xf numFmtId="0" fontId="104" fillId="36" borderId="73" xfId="161" applyFont="1" applyFill="1" applyBorder="1" applyAlignment="1">
      <alignment horizontal="left" vertical="center" wrapText="1"/>
    </xf>
    <xf numFmtId="0" fontId="104" fillId="36" borderId="73" xfId="161" applyFont="1" applyFill="1" applyBorder="1" applyAlignment="1">
      <alignment horizontal="left" vertical="center"/>
    </xf>
    <xf numFmtId="185" fontId="104" fillId="19" borderId="0" xfId="161" quotePrefix="1" applyNumberFormat="1" applyFont="1" applyFill="1" applyAlignment="1">
      <alignment horizontal="right" vertical="center"/>
    </xf>
    <xf numFmtId="0" fontId="113" fillId="19" borderId="75" xfId="161" applyFont="1" applyFill="1" applyBorder="1" applyAlignment="1">
      <alignment horizontal="left" vertical="center" wrapText="1"/>
    </xf>
    <xf numFmtId="0" fontId="113" fillId="19" borderId="77" xfId="161" applyFont="1" applyFill="1" applyBorder="1" applyAlignment="1">
      <alignment horizontal="left" vertical="center" wrapText="1"/>
    </xf>
    <xf numFmtId="0" fontId="106" fillId="0" borderId="74" xfId="0" applyFont="1" applyBorder="1" applyAlignment="1">
      <alignment horizontal="left" vertical="center" wrapText="1"/>
    </xf>
    <xf numFmtId="0" fontId="115" fillId="0" borderId="74" xfId="0" applyFont="1" applyBorder="1" applyAlignment="1">
      <alignment horizontal="left" vertical="center"/>
    </xf>
    <xf numFmtId="185" fontId="104" fillId="36" borderId="0" xfId="161" quotePrefix="1" applyNumberFormat="1" applyFont="1" applyFill="1" applyAlignment="1">
      <alignment horizontal="right" vertical="center"/>
    </xf>
    <xf numFmtId="185" fontId="104" fillId="14" borderId="12" xfId="161" quotePrefix="1" applyNumberFormat="1" applyFont="1" applyFill="1" applyBorder="1" applyAlignment="1">
      <alignment horizontal="right" vertical="center"/>
    </xf>
    <xf numFmtId="0" fontId="97" fillId="0" borderId="0" xfId="184" applyFont="1" applyAlignment="1" applyProtection="1">
      <alignment horizontal="left" vertical="center" wrapText="1"/>
      <protection locked="0"/>
    </xf>
    <xf numFmtId="0" fontId="97" fillId="0" borderId="58" xfId="184" applyFont="1" applyBorder="1" applyAlignment="1" applyProtection="1">
      <alignment horizontal="left" vertical="center" wrapText="1"/>
      <protection locked="0"/>
    </xf>
    <xf numFmtId="0" fontId="97" fillId="0" borderId="2" xfId="184" applyFont="1" applyBorder="1" applyAlignment="1" applyProtection="1">
      <alignment horizontal="left" vertical="center" wrapText="1"/>
      <protection locked="0"/>
    </xf>
    <xf numFmtId="0" fontId="97" fillId="0" borderId="63" xfId="184" applyFont="1" applyBorder="1" applyAlignment="1" applyProtection="1">
      <alignment horizontal="left" vertical="center" wrapText="1"/>
      <protection locked="0"/>
    </xf>
    <xf numFmtId="0" fontId="97" fillId="0" borderId="58" xfId="185" applyFont="1" applyBorder="1" applyAlignment="1">
      <alignment horizontal="left"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49" fontId="97" fillId="0" borderId="10" xfId="45" applyNumberFormat="1" applyFont="1" applyBorder="1" applyAlignment="1">
      <alignment horizontal="left" vertical="center" wrapText="1"/>
    </xf>
    <xf numFmtId="49" fontId="97" fillId="0" borderId="54" xfId="45" applyNumberFormat="1" applyFont="1" applyBorder="1" applyAlignment="1">
      <alignment horizontal="left" vertical="center" wrapText="1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 applyProtection="1">
      <alignment vertical="center" wrapText="1"/>
      <protection locked="0"/>
    </xf>
    <xf numFmtId="0" fontId="97" fillId="0" borderId="54" xfId="185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3" fillId="33" borderId="23" xfId="185" applyFont="1" applyFill="1" applyBorder="1" applyAlignment="1">
      <alignment horizontal="center" vertical="center"/>
    </xf>
    <xf numFmtId="0" fontId="103" fillId="34" borderId="3" xfId="185" applyFont="1" applyFill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/>
    </xf>
    <xf numFmtId="0" fontId="103" fillId="34" borderId="3" xfId="185" applyFont="1" applyFill="1" applyBorder="1" applyAlignment="1" applyProtection="1">
      <alignment horizontal="center" vertical="center" wrapText="1"/>
      <protection locked="0"/>
    </xf>
    <xf numFmtId="0" fontId="103" fillId="32" borderId="3" xfId="185" applyFont="1" applyFill="1" applyBorder="1" applyAlignment="1">
      <alignment horizontal="center" vertical="center" wrapText="1"/>
    </xf>
    <xf numFmtId="0" fontId="103" fillId="32" borderId="3" xfId="185" applyFont="1" applyFill="1" applyBorder="1" applyAlignment="1">
      <alignment horizontal="center" vertical="center"/>
    </xf>
    <xf numFmtId="0" fontId="103" fillId="32" borderId="62" xfId="185" applyFont="1" applyFill="1" applyBorder="1" applyAlignment="1">
      <alignment horizontal="center" vertical="center" wrapText="1"/>
    </xf>
    <xf numFmtId="0" fontId="103" fillId="32" borderId="63" xfId="185" applyFont="1" applyFill="1" applyBorder="1" applyAlignment="1">
      <alignment horizontal="center" vertical="center" wrapText="1"/>
    </xf>
    <xf numFmtId="0" fontId="103" fillId="32" borderId="64" xfId="185" applyFont="1" applyFill="1" applyBorder="1" applyAlignment="1">
      <alignment horizontal="center" vertical="center" wrapText="1"/>
    </xf>
    <xf numFmtId="0" fontId="103" fillId="32" borderId="85" xfId="185" applyFont="1" applyFill="1" applyBorder="1" applyAlignment="1">
      <alignment horizontal="center" vertical="center" wrapText="1"/>
    </xf>
    <xf numFmtId="0" fontId="103" fillId="32" borderId="65" xfId="185" applyFont="1" applyFill="1" applyBorder="1" applyAlignment="1">
      <alignment horizontal="center" vertical="center" wrapText="1"/>
    </xf>
    <xf numFmtId="0" fontId="103" fillId="32" borderId="66" xfId="185" applyFont="1" applyFill="1" applyBorder="1" applyAlignment="1">
      <alignment horizontal="center" vertical="center" wrapText="1"/>
    </xf>
    <xf numFmtId="0" fontId="103" fillId="32" borderId="62" xfId="184" applyFont="1" applyFill="1" applyBorder="1" applyAlignment="1">
      <alignment horizontal="center" vertical="center" wrapText="1"/>
    </xf>
    <xf numFmtId="0" fontId="103" fillId="32" borderId="63" xfId="184" applyFont="1" applyFill="1" applyBorder="1" applyAlignment="1">
      <alignment horizontal="center" vertical="center" wrapText="1"/>
    </xf>
    <xf numFmtId="0" fontId="103" fillId="32" borderId="7" xfId="184" applyFont="1" applyFill="1" applyBorder="1" applyAlignment="1">
      <alignment horizontal="center" vertical="center" wrapText="1"/>
    </xf>
    <xf numFmtId="0" fontId="103" fillId="32" borderId="65" xfId="184" applyFont="1" applyFill="1" applyBorder="1" applyAlignment="1">
      <alignment horizontal="center" vertical="center" wrapText="1"/>
    </xf>
    <xf numFmtId="0" fontId="97" fillId="0" borderId="10" xfId="45" applyFont="1" applyBorder="1" applyAlignment="1">
      <alignment horizontal="left" vertical="center" wrapText="1"/>
    </xf>
    <xf numFmtId="0" fontId="97" fillId="0" borderId="2" xfId="45" applyFont="1" applyBorder="1" applyAlignment="1">
      <alignment horizontal="left" vertical="center" wrapText="1"/>
    </xf>
    <xf numFmtId="0" fontId="97" fillId="0" borderId="17" xfId="45" applyFont="1" applyBorder="1" applyAlignment="1">
      <alignment horizontal="left" vertical="center" wrapText="1"/>
    </xf>
    <xf numFmtId="0" fontId="97" fillId="0" borderId="59" xfId="45" applyFont="1" applyBorder="1" applyAlignment="1" applyProtection="1">
      <alignment vertical="center" wrapText="1"/>
      <protection locked="0"/>
    </xf>
    <xf numFmtId="0" fontId="97" fillId="0" borderId="60" xfId="45" applyFont="1" applyBorder="1" applyAlignment="1" applyProtection="1">
      <alignment vertical="center" wrapText="1"/>
      <protection locked="0"/>
    </xf>
    <xf numFmtId="0" fontId="97" fillId="0" borderId="67" xfId="45" applyFont="1" applyBorder="1" applyAlignment="1" applyProtection="1">
      <alignment vertical="center" wrapText="1"/>
      <protection locked="0"/>
    </xf>
    <xf numFmtId="0" fontId="97" fillId="0" borderId="68" xfId="45" applyFont="1" applyBorder="1" applyAlignment="1" applyProtection="1">
      <alignment horizontal="left" vertical="center" wrapText="1"/>
      <protection locked="0"/>
    </xf>
    <xf numFmtId="0" fontId="97" fillId="0" borderId="58" xfId="45" applyFont="1" applyBorder="1" applyAlignment="1" applyProtection="1">
      <alignment horizontal="center" vertical="center" wrapText="1"/>
      <protection locked="0"/>
    </xf>
    <xf numFmtId="0" fontId="97" fillId="0" borderId="2" xfId="45" applyFont="1" applyBorder="1" applyAlignment="1" applyProtection="1">
      <alignment horizontal="center" vertical="center" wrapText="1"/>
      <protection locked="0"/>
    </xf>
    <xf numFmtId="0" fontId="97" fillId="0" borderId="17" xfId="45" applyFont="1" applyBorder="1" applyAlignment="1" applyProtection="1">
      <alignment horizontal="center" vertical="center" wrapText="1"/>
      <protection locked="0"/>
    </xf>
    <xf numFmtId="0" fontId="97" fillId="0" borderId="59" xfId="185" applyFont="1" applyBorder="1" applyAlignment="1" applyProtection="1">
      <alignment vertical="center" wrapText="1"/>
      <protection locked="0"/>
    </xf>
    <xf numFmtId="0" fontId="97" fillId="0" borderId="60" xfId="185" applyFont="1" applyBorder="1" applyAlignment="1" applyProtection="1">
      <alignment vertical="center" wrapText="1"/>
      <protection locked="0"/>
    </xf>
    <xf numFmtId="0" fontId="97" fillId="0" borderId="61" xfId="185" applyFont="1" applyBorder="1" applyAlignment="1" applyProtection="1">
      <alignment vertical="center" wrapText="1"/>
      <protection locked="0"/>
    </xf>
    <xf numFmtId="0" fontId="97" fillId="0" borderId="10" xfId="185" applyFont="1" applyBorder="1" applyAlignment="1">
      <alignment horizontal="left" vertical="top" wrapText="1"/>
    </xf>
    <xf numFmtId="0" fontId="97" fillId="0" borderId="2" xfId="185" applyFont="1" applyBorder="1" applyAlignment="1">
      <alignment horizontal="left" vertical="top" wrapText="1"/>
    </xf>
    <xf numFmtId="0" fontId="97" fillId="0" borderId="17" xfId="185" applyFont="1" applyBorder="1" applyAlignment="1">
      <alignment horizontal="left" vertical="top" wrapText="1"/>
    </xf>
    <xf numFmtId="0" fontId="97" fillId="0" borderId="58" xfId="184" applyFont="1" applyBorder="1" applyAlignment="1">
      <alignment horizontal="center" vertical="center" wrapText="1"/>
    </xf>
    <xf numFmtId="0" fontId="97" fillId="0" borderId="2" xfId="184" applyFont="1" applyBorder="1" applyAlignment="1">
      <alignment horizontal="center" vertical="center" wrapText="1"/>
    </xf>
    <xf numFmtId="0" fontId="97" fillId="0" borderId="54" xfId="184" applyFont="1" applyBorder="1" applyAlignment="1">
      <alignment horizontal="center" vertical="center" wrapText="1"/>
    </xf>
    <xf numFmtId="0" fontId="97" fillId="0" borderId="58" xfId="185" applyFont="1" applyBorder="1" applyAlignment="1">
      <alignment horizontal="center" vertical="center" wrapText="1"/>
    </xf>
    <xf numFmtId="0" fontId="97" fillId="0" borderId="2" xfId="185" applyFont="1" applyBorder="1" applyAlignment="1">
      <alignment horizontal="center" vertical="center" wrapText="1"/>
    </xf>
    <xf numFmtId="0" fontId="97" fillId="0" borderId="17" xfId="185" applyFont="1" applyBorder="1" applyAlignment="1">
      <alignment horizontal="center" vertical="center" wrapText="1"/>
    </xf>
    <xf numFmtId="0" fontId="97" fillId="0" borderId="10" xfId="185" applyFont="1" applyBorder="1" applyAlignment="1">
      <alignment horizontal="center" vertical="center" wrapText="1"/>
    </xf>
    <xf numFmtId="0" fontId="97" fillId="0" borderId="54" xfId="45" applyFont="1" applyBorder="1" applyAlignment="1">
      <alignment horizontal="left" vertical="center" wrapText="1"/>
    </xf>
    <xf numFmtId="0" fontId="97" fillId="0" borderId="54" xfId="45" applyFont="1" applyBorder="1" applyAlignment="1" applyProtection="1">
      <alignment horizontal="center" vertical="center" wrapText="1"/>
      <protection locked="0"/>
    </xf>
    <xf numFmtId="0" fontId="97" fillId="0" borderId="58" xfId="185" applyFont="1" applyBorder="1" applyAlignment="1" applyProtection="1">
      <alignment horizontal="left" vertical="center" wrapText="1"/>
      <protection locked="0"/>
    </xf>
    <xf numFmtId="0" fontId="97" fillId="0" borderId="2" xfId="185" applyFont="1" applyBorder="1" applyAlignment="1" applyProtection="1">
      <alignment horizontal="left" vertical="center" wrapText="1"/>
      <protection locked="0"/>
    </xf>
    <xf numFmtId="0" fontId="101" fillId="0" borderId="10" xfId="186" applyFont="1" applyBorder="1" applyAlignment="1">
      <alignment horizontal="center" vertical="center"/>
    </xf>
    <xf numFmtId="0" fontId="101" fillId="0" borderId="2" xfId="186" applyFont="1" applyBorder="1" applyAlignment="1">
      <alignment horizontal="center" vertical="center"/>
    </xf>
    <xf numFmtId="0" fontId="101" fillId="0" borderId="3" xfId="186" applyFont="1" applyBorder="1" applyAlignment="1">
      <alignment horizontal="center" vertical="center"/>
    </xf>
    <xf numFmtId="0" fontId="101" fillId="0" borderId="15" xfId="186" applyFont="1" applyBorder="1" applyAlignment="1">
      <alignment horizontal="center" vertical="center"/>
    </xf>
    <xf numFmtId="0" fontId="101" fillId="0" borderId="12" xfId="186" applyFont="1" applyBorder="1" applyAlignment="1">
      <alignment horizontal="center" vertical="center"/>
    </xf>
    <xf numFmtId="0" fontId="101" fillId="0" borderId="13" xfId="186" applyFont="1" applyBorder="1" applyAlignment="1">
      <alignment horizontal="center" vertical="center"/>
    </xf>
    <xf numFmtId="0" fontId="101" fillId="0" borderId="6" xfId="186" applyFont="1" applyBorder="1" applyAlignment="1">
      <alignment horizontal="center" vertical="center"/>
    </xf>
    <xf numFmtId="0" fontId="101" fillId="0" borderId="0" xfId="186" applyFont="1" applyAlignment="1">
      <alignment horizontal="center" vertical="center"/>
    </xf>
    <xf numFmtId="0" fontId="101" fillId="0" borderId="11" xfId="186" applyFont="1" applyBorder="1" applyAlignment="1">
      <alignment horizontal="center" vertical="center"/>
    </xf>
    <xf numFmtId="0" fontId="101" fillId="0" borderId="7" xfId="186" applyFont="1" applyBorder="1" applyAlignment="1">
      <alignment horizontal="center" vertical="center"/>
    </xf>
    <xf numFmtId="0" fontId="101" fillId="0" borderId="8" xfId="186" applyFont="1" applyBorder="1" applyAlignment="1">
      <alignment horizontal="center" vertical="center"/>
    </xf>
    <xf numFmtId="0" fontId="101" fillId="0" borderId="14" xfId="186" applyFont="1" applyBorder="1" applyAlignment="1">
      <alignment horizontal="center" vertical="center"/>
    </xf>
    <xf numFmtId="0" fontId="101" fillId="0" borderId="15" xfId="186" applyFont="1" applyBorder="1" applyAlignment="1">
      <alignment horizontal="left" vertical="center" wrapText="1"/>
    </xf>
    <xf numFmtId="0" fontId="101" fillId="0" borderId="12" xfId="186" applyFont="1" applyBorder="1" applyAlignment="1">
      <alignment horizontal="left" vertical="center"/>
    </xf>
    <xf numFmtId="0" fontId="101" fillId="0" borderId="13" xfId="186" applyFont="1" applyBorder="1" applyAlignment="1">
      <alignment horizontal="left" vertical="center"/>
    </xf>
    <xf numFmtId="0" fontId="101" fillId="0" borderId="6" xfId="186" applyFont="1" applyBorder="1" applyAlignment="1">
      <alignment horizontal="left" vertical="center"/>
    </xf>
    <xf numFmtId="0" fontId="101" fillId="0" borderId="0" xfId="186" applyFont="1" applyAlignment="1">
      <alignment horizontal="left" vertical="center"/>
    </xf>
    <xf numFmtId="0" fontId="101" fillId="0" borderId="11" xfId="186" applyFont="1" applyBorder="1" applyAlignment="1">
      <alignment horizontal="left" vertical="center"/>
    </xf>
    <xf numFmtId="0" fontId="101" fillId="0" borderId="7" xfId="186" applyFont="1" applyBorder="1" applyAlignment="1">
      <alignment horizontal="left" vertical="center"/>
    </xf>
    <xf numFmtId="0" fontId="101" fillId="0" borderId="8" xfId="186" applyFont="1" applyBorder="1" applyAlignment="1">
      <alignment horizontal="left" vertical="center"/>
    </xf>
    <xf numFmtId="0" fontId="101" fillId="0" borderId="14" xfId="186" applyFont="1" applyBorder="1" applyAlignment="1">
      <alignment horizontal="left" vertical="center"/>
    </xf>
    <xf numFmtId="0" fontId="101" fillId="35" borderId="10" xfId="186" applyFont="1" applyFill="1" applyBorder="1" applyAlignment="1">
      <alignment horizontal="center" vertical="center"/>
    </xf>
    <xf numFmtId="0" fontId="101" fillId="35" borderId="2" xfId="186" applyFont="1" applyFill="1" applyBorder="1" applyAlignment="1">
      <alignment horizontal="center" vertical="center"/>
    </xf>
    <xf numFmtId="0" fontId="101" fillId="35" borderId="3" xfId="186" applyFont="1" applyFill="1" applyBorder="1" applyAlignment="1">
      <alignment horizontal="center" vertical="center"/>
    </xf>
    <xf numFmtId="0" fontId="101" fillId="0" borderId="3" xfId="186" applyFont="1" applyBorder="1" applyAlignment="1">
      <alignment horizontal="left" vertical="center"/>
    </xf>
    <xf numFmtId="0" fontId="101" fillId="0" borderId="3" xfId="187" applyFont="1" applyBorder="1" applyAlignment="1">
      <alignment horizontal="left" vertical="center"/>
    </xf>
    <xf numFmtId="0" fontId="101" fillId="0" borderId="3" xfId="187" applyFont="1" applyBorder="1" applyAlignment="1">
      <alignment horizontal="center" vertical="center"/>
    </xf>
    <xf numFmtId="0" fontId="101" fillId="0" borderId="3" xfId="187" applyFont="1" applyBorder="1" applyAlignment="1">
      <alignment vertical="center" wrapText="1"/>
    </xf>
    <xf numFmtId="0" fontId="101" fillId="0" borderId="3" xfId="186" applyFont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 wrapText="1"/>
    </xf>
    <xf numFmtId="0" fontId="101" fillId="0" borderId="2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center" vertical="center"/>
    </xf>
    <xf numFmtId="0" fontId="101" fillId="0" borderId="10" xfId="187" applyFont="1" applyBorder="1" applyAlignment="1">
      <alignment horizontal="center" vertical="center"/>
    </xf>
    <xf numFmtId="0" fontId="101" fillId="0" borderId="2" xfId="187" applyFont="1" applyBorder="1" applyAlignment="1">
      <alignment horizontal="center" vertical="center"/>
    </xf>
    <xf numFmtId="0" fontId="101" fillId="0" borderId="17" xfId="187" applyFont="1" applyBorder="1" applyAlignment="1">
      <alignment horizontal="center" vertical="center"/>
    </xf>
    <xf numFmtId="0" fontId="101" fillId="37" borderId="3" xfId="186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center" vertical="center"/>
    </xf>
    <xf numFmtId="0" fontId="101" fillId="37" borderId="3" xfId="187" applyFont="1" applyFill="1" applyBorder="1" applyAlignment="1">
      <alignment horizontal="center" vertical="center"/>
    </xf>
    <xf numFmtId="0" fontId="101" fillId="37" borderId="3" xfId="187" applyFont="1" applyFill="1" applyBorder="1">
      <alignment vertical="center"/>
    </xf>
    <xf numFmtId="0" fontId="101" fillId="37" borderId="3" xfId="186" applyFont="1" applyFill="1" applyBorder="1" applyAlignment="1">
      <alignment horizontal="center" vertical="center" wrapText="1"/>
    </xf>
    <xf numFmtId="0" fontId="101" fillId="38" borderId="3" xfId="186" applyFont="1" applyFill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/>
    </xf>
    <xf numFmtId="0" fontId="101" fillId="0" borderId="2" xfId="186" applyFont="1" applyBorder="1" applyAlignment="1">
      <alignment horizontal="left" vertical="center"/>
    </xf>
    <xf numFmtId="0" fontId="101" fillId="0" borderId="17" xfId="186" applyFont="1" applyBorder="1" applyAlignment="1">
      <alignment horizontal="left" vertical="center"/>
    </xf>
    <xf numFmtId="0" fontId="101" fillId="0" borderId="10" xfId="186" applyFont="1" applyBorder="1" applyAlignment="1">
      <alignment horizontal="left" vertical="center" shrinkToFit="1"/>
    </xf>
    <xf numFmtId="0" fontId="101" fillId="0" borderId="2" xfId="186" applyFont="1" applyBorder="1" applyAlignment="1">
      <alignment horizontal="left" vertical="center" shrinkToFit="1"/>
    </xf>
    <xf numFmtId="0" fontId="101" fillId="0" borderId="17" xfId="186" applyFont="1" applyBorder="1" applyAlignment="1">
      <alignment horizontal="left" vertical="center" shrinkToFit="1"/>
    </xf>
    <xf numFmtId="0" fontId="101" fillId="37" borderId="10" xfId="186" applyFont="1" applyFill="1" applyBorder="1" applyAlignment="1">
      <alignment horizontal="center" vertical="center"/>
    </xf>
    <xf numFmtId="0" fontId="101" fillId="37" borderId="2" xfId="186" applyFont="1" applyFill="1" applyBorder="1" applyAlignment="1">
      <alignment horizontal="center" vertical="center"/>
    </xf>
    <xf numFmtId="0" fontId="101" fillId="37" borderId="17" xfId="186" applyFont="1" applyFill="1" applyBorder="1" applyAlignment="1">
      <alignment horizontal="center" vertical="center"/>
    </xf>
    <xf numFmtId="0" fontId="101" fillId="34" borderId="10" xfId="186" applyFont="1" applyFill="1" applyBorder="1" applyAlignment="1">
      <alignment horizontal="center" vertical="center"/>
    </xf>
    <xf numFmtId="0" fontId="101" fillId="34" borderId="2" xfId="186" applyFont="1" applyFill="1" applyBorder="1" applyAlignment="1">
      <alignment horizontal="center" vertical="center"/>
    </xf>
    <xf numFmtId="0" fontId="101" fillId="34" borderId="17" xfId="186" applyFont="1" applyFill="1" applyBorder="1" applyAlignment="1">
      <alignment horizontal="center" vertical="center"/>
    </xf>
    <xf numFmtId="0" fontId="101" fillId="34" borderId="10" xfId="186" applyFont="1" applyFill="1" applyBorder="1" applyAlignment="1">
      <alignment horizontal="left" vertical="center"/>
    </xf>
    <xf numFmtId="0" fontId="101" fillId="34" borderId="2" xfId="186" applyFont="1" applyFill="1" applyBorder="1" applyAlignment="1">
      <alignment horizontal="left" vertical="center"/>
    </xf>
    <xf numFmtId="0" fontId="101" fillId="34" borderId="17" xfId="186" applyFont="1" applyFill="1" applyBorder="1" applyAlignment="1">
      <alignment horizontal="left" vertical="center"/>
    </xf>
    <xf numFmtId="0" fontId="101" fillId="0" borderId="15" xfId="186" applyFont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/>
    </xf>
    <xf numFmtId="0" fontId="101" fillId="14" borderId="2" xfId="186" applyFont="1" applyFill="1" applyBorder="1" applyAlignment="1">
      <alignment horizontal="left" vertical="center"/>
    </xf>
    <xf numFmtId="0" fontId="101" fillId="14" borderId="17" xfId="186" applyFont="1" applyFill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 wrapText="1"/>
    </xf>
    <xf numFmtId="0" fontId="101" fillId="14" borderId="2" xfId="186" applyFont="1" applyFill="1" applyBorder="1" applyAlignment="1">
      <alignment horizontal="left" vertical="center" wrapText="1"/>
    </xf>
    <xf numFmtId="0" fontId="101" fillId="14" borderId="17" xfId="186" applyFont="1" applyFill="1" applyBorder="1" applyAlignment="1">
      <alignment horizontal="left" vertical="center" wrapText="1"/>
    </xf>
    <xf numFmtId="0" fontId="110" fillId="33" borderId="23" xfId="186" applyFont="1" applyFill="1" applyBorder="1" applyAlignment="1">
      <alignment horizontal="center" vertical="center"/>
    </xf>
    <xf numFmtId="0" fontId="101" fillId="14" borderId="15" xfId="186" applyFont="1" applyFill="1" applyBorder="1" applyAlignment="1">
      <alignment horizontal="left" vertical="center"/>
    </xf>
    <xf numFmtId="0" fontId="101" fillId="14" borderId="12" xfId="186" applyFont="1" applyFill="1" applyBorder="1" applyAlignment="1">
      <alignment horizontal="left" vertical="center"/>
    </xf>
    <xf numFmtId="0" fontId="101" fillId="14" borderId="13" xfId="186" applyFont="1" applyFill="1" applyBorder="1" applyAlignment="1">
      <alignment horizontal="left" vertical="center"/>
    </xf>
    <xf numFmtId="0" fontId="101" fillId="14" borderId="7" xfId="186" applyFont="1" applyFill="1" applyBorder="1" applyAlignment="1">
      <alignment horizontal="left" vertical="center"/>
    </xf>
    <xf numFmtId="0" fontId="101" fillId="14" borderId="8" xfId="186" applyFont="1" applyFill="1" applyBorder="1" applyAlignment="1">
      <alignment horizontal="left" vertical="center"/>
    </xf>
    <xf numFmtId="0" fontId="101" fillId="14" borderId="14" xfId="186" applyFont="1" applyFill="1" applyBorder="1" applyAlignment="1">
      <alignment horizontal="left" vertical="center"/>
    </xf>
    <xf numFmtId="0" fontId="97" fillId="0" borderId="3" xfId="188" applyFont="1" applyBorder="1">
      <alignment vertical="center"/>
    </xf>
    <xf numFmtId="0" fontId="97" fillId="0" borderId="3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/>
    </xf>
    <xf numFmtId="0" fontId="97" fillId="0" borderId="2" xfId="188" applyFont="1" applyBorder="1" applyAlignment="1">
      <alignment horizontal="left" vertical="center"/>
    </xf>
    <xf numFmtId="0" fontId="97" fillId="0" borderId="17" xfId="188" applyFont="1" applyBorder="1" applyAlignment="1">
      <alignment horizontal="left" vertical="center"/>
    </xf>
    <xf numFmtId="0" fontId="97" fillId="34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horizontal="left" vertical="center" wrapText="1"/>
    </xf>
    <xf numFmtId="0" fontId="100" fillId="34" borderId="3" xfId="188" applyFont="1" applyFill="1" applyBorder="1">
      <alignment vertical="center"/>
    </xf>
    <xf numFmtId="0" fontId="97" fillId="34" borderId="3" xfId="188" applyFont="1" applyFill="1" applyBorder="1" applyAlignment="1">
      <alignment horizontal="left" vertical="center"/>
    </xf>
    <xf numFmtId="0" fontId="97" fillId="0" borderId="3" xfId="188" applyFont="1" applyBorder="1" applyAlignment="1">
      <alignment horizontal="center" vertical="center"/>
    </xf>
    <xf numFmtId="0" fontId="97" fillId="0" borderId="10" xfId="188" applyFont="1" applyBorder="1" applyAlignment="1">
      <alignment horizontal="left" vertical="center" wrapText="1"/>
    </xf>
    <xf numFmtId="0" fontId="97" fillId="0" borderId="2" xfId="188" applyFont="1" applyBorder="1" applyAlignment="1">
      <alignment horizontal="left" vertical="center" wrapText="1"/>
    </xf>
    <xf numFmtId="0" fontId="97" fillId="0" borderId="17" xfId="188" applyFont="1" applyBorder="1" applyAlignment="1">
      <alignment horizontal="left" vertical="center" wrapText="1"/>
    </xf>
    <xf numFmtId="0" fontId="103" fillId="33" borderId="23" xfId="188" applyFont="1" applyFill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 wrapText="1"/>
    </xf>
    <xf numFmtId="0" fontId="101" fillId="0" borderId="3" xfId="188" applyFont="1" applyBorder="1" applyAlignment="1">
      <alignment horizontal="center" vertical="center"/>
    </xf>
    <xf numFmtId="0" fontId="101" fillId="0" borderId="3" xfId="188" quotePrefix="1" applyFont="1" applyBorder="1" applyAlignment="1">
      <alignment horizontal="center" vertical="center"/>
    </xf>
    <xf numFmtId="0" fontId="122" fillId="0" borderId="3" xfId="188" applyFont="1" applyBorder="1" applyAlignment="1">
      <alignment horizontal="center" vertical="center"/>
    </xf>
    <xf numFmtId="0" fontId="101" fillId="0" borderId="10" xfId="188" applyFont="1" applyBorder="1" applyAlignment="1">
      <alignment horizontal="center" vertical="center"/>
    </xf>
    <xf numFmtId="0" fontId="101" fillId="0" borderId="2" xfId="188" applyFont="1" applyBorder="1" applyAlignment="1">
      <alignment horizontal="center" vertical="center"/>
    </xf>
    <xf numFmtId="0" fontId="101" fillId="0" borderId="17" xfId="188" applyFont="1" applyBorder="1" applyAlignment="1">
      <alignment horizontal="center" vertical="center"/>
    </xf>
    <xf numFmtId="17" fontId="101" fillId="0" borderId="3" xfId="188" quotePrefix="1" applyNumberFormat="1" applyFont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 shrinkToFit="1"/>
    </xf>
    <xf numFmtId="0" fontId="122" fillId="35" borderId="3" xfId="188" applyFont="1" applyFill="1" applyBorder="1" applyAlignment="1">
      <alignment horizontal="center" vertical="center" shrinkToFit="1"/>
    </xf>
    <xf numFmtId="0" fontId="103" fillId="33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vertical="center" wrapText="1"/>
    </xf>
    <xf numFmtId="185" fontId="62" fillId="0" borderId="0" xfId="161" quotePrefix="1" applyNumberFormat="1" applyFont="1" applyAlignment="1">
      <alignment horizontal="right" vertical="center"/>
    </xf>
    <xf numFmtId="185" fontId="62" fillId="0" borderId="10" xfId="161" quotePrefix="1" applyNumberFormat="1" applyFont="1" applyBorder="1" applyAlignment="1">
      <alignment horizontal="right" vertical="center"/>
    </xf>
    <xf numFmtId="185" fontId="62" fillId="0" borderId="2" xfId="161" quotePrefix="1" applyNumberFormat="1" applyFont="1" applyBorder="1" applyAlignment="1">
      <alignment horizontal="right" vertical="center"/>
    </xf>
    <xf numFmtId="185" fontId="62" fillId="0" borderId="17" xfId="161" quotePrefix="1" applyNumberFormat="1" applyFont="1" applyBorder="1" applyAlignment="1">
      <alignment horizontal="right" vertical="center"/>
    </xf>
    <xf numFmtId="191" fontId="62" fillId="0" borderId="10" xfId="161" quotePrefix="1" applyNumberFormat="1" applyFont="1" applyBorder="1" applyAlignment="1">
      <alignment horizontal="right" vertical="center"/>
    </xf>
    <xf numFmtId="191" fontId="62" fillId="0" borderId="2" xfId="161" quotePrefix="1" applyNumberFormat="1" applyFont="1" applyBorder="1" applyAlignment="1">
      <alignment horizontal="right" vertical="center"/>
    </xf>
    <xf numFmtId="191" fontId="62" fillId="0" borderId="17" xfId="161" quotePrefix="1" applyNumberFormat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right" vertical="center"/>
    </xf>
    <xf numFmtId="183" fontId="62" fillId="0" borderId="2" xfId="161" quotePrefix="1" applyNumberFormat="1" applyFont="1" applyBorder="1" applyAlignment="1">
      <alignment horizontal="right" vertical="center"/>
    </xf>
    <xf numFmtId="183" fontId="62" fillId="0" borderId="17" xfId="161" quotePrefix="1" applyNumberFormat="1" applyFont="1" applyBorder="1" applyAlignment="1">
      <alignment horizontal="right" vertical="center"/>
    </xf>
    <xf numFmtId="184" fontId="62" fillId="0" borderId="10" xfId="161" quotePrefix="1" applyNumberFormat="1" applyFont="1" applyBorder="1" applyAlignment="1">
      <alignment horizontal="center" vertical="center"/>
    </xf>
    <xf numFmtId="184" fontId="62" fillId="0" borderId="2" xfId="161" quotePrefix="1" applyNumberFormat="1" applyFont="1" applyBorder="1" applyAlignment="1">
      <alignment horizontal="center" vertical="center"/>
    </xf>
    <xf numFmtId="184" fontId="62" fillId="0" borderId="17" xfId="161" quotePrefix="1" applyNumberFormat="1" applyFont="1" applyBorder="1" applyAlignment="1">
      <alignment horizontal="center" vertical="center"/>
    </xf>
    <xf numFmtId="185" fontId="62" fillId="0" borderId="10" xfId="161" applyNumberFormat="1" applyFont="1" applyBorder="1" applyAlignment="1">
      <alignment horizontal="center" vertical="center"/>
    </xf>
    <xf numFmtId="185" fontId="62" fillId="0" borderId="2" xfId="161" applyNumberFormat="1" applyFont="1" applyBorder="1" applyAlignment="1">
      <alignment horizontal="center" vertical="center"/>
    </xf>
    <xf numFmtId="185" fontId="62" fillId="0" borderId="17" xfId="161" applyNumberFormat="1" applyFont="1" applyBorder="1" applyAlignment="1">
      <alignment horizontal="center" vertical="center"/>
    </xf>
    <xf numFmtId="180" fontId="62" fillId="0" borderId="10" xfId="161" quotePrefix="1" applyNumberFormat="1" applyFont="1" applyBorder="1" applyAlignment="1">
      <alignment horizontal="right" vertical="center"/>
    </xf>
    <xf numFmtId="180" fontId="62" fillId="0" borderId="2" xfId="161" quotePrefix="1" applyNumberFormat="1" applyFont="1" applyBorder="1" applyAlignment="1">
      <alignment horizontal="right" vertical="center"/>
    </xf>
    <xf numFmtId="180" fontId="62" fillId="0" borderId="17" xfId="161" quotePrefix="1" applyNumberFormat="1" applyFont="1" applyBorder="1" applyAlignment="1">
      <alignment horizontal="right" vertical="center"/>
    </xf>
    <xf numFmtId="179" fontId="62" fillId="0" borderId="10" xfId="161" quotePrefix="1" applyNumberFormat="1" applyFont="1" applyBorder="1" applyAlignment="1">
      <alignment horizontal="right" vertical="center"/>
    </xf>
    <xf numFmtId="0" fontId="62" fillId="0" borderId="2" xfId="161" quotePrefix="1" applyFont="1" applyBorder="1" applyAlignment="1">
      <alignment horizontal="right" vertical="center"/>
    </xf>
    <xf numFmtId="0" fontId="62" fillId="0" borderId="17" xfId="161" quotePrefix="1" applyFont="1" applyBorder="1" applyAlignment="1">
      <alignment horizontal="right" vertical="center"/>
    </xf>
    <xf numFmtId="184" fontId="62" fillId="0" borderId="10" xfId="161" applyNumberFormat="1" applyFont="1" applyBorder="1" applyAlignment="1">
      <alignment horizontal="center" vertical="center"/>
    </xf>
    <xf numFmtId="184" fontId="62" fillId="0" borderId="2" xfId="161" applyNumberFormat="1" applyFont="1" applyBorder="1" applyAlignment="1">
      <alignment horizontal="center" vertical="center"/>
    </xf>
    <xf numFmtId="184" fontId="62" fillId="0" borderId="17" xfId="16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right" vertical="center"/>
    </xf>
    <xf numFmtId="184" fontId="62" fillId="0" borderId="2" xfId="161" quotePrefix="1" applyNumberFormat="1" applyFont="1" applyBorder="1" applyAlignment="1">
      <alignment horizontal="right" vertical="center"/>
    </xf>
    <xf numFmtId="184" fontId="62" fillId="0" borderId="17" xfId="161" quotePrefix="1" applyNumberFormat="1" applyFont="1" applyBorder="1" applyAlignment="1">
      <alignment horizontal="right" vertical="center"/>
    </xf>
    <xf numFmtId="179" fontId="62" fillId="0" borderId="2" xfId="161" quotePrefix="1" applyNumberFormat="1" applyFont="1" applyBorder="1" applyAlignment="1">
      <alignment horizontal="right" vertical="center"/>
    </xf>
    <xf numFmtId="179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right" vertical="center"/>
    </xf>
    <xf numFmtId="182" fontId="62" fillId="0" borderId="2" xfId="161" quotePrefix="1" applyNumberFormat="1" applyFont="1" applyBorder="1" applyAlignment="1">
      <alignment horizontal="right" vertical="center"/>
    </xf>
    <xf numFmtId="182" fontId="62" fillId="0" borderId="17" xfId="161" quotePrefix="1" applyNumberFormat="1" applyFont="1" applyBorder="1" applyAlignment="1">
      <alignment horizontal="right"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183" fontId="62" fillId="0" borderId="0" xfId="161" quotePrefix="1" applyNumberFormat="1" applyFont="1" applyAlignment="1">
      <alignment horizontal="right" vertical="center"/>
    </xf>
    <xf numFmtId="183" fontId="62" fillId="0" borderId="10" xfId="161" quotePrefix="1" applyNumberFormat="1" applyFont="1" applyBorder="1" applyAlignment="1">
      <alignment horizontal="center" vertical="center"/>
    </xf>
    <xf numFmtId="183" fontId="62" fillId="0" borderId="2" xfId="161" quotePrefix="1" applyNumberFormat="1" applyFont="1" applyBorder="1" applyAlignment="1">
      <alignment horizontal="center" vertical="center"/>
    </xf>
    <xf numFmtId="183" fontId="62" fillId="0" borderId="17" xfId="161" quotePrefix="1" applyNumberFormat="1" applyFont="1" applyBorder="1" applyAlignment="1">
      <alignment horizontal="center" vertical="center"/>
    </xf>
    <xf numFmtId="185" fontId="62" fillId="0" borderId="31" xfId="161" quotePrefix="1" applyNumberFormat="1" applyFont="1" applyBorder="1" applyAlignment="1">
      <alignment horizontal="right" vertical="center"/>
    </xf>
    <xf numFmtId="3" fontId="62" fillId="0" borderId="10" xfId="161" quotePrefix="1" applyNumberFormat="1" applyFont="1" applyBorder="1" applyAlignment="1">
      <alignment horizontal="right" vertical="center"/>
    </xf>
    <xf numFmtId="3" fontId="62" fillId="0" borderId="2" xfId="161" quotePrefix="1" applyNumberFormat="1" applyFont="1" applyBorder="1" applyAlignment="1">
      <alignment horizontal="right" vertical="center"/>
    </xf>
    <xf numFmtId="3" fontId="62" fillId="0" borderId="17" xfId="161" quotePrefix="1" applyNumberFormat="1" applyFont="1" applyBorder="1" applyAlignment="1">
      <alignment horizontal="right" vertical="center"/>
    </xf>
    <xf numFmtId="185" fontId="62" fillId="0" borderId="0" xfId="161" applyNumberFormat="1" applyFont="1" applyAlignment="1">
      <alignment horizontal="right" vertical="center"/>
    </xf>
    <xf numFmtId="186" fontId="62" fillId="0" borderId="10" xfId="161" quotePrefix="1" applyNumberFormat="1" applyFont="1" applyBorder="1" applyAlignment="1">
      <alignment horizontal="right" vertical="center"/>
    </xf>
    <xf numFmtId="186" fontId="62" fillId="0" borderId="2" xfId="161" quotePrefix="1" applyNumberFormat="1" applyFont="1" applyBorder="1" applyAlignment="1">
      <alignment horizontal="right" vertical="center"/>
    </xf>
    <xf numFmtId="186" fontId="62" fillId="0" borderId="17" xfId="161" quotePrefix="1" applyNumberFormat="1" applyFont="1" applyBorder="1" applyAlignment="1">
      <alignment horizontal="right" vertical="center"/>
    </xf>
    <xf numFmtId="10" fontId="62" fillId="0" borderId="10" xfId="161" quotePrefix="1" applyNumberFormat="1" applyFont="1" applyBorder="1" applyAlignment="1">
      <alignment horizontal="right" vertical="center"/>
    </xf>
    <xf numFmtId="10" fontId="62" fillId="0" borderId="2" xfId="161" quotePrefix="1" applyNumberFormat="1" applyFont="1" applyBorder="1" applyAlignment="1">
      <alignment horizontal="right" vertical="center"/>
    </xf>
    <xf numFmtId="10" fontId="62" fillId="0" borderId="17" xfId="161" quotePrefix="1" applyNumberFormat="1" applyFont="1" applyBorder="1" applyAlignment="1">
      <alignment horizontal="right" vertical="center"/>
    </xf>
    <xf numFmtId="0" fontId="62" fillId="0" borderId="10" xfId="161" quotePrefix="1" applyFont="1" applyBorder="1" applyAlignment="1">
      <alignment horizontal="right" vertical="center"/>
    </xf>
    <xf numFmtId="9" fontId="62" fillId="0" borderId="10" xfId="161" quotePrefix="1" applyNumberFormat="1" applyFont="1" applyBorder="1" applyAlignment="1">
      <alignment horizontal="right" vertical="center"/>
    </xf>
    <xf numFmtId="9" fontId="62" fillId="0" borderId="2" xfId="161" quotePrefix="1" applyNumberFormat="1" applyFont="1" applyBorder="1" applyAlignment="1">
      <alignment horizontal="right" vertical="center"/>
    </xf>
    <xf numFmtId="9" fontId="62" fillId="0" borderId="17" xfId="161" quotePrefix="1" applyNumberFormat="1" applyFont="1" applyBorder="1" applyAlignment="1">
      <alignment horizontal="right" vertical="center"/>
    </xf>
    <xf numFmtId="49" fontId="62" fillId="0" borderId="10" xfId="161" quotePrefix="1" applyNumberFormat="1" applyFont="1" applyBorder="1" applyAlignment="1">
      <alignment horizontal="center" vertical="center"/>
    </xf>
    <xf numFmtId="49" fontId="62" fillId="0" borderId="2" xfId="161" quotePrefix="1" applyNumberFormat="1" applyFont="1" applyBorder="1" applyAlignment="1">
      <alignment horizontal="center" vertical="center"/>
    </xf>
    <xf numFmtId="49" fontId="62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right" vertical="center"/>
    </xf>
    <xf numFmtId="181" fontId="62" fillId="0" borderId="2" xfId="161" quotePrefix="1" applyNumberFormat="1" applyFont="1" applyBorder="1" applyAlignment="1">
      <alignment horizontal="right" vertical="center"/>
    </xf>
    <xf numFmtId="181" fontId="62" fillId="0" borderId="17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/>
    </xf>
    <xf numFmtId="187" fontId="62" fillId="0" borderId="2" xfId="161" quotePrefix="1" applyNumberFormat="1" applyFont="1" applyBorder="1" applyAlignment="1">
      <alignment horizontal="right" vertical="center"/>
    </xf>
    <xf numFmtId="187" fontId="62" fillId="0" borderId="17" xfId="161" quotePrefix="1" applyNumberFormat="1" applyFont="1" applyBorder="1" applyAlignment="1">
      <alignment horizontal="right" vertical="center"/>
    </xf>
    <xf numFmtId="188" fontId="62" fillId="0" borderId="10" xfId="161" quotePrefix="1" applyNumberFormat="1" applyFont="1" applyBorder="1" applyAlignment="1">
      <alignment horizontal="right" vertical="center"/>
    </xf>
    <xf numFmtId="188" fontId="62" fillId="0" borderId="2" xfId="161" quotePrefix="1" applyNumberFormat="1" applyFont="1" applyBorder="1" applyAlignment="1">
      <alignment horizontal="right" vertical="center"/>
    </xf>
    <xf numFmtId="188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center" vertical="center"/>
    </xf>
    <xf numFmtId="182" fontId="62" fillId="0" borderId="2" xfId="161" quotePrefix="1" applyNumberFormat="1" applyFont="1" applyBorder="1" applyAlignment="1">
      <alignment horizontal="center" vertical="center"/>
    </xf>
    <xf numFmtId="182" fontId="62" fillId="0" borderId="17" xfId="161" quotePrefix="1" applyNumberFormat="1" applyFont="1" applyBorder="1" applyAlignment="1">
      <alignment horizontal="center" vertical="center"/>
    </xf>
    <xf numFmtId="185" fontId="62" fillId="0" borderId="10" xfId="161" applyNumberFormat="1" applyFont="1" applyBorder="1" applyAlignment="1">
      <alignment horizontal="right" vertical="center"/>
    </xf>
    <xf numFmtId="185" fontId="62" fillId="0" borderId="2" xfId="161" applyNumberFormat="1" applyFont="1" applyBorder="1" applyAlignment="1">
      <alignment horizontal="right" vertical="center"/>
    </xf>
    <xf numFmtId="185" fontId="62" fillId="0" borderId="17" xfId="16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 indent="1"/>
    </xf>
    <xf numFmtId="187" fontId="62" fillId="0" borderId="2" xfId="161" quotePrefix="1" applyNumberFormat="1" applyFont="1" applyBorder="1" applyAlignment="1">
      <alignment horizontal="right" vertical="center" indent="1"/>
    </xf>
    <xf numFmtId="187" fontId="62" fillId="0" borderId="17" xfId="161" quotePrefix="1" applyNumberFormat="1" applyFont="1" applyBorder="1" applyAlignment="1">
      <alignment horizontal="right" vertical="center" indent="1"/>
    </xf>
    <xf numFmtId="182" fontId="62" fillId="0" borderId="28" xfId="161" quotePrefix="1" applyNumberFormat="1" applyFont="1" applyBorder="1" applyAlignment="1">
      <alignment horizontal="right" vertical="center"/>
    </xf>
    <xf numFmtId="182" fontId="62" fillId="24" borderId="10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9" fontId="62" fillId="24" borderId="10" xfId="161" quotePrefix="1" applyNumberFormat="1" applyFont="1" applyFill="1" applyBorder="1" applyAlignment="1">
      <alignment horizontal="right" vertical="center"/>
    </xf>
    <xf numFmtId="189" fontId="62" fillId="24" borderId="2" xfId="161" quotePrefix="1" applyNumberFormat="1" applyFont="1" applyFill="1" applyBorder="1" applyAlignment="1">
      <alignment horizontal="right" vertical="center"/>
    </xf>
    <xf numFmtId="189" fontId="62" fillId="24" borderId="17" xfId="161" quotePrefix="1" applyNumberFormat="1" applyFont="1" applyFill="1" applyBorder="1" applyAlignment="1">
      <alignment horizontal="right" vertical="center"/>
    </xf>
    <xf numFmtId="182" fontId="62" fillId="21" borderId="10" xfId="161" quotePrefix="1" applyNumberFormat="1" applyFont="1" applyFill="1" applyBorder="1" applyAlignment="1">
      <alignment horizontal="right" vertical="center"/>
    </xf>
    <xf numFmtId="182" fontId="62" fillId="21" borderId="2" xfId="161" quotePrefix="1" applyNumberFormat="1" applyFont="1" applyFill="1" applyBorder="1" applyAlignment="1">
      <alignment horizontal="right" vertical="center"/>
    </xf>
    <xf numFmtId="182" fontId="62" fillId="21" borderId="17" xfId="161" quotePrefix="1" applyNumberFormat="1" applyFont="1" applyFill="1" applyBorder="1" applyAlignment="1">
      <alignment horizontal="right" vertical="center"/>
    </xf>
    <xf numFmtId="189" fontId="62" fillId="21" borderId="10" xfId="161" quotePrefix="1" applyNumberFormat="1" applyFont="1" applyFill="1" applyBorder="1" applyAlignment="1">
      <alignment horizontal="right" vertical="center"/>
    </xf>
    <xf numFmtId="189" fontId="62" fillId="21" borderId="2" xfId="161" quotePrefix="1" applyNumberFormat="1" applyFont="1" applyFill="1" applyBorder="1" applyAlignment="1">
      <alignment horizontal="right" vertical="center"/>
    </xf>
    <xf numFmtId="189" fontId="62" fillId="21" borderId="17" xfId="161" quotePrefix="1" applyNumberFormat="1" applyFont="1" applyFill="1" applyBorder="1" applyAlignment="1">
      <alignment horizontal="right" vertical="center"/>
    </xf>
    <xf numFmtId="182" fontId="54" fillId="14" borderId="0" xfId="0" applyNumberFormat="1" applyFont="1" applyFill="1" applyAlignment="1">
      <alignment horizontal="center" vertical="center"/>
    </xf>
    <xf numFmtId="184" fontId="88" fillId="0" borderId="10" xfId="161" quotePrefix="1" applyNumberFormat="1" applyFont="1" applyBorder="1" applyAlignment="1">
      <alignment horizontal="center" vertical="center"/>
    </xf>
    <xf numFmtId="184" fontId="88" fillId="0" borderId="2" xfId="161" quotePrefix="1" applyNumberFormat="1" applyFont="1" applyBorder="1" applyAlignment="1">
      <alignment horizontal="center" vertical="center"/>
    </xf>
    <xf numFmtId="184" fontId="88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center" vertical="center"/>
    </xf>
    <xf numFmtId="181" fontId="62" fillId="0" borderId="2" xfId="161" quotePrefix="1" applyNumberFormat="1" applyFont="1" applyBorder="1" applyAlignment="1">
      <alignment horizontal="center" vertical="center"/>
    </xf>
    <xf numFmtId="181" fontId="62" fillId="0" borderId="17" xfId="161" quotePrefix="1" applyNumberFormat="1" applyFont="1" applyBorder="1" applyAlignment="1">
      <alignment horizontal="center" vertical="center"/>
    </xf>
    <xf numFmtId="179" fontId="62" fillId="0" borderId="10" xfId="161" applyNumberFormat="1" applyFont="1" applyBorder="1" applyAlignment="1">
      <alignment horizontal="right" vertical="center"/>
    </xf>
    <xf numFmtId="179" fontId="62" fillId="0" borderId="2" xfId="161" applyNumberFormat="1" applyFont="1" applyBorder="1" applyAlignment="1">
      <alignment horizontal="right" vertical="center"/>
    </xf>
    <xf numFmtId="179" fontId="62" fillId="0" borderId="17" xfId="161" applyNumberFormat="1" applyFont="1" applyBorder="1" applyAlignment="1">
      <alignment horizontal="right" vertical="center"/>
    </xf>
    <xf numFmtId="0" fontId="54" fillId="14" borderId="0" xfId="0" applyFont="1" applyFill="1" applyAlignment="1">
      <alignment horizontal="center" vertical="center"/>
    </xf>
    <xf numFmtId="190" fontId="54" fillId="14" borderId="15" xfId="0" applyNumberFormat="1" applyFont="1" applyFill="1" applyBorder="1" applyAlignment="1">
      <alignment horizontal="center" vertical="center"/>
    </xf>
    <xf numFmtId="190" fontId="54" fillId="14" borderId="12" xfId="0" applyNumberFormat="1" applyFont="1" applyFill="1" applyBorder="1" applyAlignment="1">
      <alignment horizontal="center" vertical="center"/>
    </xf>
    <xf numFmtId="179" fontId="62" fillId="0" borderId="10" xfId="161" quotePrefix="1" applyNumberFormat="1" applyFont="1" applyBorder="1" applyAlignment="1">
      <alignment horizontal="center" vertical="center"/>
    </xf>
    <xf numFmtId="179" fontId="62" fillId="0" borderId="2" xfId="161" quotePrefix="1" applyNumberFormat="1" applyFont="1" applyBorder="1" applyAlignment="1">
      <alignment horizontal="center" vertical="center"/>
    </xf>
    <xf numFmtId="179" fontId="62" fillId="0" borderId="17" xfId="161" quotePrefix="1" applyNumberFormat="1" applyFont="1" applyBorder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0" fontId="101" fillId="38" borderId="85" xfId="186" applyFont="1" applyFill="1" applyBorder="1" applyAlignment="1">
      <alignment horizontal="center" vertical="center"/>
    </xf>
    <xf numFmtId="0" fontId="101" fillId="38" borderId="65" xfId="186" applyFont="1" applyFill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13" xfId="188" xr:uid="{9915FE7C-E506-4304-9226-062139A56CDD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22224</xdr:rowOff>
    </xdr:from>
    <xdr:to>
      <xdr:col>2</xdr:col>
      <xdr:colOff>15876</xdr:colOff>
      <xdr:row>7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8985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6</xdr:row>
      <xdr:rowOff>53975</xdr:rowOff>
    </xdr:from>
    <xdr:to>
      <xdr:col>17</xdr:col>
      <xdr:colOff>47625</xdr:colOff>
      <xdr:row>7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9</xdr:row>
      <xdr:rowOff>95250</xdr:rowOff>
    </xdr:from>
    <xdr:to>
      <xdr:col>11</xdr:col>
      <xdr:colOff>1</xdr:colOff>
      <xdr:row>11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123825</xdr:colOff>
      <xdr:row>23</xdr:row>
      <xdr:rowOff>28575</xdr:rowOff>
    </xdr:from>
    <xdr:to>
      <xdr:col>47</xdr:col>
      <xdr:colOff>154967</xdr:colOff>
      <xdr:row>25</xdr:row>
      <xdr:rowOff>40739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292FEEF7-DB18-4DAD-9F5E-C023E19A47B0}"/>
            </a:ext>
          </a:extLst>
        </xdr:cNvPr>
        <xdr:cNvSpPr/>
      </xdr:nvSpPr>
      <xdr:spPr>
        <a:xfrm>
          <a:off x="666750" y="4591050"/>
          <a:ext cx="7994042" cy="336014"/>
        </a:xfrm>
        <a:prstGeom prst="rect">
          <a:avLst/>
        </a:prstGeom>
        <a:noFill/>
        <a:ln>
          <a:solidFill>
            <a:srgbClr val="FF0000"/>
          </a:solidFill>
          <a:prstDash val="sysDot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9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メッセージ表示</a:t>
          </a:r>
          <a:endParaRPr kumimoji="1" lang="en-US" altLang="ja-JP" sz="900" baseline="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58</xdr:row>
      <xdr:rowOff>0</xdr:rowOff>
    </xdr:from>
    <xdr:to>
      <xdr:col>42</xdr:col>
      <xdr:colOff>9525</xdr:colOff>
      <xdr:row>61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34</xdr:row>
      <xdr:rowOff>0</xdr:rowOff>
    </xdr:from>
    <xdr:to>
      <xdr:col>6</xdr:col>
      <xdr:colOff>1395</xdr:colOff>
      <xdr:row>61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34</xdr:row>
      <xdr:rowOff>0</xdr:rowOff>
    </xdr:from>
    <xdr:to>
      <xdr:col>8</xdr:col>
      <xdr:colOff>161924</xdr:colOff>
      <xdr:row>61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34</xdr:row>
      <xdr:rowOff>0</xdr:rowOff>
    </xdr:from>
    <xdr:to>
      <xdr:col>11</xdr:col>
      <xdr:colOff>161925</xdr:colOff>
      <xdr:row>61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14</xdr:col>
      <xdr:colOff>161925</xdr:colOff>
      <xdr:row>61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33</xdr:row>
      <xdr:rowOff>133350</xdr:rowOff>
    </xdr:from>
    <xdr:to>
      <xdr:col>17</xdr:col>
      <xdr:colOff>158750</xdr:colOff>
      <xdr:row>61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34</xdr:row>
      <xdr:rowOff>0</xdr:rowOff>
    </xdr:from>
    <xdr:to>
      <xdr:col>20</xdr:col>
      <xdr:colOff>161925</xdr:colOff>
      <xdr:row>61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76199</xdr:colOff>
      <xdr:row>27</xdr:row>
      <xdr:rowOff>76200</xdr:rowOff>
    </xdr:from>
    <xdr:to>
      <xdr:col>42</xdr:col>
      <xdr:colOff>133350</xdr:colOff>
      <xdr:row>29</xdr:row>
      <xdr:rowOff>123825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6772274" y="5076825"/>
          <a:ext cx="962026" cy="37147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10</xdr:row>
      <xdr:rowOff>139700</xdr:rowOff>
    </xdr:from>
    <xdr:to>
      <xdr:col>21</xdr:col>
      <xdr:colOff>101601</xdr:colOff>
      <xdr:row>12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26</xdr:row>
      <xdr:rowOff>47625</xdr:rowOff>
    </xdr:from>
    <xdr:to>
      <xdr:col>3</xdr:col>
      <xdr:colOff>142875</xdr:colOff>
      <xdr:row>27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30</xdr:row>
      <xdr:rowOff>38100</xdr:rowOff>
    </xdr:from>
    <xdr:to>
      <xdr:col>3</xdr:col>
      <xdr:colOff>142875</xdr:colOff>
      <xdr:row>31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114300</xdr:colOff>
      <xdr:row>26</xdr:row>
      <xdr:rowOff>76200</xdr:rowOff>
    </xdr:from>
    <xdr:to>
      <xdr:col>37</xdr:col>
      <xdr:colOff>133350</xdr:colOff>
      <xdr:row>28</xdr:row>
      <xdr:rowOff>0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9F792120-6697-4F37-81C7-7EA77FDBCCAA}"/>
            </a:ext>
          </a:extLst>
        </xdr:cNvPr>
        <xdr:cNvSpPr/>
      </xdr:nvSpPr>
      <xdr:spPr>
        <a:xfrm>
          <a:off x="6448425" y="5124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32</xdr:row>
      <xdr:rowOff>38100</xdr:rowOff>
    </xdr:from>
    <xdr:to>
      <xdr:col>5</xdr:col>
      <xdr:colOff>123825</xdr:colOff>
      <xdr:row>33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32</xdr:row>
      <xdr:rowOff>38100</xdr:rowOff>
    </xdr:from>
    <xdr:to>
      <xdr:col>8</xdr:col>
      <xdr:colOff>66675</xdr:colOff>
      <xdr:row>33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32</xdr:row>
      <xdr:rowOff>28575</xdr:rowOff>
    </xdr:from>
    <xdr:to>
      <xdr:col>11</xdr:col>
      <xdr:colOff>66675</xdr:colOff>
      <xdr:row>33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32</xdr:row>
      <xdr:rowOff>28575</xdr:rowOff>
    </xdr:from>
    <xdr:to>
      <xdr:col>14</xdr:col>
      <xdr:colOff>66675</xdr:colOff>
      <xdr:row>33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32</xdr:row>
      <xdr:rowOff>25400</xdr:rowOff>
    </xdr:from>
    <xdr:to>
      <xdr:col>17</xdr:col>
      <xdr:colOff>114300</xdr:colOff>
      <xdr:row>33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32</xdr:row>
      <xdr:rowOff>38100</xdr:rowOff>
    </xdr:from>
    <xdr:to>
      <xdr:col>20</xdr:col>
      <xdr:colOff>177800</xdr:colOff>
      <xdr:row>33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32</xdr:row>
      <xdr:rowOff>0</xdr:rowOff>
    </xdr:from>
    <xdr:to>
      <xdr:col>27</xdr:col>
      <xdr:colOff>111126</xdr:colOff>
      <xdr:row>33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40</xdr:row>
      <xdr:rowOff>0</xdr:rowOff>
    </xdr:from>
    <xdr:to>
      <xdr:col>44</xdr:col>
      <xdr:colOff>111126</xdr:colOff>
      <xdr:row>41</xdr:row>
      <xdr:rowOff>95250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7524750"/>
          <a:ext cx="473076" cy="2571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62</xdr:row>
      <xdr:rowOff>85725</xdr:rowOff>
    </xdr:from>
    <xdr:to>
      <xdr:col>32</xdr:col>
      <xdr:colOff>222</xdr:colOff>
      <xdr:row>65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62</xdr:row>
      <xdr:rowOff>101600</xdr:rowOff>
    </xdr:from>
    <xdr:to>
      <xdr:col>21</xdr:col>
      <xdr:colOff>27124</xdr:colOff>
      <xdr:row>65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62</xdr:row>
      <xdr:rowOff>9525</xdr:rowOff>
    </xdr:from>
    <xdr:to>
      <xdr:col>14</xdr:col>
      <xdr:colOff>111126</xdr:colOff>
      <xdr:row>63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62</xdr:row>
      <xdr:rowOff>0</xdr:rowOff>
    </xdr:from>
    <xdr:to>
      <xdr:col>25</xdr:col>
      <xdr:colOff>111126</xdr:colOff>
      <xdr:row>63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78</xdr:row>
      <xdr:rowOff>28576</xdr:rowOff>
    </xdr:from>
    <xdr:to>
      <xdr:col>10</xdr:col>
      <xdr:colOff>76201</xdr:colOff>
      <xdr:row>80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78</xdr:row>
      <xdr:rowOff>25400</xdr:rowOff>
    </xdr:from>
    <xdr:to>
      <xdr:col>15</xdr:col>
      <xdr:colOff>171450</xdr:colOff>
      <xdr:row>80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70</xdr:row>
      <xdr:rowOff>76201</xdr:rowOff>
    </xdr:from>
    <xdr:to>
      <xdr:col>16</xdr:col>
      <xdr:colOff>130176</xdr:colOff>
      <xdr:row>71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80</xdr:row>
      <xdr:rowOff>66675</xdr:rowOff>
    </xdr:from>
    <xdr:to>
      <xdr:col>6</xdr:col>
      <xdr:colOff>130176</xdr:colOff>
      <xdr:row>81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80</xdr:row>
      <xdr:rowOff>76200</xdr:rowOff>
    </xdr:from>
    <xdr:to>
      <xdr:col>13</xdr:col>
      <xdr:colOff>34926</xdr:colOff>
      <xdr:row>82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69</xdr:row>
      <xdr:rowOff>34925</xdr:rowOff>
    </xdr:from>
    <xdr:to>
      <xdr:col>21</xdr:col>
      <xdr:colOff>95251</xdr:colOff>
      <xdr:row>70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</xdr:colOff>
      <xdr:row>22</xdr:row>
      <xdr:rowOff>114300</xdr:rowOff>
    </xdr:from>
    <xdr:to>
      <xdr:col>3</xdr:col>
      <xdr:colOff>120651</xdr:colOff>
      <xdr:row>24</xdr:row>
      <xdr:rowOff>38100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8C61842F-6C18-4324-A80B-1FB1D1D43581}"/>
            </a:ext>
          </a:extLst>
        </xdr:cNvPr>
        <xdr:cNvSpPr/>
      </xdr:nvSpPr>
      <xdr:spPr>
        <a:xfrm>
          <a:off x="190500" y="451485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37</xdr:row>
      <xdr:rowOff>0</xdr:rowOff>
    </xdr:from>
    <xdr:to>
      <xdr:col>42</xdr:col>
      <xdr:colOff>0</xdr:colOff>
      <xdr:row>40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43</xdr:col>
      <xdr:colOff>0</xdr:colOff>
      <xdr:row>60</xdr:row>
      <xdr:rowOff>0</xdr:rowOff>
    </xdr:from>
    <xdr:to>
      <xdr:col>51</xdr:col>
      <xdr:colOff>48932</xdr:colOff>
      <xdr:row>63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15</xdr:row>
      <xdr:rowOff>46878</xdr:rowOff>
    </xdr:from>
    <xdr:to>
      <xdr:col>34</xdr:col>
      <xdr:colOff>30070</xdr:colOff>
      <xdr:row>16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6" name="角丸四角形 142">
          <a:extLst>
            <a:ext uri="{FF2B5EF4-FFF2-40B4-BE49-F238E27FC236}">
              <a16:creationId xmlns:a16="http://schemas.microsoft.com/office/drawing/2014/main" id="{387FA923-6E02-4279-89AD-6A05EBDEE530}"/>
            </a:ext>
          </a:extLst>
        </xdr:cNvPr>
        <xdr:cNvSpPr/>
      </xdr:nvSpPr>
      <xdr:spPr>
        <a:xfrm>
          <a:off x="3460751" y="6337300"/>
          <a:ext cx="3473450" cy="48670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62581</xdr:rowOff>
    </xdr:from>
    <xdr:to>
      <xdr:col>37</xdr:col>
      <xdr:colOff>41462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4501231"/>
          <a:ext cx="1396472" cy="7162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申請製品情報マスタ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する？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122368</xdr:colOff>
      <xdr:row>43</xdr:row>
      <xdr:rowOff>88252</xdr:rowOff>
    </xdr:from>
    <xdr:to>
      <xdr:col>15</xdr:col>
      <xdr:colOff>161738</xdr:colOff>
      <xdr:row>50</xdr:row>
      <xdr:rowOff>8031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cxnSpLocks/>
          <a:stCxn id="3" idx="2"/>
          <a:endCxn id="98" idx="0"/>
        </xdr:cNvCxnSpPr>
      </xdr:nvCxnSpPr>
      <xdr:spPr>
        <a:xfrm>
          <a:off x="2979868" y="8257340"/>
          <a:ext cx="39370" cy="12532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2286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88</xdr:row>
      <xdr:rowOff>56028</xdr:rowOff>
    </xdr:from>
    <xdr:to>
      <xdr:col>16</xdr:col>
      <xdr:colOff>47999</xdr:colOff>
      <xdr:row>89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2886847" y="16797616"/>
          <a:ext cx="205977" cy="269105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１－１－３．製品名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118003</xdr:colOff>
      <xdr:row>272</xdr:row>
      <xdr:rowOff>83872</xdr:rowOff>
    </xdr:from>
    <xdr:to>
      <xdr:col>35</xdr:col>
      <xdr:colOff>161925</xdr:colOff>
      <xdr:row>275</xdr:row>
      <xdr:rowOff>152400</xdr:rowOff>
    </xdr:to>
    <xdr:sp macro="" textlink="">
      <xdr:nvSpPr>
        <xdr:cNvPr id="28" name="フローチャート: 磁気ディスク 27">
          <a:extLst>
            <a:ext uri="{FF2B5EF4-FFF2-40B4-BE49-F238E27FC236}">
              <a16:creationId xmlns:a16="http://schemas.microsoft.com/office/drawing/2014/main" id="{77C41FC1-2CAF-46FD-AE88-319A290F2B8B}"/>
            </a:ext>
          </a:extLst>
        </xdr:cNvPr>
        <xdr:cNvSpPr/>
      </xdr:nvSpPr>
      <xdr:spPr>
        <a:xfrm>
          <a:off x="5642503" y="62345622"/>
          <a:ext cx="1186922" cy="6400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</a:t>
          </a:r>
        </a:p>
      </xdr:txBody>
    </xdr:sp>
    <xdr:clientData/>
  </xdr:twoCellAnchor>
  <xdr:twoCellAnchor>
    <xdr:from>
      <xdr:col>8</xdr:col>
      <xdr:colOff>28576</xdr:colOff>
      <xdr:row>273</xdr:row>
      <xdr:rowOff>95851</xdr:rowOff>
    </xdr:from>
    <xdr:to>
      <xdr:col>23</xdr:col>
      <xdr:colOff>95509</xdr:colOff>
      <xdr:row>277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264</xdr:row>
      <xdr:rowOff>26220</xdr:rowOff>
    </xdr:from>
    <xdr:to>
      <xdr:col>15</xdr:col>
      <xdr:colOff>157293</xdr:colOff>
      <xdr:row>269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277</xdr:row>
      <xdr:rowOff>43802</xdr:rowOff>
    </xdr:from>
    <xdr:to>
      <xdr:col>15</xdr:col>
      <xdr:colOff>166818</xdr:colOff>
      <xdr:row>281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262</xdr:row>
      <xdr:rowOff>115707</xdr:rowOff>
    </xdr:from>
    <xdr:to>
      <xdr:col>23</xdr:col>
      <xdr:colOff>85822</xdr:colOff>
      <xdr:row>264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286</xdr:row>
      <xdr:rowOff>44503</xdr:rowOff>
    </xdr:from>
    <xdr:to>
      <xdr:col>15</xdr:col>
      <xdr:colOff>77307</xdr:colOff>
      <xdr:row>287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254</xdr:row>
      <xdr:rowOff>74245</xdr:rowOff>
    </xdr:from>
    <xdr:to>
      <xdr:col>23</xdr:col>
      <xdr:colOff>66772</xdr:colOff>
      <xdr:row>255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255</xdr:row>
      <xdr:rowOff>173017</xdr:rowOff>
    </xdr:from>
    <xdr:to>
      <xdr:col>15</xdr:col>
      <xdr:colOff>142875</xdr:colOff>
      <xdr:row>257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260</xdr:row>
      <xdr:rowOff>123826</xdr:rowOff>
    </xdr:from>
    <xdr:to>
      <xdr:col>15</xdr:col>
      <xdr:colOff>200024</xdr:colOff>
      <xdr:row>283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252</xdr:row>
      <xdr:rowOff>0</xdr:rowOff>
    </xdr:from>
    <xdr:to>
      <xdr:col>16</xdr:col>
      <xdr:colOff>13037</xdr:colOff>
      <xdr:row>252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252</xdr:row>
      <xdr:rowOff>176687</xdr:rowOff>
    </xdr:from>
    <xdr:to>
      <xdr:col>15</xdr:col>
      <xdr:colOff>138574</xdr:colOff>
      <xdr:row>254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298</xdr:row>
      <xdr:rowOff>38100</xdr:rowOff>
    </xdr:from>
    <xdr:to>
      <xdr:col>16</xdr:col>
      <xdr:colOff>105016</xdr:colOff>
      <xdr:row>299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2931110" y="56751071"/>
          <a:ext cx="218731" cy="250612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257</xdr:row>
      <xdr:rowOff>104774</xdr:rowOff>
    </xdr:from>
    <xdr:to>
      <xdr:col>19</xdr:col>
      <xdr:colOff>142875</xdr:colOff>
      <xdr:row>259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259</xdr:row>
      <xdr:rowOff>104775</xdr:rowOff>
    </xdr:from>
    <xdr:to>
      <xdr:col>15</xdr:col>
      <xdr:colOff>157293</xdr:colOff>
      <xdr:row>262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270</xdr:row>
      <xdr:rowOff>111945</xdr:rowOff>
    </xdr:from>
    <xdr:to>
      <xdr:col>15</xdr:col>
      <xdr:colOff>166818</xdr:colOff>
      <xdr:row>273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275</xdr:row>
      <xdr:rowOff>69827</xdr:rowOff>
    </xdr:from>
    <xdr:to>
      <xdr:col>28</xdr:col>
      <xdr:colOff>129001</xdr:colOff>
      <xdr:row>298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168717</xdr:colOff>
      <xdr:row>270</xdr:row>
      <xdr:rowOff>137083</xdr:rowOff>
    </xdr:from>
    <xdr:to>
      <xdr:col>31</xdr:col>
      <xdr:colOff>41918</xdr:colOff>
      <xdr:row>272</xdr:row>
      <xdr:rowOff>126299</xdr:rowOff>
    </xdr:to>
    <xdr:sp macro="" textlink="">
      <xdr:nvSpPr>
        <xdr:cNvPr id="46" name="右カーブ矢印 322">
          <a:extLst>
            <a:ext uri="{FF2B5EF4-FFF2-40B4-BE49-F238E27FC236}">
              <a16:creationId xmlns:a16="http://schemas.microsoft.com/office/drawing/2014/main" id="{04EA4079-5BDC-4E53-9344-7EA39DBA89F8}"/>
            </a:ext>
          </a:extLst>
        </xdr:cNvPr>
        <xdr:cNvSpPr/>
      </xdr:nvSpPr>
      <xdr:spPr>
        <a:xfrm rot="16200000" flipH="1">
          <a:off x="5063710" y="61504340"/>
          <a:ext cx="370216" cy="1397201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123825</xdr:colOff>
      <xdr:row>266</xdr:row>
      <xdr:rowOff>133350</xdr:rowOff>
    </xdr:from>
    <xdr:to>
      <xdr:col>25</xdr:col>
      <xdr:colOff>95250</xdr:colOff>
      <xdr:row>278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269</xdr:row>
      <xdr:rowOff>1407</xdr:rowOff>
    </xdr:from>
    <xdr:to>
      <xdr:col>23</xdr:col>
      <xdr:colOff>85822</xdr:colOff>
      <xdr:row>270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166818</xdr:colOff>
      <xdr:row>285</xdr:row>
      <xdr:rowOff>81902</xdr:rowOff>
    </xdr:from>
    <xdr:to>
      <xdr:col>15</xdr:col>
      <xdr:colOff>180975</xdr:colOff>
      <xdr:row>288</xdr:row>
      <xdr:rowOff>47624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24318" y="64820152"/>
          <a:ext cx="141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180975</xdr:colOff>
      <xdr:row>288</xdr:row>
      <xdr:rowOff>47624</xdr:rowOff>
    </xdr:from>
    <xdr:to>
      <xdr:col>19</xdr:col>
      <xdr:colOff>180975</xdr:colOff>
      <xdr:row>290</xdr:row>
      <xdr:rowOff>47625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6475" y="6535737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180975</xdr:colOff>
      <xdr:row>290</xdr:row>
      <xdr:rowOff>47625</xdr:rowOff>
    </xdr:from>
    <xdr:to>
      <xdr:col>15</xdr:col>
      <xdr:colOff>190501</xdr:colOff>
      <xdr:row>293</xdr:row>
      <xdr:rowOff>9525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>
          <a:off x="3038475" y="65738375"/>
          <a:ext cx="9526" cy="5334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281</xdr:row>
      <xdr:rowOff>142875</xdr:rowOff>
    </xdr:from>
    <xdr:to>
      <xdr:col>23</xdr:col>
      <xdr:colOff>95509</xdr:colOff>
      <xdr:row>285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273</xdr:row>
      <xdr:rowOff>177853</xdr:rowOff>
    </xdr:from>
    <xdr:to>
      <xdr:col>28</xdr:col>
      <xdr:colOff>10632</xdr:colOff>
      <xdr:row>275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271</xdr:row>
      <xdr:rowOff>85725</xdr:rowOff>
    </xdr:from>
    <xdr:to>
      <xdr:col>7</xdr:col>
      <xdr:colOff>50877</xdr:colOff>
      <xdr:row>272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298</xdr:row>
      <xdr:rowOff>0</xdr:rowOff>
    </xdr:from>
    <xdr:to>
      <xdr:col>29</xdr:col>
      <xdr:colOff>44691</xdr:colOff>
      <xdr:row>299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340935" y="56712971"/>
          <a:ext cx="231431" cy="250612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296</xdr:row>
      <xdr:rowOff>9525</xdr:rowOff>
    </xdr:from>
    <xdr:to>
      <xdr:col>37</xdr:col>
      <xdr:colOff>161926</xdr:colOff>
      <xdr:row>299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293</xdr:row>
      <xdr:rowOff>0</xdr:rowOff>
    </xdr:from>
    <xdr:to>
      <xdr:col>10</xdr:col>
      <xdr:colOff>95250</xdr:colOff>
      <xdr:row>295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293</xdr:row>
      <xdr:rowOff>9525</xdr:rowOff>
    </xdr:from>
    <xdr:to>
      <xdr:col>18</xdr:col>
      <xdr:colOff>152401</xdr:colOff>
      <xdr:row>295</xdr:row>
      <xdr:rowOff>125231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66271775"/>
          <a:ext cx="1085850" cy="49670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19</xdr:col>
      <xdr:colOff>190664</xdr:colOff>
      <xdr:row>292</xdr:row>
      <xdr:rowOff>152401</xdr:rowOff>
    </xdr:from>
    <xdr:to>
      <xdr:col>26</xdr:col>
      <xdr:colOff>123825</xdr:colOff>
      <xdr:row>295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66224151"/>
          <a:ext cx="1266661" cy="53339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185820</xdr:colOff>
      <xdr:row>290</xdr:row>
      <xdr:rowOff>47626</xdr:rowOff>
    </xdr:from>
    <xdr:to>
      <xdr:col>15</xdr:col>
      <xdr:colOff>180975</xdr:colOff>
      <xdr:row>293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16960" y="65240736"/>
          <a:ext cx="523875" cy="15191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180974</xdr:colOff>
      <xdr:row>290</xdr:row>
      <xdr:rowOff>47625</xdr:rowOff>
    </xdr:from>
    <xdr:to>
      <xdr:col>23</xdr:col>
      <xdr:colOff>52469</xdr:colOff>
      <xdr:row>292</xdr:row>
      <xdr:rowOff>152401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493334" y="65283515"/>
          <a:ext cx="485776" cy="139549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190501</xdr:colOff>
      <xdr:row>295</xdr:row>
      <xdr:rowOff>125231</xdr:rowOff>
    </xdr:from>
    <xdr:to>
      <xdr:col>15</xdr:col>
      <xdr:colOff>195676</xdr:colOff>
      <xdr:row>298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48001" y="66768481"/>
          <a:ext cx="0" cy="48436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295</xdr:row>
      <xdr:rowOff>131927</xdr:rowOff>
    </xdr:from>
    <xdr:to>
      <xdr:col>15</xdr:col>
      <xdr:colOff>195677</xdr:colOff>
      <xdr:row>298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195677</xdr:colOff>
      <xdr:row>295</xdr:row>
      <xdr:rowOff>114299</xdr:rowOff>
    </xdr:from>
    <xdr:to>
      <xdr:col>23</xdr:col>
      <xdr:colOff>52471</xdr:colOff>
      <xdr:row>298</xdr:row>
      <xdr:rowOff>38099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2749" y="66311627"/>
          <a:ext cx="495300" cy="1387144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216</xdr:row>
      <xdr:rowOff>9526</xdr:rowOff>
    </xdr:from>
    <xdr:to>
      <xdr:col>34</xdr:col>
      <xdr:colOff>193862</xdr:colOff>
      <xdr:row>239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証明書申請製品情報マスタ</a:t>
          </a:r>
        </a:p>
      </xdr:txBody>
    </xdr:sp>
    <xdr:clientData/>
  </xdr:twoCellAnchor>
  <xdr:twoCellAnchor>
    <xdr:from>
      <xdr:col>15</xdr:col>
      <xdr:colOff>165605</xdr:colOff>
      <xdr:row>223</xdr:row>
      <xdr:rowOff>68912</xdr:rowOff>
    </xdr:from>
    <xdr:to>
      <xdr:col>23</xdr:col>
      <xdr:colOff>96152</xdr:colOff>
      <xdr:row>224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227</xdr:row>
      <xdr:rowOff>70812</xdr:rowOff>
    </xdr:from>
    <xdr:to>
      <xdr:col>29</xdr:col>
      <xdr:colOff>65666</xdr:colOff>
      <xdr:row>227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232</xdr:row>
      <xdr:rowOff>58973</xdr:rowOff>
    </xdr:from>
    <xdr:to>
      <xdr:col>33</xdr:col>
      <xdr:colOff>36972</xdr:colOff>
      <xdr:row>235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229</xdr:row>
      <xdr:rowOff>4</xdr:rowOff>
    </xdr:from>
    <xdr:to>
      <xdr:col>29</xdr:col>
      <xdr:colOff>67382</xdr:colOff>
      <xdr:row>232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227</xdr:row>
      <xdr:rowOff>70811</xdr:rowOff>
    </xdr:from>
    <xdr:to>
      <xdr:col>32</xdr:col>
      <xdr:colOff>25767</xdr:colOff>
      <xdr:row>229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232</xdr:row>
      <xdr:rowOff>70180</xdr:rowOff>
    </xdr:from>
    <xdr:to>
      <xdr:col>23</xdr:col>
      <xdr:colOff>126624</xdr:colOff>
      <xdr:row>235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229</xdr:row>
      <xdr:rowOff>22416</xdr:rowOff>
    </xdr:from>
    <xdr:to>
      <xdr:col>19</xdr:col>
      <xdr:colOff>177731</xdr:colOff>
      <xdr:row>232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227</xdr:row>
      <xdr:rowOff>93223</xdr:rowOff>
    </xdr:from>
    <xdr:to>
      <xdr:col>22</xdr:col>
      <xdr:colOff>137831</xdr:colOff>
      <xdr:row>229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232</xdr:row>
      <xdr:rowOff>92589</xdr:rowOff>
    </xdr:from>
    <xdr:to>
      <xdr:col>14</xdr:col>
      <xdr:colOff>59392</xdr:colOff>
      <xdr:row>235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229</xdr:row>
      <xdr:rowOff>33622</xdr:rowOff>
    </xdr:from>
    <xdr:to>
      <xdr:col>10</xdr:col>
      <xdr:colOff>157450</xdr:colOff>
      <xdr:row>232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227</xdr:row>
      <xdr:rowOff>104429</xdr:rowOff>
    </xdr:from>
    <xdr:to>
      <xdr:col>13</xdr:col>
      <xdr:colOff>115421</xdr:colOff>
      <xdr:row>229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224</xdr:row>
      <xdr:rowOff>193638</xdr:rowOff>
    </xdr:from>
    <xdr:to>
      <xdr:col>19</xdr:col>
      <xdr:colOff>185688</xdr:colOff>
      <xdr:row>227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226</xdr:row>
      <xdr:rowOff>172835</xdr:rowOff>
    </xdr:from>
    <xdr:to>
      <xdr:col>33</xdr:col>
      <xdr:colOff>25776</xdr:colOff>
      <xdr:row>229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231</xdr:row>
      <xdr:rowOff>134470</xdr:rowOff>
    </xdr:from>
    <xdr:to>
      <xdr:col>33</xdr:col>
      <xdr:colOff>111888</xdr:colOff>
      <xdr:row>236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229</xdr:row>
      <xdr:rowOff>168090</xdr:rowOff>
    </xdr:from>
    <xdr:to>
      <xdr:col>10</xdr:col>
      <xdr:colOff>80692</xdr:colOff>
      <xdr:row>232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229</xdr:row>
      <xdr:rowOff>123268</xdr:rowOff>
    </xdr:from>
    <xdr:to>
      <xdr:col>19</xdr:col>
      <xdr:colOff>69484</xdr:colOff>
      <xdr:row>232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229</xdr:row>
      <xdr:rowOff>22415</xdr:rowOff>
    </xdr:from>
    <xdr:to>
      <xdr:col>29</xdr:col>
      <xdr:colOff>13449</xdr:colOff>
      <xdr:row>231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215</xdr:row>
      <xdr:rowOff>112060</xdr:rowOff>
    </xdr:from>
    <xdr:to>
      <xdr:col>48</xdr:col>
      <xdr:colOff>123265</xdr:colOff>
      <xdr:row>239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223</xdr:row>
      <xdr:rowOff>76795</xdr:rowOff>
    </xdr:from>
    <xdr:to>
      <xdr:col>44</xdr:col>
      <xdr:colOff>95465</xdr:colOff>
      <xdr:row>224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232</xdr:row>
      <xdr:rowOff>36430</xdr:rowOff>
    </xdr:from>
    <xdr:to>
      <xdr:col>45</xdr:col>
      <xdr:colOff>10395</xdr:colOff>
      <xdr:row>235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227</xdr:row>
      <xdr:rowOff>4878</xdr:rowOff>
    </xdr:from>
    <xdr:to>
      <xdr:col>45</xdr:col>
      <xdr:colOff>23124</xdr:colOff>
      <xdr:row>229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227</xdr:row>
      <xdr:rowOff>146466</xdr:rowOff>
    </xdr:from>
    <xdr:to>
      <xdr:col>38</xdr:col>
      <xdr:colOff>11207</xdr:colOff>
      <xdr:row>229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233</xdr:row>
      <xdr:rowOff>20048</xdr:rowOff>
    </xdr:from>
    <xdr:to>
      <xdr:col>37</xdr:col>
      <xdr:colOff>139797</xdr:colOff>
      <xdr:row>234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116145</xdr:colOff>
      <xdr:row>69</xdr:row>
      <xdr:rowOff>85881</xdr:rowOff>
    </xdr:from>
    <xdr:to>
      <xdr:col>23</xdr:col>
      <xdr:colOff>154081</xdr:colOff>
      <xdr:row>71</xdr:row>
      <xdr:rowOff>145677</xdr:rowOff>
    </xdr:to>
    <xdr:sp macro="" textlink="">
      <xdr:nvSpPr>
        <xdr:cNvPr id="91" name="フローチャート: 処理 90">
          <a:extLst>
            <a:ext uri="{FF2B5EF4-FFF2-40B4-BE49-F238E27FC236}">
              <a16:creationId xmlns:a16="http://schemas.microsoft.com/office/drawing/2014/main" id="{B02B829F-4A6F-4D89-B320-73CB6AE7FB90}"/>
            </a:ext>
          </a:extLst>
        </xdr:cNvPr>
        <xdr:cNvSpPr/>
      </xdr:nvSpPr>
      <xdr:spPr>
        <a:xfrm>
          <a:off x="1449645" y="14240031"/>
          <a:ext cx="3085936" cy="44079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１－１－７．申請可能チェック結果取得</a:t>
          </a:r>
        </a:p>
      </xdr:txBody>
    </xdr:sp>
    <xdr:clientData/>
  </xdr:twoCellAnchor>
  <xdr:twoCellAnchor>
    <xdr:from>
      <xdr:col>15</xdr:col>
      <xdr:colOff>135114</xdr:colOff>
      <xdr:row>71</xdr:row>
      <xdr:rowOff>145677</xdr:rowOff>
    </xdr:from>
    <xdr:to>
      <xdr:col>15</xdr:col>
      <xdr:colOff>142234</xdr:colOff>
      <xdr:row>76</xdr:row>
      <xdr:rowOff>156882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AF024C0D-EA34-497F-82EA-DE7D86D616F8}"/>
            </a:ext>
          </a:extLst>
        </xdr:cNvPr>
        <xdr:cNvCxnSpPr>
          <a:stCxn id="91" idx="2"/>
          <a:endCxn id="105" idx="0"/>
        </xdr:cNvCxnSpPr>
      </xdr:nvCxnSpPr>
      <xdr:spPr>
        <a:xfrm>
          <a:off x="2992614" y="14680827"/>
          <a:ext cx="7120" cy="96370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201706</xdr:colOff>
      <xdr:row>57</xdr:row>
      <xdr:rowOff>22411</xdr:rowOff>
    </xdr:from>
    <xdr:to>
      <xdr:col>23</xdr:col>
      <xdr:colOff>59089</xdr:colOff>
      <xdr:row>60</xdr:row>
      <xdr:rowOff>172068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79F4076E-D2CA-498E-8859-3D5C33D18DCF}"/>
            </a:ext>
          </a:extLst>
        </xdr:cNvPr>
        <xdr:cNvSpPr/>
      </xdr:nvSpPr>
      <xdr:spPr>
        <a:xfrm>
          <a:off x="1522506" y="11890561"/>
          <a:ext cx="2918083" cy="72115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代理店権限あり？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124048</xdr:colOff>
      <xdr:row>60</xdr:row>
      <xdr:rowOff>172068</xdr:rowOff>
    </xdr:from>
    <xdr:to>
      <xdr:col>15</xdr:col>
      <xdr:colOff>130186</xdr:colOff>
      <xdr:row>63</xdr:row>
      <xdr:rowOff>153707</xdr:rowOff>
    </xdr:to>
    <xdr:cxnSp macro="">
      <xdr:nvCxnSpPr>
        <xdr:cNvPr id="94" name="直線矢印コネクタ 93">
          <a:extLst>
            <a:ext uri="{FF2B5EF4-FFF2-40B4-BE49-F238E27FC236}">
              <a16:creationId xmlns:a16="http://schemas.microsoft.com/office/drawing/2014/main" id="{8CB2B054-CFBF-45F8-A19E-1A51AC24836E}"/>
            </a:ext>
          </a:extLst>
        </xdr:cNvPr>
        <xdr:cNvCxnSpPr>
          <a:cxnSpLocks/>
          <a:stCxn id="93" idx="2"/>
          <a:endCxn id="161" idx="0"/>
        </xdr:cNvCxnSpPr>
      </xdr:nvCxnSpPr>
      <xdr:spPr>
        <a:xfrm>
          <a:off x="2981548" y="11579656"/>
          <a:ext cx="6138" cy="55313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145677</xdr:colOff>
      <xdr:row>60</xdr:row>
      <xdr:rowOff>190497</xdr:rowOff>
    </xdr:from>
    <xdr:to>
      <xdr:col>17</xdr:col>
      <xdr:colOff>86017</xdr:colOff>
      <xdr:row>62</xdr:row>
      <xdr:rowOff>81606</xdr:rowOff>
    </xdr:to>
    <xdr:sp macro="" textlink="">
      <xdr:nvSpPr>
        <xdr:cNvPr id="95" name="正方形/長方形 94">
          <a:extLst>
            <a:ext uri="{FF2B5EF4-FFF2-40B4-BE49-F238E27FC236}">
              <a16:creationId xmlns:a16="http://schemas.microsoft.com/office/drawing/2014/main" id="{93CE4AC0-1126-448A-9479-163E2BEA9934}"/>
            </a:ext>
          </a:extLst>
        </xdr:cNvPr>
        <xdr:cNvSpPr/>
      </xdr:nvSpPr>
      <xdr:spPr>
        <a:xfrm>
          <a:off x="3003177" y="12630147"/>
          <a:ext cx="321340" cy="2721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24</xdr:col>
      <xdr:colOff>89648</xdr:colOff>
      <xdr:row>59</xdr:row>
      <xdr:rowOff>112059</xdr:rowOff>
    </xdr:from>
    <xdr:to>
      <xdr:col>26</xdr:col>
      <xdr:colOff>35750</xdr:colOff>
      <xdr:row>60</xdr:row>
      <xdr:rowOff>182491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059B4392-F283-47A6-9E67-D08E7B86297A}"/>
            </a:ext>
          </a:extLst>
        </xdr:cNvPr>
        <xdr:cNvSpPr/>
      </xdr:nvSpPr>
      <xdr:spPr>
        <a:xfrm>
          <a:off x="4661648" y="12361209"/>
          <a:ext cx="327102" cy="260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15</xdr:col>
      <xdr:colOff>179295</xdr:colOff>
      <xdr:row>58</xdr:row>
      <xdr:rowOff>198093</xdr:rowOff>
    </xdr:from>
    <xdr:to>
      <xdr:col>23</xdr:col>
      <xdr:colOff>59089</xdr:colOff>
      <xdr:row>74</xdr:row>
      <xdr:rowOff>134471</xdr:rowOff>
    </xdr:to>
    <xdr:cxnSp macro="">
      <xdr:nvCxnSpPr>
        <xdr:cNvPr id="97" name="カギ線コネクタ 138">
          <a:extLst>
            <a:ext uri="{FF2B5EF4-FFF2-40B4-BE49-F238E27FC236}">
              <a16:creationId xmlns:a16="http://schemas.microsoft.com/office/drawing/2014/main" id="{B6836F10-4DC6-43C3-9EB3-4866EC5952DF}"/>
            </a:ext>
          </a:extLst>
        </xdr:cNvPr>
        <xdr:cNvCxnSpPr>
          <a:stCxn id="93" idx="3"/>
        </xdr:cNvCxnSpPr>
      </xdr:nvCxnSpPr>
      <xdr:spPr>
        <a:xfrm flipH="1">
          <a:off x="3036795" y="12250393"/>
          <a:ext cx="1403794" cy="2990728"/>
        </a:xfrm>
        <a:prstGeom prst="bentConnector4">
          <a:avLst>
            <a:gd name="adj1" fmla="val -14440"/>
            <a:gd name="adj2" fmla="val 10024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201705</xdr:colOff>
      <xdr:row>50</xdr:row>
      <xdr:rowOff>11206</xdr:rowOff>
    </xdr:from>
    <xdr:to>
      <xdr:col>25</xdr:col>
      <xdr:colOff>134470</xdr:colOff>
      <xdr:row>54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100854</xdr:colOff>
      <xdr:row>51</xdr:row>
      <xdr:rowOff>89648</xdr:rowOff>
    </xdr:from>
    <xdr:to>
      <xdr:col>29</xdr:col>
      <xdr:colOff>53229</xdr:colOff>
      <xdr:row>53</xdr:row>
      <xdr:rowOff>6619</xdr:rowOff>
    </xdr:to>
    <xdr:sp macro="" textlink="">
      <xdr:nvSpPr>
        <xdr:cNvPr id="99" name="右カーブ矢印 152">
          <a:extLst>
            <a:ext uri="{FF2B5EF4-FFF2-40B4-BE49-F238E27FC236}">
              <a16:creationId xmlns:a16="http://schemas.microsoft.com/office/drawing/2014/main" id="{E34EF3F0-8F44-4E69-99F7-6DFD9AAEFE9A}"/>
            </a:ext>
          </a:extLst>
        </xdr:cNvPr>
        <xdr:cNvSpPr/>
      </xdr:nvSpPr>
      <xdr:spPr>
        <a:xfrm rot="5856382">
          <a:off x="4976306" y="1051134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89647</xdr:colOff>
      <xdr:row>51</xdr:row>
      <xdr:rowOff>33618</xdr:rowOff>
    </xdr:from>
    <xdr:to>
      <xdr:col>36</xdr:col>
      <xdr:colOff>175030</xdr:colOff>
      <xdr:row>56</xdr:row>
      <xdr:rowOff>189552</xdr:rowOff>
    </xdr:to>
    <xdr:sp macro="" textlink="">
      <xdr:nvSpPr>
        <xdr:cNvPr id="100" name="フローチャート: 磁気ディスク 99">
          <a:extLst>
            <a:ext uri="{FF2B5EF4-FFF2-40B4-BE49-F238E27FC236}">
              <a16:creationId xmlns:a16="http://schemas.microsoft.com/office/drawing/2014/main" id="{3B3E62AA-EBC2-40AE-987F-75F9E23721A9}"/>
            </a:ext>
          </a:extLst>
        </xdr:cNvPr>
        <xdr:cNvSpPr/>
      </xdr:nvSpPr>
      <xdr:spPr>
        <a:xfrm>
          <a:off x="5614147" y="10758768"/>
          <a:ext cx="1418883" cy="1108434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製品マスタ</a:t>
          </a:r>
        </a:p>
      </xdr:txBody>
    </xdr:sp>
    <xdr:clientData/>
  </xdr:twoCellAnchor>
  <xdr:twoCellAnchor>
    <xdr:from>
      <xdr:col>15</xdr:col>
      <xdr:colOff>130186</xdr:colOff>
      <xdr:row>66</xdr:row>
      <xdr:rowOff>29353</xdr:rowOff>
    </xdr:from>
    <xdr:to>
      <xdr:col>15</xdr:col>
      <xdr:colOff>135113</xdr:colOff>
      <xdr:row>69</xdr:row>
      <xdr:rowOff>82706</xdr:rowOff>
    </xdr:to>
    <xdr:cxnSp macro="">
      <xdr:nvCxnSpPr>
        <xdr:cNvPr id="102" name="直線矢印コネクタ 101">
          <a:extLst>
            <a:ext uri="{FF2B5EF4-FFF2-40B4-BE49-F238E27FC236}">
              <a16:creationId xmlns:a16="http://schemas.microsoft.com/office/drawing/2014/main" id="{FF33A033-3696-44DA-8B50-D012EE20D551}"/>
            </a:ext>
          </a:extLst>
        </xdr:cNvPr>
        <xdr:cNvCxnSpPr>
          <a:cxnSpLocks/>
          <a:stCxn id="161" idx="2"/>
          <a:endCxn id="91" idx="0"/>
        </xdr:cNvCxnSpPr>
      </xdr:nvCxnSpPr>
      <xdr:spPr>
        <a:xfrm>
          <a:off x="2987686" y="12579941"/>
          <a:ext cx="4927" cy="62485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100853</xdr:colOff>
      <xdr:row>51</xdr:row>
      <xdr:rowOff>11206</xdr:rowOff>
    </xdr:from>
    <xdr:to>
      <xdr:col>23</xdr:col>
      <xdr:colOff>138789</xdr:colOff>
      <xdr:row>53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119822</xdr:colOff>
      <xdr:row>53</xdr:row>
      <xdr:rowOff>151454</xdr:rowOff>
    </xdr:from>
    <xdr:to>
      <xdr:col>15</xdr:col>
      <xdr:colOff>130398</xdr:colOff>
      <xdr:row>57</xdr:row>
      <xdr:rowOff>22411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stCxn id="103" idx="2"/>
          <a:endCxn id="93" idx="0"/>
        </xdr:cNvCxnSpPr>
      </xdr:nvCxnSpPr>
      <xdr:spPr>
        <a:xfrm>
          <a:off x="2977322" y="11257604"/>
          <a:ext cx="10576" cy="6329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123265</xdr:colOff>
      <xdr:row>76</xdr:row>
      <xdr:rowOff>156882</xdr:rowOff>
    </xdr:from>
    <xdr:to>
      <xdr:col>23</xdr:col>
      <xdr:colOff>161201</xdr:colOff>
      <xdr:row>79</xdr:row>
      <xdr:rowOff>95424</xdr:rowOff>
    </xdr:to>
    <xdr:sp macro="" textlink="">
      <xdr:nvSpPr>
        <xdr:cNvPr id="105" name="フローチャート: 処理 104">
          <a:extLst>
            <a:ext uri="{FF2B5EF4-FFF2-40B4-BE49-F238E27FC236}">
              <a16:creationId xmlns:a16="http://schemas.microsoft.com/office/drawing/2014/main" id="{41299924-01F7-4C06-89B5-D30C4FE1BE9C}"/>
            </a:ext>
          </a:extLst>
        </xdr:cNvPr>
        <xdr:cNvSpPr/>
      </xdr:nvSpPr>
      <xdr:spPr>
        <a:xfrm>
          <a:off x="1456765" y="15644532"/>
          <a:ext cx="3085936" cy="51004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１－１－８．製品マスター情報を表示内容として設定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136945</xdr:colOff>
      <xdr:row>79</xdr:row>
      <xdr:rowOff>95424</xdr:rowOff>
    </xdr:from>
    <xdr:to>
      <xdr:col>15</xdr:col>
      <xdr:colOff>142234</xdr:colOff>
      <xdr:row>81</xdr:row>
      <xdr:rowOff>74521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9C39B9AC-3C8C-4562-BEA5-E48F10B3E062}"/>
            </a:ext>
          </a:extLst>
        </xdr:cNvPr>
        <xdr:cNvCxnSpPr>
          <a:stCxn id="105" idx="2"/>
          <a:endCxn id="114" idx="0"/>
        </xdr:cNvCxnSpPr>
      </xdr:nvCxnSpPr>
      <xdr:spPr>
        <a:xfrm flipH="1">
          <a:off x="2994445" y="16154574"/>
          <a:ext cx="5289" cy="36009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84</xdr:row>
      <xdr:rowOff>190500</xdr:rowOff>
    </xdr:from>
    <xdr:to>
      <xdr:col>20</xdr:col>
      <xdr:colOff>6118</xdr:colOff>
      <xdr:row>86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81</xdr:row>
      <xdr:rowOff>74521</xdr:rowOff>
    </xdr:from>
    <xdr:to>
      <xdr:col>20</xdr:col>
      <xdr:colOff>4949</xdr:colOff>
      <xdr:row>83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83</xdr:row>
      <xdr:rowOff>74523</xdr:rowOff>
    </xdr:from>
    <xdr:to>
      <xdr:col>15</xdr:col>
      <xdr:colOff>138114</xdr:colOff>
      <xdr:row>84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86</xdr:row>
      <xdr:rowOff>190501</xdr:rowOff>
    </xdr:from>
    <xdr:to>
      <xdr:col>15</xdr:col>
      <xdr:colOff>143542</xdr:colOff>
      <xdr:row>88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120</xdr:row>
      <xdr:rowOff>9526</xdr:rowOff>
    </xdr:from>
    <xdr:to>
      <xdr:col>35</xdr:col>
      <xdr:colOff>33617</xdr:colOff>
      <xdr:row>143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申請製品情報マスタ</a:t>
          </a:r>
        </a:p>
      </xdr:txBody>
    </xdr:sp>
    <xdr:clientData/>
  </xdr:twoCellAnchor>
  <xdr:twoCellAnchor>
    <xdr:from>
      <xdr:col>16</xdr:col>
      <xdr:colOff>5360</xdr:colOff>
      <xdr:row>127</xdr:row>
      <xdr:rowOff>68912</xdr:rowOff>
    </xdr:from>
    <xdr:to>
      <xdr:col>23</xdr:col>
      <xdr:colOff>148819</xdr:colOff>
      <xdr:row>128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131</xdr:row>
      <xdr:rowOff>70812</xdr:rowOff>
    </xdr:from>
    <xdr:to>
      <xdr:col>29</xdr:col>
      <xdr:colOff>118333</xdr:colOff>
      <xdr:row>131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136</xdr:row>
      <xdr:rowOff>58973</xdr:rowOff>
    </xdr:from>
    <xdr:to>
      <xdr:col>33</xdr:col>
      <xdr:colOff>89639</xdr:colOff>
      <xdr:row>139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133</xdr:row>
      <xdr:rowOff>4</xdr:rowOff>
    </xdr:from>
    <xdr:to>
      <xdr:col>29</xdr:col>
      <xdr:colOff>120049</xdr:colOff>
      <xdr:row>136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131</xdr:row>
      <xdr:rowOff>70811</xdr:rowOff>
    </xdr:from>
    <xdr:to>
      <xdr:col>32</xdr:col>
      <xdr:colOff>78434</xdr:colOff>
      <xdr:row>133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136</xdr:row>
      <xdr:rowOff>70180</xdr:rowOff>
    </xdr:from>
    <xdr:to>
      <xdr:col>23</xdr:col>
      <xdr:colOff>179291</xdr:colOff>
      <xdr:row>139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133</xdr:row>
      <xdr:rowOff>22416</xdr:rowOff>
    </xdr:from>
    <xdr:to>
      <xdr:col>20</xdr:col>
      <xdr:colOff>17487</xdr:colOff>
      <xdr:row>136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131</xdr:row>
      <xdr:rowOff>93223</xdr:rowOff>
    </xdr:from>
    <xdr:to>
      <xdr:col>22</xdr:col>
      <xdr:colOff>190498</xdr:colOff>
      <xdr:row>133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136</xdr:row>
      <xdr:rowOff>92589</xdr:rowOff>
    </xdr:from>
    <xdr:to>
      <xdr:col>14</xdr:col>
      <xdr:colOff>112059</xdr:colOff>
      <xdr:row>139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133</xdr:row>
      <xdr:rowOff>33622</xdr:rowOff>
    </xdr:from>
    <xdr:to>
      <xdr:col>10</xdr:col>
      <xdr:colOff>210117</xdr:colOff>
      <xdr:row>136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131</xdr:row>
      <xdr:rowOff>104429</xdr:rowOff>
    </xdr:from>
    <xdr:to>
      <xdr:col>13</xdr:col>
      <xdr:colOff>168088</xdr:colOff>
      <xdr:row>133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128</xdr:row>
      <xdr:rowOff>193638</xdr:rowOff>
    </xdr:from>
    <xdr:to>
      <xdr:col>20</xdr:col>
      <xdr:colOff>25444</xdr:colOff>
      <xdr:row>131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127</xdr:row>
      <xdr:rowOff>20739</xdr:rowOff>
    </xdr:from>
    <xdr:to>
      <xdr:col>25</xdr:col>
      <xdr:colOff>162413</xdr:colOff>
      <xdr:row>128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130</xdr:row>
      <xdr:rowOff>172836</xdr:rowOff>
    </xdr:from>
    <xdr:to>
      <xdr:col>33</xdr:col>
      <xdr:colOff>78443</xdr:colOff>
      <xdr:row>133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135</xdr:row>
      <xdr:rowOff>134470</xdr:rowOff>
    </xdr:from>
    <xdr:to>
      <xdr:col>33</xdr:col>
      <xdr:colOff>164555</xdr:colOff>
      <xdr:row>140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133</xdr:row>
      <xdr:rowOff>168090</xdr:rowOff>
    </xdr:from>
    <xdr:to>
      <xdr:col>10</xdr:col>
      <xdr:colOff>133359</xdr:colOff>
      <xdr:row>136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133</xdr:row>
      <xdr:rowOff>123268</xdr:rowOff>
    </xdr:from>
    <xdr:to>
      <xdr:col>19</xdr:col>
      <xdr:colOff>122151</xdr:colOff>
      <xdr:row>136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133</xdr:row>
      <xdr:rowOff>22415</xdr:rowOff>
    </xdr:from>
    <xdr:to>
      <xdr:col>29</xdr:col>
      <xdr:colOff>66116</xdr:colOff>
      <xdr:row>135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120</xdr:row>
      <xdr:rowOff>11206</xdr:rowOff>
    </xdr:from>
    <xdr:to>
      <xdr:col>54</xdr:col>
      <xdr:colOff>190499</xdr:colOff>
      <xdr:row>143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127</xdr:row>
      <xdr:rowOff>37982</xdr:rowOff>
    </xdr:from>
    <xdr:to>
      <xdr:col>49</xdr:col>
      <xdr:colOff>2941</xdr:colOff>
      <xdr:row>128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136</xdr:row>
      <xdr:rowOff>23122</xdr:rowOff>
    </xdr:from>
    <xdr:to>
      <xdr:col>49</xdr:col>
      <xdr:colOff>73806</xdr:colOff>
      <xdr:row>139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130</xdr:row>
      <xdr:rowOff>182768</xdr:rowOff>
    </xdr:from>
    <xdr:to>
      <xdr:col>49</xdr:col>
      <xdr:colOff>71280</xdr:colOff>
      <xdr:row>133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127</xdr:row>
      <xdr:rowOff>47954</xdr:rowOff>
    </xdr:from>
    <xdr:to>
      <xdr:col>39</xdr:col>
      <xdr:colOff>134471</xdr:colOff>
      <xdr:row>128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131</xdr:row>
      <xdr:rowOff>153635</xdr:rowOff>
    </xdr:from>
    <xdr:to>
      <xdr:col>39</xdr:col>
      <xdr:colOff>67235</xdr:colOff>
      <xdr:row>133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137</xdr:row>
      <xdr:rowOff>40000</xdr:rowOff>
    </xdr:from>
    <xdr:to>
      <xdr:col>39</xdr:col>
      <xdr:colOff>156882</xdr:colOff>
      <xdr:row>138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122</xdr:row>
      <xdr:rowOff>147354</xdr:rowOff>
    </xdr:from>
    <xdr:to>
      <xdr:col>23</xdr:col>
      <xdr:colOff>160025</xdr:colOff>
      <xdr:row>124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122</xdr:row>
      <xdr:rowOff>112059</xdr:rowOff>
    </xdr:from>
    <xdr:to>
      <xdr:col>25</xdr:col>
      <xdr:colOff>161880</xdr:colOff>
      <xdr:row>124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122</xdr:row>
      <xdr:rowOff>179294</xdr:rowOff>
    </xdr:from>
    <xdr:to>
      <xdr:col>49</xdr:col>
      <xdr:colOff>12801</xdr:colOff>
      <xdr:row>124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123</xdr:row>
      <xdr:rowOff>0</xdr:rowOff>
    </xdr:from>
    <xdr:to>
      <xdr:col>39</xdr:col>
      <xdr:colOff>134470</xdr:colOff>
      <xdr:row>124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184655</xdr:colOff>
      <xdr:row>218</xdr:row>
      <xdr:rowOff>124943</xdr:rowOff>
    </xdr:from>
    <xdr:to>
      <xdr:col>23</xdr:col>
      <xdr:colOff>115202</xdr:colOff>
      <xdr:row>220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218</xdr:row>
      <xdr:rowOff>89648</xdr:rowOff>
    </xdr:from>
    <xdr:to>
      <xdr:col>25</xdr:col>
      <xdr:colOff>117057</xdr:colOff>
      <xdr:row>220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218</xdr:row>
      <xdr:rowOff>145677</xdr:rowOff>
    </xdr:from>
    <xdr:to>
      <xdr:col>44</xdr:col>
      <xdr:colOff>86923</xdr:colOff>
      <xdr:row>220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218</xdr:row>
      <xdr:rowOff>179295</xdr:rowOff>
    </xdr:from>
    <xdr:to>
      <xdr:col>37</xdr:col>
      <xdr:colOff>110937</xdr:colOff>
      <xdr:row>220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223</xdr:row>
      <xdr:rowOff>20739</xdr:rowOff>
    </xdr:from>
    <xdr:to>
      <xdr:col>25</xdr:col>
      <xdr:colOff>109746</xdr:colOff>
      <xdr:row>224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223</xdr:row>
      <xdr:rowOff>98152</xdr:rowOff>
    </xdr:from>
    <xdr:to>
      <xdr:col>37</xdr:col>
      <xdr:colOff>133697</xdr:colOff>
      <xdr:row>224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35</xdr:col>
      <xdr:colOff>8030</xdr:colOff>
      <xdr:row>37</xdr:row>
      <xdr:rowOff>11206</xdr:rowOff>
    </xdr:from>
    <xdr:to>
      <xdr:col>45</xdr:col>
      <xdr:colOff>33617</xdr:colOff>
      <xdr:row>41</xdr:row>
      <xdr:rowOff>64060</xdr:rowOff>
    </xdr:to>
    <xdr:sp macro="" textlink="">
      <xdr:nvSpPr>
        <xdr:cNvPr id="150" name="吹き出し: 四角形 149">
          <a:extLst>
            <a:ext uri="{FF2B5EF4-FFF2-40B4-BE49-F238E27FC236}">
              <a16:creationId xmlns:a16="http://schemas.microsoft.com/office/drawing/2014/main" id="{AA315312-2705-E9A1-12B2-51FB4055B985}"/>
            </a:ext>
          </a:extLst>
        </xdr:cNvPr>
        <xdr:cNvSpPr/>
      </xdr:nvSpPr>
      <xdr:spPr>
        <a:xfrm>
          <a:off x="6675530" y="7037294"/>
          <a:ext cx="1930587" cy="814854"/>
        </a:xfrm>
        <a:prstGeom prst="wedgeRectCallout">
          <a:avLst>
            <a:gd name="adj1" fmla="val -183356"/>
            <a:gd name="adj2" fmla="val -79741"/>
          </a:avLst>
        </a:prstGeom>
        <a:solidFill>
          <a:schemeClr val="bg1"/>
        </a:solidFill>
        <a:ln w="28575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1050" baseline="0">
              <a:solidFill>
                <a:srgbClr val="FF0000"/>
              </a:solidFill>
            </a:rPr>
            <a:t>AA </a:t>
          </a:r>
          <a:r>
            <a:rPr kumimoji="1" lang="ja-JP" altLang="en-US" sz="1050" baseline="0">
              <a:solidFill>
                <a:srgbClr val="FF0000"/>
              </a:solidFill>
            </a:rPr>
            <a:t>古竹</a:t>
          </a:r>
          <a:endParaRPr kumimoji="1" lang="en-US" altLang="ja-JP" sz="105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105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1050" baseline="0">
              <a:solidFill>
                <a:srgbClr val="FF0000"/>
              </a:solidFill>
            </a:rPr>
            <a:t>1-1-3 </a:t>
          </a:r>
          <a:r>
            <a:rPr kumimoji="1" lang="ja-JP" altLang="en-US" sz="1050" baseline="0">
              <a:solidFill>
                <a:srgbClr val="FF0000"/>
              </a:solidFill>
            </a:rPr>
            <a:t>重複する</a:t>
          </a:r>
          <a:r>
            <a:rPr kumimoji="1" lang="en-US" altLang="ja-JP" sz="1050" baseline="0">
              <a:solidFill>
                <a:srgbClr val="FF0000"/>
              </a:solidFill>
            </a:rPr>
            <a:t>CL</a:t>
          </a:r>
          <a:r>
            <a:rPr kumimoji="1" lang="ja-JP" altLang="en-US" sz="1050" baseline="0">
              <a:solidFill>
                <a:srgbClr val="FF0000"/>
              </a:solidFill>
            </a:rPr>
            <a:t>は処理対象外になると思われますがその認識であっていますか。</a:t>
          </a:r>
          <a:endParaRPr kumimoji="1" lang="en-US" altLang="ja-JP" sz="1050" baseline="0">
            <a:solidFill>
              <a:srgbClr val="FF0000"/>
            </a:solidFill>
          </a:endParaRPr>
        </a:p>
      </xdr:txBody>
    </xdr:sp>
    <xdr:clientData/>
  </xdr:twoCellAnchor>
  <xdr:twoCellAnchor>
    <xdr:from>
      <xdr:col>32</xdr:col>
      <xdr:colOff>144183</xdr:colOff>
      <xdr:row>58</xdr:row>
      <xdr:rowOff>161739</xdr:rowOff>
    </xdr:from>
    <xdr:to>
      <xdr:col>42</xdr:col>
      <xdr:colOff>179295</xdr:colOff>
      <xdr:row>63</xdr:row>
      <xdr:rowOff>124947</xdr:rowOff>
    </xdr:to>
    <xdr:sp macro="" textlink="">
      <xdr:nvSpPr>
        <xdr:cNvPr id="160" name="吹き出し: 四角形 159">
          <a:extLst>
            <a:ext uri="{FF2B5EF4-FFF2-40B4-BE49-F238E27FC236}">
              <a16:creationId xmlns:a16="http://schemas.microsoft.com/office/drawing/2014/main" id="{D44506C0-CBB6-4935-AACD-B2EE7C7CC1F0}"/>
            </a:ext>
          </a:extLst>
        </xdr:cNvPr>
        <xdr:cNvSpPr/>
      </xdr:nvSpPr>
      <xdr:spPr>
        <a:xfrm>
          <a:off x="6240183" y="11188327"/>
          <a:ext cx="1940112" cy="915708"/>
        </a:xfrm>
        <a:prstGeom prst="wedgeRectCallout">
          <a:avLst>
            <a:gd name="adj1" fmla="val -204383"/>
            <a:gd name="adj2" fmla="val 9004"/>
          </a:avLst>
        </a:prstGeom>
        <a:solidFill>
          <a:schemeClr val="bg1"/>
        </a:solidFill>
        <a:ln w="28575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72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1100" baseline="0">
              <a:solidFill>
                <a:srgbClr val="FF0000"/>
              </a:solidFill>
            </a:rPr>
            <a:t>AA </a:t>
          </a:r>
          <a:r>
            <a:rPr kumimoji="1" lang="ja-JP" altLang="en-US" sz="1100" baseline="0">
              <a:solidFill>
                <a:srgbClr val="FF0000"/>
              </a:solidFill>
            </a:rPr>
            <a:t>古竹</a:t>
          </a:r>
          <a:endParaRPr kumimoji="1" lang="en-US" altLang="ja-JP" sz="110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110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1100" baseline="0">
              <a:solidFill>
                <a:srgbClr val="FF0000"/>
              </a:solidFill>
            </a:rPr>
            <a:t>代理店権限アリの時は</a:t>
          </a:r>
          <a:r>
            <a:rPr kumimoji="1" lang="en-US" altLang="ja-JP" sz="1100" baseline="0">
              <a:solidFill>
                <a:srgbClr val="FF0000"/>
              </a:solidFill>
            </a:rPr>
            <a:t>1-6</a:t>
          </a:r>
          <a:r>
            <a:rPr kumimoji="1" lang="ja-JP" altLang="en-US" sz="1100" baseline="0">
              <a:solidFill>
                <a:srgbClr val="FF0000"/>
              </a:solidFill>
            </a:rPr>
            <a:t>分岐であっていますか</a:t>
          </a:r>
          <a:endParaRPr kumimoji="1" lang="en-US" altLang="ja-JP" sz="1100" baseline="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95997</xdr:colOff>
      <xdr:row>63</xdr:row>
      <xdr:rowOff>153707</xdr:rowOff>
    </xdr:from>
    <xdr:to>
      <xdr:col>23</xdr:col>
      <xdr:colOff>161200</xdr:colOff>
      <xdr:row>66</xdr:row>
      <xdr:rowOff>26178</xdr:rowOff>
    </xdr:to>
    <xdr:sp macro="" textlink="">
      <xdr:nvSpPr>
        <xdr:cNvPr id="161" name="フローチャート: 処理 160">
          <a:extLst>
            <a:ext uri="{FF2B5EF4-FFF2-40B4-BE49-F238E27FC236}">
              <a16:creationId xmlns:a16="http://schemas.microsoft.com/office/drawing/2014/main" id="{87F2428A-C8D2-4732-8A45-0A3D47BFBFA6}"/>
            </a:ext>
          </a:extLst>
        </xdr:cNvPr>
        <xdr:cNvSpPr/>
      </xdr:nvSpPr>
      <xdr:spPr>
        <a:xfrm>
          <a:off x="1429497" y="12132795"/>
          <a:ext cx="3113203" cy="443971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１－１－６．申請可能条件よりチェック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7A4B26B-6B1F-4B17-97B8-E6467E599C7A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6CAB6AC-F7BD-49CE-BF70-CF461FF0ABD3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2" t="str">
        <f ca="1">TEXT(変更来歴!AT2,"yyyy年 mm月 dd日") &amp; " " &amp; 変更来歴!AT3</f>
        <v>2026年 05月 20日 r1.2</v>
      </c>
      <c r="C22" s="713"/>
      <c r="D22" s="713"/>
      <c r="E22" s="713"/>
      <c r="F22" s="713"/>
      <c r="G22" s="713"/>
      <c r="H22" s="713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5" t="s">
        <v>28</v>
      </c>
      <c r="D28" s="715"/>
      <c r="E28" s="715"/>
      <c r="F28" s="715" t="s">
        <v>0</v>
      </c>
      <c r="G28" s="715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6"/>
      <c r="D33" s="716"/>
      <c r="E33" s="716"/>
      <c r="F33" s="716"/>
      <c r="G33" s="716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14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17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14"/>
    </row>
    <row r="43" spans="3:20" s="8" customFormat="1" ht="14.25" customHeight="1">
      <c r="K43" s="17"/>
      <c r="L43" s="12"/>
      <c r="N43" s="12"/>
      <c r="R43" s="14"/>
      <c r="S43" s="19"/>
      <c r="T43" s="714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14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14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14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14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14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17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14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17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14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17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14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17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14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17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14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17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14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17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14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17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14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17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14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17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14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17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14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17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14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17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14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17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14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17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14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17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14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17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14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17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">
        <v>6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">
        <v>451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">
        <v>298</v>
      </c>
      <c r="AO1" s="746"/>
      <c r="AP1" s="746"/>
      <c r="AQ1" s="745" t="s">
        <v>9</v>
      </c>
      <c r="AR1" s="745"/>
      <c r="AS1" s="745"/>
      <c r="AT1" s="748">
        <f>AL7</f>
        <v>46125</v>
      </c>
      <c r="AU1" s="748"/>
      <c r="AV1" s="748"/>
      <c r="AW1" s="748"/>
      <c r="AX1" s="737" t="s">
        <v>10</v>
      </c>
      <c r="AY1" s="738"/>
      <c r="AZ1" s="738"/>
      <c r="BA1" s="739"/>
    </row>
    <row r="2" spans="1:53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42" t="s">
        <v>29</v>
      </c>
      <c r="N2" s="743"/>
      <c r="O2" s="743"/>
      <c r="P2" s="743"/>
      <c r="Q2" s="743"/>
      <c r="R2" s="743"/>
      <c r="S2" s="743"/>
      <c r="T2" s="743"/>
      <c r="U2" s="743"/>
      <c r="V2" s="743"/>
      <c r="W2" s="74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">
        <v>298</v>
      </c>
      <c r="AO2" s="746"/>
      <c r="AP2" s="746"/>
      <c r="AQ2" s="745" t="s">
        <v>13</v>
      </c>
      <c r="AR2" s="745"/>
      <c r="AS2" s="745"/>
      <c r="AT2" s="748">
        <v>46162</v>
      </c>
      <c r="AU2" s="748"/>
      <c r="AV2" s="748"/>
      <c r="AW2" s="748"/>
      <c r="AX2" s="749" t="s">
        <v>31</v>
      </c>
      <c r="AY2" s="750"/>
      <c r="AZ2" s="750"/>
      <c r="BA2" s="751"/>
    </row>
    <row r="3" spans="1:53" ht="12" customHeight="1">
      <c r="A3" s="755" t="s">
        <v>26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/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">
        <v>450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45" t="s">
        <v>15</v>
      </c>
      <c r="AR3" s="745"/>
      <c r="AS3" s="745"/>
      <c r="AT3" s="761" t="str">
        <f ca="1">INDIRECT("A" &amp; COUNTA(A7:A39) + 6)</f>
        <v>r1.2</v>
      </c>
      <c r="AU3" s="761"/>
      <c r="AV3" s="761"/>
      <c r="AW3" s="761"/>
      <c r="AX3" s="752"/>
      <c r="AY3" s="753"/>
      <c r="AZ3" s="753"/>
      <c r="BA3" s="754"/>
    </row>
    <row r="4" spans="1:53" ht="5.9" customHeight="1"/>
    <row r="5" spans="1:53" ht="14">
      <c r="A5" s="759" t="s">
        <v>25</v>
      </c>
      <c r="B5" s="759"/>
      <c r="C5" s="759"/>
      <c r="D5" s="759"/>
      <c r="E5" s="759"/>
      <c r="F5" s="759"/>
      <c r="G5" s="759"/>
      <c r="H5" s="759"/>
      <c r="I5" s="759"/>
      <c r="J5" s="759"/>
      <c r="K5" s="759"/>
      <c r="L5" s="759"/>
      <c r="M5" s="759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  <c r="Y5" s="759"/>
      <c r="Z5" s="75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</row>
    <row r="6" spans="1:53">
      <c r="A6" s="762" t="s">
        <v>24</v>
      </c>
      <c r="B6" s="763"/>
      <c r="C6" s="747" t="s">
        <v>17</v>
      </c>
      <c r="D6" s="747"/>
      <c r="E6" s="747"/>
      <c r="F6" s="747"/>
      <c r="G6" s="747"/>
      <c r="H6" s="747"/>
      <c r="I6" s="747"/>
      <c r="J6" s="747"/>
      <c r="K6" s="747"/>
      <c r="L6" s="747"/>
      <c r="M6" s="747"/>
      <c r="N6" s="747"/>
      <c r="O6" s="747"/>
      <c r="P6" s="747"/>
      <c r="Q6" s="747" t="s">
        <v>18</v>
      </c>
      <c r="R6" s="747"/>
      <c r="S6" s="747"/>
      <c r="T6" s="747"/>
      <c r="U6" s="747"/>
      <c r="V6" s="747"/>
      <c r="W6" s="747"/>
      <c r="X6" s="747"/>
      <c r="Y6" s="747"/>
      <c r="Z6" s="747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 t="s">
        <v>19</v>
      </c>
      <c r="AM6" s="747"/>
      <c r="AN6" s="747"/>
      <c r="AO6" s="747"/>
      <c r="AP6" s="747" t="s">
        <v>20</v>
      </c>
      <c r="AQ6" s="747"/>
      <c r="AR6" s="747"/>
      <c r="AS6" s="747" t="s">
        <v>21</v>
      </c>
      <c r="AT6" s="747"/>
      <c r="AU6" s="747"/>
      <c r="AV6" s="747" t="s">
        <v>22</v>
      </c>
      <c r="AW6" s="747"/>
      <c r="AX6" s="747"/>
      <c r="AY6" s="747"/>
      <c r="AZ6" s="747"/>
      <c r="BA6" s="747"/>
    </row>
    <row r="7" spans="1:53">
      <c r="A7" s="719" t="s">
        <v>258</v>
      </c>
      <c r="B7" s="719"/>
      <c r="C7" s="720" t="s">
        <v>23</v>
      </c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4">
        <v>46125</v>
      </c>
      <c r="AM7" s="725"/>
      <c r="AN7" s="725"/>
      <c r="AO7" s="725"/>
      <c r="AP7" s="720" t="s">
        <v>298</v>
      </c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</row>
    <row r="8" spans="1:53" ht="25" customHeight="1">
      <c r="A8" s="734" t="s">
        <v>423</v>
      </c>
      <c r="B8" s="735"/>
      <c r="C8" s="721" t="s">
        <v>425</v>
      </c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31" t="s">
        <v>454</v>
      </c>
      <c r="R8" s="732"/>
      <c r="S8" s="732"/>
      <c r="T8" s="732"/>
      <c r="U8" s="732"/>
      <c r="V8" s="732"/>
      <c r="W8" s="732"/>
      <c r="X8" s="732"/>
      <c r="Y8" s="732"/>
      <c r="Z8" s="732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3"/>
      <c r="AL8" s="726">
        <v>46134</v>
      </c>
      <c r="AM8" s="727"/>
      <c r="AN8" s="727"/>
      <c r="AO8" s="728"/>
      <c r="AP8" s="720" t="s">
        <v>424</v>
      </c>
      <c r="AQ8" s="720"/>
      <c r="AR8" s="720"/>
      <c r="AS8" s="720"/>
      <c r="AT8" s="720"/>
      <c r="AU8" s="720"/>
      <c r="AV8" s="720"/>
      <c r="AW8" s="720"/>
      <c r="AX8" s="720"/>
      <c r="AY8" s="720"/>
      <c r="AZ8" s="720"/>
      <c r="BA8" s="720"/>
    </row>
    <row r="9" spans="1:53">
      <c r="A9" s="734" t="s">
        <v>452</v>
      </c>
      <c r="B9" s="735"/>
      <c r="C9" s="720" t="s">
        <v>453</v>
      </c>
      <c r="D9" s="720"/>
      <c r="E9" s="720"/>
      <c r="F9" s="720"/>
      <c r="G9" s="720"/>
      <c r="H9" s="720"/>
      <c r="I9" s="720"/>
      <c r="J9" s="720"/>
      <c r="K9" s="720"/>
      <c r="L9" s="720"/>
      <c r="M9" s="720"/>
      <c r="N9" s="720"/>
      <c r="O9" s="720"/>
      <c r="P9" s="720"/>
      <c r="Q9" s="731" t="s">
        <v>454</v>
      </c>
      <c r="R9" s="732"/>
      <c r="S9" s="732"/>
      <c r="T9" s="732"/>
      <c r="U9" s="732"/>
      <c r="V9" s="732"/>
      <c r="W9" s="732"/>
      <c r="X9" s="732"/>
      <c r="Y9" s="732"/>
      <c r="Z9" s="732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3"/>
      <c r="AL9" s="726">
        <v>46162</v>
      </c>
      <c r="AM9" s="727"/>
      <c r="AN9" s="727"/>
      <c r="AO9" s="728"/>
      <c r="AP9" s="720" t="s">
        <v>424</v>
      </c>
      <c r="AQ9" s="720"/>
      <c r="AR9" s="720"/>
      <c r="AS9" s="720"/>
      <c r="AT9" s="720"/>
      <c r="AU9" s="720"/>
      <c r="AV9" s="720"/>
      <c r="AW9" s="720"/>
      <c r="AX9" s="720"/>
      <c r="AY9" s="720"/>
      <c r="AZ9" s="720"/>
      <c r="BA9" s="720"/>
    </row>
    <row r="10" spans="1:53">
      <c r="A10" s="719"/>
      <c r="B10" s="719"/>
      <c r="C10" s="720"/>
      <c r="D10" s="720"/>
      <c r="E10" s="720"/>
      <c r="F10" s="720"/>
      <c r="G10" s="720"/>
      <c r="H10" s="720"/>
      <c r="I10" s="720"/>
      <c r="J10" s="720"/>
      <c r="K10" s="720"/>
      <c r="L10" s="720"/>
      <c r="M10" s="720"/>
      <c r="N10" s="720"/>
      <c r="O10" s="720"/>
      <c r="P10" s="720"/>
      <c r="Q10" s="721"/>
      <c r="R10" s="720"/>
      <c r="S10" s="720"/>
      <c r="T10" s="720"/>
      <c r="U10" s="720"/>
      <c r="V10" s="720"/>
      <c r="W10" s="720"/>
      <c r="X10" s="720"/>
      <c r="Y10" s="720"/>
      <c r="Z10" s="720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18"/>
      <c r="AM10" s="719"/>
      <c r="AN10" s="719"/>
      <c r="AO10" s="719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</row>
    <row r="11" spans="1:53">
      <c r="A11" s="719"/>
      <c r="B11" s="719"/>
      <c r="C11" s="721"/>
      <c r="D11" s="720"/>
      <c r="E11" s="720"/>
      <c r="F11" s="720"/>
      <c r="G11" s="720"/>
      <c r="H11" s="720"/>
      <c r="I11" s="720"/>
      <c r="J11" s="720"/>
      <c r="K11" s="720"/>
      <c r="L11" s="720"/>
      <c r="M11" s="720"/>
      <c r="N11" s="720"/>
      <c r="O11" s="720"/>
      <c r="P11" s="720"/>
      <c r="Q11" s="721"/>
      <c r="R11" s="720"/>
      <c r="S11" s="720"/>
      <c r="T11" s="720"/>
      <c r="U11" s="720"/>
      <c r="V11" s="720"/>
      <c r="W11" s="720"/>
      <c r="X11" s="720"/>
      <c r="Y11" s="720"/>
      <c r="Z11" s="720"/>
      <c r="AA11" s="720"/>
      <c r="AB11" s="720"/>
      <c r="AC11" s="720"/>
      <c r="AD11" s="720"/>
      <c r="AE11" s="720"/>
      <c r="AF11" s="720"/>
      <c r="AG11" s="720"/>
      <c r="AH11" s="720"/>
      <c r="AI11" s="720"/>
      <c r="AJ11" s="720"/>
      <c r="AK11" s="720"/>
      <c r="AL11" s="718"/>
      <c r="AM11" s="719"/>
      <c r="AN11" s="719"/>
      <c r="AO11" s="719"/>
      <c r="AP11" s="720"/>
      <c r="AQ11" s="720"/>
      <c r="AR11" s="720"/>
      <c r="AS11" s="720"/>
      <c r="AT11" s="720"/>
      <c r="AU11" s="720"/>
      <c r="AV11" s="720"/>
      <c r="AW11" s="720"/>
      <c r="AX11" s="720"/>
      <c r="AY11" s="720"/>
      <c r="AZ11" s="720"/>
      <c r="BA11" s="720"/>
    </row>
    <row r="12" spans="1:53">
      <c r="A12" s="719"/>
      <c r="B12" s="719"/>
      <c r="C12" s="720"/>
      <c r="D12" s="720"/>
      <c r="E12" s="720"/>
      <c r="F12" s="720"/>
      <c r="G12" s="720"/>
      <c r="H12" s="720"/>
      <c r="I12" s="720"/>
      <c r="J12" s="720"/>
      <c r="K12" s="720"/>
      <c r="L12" s="720"/>
      <c r="M12" s="720"/>
      <c r="N12" s="720"/>
      <c r="O12" s="720"/>
      <c r="P12" s="720"/>
      <c r="Q12" s="720"/>
      <c r="R12" s="720"/>
      <c r="S12" s="720"/>
      <c r="T12" s="720"/>
      <c r="U12" s="720"/>
      <c r="V12" s="720"/>
      <c r="W12" s="720"/>
      <c r="X12" s="720"/>
      <c r="Y12" s="720"/>
      <c r="Z12" s="720"/>
      <c r="AA12" s="720"/>
      <c r="AB12" s="720"/>
      <c r="AC12" s="720"/>
      <c r="AD12" s="720"/>
      <c r="AE12" s="720"/>
      <c r="AF12" s="720"/>
      <c r="AG12" s="720"/>
      <c r="AH12" s="720"/>
      <c r="AI12" s="720"/>
      <c r="AJ12" s="720"/>
      <c r="AK12" s="720"/>
      <c r="AL12" s="718"/>
      <c r="AM12" s="719"/>
      <c r="AN12" s="719"/>
      <c r="AO12" s="719"/>
      <c r="AP12" s="720"/>
      <c r="AQ12" s="720"/>
      <c r="AR12" s="720"/>
      <c r="AS12" s="720"/>
      <c r="AT12" s="720"/>
      <c r="AU12" s="720"/>
      <c r="AV12" s="720"/>
      <c r="AW12" s="720"/>
      <c r="AX12" s="720"/>
      <c r="AY12" s="720"/>
      <c r="AZ12" s="720"/>
      <c r="BA12" s="720"/>
    </row>
    <row r="13" spans="1:53">
      <c r="A13" s="730"/>
      <c r="B13" s="730"/>
      <c r="C13" s="722"/>
      <c r="D13" s="722"/>
      <c r="E13" s="722"/>
      <c r="F13" s="722"/>
      <c r="G13" s="722"/>
      <c r="H13" s="722"/>
      <c r="I13" s="722"/>
      <c r="J13" s="722"/>
      <c r="K13" s="722"/>
      <c r="L13" s="722"/>
      <c r="M13" s="722"/>
      <c r="N13" s="722"/>
      <c r="O13" s="722"/>
      <c r="P13" s="722"/>
      <c r="Q13" s="721"/>
      <c r="R13" s="720"/>
      <c r="S13" s="720"/>
      <c r="T13" s="720"/>
      <c r="U13" s="720"/>
      <c r="V13" s="720"/>
      <c r="W13" s="720"/>
      <c r="X13" s="720"/>
      <c r="Y13" s="720"/>
      <c r="Z13" s="720"/>
      <c r="AA13" s="720"/>
      <c r="AB13" s="720"/>
      <c r="AC13" s="720"/>
      <c r="AD13" s="720"/>
      <c r="AE13" s="720"/>
      <c r="AF13" s="720"/>
      <c r="AG13" s="720"/>
      <c r="AH13" s="720"/>
      <c r="AI13" s="720"/>
      <c r="AJ13" s="720"/>
      <c r="AK13" s="720"/>
      <c r="AL13" s="729"/>
      <c r="AM13" s="730"/>
      <c r="AN13" s="730"/>
      <c r="AO13" s="730"/>
      <c r="AP13" s="720"/>
      <c r="AQ13" s="720"/>
      <c r="AR13" s="720"/>
      <c r="AS13" s="722"/>
      <c r="AT13" s="722"/>
      <c r="AU13" s="722"/>
      <c r="AV13" s="722"/>
      <c r="AW13" s="722"/>
      <c r="AX13" s="722"/>
      <c r="AY13" s="722"/>
      <c r="AZ13" s="722"/>
      <c r="BA13" s="722"/>
    </row>
    <row r="14" spans="1:53">
      <c r="A14" s="719"/>
      <c r="B14" s="719"/>
      <c r="C14" s="720"/>
      <c r="D14" s="720"/>
      <c r="E14" s="720"/>
      <c r="F14" s="720"/>
      <c r="G14" s="720"/>
      <c r="H14" s="720"/>
      <c r="I14" s="720"/>
      <c r="J14" s="720"/>
      <c r="K14" s="720"/>
      <c r="L14" s="720"/>
      <c r="M14" s="720"/>
      <c r="N14" s="720"/>
      <c r="O14" s="720"/>
      <c r="P14" s="720"/>
      <c r="Q14" s="721"/>
      <c r="R14" s="720"/>
      <c r="S14" s="720"/>
      <c r="T14" s="720"/>
      <c r="U14" s="720"/>
      <c r="V14" s="720"/>
      <c r="W14" s="720"/>
      <c r="X14" s="720"/>
      <c r="Y14" s="720"/>
      <c r="Z14" s="720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18"/>
      <c r="AM14" s="719"/>
      <c r="AN14" s="719"/>
      <c r="AO14" s="719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</row>
    <row r="15" spans="1:53">
      <c r="A15" s="719"/>
      <c r="B15" s="719"/>
      <c r="C15" s="720"/>
      <c r="D15" s="720"/>
      <c r="E15" s="720"/>
      <c r="F15" s="720"/>
      <c r="G15" s="720"/>
      <c r="H15" s="720"/>
      <c r="I15" s="720"/>
      <c r="J15" s="720"/>
      <c r="K15" s="720"/>
      <c r="L15" s="720"/>
      <c r="M15" s="720"/>
      <c r="N15" s="720"/>
      <c r="O15" s="720"/>
      <c r="P15" s="720"/>
      <c r="Q15" s="721"/>
      <c r="R15" s="720"/>
      <c r="S15" s="720"/>
      <c r="T15" s="720"/>
      <c r="U15" s="720"/>
      <c r="V15" s="720"/>
      <c r="W15" s="720"/>
      <c r="X15" s="720"/>
      <c r="Y15" s="720"/>
      <c r="Z15" s="720"/>
      <c r="AA15" s="720"/>
      <c r="AB15" s="720"/>
      <c r="AC15" s="720"/>
      <c r="AD15" s="720"/>
      <c r="AE15" s="720"/>
      <c r="AF15" s="720"/>
      <c r="AG15" s="720"/>
      <c r="AH15" s="720"/>
      <c r="AI15" s="720"/>
      <c r="AJ15" s="720"/>
      <c r="AK15" s="720"/>
      <c r="AL15" s="718"/>
      <c r="AM15" s="719"/>
      <c r="AN15" s="719"/>
      <c r="AO15" s="719"/>
      <c r="AP15" s="720"/>
      <c r="AQ15" s="720"/>
      <c r="AR15" s="720"/>
      <c r="AS15" s="720"/>
      <c r="AT15" s="720"/>
      <c r="AU15" s="720"/>
      <c r="AV15" s="720"/>
      <c r="AW15" s="720"/>
      <c r="AX15" s="720"/>
      <c r="AY15" s="720"/>
      <c r="AZ15" s="720"/>
      <c r="BA15" s="720"/>
    </row>
    <row r="16" spans="1:53">
      <c r="A16" s="719"/>
      <c r="B16" s="719"/>
      <c r="C16" s="720"/>
      <c r="D16" s="720"/>
      <c r="E16" s="720"/>
      <c r="F16" s="720"/>
      <c r="G16" s="720"/>
      <c r="H16" s="720"/>
      <c r="I16" s="720"/>
      <c r="J16" s="720"/>
      <c r="K16" s="720"/>
      <c r="L16" s="720"/>
      <c r="M16" s="720"/>
      <c r="N16" s="720"/>
      <c r="O16" s="720"/>
      <c r="P16" s="720"/>
      <c r="Q16" s="721"/>
      <c r="R16" s="720"/>
      <c r="S16" s="720"/>
      <c r="T16" s="720"/>
      <c r="U16" s="720"/>
      <c r="V16" s="720"/>
      <c r="W16" s="720"/>
      <c r="X16" s="720"/>
      <c r="Y16" s="720"/>
      <c r="Z16" s="720"/>
      <c r="AA16" s="720"/>
      <c r="AB16" s="720"/>
      <c r="AC16" s="720"/>
      <c r="AD16" s="720"/>
      <c r="AE16" s="720"/>
      <c r="AF16" s="720"/>
      <c r="AG16" s="720"/>
      <c r="AH16" s="720"/>
      <c r="AI16" s="720"/>
      <c r="AJ16" s="720"/>
      <c r="AK16" s="720"/>
      <c r="AL16" s="718"/>
      <c r="AM16" s="719"/>
      <c r="AN16" s="719"/>
      <c r="AO16" s="719"/>
      <c r="AP16" s="720"/>
      <c r="AQ16" s="720"/>
      <c r="AR16" s="720"/>
      <c r="AS16" s="720"/>
      <c r="AT16" s="720"/>
      <c r="AU16" s="720"/>
      <c r="AV16" s="720"/>
      <c r="AW16" s="720"/>
      <c r="AX16" s="720"/>
      <c r="AY16" s="720"/>
      <c r="AZ16" s="720"/>
      <c r="BA16" s="720"/>
    </row>
    <row r="17" spans="1:53">
      <c r="A17" s="736"/>
      <c r="B17" s="736"/>
      <c r="C17" s="720"/>
      <c r="D17" s="720"/>
      <c r="E17" s="720"/>
      <c r="F17" s="720"/>
      <c r="G17" s="720"/>
      <c r="H17" s="720"/>
      <c r="I17" s="720"/>
      <c r="J17" s="720"/>
      <c r="K17" s="720"/>
      <c r="L17" s="720"/>
      <c r="M17" s="720"/>
      <c r="N17" s="720"/>
      <c r="O17" s="720"/>
      <c r="P17" s="720"/>
      <c r="Q17" s="720"/>
      <c r="R17" s="723"/>
      <c r="S17" s="723"/>
      <c r="T17" s="723"/>
      <c r="U17" s="723"/>
      <c r="V17" s="723"/>
      <c r="W17" s="723"/>
      <c r="X17" s="723"/>
      <c r="Y17" s="723"/>
      <c r="Z17" s="723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18"/>
      <c r="AM17" s="719"/>
      <c r="AN17" s="719"/>
      <c r="AO17" s="719"/>
      <c r="AP17" s="720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</row>
    <row r="18" spans="1:53">
      <c r="A18" s="736"/>
      <c r="B18" s="736"/>
      <c r="C18" s="720"/>
      <c r="D18" s="720"/>
      <c r="E18" s="720"/>
      <c r="F18" s="720"/>
      <c r="G18" s="720"/>
      <c r="H18" s="720"/>
      <c r="I18" s="720"/>
      <c r="J18" s="720"/>
      <c r="K18" s="720"/>
      <c r="L18" s="720"/>
      <c r="M18" s="720"/>
      <c r="N18" s="720"/>
      <c r="O18" s="720"/>
      <c r="P18" s="720"/>
      <c r="Q18" s="720"/>
      <c r="R18" s="723"/>
      <c r="S18" s="723"/>
      <c r="T18" s="723"/>
      <c r="U18" s="723"/>
      <c r="V18" s="723"/>
      <c r="W18" s="723"/>
      <c r="X18" s="723"/>
      <c r="Y18" s="723"/>
      <c r="Z18" s="723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18"/>
      <c r="AM18" s="719"/>
      <c r="AN18" s="719"/>
      <c r="AO18" s="719"/>
      <c r="AP18" s="720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</row>
    <row r="19" spans="1:53">
      <c r="A19" s="719"/>
      <c r="B19" s="719"/>
      <c r="C19" s="720"/>
      <c r="D19" s="720"/>
      <c r="E19" s="720"/>
      <c r="F19" s="720"/>
      <c r="G19" s="720"/>
      <c r="H19" s="720"/>
      <c r="I19" s="720"/>
      <c r="J19" s="720"/>
      <c r="K19" s="720"/>
      <c r="L19" s="720"/>
      <c r="M19" s="720"/>
      <c r="N19" s="720"/>
      <c r="O19" s="720"/>
      <c r="P19" s="720"/>
      <c r="Q19" s="720"/>
      <c r="R19" s="720"/>
      <c r="S19" s="720"/>
      <c r="T19" s="720"/>
      <c r="U19" s="720"/>
      <c r="V19" s="720"/>
      <c r="W19" s="720"/>
      <c r="X19" s="720"/>
      <c r="Y19" s="720"/>
      <c r="Z19" s="720"/>
      <c r="AA19" s="720"/>
      <c r="AB19" s="720"/>
      <c r="AC19" s="720"/>
      <c r="AD19" s="720"/>
      <c r="AE19" s="720"/>
      <c r="AF19" s="720"/>
      <c r="AG19" s="720"/>
      <c r="AH19" s="720"/>
      <c r="AI19" s="720"/>
      <c r="AJ19" s="720"/>
      <c r="AK19" s="720"/>
      <c r="AL19" s="718"/>
      <c r="AM19" s="718"/>
      <c r="AN19" s="718"/>
      <c r="AO19" s="718"/>
      <c r="AP19" s="720"/>
      <c r="AQ19" s="720"/>
      <c r="AR19" s="720"/>
      <c r="AS19" s="720"/>
      <c r="AT19" s="720"/>
      <c r="AU19" s="720"/>
      <c r="AV19" s="720"/>
      <c r="AW19" s="720"/>
      <c r="AX19" s="720"/>
      <c r="AY19" s="720"/>
      <c r="AZ19" s="720"/>
      <c r="BA19" s="720"/>
    </row>
    <row r="20" spans="1:53">
      <c r="A20" s="719"/>
      <c r="B20" s="719"/>
      <c r="C20" s="720"/>
      <c r="D20" s="720"/>
      <c r="E20" s="720"/>
      <c r="F20" s="720"/>
      <c r="G20" s="720"/>
      <c r="H20" s="720"/>
      <c r="I20" s="720"/>
      <c r="J20" s="720"/>
      <c r="K20" s="720"/>
      <c r="L20" s="720"/>
      <c r="M20" s="720"/>
      <c r="N20" s="720"/>
      <c r="O20" s="720"/>
      <c r="P20" s="720"/>
      <c r="Q20" s="720"/>
      <c r="R20" s="720"/>
      <c r="S20" s="720"/>
      <c r="T20" s="720"/>
      <c r="U20" s="720"/>
      <c r="V20" s="720"/>
      <c r="W20" s="720"/>
      <c r="X20" s="720"/>
      <c r="Y20" s="720"/>
      <c r="Z20" s="720"/>
      <c r="AA20" s="720"/>
      <c r="AB20" s="720"/>
      <c r="AC20" s="720"/>
      <c r="AD20" s="720"/>
      <c r="AE20" s="720"/>
      <c r="AF20" s="720"/>
      <c r="AG20" s="720"/>
      <c r="AH20" s="720"/>
      <c r="AI20" s="720"/>
      <c r="AJ20" s="720"/>
      <c r="AK20" s="720"/>
      <c r="AL20" s="718"/>
      <c r="AM20" s="718"/>
      <c r="AN20" s="718"/>
      <c r="AO20" s="718"/>
      <c r="AP20" s="720"/>
      <c r="AQ20" s="720"/>
      <c r="AR20" s="720"/>
      <c r="AS20" s="720"/>
      <c r="AT20" s="720"/>
      <c r="AU20" s="720"/>
      <c r="AV20" s="720"/>
      <c r="AW20" s="720"/>
      <c r="AX20" s="720"/>
      <c r="AY20" s="720"/>
      <c r="AZ20" s="720"/>
      <c r="BA20" s="720"/>
    </row>
    <row r="21" spans="1:53" ht="13.5" customHeight="1">
      <c r="A21" s="719"/>
      <c r="B21" s="719"/>
      <c r="C21" s="720"/>
      <c r="D21" s="720"/>
      <c r="E21" s="720"/>
      <c r="F21" s="720"/>
      <c r="G21" s="720"/>
      <c r="H21" s="720"/>
      <c r="I21" s="720"/>
      <c r="J21" s="720"/>
      <c r="K21" s="720"/>
      <c r="L21" s="720"/>
      <c r="M21" s="720"/>
      <c r="N21" s="720"/>
      <c r="O21" s="720"/>
      <c r="P21" s="720"/>
      <c r="Q21" s="720"/>
      <c r="R21" s="723"/>
      <c r="S21" s="723"/>
      <c r="T21" s="723"/>
      <c r="U21" s="723"/>
      <c r="V21" s="723"/>
      <c r="W21" s="723"/>
      <c r="X21" s="723"/>
      <c r="Y21" s="723"/>
      <c r="Z21" s="723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18"/>
      <c r="AM21" s="718"/>
      <c r="AN21" s="718"/>
      <c r="AO21" s="718"/>
      <c r="AP21" s="720"/>
      <c r="AQ21" s="720"/>
      <c r="AR21" s="720"/>
      <c r="AS21" s="720"/>
      <c r="AT21" s="720"/>
      <c r="AU21" s="720"/>
      <c r="AV21" s="720"/>
      <c r="AW21" s="720"/>
      <c r="AX21" s="720"/>
      <c r="AY21" s="720"/>
      <c r="AZ21" s="720"/>
      <c r="BA21" s="720"/>
    </row>
    <row r="22" spans="1:53">
      <c r="A22" s="719"/>
      <c r="B22" s="719"/>
      <c r="C22" s="720"/>
      <c r="D22" s="720"/>
      <c r="E22" s="720"/>
      <c r="F22" s="720"/>
      <c r="G22" s="720"/>
      <c r="H22" s="720"/>
      <c r="I22" s="720"/>
      <c r="J22" s="720"/>
      <c r="K22" s="720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18"/>
      <c r="AM22" s="718"/>
      <c r="AN22" s="718"/>
      <c r="AO22" s="718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</row>
    <row r="23" spans="1:53">
      <c r="A23" s="719"/>
      <c r="B23" s="719"/>
      <c r="C23" s="720"/>
      <c r="D23" s="720"/>
      <c r="E23" s="720"/>
      <c r="F23" s="720"/>
      <c r="G23" s="720"/>
      <c r="H23" s="720"/>
      <c r="I23" s="720"/>
      <c r="J23" s="720"/>
      <c r="K23" s="720"/>
      <c r="L23" s="720"/>
      <c r="M23" s="720"/>
      <c r="N23" s="720"/>
      <c r="O23" s="720"/>
      <c r="P23" s="720"/>
      <c r="Q23" s="720"/>
      <c r="R23" s="723"/>
      <c r="S23" s="723"/>
      <c r="T23" s="723"/>
      <c r="U23" s="723"/>
      <c r="V23" s="723"/>
      <c r="W23" s="723"/>
      <c r="X23" s="723"/>
      <c r="Y23" s="723"/>
      <c r="Z23" s="723"/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18"/>
      <c r="AM23" s="718"/>
      <c r="AN23" s="718"/>
      <c r="AO23" s="718"/>
      <c r="AP23" s="720"/>
      <c r="AQ23" s="720"/>
      <c r="AR23" s="720"/>
      <c r="AS23" s="720"/>
      <c r="AT23" s="720"/>
      <c r="AU23" s="720"/>
      <c r="AV23" s="720"/>
      <c r="AW23" s="720"/>
      <c r="AX23" s="720"/>
      <c r="AY23" s="720"/>
      <c r="AZ23" s="720"/>
      <c r="BA23" s="720"/>
    </row>
    <row r="24" spans="1:53">
      <c r="A24" s="719"/>
      <c r="B24" s="719"/>
      <c r="C24" s="720"/>
      <c r="D24" s="720"/>
      <c r="E24" s="720"/>
      <c r="F24" s="720"/>
      <c r="G24" s="720"/>
      <c r="H24" s="720"/>
      <c r="I24" s="720"/>
      <c r="J24" s="720"/>
      <c r="K24" s="720"/>
      <c r="L24" s="720"/>
      <c r="M24" s="720"/>
      <c r="N24" s="720"/>
      <c r="O24" s="720"/>
      <c r="P24" s="720"/>
      <c r="Q24" s="720"/>
      <c r="R24" s="720"/>
      <c r="S24" s="720"/>
      <c r="T24" s="720"/>
      <c r="U24" s="720"/>
      <c r="V24" s="720"/>
      <c r="W24" s="720"/>
      <c r="X24" s="720"/>
      <c r="Y24" s="720"/>
      <c r="Z24" s="720"/>
      <c r="AA24" s="720"/>
      <c r="AB24" s="720"/>
      <c r="AC24" s="720"/>
      <c r="AD24" s="720"/>
      <c r="AE24" s="720"/>
      <c r="AF24" s="720"/>
      <c r="AG24" s="720"/>
      <c r="AH24" s="720"/>
      <c r="AI24" s="720"/>
      <c r="AJ24" s="720"/>
      <c r="AK24" s="720"/>
      <c r="AL24" s="718"/>
      <c r="AM24" s="718"/>
      <c r="AN24" s="718"/>
      <c r="AO24" s="718"/>
      <c r="AP24" s="720"/>
      <c r="AQ24" s="720"/>
      <c r="AR24" s="720"/>
      <c r="AS24" s="720"/>
      <c r="AT24" s="720"/>
      <c r="AU24" s="720"/>
      <c r="AV24" s="720"/>
      <c r="AW24" s="720"/>
      <c r="AX24" s="720"/>
      <c r="AY24" s="720"/>
      <c r="AZ24" s="720"/>
      <c r="BA24" s="720"/>
    </row>
    <row r="25" spans="1:53">
      <c r="A25" s="719"/>
      <c r="B25" s="719"/>
      <c r="C25" s="720"/>
      <c r="D25" s="720"/>
      <c r="E25" s="720"/>
      <c r="F25" s="720"/>
      <c r="G25" s="720"/>
      <c r="H25" s="720"/>
      <c r="I25" s="720"/>
      <c r="J25" s="720"/>
      <c r="K25" s="720"/>
      <c r="L25" s="720"/>
      <c r="M25" s="720"/>
      <c r="N25" s="720"/>
      <c r="O25" s="720"/>
      <c r="P25" s="720"/>
      <c r="Q25" s="720"/>
      <c r="R25" s="720"/>
      <c r="S25" s="720"/>
      <c r="T25" s="720"/>
      <c r="U25" s="720"/>
      <c r="V25" s="720"/>
      <c r="W25" s="720"/>
      <c r="X25" s="720"/>
      <c r="Y25" s="720"/>
      <c r="Z25" s="720"/>
      <c r="AA25" s="720"/>
      <c r="AB25" s="720"/>
      <c r="AC25" s="720"/>
      <c r="AD25" s="720"/>
      <c r="AE25" s="720"/>
      <c r="AF25" s="720"/>
      <c r="AG25" s="720"/>
      <c r="AH25" s="720"/>
      <c r="AI25" s="720"/>
      <c r="AJ25" s="720"/>
      <c r="AK25" s="720"/>
      <c r="AL25" s="718"/>
      <c r="AM25" s="719"/>
      <c r="AN25" s="719"/>
      <c r="AO25" s="719"/>
      <c r="AP25" s="720"/>
      <c r="AQ25" s="720"/>
      <c r="AR25" s="720"/>
      <c r="AS25" s="720"/>
      <c r="AT25" s="720"/>
      <c r="AU25" s="720"/>
      <c r="AV25" s="720"/>
      <c r="AW25" s="720"/>
      <c r="AX25" s="720"/>
      <c r="AY25" s="720"/>
      <c r="AZ25" s="720"/>
      <c r="BA25" s="720"/>
    </row>
    <row r="26" spans="1:53">
      <c r="A26" s="719"/>
      <c r="B26" s="719"/>
      <c r="C26" s="720"/>
      <c r="D26" s="720"/>
      <c r="E26" s="720"/>
      <c r="F26" s="720"/>
      <c r="G26" s="720"/>
      <c r="H26" s="720"/>
      <c r="I26" s="720"/>
      <c r="J26" s="720"/>
      <c r="K26" s="720"/>
      <c r="L26" s="720"/>
      <c r="M26" s="720"/>
      <c r="N26" s="720"/>
      <c r="O26" s="720"/>
      <c r="P26" s="720"/>
      <c r="Q26" s="720"/>
      <c r="R26" s="720"/>
      <c r="S26" s="720"/>
      <c r="T26" s="720"/>
      <c r="U26" s="720"/>
      <c r="V26" s="720"/>
      <c r="W26" s="720"/>
      <c r="X26" s="720"/>
      <c r="Y26" s="720"/>
      <c r="Z26" s="720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18"/>
      <c r="AM26" s="719"/>
      <c r="AN26" s="719"/>
      <c r="AO26" s="719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</row>
    <row r="27" spans="1:53">
      <c r="A27" s="719"/>
      <c r="B27" s="719"/>
      <c r="C27" s="720"/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20"/>
      <c r="V27" s="720"/>
      <c r="W27" s="720"/>
      <c r="X27" s="720"/>
      <c r="Y27" s="720"/>
      <c r="Z27" s="720"/>
      <c r="AA27" s="720"/>
      <c r="AB27" s="720"/>
      <c r="AC27" s="720"/>
      <c r="AD27" s="720"/>
      <c r="AE27" s="720"/>
      <c r="AF27" s="720"/>
      <c r="AG27" s="720"/>
      <c r="AH27" s="720"/>
      <c r="AI27" s="720"/>
      <c r="AJ27" s="720"/>
      <c r="AK27" s="720"/>
      <c r="AL27" s="718"/>
      <c r="AM27" s="719"/>
      <c r="AN27" s="719"/>
      <c r="AO27" s="719"/>
      <c r="AP27" s="720"/>
      <c r="AQ27" s="720"/>
      <c r="AR27" s="720"/>
      <c r="AS27" s="720"/>
      <c r="AT27" s="720"/>
      <c r="AU27" s="720"/>
      <c r="AV27" s="720"/>
      <c r="AW27" s="720"/>
      <c r="AX27" s="720"/>
      <c r="AY27" s="720"/>
      <c r="AZ27" s="720"/>
      <c r="BA27" s="720"/>
    </row>
    <row r="28" spans="1:53">
      <c r="A28" s="719"/>
      <c r="B28" s="719"/>
      <c r="C28" s="720"/>
      <c r="D28" s="720"/>
      <c r="E28" s="720"/>
      <c r="F28" s="720"/>
      <c r="G28" s="720"/>
      <c r="H28" s="720"/>
      <c r="I28" s="720"/>
      <c r="J28" s="720"/>
      <c r="K28" s="720"/>
      <c r="L28" s="720"/>
      <c r="M28" s="720"/>
      <c r="N28" s="720"/>
      <c r="O28" s="720"/>
      <c r="P28" s="720"/>
      <c r="Q28" s="720"/>
      <c r="R28" s="720"/>
      <c r="S28" s="720"/>
      <c r="T28" s="720"/>
      <c r="U28" s="720"/>
      <c r="V28" s="720"/>
      <c r="W28" s="720"/>
      <c r="X28" s="720"/>
      <c r="Y28" s="720"/>
      <c r="Z28" s="720"/>
      <c r="AA28" s="720"/>
      <c r="AB28" s="720"/>
      <c r="AC28" s="720"/>
      <c r="AD28" s="720"/>
      <c r="AE28" s="720"/>
      <c r="AF28" s="720"/>
      <c r="AG28" s="720"/>
      <c r="AH28" s="720"/>
      <c r="AI28" s="720"/>
      <c r="AJ28" s="720"/>
      <c r="AK28" s="720"/>
      <c r="AL28" s="718"/>
      <c r="AM28" s="719"/>
      <c r="AN28" s="719"/>
      <c r="AO28" s="719"/>
      <c r="AP28" s="720"/>
      <c r="AQ28" s="720"/>
      <c r="AR28" s="720"/>
      <c r="AS28" s="720"/>
      <c r="AT28" s="720"/>
      <c r="AU28" s="720"/>
      <c r="AV28" s="720"/>
      <c r="AW28" s="720"/>
      <c r="AX28" s="720"/>
      <c r="AY28" s="720"/>
      <c r="AZ28" s="720"/>
      <c r="BA28" s="720"/>
    </row>
    <row r="29" spans="1:53">
      <c r="A29" s="719"/>
      <c r="B29" s="719"/>
      <c r="C29" s="720"/>
      <c r="D29" s="720"/>
      <c r="E29" s="720"/>
      <c r="F29" s="720"/>
      <c r="G29" s="720"/>
      <c r="H29" s="720"/>
      <c r="I29" s="720"/>
      <c r="J29" s="720"/>
      <c r="K29" s="720"/>
      <c r="L29" s="720"/>
      <c r="M29" s="720"/>
      <c r="N29" s="720"/>
      <c r="O29" s="720"/>
      <c r="P29" s="720"/>
      <c r="Q29" s="720"/>
      <c r="R29" s="720"/>
      <c r="S29" s="720"/>
      <c r="T29" s="720"/>
      <c r="U29" s="720"/>
      <c r="V29" s="720"/>
      <c r="W29" s="720"/>
      <c r="X29" s="720"/>
      <c r="Y29" s="720"/>
      <c r="Z29" s="720"/>
      <c r="AA29" s="720"/>
      <c r="AB29" s="720"/>
      <c r="AC29" s="720"/>
      <c r="AD29" s="720"/>
      <c r="AE29" s="720"/>
      <c r="AF29" s="720"/>
      <c r="AG29" s="720"/>
      <c r="AH29" s="720"/>
      <c r="AI29" s="720"/>
      <c r="AJ29" s="720"/>
      <c r="AK29" s="720"/>
      <c r="AL29" s="718"/>
      <c r="AM29" s="719"/>
      <c r="AN29" s="719"/>
      <c r="AO29" s="719"/>
      <c r="AP29" s="720"/>
      <c r="AQ29" s="720"/>
      <c r="AR29" s="720"/>
      <c r="AS29" s="720"/>
      <c r="AT29" s="720"/>
      <c r="AU29" s="720"/>
      <c r="AV29" s="720"/>
      <c r="AW29" s="720"/>
      <c r="AX29" s="720"/>
      <c r="AY29" s="720"/>
      <c r="AZ29" s="720"/>
      <c r="BA29" s="720"/>
    </row>
    <row r="30" spans="1:53">
      <c r="A30" s="719"/>
      <c r="B30" s="719"/>
      <c r="C30" s="720"/>
      <c r="D30" s="720"/>
      <c r="E30" s="720"/>
      <c r="F30" s="720"/>
      <c r="G30" s="720"/>
      <c r="H30" s="720"/>
      <c r="I30" s="720"/>
      <c r="J30" s="720"/>
      <c r="K30" s="720"/>
      <c r="L30" s="720"/>
      <c r="M30" s="720"/>
      <c r="N30" s="720"/>
      <c r="O30" s="720"/>
      <c r="P30" s="720"/>
      <c r="Q30" s="720"/>
      <c r="R30" s="720"/>
      <c r="S30" s="720"/>
      <c r="T30" s="720"/>
      <c r="U30" s="720"/>
      <c r="V30" s="720"/>
      <c r="W30" s="720"/>
      <c r="X30" s="720"/>
      <c r="Y30" s="720"/>
      <c r="Z30" s="720"/>
      <c r="AA30" s="720"/>
      <c r="AB30" s="720"/>
      <c r="AC30" s="720"/>
      <c r="AD30" s="720"/>
      <c r="AE30" s="720"/>
      <c r="AF30" s="720"/>
      <c r="AG30" s="720"/>
      <c r="AH30" s="720"/>
      <c r="AI30" s="720"/>
      <c r="AJ30" s="720"/>
      <c r="AK30" s="720"/>
      <c r="AL30" s="719"/>
      <c r="AM30" s="719"/>
      <c r="AN30" s="719"/>
      <c r="AO30" s="719"/>
      <c r="AP30" s="720"/>
      <c r="AQ30" s="720"/>
      <c r="AR30" s="720"/>
      <c r="AS30" s="720"/>
      <c r="AT30" s="720"/>
      <c r="AU30" s="720"/>
      <c r="AV30" s="720"/>
      <c r="AW30" s="720"/>
      <c r="AX30" s="720"/>
      <c r="AY30" s="720"/>
      <c r="AZ30" s="720"/>
      <c r="BA30" s="720"/>
    </row>
    <row r="31" spans="1:53">
      <c r="A31" s="719"/>
      <c r="B31" s="719"/>
      <c r="C31" s="720"/>
      <c r="D31" s="720"/>
      <c r="E31" s="720"/>
      <c r="F31" s="720"/>
      <c r="G31" s="720"/>
      <c r="H31" s="720"/>
      <c r="I31" s="720"/>
      <c r="J31" s="720"/>
      <c r="K31" s="720"/>
      <c r="L31" s="720"/>
      <c r="M31" s="720"/>
      <c r="N31" s="720"/>
      <c r="O31" s="720"/>
      <c r="P31" s="720"/>
      <c r="Q31" s="720"/>
      <c r="R31" s="720"/>
      <c r="S31" s="720"/>
      <c r="T31" s="720"/>
      <c r="U31" s="720"/>
      <c r="V31" s="720"/>
      <c r="W31" s="720"/>
      <c r="X31" s="720"/>
      <c r="Y31" s="720"/>
      <c r="Z31" s="720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19"/>
      <c r="AM31" s="719"/>
      <c r="AN31" s="719"/>
      <c r="AO31" s="719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</row>
    <row r="32" spans="1:53">
      <c r="A32" s="719"/>
      <c r="B32" s="719"/>
      <c r="C32" s="720"/>
      <c r="D32" s="720"/>
      <c r="E32" s="720"/>
      <c r="F32" s="720"/>
      <c r="G32" s="720"/>
      <c r="H32" s="720"/>
      <c r="I32" s="720"/>
      <c r="J32" s="720"/>
      <c r="K32" s="720"/>
      <c r="L32" s="720"/>
      <c r="M32" s="720"/>
      <c r="N32" s="720"/>
      <c r="O32" s="720"/>
      <c r="P32" s="720"/>
      <c r="Q32" s="720"/>
      <c r="R32" s="720"/>
      <c r="S32" s="720"/>
      <c r="T32" s="720"/>
      <c r="U32" s="720"/>
      <c r="V32" s="720"/>
      <c r="W32" s="720"/>
      <c r="X32" s="720"/>
      <c r="Y32" s="720"/>
      <c r="Z32" s="720"/>
      <c r="AA32" s="720"/>
      <c r="AB32" s="720"/>
      <c r="AC32" s="720"/>
      <c r="AD32" s="720"/>
      <c r="AE32" s="720"/>
      <c r="AF32" s="720"/>
      <c r="AG32" s="720"/>
      <c r="AH32" s="720"/>
      <c r="AI32" s="720"/>
      <c r="AJ32" s="720"/>
      <c r="AK32" s="720"/>
      <c r="AL32" s="719"/>
      <c r="AM32" s="719"/>
      <c r="AN32" s="719"/>
      <c r="AO32" s="719"/>
      <c r="AP32" s="720"/>
      <c r="AQ32" s="720"/>
      <c r="AR32" s="720"/>
      <c r="AS32" s="720"/>
      <c r="AT32" s="720"/>
      <c r="AU32" s="720"/>
      <c r="AV32" s="720"/>
      <c r="AW32" s="720"/>
      <c r="AX32" s="720"/>
      <c r="AY32" s="720"/>
      <c r="AZ32" s="720"/>
      <c r="BA32" s="720"/>
    </row>
    <row r="33" spans="1:53">
      <c r="A33" s="719"/>
      <c r="B33" s="719"/>
      <c r="C33" s="720"/>
      <c r="D33" s="720"/>
      <c r="E33" s="720"/>
      <c r="F33" s="720"/>
      <c r="G33" s="720"/>
      <c r="H33" s="720"/>
      <c r="I33" s="720"/>
      <c r="J33" s="720"/>
      <c r="K33" s="720"/>
      <c r="L33" s="720"/>
      <c r="M33" s="720"/>
      <c r="N33" s="720"/>
      <c r="O33" s="720"/>
      <c r="P33" s="720"/>
      <c r="Q33" s="720"/>
      <c r="R33" s="720"/>
      <c r="S33" s="720"/>
      <c r="T33" s="720"/>
      <c r="U33" s="720"/>
      <c r="V33" s="720"/>
      <c r="W33" s="720"/>
      <c r="X33" s="720"/>
      <c r="Y33" s="720"/>
      <c r="Z33" s="720"/>
      <c r="AA33" s="720"/>
      <c r="AB33" s="720"/>
      <c r="AC33" s="720"/>
      <c r="AD33" s="720"/>
      <c r="AE33" s="720"/>
      <c r="AF33" s="720"/>
      <c r="AG33" s="720"/>
      <c r="AH33" s="720"/>
      <c r="AI33" s="720"/>
      <c r="AJ33" s="720"/>
      <c r="AK33" s="720"/>
      <c r="AL33" s="719"/>
      <c r="AM33" s="719"/>
      <c r="AN33" s="719"/>
      <c r="AO33" s="719"/>
      <c r="AP33" s="720"/>
      <c r="AQ33" s="720"/>
      <c r="AR33" s="720"/>
      <c r="AS33" s="720"/>
      <c r="AT33" s="720"/>
      <c r="AU33" s="720"/>
      <c r="AV33" s="720"/>
      <c r="AW33" s="720"/>
      <c r="AX33" s="720"/>
      <c r="AY33" s="720"/>
      <c r="AZ33" s="720"/>
      <c r="BA33" s="720"/>
    </row>
    <row r="34" spans="1:53">
      <c r="A34" s="719"/>
      <c r="B34" s="719"/>
      <c r="C34" s="720"/>
      <c r="D34" s="720"/>
      <c r="E34" s="720"/>
      <c r="F34" s="720"/>
      <c r="G34" s="720"/>
      <c r="H34" s="720"/>
      <c r="I34" s="720"/>
      <c r="J34" s="720"/>
      <c r="K34" s="720"/>
      <c r="L34" s="720"/>
      <c r="M34" s="720"/>
      <c r="N34" s="720"/>
      <c r="O34" s="720"/>
      <c r="P34" s="720"/>
      <c r="Q34" s="720"/>
      <c r="R34" s="720"/>
      <c r="S34" s="720"/>
      <c r="T34" s="720"/>
      <c r="U34" s="720"/>
      <c r="V34" s="720"/>
      <c r="W34" s="720"/>
      <c r="X34" s="720"/>
      <c r="Y34" s="720"/>
      <c r="Z34" s="720"/>
      <c r="AA34" s="720"/>
      <c r="AB34" s="720"/>
      <c r="AC34" s="720"/>
      <c r="AD34" s="720"/>
      <c r="AE34" s="720"/>
      <c r="AF34" s="720"/>
      <c r="AG34" s="720"/>
      <c r="AH34" s="720"/>
      <c r="AI34" s="720"/>
      <c r="AJ34" s="720"/>
      <c r="AK34" s="720"/>
      <c r="AL34" s="719"/>
      <c r="AM34" s="719"/>
      <c r="AN34" s="719"/>
      <c r="AO34" s="719"/>
      <c r="AP34" s="720"/>
      <c r="AQ34" s="720"/>
      <c r="AR34" s="720"/>
      <c r="AS34" s="720"/>
      <c r="AT34" s="720"/>
      <c r="AU34" s="720"/>
      <c r="AV34" s="720"/>
      <c r="AW34" s="720"/>
      <c r="AX34" s="720"/>
      <c r="AY34" s="720"/>
      <c r="AZ34" s="720"/>
      <c r="BA34" s="720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5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4" sqref="A4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72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72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化学物質データ申請確認画面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72" ht="5.9" customHeight="1"/>
    <row r="5" spans="1:72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40"/>
      <c r="B7" s="589"/>
      <c r="C7" s="594" t="s">
        <v>376</v>
      </c>
      <c r="D7" s="590"/>
      <c r="E7" s="591"/>
      <c r="F7" s="591"/>
      <c r="G7" s="591"/>
      <c r="H7" s="585"/>
      <c r="I7" s="585"/>
      <c r="J7" s="813"/>
      <c r="K7" s="813"/>
      <c r="L7" s="813"/>
      <c r="M7" s="813"/>
      <c r="N7" s="588"/>
      <c r="O7" s="587"/>
      <c r="P7" s="588"/>
      <c r="Q7" s="585"/>
      <c r="R7" s="585"/>
      <c r="S7" s="585"/>
      <c r="T7" s="586"/>
      <c r="U7" s="586"/>
      <c r="V7" s="586"/>
      <c r="W7" s="586"/>
      <c r="X7" s="586"/>
      <c r="Y7" s="587"/>
      <c r="Z7" s="586"/>
      <c r="AA7" s="585"/>
      <c r="AB7" s="587"/>
      <c r="AC7" s="586"/>
      <c r="AD7" s="585"/>
      <c r="AE7" s="587"/>
      <c r="AF7" s="585"/>
      <c r="AG7" s="585"/>
      <c r="AH7" s="587"/>
      <c r="AI7" s="585"/>
      <c r="AJ7" s="585"/>
      <c r="AK7" s="592"/>
      <c r="AL7" s="585"/>
      <c r="AM7" s="585"/>
      <c r="AN7" s="585"/>
      <c r="AO7" s="585"/>
      <c r="AP7" s="585"/>
      <c r="AQ7" s="585"/>
      <c r="AR7" s="585"/>
      <c r="AS7" s="585"/>
      <c r="AT7" s="591"/>
      <c r="AU7" s="591"/>
      <c r="AV7" s="591"/>
      <c r="AW7" s="591"/>
      <c r="AX7" s="591"/>
      <c r="AY7" s="591"/>
      <c r="AZ7" s="593"/>
      <c r="BA7" s="569"/>
      <c r="BB7" s="551"/>
      <c r="BC7" s="552"/>
      <c r="BD7" s="538"/>
      <c r="BE7" s="576"/>
      <c r="BF7" s="789" t="s">
        <v>300</v>
      </c>
      <c r="BG7" s="790"/>
      <c r="BH7" s="791"/>
      <c r="BI7" s="596"/>
      <c r="BJ7" s="596"/>
      <c r="BK7" s="596"/>
      <c r="BL7" s="596"/>
      <c r="BM7" s="597"/>
      <c r="BN7" s="597"/>
      <c r="BO7" s="597"/>
      <c r="BP7" s="597"/>
      <c r="BQ7" s="597"/>
      <c r="BR7" s="597"/>
      <c r="BS7" s="596"/>
      <c r="BT7" s="596"/>
    </row>
    <row r="8" spans="1:72" ht="12.5" customHeight="1">
      <c r="A8" s="540"/>
      <c r="B8" s="566"/>
      <c r="C8" s="575"/>
      <c r="D8" s="576"/>
      <c r="E8" s="568"/>
      <c r="F8" s="568"/>
      <c r="G8" s="568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579"/>
      <c r="V8" s="579"/>
      <c r="W8" s="579"/>
      <c r="X8" s="579"/>
      <c r="Y8" s="579"/>
      <c r="Z8" s="579"/>
      <c r="AA8" s="579"/>
      <c r="AB8" s="579"/>
      <c r="AC8" s="579"/>
      <c r="AD8" s="579"/>
      <c r="AE8" s="579"/>
      <c r="AF8" s="579"/>
      <c r="AG8" s="579"/>
      <c r="AH8" s="579"/>
      <c r="AI8" s="579"/>
      <c r="AJ8" s="579"/>
      <c r="AK8" s="579"/>
      <c r="AL8" s="579"/>
      <c r="AM8" s="579"/>
      <c r="AN8" s="579"/>
      <c r="AO8" s="579"/>
      <c r="AP8" s="579"/>
      <c r="AQ8" s="579"/>
      <c r="AR8" s="579"/>
      <c r="AS8" s="581"/>
      <c r="AT8" s="577"/>
      <c r="AU8" s="577"/>
      <c r="AV8" s="577"/>
      <c r="AW8" s="577"/>
      <c r="AX8" s="577"/>
      <c r="AY8" s="577"/>
      <c r="AZ8" s="569"/>
      <c r="BA8" s="569"/>
      <c r="BB8" s="551"/>
      <c r="BC8" s="552"/>
      <c r="BD8" s="538"/>
      <c r="BE8" s="596"/>
      <c r="BF8" s="680" t="s">
        <v>405</v>
      </c>
      <c r="BG8" s="681"/>
      <c r="BH8" s="682"/>
      <c r="BI8" s="682"/>
      <c r="BJ8" s="682"/>
      <c r="BK8" s="682"/>
      <c r="BL8" s="682"/>
      <c r="BM8" s="683"/>
      <c r="BN8" s="683"/>
      <c r="BO8" s="683"/>
      <c r="BP8" s="683"/>
      <c r="BQ8" s="683"/>
      <c r="BR8" s="683"/>
      <c r="BS8" s="683"/>
      <c r="BT8" s="684"/>
    </row>
    <row r="9" spans="1:72" ht="24" customHeight="1">
      <c r="A9" s="540"/>
      <c r="B9" s="619"/>
      <c r="C9" s="559"/>
      <c r="D9" s="559"/>
      <c r="E9" s="559"/>
      <c r="F9" s="559"/>
      <c r="G9" s="559"/>
      <c r="H9" s="559"/>
      <c r="I9" s="559"/>
      <c r="J9" s="559"/>
      <c r="K9" s="559"/>
      <c r="L9" s="559"/>
      <c r="M9" s="559"/>
      <c r="N9" s="559"/>
      <c r="O9" s="559"/>
      <c r="P9" s="559"/>
      <c r="Q9" s="559"/>
      <c r="R9" s="559"/>
      <c r="S9" s="559"/>
      <c r="T9" s="560"/>
      <c r="U9" s="560"/>
      <c r="V9" s="560"/>
      <c r="W9" s="653" t="s">
        <v>420</v>
      </c>
      <c r="X9" s="558"/>
      <c r="Y9" s="558"/>
      <c r="Z9" s="560"/>
      <c r="AA9" s="560"/>
      <c r="AB9" s="562"/>
      <c r="AC9" s="560"/>
      <c r="AD9" s="563"/>
      <c r="AE9" s="563"/>
      <c r="AF9" s="563"/>
      <c r="AG9" s="563"/>
      <c r="AH9" s="563"/>
      <c r="AI9" s="559"/>
      <c r="AJ9" s="560"/>
      <c r="AK9" s="560"/>
      <c r="AL9" s="560"/>
      <c r="AM9" s="560"/>
      <c r="AN9" s="564"/>
      <c r="AO9" s="561"/>
      <c r="AP9" s="561"/>
      <c r="AQ9" s="560"/>
      <c r="AR9" s="560"/>
      <c r="AS9" s="560"/>
      <c r="AT9" s="614"/>
      <c r="AU9" s="615"/>
      <c r="AV9" s="616"/>
      <c r="AW9" s="616"/>
      <c r="AX9" s="616"/>
      <c r="AY9" s="617"/>
      <c r="AZ9" s="618"/>
      <c r="BA9" s="543"/>
      <c r="BB9" s="536"/>
      <c r="BC9" s="537"/>
      <c r="BD9" s="538"/>
      <c r="BE9" s="576"/>
      <c r="BF9" s="685"/>
      <c r="BG9" s="576" t="s">
        <v>406</v>
      </c>
      <c r="BH9" s="576"/>
      <c r="BI9" s="576"/>
      <c r="BJ9" s="597"/>
      <c r="BK9" s="597"/>
      <c r="BL9" s="597"/>
      <c r="BM9" s="596"/>
      <c r="BN9" s="596"/>
      <c r="BO9" s="596"/>
      <c r="BP9" s="596"/>
      <c r="BQ9" s="596"/>
      <c r="BR9" s="596"/>
      <c r="BS9" s="596"/>
      <c r="BT9" s="686"/>
    </row>
    <row r="10" spans="1:72" ht="12" customHeight="1">
      <c r="A10" s="540"/>
      <c r="B10" s="548"/>
      <c r="C10" s="806" t="s">
        <v>419</v>
      </c>
      <c r="D10" s="807"/>
      <c r="E10" s="807"/>
      <c r="F10" s="807"/>
      <c r="G10" s="807"/>
      <c r="H10" s="807"/>
      <c r="I10" s="807"/>
      <c r="J10" s="544"/>
      <c r="K10" s="545"/>
      <c r="L10" s="544"/>
      <c r="M10" s="550"/>
      <c r="N10" s="550"/>
      <c r="O10" s="547"/>
      <c r="P10" s="550"/>
      <c r="Q10" s="547"/>
      <c r="R10" s="550"/>
      <c r="S10" s="539"/>
      <c r="T10" s="538"/>
      <c r="U10" s="538"/>
      <c r="V10" s="538"/>
      <c r="W10" s="538"/>
      <c r="X10" s="538"/>
      <c r="Y10" s="549"/>
      <c r="Z10" s="545"/>
      <c r="AA10" s="544"/>
      <c r="AB10" s="545"/>
      <c r="AC10" s="544"/>
      <c r="AD10" s="550"/>
      <c r="AE10" s="550"/>
      <c r="AF10" s="547"/>
      <c r="AG10" s="550"/>
      <c r="AH10" s="550"/>
      <c r="AI10" s="546"/>
      <c r="AJ10" s="550"/>
      <c r="AK10" s="547"/>
      <c r="AL10" s="538"/>
      <c r="AM10" s="538"/>
      <c r="AN10" s="538"/>
      <c r="AO10" s="538"/>
      <c r="AP10" s="538"/>
      <c r="AQ10" s="538"/>
      <c r="AR10" s="538"/>
      <c r="AS10" s="544"/>
      <c r="AT10" s="546"/>
      <c r="AU10" s="544"/>
      <c r="AV10" s="547"/>
      <c r="AW10" s="547"/>
      <c r="AX10" s="547"/>
      <c r="AY10" s="542"/>
      <c r="AZ10" s="543"/>
      <c r="BA10" s="543"/>
      <c r="BB10" s="536"/>
      <c r="BC10" s="537"/>
      <c r="BD10" s="538"/>
      <c r="BE10" s="596"/>
      <c r="BF10" s="687"/>
      <c r="BG10" s="576"/>
      <c r="BH10" s="576" t="s">
        <v>421</v>
      </c>
      <c r="BI10" s="688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686"/>
    </row>
    <row r="11" spans="1:72" ht="12.5" customHeight="1">
      <c r="A11" s="540"/>
      <c r="B11" s="541"/>
      <c r="C11" s="808"/>
      <c r="D11" s="808"/>
      <c r="E11" s="808"/>
      <c r="F11" s="808"/>
      <c r="G11" s="808"/>
      <c r="H11" s="808"/>
      <c r="I11" s="808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687"/>
      <c r="BG11" s="576"/>
      <c r="BH11" s="576" t="s">
        <v>422</v>
      </c>
      <c r="BI11" s="688"/>
      <c r="BJ11" s="576"/>
      <c r="BK11" s="597"/>
      <c r="BL11" s="597"/>
      <c r="BM11" s="596"/>
      <c r="BN11" s="596"/>
      <c r="BO11" s="596"/>
      <c r="BP11" s="596"/>
      <c r="BQ11" s="596"/>
      <c r="BR11" s="596"/>
      <c r="BS11" s="596"/>
      <c r="BT11" s="686"/>
    </row>
    <row r="12" spans="1:72" ht="12.5" customHeight="1">
      <c r="A12" s="540"/>
      <c r="B12" s="566"/>
      <c r="C12" s="572"/>
      <c r="D12" s="568"/>
      <c r="E12" s="568"/>
      <c r="F12" s="565"/>
      <c r="G12" s="565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579"/>
      <c r="V12" s="579"/>
      <c r="W12" s="579"/>
      <c r="X12" s="579"/>
      <c r="Y12" s="579"/>
      <c r="Z12" s="579"/>
      <c r="AA12" s="579"/>
      <c r="AB12" s="579"/>
      <c r="AC12" s="579"/>
      <c r="AD12" s="579"/>
      <c r="AE12" s="579"/>
      <c r="AF12" s="579"/>
      <c r="AG12" s="579"/>
      <c r="AH12" s="579"/>
      <c r="AI12" s="579"/>
      <c r="AJ12" s="579"/>
      <c r="AK12" s="579"/>
      <c r="AL12" s="579"/>
      <c r="AM12" s="579"/>
      <c r="AN12" s="579"/>
      <c r="AO12" s="579"/>
      <c r="AP12" s="579"/>
      <c r="AQ12" s="579"/>
      <c r="AR12" s="579"/>
      <c r="AS12" s="580"/>
      <c r="AT12" s="571"/>
      <c r="AU12" s="565"/>
      <c r="AV12" s="568"/>
      <c r="AW12" s="568"/>
      <c r="AX12" s="568"/>
      <c r="AY12" s="565"/>
      <c r="AZ12" s="569"/>
      <c r="BA12" s="569"/>
      <c r="BB12" s="536"/>
      <c r="BC12" s="537"/>
      <c r="BD12" s="538"/>
      <c r="BE12" s="596"/>
      <c r="BF12" s="689"/>
      <c r="BG12" s="596"/>
      <c r="BH12" s="598"/>
      <c r="BI12" s="596"/>
      <c r="BJ12" s="596"/>
      <c r="BK12" s="596"/>
      <c r="BL12" s="596"/>
      <c r="BM12" s="596"/>
      <c r="BN12" s="596"/>
      <c r="BO12" s="596"/>
      <c r="BP12" s="596"/>
      <c r="BQ12" s="596"/>
      <c r="BR12" s="596"/>
      <c r="BS12" s="596"/>
      <c r="BT12" s="686"/>
    </row>
    <row r="13" spans="1:72" ht="12.5" customHeight="1">
      <c r="A13" s="540"/>
      <c r="B13" s="566"/>
      <c r="C13" s="809" t="s">
        <v>439</v>
      </c>
      <c r="D13" s="810"/>
      <c r="E13" s="810"/>
      <c r="F13" s="810"/>
      <c r="G13" s="810"/>
      <c r="H13" s="810"/>
      <c r="I13" s="810"/>
      <c r="J13" s="810"/>
      <c r="K13" s="810"/>
      <c r="L13" s="810"/>
      <c r="M13" s="810"/>
      <c r="N13" s="810"/>
      <c r="O13" s="810"/>
      <c r="P13" s="810"/>
      <c r="Q13" s="810"/>
      <c r="R13" s="810"/>
      <c r="S13" s="810"/>
      <c r="T13" s="810"/>
      <c r="U13" s="810"/>
      <c r="V13" s="810"/>
      <c r="W13" s="810"/>
      <c r="X13" s="810"/>
      <c r="Y13" s="810"/>
      <c r="Z13" s="810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0"/>
      <c r="AM13" s="810"/>
      <c r="AN13" s="810"/>
      <c r="AO13" s="810"/>
      <c r="AP13" s="810"/>
      <c r="AQ13" s="810"/>
      <c r="AR13" s="810"/>
      <c r="AS13" s="810"/>
      <c r="AT13" s="810"/>
      <c r="AU13" s="810"/>
      <c r="AV13" s="810"/>
      <c r="AW13" s="810"/>
      <c r="AX13" s="810"/>
      <c r="AY13" s="810"/>
      <c r="AZ13" s="569"/>
      <c r="BA13" s="569"/>
      <c r="BB13" s="536"/>
      <c r="BC13" s="537"/>
      <c r="BD13" s="538"/>
      <c r="BE13" s="598"/>
      <c r="BF13" s="687"/>
      <c r="BG13" s="596"/>
      <c r="BH13" s="596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686"/>
    </row>
    <row r="14" spans="1:72" ht="12.5" customHeight="1">
      <c r="A14" s="540"/>
      <c r="B14" s="566"/>
      <c r="C14" s="810"/>
      <c r="D14" s="810"/>
      <c r="E14" s="810"/>
      <c r="F14" s="810"/>
      <c r="G14" s="810"/>
      <c r="H14" s="810"/>
      <c r="I14" s="810"/>
      <c r="J14" s="810"/>
      <c r="K14" s="810"/>
      <c r="L14" s="810"/>
      <c r="M14" s="810"/>
      <c r="N14" s="810"/>
      <c r="O14" s="810"/>
      <c r="P14" s="810"/>
      <c r="Q14" s="810"/>
      <c r="R14" s="810"/>
      <c r="S14" s="810"/>
      <c r="T14" s="810"/>
      <c r="U14" s="810"/>
      <c r="V14" s="810"/>
      <c r="W14" s="810"/>
      <c r="X14" s="810"/>
      <c r="Y14" s="810"/>
      <c r="Z14" s="810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569"/>
      <c r="BA14" s="569"/>
      <c r="BB14" s="536"/>
      <c r="BC14" s="537"/>
      <c r="BD14" s="538"/>
      <c r="BE14" s="596"/>
      <c r="BF14" s="689"/>
      <c r="BG14" s="576"/>
      <c r="BH14" s="57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686"/>
    </row>
    <row r="15" spans="1:72" ht="12.5" customHeight="1">
      <c r="A15" s="540"/>
      <c r="B15" s="566"/>
      <c r="C15" s="810"/>
      <c r="D15" s="810"/>
      <c r="E15" s="810"/>
      <c r="F15" s="810"/>
      <c r="G15" s="810"/>
      <c r="H15" s="810"/>
      <c r="I15" s="810"/>
      <c r="J15" s="810"/>
      <c r="K15" s="810"/>
      <c r="L15" s="810"/>
      <c r="M15" s="810"/>
      <c r="N15" s="810"/>
      <c r="O15" s="810"/>
      <c r="P15" s="810"/>
      <c r="Q15" s="810"/>
      <c r="R15" s="810"/>
      <c r="S15" s="810"/>
      <c r="T15" s="810"/>
      <c r="U15" s="810"/>
      <c r="V15" s="810"/>
      <c r="W15" s="810"/>
      <c r="X15" s="810"/>
      <c r="Y15" s="810"/>
      <c r="Z15" s="810"/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569"/>
      <c r="BA15" s="569"/>
      <c r="BB15" s="536"/>
      <c r="BC15" s="537"/>
      <c r="BD15" s="538"/>
      <c r="BE15" s="596"/>
      <c r="BF15" s="689"/>
      <c r="BG15" s="576"/>
      <c r="BH15" s="576"/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686"/>
    </row>
    <row r="16" spans="1:72" ht="12.5" customHeight="1">
      <c r="A16" s="540"/>
      <c r="B16" s="566"/>
      <c r="C16" s="572"/>
      <c r="D16" s="568"/>
      <c r="E16" s="568"/>
      <c r="F16" s="565"/>
      <c r="G16" s="565"/>
      <c r="H16" s="579"/>
      <c r="I16" s="579"/>
      <c r="J16" s="579"/>
      <c r="K16" s="579"/>
      <c r="L16" s="579"/>
      <c r="M16" s="579"/>
      <c r="N16" s="579"/>
      <c r="O16" s="579"/>
      <c r="P16" s="579"/>
      <c r="Q16" s="579"/>
      <c r="R16" s="579"/>
      <c r="S16" s="579"/>
      <c r="T16" s="579"/>
      <c r="U16" s="579"/>
      <c r="V16" s="579"/>
      <c r="W16" s="579"/>
      <c r="X16" s="579"/>
      <c r="Y16" s="579"/>
      <c r="Z16" s="579"/>
      <c r="AA16" s="579"/>
      <c r="AB16" s="579"/>
      <c r="AC16" s="579"/>
      <c r="AD16" s="579"/>
      <c r="AE16" s="579"/>
      <c r="AF16" s="579"/>
      <c r="AG16" s="579"/>
      <c r="AH16" s="579"/>
      <c r="AI16" s="579"/>
      <c r="AJ16" s="579"/>
      <c r="AK16" s="579"/>
      <c r="AL16" s="579"/>
      <c r="AM16" s="579"/>
      <c r="AN16" s="579"/>
      <c r="AO16" s="579"/>
      <c r="AP16" s="579"/>
      <c r="AQ16" s="579"/>
      <c r="AR16" s="579"/>
      <c r="AS16" s="580"/>
      <c r="AT16" s="571"/>
      <c r="AU16" s="565"/>
      <c r="AV16" s="568"/>
      <c r="AW16" s="568"/>
      <c r="AX16" s="568"/>
      <c r="AY16" s="565"/>
      <c r="AZ16" s="569"/>
      <c r="BA16" s="569"/>
      <c r="BB16" s="536"/>
      <c r="BC16" s="537"/>
      <c r="BD16" s="538"/>
      <c r="BE16" s="596"/>
      <c r="BF16" s="690"/>
      <c r="BG16" s="691"/>
      <c r="BH16" s="691"/>
      <c r="BI16" s="692"/>
      <c r="BJ16" s="692"/>
      <c r="BK16" s="692"/>
      <c r="BL16" s="692"/>
      <c r="BM16" s="692"/>
      <c r="BN16" s="692"/>
      <c r="BO16" s="692"/>
      <c r="BP16" s="692"/>
      <c r="BQ16" s="692"/>
      <c r="BR16" s="692"/>
      <c r="BS16" s="692"/>
      <c r="BT16" s="693"/>
    </row>
    <row r="17" spans="1:72" ht="12.5" customHeight="1">
      <c r="A17" s="540"/>
      <c r="B17" s="566"/>
      <c r="C17" s="565"/>
      <c r="D17" s="568"/>
      <c r="E17" s="765" t="s">
        <v>426</v>
      </c>
      <c r="F17" s="766"/>
      <c r="G17" s="766"/>
      <c r="H17" s="766"/>
      <c r="I17" s="766"/>
      <c r="J17" s="766"/>
      <c r="K17" s="766"/>
      <c r="L17" s="766"/>
      <c r="M17" s="766"/>
      <c r="N17" s="766"/>
      <c r="O17" s="767"/>
      <c r="P17" s="765" t="s">
        <v>427</v>
      </c>
      <c r="Q17" s="766"/>
      <c r="R17" s="766"/>
      <c r="S17" s="766"/>
      <c r="T17" s="766"/>
      <c r="U17" s="766"/>
      <c r="V17" s="766"/>
      <c r="W17" s="766"/>
      <c r="X17" s="766"/>
      <c r="Y17" s="766"/>
      <c r="Z17" s="766"/>
      <c r="AA17" s="767"/>
      <c r="AB17" s="765" t="s">
        <v>428</v>
      </c>
      <c r="AC17" s="766"/>
      <c r="AD17" s="766"/>
      <c r="AE17" s="766"/>
      <c r="AF17" s="766"/>
      <c r="AG17" s="766"/>
      <c r="AH17" s="766"/>
      <c r="AI17" s="766"/>
      <c r="AJ17" s="766"/>
      <c r="AK17" s="766"/>
      <c r="AL17" s="766"/>
      <c r="AM17" s="766"/>
      <c r="AN17" s="766"/>
      <c r="AO17" s="766"/>
      <c r="AP17" s="766"/>
      <c r="AQ17" s="766"/>
      <c r="AR17" s="766"/>
      <c r="AS17" s="766"/>
      <c r="AT17" s="766"/>
      <c r="AU17" s="766"/>
      <c r="AV17" s="766"/>
      <c r="AW17" s="767"/>
      <c r="AX17" s="568"/>
      <c r="AY17" s="565"/>
      <c r="AZ17" s="569"/>
      <c r="BA17" s="569"/>
      <c r="BB17" s="536"/>
      <c r="BC17" s="537"/>
      <c r="BD17" s="538"/>
      <c r="BE17" s="596"/>
      <c r="BF17" s="596"/>
      <c r="BG17" s="596"/>
      <c r="BH17" s="596"/>
      <c r="BI17" s="596"/>
      <c r="BJ17" s="596"/>
      <c r="BK17" s="596"/>
      <c r="BL17" s="596"/>
      <c r="BM17" s="596"/>
      <c r="BN17" s="596"/>
      <c r="BO17" s="596"/>
      <c r="BP17" s="596"/>
      <c r="BQ17" s="596"/>
      <c r="BR17" s="596"/>
      <c r="BS17" s="596"/>
      <c r="BT17" s="596"/>
    </row>
    <row r="18" spans="1:72" ht="21" customHeight="1">
      <c r="A18" s="540"/>
      <c r="B18" s="566"/>
      <c r="C18" s="565"/>
      <c r="D18" s="565"/>
      <c r="E18" s="768" t="s">
        <v>429</v>
      </c>
      <c r="F18" s="769"/>
      <c r="G18" s="769"/>
      <c r="H18" s="769"/>
      <c r="I18" s="769"/>
      <c r="J18" s="769"/>
      <c r="K18" s="769"/>
      <c r="L18" s="769"/>
      <c r="M18" s="769"/>
      <c r="N18" s="769"/>
      <c r="O18" s="770"/>
      <c r="P18" s="768" t="s">
        <v>565</v>
      </c>
      <c r="Q18" s="769"/>
      <c r="R18" s="769"/>
      <c r="S18" s="769"/>
      <c r="T18" s="769"/>
      <c r="U18" s="769"/>
      <c r="V18" s="769"/>
      <c r="W18" s="769"/>
      <c r="X18" s="769"/>
      <c r="Y18" s="769"/>
      <c r="Z18" s="769"/>
      <c r="AA18" s="770"/>
      <c r="AB18" s="768" t="s">
        <v>430</v>
      </c>
      <c r="AC18" s="769"/>
      <c r="AD18" s="769"/>
      <c r="AE18" s="769"/>
      <c r="AF18" s="769"/>
      <c r="AG18" s="769"/>
      <c r="AH18" s="769"/>
      <c r="AI18" s="769"/>
      <c r="AJ18" s="769"/>
      <c r="AK18" s="769"/>
      <c r="AL18" s="769"/>
      <c r="AM18" s="769"/>
      <c r="AN18" s="769"/>
      <c r="AO18" s="769"/>
      <c r="AP18" s="769"/>
      <c r="AQ18" s="769"/>
      <c r="AR18" s="769"/>
      <c r="AS18" s="769"/>
      <c r="AT18" s="769"/>
      <c r="AU18" s="769"/>
      <c r="AV18" s="769"/>
      <c r="AW18" s="770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33.5" customHeight="1">
      <c r="A19" s="540"/>
      <c r="B19" s="566"/>
      <c r="C19" s="565"/>
      <c r="D19" s="565"/>
      <c r="E19" s="768" t="s">
        <v>401</v>
      </c>
      <c r="F19" s="769"/>
      <c r="G19" s="769"/>
      <c r="H19" s="769"/>
      <c r="I19" s="769"/>
      <c r="J19" s="769"/>
      <c r="K19" s="769"/>
      <c r="L19" s="769"/>
      <c r="M19" s="769"/>
      <c r="N19" s="769"/>
      <c r="O19" s="770"/>
      <c r="P19" s="771" t="s">
        <v>431</v>
      </c>
      <c r="Q19" s="772"/>
      <c r="R19" s="772"/>
      <c r="S19" s="772"/>
      <c r="T19" s="772"/>
      <c r="U19" s="772"/>
      <c r="V19" s="772"/>
      <c r="W19" s="772"/>
      <c r="X19" s="772"/>
      <c r="Y19" s="772"/>
      <c r="Z19" s="772"/>
      <c r="AA19" s="773"/>
      <c r="AB19" s="771" t="s">
        <v>432</v>
      </c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3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/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27.5" customHeight="1">
      <c r="A20" s="540"/>
      <c r="B20" s="566"/>
      <c r="C20" s="565"/>
      <c r="D20" s="565"/>
      <c r="E20" s="771" t="s">
        <v>433</v>
      </c>
      <c r="F20" s="772"/>
      <c r="G20" s="772"/>
      <c r="H20" s="772"/>
      <c r="I20" s="772"/>
      <c r="J20" s="772"/>
      <c r="K20" s="772"/>
      <c r="L20" s="772"/>
      <c r="M20" s="772"/>
      <c r="N20" s="772"/>
      <c r="O20" s="773"/>
      <c r="P20" s="768" t="s">
        <v>434</v>
      </c>
      <c r="Q20" s="769"/>
      <c r="R20" s="769"/>
      <c r="S20" s="769"/>
      <c r="T20" s="769"/>
      <c r="U20" s="769"/>
      <c r="V20" s="769"/>
      <c r="W20" s="769"/>
      <c r="X20" s="769"/>
      <c r="Y20" s="769"/>
      <c r="Z20" s="769"/>
      <c r="AA20" s="770"/>
      <c r="AB20" s="768" t="s">
        <v>435</v>
      </c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70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6" customHeight="1">
      <c r="A21" s="540"/>
      <c r="B21" s="566"/>
      <c r="C21" s="565"/>
      <c r="D21" s="565"/>
      <c r="E21" s="771" t="s">
        <v>436</v>
      </c>
      <c r="F21" s="772"/>
      <c r="G21" s="772"/>
      <c r="H21" s="772"/>
      <c r="I21" s="772"/>
      <c r="J21" s="772"/>
      <c r="K21" s="772"/>
      <c r="L21" s="772"/>
      <c r="M21" s="772"/>
      <c r="N21" s="772"/>
      <c r="O21" s="773"/>
      <c r="P21" s="768" t="s">
        <v>437</v>
      </c>
      <c r="Q21" s="769"/>
      <c r="R21" s="769"/>
      <c r="S21" s="769"/>
      <c r="T21" s="769"/>
      <c r="U21" s="769"/>
      <c r="V21" s="769"/>
      <c r="W21" s="769"/>
      <c r="X21" s="769"/>
      <c r="Y21" s="769"/>
      <c r="Z21" s="769"/>
      <c r="AA21" s="770"/>
      <c r="AB21" s="768" t="s">
        <v>438</v>
      </c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70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/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12.5" customHeight="1">
      <c r="A22" s="540"/>
      <c r="B22" s="566"/>
      <c r="C22" s="565"/>
      <c r="D22" s="565"/>
      <c r="E22" s="571"/>
      <c r="F22" s="567"/>
      <c r="G22" s="565"/>
      <c r="H22" s="579"/>
      <c r="I22" s="579"/>
      <c r="J22" s="579"/>
      <c r="K22" s="579"/>
      <c r="L22" s="579"/>
      <c r="M22" s="579"/>
      <c r="N22" s="579"/>
      <c r="O22" s="579"/>
      <c r="P22" s="579"/>
      <c r="Q22" s="579"/>
      <c r="R22" s="579"/>
      <c r="S22" s="579"/>
      <c r="T22" s="579"/>
      <c r="U22" s="579"/>
      <c r="V22" s="579"/>
      <c r="W22" s="579"/>
      <c r="X22" s="579"/>
      <c r="Y22" s="579"/>
      <c r="Z22" s="579"/>
      <c r="AA22" s="579"/>
      <c r="AB22" s="579"/>
      <c r="AC22" s="579"/>
      <c r="AD22" s="579"/>
      <c r="AE22" s="579"/>
      <c r="AF22" s="579"/>
      <c r="AG22" s="579"/>
      <c r="AH22" s="579"/>
      <c r="AI22" s="579"/>
      <c r="AJ22" s="579"/>
      <c r="AK22" s="579"/>
      <c r="AL22" s="579"/>
      <c r="AM22" s="579"/>
      <c r="AN22" s="579"/>
      <c r="AO22" s="579"/>
      <c r="AP22" s="579"/>
      <c r="AQ22" s="579"/>
      <c r="AR22" s="579"/>
      <c r="AS22" s="580"/>
      <c r="AT22" s="571"/>
      <c r="AU22" s="565"/>
      <c r="AV22" s="568"/>
      <c r="AW22" s="568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/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75"/>
      <c r="D23" s="576"/>
      <c r="E23" s="568"/>
      <c r="F23" s="568"/>
      <c r="G23" s="568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79"/>
      <c r="AT23" s="573"/>
      <c r="AU23" s="568"/>
      <c r="AV23" s="568"/>
      <c r="AW23" s="568"/>
      <c r="AX23" s="568"/>
      <c r="AY23" s="568"/>
      <c r="AZ23" s="569"/>
      <c r="BA23" s="569"/>
      <c r="BB23" s="551"/>
      <c r="BC23" s="552"/>
      <c r="BD23" s="538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5"/>
      <c r="D24" s="576"/>
      <c r="E24" s="568"/>
      <c r="F24" s="568"/>
      <c r="G24" s="568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1"/>
      <c r="AT24" s="577"/>
      <c r="AU24" s="577"/>
      <c r="AV24" s="577"/>
      <c r="AW24" s="577"/>
      <c r="AX24" s="577"/>
      <c r="AY24" s="577"/>
      <c r="AZ24" s="569"/>
      <c r="BA24" s="569"/>
      <c r="BB24" s="551"/>
      <c r="BC24" s="552"/>
      <c r="BD24" s="538"/>
      <c r="BE24" s="596"/>
      <c r="BF24" s="596"/>
      <c r="BG24" s="596"/>
      <c r="BH24" s="596"/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65"/>
      <c r="D25" s="565"/>
      <c r="E25" s="565"/>
      <c r="F25" s="565"/>
      <c r="G25" s="565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0"/>
      <c r="AT25" s="571"/>
      <c r="AU25" s="565"/>
      <c r="AV25" s="568"/>
      <c r="AW25" s="568"/>
      <c r="AX25" s="568"/>
      <c r="AY25" s="565"/>
      <c r="AZ25" s="569"/>
      <c r="BA25" s="569"/>
      <c r="BB25" s="536"/>
      <c r="BC25" s="537"/>
      <c r="BD25" s="538"/>
      <c r="BE25" s="596"/>
      <c r="BF25" s="596"/>
      <c r="BG25" s="596"/>
      <c r="BH25" s="598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70"/>
      <c r="D26" s="565"/>
      <c r="E26" s="565"/>
      <c r="F26" s="565"/>
      <c r="G26" s="565"/>
      <c r="H26" s="579"/>
      <c r="I26" s="579"/>
      <c r="J26" s="579"/>
      <c r="K26" s="579"/>
      <c r="L26" s="579"/>
      <c r="M26" s="579"/>
      <c r="N26" s="579"/>
      <c r="O26" s="579"/>
      <c r="P26" s="579"/>
      <c r="Q26" s="579"/>
      <c r="R26" s="579"/>
      <c r="S26" s="579"/>
      <c r="T26" s="579"/>
      <c r="U26" s="579"/>
      <c r="V26" s="579"/>
      <c r="W26" s="579"/>
      <c r="X26" s="579"/>
      <c r="Y26" s="579"/>
      <c r="Z26" s="579"/>
      <c r="AA26" s="579"/>
      <c r="AB26" s="579"/>
      <c r="AC26" s="579"/>
      <c r="AD26" s="579"/>
      <c r="AE26" s="579"/>
      <c r="AF26" s="579"/>
      <c r="AG26" s="579"/>
      <c r="AH26" s="579"/>
      <c r="AI26" s="579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8"/>
      <c r="BE26" s="596"/>
      <c r="BF26" s="596"/>
      <c r="BG26" s="596"/>
      <c r="BH26" s="598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568"/>
      <c r="F27" s="568"/>
      <c r="G27" s="568"/>
      <c r="H27" s="579"/>
      <c r="I27" s="579"/>
      <c r="J27" s="579"/>
      <c r="K27" s="579"/>
      <c r="L27" s="579"/>
      <c r="M27" s="579"/>
      <c r="N27" s="579"/>
      <c r="O27" s="579"/>
      <c r="P27" s="579"/>
      <c r="Q27" s="579"/>
      <c r="R27" s="579"/>
      <c r="S27" s="579"/>
      <c r="T27" s="579"/>
      <c r="U27" s="579"/>
      <c r="V27" s="579"/>
      <c r="W27" s="579"/>
      <c r="X27" s="579"/>
      <c r="Y27" s="579"/>
      <c r="Z27" s="579"/>
      <c r="AA27" s="579"/>
      <c r="AB27" s="579"/>
      <c r="AC27" s="579"/>
      <c r="AD27" s="579"/>
      <c r="AE27" s="579"/>
      <c r="AF27" s="579"/>
      <c r="AG27" s="579"/>
      <c r="AH27" s="579"/>
      <c r="AI27" s="579"/>
      <c r="AJ27" s="579"/>
      <c r="AK27" s="579"/>
      <c r="AL27" s="579"/>
      <c r="AM27" s="579"/>
      <c r="AN27" s="579"/>
      <c r="AO27" s="579"/>
      <c r="AP27" s="579"/>
      <c r="AQ27" s="579"/>
      <c r="AR27" s="579"/>
      <c r="AS27" s="581"/>
      <c r="AT27" s="577"/>
      <c r="AU27" s="577"/>
      <c r="AV27" s="577"/>
      <c r="AW27" s="577"/>
      <c r="AX27" s="577"/>
      <c r="AY27" s="577"/>
      <c r="AZ27" s="569"/>
      <c r="BA27" s="569"/>
      <c r="BB27" s="551"/>
      <c r="BC27" s="552"/>
      <c r="BD27" s="538"/>
      <c r="BE27" s="596"/>
      <c r="BF27" s="596"/>
      <c r="BG27" s="596"/>
      <c r="BH27" s="598"/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65"/>
      <c r="D28" s="565"/>
      <c r="E28" s="811" t="s">
        <v>407</v>
      </c>
      <c r="F28" s="812"/>
      <c r="G28" s="812"/>
      <c r="H28" s="812"/>
      <c r="I28" s="777">
        <v>123456</v>
      </c>
      <c r="J28" s="777"/>
      <c r="K28" s="777"/>
      <c r="L28" s="777"/>
      <c r="M28" s="777"/>
      <c r="N28" s="777"/>
      <c r="O28" s="579"/>
      <c r="P28" s="579"/>
      <c r="Q28" s="579"/>
      <c r="R28" s="579"/>
      <c r="S28" s="579"/>
      <c r="T28" s="579"/>
      <c r="U28" s="579"/>
      <c r="V28" s="579"/>
      <c r="W28" s="579"/>
      <c r="X28" s="579"/>
      <c r="Y28" s="579"/>
      <c r="Z28" s="579"/>
      <c r="AA28" s="579"/>
      <c r="AB28" s="579"/>
      <c r="AC28" s="579"/>
      <c r="AD28" s="579"/>
      <c r="AE28" s="579"/>
      <c r="AF28" s="579"/>
      <c r="AG28" s="579"/>
      <c r="AH28" s="579"/>
      <c r="AI28" s="579"/>
      <c r="AJ28" s="579"/>
      <c r="AK28" s="579"/>
      <c r="AL28" s="579"/>
      <c r="AM28" s="579"/>
      <c r="AN28" s="579"/>
      <c r="AO28" s="579"/>
      <c r="AP28" s="579"/>
      <c r="AQ28" s="579"/>
      <c r="AR28" s="579"/>
      <c r="AS28" s="580"/>
      <c r="AT28" s="571"/>
      <c r="AU28" s="565"/>
      <c r="AV28" s="568"/>
      <c r="AW28" s="568"/>
      <c r="AX28" s="568"/>
      <c r="AY28" s="565"/>
      <c r="AZ28" s="569"/>
      <c r="BA28" s="569"/>
      <c r="BB28" s="536"/>
      <c r="BC28" s="537"/>
      <c r="BD28" s="539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811"/>
      <c r="F29" s="812"/>
      <c r="G29" s="812"/>
      <c r="H29" s="812"/>
      <c r="I29" s="777"/>
      <c r="J29" s="777"/>
      <c r="K29" s="777"/>
      <c r="L29" s="777"/>
      <c r="M29" s="777"/>
      <c r="N29" s="777"/>
      <c r="O29" s="579"/>
      <c r="P29" s="579"/>
      <c r="Q29" s="579"/>
      <c r="R29" s="579"/>
      <c r="S29" s="579"/>
      <c r="T29" s="579"/>
      <c r="U29" s="579"/>
      <c r="V29" s="579"/>
      <c r="W29" s="579"/>
      <c r="X29" s="579"/>
      <c r="Y29" s="579"/>
      <c r="Z29" s="579"/>
      <c r="AA29" s="579"/>
      <c r="AB29" s="579"/>
      <c r="AC29" s="579"/>
      <c r="AD29" s="579"/>
      <c r="AE29" s="579"/>
      <c r="AF29" s="579"/>
      <c r="AG29" s="579"/>
      <c r="AH29" s="579"/>
      <c r="AI29" s="579"/>
      <c r="AJ29" s="579"/>
      <c r="AK29" s="579"/>
      <c r="AL29" s="579"/>
      <c r="AM29" s="579"/>
      <c r="AN29" s="579"/>
      <c r="AO29" s="579"/>
      <c r="AP29" s="579"/>
      <c r="AQ29" s="579"/>
      <c r="AR29" s="579"/>
      <c r="AS29" s="579"/>
      <c r="AT29" s="573"/>
      <c r="AU29" s="568"/>
      <c r="AV29" s="568"/>
      <c r="AW29" s="568"/>
      <c r="AX29" s="568"/>
      <c r="AY29" s="568"/>
      <c r="AZ29" s="569"/>
      <c r="BA29" s="569"/>
      <c r="BB29" s="551"/>
      <c r="BC29" s="552"/>
      <c r="BD29" s="538"/>
      <c r="BE29" s="596"/>
      <c r="BF29" s="596"/>
      <c r="BG29" s="596"/>
      <c r="BH29" s="598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75"/>
      <c r="D30" s="576"/>
      <c r="E30" s="812"/>
      <c r="F30" s="812"/>
      <c r="G30" s="812"/>
      <c r="H30" s="812"/>
      <c r="I30" s="777"/>
      <c r="J30" s="777"/>
      <c r="K30" s="777"/>
      <c r="L30" s="777"/>
      <c r="M30" s="777"/>
      <c r="N30" s="777"/>
      <c r="O30" s="579"/>
      <c r="P30" s="579"/>
      <c r="Q30" s="579"/>
      <c r="R30" s="579"/>
      <c r="S30" s="579"/>
      <c r="T30" s="579"/>
      <c r="U30" s="579"/>
      <c r="V30" s="579"/>
      <c r="W30" s="579"/>
      <c r="X30" s="579"/>
      <c r="Y30" s="579"/>
      <c r="Z30" s="579"/>
      <c r="AA30" s="579"/>
      <c r="AB30" s="579"/>
      <c r="AC30" s="579"/>
      <c r="AD30" s="579"/>
      <c r="AE30" s="579"/>
      <c r="AF30" s="579"/>
      <c r="AG30" s="579"/>
      <c r="AH30" s="579"/>
      <c r="AI30" s="579"/>
      <c r="AJ30" s="579"/>
      <c r="AK30" s="579"/>
      <c r="AL30" s="579"/>
      <c r="AM30" s="579"/>
      <c r="AN30" s="579"/>
      <c r="AO30" s="579"/>
      <c r="AP30" s="579"/>
      <c r="AQ30" s="579"/>
      <c r="AR30" s="579"/>
      <c r="AS30" s="579"/>
      <c r="AT30" s="573"/>
      <c r="AU30" s="568"/>
      <c r="AV30" s="568"/>
      <c r="AW30" s="568"/>
      <c r="AX30" s="568"/>
      <c r="AY30" s="568"/>
      <c r="AZ30" s="569"/>
      <c r="BA30" s="569"/>
      <c r="BB30" s="551"/>
      <c r="BC30" s="552"/>
      <c r="BD30" s="538"/>
      <c r="BE30" s="596"/>
      <c r="BF30" s="596"/>
      <c r="BG30" s="596"/>
      <c r="BH30" s="596"/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811" t="s">
        <v>408</v>
      </c>
      <c r="F31" s="812"/>
      <c r="G31" s="812"/>
      <c r="H31" s="812"/>
      <c r="I31" s="777" t="s">
        <v>377</v>
      </c>
      <c r="J31" s="777"/>
      <c r="K31" s="777"/>
      <c r="L31" s="777"/>
      <c r="M31" s="777"/>
      <c r="N31" s="777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81"/>
      <c r="AT31" s="577"/>
      <c r="AU31" s="577"/>
      <c r="AV31" s="577"/>
      <c r="AW31" s="577"/>
      <c r="AX31" s="577"/>
      <c r="AY31" s="577"/>
      <c r="AZ31" s="569"/>
      <c r="BA31" s="569"/>
      <c r="BB31" s="551"/>
      <c r="BC31" s="552"/>
      <c r="BD31" s="538"/>
      <c r="BE31" s="596"/>
      <c r="BF31" s="596"/>
      <c r="BG31" s="596"/>
      <c r="BH31" s="598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65"/>
      <c r="D32" s="565"/>
      <c r="E32" s="812"/>
      <c r="F32" s="812"/>
      <c r="G32" s="812"/>
      <c r="H32" s="812"/>
      <c r="I32" s="777"/>
      <c r="J32" s="777"/>
      <c r="K32" s="777"/>
      <c r="L32" s="777"/>
      <c r="M32" s="777"/>
      <c r="N32" s="777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0"/>
      <c r="AT32" s="571"/>
      <c r="AU32" s="565"/>
      <c r="AV32" s="568"/>
      <c r="AW32" s="568"/>
      <c r="AX32" s="568"/>
      <c r="AY32" s="565"/>
      <c r="AZ32" s="569"/>
      <c r="BA32" s="569"/>
      <c r="BB32" s="536"/>
      <c r="BC32" s="537"/>
      <c r="BD32" s="539"/>
      <c r="BE32" s="596"/>
      <c r="BF32" s="596"/>
      <c r="BG32" s="596"/>
      <c r="BH32" s="598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2.5" customHeight="1">
      <c r="A33" s="540"/>
      <c r="B33" s="566"/>
      <c r="C33" s="575"/>
      <c r="D33" s="576"/>
      <c r="E33" s="568"/>
      <c r="F33" s="568"/>
      <c r="G33" s="568"/>
      <c r="H33" s="579"/>
      <c r="I33" s="579"/>
      <c r="J33" s="579"/>
      <c r="K33" s="579"/>
      <c r="L33" s="579"/>
      <c r="M33" s="579"/>
      <c r="N33" s="579"/>
      <c r="O33" s="579"/>
      <c r="P33" s="579"/>
      <c r="Q33" s="579"/>
      <c r="R33" s="579"/>
      <c r="S33" s="579"/>
      <c r="T33" s="579"/>
      <c r="U33" s="579"/>
      <c r="V33" s="579"/>
      <c r="W33" s="579"/>
      <c r="X33" s="579"/>
      <c r="Y33" s="579"/>
      <c r="Z33" s="579"/>
      <c r="AA33" s="579"/>
      <c r="AB33" s="579"/>
      <c r="AC33" s="579"/>
      <c r="AD33" s="579"/>
      <c r="AE33" s="579"/>
      <c r="AF33" s="579"/>
      <c r="AG33" s="579"/>
      <c r="AH33" s="579"/>
      <c r="AI33" s="579"/>
      <c r="AJ33" s="579"/>
      <c r="AK33" s="579"/>
      <c r="AL33" s="579"/>
      <c r="AM33" s="579"/>
      <c r="AN33" s="579"/>
      <c r="AO33" s="579"/>
      <c r="AP33" s="579"/>
      <c r="AQ33" s="579"/>
      <c r="AR33" s="579"/>
      <c r="AS33" s="579"/>
      <c r="AT33" s="573"/>
      <c r="AU33" s="568"/>
      <c r="AV33" s="568"/>
      <c r="AW33" s="568"/>
      <c r="AX33" s="568"/>
      <c r="AY33" s="568"/>
      <c r="AZ33" s="569"/>
      <c r="BA33" s="569"/>
      <c r="BB33" s="551"/>
      <c r="BC33" s="552"/>
      <c r="BD33" s="538"/>
      <c r="BE33" s="596"/>
      <c r="BF33" s="596"/>
      <c r="BG33" s="596"/>
      <c r="BH33" s="596"/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2.5" customHeight="1">
      <c r="A34" s="540"/>
      <c r="B34" s="566"/>
      <c r="C34" s="575"/>
      <c r="D34" s="576"/>
      <c r="E34" s="568"/>
      <c r="F34" s="568"/>
      <c r="G34" s="568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/>
      <c r="AG34" s="579"/>
      <c r="AH34" s="579"/>
      <c r="AI34" s="579"/>
      <c r="AJ34" s="579"/>
      <c r="AK34" s="579"/>
      <c r="AL34" s="579"/>
      <c r="AM34" s="579"/>
      <c r="AN34" s="579"/>
      <c r="AO34" s="579"/>
      <c r="AP34" s="579"/>
      <c r="AQ34" s="579"/>
      <c r="AR34" s="579"/>
      <c r="AS34" s="581"/>
      <c r="AT34" s="577"/>
      <c r="AU34" s="577"/>
      <c r="AV34" s="577"/>
      <c r="AW34" s="577"/>
      <c r="AX34" s="577"/>
      <c r="AY34" s="577"/>
      <c r="AZ34" s="569"/>
      <c r="BA34" s="569"/>
      <c r="BB34" s="551"/>
      <c r="BC34" s="552"/>
      <c r="BD34" s="538"/>
      <c r="BE34" s="596"/>
      <c r="BF34" s="596"/>
      <c r="BG34" s="596"/>
      <c r="BH34" s="598"/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7.5" customHeight="1">
      <c r="A35" s="540"/>
      <c r="B35" s="566"/>
      <c r="C35" s="565"/>
      <c r="D35" s="565"/>
      <c r="E35" s="804"/>
      <c r="F35" s="804"/>
      <c r="G35" s="814" t="s">
        <v>409</v>
      </c>
      <c r="H35" s="800"/>
      <c r="I35" s="800"/>
      <c r="J35" s="800" t="s">
        <v>378</v>
      </c>
      <c r="K35" s="800"/>
      <c r="L35" s="800"/>
      <c r="M35" s="814" t="s">
        <v>443</v>
      </c>
      <c r="N35" s="814"/>
      <c r="O35" s="814"/>
      <c r="P35" s="799" t="s">
        <v>444</v>
      </c>
      <c r="Q35" s="814"/>
      <c r="R35" s="814"/>
      <c r="S35" s="799" t="s">
        <v>445</v>
      </c>
      <c r="T35" s="800"/>
      <c r="U35" s="800"/>
      <c r="V35" s="802" t="s">
        <v>446</v>
      </c>
      <c r="W35" s="802"/>
      <c r="X35" s="802"/>
      <c r="Y35" s="802" t="s">
        <v>447</v>
      </c>
      <c r="Z35" s="802"/>
      <c r="AA35" s="802"/>
      <c r="AB35" s="802" t="s">
        <v>448</v>
      </c>
      <c r="AC35" s="802"/>
      <c r="AD35" s="802"/>
      <c r="AE35" s="797" t="s">
        <v>440</v>
      </c>
      <c r="AF35" s="797"/>
      <c r="AG35" s="797"/>
      <c r="AH35" s="797" t="s">
        <v>379</v>
      </c>
      <c r="AI35" s="797"/>
      <c r="AJ35" s="797"/>
      <c r="AK35" s="797" t="s">
        <v>441</v>
      </c>
      <c r="AL35" s="797"/>
      <c r="AM35" s="797"/>
      <c r="AN35" s="797" t="s">
        <v>449</v>
      </c>
      <c r="AO35" s="797"/>
      <c r="AP35" s="797"/>
      <c r="AQ35" s="579"/>
      <c r="AR35" s="579"/>
      <c r="AS35" s="580"/>
      <c r="AT35" s="571"/>
      <c r="AU35" s="565"/>
      <c r="AV35" s="568"/>
      <c r="AW35" s="568"/>
      <c r="AX35" s="568"/>
      <c r="AY35" s="565"/>
      <c r="AZ35" s="569"/>
      <c r="BA35" s="569"/>
      <c r="BB35" s="536"/>
      <c r="BC35" s="537"/>
      <c r="BD35" s="539"/>
      <c r="BE35" s="596"/>
      <c r="BF35" s="596"/>
      <c r="BG35" s="596"/>
      <c r="BH35" s="598"/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7.5" customHeight="1">
      <c r="A36" s="540"/>
      <c r="B36" s="566"/>
      <c r="C36" s="575"/>
      <c r="D36" s="576"/>
      <c r="E36" s="805"/>
      <c r="F36" s="805"/>
      <c r="G36" s="815"/>
      <c r="H36" s="801"/>
      <c r="I36" s="801"/>
      <c r="J36" s="801"/>
      <c r="K36" s="801"/>
      <c r="L36" s="801"/>
      <c r="M36" s="815"/>
      <c r="N36" s="815"/>
      <c r="O36" s="815"/>
      <c r="P36" s="815"/>
      <c r="Q36" s="815"/>
      <c r="R36" s="815"/>
      <c r="S36" s="801"/>
      <c r="T36" s="801"/>
      <c r="U36" s="801"/>
      <c r="V36" s="803"/>
      <c r="W36" s="803"/>
      <c r="X36" s="803"/>
      <c r="Y36" s="803"/>
      <c r="Z36" s="803"/>
      <c r="AA36" s="803"/>
      <c r="AB36" s="803"/>
      <c r="AC36" s="803"/>
      <c r="AD36" s="803"/>
      <c r="AE36" s="798"/>
      <c r="AF36" s="798"/>
      <c r="AG36" s="798"/>
      <c r="AH36" s="798"/>
      <c r="AI36" s="798"/>
      <c r="AJ36" s="798"/>
      <c r="AK36" s="798"/>
      <c r="AL36" s="798"/>
      <c r="AM36" s="798"/>
      <c r="AN36" s="798"/>
      <c r="AO36" s="798"/>
      <c r="AP36" s="798"/>
      <c r="AQ36" s="579"/>
      <c r="AR36" s="579"/>
      <c r="AS36" s="579"/>
      <c r="AT36" s="573"/>
      <c r="AU36" s="568"/>
      <c r="AV36" s="568"/>
      <c r="AW36" s="568"/>
      <c r="AX36" s="568"/>
      <c r="AY36" s="568"/>
      <c r="AZ36" s="569"/>
      <c r="BA36" s="569"/>
      <c r="BB36" s="551"/>
      <c r="BC36" s="552"/>
      <c r="BD36" s="538"/>
      <c r="BE36" s="596"/>
      <c r="BF36" s="596"/>
      <c r="BG36" s="596"/>
      <c r="BH36" s="596"/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7.5" customHeight="1">
      <c r="A37" s="540"/>
      <c r="B37" s="566"/>
      <c r="C37" s="575"/>
      <c r="D37" s="576"/>
      <c r="E37" s="805"/>
      <c r="F37" s="805"/>
      <c r="G37" s="801"/>
      <c r="H37" s="801"/>
      <c r="I37" s="801"/>
      <c r="J37" s="801"/>
      <c r="K37" s="801"/>
      <c r="L37" s="801"/>
      <c r="M37" s="815"/>
      <c r="N37" s="815"/>
      <c r="O37" s="815"/>
      <c r="P37" s="815"/>
      <c r="Q37" s="815"/>
      <c r="R37" s="815"/>
      <c r="S37" s="801"/>
      <c r="T37" s="801"/>
      <c r="U37" s="801"/>
      <c r="V37" s="803"/>
      <c r="W37" s="803"/>
      <c r="X37" s="803"/>
      <c r="Y37" s="803"/>
      <c r="Z37" s="803"/>
      <c r="AA37" s="803"/>
      <c r="AB37" s="803"/>
      <c r="AC37" s="803"/>
      <c r="AD37" s="803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579"/>
      <c r="AR37" s="579"/>
      <c r="AS37" s="579"/>
      <c r="AT37" s="573"/>
      <c r="AU37" s="568"/>
      <c r="AV37" s="568"/>
      <c r="AW37" s="568"/>
      <c r="AX37" s="568"/>
      <c r="AY37" s="568"/>
      <c r="AZ37" s="569"/>
      <c r="BA37" s="569"/>
      <c r="BB37" s="551"/>
      <c r="BC37" s="552"/>
      <c r="BD37" s="538"/>
      <c r="BE37" s="596"/>
      <c r="BF37" s="596"/>
      <c r="BG37" s="596"/>
      <c r="BH37" s="598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75"/>
      <c r="D38" s="576"/>
      <c r="E38" s="774" t="s">
        <v>380</v>
      </c>
      <c r="F38" s="774"/>
      <c r="G38" s="776" t="s">
        <v>381</v>
      </c>
      <c r="H38" s="776"/>
      <c r="I38" s="776"/>
      <c r="J38" s="816" t="s">
        <v>387</v>
      </c>
      <c r="K38" s="776"/>
      <c r="L38" s="776"/>
      <c r="M38" s="816" t="s">
        <v>413</v>
      </c>
      <c r="N38" s="776"/>
      <c r="O38" s="776"/>
      <c r="P38" s="816" t="s">
        <v>410</v>
      </c>
      <c r="Q38" s="776"/>
      <c r="R38" s="776"/>
      <c r="S38" s="775" t="s">
        <v>394</v>
      </c>
      <c r="T38" s="776"/>
      <c r="U38" s="776"/>
      <c r="V38" s="778" t="s">
        <v>398</v>
      </c>
      <c r="W38" s="779"/>
      <c r="X38" s="780"/>
      <c r="Y38" s="778" t="s">
        <v>398</v>
      </c>
      <c r="Z38" s="779"/>
      <c r="AA38" s="780"/>
      <c r="AB38" s="778" t="s">
        <v>398</v>
      </c>
      <c r="AC38" s="779"/>
      <c r="AD38" s="780"/>
      <c r="AE38" s="778" t="s">
        <v>398</v>
      </c>
      <c r="AF38" s="779"/>
      <c r="AG38" s="780"/>
      <c r="AH38" s="778" t="s">
        <v>398</v>
      </c>
      <c r="AI38" s="779"/>
      <c r="AJ38" s="780"/>
      <c r="AK38" s="778" t="s">
        <v>398</v>
      </c>
      <c r="AL38" s="779"/>
      <c r="AM38" s="780"/>
      <c r="AN38" s="778" t="s">
        <v>398</v>
      </c>
      <c r="AO38" s="779"/>
      <c r="AP38" s="780"/>
      <c r="AQ38" s="579"/>
      <c r="AR38" s="579"/>
      <c r="AS38" s="581"/>
      <c r="AT38" s="577"/>
      <c r="AU38" s="577"/>
      <c r="AV38" s="577"/>
      <c r="AW38" s="577"/>
      <c r="AX38" s="577"/>
      <c r="AY38" s="577"/>
      <c r="AZ38" s="569"/>
      <c r="BA38" s="569"/>
      <c r="BB38" s="551"/>
      <c r="BC38" s="552"/>
      <c r="BD38" s="538"/>
      <c r="BE38" s="596"/>
      <c r="BF38" s="596"/>
      <c r="BG38" s="596"/>
      <c r="BH38" s="598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65"/>
      <c r="D39" s="565"/>
      <c r="E39" s="774"/>
      <c r="F39" s="774"/>
      <c r="G39" s="776"/>
      <c r="H39" s="776"/>
      <c r="I39" s="776"/>
      <c r="J39" s="816"/>
      <c r="K39" s="776"/>
      <c r="L39" s="776"/>
      <c r="M39" s="776"/>
      <c r="N39" s="776"/>
      <c r="O39" s="776"/>
      <c r="P39" s="816"/>
      <c r="Q39" s="776"/>
      <c r="R39" s="776"/>
      <c r="S39" s="775"/>
      <c r="T39" s="776"/>
      <c r="U39" s="776"/>
      <c r="V39" s="781"/>
      <c r="W39" s="782"/>
      <c r="X39" s="783"/>
      <c r="Y39" s="781"/>
      <c r="Z39" s="782"/>
      <c r="AA39" s="783"/>
      <c r="AB39" s="781"/>
      <c r="AC39" s="782"/>
      <c r="AD39" s="783"/>
      <c r="AE39" s="781"/>
      <c r="AF39" s="782"/>
      <c r="AG39" s="783"/>
      <c r="AH39" s="781"/>
      <c r="AI39" s="782"/>
      <c r="AJ39" s="783"/>
      <c r="AK39" s="781"/>
      <c r="AL39" s="782"/>
      <c r="AM39" s="783"/>
      <c r="AN39" s="781"/>
      <c r="AO39" s="782"/>
      <c r="AP39" s="783"/>
      <c r="AQ39" s="579"/>
      <c r="AR39" s="579"/>
      <c r="AS39" s="580"/>
      <c r="AT39" s="571"/>
      <c r="AU39" s="565"/>
      <c r="AV39" s="568"/>
      <c r="AW39" s="568"/>
      <c r="AX39" s="568"/>
      <c r="AY39" s="565"/>
      <c r="AZ39" s="569"/>
      <c r="BA39" s="569"/>
      <c r="BB39" s="536"/>
      <c r="BC39" s="537"/>
      <c r="BD39" s="539"/>
      <c r="BE39" s="596"/>
      <c r="BF39" s="596"/>
      <c r="BG39" s="596"/>
      <c r="BH39" s="596"/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2.5" customHeight="1">
      <c r="A40" s="540"/>
      <c r="B40" s="566"/>
      <c r="C40" s="565"/>
      <c r="D40" s="565"/>
      <c r="E40" s="774"/>
      <c r="F40" s="774"/>
      <c r="G40" s="776"/>
      <c r="H40" s="776"/>
      <c r="I40" s="776"/>
      <c r="J40" s="776"/>
      <c r="K40" s="776"/>
      <c r="L40" s="776"/>
      <c r="M40" s="776"/>
      <c r="N40" s="776"/>
      <c r="O40" s="776"/>
      <c r="P40" s="776"/>
      <c r="Q40" s="776"/>
      <c r="R40" s="776"/>
      <c r="S40" s="776"/>
      <c r="T40" s="776"/>
      <c r="U40" s="776"/>
      <c r="V40" s="784"/>
      <c r="W40" s="785"/>
      <c r="X40" s="786"/>
      <c r="Y40" s="784"/>
      <c r="Z40" s="785"/>
      <c r="AA40" s="786"/>
      <c r="AB40" s="784"/>
      <c r="AC40" s="785"/>
      <c r="AD40" s="786"/>
      <c r="AE40" s="784"/>
      <c r="AF40" s="785"/>
      <c r="AG40" s="786"/>
      <c r="AH40" s="784"/>
      <c r="AI40" s="785"/>
      <c r="AJ40" s="786"/>
      <c r="AK40" s="784"/>
      <c r="AL40" s="785"/>
      <c r="AM40" s="786"/>
      <c r="AN40" s="784"/>
      <c r="AO40" s="785"/>
      <c r="AP40" s="786"/>
      <c r="AQ40" s="579"/>
      <c r="AR40" s="579"/>
      <c r="AS40" s="580"/>
      <c r="AT40" s="571"/>
      <c r="AU40" s="565"/>
      <c r="AV40" s="568"/>
      <c r="AW40" s="568"/>
      <c r="AX40" s="568"/>
      <c r="AY40" s="565"/>
      <c r="AZ40" s="569"/>
      <c r="BA40" s="569"/>
      <c r="BB40" s="536"/>
      <c r="BC40" s="537"/>
      <c r="BD40" s="539"/>
      <c r="BE40" s="596"/>
      <c r="BF40" s="596"/>
      <c r="BG40" s="596"/>
      <c r="BH40" s="598"/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2.5" customHeight="1">
      <c r="A41" s="540"/>
      <c r="B41" s="566"/>
      <c r="C41" s="575"/>
      <c r="D41" s="576"/>
      <c r="E41" s="774"/>
      <c r="F41" s="774"/>
      <c r="G41" s="776" t="s">
        <v>381</v>
      </c>
      <c r="H41" s="776"/>
      <c r="I41" s="776"/>
      <c r="J41" s="816" t="s">
        <v>387</v>
      </c>
      <c r="K41" s="776"/>
      <c r="L41" s="776"/>
      <c r="M41" s="816" t="s">
        <v>413</v>
      </c>
      <c r="N41" s="776"/>
      <c r="O41" s="776"/>
      <c r="P41" s="816" t="s">
        <v>410</v>
      </c>
      <c r="Q41" s="776"/>
      <c r="R41" s="776"/>
      <c r="S41" s="775" t="s">
        <v>394</v>
      </c>
      <c r="T41" s="776"/>
      <c r="U41" s="776"/>
      <c r="V41" s="778" t="s">
        <v>398</v>
      </c>
      <c r="W41" s="779"/>
      <c r="X41" s="780"/>
      <c r="Y41" s="778" t="s">
        <v>398</v>
      </c>
      <c r="Z41" s="779"/>
      <c r="AA41" s="780"/>
      <c r="AB41" s="778" t="s">
        <v>398</v>
      </c>
      <c r="AC41" s="779"/>
      <c r="AD41" s="780"/>
      <c r="AE41" s="778" t="s">
        <v>398</v>
      </c>
      <c r="AF41" s="779"/>
      <c r="AG41" s="780"/>
      <c r="AH41" s="778" t="s">
        <v>398</v>
      </c>
      <c r="AI41" s="779"/>
      <c r="AJ41" s="780"/>
      <c r="AK41" s="778" t="s">
        <v>398</v>
      </c>
      <c r="AL41" s="779"/>
      <c r="AM41" s="780"/>
      <c r="AN41" s="778" t="s">
        <v>398</v>
      </c>
      <c r="AO41" s="779"/>
      <c r="AP41" s="780"/>
      <c r="AQ41" s="579"/>
      <c r="AR41" s="579"/>
      <c r="AS41" s="579"/>
      <c r="AT41" s="573"/>
      <c r="AU41" s="568"/>
      <c r="AV41" s="568"/>
      <c r="AW41" s="568"/>
      <c r="AX41" s="568"/>
      <c r="AY41" s="568"/>
      <c r="AZ41" s="569"/>
      <c r="BA41" s="569"/>
      <c r="BB41" s="551"/>
      <c r="BC41" s="552"/>
      <c r="BD41" s="538"/>
      <c r="BE41" s="596"/>
      <c r="BF41" s="596"/>
      <c r="BG41" s="596"/>
      <c r="BH41" s="598"/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2.5" customHeight="1">
      <c r="A42" s="540"/>
      <c r="B42" s="566"/>
      <c r="C42" s="575"/>
      <c r="D42" s="576"/>
      <c r="E42" s="774"/>
      <c r="F42" s="774"/>
      <c r="G42" s="776"/>
      <c r="H42" s="776"/>
      <c r="I42" s="776"/>
      <c r="J42" s="816"/>
      <c r="K42" s="776"/>
      <c r="L42" s="776"/>
      <c r="M42" s="776"/>
      <c r="N42" s="776"/>
      <c r="O42" s="776"/>
      <c r="P42" s="816"/>
      <c r="Q42" s="776"/>
      <c r="R42" s="776"/>
      <c r="S42" s="775"/>
      <c r="T42" s="776"/>
      <c r="U42" s="776"/>
      <c r="V42" s="781"/>
      <c r="W42" s="782"/>
      <c r="X42" s="783"/>
      <c r="Y42" s="781"/>
      <c r="Z42" s="782"/>
      <c r="AA42" s="783"/>
      <c r="AB42" s="781"/>
      <c r="AC42" s="782"/>
      <c r="AD42" s="783"/>
      <c r="AE42" s="781"/>
      <c r="AF42" s="782"/>
      <c r="AG42" s="783"/>
      <c r="AH42" s="781"/>
      <c r="AI42" s="782"/>
      <c r="AJ42" s="783"/>
      <c r="AK42" s="781"/>
      <c r="AL42" s="782"/>
      <c r="AM42" s="783"/>
      <c r="AN42" s="781"/>
      <c r="AO42" s="782"/>
      <c r="AP42" s="783"/>
      <c r="AQ42" s="579"/>
      <c r="AR42" s="579"/>
      <c r="AS42" s="581"/>
      <c r="AT42" s="577"/>
      <c r="AU42" s="577"/>
      <c r="AV42" s="577"/>
      <c r="AW42" s="577"/>
      <c r="AX42" s="577"/>
      <c r="AY42" s="577"/>
      <c r="AZ42" s="569"/>
      <c r="BA42" s="569"/>
      <c r="BB42" s="551"/>
      <c r="BC42" s="552"/>
      <c r="BD42" s="538"/>
      <c r="BE42" s="596"/>
      <c r="BF42" s="596"/>
      <c r="BG42" s="596"/>
      <c r="BH42" s="598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75"/>
      <c r="D43" s="576"/>
      <c r="E43" s="774"/>
      <c r="F43" s="774"/>
      <c r="G43" s="776"/>
      <c r="H43" s="776"/>
      <c r="I43" s="776"/>
      <c r="J43" s="776"/>
      <c r="K43" s="776"/>
      <c r="L43" s="776"/>
      <c r="M43" s="776"/>
      <c r="N43" s="776"/>
      <c r="O43" s="776"/>
      <c r="P43" s="776"/>
      <c r="Q43" s="776"/>
      <c r="R43" s="776"/>
      <c r="S43" s="776"/>
      <c r="T43" s="776"/>
      <c r="U43" s="776"/>
      <c r="V43" s="784"/>
      <c r="W43" s="785"/>
      <c r="X43" s="786"/>
      <c r="Y43" s="784"/>
      <c r="Z43" s="785"/>
      <c r="AA43" s="786"/>
      <c r="AB43" s="784"/>
      <c r="AC43" s="785"/>
      <c r="AD43" s="786"/>
      <c r="AE43" s="784"/>
      <c r="AF43" s="785"/>
      <c r="AG43" s="786"/>
      <c r="AH43" s="784"/>
      <c r="AI43" s="785"/>
      <c r="AJ43" s="786"/>
      <c r="AK43" s="784"/>
      <c r="AL43" s="785"/>
      <c r="AM43" s="786"/>
      <c r="AN43" s="784"/>
      <c r="AO43" s="785"/>
      <c r="AP43" s="786"/>
      <c r="AQ43" s="579"/>
      <c r="AR43" s="579"/>
      <c r="AS43" s="581"/>
      <c r="AT43" s="577"/>
      <c r="AU43" s="577"/>
      <c r="AV43" s="577"/>
      <c r="AW43" s="577"/>
      <c r="AX43" s="577"/>
      <c r="AY43" s="577"/>
      <c r="AZ43" s="569"/>
      <c r="BA43" s="569"/>
      <c r="BB43" s="551"/>
      <c r="BC43" s="552"/>
      <c r="BD43" s="538"/>
      <c r="BE43" s="596"/>
      <c r="BF43" s="596"/>
      <c r="BG43" s="596"/>
      <c r="BH43" s="596"/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75"/>
      <c r="D44" s="576"/>
      <c r="E44" s="774" t="s">
        <v>380</v>
      </c>
      <c r="F44" s="774"/>
      <c r="G44" s="776" t="s">
        <v>382</v>
      </c>
      <c r="H44" s="776"/>
      <c r="I44" s="776"/>
      <c r="J44" s="816" t="s">
        <v>388</v>
      </c>
      <c r="K44" s="776"/>
      <c r="L44" s="776"/>
      <c r="M44" s="816" t="s">
        <v>412</v>
      </c>
      <c r="N44" s="776"/>
      <c r="O44" s="776"/>
      <c r="P44" s="816" t="s">
        <v>410</v>
      </c>
      <c r="Q44" s="776"/>
      <c r="R44" s="776"/>
      <c r="S44" s="775" t="s">
        <v>395</v>
      </c>
      <c r="T44" s="776"/>
      <c r="U44" s="776"/>
      <c r="V44" s="816" t="s">
        <v>399</v>
      </c>
      <c r="W44" s="776"/>
      <c r="X44" s="776"/>
      <c r="Y44" s="816" t="s">
        <v>399</v>
      </c>
      <c r="Z44" s="776"/>
      <c r="AA44" s="776"/>
      <c r="AB44" s="778" t="s">
        <v>398</v>
      </c>
      <c r="AC44" s="779"/>
      <c r="AD44" s="780"/>
      <c r="AE44" s="778" t="s">
        <v>398</v>
      </c>
      <c r="AF44" s="779"/>
      <c r="AG44" s="780"/>
      <c r="AH44" s="776" t="s">
        <v>401</v>
      </c>
      <c r="AI44" s="776"/>
      <c r="AJ44" s="776"/>
      <c r="AK44" s="778" t="s">
        <v>398</v>
      </c>
      <c r="AL44" s="779"/>
      <c r="AM44" s="780"/>
      <c r="AN44" s="778" t="s">
        <v>398</v>
      </c>
      <c r="AO44" s="779"/>
      <c r="AP44" s="780"/>
      <c r="AQ44" s="579"/>
      <c r="AR44" s="579"/>
      <c r="AS44" s="581"/>
      <c r="AT44" s="577"/>
      <c r="AU44" s="577"/>
      <c r="AV44" s="577"/>
      <c r="AW44" s="577"/>
      <c r="AX44" s="577"/>
      <c r="AY44" s="577"/>
      <c r="AZ44" s="569"/>
      <c r="BA44" s="569"/>
      <c r="BB44" s="551"/>
      <c r="BC44" s="552"/>
      <c r="BD44" s="538"/>
      <c r="BE44" s="596"/>
      <c r="BF44" s="596"/>
      <c r="BG44" s="596"/>
      <c r="BH44" s="598"/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65"/>
      <c r="D45" s="565"/>
      <c r="E45" s="774"/>
      <c r="F45" s="774"/>
      <c r="G45" s="776"/>
      <c r="H45" s="776"/>
      <c r="I45" s="776"/>
      <c r="J45" s="816"/>
      <c r="K45" s="776"/>
      <c r="L45" s="776"/>
      <c r="M45" s="816"/>
      <c r="N45" s="776"/>
      <c r="O45" s="776"/>
      <c r="P45" s="816"/>
      <c r="Q45" s="776"/>
      <c r="R45" s="776"/>
      <c r="S45" s="775"/>
      <c r="T45" s="776"/>
      <c r="U45" s="776"/>
      <c r="V45" s="816"/>
      <c r="W45" s="776"/>
      <c r="X45" s="776"/>
      <c r="Y45" s="816"/>
      <c r="Z45" s="776"/>
      <c r="AA45" s="776"/>
      <c r="AB45" s="781"/>
      <c r="AC45" s="782"/>
      <c r="AD45" s="783"/>
      <c r="AE45" s="781"/>
      <c r="AF45" s="782"/>
      <c r="AG45" s="783"/>
      <c r="AH45" s="776"/>
      <c r="AI45" s="776"/>
      <c r="AJ45" s="776"/>
      <c r="AK45" s="781"/>
      <c r="AL45" s="782"/>
      <c r="AM45" s="783"/>
      <c r="AN45" s="781"/>
      <c r="AO45" s="782"/>
      <c r="AP45" s="783"/>
      <c r="AQ45" s="579"/>
      <c r="AR45" s="579"/>
      <c r="AS45" s="580"/>
      <c r="AT45" s="571"/>
      <c r="AU45" s="565"/>
      <c r="AV45" s="568"/>
      <c r="AW45" s="568"/>
      <c r="AX45" s="568"/>
      <c r="AY45" s="565"/>
      <c r="AZ45" s="569"/>
      <c r="BA45" s="569"/>
      <c r="BB45" s="536"/>
      <c r="BC45" s="537"/>
      <c r="BD45" s="539"/>
      <c r="BE45" s="596"/>
      <c r="BF45" s="596"/>
      <c r="BG45" s="596"/>
      <c r="BH45" s="598"/>
      <c r="BI45" s="596"/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65"/>
      <c r="D46" s="565"/>
      <c r="E46" s="774"/>
      <c r="F46" s="774"/>
      <c r="G46" s="776"/>
      <c r="H46" s="776"/>
      <c r="I46" s="776"/>
      <c r="J46" s="776"/>
      <c r="K46" s="776"/>
      <c r="L46" s="776"/>
      <c r="M46" s="776"/>
      <c r="N46" s="776"/>
      <c r="O46" s="776"/>
      <c r="P46" s="776"/>
      <c r="Q46" s="776"/>
      <c r="R46" s="776"/>
      <c r="S46" s="776"/>
      <c r="T46" s="776"/>
      <c r="U46" s="776"/>
      <c r="V46" s="776"/>
      <c r="W46" s="776"/>
      <c r="X46" s="776"/>
      <c r="Y46" s="776"/>
      <c r="Z46" s="776"/>
      <c r="AA46" s="776"/>
      <c r="AB46" s="784"/>
      <c r="AC46" s="785"/>
      <c r="AD46" s="786"/>
      <c r="AE46" s="784"/>
      <c r="AF46" s="785"/>
      <c r="AG46" s="786"/>
      <c r="AH46" s="776"/>
      <c r="AI46" s="776"/>
      <c r="AJ46" s="776"/>
      <c r="AK46" s="784"/>
      <c r="AL46" s="785"/>
      <c r="AM46" s="786"/>
      <c r="AN46" s="784"/>
      <c r="AO46" s="785"/>
      <c r="AP46" s="786"/>
      <c r="AQ46" s="579"/>
      <c r="AR46" s="579"/>
      <c r="AS46" s="580"/>
      <c r="AT46" s="571"/>
      <c r="AU46" s="565"/>
      <c r="AV46" s="568"/>
      <c r="AW46" s="568"/>
      <c r="AX46" s="568"/>
      <c r="AY46" s="565"/>
      <c r="AZ46" s="569"/>
      <c r="BA46" s="569"/>
      <c r="BB46" s="536"/>
      <c r="BC46" s="537"/>
      <c r="BD46" s="539"/>
      <c r="BE46" s="596"/>
      <c r="BF46" s="596"/>
      <c r="BG46" s="596"/>
      <c r="BH46" s="598"/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774" t="s">
        <v>380</v>
      </c>
      <c r="F47" s="774"/>
      <c r="G47" s="776" t="s">
        <v>383</v>
      </c>
      <c r="H47" s="776"/>
      <c r="I47" s="776"/>
      <c r="J47" s="816" t="s">
        <v>389</v>
      </c>
      <c r="K47" s="776"/>
      <c r="L47" s="776"/>
      <c r="M47" s="816" t="s">
        <v>411</v>
      </c>
      <c r="N47" s="776"/>
      <c r="O47" s="776"/>
      <c r="P47" s="816" t="s">
        <v>415</v>
      </c>
      <c r="Q47" s="776"/>
      <c r="R47" s="776"/>
      <c r="S47" s="776" t="s">
        <v>299</v>
      </c>
      <c r="T47" s="776"/>
      <c r="U47" s="776"/>
      <c r="V47" s="816" t="s">
        <v>399</v>
      </c>
      <c r="W47" s="776"/>
      <c r="X47" s="776"/>
      <c r="Y47" s="776" t="s">
        <v>398</v>
      </c>
      <c r="Z47" s="776"/>
      <c r="AA47" s="776"/>
      <c r="AB47" s="776" t="s">
        <v>398</v>
      </c>
      <c r="AC47" s="776"/>
      <c r="AD47" s="776"/>
      <c r="AE47" s="776" t="s">
        <v>398</v>
      </c>
      <c r="AF47" s="776"/>
      <c r="AG47" s="776"/>
      <c r="AH47" s="776" t="s">
        <v>401</v>
      </c>
      <c r="AI47" s="776"/>
      <c r="AJ47" s="776"/>
      <c r="AK47" s="776" t="s">
        <v>401</v>
      </c>
      <c r="AL47" s="776"/>
      <c r="AM47" s="776"/>
      <c r="AN47" s="776" t="s">
        <v>401</v>
      </c>
      <c r="AO47" s="776"/>
      <c r="AP47" s="776"/>
      <c r="AQ47" s="579"/>
      <c r="AR47" s="579"/>
      <c r="AS47" s="579"/>
      <c r="AT47" s="573"/>
      <c r="AU47" s="568"/>
      <c r="AV47" s="568"/>
      <c r="AW47" s="568"/>
      <c r="AX47" s="568"/>
      <c r="AY47" s="568"/>
      <c r="AZ47" s="569"/>
      <c r="BA47" s="569"/>
      <c r="BB47" s="551"/>
      <c r="BC47" s="552"/>
      <c r="BD47" s="538"/>
      <c r="BE47" s="596"/>
      <c r="BF47" s="596"/>
      <c r="BG47" s="596"/>
      <c r="BH47" s="596"/>
      <c r="BI47" s="596"/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774"/>
      <c r="F48" s="774"/>
      <c r="G48" s="776"/>
      <c r="H48" s="776"/>
      <c r="I48" s="776"/>
      <c r="J48" s="816"/>
      <c r="K48" s="776"/>
      <c r="L48" s="776"/>
      <c r="M48" s="816"/>
      <c r="N48" s="776"/>
      <c r="O48" s="776"/>
      <c r="P48" s="816"/>
      <c r="Q48" s="776"/>
      <c r="R48" s="776"/>
      <c r="S48" s="776"/>
      <c r="T48" s="776"/>
      <c r="U48" s="776"/>
      <c r="V48" s="816"/>
      <c r="W48" s="776"/>
      <c r="X48" s="776"/>
      <c r="Y48" s="776"/>
      <c r="Z48" s="776"/>
      <c r="AA48" s="776"/>
      <c r="AB48" s="776"/>
      <c r="AC48" s="776"/>
      <c r="AD48" s="776"/>
      <c r="AE48" s="776"/>
      <c r="AF48" s="776"/>
      <c r="AG48" s="776"/>
      <c r="AH48" s="776"/>
      <c r="AI48" s="776"/>
      <c r="AJ48" s="776"/>
      <c r="AK48" s="776"/>
      <c r="AL48" s="776"/>
      <c r="AM48" s="776"/>
      <c r="AN48" s="776"/>
      <c r="AO48" s="776"/>
      <c r="AP48" s="776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8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774"/>
      <c r="F49" s="774"/>
      <c r="G49" s="776"/>
      <c r="H49" s="776"/>
      <c r="I49" s="776"/>
      <c r="J49" s="776"/>
      <c r="K49" s="776"/>
      <c r="L49" s="776"/>
      <c r="M49" s="776"/>
      <c r="N49" s="776"/>
      <c r="O49" s="776"/>
      <c r="P49" s="776"/>
      <c r="Q49" s="776"/>
      <c r="R49" s="776"/>
      <c r="S49" s="776"/>
      <c r="T49" s="776"/>
      <c r="U49" s="776"/>
      <c r="V49" s="776"/>
      <c r="W49" s="776"/>
      <c r="X49" s="776"/>
      <c r="Y49" s="776"/>
      <c r="Z49" s="776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/>
      <c r="BH49" s="598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75"/>
      <c r="D50" s="576"/>
      <c r="E50" s="774" t="s">
        <v>380</v>
      </c>
      <c r="F50" s="774"/>
      <c r="G50" s="776" t="s">
        <v>384</v>
      </c>
      <c r="H50" s="776"/>
      <c r="I50" s="776"/>
      <c r="J50" s="816" t="s">
        <v>390</v>
      </c>
      <c r="K50" s="776"/>
      <c r="L50" s="776"/>
      <c r="M50" s="816" t="s">
        <v>411</v>
      </c>
      <c r="N50" s="776"/>
      <c r="O50" s="776"/>
      <c r="P50" s="816" t="s">
        <v>415</v>
      </c>
      <c r="Q50" s="776"/>
      <c r="R50" s="776"/>
      <c r="S50" s="775" t="s">
        <v>397</v>
      </c>
      <c r="T50" s="776"/>
      <c r="U50" s="776"/>
      <c r="V50" s="776" t="s">
        <v>398</v>
      </c>
      <c r="W50" s="776"/>
      <c r="X50" s="776"/>
      <c r="Y50" s="816" t="s">
        <v>399</v>
      </c>
      <c r="Z50" s="776"/>
      <c r="AA50" s="776"/>
      <c r="AB50" s="776" t="s">
        <v>398</v>
      </c>
      <c r="AC50" s="776"/>
      <c r="AD50" s="776"/>
      <c r="AE50" s="776" t="s">
        <v>398</v>
      </c>
      <c r="AF50" s="776"/>
      <c r="AG50" s="776"/>
      <c r="AH50" s="776" t="s">
        <v>398</v>
      </c>
      <c r="AI50" s="776"/>
      <c r="AJ50" s="776"/>
      <c r="AK50" s="776" t="s">
        <v>398</v>
      </c>
      <c r="AL50" s="776"/>
      <c r="AM50" s="776"/>
      <c r="AN50" s="776" t="s">
        <v>398</v>
      </c>
      <c r="AO50" s="776"/>
      <c r="AP50" s="776"/>
      <c r="AQ50" s="579"/>
      <c r="AR50" s="579"/>
      <c r="AS50" s="581"/>
      <c r="AT50" s="577"/>
      <c r="AU50" s="577"/>
      <c r="AV50" s="577"/>
      <c r="AW50" s="577"/>
      <c r="AX50" s="577"/>
      <c r="AY50" s="577"/>
      <c r="AZ50" s="569"/>
      <c r="BA50" s="569"/>
      <c r="BB50" s="551"/>
      <c r="BC50" s="552"/>
      <c r="BD50" s="538"/>
      <c r="BE50" s="596"/>
      <c r="BF50" s="596"/>
      <c r="BG50" s="596"/>
      <c r="BH50" s="598"/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75"/>
      <c r="D51" s="576"/>
      <c r="E51" s="774"/>
      <c r="F51" s="774"/>
      <c r="G51" s="776"/>
      <c r="H51" s="776"/>
      <c r="I51" s="776"/>
      <c r="J51" s="816"/>
      <c r="K51" s="776"/>
      <c r="L51" s="776"/>
      <c r="M51" s="816"/>
      <c r="N51" s="776"/>
      <c r="O51" s="776"/>
      <c r="P51" s="816"/>
      <c r="Q51" s="776"/>
      <c r="R51" s="776"/>
      <c r="S51" s="775"/>
      <c r="T51" s="776"/>
      <c r="U51" s="776"/>
      <c r="V51" s="776"/>
      <c r="W51" s="776"/>
      <c r="X51" s="776"/>
      <c r="Y51" s="816"/>
      <c r="Z51" s="776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579"/>
      <c r="AR51" s="579"/>
      <c r="AS51" s="581"/>
      <c r="AT51" s="577"/>
      <c r="AU51" s="577"/>
      <c r="AV51" s="577"/>
      <c r="AW51" s="577"/>
      <c r="AX51" s="577"/>
      <c r="AY51" s="577"/>
      <c r="AZ51" s="569"/>
      <c r="BA51" s="569"/>
      <c r="BB51" s="551"/>
      <c r="BC51" s="552"/>
      <c r="BD51" s="538"/>
      <c r="BE51" s="596"/>
      <c r="BF51" s="596"/>
      <c r="BG51" s="596"/>
      <c r="BH51" s="596"/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65"/>
      <c r="D52" s="565"/>
      <c r="E52" s="774"/>
      <c r="F52" s="774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776"/>
      <c r="V52" s="776"/>
      <c r="W52" s="776"/>
      <c r="X52" s="776"/>
      <c r="Y52" s="776"/>
      <c r="Z52" s="776"/>
      <c r="AA52" s="776"/>
      <c r="AB52" s="776"/>
      <c r="AC52" s="776"/>
      <c r="AD52" s="776"/>
      <c r="AE52" s="776"/>
      <c r="AF52" s="776"/>
      <c r="AG52" s="776"/>
      <c r="AH52" s="776"/>
      <c r="AI52" s="776"/>
      <c r="AJ52" s="776"/>
      <c r="AK52" s="776"/>
      <c r="AL52" s="776"/>
      <c r="AM52" s="776"/>
      <c r="AN52" s="776"/>
      <c r="AO52" s="776"/>
      <c r="AP52" s="776"/>
      <c r="AQ52" s="579"/>
      <c r="AR52" s="579"/>
      <c r="AS52" s="580"/>
      <c r="AT52" s="571"/>
      <c r="AU52" s="565"/>
      <c r="AV52" s="568"/>
      <c r="AW52" s="568"/>
      <c r="AX52" s="568"/>
      <c r="AY52" s="565"/>
      <c r="AZ52" s="569"/>
      <c r="BA52" s="569"/>
      <c r="BB52" s="536"/>
      <c r="BC52" s="537"/>
      <c r="BD52" s="539"/>
      <c r="BE52" s="596"/>
      <c r="BF52" s="596"/>
      <c r="BG52" s="596"/>
      <c r="BH52" s="598"/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75"/>
      <c r="D53" s="576"/>
      <c r="E53" s="774"/>
      <c r="F53" s="774"/>
      <c r="G53" s="776" t="s">
        <v>385</v>
      </c>
      <c r="H53" s="776"/>
      <c r="I53" s="776"/>
      <c r="J53" s="816" t="s">
        <v>391</v>
      </c>
      <c r="K53" s="776"/>
      <c r="L53" s="776"/>
      <c r="M53" s="816" t="s">
        <v>414</v>
      </c>
      <c r="N53" s="776"/>
      <c r="O53" s="776"/>
      <c r="P53" s="816" t="s">
        <v>416</v>
      </c>
      <c r="Q53" s="776"/>
      <c r="R53" s="776"/>
      <c r="S53" s="776" t="s">
        <v>299</v>
      </c>
      <c r="T53" s="776"/>
      <c r="U53" s="776"/>
      <c r="V53" s="817" t="s">
        <v>400</v>
      </c>
      <c r="W53" s="817"/>
      <c r="X53" s="817"/>
      <c r="Y53" s="817" t="s">
        <v>400</v>
      </c>
      <c r="Z53" s="817"/>
      <c r="AA53" s="817"/>
      <c r="AB53" s="817" t="s">
        <v>400</v>
      </c>
      <c r="AC53" s="817"/>
      <c r="AD53" s="817"/>
      <c r="AE53" s="817" t="s">
        <v>400</v>
      </c>
      <c r="AF53" s="817"/>
      <c r="AG53" s="817"/>
      <c r="AH53" s="817" t="s">
        <v>400</v>
      </c>
      <c r="AI53" s="817"/>
      <c r="AJ53" s="817"/>
      <c r="AK53" s="817" t="s">
        <v>400</v>
      </c>
      <c r="AL53" s="817"/>
      <c r="AM53" s="817"/>
      <c r="AN53" s="817" t="s">
        <v>400</v>
      </c>
      <c r="AO53" s="817"/>
      <c r="AP53" s="817"/>
      <c r="AQ53" s="579"/>
      <c r="AR53" s="579"/>
      <c r="AS53" s="579"/>
      <c r="AT53" s="573"/>
      <c r="AU53" s="568"/>
      <c r="AV53" s="568"/>
      <c r="AW53" s="568"/>
      <c r="AX53" s="568"/>
      <c r="AY53" s="568"/>
      <c r="AZ53" s="569"/>
      <c r="BA53" s="569"/>
      <c r="BB53" s="551"/>
      <c r="BC53" s="552"/>
      <c r="BD53" s="538"/>
      <c r="BE53" s="596"/>
      <c r="BF53" s="596"/>
      <c r="BG53" s="596"/>
      <c r="BH53" s="598"/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774"/>
      <c r="F54" s="774"/>
      <c r="G54" s="776"/>
      <c r="H54" s="776"/>
      <c r="I54" s="776"/>
      <c r="J54" s="816"/>
      <c r="K54" s="776"/>
      <c r="L54" s="776"/>
      <c r="M54" s="816"/>
      <c r="N54" s="776"/>
      <c r="O54" s="776"/>
      <c r="P54" s="776"/>
      <c r="Q54" s="776"/>
      <c r="R54" s="776"/>
      <c r="S54" s="776"/>
      <c r="T54" s="776"/>
      <c r="U54" s="776"/>
      <c r="V54" s="817"/>
      <c r="W54" s="817"/>
      <c r="X54" s="817"/>
      <c r="Y54" s="817"/>
      <c r="Z54" s="817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579"/>
      <c r="AR54" s="579"/>
      <c r="AS54" s="579"/>
      <c r="AT54" s="573"/>
      <c r="AU54" s="568"/>
      <c r="AV54" s="568"/>
      <c r="AW54" s="568"/>
      <c r="AX54" s="568"/>
      <c r="AY54" s="568"/>
      <c r="AZ54" s="569"/>
      <c r="BA54" s="569"/>
      <c r="BB54" s="551"/>
      <c r="BC54" s="552"/>
      <c r="BD54" s="538"/>
      <c r="BE54" s="596"/>
      <c r="BF54" s="596"/>
      <c r="BG54" s="596"/>
      <c r="BH54" s="596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774"/>
      <c r="F55" s="774"/>
      <c r="G55" s="776"/>
      <c r="H55" s="776"/>
      <c r="I55" s="776"/>
      <c r="J55" s="776"/>
      <c r="K55" s="776"/>
      <c r="L55" s="776"/>
      <c r="M55" s="776"/>
      <c r="N55" s="776"/>
      <c r="O55" s="776"/>
      <c r="P55" s="776"/>
      <c r="Q55" s="776"/>
      <c r="R55" s="776"/>
      <c r="S55" s="776"/>
      <c r="T55" s="776"/>
      <c r="U55" s="776"/>
      <c r="V55" s="817"/>
      <c r="W55" s="817"/>
      <c r="X55" s="817"/>
      <c r="Y55" s="817"/>
      <c r="Z55" s="817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/>
      <c r="BH55" s="598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774"/>
      <c r="F56" s="774"/>
      <c r="G56" s="776" t="s">
        <v>386</v>
      </c>
      <c r="H56" s="776"/>
      <c r="I56" s="776"/>
      <c r="J56" s="816" t="s">
        <v>392</v>
      </c>
      <c r="K56" s="776"/>
      <c r="L56" s="776"/>
      <c r="M56" s="816" t="s">
        <v>414</v>
      </c>
      <c r="N56" s="776"/>
      <c r="O56" s="776"/>
      <c r="P56" s="816" t="s">
        <v>416</v>
      </c>
      <c r="Q56" s="776"/>
      <c r="R56" s="776"/>
      <c r="S56" s="775" t="s">
        <v>396</v>
      </c>
      <c r="T56" s="776"/>
      <c r="U56" s="776"/>
      <c r="V56" s="776" t="s">
        <v>401</v>
      </c>
      <c r="W56" s="776"/>
      <c r="X56" s="776"/>
      <c r="Y56" s="776" t="s">
        <v>401</v>
      </c>
      <c r="Z56" s="776"/>
      <c r="AA56" s="776"/>
      <c r="AB56" s="776" t="s">
        <v>401</v>
      </c>
      <c r="AC56" s="776"/>
      <c r="AD56" s="776"/>
      <c r="AE56" s="776" t="s">
        <v>401</v>
      </c>
      <c r="AF56" s="776"/>
      <c r="AG56" s="776"/>
      <c r="AH56" s="776" t="s">
        <v>401</v>
      </c>
      <c r="AI56" s="776"/>
      <c r="AJ56" s="776"/>
      <c r="AK56" s="776" t="s">
        <v>401</v>
      </c>
      <c r="AL56" s="776"/>
      <c r="AM56" s="776"/>
      <c r="AN56" s="776" t="s">
        <v>401</v>
      </c>
      <c r="AO56" s="776"/>
      <c r="AP56" s="776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8"/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774"/>
      <c r="F57" s="774"/>
      <c r="G57" s="776"/>
      <c r="H57" s="776"/>
      <c r="I57" s="776"/>
      <c r="J57" s="816"/>
      <c r="K57" s="776"/>
      <c r="L57" s="776"/>
      <c r="M57" s="816"/>
      <c r="N57" s="776"/>
      <c r="O57" s="776"/>
      <c r="P57" s="776"/>
      <c r="Q57" s="776"/>
      <c r="R57" s="776"/>
      <c r="S57" s="775"/>
      <c r="T57" s="776"/>
      <c r="U57" s="776"/>
      <c r="V57" s="776"/>
      <c r="W57" s="776"/>
      <c r="X57" s="776"/>
      <c r="Y57" s="776"/>
      <c r="Z57" s="776"/>
      <c r="AA57" s="776"/>
      <c r="AB57" s="776"/>
      <c r="AC57" s="776"/>
      <c r="AD57" s="776"/>
      <c r="AE57" s="776"/>
      <c r="AF57" s="776"/>
      <c r="AG57" s="776"/>
      <c r="AH57" s="776"/>
      <c r="AI57" s="776"/>
      <c r="AJ57" s="776"/>
      <c r="AK57" s="776"/>
      <c r="AL57" s="776"/>
      <c r="AM57" s="776"/>
      <c r="AN57" s="776"/>
      <c r="AO57" s="776"/>
      <c r="AP57" s="776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8"/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65"/>
      <c r="D58" s="565"/>
      <c r="E58" s="774"/>
      <c r="F58" s="774"/>
      <c r="G58" s="776"/>
      <c r="H58" s="776"/>
      <c r="I58" s="776"/>
      <c r="J58" s="776"/>
      <c r="K58" s="776"/>
      <c r="L58" s="776"/>
      <c r="M58" s="776"/>
      <c r="N58" s="776"/>
      <c r="O58" s="776"/>
      <c r="P58" s="776"/>
      <c r="Q58" s="776"/>
      <c r="R58" s="776"/>
      <c r="S58" s="776"/>
      <c r="T58" s="776"/>
      <c r="U58" s="776"/>
      <c r="V58" s="776"/>
      <c r="W58" s="776"/>
      <c r="X58" s="776"/>
      <c r="Y58" s="776"/>
      <c r="Z58" s="776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579"/>
      <c r="AR58" s="579"/>
      <c r="AS58" s="580"/>
      <c r="AT58" s="571"/>
      <c r="AU58" s="565"/>
      <c r="AV58" s="568"/>
      <c r="AW58" s="568"/>
      <c r="AX58" s="568"/>
      <c r="AY58" s="565"/>
      <c r="AZ58" s="569"/>
      <c r="BA58" s="569"/>
      <c r="BB58" s="536"/>
      <c r="BC58" s="537"/>
      <c r="BD58" s="539"/>
      <c r="BE58" s="596"/>
      <c r="BF58" s="596"/>
      <c r="BG58" s="596"/>
      <c r="BH58" s="598"/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774"/>
      <c r="F59" s="774"/>
      <c r="G59" s="776" t="s">
        <v>299</v>
      </c>
      <c r="H59" s="776"/>
      <c r="I59" s="776"/>
      <c r="J59" s="816" t="s">
        <v>393</v>
      </c>
      <c r="K59" s="776"/>
      <c r="L59" s="776"/>
      <c r="M59" s="776" t="s">
        <v>299</v>
      </c>
      <c r="N59" s="776"/>
      <c r="O59" s="776"/>
      <c r="P59" s="776" t="s">
        <v>299</v>
      </c>
      <c r="Q59" s="776"/>
      <c r="R59" s="776"/>
      <c r="S59" s="776" t="s">
        <v>299</v>
      </c>
      <c r="T59" s="776"/>
      <c r="U59" s="776"/>
      <c r="V59" s="776"/>
      <c r="W59" s="776"/>
      <c r="X59" s="776"/>
      <c r="Y59" s="776"/>
      <c r="Z59" s="776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579"/>
      <c r="AR59" s="579"/>
      <c r="AS59" s="579"/>
      <c r="AT59" s="573"/>
      <c r="AU59" s="568"/>
      <c r="AV59" s="568"/>
      <c r="AW59" s="568"/>
      <c r="AX59" s="568"/>
      <c r="AY59" s="568"/>
      <c r="AZ59" s="569"/>
      <c r="BA59" s="569"/>
      <c r="BB59" s="551"/>
      <c r="BC59" s="552"/>
      <c r="BD59" s="538"/>
      <c r="BE59" s="596"/>
      <c r="BF59" s="596"/>
      <c r="BG59" s="596"/>
      <c r="BH59" s="598"/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774"/>
      <c r="F60" s="774"/>
      <c r="G60" s="776"/>
      <c r="H60" s="776"/>
      <c r="I60" s="776"/>
      <c r="J60" s="816"/>
      <c r="K60" s="776"/>
      <c r="L60" s="776"/>
      <c r="M60" s="776"/>
      <c r="N60" s="776"/>
      <c r="O60" s="776"/>
      <c r="P60" s="776"/>
      <c r="Q60" s="776"/>
      <c r="R60" s="776"/>
      <c r="S60" s="776"/>
      <c r="T60" s="776"/>
      <c r="U60" s="776"/>
      <c r="V60" s="776"/>
      <c r="W60" s="776"/>
      <c r="X60" s="776"/>
      <c r="Y60" s="776"/>
      <c r="Z60" s="776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579"/>
      <c r="AR60" s="579"/>
      <c r="AS60" s="581"/>
      <c r="AT60" s="577"/>
      <c r="AU60" s="577"/>
      <c r="AV60" s="577"/>
      <c r="AW60" s="577"/>
      <c r="AX60" s="577"/>
      <c r="AY60" s="577"/>
      <c r="AZ60" s="569"/>
      <c r="BA60" s="569"/>
      <c r="BB60" s="551"/>
      <c r="BC60" s="552"/>
      <c r="BD60" s="538"/>
      <c r="BE60" s="596"/>
      <c r="BF60" s="596"/>
      <c r="BG60" s="596"/>
      <c r="BH60" s="598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774"/>
      <c r="F61" s="774"/>
      <c r="G61" s="776"/>
      <c r="H61" s="776"/>
      <c r="I61" s="776"/>
      <c r="J61" s="776"/>
      <c r="K61" s="776"/>
      <c r="L61" s="776"/>
      <c r="M61" s="776"/>
      <c r="N61" s="776"/>
      <c r="O61" s="776"/>
      <c r="P61" s="776"/>
      <c r="Q61" s="776"/>
      <c r="R61" s="776"/>
      <c r="S61" s="776"/>
      <c r="T61" s="776"/>
      <c r="U61" s="776"/>
      <c r="V61" s="776"/>
      <c r="W61" s="776"/>
      <c r="X61" s="776"/>
      <c r="Y61" s="776"/>
      <c r="Z61" s="776"/>
      <c r="AA61" s="776"/>
      <c r="AB61" s="776"/>
      <c r="AC61" s="776"/>
      <c r="AD61" s="776"/>
      <c r="AE61" s="776"/>
      <c r="AF61" s="776"/>
      <c r="AG61" s="776"/>
      <c r="AH61" s="776"/>
      <c r="AI61" s="776"/>
      <c r="AJ61" s="776"/>
      <c r="AK61" s="776"/>
      <c r="AL61" s="776"/>
      <c r="AM61" s="776"/>
      <c r="AN61" s="776"/>
      <c r="AO61" s="776"/>
      <c r="AP61" s="776"/>
      <c r="AQ61" s="579"/>
      <c r="AR61" s="579"/>
      <c r="AS61" s="581"/>
      <c r="AT61" s="577"/>
      <c r="AU61" s="577"/>
      <c r="AV61" s="577"/>
      <c r="AW61" s="577"/>
      <c r="AX61" s="577"/>
      <c r="AY61" s="577"/>
      <c r="AZ61" s="569"/>
      <c r="BA61" s="569"/>
      <c r="BB61" s="551"/>
      <c r="BC61" s="552"/>
      <c r="BD61" s="538"/>
      <c r="BE61" s="596"/>
      <c r="BF61" s="596"/>
      <c r="BG61" s="596"/>
      <c r="BH61" s="598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65"/>
      <c r="D62" s="565"/>
      <c r="E62" s="565"/>
      <c r="F62" s="565"/>
      <c r="G62" s="565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0"/>
      <c r="AT62" s="571"/>
      <c r="AU62" s="565"/>
      <c r="AV62" s="568"/>
      <c r="AW62" s="568"/>
      <c r="AX62" s="568"/>
      <c r="AY62" s="565"/>
      <c r="AZ62" s="569"/>
      <c r="BA62" s="569"/>
      <c r="BB62" s="536"/>
      <c r="BC62" s="537"/>
      <c r="BD62" s="539"/>
      <c r="BE62" s="596"/>
      <c r="BF62" s="596"/>
      <c r="BG62" s="596"/>
      <c r="BH62" s="598"/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579"/>
      <c r="K63" s="579"/>
      <c r="L63" s="579"/>
      <c r="M63" s="579"/>
      <c r="N63" s="579"/>
      <c r="O63" s="579"/>
      <c r="P63" s="579"/>
      <c r="Q63" s="579"/>
      <c r="R63" s="579"/>
      <c r="S63" s="579"/>
      <c r="T63" s="579"/>
      <c r="U63" s="579"/>
      <c r="V63" s="579"/>
      <c r="W63" s="579"/>
      <c r="X63" s="579"/>
      <c r="Y63" s="579"/>
      <c r="Z63" s="579"/>
      <c r="AA63" s="579"/>
      <c r="AB63" s="579"/>
      <c r="AC63" s="579"/>
      <c r="AD63" s="579"/>
      <c r="AE63" s="579"/>
      <c r="AF63" s="579"/>
      <c r="AG63" s="579"/>
      <c r="AH63" s="579"/>
      <c r="AI63" s="579"/>
      <c r="AJ63" s="579"/>
      <c r="AK63" s="579"/>
      <c r="AL63" s="579"/>
      <c r="AM63" s="579"/>
      <c r="AN63" s="579"/>
      <c r="AO63" s="579"/>
      <c r="AP63" s="579"/>
      <c r="AQ63" s="579"/>
      <c r="AR63" s="579"/>
      <c r="AS63" s="579"/>
      <c r="AT63" s="573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8"/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8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568"/>
      <c r="F65" s="568"/>
      <c r="G65" s="568"/>
      <c r="H65" s="579"/>
      <c r="I65" s="579"/>
      <c r="J65" s="793"/>
      <c r="K65" s="793"/>
      <c r="L65" s="793"/>
      <c r="M65" s="793"/>
      <c r="N65" s="582"/>
      <c r="O65" s="583"/>
      <c r="P65" s="582"/>
      <c r="Q65" s="579"/>
      <c r="R65" s="579"/>
      <c r="S65" s="579"/>
      <c r="T65" s="580"/>
      <c r="U65" s="580"/>
      <c r="V65" s="580"/>
      <c r="W65" s="580"/>
      <c r="X65" s="580"/>
      <c r="Y65" s="583"/>
      <c r="Z65" s="580"/>
      <c r="AA65" s="579"/>
      <c r="AB65" s="583"/>
      <c r="AC65" s="580"/>
      <c r="AD65" s="579"/>
      <c r="AE65" s="583"/>
      <c r="AF65" s="579"/>
      <c r="AG65" s="579"/>
      <c r="AH65" s="583"/>
      <c r="AI65" s="579"/>
      <c r="AJ65" s="579"/>
      <c r="AK65" s="584"/>
      <c r="AL65" s="579"/>
      <c r="AM65" s="579"/>
      <c r="AN65" s="579"/>
      <c r="AO65" s="579"/>
      <c r="AP65" s="579"/>
      <c r="AQ65" s="579"/>
      <c r="AR65" s="579"/>
      <c r="AS65" s="579"/>
      <c r="AT65" s="568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/>
      <c r="BH65" s="598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/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79"/>
      <c r="AT66" s="573"/>
      <c r="AU66" s="568"/>
      <c r="AV66" s="568"/>
      <c r="AW66" s="568"/>
      <c r="AX66" s="568"/>
      <c r="AY66" s="568"/>
      <c r="AZ66" s="569"/>
      <c r="BA66" s="569"/>
      <c r="BB66" s="551"/>
      <c r="BC66" s="552"/>
      <c r="BD66" s="538"/>
      <c r="BE66" s="596"/>
      <c r="BF66" s="596"/>
      <c r="BG66" s="596"/>
      <c r="BH66" s="598"/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6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79"/>
      <c r="AI67" s="579"/>
      <c r="AJ67" s="579"/>
      <c r="AK67" s="579"/>
      <c r="AL67" s="579"/>
      <c r="AM67" s="579"/>
      <c r="AN67" s="579"/>
      <c r="AO67" s="579"/>
      <c r="AP67" s="579"/>
      <c r="AQ67" s="579"/>
      <c r="AR67" s="579"/>
      <c r="AS67" s="581"/>
      <c r="AT67" s="577"/>
      <c r="AU67" s="577"/>
      <c r="AV67" s="577"/>
      <c r="AW67" s="577"/>
      <c r="AX67" s="577"/>
      <c r="AY67" s="577"/>
      <c r="AZ67" s="569"/>
      <c r="BA67" s="569"/>
      <c r="BB67" s="551"/>
      <c r="BC67" s="552"/>
      <c r="BD67" s="538"/>
      <c r="BE67" s="596"/>
      <c r="BF67" s="596"/>
      <c r="BG67" s="596"/>
      <c r="BH67" s="598"/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6"/>
      <c r="BT67" s="596"/>
    </row>
    <row r="68" spans="1:72" ht="12.5" customHeight="1">
      <c r="A68" s="540"/>
      <c r="B68" s="566"/>
      <c r="C68" s="575"/>
      <c r="D68" s="576"/>
      <c r="E68" s="568"/>
      <c r="F68" s="568"/>
      <c r="G68" s="568"/>
      <c r="H68" s="579"/>
      <c r="I68" s="579"/>
      <c r="J68" s="793"/>
      <c r="K68" s="793"/>
      <c r="L68" s="793"/>
      <c r="M68" s="793"/>
      <c r="N68" s="582"/>
      <c r="O68" s="583"/>
      <c r="P68" s="582"/>
      <c r="Q68" s="579"/>
      <c r="R68" s="579"/>
      <c r="S68" s="579"/>
      <c r="T68" s="580"/>
      <c r="U68" s="580"/>
      <c r="V68" s="580"/>
      <c r="W68" s="580"/>
      <c r="X68" s="580"/>
      <c r="Y68" s="583"/>
      <c r="Z68" s="580"/>
      <c r="AA68" s="579"/>
      <c r="AB68" s="583"/>
      <c r="AC68" s="580"/>
      <c r="AD68" s="579"/>
      <c r="AE68" s="583"/>
      <c r="AF68" s="579"/>
      <c r="AG68" s="579"/>
      <c r="AH68" s="583"/>
      <c r="AI68" s="579"/>
      <c r="AJ68" s="579"/>
      <c r="AK68" s="584"/>
      <c r="AL68" s="579"/>
      <c r="AM68" s="579"/>
      <c r="AN68" s="579"/>
      <c r="AO68" s="579"/>
      <c r="AP68" s="579"/>
      <c r="AQ68" s="579"/>
      <c r="AR68" s="579"/>
      <c r="AS68" s="579"/>
      <c r="AT68" s="568"/>
      <c r="AU68" s="568"/>
      <c r="AV68" s="568"/>
      <c r="AW68" s="568"/>
      <c r="AX68" s="568"/>
      <c r="AY68" s="568"/>
      <c r="AZ68" s="569"/>
      <c r="BA68" s="569"/>
      <c r="BB68" s="551"/>
      <c r="BC68" s="552"/>
      <c r="BD68" s="538"/>
      <c r="BE68" s="596"/>
      <c r="BF68" s="596"/>
      <c r="BG68" s="596"/>
      <c r="BH68" s="598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6"/>
      <c r="BT68" s="596"/>
    </row>
    <row r="69" spans="1:72" ht="12.5" customHeight="1">
      <c r="A69" s="540"/>
      <c r="B69" s="566"/>
      <c r="C69" s="575"/>
      <c r="D69" s="576"/>
      <c r="E69" s="568"/>
      <c r="F69" s="568"/>
      <c r="G69" s="568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81"/>
      <c r="AT69" s="577"/>
      <c r="AU69" s="577"/>
      <c r="AV69" s="577"/>
      <c r="AW69" s="577"/>
      <c r="AX69" s="577"/>
      <c r="AY69" s="577"/>
      <c r="AZ69" s="569"/>
      <c r="BA69" s="569"/>
      <c r="BB69" s="551"/>
      <c r="BC69" s="552"/>
      <c r="BD69" s="538"/>
      <c r="BE69" s="596"/>
      <c r="BF69" s="596"/>
      <c r="BG69" s="596"/>
      <c r="BH69" s="598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6"/>
      <c r="BT69" s="596"/>
    </row>
    <row r="70" spans="1:72" ht="12.5" customHeight="1">
      <c r="A70" s="540"/>
      <c r="B70" s="566"/>
      <c r="C70" s="575"/>
      <c r="D70" s="576"/>
      <c r="E70" s="625" t="s">
        <v>402</v>
      </c>
      <c r="F70" s="568"/>
      <c r="G70" s="568"/>
      <c r="H70" s="579"/>
      <c r="I70" s="579"/>
      <c r="J70" s="579"/>
      <c r="K70" s="579"/>
      <c r="L70" s="579"/>
      <c r="M70" s="579"/>
      <c r="N70" s="579"/>
      <c r="O70" s="579"/>
      <c r="P70" s="579"/>
      <c r="Q70" s="579"/>
      <c r="R70" s="579"/>
      <c r="S70" s="579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79"/>
      <c r="AT70" s="573"/>
      <c r="AU70" s="568"/>
      <c r="AV70" s="568"/>
      <c r="AW70" s="568"/>
      <c r="AX70" s="568"/>
      <c r="AY70" s="568"/>
      <c r="AZ70" s="569"/>
      <c r="BA70" s="569"/>
      <c r="BB70" s="551"/>
      <c r="BC70" s="552"/>
      <c r="BD70" s="538"/>
      <c r="BE70" s="596"/>
      <c r="BF70" s="596"/>
      <c r="BG70" s="596"/>
      <c r="BH70" s="598"/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568" t="s">
        <v>417</v>
      </c>
      <c r="F71" s="568"/>
      <c r="G71" s="568"/>
      <c r="H71" s="579"/>
      <c r="I71" s="579"/>
      <c r="J71" s="579"/>
      <c r="K71" s="579"/>
      <c r="L71" s="579"/>
      <c r="M71" s="579"/>
      <c r="N71" s="579"/>
      <c r="O71" s="579"/>
      <c r="P71" s="579"/>
      <c r="Q71" s="579"/>
      <c r="R71" s="579"/>
      <c r="S71" s="579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81"/>
      <c r="AT71" s="577"/>
      <c r="AU71" s="577"/>
      <c r="AV71" s="577"/>
      <c r="AW71" s="577"/>
      <c r="AX71" s="577"/>
      <c r="AY71" s="577"/>
      <c r="AZ71" s="569"/>
      <c r="BA71" s="569"/>
      <c r="BB71" s="551"/>
      <c r="BC71" s="552"/>
      <c r="BD71" s="538"/>
      <c r="BE71" s="596"/>
      <c r="BF71" s="596"/>
      <c r="BG71" s="596"/>
      <c r="BH71" s="598"/>
      <c r="BI71" s="596"/>
      <c r="BJ71" s="596"/>
      <c r="BK71" s="596"/>
      <c r="BL71" s="596"/>
      <c r="BM71" s="596"/>
      <c r="BN71" s="596"/>
      <c r="BO71" s="596"/>
      <c r="BP71" s="596"/>
      <c r="BQ71" s="596"/>
      <c r="BR71" s="596"/>
      <c r="BS71" s="597"/>
      <c r="BT71" s="596"/>
    </row>
    <row r="72" spans="1:72" ht="12.5" customHeight="1">
      <c r="A72" s="540"/>
      <c r="B72" s="566"/>
      <c r="C72" s="575"/>
      <c r="D72" s="576"/>
      <c r="E72" s="568"/>
      <c r="F72" s="568"/>
      <c r="G72" s="568"/>
      <c r="H72" s="579"/>
      <c r="I72" s="579"/>
      <c r="J72" s="793"/>
      <c r="K72" s="793"/>
      <c r="L72" s="793"/>
      <c r="M72" s="793"/>
      <c r="N72" s="582"/>
      <c r="O72" s="583"/>
      <c r="P72" s="582"/>
      <c r="Q72" s="579"/>
      <c r="R72" s="579"/>
      <c r="S72" s="579"/>
      <c r="T72" s="580"/>
      <c r="U72" s="580"/>
      <c r="V72" s="580"/>
      <c r="W72" s="580"/>
      <c r="X72" s="580"/>
      <c r="Y72" s="583"/>
      <c r="Z72" s="580"/>
      <c r="AA72" s="579"/>
      <c r="AB72" s="583"/>
      <c r="AC72" s="580"/>
      <c r="AD72" s="579"/>
      <c r="AE72" s="583"/>
      <c r="AF72" s="579"/>
      <c r="AG72" s="579"/>
      <c r="AH72" s="583"/>
      <c r="AI72" s="579"/>
      <c r="AJ72" s="579"/>
      <c r="AK72" s="584"/>
      <c r="AL72" s="579"/>
      <c r="AM72" s="579"/>
      <c r="AN72" s="579"/>
      <c r="AO72" s="579"/>
      <c r="AP72" s="579"/>
      <c r="AQ72" s="579"/>
      <c r="AR72" s="579"/>
      <c r="AS72" s="579"/>
      <c r="AT72" s="568"/>
      <c r="AU72" s="568"/>
      <c r="AV72" s="568"/>
      <c r="AW72" s="568"/>
      <c r="AX72" s="568"/>
      <c r="AY72" s="568"/>
      <c r="AZ72" s="569"/>
      <c r="BA72" s="569"/>
      <c r="BB72" s="551"/>
      <c r="BC72" s="552"/>
      <c r="BD72" s="538"/>
      <c r="BE72" s="596"/>
      <c r="BF72" s="596"/>
      <c r="BG72" s="596"/>
      <c r="BH72" s="598"/>
      <c r="BI72" s="596"/>
      <c r="BJ72" s="596"/>
      <c r="BK72" s="596"/>
      <c r="BL72" s="596"/>
      <c r="BM72" s="596"/>
      <c r="BN72" s="596"/>
      <c r="BO72" s="596"/>
      <c r="BP72" s="596"/>
      <c r="BQ72" s="596"/>
      <c r="BR72" s="596"/>
      <c r="BS72" s="597"/>
      <c r="BT72" s="596"/>
    </row>
    <row r="73" spans="1:72" ht="12.5" customHeight="1">
      <c r="A73" s="540"/>
      <c r="B73" s="566"/>
      <c r="C73" s="567"/>
      <c r="D73" s="567"/>
      <c r="E73" s="626"/>
      <c r="F73" s="626"/>
      <c r="G73" s="626"/>
      <c r="H73" s="626"/>
      <c r="I73" s="626"/>
      <c r="J73" s="626"/>
      <c r="K73" s="626"/>
      <c r="L73" s="626"/>
      <c r="M73" s="626"/>
      <c r="N73" s="626"/>
      <c r="O73" s="626"/>
      <c r="P73" s="626"/>
      <c r="Q73" s="626"/>
      <c r="R73" s="626"/>
      <c r="S73" s="626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9"/>
      <c r="BA73" s="569"/>
      <c r="BB73" s="551"/>
      <c r="BC73" s="552"/>
      <c r="BD73" s="538"/>
      <c r="BE73" s="596"/>
      <c r="BF73" s="596"/>
      <c r="BG73" s="596"/>
      <c r="BH73" s="598"/>
      <c r="BI73" s="596"/>
      <c r="BJ73" s="596"/>
      <c r="BK73" s="596"/>
      <c r="BL73" s="596"/>
      <c r="BM73" s="596"/>
      <c r="BN73" s="596"/>
      <c r="BO73" s="596"/>
      <c r="BP73" s="596"/>
      <c r="BQ73" s="596"/>
      <c r="BR73" s="596"/>
      <c r="BS73" s="597"/>
      <c r="BT73" s="596"/>
    </row>
    <row r="74" spans="1:72" ht="12.5" customHeight="1">
      <c r="A74" s="540"/>
      <c r="B74" s="566"/>
      <c r="C74" s="575"/>
      <c r="D74" s="576"/>
      <c r="E74" s="627"/>
      <c r="F74" s="627"/>
      <c r="G74" s="632" t="s">
        <v>403</v>
      </c>
      <c r="H74" s="631"/>
      <c r="I74" s="631"/>
      <c r="J74" s="631"/>
      <c r="K74" s="631"/>
      <c r="L74" s="631"/>
      <c r="M74" s="631"/>
      <c r="N74" s="631"/>
      <c r="O74" s="631"/>
      <c r="P74" s="631"/>
      <c r="Q74" s="628"/>
      <c r="R74" s="628"/>
      <c r="S74" s="628"/>
      <c r="T74" s="579"/>
      <c r="U74" s="579"/>
      <c r="V74" s="579"/>
      <c r="W74" s="579"/>
      <c r="X74" s="579"/>
      <c r="Y74" s="579"/>
      <c r="Z74" s="579"/>
      <c r="AA74" s="579"/>
      <c r="AB74" s="579"/>
      <c r="AC74" s="579"/>
      <c r="AD74" s="579"/>
      <c r="AE74" s="579"/>
      <c r="AF74" s="579"/>
      <c r="AG74" s="579"/>
      <c r="AH74" s="579"/>
      <c r="AI74" s="579"/>
      <c r="AJ74" s="579"/>
      <c r="AK74" s="579"/>
      <c r="AL74" s="579"/>
      <c r="AM74" s="579"/>
      <c r="AN74" s="579"/>
      <c r="AO74" s="579"/>
      <c r="AP74" s="579"/>
      <c r="AQ74" s="579"/>
      <c r="AR74" s="579"/>
      <c r="AS74" s="579"/>
      <c r="AT74" s="573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7"/>
      <c r="BT74" s="596"/>
    </row>
    <row r="75" spans="1:72" ht="12.5" customHeight="1">
      <c r="A75" s="540"/>
      <c r="B75" s="566"/>
      <c r="C75" s="575"/>
      <c r="D75" s="576"/>
      <c r="E75" s="627"/>
      <c r="F75" s="627"/>
      <c r="G75" s="627"/>
      <c r="H75" s="628"/>
      <c r="I75" s="628"/>
      <c r="J75" s="631" t="s">
        <v>404</v>
      </c>
      <c r="K75" s="631"/>
      <c r="L75" s="631"/>
      <c r="M75" s="631"/>
      <c r="N75" s="628"/>
      <c r="O75" s="628"/>
      <c r="P75" s="628"/>
      <c r="Q75" s="628"/>
      <c r="R75" s="628"/>
      <c r="S75" s="628"/>
      <c r="T75" s="579"/>
      <c r="U75" s="579"/>
      <c r="V75" s="579"/>
      <c r="W75" s="579"/>
      <c r="X75" s="579"/>
      <c r="Y75" s="579"/>
      <c r="Z75" s="579"/>
      <c r="AA75" s="579"/>
      <c r="AB75" s="579"/>
      <c r="AC75" s="579"/>
      <c r="AD75" s="579"/>
      <c r="AE75" s="579"/>
      <c r="AF75" s="579"/>
      <c r="AG75" s="579"/>
      <c r="AH75" s="579"/>
      <c r="AI75" s="579"/>
      <c r="AJ75" s="579"/>
      <c r="AK75" s="579"/>
      <c r="AL75" s="579"/>
      <c r="AM75" s="579"/>
      <c r="AN75" s="579"/>
      <c r="AO75" s="579"/>
      <c r="AP75" s="579"/>
      <c r="AQ75" s="579"/>
      <c r="AR75" s="579"/>
      <c r="AS75" s="581"/>
      <c r="AT75" s="577"/>
      <c r="AU75" s="577"/>
      <c r="AV75" s="577"/>
      <c r="AW75" s="577"/>
      <c r="AX75" s="577"/>
      <c r="AY75" s="577"/>
      <c r="AZ75" s="569"/>
      <c r="BA75" s="569"/>
      <c r="BB75" s="551"/>
      <c r="BC75" s="552"/>
      <c r="BD75" s="538"/>
      <c r="BE75" s="596"/>
      <c r="BF75" s="596"/>
      <c r="BG75" s="596"/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764" t="s">
        <v>442</v>
      </c>
      <c r="F76" s="764"/>
      <c r="G76" s="764"/>
      <c r="H76" s="764"/>
      <c r="I76" s="764"/>
      <c r="J76" s="764"/>
      <c r="K76" s="764"/>
      <c r="L76" s="764"/>
      <c r="M76" s="764"/>
      <c r="N76" s="764"/>
      <c r="O76" s="764"/>
      <c r="P76" s="764"/>
      <c r="Q76" s="764"/>
      <c r="R76" s="764"/>
      <c r="S76" s="764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6"/>
      <c r="BI76" s="596"/>
      <c r="BJ76" s="596"/>
      <c r="BK76" s="596"/>
      <c r="BL76" s="596"/>
      <c r="BM76" s="597"/>
      <c r="BN76" s="597"/>
      <c r="BO76" s="597"/>
      <c r="BP76" s="597"/>
      <c r="BQ76" s="597"/>
      <c r="BR76" s="597"/>
      <c r="BS76" s="596"/>
      <c r="BT76" s="596"/>
    </row>
    <row r="77" spans="1:72" ht="12.5" customHeight="1">
      <c r="A77" s="540"/>
      <c r="B77" s="566"/>
      <c r="C77" s="575"/>
      <c r="D77" s="576"/>
      <c r="E77" s="627"/>
      <c r="F77" s="627"/>
      <c r="G77" s="627"/>
      <c r="H77" s="628"/>
      <c r="I77" s="628"/>
      <c r="J77" s="631" t="s">
        <v>418</v>
      </c>
      <c r="K77" s="631"/>
      <c r="L77" s="631"/>
      <c r="M77" s="631"/>
      <c r="N77" s="628"/>
      <c r="O77" s="628"/>
      <c r="P77" s="628"/>
      <c r="Q77" s="628"/>
      <c r="R77" s="628"/>
      <c r="S77" s="628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8"/>
      <c r="BI77" s="596"/>
      <c r="BJ77" s="596"/>
      <c r="BK77" s="596"/>
      <c r="BL77" s="596"/>
      <c r="BM77" s="597"/>
      <c r="BN77" s="597"/>
      <c r="BO77" s="597"/>
      <c r="BP77" s="597"/>
      <c r="BQ77" s="597"/>
      <c r="BR77" s="597"/>
      <c r="BS77" s="596"/>
      <c r="BT77" s="596"/>
    </row>
    <row r="78" spans="1:72" ht="12.5" customHeight="1">
      <c r="A78" s="540"/>
      <c r="B78" s="566"/>
      <c r="C78" s="575"/>
      <c r="D78" s="576"/>
      <c r="E78" s="627"/>
      <c r="F78" s="627"/>
      <c r="G78" s="627"/>
      <c r="H78" s="628"/>
      <c r="I78" s="628"/>
      <c r="J78" s="633"/>
      <c r="K78" s="633"/>
      <c r="L78" s="633"/>
      <c r="M78" s="633"/>
      <c r="N78" s="629"/>
      <c r="O78" s="630"/>
      <c r="P78" s="629"/>
      <c r="Q78" s="628"/>
      <c r="R78" s="628"/>
      <c r="S78" s="628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8"/>
      <c r="BI78" s="596"/>
      <c r="BJ78" s="596"/>
      <c r="BK78" s="596"/>
      <c r="BL78" s="596"/>
      <c r="BM78" s="597"/>
      <c r="BN78" s="597"/>
      <c r="BO78" s="597"/>
      <c r="BP78" s="597"/>
      <c r="BQ78" s="597"/>
      <c r="BR78" s="597"/>
      <c r="BS78" s="596"/>
      <c r="BT78" s="596"/>
    </row>
    <row r="79" spans="1:72" ht="12.5" customHeight="1">
      <c r="A79" s="540"/>
      <c r="B79" s="566"/>
      <c r="C79" s="575"/>
      <c r="D79" s="576"/>
      <c r="E79" s="627"/>
      <c r="F79" s="627"/>
      <c r="G79" s="627"/>
      <c r="H79" s="628"/>
      <c r="I79" s="628"/>
      <c r="J79" s="818"/>
      <c r="K79" s="818"/>
      <c r="L79" s="818"/>
      <c r="M79" s="818"/>
      <c r="N79" s="629"/>
      <c r="O79" s="630"/>
      <c r="P79" s="629"/>
      <c r="Q79" s="628"/>
      <c r="R79" s="628"/>
      <c r="S79" s="628"/>
      <c r="T79" s="580"/>
      <c r="U79" s="580"/>
      <c r="V79" s="580"/>
      <c r="W79" s="580"/>
      <c r="X79" s="580"/>
      <c r="Y79" s="583"/>
      <c r="Z79" s="580"/>
      <c r="AA79" s="579"/>
      <c r="AB79" s="583"/>
      <c r="AC79" s="580"/>
      <c r="AD79" s="579"/>
      <c r="AE79" s="583"/>
      <c r="AF79" s="579"/>
      <c r="AG79" s="579"/>
      <c r="AH79" s="583"/>
      <c r="AI79" s="579"/>
      <c r="AJ79" s="579"/>
      <c r="AK79" s="584"/>
      <c r="AL79" s="579"/>
      <c r="AM79" s="579"/>
      <c r="AN79" s="579"/>
      <c r="AO79" s="579"/>
      <c r="AP79" s="579"/>
      <c r="AQ79" s="579"/>
      <c r="AR79" s="579"/>
      <c r="AS79" s="579"/>
      <c r="AT79" s="568"/>
      <c r="AU79" s="568"/>
      <c r="AV79" s="568"/>
      <c r="AW79" s="568"/>
      <c r="AX79" s="568"/>
      <c r="AY79" s="568"/>
      <c r="AZ79" s="569"/>
      <c r="BA79" s="569"/>
      <c r="BB79" s="551"/>
      <c r="BC79" s="552"/>
      <c r="BD79" s="538"/>
      <c r="BE79" s="596"/>
      <c r="BF79" s="596"/>
      <c r="BG79" s="596"/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5" customHeight="1">
      <c r="A80" s="540"/>
      <c r="B80" s="566"/>
      <c r="C80" s="567"/>
      <c r="D80" s="567"/>
      <c r="E80" s="626"/>
      <c r="F80" s="626"/>
      <c r="G80" s="626"/>
      <c r="H80" s="626"/>
      <c r="I80" s="626"/>
      <c r="J80" s="626"/>
      <c r="K80" s="626"/>
      <c r="L80" s="626"/>
      <c r="M80" s="626"/>
      <c r="N80" s="626"/>
      <c r="O80" s="626"/>
      <c r="P80" s="626"/>
      <c r="Q80" s="626"/>
      <c r="R80" s="626"/>
      <c r="S80" s="626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51"/>
      <c r="BC80" s="552"/>
      <c r="BD80" s="538"/>
      <c r="BE80" s="596"/>
      <c r="BF80" s="596"/>
      <c r="BG80" s="596"/>
      <c r="BH80" s="596"/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2.5" customHeight="1">
      <c r="A81" s="540"/>
      <c r="B81" s="566"/>
      <c r="C81" s="575"/>
      <c r="D81" s="576"/>
      <c r="E81" s="626"/>
      <c r="F81" s="626"/>
      <c r="G81" s="626"/>
      <c r="H81" s="626"/>
      <c r="I81" s="626"/>
      <c r="J81" s="626"/>
      <c r="K81" s="626"/>
      <c r="L81" s="626"/>
      <c r="M81" s="626"/>
      <c r="N81" s="626"/>
      <c r="O81" s="626"/>
      <c r="P81" s="626"/>
      <c r="Q81" s="626"/>
      <c r="R81" s="626"/>
      <c r="S81" s="626"/>
      <c r="T81" s="579"/>
      <c r="U81" s="579"/>
      <c r="V81" s="579"/>
      <c r="W81" s="579"/>
      <c r="X81" s="579"/>
      <c r="Y81" s="579"/>
      <c r="Z81" s="579"/>
      <c r="AA81" s="579"/>
      <c r="AB81" s="579"/>
      <c r="AC81" s="579"/>
      <c r="AD81" s="579"/>
      <c r="AE81" s="579"/>
      <c r="AF81" s="579"/>
      <c r="AG81" s="579"/>
      <c r="AH81" s="579"/>
      <c r="AI81" s="579"/>
      <c r="AJ81" s="579"/>
      <c r="AK81" s="579"/>
      <c r="AL81" s="579"/>
      <c r="AM81" s="579"/>
      <c r="AN81" s="579"/>
      <c r="AO81" s="579"/>
      <c r="AP81" s="579"/>
      <c r="AQ81" s="579"/>
      <c r="AR81" s="579"/>
      <c r="AS81" s="579"/>
      <c r="AT81" s="573"/>
      <c r="AU81" s="568"/>
      <c r="AV81" s="568"/>
      <c r="AW81" s="568"/>
      <c r="AX81" s="568"/>
      <c r="AY81" s="568"/>
      <c r="AZ81" s="569"/>
      <c r="BA81" s="569"/>
      <c r="BB81" s="551"/>
      <c r="BC81" s="552"/>
      <c r="BD81" s="538"/>
      <c r="BE81" s="596"/>
      <c r="BF81" s="596"/>
      <c r="BG81" s="596"/>
      <c r="BH81" s="598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2.5" customHeight="1">
      <c r="A82" s="540"/>
      <c r="B82" s="566"/>
      <c r="C82" s="575"/>
      <c r="D82" s="576"/>
      <c r="E82" s="568"/>
      <c r="F82" s="568"/>
      <c r="G82" s="568"/>
      <c r="H82" s="579"/>
      <c r="I82" s="579"/>
      <c r="J82" s="579"/>
      <c r="K82" s="579"/>
      <c r="L82" s="579"/>
      <c r="M82" s="579"/>
      <c r="N82" s="579"/>
      <c r="O82" s="579"/>
      <c r="P82" s="579"/>
      <c r="Q82" s="579"/>
      <c r="R82" s="579"/>
      <c r="S82" s="579"/>
      <c r="T82" s="579"/>
      <c r="U82" s="579"/>
      <c r="V82" s="579"/>
      <c r="W82" s="579"/>
      <c r="X82" s="579"/>
      <c r="Y82" s="579"/>
      <c r="Z82" s="579"/>
      <c r="AA82" s="579"/>
      <c r="AB82" s="579"/>
      <c r="AC82" s="579"/>
      <c r="AD82" s="579"/>
      <c r="AE82" s="579"/>
      <c r="AF82" s="579"/>
      <c r="AG82" s="579"/>
      <c r="AH82" s="579"/>
      <c r="AI82" s="579"/>
      <c r="AJ82" s="579"/>
      <c r="AK82" s="579"/>
      <c r="AL82" s="579"/>
      <c r="AM82" s="579"/>
      <c r="AN82" s="579"/>
      <c r="AO82" s="579"/>
      <c r="AP82" s="579"/>
      <c r="AQ82" s="579"/>
      <c r="AR82" s="579"/>
      <c r="AS82" s="581"/>
      <c r="AT82" s="577"/>
      <c r="AU82" s="577"/>
      <c r="AV82" s="577"/>
      <c r="AW82" s="577"/>
      <c r="AX82" s="577"/>
      <c r="AY82" s="577"/>
      <c r="AZ82" s="569"/>
      <c r="BA82" s="569"/>
      <c r="BB82" s="551"/>
      <c r="BC82" s="552"/>
      <c r="BD82" s="538"/>
      <c r="BE82" s="596"/>
      <c r="BF82" s="596"/>
      <c r="BG82" s="596"/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566"/>
      <c r="C83" s="575"/>
      <c r="D83" s="576"/>
      <c r="E83" s="568"/>
      <c r="F83" s="568"/>
      <c r="G83" s="568"/>
      <c r="H83" s="579"/>
      <c r="I83" s="579"/>
      <c r="J83" s="793"/>
      <c r="K83" s="793"/>
      <c r="L83" s="793"/>
      <c r="M83" s="793"/>
      <c r="N83" s="582"/>
      <c r="O83" s="583"/>
      <c r="P83" s="582"/>
      <c r="Q83" s="579"/>
      <c r="R83" s="579"/>
      <c r="S83" s="579"/>
      <c r="T83" s="580"/>
      <c r="U83" s="580"/>
      <c r="V83" s="580"/>
      <c r="W83" s="580"/>
      <c r="X83" s="580"/>
      <c r="Y83" s="583"/>
      <c r="Z83" s="580"/>
      <c r="AA83" s="579"/>
      <c r="AB83" s="583"/>
      <c r="AC83" s="580"/>
      <c r="AD83" s="579"/>
      <c r="AE83" s="583"/>
      <c r="AF83" s="579"/>
      <c r="AG83" s="579"/>
      <c r="AH83" s="583"/>
      <c r="AI83" s="579"/>
      <c r="AJ83" s="579"/>
      <c r="AK83" s="584"/>
      <c r="AL83" s="579"/>
      <c r="AM83" s="579"/>
      <c r="AN83" s="579"/>
      <c r="AO83" s="579"/>
      <c r="AP83" s="579"/>
      <c r="AQ83" s="579"/>
      <c r="AR83" s="579"/>
      <c r="AS83" s="579"/>
      <c r="AT83" s="568"/>
      <c r="AU83" s="568"/>
      <c r="AV83" s="568"/>
      <c r="AW83" s="568"/>
      <c r="AX83" s="568"/>
      <c r="AY83" s="568"/>
      <c r="AZ83" s="569"/>
      <c r="BA83" s="569"/>
      <c r="BB83" s="551"/>
      <c r="BC83" s="552"/>
      <c r="BD83" s="538"/>
      <c r="BE83" s="596"/>
      <c r="BF83" s="596"/>
      <c r="BG83" s="596"/>
      <c r="BH83" s="596"/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6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9"/>
      <c r="BA84" s="569"/>
      <c r="BB84" s="551"/>
      <c r="BC84" s="552"/>
      <c r="BD84" s="538"/>
      <c r="BE84" s="596"/>
      <c r="BF84" s="596"/>
      <c r="BG84" s="596"/>
      <c r="BH84" s="596"/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74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9"/>
      <c r="BA85" s="569"/>
      <c r="BB85" s="536"/>
      <c r="BC85" s="537"/>
      <c r="BD85" s="538"/>
      <c r="BE85" s="596"/>
      <c r="BF85" s="596"/>
      <c r="BG85" s="596"/>
      <c r="BH85" s="596"/>
      <c r="BI85" s="596"/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3.5">
      <c r="A86" s="540"/>
      <c r="B86" s="620"/>
      <c r="C86" s="621"/>
      <c r="D86" s="621"/>
      <c r="E86" s="621"/>
      <c r="F86" s="621"/>
      <c r="G86" s="621"/>
      <c r="H86" s="621"/>
      <c r="I86" s="621"/>
      <c r="J86" s="621"/>
      <c r="K86" s="621"/>
      <c r="L86" s="621"/>
      <c r="M86" s="621"/>
      <c r="N86" s="621"/>
      <c r="O86" s="621"/>
      <c r="P86" s="621"/>
      <c r="Q86" s="621"/>
      <c r="R86" s="621"/>
      <c r="S86" s="622"/>
      <c r="T86" s="622"/>
      <c r="U86" s="622"/>
      <c r="V86" s="622"/>
      <c r="W86" s="621"/>
      <c r="X86" s="621"/>
      <c r="Y86" s="622"/>
      <c r="Z86" s="623"/>
      <c r="AA86" s="621"/>
      <c r="AB86" s="621"/>
      <c r="AC86" s="621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22"/>
      <c r="AQ86" s="622"/>
      <c r="AR86" s="622"/>
      <c r="AS86" s="622"/>
      <c r="AT86" s="622"/>
      <c r="AU86" s="622"/>
      <c r="AV86" s="622"/>
      <c r="AW86" s="622"/>
      <c r="AX86" s="622"/>
      <c r="AY86" s="624"/>
      <c r="AZ86" s="578"/>
      <c r="BA86" s="569"/>
      <c r="BB86" s="551"/>
      <c r="BC86" s="552"/>
      <c r="BD86" s="553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5">
      <c r="A87" s="554"/>
      <c r="B87" s="599"/>
      <c r="C87" s="600"/>
      <c r="D87" s="600"/>
      <c r="E87" s="600"/>
      <c r="F87" s="600"/>
      <c r="G87" s="600"/>
      <c r="H87" s="600"/>
      <c r="I87" s="600"/>
      <c r="J87" s="600"/>
      <c r="K87" s="600"/>
      <c r="L87" s="600"/>
      <c r="M87" s="600"/>
      <c r="N87" s="600"/>
      <c r="O87" s="600"/>
      <c r="P87" s="600"/>
      <c r="Q87" s="600"/>
      <c r="R87" s="600"/>
      <c r="S87" s="601"/>
      <c r="T87" s="601"/>
      <c r="U87" s="601"/>
      <c r="V87" s="601"/>
      <c r="W87" s="600"/>
      <c r="X87" s="600"/>
      <c r="Y87" s="601"/>
      <c r="Z87" s="601"/>
      <c r="AA87" s="600"/>
      <c r="AB87" s="600"/>
      <c r="AC87" s="600"/>
      <c r="AD87" s="601"/>
      <c r="AE87" s="601"/>
      <c r="AF87" s="601"/>
      <c r="AG87" s="601"/>
      <c r="AH87" s="601"/>
      <c r="AI87" s="601"/>
      <c r="AJ87" s="601"/>
      <c r="AK87" s="601"/>
      <c r="AL87" s="601"/>
      <c r="AM87" s="601"/>
      <c r="AN87" s="601"/>
      <c r="AO87" s="601"/>
      <c r="AP87" s="601"/>
      <c r="AQ87" s="601"/>
      <c r="AR87" s="601"/>
      <c r="AS87" s="601"/>
      <c r="AT87" s="601"/>
      <c r="AU87" s="601"/>
      <c r="AV87" s="601"/>
      <c r="AW87" s="601"/>
      <c r="AX87" s="601"/>
      <c r="AY87" s="599"/>
      <c r="AZ87" s="599"/>
      <c r="BA87" s="578"/>
      <c r="BB87" s="603"/>
      <c r="BC87" s="552"/>
      <c r="BD87" s="553"/>
      <c r="BE87" s="596"/>
      <c r="BF87" s="596"/>
      <c r="BG87" s="596"/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634"/>
      <c r="C88" s="635"/>
      <c r="D88" s="636"/>
      <c r="E88" s="637"/>
      <c r="F88" s="637"/>
      <c r="G88" s="637"/>
      <c r="H88" s="638"/>
      <c r="I88" s="638"/>
      <c r="J88" s="819"/>
      <c r="K88" s="819"/>
      <c r="L88" s="819"/>
      <c r="M88" s="819"/>
      <c r="N88" s="639"/>
      <c r="O88" s="640"/>
      <c r="P88" s="639"/>
      <c r="Q88" s="638"/>
      <c r="R88" s="638"/>
      <c r="S88" s="638"/>
      <c r="T88" s="641"/>
      <c r="U88" s="641"/>
      <c r="V88" s="641"/>
      <c r="W88" s="641"/>
      <c r="X88" s="641"/>
      <c r="Y88" s="640"/>
      <c r="Z88" s="641"/>
      <c r="AA88" s="638"/>
      <c r="AB88" s="640"/>
      <c r="AC88" s="641"/>
      <c r="AD88" s="638"/>
      <c r="AE88" s="640"/>
      <c r="AF88" s="638"/>
      <c r="AG88" s="638"/>
      <c r="AH88" s="640"/>
      <c r="AI88" s="638"/>
      <c r="AJ88" s="638"/>
      <c r="AK88" s="642"/>
      <c r="AL88" s="638"/>
      <c r="AM88" s="638"/>
      <c r="AN88" s="638"/>
      <c r="AO88" s="638"/>
      <c r="AP88" s="638"/>
      <c r="AQ88" s="638"/>
      <c r="AR88" s="638"/>
      <c r="AS88" s="638"/>
      <c r="AT88" s="637"/>
      <c r="AU88" s="637"/>
      <c r="AV88" s="637"/>
      <c r="AW88" s="637"/>
      <c r="AX88" s="637"/>
      <c r="AY88" s="637"/>
      <c r="AZ88" s="602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93"/>
      <c r="K89" s="793"/>
      <c r="L89" s="793"/>
      <c r="M89" s="793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93"/>
      <c r="K90" s="793"/>
      <c r="L90" s="793"/>
      <c r="M90" s="793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93"/>
      <c r="K91" s="793"/>
      <c r="L91" s="793"/>
      <c r="M91" s="793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93"/>
      <c r="K92" s="793"/>
      <c r="L92" s="793"/>
      <c r="M92" s="793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93"/>
      <c r="K93" s="793"/>
      <c r="L93" s="793"/>
      <c r="M93" s="793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/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93"/>
      <c r="K94" s="793"/>
      <c r="L94" s="793"/>
      <c r="M94" s="793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93"/>
      <c r="K95" s="793"/>
      <c r="L95" s="793"/>
      <c r="M95" s="793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93"/>
      <c r="K96" s="793"/>
      <c r="L96" s="793"/>
      <c r="M96" s="793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93"/>
      <c r="K97" s="793"/>
      <c r="L97" s="793"/>
      <c r="M97" s="793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93"/>
      <c r="K98" s="793"/>
      <c r="L98" s="793"/>
      <c r="M98" s="793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93"/>
      <c r="K99" s="793"/>
      <c r="L99" s="793"/>
      <c r="M99" s="793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93"/>
      <c r="K100" s="793"/>
      <c r="L100" s="793"/>
      <c r="M100" s="793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93"/>
      <c r="K101" s="793"/>
      <c r="L101" s="793"/>
      <c r="M101" s="793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/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93"/>
      <c r="K102" s="793"/>
      <c r="L102" s="793"/>
      <c r="M102" s="793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93"/>
      <c r="K103" s="793"/>
      <c r="L103" s="793"/>
      <c r="M103" s="793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93"/>
      <c r="K104" s="793"/>
      <c r="L104" s="793"/>
      <c r="M104" s="793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93"/>
      <c r="K105" s="793"/>
      <c r="L105" s="793"/>
      <c r="M105" s="793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/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93"/>
      <c r="K106" s="793"/>
      <c r="L106" s="793"/>
      <c r="M106" s="793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/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93"/>
      <c r="K107" s="793"/>
      <c r="L107" s="793"/>
      <c r="M107" s="793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/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93"/>
      <c r="K108" s="793"/>
      <c r="L108" s="793"/>
      <c r="M108" s="793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793"/>
      <c r="K109" s="793"/>
      <c r="L109" s="793"/>
      <c r="M109" s="793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793"/>
      <c r="K110" s="793"/>
      <c r="L110" s="793"/>
      <c r="M110" s="793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793"/>
      <c r="K111" s="793"/>
      <c r="L111" s="793"/>
      <c r="M111" s="793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793"/>
      <c r="K112" s="793"/>
      <c r="L112" s="793"/>
      <c r="M112" s="793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793"/>
      <c r="K113" s="793"/>
      <c r="L113" s="793"/>
      <c r="M113" s="793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2.5" customHeight="1">
      <c r="A114" s="540"/>
      <c r="B114" s="567"/>
      <c r="C114" s="575"/>
      <c r="D114" s="576"/>
      <c r="E114" s="568"/>
      <c r="F114" s="568"/>
      <c r="G114" s="568"/>
      <c r="H114" s="579"/>
      <c r="I114" s="579"/>
      <c r="J114" s="654"/>
      <c r="K114" s="654"/>
      <c r="L114" s="654"/>
      <c r="M114" s="654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38"/>
      <c r="BE114" s="596"/>
      <c r="BF114" s="596"/>
      <c r="BG114" s="596"/>
      <c r="BH114" s="596"/>
      <c r="BI114" s="596"/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2.5" customHeight="1">
      <c r="A115" s="540"/>
      <c r="B115" s="567"/>
      <c r="C115" s="575"/>
      <c r="D115" s="576"/>
      <c r="E115" s="568"/>
      <c r="F115" s="568"/>
      <c r="G115" s="568"/>
      <c r="H115" s="579"/>
      <c r="I115" s="579"/>
      <c r="J115" s="654"/>
      <c r="K115" s="654"/>
      <c r="L115" s="654"/>
      <c r="M115" s="654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38"/>
      <c r="BE115" s="596"/>
      <c r="BF115" s="596"/>
      <c r="BG115" s="596"/>
      <c r="BH115" s="596"/>
      <c r="BI115" s="596"/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2.5" customHeight="1">
      <c r="A116" s="540"/>
      <c r="B116" s="567"/>
      <c r="C116" s="575"/>
      <c r="D116" s="576"/>
      <c r="E116" s="568"/>
      <c r="F116" s="568"/>
      <c r="G116" s="568"/>
      <c r="H116" s="579"/>
      <c r="I116" s="579"/>
      <c r="J116" s="654"/>
      <c r="K116" s="654"/>
      <c r="L116" s="654"/>
      <c r="M116" s="654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38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2.5" customHeight="1">
      <c r="A117" s="540"/>
      <c r="B117" s="567"/>
      <c r="C117" s="575"/>
      <c r="D117" s="576"/>
      <c r="E117" s="568"/>
      <c r="F117" s="568"/>
      <c r="G117" s="568"/>
      <c r="H117" s="579"/>
      <c r="I117" s="579"/>
      <c r="J117" s="654"/>
      <c r="K117" s="654"/>
      <c r="L117" s="654"/>
      <c r="M117" s="654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38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2.5" customHeight="1">
      <c r="A118" s="540"/>
      <c r="B118" s="567"/>
      <c r="C118" s="575"/>
      <c r="D118" s="576"/>
      <c r="E118" s="568"/>
      <c r="F118" s="568"/>
      <c r="G118" s="568"/>
      <c r="H118" s="579"/>
      <c r="I118" s="579"/>
      <c r="J118" s="654"/>
      <c r="K118" s="654"/>
      <c r="L118" s="654"/>
      <c r="M118" s="654"/>
      <c r="N118" s="582"/>
      <c r="O118" s="583"/>
      <c r="P118" s="582"/>
      <c r="Q118" s="579"/>
      <c r="R118" s="579"/>
      <c r="S118" s="579"/>
      <c r="T118" s="580"/>
      <c r="U118" s="580"/>
      <c r="V118" s="580"/>
      <c r="W118" s="580"/>
      <c r="X118" s="580"/>
      <c r="Y118" s="583"/>
      <c r="Z118" s="580"/>
      <c r="AA118" s="579"/>
      <c r="AB118" s="583"/>
      <c r="AC118" s="580"/>
      <c r="AD118" s="579"/>
      <c r="AE118" s="583"/>
      <c r="AF118" s="579"/>
      <c r="AG118" s="579"/>
      <c r="AH118" s="583"/>
      <c r="AI118" s="579"/>
      <c r="AJ118" s="579"/>
      <c r="AK118" s="584"/>
      <c r="AL118" s="579"/>
      <c r="AM118" s="579"/>
      <c r="AN118" s="579"/>
      <c r="AO118" s="579"/>
      <c r="AP118" s="579"/>
      <c r="AQ118" s="579"/>
      <c r="AR118" s="579"/>
      <c r="AS118" s="579"/>
      <c r="AT118" s="568"/>
      <c r="AU118" s="568"/>
      <c r="AV118" s="568"/>
      <c r="AW118" s="568"/>
      <c r="AX118" s="568"/>
      <c r="AY118" s="568"/>
      <c r="AZ118" s="565"/>
      <c r="BA118" s="569"/>
      <c r="BB118" s="551"/>
      <c r="BC118" s="552"/>
      <c r="BD118" s="538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3.5">
      <c r="A119" s="540"/>
      <c r="B119" s="567"/>
      <c r="C119" s="575"/>
      <c r="D119" s="576"/>
      <c r="E119" s="568"/>
      <c r="F119" s="568"/>
      <c r="G119" s="568"/>
      <c r="H119" s="579"/>
      <c r="I119" s="579"/>
      <c r="J119" s="654"/>
      <c r="K119" s="654"/>
      <c r="L119" s="654"/>
      <c r="M119" s="654"/>
      <c r="N119" s="582"/>
      <c r="O119" s="583"/>
      <c r="P119" s="582"/>
      <c r="Q119" s="579"/>
      <c r="R119" s="579"/>
      <c r="S119" s="579"/>
      <c r="T119" s="580"/>
      <c r="U119" s="580"/>
      <c r="V119" s="580"/>
      <c r="W119" s="580"/>
      <c r="X119" s="580"/>
      <c r="Y119" s="583"/>
      <c r="Z119" s="580"/>
      <c r="AA119" s="579"/>
      <c r="AB119" s="583"/>
      <c r="AC119" s="580"/>
      <c r="AD119" s="579"/>
      <c r="AE119" s="583"/>
      <c r="AF119" s="579"/>
      <c r="AG119" s="579"/>
      <c r="AH119" s="583"/>
      <c r="AI119" s="579"/>
      <c r="AJ119" s="579"/>
      <c r="AK119" s="584"/>
      <c r="AL119" s="579"/>
      <c r="AM119" s="579"/>
      <c r="AN119" s="579"/>
      <c r="AO119" s="579"/>
      <c r="AP119" s="579"/>
      <c r="AQ119" s="579"/>
      <c r="AR119" s="579"/>
      <c r="AS119" s="579"/>
      <c r="AT119" s="568"/>
      <c r="AU119" s="568"/>
      <c r="AV119" s="568"/>
      <c r="AW119" s="568"/>
      <c r="AX119" s="568"/>
      <c r="AY119" s="568"/>
      <c r="AZ119" s="565"/>
      <c r="BA119" s="569"/>
      <c r="BB119" s="551"/>
      <c r="BC119" s="552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3.5">
      <c r="A120" s="540"/>
      <c r="B120" s="567"/>
      <c r="C120" s="575"/>
      <c r="D120" s="576"/>
      <c r="E120" s="568"/>
      <c r="F120" s="568"/>
      <c r="G120" s="568"/>
      <c r="H120" s="579"/>
      <c r="I120" s="579"/>
      <c r="J120" s="654"/>
      <c r="K120" s="654"/>
      <c r="L120" s="654"/>
      <c r="M120" s="654"/>
      <c r="N120" s="582"/>
      <c r="O120" s="583"/>
      <c r="P120" s="582"/>
      <c r="Q120" s="579"/>
      <c r="R120" s="579"/>
      <c r="S120" s="579"/>
      <c r="T120" s="580"/>
      <c r="U120" s="580"/>
      <c r="V120" s="580"/>
      <c r="W120" s="580"/>
      <c r="X120" s="580"/>
      <c r="Y120" s="583"/>
      <c r="Z120" s="580"/>
      <c r="AA120" s="579"/>
      <c r="AB120" s="583"/>
      <c r="AC120" s="580"/>
      <c r="AD120" s="579"/>
      <c r="AE120" s="583"/>
      <c r="AF120" s="579"/>
      <c r="AG120" s="579"/>
      <c r="AH120" s="583"/>
      <c r="AI120" s="579"/>
      <c r="AJ120" s="579"/>
      <c r="AK120" s="584"/>
      <c r="AL120" s="579"/>
      <c r="AM120" s="579"/>
      <c r="AN120" s="579"/>
      <c r="AO120" s="579"/>
      <c r="AP120" s="579"/>
      <c r="AQ120" s="579"/>
      <c r="AR120" s="579"/>
      <c r="AS120" s="579"/>
      <c r="AT120" s="568"/>
      <c r="AU120" s="568"/>
      <c r="AV120" s="568"/>
      <c r="AW120" s="568"/>
      <c r="AX120" s="568"/>
      <c r="AY120" s="568"/>
      <c r="AZ120" s="565"/>
      <c r="BA120" s="569"/>
      <c r="BB120" s="551"/>
      <c r="BC120" s="552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3.5">
      <c r="A121" s="540"/>
      <c r="B121" s="567"/>
      <c r="C121" s="575"/>
      <c r="D121" s="576"/>
      <c r="E121" s="568"/>
      <c r="F121" s="568"/>
      <c r="G121" s="568"/>
      <c r="H121" s="579"/>
      <c r="I121" s="579"/>
      <c r="J121" s="654"/>
      <c r="K121" s="654"/>
      <c r="L121" s="654"/>
      <c r="M121" s="654"/>
      <c r="N121" s="582"/>
      <c r="O121" s="583"/>
      <c r="P121" s="582"/>
      <c r="Q121" s="579"/>
      <c r="R121" s="579"/>
      <c r="S121" s="579"/>
      <c r="T121" s="580"/>
      <c r="U121" s="580"/>
      <c r="V121" s="580"/>
      <c r="W121" s="580"/>
      <c r="X121" s="580"/>
      <c r="Y121" s="583"/>
      <c r="Z121" s="580"/>
      <c r="AA121" s="579"/>
      <c r="AB121" s="583"/>
      <c r="AC121" s="580"/>
      <c r="AD121" s="579"/>
      <c r="AE121" s="583"/>
      <c r="AF121" s="579"/>
      <c r="AG121" s="579"/>
      <c r="AH121" s="583"/>
      <c r="AI121" s="579"/>
      <c r="AJ121" s="579"/>
      <c r="AK121" s="584"/>
      <c r="AL121" s="579"/>
      <c r="AM121" s="579"/>
      <c r="AN121" s="579"/>
      <c r="AO121" s="579"/>
      <c r="AP121" s="579"/>
      <c r="AQ121" s="579"/>
      <c r="AR121" s="579"/>
      <c r="AS121" s="579"/>
      <c r="AT121" s="568"/>
      <c r="AU121" s="568"/>
      <c r="AV121" s="568"/>
      <c r="AW121" s="568"/>
      <c r="AX121" s="568"/>
      <c r="AY121" s="568"/>
      <c r="AZ121" s="565"/>
      <c r="BA121" s="569"/>
      <c r="BB121" s="551"/>
      <c r="BC121" s="552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3.5">
      <c r="A122" s="540"/>
      <c r="B122" s="567"/>
      <c r="C122" s="575"/>
      <c r="D122" s="576"/>
      <c r="E122" s="568"/>
      <c r="F122" s="568"/>
      <c r="G122" s="568"/>
      <c r="H122" s="579"/>
      <c r="I122" s="579"/>
      <c r="J122" s="654"/>
      <c r="K122" s="654"/>
      <c r="L122" s="654"/>
      <c r="M122" s="654"/>
      <c r="N122" s="582"/>
      <c r="O122" s="583"/>
      <c r="P122" s="582"/>
      <c r="Q122" s="579"/>
      <c r="R122" s="579"/>
      <c r="S122" s="579"/>
      <c r="T122" s="580"/>
      <c r="U122" s="580"/>
      <c r="V122" s="580"/>
      <c r="W122" s="580"/>
      <c r="X122" s="580"/>
      <c r="Y122" s="583"/>
      <c r="Z122" s="580"/>
      <c r="AA122" s="579"/>
      <c r="AB122" s="583"/>
      <c r="AC122" s="580"/>
      <c r="AD122" s="579"/>
      <c r="AE122" s="583"/>
      <c r="AF122" s="579"/>
      <c r="AG122" s="579"/>
      <c r="AH122" s="583"/>
      <c r="AI122" s="579"/>
      <c r="AJ122" s="579"/>
      <c r="AK122" s="584"/>
      <c r="AL122" s="579"/>
      <c r="AM122" s="579"/>
      <c r="AN122" s="579"/>
      <c r="AO122" s="579"/>
      <c r="AP122" s="579"/>
      <c r="AQ122" s="579"/>
      <c r="AR122" s="579"/>
      <c r="AS122" s="579"/>
      <c r="AT122" s="568"/>
      <c r="AU122" s="568"/>
      <c r="AV122" s="568"/>
      <c r="AW122" s="568"/>
      <c r="AX122" s="568"/>
      <c r="AY122" s="568"/>
      <c r="AZ122" s="565"/>
      <c r="BA122" s="569"/>
      <c r="BB122" s="551"/>
      <c r="BC122" s="552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3.5">
      <c r="A123" s="554"/>
      <c r="B123" s="643"/>
      <c r="C123" s="644"/>
      <c r="D123" s="645"/>
      <c r="E123" s="646"/>
      <c r="F123" s="646"/>
      <c r="G123" s="646"/>
      <c r="H123" s="647"/>
      <c r="I123" s="647"/>
      <c r="J123" s="648"/>
      <c r="K123" s="648"/>
      <c r="L123" s="648"/>
      <c r="M123" s="648"/>
      <c r="N123" s="649"/>
      <c r="O123" s="650"/>
      <c r="P123" s="649"/>
      <c r="Q123" s="647"/>
      <c r="R123" s="647"/>
      <c r="S123" s="647"/>
      <c r="T123" s="651"/>
      <c r="U123" s="651"/>
      <c r="V123" s="651"/>
      <c r="W123" s="651"/>
      <c r="X123" s="651"/>
      <c r="Y123" s="650"/>
      <c r="Z123" s="651"/>
      <c r="AA123" s="647"/>
      <c r="AB123" s="650"/>
      <c r="AC123" s="651"/>
      <c r="AD123" s="647"/>
      <c r="AE123" s="650"/>
      <c r="AF123" s="647"/>
      <c r="AG123" s="647"/>
      <c r="AH123" s="650"/>
      <c r="AI123" s="647"/>
      <c r="AJ123" s="647"/>
      <c r="AK123" s="652"/>
      <c r="AL123" s="647"/>
      <c r="AM123" s="647"/>
      <c r="AN123" s="647"/>
      <c r="AO123" s="647"/>
      <c r="AP123" s="647"/>
      <c r="AQ123" s="647"/>
      <c r="AR123" s="647"/>
      <c r="AS123" s="647"/>
      <c r="AT123" s="646"/>
      <c r="AU123" s="646"/>
      <c r="AV123" s="646"/>
      <c r="AW123" s="646"/>
      <c r="AX123" s="646"/>
      <c r="AY123" s="646"/>
      <c r="AZ123" s="599"/>
      <c r="BA123" s="578"/>
      <c r="BB123" s="555"/>
      <c r="BC123" s="556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  <c r="BE138" s="596"/>
      <c r="BF138" s="596"/>
      <c r="BG138" s="596"/>
      <c r="BH138" s="596"/>
      <c r="BI138" s="596"/>
      <c r="BJ138" s="596"/>
      <c r="BK138" s="596"/>
      <c r="BL138" s="596"/>
      <c r="BM138" s="596"/>
      <c r="BN138" s="596"/>
      <c r="BO138" s="596"/>
      <c r="BP138" s="596"/>
      <c r="BQ138" s="596"/>
      <c r="BR138" s="596"/>
      <c r="BS138" s="596"/>
      <c r="BT138" s="596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  <c r="BE139" s="596"/>
      <c r="BF139" s="596"/>
      <c r="BG139" s="596"/>
      <c r="BH139" s="596"/>
      <c r="BI139" s="596"/>
      <c r="BJ139" s="596"/>
      <c r="BK139" s="596"/>
      <c r="BL139" s="596"/>
      <c r="BM139" s="596"/>
      <c r="BN139" s="596"/>
      <c r="BO139" s="596"/>
      <c r="BP139" s="596"/>
      <c r="BQ139" s="596"/>
      <c r="BR139" s="596"/>
      <c r="BS139" s="596"/>
      <c r="BT139" s="596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  <c r="BE140" s="596"/>
      <c r="BF140" s="596"/>
      <c r="BG140" s="596"/>
      <c r="BH140" s="596"/>
      <c r="BI140" s="596"/>
      <c r="BJ140" s="596"/>
      <c r="BK140" s="596"/>
      <c r="BL140" s="596"/>
      <c r="BM140" s="596"/>
      <c r="BN140" s="596"/>
      <c r="BO140" s="596"/>
      <c r="BP140" s="596"/>
      <c r="BQ140" s="596"/>
      <c r="BR140" s="596"/>
      <c r="BS140" s="596"/>
      <c r="BT140" s="596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  <c r="BE141" s="596"/>
      <c r="BF141" s="596"/>
      <c r="BG141" s="596"/>
      <c r="BH141" s="596"/>
      <c r="BI141" s="596"/>
      <c r="BJ141" s="596"/>
      <c r="BK141" s="596"/>
      <c r="BL141" s="596"/>
      <c r="BM141" s="596"/>
      <c r="BN141" s="596"/>
      <c r="BO141" s="596"/>
      <c r="BP141" s="596"/>
      <c r="BQ141" s="596"/>
      <c r="BR141" s="596"/>
      <c r="BS141" s="596"/>
      <c r="BT141" s="596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  <c r="BE142" s="596"/>
      <c r="BF142" s="596"/>
      <c r="BG142" s="596"/>
      <c r="BH142" s="596"/>
      <c r="BI142" s="596"/>
      <c r="BJ142" s="596"/>
      <c r="BK142" s="596"/>
      <c r="BL142" s="596"/>
      <c r="BM142" s="596"/>
      <c r="BN142" s="596"/>
      <c r="BO142" s="596"/>
      <c r="BP142" s="596"/>
      <c r="BQ142" s="596"/>
      <c r="BR142" s="596"/>
      <c r="BS142" s="596"/>
      <c r="BT142" s="596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/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  <row r="246" spans="1:72" ht="15">
      <c r="A246" s="539"/>
      <c r="B246" s="539"/>
      <c r="C246" s="539"/>
      <c r="D246" s="539"/>
      <c r="E246" s="539"/>
      <c r="F246" s="539"/>
      <c r="G246" s="539"/>
      <c r="H246" s="539"/>
      <c r="I246" s="539"/>
      <c r="J246" s="539"/>
      <c r="K246" s="539"/>
      <c r="L246" s="539"/>
      <c r="M246" s="539"/>
      <c r="N246" s="539"/>
      <c r="O246" s="539"/>
      <c r="P246" s="539"/>
      <c r="Q246" s="539"/>
      <c r="R246" s="539"/>
      <c r="S246" s="557"/>
      <c r="T246" s="557"/>
      <c r="U246" s="557"/>
      <c r="V246" s="557"/>
      <c r="W246" s="539"/>
      <c r="X246" s="539"/>
      <c r="Y246" s="557"/>
      <c r="Z246" s="557"/>
      <c r="AA246" s="539"/>
      <c r="AB246" s="539"/>
      <c r="AC246" s="539"/>
      <c r="AD246" s="557"/>
      <c r="AE246" s="557"/>
      <c r="AF246" s="557"/>
      <c r="AG246" s="557"/>
      <c r="AH246" s="557"/>
      <c r="AI246" s="557"/>
      <c r="AJ246" s="557"/>
      <c r="AK246" s="557"/>
      <c r="AL246" s="557"/>
      <c r="AM246" s="557"/>
      <c r="AN246" s="557"/>
      <c r="AO246" s="557"/>
      <c r="AP246" s="557"/>
      <c r="AQ246" s="557"/>
      <c r="AR246" s="557"/>
      <c r="AS246" s="557"/>
      <c r="AT246" s="557"/>
      <c r="AU246" s="557"/>
      <c r="AV246" s="557"/>
      <c r="AW246" s="557"/>
      <c r="AX246" s="557"/>
      <c r="AY246" s="557"/>
      <c r="AZ246" s="557"/>
      <c r="BA246" s="557"/>
      <c r="BB246" s="557"/>
      <c r="BC246" s="557"/>
      <c r="BD246" s="553"/>
      <c r="BE246" s="596"/>
      <c r="BF246" s="596"/>
      <c r="BG246" s="596"/>
      <c r="BH246" s="596"/>
      <c r="BI246" s="596"/>
      <c r="BJ246" s="596"/>
      <c r="BK246" s="596"/>
      <c r="BL246" s="596"/>
      <c r="BM246" s="596"/>
      <c r="BN246" s="596"/>
      <c r="BO246" s="596"/>
      <c r="BP246" s="596"/>
      <c r="BQ246" s="596"/>
      <c r="BR246" s="596"/>
      <c r="BS246" s="596"/>
      <c r="BT246" s="596"/>
    </row>
    <row r="247" spans="1:72" ht="15">
      <c r="A247" s="539"/>
      <c r="B247" s="539"/>
      <c r="C247" s="539"/>
      <c r="D247" s="539"/>
      <c r="E247" s="539"/>
      <c r="F247" s="539"/>
      <c r="G247" s="539"/>
      <c r="H247" s="539"/>
      <c r="I247" s="539"/>
      <c r="J247" s="539"/>
      <c r="K247" s="539"/>
      <c r="L247" s="539"/>
      <c r="M247" s="539"/>
      <c r="N247" s="539"/>
      <c r="O247" s="539"/>
      <c r="P247" s="539"/>
      <c r="Q247" s="539"/>
      <c r="R247" s="539"/>
      <c r="S247" s="557"/>
      <c r="T247" s="557"/>
      <c r="U247" s="557"/>
      <c r="V247" s="557"/>
      <c r="W247" s="539"/>
      <c r="X247" s="539"/>
      <c r="Y247" s="557"/>
      <c r="Z247" s="557"/>
      <c r="AA247" s="539"/>
      <c r="AB247" s="539"/>
      <c r="AC247" s="539"/>
      <c r="AD247" s="557"/>
      <c r="AE247" s="557"/>
      <c r="AF247" s="557"/>
      <c r="AG247" s="557"/>
      <c r="AH247" s="557"/>
      <c r="AI247" s="557"/>
      <c r="AJ247" s="557"/>
      <c r="AK247" s="557"/>
      <c r="AL247" s="557"/>
      <c r="AM247" s="557"/>
      <c r="AN247" s="557"/>
      <c r="AO247" s="557"/>
      <c r="AP247" s="557"/>
      <c r="AQ247" s="557"/>
      <c r="AR247" s="557"/>
      <c r="AS247" s="557"/>
      <c r="AT247" s="557"/>
      <c r="AU247" s="557"/>
      <c r="AV247" s="557"/>
      <c r="AW247" s="557"/>
      <c r="AX247" s="557"/>
      <c r="AY247" s="557"/>
      <c r="AZ247" s="557"/>
      <c r="BA247" s="557"/>
      <c r="BB247" s="557"/>
      <c r="BC247" s="557"/>
      <c r="BD247" s="553"/>
      <c r="BE247" s="596"/>
      <c r="BF247" s="596"/>
      <c r="BG247" s="596"/>
      <c r="BH247" s="596"/>
      <c r="BI247" s="596"/>
      <c r="BJ247" s="596"/>
      <c r="BK247" s="596"/>
      <c r="BL247" s="596"/>
      <c r="BM247" s="596"/>
      <c r="BN247" s="596"/>
      <c r="BO247" s="596"/>
      <c r="BP247" s="596"/>
      <c r="BQ247" s="596"/>
      <c r="BR247" s="596"/>
      <c r="BS247" s="596"/>
      <c r="BT247" s="596"/>
    </row>
    <row r="248" spans="1:72" ht="15">
      <c r="A248" s="539"/>
      <c r="B248" s="539"/>
      <c r="C248" s="539"/>
      <c r="D248" s="539"/>
      <c r="E248" s="539"/>
      <c r="F248" s="539"/>
      <c r="G248" s="539"/>
      <c r="H248" s="539"/>
      <c r="I248" s="539"/>
      <c r="J248" s="539"/>
      <c r="K248" s="539"/>
      <c r="L248" s="539"/>
      <c r="M248" s="539"/>
      <c r="N248" s="539"/>
      <c r="O248" s="539"/>
      <c r="P248" s="539"/>
      <c r="Q248" s="539"/>
      <c r="R248" s="539"/>
      <c r="S248" s="557"/>
      <c r="T248" s="557"/>
      <c r="U248" s="557"/>
      <c r="V248" s="557"/>
      <c r="W248" s="539"/>
      <c r="X248" s="539"/>
      <c r="Y248" s="557"/>
      <c r="Z248" s="557"/>
      <c r="AA248" s="539"/>
      <c r="AB248" s="539"/>
      <c r="AC248" s="539"/>
      <c r="AD248" s="557"/>
      <c r="AE248" s="557"/>
      <c r="AF248" s="557"/>
      <c r="AG248" s="557"/>
      <c r="AH248" s="557"/>
      <c r="AI248" s="557"/>
      <c r="AJ248" s="557"/>
      <c r="AK248" s="557"/>
      <c r="AL248" s="557"/>
      <c r="AM248" s="557"/>
      <c r="AN248" s="557"/>
      <c r="AO248" s="557"/>
      <c r="AP248" s="557"/>
      <c r="AQ248" s="557"/>
      <c r="AR248" s="557"/>
      <c r="AS248" s="557"/>
      <c r="AT248" s="557"/>
      <c r="AU248" s="557"/>
      <c r="AV248" s="557"/>
      <c r="AW248" s="557"/>
      <c r="AX248" s="557"/>
      <c r="AY248" s="557"/>
      <c r="AZ248" s="557"/>
      <c r="BA248" s="557"/>
      <c r="BB248" s="557"/>
      <c r="BC248" s="557"/>
      <c r="BD248" s="553"/>
      <c r="BE248" s="596"/>
      <c r="BF248" s="596"/>
      <c r="BG248" s="596"/>
      <c r="BH248" s="596"/>
      <c r="BI248" s="596"/>
      <c r="BJ248" s="596"/>
      <c r="BK248" s="596"/>
      <c r="BL248" s="596"/>
      <c r="BM248" s="596"/>
      <c r="BN248" s="596"/>
      <c r="BO248" s="596"/>
      <c r="BP248" s="596"/>
      <c r="BQ248" s="596"/>
      <c r="BR248" s="596"/>
      <c r="BS248" s="596"/>
      <c r="BT248" s="596"/>
    </row>
    <row r="249" spans="1:72" ht="15">
      <c r="A249" s="539"/>
      <c r="B249" s="539"/>
      <c r="C249" s="539"/>
      <c r="D249" s="539"/>
      <c r="E249" s="539"/>
      <c r="F249" s="539"/>
      <c r="G249" s="539"/>
      <c r="H249" s="539"/>
      <c r="I249" s="539"/>
      <c r="J249" s="539"/>
      <c r="K249" s="539"/>
      <c r="L249" s="539"/>
      <c r="M249" s="539"/>
      <c r="N249" s="539"/>
      <c r="O249" s="539"/>
      <c r="P249" s="539"/>
      <c r="Q249" s="539"/>
      <c r="R249" s="539"/>
      <c r="S249" s="557"/>
      <c r="T249" s="557"/>
      <c r="U249" s="557"/>
      <c r="V249" s="557"/>
      <c r="W249" s="539"/>
      <c r="X249" s="539"/>
      <c r="Y249" s="557"/>
      <c r="Z249" s="557"/>
      <c r="AA249" s="539"/>
      <c r="AB249" s="539"/>
      <c r="AC249" s="539"/>
      <c r="AD249" s="557"/>
      <c r="AE249" s="557"/>
      <c r="AF249" s="557"/>
      <c r="AG249" s="557"/>
      <c r="AH249" s="557"/>
      <c r="AI249" s="557"/>
      <c r="AJ249" s="557"/>
      <c r="AK249" s="557"/>
      <c r="AL249" s="557"/>
      <c r="AM249" s="557"/>
      <c r="AN249" s="557"/>
      <c r="AO249" s="557"/>
      <c r="AP249" s="557"/>
      <c r="AQ249" s="557"/>
      <c r="AR249" s="557"/>
      <c r="AS249" s="557"/>
      <c r="AT249" s="557"/>
      <c r="AU249" s="557"/>
      <c r="AV249" s="557"/>
      <c r="AW249" s="557"/>
      <c r="AX249" s="557"/>
      <c r="AY249" s="557"/>
      <c r="AZ249" s="557"/>
      <c r="BA249" s="557"/>
      <c r="BB249" s="557"/>
      <c r="BC249" s="557"/>
      <c r="BD249" s="553"/>
      <c r="BE249" s="596"/>
      <c r="BF249" s="596"/>
      <c r="BG249" s="596"/>
      <c r="BH249" s="596"/>
      <c r="BI249" s="596"/>
      <c r="BJ249" s="596"/>
      <c r="BK249" s="596"/>
      <c r="BL249" s="596"/>
      <c r="BM249" s="596"/>
      <c r="BN249" s="596"/>
      <c r="BO249" s="596"/>
      <c r="BP249" s="596"/>
      <c r="BQ249" s="596"/>
      <c r="BR249" s="596"/>
      <c r="BS249" s="596"/>
      <c r="BT249" s="596"/>
    </row>
    <row r="250" spans="1:72" ht="15">
      <c r="A250" s="539"/>
      <c r="B250" s="539"/>
      <c r="C250" s="539"/>
      <c r="D250" s="539"/>
      <c r="E250" s="539"/>
      <c r="F250" s="539"/>
      <c r="G250" s="539"/>
      <c r="H250" s="539"/>
      <c r="I250" s="539"/>
      <c r="J250" s="539"/>
      <c r="K250" s="539"/>
      <c r="L250" s="539"/>
      <c r="M250" s="539"/>
      <c r="N250" s="539"/>
      <c r="O250" s="539"/>
      <c r="P250" s="539"/>
      <c r="Q250" s="539"/>
      <c r="R250" s="539"/>
      <c r="S250" s="557"/>
      <c r="T250" s="557"/>
      <c r="U250" s="557"/>
      <c r="V250" s="557"/>
      <c r="W250" s="539"/>
      <c r="X250" s="539"/>
      <c r="Y250" s="557"/>
      <c r="Z250" s="557"/>
      <c r="AA250" s="539"/>
      <c r="AB250" s="539"/>
      <c r="AC250" s="539"/>
      <c r="AD250" s="557"/>
      <c r="AE250" s="557"/>
      <c r="AF250" s="557"/>
      <c r="AG250" s="557"/>
      <c r="AH250" s="557"/>
      <c r="AI250" s="557"/>
      <c r="AJ250" s="557"/>
      <c r="AK250" s="557"/>
      <c r="AL250" s="557"/>
      <c r="AM250" s="557"/>
      <c r="AN250" s="557"/>
      <c r="AO250" s="557"/>
      <c r="AP250" s="557"/>
      <c r="AQ250" s="557"/>
      <c r="AR250" s="557"/>
      <c r="AS250" s="557"/>
      <c r="AT250" s="557"/>
      <c r="AU250" s="557"/>
      <c r="AV250" s="557"/>
      <c r="AW250" s="557"/>
      <c r="AX250" s="557"/>
      <c r="AY250" s="557"/>
      <c r="AZ250" s="557"/>
      <c r="BA250" s="557"/>
      <c r="BB250" s="557"/>
      <c r="BC250" s="557"/>
      <c r="BD250" s="553"/>
      <c r="BE250" s="596"/>
      <c r="BF250" s="596"/>
      <c r="BG250" s="596"/>
      <c r="BH250" s="596"/>
      <c r="BI250" s="596"/>
      <c r="BJ250" s="596"/>
      <c r="BK250" s="596"/>
      <c r="BL250" s="596"/>
      <c r="BM250" s="596"/>
      <c r="BN250" s="596"/>
      <c r="BO250" s="596"/>
      <c r="BP250" s="596"/>
      <c r="BQ250" s="596"/>
      <c r="BR250" s="596"/>
      <c r="BS250" s="596"/>
      <c r="BT250" s="596"/>
    </row>
  </sheetData>
  <mergeCells count="199">
    <mergeCell ref="J110:M110"/>
    <mergeCell ref="J111:M111"/>
    <mergeCell ref="J112:M112"/>
    <mergeCell ref="J113:M113"/>
    <mergeCell ref="J105:M105"/>
    <mergeCell ref="J106:M106"/>
    <mergeCell ref="J107:M107"/>
    <mergeCell ref="J108:M108"/>
    <mergeCell ref="J109:M109"/>
    <mergeCell ref="J100:M100"/>
    <mergeCell ref="J101:M101"/>
    <mergeCell ref="J102:M102"/>
    <mergeCell ref="J103:M103"/>
    <mergeCell ref="J104:M104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AE56:AG58"/>
    <mergeCell ref="AE59:AG61"/>
    <mergeCell ref="AB38:AD40"/>
    <mergeCell ref="AB41:AD43"/>
    <mergeCell ref="AB44:AD46"/>
    <mergeCell ref="J79:M79"/>
    <mergeCell ref="J68:M68"/>
    <mergeCell ref="J72:M72"/>
    <mergeCell ref="AB47:AD49"/>
    <mergeCell ref="AB50:AD52"/>
    <mergeCell ref="Y44:AA46"/>
    <mergeCell ref="Y47:AA49"/>
    <mergeCell ref="Y50:AA52"/>
    <mergeCell ref="J88:M88"/>
    <mergeCell ref="J89:M89"/>
    <mergeCell ref="M50:O52"/>
    <mergeCell ref="V38:X40"/>
    <mergeCell ref="V41:X43"/>
    <mergeCell ref="V44:X46"/>
    <mergeCell ref="AN53:AP55"/>
    <mergeCell ref="AN56:AP58"/>
    <mergeCell ref="AN59:AP61"/>
    <mergeCell ref="J65:M65"/>
    <mergeCell ref="AH53:AJ55"/>
    <mergeCell ref="AH56:AJ58"/>
    <mergeCell ref="AH59:AJ61"/>
    <mergeCell ref="V53:X55"/>
    <mergeCell ref="V56:X58"/>
    <mergeCell ref="V59:X61"/>
    <mergeCell ref="S53:U55"/>
    <mergeCell ref="S56:U58"/>
    <mergeCell ref="S59:U61"/>
    <mergeCell ref="Y53:AA55"/>
    <mergeCell ref="Y56:AA58"/>
    <mergeCell ref="Y59:AA61"/>
    <mergeCell ref="M53:O55"/>
    <mergeCell ref="M56:O58"/>
    <mergeCell ref="M59:O61"/>
    <mergeCell ref="P59:R61"/>
    <mergeCell ref="AK38:AM40"/>
    <mergeCell ref="AK41:AM43"/>
    <mergeCell ref="AK44:AM46"/>
    <mergeCell ref="AK47:AM49"/>
    <mergeCell ref="AK50:AM52"/>
    <mergeCell ref="AK53:AM55"/>
    <mergeCell ref="AK56:AM58"/>
    <mergeCell ref="AK59:AM61"/>
    <mergeCell ref="AB53:AD55"/>
    <mergeCell ref="AB56:AD58"/>
    <mergeCell ref="AB59:AD61"/>
    <mergeCell ref="AE38:AG40"/>
    <mergeCell ref="AE41:AG43"/>
    <mergeCell ref="AE44:AG46"/>
    <mergeCell ref="AE47:AG49"/>
    <mergeCell ref="AE50:AG52"/>
    <mergeCell ref="AE53:AG55"/>
    <mergeCell ref="AH38:AJ40"/>
    <mergeCell ref="V47:X49"/>
    <mergeCell ref="V50:X52"/>
    <mergeCell ref="P53:R55"/>
    <mergeCell ref="P56:R58"/>
    <mergeCell ref="AH41:AJ43"/>
    <mergeCell ref="AH44:AJ46"/>
    <mergeCell ref="AH47:AJ49"/>
    <mergeCell ref="AH50:AJ52"/>
    <mergeCell ref="P47:R49"/>
    <mergeCell ref="P50:R52"/>
    <mergeCell ref="J38:L40"/>
    <mergeCell ref="M38:O40"/>
    <mergeCell ref="G38:I40"/>
    <mergeCell ref="P38:R40"/>
    <mergeCell ref="G53:I55"/>
    <mergeCell ref="G56:I58"/>
    <mergeCell ref="G59:I61"/>
    <mergeCell ref="J41:L43"/>
    <mergeCell ref="J44:L46"/>
    <mergeCell ref="J47:L49"/>
    <mergeCell ref="M41:O43"/>
    <mergeCell ref="P44:R46"/>
    <mergeCell ref="G41:I43"/>
    <mergeCell ref="G44:I46"/>
    <mergeCell ref="P41:R43"/>
    <mergeCell ref="J50:L52"/>
    <mergeCell ref="J53:L55"/>
    <mergeCell ref="J56:L58"/>
    <mergeCell ref="J59:L61"/>
    <mergeCell ref="M44:O46"/>
    <mergeCell ref="M47:O49"/>
    <mergeCell ref="P35:R37"/>
    <mergeCell ref="M35:O37"/>
    <mergeCell ref="J35:L37"/>
    <mergeCell ref="G35:I37"/>
    <mergeCell ref="E31:H32"/>
    <mergeCell ref="I28:N30"/>
    <mergeCell ref="E17:O17"/>
    <mergeCell ref="P17:AA17"/>
    <mergeCell ref="E21:O21"/>
    <mergeCell ref="P21:AA21"/>
    <mergeCell ref="J83:M83"/>
    <mergeCell ref="A5:BA5"/>
    <mergeCell ref="AH35:AJ37"/>
    <mergeCell ref="AK35:AM37"/>
    <mergeCell ref="AN35:AP37"/>
    <mergeCell ref="S35:U37"/>
    <mergeCell ref="V35:X37"/>
    <mergeCell ref="Y35:AA37"/>
    <mergeCell ref="AB35:AD37"/>
    <mergeCell ref="AE35:AG37"/>
    <mergeCell ref="E35:F37"/>
    <mergeCell ref="E59:F61"/>
    <mergeCell ref="E44:F46"/>
    <mergeCell ref="E47:F49"/>
    <mergeCell ref="E50:F52"/>
    <mergeCell ref="E53:F55"/>
    <mergeCell ref="E56:F58"/>
    <mergeCell ref="G47:I49"/>
    <mergeCell ref="G50:I52"/>
    <mergeCell ref="C10:I11"/>
    <mergeCell ref="C13:AY15"/>
    <mergeCell ref="E28:H30"/>
    <mergeCell ref="S38:U40"/>
    <mergeCell ref="S41:U4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BB5:BC5"/>
    <mergeCell ref="AV2:AY2"/>
    <mergeCell ref="AZ2:BC3"/>
    <mergeCell ref="A3:H3"/>
    <mergeCell ref="I3:L3"/>
    <mergeCell ref="M3:W3"/>
    <mergeCell ref="X3:Z3"/>
    <mergeCell ref="BF7:BH7"/>
    <mergeCell ref="AB21:AW21"/>
    <mergeCell ref="AA3:AR3"/>
    <mergeCell ref="AS3:AU3"/>
    <mergeCell ref="AV3:AY3"/>
    <mergeCell ref="J7:M7"/>
    <mergeCell ref="E76:S76"/>
    <mergeCell ref="AB17:AW17"/>
    <mergeCell ref="E18:O18"/>
    <mergeCell ref="P18:AA18"/>
    <mergeCell ref="AB18:AW18"/>
    <mergeCell ref="E19:O19"/>
    <mergeCell ref="P19:AA19"/>
    <mergeCell ref="AB19:AW19"/>
    <mergeCell ref="E20:O20"/>
    <mergeCell ref="P20:AA20"/>
    <mergeCell ref="AB20:AW20"/>
    <mergeCell ref="E41:F43"/>
    <mergeCell ref="E38:F40"/>
    <mergeCell ref="S44:U46"/>
    <mergeCell ref="S47:U49"/>
    <mergeCell ref="S50:U52"/>
    <mergeCell ref="I31:N32"/>
    <mergeCell ref="AN38:AP40"/>
    <mergeCell ref="AN41:AP43"/>
    <mergeCell ref="AN44:AP46"/>
    <mergeCell ref="AN47:AP49"/>
    <mergeCell ref="AN50:AP52"/>
    <mergeCell ref="Y38:AA40"/>
    <mergeCell ref="Y41:AA43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BZ30"/>
  <sheetViews>
    <sheetView showGridLines="0" view="pageBreakPreview" zoomScale="90" zoomScaleNormal="70" zoomScaleSheetLayoutView="90" workbookViewId="0">
      <selection sqref="A1:I1"/>
    </sheetView>
  </sheetViews>
  <sheetFormatPr defaultColWidth="2.54296875" defaultRowHeight="15"/>
  <cols>
    <col min="1" max="10" width="2.54296875" style="606" customWidth="1"/>
    <col min="11" max="16" width="3.26953125" style="606" customWidth="1"/>
    <col min="17" max="27" width="2.54296875" style="606"/>
    <col min="28" max="43" width="2.453125" style="679"/>
    <col min="44" max="52" width="2.54296875" style="606"/>
    <col min="53" max="53" width="2.54296875" style="606" customWidth="1"/>
    <col min="54" max="239" width="2.54296875" style="606"/>
    <col min="240" max="240" width="4" style="606" customWidth="1"/>
    <col min="241" max="272" width="2.54296875" style="606"/>
    <col min="273" max="273" width="2.54296875" style="606" customWidth="1"/>
    <col min="274" max="495" width="2.54296875" style="606"/>
    <col min="496" max="496" width="4" style="606" customWidth="1"/>
    <col min="497" max="528" width="2.54296875" style="606"/>
    <col min="529" max="529" width="2.54296875" style="606" customWidth="1"/>
    <col min="530" max="751" width="2.54296875" style="606"/>
    <col min="752" max="752" width="4" style="606" customWidth="1"/>
    <col min="753" max="784" width="2.54296875" style="606"/>
    <col min="785" max="785" width="2.54296875" style="606" customWidth="1"/>
    <col min="786" max="1007" width="2.54296875" style="606"/>
    <col min="1008" max="1008" width="4" style="606" customWidth="1"/>
    <col min="1009" max="1040" width="2.54296875" style="606"/>
    <col min="1041" max="1041" width="2.54296875" style="606" customWidth="1"/>
    <col min="1042" max="1263" width="2.54296875" style="606"/>
    <col min="1264" max="1264" width="4" style="606" customWidth="1"/>
    <col min="1265" max="1296" width="2.54296875" style="606"/>
    <col min="1297" max="1297" width="2.54296875" style="606" customWidth="1"/>
    <col min="1298" max="1519" width="2.54296875" style="606"/>
    <col min="1520" max="1520" width="4" style="606" customWidth="1"/>
    <col min="1521" max="1552" width="2.54296875" style="606"/>
    <col min="1553" max="1553" width="2.54296875" style="606" customWidth="1"/>
    <col min="1554" max="1775" width="2.54296875" style="606"/>
    <col min="1776" max="1776" width="4" style="606" customWidth="1"/>
    <col min="1777" max="1808" width="2.54296875" style="606"/>
    <col min="1809" max="1809" width="2.54296875" style="606" customWidth="1"/>
    <col min="1810" max="2031" width="2.54296875" style="606"/>
    <col min="2032" max="2032" width="4" style="606" customWidth="1"/>
    <col min="2033" max="2064" width="2.54296875" style="606"/>
    <col min="2065" max="2065" width="2.54296875" style="606" customWidth="1"/>
    <col min="2066" max="2287" width="2.54296875" style="606"/>
    <col min="2288" max="2288" width="4" style="606" customWidth="1"/>
    <col min="2289" max="2320" width="2.54296875" style="606"/>
    <col min="2321" max="2321" width="2.54296875" style="606" customWidth="1"/>
    <col min="2322" max="2543" width="2.54296875" style="606"/>
    <col min="2544" max="2544" width="4" style="606" customWidth="1"/>
    <col min="2545" max="2576" width="2.54296875" style="606"/>
    <col min="2577" max="2577" width="2.54296875" style="606" customWidth="1"/>
    <col min="2578" max="2799" width="2.54296875" style="606"/>
    <col min="2800" max="2800" width="4" style="606" customWidth="1"/>
    <col min="2801" max="2832" width="2.54296875" style="606"/>
    <col min="2833" max="2833" width="2.54296875" style="606" customWidth="1"/>
    <col min="2834" max="3055" width="2.54296875" style="606"/>
    <col min="3056" max="3056" width="4" style="606" customWidth="1"/>
    <col min="3057" max="3088" width="2.54296875" style="606"/>
    <col min="3089" max="3089" width="2.54296875" style="606" customWidth="1"/>
    <col min="3090" max="3311" width="2.54296875" style="606"/>
    <col min="3312" max="3312" width="4" style="606" customWidth="1"/>
    <col min="3313" max="3344" width="2.54296875" style="606"/>
    <col min="3345" max="3345" width="2.54296875" style="606" customWidth="1"/>
    <col min="3346" max="3567" width="2.54296875" style="606"/>
    <col min="3568" max="3568" width="4" style="606" customWidth="1"/>
    <col min="3569" max="3600" width="2.54296875" style="606"/>
    <col min="3601" max="3601" width="2.54296875" style="606" customWidth="1"/>
    <col min="3602" max="3823" width="2.54296875" style="606"/>
    <col min="3824" max="3824" width="4" style="606" customWidth="1"/>
    <col min="3825" max="3856" width="2.54296875" style="606"/>
    <col min="3857" max="3857" width="2.54296875" style="606" customWidth="1"/>
    <col min="3858" max="4079" width="2.54296875" style="606"/>
    <col min="4080" max="4080" width="4" style="606" customWidth="1"/>
    <col min="4081" max="4112" width="2.54296875" style="606"/>
    <col min="4113" max="4113" width="2.54296875" style="606" customWidth="1"/>
    <col min="4114" max="4335" width="2.54296875" style="606"/>
    <col min="4336" max="4336" width="4" style="606" customWidth="1"/>
    <col min="4337" max="4368" width="2.54296875" style="606"/>
    <col min="4369" max="4369" width="2.54296875" style="606" customWidth="1"/>
    <col min="4370" max="4591" width="2.54296875" style="606"/>
    <col min="4592" max="4592" width="4" style="606" customWidth="1"/>
    <col min="4593" max="4624" width="2.54296875" style="606"/>
    <col min="4625" max="4625" width="2.54296875" style="606" customWidth="1"/>
    <col min="4626" max="4847" width="2.54296875" style="606"/>
    <col min="4848" max="4848" width="4" style="606" customWidth="1"/>
    <col min="4849" max="4880" width="2.54296875" style="606"/>
    <col min="4881" max="4881" width="2.54296875" style="606" customWidth="1"/>
    <col min="4882" max="5103" width="2.54296875" style="606"/>
    <col min="5104" max="5104" width="4" style="606" customWidth="1"/>
    <col min="5105" max="5136" width="2.54296875" style="606"/>
    <col min="5137" max="5137" width="2.54296875" style="606" customWidth="1"/>
    <col min="5138" max="5359" width="2.54296875" style="606"/>
    <col min="5360" max="5360" width="4" style="606" customWidth="1"/>
    <col min="5361" max="5392" width="2.54296875" style="606"/>
    <col min="5393" max="5393" width="2.54296875" style="606" customWidth="1"/>
    <col min="5394" max="5615" width="2.54296875" style="606"/>
    <col min="5616" max="5616" width="4" style="606" customWidth="1"/>
    <col min="5617" max="5648" width="2.54296875" style="606"/>
    <col min="5649" max="5649" width="2.54296875" style="606" customWidth="1"/>
    <col min="5650" max="5871" width="2.54296875" style="606"/>
    <col min="5872" max="5872" width="4" style="606" customWidth="1"/>
    <col min="5873" max="5904" width="2.54296875" style="606"/>
    <col min="5905" max="5905" width="2.54296875" style="606" customWidth="1"/>
    <col min="5906" max="6127" width="2.54296875" style="606"/>
    <col min="6128" max="6128" width="4" style="606" customWidth="1"/>
    <col min="6129" max="6160" width="2.54296875" style="606"/>
    <col min="6161" max="6161" width="2.54296875" style="606" customWidth="1"/>
    <col min="6162" max="6383" width="2.54296875" style="606"/>
    <col min="6384" max="6384" width="4" style="606" customWidth="1"/>
    <col min="6385" max="6416" width="2.54296875" style="606"/>
    <col min="6417" max="6417" width="2.54296875" style="606" customWidth="1"/>
    <col min="6418" max="6639" width="2.54296875" style="606"/>
    <col min="6640" max="6640" width="4" style="606" customWidth="1"/>
    <col min="6641" max="6672" width="2.54296875" style="606"/>
    <col min="6673" max="6673" width="2.54296875" style="606" customWidth="1"/>
    <col min="6674" max="6895" width="2.54296875" style="606"/>
    <col min="6896" max="6896" width="4" style="606" customWidth="1"/>
    <col min="6897" max="6928" width="2.54296875" style="606"/>
    <col min="6929" max="6929" width="2.54296875" style="606" customWidth="1"/>
    <col min="6930" max="7151" width="2.54296875" style="606"/>
    <col min="7152" max="7152" width="4" style="606" customWidth="1"/>
    <col min="7153" max="7184" width="2.54296875" style="606"/>
    <col min="7185" max="7185" width="2.54296875" style="606" customWidth="1"/>
    <col min="7186" max="7407" width="2.54296875" style="606"/>
    <col min="7408" max="7408" width="4" style="606" customWidth="1"/>
    <col min="7409" max="7440" width="2.54296875" style="606"/>
    <col min="7441" max="7441" width="2.54296875" style="606" customWidth="1"/>
    <col min="7442" max="7663" width="2.54296875" style="606"/>
    <col min="7664" max="7664" width="4" style="606" customWidth="1"/>
    <col min="7665" max="7696" width="2.54296875" style="606"/>
    <col min="7697" max="7697" width="2.54296875" style="606" customWidth="1"/>
    <col min="7698" max="7919" width="2.54296875" style="606"/>
    <col min="7920" max="7920" width="4" style="606" customWidth="1"/>
    <col min="7921" max="7952" width="2.54296875" style="606"/>
    <col min="7953" max="7953" width="2.54296875" style="606" customWidth="1"/>
    <col min="7954" max="8175" width="2.54296875" style="606"/>
    <col min="8176" max="8176" width="4" style="606" customWidth="1"/>
    <col min="8177" max="8208" width="2.54296875" style="606"/>
    <col min="8209" max="8209" width="2.54296875" style="606" customWidth="1"/>
    <col min="8210" max="8431" width="2.54296875" style="606"/>
    <col min="8432" max="8432" width="4" style="606" customWidth="1"/>
    <col min="8433" max="8464" width="2.54296875" style="606"/>
    <col min="8465" max="8465" width="2.54296875" style="606" customWidth="1"/>
    <col min="8466" max="8687" width="2.54296875" style="606"/>
    <col min="8688" max="8688" width="4" style="606" customWidth="1"/>
    <col min="8689" max="8720" width="2.54296875" style="606"/>
    <col min="8721" max="8721" width="2.54296875" style="606" customWidth="1"/>
    <col min="8722" max="8943" width="2.54296875" style="606"/>
    <col min="8944" max="8944" width="4" style="606" customWidth="1"/>
    <col min="8945" max="8976" width="2.54296875" style="606"/>
    <col min="8977" max="8977" width="2.54296875" style="606" customWidth="1"/>
    <col min="8978" max="9199" width="2.54296875" style="606"/>
    <col min="9200" max="9200" width="4" style="606" customWidth="1"/>
    <col min="9201" max="9232" width="2.54296875" style="606"/>
    <col min="9233" max="9233" width="2.54296875" style="606" customWidth="1"/>
    <col min="9234" max="9455" width="2.54296875" style="606"/>
    <col min="9456" max="9456" width="4" style="606" customWidth="1"/>
    <col min="9457" max="9488" width="2.54296875" style="606"/>
    <col min="9489" max="9489" width="2.54296875" style="606" customWidth="1"/>
    <col min="9490" max="9711" width="2.54296875" style="606"/>
    <col min="9712" max="9712" width="4" style="606" customWidth="1"/>
    <col min="9713" max="9744" width="2.54296875" style="606"/>
    <col min="9745" max="9745" width="2.54296875" style="606" customWidth="1"/>
    <col min="9746" max="9967" width="2.54296875" style="606"/>
    <col min="9968" max="9968" width="4" style="606" customWidth="1"/>
    <col min="9969" max="10000" width="2.54296875" style="606"/>
    <col min="10001" max="10001" width="2.54296875" style="606" customWidth="1"/>
    <col min="10002" max="10223" width="2.54296875" style="606"/>
    <col min="10224" max="10224" width="4" style="606" customWidth="1"/>
    <col min="10225" max="10256" width="2.54296875" style="606"/>
    <col min="10257" max="10257" width="2.54296875" style="606" customWidth="1"/>
    <col min="10258" max="10479" width="2.54296875" style="606"/>
    <col min="10480" max="10480" width="4" style="606" customWidth="1"/>
    <col min="10481" max="10512" width="2.54296875" style="606"/>
    <col min="10513" max="10513" width="2.54296875" style="606" customWidth="1"/>
    <col min="10514" max="10735" width="2.54296875" style="606"/>
    <col min="10736" max="10736" width="4" style="606" customWidth="1"/>
    <col min="10737" max="10768" width="2.54296875" style="606"/>
    <col min="10769" max="10769" width="2.54296875" style="606" customWidth="1"/>
    <col min="10770" max="10991" width="2.54296875" style="606"/>
    <col min="10992" max="10992" width="4" style="606" customWidth="1"/>
    <col min="10993" max="11024" width="2.54296875" style="606"/>
    <col min="11025" max="11025" width="2.54296875" style="606" customWidth="1"/>
    <col min="11026" max="11247" width="2.54296875" style="606"/>
    <col min="11248" max="11248" width="4" style="606" customWidth="1"/>
    <col min="11249" max="11280" width="2.54296875" style="606"/>
    <col min="11281" max="11281" width="2.54296875" style="606" customWidth="1"/>
    <col min="11282" max="11503" width="2.54296875" style="606"/>
    <col min="11504" max="11504" width="4" style="606" customWidth="1"/>
    <col min="11505" max="11536" width="2.54296875" style="606"/>
    <col min="11537" max="11537" width="2.54296875" style="606" customWidth="1"/>
    <col min="11538" max="11759" width="2.54296875" style="606"/>
    <col min="11760" max="11760" width="4" style="606" customWidth="1"/>
    <col min="11761" max="11792" width="2.54296875" style="606"/>
    <col min="11793" max="11793" width="2.54296875" style="606" customWidth="1"/>
    <col min="11794" max="12015" width="2.54296875" style="606"/>
    <col min="12016" max="12016" width="4" style="606" customWidth="1"/>
    <col min="12017" max="12048" width="2.54296875" style="606"/>
    <col min="12049" max="12049" width="2.54296875" style="606" customWidth="1"/>
    <col min="12050" max="12271" width="2.54296875" style="606"/>
    <col min="12272" max="12272" width="4" style="606" customWidth="1"/>
    <col min="12273" max="12304" width="2.54296875" style="606"/>
    <col min="12305" max="12305" width="2.54296875" style="606" customWidth="1"/>
    <col min="12306" max="12527" width="2.54296875" style="606"/>
    <col min="12528" max="12528" width="4" style="606" customWidth="1"/>
    <col min="12529" max="12560" width="2.54296875" style="606"/>
    <col min="12561" max="12561" width="2.54296875" style="606" customWidth="1"/>
    <col min="12562" max="12783" width="2.54296875" style="606"/>
    <col min="12784" max="12784" width="4" style="606" customWidth="1"/>
    <col min="12785" max="12816" width="2.54296875" style="606"/>
    <col min="12817" max="12817" width="2.54296875" style="606" customWidth="1"/>
    <col min="12818" max="13039" width="2.54296875" style="606"/>
    <col min="13040" max="13040" width="4" style="606" customWidth="1"/>
    <col min="13041" max="13072" width="2.54296875" style="606"/>
    <col min="13073" max="13073" width="2.54296875" style="606" customWidth="1"/>
    <col min="13074" max="13295" width="2.54296875" style="606"/>
    <col min="13296" max="13296" width="4" style="606" customWidth="1"/>
    <col min="13297" max="13328" width="2.54296875" style="606"/>
    <col min="13329" max="13329" width="2.54296875" style="606" customWidth="1"/>
    <col min="13330" max="13551" width="2.54296875" style="606"/>
    <col min="13552" max="13552" width="4" style="606" customWidth="1"/>
    <col min="13553" max="13584" width="2.54296875" style="606"/>
    <col min="13585" max="13585" width="2.54296875" style="606" customWidth="1"/>
    <col min="13586" max="13807" width="2.54296875" style="606"/>
    <col min="13808" max="13808" width="4" style="606" customWidth="1"/>
    <col min="13809" max="13840" width="2.54296875" style="606"/>
    <col min="13841" max="13841" width="2.54296875" style="606" customWidth="1"/>
    <col min="13842" max="14063" width="2.54296875" style="606"/>
    <col min="14064" max="14064" width="4" style="606" customWidth="1"/>
    <col min="14065" max="14096" width="2.54296875" style="606"/>
    <col min="14097" max="14097" width="2.54296875" style="606" customWidth="1"/>
    <col min="14098" max="14319" width="2.54296875" style="606"/>
    <col min="14320" max="14320" width="4" style="606" customWidth="1"/>
    <col min="14321" max="14352" width="2.54296875" style="606"/>
    <col min="14353" max="14353" width="2.54296875" style="606" customWidth="1"/>
    <col min="14354" max="14575" width="2.54296875" style="606"/>
    <col min="14576" max="14576" width="4" style="606" customWidth="1"/>
    <col min="14577" max="14608" width="2.54296875" style="606"/>
    <col min="14609" max="14609" width="2.54296875" style="606" customWidth="1"/>
    <col min="14610" max="14831" width="2.54296875" style="606"/>
    <col min="14832" max="14832" width="4" style="606" customWidth="1"/>
    <col min="14833" max="14864" width="2.54296875" style="606"/>
    <col min="14865" max="14865" width="2.54296875" style="606" customWidth="1"/>
    <col min="14866" max="15087" width="2.54296875" style="606"/>
    <col min="15088" max="15088" width="4" style="606" customWidth="1"/>
    <col min="15089" max="15120" width="2.54296875" style="606"/>
    <col min="15121" max="15121" width="2.54296875" style="606" customWidth="1"/>
    <col min="15122" max="15343" width="2.54296875" style="606"/>
    <col min="15344" max="15344" width="4" style="606" customWidth="1"/>
    <col min="15345" max="15376" width="2.54296875" style="606"/>
    <col min="15377" max="15377" width="2.54296875" style="606" customWidth="1"/>
    <col min="15378" max="15599" width="2.54296875" style="606"/>
    <col min="15600" max="15600" width="4" style="606" customWidth="1"/>
    <col min="15601" max="15632" width="2.54296875" style="606"/>
    <col min="15633" max="15633" width="2.54296875" style="606" customWidth="1"/>
    <col min="15634" max="15855" width="2.54296875" style="606"/>
    <col min="15856" max="15856" width="4" style="606" customWidth="1"/>
    <col min="15857" max="15888" width="2.54296875" style="606"/>
    <col min="15889" max="15889" width="2.54296875" style="606" customWidth="1"/>
    <col min="15890" max="16111" width="2.54296875" style="606"/>
    <col min="16112" max="16112" width="4" style="606" customWidth="1"/>
    <col min="16113" max="16144" width="2.54296875" style="606"/>
    <col min="16145" max="16145" width="2.54296875" style="606" customWidth="1"/>
    <col min="16146" max="16384" width="2.54296875" style="606"/>
  </cols>
  <sheetData>
    <row r="1" spans="1:78" ht="12.75" customHeight="1">
      <c r="A1" s="838" t="s">
        <v>306</v>
      </c>
      <c r="B1" s="838"/>
      <c r="C1" s="838"/>
      <c r="D1" s="838"/>
      <c r="E1" s="838"/>
      <c r="F1" s="838"/>
      <c r="G1" s="838"/>
      <c r="H1" s="838"/>
      <c r="I1" s="838"/>
      <c r="J1" s="604"/>
      <c r="K1" s="604"/>
      <c r="L1" s="604"/>
      <c r="M1" s="604"/>
      <c r="N1" s="604"/>
      <c r="O1" s="604"/>
      <c r="P1" s="604"/>
      <c r="Q1" s="604"/>
      <c r="R1" s="604"/>
      <c r="S1" s="604"/>
      <c r="T1" s="604"/>
      <c r="U1" s="604"/>
      <c r="V1" s="604"/>
      <c r="W1" s="604"/>
      <c r="X1" s="604"/>
      <c r="Y1" s="604"/>
      <c r="Z1" s="604"/>
      <c r="AA1" s="604"/>
      <c r="AB1" s="676"/>
      <c r="AC1" s="676"/>
      <c r="AD1" s="676"/>
      <c r="AE1" s="676"/>
      <c r="AF1" s="676"/>
      <c r="AG1" s="676"/>
      <c r="AH1" s="676"/>
      <c r="AI1" s="676"/>
      <c r="AJ1" s="676"/>
      <c r="AK1" s="676"/>
      <c r="AL1" s="676"/>
      <c r="AM1" s="676"/>
      <c r="AN1" s="676"/>
      <c r="AO1" s="676"/>
      <c r="AP1" s="676"/>
      <c r="AQ1" s="676"/>
      <c r="AR1" s="604"/>
      <c r="AS1" s="604"/>
      <c r="AT1" s="604"/>
      <c r="AU1" s="604"/>
      <c r="AV1" s="604"/>
      <c r="AW1" s="604"/>
      <c r="AX1" s="604"/>
      <c r="AY1" s="604"/>
      <c r="AZ1" s="604"/>
      <c r="BA1" s="604"/>
      <c r="BB1" s="604"/>
      <c r="BC1" s="604"/>
      <c r="BD1" s="604"/>
      <c r="BE1" s="604"/>
      <c r="BF1" s="604"/>
      <c r="BG1" s="604"/>
      <c r="BH1" s="604"/>
      <c r="BI1" s="604"/>
      <c r="BJ1" s="604"/>
      <c r="BK1" s="604"/>
      <c r="BL1" s="604"/>
      <c r="BM1" s="604"/>
      <c r="BN1" s="604"/>
      <c r="BO1" s="604"/>
      <c r="BP1" s="604"/>
      <c r="BQ1" s="604"/>
      <c r="BR1" s="604"/>
      <c r="BS1" s="604"/>
      <c r="BT1" s="604"/>
      <c r="BU1" s="604"/>
      <c r="BV1" s="604"/>
      <c r="BW1" s="604"/>
      <c r="BX1" s="604"/>
      <c r="BY1" s="605"/>
      <c r="BZ1" s="605"/>
    </row>
    <row r="2" spans="1:78" ht="12.75" customHeight="1">
      <c r="A2" s="839" t="s">
        <v>307</v>
      </c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40"/>
      <c r="R2" s="840"/>
      <c r="S2" s="840"/>
      <c r="T2" s="840"/>
      <c r="U2" s="840"/>
      <c r="V2" s="840"/>
      <c r="W2" s="840"/>
      <c r="X2" s="840"/>
      <c r="Y2" s="840"/>
      <c r="Z2" s="840"/>
      <c r="AA2" s="840"/>
      <c r="AB2" s="840"/>
      <c r="AC2" s="840"/>
      <c r="AD2" s="840"/>
      <c r="AE2" s="840"/>
      <c r="AF2" s="840"/>
      <c r="AG2" s="840"/>
      <c r="AH2" s="840"/>
      <c r="AI2" s="840"/>
      <c r="AJ2" s="840"/>
      <c r="AK2" s="840"/>
      <c r="AL2" s="840"/>
      <c r="AM2" s="840"/>
      <c r="AN2" s="840"/>
      <c r="AO2" s="840"/>
      <c r="AP2" s="840"/>
      <c r="AQ2" s="840"/>
      <c r="AR2" s="840"/>
      <c r="AS2" s="840"/>
      <c r="AT2" s="840"/>
      <c r="AU2" s="840"/>
      <c r="AV2" s="840"/>
      <c r="AW2" s="840"/>
      <c r="AX2" s="840"/>
      <c r="AY2" s="840"/>
      <c r="AZ2" s="840"/>
      <c r="BA2" s="840"/>
      <c r="BB2" s="840"/>
      <c r="BC2" s="840"/>
      <c r="BD2" s="840"/>
      <c r="BE2" s="840"/>
      <c r="BF2" s="840"/>
      <c r="BG2" s="840"/>
      <c r="BH2" s="840"/>
      <c r="BI2" s="840"/>
      <c r="BJ2" s="840"/>
      <c r="BK2" s="840"/>
      <c r="BL2" s="840"/>
      <c r="BM2" s="840"/>
      <c r="BN2" s="840"/>
      <c r="BO2" s="840"/>
      <c r="BP2" s="840"/>
      <c r="BQ2" s="840"/>
      <c r="BR2" s="840"/>
      <c r="BS2" s="840"/>
      <c r="BT2" s="840"/>
      <c r="BU2" s="840"/>
      <c r="BV2" s="840"/>
      <c r="BW2" s="840"/>
      <c r="BX2" s="840"/>
      <c r="BY2" s="840"/>
      <c r="BZ2" s="840"/>
    </row>
    <row r="3" spans="1:78" ht="27.75" customHeight="1">
      <c r="A3" s="842" t="s">
        <v>308</v>
      </c>
      <c r="B3" s="843"/>
      <c r="C3" s="843" t="s">
        <v>309</v>
      </c>
      <c r="D3" s="843"/>
      <c r="E3" s="843"/>
      <c r="F3" s="843"/>
      <c r="G3" s="843"/>
      <c r="H3" s="843"/>
      <c r="I3" s="843"/>
      <c r="J3" s="843"/>
      <c r="K3" s="843"/>
      <c r="L3" s="843"/>
      <c r="M3" s="843"/>
      <c r="N3" s="843"/>
      <c r="O3" s="843"/>
      <c r="P3" s="843"/>
      <c r="Q3" s="844" t="s">
        <v>310</v>
      </c>
      <c r="R3" s="845"/>
      <c r="S3" s="845"/>
      <c r="T3" s="845"/>
      <c r="U3" s="845"/>
      <c r="V3" s="845"/>
      <c r="W3" s="845"/>
      <c r="X3" s="845"/>
      <c r="Y3" s="845"/>
      <c r="Z3" s="845"/>
      <c r="AA3" s="846"/>
      <c r="AB3" s="850" t="s">
        <v>567</v>
      </c>
      <c r="AC3" s="851"/>
      <c r="AD3" s="851"/>
      <c r="AE3" s="851"/>
      <c r="AF3" s="851"/>
      <c r="AG3" s="851"/>
      <c r="AH3" s="851"/>
      <c r="AI3" s="850" t="s">
        <v>568</v>
      </c>
      <c r="AJ3" s="851"/>
      <c r="AK3" s="851"/>
      <c r="AL3" s="851"/>
      <c r="AM3" s="851"/>
      <c r="AN3" s="851"/>
      <c r="AO3" s="851"/>
      <c r="AP3" s="851"/>
      <c r="AQ3" s="851"/>
      <c r="AR3" s="842" t="s">
        <v>311</v>
      </c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  <c r="BX3" s="842"/>
      <c r="BY3" s="842"/>
      <c r="BZ3" s="842"/>
    </row>
    <row r="4" spans="1:78" ht="27.75" customHeight="1">
      <c r="A4" s="843"/>
      <c r="B4" s="843"/>
      <c r="C4" s="841" t="s">
        <v>312</v>
      </c>
      <c r="D4" s="841"/>
      <c r="E4" s="841"/>
      <c r="F4" s="841"/>
      <c r="G4" s="841"/>
      <c r="H4" s="841"/>
      <c r="I4" s="841"/>
      <c r="J4" s="841" t="s">
        <v>313</v>
      </c>
      <c r="K4" s="841"/>
      <c r="L4" s="841"/>
      <c r="M4" s="841"/>
      <c r="N4" s="841"/>
      <c r="O4" s="841"/>
      <c r="P4" s="841"/>
      <c r="Q4" s="847"/>
      <c r="R4" s="848"/>
      <c r="S4" s="848"/>
      <c r="T4" s="848"/>
      <c r="U4" s="848"/>
      <c r="V4" s="848"/>
      <c r="W4" s="848"/>
      <c r="X4" s="848"/>
      <c r="Y4" s="848"/>
      <c r="Z4" s="848"/>
      <c r="AA4" s="849"/>
      <c r="AB4" s="852"/>
      <c r="AC4" s="853"/>
      <c r="AD4" s="853"/>
      <c r="AE4" s="853"/>
      <c r="AF4" s="853"/>
      <c r="AG4" s="853"/>
      <c r="AH4" s="853"/>
      <c r="AI4" s="852"/>
      <c r="AJ4" s="853"/>
      <c r="AK4" s="853"/>
      <c r="AL4" s="853"/>
      <c r="AM4" s="853"/>
      <c r="AN4" s="853"/>
      <c r="AO4" s="853"/>
      <c r="AP4" s="853"/>
      <c r="AQ4" s="853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  <c r="BX4" s="842"/>
      <c r="BY4" s="842"/>
      <c r="BZ4" s="842"/>
    </row>
    <row r="5" spans="1:78">
      <c r="A5" s="828" t="s">
        <v>314</v>
      </c>
      <c r="B5" s="829"/>
      <c r="C5" s="830" t="s">
        <v>315</v>
      </c>
      <c r="D5" s="831"/>
      <c r="E5" s="831"/>
      <c r="F5" s="831"/>
      <c r="G5" s="831"/>
      <c r="H5" s="831"/>
      <c r="I5" s="832"/>
      <c r="J5" s="833"/>
      <c r="K5" s="834"/>
      <c r="L5" s="834"/>
      <c r="M5" s="834"/>
      <c r="N5" s="834"/>
      <c r="O5" s="834"/>
      <c r="P5" s="835"/>
      <c r="Q5" s="824"/>
      <c r="R5" s="825"/>
      <c r="S5" s="825"/>
      <c r="T5" s="825"/>
      <c r="U5" s="825"/>
      <c r="V5" s="825"/>
      <c r="W5" s="825"/>
      <c r="X5" s="825"/>
      <c r="Y5" s="825"/>
      <c r="Z5" s="825"/>
      <c r="AA5" s="826"/>
      <c r="AB5" s="836"/>
      <c r="AC5" s="837"/>
      <c r="AD5" s="837"/>
      <c r="AE5" s="837"/>
      <c r="AF5" s="837"/>
      <c r="AG5" s="837"/>
      <c r="AH5" s="837"/>
      <c r="AI5" s="836"/>
      <c r="AJ5" s="837"/>
      <c r="AK5" s="837"/>
      <c r="AL5" s="837"/>
      <c r="AM5" s="837"/>
      <c r="AN5" s="837"/>
      <c r="AO5" s="837"/>
      <c r="AP5" s="837"/>
      <c r="AQ5" s="837"/>
      <c r="AR5" s="827"/>
      <c r="AS5" s="825"/>
      <c r="AT5" s="825"/>
      <c r="AU5" s="825"/>
      <c r="AV5" s="825"/>
      <c r="AW5" s="825"/>
      <c r="AX5" s="825"/>
      <c r="AY5" s="825"/>
      <c r="AZ5" s="825"/>
      <c r="BA5" s="825"/>
      <c r="BB5" s="825"/>
      <c r="BC5" s="825"/>
      <c r="BD5" s="825"/>
      <c r="BE5" s="825"/>
      <c r="BF5" s="825"/>
      <c r="BG5" s="825"/>
      <c r="BH5" s="825"/>
      <c r="BI5" s="825"/>
      <c r="BJ5" s="825"/>
      <c r="BK5" s="825"/>
      <c r="BL5" s="825"/>
      <c r="BM5" s="825"/>
      <c r="BN5" s="825"/>
      <c r="BO5" s="825"/>
      <c r="BP5" s="825"/>
      <c r="BQ5" s="825"/>
      <c r="BR5" s="825"/>
      <c r="BS5" s="825"/>
      <c r="BT5" s="825"/>
      <c r="BU5" s="825"/>
      <c r="BV5" s="825"/>
      <c r="BW5" s="825"/>
      <c r="BX5" s="825"/>
      <c r="BY5" s="825"/>
      <c r="BZ5" s="826"/>
    </row>
    <row r="6" spans="1:78">
      <c r="A6" s="828" t="s">
        <v>316</v>
      </c>
      <c r="B6" s="829"/>
      <c r="C6" s="830"/>
      <c r="D6" s="831"/>
      <c r="E6" s="831"/>
      <c r="F6" s="831"/>
      <c r="G6" s="831"/>
      <c r="H6" s="831"/>
      <c r="I6" s="832"/>
      <c r="J6" s="833" t="s">
        <v>317</v>
      </c>
      <c r="K6" s="834"/>
      <c r="L6" s="834"/>
      <c r="M6" s="834"/>
      <c r="N6" s="834"/>
      <c r="O6" s="834"/>
      <c r="P6" s="835"/>
      <c r="Q6" s="824" t="s">
        <v>305</v>
      </c>
      <c r="R6" s="825"/>
      <c r="S6" s="825"/>
      <c r="T6" s="825"/>
      <c r="U6" s="825"/>
      <c r="V6" s="825"/>
      <c r="W6" s="825"/>
      <c r="X6" s="825"/>
      <c r="Y6" s="825"/>
      <c r="Z6" s="825"/>
      <c r="AA6" s="826"/>
      <c r="AB6" s="836"/>
      <c r="AC6" s="837"/>
      <c r="AD6" s="837"/>
      <c r="AE6" s="837"/>
      <c r="AF6" s="837"/>
      <c r="AG6" s="837"/>
      <c r="AH6" s="837"/>
      <c r="AI6" s="836"/>
      <c r="AJ6" s="837"/>
      <c r="AK6" s="837"/>
      <c r="AL6" s="837"/>
      <c r="AM6" s="837"/>
      <c r="AN6" s="837"/>
      <c r="AO6" s="837"/>
      <c r="AP6" s="837"/>
      <c r="AQ6" s="837"/>
      <c r="AR6" s="827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  <c r="BX6" s="825"/>
      <c r="BY6" s="825"/>
      <c r="BZ6" s="826"/>
    </row>
    <row r="7" spans="1:78" ht="15.75" customHeight="1">
      <c r="A7" s="828" t="s">
        <v>321</v>
      </c>
      <c r="B7" s="829"/>
      <c r="C7" s="857" t="s">
        <v>322</v>
      </c>
      <c r="D7" s="858"/>
      <c r="E7" s="858"/>
      <c r="F7" s="858"/>
      <c r="G7" s="858"/>
      <c r="H7" s="858"/>
      <c r="I7" s="859"/>
      <c r="J7" s="860"/>
      <c r="K7" s="860"/>
      <c r="L7" s="860"/>
      <c r="M7" s="860"/>
      <c r="N7" s="860"/>
      <c r="O7" s="860"/>
      <c r="P7" s="860"/>
      <c r="Q7" s="824" t="s">
        <v>318</v>
      </c>
      <c r="R7" s="825"/>
      <c r="S7" s="825"/>
      <c r="T7" s="825"/>
      <c r="U7" s="825"/>
      <c r="V7" s="825"/>
      <c r="W7" s="825"/>
      <c r="X7" s="825"/>
      <c r="Y7" s="825"/>
      <c r="Z7" s="825"/>
      <c r="AA7" s="826"/>
      <c r="AB7" s="836"/>
      <c r="AC7" s="837"/>
      <c r="AD7" s="837"/>
      <c r="AE7" s="837"/>
      <c r="AF7" s="837"/>
      <c r="AG7" s="837"/>
      <c r="AH7" s="837"/>
      <c r="AI7" s="836"/>
      <c r="AJ7" s="837"/>
      <c r="AK7" s="837"/>
      <c r="AL7" s="837"/>
      <c r="AM7" s="837"/>
      <c r="AN7" s="837"/>
      <c r="AO7" s="837"/>
      <c r="AP7" s="837"/>
      <c r="AQ7" s="837"/>
      <c r="AR7" s="854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  <c r="BX7" s="855"/>
      <c r="BY7" s="855"/>
      <c r="BZ7" s="856"/>
    </row>
    <row r="8" spans="1:78" ht="44.5" customHeight="1">
      <c r="A8" s="828" t="s">
        <v>323</v>
      </c>
      <c r="B8" s="829"/>
      <c r="C8" s="607"/>
      <c r="D8" s="608"/>
      <c r="E8" s="608"/>
      <c r="F8" s="608"/>
      <c r="G8" s="608"/>
      <c r="H8" s="608"/>
      <c r="I8" s="609"/>
      <c r="J8" s="864" t="s">
        <v>324</v>
      </c>
      <c r="K8" s="865"/>
      <c r="L8" s="865"/>
      <c r="M8" s="865"/>
      <c r="N8" s="865"/>
      <c r="O8" s="865"/>
      <c r="P8" s="866"/>
      <c r="Q8" s="861" t="s">
        <v>325</v>
      </c>
      <c r="R8" s="862"/>
      <c r="S8" s="862"/>
      <c r="T8" s="862"/>
      <c r="U8" s="862"/>
      <c r="V8" s="862"/>
      <c r="W8" s="862"/>
      <c r="X8" s="862"/>
      <c r="Y8" s="862"/>
      <c r="Z8" s="862"/>
      <c r="AA8" s="863"/>
      <c r="AB8" s="821"/>
      <c r="AC8" s="822"/>
      <c r="AD8" s="822"/>
      <c r="AE8" s="822"/>
      <c r="AF8" s="822"/>
      <c r="AG8" s="822"/>
      <c r="AH8" s="822"/>
      <c r="AI8" s="821" t="s">
        <v>569</v>
      </c>
      <c r="AJ8" s="822"/>
      <c r="AK8" s="822"/>
      <c r="AL8" s="822"/>
      <c r="AM8" s="822"/>
      <c r="AN8" s="822"/>
      <c r="AO8" s="822"/>
      <c r="AP8" s="822"/>
      <c r="AQ8" s="822"/>
      <c r="AR8" s="827"/>
      <c r="AS8" s="825"/>
      <c r="AT8" s="825"/>
      <c r="AU8" s="825"/>
      <c r="AV8" s="825"/>
      <c r="AW8" s="825"/>
      <c r="AX8" s="825"/>
      <c r="AY8" s="825"/>
      <c r="AZ8" s="825"/>
      <c r="BA8" s="825"/>
      <c r="BB8" s="825"/>
      <c r="BC8" s="825"/>
      <c r="BD8" s="825"/>
      <c r="BE8" s="825"/>
      <c r="BF8" s="825"/>
      <c r="BG8" s="825"/>
      <c r="BH8" s="825"/>
      <c r="BI8" s="825"/>
      <c r="BJ8" s="825"/>
      <c r="BK8" s="825"/>
      <c r="BL8" s="825"/>
      <c r="BM8" s="825"/>
      <c r="BN8" s="825"/>
      <c r="BO8" s="825"/>
      <c r="BP8" s="825"/>
      <c r="BQ8" s="825"/>
      <c r="BR8" s="825"/>
      <c r="BS8" s="825"/>
      <c r="BT8" s="825"/>
      <c r="BU8" s="825"/>
      <c r="BV8" s="825"/>
      <c r="BW8" s="825"/>
      <c r="BX8" s="825"/>
      <c r="BY8" s="825"/>
      <c r="BZ8" s="826"/>
    </row>
    <row r="9" spans="1:78" ht="31.75" customHeight="1">
      <c r="A9" s="828" t="s">
        <v>326</v>
      </c>
      <c r="B9" s="829"/>
      <c r="C9" s="607"/>
      <c r="D9" s="608"/>
      <c r="E9" s="608"/>
      <c r="F9" s="608"/>
      <c r="G9" s="608"/>
      <c r="H9" s="608"/>
      <c r="I9" s="609"/>
      <c r="J9" s="864" t="s">
        <v>327</v>
      </c>
      <c r="K9" s="865"/>
      <c r="L9" s="865"/>
      <c r="M9" s="865"/>
      <c r="N9" s="865"/>
      <c r="O9" s="865"/>
      <c r="P9" s="866"/>
      <c r="Q9" s="861" t="s">
        <v>305</v>
      </c>
      <c r="R9" s="862"/>
      <c r="S9" s="862"/>
      <c r="T9" s="862"/>
      <c r="U9" s="862"/>
      <c r="V9" s="862"/>
      <c r="W9" s="862"/>
      <c r="X9" s="862"/>
      <c r="Y9" s="862"/>
      <c r="Z9" s="862"/>
      <c r="AA9" s="863"/>
      <c r="AB9" s="821"/>
      <c r="AC9" s="822"/>
      <c r="AD9" s="822"/>
      <c r="AE9" s="822"/>
      <c r="AF9" s="822"/>
      <c r="AG9" s="822"/>
      <c r="AH9" s="822"/>
      <c r="AI9" s="821"/>
      <c r="AJ9" s="822"/>
      <c r="AK9" s="822"/>
      <c r="AL9" s="822"/>
      <c r="AM9" s="822"/>
      <c r="AN9" s="822"/>
      <c r="AO9" s="822"/>
      <c r="AP9" s="822"/>
      <c r="AQ9" s="822"/>
      <c r="AR9" s="612"/>
      <c r="AS9" s="610"/>
      <c r="AT9" s="610"/>
      <c r="AU9" s="610"/>
      <c r="AV9" s="610"/>
      <c r="AW9" s="610"/>
      <c r="AX9" s="610"/>
      <c r="AY9" s="610"/>
      <c r="AZ9" s="610"/>
      <c r="BA9" s="610"/>
      <c r="BB9" s="610"/>
      <c r="BC9" s="610"/>
      <c r="BD9" s="610"/>
      <c r="BE9" s="610"/>
      <c r="BF9" s="610"/>
      <c r="BG9" s="610"/>
      <c r="BH9" s="610"/>
      <c r="BI9" s="610"/>
      <c r="BJ9" s="610"/>
      <c r="BK9" s="610"/>
      <c r="BL9" s="610"/>
      <c r="BM9" s="610"/>
      <c r="BN9" s="610"/>
      <c r="BO9" s="610"/>
      <c r="BP9" s="610"/>
      <c r="BQ9" s="610"/>
      <c r="BR9" s="610"/>
      <c r="BS9" s="610"/>
      <c r="BT9" s="610"/>
      <c r="BU9" s="610"/>
      <c r="BV9" s="610"/>
      <c r="BW9" s="610"/>
      <c r="BX9" s="610"/>
      <c r="BY9" s="610"/>
      <c r="BZ9" s="613"/>
    </row>
    <row r="10" spans="1:78" ht="33.75" customHeight="1">
      <c r="A10" s="828" t="s">
        <v>328</v>
      </c>
      <c r="B10" s="829"/>
      <c r="C10" s="607"/>
      <c r="D10" s="608"/>
      <c r="E10" s="608"/>
      <c r="F10" s="608"/>
      <c r="G10" s="608"/>
      <c r="H10" s="608"/>
      <c r="I10" s="609"/>
      <c r="J10" s="864" t="s">
        <v>320</v>
      </c>
      <c r="K10" s="865"/>
      <c r="L10" s="865"/>
      <c r="M10" s="865"/>
      <c r="N10" s="865"/>
      <c r="O10" s="865"/>
      <c r="P10" s="866"/>
      <c r="Q10" s="861" t="s">
        <v>570</v>
      </c>
      <c r="R10" s="862"/>
      <c r="S10" s="862"/>
      <c r="T10" s="862"/>
      <c r="U10" s="862"/>
      <c r="V10" s="862"/>
      <c r="W10" s="862"/>
      <c r="X10" s="862"/>
      <c r="Y10" s="862"/>
      <c r="Z10" s="862"/>
      <c r="AA10" s="863"/>
      <c r="AB10" s="836"/>
      <c r="AC10" s="837"/>
      <c r="AD10" s="837"/>
      <c r="AE10" s="837"/>
      <c r="AF10" s="837"/>
      <c r="AG10" s="837"/>
      <c r="AH10" s="837"/>
      <c r="AI10" s="821" t="s">
        <v>569</v>
      </c>
      <c r="AJ10" s="822"/>
      <c r="AK10" s="822"/>
      <c r="AL10" s="822"/>
      <c r="AM10" s="822"/>
      <c r="AN10" s="822"/>
      <c r="AO10" s="822"/>
      <c r="AP10" s="822"/>
      <c r="AQ10" s="822"/>
      <c r="AR10" s="612"/>
      <c r="AS10" s="610"/>
      <c r="AT10" s="610"/>
      <c r="AU10" s="610"/>
      <c r="AV10" s="610"/>
      <c r="AW10" s="610"/>
      <c r="AX10" s="610"/>
      <c r="AY10" s="610"/>
      <c r="AZ10" s="610"/>
      <c r="BA10" s="610"/>
      <c r="BB10" s="610"/>
      <c r="BC10" s="610"/>
      <c r="BD10" s="610"/>
      <c r="BE10" s="610"/>
      <c r="BF10" s="610"/>
      <c r="BG10" s="610"/>
      <c r="BH10" s="610"/>
      <c r="BI10" s="610"/>
      <c r="BJ10" s="610"/>
      <c r="BK10" s="610"/>
      <c r="BL10" s="610"/>
      <c r="BM10" s="610"/>
      <c r="BN10" s="610"/>
      <c r="BO10" s="610"/>
      <c r="BP10" s="610"/>
      <c r="BQ10" s="610"/>
      <c r="BR10" s="610"/>
      <c r="BS10" s="610"/>
      <c r="BT10" s="610"/>
      <c r="BU10" s="610"/>
      <c r="BV10" s="610"/>
      <c r="BW10" s="610"/>
      <c r="BX10" s="610"/>
      <c r="BY10" s="610"/>
      <c r="BZ10" s="613"/>
    </row>
    <row r="11" spans="1:78" ht="35.5" customHeight="1">
      <c r="A11" s="828" t="s">
        <v>329</v>
      </c>
      <c r="B11" s="829"/>
      <c r="C11" s="607"/>
      <c r="D11" s="608"/>
      <c r="E11" s="608"/>
      <c r="F11" s="608"/>
      <c r="G11" s="608"/>
      <c r="H11" s="608"/>
      <c r="I11" s="609"/>
      <c r="J11" s="864" t="s">
        <v>319</v>
      </c>
      <c r="K11" s="865"/>
      <c r="L11" s="865"/>
      <c r="M11" s="865"/>
      <c r="N11" s="865"/>
      <c r="O11" s="865"/>
      <c r="P11" s="866"/>
      <c r="Q11" s="861" t="s">
        <v>330</v>
      </c>
      <c r="R11" s="862"/>
      <c r="S11" s="862"/>
      <c r="T11" s="862"/>
      <c r="U11" s="862"/>
      <c r="V11" s="862"/>
      <c r="W11" s="862"/>
      <c r="X11" s="862"/>
      <c r="Y11" s="862"/>
      <c r="Z11" s="862"/>
      <c r="AA11" s="863"/>
      <c r="AB11" s="821"/>
      <c r="AC11" s="822"/>
      <c r="AD11" s="822"/>
      <c r="AE11" s="822"/>
      <c r="AF11" s="822"/>
      <c r="AG11" s="822"/>
      <c r="AH11" s="822"/>
      <c r="AI11" s="821" t="s">
        <v>569</v>
      </c>
      <c r="AJ11" s="822"/>
      <c r="AK11" s="822"/>
      <c r="AL11" s="822"/>
      <c r="AM11" s="822"/>
      <c r="AN11" s="822"/>
      <c r="AO11" s="822"/>
      <c r="AP11" s="822"/>
      <c r="AQ11" s="822"/>
      <c r="AR11" s="612"/>
      <c r="AS11" s="610"/>
      <c r="AT11" s="610"/>
      <c r="AU11" s="610"/>
      <c r="AV11" s="610"/>
      <c r="AW11" s="610"/>
      <c r="AX11" s="610"/>
      <c r="AY11" s="610"/>
      <c r="AZ11" s="610"/>
      <c r="BA11" s="610"/>
      <c r="BB11" s="610"/>
      <c r="BC11" s="610"/>
      <c r="BD11" s="610"/>
      <c r="BE11" s="610"/>
      <c r="BF11" s="610"/>
      <c r="BG11" s="610"/>
      <c r="BH11" s="610"/>
      <c r="BI11" s="610"/>
      <c r="BJ11" s="610"/>
      <c r="BK11" s="610"/>
      <c r="BL11" s="610"/>
      <c r="BM11" s="610"/>
      <c r="BN11" s="610"/>
      <c r="BO11" s="610"/>
      <c r="BP11" s="610"/>
      <c r="BQ11" s="610"/>
      <c r="BR11" s="610"/>
      <c r="BS11" s="610"/>
      <c r="BT11" s="610"/>
      <c r="BU11" s="610"/>
      <c r="BV11" s="610"/>
      <c r="BW11" s="610"/>
      <c r="BX11" s="610"/>
      <c r="BY11" s="610"/>
      <c r="BZ11" s="613"/>
    </row>
    <row r="12" spans="1:78" ht="26.5" customHeight="1">
      <c r="A12" s="828" t="s">
        <v>331</v>
      </c>
      <c r="B12" s="829"/>
      <c r="C12" s="607"/>
      <c r="D12" s="608"/>
      <c r="E12" s="608"/>
      <c r="F12" s="608"/>
      <c r="G12" s="608"/>
      <c r="H12" s="608"/>
      <c r="I12" s="609"/>
      <c r="J12" s="864" t="s">
        <v>332</v>
      </c>
      <c r="K12" s="865"/>
      <c r="L12" s="865"/>
      <c r="M12" s="865"/>
      <c r="N12" s="865"/>
      <c r="O12" s="865"/>
      <c r="P12" s="866"/>
      <c r="Q12" s="861" t="s">
        <v>318</v>
      </c>
      <c r="R12" s="862"/>
      <c r="S12" s="862"/>
      <c r="T12" s="862"/>
      <c r="U12" s="862"/>
      <c r="V12" s="862"/>
      <c r="W12" s="862"/>
      <c r="X12" s="862"/>
      <c r="Y12" s="862"/>
      <c r="Z12" s="862"/>
      <c r="AA12" s="863"/>
      <c r="AB12" s="821"/>
      <c r="AC12" s="822"/>
      <c r="AD12" s="822"/>
      <c r="AE12" s="822"/>
      <c r="AF12" s="822"/>
      <c r="AG12" s="822"/>
      <c r="AH12" s="822"/>
      <c r="AI12" s="821"/>
      <c r="AJ12" s="822"/>
      <c r="AK12" s="822"/>
      <c r="AL12" s="822"/>
      <c r="AM12" s="822"/>
      <c r="AN12" s="822"/>
      <c r="AO12" s="822"/>
      <c r="AP12" s="822"/>
      <c r="AQ12" s="822"/>
      <c r="AR12" s="612"/>
      <c r="AS12" s="610"/>
      <c r="AT12" s="610"/>
      <c r="AU12" s="610"/>
      <c r="AV12" s="610"/>
      <c r="AW12" s="610"/>
      <c r="AX12" s="610"/>
      <c r="AY12" s="610"/>
      <c r="AZ12" s="610"/>
      <c r="BA12" s="610"/>
      <c r="BB12" s="610"/>
      <c r="BC12" s="610"/>
      <c r="BD12" s="610"/>
      <c r="BE12" s="610"/>
      <c r="BF12" s="610"/>
      <c r="BG12" s="610"/>
      <c r="BH12" s="610"/>
      <c r="BI12" s="610"/>
      <c r="BJ12" s="610"/>
      <c r="BK12" s="610"/>
      <c r="BL12" s="610"/>
      <c r="BM12" s="610"/>
      <c r="BN12" s="610"/>
      <c r="BO12" s="610"/>
      <c r="BP12" s="610"/>
      <c r="BQ12" s="610"/>
      <c r="BR12" s="610"/>
      <c r="BS12" s="610"/>
      <c r="BT12" s="610"/>
      <c r="BU12" s="610"/>
      <c r="BV12" s="610"/>
      <c r="BW12" s="610"/>
      <c r="BX12" s="610"/>
      <c r="BY12" s="610"/>
      <c r="BZ12" s="613"/>
    </row>
    <row r="13" spans="1:78" ht="30" customHeight="1">
      <c r="A13" s="828" t="s">
        <v>333</v>
      </c>
      <c r="B13" s="829"/>
      <c r="C13" s="607"/>
      <c r="D13" s="608"/>
      <c r="E13" s="608"/>
      <c r="F13" s="608"/>
      <c r="G13" s="608"/>
      <c r="H13" s="608"/>
      <c r="I13" s="609"/>
      <c r="J13" s="864" t="s">
        <v>334</v>
      </c>
      <c r="K13" s="865"/>
      <c r="L13" s="865"/>
      <c r="M13" s="865"/>
      <c r="N13" s="865"/>
      <c r="O13" s="865"/>
      <c r="P13" s="866"/>
      <c r="Q13" s="861" t="s">
        <v>335</v>
      </c>
      <c r="R13" s="862"/>
      <c r="S13" s="862"/>
      <c r="T13" s="862"/>
      <c r="U13" s="862"/>
      <c r="V13" s="862"/>
      <c r="W13" s="862"/>
      <c r="X13" s="862"/>
      <c r="Y13" s="862"/>
      <c r="Z13" s="862"/>
      <c r="AA13" s="863"/>
      <c r="AB13" s="836"/>
      <c r="AC13" s="837"/>
      <c r="AD13" s="837"/>
      <c r="AE13" s="837"/>
      <c r="AF13" s="837"/>
      <c r="AG13" s="837"/>
      <c r="AH13" s="837"/>
      <c r="AI13" s="836" t="s">
        <v>571</v>
      </c>
      <c r="AJ13" s="837"/>
      <c r="AK13" s="837"/>
      <c r="AL13" s="837"/>
      <c r="AM13" s="837"/>
      <c r="AN13" s="837"/>
      <c r="AO13" s="837"/>
      <c r="AP13" s="837"/>
      <c r="AQ13" s="837"/>
      <c r="AR13" s="827" t="s">
        <v>336</v>
      </c>
      <c r="AS13" s="825"/>
      <c r="AT13" s="825"/>
      <c r="AU13" s="825"/>
      <c r="AV13" s="825"/>
      <c r="AW13" s="825"/>
      <c r="AX13" s="825"/>
      <c r="AY13" s="825"/>
      <c r="AZ13" s="825"/>
      <c r="BA13" s="825"/>
      <c r="BB13" s="825"/>
      <c r="BC13" s="825"/>
      <c r="BD13" s="825"/>
      <c r="BE13" s="825"/>
      <c r="BF13" s="825"/>
      <c r="BG13" s="825"/>
      <c r="BH13" s="825"/>
      <c r="BI13" s="825"/>
      <c r="BJ13" s="825"/>
      <c r="BK13" s="825"/>
      <c r="BL13" s="825"/>
      <c r="BM13" s="825"/>
      <c r="BN13" s="825"/>
      <c r="BO13" s="825"/>
      <c r="BP13" s="825"/>
      <c r="BQ13" s="825"/>
      <c r="BR13" s="825"/>
      <c r="BS13" s="825"/>
      <c r="BT13" s="825"/>
      <c r="BU13" s="825"/>
      <c r="BV13" s="825"/>
      <c r="BW13" s="825"/>
      <c r="BX13" s="825"/>
      <c r="BY13" s="825"/>
      <c r="BZ13" s="826"/>
    </row>
    <row r="14" spans="1:78" ht="246.5" customHeight="1">
      <c r="A14" s="828" t="s">
        <v>337</v>
      </c>
      <c r="B14" s="829"/>
      <c r="C14" s="607"/>
      <c r="D14" s="608"/>
      <c r="E14" s="608"/>
      <c r="F14" s="608"/>
      <c r="G14" s="608"/>
      <c r="H14" s="608"/>
      <c r="I14" s="609"/>
      <c r="J14" s="864" t="s">
        <v>301</v>
      </c>
      <c r="K14" s="865"/>
      <c r="L14" s="865"/>
      <c r="M14" s="865"/>
      <c r="N14" s="865"/>
      <c r="O14" s="865"/>
      <c r="P14" s="866"/>
      <c r="Q14" s="861" t="s">
        <v>338</v>
      </c>
      <c r="R14" s="862"/>
      <c r="S14" s="862"/>
      <c r="T14" s="862"/>
      <c r="U14" s="862"/>
      <c r="V14" s="862"/>
      <c r="W14" s="862"/>
      <c r="X14" s="862"/>
      <c r="Y14" s="862"/>
      <c r="Z14" s="862"/>
      <c r="AA14" s="863"/>
      <c r="AB14" s="836"/>
      <c r="AC14" s="837"/>
      <c r="AD14" s="837"/>
      <c r="AE14" s="837"/>
      <c r="AF14" s="837"/>
      <c r="AG14" s="837"/>
      <c r="AH14" s="837"/>
      <c r="AI14" s="836" t="s">
        <v>572</v>
      </c>
      <c r="AJ14" s="837"/>
      <c r="AK14" s="837"/>
      <c r="AL14" s="837"/>
      <c r="AM14" s="837"/>
      <c r="AN14" s="837"/>
      <c r="AO14" s="837"/>
      <c r="AP14" s="837"/>
      <c r="AQ14" s="837"/>
      <c r="AR14" s="867" t="s">
        <v>339</v>
      </c>
      <c r="AS14" s="868"/>
      <c r="AT14" s="868"/>
      <c r="AU14" s="868"/>
      <c r="AV14" s="868"/>
      <c r="AW14" s="868"/>
      <c r="AX14" s="868"/>
      <c r="AY14" s="868"/>
      <c r="AZ14" s="868"/>
      <c r="BA14" s="868"/>
      <c r="BB14" s="868"/>
      <c r="BC14" s="868"/>
      <c r="BD14" s="868"/>
      <c r="BE14" s="868"/>
      <c r="BF14" s="868"/>
      <c r="BG14" s="868"/>
      <c r="BH14" s="868"/>
      <c r="BI14" s="868"/>
      <c r="BJ14" s="868"/>
      <c r="BK14" s="868"/>
      <c r="BL14" s="868"/>
      <c r="BM14" s="868"/>
      <c r="BN14" s="868"/>
      <c r="BO14" s="868"/>
      <c r="BP14" s="868"/>
      <c r="BQ14" s="868"/>
      <c r="BR14" s="868"/>
      <c r="BS14" s="868"/>
      <c r="BT14" s="868"/>
      <c r="BU14" s="868"/>
      <c r="BV14" s="868"/>
      <c r="BW14" s="868"/>
      <c r="BX14" s="868"/>
      <c r="BY14" s="868"/>
      <c r="BZ14" s="869"/>
    </row>
    <row r="15" spans="1:78" ht="72.5" customHeight="1">
      <c r="A15" s="828" t="s">
        <v>340</v>
      </c>
      <c r="B15" s="829"/>
      <c r="C15" s="607"/>
      <c r="D15" s="608"/>
      <c r="E15" s="608"/>
      <c r="F15" s="608"/>
      <c r="G15" s="608"/>
      <c r="H15" s="608"/>
      <c r="I15" s="609"/>
      <c r="J15" s="864" t="s">
        <v>341</v>
      </c>
      <c r="K15" s="865"/>
      <c r="L15" s="865"/>
      <c r="M15" s="865"/>
      <c r="N15" s="865"/>
      <c r="O15" s="865"/>
      <c r="P15" s="866"/>
      <c r="Q15" s="861" t="s">
        <v>342</v>
      </c>
      <c r="R15" s="862"/>
      <c r="S15" s="862"/>
      <c r="T15" s="862"/>
      <c r="U15" s="862"/>
      <c r="V15" s="862"/>
      <c r="W15" s="862"/>
      <c r="X15" s="862"/>
      <c r="Y15" s="862"/>
      <c r="Z15" s="862"/>
      <c r="AA15" s="863"/>
      <c r="AB15" s="677"/>
      <c r="AC15" s="678"/>
      <c r="AD15" s="678"/>
      <c r="AE15" s="678"/>
      <c r="AF15" s="678"/>
      <c r="AG15" s="678"/>
      <c r="AH15" s="678"/>
      <c r="AI15" s="836" t="s">
        <v>573</v>
      </c>
      <c r="AJ15" s="837"/>
      <c r="AK15" s="837"/>
      <c r="AL15" s="837"/>
      <c r="AM15" s="837"/>
      <c r="AN15" s="837"/>
      <c r="AO15" s="837"/>
      <c r="AP15" s="837"/>
      <c r="AQ15" s="837"/>
      <c r="AR15" s="867" t="s">
        <v>343</v>
      </c>
      <c r="AS15" s="868"/>
      <c r="AT15" s="868"/>
      <c r="AU15" s="868"/>
      <c r="AV15" s="868"/>
      <c r="AW15" s="868"/>
      <c r="AX15" s="868"/>
      <c r="AY15" s="868"/>
      <c r="AZ15" s="868"/>
      <c r="BA15" s="868"/>
      <c r="BB15" s="868"/>
      <c r="BC15" s="868"/>
      <c r="BD15" s="868"/>
      <c r="BE15" s="868"/>
      <c r="BF15" s="868"/>
      <c r="BG15" s="868"/>
      <c r="BH15" s="868"/>
      <c r="BI15" s="868"/>
      <c r="BJ15" s="868"/>
      <c r="BK15" s="868"/>
      <c r="BL15" s="868"/>
      <c r="BM15" s="868"/>
      <c r="BN15" s="868"/>
      <c r="BO15" s="868"/>
      <c r="BP15" s="868"/>
      <c r="BQ15" s="868"/>
      <c r="BR15" s="868"/>
      <c r="BS15" s="868"/>
      <c r="BT15" s="868"/>
      <c r="BU15" s="868"/>
      <c r="BV15" s="868"/>
      <c r="BW15" s="868"/>
      <c r="BX15" s="868"/>
      <c r="BY15" s="868"/>
      <c r="BZ15" s="869"/>
    </row>
    <row r="16" spans="1:78" ht="40.5" customHeight="1">
      <c r="A16" s="828" t="s">
        <v>344</v>
      </c>
      <c r="B16" s="829"/>
      <c r="C16" s="607"/>
      <c r="D16" s="608"/>
      <c r="E16" s="608"/>
      <c r="F16" s="608"/>
      <c r="G16" s="608"/>
      <c r="H16" s="608"/>
      <c r="I16" s="609"/>
      <c r="J16" s="864" t="s">
        <v>302</v>
      </c>
      <c r="K16" s="865"/>
      <c r="L16" s="865"/>
      <c r="M16" s="865"/>
      <c r="N16" s="865"/>
      <c r="O16" s="865"/>
      <c r="P16" s="866"/>
      <c r="Q16" s="861" t="s">
        <v>345</v>
      </c>
      <c r="R16" s="862"/>
      <c r="S16" s="862"/>
      <c r="T16" s="862"/>
      <c r="U16" s="862"/>
      <c r="V16" s="862"/>
      <c r="W16" s="862"/>
      <c r="X16" s="862"/>
      <c r="Y16" s="862"/>
      <c r="Z16" s="862"/>
      <c r="AA16" s="863"/>
      <c r="AB16" s="677"/>
      <c r="AC16" s="678"/>
      <c r="AD16" s="678"/>
      <c r="AE16" s="678"/>
      <c r="AF16" s="678"/>
      <c r="AG16" s="678"/>
      <c r="AH16" s="678"/>
      <c r="AI16" s="836" t="s">
        <v>574</v>
      </c>
      <c r="AJ16" s="837"/>
      <c r="AK16" s="837"/>
      <c r="AL16" s="837"/>
      <c r="AM16" s="837"/>
      <c r="AN16" s="837"/>
      <c r="AO16" s="837"/>
      <c r="AP16" s="837"/>
      <c r="AQ16" s="837"/>
      <c r="AR16" s="827" t="s">
        <v>346</v>
      </c>
      <c r="AS16" s="825"/>
      <c r="AT16" s="825"/>
      <c r="AU16" s="825"/>
      <c r="AV16" s="825"/>
      <c r="AW16" s="825"/>
      <c r="AX16" s="825"/>
      <c r="AY16" s="825"/>
      <c r="AZ16" s="825"/>
      <c r="BA16" s="825"/>
      <c r="BB16" s="825"/>
      <c r="BC16" s="825"/>
      <c r="BD16" s="825"/>
      <c r="BE16" s="825"/>
      <c r="BF16" s="825"/>
      <c r="BG16" s="825"/>
      <c r="BH16" s="825"/>
      <c r="BI16" s="825"/>
      <c r="BJ16" s="825"/>
      <c r="BK16" s="825"/>
      <c r="BL16" s="825"/>
      <c r="BM16" s="825"/>
      <c r="BN16" s="825"/>
      <c r="BO16" s="825"/>
      <c r="BP16" s="825"/>
      <c r="BQ16" s="825"/>
      <c r="BR16" s="825"/>
      <c r="BS16" s="825"/>
      <c r="BT16" s="825"/>
      <c r="BU16" s="825"/>
      <c r="BV16" s="825"/>
      <c r="BW16" s="825"/>
      <c r="BX16" s="825"/>
      <c r="BY16" s="825"/>
      <c r="BZ16" s="826"/>
    </row>
    <row r="17" spans="1:78" ht="133.5" customHeight="1">
      <c r="A17" s="828" t="s">
        <v>347</v>
      </c>
      <c r="B17" s="829"/>
      <c r="C17" s="607"/>
      <c r="D17" s="608"/>
      <c r="E17" s="608"/>
      <c r="F17" s="608"/>
      <c r="G17" s="608"/>
      <c r="H17" s="608"/>
      <c r="I17" s="609"/>
      <c r="J17" s="864" t="s">
        <v>303</v>
      </c>
      <c r="K17" s="865"/>
      <c r="L17" s="865"/>
      <c r="M17" s="865"/>
      <c r="N17" s="865"/>
      <c r="O17" s="865"/>
      <c r="P17" s="866"/>
      <c r="Q17" s="861" t="s">
        <v>348</v>
      </c>
      <c r="R17" s="862"/>
      <c r="S17" s="862"/>
      <c r="T17" s="862"/>
      <c r="U17" s="862"/>
      <c r="V17" s="862"/>
      <c r="W17" s="862"/>
      <c r="X17" s="862"/>
      <c r="Y17" s="862"/>
      <c r="Z17" s="862"/>
      <c r="AA17" s="863"/>
      <c r="AB17" s="870"/>
      <c r="AC17" s="871"/>
      <c r="AD17" s="871"/>
      <c r="AE17" s="871"/>
      <c r="AF17" s="871"/>
      <c r="AG17" s="871"/>
      <c r="AH17" s="872"/>
      <c r="AI17" s="836" t="s">
        <v>575</v>
      </c>
      <c r="AJ17" s="837"/>
      <c r="AK17" s="837"/>
      <c r="AL17" s="837"/>
      <c r="AM17" s="837"/>
      <c r="AN17" s="837"/>
      <c r="AO17" s="837"/>
      <c r="AP17" s="837"/>
      <c r="AQ17" s="837"/>
      <c r="AR17" s="827" t="s">
        <v>346</v>
      </c>
      <c r="AS17" s="825"/>
      <c r="AT17" s="825"/>
      <c r="AU17" s="825"/>
      <c r="AV17" s="825"/>
      <c r="AW17" s="825"/>
      <c r="AX17" s="825"/>
      <c r="AY17" s="825"/>
      <c r="AZ17" s="825"/>
      <c r="BA17" s="825"/>
      <c r="BB17" s="825"/>
      <c r="BC17" s="825"/>
      <c r="BD17" s="825"/>
      <c r="BE17" s="825"/>
      <c r="BF17" s="825"/>
      <c r="BG17" s="825"/>
      <c r="BH17" s="825"/>
      <c r="BI17" s="825"/>
      <c r="BJ17" s="825"/>
      <c r="BK17" s="825"/>
      <c r="BL17" s="825"/>
      <c r="BM17" s="825"/>
      <c r="BN17" s="825"/>
      <c r="BO17" s="825"/>
      <c r="BP17" s="825"/>
      <c r="BQ17" s="825"/>
      <c r="BR17" s="825"/>
      <c r="BS17" s="825"/>
      <c r="BT17" s="825"/>
      <c r="BU17" s="825"/>
      <c r="BV17" s="825"/>
      <c r="BW17" s="825"/>
      <c r="BX17" s="825"/>
      <c r="BY17" s="825"/>
      <c r="BZ17" s="826"/>
    </row>
    <row r="18" spans="1:78" ht="30.75" customHeight="1">
      <c r="A18" s="828" t="s">
        <v>349</v>
      </c>
      <c r="B18" s="829"/>
      <c r="C18" s="607"/>
      <c r="D18" s="608"/>
      <c r="E18" s="608"/>
      <c r="F18" s="608"/>
      <c r="G18" s="608"/>
      <c r="H18" s="608"/>
      <c r="I18" s="609"/>
      <c r="J18" s="864" t="s">
        <v>304</v>
      </c>
      <c r="K18" s="865"/>
      <c r="L18" s="865"/>
      <c r="M18" s="865"/>
      <c r="N18" s="865"/>
      <c r="O18" s="865"/>
      <c r="P18" s="866"/>
      <c r="Q18" s="861" t="s">
        <v>350</v>
      </c>
      <c r="R18" s="862"/>
      <c r="S18" s="862"/>
      <c r="T18" s="862"/>
      <c r="U18" s="862"/>
      <c r="V18" s="862"/>
      <c r="W18" s="862"/>
      <c r="X18" s="862"/>
      <c r="Y18" s="862"/>
      <c r="Z18" s="862"/>
      <c r="AA18" s="863"/>
      <c r="AB18" s="870"/>
      <c r="AC18" s="871"/>
      <c r="AD18" s="871"/>
      <c r="AE18" s="871"/>
      <c r="AF18" s="871"/>
      <c r="AG18" s="871"/>
      <c r="AH18" s="872"/>
      <c r="AI18" s="836" t="s">
        <v>576</v>
      </c>
      <c r="AJ18" s="837"/>
      <c r="AK18" s="837"/>
      <c r="AL18" s="837"/>
      <c r="AM18" s="837"/>
      <c r="AN18" s="837"/>
      <c r="AO18" s="837"/>
      <c r="AP18" s="837"/>
      <c r="AQ18" s="837"/>
      <c r="AR18" s="827" t="s">
        <v>351</v>
      </c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  <c r="BX18" s="825"/>
      <c r="BY18" s="825"/>
      <c r="BZ18" s="826"/>
    </row>
    <row r="19" spans="1:78" ht="46.5" customHeight="1">
      <c r="A19" s="828" t="s">
        <v>352</v>
      </c>
      <c r="B19" s="829"/>
      <c r="C19" s="830"/>
      <c r="D19" s="831"/>
      <c r="E19" s="831"/>
      <c r="F19" s="831"/>
      <c r="G19" s="831"/>
      <c r="H19" s="831"/>
      <c r="I19" s="832"/>
      <c r="J19" s="864" t="s">
        <v>353</v>
      </c>
      <c r="K19" s="865"/>
      <c r="L19" s="865"/>
      <c r="M19" s="865"/>
      <c r="N19" s="865"/>
      <c r="O19" s="865"/>
      <c r="P19" s="866"/>
      <c r="Q19" s="873" t="s">
        <v>354</v>
      </c>
      <c r="R19" s="874"/>
      <c r="S19" s="874"/>
      <c r="T19" s="874"/>
      <c r="U19" s="874"/>
      <c r="V19" s="874"/>
      <c r="W19" s="874"/>
      <c r="X19" s="874"/>
      <c r="Y19" s="874"/>
      <c r="Z19" s="874"/>
      <c r="AA19" s="875"/>
      <c r="AB19" s="677"/>
      <c r="AC19" s="678"/>
      <c r="AD19" s="678"/>
      <c r="AE19" s="678"/>
      <c r="AF19" s="678"/>
      <c r="AG19" s="678"/>
      <c r="AH19" s="678"/>
      <c r="AI19" s="821" t="s">
        <v>569</v>
      </c>
      <c r="AJ19" s="822"/>
      <c r="AK19" s="822"/>
      <c r="AL19" s="822"/>
      <c r="AM19" s="822"/>
      <c r="AN19" s="822"/>
      <c r="AO19" s="822"/>
      <c r="AP19" s="822"/>
      <c r="AQ19" s="822"/>
      <c r="AR19" s="876"/>
      <c r="AS19" s="874"/>
      <c r="AT19" s="874"/>
      <c r="AU19" s="874"/>
      <c r="AV19" s="874"/>
      <c r="AW19" s="874"/>
      <c r="AX19" s="874"/>
      <c r="AY19" s="874"/>
      <c r="AZ19" s="874"/>
      <c r="BA19" s="874"/>
      <c r="BB19" s="874"/>
      <c r="BC19" s="874"/>
      <c r="BD19" s="874"/>
      <c r="BE19" s="874"/>
      <c r="BF19" s="874"/>
      <c r="BG19" s="874"/>
      <c r="BH19" s="874"/>
      <c r="BI19" s="874"/>
      <c r="BJ19" s="874"/>
      <c r="BK19" s="874"/>
      <c r="BL19" s="874"/>
      <c r="BM19" s="874"/>
      <c r="BN19" s="874"/>
      <c r="BO19" s="874"/>
      <c r="BP19" s="874"/>
      <c r="BQ19" s="874"/>
      <c r="BR19" s="874"/>
      <c r="BS19" s="874"/>
      <c r="BT19" s="874"/>
      <c r="BU19" s="874"/>
      <c r="BV19" s="874"/>
      <c r="BW19" s="874"/>
      <c r="BX19" s="874"/>
      <c r="BY19" s="874"/>
      <c r="BZ19" s="875"/>
    </row>
    <row r="20" spans="1:78" ht="167.5" customHeight="1">
      <c r="A20" s="828" t="s">
        <v>355</v>
      </c>
      <c r="B20" s="829"/>
      <c r="C20" s="833"/>
      <c r="D20" s="834"/>
      <c r="E20" s="834"/>
      <c r="F20" s="834"/>
      <c r="G20" s="834"/>
      <c r="H20" s="834"/>
      <c r="I20" s="835"/>
      <c r="J20" s="864" t="s">
        <v>356</v>
      </c>
      <c r="K20" s="865"/>
      <c r="L20" s="865"/>
      <c r="M20" s="865"/>
      <c r="N20" s="865"/>
      <c r="O20" s="865"/>
      <c r="P20" s="866"/>
      <c r="Q20" s="873" t="s">
        <v>357</v>
      </c>
      <c r="R20" s="874"/>
      <c r="S20" s="874"/>
      <c r="T20" s="874"/>
      <c r="U20" s="874"/>
      <c r="V20" s="874"/>
      <c r="W20" s="874"/>
      <c r="X20" s="874"/>
      <c r="Y20" s="874"/>
      <c r="Z20" s="874"/>
      <c r="AA20" s="875"/>
      <c r="AB20" s="836"/>
      <c r="AC20" s="837"/>
      <c r="AD20" s="837"/>
      <c r="AE20" s="837"/>
      <c r="AF20" s="837"/>
      <c r="AG20" s="837"/>
      <c r="AH20" s="837"/>
      <c r="AI20" s="836"/>
      <c r="AJ20" s="837"/>
      <c r="AK20" s="837"/>
      <c r="AL20" s="837"/>
      <c r="AM20" s="837"/>
      <c r="AN20" s="837"/>
      <c r="AO20" s="837"/>
      <c r="AP20" s="837"/>
      <c r="AQ20" s="837"/>
      <c r="AR20" s="827" t="s">
        <v>564</v>
      </c>
      <c r="AS20" s="825"/>
      <c r="AT20" s="825"/>
      <c r="AU20" s="825"/>
      <c r="AV20" s="825"/>
      <c r="AW20" s="825"/>
      <c r="AX20" s="825"/>
      <c r="AY20" s="825"/>
      <c r="AZ20" s="825"/>
      <c r="BA20" s="825"/>
      <c r="BB20" s="825"/>
      <c r="BC20" s="825"/>
      <c r="BD20" s="825"/>
      <c r="BE20" s="825"/>
      <c r="BF20" s="825"/>
      <c r="BG20" s="825"/>
      <c r="BH20" s="825"/>
      <c r="BI20" s="825"/>
      <c r="BJ20" s="825"/>
      <c r="BK20" s="825"/>
      <c r="BL20" s="825"/>
      <c r="BM20" s="825"/>
      <c r="BN20" s="825"/>
      <c r="BO20" s="825"/>
      <c r="BP20" s="825"/>
      <c r="BQ20" s="825"/>
      <c r="BR20" s="825"/>
      <c r="BS20" s="825"/>
      <c r="BT20" s="825"/>
      <c r="BU20" s="825"/>
      <c r="BV20" s="825"/>
      <c r="BW20" s="825"/>
      <c r="BX20" s="825"/>
      <c r="BY20" s="825"/>
      <c r="BZ20" s="826"/>
    </row>
    <row r="21" spans="1:78" ht="15.75" customHeight="1">
      <c r="A21" s="828" t="s">
        <v>358</v>
      </c>
      <c r="B21" s="829"/>
      <c r="C21" s="864"/>
      <c r="D21" s="865"/>
      <c r="E21" s="865"/>
      <c r="F21" s="865"/>
      <c r="G21" s="865"/>
      <c r="H21" s="865"/>
      <c r="I21" s="866"/>
      <c r="J21" s="864" t="s">
        <v>359</v>
      </c>
      <c r="K21" s="865"/>
      <c r="L21" s="865"/>
      <c r="M21" s="865"/>
      <c r="N21" s="865"/>
      <c r="O21" s="865"/>
      <c r="P21" s="866"/>
      <c r="Q21" s="873" t="s">
        <v>318</v>
      </c>
      <c r="R21" s="874"/>
      <c r="S21" s="874"/>
      <c r="T21" s="874"/>
      <c r="U21" s="874"/>
      <c r="V21" s="874"/>
      <c r="W21" s="874"/>
      <c r="X21" s="874"/>
      <c r="Y21" s="874"/>
      <c r="Z21" s="874"/>
      <c r="AA21" s="875"/>
      <c r="AB21" s="836"/>
      <c r="AC21" s="837"/>
      <c r="AD21" s="837"/>
      <c r="AE21" s="837"/>
      <c r="AF21" s="837"/>
      <c r="AG21" s="837"/>
      <c r="AH21" s="837"/>
      <c r="AI21" s="836"/>
      <c r="AJ21" s="837"/>
      <c r="AK21" s="837"/>
      <c r="AL21" s="837"/>
      <c r="AM21" s="837"/>
      <c r="AN21" s="837"/>
      <c r="AO21" s="837"/>
      <c r="AP21" s="837"/>
      <c r="AQ21" s="837"/>
      <c r="AR21" s="827"/>
      <c r="AS21" s="825"/>
      <c r="AT21" s="825"/>
      <c r="AU21" s="825"/>
      <c r="AV21" s="825"/>
      <c r="AW21" s="825"/>
      <c r="AX21" s="825"/>
      <c r="AY21" s="825"/>
      <c r="AZ21" s="825"/>
      <c r="BA21" s="825"/>
      <c r="BB21" s="825"/>
      <c r="BC21" s="825"/>
      <c r="BD21" s="825"/>
      <c r="BE21" s="825"/>
      <c r="BF21" s="825"/>
      <c r="BG21" s="825"/>
      <c r="BH21" s="825"/>
      <c r="BI21" s="825"/>
      <c r="BJ21" s="825"/>
      <c r="BK21" s="825"/>
      <c r="BL21" s="825"/>
      <c r="BM21" s="825"/>
      <c r="BN21" s="825"/>
      <c r="BO21" s="825"/>
      <c r="BP21" s="825"/>
      <c r="BQ21" s="825"/>
      <c r="BR21" s="825"/>
      <c r="BS21" s="825"/>
      <c r="BT21" s="825"/>
      <c r="BU21" s="825"/>
      <c r="BV21" s="825"/>
      <c r="BW21" s="825"/>
      <c r="BX21" s="825"/>
      <c r="BY21" s="825"/>
      <c r="BZ21" s="826"/>
    </row>
    <row r="22" spans="1:78" ht="60.5" customHeight="1">
      <c r="A22" s="854">
        <v>2.15</v>
      </c>
      <c r="B22" s="877"/>
      <c r="C22" s="864"/>
      <c r="D22" s="865"/>
      <c r="E22" s="865"/>
      <c r="F22" s="865"/>
      <c r="G22" s="865"/>
      <c r="H22" s="865"/>
      <c r="I22" s="866"/>
      <c r="J22" s="864" t="s">
        <v>360</v>
      </c>
      <c r="K22" s="865"/>
      <c r="L22" s="865"/>
      <c r="M22" s="865"/>
      <c r="N22" s="865"/>
      <c r="O22" s="865"/>
      <c r="P22" s="866"/>
      <c r="Q22" s="873" t="s">
        <v>318</v>
      </c>
      <c r="R22" s="874"/>
      <c r="S22" s="874"/>
      <c r="T22" s="874"/>
      <c r="U22" s="874"/>
      <c r="V22" s="874"/>
      <c r="W22" s="874"/>
      <c r="X22" s="874"/>
      <c r="Y22" s="874"/>
      <c r="Z22" s="874"/>
      <c r="AA22" s="875"/>
      <c r="AB22" s="836"/>
      <c r="AC22" s="837"/>
      <c r="AD22" s="837"/>
      <c r="AE22" s="837"/>
      <c r="AF22" s="837"/>
      <c r="AG22" s="837"/>
      <c r="AH22" s="837"/>
      <c r="AI22" s="836"/>
      <c r="AJ22" s="837"/>
      <c r="AK22" s="837"/>
      <c r="AL22" s="837"/>
      <c r="AM22" s="837"/>
      <c r="AN22" s="837"/>
      <c r="AO22" s="837"/>
      <c r="AP22" s="837"/>
      <c r="AQ22" s="837"/>
      <c r="AR22" s="827" t="s">
        <v>455</v>
      </c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  <c r="BX22" s="825"/>
      <c r="BY22" s="825"/>
      <c r="BZ22" s="826"/>
    </row>
    <row r="23" spans="1:78" ht="36" customHeight="1">
      <c r="A23" s="854">
        <v>2.16</v>
      </c>
      <c r="B23" s="877"/>
      <c r="C23" s="607"/>
      <c r="D23" s="608"/>
      <c r="E23" s="608"/>
      <c r="F23" s="608"/>
      <c r="G23" s="608"/>
      <c r="H23" s="608"/>
      <c r="I23" s="609"/>
      <c r="J23" s="864" t="s">
        <v>361</v>
      </c>
      <c r="K23" s="865"/>
      <c r="L23" s="865"/>
      <c r="M23" s="865"/>
      <c r="N23" s="865"/>
      <c r="O23" s="865"/>
      <c r="P23" s="866"/>
      <c r="Q23" s="861" t="s">
        <v>305</v>
      </c>
      <c r="R23" s="862"/>
      <c r="S23" s="862"/>
      <c r="T23" s="862"/>
      <c r="U23" s="862"/>
      <c r="V23" s="862"/>
      <c r="W23" s="862"/>
      <c r="X23" s="862"/>
      <c r="Y23" s="862"/>
      <c r="Z23" s="862"/>
      <c r="AA23" s="878"/>
      <c r="AB23" s="836"/>
      <c r="AC23" s="837"/>
      <c r="AD23" s="837"/>
      <c r="AE23" s="837"/>
      <c r="AF23" s="837"/>
      <c r="AG23" s="837"/>
      <c r="AH23" s="837"/>
      <c r="AI23" s="836"/>
      <c r="AJ23" s="837"/>
      <c r="AK23" s="837"/>
      <c r="AL23" s="837"/>
      <c r="AM23" s="837"/>
      <c r="AN23" s="837"/>
      <c r="AO23" s="837"/>
      <c r="AP23" s="837"/>
      <c r="AQ23" s="837"/>
      <c r="AR23" s="824" t="s">
        <v>566</v>
      </c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  <c r="BX23" s="825"/>
      <c r="BY23" s="825"/>
      <c r="BZ23" s="826"/>
    </row>
    <row r="24" spans="1:78" ht="71.5" customHeight="1">
      <c r="A24" s="828" t="s">
        <v>362</v>
      </c>
      <c r="B24" s="829"/>
      <c r="C24" s="607"/>
      <c r="D24" s="608"/>
      <c r="E24" s="608"/>
      <c r="F24" s="608"/>
      <c r="G24" s="608"/>
      <c r="H24" s="608"/>
      <c r="I24" s="609"/>
      <c r="J24" s="864" t="s">
        <v>363</v>
      </c>
      <c r="K24" s="865"/>
      <c r="L24" s="865"/>
      <c r="M24" s="865"/>
      <c r="N24" s="865"/>
      <c r="O24" s="865"/>
      <c r="P24" s="866"/>
      <c r="Q24" s="861" t="s">
        <v>305</v>
      </c>
      <c r="R24" s="862"/>
      <c r="S24" s="862"/>
      <c r="T24" s="862"/>
      <c r="U24" s="862"/>
      <c r="V24" s="862"/>
      <c r="W24" s="862"/>
      <c r="X24" s="862"/>
      <c r="Y24" s="862"/>
      <c r="Z24" s="862"/>
      <c r="AA24" s="878"/>
      <c r="AB24" s="821"/>
      <c r="AC24" s="822"/>
      <c r="AD24" s="822"/>
      <c r="AE24" s="822"/>
      <c r="AF24" s="822"/>
      <c r="AG24" s="822"/>
      <c r="AH24" s="822"/>
      <c r="AI24" s="821"/>
      <c r="AJ24" s="822"/>
      <c r="AK24" s="822"/>
      <c r="AL24" s="822"/>
      <c r="AM24" s="822"/>
      <c r="AN24" s="822"/>
      <c r="AO24" s="822"/>
      <c r="AP24" s="822"/>
      <c r="AQ24" s="822"/>
      <c r="AR24" s="824" t="s">
        <v>369</v>
      </c>
      <c r="AS24" s="825"/>
      <c r="AT24" s="825"/>
      <c r="AU24" s="825"/>
      <c r="AV24" s="825"/>
      <c r="AW24" s="825"/>
      <c r="AX24" s="825"/>
      <c r="AY24" s="825"/>
      <c r="AZ24" s="825"/>
      <c r="BA24" s="825"/>
      <c r="BB24" s="825"/>
      <c r="BC24" s="825"/>
      <c r="BD24" s="825"/>
      <c r="BE24" s="825"/>
      <c r="BF24" s="825"/>
      <c r="BG24" s="825"/>
      <c r="BH24" s="825"/>
      <c r="BI24" s="825"/>
      <c r="BJ24" s="825"/>
      <c r="BK24" s="825"/>
      <c r="BL24" s="825"/>
      <c r="BM24" s="825"/>
      <c r="BN24" s="825"/>
      <c r="BO24" s="825"/>
      <c r="BP24" s="825"/>
      <c r="BQ24" s="825"/>
      <c r="BR24" s="825"/>
      <c r="BS24" s="825"/>
      <c r="BT24" s="825"/>
      <c r="BU24" s="825"/>
      <c r="BV24" s="825"/>
      <c r="BW24" s="825"/>
      <c r="BX24" s="825"/>
      <c r="BY24" s="825"/>
      <c r="BZ24" s="826"/>
    </row>
    <row r="25" spans="1:78" ht="36" customHeight="1">
      <c r="A25" s="828" t="s">
        <v>364</v>
      </c>
      <c r="B25" s="829"/>
      <c r="C25" s="607"/>
      <c r="D25" s="608"/>
      <c r="E25" s="608"/>
      <c r="F25" s="608"/>
      <c r="G25" s="608"/>
      <c r="H25" s="608"/>
      <c r="I25" s="609"/>
      <c r="J25" s="864" t="s">
        <v>365</v>
      </c>
      <c r="K25" s="865"/>
      <c r="L25" s="865"/>
      <c r="M25" s="865"/>
      <c r="N25" s="865"/>
      <c r="O25" s="865"/>
      <c r="P25" s="866"/>
      <c r="Q25" s="861" t="s">
        <v>305</v>
      </c>
      <c r="R25" s="862"/>
      <c r="S25" s="862"/>
      <c r="T25" s="862"/>
      <c r="U25" s="862"/>
      <c r="V25" s="862"/>
      <c r="W25" s="862"/>
      <c r="X25" s="862"/>
      <c r="Y25" s="862"/>
      <c r="Z25" s="862"/>
      <c r="AA25" s="863"/>
      <c r="AB25" s="821"/>
      <c r="AC25" s="822"/>
      <c r="AD25" s="822"/>
      <c r="AE25" s="822"/>
      <c r="AF25" s="822"/>
      <c r="AG25" s="822"/>
      <c r="AH25" s="822"/>
      <c r="AI25" s="821"/>
      <c r="AJ25" s="822"/>
      <c r="AK25" s="822"/>
      <c r="AL25" s="822"/>
      <c r="AM25" s="822"/>
      <c r="AN25" s="822"/>
      <c r="AO25" s="822"/>
      <c r="AP25" s="822"/>
      <c r="AQ25" s="822"/>
      <c r="AR25" s="827" t="s">
        <v>366</v>
      </c>
      <c r="AS25" s="825"/>
      <c r="AT25" s="825"/>
      <c r="AU25" s="825"/>
      <c r="AV25" s="825"/>
      <c r="AW25" s="825"/>
      <c r="AX25" s="825"/>
      <c r="AY25" s="825"/>
      <c r="AZ25" s="825"/>
      <c r="BA25" s="825"/>
      <c r="BB25" s="825"/>
      <c r="BC25" s="825"/>
      <c r="BD25" s="825"/>
      <c r="BE25" s="825"/>
      <c r="BF25" s="825"/>
      <c r="BG25" s="825"/>
      <c r="BH25" s="825"/>
      <c r="BI25" s="825"/>
      <c r="BJ25" s="825"/>
      <c r="BK25" s="825"/>
      <c r="BL25" s="825"/>
      <c r="BM25" s="825"/>
      <c r="BN25" s="825"/>
      <c r="BO25" s="825"/>
      <c r="BP25" s="825"/>
      <c r="BQ25" s="825"/>
      <c r="BR25" s="825"/>
      <c r="BS25" s="825"/>
      <c r="BT25" s="825"/>
      <c r="BU25" s="825"/>
      <c r="BV25" s="825"/>
      <c r="BW25" s="825"/>
      <c r="BX25" s="825"/>
      <c r="BY25" s="825"/>
      <c r="BZ25" s="826"/>
    </row>
    <row r="26" spans="1:78" ht="36" customHeight="1">
      <c r="A26" s="828" t="s">
        <v>367</v>
      </c>
      <c r="B26" s="829"/>
      <c r="C26" s="607"/>
      <c r="D26" s="608"/>
      <c r="E26" s="608"/>
      <c r="F26" s="608"/>
      <c r="G26" s="608"/>
      <c r="H26" s="608"/>
      <c r="I26" s="609"/>
      <c r="J26" s="864" t="s">
        <v>368</v>
      </c>
      <c r="K26" s="865"/>
      <c r="L26" s="865"/>
      <c r="M26" s="865"/>
      <c r="N26" s="865"/>
      <c r="O26" s="865"/>
      <c r="P26" s="866"/>
      <c r="Q26" s="861" t="s">
        <v>305</v>
      </c>
      <c r="R26" s="862"/>
      <c r="S26" s="862"/>
      <c r="T26" s="862"/>
      <c r="U26" s="862"/>
      <c r="V26" s="862"/>
      <c r="W26" s="862"/>
      <c r="X26" s="862"/>
      <c r="Y26" s="862"/>
      <c r="Z26" s="862"/>
      <c r="AA26" s="878"/>
      <c r="AB26" s="821"/>
      <c r="AC26" s="822"/>
      <c r="AD26" s="822"/>
      <c r="AE26" s="822"/>
      <c r="AF26" s="822"/>
      <c r="AG26" s="822"/>
      <c r="AH26" s="822"/>
      <c r="AI26" s="821"/>
      <c r="AJ26" s="822"/>
      <c r="AK26" s="822"/>
      <c r="AL26" s="822"/>
      <c r="AM26" s="822"/>
      <c r="AN26" s="822"/>
      <c r="AO26" s="822"/>
      <c r="AP26" s="822"/>
      <c r="AQ26" s="822"/>
      <c r="AR26" s="824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  <c r="BX26" s="825"/>
      <c r="BY26" s="825"/>
      <c r="BZ26" s="826"/>
    </row>
    <row r="27" spans="1:78" ht="36" customHeight="1">
      <c r="A27" s="828"/>
      <c r="B27" s="829"/>
      <c r="C27" s="607"/>
      <c r="D27" s="608"/>
      <c r="E27" s="608"/>
      <c r="F27" s="608"/>
      <c r="G27" s="608"/>
      <c r="H27" s="608"/>
      <c r="I27" s="609"/>
      <c r="J27" s="864"/>
      <c r="K27" s="865"/>
      <c r="L27" s="865"/>
      <c r="M27" s="865"/>
      <c r="N27" s="865"/>
      <c r="O27" s="865"/>
      <c r="P27" s="866"/>
      <c r="Q27" s="879"/>
      <c r="R27" s="880"/>
      <c r="S27" s="880"/>
      <c r="T27" s="880"/>
      <c r="U27" s="880"/>
      <c r="V27" s="880"/>
      <c r="W27" s="880"/>
      <c r="X27" s="880"/>
      <c r="Y27" s="880"/>
      <c r="Z27" s="880"/>
      <c r="AA27" s="611"/>
      <c r="AB27" s="821"/>
      <c r="AC27" s="822"/>
      <c r="AD27" s="822"/>
      <c r="AE27" s="822"/>
      <c r="AF27" s="822"/>
      <c r="AG27" s="822"/>
      <c r="AH27" s="822"/>
      <c r="AI27" s="821"/>
      <c r="AJ27" s="822"/>
      <c r="AK27" s="822"/>
      <c r="AL27" s="822"/>
      <c r="AM27" s="822"/>
      <c r="AN27" s="822"/>
      <c r="AO27" s="822"/>
      <c r="AP27" s="822"/>
      <c r="AQ27" s="822"/>
      <c r="AR27" s="824"/>
      <c r="AS27" s="825"/>
      <c r="AT27" s="825"/>
      <c r="AU27" s="825"/>
      <c r="AV27" s="825"/>
      <c r="AW27" s="825"/>
      <c r="AX27" s="825"/>
      <c r="AY27" s="825"/>
      <c r="AZ27" s="825"/>
      <c r="BA27" s="825"/>
      <c r="BB27" s="825"/>
      <c r="BC27" s="825"/>
      <c r="BD27" s="825"/>
      <c r="BE27" s="825"/>
      <c r="BF27" s="825"/>
      <c r="BG27" s="825"/>
      <c r="BH27" s="825"/>
      <c r="BI27" s="825"/>
      <c r="BJ27" s="825"/>
      <c r="BK27" s="825"/>
      <c r="BL27" s="825"/>
      <c r="BM27" s="825"/>
      <c r="BN27" s="825"/>
      <c r="BO27" s="825"/>
      <c r="BP27" s="825"/>
      <c r="BQ27" s="825"/>
      <c r="BR27" s="825"/>
      <c r="BS27" s="825"/>
      <c r="BT27" s="825"/>
      <c r="BU27" s="825"/>
      <c r="BV27" s="825"/>
      <c r="BW27" s="825"/>
      <c r="BX27" s="825"/>
      <c r="BY27" s="825"/>
      <c r="BZ27" s="826"/>
    </row>
    <row r="28" spans="1:78">
      <c r="A28" s="604"/>
      <c r="B28" s="604"/>
      <c r="C28" s="604"/>
      <c r="D28" s="604"/>
      <c r="E28" s="604"/>
      <c r="F28" s="604"/>
      <c r="G28" s="604"/>
      <c r="H28" s="604"/>
      <c r="I28" s="604"/>
      <c r="J28" s="604"/>
      <c r="K28" s="604"/>
      <c r="L28" s="604"/>
      <c r="M28" s="604"/>
      <c r="N28" s="604"/>
      <c r="O28" s="604"/>
      <c r="P28" s="604"/>
      <c r="Q28" s="604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823"/>
      <c r="AC28" s="823"/>
      <c r="AD28" s="823"/>
      <c r="AE28" s="823"/>
      <c r="AF28" s="823"/>
      <c r="AG28" s="823"/>
      <c r="AH28" s="823"/>
      <c r="AI28" s="823"/>
      <c r="AJ28" s="823"/>
      <c r="AK28" s="823"/>
      <c r="AL28" s="823"/>
      <c r="AM28" s="823"/>
      <c r="AN28" s="823"/>
      <c r="AO28" s="823"/>
      <c r="AP28" s="823"/>
      <c r="AQ28" s="823"/>
      <c r="AR28" s="604"/>
      <c r="AS28" s="604"/>
      <c r="AT28" s="604"/>
      <c r="AU28" s="604"/>
      <c r="AV28" s="604"/>
      <c r="AW28" s="604"/>
      <c r="AX28" s="604"/>
      <c r="AY28" s="604"/>
      <c r="AZ28" s="604"/>
      <c r="BA28" s="604"/>
      <c r="BB28" s="604"/>
      <c r="BC28" s="604"/>
      <c r="BD28" s="604"/>
      <c r="BE28" s="604"/>
      <c r="BF28" s="604"/>
      <c r="BG28" s="604"/>
      <c r="BH28" s="604"/>
      <c r="BI28" s="604"/>
      <c r="BJ28" s="604"/>
      <c r="BK28" s="604"/>
      <c r="BL28" s="604"/>
      <c r="BM28" s="604"/>
      <c r="BN28" s="604"/>
      <c r="BO28" s="604"/>
      <c r="BP28" s="604"/>
      <c r="BQ28" s="604"/>
      <c r="BR28" s="604"/>
      <c r="BS28" s="604"/>
      <c r="BT28" s="604"/>
      <c r="BU28" s="604"/>
      <c r="BV28" s="604"/>
      <c r="BW28" s="604"/>
      <c r="BX28" s="604"/>
      <c r="BY28" s="604"/>
      <c r="BZ28" s="604"/>
    </row>
    <row r="29" spans="1:78"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</row>
    <row r="30" spans="1:78"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</row>
  </sheetData>
  <mergeCells count="153">
    <mergeCell ref="A25:B25"/>
    <mergeCell ref="J25:P25"/>
    <mergeCell ref="A24:B24"/>
    <mergeCell ref="J24:P24"/>
    <mergeCell ref="AR23:BZ23"/>
    <mergeCell ref="AR24:BZ24"/>
    <mergeCell ref="AR26:BZ26"/>
    <mergeCell ref="AR27:BZ27"/>
    <mergeCell ref="A27:B27"/>
    <mergeCell ref="J27:P27"/>
    <mergeCell ref="Q27:Z27"/>
    <mergeCell ref="A26:B26"/>
    <mergeCell ref="J26:P26"/>
    <mergeCell ref="Q26:AA26"/>
    <mergeCell ref="Q25:AA25"/>
    <mergeCell ref="AR25:BZ25"/>
    <mergeCell ref="Q24:AA24"/>
    <mergeCell ref="AR22:BZ22"/>
    <mergeCell ref="Q22:AA22"/>
    <mergeCell ref="A22:B22"/>
    <mergeCell ref="C22:I22"/>
    <mergeCell ref="J22:P22"/>
    <mergeCell ref="AB22:AH22"/>
    <mergeCell ref="AI22:AQ22"/>
    <mergeCell ref="Q23:AA23"/>
    <mergeCell ref="A23:B23"/>
    <mergeCell ref="J23:P23"/>
    <mergeCell ref="AB23:AH23"/>
    <mergeCell ref="AI23:AQ23"/>
    <mergeCell ref="AR20:BZ20"/>
    <mergeCell ref="Q20:AA20"/>
    <mergeCell ref="A20:B20"/>
    <mergeCell ref="C20:I20"/>
    <mergeCell ref="J20:P20"/>
    <mergeCell ref="AB20:AH20"/>
    <mergeCell ref="AI20:AQ20"/>
    <mergeCell ref="Q21:AA21"/>
    <mergeCell ref="AR21:BZ21"/>
    <mergeCell ref="A21:B21"/>
    <mergeCell ref="C21:I21"/>
    <mergeCell ref="J21:P21"/>
    <mergeCell ref="AB21:AH21"/>
    <mergeCell ref="AI21:AQ21"/>
    <mergeCell ref="Q19:AA19"/>
    <mergeCell ref="AR19:BZ19"/>
    <mergeCell ref="AR18:BZ18"/>
    <mergeCell ref="A19:B19"/>
    <mergeCell ref="C19:I19"/>
    <mergeCell ref="J19:P19"/>
    <mergeCell ref="A18:B18"/>
    <mergeCell ref="J18:P18"/>
    <mergeCell ref="Q18:AA18"/>
    <mergeCell ref="AB18:AH18"/>
    <mergeCell ref="AI18:AQ18"/>
    <mergeCell ref="AI19:AQ19"/>
    <mergeCell ref="Q17:AA17"/>
    <mergeCell ref="AR17:BZ17"/>
    <mergeCell ref="AR16:BZ16"/>
    <mergeCell ref="A17:B17"/>
    <mergeCell ref="J17:P17"/>
    <mergeCell ref="A16:B16"/>
    <mergeCell ref="J16:P16"/>
    <mergeCell ref="Q16:AA16"/>
    <mergeCell ref="AI16:AQ16"/>
    <mergeCell ref="AB17:AH17"/>
    <mergeCell ref="AI17:AQ17"/>
    <mergeCell ref="Q13:AA13"/>
    <mergeCell ref="AR13:BZ13"/>
    <mergeCell ref="A13:B13"/>
    <mergeCell ref="J13:P13"/>
    <mergeCell ref="AB13:AH13"/>
    <mergeCell ref="AI13:AQ13"/>
    <mergeCell ref="Q15:AA15"/>
    <mergeCell ref="AR15:BZ15"/>
    <mergeCell ref="AR14:BZ14"/>
    <mergeCell ref="A15:B15"/>
    <mergeCell ref="J15:P15"/>
    <mergeCell ref="A14:B14"/>
    <mergeCell ref="J14:P14"/>
    <mergeCell ref="Q14:AA14"/>
    <mergeCell ref="AB14:AH14"/>
    <mergeCell ref="AI14:AQ14"/>
    <mergeCell ref="AI15:AQ15"/>
    <mergeCell ref="Q11:AA11"/>
    <mergeCell ref="A11:B11"/>
    <mergeCell ref="J11:P11"/>
    <mergeCell ref="AB11:AH11"/>
    <mergeCell ref="AI11:AQ11"/>
    <mergeCell ref="Q12:AA12"/>
    <mergeCell ref="A12:B12"/>
    <mergeCell ref="J12:P12"/>
    <mergeCell ref="AB12:AH12"/>
    <mergeCell ref="AI12:AQ12"/>
    <mergeCell ref="Q10:AA10"/>
    <mergeCell ref="Q9:AA9"/>
    <mergeCell ref="A10:B10"/>
    <mergeCell ref="J10:P10"/>
    <mergeCell ref="A9:B9"/>
    <mergeCell ref="J9:P9"/>
    <mergeCell ref="AB9:AH9"/>
    <mergeCell ref="AI9:AQ9"/>
    <mergeCell ref="AB10:AH10"/>
    <mergeCell ref="AI10:AQ10"/>
    <mergeCell ref="Q7:AA7"/>
    <mergeCell ref="AR7:BZ7"/>
    <mergeCell ref="A7:B7"/>
    <mergeCell ref="C7:I7"/>
    <mergeCell ref="J7:P7"/>
    <mergeCell ref="AB7:AH7"/>
    <mergeCell ref="AI7:AQ7"/>
    <mergeCell ref="Q8:AA8"/>
    <mergeCell ref="AR8:BZ8"/>
    <mergeCell ref="A8:B8"/>
    <mergeCell ref="J8:P8"/>
    <mergeCell ref="AB8:AH8"/>
    <mergeCell ref="AI8:AQ8"/>
    <mergeCell ref="A1:I1"/>
    <mergeCell ref="A2:P2"/>
    <mergeCell ref="Q2:BZ2"/>
    <mergeCell ref="C4:I4"/>
    <mergeCell ref="J4:P4"/>
    <mergeCell ref="AR3:BZ4"/>
    <mergeCell ref="A3:B4"/>
    <mergeCell ref="C3:P3"/>
    <mergeCell ref="Q3:AA4"/>
    <mergeCell ref="AB3:AH4"/>
    <mergeCell ref="AI3:AQ4"/>
    <mergeCell ref="Q5:AA5"/>
    <mergeCell ref="AR5:BZ5"/>
    <mergeCell ref="A5:B5"/>
    <mergeCell ref="C5:I5"/>
    <mergeCell ref="J5:P5"/>
    <mergeCell ref="AB5:AH5"/>
    <mergeCell ref="AI5:AQ5"/>
    <mergeCell ref="AR6:BZ6"/>
    <mergeCell ref="Q6:AA6"/>
    <mergeCell ref="A6:B6"/>
    <mergeCell ref="C6:I6"/>
    <mergeCell ref="J6:P6"/>
    <mergeCell ref="AB6:AH6"/>
    <mergeCell ref="AI6:AQ6"/>
    <mergeCell ref="AB29:AH29"/>
    <mergeCell ref="AI29:AQ29"/>
    <mergeCell ref="AB24:AH24"/>
    <mergeCell ref="AI24:AQ24"/>
    <mergeCell ref="AB25:AH25"/>
    <mergeCell ref="AI25:AQ25"/>
    <mergeCell ref="AB26:AH26"/>
    <mergeCell ref="AI26:AQ26"/>
    <mergeCell ref="AB27:AH27"/>
    <mergeCell ref="AI27:AQ27"/>
    <mergeCell ref="AB28:AH28"/>
    <mergeCell ref="AI28:AQ28"/>
  </mergeCells>
  <phoneticPr fontId="57"/>
  <conditionalFormatting sqref="Q5:Q27">
    <cfRule type="expression" dxfId="42" priority="7" stopIfTrue="1">
      <formula>FIND("○",#REF!)</formula>
    </cfRule>
  </conditionalFormatting>
  <conditionalFormatting sqref="AB5:AB29">
    <cfRule type="expression" dxfId="41" priority="2" stopIfTrue="1">
      <formula>FIND("○",#REF!)</formula>
    </cfRule>
  </conditionalFormatting>
  <conditionalFormatting sqref="AI5:AI29">
    <cfRule type="expression" dxfId="40" priority="1" stopIfTrue="1">
      <formula>FIND("○",#REF!)</formula>
    </cfRule>
  </conditionalFormatting>
  <conditionalFormatting sqref="AR5:AR27">
    <cfRule type="expression" dxfId="39" priority="19" stopIfTrue="1">
      <formula>FIND("○",#REF!)</formula>
    </cfRule>
  </conditionalFormatting>
  <dataValidations count="5">
    <dataValidation type="list" allowBlank="1" showInputMessage="1" showErrorMessage="1" sqref="U65543:X65543 IM65543:IP65543 SI65543:SL65543 ACE65543:ACH65543 AMA65543:AMD65543 AVW65543:AVZ65543 BFS65543:BFV65543 BPO65543:BPR65543 BZK65543:BZN65543 CJG65543:CJJ65543 CTC65543:CTF65543 DCY65543:DDB65543 DMU65543:DMX65543 DWQ65543:DWT65543 EGM65543:EGP65543 EQI65543:EQL65543 FAE65543:FAH65543 FKA65543:FKD65543 FTW65543:FTZ65543 GDS65543:GDV65543 GNO65543:GNR65543 GXK65543:GXN65543 HHG65543:HHJ65543 HRC65543:HRF65543 IAY65543:IBB65543 IKU65543:IKX65543 IUQ65543:IUT65543 JEM65543:JEP65543 JOI65543:JOL65543 JYE65543:JYH65543 KIA65543:KID65543 KRW65543:KRZ65543 LBS65543:LBV65543 LLO65543:LLR65543 LVK65543:LVN65543 MFG65543:MFJ65543 MPC65543:MPF65543 MYY65543:MZB65543 NIU65543:NIX65543 NSQ65543:NST65543 OCM65543:OCP65543 OMI65543:OML65543 OWE65543:OWH65543 PGA65543:PGD65543 PPW65543:PPZ65543 PZS65543:PZV65543 QJO65543:QJR65543 QTK65543:QTN65543 RDG65543:RDJ65543 RNC65543:RNF65543 RWY65543:RXB65543 SGU65543:SGX65543 SQQ65543:SQT65543 TAM65543:TAP65543 TKI65543:TKL65543 TUE65543:TUH65543 UEA65543:UED65543 UNW65543:UNZ65543 UXS65543:UXV65543 VHO65543:VHR65543 VRK65543:VRN65543 WBG65543:WBJ65543 WLC65543:WLF65543 WUY65543:WVB65543 U131079:X131079 IM131079:IP131079 SI131079:SL131079 ACE131079:ACH131079 AMA131079:AMD131079 AVW131079:AVZ131079 BFS131079:BFV131079 BPO131079:BPR131079 BZK131079:BZN131079 CJG131079:CJJ131079 CTC131079:CTF131079 DCY131079:DDB131079 DMU131079:DMX131079 DWQ131079:DWT131079 EGM131079:EGP131079 EQI131079:EQL131079 FAE131079:FAH131079 FKA131079:FKD131079 FTW131079:FTZ131079 GDS131079:GDV131079 GNO131079:GNR131079 GXK131079:GXN131079 HHG131079:HHJ131079 HRC131079:HRF131079 IAY131079:IBB131079 IKU131079:IKX131079 IUQ131079:IUT131079 JEM131079:JEP131079 JOI131079:JOL131079 JYE131079:JYH131079 KIA131079:KID131079 KRW131079:KRZ131079 LBS131079:LBV131079 LLO131079:LLR131079 LVK131079:LVN131079 MFG131079:MFJ131079 MPC131079:MPF131079 MYY131079:MZB131079 NIU131079:NIX131079 NSQ131079:NST131079 OCM131079:OCP131079 OMI131079:OML131079 OWE131079:OWH131079 PGA131079:PGD131079 PPW131079:PPZ131079 PZS131079:PZV131079 QJO131079:QJR131079 QTK131079:QTN131079 RDG131079:RDJ131079 RNC131079:RNF131079 RWY131079:RXB131079 SGU131079:SGX131079 SQQ131079:SQT131079 TAM131079:TAP131079 TKI131079:TKL131079 TUE131079:TUH131079 UEA131079:UED131079 UNW131079:UNZ131079 UXS131079:UXV131079 VHO131079:VHR131079 VRK131079:VRN131079 WBG131079:WBJ131079 WLC131079:WLF131079 WUY131079:WVB131079 U196615:X196615 IM196615:IP196615 SI196615:SL196615 ACE196615:ACH196615 AMA196615:AMD196615 AVW196615:AVZ196615 BFS196615:BFV196615 BPO196615:BPR196615 BZK196615:BZN196615 CJG196615:CJJ196615 CTC196615:CTF196615 DCY196615:DDB196615 DMU196615:DMX196615 DWQ196615:DWT196615 EGM196615:EGP196615 EQI196615:EQL196615 FAE196615:FAH196615 FKA196615:FKD196615 FTW196615:FTZ196615 GDS196615:GDV196615 GNO196615:GNR196615 GXK196615:GXN196615 HHG196615:HHJ196615 HRC196615:HRF196615 IAY196615:IBB196615 IKU196615:IKX196615 IUQ196615:IUT196615 JEM196615:JEP196615 JOI196615:JOL196615 JYE196615:JYH196615 KIA196615:KID196615 KRW196615:KRZ196615 LBS196615:LBV196615 LLO196615:LLR196615 LVK196615:LVN196615 MFG196615:MFJ196615 MPC196615:MPF196615 MYY196615:MZB196615 NIU196615:NIX196615 NSQ196615:NST196615 OCM196615:OCP196615 OMI196615:OML196615 OWE196615:OWH196615 PGA196615:PGD196615 PPW196615:PPZ196615 PZS196615:PZV196615 QJO196615:QJR196615 QTK196615:QTN196615 RDG196615:RDJ196615 RNC196615:RNF196615 RWY196615:RXB196615 SGU196615:SGX196615 SQQ196615:SQT196615 TAM196615:TAP196615 TKI196615:TKL196615 TUE196615:TUH196615 UEA196615:UED196615 UNW196615:UNZ196615 UXS196615:UXV196615 VHO196615:VHR196615 VRK196615:VRN196615 WBG196615:WBJ196615 WLC196615:WLF196615 WUY196615:WVB196615 U262151:X262151 IM262151:IP262151 SI262151:SL262151 ACE262151:ACH262151 AMA262151:AMD262151 AVW262151:AVZ262151 BFS262151:BFV262151 BPO262151:BPR262151 BZK262151:BZN262151 CJG262151:CJJ262151 CTC262151:CTF262151 DCY262151:DDB262151 DMU262151:DMX262151 DWQ262151:DWT262151 EGM262151:EGP262151 EQI262151:EQL262151 FAE262151:FAH262151 FKA262151:FKD262151 FTW262151:FTZ262151 GDS262151:GDV262151 GNO262151:GNR262151 GXK262151:GXN262151 HHG262151:HHJ262151 HRC262151:HRF262151 IAY262151:IBB262151 IKU262151:IKX262151 IUQ262151:IUT262151 JEM262151:JEP262151 JOI262151:JOL262151 JYE262151:JYH262151 KIA262151:KID262151 KRW262151:KRZ262151 LBS262151:LBV262151 LLO262151:LLR262151 LVK262151:LVN262151 MFG262151:MFJ262151 MPC262151:MPF262151 MYY262151:MZB262151 NIU262151:NIX262151 NSQ262151:NST262151 OCM262151:OCP262151 OMI262151:OML262151 OWE262151:OWH262151 PGA262151:PGD262151 PPW262151:PPZ262151 PZS262151:PZV262151 QJO262151:QJR262151 QTK262151:QTN262151 RDG262151:RDJ262151 RNC262151:RNF262151 RWY262151:RXB262151 SGU262151:SGX262151 SQQ262151:SQT262151 TAM262151:TAP262151 TKI262151:TKL262151 TUE262151:TUH262151 UEA262151:UED262151 UNW262151:UNZ262151 UXS262151:UXV262151 VHO262151:VHR262151 VRK262151:VRN262151 WBG262151:WBJ262151 WLC262151:WLF262151 WUY262151:WVB262151 U327687:X327687 IM327687:IP327687 SI327687:SL327687 ACE327687:ACH327687 AMA327687:AMD327687 AVW327687:AVZ327687 BFS327687:BFV327687 BPO327687:BPR327687 BZK327687:BZN327687 CJG327687:CJJ327687 CTC327687:CTF327687 DCY327687:DDB327687 DMU327687:DMX327687 DWQ327687:DWT327687 EGM327687:EGP327687 EQI327687:EQL327687 FAE327687:FAH327687 FKA327687:FKD327687 FTW327687:FTZ327687 GDS327687:GDV327687 GNO327687:GNR327687 GXK327687:GXN327687 HHG327687:HHJ327687 HRC327687:HRF327687 IAY327687:IBB327687 IKU327687:IKX327687 IUQ327687:IUT327687 JEM327687:JEP327687 JOI327687:JOL327687 JYE327687:JYH327687 KIA327687:KID327687 KRW327687:KRZ327687 LBS327687:LBV327687 LLO327687:LLR327687 LVK327687:LVN327687 MFG327687:MFJ327687 MPC327687:MPF327687 MYY327687:MZB327687 NIU327687:NIX327687 NSQ327687:NST327687 OCM327687:OCP327687 OMI327687:OML327687 OWE327687:OWH327687 PGA327687:PGD327687 PPW327687:PPZ327687 PZS327687:PZV327687 QJO327687:QJR327687 QTK327687:QTN327687 RDG327687:RDJ327687 RNC327687:RNF327687 RWY327687:RXB327687 SGU327687:SGX327687 SQQ327687:SQT327687 TAM327687:TAP327687 TKI327687:TKL327687 TUE327687:TUH327687 UEA327687:UED327687 UNW327687:UNZ327687 UXS327687:UXV327687 VHO327687:VHR327687 VRK327687:VRN327687 WBG327687:WBJ327687 WLC327687:WLF327687 WUY327687:WVB327687 U393223:X393223 IM393223:IP393223 SI393223:SL393223 ACE393223:ACH393223 AMA393223:AMD393223 AVW393223:AVZ393223 BFS393223:BFV393223 BPO393223:BPR393223 BZK393223:BZN393223 CJG393223:CJJ393223 CTC393223:CTF393223 DCY393223:DDB393223 DMU393223:DMX393223 DWQ393223:DWT393223 EGM393223:EGP393223 EQI393223:EQL393223 FAE393223:FAH393223 FKA393223:FKD393223 FTW393223:FTZ393223 GDS393223:GDV393223 GNO393223:GNR393223 GXK393223:GXN393223 HHG393223:HHJ393223 HRC393223:HRF393223 IAY393223:IBB393223 IKU393223:IKX393223 IUQ393223:IUT393223 JEM393223:JEP393223 JOI393223:JOL393223 JYE393223:JYH393223 KIA393223:KID393223 KRW393223:KRZ393223 LBS393223:LBV393223 LLO393223:LLR393223 LVK393223:LVN393223 MFG393223:MFJ393223 MPC393223:MPF393223 MYY393223:MZB393223 NIU393223:NIX393223 NSQ393223:NST393223 OCM393223:OCP393223 OMI393223:OML393223 OWE393223:OWH393223 PGA393223:PGD393223 PPW393223:PPZ393223 PZS393223:PZV393223 QJO393223:QJR393223 QTK393223:QTN393223 RDG393223:RDJ393223 RNC393223:RNF393223 RWY393223:RXB393223 SGU393223:SGX393223 SQQ393223:SQT393223 TAM393223:TAP393223 TKI393223:TKL393223 TUE393223:TUH393223 UEA393223:UED393223 UNW393223:UNZ393223 UXS393223:UXV393223 VHO393223:VHR393223 VRK393223:VRN393223 WBG393223:WBJ393223 WLC393223:WLF393223 WUY393223:WVB393223 U458759:X458759 IM458759:IP458759 SI458759:SL458759 ACE458759:ACH458759 AMA458759:AMD458759 AVW458759:AVZ458759 BFS458759:BFV458759 BPO458759:BPR458759 BZK458759:BZN458759 CJG458759:CJJ458759 CTC458759:CTF458759 DCY458759:DDB458759 DMU458759:DMX458759 DWQ458759:DWT458759 EGM458759:EGP458759 EQI458759:EQL458759 FAE458759:FAH458759 FKA458759:FKD458759 FTW458759:FTZ458759 GDS458759:GDV458759 GNO458759:GNR458759 GXK458759:GXN458759 HHG458759:HHJ458759 HRC458759:HRF458759 IAY458759:IBB458759 IKU458759:IKX458759 IUQ458759:IUT458759 JEM458759:JEP458759 JOI458759:JOL458759 JYE458759:JYH458759 KIA458759:KID458759 KRW458759:KRZ458759 LBS458759:LBV458759 LLO458759:LLR458759 LVK458759:LVN458759 MFG458759:MFJ458759 MPC458759:MPF458759 MYY458759:MZB458759 NIU458759:NIX458759 NSQ458759:NST458759 OCM458759:OCP458759 OMI458759:OML458759 OWE458759:OWH458759 PGA458759:PGD458759 PPW458759:PPZ458759 PZS458759:PZV458759 QJO458759:QJR458759 QTK458759:QTN458759 RDG458759:RDJ458759 RNC458759:RNF458759 RWY458759:RXB458759 SGU458759:SGX458759 SQQ458759:SQT458759 TAM458759:TAP458759 TKI458759:TKL458759 TUE458759:TUH458759 UEA458759:UED458759 UNW458759:UNZ458759 UXS458759:UXV458759 VHO458759:VHR458759 VRK458759:VRN458759 WBG458759:WBJ458759 WLC458759:WLF458759 WUY458759:WVB458759 U524295:X524295 IM524295:IP524295 SI524295:SL524295 ACE524295:ACH524295 AMA524295:AMD524295 AVW524295:AVZ524295 BFS524295:BFV524295 BPO524295:BPR524295 BZK524295:BZN524295 CJG524295:CJJ524295 CTC524295:CTF524295 DCY524295:DDB524295 DMU524295:DMX524295 DWQ524295:DWT524295 EGM524295:EGP524295 EQI524295:EQL524295 FAE524295:FAH524295 FKA524295:FKD524295 FTW524295:FTZ524295 GDS524295:GDV524295 GNO524295:GNR524295 GXK524295:GXN524295 HHG524295:HHJ524295 HRC524295:HRF524295 IAY524295:IBB524295 IKU524295:IKX524295 IUQ524295:IUT524295 JEM524295:JEP524295 JOI524295:JOL524295 JYE524295:JYH524295 KIA524295:KID524295 KRW524295:KRZ524295 LBS524295:LBV524295 LLO524295:LLR524295 LVK524295:LVN524295 MFG524295:MFJ524295 MPC524295:MPF524295 MYY524295:MZB524295 NIU524295:NIX524295 NSQ524295:NST524295 OCM524295:OCP524295 OMI524295:OML524295 OWE524295:OWH524295 PGA524295:PGD524295 PPW524295:PPZ524295 PZS524295:PZV524295 QJO524295:QJR524295 QTK524295:QTN524295 RDG524295:RDJ524295 RNC524295:RNF524295 RWY524295:RXB524295 SGU524295:SGX524295 SQQ524295:SQT524295 TAM524295:TAP524295 TKI524295:TKL524295 TUE524295:TUH524295 UEA524295:UED524295 UNW524295:UNZ524295 UXS524295:UXV524295 VHO524295:VHR524295 VRK524295:VRN524295 WBG524295:WBJ524295 WLC524295:WLF524295 WUY524295:WVB524295 U589831:X589831 IM589831:IP589831 SI589831:SL589831 ACE589831:ACH589831 AMA589831:AMD589831 AVW589831:AVZ589831 BFS589831:BFV589831 BPO589831:BPR589831 BZK589831:BZN589831 CJG589831:CJJ589831 CTC589831:CTF589831 DCY589831:DDB589831 DMU589831:DMX589831 DWQ589831:DWT589831 EGM589831:EGP589831 EQI589831:EQL589831 FAE589831:FAH589831 FKA589831:FKD589831 FTW589831:FTZ589831 GDS589831:GDV589831 GNO589831:GNR589831 GXK589831:GXN589831 HHG589831:HHJ589831 HRC589831:HRF589831 IAY589831:IBB589831 IKU589831:IKX589831 IUQ589831:IUT589831 JEM589831:JEP589831 JOI589831:JOL589831 JYE589831:JYH589831 KIA589831:KID589831 KRW589831:KRZ589831 LBS589831:LBV589831 LLO589831:LLR589831 LVK589831:LVN589831 MFG589831:MFJ589831 MPC589831:MPF589831 MYY589831:MZB589831 NIU589831:NIX589831 NSQ589831:NST589831 OCM589831:OCP589831 OMI589831:OML589831 OWE589831:OWH589831 PGA589831:PGD589831 PPW589831:PPZ589831 PZS589831:PZV589831 QJO589831:QJR589831 QTK589831:QTN589831 RDG589831:RDJ589831 RNC589831:RNF589831 RWY589831:RXB589831 SGU589831:SGX589831 SQQ589831:SQT589831 TAM589831:TAP589831 TKI589831:TKL589831 TUE589831:TUH589831 UEA589831:UED589831 UNW589831:UNZ589831 UXS589831:UXV589831 VHO589831:VHR589831 VRK589831:VRN589831 WBG589831:WBJ589831 WLC589831:WLF589831 WUY589831:WVB589831 U655367:X655367 IM655367:IP655367 SI655367:SL655367 ACE655367:ACH655367 AMA655367:AMD655367 AVW655367:AVZ655367 BFS655367:BFV655367 BPO655367:BPR655367 BZK655367:BZN655367 CJG655367:CJJ655367 CTC655367:CTF655367 DCY655367:DDB655367 DMU655367:DMX655367 DWQ655367:DWT655367 EGM655367:EGP655367 EQI655367:EQL655367 FAE655367:FAH655367 FKA655367:FKD655367 FTW655367:FTZ655367 GDS655367:GDV655367 GNO655367:GNR655367 GXK655367:GXN655367 HHG655367:HHJ655367 HRC655367:HRF655367 IAY655367:IBB655367 IKU655367:IKX655367 IUQ655367:IUT655367 JEM655367:JEP655367 JOI655367:JOL655367 JYE655367:JYH655367 KIA655367:KID655367 KRW655367:KRZ655367 LBS655367:LBV655367 LLO655367:LLR655367 LVK655367:LVN655367 MFG655367:MFJ655367 MPC655367:MPF655367 MYY655367:MZB655367 NIU655367:NIX655367 NSQ655367:NST655367 OCM655367:OCP655367 OMI655367:OML655367 OWE655367:OWH655367 PGA655367:PGD655367 PPW655367:PPZ655367 PZS655367:PZV655367 QJO655367:QJR655367 QTK655367:QTN655367 RDG655367:RDJ655367 RNC655367:RNF655367 RWY655367:RXB655367 SGU655367:SGX655367 SQQ655367:SQT655367 TAM655367:TAP655367 TKI655367:TKL655367 TUE655367:TUH655367 UEA655367:UED655367 UNW655367:UNZ655367 UXS655367:UXV655367 VHO655367:VHR655367 VRK655367:VRN655367 WBG655367:WBJ655367 WLC655367:WLF655367 WUY655367:WVB655367 U720903:X720903 IM720903:IP720903 SI720903:SL720903 ACE720903:ACH720903 AMA720903:AMD720903 AVW720903:AVZ720903 BFS720903:BFV720903 BPO720903:BPR720903 BZK720903:BZN720903 CJG720903:CJJ720903 CTC720903:CTF720903 DCY720903:DDB720903 DMU720903:DMX720903 DWQ720903:DWT720903 EGM720903:EGP720903 EQI720903:EQL720903 FAE720903:FAH720903 FKA720903:FKD720903 FTW720903:FTZ720903 GDS720903:GDV720903 GNO720903:GNR720903 GXK720903:GXN720903 HHG720903:HHJ720903 HRC720903:HRF720903 IAY720903:IBB720903 IKU720903:IKX720903 IUQ720903:IUT720903 JEM720903:JEP720903 JOI720903:JOL720903 JYE720903:JYH720903 KIA720903:KID720903 KRW720903:KRZ720903 LBS720903:LBV720903 LLO720903:LLR720903 LVK720903:LVN720903 MFG720903:MFJ720903 MPC720903:MPF720903 MYY720903:MZB720903 NIU720903:NIX720903 NSQ720903:NST720903 OCM720903:OCP720903 OMI720903:OML720903 OWE720903:OWH720903 PGA720903:PGD720903 PPW720903:PPZ720903 PZS720903:PZV720903 QJO720903:QJR720903 QTK720903:QTN720903 RDG720903:RDJ720903 RNC720903:RNF720903 RWY720903:RXB720903 SGU720903:SGX720903 SQQ720903:SQT720903 TAM720903:TAP720903 TKI720903:TKL720903 TUE720903:TUH720903 UEA720903:UED720903 UNW720903:UNZ720903 UXS720903:UXV720903 VHO720903:VHR720903 VRK720903:VRN720903 WBG720903:WBJ720903 WLC720903:WLF720903 WUY720903:WVB720903 U786439:X786439 IM786439:IP786439 SI786439:SL786439 ACE786439:ACH786439 AMA786439:AMD786439 AVW786439:AVZ786439 BFS786439:BFV786439 BPO786439:BPR786439 BZK786439:BZN786439 CJG786439:CJJ786439 CTC786439:CTF786439 DCY786439:DDB786439 DMU786439:DMX786439 DWQ786439:DWT786439 EGM786439:EGP786439 EQI786439:EQL786439 FAE786439:FAH786439 FKA786439:FKD786439 FTW786439:FTZ786439 GDS786439:GDV786439 GNO786439:GNR786439 GXK786439:GXN786439 HHG786439:HHJ786439 HRC786439:HRF786439 IAY786439:IBB786439 IKU786439:IKX786439 IUQ786439:IUT786439 JEM786439:JEP786439 JOI786439:JOL786439 JYE786439:JYH786439 KIA786439:KID786439 KRW786439:KRZ786439 LBS786439:LBV786439 LLO786439:LLR786439 LVK786439:LVN786439 MFG786439:MFJ786439 MPC786439:MPF786439 MYY786439:MZB786439 NIU786439:NIX786439 NSQ786439:NST786439 OCM786439:OCP786439 OMI786439:OML786439 OWE786439:OWH786439 PGA786439:PGD786439 PPW786439:PPZ786439 PZS786439:PZV786439 QJO786439:QJR786439 QTK786439:QTN786439 RDG786439:RDJ786439 RNC786439:RNF786439 RWY786439:RXB786439 SGU786439:SGX786439 SQQ786439:SQT786439 TAM786439:TAP786439 TKI786439:TKL786439 TUE786439:TUH786439 UEA786439:UED786439 UNW786439:UNZ786439 UXS786439:UXV786439 VHO786439:VHR786439 VRK786439:VRN786439 WBG786439:WBJ786439 WLC786439:WLF786439 WUY786439:WVB786439 U851975:X851975 IM851975:IP851975 SI851975:SL851975 ACE851975:ACH851975 AMA851975:AMD851975 AVW851975:AVZ851975 BFS851975:BFV851975 BPO851975:BPR851975 BZK851975:BZN851975 CJG851975:CJJ851975 CTC851975:CTF851975 DCY851975:DDB851975 DMU851975:DMX851975 DWQ851975:DWT851975 EGM851975:EGP851975 EQI851975:EQL851975 FAE851975:FAH851975 FKA851975:FKD851975 FTW851975:FTZ851975 GDS851975:GDV851975 GNO851975:GNR851975 GXK851975:GXN851975 HHG851975:HHJ851975 HRC851975:HRF851975 IAY851975:IBB851975 IKU851975:IKX851975 IUQ851975:IUT851975 JEM851975:JEP851975 JOI851975:JOL851975 JYE851975:JYH851975 KIA851975:KID851975 KRW851975:KRZ851975 LBS851975:LBV851975 LLO851975:LLR851975 LVK851975:LVN851975 MFG851975:MFJ851975 MPC851975:MPF851975 MYY851975:MZB851975 NIU851975:NIX851975 NSQ851975:NST851975 OCM851975:OCP851975 OMI851975:OML851975 OWE851975:OWH851975 PGA851975:PGD851975 PPW851975:PPZ851975 PZS851975:PZV851975 QJO851975:QJR851975 QTK851975:QTN851975 RDG851975:RDJ851975 RNC851975:RNF851975 RWY851975:RXB851975 SGU851975:SGX851975 SQQ851975:SQT851975 TAM851975:TAP851975 TKI851975:TKL851975 TUE851975:TUH851975 UEA851975:UED851975 UNW851975:UNZ851975 UXS851975:UXV851975 VHO851975:VHR851975 VRK851975:VRN851975 WBG851975:WBJ851975 WLC851975:WLF851975 WUY851975:WVB851975 U917511:X917511 IM917511:IP917511 SI917511:SL917511 ACE917511:ACH917511 AMA917511:AMD917511 AVW917511:AVZ917511 BFS917511:BFV917511 BPO917511:BPR917511 BZK917511:BZN917511 CJG917511:CJJ917511 CTC917511:CTF917511 DCY917511:DDB917511 DMU917511:DMX917511 DWQ917511:DWT917511 EGM917511:EGP917511 EQI917511:EQL917511 FAE917511:FAH917511 FKA917511:FKD917511 FTW917511:FTZ917511 GDS917511:GDV917511 GNO917511:GNR917511 GXK917511:GXN917511 HHG917511:HHJ917511 HRC917511:HRF917511 IAY917511:IBB917511 IKU917511:IKX917511 IUQ917511:IUT917511 JEM917511:JEP917511 JOI917511:JOL917511 JYE917511:JYH917511 KIA917511:KID917511 KRW917511:KRZ917511 LBS917511:LBV917511 LLO917511:LLR917511 LVK917511:LVN917511 MFG917511:MFJ917511 MPC917511:MPF917511 MYY917511:MZB917511 NIU917511:NIX917511 NSQ917511:NST917511 OCM917511:OCP917511 OMI917511:OML917511 OWE917511:OWH917511 PGA917511:PGD917511 PPW917511:PPZ917511 PZS917511:PZV917511 QJO917511:QJR917511 QTK917511:QTN917511 RDG917511:RDJ917511 RNC917511:RNF917511 RWY917511:RXB917511 SGU917511:SGX917511 SQQ917511:SQT917511 TAM917511:TAP917511 TKI917511:TKL917511 TUE917511:TUH917511 UEA917511:UED917511 UNW917511:UNZ917511 UXS917511:UXV917511 VHO917511:VHR917511 VRK917511:VRN917511 WBG917511:WBJ917511 WLC917511:WLF917511 WUY917511:WVB917511 U983047:X983047 IM983047:IP983047 SI983047:SL983047 ACE983047:ACH983047 AMA983047:AMD983047 AVW983047:AVZ983047 BFS983047:BFV983047 BPO983047:BPR983047 BZK983047:BZN983047 CJG983047:CJJ983047 CTC983047:CTF983047 DCY983047:DDB983047 DMU983047:DMX983047 DWQ983047:DWT983047 EGM983047:EGP983047 EQI983047:EQL983047 FAE983047:FAH983047 FKA983047:FKD983047 FTW983047:FTZ983047 GDS983047:GDV983047 GNO983047:GNR983047 GXK983047:GXN983047 HHG983047:HHJ983047 HRC983047:HRF983047 IAY983047:IBB983047 IKU983047:IKX983047 IUQ983047:IUT983047 JEM983047:JEP983047 JOI983047:JOL983047 JYE983047:JYH983047 KIA983047:KID983047 KRW983047:KRZ983047 LBS983047:LBV983047 LLO983047:LLR983047 LVK983047:LVN983047 MFG983047:MFJ983047 MPC983047:MPF983047 MYY983047:MZB983047 NIU983047:NIX983047 NSQ983047:NST983047 OCM983047:OCP983047 OMI983047:OML983047 OWE983047:OWH983047 PGA983047:PGD983047 PPW983047:PPZ983047 PZS983047:PZV983047 QJO983047:QJR983047 QTK983047:QTN983047 RDG983047:RDJ983047 RNC983047:RNF983047 RWY983047:RXB983047 SGU983047:SGX983047 SQQ983047:SQT983047 TAM983047:TAP983047 TKI983047:TKL983047 TUE983047:TUH983047 UEA983047:UED983047 UNW983047:UNZ983047 UXS983047:UXV983047 VHO983047:VHR983047 VRK983047:VRN983047 WBG983047:WBJ983047 WLC983047:WLF983047 WUY983047:WVB983047 IH983046:IK983046 SD983046:SG983046 ABZ983046:ACC983046 ALV983046:ALY983046 AVR983046:AVU983046 BFN983046:BFQ983046 BPJ983046:BPM983046 BZF983046:BZI983046 CJB983046:CJE983046 CSX983046:CTA983046 DCT983046:DCW983046 DMP983046:DMS983046 DWL983046:DWO983046 EGH983046:EGK983046 EQD983046:EQG983046 EZZ983046:FAC983046 FJV983046:FJY983046 FTR983046:FTU983046 GDN983046:GDQ983046 GNJ983046:GNM983046 GXF983046:GXI983046 HHB983046:HHE983046 HQX983046:HRA983046 IAT983046:IAW983046 IKP983046:IKS983046 IUL983046:IUO983046 JEH983046:JEK983046 JOD983046:JOG983046 JXZ983046:JYC983046 KHV983046:KHY983046 KRR983046:KRU983046 LBN983046:LBQ983046 LLJ983046:LLM983046 LVF983046:LVI983046 MFB983046:MFE983046 MOX983046:MPA983046 MYT983046:MYW983046 NIP983046:NIS983046 NSL983046:NSO983046 OCH983046:OCK983046 OMD983046:OMG983046 OVZ983046:OWC983046 PFV983046:PFY983046 PPR983046:PPU983046 PZN983046:PZQ983046 QJJ983046:QJM983046 QTF983046:QTI983046 RDB983046:RDE983046 RMX983046:RNA983046 RWT983046:RWW983046 SGP983046:SGS983046 SQL983046:SQO983046 TAH983046:TAK983046 TKD983046:TKG983046 TTZ983046:TUC983046 UDV983046:UDY983046 UNR983046:UNU983046 UXN983046:UXQ983046 VHJ983046:VHM983046 VRF983046:VRI983046 WBB983046:WBE983046 WKX983046:WLA983046 WUT983046:WUW983046 IH65542:IK65542 SD65542:SG65542 ABZ65542:ACC65542 ALV65542:ALY65542 AVR65542:AVU65542 BFN65542:BFQ65542 BPJ65542:BPM65542 BZF65542:BZI65542 CJB65542:CJE65542 CSX65542:CTA65542 DCT65542:DCW65542 DMP65542:DMS65542 DWL65542:DWO65542 EGH65542:EGK65542 EQD65542:EQG65542 EZZ65542:FAC65542 FJV65542:FJY65542 FTR65542:FTU65542 GDN65542:GDQ65542 GNJ65542:GNM65542 GXF65542:GXI65542 HHB65542:HHE65542 HQX65542:HRA65542 IAT65542:IAW65542 IKP65542:IKS65542 IUL65542:IUO65542 JEH65542:JEK65542 JOD65542:JOG65542 JXZ65542:JYC65542 KHV65542:KHY65542 KRR65542:KRU65542 LBN65542:LBQ65542 LLJ65542:LLM65542 LVF65542:LVI65542 MFB65542:MFE65542 MOX65542:MPA65542 MYT65542:MYW65542 NIP65542:NIS65542 NSL65542:NSO65542 OCH65542:OCK65542 OMD65542:OMG65542 OVZ65542:OWC65542 PFV65542:PFY65542 PPR65542:PPU65542 PZN65542:PZQ65542 QJJ65542:QJM65542 QTF65542:QTI65542 RDB65542:RDE65542 RMX65542:RNA65542 RWT65542:RWW65542 SGP65542:SGS65542 SQL65542:SQO65542 TAH65542:TAK65542 TKD65542:TKG65542 TTZ65542:TUC65542 UDV65542:UDY65542 UNR65542:UNU65542 UXN65542:UXQ65542 VHJ65542:VHM65542 VRF65542:VRI65542 WBB65542:WBE65542 WKX65542:WLA65542 WUT65542:WUW65542 IH131078:IK131078 SD131078:SG131078 ABZ131078:ACC131078 ALV131078:ALY131078 AVR131078:AVU131078 BFN131078:BFQ131078 BPJ131078:BPM131078 BZF131078:BZI131078 CJB131078:CJE131078 CSX131078:CTA131078 DCT131078:DCW131078 DMP131078:DMS131078 DWL131078:DWO131078 EGH131078:EGK131078 EQD131078:EQG131078 EZZ131078:FAC131078 FJV131078:FJY131078 FTR131078:FTU131078 GDN131078:GDQ131078 GNJ131078:GNM131078 GXF131078:GXI131078 HHB131078:HHE131078 HQX131078:HRA131078 IAT131078:IAW131078 IKP131078:IKS131078 IUL131078:IUO131078 JEH131078:JEK131078 JOD131078:JOG131078 JXZ131078:JYC131078 KHV131078:KHY131078 KRR131078:KRU131078 LBN131078:LBQ131078 LLJ131078:LLM131078 LVF131078:LVI131078 MFB131078:MFE131078 MOX131078:MPA131078 MYT131078:MYW131078 NIP131078:NIS131078 NSL131078:NSO131078 OCH131078:OCK131078 OMD131078:OMG131078 OVZ131078:OWC131078 PFV131078:PFY131078 PPR131078:PPU131078 PZN131078:PZQ131078 QJJ131078:QJM131078 QTF131078:QTI131078 RDB131078:RDE131078 RMX131078:RNA131078 RWT131078:RWW131078 SGP131078:SGS131078 SQL131078:SQO131078 TAH131078:TAK131078 TKD131078:TKG131078 TTZ131078:TUC131078 UDV131078:UDY131078 UNR131078:UNU131078 UXN131078:UXQ131078 VHJ131078:VHM131078 VRF131078:VRI131078 WBB131078:WBE131078 WKX131078:WLA131078 WUT131078:WUW131078 IH196614:IK196614 SD196614:SG196614 ABZ196614:ACC196614 ALV196614:ALY196614 AVR196614:AVU196614 BFN196614:BFQ196614 BPJ196614:BPM196614 BZF196614:BZI196614 CJB196614:CJE196614 CSX196614:CTA196614 DCT196614:DCW196614 DMP196614:DMS196614 DWL196614:DWO196614 EGH196614:EGK196614 EQD196614:EQG196614 EZZ196614:FAC196614 FJV196614:FJY196614 FTR196614:FTU196614 GDN196614:GDQ196614 GNJ196614:GNM196614 GXF196614:GXI196614 HHB196614:HHE196614 HQX196614:HRA196614 IAT196614:IAW196614 IKP196614:IKS196614 IUL196614:IUO196614 JEH196614:JEK196614 JOD196614:JOG196614 JXZ196614:JYC196614 KHV196614:KHY196614 KRR196614:KRU196614 LBN196614:LBQ196614 LLJ196614:LLM196614 LVF196614:LVI196614 MFB196614:MFE196614 MOX196614:MPA196614 MYT196614:MYW196614 NIP196614:NIS196614 NSL196614:NSO196614 OCH196614:OCK196614 OMD196614:OMG196614 OVZ196614:OWC196614 PFV196614:PFY196614 PPR196614:PPU196614 PZN196614:PZQ196614 QJJ196614:QJM196614 QTF196614:QTI196614 RDB196614:RDE196614 RMX196614:RNA196614 RWT196614:RWW196614 SGP196614:SGS196614 SQL196614:SQO196614 TAH196614:TAK196614 TKD196614:TKG196614 TTZ196614:TUC196614 UDV196614:UDY196614 UNR196614:UNU196614 UXN196614:UXQ196614 VHJ196614:VHM196614 VRF196614:VRI196614 WBB196614:WBE196614 WKX196614:WLA196614 WUT196614:WUW196614 IH262150:IK262150 SD262150:SG262150 ABZ262150:ACC262150 ALV262150:ALY262150 AVR262150:AVU262150 BFN262150:BFQ262150 BPJ262150:BPM262150 BZF262150:BZI262150 CJB262150:CJE262150 CSX262150:CTA262150 DCT262150:DCW262150 DMP262150:DMS262150 DWL262150:DWO262150 EGH262150:EGK262150 EQD262150:EQG262150 EZZ262150:FAC262150 FJV262150:FJY262150 FTR262150:FTU262150 GDN262150:GDQ262150 GNJ262150:GNM262150 GXF262150:GXI262150 HHB262150:HHE262150 HQX262150:HRA262150 IAT262150:IAW262150 IKP262150:IKS262150 IUL262150:IUO262150 JEH262150:JEK262150 JOD262150:JOG262150 JXZ262150:JYC262150 KHV262150:KHY262150 KRR262150:KRU262150 LBN262150:LBQ262150 LLJ262150:LLM262150 LVF262150:LVI262150 MFB262150:MFE262150 MOX262150:MPA262150 MYT262150:MYW262150 NIP262150:NIS262150 NSL262150:NSO262150 OCH262150:OCK262150 OMD262150:OMG262150 OVZ262150:OWC262150 PFV262150:PFY262150 PPR262150:PPU262150 PZN262150:PZQ262150 QJJ262150:QJM262150 QTF262150:QTI262150 RDB262150:RDE262150 RMX262150:RNA262150 RWT262150:RWW262150 SGP262150:SGS262150 SQL262150:SQO262150 TAH262150:TAK262150 TKD262150:TKG262150 TTZ262150:TUC262150 UDV262150:UDY262150 UNR262150:UNU262150 UXN262150:UXQ262150 VHJ262150:VHM262150 VRF262150:VRI262150 WBB262150:WBE262150 WKX262150:WLA262150 WUT262150:WUW262150 IH327686:IK327686 SD327686:SG327686 ABZ327686:ACC327686 ALV327686:ALY327686 AVR327686:AVU327686 BFN327686:BFQ327686 BPJ327686:BPM327686 BZF327686:BZI327686 CJB327686:CJE327686 CSX327686:CTA327686 DCT327686:DCW327686 DMP327686:DMS327686 DWL327686:DWO327686 EGH327686:EGK327686 EQD327686:EQG327686 EZZ327686:FAC327686 FJV327686:FJY327686 FTR327686:FTU327686 GDN327686:GDQ327686 GNJ327686:GNM327686 GXF327686:GXI327686 HHB327686:HHE327686 HQX327686:HRA327686 IAT327686:IAW327686 IKP327686:IKS327686 IUL327686:IUO327686 JEH327686:JEK327686 JOD327686:JOG327686 JXZ327686:JYC327686 KHV327686:KHY327686 KRR327686:KRU327686 LBN327686:LBQ327686 LLJ327686:LLM327686 LVF327686:LVI327686 MFB327686:MFE327686 MOX327686:MPA327686 MYT327686:MYW327686 NIP327686:NIS327686 NSL327686:NSO327686 OCH327686:OCK327686 OMD327686:OMG327686 OVZ327686:OWC327686 PFV327686:PFY327686 PPR327686:PPU327686 PZN327686:PZQ327686 QJJ327686:QJM327686 QTF327686:QTI327686 RDB327686:RDE327686 RMX327686:RNA327686 RWT327686:RWW327686 SGP327686:SGS327686 SQL327686:SQO327686 TAH327686:TAK327686 TKD327686:TKG327686 TTZ327686:TUC327686 UDV327686:UDY327686 UNR327686:UNU327686 UXN327686:UXQ327686 VHJ327686:VHM327686 VRF327686:VRI327686 WBB327686:WBE327686 WKX327686:WLA327686 WUT327686:WUW327686 IH393222:IK393222 SD393222:SG393222 ABZ393222:ACC393222 ALV393222:ALY393222 AVR393222:AVU393222 BFN393222:BFQ393222 BPJ393222:BPM393222 BZF393222:BZI393222 CJB393222:CJE393222 CSX393222:CTA393222 DCT393222:DCW393222 DMP393222:DMS393222 DWL393222:DWO393222 EGH393222:EGK393222 EQD393222:EQG393222 EZZ393222:FAC393222 FJV393222:FJY393222 FTR393222:FTU393222 GDN393222:GDQ393222 GNJ393222:GNM393222 GXF393222:GXI393222 HHB393222:HHE393222 HQX393222:HRA393222 IAT393222:IAW393222 IKP393222:IKS393222 IUL393222:IUO393222 JEH393222:JEK393222 JOD393222:JOG393222 JXZ393222:JYC393222 KHV393222:KHY393222 KRR393222:KRU393222 LBN393222:LBQ393222 LLJ393222:LLM393222 LVF393222:LVI393222 MFB393222:MFE393222 MOX393222:MPA393222 MYT393222:MYW393222 NIP393222:NIS393222 NSL393222:NSO393222 OCH393222:OCK393222 OMD393222:OMG393222 OVZ393222:OWC393222 PFV393222:PFY393222 PPR393222:PPU393222 PZN393222:PZQ393222 QJJ393222:QJM393222 QTF393222:QTI393222 RDB393222:RDE393222 RMX393222:RNA393222 RWT393222:RWW393222 SGP393222:SGS393222 SQL393222:SQO393222 TAH393222:TAK393222 TKD393222:TKG393222 TTZ393222:TUC393222 UDV393222:UDY393222 UNR393222:UNU393222 UXN393222:UXQ393222 VHJ393222:VHM393222 VRF393222:VRI393222 WBB393222:WBE393222 WKX393222:WLA393222 WUT393222:WUW393222 IH458758:IK458758 SD458758:SG458758 ABZ458758:ACC458758 ALV458758:ALY458758 AVR458758:AVU458758 BFN458758:BFQ458758 BPJ458758:BPM458758 BZF458758:BZI458758 CJB458758:CJE458758 CSX458758:CTA458758 DCT458758:DCW458758 DMP458758:DMS458758 DWL458758:DWO458758 EGH458758:EGK458758 EQD458758:EQG458758 EZZ458758:FAC458758 FJV458758:FJY458758 FTR458758:FTU458758 GDN458758:GDQ458758 GNJ458758:GNM458758 GXF458758:GXI458758 HHB458758:HHE458758 HQX458758:HRA458758 IAT458758:IAW458758 IKP458758:IKS458758 IUL458758:IUO458758 JEH458758:JEK458758 JOD458758:JOG458758 JXZ458758:JYC458758 KHV458758:KHY458758 KRR458758:KRU458758 LBN458758:LBQ458758 LLJ458758:LLM458758 LVF458758:LVI458758 MFB458758:MFE458758 MOX458758:MPA458758 MYT458758:MYW458758 NIP458758:NIS458758 NSL458758:NSO458758 OCH458758:OCK458758 OMD458758:OMG458758 OVZ458758:OWC458758 PFV458758:PFY458758 PPR458758:PPU458758 PZN458758:PZQ458758 QJJ458758:QJM458758 QTF458758:QTI458758 RDB458758:RDE458758 RMX458758:RNA458758 RWT458758:RWW458758 SGP458758:SGS458758 SQL458758:SQO458758 TAH458758:TAK458758 TKD458758:TKG458758 TTZ458758:TUC458758 UDV458758:UDY458758 UNR458758:UNU458758 UXN458758:UXQ458758 VHJ458758:VHM458758 VRF458758:VRI458758 WBB458758:WBE458758 WKX458758:WLA458758 WUT458758:WUW458758 IH524294:IK524294 SD524294:SG524294 ABZ524294:ACC524294 ALV524294:ALY524294 AVR524294:AVU524294 BFN524294:BFQ524294 BPJ524294:BPM524294 BZF524294:BZI524294 CJB524294:CJE524294 CSX524294:CTA524294 DCT524294:DCW524294 DMP524294:DMS524294 DWL524294:DWO524294 EGH524294:EGK524294 EQD524294:EQG524294 EZZ524294:FAC524294 FJV524294:FJY524294 FTR524294:FTU524294 GDN524294:GDQ524294 GNJ524294:GNM524294 GXF524294:GXI524294 HHB524294:HHE524294 HQX524294:HRA524294 IAT524294:IAW524294 IKP524294:IKS524294 IUL524294:IUO524294 JEH524294:JEK524294 JOD524294:JOG524294 JXZ524294:JYC524294 KHV524294:KHY524294 KRR524294:KRU524294 LBN524294:LBQ524294 LLJ524294:LLM524294 LVF524294:LVI524294 MFB524294:MFE524294 MOX524294:MPA524294 MYT524294:MYW524294 NIP524294:NIS524294 NSL524294:NSO524294 OCH524294:OCK524294 OMD524294:OMG524294 OVZ524294:OWC524294 PFV524294:PFY524294 PPR524294:PPU524294 PZN524294:PZQ524294 QJJ524294:QJM524294 QTF524294:QTI524294 RDB524294:RDE524294 RMX524294:RNA524294 RWT524294:RWW524294 SGP524294:SGS524294 SQL524294:SQO524294 TAH524294:TAK524294 TKD524294:TKG524294 TTZ524294:TUC524294 UDV524294:UDY524294 UNR524294:UNU524294 UXN524294:UXQ524294 VHJ524294:VHM524294 VRF524294:VRI524294 WBB524294:WBE524294 WKX524294:WLA524294 WUT524294:WUW524294 IH589830:IK589830 SD589830:SG589830 ABZ589830:ACC589830 ALV589830:ALY589830 AVR589830:AVU589830 BFN589830:BFQ589830 BPJ589830:BPM589830 BZF589830:BZI589830 CJB589830:CJE589830 CSX589830:CTA589830 DCT589830:DCW589830 DMP589830:DMS589830 DWL589830:DWO589830 EGH589830:EGK589830 EQD589830:EQG589830 EZZ589830:FAC589830 FJV589830:FJY589830 FTR589830:FTU589830 GDN589830:GDQ589830 GNJ589830:GNM589830 GXF589830:GXI589830 HHB589830:HHE589830 HQX589830:HRA589830 IAT589830:IAW589830 IKP589830:IKS589830 IUL589830:IUO589830 JEH589830:JEK589830 JOD589830:JOG589830 JXZ589830:JYC589830 KHV589830:KHY589830 KRR589830:KRU589830 LBN589830:LBQ589830 LLJ589830:LLM589830 LVF589830:LVI589830 MFB589830:MFE589830 MOX589830:MPA589830 MYT589830:MYW589830 NIP589830:NIS589830 NSL589830:NSO589830 OCH589830:OCK589830 OMD589830:OMG589830 OVZ589830:OWC589830 PFV589830:PFY589830 PPR589830:PPU589830 PZN589830:PZQ589830 QJJ589830:QJM589830 QTF589830:QTI589830 RDB589830:RDE589830 RMX589830:RNA589830 RWT589830:RWW589830 SGP589830:SGS589830 SQL589830:SQO589830 TAH589830:TAK589830 TKD589830:TKG589830 TTZ589830:TUC589830 UDV589830:UDY589830 UNR589830:UNU589830 UXN589830:UXQ589830 VHJ589830:VHM589830 VRF589830:VRI589830 WBB589830:WBE589830 WKX589830:WLA589830 WUT589830:WUW589830 IH655366:IK655366 SD655366:SG655366 ABZ655366:ACC655366 ALV655366:ALY655366 AVR655366:AVU655366 BFN655366:BFQ655366 BPJ655366:BPM655366 BZF655366:BZI655366 CJB655366:CJE655366 CSX655366:CTA655366 DCT655366:DCW655366 DMP655366:DMS655366 DWL655366:DWO655366 EGH655366:EGK655366 EQD655366:EQG655366 EZZ655366:FAC655366 FJV655366:FJY655366 FTR655366:FTU655366 GDN655366:GDQ655366 GNJ655366:GNM655366 GXF655366:GXI655366 HHB655366:HHE655366 HQX655366:HRA655366 IAT655366:IAW655366 IKP655366:IKS655366 IUL655366:IUO655366 JEH655366:JEK655366 JOD655366:JOG655366 JXZ655366:JYC655366 KHV655366:KHY655366 KRR655366:KRU655366 LBN655366:LBQ655366 LLJ655366:LLM655366 LVF655366:LVI655366 MFB655366:MFE655366 MOX655366:MPA655366 MYT655366:MYW655366 NIP655366:NIS655366 NSL655366:NSO655366 OCH655366:OCK655366 OMD655366:OMG655366 OVZ655366:OWC655366 PFV655366:PFY655366 PPR655366:PPU655366 PZN655366:PZQ655366 QJJ655366:QJM655366 QTF655366:QTI655366 RDB655366:RDE655366 RMX655366:RNA655366 RWT655366:RWW655366 SGP655366:SGS655366 SQL655366:SQO655366 TAH655366:TAK655366 TKD655366:TKG655366 TTZ655366:TUC655366 UDV655366:UDY655366 UNR655366:UNU655366 UXN655366:UXQ655366 VHJ655366:VHM655366 VRF655366:VRI655366 WBB655366:WBE655366 WKX655366:WLA655366 WUT655366:WUW655366 IH720902:IK720902 SD720902:SG720902 ABZ720902:ACC720902 ALV720902:ALY720902 AVR720902:AVU720902 BFN720902:BFQ720902 BPJ720902:BPM720902 BZF720902:BZI720902 CJB720902:CJE720902 CSX720902:CTA720902 DCT720902:DCW720902 DMP720902:DMS720902 DWL720902:DWO720902 EGH720902:EGK720902 EQD720902:EQG720902 EZZ720902:FAC720902 FJV720902:FJY720902 FTR720902:FTU720902 GDN720902:GDQ720902 GNJ720902:GNM720902 GXF720902:GXI720902 HHB720902:HHE720902 HQX720902:HRA720902 IAT720902:IAW720902 IKP720902:IKS720902 IUL720902:IUO720902 JEH720902:JEK720902 JOD720902:JOG720902 JXZ720902:JYC720902 KHV720902:KHY720902 KRR720902:KRU720902 LBN720902:LBQ720902 LLJ720902:LLM720902 LVF720902:LVI720902 MFB720902:MFE720902 MOX720902:MPA720902 MYT720902:MYW720902 NIP720902:NIS720902 NSL720902:NSO720902 OCH720902:OCK720902 OMD720902:OMG720902 OVZ720902:OWC720902 PFV720902:PFY720902 PPR720902:PPU720902 PZN720902:PZQ720902 QJJ720902:QJM720902 QTF720902:QTI720902 RDB720902:RDE720902 RMX720902:RNA720902 RWT720902:RWW720902 SGP720902:SGS720902 SQL720902:SQO720902 TAH720902:TAK720902 TKD720902:TKG720902 TTZ720902:TUC720902 UDV720902:UDY720902 UNR720902:UNU720902 UXN720902:UXQ720902 VHJ720902:VHM720902 VRF720902:VRI720902 WBB720902:WBE720902 WKX720902:WLA720902 WUT720902:WUW720902 IH786438:IK786438 SD786438:SG786438 ABZ786438:ACC786438 ALV786438:ALY786438 AVR786438:AVU786438 BFN786438:BFQ786438 BPJ786438:BPM786438 BZF786438:BZI786438 CJB786438:CJE786438 CSX786438:CTA786438 DCT786438:DCW786438 DMP786438:DMS786438 DWL786438:DWO786438 EGH786438:EGK786438 EQD786438:EQG786438 EZZ786438:FAC786438 FJV786438:FJY786438 FTR786438:FTU786438 GDN786438:GDQ786438 GNJ786438:GNM786438 GXF786438:GXI786438 HHB786438:HHE786438 HQX786438:HRA786438 IAT786438:IAW786438 IKP786438:IKS786438 IUL786438:IUO786438 JEH786438:JEK786438 JOD786438:JOG786438 JXZ786438:JYC786438 KHV786438:KHY786438 KRR786438:KRU786438 LBN786438:LBQ786438 LLJ786438:LLM786438 LVF786438:LVI786438 MFB786438:MFE786438 MOX786438:MPA786438 MYT786438:MYW786438 NIP786438:NIS786438 NSL786438:NSO786438 OCH786438:OCK786438 OMD786438:OMG786438 OVZ786438:OWC786438 PFV786438:PFY786438 PPR786438:PPU786438 PZN786438:PZQ786438 QJJ786438:QJM786438 QTF786438:QTI786438 RDB786438:RDE786438 RMX786438:RNA786438 RWT786438:RWW786438 SGP786438:SGS786438 SQL786438:SQO786438 TAH786438:TAK786438 TKD786438:TKG786438 TTZ786438:TUC786438 UDV786438:UDY786438 UNR786438:UNU786438 UXN786438:UXQ786438 VHJ786438:VHM786438 VRF786438:VRI786438 WBB786438:WBE786438 WKX786438:WLA786438 WUT786438:WUW786438 IH851974:IK851974 SD851974:SG851974 ABZ851974:ACC851974 ALV851974:ALY851974 AVR851974:AVU851974 BFN851974:BFQ851974 BPJ851974:BPM851974 BZF851974:BZI851974 CJB851974:CJE851974 CSX851974:CTA851974 DCT851974:DCW851974 DMP851974:DMS851974 DWL851974:DWO851974 EGH851974:EGK851974 EQD851974:EQG851974 EZZ851974:FAC851974 FJV851974:FJY851974 FTR851974:FTU851974 GDN851974:GDQ851974 GNJ851974:GNM851974 GXF851974:GXI851974 HHB851974:HHE851974 HQX851974:HRA851974 IAT851974:IAW851974 IKP851974:IKS851974 IUL851974:IUO851974 JEH851974:JEK851974 JOD851974:JOG851974 JXZ851974:JYC851974 KHV851974:KHY851974 KRR851974:KRU851974 LBN851974:LBQ851974 LLJ851974:LLM851974 LVF851974:LVI851974 MFB851974:MFE851974 MOX851974:MPA851974 MYT851974:MYW851974 NIP851974:NIS851974 NSL851974:NSO851974 OCH851974:OCK851974 OMD851974:OMG851974 OVZ851974:OWC851974 PFV851974:PFY851974 PPR851974:PPU851974 PZN851974:PZQ851974 QJJ851974:QJM851974 QTF851974:QTI851974 RDB851974:RDE851974 RMX851974:RNA851974 RWT851974:RWW851974 SGP851974:SGS851974 SQL851974:SQO851974 TAH851974:TAK851974 TKD851974:TKG851974 TTZ851974:TUC851974 UDV851974:UDY851974 UNR851974:UNU851974 UXN851974:UXQ851974 VHJ851974:VHM851974 VRF851974:VRI851974 WBB851974:WBE851974 WKX851974:WLA851974 WUT851974:WUW851974 IH917510:IK917510 SD917510:SG917510 ABZ917510:ACC917510 ALV917510:ALY917510 AVR917510:AVU917510 BFN917510:BFQ917510 BPJ917510:BPM917510 BZF917510:BZI917510 CJB917510:CJE917510 CSX917510:CTA917510 DCT917510:DCW917510 DMP917510:DMS917510 DWL917510:DWO917510 EGH917510:EGK917510 EQD917510:EQG917510 EZZ917510:FAC917510 FJV917510:FJY917510 FTR917510:FTU917510 GDN917510:GDQ917510 GNJ917510:GNM917510 GXF917510:GXI917510 HHB917510:HHE917510 HQX917510:HRA917510 IAT917510:IAW917510 IKP917510:IKS917510 IUL917510:IUO917510 JEH917510:JEK917510 JOD917510:JOG917510 JXZ917510:JYC917510 KHV917510:KHY917510 KRR917510:KRU917510 LBN917510:LBQ917510 LLJ917510:LLM917510 LVF917510:LVI917510 MFB917510:MFE917510 MOX917510:MPA917510 MYT917510:MYW917510 NIP917510:NIS917510 NSL917510:NSO917510 OCH917510:OCK917510 OMD917510:OMG917510 OVZ917510:OWC917510 PFV917510:PFY917510 PPR917510:PPU917510 PZN917510:PZQ917510 QJJ917510:QJM917510 QTF917510:QTI917510 RDB917510:RDE917510 RMX917510:RNA917510 RWT917510:RWW917510 SGP917510:SGS917510 SQL917510:SQO917510 TAH917510:TAK917510 TKD917510:TKG917510 TTZ917510:TUC917510 UDV917510:UDY917510 UNR917510:UNU917510 UXN917510:UXQ917510 VHJ917510:VHM917510 VRF917510:VRI917510 WBB917510:WBE917510 WKX917510:WLA917510 WUT917510:WUW917510 Q917510:S917510 Q851974:S851974 Q786438:S786438 Q720902:S720902 Q655366:S655366 Q589830:S589830 Q524294:S524294 Q458758:S458758 Q393222:S393222 Q327686:S327686 Q262150:S262150 Q196614:S196614 Q131078:S131078 Q65542:S65542 Q983046:S983046 AF131080:AH131080 AF196616:AH196616 AF262152:AH262152 AF327688:AH327688 AF393224:AH393224 AF458760:AH458760 AF524296:AH524296 AF589832:AH589832 AF655368:AH655368 AF720904:AH720904 AF786440:AH786440 AF851976:AH851976 AF917512:AH917512 AF983048:AH983048 AB983047:AD983047 AB917511:AD917511 AB851975:AD851975 AB786439:AD786439 AB720903:AD720903 AB655367:AD655367 AB589831:AD589831 AB524295:AD524295 AB458759:AD458759 AB393223:AD393223 AB327687:AD327687 AB262151:AD262151 AB196615:AD196615 AB131079:AD131079 AB65543:AD65543 AF65544:AH65544 AO131080:AQ131080 AO196616:AQ196616 AO262152:AQ262152 AO327688:AQ327688 AO393224:AQ393224 AO458760:AQ458760 AO524296:AQ524296 AO589832:AQ589832 AO655368:AQ655368 AO720904:AQ720904 AO786440:AQ786440 AO851976:AQ851976 AO917512:AQ917512 AO983048:AQ983048 AI917511:AK917511 AI851975:AK851975 AI786439:AK786439 AI720903:AK720903 AI655367:AK655367 AI589831:AK589831 AI524295:AK524295 AI458759:AK458759 AI393223:AK393223 AI327687:AK327687 AI262151:AK262151 AI196615:AK196615 AI131079:AK131079 AI65543:AK65543 AO65544:AQ65544 AI983047:AK983047 AL131080:AM131080 AL196616:AM196616 AL262152:AM262152 AL327688:AM327688 AL393224:AM393224 AL458760:AM458760 AL524296:AM524296 AL589832:AM589832 AL655368:AM655368 AL720904:AM720904 AL786440:AM786440 AL851976:AM851976 AL917512:AM917512 AL983048:AM983048 AL65544:AM65544" xr:uid="{87090E45-91C1-418E-8188-C4A72504E6B6}">
      <formula1>"○, ○（オンライン処理設計書なし）"</formula1>
    </dataValidation>
    <dataValidation type="list" allowBlank="1" showInputMessage="1" showErrorMessage="1" sqref="V65549:Y65552 IN65549:IQ65552 SJ65549:SM65552 ACF65549:ACI65552 AMB65549:AME65552 AVX65549:AWA65552 BFT65549:BFW65552 BPP65549:BPS65552 BZL65549:BZO65552 CJH65549:CJK65552 CTD65549:CTG65552 DCZ65549:DDC65552 DMV65549:DMY65552 DWR65549:DWU65552 EGN65549:EGQ65552 EQJ65549:EQM65552 FAF65549:FAI65552 FKB65549:FKE65552 FTX65549:FUA65552 GDT65549:GDW65552 GNP65549:GNS65552 GXL65549:GXO65552 HHH65549:HHK65552 HRD65549:HRG65552 IAZ65549:IBC65552 IKV65549:IKY65552 IUR65549:IUU65552 JEN65549:JEQ65552 JOJ65549:JOM65552 JYF65549:JYI65552 KIB65549:KIE65552 KRX65549:KSA65552 LBT65549:LBW65552 LLP65549:LLS65552 LVL65549:LVO65552 MFH65549:MFK65552 MPD65549:MPG65552 MYZ65549:MZC65552 NIV65549:NIY65552 NSR65549:NSU65552 OCN65549:OCQ65552 OMJ65549:OMM65552 OWF65549:OWI65552 PGB65549:PGE65552 PPX65549:PQA65552 PZT65549:PZW65552 QJP65549:QJS65552 QTL65549:QTO65552 RDH65549:RDK65552 RND65549:RNG65552 RWZ65549:RXC65552 SGV65549:SGY65552 SQR65549:SQU65552 TAN65549:TAQ65552 TKJ65549:TKM65552 TUF65549:TUI65552 UEB65549:UEE65552 UNX65549:UOA65552 UXT65549:UXW65552 VHP65549:VHS65552 VRL65549:VRO65552 WBH65549:WBK65552 WLD65549:WLG65552 WUZ65549:WVC65552 V131085:Y131088 IN131085:IQ131088 SJ131085:SM131088 ACF131085:ACI131088 AMB131085:AME131088 AVX131085:AWA131088 BFT131085:BFW131088 BPP131085:BPS131088 BZL131085:BZO131088 CJH131085:CJK131088 CTD131085:CTG131088 DCZ131085:DDC131088 DMV131085:DMY131088 DWR131085:DWU131088 EGN131085:EGQ131088 EQJ131085:EQM131088 FAF131085:FAI131088 FKB131085:FKE131088 FTX131085:FUA131088 GDT131085:GDW131088 GNP131085:GNS131088 GXL131085:GXO131088 HHH131085:HHK131088 HRD131085:HRG131088 IAZ131085:IBC131088 IKV131085:IKY131088 IUR131085:IUU131088 JEN131085:JEQ131088 JOJ131085:JOM131088 JYF131085:JYI131088 KIB131085:KIE131088 KRX131085:KSA131088 LBT131085:LBW131088 LLP131085:LLS131088 LVL131085:LVO131088 MFH131085:MFK131088 MPD131085:MPG131088 MYZ131085:MZC131088 NIV131085:NIY131088 NSR131085:NSU131088 OCN131085:OCQ131088 OMJ131085:OMM131088 OWF131085:OWI131088 PGB131085:PGE131088 PPX131085:PQA131088 PZT131085:PZW131088 QJP131085:QJS131088 QTL131085:QTO131088 RDH131085:RDK131088 RND131085:RNG131088 RWZ131085:RXC131088 SGV131085:SGY131088 SQR131085:SQU131088 TAN131085:TAQ131088 TKJ131085:TKM131088 TUF131085:TUI131088 UEB131085:UEE131088 UNX131085:UOA131088 UXT131085:UXW131088 VHP131085:VHS131088 VRL131085:VRO131088 WBH131085:WBK131088 WLD131085:WLG131088 WUZ131085:WVC131088 V196621:Y196624 IN196621:IQ196624 SJ196621:SM196624 ACF196621:ACI196624 AMB196621:AME196624 AVX196621:AWA196624 BFT196621:BFW196624 BPP196621:BPS196624 BZL196621:BZO196624 CJH196621:CJK196624 CTD196621:CTG196624 DCZ196621:DDC196624 DMV196621:DMY196624 DWR196621:DWU196624 EGN196621:EGQ196624 EQJ196621:EQM196624 FAF196621:FAI196624 FKB196621:FKE196624 FTX196621:FUA196624 GDT196621:GDW196624 GNP196621:GNS196624 GXL196621:GXO196624 HHH196621:HHK196624 HRD196621:HRG196624 IAZ196621:IBC196624 IKV196621:IKY196624 IUR196621:IUU196624 JEN196621:JEQ196624 JOJ196621:JOM196624 JYF196621:JYI196624 KIB196621:KIE196624 KRX196621:KSA196624 LBT196621:LBW196624 LLP196621:LLS196624 LVL196621:LVO196624 MFH196621:MFK196624 MPD196621:MPG196624 MYZ196621:MZC196624 NIV196621:NIY196624 NSR196621:NSU196624 OCN196621:OCQ196624 OMJ196621:OMM196624 OWF196621:OWI196624 PGB196621:PGE196624 PPX196621:PQA196624 PZT196621:PZW196624 QJP196621:QJS196624 QTL196621:QTO196624 RDH196621:RDK196624 RND196621:RNG196624 RWZ196621:RXC196624 SGV196621:SGY196624 SQR196621:SQU196624 TAN196621:TAQ196624 TKJ196621:TKM196624 TUF196621:TUI196624 UEB196621:UEE196624 UNX196621:UOA196624 UXT196621:UXW196624 VHP196621:VHS196624 VRL196621:VRO196624 WBH196621:WBK196624 WLD196621:WLG196624 WUZ196621:WVC196624 V262157:Y262160 IN262157:IQ262160 SJ262157:SM262160 ACF262157:ACI262160 AMB262157:AME262160 AVX262157:AWA262160 BFT262157:BFW262160 BPP262157:BPS262160 BZL262157:BZO262160 CJH262157:CJK262160 CTD262157:CTG262160 DCZ262157:DDC262160 DMV262157:DMY262160 DWR262157:DWU262160 EGN262157:EGQ262160 EQJ262157:EQM262160 FAF262157:FAI262160 FKB262157:FKE262160 FTX262157:FUA262160 GDT262157:GDW262160 GNP262157:GNS262160 GXL262157:GXO262160 HHH262157:HHK262160 HRD262157:HRG262160 IAZ262157:IBC262160 IKV262157:IKY262160 IUR262157:IUU262160 JEN262157:JEQ262160 JOJ262157:JOM262160 JYF262157:JYI262160 KIB262157:KIE262160 KRX262157:KSA262160 LBT262157:LBW262160 LLP262157:LLS262160 LVL262157:LVO262160 MFH262157:MFK262160 MPD262157:MPG262160 MYZ262157:MZC262160 NIV262157:NIY262160 NSR262157:NSU262160 OCN262157:OCQ262160 OMJ262157:OMM262160 OWF262157:OWI262160 PGB262157:PGE262160 PPX262157:PQA262160 PZT262157:PZW262160 QJP262157:QJS262160 QTL262157:QTO262160 RDH262157:RDK262160 RND262157:RNG262160 RWZ262157:RXC262160 SGV262157:SGY262160 SQR262157:SQU262160 TAN262157:TAQ262160 TKJ262157:TKM262160 TUF262157:TUI262160 UEB262157:UEE262160 UNX262157:UOA262160 UXT262157:UXW262160 VHP262157:VHS262160 VRL262157:VRO262160 WBH262157:WBK262160 WLD262157:WLG262160 WUZ262157:WVC262160 V327693:Y327696 IN327693:IQ327696 SJ327693:SM327696 ACF327693:ACI327696 AMB327693:AME327696 AVX327693:AWA327696 BFT327693:BFW327696 BPP327693:BPS327696 BZL327693:BZO327696 CJH327693:CJK327696 CTD327693:CTG327696 DCZ327693:DDC327696 DMV327693:DMY327696 DWR327693:DWU327696 EGN327693:EGQ327696 EQJ327693:EQM327696 FAF327693:FAI327696 FKB327693:FKE327696 FTX327693:FUA327696 GDT327693:GDW327696 GNP327693:GNS327696 GXL327693:GXO327696 HHH327693:HHK327696 HRD327693:HRG327696 IAZ327693:IBC327696 IKV327693:IKY327696 IUR327693:IUU327696 JEN327693:JEQ327696 JOJ327693:JOM327696 JYF327693:JYI327696 KIB327693:KIE327696 KRX327693:KSA327696 LBT327693:LBW327696 LLP327693:LLS327696 LVL327693:LVO327696 MFH327693:MFK327696 MPD327693:MPG327696 MYZ327693:MZC327696 NIV327693:NIY327696 NSR327693:NSU327696 OCN327693:OCQ327696 OMJ327693:OMM327696 OWF327693:OWI327696 PGB327693:PGE327696 PPX327693:PQA327696 PZT327693:PZW327696 QJP327693:QJS327696 QTL327693:QTO327696 RDH327693:RDK327696 RND327693:RNG327696 RWZ327693:RXC327696 SGV327693:SGY327696 SQR327693:SQU327696 TAN327693:TAQ327696 TKJ327693:TKM327696 TUF327693:TUI327696 UEB327693:UEE327696 UNX327693:UOA327696 UXT327693:UXW327696 VHP327693:VHS327696 VRL327693:VRO327696 WBH327693:WBK327696 WLD327693:WLG327696 WUZ327693:WVC327696 V393229:Y393232 IN393229:IQ393232 SJ393229:SM393232 ACF393229:ACI393232 AMB393229:AME393232 AVX393229:AWA393232 BFT393229:BFW393232 BPP393229:BPS393232 BZL393229:BZO393232 CJH393229:CJK393232 CTD393229:CTG393232 DCZ393229:DDC393232 DMV393229:DMY393232 DWR393229:DWU393232 EGN393229:EGQ393232 EQJ393229:EQM393232 FAF393229:FAI393232 FKB393229:FKE393232 FTX393229:FUA393232 GDT393229:GDW393232 GNP393229:GNS393232 GXL393229:GXO393232 HHH393229:HHK393232 HRD393229:HRG393232 IAZ393229:IBC393232 IKV393229:IKY393232 IUR393229:IUU393232 JEN393229:JEQ393232 JOJ393229:JOM393232 JYF393229:JYI393232 KIB393229:KIE393232 KRX393229:KSA393232 LBT393229:LBW393232 LLP393229:LLS393232 LVL393229:LVO393232 MFH393229:MFK393232 MPD393229:MPG393232 MYZ393229:MZC393232 NIV393229:NIY393232 NSR393229:NSU393232 OCN393229:OCQ393232 OMJ393229:OMM393232 OWF393229:OWI393232 PGB393229:PGE393232 PPX393229:PQA393232 PZT393229:PZW393232 QJP393229:QJS393232 QTL393229:QTO393232 RDH393229:RDK393232 RND393229:RNG393232 RWZ393229:RXC393232 SGV393229:SGY393232 SQR393229:SQU393232 TAN393229:TAQ393232 TKJ393229:TKM393232 TUF393229:TUI393232 UEB393229:UEE393232 UNX393229:UOA393232 UXT393229:UXW393232 VHP393229:VHS393232 VRL393229:VRO393232 WBH393229:WBK393232 WLD393229:WLG393232 WUZ393229:WVC393232 V458765:Y458768 IN458765:IQ458768 SJ458765:SM458768 ACF458765:ACI458768 AMB458765:AME458768 AVX458765:AWA458768 BFT458765:BFW458768 BPP458765:BPS458768 BZL458765:BZO458768 CJH458765:CJK458768 CTD458765:CTG458768 DCZ458765:DDC458768 DMV458765:DMY458768 DWR458765:DWU458768 EGN458765:EGQ458768 EQJ458765:EQM458768 FAF458765:FAI458768 FKB458765:FKE458768 FTX458765:FUA458768 GDT458765:GDW458768 GNP458765:GNS458768 GXL458765:GXO458768 HHH458765:HHK458768 HRD458765:HRG458768 IAZ458765:IBC458768 IKV458765:IKY458768 IUR458765:IUU458768 JEN458765:JEQ458768 JOJ458765:JOM458768 JYF458765:JYI458768 KIB458765:KIE458768 KRX458765:KSA458768 LBT458765:LBW458768 LLP458765:LLS458768 LVL458765:LVO458768 MFH458765:MFK458768 MPD458765:MPG458768 MYZ458765:MZC458768 NIV458765:NIY458768 NSR458765:NSU458768 OCN458765:OCQ458768 OMJ458765:OMM458768 OWF458765:OWI458768 PGB458765:PGE458768 PPX458765:PQA458768 PZT458765:PZW458768 QJP458765:QJS458768 QTL458765:QTO458768 RDH458765:RDK458768 RND458765:RNG458768 RWZ458765:RXC458768 SGV458765:SGY458768 SQR458765:SQU458768 TAN458765:TAQ458768 TKJ458765:TKM458768 TUF458765:TUI458768 UEB458765:UEE458768 UNX458765:UOA458768 UXT458765:UXW458768 VHP458765:VHS458768 VRL458765:VRO458768 WBH458765:WBK458768 WLD458765:WLG458768 WUZ458765:WVC458768 V524301:Y524304 IN524301:IQ524304 SJ524301:SM524304 ACF524301:ACI524304 AMB524301:AME524304 AVX524301:AWA524304 BFT524301:BFW524304 BPP524301:BPS524304 BZL524301:BZO524304 CJH524301:CJK524304 CTD524301:CTG524304 DCZ524301:DDC524304 DMV524301:DMY524304 DWR524301:DWU524304 EGN524301:EGQ524304 EQJ524301:EQM524304 FAF524301:FAI524304 FKB524301:FKE524304 FTX524301:FUA524304 GDT524301:GDW524304 GNP524301:GNS524304 GXL524301:GXO524304 HHH524301:HHK524304 HRD524301:HRG524304 IAZ524301:IBC524304 IKV524301:IKY524304 IUR524301:IUU524304 JEN524301:JEQ524304 JOJ524301:JOM524304 JYF524301:JYI524304 KIB524301:KIE524304 KRX524301:KSA524304 LBT524301:LBW524304 LLP524301:LLS524304 LVL524301:LVO524304 MFH524301:MFK524304 MPD524301:MPG524304 MYZ524301:MZC524304 NIV524301:NIY524304 NSR524301:NSU524304 OCN524301:OCQ524304 OMJ524301:OMM524304 OWF524301:OWI524304 PGB524301:PGE524304 PPX524301:PQA524304 PZT524301:PZW524304 QJP524301:QJS524304 QTL524301:QTO524304 RDH524301:RDK524304 RND524301:RNG524304 RWZ524301:RXC524304 SGV524301:SGY524304 SQR524301:SQU524304 TAN524301:TAQ524304 TKJ524301:TKM524304 TUF524301:TUI524304 UEB524301:UEE524304 UNX524301:UOA524304 UXT524301:UXW524304 VHP524301:VHS524304 VRL524301:VRO524304 WBH524301:WBK524304 WLD524301:WLG524304 WUZ524301:WVC524304 V589837:Y589840 IN589837:IQ589840 SJ589837:SM589840 ACF589837:ACI589840 AMB589837:AME589840 AVX589837:AWA589840 BFT589837:BFW589840 BPP589837:BPS589840 BZL589837:BZO589840 CJH589837:CJK589840 CTD589837:CTG589840 DCZ589837:DDC589840 DMV589837:DMY589840 DWR589837:DWU589840 EGN589837:EGQ589840 EQJ589837:EQM589840 FAF589837:FAI589840 FKB589837:FKE589840 FTX589837:FUA589840 GDT589837:GDW589840 GNP589837:GNS589840 GXL589837:GXO589840 HHH589837:HHK589840 HRD589837:HRG589840 IAZ589837:IBC589840 IKV589837:IKY589840 IUR589837:IUU589840 JEN589837:JEQ589840 JOJ589837:JOM589840 JYF589837:JYI589840 KIB589837:KIE589840 KRX589837:KSA589840 LBT589837:LBW589840 LLP589837:LLS589840 LVL589837:LVO589840 MFH589837:MFK589840 MPD589837:MPG589840 MYZ589837:MZC589840 NIV589837:NIY589840 NSR589837:NSU589840 OCN589837:OCQ589840 OMJ589837:OMM589840 OWF589837:OWI589840 PGB589837:PGE589840 PPX589837:PQA589840 PZT589837:PZW589840 QJP589837:QJS589840 QTL589837:QTO589840 RDH589837:RDK589840 RND589837:RNG589840 RWZ589837:RXC589840 SGV589837:SGY589840 SQR589837:SQU589840 TAN589837:TAQ589840 TKJ589837:TKM589840 TUF589837:TUI589840 UEB589837:UEE589840 UNX589837:UOA589840 UXT589837:UXW589840 VHP589837:VHS589840 VRL589837:VRO589840 WBH589837:WBK589840 WLD589837:WLG589840 WUZ589837:WVC589840 V655373:Y655376 IN655373:IQ655376 SJ655373:SM655376 ACF655373:ACI655376 AMB655373:AME655376 AVX655373:AWA655376 BFT655373:BFW655376 BPP655373:BPS655376 BZL655373:BZO655376 CJH655373:CJK655376 CTD655373:CTG655376 DCZ655373:DDC655376 DMV655373:DMY655376 DWR655373:DWU655376 EGN655373:EGQ655376 EQJ655373:EQM655376 FAF655373:FAI655376 FKB655373:FKE655376 FTX655373:FUA655376 GDT655373:GDW655376 GNP655373:GNS655376 GXL655373:GXO655376 HHH655373:HHK655376 HRD655373:HRG655376 IAZ655373:IBC655376 IKV655373:IKY655376 IUR655373:IUU655376 JEN655373:JEQ655376 JOJ655373:JOM655376 JYF655373:JYI655376 KIB655373:KIE655376 KRX655373:KSA655376 LBT655373:LBW655376 LLP655373:LLS655376 LVL655373:LVO655376 MFH655373:MFK655376 MPD655373:MPG655376 MYZ655373:MZC655376 NIV655373:NIY655376 NSR655373:NSU655376 OCN655373:OCQ655376 OMJ655373:OMM655376 OWF655373:OWI655376 PGB655373:PGE655376 PPX655373:PQA655376 PZT655373:PZW655376 QJP655373:QJS655376 QTL655373:QTO655376 RDH655373:RDK655376 RND655373:RNG655376 RWZ655373:RXC655376 SGV655373:SGY655376 SQR655373:SQU655376 TAN655373:TAQ655376 TKJ655373:TKM655376 TUF655373:TUI655376 UEB655373:UEE655376 UNX655373:UOA655376 UXT655373:UXW655376 VHP655373:VHS655376 VRL655373:VRO655376 WBH655373:WBK655376 WLD655373:WLG655376 WUZ655373:WVC655376 V720909:Y720912 IN720909:IQ720912 SJ720909:SM720912 ACF720909:ACI720912 AMB720909:AME720912 AVX720909:AWA720912 BFT720909:BFW720912 BPP720909:BPS720912 BZL720909:BZO720912 CJH720909:CJK720912 CTD720909:CTG720912 DCZ720909:DDC720912 DMV720909:DMY720912 DWR720909:DWU720912 EGN720909:EGQ720912 EQJ720909:EQM720912 FAF720909:FAI720912 FKB720909:FKE720912 FTX720909:FUA720912 GDT720909:GDW720912 GNP720909:GNS720912 GXL720909:GXO720912 HHH720909:HHK720912 HRD720909:HRG720912 IAZ720909:IBC720912 IKV720909:IKY720912 IUR720909:IUU720912 JEN720909:JEQ720912 JOJ720909:JOM720912 JYF720909:JYI720912 KIB720909:KIE720912 KRX720909:KSA720912 LBT720909:LBW720912 LLP720909:LLS720912 LVL720909:LVO720912 MFH720909:MFK720912 MPD720909:MPG720912 MYZ720909:MZC720912 NIV720909:NIY720912 NSR720909:NSU720912 OCN720909:OCQ720912 OMJ720909:OMM720912 OWF720909:OWI720912 PGB720909:PGE720912 PPX720909:PQA720912 PZT720909:PZW720912 QJP720909:QJS720912 QTL720909:QTO720912 RDH720909:RDK720912 RND720909:RNG720912 RWZ720909:RXC720912 SGV720909:SGY720912 SQR720909:SQU720912 TAN720909:TAQ720912 TKJ720909:TKM720912 TUF720909:TUI720912 UEB720909:UEE720912 UNX720909:UOA720912 UXT720909:UXW720912 VHP720909:VHS720912 VRL720909:VRO720912 WBH720909:WBK720912 WLD720909:WLG720912 WUZ720909:WVC720912 V786445:Y786448 IN786445:IQ786448 SJ786445:SM786448 ACF786445:ACI786448 AMB786445:AME786448 AVX786445:AWA786448 BFT786445:BFW786448 BPP786445:BPS786448 BZL786445:BZO786448 CJH786445:CJK786448 CTD786445:CTG786448 DCZ786445:DDC786448 DMV786445:DMY786448 DWR786445:DWU786448 EGN786445:EGQ786448 EQJ786445:EQM786448 FAF786445:FAI786448 FKB786445:FKE786448 FTX786445:FUA786448 GDT786445:GDW786448 GNP786445:GNS786448 GXL786445:GXO786448 HHH786445:HHK786448 HRD786445:HRG786448 IAZ786445:IBC786448 IKV786445:IKY786448 IUR786445:IUU786448 JEN786445:JEQ786448 JOJ786445:JOM786448 JYF786445:JYI786448 KIB786445:KIE786448 KRX786445:KSA786448 LBT786445:LBW786448 LLP786445:LLS786448 LVL786445:LVO786448 MFH786445:MFK786448 MPD786445:MPG786448 MYZ786445:MZC786448 NIV786445:NIY786448 NSR786445:NSU786448 OCN786445:OCQ786448 OMJ786445:OMM786448 OWF786445:OWI786448 PGB786445:PGE786448 PPX786445:PQA786448 PZT786445:PZW786448 QJP786445:QJS786448 QTL786445:QTO786448 RDH786445:RDK786448 RND786445:RNG786448 RWZ786445:RXC786448 SGV786445:SGY786448 SQR786445:SQU786448 TAN786445:TAQ786448 TKJ786445:TKM786448 TUF786445:TUI786448 UEB786445:UEE786448 UNX786445:UOA786448 UXT786445:UXW786448 VHP786445:VHS786448 VRL786445:VRO786448 WBH786445:WBK786448 WLD786445:WLG786448 WUZ786445:WVC786448 V851981:Y851984 IN851981:IQ851984 SJ851981:SM851984 ACF851981:ACI851984 AMB851981:AME851984 AVX851981:AWA851984 BFT851981:BFW851984 BPP851981:BPS851984 BZL851981:BZO851984 CJH851981:CJK851984 CTD851981:CTG851984 DCZ851981:DDC851984 DMV851981:DMY851984 DWR851981:DWU851984 EGN851981:EGQ851984 EQJ851981:EQM851984 FAF851981:FAI851984 FKB851981:FKE851984 FTX851981:FUA851984 GDT851981:GDW851984 GNP851981:GNS851984 GXL851981:GXO851984 HHH851981:HHK851984 HRD851981:HRG851984 IAZ851981:IBC851984 IKV851981:IKY851984 IUR851981:IUU851984 JEN851981:JEQ851984 JOJ851981:JOM851984 JYF851981:JYI851984 KIB851981:KIE851984 KRX851981:KSA851984 LBT851981:LBW851984 LLP851981:LLS851984 LVL851981:LVO851984 MFH851981:MFK851984 MPD851981:MPG851984 MYZ851981:MZC851984 NIV851981:NIY851984 NSR851981:NSU851984 OCN851981:OCQ851984 OMJ851981:OMM851984 OWF851981:OWI851984 PGB851981:PGE851984 PPX851981:PQA851984 PZT851981:PZW851984 QJP851981:QJS851984 QTL851981:QTO851984 RDH851981:RDK851984 RND851981:RNG851984 RWZ851981:RXC851984 SGV851981:SGY851984 SQR851981:SQU851984 TAN851981:TAQ851984 TKJ851981:TKM851984 TUF851981:TUI851984 UEB851981:UEE851984 UNX851981:UOA851984 UXT851981:UXW851984 VHP851981:VHS851984 VRL851981:VRO851984 WBH851981:WBK851984 WLD851981:WLG851984 WUZ851981:WVC851984 V917517:Y917520 IN917517:IQ917520 SJ917517:SM917520 ACF917517:ACI917520 AMB917517:AME917520 AVX917517:AWA917520 BFT917517:BFW917520 BPP917517:BPS917520 BZL917517:BZO917520 CJH917517:CJK917520 CTD917517:CTG917520 DCZ917517:DDC917520 DMV917517:DMY917520 DWR917517:DWU917520 EGN917517:EGQ917520 EQJ917517:EQM917520 FAF917517:FAI917520 FKB917517:FKE917520 FTX917517:FUA917520 GDT917517:GDW917520 GNP917517:GNS917520 GXL917517:GXO917520 HHH917517:HHK917520 HRD917517:HRG917520 IAZ917517:IBC917520 IKV917517:IKY917520 IUR917517:IUU917520 JEN917517:JEQ917520 JOJ917517:JOM917520 JYF917517:JYI917520 KIB917517:KIE917520 KRX917517:KSA917520 LBT917517:LBW917520 LLP917517:LLS917520 LVL917517:LVO917520 MFH917517:MFK917520 MPD917517:MPG917520 MYZ917517:MZC917520 NIV917517:NIY917520 NSR917517:NSU917520 OCN917517:OCQ917520 OMJ917517:OMM917520 OWF917517:OWI917520 PGB917517:PGE917520 PPX917517:PQA917520 PZT917517:PZW917520 QJP917517:QJS917520 QTL917517:QTO917520 RDH917517:RDK917520 RND917517:RNG917520 RWZ917517:RXC917520 SGV917517:SGY917520 SQR917517:SQU917520 TAN917517:TAQ917520 TKJ917517:TKM917520 TUF917517:TUI917520 UEB917517:UEE917520 UNX917517:UOA917520 UXT917517:UXW917520 VHP917517:VHS917520 VRL917517:VRO917520 WBH917517:WBK917520 WLD917517:WLG917520 WUZ917517:WVC917520 V983053:Y983056 IN983053:IQ983056 SJ983053:SM983056 ACF983053:ACI983056 AMB983053:AME983056 AVX983053:AWA983056 BFT983053:BFW983056 BPP983053:BPS983056 BZL983053:BZO983056 CJH983053:CJK983056 CTD983053:CTG983056 DCZ983053:DDC983056 DMV983053:DMY983056 DWR983053:DWU983056 EGN983053:EGQ983056 EQJ983053:EQM983056 FAF983053:FAI983056 FKB983053:FKE983056 FTX983053:FUA983056 GDT983053:GDW983056 GNP983053:GNS983056 GXL983053:GXO983056 HHH983053:HHK983056 HRD983053:HRG983056 IAZ983053:IBC983056 IKV983053:IKY983056 IUR983053:IUU983056 JEN983053:JEQ983056 JOJ983053:JOM983056 JYF983053:JYI983056 KIB983053:KIE983056 KRX983053:KSA983056 LBT983053:LBW983056 LLP983053:LLS983056 LVL983053:LVO983056 MFH983053:MFK983056 MPD983053:MPG983056 MYZ983053:MZC983056 NIV983053:NIY983056 NSR983053:NSU983056 OCN983053:OCQ983056 OMJ983053:OMM983056 OWF983053:OWI983056 PGB983053:PGE983056 PPX983053:PQA983056 PZT983053:PZW983056 QJP983053:QJS983056 QTL983053:QTO983056 RDH983053:RDK983056 RND983053:RNG983056 RWZ983053:RXC983056 SGV983053:SGY983056 SQR983053:SQU983056 TAN983053:TAQ983056 TKJ983053:TKM983056 TUF983053:TUI983056 UEB983053:UEE983056 UNX983053:UOA983056 UXT983053:UXW983056 VHP983053:VHS983056 VRL983053:VRO983056 WBH983053:WBK983056 WLD983053:WLG983056 WUZ983053:WVC983056 Q65543:T65543 II65543:IL65543 SE65543:SH65543 ACA65543:ACD65543 ALW65543:ALZ65543 AVS65543:AVV65543 BFO65543:BFR65543 BPK65543:BPN65543 BZG65543:BZJ65543 CJC65543:CJF65543 CSY65543:CTB65543 DCU65543:DCX65543 DMQ65543:DMT65543 DWM65543:DWP65543 EGI65543:EGL65543 EQE65543:EQH65543 FAA65543:FAD65543 FJW65543:FJZ65543 FTS65543:FTV65543 GDO65543:GDR65543 GNK65543:GNN65543 GXG65543:GXJ65543 HHC65543:HHF65543 HQY65543:HRB65543 IAU65543:IAX65543 IKQ65543:IKT65543 IUM65543:IUP65543 JEI65543:JEL65543 JOE65543:JOH65543 JYA65543:JYD65543 KHW65543:KHZ65543 KRS65543:KRV65543 LBO65543:LBR65543 LLK65543:LLN65543 LVG65543:LVJ65543 MFC65543:MFF65543 MOY65543:MPB65543 MYU65543:MYX65543 NIQ65543:NIT65543 NSM65543:NSP65543 OCI65543:OCL65543 OME65543:OMH65543 OWA65543:OWD65543 PFW65543:PFZ65543 PPS65543:PPV65543 PZO65543:PZR65543 QJK65543:QJN65543 QTG65543:QTJ65543 RDC65543:RDF65543 RMY65543:RNB65543 RWU65543:RWX65543 SGQ65543:SGT65543 SQM65543:SQP65543 TAI65543:TAL65543 TKE65543:TKH65543 TUA65543:TUD65543 UDW65543:UDZ65543 UNS65543:UNV65543 UXO65543:UXR65543 VHK65543:VHN65543 VRG65543:VRJ65543 WBC65543:WBF65543 WKY65543:WLB65543 WUU65543:WUX65543 Q131079:T131079 II131079:IL131079 SE131079:SH131079 ACA131079:ACD131079 ALW131079:ALZ131079 AVS131079:AVV131079 BFO131079:BFR131079 BPK131079:BPN131079 BZG131079:BZJ131079 CJC131079:CJF131079 CSY131079:CTB131079 DCU131079:DCX131079 DMQ131079:DMT131079 DWM131079:DWP131079 EGI131079:EGL131079 EQE131079:EQH131079 FAA131079:FAD131079 FJW131079:FJZ131079 FTS131079:FTV131079 GDO131079:GDR131079 GNK131079:GNN131079 GXG131079:GXJ131079 HHC131079:HHF131079 HQY131079:HRB131079 IAU131079:IAX131079 IKQ131079:IKT131079 IUM131079:IUP131079 JEI131079:JEL131079 JOE131079:JOH131079 JYA131079:JYD131079 KHW131079:KHZ131079 KRS131079:KRV131079 LBO131079:LBR131079 LLK131079:LLN131079 LVG131079:LVJ131079 MFC131079:MFF131079 MOY131079:MPB131079 MYU131079:MYX131079 NIQ131079:NIT131079 NSM131079:NSP131079 OCI131079:OCL131079 OME131079:OMH131079 OWA131079:OWD131079 PFW131079:PFZ131079 PPS131079:PPV131079 PZO131079:PZR131079 QJK131079:QJN131079 QTG131079:QTJ131079 RDC131079:RDF131079 RMY131079:RNB131079 RWU131079:RWX131079 SGQ131079:SGT131079 SQM131079:SQP131079 TAI131079:TAL131079 TKE131079:TKH131079 TUA131079:TUD131079 UDW131079:UDZ131079 UNS131079:UNV131079 UXO131079:UXR131079 VHK131079:VHN131079 VRG131079:VRJ131079 WBC131079:WBF131079 WKY131079:WLB131079 WUU131079:WUX131079 Q196615:T196615 II196615:IL196615 SE196615:SH196615 ACA196615:ACD196615 ALW196615:ALZ196615 AVS196615:AVV196615 BFO196615:BFR196615 BPK196615:BPN196615 BZG196615:BZJ196615 CJC196615:CJF196615 CSY196615:CTB196615 DCU196615:DCX196615 DMQ196615:DMT196615 DWM196615:DWP196615 EGI196615:EGL196615 EQE196615:EQH196615 FAA196615:FAD196615 FJW196615:FJZ196615 FTS196615:FTV196615 GDO196615:GDR196615 GNK196615:GNN196615 GXG196615:GXJ196615 HHC196615:HHF196615 HQY196615:HRB196615 IAU196615:IAX196615 IKQ196615:IKT196615 IUM196615:IUP196615 JEI196615:JEL196615 JOE196615:JOH196615 JYA196615:JYD196615 KHW196615:KHZ196615 KRS196615:KRV196615 LBO196615:LBR196615 LLK196615:LLN196615 LVG196615:LVJ196615 MFC196615:MFF196615 MOY196615:MPB196615 MYU196615:MYX196615 NIQ196615:NIT196615 NSM196615:NSP196615 OCI196615:OCL196615 OME196615:OMH196615 OWA196615:OWD196615 PFW196615:PFZ196615 PPS196615:PPV196615 PZO196615:PZR196615 QJK196615:QJN196615 QTG196615:QTJ196615 RDC196615:RDF196615 RMY196615:RNB196615 RWU196615:RWX196615 SGQ196615:SGT196615 SQM196615:SQP196615 TAI196615:TAL196615 TKE196615:TKH196615 TUA196615:TUD196615 UDW196615:UDZ196615 UNS196615:UNV196615 UXO196615:UXR196615 VHK196615:VHN196615 VRG196615:VRJ196615 WBC196615:WBF196615 WKY196615:WLB196615 WUU196615:WUX196615 Q262151:T262151 II262151:IL262151 SE262151:SH262151 ACA262151:ACD262151 ALW262151:ALZ262151 AVS262151:AVV262151 BFO262151:BFR262151 BPK262151:BPN262151 BZG262151:BZJ262151 CJC262151:CJF262151 CSY262151:CTB262151 DCU262151:DCX262151 DMQ262151:DMT262151 DWM262151:DWP262151 EGI262151:EGL262151 EQE262151:EQH262151 FAA262151:FAD262151 FJW262151:FJZ262151 FTS262151:FTV262151 GDO262151:GDR262151 GNK262151:GNN262151 GXG262151:GXJ262151 HHC262151:HHF262151 HQY262151:HRB262151 IAU262151:IAX262151 IKQ262151:IKT262151 IUM262151:IUP262151 JEI262151:JEL262151 JOE262151:JOH262151 JYA262151:JYD262151 KHW262151:KHZ262151 KRS262151:KRV262151 LBO262151:LBR262151 LLK262151:LLN262151 LVG262151:LVJ262151 MFC262151:MFF262151 MOY262151:MPB262151 MYU262151:MYX262151 NIQ262151:NIT262151 NSM262151:NSP262151 OCI262151:OCL262151 OME262151:OMH262151 OWA262151:OWD262151 PFW262151:PFZ262151 PPS262151:PPV262151 PZO262151:PZR262151 QJK262151:QJN262151 QTG262151:QTJ262151 RDC262151:RDF262151 RMY262151:RNB262151 RWU262151:RWX262151 SGQ262151:SGT262151 SQM262151:SQP262151 TAI262151:TAL262151 TKE262151:TKH262151 TUA262151:TUD262151 UDW262151:UDZ262151 UNS262151:UNV262151 UXO262151:UXR262151 VHK262151:VHN262151 VRG262151:VRJ262151 WBC262151:WBF262151 WKY262151:WLB262151 WUU262151:WUX262151 Q327687:T327687 II327687:IL327687 SE327687:SH327687 ACA327687:ACD327687 ALW327687:ALZ327687 AVS327687:AVV327687 BFO327687:BFR327687 BPK327687:BPN327687 BZG327687:BZJ327687 CJC327687:CJF327687 CSY327687:CTB327687 DCU327687:DCX327687 DMQ327687:DMT327687 DWM327687:DWP327687 EGI327687:EGL327687 EQE327687:EQH327687 FAA327687:FAD327687 FJW327687:FJZ327687 FTS327687:FTV327687 GDO327687:GDR327687 GNK327687:GNN327687 GXG327687:GXJ327687 HHC327687:HHF327687 HQY327687:HRB327687 IAU327687:IAX327687 IKQ327687:IKT327687 IUM327687:IUP327687 JEI327687:JEL327687 JOE327687:JOH327687 JYA327687:JYD327687 KHW327687:KHZ327687 KRS327687:KRV327687 LBO327687:LBR327687 LLK327687:LLN327687 LVG327687:LVJ327687 MFC327687:MFF327687 MOY327687:MPB327687 MYU327687:MYX327687 NIQ327687:NIT327687 NSM327687:NSP327687 OCI327687:OCL327687 OME327687:OMH327687 OWA327687:OWD327687 PFW327687:PFZ327687 PPS327687:PPV327687 PZO327687:PZR327687 QJK327687:QJN327687 QTG327687:QTJ327687 RDC327687:RDF327687 RMY327687:RNB327687 RWU327687:RWX327687 SGQ327687:SGT327687 SQM327687:SQP327687 TAI327687:TAL327687 TKE327687:TKH327687 TUA327687:TUD327687 UDW327687:UDZ327687 UNS327687:UNV327687 UXO327687:UXR327687 VHK327687:VHN327687 VRG327687:VRJ327687 WBC327687:WBF327687 WKY327687:WLB327687 WUU327687:WUX327687 Q393223:T393223 II393223:IL393223 SE393223:SH393223 ACA393223:ACD393223 ALW393223:ALZ393223 AVS393223:AVV393223 BFO393223:BFR393223 BPK393223:BPN393223 BZG393223:BZJ393223 CJC393223:CJF393223 CSY393223:CTB393223 DCU393223:DCX393223 DMQ393223:DMT393223 DWM393223:DWP393223 EGI393223:EGL393223 EQE393223:EQH393223 FAA393223:FAD393223 FJW393223:FJZ393223 FTS393223:FTV393223 GDO393223:GDR393223 GNK393223:GNN393223 GXG393223:GXJ393223 HHC393223:HHF393223 HQY393223:HRB393223 IAU393223:IAX393223 IKQ393223:IKT393223 IUM393223:IUP393223 JEI393223:JEL393223 JOE393223:JOH393223 JYA393223:JYD393223 KHW393223:KHZ393223 KRS393223:KRV393223 LBO393223:LBR393223 LLK393223:LLN393223 LVG393223:LVJ393223 MFC393223:MFF393223 MOY393223:MPB393223 MYU393223:MYX393223 NIQ393223:NIT393223 NSM393223:NSP393223 OCI393223:OCL393223 OME393223:OMH393223 OWA393223:OWD393223 PFW393223:PFZ393223 PPS393223:PPV393223 PZO393223:PZR393223 QJK393223:QJN393223 QTG393223:QTJ393223 RDC393223:RDF393223 RMY393223:RNB393223 RWU393223:RWX393223 SGQ393223:SGT393223 SQM393223:SQP393223 TAI393223:TAL393223 TKE393223:TKH393223 TUA393223:TUD393223 UDW393223:UDZ393223 UNS393223:UNV393223 UXO393223:UXR393223 VHK393223:VHN393223 VRG393223:VRJ393223 WBC393223:WBF393223 WKY393223:WLB393223 WUU393223:WUX393223 Q458759:T458759 II458759:IL458759 SE458759:SH458759 ACA458759:ACD458759 ALW458759:ALZ458759 AVS458759:AVV458759 BFO458759:BFR458759 BPK458759:BPN458759 BZG458759:BZJ458759 CJC458759:CJF458759 CSY458759:CTB458759 DCU458759:DCX458759 DMQ458759:DMT458759 DWM458759:DWP458759 EGI458759:EGL458759 EQE458759:EQH458759 FAA458759:FAD458759 FJW458759:FJZ458759 FTS458759:FTV458759 GDO458759:GDR458759 GNK458759:GNN458759 GXG458759:GXJ458759 HHC458759:HHF458759 HQY458759:HRB458759 IAU458759:IAX458759 IKQ458759:IKT458759 IUM458759:IUP458759 JEI458759:JEL458759 JOE458759:JOH458759 JYA458759:JYD458759 KHW458759:KHZ458759 KRS458759:KRV458759 LBO458759:LBR458759 LLK458759:LLN458759 LVG458759:LVJ458759 MFC458759:MFF458759 MOY458759:MPB458759 MYU458759:MYX458759 NIQ458759:NIT458759 NSM458759:NSP458759 OCI458759:OCL458759 OME458759:OMH458759 OWA458759:OWD458759 PFW458759:PFZ458759 PPS458759:PPV458759 PZO458759:PZR458759 QJK458759:QJN458759 QTG458759:QTJ458759 RDC458759:RDF458759 RMY458759:RNB458759 RWU458759:RWX458759 SGQ458759:SGT458759 SQM458759:SQP458759 TAI458759:TAL458759 TKE458759:TKH458759 TUA458759:TUD458759 UDW458759:UDZ458759 UNS458759:UNV458759 UXO458759:UXR458759 VHK458759:VHN458759 VRG458759:VRJ458759 WBC458759:WBF458759 WKY458759:WLB458759 WUU458759:WUX458759 Q524295:T524295 II524295:IL524295 SE524295:SH524295 ACA524295:ACD524295 ALW524295:ALZ524295 AVS524295:AVV524295 BFO524295:BFR524295 BPK524295:BPN524295 BZG524295:BZJ524295 CJC524295:CJF524295 CSY524295:CTB524295 DCU524295:DCX524295 DMQ524295:DMT524295 DWM524295:DWP524295 EGI524295:EGL524295 EQE524295:EQH524295 FAA524295:FAD524295 FJW524295:FJZ524295 FTS524295:FTV524295 GDO524295:GDR524295 GNK524295:GNN524295 GXG524295:GXJ524295 HHC524295:HHF524295 HQY524295:HRB524295 IAU524295:IAX524295 IKQ524295:IKT524295 IUM524295:IUP524295 JEI524295:JEL524295 JOE524295:JOH524295 JYA524295:JYD524295 KHW524295:KHZ524295 KRS524295:KRV524295 LBO524295:LBR524295 LLK524295:LLN524295 LVG524295:LVJ524295 MFC524295:MFF524295 MOY524295:MPB524295 MYU524295:MYX524295 NIQ524295:NIT524295 NSM524295:NSP524295 OCI524295:OCL524295 OME524295:OMH524295 OWA524295:OWD524295 PFW524295:PFZ524295 PPS524295:PPV524295 PZO524295:PZR524295 QJK524295:QJN524295 QTG524295:QTJ524295 RDC524295:RDF524295 RMY524295:RNB524295 RWU524295:RWX524295 SGQ524295:SGT524295 SQM524295:SQP524295 TAI524295:TAL524295 TKE524295:TKH524295 TUA524295:TUD524295 UDW524295:UDZ524295 UNS524295:UNV524295 UXO524295:UXR524295 VHK524295:VHN524295 VRG524295:VRJ524295 WBC524295:WBF524295 WKY524295:WLB524295 WUU524295:WUX524295 Q589831:T589831 II589831:IL589831 SE589831:SH589831 ACA589831:ACD589831 ALW589831:ALZ589831 AVS589831:AVV589831 BFO589831:BFR589831 BPK589831:BPN589831 BZG589831:BZJ589831 CJC589831:CJF589831 CSY589831:CTB589831 DCU589831:DCX589831 DMQ589831:DMT589831 DWM589831:DWP589831 EGI589831:EGL589831 EQE589831:EQH589831 FAA589831:FAD589831 FJW589831:FJZ589831 FTS589831:FTV589831 GDO589831:GDR589831 GNK589831:GNN589831 GXG589831:GXJ589831 HHC589831:HHF589831 HQY589831:HRB589831 IAU589831:IAX589831 IKQ589831:IKT589831 IUM589831:IUP589831 JEI589831:JEL589831 JOE589831:JOH589831 JYA589831:JYD589831 KHW589831:KHZ589831 KRS589831:KRV589831 LBO589831:LBR589831 LLK589831:LLN589831 LVG589831:LVJ589831 MFC589831:MFF589831 MOY589831:MPB589831 MYU589831:MYX589831 NIQ589831:NIT589831 NSM589831:NSP589831 OCI589831:OCL589831 OME589831:OMH589831 OWA589831:OWD589831 PFW589831:PFZ589831 PPS589831:PPV589831 PZO589831:PZR589831 QJK589831:QJN589831 QTG589831:QTJ589831 RDC589831:RDF589831 RMY589831:RNB589831 RWU589831:RWX589831 SGQ589831:SGT589831 SQM589831:SQP589831 TAI589831:TAL589831 TKE589831:TKH589831 TUA589831:TUD589831 UDW589831:UDZ589831 UNS589831:UNV589831 UXO589831:UXR589831 VHK589831:VHN589831 VRG589831:VRJ589831 WBC589831:WBF589831 WKY589831:WLB589831 WUU589831:WUX589831 Q655367:T655367 II655367:IL655367 SE655367:SH655367 ACA655367:ACD655367 ALW655367:ALZ655367 AVS655367:AVV655367 BFO655367:BFR655367 BPK655367:BPN655367 BZG655367:BZJ655367 CJC655367:CJF655367 CSY655367:CTB655367 DCU655367:DCX655367 DMQ655367:DMT655367 DWM655367:DWP655367 EGI655367:EGL655367 EQE655367:EQH655367 FAA655367:FAD655367 FJW655367:FJZ655367 FTS655367:FTV655367 GDO655367:GDR655367 GNK655367:GNN655367 GXG655367:GXJ655367 HHC655367:HHF655367 HQY655367:HRB655367 IAU655367:IAX655367 IKQ655367:IKT655367 IUM655367:IUP655367 JEI655367:JEL655367 JOE655367:JOH655367 JYA655367:JYD655367 KHW655367:KHZ655367 KRS655367:KRV655367 LBO655367:LBR655367 LLK655367:LLN655367 LVG655367:LVJ655367 MFC655367:MFF655367 MOY655367:MPB655367 MYU655367:MYX655367 NIQ655367:NIT655367 NSM655367:NSP655367 OCI655367:OCL655367 OME655367:OMH655367 OWA655367:OWD655367 PFW655367:PFZ655367 PPS655367:PPV655367 PZO655367:PZR655367 QJK655367:QJN655367 QTG655367:QTJ655367 RDC655367:RDF655367 RMY655367:RNB655367 RWU655367:RWX655367 SGQ655367:SGT655367 SQM655367:SQP655367 TAI655367:TAL655367 TKE655367:TKH655367 TUA655367:TUD655367 UDW655367:UDZ655367 UNS655367:UNV655367 UXO655367:UXR655367 VHK655367:VHN655367 VRG655367:VRJ655367 WBC655367:WBF655367 WKY655367:WLB655367 WUU655367:WUX655367 Q720903:T720903 II720903:IL720903 SE720903:SH720903 ACA720903:ACD720903 ALW720903:ALZ720903 AVS720903:AVV720903 BFO720903:BFR720903 BPK720903:BPN720903 BZG720903:BZJ720903 CJC720903:CJF720903 CSY720903:CTB720903 DCU720903:DCX720903 DMQ720903:DMT720903 DWM720903:DWP720903 EGI720903:EGL720903 EQE720903:EQH720903 FAA720903:FAD720903 FJW720903:FJZ720903 FTS720903:FTV720903 GDO720903:GDR720903 GNK720903:GNN720903 GXG720903:GXJ720903 HHC720903:HHF720903 HQY720903:HRB720903 IAU720903:IAX720903 IKQ720903:IKT720903 IUM720903:IUP720903 JEI720903:JEL720903 JOE720903:JOH720903 JYA720903:JYD720903 KHW720903:KHZ720903 KRS720903:KRV720903 LBO720903:LBR720903 LLK720903:LLN720903 LVG720903:LVJ720903 MFC720903:MFF720903 MOY720903:MPB720903 MYU720903:MYX720903 NIQ720903:NIT720903 NSM720903:NSP720903 OCI720903:OCL720903 OME720903:OMH720903 OWA720903:OWD720903 PFW720903:PFZ720903 PPS720903:PPV720903 PZO720903:PZR720903 QJK720903:QJN720903 QTG720903:QTJ720903 RDC720903:RDF720903 RMY720903:RNB720903 RWU720903:RWX720903 SGQ720903:SGT720903 SQM720903:SQP720903 TAI720903:TAL720903 TKE720903:TKH720903 TUA720903:TUD720903 UDW720903:UDZ720903 UNS720903:UNV720903 UXO720903:UXR720903 VHK720903:VHN720903 VRG720903:VRJ720903 WBC720903:WBF720903 WKY720903:WLB720903 WUU720903:WUX720903 Q786439:T786439 II786439:IL786439 SE786439:SH786439 ACA786439:ACD786439 ALW786439:ALZ786439 AVS786439:AVV786439 BFO786439:BFR786439 BPK786439:BPN786439 BZG786439:BZJ786439 CJC786439:CJF786439 CSY786439:CTB786439 DCU786439:DCX786439 DMQ786439:DMT786439 DWM786439:DWP786439 EGI786439:EGL786439 EQE786439:EQH786439 FAA786439:FAD786439 FJW786439:FJZ786439 FTS786439:FTV786439 GDO786439:GDR786439 GNK786439:GNN786439 GXG786439:GXJ786439 HHC786439:HHF786439 HQY786439:HRB786439 IAU786439:IAX786439 IKQ786439:IKT786439 IUM786439:IUP786439 JEI786439:JEL786439 JOE786439:JOH786439 JYA786439:JYD786439 KHW786439:KHZ786439 KRS786439:KRV786439 LBO786439:LBR786439 LLK786439:LLN786439 LVG786439:LVJ786439 MFC786439:MFF786439 MOY786439:MPB786439 MYU786439:MYX786439 NIQ786439:NIT786439 NSM786439:NSP786439 OCI786439:OCL786439 OME786439:OMH786439 OWA786439:OWD786439 PFW786439:PFZ786439 PPS786439:PPV786439 PZO786439:PZR786439 QJK786439:QJN786439 QTG786439:QTJ786439 RDC786439:RDF786439 RMY786439:RNB786439 RWU786439:RWX786439 SGQ786439:SGT786439 SQM786439:SQP786439 TAI786439:TAL786439 TKE786439:TKH786439 TUA786439:TUD786439 UDW786439:UDZ786439 UNS786439:UNV786439 UXO786439:UXR786439 VHK786439:VHN786439 VRG786439:VRJ786439 WBC786439:WBF786439 WKY786439:WLB786439 WUU786439:WUX786439 Q851975:T851975 II851975:IL851975 SE851975:SH851975 ACA851975:ACD851975 ALW851975:ALZ851975 AVS851975:AVV851975 BFO851975:BFR851975 BPK851975:BPN851975 BZG851975:BZJ851975 CJC851975:CJF851975 CSY851975:CTB851975 DCU851975:DCX851975 DMQ851975:DMT851975 DWM851975:DWP851975 EGI851975:EGL851975 EQE851975:EQH851975 FAA851975:FAD851975 FJW851975:FJZ851975 FTS851975:FTV851975 GDO851975:GDR851975 GNK851975:GNN851975 GXG851975:GXJ851975 HHC851975:HHF851975 HQY851975:HRB851975 IAU851975:IAX851975 IKQ851975:IKT851975 IUM851975:IUP851975 JEI851975:JEL851975 JOE851975:JOH851975 JYA851975:JYD851975 KHW851975:KHZ851975 KRS851975:KRV851975 LBO851975:LBR851975 LLK851975:LLN851975 LVG851975:LVJ851975 MFC851975:MFF851975 MOY851975:MPB851975 MYU851975:MYX851975 NIQ851975:NIT851975 NSM851975:NSP851975 OCI851975:OCL851975 OME851975:OMH851975 OWA851975:OWD851975 PFW851975:PFZ851975 PPS851975:PPV851975 PZO851975:PZR851975 QJK851975:QJN851975 QTG851975:QTJ851975 RDC851975:RDF851975 RMY851975:RNB851975 RWU851975:RWX851975 SGQ851975:SGT851975 SQM851975:SQP851975 TAI851975:TAL851975 TKE851975:TKH851975 TUA851975:TUD851975 UDW851975:UDZ851975 UNS851975:UNV851975 UXO851975:UXR851975 VHK851975:VHN851975 VRG851975:VRJ851975 WBC851975:WBF851975 WKY851975:WLB851975 WUU851975:WUX851975 Q917511:T917511 II917511:IL917511 SE917511:SH917511 ACA917511:ACD917511 ALW917511:ALZ917511 AVS917511:AVV917511 BFO917511:BFR917511 BPK917511:BPN917511 BZG917511:BZJ917511 CJC917511:CJF917511 CSY917511:CTB917511 DCU917511:DCX917511 DMQ917511:DMT917511 DWM917511:DWP917511 EGI917511:EGL917511 EQE917511:EQH917511 FAA917511:FAD917511 FJW917511:FJZ917511 FTS917511:FTV917511 GDO917511:GDR917511 GNK917511:GNN917511 GXG917511:GXJ917511 HHC917511:HHF917511 HQY917511:HRB917511 IAU917511:IAX917511 IKQ917511:IKT917511 IUM917511:IUP917511 JEI917511:JEL917511 JOE917511:JOH917511 JYA917511:JYD917511 KHW917511:KHZ917511 KRS917511:KRV917511 LBO917511:LBR917511 LLK917511:LLN917511 LVG917511:LVJ917511 MFC917511:MFF917511 MOY917511:MPB917511 MYU917511:MYX917511 NIQ917511:NIT917511 NSM917511:NSP917511 OCI917511:OCL917511 OME917511:OMH917511 OWA917511:OWD917511 PFW917511:PFZ917511 PPS917511:PPV917511 PZO917511:PZR917511 QJK917511:QJN917511 QTG917511:QTJ917511 RDC917511:RDF917511 RMY917511:RNB917511 RWU917511:RWX917511 SGQ917511:SGT917511 SQM917511:SQP917511 TAI917511:TAL917511 TKE917511:TKH917511 TUA917511:TUD917511 UDW917511:UDZ917511 UNS917511:UNV917511 UXO917511:UXR917511 VHK917511:VHN917511 VRG917511:VRJ917511 WBC917511:WBF917511 WKY917511:WLB917511 WUU917511:WUX917511 Q983047:T983047 II983047:IL983047 SE983047:SH983047 ACA983047:ACD983047 ALW983047:ALZ983047 AVS983047:AVV983047 BFO983047:BFR983047 BPK983047:BPN983047 BZG983047:BZJ983047 CJC983047:CJF983047 CSY983047:CTB983047 DCU983047:DCX983047 DMQ983047:DMT983047 DWM983047:DWP983047 EGI983047:EGL983047 EQE983047:EQH983047 FAA983047:FAD983047 FJW983047:FJZ983047 FTS983047:FTV983047 GDO983047:GDR983047 GNK983047:GNN983047 GXG983047:GXJ983047 HHC983047:HHF983047 HQY983047:HRB983047 IAU983047:IAX983047 IKQ983047:IKT983047 IUM983047:IUP983047 JEI983047:JEL983047 JOE983047:JOH983047 JYA983047:JYD983047 KHW983047:KHZ983047 KRS983047:KRV983047 LBO983047:LBR983047 LLK983047:LLN983047 LVG983047:LVJ983047 MFC983047:MFF983047 MOY983047:MPB983047 MYU983047:MYX983047 NIQ983047:NIT983047 NSM983047:NSP983047 OCI983047:OCL983047 OME983047:OMH983047 OWA983047:OWD983047 PFW983047:PFZ983047 PPS983047:PPV983047 PZO983047:PZR983047 QJK983047:QJN983047 QTG983047:QTJ983047 RDC983047:RDF983047 RMY983047:RNB983047 RWU983047:RWX983047 SGQ983047:SGT983047 SQM983047:SQP983047 TAI983047:TAL983047 TKE983047:TKH983047 TUA983047:TUD983047 UDW983047:UDZ983047 UNS983047:UNV983047 UXO983047:UXR983047 VHK983047:VHN983047 VRG983047:VRJ983047 WBC983047:WBF983047 WKY983047:WLB983047 WUU983047:WUX983047 ID983046:IG983046 RZ983046:SC983046 ABV983046:ABY983046 ALR983046:ALU983046 AVN983046:AVQ983046 BFJ983046:BFM983046 BPF983046:BPI983046 BZB983046:BZE983046 CIX983046:CJA983046 CST983046:CSW983046 DCP983046:DCS983046 DML983046:DMO983046 DWH983046:DWK983046 EGD983046:EGG983046 EPZ983046:EQC983046 EZV983046:EZY983046 FJR983046:FJU983046 FTN983046:FTQ983046 GDJ983046:GDM983046 GNF983046:GNI983046 GXB983046:GXE983046 HGX983046:HHA983046 HQT983046:HQW983046 IAP983046:IAS983046 IKL983046:IKO983046 IUH983046:IUK983046 JED983046:JEG983046 JNZ983046:JOC983046 JXV983046:JXY983046 KHR983046:KHU983046 KRN983046:KRQ983046 LBJ983046:LBM983046 LLF983046:LLI983046 LVB983046:LVE983046 MEX983046:MFA983046 MOT983046:MOW983046 MYP983046:MYS983046 NIL983046:NIO983046 NSH983046:NSK983046 OCD983046:OCG983046 OLZ983046:OMC983046 OVV983046:OVY983046 PFR983046:PFU983046 PPN983046:PPQ983046 PZJ983046:PZM983046 QJF983046:QJI983046 QTB983046:QTE983046 RCX983046:RDA983046 RMT983046:RMW983046 RWP983046:RWS983046 SGL983046:SGO983046 SQH983046:SQK983046 TAD983046:TAG983046 TJZ983046:TKC983046 TTV983046:TTY983046 UDR983046:UDU983046 UNN983046:UNQ983046 UXJ983046:UXM983046 VHF983046:VHI983046 VRB983046:VRE983046 WAX983046:WBA983046 WKT983046:WKW983046 WUP983046:WUS983046 ID65542:IG65542 RZ65542:SC65542 ABV65542:ABY65542 ALR65542:ALU65542 AVN65542:AVQ65542 BFJ65542:BFM65542 BPF65542:BPI65542 BZB65542:BZE65542 CIX65542:CJA65542 CST65542:CSW65542 DCP65542:DCS65542 DML65542:DMO65542 DWH65542:DWK65542 EGD65542:EGG65542 EPZ65542:EQC65542 EZV65542:EZY65542 FJR65542:FJU65542 FTN65542:FTQ65542 GDJ65542:GDM65542 GNF65542:GNI65542 GXB65542:GXE65542 HGX65542:HHA65542 HQT65542:HQW65542 IAP65542:IAS65542 IKL65542:IKO65542 IUH65542:IUK65542 JED65542:JEG65542 JNZ65542:JOC65542 JXV65542:JXY65542 KHR65542:KHU65542 KRN65542:KRQ65542 LBJ65542:LBM65542 LLF65542:LLI65542 LVB65542:LVE65542 MEX65542:MFA65542 MOT65542:MOW65542 MYP65542:MYS65542 NIL65542:NIO65542 NSH65542:NSK65542 OCD65542:OCG65542 OLZ65542:OMC65542 OVV65542:OVY65542 PFR65542:PFU65542 PPN65542:PPQ65542 PZJ65542:PZM65542 QJF65542:QJI65542 QTB65542:QTE65542 RCX65542:RDA65542 RMT65542:RMW65542 RWP65542:RWS65542 SGL65542:SGO65542 SQH65542:SQK65542 TAD65542:TAG65542 TJZ65542:TKC65542 TTV65542:TTY65542 UDR65542:UDU65542 UNN65542:UNQ65542 UXJ65542:UXM65542 VHF65542:VHI65542 VRB65542:VRE65542 WAX65542:WBA65542 WKT65542:WKW65542 WUP65542:WUS65542 ID131078:IG131078 RZ131078:SC131078 ABV131078:ABY131078 ALR131078:ALU131078 AVN131078:AVQ131078 BFJ131078:BFM131078 BPF131078:BPI131078 BZB131078:BZE131078 CIX131078:CJA131078 CST131078:CSW131078 DCP131078:DCS131078 DML131078:DMO131078 DWH131078:DWK131078 EGD131078:EGG131078 EPZ131078:EQC131078 EZV131078:EZY131078 FJR131078:FJU131078 FTN131078:FTQ131078 GDJ131078:GDM131078 GNF131078:GNI131078 GXB131078:GXE131078 HGX131078:HHA131078 HQT131078:HQW131078 IAP131078:IAS131078 IKL131078:IKO131078 IUH131078:IUK131078 JED131078:JEG131078 JNZ131078:JOC131078 JXV131078:JXY131078 KHR131078:KHU131078 KRN131078:KRQ131078 LBJ131078:LBM131078 LLF131078:LLI131078 LVB131078:LVE131078 MEX131078:MFA131078 MOT131078:MOW131078 MYP131078:MYS131078 NIL131078:NIO131078 NSH131078:NSK131078 OCD131078:OCG131078 OLZ131078:OMC131078 OVV131078:OVY131078 PFR131078:PFU131078 PPN131078:PPQ131078 PZJ131078:PZM131078 QJF131078:QJI131078 QTB131078:QTE131078 RCX131078:RDA131078 RMT131078:RMW131078 RWP131078:RWS131078 SGL131078:SGO131078 SQH131078:SQK131078 TAD131078:TAG131078 TJZ131078:TKC131078 TTV131078:TTY131078 UDR131078:UDU131078 UNN131078:UNQ131078 UXJ131078:UXM131078 VHF131078:VHI131078 VRB131078:VRE131078 WAX131078:WBA131078 WKT131078:WKW131078 WUP131078:WUS131078 ID196614:IG196614 RZ196614:SC196614 ABV196614:ABY196614 ALR196614:ALU196614 AVN196614:AVQ196614 BFJ196614:BFM196614 BPF196614:BPI196614 BZB196614:BZE196614 CIX196614:CJA196614 CST196614:CSW196614 DCP196614:DCS196614 DML196614:DMO196614 DWH196614:DWK196614 EGD196614:EGG196614 EPZ196614:EQC196614 EZV196614:EZY196614 FJR196614:FJU196614 FTN196614:FTQ196614 GDJ196614:GDM196614 GNF196614:GNI196614 GXB196614:GXE196614 HGX196614:HHA196614 HQT196614:HQW196614 IAP196614:IAS196614 IKL196614:IKO196614 IUH196614:IUK196614 JED196614:JEG196614 JNZ196614:JOC196614 JXV196614:JXY196614 KHR196614:KHU196614 KRN196614:KRQ196614 LBJ196614:LBM196614 LLF196614:LLI196614 LVB196614:LVE196614 MEX196614:MFA196614 MOT196614:MOW196614 MYP196614:MYS196614 NIL196614:NIO196614 NSH196614:NSK196614 OCD196614:OCG196614 OLZ196614:OMC196614 OVV196614:OVY196614 PFR196614:PFU196614 PPN196614:PPQ196614 PZJ196614:PZM196614 QJF196614:QJI196614 QTB196614:QTE196614 RCX196614:RDA196614 RMT196614:RMW196614 RWP196614:RWS196614 SGL196614:SGO196614 SQH196614:SQK196614 TAD196614:TAG196614 TJZ196614:TKC196614 TTV196614:TTY196614 UDR196614:UDU196614 UNN196614:UNQ196614 UXJ196614:UXM196614 VHF196614:VHI196614 VRB196614:VRE196614 WAX196614:WBA196614 WKT196614:WKW196614 WUP196614:WUS196614 ID262150:IG262150 RZ262150:SC262150 ABV262150:ABY262150 ALR262150:ALU262150 AVN262150:AVQ262150 BFJ262150:BFM262150 BPF262150:BPI262150 BZB262150:BZE262150 CIX262150:CJA262150 CST262150:CSW262150 DCP262150:DCS262150 DML262150:DMO262150 DWH262150:DWK262150 EGD262150:EGG262150 EPZ262150:EQC262150 EZV262150:EZY262150 FJR262150:FJU262150 FTN262150:FTQ262150 GDJ262150:GDM262150 GNF262150:GNI262150 GXB262150:GXE262150 HGX262150:HHA262150 HQT262150:HQW262150 IAP262150:IAS262150 IKL262150:IKO262150 IUH262150:IUK262150 JED262150:JEG262150 JNZ262150:JOC262150 JXV262150:JXY262150 KHR262150:KHU262150 KRN262150:KRQ262150 LBJ262150:LBM262150 LLF262150:LLI262150 LVB262150:LVE262150 MEX262150:MFA262150 MOT262150:MOW262150 MYP262150:MYS262150 NIL262150:NIO262150 NSH262150:NSK262150 OCD262150:OCG262150 OLZ262150:OMC262150 OVV262150:OVY262150 PFR262150:PFU262150 PPN262150:PPQ262150 PZJ262150:PZM262150 QJF262150:QJI262150 QTB262150:QTE262150 RCX262150:RDA262150 RMT262150:RMW262150 RWP262150:RWS262150 SGL262150:SGO262150 SQH262150:SQK262150 TAD262150:TAG262150 TJZ262150:TKC262150 TTV262150:TTY262150 UDR262150:UDU262150 UNN262150:UNQ262150 UXJ262150:UXM262150 VHF262150:VHI262150 VRB262150:VRE262150 WAX262150:WBA262150 WKT262150:WKW262150 WUP262150:WUS262150 ID327686:IG327686 RZ327686:SC327686 ABV327686:ABY327686 ALR327686:ALU327686 AVN327686:AVQ327686 BFJ327686:BFM327686 BPF327686:BPI327686 BZB327686:BZE327686 CIX327686:CJA327686 CST327686:CSW327686 DCP327686:DCS327686 DML327686:DMO327686 DWH327686:DWK327686 EGD327686:EGG327686 EPZ327686:EQC327686 EZV327686:EZY327686 FJR327686:FJU327686 FTN327686:FTQ327686 GDJ327686:GDM327686 GNF327686:GNI327686 GXB327686:GXE327686 HGX327686:HHA327686 HQT327686:HQW327686 IAP327686:IAS327686 IKL327686:IKO327686 IUH327686:IUK327686 JED327686:JEG327686 JNZ327686:JOC327686 JXV327686:JXY327686 KHR327686:KHU327686 KRN327686:KRQ327686 LBJ327686:LBM327686 LLF327686:LLI327686 LVB327686:LVE327686 MEX327686:MFA327686 MOT327686:MOW327686 MYP327686:MYS327686 NIL327686:NIO327686 NSH327686:NSK327686 OCD327686:OCG327686 OLZ327686:OMC327686 OVV327686:OVY327686 PFR327686:PFU327686 PPN327686:PPQ327686 PZJ327686:PZM327686 QJF327686:QJI327686 QTB327686:QTE327686 RCX327686:RDA327686 RMT327686:RMW327686 RWP327686:RWS327686 SGL327686:SGO327686 SQH327686:SQK327686 TAD327686:TAG327686 TJZ327686:TKC327686 TTV327686:TTY327686 UDR327686:UDU327686 UNN327686:UNQ327686 UXJ327686:UXM327686 VHF327686:VHI327686 VRB327686:VRE327686 WAX327686:WBA327686 WKT327686:WKW327686 WUP327686:WUS327686 ID393222:IG393222 RZ393222:SC393222 ABV393222:ABY393222 ALR393222:ALU393222 AVN393222:AVQ393222 BFJ393222:BFM393222 BPF393222:BPI393222 BZB393222:BZE393222 CIX393222:CJA393222 CST393222:CSW393222 DCP393222:DCS393222 DML393222:DMO393222 DWH393222:DWK393222 EGD393222:EGG393222 EPZ393222:EQC393222 EZV393222:EZY393222 FJR393222:FJU393222 FTN393222:FTQ393222 GDJ393222:GDM393222 GNF393222:GNI393222 GXB393222:GXE393222 HGX393222:HHA393222 HQT393222:HQW393222 IAP393222:IAS393222 IKL393222:IKO393222 IUH393222:IUK393222 JED393222:JEG393222 JNZ393222:JOC393222 JXV393222:JXY393222 KHR393222:KHU393222 KRN393222:KRQ393222 LBJ393222:LBM393222 LLF393222:LLI393222 LVB393222:LVE393222 MEX393222:MFA393222 MOT393222:MOW393222 MYP393222:MYS393222 NIL393222:NIO393222 NSH393222:NSK393222 OCD393222:OCG393222 OLZ393222:OMC393222 OVV393222:OVY393222 PFR393222:PFU393222 PPN393222:PPQ393222 PZJ393222:PZM393222 QJF393222:QJI393222 QTB393222:QTE393222 RCX393222:RDA393222 RMT393222:RMW393222 RWP393222:RWS393222 SGL393222:SGO393222 SQH393222:SQK393222 TAD393222:TAG393222 TJZ393222:TKC393222 TTV393222:TTY393222 UDR393222:UDU393222 UNN393222:UNQ393222 UXJ393222:UXM393222 VHF393222:VHI393222 VRB393222:VRE393222 WAX393222:WBA393222 WKT393222:WKW393222 WUP393222:WUS393222 ID458758:IG458758 RZ458758:SC458758 ABV458758:ABY458758 ALR458758:ALU458758 AVN458758:AVQ458758 BFJ458758:BFM458758 BPF458758:BPI458758 BZB458758:BZE458758 CIX458758:CJA458758 CST458758:CSW458758 DCP458758:DCS458758 DML458758:DMO458758 DWH458758:DWK458758 EGD458758:EGG458758 EPZ458758:EQC458758 EZV458758:EZY458758 FJR458758:FJU458758 FTN458758:FTQ458758 GDJ458758:GDM458758 GNF458758:GNI458758 GXB458758:GXE458758 HGX458758:HHA458758 HQT458758:HQW458758 IAP458758:IAS458758 IKL458758:IKO458758 IUH458758:IUK458758 JED458758:JEG458758 JNZ458758:JOC458758 JXV458758:JXY458758 KHR458758:KHU458758 KRN458758:KRQ458758 LBJ458758:LBM458758 LLF458758:LLI458758 LVB458758:LVE458758 MEX458758:MFA458758 MOT458758:MOW458758 MYP458758:MYS458758 NIL458758:NIO458758 NSH458758:NSK458758 OCD458758:OCG458758 OLZ458758:OMC458758 OVV458758:OVY458758 PFR458758:PFU458758 PPN458758:PPQ458758 PZJ458758:PZM458758 QJF458758:QJI458758 QTB458758:QTE458758 RCX458758:RDA458758 RMT458758:RMW458758 RWP458758:RWS458758 SGL458758:SGO458758 SQH458758:SQK458758 TAD458758:TAG458758 TJZ458758:TKC458758 TTV458758:TTY458758 UDR458758:UDU458758 UNN458758:UNQ458758 UXJ458758:UXM458758 VHF458758:VHI458758 VRB458758:VRE458758 WAX458758:WBA458758 WKT458758:WKW458758 WUP458758:WUS458758 ID524294:IG524294 RZ524294:SC524294 ABV524294:ABY524294 ALR524294:ALU524294 AVN524294:AVQ524294 BFJ524294:BFM524294 BPF524294:BPI524294 BZB524294:BZE524294 CIX524294:CJA524294 CST524294:CSW524294 DCP524294:DCS524294 DML524294:DMO524294 DWH524294:DWK524294 EGD524294:EGG524294 EPZ524294:EQC524294 EZV524294:EZY524294 FJR524294:FJU524294 FTN524294:FTQ524294 GDJ524294:GDM524294 GNF524294:GNI524294 GXB524294:GXE524294 HGX524294:HHA524294 HQT524294:HQW524294 IAP524294:IAS524294 IKL524294:IKO524294 IUH524294:IUK524294 JED524294:JEG524294 JNZ524294:JOC524294 JXV524294:JXY524294 KHR524294:KHU524294 KRN524294:KRQ524294 LBJ524294:LBM524294 LLF524294:LLI524294 LVB524294:LVE524294 MEX524294:MFA524294 MOT524294:MOW524294 MYP524294:MYS524294 NIL524294:NIO524294 NSH524294:NSK524294 OCD524294:OCG524294 OLZ524294:OMC524294 OVV524294:OVY524294 PFR524294:PFU524294 PPN524294:PPQ524294 PZJ524294:PZM524294 QJF524294:QJI524294 QTB524294:QTE524294 RCX524294:RDA524294 RMT524294:RMW524294 RWP524294:RWS524294 SGL524294:SGO524294 SQH524294:SQK524294 TAD524294:TAG524294 TJZ524294:TKC524294 TTV524294:TTY524294 UDR524294:UDU524294 UNN524294:UNQ524294 UXJ524294:UXM524294 VHF524294:VHI524294 VRB524294:VRE524294 WAX524294:WBA524294 WKT524294:WKW524294 WUP524294:WUS524294 ID589830:IG589830 RZ589830:SC589830 ABV589830:ABY589830 ALR589830:ALU589830 AVN589830:AVQ589830 BFJ589830:BFM589830 BPF589830:BPI589830 BZB589830:BZE589830 CIX589830:CJA589830 CST589830:CSW589830 DCP589830:DCS589830 DML589830:DMO589830 DWH589830:DWK589830 EGD589830:EGG589830 EPZ589830:EQC589830 EZV589830:EZY589830 FJR589830:FJU589830 FTN589830:FTQ589830 GDJ589830:GDM589830 GNF589830:GNI589830 GXB589830:GXE589830 HGX589830:HHA589830 HQT589830:HQW589830 IAP589830:IAS589830 IKL589830:IKO589830 IUH589830:IUK589830 JED589830:JEG589830 JNZ589830:JOC589830 JXV589830:JXY589830 KHR589830:KHU589830 KRN589830:KRQ589830 LBJ589830:LBM589830 LLF589830:LLI589830 LVB589830:LVE589830 MEX589830:MFA589830 MOT589830:MOW589830 MYP589830:MYS589830 NIL589830:NIO589830 NSH589830:NSK589830 OCD589830:OCG589830 OLZ589830:OMC589830 OVV589830:OVY589830 PFR589830:PFU589830 PPN589830:PPQ589830 PZJ589830:PZM589830 QJF589830:QJI589830 QTB589830:QTE589830 RCX589830:RDA589830 RMT589830:RMW589830 RWP589830:RWS589830 SGL589830:SGO589830 SQH589830:SQK589830 TAD589830:TAG589830 TJZ589830:TKC589830 TTV589830:TTY589830 UDR589830:UDU589830 UNN589830:UNQ589830 UXJ589830:UXM589830 VHF589830:VHI589830 VRB589830:VRE589830 WAX589830:WBA589830 WKT589830:WKW589830 WUP589830:WUS589830 ID655366:IG655366 RZ655366:SC655366 ABV655366:ABY655366 ALR655366:ALU655366 AVN655366:AVQ655366 BFJ655366:BFM655366 BPF655366:BPI655366 BZB655366:BZE655366 CIX655366:CJA655366 CST655366:CSW655366 DCP655366:DCS655366 DML655366:DMO655366 DWH655366:DWK655366 EGD655366:EGG655366 EPZ655366:EQC655366 EZV655366:EZY655366 FJR655366:FJU655366 FTN655366:FTQ655366 GDJ655366:GDM655366 GNF655366:GNI655366 GXB655366:GXE655366 HGX655366:HHA655366 HQT655366:HQW655366 IAP655366:IAS655366 IKL655366:IKO655366 IUH655366:IUK655366 JED655366:JEG655366 JNZ655366:JOC655366 JXV655366:JXY655366 KHR655366:KHU655366 KRN655366:KRQ655366 LBJ655366:LBM655366 LLF655366:LLI655366 LVB655366:LVE655366 MEX655366:MFA655366 MOT655366:MOW655366 MYP655366:MYS655366 NIL655366:NIO655366 NSH655366:NSK655366 OCD655366:OCG655366 OLZ655366:OMC655366 OVV655366:OVY655366 PFR655366:PFU655366 PPN655366:PPQ655366 PZJ655366:PZM655366 QJF655366:QJI655366 QTB655366:QTE655366 RCX655366:RDA655366 RMT655366:RMW655366 RWP655366:RWS655366 SGL655366:SGO655366 SQH655366:SQK655366 TAD655366:TAG655366 TJZ655366:TKC655366 TTV655366:TTY655366 UDR655366:UDU655366 UNN655366:UNQ655366 UXJ655366:UXM655366 VHF655366:VHI655366 VRB655366:VRE655366 WAX655366:WBA655366 WKT655366:WKW655366 WUP655366:WUS655366 ID720902:IG720902 RZ720902:SC720902 ABV720902:ABY720902 ALR720902:ALU720902 AVN720902:AVQ720902 BFJ720902:BFM720902 BPF720902:BPI720902 BZB720902:BZE720902 CIX720902:CJA720902 CST720902:CSW720902 DCP720902:DCS720902 DML720902:DMO720902 DWH720902:DWK720902 EGD720902:EGG720902 EPZ720902:EQC720902 EZV720902:EZY720902 FJR720902:FJU720902 FTN720902:FTQ720902 GDJ720902:GDM720902 GNF720902:GNI720902 GXB720902:GXE720902 HGX720902:HHA720902 HQT720902:HQW720902 IAP720902:IAS720902 IKL720902:IKO720902 IUH720902:IUK720902 JED720902:JEG720902 JNZ720902:JOC720902 JXV720902:JXY720902 KHR720902:KHU720902 KRN720902:KRQ720902 LBJ720902:LBM720902 LLF720902:LLI720902 LVB720902:LVE720902 MEX720902:MFA720902 MOT720902:MOW720902 MYP720902:MYS720902 NIL720902:NIO720902 NSH720902:NSK720902 OCD720902:OCG720902 OLZ720902:OMC720902 OVV720902:OVY720902 PFR720902:PFU720902 PPN720902:PPQ720902 PZJ720902:PZM720902 QJF720902:QJI720902 QTB720902:QTE720902 RCX720902:RDA720902 RMT720902:RMW720902 RWP720902:RWS720902 SGL720902:SGO720902 SQH720902:SQK720902 TAD720902:TAG720902 TJZ720902:TKC720902 TTV720902:TTY720902 UDR720902:UDU720902 UNN720902:UNQ720902 UXJ720902:UXM720902 VHF720902:VHI720902 VRB720902:VRE720902 WAX720902:WBA720902 WKT720902:WKW720902 WUP720902:WUS720902 ID786438:IG786438 RZ786438:SC786438 ABV786438:ABY786438 ALR786438:ALU786438 AVN786438:AVQ786438 BFJ786438:BFM786438 BPF786438:BPI786438 BZB786438:BZE786438 CIX786438:CJA786438 CST786438:CSW786438 DCP786438:DCS786438 DML786438:DMO786438 DWH786438:DWK786438 EGD786438:EGG786438 EPZ786438:EQC786438 EZV786438:EZY786438 FJR786438:FJU786438 FTN786438:FTQ786438 GDJ786438:GDM786438 GNF786438:GNI786438 GXB786438:GXE786438 HGX786438:HHA786438 HQT786438:HQW786438 IAP786438:IAS786438 IKL786438:IKO786438 IUH786438:IUK786438 JED786438:JEG786438 JNZ786438:JOC786438 JXV786438:JXY786438 KHR786438:KHU786438 KRN786438:KRQ786438 LBJ786438:LBM786438 LLF786438:LLI786438 LVB786438:LVE786438 MEX786438:MFA786438 MOT786438:MOW786438 MYP786438:MYS786438 NIL786438:NIO786438 NSH786438:NSK786438 OCD786438:OCG786438 OLZ786438:OMC786438 OVV786438:OVY786438 PFR786438:PFU786438 PPN786438:PPQ786438 PZJ786438:PZM786438 QJF786438:QJI786438 QTB786438:QTE786438 RCX786438:RDA786438 RMT786438:RMW786438 RWP786438:RWS786438 SGL786438:SGO786438 SQH786438:SQK786438 TAD786438:TAG786438 TJZ786438:TKC786438 TTV786438:TTY786438 UDR786438:UDU786438 UNN786438:UNQ786438 UXJ786438:UXM786438 VHF786438:VHI786438 VRB786438:VRE786438 WAX786438:WBA786438 WKT786438:WKW786438 WUP786438:WUS786438 ID851974:IG851974 RZ851974:SC851974 ABV851974:ABY851974 ALR851974:ALU851974 AVN851974:AVQ851974 BFJ851974:BFM851974 BPF851974:BPI851974 BZB851974:BZE851974 CIX851974:CJA851974 CST851974:CSW851974 DCP851974:DCS851974 DML851974:DMO851974 DWH851974:DWK851974 EGD851974:EGG851974 EPZ851974:EQC851974 EZV851974:EZY851974 FJR851974:FJU851974 FTN851974:FTQ851974 GDJ851974:GDM851974 GNF851974:GNI851974 GXB851974:GXE851974 HGX851974:HHA851974 HQT851974:HQW851974 IAP851974:IAS851974 IKL851974:IKO851974 IUH851974:IUK851974 JED851974:JEG851974 JNZ851974:JOC851974 JXV851974:JXY851974 KHR851974:KHU851974 KRN851974:KRQ851974 LBJ851974:LBM851974 LLF851974:LLI851974 LVB851974:LVE851974 MEX851974:MFA851974 MOT851974:MOW851974 MYP851974:MYS851974 NIL851974:NIO851974 NSH851974:NSK851974 OCD851974:OCG851974 OLZ851974:OMC851974 OVV851974:OVY851974 PFR851974:PFU851974 PPN851974:PPQ851974 PZJ851974:PZM851974 QJF851974:QJI851974 QTB851974:QTE851974 RCX851974:RDA851974 RMT851974:RMW851974 RWP851974:RWS851974 SGL851974:SGO851974 SQH851974:SQK851974 TAD851974:TAG851974 TJZ851974:TKC851974 TTV851974:TTY851974 UDR851974:UDU851974 UNN851974:UNQ851974 UXJ851974:UXM851974 VHF851974:VHI851974 VRB851974:VRE851974 WAX851974:WBA851974 WKT851974:WKW851974 WUP851974:WUS851974 ID917510:IG917510 RZ917510:SC917510 ABV917510:ABY917510 ALR917510:ALU917510 AVN917510:AVQ917510 BFJ917510:BFM917510 BPF917510:BPI917510 BZB917510:BZE917510 CIX917510:CJA917510 CST917510:CSW917510 DCP917510:DCS917510 DML917510:DMO917510 DWH917510:DWK917510 EGD917510:EGG917510 EPZ917510:EQC917510 EZV917510:EZY917510 FJR917510:FJU917510 FTN917510:FTQ917510 GDJ917510:GDM917510 GNF917510:GNI917510 GXB917510:GXE917510 HGX917510:HHA917510 HQT917510:HQW917510 IAP917510:IAS917510 IKL917510:IKO917510 IUH917510:IUK917510 JED917510:JEG917510 JNZ917510:JOC917510 JXV917510:JXY917510 KHR917510:KHU917510 KRN917510:KRQ917510 LBJ917510:LBM917510 LLF917510:LLI917510 LVB917510:LVE917510 MEX917510:MFA917510 MOT917510:MOW917510 MYP917510:MYS917510 NIL917510:NIO917510 NSH917510:NSK917510 OCD917510:OCG917510 OLZ917510:OMC917510 OVV917510:OVY917510 PFR917510:PFU917510 PPN917510:PPQ917510 PZJ917510:PZM917510 QJF917510:QJI917510 QTB917510:QTE917510 RCX917510:RDA917510 RMT917510:RMW917510 RWP917510:RWS917510 SGL917510:SGO917510 SQH917510:SQK917510 TAD917510:TAG917510 TJZ917510:TKC917510 TTV917510:TTY917510 UDR917510:UDU917510 UNN917510:UNQ917510 UXJ917510:UXM917510 VHF917510:VHI917510 VRB917510:VRE917510 WAX917510:WBA917510 WKT917510:WKW917510 WUP917510:WUS917510 AG65550:AH65553 AG131086:AH131089 AG196622:AH196625 AG262158:AH262161 AG327694:AH327697 AG393230:AH393233 AG458766:AH458769 AG524302:AH524305 AG589838:AH589841 AG655374:AH655377 AG720910:AH720913 AG786446:AH786449 AG851982:AH851985 AG917518:AH917521 AG983054:AH983057 AB983048:AE983048 AB65544:AE65544 AB131080:AE131080 AB196616:AE196616 AB262152:AE262152 AB327688:AE327688 AB393224:AE393224 AB458760:AE458760 AB524296:AE524296 AB589832:AE589832 AB655368:AE655368 AB720904:AE720904 AB786440:AE786440 AB851976:AE851976 AB917512:AE917512 AP65550:AQ65553 AP131086:AQ131089 AP196622:AQ196625 AP262158:AQ262161 AP327694:AQ327697 AP393230:AQ393233 AP458766:AQ458769 AP524302:AQ524305 AP589838:AQ589841 AP655374:AQ655377 AP720910:AQ720913 AP786446:AQ786449 AP851982:AQ851985 AP917518:AQ917521 AP983054:AQ983057 AN65544 AN131080 AN196616 AN262152 AN327688 AN393224 AN458760 AN524296 AN589832 AN655368 AN720904 AN786440 AN851976 AN917512 AI917512:AK917512 AI851976:AK851976 AI786440:AK786440 AI720904:AK720904 AI655368:AK655368 AI589832:AK589832 AI524296:AK524296 AI458760:AK458760 AI393224:AK393224 AI327688:AK327688 AI262152:AK262152 AI196616:AK196616 AI131080:AK131080 AI65544:AK65544 AI983048:AK983048 AN983048 AM65550:AM65553 AM131086:AM131089 AM196622:AM196625 AM262158:AM262161 AM327694:AM327697 AM393230:AM393233 AM458766:AM458769 AM524302:AM524305 AM589838:AM589841 AM655374:AM655377 AM720910:AM720913 AM786446:AM786449 AM851982:AM851985 AM917518:AM917521 AM983054:AM983057" xr:uid="{1F41FD54-6119-4DAF-A90D-E246A62C70A7}">
      <formula1>"○"</formula1>
    </dataValidation>
    <dataValidation type="list" allowBlank="1" showInputMessage="1" showErrorMessage="1" sqref="WTV982999:WUF983036 WAD5:WAN27 VQH5:VQR27 VGL5:VGV27 UWP5:UWZ27 UMT5:UND27 UCX5:UDH27 TTB5:TTL27 TJF5:TJP27 SZJ5:SZT27 SPN5:SPX27 SFR5:SGB27 RVV5:RWF27 RLZ5:RMJ27 RCD5:RCN27 QSH5:QSR27 QIL5:QIV27 PYP5:PYZ27 POT5:PPD27 PEX5:PFH27 OVB5:OVL27 OLF5:OLP27 OBJ5:OBT27 NRN5:NRX27 NHR5:NIB27 MXV5:MYF27 MNZ5:MOJ27 MED5:MEN27 LUH5:LUR27 LKL5:LKV27 LAP5:LAZ27 KQT5:KRD27 KGX5:KHH27 JXB5:JXL27 JNF5:JNP27 JDJ5:JDT27 ITN5:ITX27 IJR5:IKB27 HZV5:IAF27 HPZ5:HQJ27 HGD5:HGN27 GWH5:GWR27 GML5:GMV27 GCP5:GCZ27 FST5:FTD27 FIX5:FJH27 EZB5:EZL27 EPF5:EPP27 EFJ5:EFT27 DVN5:DVX27 DLR5:DMB27 DBV5:DCF27 CRZ5:CSJ27 CID5:CIN27 BYH5:BYR27 BOL5:BOV27 BEP5:BEZ27 AUT5:AVD27 AKX5:ALH27 ABB5:ABL27 RF5:RP27 HJ5:HT27 WTV5:WUF27 WJZ5:WKJ27 WJZ982999:WKJ983036 WAD982999:WAN983036 VQH982999:VQR983036 VGL982999:VGV983036 UWP982999:UWZ983036 UMT982999:UND983036 UCX982999:UDH983036 TTB982999:TTL983036 TJF982999:TJP983036 SZJ982999:SZT983036 SPN982999:SPX983036 SFR982999:SGB983036 RVV982999:RWF983036 RLZ982999:RMJ983036 RCD982999:RCN983036 QSH982999:QSR983036 QIL982999:QIV983036 PYP982999:PYZ983036 POT982999:PPD983036 PEX982999:PFH983036 OVB982999:OVL983036 OLF982999:OLP983036 OBJ982999:OBT983036 NRN982999:NRX983036 NHR982999:NIB983036 MXV982999:MYF983036 MNZ982999:MOJ983036 MED982999:MEN983036 LUH982999:LUR983036 LKL982999:LKV983036 LAP982999:LAZ983036 KQT982999:KRD983036 KGX982999:KHH983036 JXB982999:JXL983036 JNF982999:JNP983036 JDJ982999:JDT983036 ITN982999:ITX983036 IJR982999:IKB983036 HZV982999:IAF983036 HPZ982999:HQJ983036 HGD982999:HGN983036 GWH982999:GWR983036 GML982999:GMV983036 GCP982999:GCZ983036 FST982999:FTD983036 FIX982999:FJH983036 EZB982999:EZL983036 EPF982999:EPP983036 EFJ982999:EFT983036 DVN982999:DVX983036 DLR982999:DMB983036 DBV982999:DCF983036 CRZ982999:CSJ983036 CID982999:CIN983036 BYH982999:BYR983036 BOL982999:BOV983036 BEP982999:BEZ983036 AUT982999:AVD983036 AKX982999:ALH983036 ABB982999:ABL983036 RF982999:RP983036 HJ982999:HT983036 WTV917463:WUF917500 WJZ917463:WKJ917500 WAD917463:WAN917500 VQH917463:VQR917500 VGL917463:VGV917500 UWP917463:UWZ917500 UMT917463:UND917500 UCX917463:UDH917500 TTB917463:TTL917500 TJF917463:TJP917500 SZJ917463:SZT917500 SPN917463:SPX917500 SFR917463:SGB917500 RVV917463:RWF917500 RLZ917463:RMJ917500 RCD917463:RCN917500 QSH917463:QSR917500 QIL917463:QIV917500 PYP917463:PYZ917500 POT917463:PPD917500 PEX917463:PFH917500 OVB917463:OVL917500 OLF917463:OLP917500 OBJ917463:OBT917500 NRN917463:NRX917500 NHR917463:NIB917500 MXV917463:MYF917500 MNZ917463:MOJ917500 MED917463:MEN917500 LUH917463:LUR917500 LKL917463:LKV917500 LAP917463:LAZ917500 KQT917463:KRD917500 KGX917463:KHH917500 JXB917463:JXL917500 JNF917463:JNP917500 JDJ917463:JDT917500 ITN917463:ITX917500 IJR917463:IKB917500 HZV917463:IAF917500 HPZ917463:HQJ917500 HGD917463:HGN917500 GWH917463:GWR917500 GML917463:GMV917500 GCP917463:GCZ917500 FST917463:FTD917500 FIX917463:FJH917500 EZB917463:EZL917500 EPF917463:EPP917500 EFJ917463:EFT917500 DVN917463:DVX917500 DLR917463:DMB917500 DBV917463:DCF917500 CRZ917463:CSJ917500 CID917463:CIN917500 BYH917463:BYR917500 BOL917463:BOV917500 BEP917463:BEZ917500 AUT917463:AVD917500 AKX917463:ALH917500 ABB917463:ABL917500 RF917463:RP917500 HJ917463:HT917500 WTV851927:WUF851964 WJZ851927:WKJ851964 WAD851927:WAN851964 VQH851927:VQR851964 VGL851927:VGV851964 UWP851927:UWZ851964 UMT851927:UND851964 UCX851927:UDH851964 TTB851927:TTL851964 TJF851927:TJP851964 SZJ851927:SZT851964 SPN851927:SPX851964 SFR851927:SGB851964 RVV851927:RWF851964 RLZ851927:RMJ851964 RCD851927:RCN851964 QSH851927:QSR851964 QIL851927:QIV851964 PYP851927:PYZ851964 POT851927:PPD851964 PEX851927:PFH851964 OVB851927:OVL851964 OLF851927:OLP851964 OBJ851927:OBT851964 NRN851927:NRX851964 NHR851927:NIB851964 MXV851927:MYF851964 MNZ851927:MOJ851964 MED851927:MEN851964 LUH851927:LUR851964 LKL851927:LKV851964 LAP851927:LAZ851964 KQT851927:KRD851964 KGX851927:KHH851964 JXB851927:JXL851964 JNF851927:JNP851964 JDJ851927:JDT851964 ITN851927:ITX851964 IJR851927:IKB851964 HZV851927:IAF851964 HPZ851927:HQJ851964 HGD851927:HGN851964 GWH851927:GWR851964 GML851927:GMV851964 GCP851927:GCZ851964 FST851927:FTD851964 FIX851927:FJH851964 EZB851927:EZL851964 EPF851927:EPP851964 EFJ851927:EFT851964 DVN851927:DVX851964 DLR851927:DMB851964 DBV851927:DCF851964 CRZ851927:CSJ851964 CID851927:CIN851964 BYH851927:BYR851964 BOL851927:BOV851964 BEP851927:BEZ851964 AUT851927:AVD851964 AKX851927:ALH851964 ABB851927:ABL851964 RF851927:RP851964 HJ851927:HT851964 WTV786391:WUF786428 WJZ786391:WKJ786428 WAD786391:WAN786428 VQH786391:VQR786428 VGL786391:VGV786428 UWP786391:UWZ786428 UMT786391:UND786428 UCX786391:UDH786428 TTB786391:TTL786428 TJF786391:TJP786428 SZJ786391:SZT786428 SPN786391:SPX786428 SFR786391:SGB786428 RVV786391:RWF786428 RLZ786391:RMJ786428 RCD786391:RCN786428 QSH786391:QSR786428 QIL786391:QIV786428 PYP786391:PYZ786428 POT786391:PPD786428 PEX786391:PFH786428 OVB786391:OVL786428 OLF786391:OLP786428 OBJ786391:OBT786428 NRN786391:NRX786428 NHR786391:NIB786428 MXV786391:MYF786428 MNZ786391:MOJ786428 MED786391:MEN786428 LUH786391:LUR786428 LKL786391:LKV786428 LAP786391:LAZ786428 KQT786391:KRD786428 KGX786391:KHH786428 JXB786391:JXL786428 JNF786391:JNP786428 JDJ786391:JDT786428 ITN786391:ITX786428 IJR786391:IKB786428 HZV786391:IAF786428 HPZ786391:HQJ786428 HGD786391:HGN786428 GWH786391:GWR786428 GML786391:GMV786428 GCP786391:GCZ786428 FST786391:FTD786428 FIX786391:FJH786428 EZB786391:EZL786428 EPF786391:EPP786428 EFJ786391:EFT786428 DVN786391:DVX786428 DLR786391:DMB786428 DBV786391:DCF786428 CRZ786391:CSJ786428 CID786391:CIN786428 BYH786391:BYR786428 BOL786391:BOV786428 BEP786391:BEZ786428 AUT786391:AVD786428 AKX786391:ALH786428 ABB786391:ABL786428 RF786391:RP786428 HJ786391:HT786428 WTV720855:WUF720892 WJZ720855:WKJ720892 WAD720855:WAN720892 VQH720855:VQR720892 VGL720855:VGV720892 UWP720855:UWZ720892 UMT720855:UND720892 UCX720855:UDH720892 TTB720855:TTL720892 TJF720855:TJP720892 SZJ720855:SZT720892 SPN720855:SPX720892 SFR720855:SGB720892 RVV720855:RWF720892 RLZ720855:RMJ720892 RCD720855:RCN720892 QSH720855:QSR720892 QIL720855:QIV720892 PYP720855:PYZ720892 POT720855:PPD720892 PEX720855:PFH720892 OVB720855:OVL720892 OLF720855:OLP720892 OBJ720855:OBT720892 NRN720855:NRX720892 NHR720855:NIB720892 MXV720855:MYF720892 MNZ720855:MOJ720892 MED720855:MEN720892 LUH720855:LUR720892 LKL720855:LKV720892 LAP720855:LAZ720892 KQT720855:KRD720892 KGX720855:KHH720892 JXB720855:JXL720892 JNF720855:JNP720892 JDJ720855:JDT720892 ITN720855:ITX720892 IJR720855:IKB720892 HZV720855:IAF720892 HPZ720855:HQJ720892 HGD720855:HGN720892 GWH720855:GWR720892 GML720855:GMV720892 GCP720855:GCZ720892 FST720855:FTD720892 FIX720855:FJH720892 EZB720855:EZL720892 EPF720855:EPP720892 EFJ720855:EFT720892 DVN720855:DVX720892 DLR720855:DMB720892 DBV720855:DCF720892 CRZ720855:CSJ720892 CID720855:CIN720892 BYH720855:BYR720892 BOL720855:BOV720892 BEP720855:BEZ720892 AUT720855:AVD720892 AKX720855:ALH720892 ABB720855:ABL720892 RF720855:RP720892 HJ720855:HT720892 WTV655319:WUF655356 WJZ655319:WKJ655356 WAD655319:WAN655356 VQH655319:VQR655356 VGL655319:VGV655356 UWP655319:UWZ655356 UMT655319:UND655356 UCX655319:UDH655356 TTB655319:TTL655356 TJF655319:TJP655356 SZJ655319:SZT655356 SPN655319:SPX655356 SFR655319:SGB655356 RVV655319:RWF655356 RLZ655319:RMJ655356 RCD655319:RCN655356 QSH655319:QSR655356 QIL655319:QIV655356 PYP655319:PYZ655356 POT655319:PPD655356 PEX655319:PFH655356 OVB655319:OVL655356 OLF655319:OLP655356 OBJ655319:OBT655356 NRN655319:NRX655356 NHR655319:NIB655356 MXV655319:MYF655356 MNZ655319:MOJ655356 MED655319:MEN655356 LUH655319:LUR655356 LKL655319:LKV655356 LAP655319:LAZ655356 KQT655319:KRD655356 KGX655319:KHH655356 JXB655319:JXL655356 JNF655319:JNP655356 JDJ655319:JDT655356 ITN655319:ITX655356 IJR655319:IKB655356 HZV655319:IAF655356 HPZ655319:HQJ655356 HGD655319:HGN655356 GWH655319:GWR655356 GML655319:GMV655356 GCP655319:GCZ655356 FST655319:FTD655356 FIX655319:FJH655356 EZB655319:EZL655356 EPF655319:EPP655356 EFJ655319:EFT655356 DVN655319:DVX655356 DLR655319:DMB655356 DBV655319:DCF655356 CRZ655319:CSJ655356 CID655319:CIN655356 BYH655319:BYR655356 BOL655319:BOV655356 BEP655319:BEZ655356 AUT655319:AVD655356 AKX655319:ALH655356 ABB655319:ABL655356 RF655319:RP655356 HJ655319:HT655356 WTV589783:WUF589820 WJZ589783:WKJ589820 WAD589783:WAN589820 VQH589783:VQR589820 VGL589783:VGV589820 UWP589783:UWZ589820 UMT589783:UND589820 UCX589783:UDH589820 TTB589783:TTL589820 TJF589783:TJP589820 SZJ589783:SZT589820 SPN589783:SPX589820 SFR589783:SGB589820 RVV589783:RWF589820 RLZ589783:RMJ589820 RCD589783:RCN589820 QSH589783:QSR589820 QIL589783:QIV589820 PYP589783:PYZ589820 POT589783:PPD589820 PEX589783:PFH589820 OVB589783:OVL589820 OLF589783:OLP589820 OBJ589783:OBT589820 NRN589783:NRX589820 NHR589783:NIB589820 MXV589783:MYF589820 MNZ589783:MOJ589820 MED589783:MEN589820 LUH589783:LUR589820 LKL589783:LKV589820 LAP589783:LAZ589820 KQT589783:KRD589820 KGX589783:KHH589820 JXB589783:JXL589820 JNF589783:JNP589820 JDJ589783:JDT589820 ITN589783:ITX589820 IJR589783:IKB589820 HZV589783:IAF589820 HPZ589783:HQJ589820 HGD589783:HGN589820 GWH589783:GWR589820 GML589783:GMV589820 GCP589783:GCZ589820 FST589783:FTD589820 FIX589783:FJH589820 EZB589783:EZL589820 EPF589783:EPP589820 EFJ589783:EFT589820 DVN589783:DVX589820 DLR589783:DMB589820 DBV589783:DCF589820 CRZ589783:CSJ589820 CID589783:CIN589820 BYH589783:BYR589820 BOL589783:BOV589820 BEP589783:BEZ589820 AUT589783:AVD589820 AKX589783:ALH589820 ABB589783:ABL589820 RF589783:RP589820 HJ589783:HT589820 WTV524247:WUF524284 WJZ524247:WKJ524284 WAD524247:WAN524284 VQH524247:VQR524284 VGL524247:VGV524284 UWP524247:UWZ524284 UMT524247:UND524284 UCX524247:UDH524284 TTB524247:TTL524284 TJF524247:TJP524284 SZJ524247:SZT524284 SPN524247:SPX524284 SFR524247:SGB524284 RVV524247:RWF524284 RLZ524247:RMJ524284 RCD524247:RCN524284 QSH524247:QSR524284 QIL524247:QIV524284 PYP524247:PYZ524284 POT524247:PPD524284 PEX524247:PFH524284 OVB524247:OVL524284 OLF524247:OLP524284 OBJ524247:OBT524284 NRN524247:NRX524284 NHR524247:NIB524284 MXV524247:MYF524284 MNZ524247:MOJ524284 MED524247:MEN524284 LUH524247:LUR524284 LKL524247:LKV524284 LAP524247:LAZ524284 KQT524247:KRD524284 KGX524247:KHH524284 JXB524247:JXL524284 JNF524247:JNP524284 JDJ524247:JDT524284 ITN524247:ITX524284 IJR524247:IKB524284 HZV524247:IAF524284 HPZ524247:HQJ524284 HGD524247:HGN524284 GWH524247:GWR524284 GML524247:GMV524284 GCP524247:GCZ524284 FST524247:FTD524284 FIX524247:FJH524284 EZB524247:EZL524284 EPF524247:EPP524284 EFJ524247:EFT524284 DVN524247:DVX524284 DLR524247:DMB524284 DBV524247:DCF524284 CRZ524247:CSJ524284 CID524247:CIN524284 BYH524247:BYR524284 BOL524247:BOV524284 BEP524247:BEZ524284 AUT524247:AVD524284 AKX524247:ALH524284 ABB524247:ABL524284 RF524247:RP524284 HJ524247:HT524284 WTV458711:WUF458748 WJZ458711:WKJ458748 WAD458711:WAN458748 VQH458711:VQR458748 VGL458711:VGV458748 UWP458711:UWZ458748 UMT458711:UND458748 UCX458711:UDH458748 TTB458711:TTL458748 TJF458711:TJP458748 SZJ458711:SZT458748 SPN458711:SPX458748 SFR458711:SGB458748 RVV458711:RWF458748 RLZ458711:RMJ458748 RCD458711:RCN458748 QSH458711:QSR458748 QIL458711:QIV458748 PYP458711:PYZ458748 POT458711:PPD458748 PEX458711:PFH458748 OVB458711:OVL458748 OLF458711:OLP458748 OBJ458711:OBT458748 NRN458711:NRX458748 NHR458711:NIB458748 MXV458711:MYF458748 MNZ458711:MOJ458748 MED458711:MEN458748 LUH458711:LUR458748 LKL458711:LKV458748 LAP458711:LAZ458748 KQT458711:KRD458748 KGX458711:KHH458748 JXB458711:JXL458748 JNF458711:JNP458748 JDJ458711:JDT458748 ITN458711:ITX458748 IJR458711:IKB458748 HZV458711:IAF458748 HPZ458711:HQJ458748 HGD458711:HGN458748 GWH458711:GWR458748 GML458711:GMV458748 GCP458711:GCZ458748 FST458711:FTD458748 FIX458711:FJH458748 EZB458711:EZL458748 EPF458711:EPP458748 EFJ458711:EFT458748 DVN458711:DVX458748 DLR458711:DMB458748 DBV458711:DCF458748 CRZ458711:CSJ458748 CID458711:CIN458748 BYH458711:BYR458748 BOL458711:BOV458748 BEP458711:BEZ458748 AUT458711:AVD458748 AKX458711:ALH458748 ABB458711:ABL458748 RF458711:RP458748 HJ458711:HT458748 WTV393175:WUF393212 WJZ393175:WKJ393212 WAD393175:WAN393212 VQH393175:VQR393212 VGL393175:VGV393212 UWP393175:UWZ393212 UMT393175:UND393212 UCX393175:UDH393212 TTB393175:TTL393212 TJF393175:TJP393212 SZJ393175:SZT393212 SPN393175:SPX393212 SFR393175:SGB393212 RVV393175:RWF393212 RLZ393175:RMJ393212 RCD393175:RCN393212 QSH393175:QSR393212 QIL393175:QIV393212 PYP393175:PYZ393212 POT393175:PPD393212 PEX393175:PFH393212 OVB393175:OVL393212 OLF393175:OLP393212 OBJ393175:OBT393212 NRN393175:NRX393212 NHR393175:NIB393212 MXV393175:MYF393212 MNZ393175:MOJ393212 MED393175:MEN393212 LUH393175:LUR393212 LKL393175:LKV393212 LAP393175:LAZ393212 KQT393175:KRD393212 KGX393175:KHH393212 JXB393175:JXL393212 JNF393175:JNP393212 JDJ393175:JDT393212 ITN393175:ITX393212 IJR393175:IKB393212 HZV393175:IAF393212 HPZ393175:HQJ393212 HGD393175:HGN393212 GWH393175:GWR393212 GML393175:GMV393212 GCP393175:GCZ393212 FST393175:FTD393212 FIX393175:FJH393212 EZB393175:EZL393212 EPF393175:EPP393212 EFJ393175:EFT393212 DVN393175:DVX393212 DLR393175:DMB393212 DBV393175:DCF393212 CRZ393175:CSJ393212 CID393175:CIN393212 BYH393175:BYR393212 BOL393175:BOV393212 BEP393175:BEZ393212 AUT393175:AVD393212 AKX393175:ALH393212 ABB393175:ABL393212 RF393175:RP393212 HJ393175:HT393212 WTV327639:WUF327676 WJZ327639:WKJ327676 WAD327639:WAN327676 VQH327639:VQR327676 VGL327639:VGV327676 UWP327639:UWZ327676 UMT327639:UND327676 UCX327639:UDH327676 TTB327639:TTL327676 TJF327639:TJP327676 SZJ327639:SZT327676 SPN327639:SPX327676 SFR327639:SGB327676 RVV327639:RWF327676 RLZ327639:RMJ327676 RCD327639:RCN327676 QSH327639:QSR327676 QIL327639:QIV327676 PYP327639:PYZ327676 POT327639:PPD327676 PEX327639:PFH327676 OVB327639:OVL327676 OLF327639:OLP327676 OBJ327639:OBT327676 NRN327639:NRX327676 NHR327639:NIB327676 MXV327639:MYF327676 MNZ327639:MOJ327676 MED327639:MEN327676 LUH327639:LUR327676 LKL327639:LKV327676 LAP327639:LAZ327676 KQT327639:KRD327676 KGX327639:KHH327676 JXB327639:JXL327676 JNF327639:JNP327676 JDJ327639:JDT327676 ITN327639:ITX327676 IJR327639:IKB327676 HZV327639:IAF327676 HPZ327639:HQJ327676 HGD327639:HGN327676 GWH327639:GWR327676 GML327639:GMV327676 GCP327639:GCZ327676 FST327639:FTD327676 FIX327639:FJH327676 EZB327639:EZL327676 EPF327639:EPP327676 EFJ327639:EFT327676 DVN327639:DVX327676 DLR327639:DMB327676 DBV327639:DCF327676 CRZ327639:CSJ327676 CID327639:CIN327676 BYH327639:BYR327676 BOL327639:BOV327676 BEP327639:BEZ327676 AUT327639:AVD327676 AKX327639:ALH327676 ABB327639:ABL327676 RF327639:RP327676 HJ327639:HT327676 WTV262103:WUF262140 WJZ262103:WKJ262140 WAD262103:WAN262140 VQH262103:VQR262140 VGL262103:VGV262140 UWP262103:UWZ262140 UMT262103:UND262140 UCX262103:UDH262140 TTB262103:TTL262140 TJF262103:TJP262140 SZJ262103:SZT262140 SPN262103:SPX262140 SFR262103:SGB262140 RVV262103:RWF262140 RLZ262103:RMJ262140 RCD262103:RCN262140 QSH262103:QSR262140 QIL262103:QIV262140 PYP262103:PYZ262140 POT262103:PPD262140 PEX262103:PFH262140 OVB262103:OVL262140 OLF262103:OLP262140 OBJ262103:OBT262140 NRN262103:NRX262140 NHR262103:NIB262140 MXV262103:MYF262140 MNZ262103:MOJ262140 MED262103:MEN262140 LUH262103:LUR262140 LKL262103:LKV262140 LAP262103:LAZ262140 KQT262103:KRD262140 KGX262103:KHH262140 JXB262103:JXL262140 JNF262103:JNP262140 JDJ262103:JDT262140 ITN262103:ITX262140 IJR262103:IKB262140 HZV262103:IAF262140 HPZ262103:HQJ262140 HGD262103:HGN262140 GWH262103:GWR262140 GML262103:GMV262140 GCP262103:GCZ262140 FST262103:FTD262140 FIX262103:FJH262140 EZB262103:EZL262140 EPF262103:EPP262140 EFJ262103:EFT262140 DVN262103:DVX262140 DLR262103:DMB262140 DBV262103:DCF262140 CRZ262103:CSJ262140 CID262103:CIN262140 BYH262103:BYR262140 BOL262103:BOV262140 BEP262103:BEZ262140 AUT262103:AVD262140 AKX262103:ALH262140 ABB262103:ABL262140 RF262103:RP262140 HJ262103:HT262140 WTV196567:WUF196604 WJZ196567:WKJ196604 WAD196567:WAN196604 VQH196567:VQR196604 VGL196567:VGV196604 UWP196567:UWZ196604 UMT196567:UND196604 UCX196567:UDH196604 TTB196567:TTL196604 TJF196567:TJP196604 SZJ196567:SZT196604 SPN196567:SPX196604 SFR196567:SGB196604 RVV196567:RWF196604 RLZ196567:RMJ196604 RCD196567:RCN196604 QSH196567:QSR196604 QIL196567:QIV196604 PYP196567:PYZ196604 POT196567:PPD196604 PEX196567:PFH196604 OVB196567:OVL196604 OLF196567:OLP196604 OBJ196567:OBT196604 NRN196567:NRX196604 NHR196567:NIB196604 MXV196567:MYF196604 MNZ196567:MOJ196604 MED196567:MEN196604 LUH196567:LUR196604 LKL196567:LKV196604 LAP196567:LAZ196604 KQT196567:KRD196604 KGX196567:KHH196604 JXB196567:JXL196604 JNF196567:JNP196604 JDJ196567:JDT196604 ITN196567:ITX196604 IJR196567:IKB196604 HZV196567:IAF196604 HPZ196567:HQJ196604 HGD196567:HGN196604 GWH196567:GWR196604 GML196567:GMV196604 GCP196567:GCZ196604 FST196567:FTD196604 FIX196567:FJH196604 EZB196567:EZL196604 EPF196567:EPP196604 EFJ196567:EFT196604 DVN196567:DVX196604 DLR196567:DMB196604 DBV196567:DCF196604 CRZ196567:CSJ196604 CID196567:CIN196604 BYH196567:BYR196604 BOL196567:BOV196604 BEP196567:BEZ196604 AUT196567:AVD196604 AKX196567:ALH196604 ABB196567:ABL196604 RF196567:RP196604 HJ196567:HT196604 WTV131031:WUF131068 WJZ131031:WKJ131068 WAD131031:WAN131068 VQH131031:VQR131068 VGL131031:VGV131068 UWP131031:UWZ131068 UMT131031:UND131068 UCX131031:UDH131068 TTB131031:TTL131068 TJF131031:TJP131068 SZJ131031:SZT131068 SPN131031:SPX131068 SFR131031:SGB131068 RVV131031:RWF131068 RLZ131031:RMJ131068 RCD131031:RCN131068 QSH131031:QSR131068 QIL131031:QIV131068 PYP131031:PYZ131068 POT131031:PPD131068 PEX131031:PFH131068 OVB131031:OVL131068 OLF131031:OLP131068 OBJ131031:OBT131068 NRN131031:NRX131068 NHR131031:NIB131068 MXV131031:MYF131068 MNZ131031:MOJ131068 MED131031:MEN131068 LUH131031:LUR131068 LKL131031:LKV131068 LAP131031:LAZ131068 KQT131031:KRD131068 KGX131031:KHH131068 JXB131031:JXL131068 JNF131031:JNP131068 JDJ131031:JDT131068 ITN131031:ITX131068 IJR131031:IKB131068 HZV131031:IAF131068 HPZ131031:HQJ131068 HGD131031:HGN131068 GWH131031:GWR131068 GML131031:GMV131068 GCP131031:GCZ131068 FST131031:FTD131068 FIX131031:FJH131068 EZB131031:EZL131068 EPF131031:EPP131068 EFJ131031:EFT131068 DVN131031:DVX131068 DLR131031:DMB131068 DBV131031:DCF131068 CRZ131031:CSJ131068 CID131031:CIN131068 BYH131031:BYR131068 BOL131031:BOV131068 BEP131031:BEZ131068 AUT131031:AVD131068 AKX131031:ALH131068 ABB131031:ABL131068 RF131031:RP131068 HJ131031:HT131068 WTV65495:WUF65532 WJZ65495:WKJ65532 WAD65495:WAN65532 VQH65495:VQR65532 VGL65495:VGV65532 UWP65495:UWZ65532 UMT65495:UND65532 UCX65495:UDH65532 TTB65495:TTL65532 TJF65495:TJP65532 SZJ65495:SZT65532 SPN65495:SPX65532 SFR65495:SGB65532 RVV65495:RWF65532 RLZ65495:RMJ65532 RCD65495:RCN65532 QSH65495:QSR65532 QIL65495:QIV65532 PYP65495:PYZ65532 POT65495:PPD65532 PEX65495:PFH65532 OVB65495:OVL65532 OLF65495:OLP65532 OBJ65495:OBT65532 NRN65495:NRX65532 NHR65495:NIB65532 MXV65495:MYF65532 MNZ65495:MOJ65532 MED65495:MEN65532 LUH65495:LUR65532 LKL65495:LKV65532 LAP65495:LAZ65532 KQT65495:KRD65532 KGX65495:KHH65532 JXB65495:JXL65532 JNF65495:JNP65532 JDJ65495:JDT65532 ITN65495:ITX65532 IJR65495:IKB65532 HZV65495:IAF65532 HPZ65495:HQJ65532 HGD65495:HGN65532 GWH65495:GWR65532 GML65495:GMV65532 GCP65495:GCZ65532 FST65495:FTD65532 FIX65495:FJH65532 EZB65495:EZL65532 EPF65495:EPP65532 EFJ65495:EFT65532 DVN65495:DVX65532 DLR65495:DMB65532 DBV65495:DCF65532 CRZ65495:CSJ65532 CID65495:CIN65532 BYH65495:BYR65532 BOL65495:BOV65532 BEP65495:BEZ65532 AUT65495:AVD65532 AKX65495:ALH65532 ABB65495:ABL65532 RF65495:RP65532 HJ65495:HT65532" xr:uid="{F9FA6065-A332-4F40-AADA-5EB35076845A}">
      <formula1>#REF!</formula1>
    </dataValidation>
    <dataValidation type="list" allowBlank="1" showInputMessage="1" showErrorMessage="1" sqref="WAO5:WAR27 VQS5:VQV27 VGW5:VGZ27 UXA5:UXD27 UNE5:UNH27 UDI5:UDL27 TTM5:TTP27 TJQ5:TJT27 SZU5:SZX27 SPY5:SQB27 SGC5:SGF27 RWG5:RWJ27 RMK5:RMN27 RCO5:RCR27 QSS5:QSV27 QIW5:QIZ27 PZA5:PZD27 PPE5:PPH27 PFI5:PFL27 OVM5:OVP27 OLQ5:OLT27 OBU5:OBX27 NRY5:NSB27 NIC5:NIF27 MYG5:MYJ27 MOK5:MON27 MEO5:MER27 LUS5:LUV27 LKW5:LKZ27 LBA5:LBD27 KRE5:KRH27 KHI5:KHL27 JXM5:JXP27 JNQ5:JNT27 JDU5:JDX27 ITY5:IUB27 IKC5:IKF27 IAG5:IAJ27 HQK5:HQN27 HGO5:HGR27 GWS5:GWV27 GMW5:GMZ27 GDA5:GDD27 FTE5:FTH27 FJI5:FJL27 EZM5:EZP27 EPQ5:EPT27 EFU5:EFX27 DVY5:DWB27 DMC5:DMF27 DCG5:DCJ27 CSK5:CSN27 CIO5:CIR27 BYS5:BYV27 BOW5:BOZ27 BFA5:BFD27 AVE5:AVH27 ALI5:ALL27 ABM5:ABP27 RQ5:RT27 HU5:HX27 WUG5:WUJ27 WKK5:WKN27 VQS982999:VQV983036 VGW982999:VGZ983036 UXA982999:UXD983036 UNE982999:UNH983036 UDI982999:UDL983036 TTM982999:TTP983036 TJQ982999:TJT983036 SZU982999:SZX983036 SPY982999:SQB983036 SGC982999:SGF983036 RWG982999:RWJ983036 RMK982999:RMN983036 RCO982999:RCR983036 QSS982999:QSV983036 QIW982999:QIZ983036 PZA982999:PZD983036 PPE982999:PPH983036 PFI982999:PFL983036 OVM982999:OVP983036 OLQ982999:OLT983036 OBU982999:OBX983036 NRY982999:NSB983036 NIC982999:NIF983036 MYG982999:MYJ983036 MOK982999:MON983036 MEO982999:MER983036 LUS982999:LUV983036 LKW982999:LKZ983036 LBA982999:LBD983036 KRE982999:KRH983036 KHI982999:KHL983036 JXM982999:JXP983036 JNQ982999:JNT983036 JDU982999:JDX983036 ITY982999:IUB983036 IKC982999:IKF983036 IAG982999:IAJ983036 HQK982999:HQN983036 HGO982999:HGR983036 GWS982999:GWV983036 GMW982999:GMZ983036 GDA982999:GDD983036 FTE982999:FTH983036 FJI982999:FJL983036 EZM982999:EZP983036 EPQ982999:EPT983036 EFU982999:EFX983036 DVY982999:DWB983036 DMC982999:DMF983036 DCG982999:DCJ983036 CSK982999:CSN983036 CIO982999:CIR983036 BYS982999:BYV983036 BOW982999:BOZ983036 BFA982999:BFD983036 AVE982999:AVH983036 ALI982999:ALL983036 ABM982999:ABP983036 RQ982999:RT983036 HU982999:HX983036 WUG917463:WUJ917500 WKK917463:WKN917500 WAO917463:WAR917500 VQS917463:VQV917500 VGW917463:VGZ917500 UXA917463:UXD917500 UNE917463:UNH917500 UDI917463:UDL917500 TTM917463:TTP917500 TJQ917463:TJT917500 SZU917463:SZX917500 SPY917463:SQB917500 SGC917463:SGF917500 RWG917463:RWJ917500 RMK917463:RMN917500 RCO917463:RCR917500 QSS917463:QSV917500 QIW917463:QIZ917500 PZA917463:PZD917500 PPE917463:PPH917500 PFI917463:PFL917500 OVM917463:OVP917500 OLQ917463:OLT917500 OBU917463:OBX917500 NRY917463:NSB917500 NIC917463:NIF917500 MYG917463:MYJ917500 MOK917463:MON917500 MEO917463:MER917500 LUS917463:LUV917500 LKW917463:LKZ917500 LBA917463:LBD917500 KRE917463:KRH917500 KHI917463:KHL917500 JXM917463:JXP917500 JNQ917463:JNT917500 JDU917463:JDX917500 ITY917463:IUB917500 IKC917463:IKF917500 IAG917463:IAJ917500 HQK917463:HQN917500 HGO917463:HGR917500 GWS917463:GWV917500 GMW917463:GMZ917500 GDA917463:GDD917500 FTE917463:FTH917500 FJI917463:FJL917500 EZM917463:EZP917500 EPQ917463:EPT917500 EFU917463:EFX917500 DVY917463:DWB917500 DMC917463:DMF917500 DCG917463:DCJ917500 CSK917463:CSN917500 CIO917463:CIR917500 BYS917463:BYV917500 BOW917463:BOZ917500 BFA917463:BFD917500 AVE917463:AVH917500 ALI917463:ALL917500 ABM917463:ABP917500 RQ917463:RT917500 HU917463:HX917500 WUG851927:WUJ851964 WKK851927:WKN851964 WAO851927:WAR851964 VQS851927:VQV851964 VGW851927:VGZ851964 UXA851927:UXD851964 UNE851927:UNH851964 UDI851927:UDL851964 TTM851927:TTP851964 TJQ851927:TJT851964 SZU851927:SZX851964 SPY851927:SQB851964 SGC851927:SGF851964 RWG851927:RWJ851964 RMK851927:RMN851964 RCO851927:RCR851964 QSS851927:QSV851964 QIW851927:QIZ851964 PZA851927:PZD851964 PPE851927:PPH851964 PFI851927:PFL851964 OVM851927:OVP851964 OLQ851927:OLT851964 OBU851927:OBX851964 NRY851927:NSB851964 NIC851927:NIF851964 MYG851927:MYJ851964 MOK851927:MON851964 MEO851927:MER851964 LUS851927:LUV851964 LKW851927:LKZ851964 LBA851927:LBD851964 KRE851927:KRH851964 KHI851927:KHL851964 JXM851927:JXP851964 JNQ851927:JNT851964 JDU851927:JDX851964 ITY851927:IUB851964 IKC851927:IKF851964 IAG851927:IAJ851964 HQK851927:HQN851964 HGO851927:HGR851964 GWS851927:GWV851964 GMW851927:GMZ851964 GDA851927:GDD851964 FTE851927:FTH851964 FJI851927:FJL851964 EZM851927:EZP851964 EPQ851927:EPT851964 EFU851927:EFX851964 DVY851927:DWB851964 DMC851927:DMF851964 DCG851927:DCJ851964 CSK851927:CSN851964 CIO851927:CIR851964 BYS851927:BYV851964 BOW851927:BOZ851964 BFA851927:BFD851964 AVE851927:AVH851964 ALI851927:ALL851964 ABM851927:ABP851964 RQ851927:RT851964 HU851927:HX851964 WUG786391:WUJ786428 WKK786391:WKN786428 WAO786391:WAR786428 VQS786391:VQV786428 VGW786391:VGZ786428 UXA786391:UXD786428 UNE786391:UNH786428 UDI786391:UDL786428 TTM786391:TTP786428 TJQ786391:TJT786428 SZU786391:SZX786428 SPY786391:SQB786428 SGC786391:SGF786428 RWG786391:RWJ786428 RMK786391:RMN786428 RCO786391:RCR786428 QSS786391:QSV786428 QIW786391:QIZ786428 PZA786391:PZD786428 PPE786391:PPH786428 PFI786391:PFL786428 OVM786391:OVP786428 OLQ786391:OLT786428 OBU786391:OBX786428 NRY786391:NSB786428 NIC786391:NIF786428 MYG786391:MYJ786428 MOK786391:MON786428 MEO786391:MER786428 LUS786391:LUV786428 LKW786391:LKZ786428 LBA786391:LBD786428 KRE786391:KRH786428 KHI786391:KHL786428 JXM786391:JXP786428 JNQ786391:JNT786428 JDU786391:JDX786428 ITY786391:IUB786428 IKC786391:IKF786428 IAG786391:IAJ786428 HQK786391:HQN786428 HGO786391:HGR786428 GWS786391:GWV786428 GMW786391:GMZ786428 GDA786391:GDD786428 FTE786391:FTH786428 FJI786391:FJL786428 EZM786391:EZP786428 EPQ786391:EPT786428 EFU786391:EFX786428 DVY786391:DWB786428 DMC786391:DMF786428 DCG786391:DCJ786428 CSK786391:CSN786428 CIO786391:CIR786428 BYS786391:BYV786428 BOW786391:BOZ786428 BFA786391:BFD786428 AVE786391:AVH786428 ALI786391:ALL786428 ABM786391:ABP786428 RQ786391:RT786428 HU786391:HX786428 WUG720855:WUJ720892 WKK720855:WKN720892 WAO720855:WAR720892 VQS720855:VQV720892 VGW720855:VGZ720892 UXA720855:UXD720892 UNE720855:UNH720892 UDI720855:UDL720892 TTM720855:TTP720892 TJQ720855:TJT720892 SZU720855:SZX720892 SPY720855:SQB720892 SGC720855:SGF720892 RWG720855:RWJ720892 RMK720855:RMN720892 RCO720855:RCR720892 QSS720855:QSV720892 QIW720855:QIZ720892 PZA720855:PZD720892 PPE720855:PPH720892 PFI720855:PFL720892 OVM720855:OVP720892 OLQ720855:OLT720892 OBU720855:OBX720892 NRY720855:NSB720892 NIC720855:NIF720892 MYG720855:MYJ720892 MOK720855:MON720892 MEO720855:MER720892 LUS720855:LUV720892 LKW720855:LKZ720892 LBA720855:LBD720892 KRE720855:KRH720892 KHI720855:KHL720892 JXM720855:JXP720892 JNQ720855:JNT720892 JDU720855:JDX720892 ITY720855:IUB720892 IKC720855:IKF720892 IAG720855:IAJ720892 HQK720855:HQN720892 HGO720855:HGR720892 GWS720855:GWV720892 GMW720855:GMZ720892 GDA720855:GDD720892 FTE720855:FTH720892 FJI720855:FJL720892 EZM720855:EZP720892 EPQ720855:EPT720892 EFU720855:EFX720892 DVY720855:DWB720892 DMC720855:DMF720892 DCG720855:DCJ720892 CSK720855:CSN720892 CIO720855:CIR720892 BYS720855:BYV720892 BOW720855:BOZ720892 BFA720855:BFD720892 AVE720855:AVH720892 ALI720855:ALL720892 ABM720855:ABP720892 RQ720855:RT720892 HU720855:HX720892 WUG655319:WUJ655356 WKK655319:WKN655356 WAO655319:WAR655356 VQS655319:VQV655356 VGW655319:VGZ655356 UXA655319:UXD655356 UNE655319:UNH655356 UDI655319:UDL655356 TTM655319:TTP655356 TJQ655319:TJT655356 SZU655319:SZX655356 SPY655319:SQB655356 SGC655319:SGF655356 RWG655319:RWJ655356 RMK655319:RMN655356 RCO655319:RCR655356 QSS655319:QSV655356 QIW655319:QIZ655356 PZA655319:PZD655356 PPE655319:PPH655356 PFI655319:PFL655356 OVM655319:OVP655356 OLQ655319:OLT655356 OBU655319:OBX655356 NRY655319:NSB655356 NIC655319:NIF655356 MYG655319:MYJ655356 MOK655319:MON655356 MEO655319:MER655356 LUS655319:LUV655356 LKW655319:LKZ655356 LBA655319:LBD655356 KRE655319:KRH655356 KHI655319:KHL655356 JXM655319:JXP655356 JNQ655319:JNT655356 JDU655319:JDX655356 ITY655319:IUB655356 IKC655319:IKF655356 IAG655319:IAJ655356 HQK655319:HQN655356 HGO655319:HGR655356 GWS655319:GWV655356 GMW655319:GMZ655356 GDA655319:GDD655356 FTE655319:FTH655356 FJI655319:FJL655356 EZM655319:EZP655356 EPQ655319:EPT655356 EFU655319:EFX655356 DVY655319:DWB655356 DMC655319:DMF655356 DCG655319:DCJ655356 CSK655319:CSN655356 CIO655319:CIR655356 BYS655319:BYV655356 BOW655319:BOZ655356 BFA655319:BFD655356 AVE655319:AVH655356 ALI655319:ALL655356 ABM655319:ABP655356 RQ655319:RT655356 HU655319:HX655356 WUG589783:WUJ589820 WKK589783:WKN589820 WAO589783:WAR589820 VQS589783:VQV589820 VGW589783:VGZ589820 UXA589783:UXD589820 UNE589783:UNH589820 UDI589783:UDL589820 TTM589783:TTP589820 TJQ589783:TJT589820 SZU589783:SZX589820 SPY589783:SQB589820 SGC589783:SGF589820 RWG589783:RWJ589820 RMK589783:RMN589820 RCO589783:RCR589820 QSS589783:QSV589820 QIW589783:QIZ589820 PZA589783:PZD589820 PPE589783:PPH589820 PFI589783:PFL589820 OVM589783:OVP589820 OLQ589783:OLT589820 OBU589783:OBX589820 NRY589783:NSB589820 NIC589783:NIF589820 MYG589783:MYJ589820 MOK589783:MON589820 MEO589783:MER589820 LUS589783:LUV589820 LKW589783:LKZ589820 LBA589783:LBD589820 KRE589783:KRH589820 KHI589783:KHL589820 JXM589783:JXP589820 JNQ589783:JNT589820 JDU589783:JDX589820 ITY589783:IUB589820 IKC589783:IKF589820 IAG589783:IAJ589820 HQK589783:HQN589820 HGO589783:HGR589820 GWS589783:GWV589820 GMW589783:GMZ589820 GDA589783:GDD589820 FTE589783:FTH589820 FJI589783:FJL589820 EZM589783:EZP589820 EPQ589783:EPT589820 EFU589783:EFX589820 DVY589783:DWB589820 DMC589783:DMF589820 DCG589783:DCJ589820 CSK589783:CSN589820 CIO589783:CIR589820 BYS589783:BYV589820 BOW589783:BOZ589820 BFA589783:BFD589820 AVE589783:AVH589820 ALI589783:ALL589820 ABM589783:ABP589820 RQ589783:RT589820 HU589783:HX589820 WUG524247:WUJ524284 WKK524247:WKN524284 WAO524247:WAR524284 VQS524247:VQV524284 VGW524247:VGZ524284 UXA524247:UXD524284 UNE524247:UNH524284 UDI524247:UDL524284 TTM524247:TTP524284 TJQ524247:TJT524284 SZU524247:SZX524284 SPY524247:SQB524284 SGC524247:SGF524284 RWG524247:RWJ524284 RMK524247:RMN524284 RCO524247:RCR524284 QSS524247:QSV524284 QIW524247:QIZ524284 PZA524247:PZD524284 PPE524247:PPH524284 PFI524247:PFL524284 OVM524247:OVP524284 OLQ524247:OLT524284 OBU524247:OBX524284 NRY524247:NSB524284 NIC524247:NIF524284 MYG524247:MYJ524284 MOK524247:MON524284 MEO524247:MER524284 LUS524247:LUV524284 LKW524247:LKZ524284 LBA524247:LBD524284 KRE524247:KRH524284 KHI524247:KHL524284 JXM524247:JXP524284 JNQ524247:JNT524284 JDU524247:JDX524284 ITY524247:IUB524284 IKC524247:IKF524284 IAG524247:IAJ524284 HQK524247:HQN524284 HGO524247:HGR524284 GWS524247:GWV524284 GMW524247:GMZ524284 GDA524247:GDD524284 FTE524247:FTH524284 FJI524247:FJL524284 EZM524247:EZP524284 EPQ524247:EPT524284 EFU524247:EFX524284 DVY524247:DWB524284 DMC524247:DMF524284 DCG524247:DCJ524284 CSK524247:CSN524284 CIO524247:CIR524284 BYS524247:BYV524284 BOW524247:BOZ524284 BFA524247:BFD524284 AVE524247:AVH524284 ALI524247:ALL524284 ABM524247:ABP524284 RQ524247:RT524284 HU524247:HX524284 WUG458711:WUJ458748 WKK458711:WKN458748 WAO458711:WAR458748 VQS458711:VQV458748 VGW458711:VGZ458748 UXA458711:UXD458748 UNE458711:UNH458748 UDI458711:UDL458748 TTM458711:TTP458748 TJQ458711:TJT458748 SZU458711:SZX458748 SPY458711:SQB458748 SGC458711:SGF458748 RWG458711:RWJ458748 RMK458711:RMN458748 RCO458711:RCR458748 QSS458711:QSV458748 QIW458711:QIZ458748 PZA458711:PZD458748 PPE458711:PPH458748 PFI458711:PFL458748 OVM458711:OVP458748 OLQ458711:OLT458748 OBU458711:OBX458748 NRY458711:NSB458748 NIC458711:NIF458748 MYG458711:MYJ458748 MOK458711:MON458748 MEO458711:MER458748 LUS458711:LUV458748 LKW458711:LKZ458748 LBA458711:LBD458748 KRE458711:KRH458748 KHI458711:KHL458748 JXM458711:JXP458748 JNQ458711:JNT458748 JDU458711:JDX458748 ITY458711:IUB458748 IKC458711:IKF458748 IAG458711:IAJ458748 HQK458711:HQN458748 HGO458711:HGR458748 GWS458711:GWV458748 GMW458711:GMZ458748 GDA458711:GDD458748 FTE458711:FTH458748 FJI458711:FJL458748 EZM458711:EZP458748 EPQ458711:EPT458748 EFU458711:EFX458748 DVY458711:DWB458748 DMC458711:DMF458748 DCG458711:DCJ458748 CSK458711:CSN458748 CIO458711:CIR458748 BYS458711:BYV458748 BOW458711:BOZ458748 BFA458711:BFD458748 AVE458711:AVH458748 ALI458711:ALL458748 ABM458711:ABP458748 RQ458711:RT458748 HU458711:HX458748 WUG393175:WUJ393212 WKK393175:WKN393212 WAO393175:WAR393212 VQS393175:VQV393212 VGW393175:VGZ393212 UXA393175:UXD393212 UNE393175:UNH393212 UDI393175:UDL393212 TTM393175:TTP393212 TJQ393175:TJT393212 SZU393175:SZX393212 SPY393175:SQB393212 SGC393175:SGF393212 RWG393175:RWJ393212 RMK393175:RMN393212 RCO393175:RCR393212 QSS393175:QSV393212 QIW393175:QIZ393212 PZA393175:PZD393212 PPE393175:PPH393212 PFI393175:PFL393212 OVM393175:OVP393212 OLQ393175:OLT393212 OBU393175:OBX393212 NRY393175:NSB393212 NIC393175:NIF393212 MYG393175:MYJ393212 MOK393175:MON393212 MEO393175:MER393212 LUS393175:LUV393212 LKW393175:LKZ393212 LBA393175:LBD393212 KRE393175:KRH393212 KHI393175:KHL393212 JXM393175:JXP393212 JNQ393175:JNT393212 JDU393175:JDX393212 ITY393175:IUB393212 IKC393175:IKF393212 IAG393175:IAJ393212 HQK393175:HQN393212 HGO393175:HGR393212 GWS393175:GWV393212 GMW393175:GMZ393212 GDA393175:GDD393212 FTE393175:FTH393212 FJI393175:FJL393212 EZM393175:EZP393212 EPQ393175:EPT393212 EFU393175:EFX393212 DVY393175:DWB393212 DMC393175:DMF393212 DCG393175:DCJ393212 CSK393175:CSN393212 CIO393175:CIR393212 BYS393175:BYV393212 BOW393175:BOZ393212 BFA393175:BFD393212 AVE393175:AVH393212 ALI393175:ALL393212 ABM393175:ABP393212 RQ393175:RT393212 HU393175:HX393212 WUG327639:WUJ327676 WKK327639:WKN327676 WAO327639:WAR327676 VQS327639:VQV327676 VGW327639:VGZ327676 UXA327639:UXD327676 UNE327639:UNH327676 UDI327639:UDL327676 TTM327639:TTP327676 TJQ327639:TJT327676 SZU327639:SZX327676 SPY327639:SQB327676 SGC327639:SGF327676 RWG327639:RWJ327676 RMK327639:RMN327676 RCO327639:RCR327676 QSS327639:QSV327676 QIW327639:QIZ327676 PZA327639:PZD327676 PPE327639:PPH327676 PFI327639:PFL327676 OVM327639:OVP327676 OLQ327639:OLT327676 OBU327639:OBX327676 NRY327639:NSB327676 NIC327639:NIF327676 MYG327639:MYJ327676 MOK327639:MON327676 MEO327639:MER327676 LUS327639:LUV327676 LKW327639:LKZ327676 LBA327639:LBD327676 KRE327639:KRH327676 KHI327639:KHL327676 JXM327639:JXP327676 JNQ327639:JNT327676 JDU327639:JDX327676 ITY327639:IUB327676 IKC327639:IKF327676 IAG327639:IAJ327676 HQK327639:HQN327676 HGO327639:HGR327676 GWS327639:GWV327676 GMW327639:GMZ327676 GDA327639:GDD327676 FTE327639:FTH327676 FJI327639:FJL327676 EZM327639:EZP327676 EPQ327639:EPT327676 EFU327639:EFX327676 DVY327639:DWB327676 DMC327639:DMF327676 DCG327639:DCJ327676 CSK327639:CSN327676 CIO327639:CIR327676 BYS327639:BYV327676 BOW327639:BOZ327676 BFA327639:BFD327676 AVE327639:AVH327676 ALI327639:ALL327676 ABM327639:ABP327676 RQ327639:RT327676 HU327639:HX327676 WUG262103:WUJ262140 WKK262103:WKN262140 WAO262103:WAR262140 VQS262103:VQV262140 VGW262103:VGZ262140 UXA262103:UXD262140 UNE262103:UNH262140 UDI262103:UDL262140 TTM262103:TTP262140 TJQ262103:TJT262140 SZU262103:SZX262140 SPY262103:SQB262140 SGC262103:SGF262140 RWG262103:RWJ262140 RMK262103:RMN262140 RCO262103:RCR262140 QSS262103:QSV262140 QIW262103:QIZ262140 PZA262103:PZD262140 PPE262103:PPH262140 PFI262103:PFL262140 OVM262103:OVP262140 OLQ262103:OLT262140 OBU262103:OBX262140 NRY262103:NSB262140 NIC262103:NIF262140 MYG262103:MYJ262140 MOK262103:MON262140 MEO262103:MER262140 LUS262103:LUV262140 LKW262103:LKZ262140 LBA262103:LBD262140 KRE262103:KRH262140 KHI262103:KHL262140 JXM262103:JXP262140 JNQ262103:JNT262140 JDU262103:JDX262140 ITY262103:IUB262140 IKC262103:IKF262140 IAG262103:IAJ262140 HQK262103:HQN262140 HGO262103:HGR262140 GWS262103:GWV262140 GMW262103:GMZ262140 GDA262103:GDD262140 FTE262103:FTH262140 FJI262103:FJL262140 EZM262103:EZP262140 EPQ262103:EPT262140 EFU262103:EFX262140 DVY262103:DWB262140 DMC262103:DMF262140 DCG262103:DCJ262140 CSK262103:CSN262140 CIO262103:CIR262140 BYS262103:BYV262140 BOW262103:BOZ262140 BFA262103:BFD262140 AVE262103:AVH262140 ALI262103:ALL262140 ABM262103:ABP262140 RQ262103:RT262140 HU262103:HX262140 WUG196567:WUJ196604 WKK196567:WKN196604 WAO196567:WAR196604 VQS196567:VQV196604 VGW196567:VGZ196604 UXA196567:UXD196604 UNE196567:UNH196604 UDI196567:UDL196604 TTM196567:TTP196604 TJQ196567:TJT196604 SZU196567:SZX196604 SPY196567:SQB196604 SGC196567:SGF196604 RWG196567:RWJ196604 RMK196567:RMN196604 RCO196567:RCR196604 QSS196567:QSV196604 QIW196567:QIZ196604 PZA196567:PZD196604 PPE196567:PPH196604 PFI196567:PFL196604 OVM196567:OVP196604 OLQ196567:OLT196604 OBU196567:OBX196604 NRY196567:NSB196604 NIC196567:NIF196604 MYG196567:MYJ196604 MOK196567:MON196604 MEO196567:MER196604 LUS196567:LUV196604 LKW196567:LKZ196604 LBA196567:LBD196604 KRE196567:KRH196604 KHI196567:KHL196604 JXM196567:JXP196604 JNQ196567:JNT196604 JDU196567:JDX196604 ITY196567:IUB196604 IKC196567:IKF196604 IAG196567:IAJ196604 HQK196567:HQN196604 HGO196567:HGR196604 GWS196567:GWV196604 GMW196567:GMZ196604 GDA196567:GDD196604 FTE196567:FTH196604 FJI196567:FJL196604 EZM196567:EZP196604 EPQ196567:EPT196604 EFU196567:EFX196604 DVY196567:DWB196604 DMC196567:DMF196604 DCG196567:DCJ196604 CSK196567:CSN196604 CIO196567:CIR196604 BYS196567:BYV196604 BOW196567:BOZ196604 BFA196567:BFD196604 AVE196567:AVH196604 ALI196567:ALL196604 ABM196567:ABP196604 RQ196567:RT196604 HU196567:HX196604 WUG131031:WUJ131068 WKK131031:WKN131068 WAO131031:WAR131068 VQS131031:VQV131068 VGW131031:VGZ131068 UXA131031:UXD131068 UNE131031:UNH131068 UDI131031:UDL131068 TTM131031:TTP131068 TJQ131031:TJT131068 SZU131031:SZX131068 SPY131031:SQB131068 SGC131031:SGF131068 RWG131031:RWJ131068 RMK131031:RMN131068 RCO131031:RCR131068 QSS131031:QSV131068 QIW131031:QIZ131068 PZA131031:PZD131068 PPE131031:PPH131068 PFI131031:PFL131068 OVM131031:OVP131068 OLQ131031:OLT131068 OBU131031:OBX131068 NRY131031:NSB131068 NIC131031:NIF131068 MYG131031:MYJ131068 MOK131031:MON131068 MEO131031:MER131068 LUS131031:LUV131068 LKW131031:LKZ131068 LBA131031:LBD131068 KRE131031:KRH131068 KHI131031:KHL131068 JXM131031:JXP131068 JNQ131031:JNT131068 JDU131031:JDX131068 ITY131031:IUB131068 IKC131031:IKF131068 IAG131031:IAJ131068 HQK131031:HQN131068 HGO131031:HGR131068 GWS131031:GWV131068 GMW131031:GMZ131068 GDA131031:GDD131068 FTE131031:FTH131068 FJI131031:FJL131068 EZM131031:EZP131068 EPQ131031:EPT131068 EFU131031:EFX131068 DVY131031:DWB131068 DMC131031:DMF131068 DCG131031:DCJ131068 CSK131031:CSN131068 CIO131031:CIR131068 BYS131031:BYV131068 BOW131031:BOZ131068 BFA131031:BFD131068 AVE131031:AVH131068 ALI131031:ALL131068 ABM131031:ABP131068 RQ131031:RT131068 HU131031:HX131068 WUG65495:WUJ65532 WKK65495:WKN65532 WAO65495:WAR65532 VQS65495:VQV65532 VGW65495:VGZ65532 UXA65495:UXD65532 UNE65495:UNH65532 UDI65495:UDL65532 TTM65495:TTP65532 TJQ65495:TJT65532 SZU65495:SZX65532 SPY65495:SQB65532 SGC65495:SGF65532 RWG65495:RWJ65532 RMK65495:RMN65532 RCO65495:RCR65532 QSS65495:QSV65532 QIW65495:QIZ65532 PZA65495:PZD65532 PPE65495:PPH65532 PFI65495:PFL65532 OVM65495:OVP65532 OLQ65495:OLT65532 OBU65495:OBX65532 NRY65495:NSB65532 NIC65495:NIF65532 MYG65495:MYJ65532 MOK65495:MON65532 MEO65495:MER65532 LUS65495:LUV65532 LKW65495:LKZ65532 LBA65495:LBD65532 KRE65495:KRH65532 KHI65495:KHL65532 JXM65495:JXP65532 JNQ65495:JNT65532 JDU65495:JDX65532 ITY65495:IUB65532 IKC65495:IKF65532 IAG65495:IAJ65532 HQK65495:HQN65532 HGO65495:HGR65532 GWS65495:GWV65532 GMW65495:GMZ65532 GDA65495:GDD65532 FTE65495:FTH65532 FJI65495:FJL65532 EZM65495:EZP65532 EPQ65495:EPT65532 EFU65495:EFX65532 DVY65495:DWB65532 DMC65495:DMF65532 DCG65495:DCJ65532 CSK65495:CSN65532 CIO65495:CIR65532 BYS65495:BYV65532 BOW65495:BOZ65532 BFA65495:BFD65532 AVE65495:AVH65532 ALI65495:ALL65532 ABM65495:ABP65532 RQ65495:RT65532 HU65495:HX65532 WKK982999:WKN983036 WAO982999:WAR983036 WUG982999:WUJ983036" xr:uid="{9AC90A44-67B0-473C-A1EA-06FD9120210E}">
      <formula1>#REF!</formula1>
    </dataValidation>
    <dataValidation type="list" allowBlank="1" showInputMessage="1" showErrorMessage="1" sqref="HX983040:IE983045 RT983040:SA983045 ABP983040:ABW983045 ALL983040:ALS983045 AVH983040:AVO983045 BFD983040:BFK983045 BOZ983040:BPG983045 BYV983040:BZC983045 CIR983040:CIY983045 CSN983040:CSU983045 DCJ983040:DCQ983045 DMF983040:DMM983045 DWB983040:DWI983045 EFX983040:EGE983045 EPT983040:EQA983045 EZP983040:EZW983045 FJL983040:FJS983045 FTH983040:FTO983045 GDD983040:GDK983045 GMZ983040:GNG983045 GWV983040:GXC983045 HGR983040:HGY983045 HQN983040:HQU983045 IAJ983040:IAQ983045 IKF983040:IKM983045 IUB983040:IUI983045 JDX983040:JEE983045 JNT983040:JOA983045 JXP983040:JXW983045 KHL983040:KHS983045 KRH983040:KRO983045 LBD983040:LBK983045 LKZ983040:LLG983045 LUV983040:LVC983045 MER983040:MEY983045 MON983040:MOU983045 MYJ983040:MYQ983045 NIF983040:NIM983045 NSB983040:NSI983045 OBX983040:OCE983045 OLT983040:OMA983045 OVP983040:OVW983045 PFL983040:PFS983045 PPH983040:PPO983045 PZD983040:PZK983045 QIZ983040:QJG983045 QSV983040:QTC983045 RCR983040:RCY983045 RMN983040:RMU983045 RWJ983040:RWQ983045 SGF983040:SGM983045 SQB983040:SQI983045 SZX983040:TAE983045 TJT983040:TKA983045 TTP983040:TTW983045 UDL983040:UDS983045 UNH983040:UNO983045 UXD983040:UXK983045 VGZ983040:VHG983045 VQV983040:VRC983045 WAR983040:WAY983045 WKN983040:WKU983045 WUJ983040:WUQ983045 HX65536:IE65541 RT65536:SA65541 ABP65536:ABW65541 ALL65536:ALS65541 AVH65536:AVO65541 BFD65536:BFK65541 BOZ65536:BPG65541 BYV65536:BZC65541 CIR65536:CIY65541 CSN65536:CSU65541 DCJ65536:DCQ65541 DMF65536:DMM65541 DWB65536:DWI65541 EFX65536:EGE65541 EPT65536:EQA65541 EZP65536:EZW65541 FJL65536:FJS65541 FTH65536:FTO65541 GDD65536:GDK65541 GMZ65536:GNG65541 GWV65536:GXC65541 HGR65536:HGY65541 HQN65536:HQU65541 IAJ65536:IAQ65541 IKF65536:IKM65541 IUB65536:IUI65541 JDX65536:JEE65541 JNT65536:JOA65541 JXP65536:JXW65541 KHL65536:KHS65541 KRH65536:KRO65541 LBD65536:LBK65541 LKZ65536:LLG65541 LUV65536:LVC65541 MER65536:MEY65541 MON65536:MOU65541 MYJ65536:MYQ65541 NIF65536:NIM65541 NSB65536:NSI65541 OBX65536:OCE65541 OLT65536:OMA65541 OVP65536:OVW65541 PFL65536:PFS65541 PPH65536:PPO65541 PZD65536:PZK65541 QIZ65536:QJG65541 QSV65536:QTC65541 RCR65536:RCY65541 RMN65536:RMU65541 RWJ65536:RWQ65541 SGF65536:SGM65541 SQB65536:SQI65541 SZX65536:TAE65541 TJT65536:TKA65541 TTP65536:TTW65541 UDL65536:UDS65541 UNH65536:UNO65541 UXD65536:UXK65541 VGZ65536:VHG65541 VQV65536:VRC65541 WAR65536:WAY65541 WKN65536:WKU65541 WUJ65536:WUQ65541 HX131072:IE131077 RT131072:SA131077 ABP131072:ABW131077 ALL131072:ALS131077 AVH131072:AVO131077 BFD131072:BFK131077 BOZ131072:BPG131077 BYV131072:BZC131077 CIR131072:CIY131077 CSN131072:CSU131077 DCJ131072:DCQ131077 DMF131072:DMM131077 DWB131072:DWI131077 EFX131072:EGE131077 EPT131072:EQA131077 EZP131072:EZW131077 FJL131072:FJS131077 FTH131072:FTO131077 GDD131072:GDK131077 GMZ131072:GNG131077 GWV131072:GXC131077 HGR131072:HGY131077 HQN131072:HQU131077 IAJ131072:IAQ131077 IKF131072:IKM131077 IUB131072:IUI131077 JDX131072:JEE131077 JNT131072:JOA131077 JXP131072:JXW131077 KHL131072:KHS131077 KRH131072:KRO131077 LBD131072:LBK131077 LKZ131072:LLG131077 LUV131072:LVC131077 MER131072:MEY131077 MON131072:MOU131077 MYJ131072:MYQ131077 NIF131072:NIM131077 NSB131072:NSI131077 OBX131072:OCE131077 OLT131072:OMA131077 OVP131072:OVW131077 PFL131072:PFS131077 PPH131072:PPO131077 PZD131072:PZK131077 QIZ131072:QJG131077 QSV131072:QTC131077 RCR131072:RCY131077 RMN131072:RMU131077 RWJ131072:RWQ131077 SGF131072:SGM131077 SQB131072:SQI131077 SZX131072:TAE131077 TJT131072:TKA131077 TTP131072:TTW131077 UDL131072:UDS131077 UNH131072:UNO131077 UXD131072:UXK131077 VGZ131072:VHG131077 VQV131072:VRC131077 WAR131072:WAY131077 WKN131072:WKU131077 WUJ131072:WUQ131077 HX196608:IE196613 RT196608:SA196613 ABP196608:ABW196613 ALL196608:ALS196613 AVH196608:AVO196613 BFD196608:BFK196613 BOZ196608:BPG196613 BYV196608:BZC196613 CIR196608:CIY196613 CSN196608:CSU196613 DCJ196608:DCQ196613 DMF196608:DMM196613 DWB196608:DWI196613 EFX196608:EGE196613 EPT196608:EQA196613 EZP196608:EZW196613 FJL196608:FJS196613 FTH196608:FTO196613 GDD196608:GDK196613 GMZ196608:GNG196613 GWV196608:GXC196613 HGR196608:HGY196613 HQN196608:HQU196613 IAJ196608:IAQ196613 IKF196608:IKM196613 IUB196608:IUI196613 JDX196608:JEE196613 JNT196608:JOA196613 JXP196608:JXW196613 KHL196608:KHS196613 KRH196608:KRO196613 LBD196608:LBK196613 LKZ196608:LLG196613 LUV196608:LVC196613 MER196608:MEY196613 MON196608:MOU196613 MYJ196608:MYQ196613 NIF196608:NIM196613 NSB196608:NSI196613 OBX196608:OCE196613 OLT196608:OMA196613 OVP196608:OVW196613 PFL196608:PFS196613 PPH196608:PPO196613 PZD196608:PZK196613 QIZ196608:QJG196613 QSV196608:QTC196613 RCR196608:RCY196613 RMN196608:RMU196613 RWJ196608:RWQ196613 SGF196608:SGM196613 SQB196608:SQI196613 SZX196608:TAE196613 TJT196608:TKA196613 TTP196608:TTW196613 UDL196608:UDS196613 UNH196608:UNO196613 UXD196608:UXK196613 VGZ196608:VHG196613 VQV196608:VRC196613 WAR196608:WAY196613 WKN196608:WKU196613 WUJ196608:WUQ196613 HX262144:IE262149 RT262144:SA262149 ABP262144:ABW262149 ALL262144:ALS262149 AVH262144:AVO262149 BFD262144:BFK262149 BOZ262144:BPG262149 BYV262144:BZC262149 CIR262144:CIY262149 CSN262144:CSU262149 DCJ262144:DCQ262149 DMF262144:DMM262149 DWB262144:DWI262149 EFX262144:EGE262149 EPT262144:EQA262149 EZP262144:EZW262149 FJL262144:FJS262149 FTH262144:FTO262149 GDD262144:GDK262149 GMZ262144:GNG262149 GWV262144:GXC262149 HGR262144:HGY262149 HQN262144:HQU262149 IAJ262144:IAQ262149 IKF262144:IKM262149 IUB262144:IUI262149 JDX262144:JEE262149 JNT262144:JOA262149 JXP262144:JXW262149 KHL262144:KHS262149 KRH262144:KRO262149 LBD262144:LBK262149 LKZ262144:LLG262149 LUV262144:LVC262149 MER262144:MEY262149 MON262144:MOU262149 MYJ262144:MYQ262149 NIF262144:NIM262149 NSB262144:NSI262149 OBX262144:OCE262149 OLT262144:OMA262149 OVP262144:OVW262149 PFL262144:PFS262149 PPH262144:PPO262149 PZD262144:PZK262149 QIZ262144:QJG262149 QSV262144:QTC262149 RCR262144:RCY262149 RMN262144:RMU262149 RWJ262144:RWQ262149 SGF262144:SGM262149 SQB262144:SQI262149 SZX262144:TAE262149 TJT262144:TKA262149 TTP262144:TTW262149 UDL262144:UDS262149 UNH262144:UNO262149 UXD262144:UXK262149 VGZ262144:VHG262149 VQV262144:VRC262149 WAR262144:WAY262149 WKN262144:WKU262149 WUJ262144:WUQ262149 HX327680:IE327685 RT327680:SA327685 ABP327680:ABW327685 ALL327680:ALS327685 AVH327680:AVO327685 BFD327680:BFK327685 BOZ327680:BPG327685 BYV327680:BZC327685 CIR327680:CIY327685 CSN327680:CSU327685 DCJ327680:DCQ327685 DMF327680:DMM327685 DWB327680:DWI327685 EFX327680:EGE327685 EPT327680:EQA327685 EZP327680:EZW327685 FJL327680:FJS327685 FTH327680:FTO327685 GDD327680:GDK327685 GMZ327680:GNG327685 GWV327680:GXC327685 HGR327680:HGY327685 HQN327680:HQU327685 IAJ327680:IAQ327685 IKF327680:IKM327685 IUB327680:IUI327685 JDX327680:JEE327685 JNT327680:JOA327685 JXP327680:JXW327685 KHL327680:KHS327685 KRH327680:KRO327685 LBD327680:LBK327685 LKZ327680:LLG327685 LUV327680:LVC327685 MER327680:MEY327685 MON327680:MOU327685 MYJ327680:MYQ327685 NIF327680:NIM327685 NSB327680:NSI327685 OBX327680:OCE327685 OLT327680:OMA327685 OVP327680:OVW327685 PFL327680:PFS327685 PPH327680:PPO327685 PZD327680:PZK327685 QIZ327680:QJG327685 QSV327680:QTC327685 RCR327680:RCY327685 RMN327680:RMU327685 RWJ327680:RWQ327685 SGF327680:SGM327685 SQB327680:SQI327685 SZX327680:TAE327685 TJT327680:TKA327685 TTP327680:TTW327685 UDL327680:UDS327685 UNH327680:UNO327685 UXD327680:UXK327685 VGZ327680:VHG327685 VQV327680:VRC327685 WAR327680:WAY327685 WKN327680:WKU327685 WUJ327680:WUQ327685 HX393216:IE393221 RT393216:SA393221 ABP393216:ABW393221 ALL393216:ALS393221 AVH393216:AVO393221 BFD393216:BFK393221 BOZ393216:BPG393221 BYV393216:BZC393221 CIR393216:CIY393221 CSN393216:CSU393221 DCJ393216:DCQ393221 DMF393216:DMM393221 DWB393216:DWI393221 EFX393216:EGE393221 EPT393216:EQA393221 EZP393216:EZW393221 FJL393216:FJS393221 FTH393216:FTO393221 GDD393216:GDK393221 GMZ393216:GNG393221 GWV393216:GXC393221 HGR393216:HGY393221 HQN393216:HQU393221 IAJ393216:IAQ393221 IKF393216:IKM393221 IUB393216:IUI393221 JDX393216:JEE393221 JNT393216:JOA393221 JXP393216:JXW393221 KHL393216:KHS393221 KRH393216:KRO393221 LBD393216:LBK393221 LKZ393216:LLG393221 LUV393216:LVC393221 MER393216:MEY393221 MON393216:MOU393221 MYJ393216:MYQ393221 NIF393216:NIM393221 NSB393216:NSI393221 OBX393216:OCE393221 OLT393216:OMA393221 OVP393216:OVW393221 PFL393216:PFS393221 PPH393216:PPO393221 PZD393216:PZK393221 QIZ393216:QJG393221 QSV393216:QTC393221 RCR393216:RCY393221 RMN393216:RMU393221 RWJ393216:RWQ393221 SGF393216:SGM393221 SQB393216:SQI393221 SZX393216:TAE393221 TJT393216:TKA393221 TTP393216:TTW393221 UDL393216:UDS393221 UNH393216:UNO393221 UXD393216:UXK393221 VGZ393216:VHG393221 VQV393216:VRC393221 WAR393216:WAY393221 WKN393216:WKU393221 WUJ393216:WUQ393221 HX458752:IE458757 RT458752:SA458757 ABP458752:ABW458757 ALL458752:ALS458757 AVH458752:AVO458757 BFD458752:BFK458757 BOZ458752:BPG458757 BYV458752:BZC458757 CIR458752:CIY458757 CSN458752:CSU458757 DCJ458752:DCQ458757 DMF458752:DMM458757 DWB458752:DWI458757 EFX458752:EGE458757 EPT458752:EQA458757 EZP458752:EZW458757 FJL458752:FJS458757 FTH458752:FTO458757 GDD458752:GDK458757 GMZ458752:GNG458757 GWV458752:GXC458757 HGR458752:HGY458757 HQN458752:HQU458757 IAJ458752:IAQ458757 IKF458752:IKM458757 IUB458752:IUI458757 JDX458752:JEE458757 JNT458752:JOA458757 JXP458752:JXW458757 KHL458752:KHS458757 KRH458752:KRO458757 LBD458752:LBK458757 LKZ458752:LLG458757 LUV458752:LVC458757 MER458752:MEY458757 MON458752:MOU458757 MYJ458752:MYQ458757 NIF458752:NIM458757 NSB458752:NSI458757 OBX458752:OCE458757 OLT458752:OMA458757 OVP458752:OVW458757 PFL458752:PFS458757 PPH458752:PPO458757 PZD458752:PZK458757 QIZ458752:QJG458757 QSV458752:QTC458757 RCR458752:RCY458757 RMN458752:RMU458757 RWJ458752:RWQ458757 SGF458752:SGM458757 SQB458752:SQI458757 SZX458752:TAE458757 TJT458752:TKA458757 TTP458752:TTW458757 UDL458752:UDS458757 UNH458752:UNO458757 UXD458752:UXK458757 VGZ458752:VHG458757 VQV458752:VRC458757 WAR458752:WAY458757 WKN458752:WKU458757 WUJ458752:WUQ458757 HX524288:IE524293 RT524288:SA524293 ABP524288:ABW524293 ALL524288:ALS524293 AVH524288:AVO524293 BFD524288:BFK524293 BOZ524288:BPG524293 BYV524288:BZC524293 CIR524288:CIY524293 CSN524288:CSU524293 DCJ524288:DCQ524293 DMF524288:DMM524293 DWB524288:DWI524293 EFX524288:EGE524293 EPT524288:EQA524293 EZP524288:EZW524293 FJL524288:FJS524293 FTH524288:FTO524293 GDD524288:GDK524293 GMZ524288:GNG524293 GWV524288:GXC524293 HGR524288:HGY524293 HQN524288:HQU524293 IAJ524288:IAQ524293 IKF524288:IKM524293 IUB524288:IUI524293 JDX524288:JEE524293 JNT524288:JOA524293 JXP524288:JXW524293 KHL524288:KHS524293 KRH524288:KRO524293 LBD524288:LBK524293 LKZ524288:LLG524293 LUV524288:LVC524293 MER524288:MEY524293 MON524288:MOU524293 MYJ524288:MYQ524293 NIF524288:NIM524293 NSB524288:NSI524293 OBX524288:OCE524293 OLT524288:OMA524293 OVP524288:OVW524293 PFL524288:PFS524293 PPH524288:PPO524293 PZD524288:PZK524293 QIZ524288:QJG524293 QSV524288:QTC524293 RCR524288:RCY524293 RMN524288:RMU524293 RWJ524288:RWQ524293 SGF524288:SGM524293 SQB524288:SQI524293 SZX524288:TAE524293 TJT524288:TKA524293 TTP524288:TTW524293 UDL524288:UDS524293 UNH524288:UNO524293 UXD524288:UXK524293 VGZ524288:VHG524293 VQV524288:VRC524293 WAR524288:WAY524293 WKN524288:WKU524293 WUJ524288:WUQ524293 HX589824:IE589829 RT589824:SA589829 ABP589824:ABW589829 ALL589824:ALS589829 AVH589824:AVO589829 BFD589824:BFK589829 BOZ589824:BPG589829 BYV589824:BZC589829 CIR589824:CIY589829 CSN589824:CSU589829 DCJ589824:DCQ589829 DMF589824:DMM589829 DWB589824:DWI589829 EFX589824:EGE589829 EPT589824:EQA589829 EZP589824:EZW589829 FJL589824:FJS589829 FTH589824:FTO589829 GDD589824:GDK589829 GMZ589824:GNG589829 GWV589824:GXC589829 HGR589824:HGY589829 HQN589824:HQU589829 IAJ589824:IAQ589829 IKF589824:IKM589829 IUB589824:IUI589829 JDX589824:JEE589829 JNT589824:JOA589829 JXP589824:JXW589829 KHL589824:KHS589829 KRH589824:KRO589829 LBD589824:LBK589829 LKZ589824:LLG589829 LUV589824:LVC589829 MER589824:MEY589829 MON589824:MOU589829 MYJ589824:MYQ589829 NIF589824:NIM589829 NSB589824:NSI589829 OBX589824:OCE589829 OLT589824:OMA589829 OVP589824:OVW589829 PFL589824:PFS589829 PPH589824:PPO589829 PZD589824:PZK589829 QIZ589824:QJG589829 QSV589824:QTC589829 RCR589824:RCY589829 RMN589824:RMU589829 RWJ589824:RWQ589829 SGF589824:SGM589829 SQB589824:SQI589829 SZX589824:TAE589829 TJT589824:TKA589829 TTP589824:TTW589829 UDL589824:UDS589829 UNH589824:UNO589829 UXD589824:UXK589829 VGZ589824:VHG589829 VQV589824:VRC589829 WAR589824:WAY589829 WKN589824:WKU589829 WUJ589824:WUQ589829 HX655360:IE655365 RT655360:SA655365 ABP655360:ABW655365 ALL655360:ALS655365 AVH655360:AVO655365 BFD655360:BFK655365 BOZ655360:BPG655365 BYV655360:BZC655365 CIR655360:CIY655365 CSN655360:CSU655365 DCJ655360:DCQ655365 DMF655360:DMM655365 DWB655360:DWI655365 EFX655360:EGE655365 EPT655360:EQA655365 EZP655360:EZW655365 FJL655360:FJS655365 FTH655360:FTO655365 GDD655360:GDK655365 GMZ655360:GNG655365 GWV655360:GXC655365 HGR655360:HGY655365 HQN655360:HQU655365 IAJ655360:IAQ655365 IKF655360:IKM655365 IUB655360:IUI655365 JDX655360:JEE655365 JNT655360:JOA655365 JXP655360:JXW655365 KHL655360:KHS655365 KRH655360:KRO655365 LBD655360:LBK655365 LKZ655360:LLG655365 LUV655360:LVC655365 MER655360:MEY655365 MON655360:MOU655365 MYJ655360:MYQ655365 NIF655360:NIM655365 NSB655360:NSI655365 OBX655360:OCE655365 OLT655360:OMA655365 OVP655360:OVW655365 PFL655360:PFS655365 PPH655360:PPO655365 PZD655360:PZK655365 QIZ655360:QJG655365 QSV655360:QTC655365 RCR655360:RCY655365 RMN655360:RMU655365 RWJ655360:RWQ655365 SGF655360:SGM655365 SQB655360:SQI655365 SZX655360:TAE655365 TJT655360:TKA655365 TTP655360:TTW655365 UDL655360:UDS655365 UNH655360:UNO655365 UXD655360:UXK655365 VGZ655360:VHG655365 VQV655360:VRC655365 WAR655360:WAY655365 WKN655360:WKU655365 WUJ655360:WUQ655365 HX720896:IE720901 RT720896:SA720901 ABP720896:ABW720901 ALL720896:ALS720901 AVH720896:AVO720901 BFD720896:BFK720901 BOZ720896:BPG720901 BYV720896:BZC720901 CIR720896:CIY720901 CSN720896:CSU720901 DCJ720896:DCQ720901 DMF720896:DMM720901 DWB720896:DWI720901 EFX720896:EGE720901 EPT720896:EQA720901 EZP720896:EZW720901 FJL720896:FJS720901 FTH720896:FTO720901 GDD720896:GDK720901 GMZ720896:GNG720901 GWV720896:GXC720901 HGR720896:HGY720901 HQN720896:HQU720901 IAJ720896:IAQ720901 IKF720896:IKM720901 IUB720896:IUI720901 JDX720896:JEE720901 JNT720896:JOA720901 JXP720896:JXW720901 KHL720896:KHS720901 KRH720896:KRO720901 LBD720896:LBK720901 LKZ720896:LLG720901 LUV720896:LVC720901 MER720896:MEY720901 MON720896:MOU720901 MYJ720896:MYQ720901 NIF720896:NIM720901 NSB720896:NSI720901 OBX720896:OCE720901 OLT720896:OMA720901 OVP720896:OVW720901 PFL720896:PFS720901 PPH720896:PPO720901 PZD720896:PZK720901 QIZ720896:QJG720901 QSV720896:QTC720901 RCR720896:RCY720901 RMN720896:RMU720901 RWJ720896:RWQ720901 SGF720896:SGM720901 SQB720896:SQI720901 SZX720896:TAE720901 TJT720896:TKA720901 TTP720896:TTW720901 UDL720896:UDS720901 UNH720896:UNO720901 UXD720896:UXK720901 VGZ720896:VHG720901 VQV720896:VRC720901 WAR720896:WAY720901 WKN720896:WKU720901 WUJ720896:WUQ720901 HX786432:IE786437 RT786432:SA786437 ABP786432:ABW786437 ALL786432:ALS786437 AVH786432:AVO786437 BFD786432:BFK786437 BOZ786432:BPG786437 BYV786432:BZC786437 CIR786432:CIY786437 CSN786432:CSU786437 DCJ786432:DCQ786437 DMF786432:DMM786437 DWB786432:DWI786437 EFX786432:EGE786437 EPT786432:EQA786437 EZP786432:EZW786437 FJL786432:FJS786437 FTH786432:FTO786437 GDD786432:GDK786437 GMZ786432:GNG786437 GWV786432:GXC786437 HGR786432:HGY786437 HQN786432:HQU786437 IAJ786432:IAQ786437 IKF786432:IKM786437 IUB786432:IUI786437 JDX786432:JEE786437 JNT786432:JOA786437 JXP786432:JXW786437 KHL786432:KHS786437 KRH786432:KRO786437 LBD786432:LBK786437 LKZ786432:LLG786437 LUV786432:LVC786437 MER786432:MEY786437 MON786432:MOU786437 MYJ786432:MYQ786437 NIF786432:NIM786437 NSB786432:NSI786437 OBX786432:OCE786437 OLT786432:OMA786437 OVP786432:OVW786437 PFL786432:PFS786437 PPH786432:PPO786437 PZD786432:PZK786437 QIZ786432:QJG786437 QSV786432:QTC786437 RCR786432:RCY786437 RMN786432:RMU786437 RWJ786432:RWQ786437 SGF786432:SGM786437 SQB786432:SQI786437 SZX786432:TAE786437 TJT786432:TKA786437 TTP786432:TTW786437 UDL786432:UDS786437 UNH786432:UNO786437 UXD786432:UXK786437 VGZ786432:VHG786437 VQV786432:VRC786437 WAR786432:WAY786437 WKN786432:WKU786437 WUJ786432:WUQ786437 HX851968:IE851973 RT851968:SA851973 ABP851968:ABW851973 ALL851968:ALS851973 AVH851968:AVO851973 BFD851968:BFK851973 BOZ851968:BPG851973 BYV851968:BZC851973 CIR851968:CIY851973 CSN851968:CSU851973 DCJ851968:DCQ851973 DMF851968:DMM851973 DWB851968:DWI851973 EFX851968:EGE851973 EPT851968:EQA851973 EZP851968:EZW851973 FJL851968:FJS851973 FTH851968:FTO851973 GDD851968:GDK851973 GMZ851968:GNG851973 GWV851968:GXC851973 HGR851968:HGY851973 HQN851968:HQU851973 IAJ851968:IAQ851973 IKF851968:IKM851973 IUB851968:IUI851973 JDX851968:JEE851973 JNT851968:JOA851973 JXP851968:JXW851973 KHL851968:KHS851973 KRH851968:KRO851973 LBD851968:LBK851973 LKZ851968:LLG851973 LUV851968:LVC851973 MER851968:MEY851973 MON851968:MOU851973 MYJ851968:MYQ851973 NIF851968:NIM851973 NSB851968:NSI851973 OBX851968:OCE851973 OLT851968:OMA851973 OVP851968:OVW851973 PFL851968:PFS851973 PPH851968:PPO851973 PZD851968:PZK851973 QIZ851968:QJG851973 QSV851968:QTC851973 RCR851968:RCY851973 RMN851968:RMU851973 RWJ851968:RWQ851973 SGF851968:SGM851973 SQB851968:SQI851973 SZX851968:TAE851973 TJT851968:TKA851973 TTP851968:TTW851973 UDL851968:UDS851973 UNH851968:UNO851973 UXD851968:UXK851973 VGZ851968:VHG851973 VQV851968:VRC851973 WAR851968:WAY851973 WKN851968:WKU851973 WUJ851968:WUQ851973 HX917504:IE917509 RT917504:SA917509 ABP917504:ABW917509 ALL917504:ALS917509 AVH917504:AVO917509 BFD917504:BFK917509 BOZ917504:BPG917509 BYV917504:BZC917509 CIR917504:CIY917509 CSN917504:CSU917509 DCJ917504:DCQ917509 DMF917504:DMM917509 DWB917504:DWI917509 EFX917504:EGE917509 EPT917504:EQA917509 EZP917504:EZW917509 FJL917504:FJS917509 FTH917504:FTO917509 GDD917504:GDK917509 GMZ917504:GNG917509 GWV917504:GXC917509 HGR917504:HGY917509 HQN917504:HQU917509 IAJ917504:IAQ917509 IKF917504:IKM917509 IUB917504:IUI917509 JDX917504:JEE917509 JNT917504:JOA917509 JXP917504:JXW917509 KHL917504:KHS917509 KRH917504:KRO917509 LBD917504:LBK917509 LKZ917504:LLG917509 LUV917504:LVC917509 MER917504:MEY917509 MON917504:MOU917509 MYJ917504:MYQ917509 NIF917504:NIM917509 NSB917504:NSI917509 OBX917504:OCE917509 OLT917504:OMA917509 OVP917504:OVW917509 PFL917504:PFS917509 PPH917504:PPO917509 PZD917504:PZK917509 QIZ917504:QJG917509 QSV917504:QTC917509 RCR917504:RCY917509 RMN917504:RMU917509 RWJ917504:RWQ917509 SGF917504:SGM917509 SQB917504:SQI917509 SZX917504:TAE917509 TJT917504:TKA917509 TTP917504:TTW917509 UDL917504:UDS917509 UNH917504:UNO917509 UXD917504:UXK917509 VGZ917504:VHG917509 VQV917504:VRC917509 WAR917504:WAY917509 WKN917504:WKU917509 WUJ917504:WUQ917509" xr:uid="{845E1607-DDA4-4DAB-99EB-EF8F27A27D4E}">
      <formula1>"サーバ,クライアント"</formula1>
    </dataValidation>
  </dataValidations>
  <pageMargins left="0.7" right="0.7" top="0.75" bottom="0.75" header="0.3" footer="0.3"/>
  <pageSetup paperSize="9" scale="65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H348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86" width="2.7265625" style="657" customWidth="1"/>
    <col min="87" max="16384" width="2.54296875" style="657"/>
  </cols>
  <sheetData>
    <row r="1" spans="1:85" ht="13.75" customHeight="1">
      <c r="A1" s="945" t="s">
        <v>456</v>
      </c>
      <c r="B1" s="945"/>
      <c r="C1" s="945"/>
      <c r="D1" s="945"/>
      <c r="E1" s="945"/>
      <c r="F1" s="945"/>
      <c r="G1" s="945"/>
      <c r="H1" s="945"/>
      <c r="I1" s="945"/>
      <c r="J1" s="945"/>
      <c r="K1" s="945"/>
      <c r="L1" s="945"/>
      <c r="M1" s="945"/>
      <c r="CG1" s="656"/>
    </row>
    <row r="2" spans="1:85">
      <c r="A2" s="658"/>
      <c r="B2" s="659"/>
      <c r="C2" s="659"/>
      <c r="D2" s="659"/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59"/>
      <c r="AD2" s="659"/>
      <c r="AE2" s="659"/>
      <c r="AF2" s="659"/>
      <c r="AG2" s="659"/>
      <c r="AH2" s="659"/>
      <c r="AI2" s="659"/>
      <c r="AJ2" s="659"/>
      <c r="AK2" s="659"/>
      <c r="AL2" s="659"/>
      <c r="AM2" s="659"/>
      <c r="AN2" s="659"/>
      <c r="AO2" s="659"/>
      <c r="AP2" s="659"/>
      <c r="AQ2" s="659"/>
      <c r="AR2" s="659"/>
      <c r="AS2" s="659"/>
      <c r="AT2" s="659"/>
      <c r="AU2" s="659"/>
      <c r="AV2" s="659"/>
      <c r="AW2" s="659"/>
      <c r="AX2" s="659"/>
      <c r="AY2" s="659"/>
      <c r="AZ2" s="659"/>
      <c r="BA2" s="659"/>
      <c r="BB2" s="659"/>
      <c r="BC2" s="659"/>
      <c r="BD2" s="659"/>
      <c r="BE2" s="659"/>
      <c r="BF2" s="659"/>
      <c r="BG2" s="659"/>
      <c r="BH2" s="659"/>
      <c r="BI2" s="659"/>
      <c r="BJ2" s="659"/>
      <c r="BK2" s="659"/>
      <c r="BL2" s="659"/>
      <c r="BM2" s="659"/>
      <c r="BN2" s="659"/>
      <c r="BO2" s="659"/>
      <c r="BP2" s="659"/>
      <c r="BQ2" s="659"/>
      <c r="BR2" s="659"/>
      <c r="BS2" s="659"/>
      <c r="BT2" s="659"/>
      <c r="BU2" s="659"/>
      <c r="BV2" s="659"/>
      <c r="BW2" s="659"/>
      <c r="BX2" s="659"/>
      <c r="BY2" s="659"/>
      <c r="BZ2" s="659"/>
      <c r="CA2" s="659"/>
      <c r="CB2" s="659"/>
      <c r="CC2" s="659"/>
      <c r="CD2" s="659"/>
      <c r="CE2" s="659"/>
      <c r="CF2" s="659"/>
      <c r="CG2" s="660"/>
    </row>
    <row r="3" spans="1:85">
      <c r="A3" s="661"/>
      <c r="B3" s="662" t="s">
        <v>683</v>
      </c>
      <c r="CG3" s="656"/>
    </row>
    <row r="4" spans="1:85">
      <c r="A4" s="661"/>
      <c r="CG4" s="656"/>
    </row>
    <row r="5" spans="1:85">
      <c r="A5" s="661"/>
      <c r="E5" s="663" t="s">
        <v>457</v>
      </c>
      <c r="F5" s="663"/>
      <c r="G5" s="663"/>
      <c r="H5" s="663"/>
      <c r="J5" s="663"/>
      <c r="K5" s="663"/>
      <c r="L5" s="663"/>
      <c r="M5" s="663"/>
      <c r="N5" s="663"/>
      <c r="O5" s="663"/>
      <c r="P5" s="663"/>
      <c r="Q5" s="663"/>
      <c r="R5" s="663"/>
      <c r="S5" s="663"/>
      <c r="T5" s="663"/>
      <c r="U5" s="663"/>
      <c r="V5" s="663"/>
      <c r="W5" s="663"/>
      <c r="X5" s="663"/>
      <c r="Y5" s="663"/>
      <c r="Z5" s="663"/>
      <c r="AA5" s="663"/>
      <c r="AB5" s="663"/>
      <c r="AC5" s="663"/>
      <c r="AD5" s="663"/>
      <c r="AE5" s="663"/>
      <c r="AF5" s="663"/>
      <c r="AG5" s="663"/>
      <c r="AH5" s="663"/>
      <c r="AI5" s="663"/>
      <c r="AJ5" s="663"/>
      <c r="AK5" s="663"/>
      <c r="AL5" s="663"/>
      <c r="AM5" s="663"/>
      <c r="AN5" s="663"/>
      <c r="AO5" s="663"/>
      <c r="AP5" s="663"/>
      <c r="AQ5" s="663"/>
      <c r="AR5" s="663"/>
      <c r="AS5" s="663"/>
      <c r="AT5" s="663"/>
      <c r="AU5" s="663"/>
      <c r="CG5" s="656"/>
    </row>
    <row r="6" spans="1:85">
      <c r="A6" s="661"/>
      <c r="E6" s="663"/>
      <c r="F6" s="663"/>
      <c r="G6" s="663"/>
      <c r="H6" s="663"/>
      <c r="I6" s="663"/>
      <c r="J6" s="663"/>
      <c r="K6" s="663"/>
      <c r="L6" s="663"/>
      <c r="M6" s="663"/>
      <c r="N6" s="663"/>
      <c r="O6" s="663"/>
      <c r="P6" s="663"/>
      <c r="Q6" s="663"/>
      <c r="R6" s="663"/>
      <c r="S6" s="663"/>
      <c r="T6" s="663"/>
      <c r="U6" s="663"/>
      <c r="V6" s="663"/>
      <c r="W6" s="663"/>
      <c r="X6" s="663"/>
      <c r="Y6" s="663"/>
      <c r="Z6" s="663"/>
      <c r="AA6" s="663"/>
      <c r="AB6" s="663"/>
      <c r="AC6" s="663"/>
      <c r="AD6" s="663"/>
      <c r="AE6" s="663"/>
      <c r="AF6" s="663"/>
      <c r="AG6" s="663"/>
      <c r="AH6" s="663"/>
      <c r="AI6" s="663"/>
      <c r="AJ6" s="663"/>
      <c r="AK6" s="663"/>
      <c r="AL6" s="663"/>
      <c r="AM6" s="663"/>
      <c r="AN6" s="663"/>
      <c r="AO6" s="663"/>
      <c r="AP6" s="663"/>
      <c r="AQ6" s="663"/>
      <c r="AR6" s="663"/>
      <c r="AS6" s="663"/>
      <c r="AT6" s="663"/>
      <c r="AU6" s="663"/>
      <c r="CG6" s="656"/>
    </row>
    <row r="7" spans="1:85">
      <c r="A7" s="661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  <c r="X7" s="663"/>
      <c r="Y7" s="663"/>
      <c r="Z7" s="663"/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CG7" s="656"/>
    </row>
    <row r="8" spans="1:85">
      <c r="A8" s="661"/>
      <c r="E8" s="663"/>
      <c r="F8" s="663"/>
      <c r="G8" s="663"/>
      <c r="H8" s="663"/>
      <c r="I8" s="663"/>
      <c r="J8" s="663"/>
      <c r="K8" s="663"/>
      <c r="L8" s="663"/>
      <c r="M8" s="663"/>
      <c r="N8" s="663"/>
      <c r="O8" s="663"/>
      <c r="P8" s="663"/>
      <c r="Q8" s="663"/>
      <c r="R8" s="663"/>
      <c r="S8" s="663"/>
      <c r="T8" s="663"/>
      <c r="U8" s="663"/>
      <c r="V8" s="663"/>
      <c r="W8" s="663"/>
      <c r="X8" s="663"/>
      <c r="Y8" s="663"/>
      <c r="Z8" s="663"/>
      <c r="AA8" s="663"/>
      <c r="AB8" s="663"/>
      <c r="AC8" s="663"/>
      <c r="AD8" s="663"/>
      <c r="AE8" s="663"/>
      <c r="AF8" s="663"/>
      <c r="AG8" s="663"/>
      <c r="AH8" s="663"/>
      <c r="AI8" s="663"/>
      <c r="AJ8" s="663"/>
      <c r="AK8" s="663"/>
      <c r="AL8" s="663"/>
      <c r="AM8" s="663"/>
      <c r="AN8" s="663"/>
      <c r="AO8" s="663"/>
      <c r="AP8" s="663"/>
      <c r="AQ8" s="663"/>
      <c r="AR8" s="663"/>
      <c r="AS8" s="663"/>
      <c r="AT8" s="663"/>
      <c r="AU8" s="663"/>
      <c r="CG8" s="656"/>
    </row>
    <row r="9" spans="1:85">
      <c r="A9" s="661"/>
      <c r="E9" s="663"/>
      <c r="F9" s="663"/>
      <c r="G9" s="663"/>
      <c r="H9" s="663"/>
      <c r="I9" s="663"/>
      <c r="J9" s="663"/>
      <c r="K9" s="663"/>
      <c r="L9" s="663"/>
      <c r="M9" s="663"/>
      <c r="N9" s="663"/>
      <c r="O9" s="663"/>
      <c r="P9" s="663"/>
      <c r="Q9" s="663"/>
      <c r="R9" s="663"/>
      <c r="S9" s="663"/>
      <c r="T9" s="663"/>
      <c r="U9" s="663"/>
      <c r="V9" s="663"/>
      <c r="W9" s="663"/>
      <c r="X9" s="663"/>
      <c r="Y9" s="663"/>
      <c r="Z9" s="663"/>
      <c r="AA9" s="663"/>
      <c r="AB9" s="663"/>
      <c r="AC9" s="663"/>
      <c r="AD9" s="663"/>
      <c r="AE9" s="663"/>
      <c r="AF9" s="663"/>
      <c r="AG9" s="663"/>
      <c r="AH9" s="663"/>
      <c r="AI9" s="663"/>
      <c r="AJ9" s="663"/>
      <c r="AK9" s="663"/>
      <c r="AL9" s="663"/>
      <c r="AM9" s="663"/>
      <c r="AN9" s="663"/>
      <c r="AO9" s="663"/>
      <c r="AP9" s="663"/>
      <c r="AQ9" s="663"/>
      <c r="AR9" s="663"/>
      <c r="AS9" s="663"/>
      <c r="AT9" s="663"/>
      <c r="AU9" s="663"/>
      <c r="CG9" s="656"/>
    </row>
    <row r="10" spans="1:85">
      <c r="A10" s="661"/>
      <c r="E10" s="663"/>
      <c r="F10" s="663"/>
      <c r="G10" s="663"/>
      <c r="H10" s="663"/>
      <c r="I10" s="663"/>
      <c r="J10" s="663"/>
      <c r="K10" s="663"/>
      <c r="L10" s="663"/>
      <c r="M10" s="663"/>
      <c r="N10" s="663"/>
      <c r="O10" s="663"/>
      <c r="P10" s="663"/>
      <c r="Q10" s="663"/>
      <c r="R10" s="663"/>
      <c r="S10" s="663"/>
      <c r="T10" s="663"/>
      <c r="U10" s="663"/>
      <c r="V10" s="663"/>
      <c r="W10" s="663"/>
      <c r="X10" s="663"/>
      <c r="Y10" s="663"/>
      <c r="Z10" s="663"/>
      <c r="AA10" s="663"/>
      <c r="AB10" s="663"/>
      <c r="AC10" s="663"/>
      <c r="AD10" s="663"/>
      <c r="AE10" s="663"/>
      <c r="AF10" s="663"/>
      <c r="AG10" s="663"/>
      <c r="AH10" s="663"/>
      <c r="AI10" s="663"/>
      <c r="AJ10" s="663"/>
      <c r="AK10" s="663"/>
      <c r="AL10" s="663"/>
      <c r="AM10" s="663"/>
      <c r="AN10" s="663"/>
      <c r="AO10" s="663"/>
      <c r="AP10" s="663"/>
      <c r="AQ10" s="663"/>
      <c r="AR10" s="663"/>
      <c r="AS10" s="663"/>
      <c r="AT10" s="663"/>
      <c r="AU10" s="663"/>
      <c r="CG10" s="656"/>
    </row>
    <row r="11" spans="1:85">
      <c r="A11" s="661"/>
      <c r="E11" s="663"/>
      <c r="F11" s="663"/>
      <c r="G11" s="663"/>
      <c r="H11" s="663"/>
      <c r="I11" s="663"/>
      <c r="J11" s="663"/>
      <c r="K11" s="663"/>
      <c r="L11" s="663"/>
      <c r="M11" s="663"/>
      <c r="N11" s="663"/>
      <c r="O11" s="663"/>
      <c r="P11" s="663"/>
      <c r="Q11" s="663"/>
      <c r="R11" s="663"/>
      <c r="S11" s="663"/>
      <c r="T11" s="663"/>
      <c r="U11" s="663"/>
      <c r="V11" s="663"/>
      <c r="W11" s="663"/>
      <c r="X11" s="663"/>
      <c r="Y11" s="663"/>
      <c r="Z11" s="663"/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CG11" s="656"/>
    </row>
    <row r="12" spans="1:85">
      <c r="A12" s="661"/>
      <c r="E12" s="663"/>
      <c r="F12" s="663"/>
      <c r="G12" s="663"/>
      <c r="H12" s="663"/>
      <c r="I12" s="663"/>
      <c r="J12" s="663"/>
      <c r="K12" s="663"/>
      <c r="L12" s="663"/>
      <c r="M12" s="663"/>
      <c r="N12" s="663"/>
      <c r="O12" s="663"/>
      <c r="P12" s="663"/>
      <c r="Q12" s="663"/>
      <c r="R12" s="663"/>
      <c r="S12" s="663"/>
      <c r="T12" s="663"/>
      <c r="U12" s="663"/>
      <c r="V12" s="663"/>
      <c r="W12" s="663"/>
      <c r="X12" s="663"/>
      <c r="Y12" s="663"/>
      <c r="Z12" s="663"/>
      <c r="AA12" s="663"/>
      <c r="AB12" s="663"/>
      <c r="AC12" s="663"/>
      <c r="AD12" s="663"/>
      <c r="AE12" s="663"/>
      <c r="AF12" s="663"/>
      <c r="AG12" s="663"/>
      <c r="AH12" s="663"/>
      <c r="AI12" s="663"/>
      <c r="AJ12" s="663"/>
      <c r="AK12" s="663"/>
      <c r="AL12" s="663"/>
      <c r="AM12" s="663"/>
      <c r="AN12" s="663"/>
      <c r="AO12" s="663"/>
      <c r="AP12" s="663"/>
      <c r="AQ12" s="663"/>
      <c r="AR12" s="663"/>
      <c r="AS12" s="663"/>
      <c r="AT12" s="663"/>
      <c r="AU12" s="663"/>
      <c r="CG12" s="656"/>
    </row>
    <row r="13" spans="1:85">
      <c r="A13" s="661"/>
      <c r="E13" s="663"/>
      <c r="F13" s="663"/>
      <c r="G13" s="663"/>
      <c r="H13" s="663"/>
      <c r="I13" s="663"/>
      <c r="J13" s="663"/>
      <c r="K13" s="663"/>
      <c r="L13" s="663"/>
      <c r="M13" s="663"/>
      <c r="N13" s="663"/>
      <c r="O13" s="663"/>
      <c r="P13" s="663"/>
      <c r="Q13" s="663"/>
      <c r="R13" s="663"/>
      <c r="S13" s="663"/>
      <c r="T13" s="663"/>
      <c r="U13" s="663"/>
      <c r="V13" s="663"/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3"/>
      <c r="AL13" s="663"/>
      <c r="AM13" s="663"/>
      <c r="AN13" s="663"/>
      <c r="AO13" s="663"/>
      <c r="AP13" s="663"/>
      <c r="AQ13" s="663"/>
      <c r="AR13" s="663"/>
      <c r="AS13" s="663"/>
      <c r="AT13" s="663"/>
      <c r="AU13" s="663"/>
      <c r="CG13" s="656"/>
    </row>
    <row r="14" spans="1:85">
      <c r="A14" s="661"/>
      <c r="E14" s="663"/>
      <c r="F14" s="663"/>
      <c r="G14" s="663"/>
      <c r="H14" s="663"/>
      <c r="I14" s="663"/>
      <c r="J14" s="663"/>
      <c r="K14" s="663"/>
      <c r="L14" s="663"/>
      <c r="M14" s="663"/>
      <c r="N14" s="663"/>
      <c r="O14" s="663"/>
      <c r="P14" s="663"/>
      <c r="Q14" s="663"/>
      <c r="R14" s="663"/>
      <c r="S14" s="663"/>
      <c r="T14" s="663"/>
      <c r="U14" s="663"/>
      <c r="V14" s="663"/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  <c r="AT14" s="663"/>
      <c r="AU14" s="663"/>
      <c r="CG14" s="656"/>
    </row>
    <row r="15" spans="1:85">
      <c r="A15" s="661"/>
      <c r="E15" s="663"/>
      <c r="F15" s="663"/>
      <c r="G15" s="663"/>
      <c r="H15" s="663"/>
      <c r="I15" s="663"/>
      <c r="J15" s="663"/>
      <c r="K15" s="663"/>
      <c r="L15" s="663"/>
      <c r="M15" s="663"/>
      <c r="N15" s="663"/>
      <c r="O15" s="663"/>
      <c r="P15" s="663"/>
      <c r="Q15" s="663"/>
      <c r="R15" s="663"/>
      <c r="S15" s="663"/>
      <c r="T15" s="663"/>
      <c r="U15" s="663"/>
      <c r="V15" s="663"/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CG15" s="656"/>
    </row>
    <row r="16" spans="1:85">
      <c r="A16" s="661"/>
      <c r="E16" s="663"/>
      <c r="F16" s="663"/>
      <c r="G16" s="663"/>
      <c r="H16" s="663"/>
      <c r="I16" s="663"/>
      <c r="J16" s="663"/>
      <c r="K16" s="663"/>
      <c r="L16" s="663"/>
      <c r="M16" s="663"/>
      <c r="N16" s="663"/>
      <c r="O16" s="663"/>
      <c r="P16" s="663"/>
      <c r="Q16" s="663"/>
      <c r="R16" s="663"/>
      <c r="S16" s="663"/>
      <c r="T16" s="663"/>
      <c r="U16" s="663"/>
      <c r="V16" s="663"/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3"/>
      <c r="AH16" s="663"/>
      <c r="AI16" s="663"/>
      <c r="AJ16" s="663"/>
      <c r="AK16" s="663"/>
      <c r="AL16" s="663"/>
      <c r="AM16" s="663"/>
      <c r="AN16" s="663"/>
      <c r="AO16" s="663"/>
      <c r="AP16" s="663"/>
      <c r="AQ16" s="663"/>
      <c r="AR16" s="663"/>
      <c r="AS16" s="663"/>
      <c r="AT16" s="663"/>
      <c r="AU16" s="663"/>
      <c r="CG16" s="656"/>
    </row>
    <row r="17" spans="1:85">
      <c r="A17" s="661"/>
      <c r="E17" s="663"/>
      <c r="F17" s="663"/>
      <c r="G17" s="663"/>
      <c r="H17" s="663"/>
      <c r="I17" s="663"/>
      <c r="J17" s="663"/>
      <c r="K17" s="663"/>
      <c r="L17" s="663"/>
      <c r="M17" s="663"/>
      <c r="N17" s="663"/>
      <c r="O17" s="663"/>
      <c r="P17" s="663"/>
      <c r="Q17" s="663"/>
      <c r="R17" s="663"/>
      <c r="S17" s="663"/>
      <c r="T17" s="663"/>
      <c r="U17" s="663"/>
      <c r="V17" s="663"/>
      <c r="W17" s="663"/>
      <c r="X17" s="663"/>
      <c r="Y17" s="663"/>
      <c r="Z17" s="663"/>
      <c r="AA17" s="663"/>
      <c r="AB17" s="663"/>
      <c r="AC17" s="663"/>
      <c r="AD17" s="663"/>
      <c r="AE17" s="663"/>
      <c r="AF17" s="663"/>
      <c r="AG17" s="663"/>
      <c r="AH17" s="663"/>
      <c r="AI17" s="663"/>
      <c r="AJ17" s="663"/>
      <c r="AK17" s="663"/>
      <c r="AL17" s="663"/>
      <c r="AM17" s="663"/>
      <c r="AN17" s="663"/>
      <c r="AO17" s="663"/>
      <c r="AP17" s="663"/>
      <c r="AQ17" s="663"/>
      <c r="AR17" s="663"/>
      <c r="AS17" s="663"/>
      <c r="AT17" s="663"/>
      <c r="AU17" s="663"/>
      <c r="CG17" s="656"/>
    </row>
    <row r="18" spans="1:85">
      <c r="A18" s="661"/>
      <c r="E18" s="663"/>
      <c r="F18" s="663"/>
      <c r="G18" s="663"/>
      <c r="H18" s="663"/>
      <c r="I18" s="663"/>
      <c r="J18" s="663"/>
      <c r="K18" s="663"/>
      <c r="L18" s="663"/>
      <c r="M18" s="663"/>
      <c r="N18" s="663"/>
      <c r="O18" s="663"/>
      <c r="P18" s="663"/>
      <c r="Q18" s="663"/>
      <c r="R18" s="663"/>
      <c r="S18" s="663"/>
      <c r="T18" s="663"/>
      <c r="U18" s="663"/>
      <c r="V18" s="663"/>
      <c r="W18" s="663"/>
      <c r="X18" s="663"/>
      <c r="Y18" s="663"/>
      <c r="Z18" s="663"/>
      <c r="AA18" s="663"/>
      <c r="AB18" s="663"/>
      <c r="AC18" s="663"/>
      <c r="AD18" s="663"/>
      <c r="AE18" s="663"/>
      <c r="AF18" s="663"/>
      <c r="AG18" s="663"/>
      <c r="AH18" s="663"/>
      <c r="AI18" s="663"/>
      <c r="AJ18" s="663"/>
      <c r="AK18" s="663"/>
      <c r="AL18" s="663"/>
      <c r="AM18" s="663"/>
      <c r="AN18" s="663"/>
      <c r="AO18" s="663"/>
      <c r="AP18" s="663"/>
      <c r="AQ18" s="663"/>
      <c r="AR18" s="663"/>
      <c r="AS18" s="663"/>
      <c r="AT18" s="663"/>
      <c r="AU18" s="663"/>
      <c r="CG18" s="656"/>
    </row>
    <row r="19" spans="1:85">
      <c r="A19" s="661"/>
      <c r="E19" s="663"/>
      <c r="F19" s="663"/>
      <c r="G19" s="663"/>
      <c r="H19" s="663"/>
      <c r="I19" s="663"/>
      <c r="J19" s="663"/>
      <c r="K19" s="663"/>
      <c r="L19" s="663"/>
      <c r="M19" s="663"/>
      <c r="N19" s="663"/>
      <c r="O19" s="663"/>
      <c r="P19" s="663"/>
      <c r="Q19" s="663"/>
      <c r="R19" s="663"/>
      <c r="S19" s="663"/>
      <c r="T19" s="663"/>
      <c r="U19" s="663"/>
      <c r="V19" s="663"/>
      <c r="W19" s="663"/>
      <c r="X19" s="663"/>
      <c r="Y19" s="663"/>
      <c r="Z19" s="663"/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CG19" s="656"/>
    </row>
    <row r="20" spans="1:85">
      <c r="A20" s="661"/>
      <c r="E20" s="663"/>
      <c r="F20" s="663"/>
      <c r="G20" s="663"/>
      <c r="H20" s="663"/>
      <c r="I20" s="663"/>
      <c r="J20" s="663"/>
      <c r="K20" s="663"/>
      <c r="L20" s="663"/>
      <c r="M20" s="663"/>
      <c r="N20" s="663"/>
      <c r="O20" s="663"/>
      <c r="P20" s="663"/>
      <c r="Q20" s="663"/>
      <c r="R20" s="663"/>
      <c r="S20" s="663"/>
      <c r="T20" s="663"/>
      <c r="U20" s="663"/>
      <c r="V20" s="663"/>
      <c r="W20" s="663"/>
      <c r="X20" s="663"/>
      <c r="Y20" s="663"/>
      <c r="Z20" s="663"/>
      <c r="AA20" s="663"/>
      <c r="AB20" s="663"/>
      <c r="AC20" s="663"/>
      <c r="AD20" s="663"/>
      <c r="AE20" s="663"/>
      <c r="AF20" s="663"/>
      <c r="AG20" s="663"/>
      <c r="AH20" s="663"/>
      <c r="AI20" s="663"/>
      <c r="AJ20" s="663"/>
      <c r="AK20" s="663"/>
      <c r="AL20" s="663"/>
      <c r="AM20" s="663"/>
      <c r="AN20" s="663"/>
      <c r="AO20" s="663"/>
      <c r="AP20" s="663"/>
      <c r="AQ20" s="663"/>
      <c r="AR20" s="663"/>
      <c r="AS20" s="663"/>
      <c r="AT20" s="663"/>
      <c r="AU20" s="663"/>
      <c r="CG20" s="656"/>
    </row>
    <row r="21" spans="1:85">
      <c r="A21" s="661"/>
      <c r="E21" s="663"/>
      <c r="F21" s="663"/>
      <c r="G21" s="663"/>
      <c r="H21" s="663"/>
      <c r="I21" s="663"/>
      <c r="J21" s="663"/>
      <c r="K21" s="663"/>
      <c r="L21" s="663"/>
      <c r="M21" s="663"/>
      <c r="N21" s="663"/>
      <c r="O21" s="663"/>
      <c r="P21" s="663"/>
      <c r="Q21" s="663"/>
      <c r="R21" s="663"/>
      <c r="S21" s="663"/>
      <c r="T21" s="663"/>
      <c r="U21" s="663"/>
      <c r="V21" s="663"/>
      <c r="W21" s="663"/>
      <c r="X21" s="663"/>
      <c r="Y21" s="663"/>
      <c r="Z21" s="663"/>
      <c r="AA21" s="663"/>
      <c r="AB21" s="663"/>
      <c r="AC21" s="663"/>
      <c r="AD21" s="663"/>
      <c r="AE21" s="663"/>
      <c r="AF21" s="663"/>
      <c r="AG21" s="663"/>
      <c r="AH21" s="663"/>
      <c r="AI21" s="663"/>
      <c r="AJ21" s="663"/>
      <c r="AK21" s="663"/>
      <c r="AL21" s="663"/>
      <c r="AM21" s="663"/>
      <c r="AN21" s="663"/>
      <c r="AO21" s="663"/>
      <c r="AP21" s="663"/>
      <c r="AQ21" s="663"/>
      <c r="AR21" s="663"/>
      <c r="AS21" s="663"/>
      <c r="AT21" s="663"/>
      <c r="AU21" s="663"/>
      <c r="CG21" s="656"/>
    </row>
    <row r="22" spans="1:85">
      <c r="A22" s="661"/>
      <c r="E22" s="663"/>
      <c r="F22" s="663"/>
      <c r="G22" s="663"/>
      <c r="H22" s="663"/>
      <c r="I22" s="663"/>
      <c r="J22" s="663"/>
      <c r="K22" s="663"/>
      <c r="L22" s="663"/>
      <c r="M22" s="663"/>
      <c r="N22" s="663"/>
      <c r="O22" s="663"/>
      <c r="P22" s="663"/>
      <c r="Q22" s="663"/>
      <c r="R22" s="663"/>
      <c r="S22" s="663"/>
      <c r="T22" s="663"/>
      <c r="U22" s="663"/>
      <c r="V22" s="663"/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3"/>
      <c r="AH22" s="663"/>
      <c r="AI22" s="663"/>
      <c r="AJ22" s="663"/>
      <c r="AK22" s="663"/>
      <c r="AL22" s="663"/>
      <c r="AM22" s="663"/>
      <c r="AN22" s="663"/>
      <c r="AO22" s="663"/>
      <c r="AP22" s="663"/>
      <c r="AQ22" s="663"/>
      <c r="AR22" s="663"/>
      <c r="AS22" s="663"/>
      <c r="AT22" s="663"/>
      <c r="AU22" s="663"/>
      <c r="CG22" s="656"/>
    </row>
    <row r="23" spans="1:85">
      <c r="A23" s="661"/>
      <c r="E23" s="663"/>
      <c r="F23" s="663"/>
      <c r="G23" s="663"/>
      <c r="H23" s="663"/>
      <c r="I23" s="663"/>
      <c r="J23" s="663"/>
      <c r="K23" s="663"/>
      <c r="L23" s="663"/>
      <c r="M23" s="663"/>
      <c r="N23" s="663"/>
      <c r="O23" s="663"/>
      <c r="P23" s="663"/>
      <c r="Q23" s="663"/>
      <c r="R23" s="663"/>
      <c r="S23" s="663"/>
      <c r="T23" s="663"/>
      <c r="U23" s="663"/>
      <c r="V23" s="663"/>
      <c r="W23" s="663"/>
      <c r="X23" s="663"/>
      <c r="Y23" s="663"/>
      <c r="Z23" s="663"/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CG23" s="656"/>
    </row>
    <row r="24" spans="1:85">
      <c r="A24" s="661"/>
      <c r="E24" s="663"/>
      <c r="F24" s="663"/>
      <c r="G24" s="663"/>
      <c r="H24" s="663"/>
      <c r="I24" s="663"/>
      <c r="J24" s="663"/>
      <c r="K24" s="663"/>
      <c r="L24" s="663"/>
      <c r="M24" s="663"/>
      <c r="N24" s="663"/>
      <c r="O24" s="663"/>
      <c r="P24" s="663"/>
      <c r="Q24" s="663"/>
      <c r="R24" s="663"/>
      <c r="S24" s="663"/>
      <c r="T24" s="663"/>
      <c r="U24" s="663"/>
      <c r="V24" s="663"/>
      <c r="W24" s="663"/>
      <c r="X24" s="663"/>
      <c r="Y24" s="663"/>
      <c r="Z24" s="663"/>
      <c r="AA24" s="663"/>
      <c r="AB24" s="663"/>
      <c r="AC24" s="663"/>
      <c r="AD24" s="663"/>
      <c r="AE24" s="663"/>
      <c r="AF24" s="663"/>
      <c r="AG24" s="663"/>
      <c r="AH24" s="663"/>
      <c r="AI24" s="663"/>
      <c r="AJ24" s="663"/>
      <c r="AK24" s="663"/>
      <c r="AL24" s="663"/>
      <c r="AM24" s="663"/>
      <c r="AN24" s="663"/>
      <c r="AO24" s="663"/>
      <c r="AP24" s="663"/>
      <c r="AQ24" s="663"/>
      <c r="AR24" s="663"/>
      <c r="AS24" s="663"/>
      <c r="AT24" s="663"/>
      <c r="AU24" s="663"/>
      <c r="CG24" s="656"/>
    </row>
    <row r="25" spans="1:85">
      <c r="A25" s="661"/>
      <c r="E25" s="663"/>
      <c r="F25" s="663"/>
      <c r="G25" s="663"/>
      <c r="H25" s="663"/>
      <c r="I25" s="663"/>
      <c r="J25" s="663"/>
      <c r="K25" s="663"/>
      <c r="L25" s="663"/>
      <c r="M25" s="663"/>
      <c r="N25" s="663"/>
      <c r="O25" s="663"/>
      <c r="P25" s="663"/>
      <c r="Q25" s="663"/>
      <c r="R25" s="663"/>
      <c r="S25" s="663"/>
      <c r="T25" s="663"/>
      <c r="U25" s="663"/>
      <c r="V25" s="663"/>
      <c r="W25" s="663"/>
      <c r="X25" s="663"/>
      <c r="Y25" s="663"/>
      <c r="Z25" s="663"/>
      <c r="AA25" s="663"/>
      <c r="AB25" s="663"/>
      <c r="AC25" s="663"/>
      <c r="AD25" s="663"/>
      <c r="AE25" s="663"/>
      <c r="AF25" s="663"/>
      <c r="AG25" s="663"/>
      <c r="AH25" s="663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CG25" s="656"/>
    </row>
    <row r="26" spans="1:85">
      <c r="A26" s="661"/>
      <c r="E26" s="663"/>
      <c r="F26" s="663"/>
      <c r="G26" s="663"/>
      <c r="H26" s="663"/>
      <c r="I26" s="663"/>
      <c r="J26" s="663"/>
      <c r="K26" s="663"/>
      <c r="L26" s="663"/>
      <c r="M26" s="663"/>
      <c r="N26" s="663"/>
      <c r="O26" s="663"/>
      <c r="P26" s="663"/>
      <c r="Q26" s="663"/>
      <c r="R26" s="663"/>
      <c r="S26" s="663"/>
      <c r="T26" s="663"/>
      <c r="U26" s="663"/>
      <c r="V26" s="663"/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3"/>
      <c r="AI26" s="663"/>
      <c r="AJ26" s="663"/>
      <c r="AK26" s="663"/>
      <c r="AL26" s="663"/>
      <c r="AM26" s="663"/>
      <c r="AN26" s="663"/>
      <c r="AO26" s="663"/>
      <c r="AP26" s="663"/>
      <c r="AQ26" s="663"/>
      <c r="AR26" s="663"/>
      <c r="AS26" s="663"/>
      <c r="AT26" s="663"/>
      <c r="AU26" s="663"/>
      <c r="CG26" s="656"/>
    </row>
    <row r="27" spans="1:85">
      <c r="A27" s="661"/>
      <c r="E27" s="663"/>
      <c r="F27" s="663"/>
      <c r="G27" s="663"/>
      <c r="H27" s="663"/>
      <c r="I27" s="663"/>
      <c r="J27" s="663"/>
      <c r="K27" s="663"/>
      <c r="L27" s="663"/>
      <c r="M27" s="663"/>
      <c r="N27" s="663"/>
      <c r="O27" s="663"/>
      <c r="P27" s="663"/>
      <c r="Q27" s="663"/>
      <c r="R27" s="663"/>
      <c r="S27" s="663"/>
      <c r="T27" s="663"/>
      <c r="U27" s="663"/>
      <c r="V27" s="663"/>
      <c r="W27" s="663"/>
      <c r="X27" s="663"/>
      <c r="Y27" s="663"/>
      <c r="Z27" s="663"/>
      <c r="AA27" s="663"/>
      <c r="AB27" s="663"/>
      <c r="AC27" s="663"/>
      <c r="AD27" s="663"/>
      <c r="AE27" s="663"/>
      <c r="AF27" s="663"/>
      <c r="AG27" s="663"/>
      <c r="AH27" s="663"/>
      <c r="AI27" s="663"/>
      <c r="AJ27" s="663"/>
      <c r="AK27" s="663"/>
      <c r="AL27" s="663"/>
      <c r="AM27" s="663"/>
      <c r="AN27" s="663"/>
      <c r="AO27" s="663"/>
      <c r="AP27" s="663"/>
      <c r="AQ27" s="663"/>
      <c r="AR27" s="663"/>
      <c r="AS27" s="663"/>
      <c r="AT27" s="663"/>
      <c r="AU27" s="663"/>
      <c r="CG27" s="656"/>
    </row>
    <row r="28" spans="1:85">
      <c r="A28" s="661"/>
      <c r="E28" s="663"/>
      <c r="F28" s="663"/>
      <c r="G28" s="663"/>
      <c r="H28" s="663"/>
      <c r="I28" s="663"/>
      <c r="J28" s="663"/>
      <c r="K28" s="663"/>
      <c r="L28" s="663"/>
      <c r="M28" s="663"/>
      <c r="N28" s="663"/>
      <c r="O28" s="663"/>
      <c r="P28" s="663"/>
      <c r="Q28" s="663"/>
      <c r="R28" s="663"/>
      <c r="S28" s="663"/>
      <c r="T28" s="663"/>
      <c r="U28" s="663"/>
      <c r="V28" s="663"/>
      <c r="W28" s="663"/>
      <c r="X28" s="663"/>
      <c r="Y28" s="663"/>
      <c r="Z28" s="663"/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CG28" s="656"/>
    </row>
    <row r="29" spans="1:85">
      <c r="A29" s="661"/>
      <c r="E29" s="663"/>
      <c r="F29" s="663"/>
      <c r="G29" s="663"/>
      <c r="H29" s="663"/>
      <c r="I29" s="663"/>
      <c r="J29" s="663"/>
      <c r="K29" s="663"/>
      <c r="L29" s="663"/>
      <c r="M29" s="663"/>
      <c r="N29" s="663"/>
      <c r="O29" s="663"/>
      <c r="P29" s="663"/>
      <c r="Q29" s="663"/>
      <c r="R29" s="663"/>
      <c r="S29" s="663"/>
      <c r="T29" s="663"/>
      <c r="U29" s="663"/>
      <c r="V29" s="663"/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3"/>
      <c r="AM29" s="663"/>
      <c r="AN29" s="663"/>
      <c r="AO29" s="663"/>
      <c r="AP29" s="663"/>
      <c r="AQ29" s="663"/>
      <c r="AR29" s="663"/>
      <c r="AS29" s="663"/>
      <c r="AT29" s="663"/>
      <c r="AU29" s="663"/>
      <c r="CG29" s="656"/>
    </row>
    <row r="30" spans="1:85">
      <c r="A30" s="661"/>
      <c r="E30" s="663"/>
      <c r="F30" s="663"/>
      <c r="G30" s="663"/>
      <c r="H30" s="663"/>
      <c r="I30" s="663"/>
      <c r="J30" s="663"/>
      <c r="K30" s="663"/>
      <c r="L30" s="663"/>
      <c r="M30" s="663"/>
      <c r="N30" s="663"/>
      <c r="O30" s="663"/>
      <c r="P30" s="663"/>
      <c r="Q30" s="663"/>
      <c r="R30" s="663"/>
      <c r="S30" s="663"/>
      <c r="T30" s="663"/>
      <c r="U30" s="663"/>
      <c r="V30" s="663"/>
      <c r="W30" s="663"/>
      <c r="X30" s="663"/>
      <c r="Y30" s="663"/>
      <c r="Z30" s="663"/>
      <c r="AA30" s="663"/>
      <c r="AB30" s="663"/>
      <c r="AC30" s="663"/>
      <c r="AD30" s="663"/>
      <c r="AE30" s="663"/>
      <c r="AF30" s="663"/>
      <c r="AG30" s="663"/>
      <c r="AH30" s="663"/>
      <c r="AI30" s="663"/>
      <c r="AJ30" s="663"/>
      <c r="AK30" s="663"/>
      <c r="AL30" s="663"/>
      <c r="AM30" s="663"/>
      <c r="AN30" s="663"/>
      <c r="AO30" s="663"/>
      <c r="AP30" s="663"/>
      <c r="AQ30" s="663"/>
      <c r="AR30" s="663"/>
      <c r="AS30" s="663"/>
      <c r="AT30" s="663"/>
      <c r="AU30" s="663"/>
      <c r="CG30" s="656"/>
    </row>
    <row r="31" spans="1:85">
      <c r="A31" s="661"/>
      <c r="E31" s="663"/>
      <c r="F31" s="663"/>
      <c r="G31" s="663"/>
      <c r="H31" s="663"/>
      <c r="I31" s="663"/>
      <c r="J31" s="663"/>
      <c r="K31" s="663"/>
      <c r="L31" s="663"/>
      <c r="M31" s="663"/>
      <c r="N31" s="663"/>
      <c r="O31" s="663"/>
      <c r="P31" s="663"/>
      <c r="Q31" s="663"/>
      <c r="R31" s="663"/>
      <c r="S31" s="663"/>
      <c r="T31" s="663"/>
      <c r="U31" s="663"/>
      <c r="V31" s="663"/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3"/>
      <c r="AL31" s="663"/>
      <c r="AM31" s="663"/>
      <c r="AN31" s="663"/>
      <c r="AO31" s="663"/>
      <c r="AP31" s="663"/>
      <c r="AQ31" s="663"/>
      <c r="AR31" s="663"/>
      <c r="AS31" s="663"/>
      <c r="AT31" s="663"/>
      <c r="AU31" s="663"/>
      <c r="CG31" s="656"/>
    </row>
    <row r="32" spans="1:85">
      <c r="A32" s="661"/>
      <c r="E32" s="663"/>
      <c r="F32" s="663"/>
      <c r="G32" s="663"/>
      <c r="H32" s="663"/>
      <c r="I32" s="663"/>
      <c r="J32" s="663"/>
      <c r="K32" s="663"/>
      <c r="L32" s="663"/>
      <c r="M32" s="663"/>
      <c r="N32" s="663"/>
      <c r="O32" s="663"/>
      <c r="P32" s="663"/>
      <c r="Q32" s="663"/>
      <c r="R32" s="663"/>
      <c r="S32" s="663"/>
      <c r="T32" s="663"/>
      <c r="U32" s="663"/>
      <c r="V32" s="663"/>
      <c r="W32" s="663"/>
      <c r="X32" s="663"/>
      <c r="Y32" s="663"/>
      <c r="Z32" s="663"/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CG32" s="656"/>
    </row>
    <row r="33" spans="1:85">
      <c r="A33" s="661"/>
      <c r="E33" s="663"/>
      <c r="F33" s="663"/>
      <c r="G33" s="663"/>
      <c r="H33" s="663"/>
      <c r="I33" s="663"/>
      <c r="J33" s="663"/>
      <c r="K33" s="663"/>
      <c r="L33" s="663"/>
      <c r="M33" s="663"/>
      <c r="N33" s="663"/>
      <c r="O33" s="663"/>
      <c r="P33" s="663"/>
      <c r="Q33" s="663"/>
      <c r="R33" s="663"/>
      <c r="S33" s="663"/>
      <c r="T33" s="663"/>
      <c r="U33" s="663"/>
      <c r="V33" s="663"/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3"/>
      <c r="AL33" s="663"/>
      <c r="AM33" s="663"/>
      <c r="AN33" s="663"/>
      <c r="AO33" s="663"/>
      <c r="AP33" s="663"/>
      <c r="AQ33" s="663"/>
      <c r="AR33" s="663"/>
      <c r="AS33" s="663"/>
      <c r="AT33" s="663"/>
      <c r="AU33" s="663"/>
      <c r="CG33" s="656"/>
    </row>
    <row r="34" spans="1:85">
      <c r="A34" s="661"/>
      <c r="E34" s="663"/>
      <c r="F34" s="663"/>
      <c r="G34" s="663"/>
      <c r="H34" s="663"/>
      <c r="I34" s="663"/>
      <c r="J34" s="663"/>
      <c r="K34" s="663"/>
      <c r="L34" s="663"/>
      <c r="M34" s="663"/>
      <c r="N34" s="663"/>
      <c r="O34" s="663"/>
      <c r="P34" s="663"/>
      <c r="Q34" s="663"/>
      <c r="R34" s="663"/>
      <c r="S34" s="663"/>
      <c r="T34" s="663"/>
      <c r="U34" s="663"/>
      <c r="V34" s="663"/>
      <c r="W34" s="663"/>
      <c r="X34" s="663"/>
      <c r="Y34" s="663"/>
      <c r="Z34" s="663"/>
      <c r="AA34" s="663"/>
      <c r="AB34" s="663"/>
      <c r="AC34" s="663"/>
      <c r="AD34" s="663"/>
      <c r="AE34" s="663"/>
      <c r="AF34" s="663"/>
      <c r="AG34" s="663"/>
      <c r="AH34" s="663"/>
      <c r="AI34" s="663"/>
      <c r="AJ34" s="663"/>
      <c r="AK34" s="663"/>
      <c r="AL34" s="663"/>
      <c r="AM34" s="663"/>
      <c r="AN34" s="663"/>
      <c r="AO34" s="663"/>
      <c r="AP34" s="663"/>
      <c r="AQ34" s="663"/>
      <c r="AR34" s="663"/>
      <c r="AS34" s="663"/>
      <c r="AT34" s="663"/>
      <c r="AU34" s="663"/>
      <c r="CG34" s="656"/>
    </row>
    <row r="35" spans="1:85">
      <c r="A35" s="661"/>
      <c r="E35" s="663"/>
      <c r="F35" s="663"/>
      <c r="G35" s="663"/>
      <c r="H35" s="663"/>
      <c r="I35" s="663"/>
      <c r="J35" s="663"/>
      <c r="K35" s="663"/>
      <c r="L35" s="663"/>
      <c r="M35" s="663"/>
      <c r="N35" s="663"/>
      <c r="O35" s="663"/>
      <c r="P35" s="663"/>
      <c r="Q35" s="663"/>
      <c r="R35" s="663"/>
      <c r="S35" s="663"/>
      <c r="T35" s="663"/>
      <c r="U35" s="663"/>
      <c r="V35" s="663"/>
      <c r="W35" s="663"/>
      <c r="X35" s="663"/>
      <c r="Y35" s="663"/>
      <c r="Z35" s="663"/>
      <c r="AA35" s="663"/>
      <c r="AB35" s="663"/>
      <c r="AC35" s="663"/>
      <c r="AD35" s="663"/>
      <c r="AE35" s="663"/>
      <c r="AF35" s="663"/>
      <c r="AG35" s="663"/>
      <c r="AH35" s="663"/>
      <c r="AI35" s="663"/>
      <c r="AJ35" s="663"/>
      <c r="AK35" s="663"/>
      <c r="AL35" s="663"/>
      <c r="AM35" s="663"/>
      <c r="AN35" s="663"/>
      <c r="AO35" s="663"/>
      <c r="AP35" s="663"/>
      <c r="AQ35" s="663"/>
      <c r="AR35" s="663"/>
      <c r="AS35" s="663"/>
      <c r="AT35" s="663"/>
      <c r="AU35" s="663"/>
      <c r="CG35" s="656"/>
    </row>
    <row r="36" spans="1:85">
      <c r="A36" s="661"/>
      <c r="E36" s="663"/>
      <c r="F36" s="663"/>
      <c r="G36" s="663"/>
      <c r="H36" s="663"/>
      <c r="I36" s="663"/>
      <c r="J36" s="663"/>
      <c r="K36" s="663"/>
      <c r="L36" s="663"/>
      <c r="M36" s="663"/>
      <c r="N36" s="663"/>
      <c r="O36" s="663"/>
      <c r="P36" s="663"/>
      <c r="Q36" s="663"/>
      <c r="R36" s="663"/>
      <c r="S36" s="663"/>
      <c r="T36" s="663"/>
      <c r="U36" s="663"/>
      <c r="V36" s="663"/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CG36" s="656"/>
    </row>
    <row r="37" spans="1:85">
      <c r="A37" s="661"/>
      <c r="E37" s="663"/>
      <c r="F37" s="663"/>
      <c r="G37" s="663"/>
      <c r="H37" s="663"/>
      <c r="I37" s="663"/>
      <c r="J37" s="663"/>
      <c r="K37" s="663"/>
      <c r="L37" s="663"/>
      <c r="M37" s="663"/>
      <c r="N37" s="663"/>
      <c r="O37" s="663"/>
      <c r="P37" s="663"/>
      <c r="Q37" s="663"/>
      <c r="R37" s="663"/>
      <c r="S37" s="663"/>
      <c r="T37" s="663"/>
      <c r="U37" s="663"/>
      <c r="V37" s="663"/>
      <c r="W37" s="663"/>
      <c r="X37" s="663"/>
      <c r="Y37" s="663"/>
      <c r="Z37" s="663"/>
      <c r="AA37" s="663"/>
      <c r="AB37" s="663"/>
      <c r="AC37" s="663"/>
      <c r="AD37" s="663"/>
      <c r="AE37" s="663"/>
      <c r="AF37" s="663"/>
      <c r="AG37" s="663"/>
      <c r="AH37" s="663"/>
      <c r="AI37" s="663"/>
      <c r="AJ37" s="663"/>
      <c r="AK37" s="663"/>
      <c r="AL37" s="663"/>
      <c r="AM37" s="663"/>
      <c r="AN37" s="663"/>
      <c r="AO37" s="663"/>
      <c r="AP37" s="663"/>
      <c r="AQ37" s="663"/>
      <c r="AR37" s="663"/>
      <c r="AS37" s="663"/>
      <c r="AT37" s="663"/>
      <c r="AU37" s="663"/>
      <c r="CG37" s="656"/>
    </row>
    <row r="38" spans="1:85">
      <c r="A38" s="661"/>
      <c r="E38" s="663"/>
      <c r="F38" s="663"/>
      <c r="G38" s="663"/>
      <c r="H38" s="663"/>
      <c r="I38" s="663"/>
      <c r="J38" s="663"/>
      <c r="K38" s="663"/>
      <c r="L38" s="663"/>
      <c r="M38" s="663"/>
      <c r="N38" s="663"/>
      <c r="O38" s="663"/>
      <c r="P38" s="663"/>
      <c r="Q38" s="663"/>
      <c r="R38" s="663"/>
      <c r="S38" s="663"/>
      <c r="T38" s="663"/>
      <c r="U38" s="663"/>
      <c r="V38" s="663"/>
      <c r="W38" s="663"/>
      <c r="X38" s="663"/>
      <c r="Y38" s="663"/>
      <c r="Z38" s="663"/>
      <c r="AA38" s="663"/>
      <c r="AB38" s="663"/>
      <c r="AC38" s="663"/>
      <c r="AD38" s="663"/>
      <c r="AE38" s="663"/>
      <c r="AF38" s="663"/>
      <c r="AG38" s="663"/>
      <c r="AH38" s="663"/>
      <c r="AI38" s="663"/>
      <c r="AJ38" s="663"/>
      <c r="AK38" s="663"/>
      <c r="AL38" s="663"/>
      <c r="AM38" s="663"/>
      <c r="AN38" s="663"/>
      <c r="AO38" s="663"/>
      <c r="AP38" s="663"/>
      <c r="AQ38" s="663"/>
      <c r="AR38" s="663"/>
      <c r="AS38" s="663"/>
      <c r="AT38" s="663"/>
      <c r="AU38" s="663"/>
      <c r="CG38" s="656"/>
    </row>
    <row r="39" spans="1:85">
      <c r="A39" s="661"/>
      <c r="E39" s="663"/>
      <c r="F39" s="663"/>
      <c r="G39" s="663"/>
      <c r="H39" s="663"/>
      <c r="I39" s="663"/>
      <c r="J39" s="663"/>
      <c r="K39" s="663"/>
      <c r="L39" s="663"/>
      <c r="M39" s="663"/>
      <c r="N39" s="663"/>
      <c r="O39" s="663"/>
      <c r="P39" s="663"/>
      <c r="Q39" s="663"/>
      <c r="R39" s="663"/>
      <c r="S39" s="663"/>
      <c r="T39" s="663"/>
      <c r="U39" s="663"/>
      <c r="V39" s="663"/>
      <c r="W39" s="663"/>
      <c r="X39" s="663"/>
      <c r="Y39" s="663"/>
      <c r="Z39" s="663"/>
      <c r="AA39" s="663"/>
      <c r="AB39" s="663"/>
      <c r="AC39" s="663"/>
      <c r="AD39" s="663"/>
      <c r="AE39" s="663"/>
      <c r="AF39" s="663"/>
      <c r="AG39" s="663"/>
      <c r="AH39" s="663"/>
      <c r="AI39" s="663"/>
      <c r="AJ39" s="663"/>
      <c r="AK39" s="663"/>
      <c r="AL39" s="663"/>
      <c r="AM39" s="663"/>
      <c r="AN39" s="663"/>
      <c r="AO39" s="663"/>
      <c r="AP39" s="663"/>
      <c r="AQ39" s="663"/>
      <c r="AR39" s="663"/>
      <c r="AS39" s="663"/>
      <c r="AT39" s="663"/>
      <c r="AU39" s="663"/>
      <c r="CG39" s="656"/>
    </row>
    <row r="40" spans="1:85">
      <c r="A40" s="661"/>
      <c r="E40" s="663"/>
      <c r="F40" s="663"/>
      <c r="G40" s="663"/>
      <c r="H40" s="663"/>
      <c r="I40" s="663"/>
      <c r="J40" s="663"/>
      <c r="K40" s="663"/>
      <c r="L40" s="663"/>
      <c r="M40" s="663"/>
      <c r="N40" s="663"/>
      <c r="O40" s="663"/>
      <c r="P40" s="663"/>
      <c r="Q40" s="663"/>
      <c r="R40" s="663"/>
      <c r="S40" s="663"/>
      <c r="T40" s="663"/>
      <c r="U40" s="663"/>
      <c r="V40" s="663"/>
      <c r="W40" s="663"/>
      <c r="X40" s="663"/>
      <c r="Y40" s="663"/>
      <c r="Z40" s="663"/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CG40" s="656"/>
    </row>
    <row r="41" spans="1:85">
      <c r="A41" s="661"/>
      <c r="E41" s="663"/>
      <c r="F41" s="663"/>
      <c r="G41" s="663"/>
      <c r="H41" s="663"/>
      <c r="I41" s="663"/>
      <c r="J41" s="663"/>
      <c r="K41" s="663"/>
      <c r="L41" s="663"/>
      <c r="M41" s="663"/>
      <c r="N41" s="663"/>
      <c r="O41" s="663"/>
      <c r="P41" s="663"/>
      <c r="Q41" s="663"/>
      <c r="R41" s="663"/>
      <c r="S41" s="663"/>
      <c r="T41" s="663"/>
      <c r="U41" s="663"/>
      <c r="V41" s="663"/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3"/>
      <c r="AK41" s="663"/>
      <c r="AL41" s="663"/>
      <c r="AM41" s="663"/>
      <c r="AN41" s="663"/>
      <c r="AO41" s="663"/>
      <c r="AP41" s="663"/>
      <c r="AQ41" s="663"/>
      <c r="AR41" s="663"/>
      <c r="AS41" s="663"/>
      <c r="AT41" s="663"/>
      <c r="AU41" s="663"/>
      <c r="CG41" s="656"/>
    </row>
    <row r="42" spans="1:85">
      <c r="A42" s="661"/>
      <c r="E42" s="663"/>
      <c r="F42" s="663"/>
      <c r="G42" s="663"/>
      <c r="H42" s="663"/>
      <c r="I42" s="663"/>
      <c r="J42" s="663"/>
      <c r="K42" s="663"/>
      <c r="L42" s="663"/>
      <c r="M42" s="663"/>
      <c r="N42" s="663"/>
      <c r="O42" s="663"/>
      <c r="P42" s="663"/>
      <c r="Q42" s="663"/>
      <c r="R42" s="663"/>
      <c r="S42" s="663"/>
      <c r="T42" s="663"/>
      <c r="U42" s="663"/>
      <c r="V42" s="663"/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3"/>
      <c r="AL42" s="663"/>
      <c r="AM42" s="663"/>
      <c r="AN42" s="663"/>
      <c r="AO42" s="663"/>
      <c r="AP42" s="663"/>
      <c r="AQ42" s="663"/>
      <c r="AR42" s="663"/>
      <c r="AS42" s="663"/>
      <c r="AT42" s="663"/>
      <c r="AU42" s="663"/>
      <c r="CG42" s="656"/>
    </row>
    <row r="43" spans="1:85">
      <c r="A43" s="661"/>
      <c r="E43" s="663"/>
      <c r="F43" s="663"/>
      <c r="G43" s="663"/>
      <c r="H43" s="663"/>
      <c r="I43" s="663"/>
      <c r="J43" s="663"/>
      <c r="K43" s="663"/>
      <c r="L43" s="663"/>
      <c r="M43" s="663"/>
      <c r="N43" s="663"/>
      <c r="O43" s="663"/>
      <c r="P43" s="663"/>
      <c r="Q43" s="663"/>
      <c r="R43" s="663"/>
      <c r="S43" s="663"/>
      <c r="T43" s="663"/>
      <c r="U43" s="663"/>
      <c r="V43" s="663"/>
      <c r="W43" s="663"/>
      <c r="X43" s="663"/>
      <c r="Y43" s="663"/>
      <c r="Z43" s="663"/>
      <c r="AA43" s="663"/>
      <c r="AB43" s="663"/>
      <c r="AC43" s="663"/>
      <c r="AD43" s="663"/>
      <c r="AE43" s="663"/>
      <c r="AF43" s="663"/>
      <c r="AG43" s="663"/>
      <c r="AH43" s="663"/>
      <c r="AI43" s="663"/>
      <c r="AJ43" s="663"/>
      <c r="AK43" s="663"/>
      <c r="AL43" s="663"/>
      <c r="AM43" s="663"/>
      <c r="AN43" s="663"/>
      <c r="AO43" s="663"/>
      <c r="AP43" s="663"/>
      <c r="AQ43" s="663"/>
      <c r="AR43" s="663"/>
      <c r="AS43" s="663"/>
      <c r="AT43" s="663"/>
      <c r="AU43" s="663"/>
      <c r="CG43" s="656"/>
    </row>
    <row r="44" spans="1:85">
      <c r="A44" s="661"/>
      <c r="E44" s="663"/>
      <c r="F44" s="663"/>
      <c r="G44" s="663"/>
      <c r="H44" s="663"/>
      <c r="I44" s="663"/>
      <c r="J44" s="663"/>
      <c r="K44" s="663"/>
      <c r="L44" s="663"/>
      <c r="M44" s="663"/>
      <c r="N44" s="663"/>
      <c r="O44" s="663"/>
      <c r="P44" s="663"/>
      <c r="Q44" s="663"/>
      <c r="R44" s="663"/>
      <c r="S44" s="663"/>
      <c r="T44" s="663"/>
      <c r="U44" s="663"/>
      <c r="V44" s="663"/>
      <c r="W44" s="663"/>
      <c r="X44" s="663"/>
      <c r="Y44" s="663"/>
      <c r="Z44" s="663"/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CG44" s="656"/>
    </row>
    <row r="45" spans="1:85">
      <c r="A45" s="661"/>
      <c r="E45" s="663"/>
      <c r="F45" s="663"/>
      <c r="G45" s="663"/>
      <c r="H45" s="663"/>
      <c r="I45" s="663"/>
      <c r="J45" s="663"/>
      <c r="K45" s="663"/>
      <c r="L45" s="663"/>
      <c r="M45" s="663"/>
      <c r="N45" s="663"/>
      <c r="O45" s="663"/>
      <c r="P45" s="663"/>
      <c r="Q45" s="663"/>
      <c r="R45" s="663"/>
      <c r="S45" s="663"/>
      <c r="T45" s="663"/>
      <c r="U45" s="663"/>
      <c r="V45" s="663"/>
      <c r="W45" s="663"/>
      <c r="X45" s="663"/>
      <c r="Y45" s="663"/>
      <c r="Z45" s="663"/>
      <c r="AA45" s="663"/>
      <c r="AB45" s="663"/>
      <c r="AC45" s="663"/>
      <c r="AD45" s="663"/>
      <c r="AE45" s="663"/>
      <c r="AF45" s="663"/>
      <c r="AG45" s="663"/>
      <c r="AH45" s="663"/>
      <c r="AI45" s="663"/>
      <c r="AJ45" s="663"/>
      <c r="AK45" s="663"/>
      <c r="AL45" s="663"/>
      <c r="AM45" s="663"/>
      <c r="AN45" s="663"/>
      <c r="AO45" s="663"/>
      <c r="AP45" s="663"/>
      <c r="AQ45" s="663"/>
      <c r="AR45" s="663"/>
      <c r="AS45" s="663"/>
      <c r="AT45" s="663"/>
      <c r="AU45" s="663"/>
      <c r="CG45" s="656"/>
    </row>
    <row r="46" spans="1:85">
      <c r="A46" s="661"/>
      <c r="E46" s="663"/>
      <c r="F46" s="663"/>
      <c r="G46" s="663"/>
      <c r="H46" s="663"/>
      <c r="I46" s="663"/>
      <c r="J46" s="663"/>
      <c r="K46" s="663"/>
      <c r="L46" s="663"/>
      <c r="M46" s="663"/>
      <c r="N46" s="663"/>
      <c r="O46" s="663"/>
      <c r="P46" s="663"/>
      <c r="Q46" s="663"/>
      <c r="R46" s="663"/>
      <c r="S46" s="663"/>
      <c r="T46" s="663"/>
      <c r="U46" s="663"/>
      <c r="V46" s="663"/>
      <c r="W46" s="663"/>
      <c r="X46" s="663"/>
      <c r="Y46" s="663"/>
      <c r="Z46" s="663"/>
      <c r="AA46" s="663"/>
      <c r="AB46" s="663"/>
      <c r="AC46" s="663"/>
      <c r="AD46" s="663"/>
      <c r="AE46" s="663"/>
      <c r="AF46" s="663"/>
      <c r="AG46" s="663"/>
      <c r="AH46" s="663"/>
      <c r="AI46" s="663"/>
      <c r="AJ46" s="663"/>
      <c r="AK46" s="663"/>
      <c r="AL46" s="663"/>
      <c r="AM46" s="663"/>
      <c r="AN46" s="663"/>
      <c r="AO46" s="663"/>
      <c r="AP46" s="663"/>
      <c r="AQ46" s="663"/>
      <c r="AR46" s="663"/>
      <c r="AS46" s="663"/>
      <c r="AT46" s="663"/>
      <c r="AU46" s="663"/>
      <c r="CG46" s="656"/>
    </row>
    <row r="47" spans="1:85">
      <c r="A47" s="661"/>
      <c r="E47" s="663"/>
      <c r="F47" s="663"/>
      <c r="G47" s="663"/>
      <c r="H47" s="663"/>
      <c r="I47" s="663"/>
      <c r="J47" s="663"/>
      <c r="K47" s="663"/>
      <c r="L47" s="663"/>
      <c r="M47" s="663"/>
      <c r="N47" s="663"/>
      <c r="O47" s="663"/>
      <c r="P47" s="663"/>
      <c r="Q47" s="663"/>
      <c r="R47" s="663"/>
      <c r="S47" s="663"/>
      <c r="T47" s="663"/>
      <c r="U47" s="663"/>
      <c r="V47" s="663"/>
      <c r="W47" s="663"/>
      <c r="X47" s="663"/>
      <c r="Y47" s="663"/>
      <c r="Z47" s="663"/>
      <c r="AA47" s="663"/>
      <c r="AB47" s="663"/>
      <c r="AC47" s="663"/>
      <c r="AD47" s="663"/>
      <c r="AE47" s="663"/>
      <c r="AF47" s="663"/>
      <c r="AG47" s="663"/>
      <c r="AH47" s="663"/>
      <c r="AI47" s="663"/>
      <c r="AJ47" s="663"/>
      <c r="AK47" s="663"/>
      <c r="AL47" s="663"/>
      <c r="AM47" s="663"/>
      <c r="AN47" s="663"/>
      <c r="AO47" s="663"/>
      <c r="AP47" s="663"/>
      <c r="AQ47" s="663"/>
      <c r="AR47" s="663"/>
      <c r="AS47" s="663"/>
      <c r="AT47" s="663"/>
      <c r="AU47" s="663"/>
      <c r="CG47" s="656"/>
    </row>
    <row r="48" spans="1:85">
      <c r="A48" s="661"/>
      <c r="E48" s="663"/>
      <c r="F48" s="663"/>
      <c r="G48" s="663"/>
      <c r="H48" s="663"/>
      <c r="I48" s="663"/>
      <c r="J48" s="663"/>
      <c r="K48" s="663"/>
      <c r="L48" s="663"/>
      <c r="M48" s="663"/>
      <c r="N48" s="663"/>
      <c r="O48" s="663"/>
      <c r="P48" s="663"/>
      <c r="Q48" s="663"/>
      <c r="R48" s="663"/>
      <c r="S48" s="663"/>
      <c r="T48" s="663"/>
      <c r="U48" s="663"/>
      <c r="V48" s="663"/>
      <c r="W48" s="663"/>
      <c r="X48" s="663"/>
      <c r="Y48" s="663"/>
      <c r="Z48" s="663"/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CG48" s="656"/>
    </row>
    <row r="49" spans="1:85">
      <c r="A49" s="661"/>
      <c r="E49" s="663"/>
      <c r="F49" s="663"/>
      <c r="G49" s="663"/>
      <c r="H49" s="663"/>
      <c r="I49" s="663"/>
      <c r="J49" s="663"/>
      <c r="K49" s="663"/>
      <c r="L49" s="663"/>
      <c r="M49" s="663"/>
      <c r="N49" s="663"/>
      <c r="O49" s="663"/>
      <c r="P49" s="663"/>
      <c r="Q49" s="663"/>
      <c r="R49" s="663"/>
      <c r="S49" s="663"/>
      <c r="T49" s="663"/>
      <c r="U49" s="663"/>
      <c r="V49" s="663"/>
      <c r="W49" s="663"/>
      <c r="X49" s="663"/>
      <c r="Y49" s="663"/>
      <c r="Z49" s="663"/>
      <c r="AA49" s="663"/>
      <c r="AB49" s="663"/>
      <c r="AC49" s="663"/>
      <c r="AD49" s="663"/>
      <c r="AE49" s="663"/>
      <c r="AF49" s="663"/>
      <c r="AG49" s="663"/>
      <c r="AH49" s="663"/>
      <c r="AI49" s="663"/>
      <c r="AJ49" s="663"/>
      <c r="AK49" s="663"/>
      <c r="AL49" s="663"/>
      <c r="AM49" s="663"/>
      <c r="AN49" s="663"/>
      <c r="AO49" s="663"/>
      <c r="AP49" s="663"/>
      <c r="AQ49" s="663"/>
      <c r="AR49" s="663"/>
      <c r="AS49" s="663"/>
      <c r="AT49" s="663"/>
      <c r="AU49" s="663"/>
      <c r="CG49" s="656"/>
    </row>
    <row r="50" spans="1:85">
      <c r="A50" s="661"/>
      <c r="E50" s="663"/>
      <c r="F50" s="663"/>
      <c r="G50" s="663"/>
      <c r="H50" s="663"/>
      <c r="I50" s="663"/>
      <c r="J50" s="663"/>
      <c r="K50" s="663"/>
      <c r="L50" s="663"/>
      <c r="M50" s="663"/>
      <c r="N50" s="663"/>
      <c r="O50" s="663"/>
      <c r="P50" s="663"/>
      <c r="Q50" s="663"/>
      <c r="R50" s="663"/>
      <c r="S50" s="663"/>
      <c r="T50" s="663"/>
      <c r="U50" s="663"/>
      <c r="V50" s="663"/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3"/>
      <c r="AL50" s="663"/>
      <c r="AM50" s="663"/>
      <c r="AN50" s="663"/>
      <c r="AO50" s="663"/>
      <c r="AP50" s="663"/>
      <c r="AQ50" s="663"/>
      <c r="AR50" s="663"/>
      <c r="AS50" s="663"/>
      <c r="AT50" s="663"/>
      <c r="AU50" s="663"/>
      <c r="CG50" s="656"/>
    </row>
    <row r="51" spans="1:85">
      <c r="A51" s="661"/>
      <c r="E51" s="663"/>
      <c r="F51" s="663"/>
      <c r="G51" s="663"/>
      <c r="H51" s="663"/>
      <c r="I51" s="663"/>
      <c r="J51" s="663"/>
      <c r="K51" s="663"/>
      <c r="L51" s="663"/>
      <c r="M51" s="663"/>
      <c r="N51" s="663"/>
      <c r="O51" s="663"/>
      <c r="P51" s="663"/>
      <c r="Q51" s="663"/>
      <c r="R51" s="663"/>
      <c r="S51" s="663"/>
      <c r="T51" s="663"/>
      <c r="U51" s="663"/>
      <c r="V51" s="663"/>
      <c r="W51" s="663"/>
      <c r="X51" s="663"/>
      <c r="Y51" s="663"/>
      <c r="Z51" s="663"/>
      <c r="AA51" s="663"/>
      <c r="AB51" s="663"/>
      <c r="AC51" s="663"/>
      <c r="AD51" s="663"/>
      <c r="AE51" s="663"/>
      <c r="AF51" s="663"/>
      <c r="AG51" s="663"/>
      <c r="AH51" s="663"/>
      <c r="AI51" s="663"/>
      <c r="AJ51" s="663"/>
      <c r="AK51" s="663"/>
      <c r="AL51" s="663"/>
      <c r="AM51" s="663"/>
      <c r="AN51" s="663"/>
      <c r="AO51" s="663"/>
      <c r="AP51" s="663"/>
      <c r="AQ51" s="663"/>
      <c r="AR51" s="663"/>
      <c r="AS51" s="663"/>
      <c r="AT51" s="663"/>
      <c r="AU51" s="663"/>
      <c r="CG51" s="656"/>
    </row>
    <row r="52" spans="1:85">
      <c r="A52" s="661"/>
      <c r="E52" s="663"/>
      <c r="F52" s="663"/>
      <c r="G52" s="663"/>
      <c r="H52" s="663"/>
      <c r="I52" s="663"/>
      <c r="J52" s="663"/>
      <c r="K52" s="663"/>
      <c r="L52" s="663"/>
      <c r="M52" s="663"/>
      <c r="N52" s="663"/>
      <c r="O52" s="663"/>
      <c r="P52" s="663"/>
      <c r="Q52" s="663"/>
      <c r="R52" s="663"/>
      <c r="S52" s="663"/>
      <c r="T52" s="663"/>
      <c r="U52" s="663"/>
      <c r="V52" s="663"/>
      <c r="W52" s="663"/>
      <c r="X52" s="663"/>
      <c r="Y52" s="663"/>
      <c r="Z52" s="663"/>
      <c r="AA52" s="663"/>
      <c r="AB52" s="663"/>
      <c r="AC52" s="663"/>
      <c r="AD52" s="663"/>
      <c r="AE52" s="663"/>
      <c r="AF52" s="663"/>
      <c r="AG52" s="663"/>
      <c r="AH52" s="663"/>
      <c r="AI52" s="663"/>
      <c r="AJ52" s="663"/>
      <c r="AK52" s="663"/>
      <c r="AL52" s="663"/>
      <c r="AM52" s="663"/>
      <c r="AN52" s="663"/>
      <c r="AO52" s="663"/>
      <c r="AP52" s="663"/>
      <c r="AQ52" s="663"/>
      <c r="AR52" s="663"/>
      <c r="AS52" s="663"/>
      <c r="AT52" s="663"/>
      <c r="AU52" s="663"/>
      <c r="CG52" s="656"/>
    </row>
    <row r="53" spans="1:85">
      <c r="A53" s="661"/>
      <c r="E53" s="663"/>
      <c r="F53" s="663"/>
      <c r="G53" s="663"/>
      <c r="H53" s="663"/>
      <c r="I53" s="663"/>
      <c r="J53" s="663"/>
      <c r="K53" s="663"/>
      <c r="L53" s="663"/>
      <c r="M53" s="663"/>
      <c r="N53" s="663"/>
      <c r="O53" s="663"/>
      <c r="P53" s="663"/>
      <c r="Q53" s="663"/>
      <c r="R53" s="663"/>
      <c r="S53" s="663"/>
      <c r="T53" s="663"/>
      <c r="U53" s="663"/>
      <c r="V53" s="663"/>
      <c r="W53" s="663"/>
      <c r="X53" s="663"/>
      <c r="Y53" s="663"/>
      <c r="Z53" s="663"/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CG53" s="656"/>
    </row>
    <row r="54" spans="1:85">
      <c r="A54" s="661"/>
      <c r="E54" s="663"/>
      <c r="F54" s="663"/>
      <c r="G54" s="663"/>
      <c r="H54" s="663"/>
      <c r="I54" s="663"/>
      <c r="J54" s="663"/>
      <c r="K54" s="663"/>
      <c r="L54" s="663"/>
      <c r="M54" s="663"/>
      <c r="N54" s="663"/>
      <c r="O54" s="663"/>
      <c r="P54" s="663"/>
      <c r="Q54" s="663"/>
      <c r="R54" s="663"/>
      <c r="S54" s="663"/>
      <c r="T54" s="663"/>
      <c r="U54" s="663"/>
      <c r="V54" s="663"/>
      <c r="W54" s="663"/>
      <c r="X54" s="663"/>
      <c r="Y54" s="663"/>
      <c r="Z54" s="663"/>
      <c r="AA54" s="663"/>
      <c r="AB54" s="663"/>
      <c r="AC54" s="663"/>
      <c r="AD54" s="663"/>
      <c r="AE54" s="663"/>
      <c r="AF54" s="663"/>
      <c r="AG54" s="663"/>
      <c r="AH54" s="663"/>
      <c r="AI54" s="663"/>
      <c r="AJ54" s="663"/>
      <c r="AK54" s="663"/>
      <c r="AL54" s="663"/>
      <c r="AM54" s="663"/>
      <c r="AN54" s="663"/>
      <c r="AO54" s="663"/>
      <c r="AP54" s="663"/>
      <c r="AQ54" s="663"/>
      <c r="AR54" s="663"/>
      <c r="AS54" s="663"/>
      <c r="AT54" s="663"/>
      <c r="AU54" s="663"/>
      <c r="CG54" s="656"/>
    </row>
    <row r="55" spans="1:85">
      <c r="A55" s="661"/>
      <c r="E55" s="663"/>
      <c r="F55" s="663"/>
      <c r="G55" s="663"/>
      <c r="H55" s="663"/>
      <c r="I55" s="663"/>
      <c r="J55" s="663"/>
      <c r="K55" s="663"/>
      <c r="L55" s="663"/>
      <c r="M55" s="663"/>
      <c r="N55" s="663"/>
      <c r="O55" s="663"/>
      <c r="P55" s="663"/>
      <c r="Q55" s="663"/>
      <c r="R55" s="663"/>
      <c r="S55" s="663"/>
      <c r="T55" s="663"/>
      <c r="U55" s="663"/>
      <c r="V55" s="663"/>
      <c r="W55" s="663"/>
      <c r="X55" s="663"/>
      <c r="Y55" s="663"/>
      <c r="Z55" s="663"/>
      <c r="AA55" s="663"/>
      <c r="AB55" s="663"/>
      <c r="AC55" s="663"/>
      <c r="AD55" s="663"/>
      <c r="AE55" s="663"/>
      <c r="AF55" s="663"/>
      <c r="AG55" s="663"/>
      <c r="AH55" s="663"/>
      <c r="AI55" s="663"/>
      <c r="AJ55" s="663"/>
      <c r="AK55" s="663"/>
      <c r="AL55" s="663"/>
      <c r="AM55" s="663"/>
      <c r="AN55" s="663"/>
      <c r="AO55" s="663"/>
      <c r="AP55" s="663"/>
      <c r="AQ55" s="663"/>
      <c r="AR55" s="663"/>
      <c r="AS55" s="663"/>
      <c r="AT55" s="663"/>
      <c r="AU55" s="663"/>
      <c r="CG55" s="656"/>
    </row>
    <row r="56" spans="1:85">
      <c r="A56" s="661"/>
      <c r="E56" s="663"/>
      <c r="F56" s="663"/>
      <c r="G56" s="663"/>
      <c r="H56" s="663"/>
      <c r="I56" s="663"/>
      <c r="J56" s="663"/>
      <c r="K56" s="663"/>
      <c r="L56" s="663"/>
      <c r="M56" s="663"/>
      <c r="N56" s="663"/>
      <c r="O56" s="663"/>
      <c r="P56" s="663"/>
      <c r="Q56" s="663"/>
      <c r="R56" s="663"/>
      <c r="S56" s="663"/>
      <c r="T56" s="663"/>
      <c r="U56" s="663"/>
      <c r="V56" s="663"/>
      <c r="W56" s="663"/>
      <c r="X56" s="663"/>
      <c r="Y56" s="663"/>
      <c r="Z56" s="663"/>
      <c r="AA56" s="663"/>
      <c r="AB56" s="663"/>
      <c r="AC56" s="663"/>
      <c r="AD56" s="663"/>
      <c r="AE56" s="663"/>
      <c r="AF56" s="663"/>
      <c r="AG56" s="663"/>
      <c r="AH56" s="663"/>
      <c r="AI56" s="663"/>
      <c r="AJ56" s="663"/>
      <c r="AK56" s="663"/>
      <c r="AL56" s="663"/>
      <c r="AM56" s="663"/>
      <c r="AN56" s="663"/>
      <c r="AO56" s="663"/>
      <c r="AP56" s="663"/>
      <c r="AQ56" s="663"/>
      <c r="AR56" s="663"/>
      <c r="AS56" s="663"/>
      <c r="AT56" s="663"/>
      <c r="AU56" s="663"/>
      <c r="CG56" s="656"/>
    </row>
    <row r="57" spans="1:85">
      <c r="A57" s="661"/>
      <c r="E57" s="663"/>
      <c r="F57" s="663"/>
      <c r="G57" s="663"/>
      <c r="H57" s="663"/>
      <c r="I57" s="663"/>
      <c r="J57" s="663"/>
      <c r="K57" s="663"/>
      <c r="L57" s="663"/>
      <c r="M57" s="663"/>
      <c r="N57" s="663"/>
      <c r="O57" s="663"/>
      <c r="P57" s="663"/>
      <c r="Q57" s="663"/>
      <c r="R57" s="663"/>
      <c r="S57" s="663"/>
      <c r="T57" s="663"/>
      <c r="U57" s="663"/>
      <c r="V57" s="663"/>
      <c r="W57" s="663"/>
      <c r="X57" s="663"/>
      <c r="Y57" s="663"/>
      <c r="Z57" s="663"/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CG57" s="656"/>
    </row>
    <row r="58" spans="1:85">
      <c r="A58" s="661"/>
      <c r="E58" s="663"/>
      <c r="F58" s="663"/>
      <c r="G58" s="663"/>
      <c r="H58" s="663"/>
      <c r="I58" s="663"/>
      <c r="J58" s="663"/>
      <c r="K58" s="663"/>
      <c r="L58" s="663"/>
      <c r="M58" s="663"/>
      <c r="N58" s="663"/>
      <c r="O58" s="663"/>
      <c r="P58" s="663"/>
      <c r="Q58" s="663"/>
      <c r="R58" s="663"/>
      <c r="S58" s="663"/>
      <c r="T58" s="663"/>
      <c r="U58" s="663"/>
      <c r="V58" s="663"/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3"/>
      <c r="AH58" s="663"/>
      <c r="AI58" s="663"/>
      <c r="AJ58" s="663"/>
      <c r="AK58" s="663"/>
      <c r="AL58" s="663"/>
      <c r="AM58" s="663"/>
      <c r="AN58" s="663"/>
      <c r="AO58" s="663"/>
      <c r="AP58" s="663"/>
      <c r="AQ58" s="663"/>
      <c r="AR58" s="663"/>
      <c r="AS58" s="663"/>
      <c r="AT58" s="663"/>
      <c r="AU58" s="663"/>
      <c r="CG58" s="656"/>
    </row>
    <row r="59" spans="1:85">
      <c r="A59" s="661"/>
      <c r="E59" s="663"/>
      <c r="F59" s="663"/>
      <c r="G59" s="663"/>
      <c r="H59" s="663"/>
      <c r="I59" s="663"/>
      <c r="J59" s="663"/>
      <c r="K59" s="663"/>
      <c r="L59" s="663"/>
      <c r="M59" s="663"/>
      <c r="N59" s="663"/>
      <c r="O59" s="663"/>
      <c r="P59" s="663"/>
      <c r="Q59" s="663"/>
      <c r="R59" s="663"/>
      <c r="S59" s="663"/>
      <c r="T59" s="663"/>
      <c r="U59" s="663"/>
      <c r="V59" s="663"/>
      <c r="W59" s="663"/>
      <c r="X59" s="663"/>
      <c r="Y59" s="663"/>
      <c r="Z59" s="663"/>
      <c r="AA59" s="663"/>
      <c r="AB59" s="663"/>
      <c r="AC59" s="663"/>
      <c r="AD59" s="663"/>
      <c r="AE59" s="663"/>
      <c r="AF59" s="663"/>
      <c r="AG59" s="663"/>
      <c r="AH59" s="663"/>
      <c r="AI59" s="663"/>
      <c r="AJ59" s="663"/>
      <c r="AK59" s="663"/>
      <c r="AL59" s="663"/>
      <c r="AM59" s="663"/>
      <c r="AN59" s="663"/>
      <c r="AO59" s="663"/>
      <c r="AP59" s="663"/>
      <c r="AQ59" s="663"/>
      <c r="AR59" s="663"/>
      <c r="AS59" s="663"/>
      <c r="AT59" s="663"/>
      <c r="AU59" s="663"/>
      <c r="CG59" s="656"/>
    </row>
    <row r="60" spans="1:85">
      <c r="A60" s="661"/>
      <c r="E60" s="663"/>
      <c r="F60" s="663"/>
      <c r="G60" s="663"/>
      <c r="H60" s="663"/>
      <c r="I60" s="663"/>
      <c r="J60" s="663"/>
      <c r="K60" s="663"/>
      <c r="L60" s="663"/>
      <c r="M60" s="663"/>
      <c r="N60" s="663"/>
      <c r="O60" s="663"/>
      <c r="P60" s="663"/>
      <c r="Q60" s="663"/>
      <c r="R60" s="663"/>
      <c r="S60" s="663"/>
      <c r="T60" s="663"/>
      <c r="U60" s="663"/>
      <c r="V60" s="663"/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3"/>
      <c r="AJ60" s="663"/>
      <c r="AK60" s="663"/>
      <c r="AL60" s="663"/>
      <c r="AM60" s="663"/>
      <c r="AN60" s="663"/>
      <c r="AO60" s="663"/>
      <c r="AP60" s="663"/>
      <c r="AQ60" s="663"/>
      <c r="AR60" s="663"/>
      <c r="AS60" s="663"/>
      <c r="AT60" s="663"/>
      <c r="AU60" s="663"/>
      <c r="CG60" s="656"/>
    </row>
    <row r="61" spans="1:85">
      <c r="A61" s="661"/>
      <c r="E61" s="663"/>
      <c r="F61" s="663"/>
      <c r="G61" s="663"/>
      <c r="H61" s="663"/>
      <c r="I61" s="663"/>
      <c r="J61" s="663"/>
      <c r="K61" s="663"/>
      <c r="L61" s="663"/>
      <c r="M61" s="663"/>
      <c r="N61" s="663"/>
      <c r="O61" s="663"/>
      <c r="P61" s="663"/>
      <c r="Q61" s="663"/>
      <c r="R61" s="663"/>
      <c r="S61" s="663"/>
      <c r="T61" s="663"/>
      <c r="U61" s="663"/>
      <c r="V61" s="663"/>
      <c r="W61" s="663"/>
      <c r="X61" s="663"/>
      <c r="Y61" s="663"/>
      <c r="Z61" s="663"/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CG61" s="656"/>
    </row>
    <row r="62" spans="1:85">
      <c r="A62" s="661"/>
      <c r="E62" s="663"/>
      <c r="F62" s="663"/>
      <c r="G62" s="663"/>
      <c r="H62" s="663"/>
      <c r="I62" s="663"/>
      <c r="J62" s="663"/>
      <c r="K62" s="663"/>
      <c r="L62" s="663"/>
      <c r="M62" s="663"/>
      <c r="N62" s="663"/>
      <c r="O62" s="663"/>
      <c r="P62" s="663"/>
      <c r="Q62" s="663"/>
      <c r="R62" s="663"/>
      <c r="S62" s="663"/>
      <c r="T62" s="663"/>
      <c r="U62" s="663"/>
      <c r="V62" s="663"/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3"/>
      <c r="AI62" s="663"/>
      <c r="AJ62" s="663"/>
      <c r="AK62" s="663"/>
      <c r="AL62" s="663"/>
      <c r="AM62" s="663"/>
      <c r="AN62" s="663"/>
      <c r="AO62" s="663"/>
      <c r="AP62" s="663"/>
      <c r="AQ62" s="663"/>
      <c r="AR62" s="663"/>
      <c r="AS62" s="663"/>
      <c r="AT62" s="663"/>
      <c r="AU62" s="663"/>
      <c r="CG62" s="656"/>
    </row>
    <row r="63" spans="1:85">
      <c r="A63" s="661"/>
      <c r="E63" s="663"/>
      <c r="F63" s="663"/>
      <c r="G63" s="663"/>
      <c r="H63" s="663"/>
      <c r="I63" s="663"/>
      <c r="J63" s="663"/>
      <c r="K63" s="663"/>
      <c r="L63" s="663"/>
      <c r="M63" s="663"/>
      <c r="N63" s="663"/>
      <c r="O63" s="663"/>
      <c r="P63" s="663"/>
      <c r="Q63" s="663"/>
      <c r="R63" s="663"/>
      <c r="S63" s="663"/>
      <c r="T63" s="663"/>
      <c r="U63" s="663"/>
      <c r="V63" s="663"/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3"/>
      <c r="AJ63" s="663"/>
      <c r="AK63" s="663"/>
      <c r="AL63" s="663"/>
      <c r="AM63" s="663"/>
      <c r="AN63" s="663"/>
      <c r="AO63" s="663"/>
      <c r="AP63" s="663"/>
      <c r="AQ63" s="663"/>
      <c r="AR63" s="663"/>
      <c r="AS63" s="663"/>
      <c r="AT63" s="663"/>
      <c r="AU63" s="663"/>
      <c r="CG63" s="656"/>
    </row>
    <row r="64" spans="1:85">
      <c r="A64" s="661"/>
      <c r="E64" s="663"/>
      <c r="F64" s="663"/>
      <c r="G64" s="663"/>
      <c r="H64" s="663"/>
      <c r="I64" s="663"/>
      <c r="J64" s="663"/>
      <c r="K64" s="663"/>
      <c r="L64" s="663"/>
      <c r="M64" s="663"/>
      <c r="N64" s="663"/>
      <c r="O64" s="663"/>
      <c r="P64" s="663"/>
      <c r="Q64" s="663"/>
      <c r="R64" s="663"/>
      <c r="S64" s="663"/>
      <c r="T64" s="663"/>
      <c r="U64" s="663"/>
      <c r="V64" s="663"/>
      <c r="W64" s="663"/>
      <c r="X64" s="663"/>
      <c r="Y64" s="663"/>
      <c r="Z64" s="663"/>
      <c r="AA64" s="663"/>
      <c r="AB64" s="663"/>
      <c r="AC64" s="663"/>
      <c r="AD64" s="663"/>
      <c r="AE64" s="663"/>
      <c r="AF64" s="663"/>
      <c r="AG64" s="663"/>
      <c r="AH64" s="663"/>
      <c r="AI64" s="663"/>
      <c r="AJ64" s="663"/>
      <c r="AK64" s="663"/>
      <c r="AL64" s="663"/>
      <c r="AM64" s="663"/>
      <c r="AN64" s="663"/>
      <c r="AO64" s="663"/>
      <c r="AP64" s="663"/>
      <c r="AQ64" s="663"/>
      <c r="AR64" s="663"/>
      <c r="AS64" s="663"/>
      <c r="AT64" s="663"/>
      <c r="AU64" s="663"/>
      <c r="CG64" s="656"/>
    </row>
    <row r="65" spans="1:85">
      <c r="A65" s="661"/>
      <c r="E65" s="663"/>
      <c r="F65" s="663"/>
      <c r="G65" s="663"/>
      <c r="H65" s="663"/>
      <c r="I65" s="663"/>
      <c r="J65" s="663"/>
      <c r="K65" s="663"/>
      <c r="L65" s="663"/>
      <c r="M65" s="663"/>
      <c r="N65" s="663"/>
      <c r="O65" s="663"/>
      <c r="P65" s="663"/>
      <c r="Q65" s="663"/>
      <c r="R65" s="663"/>
      <c r="S65" s="663"/>
      <c r="T65" s="663"/>
      <c r="U65" s="663"/>
      <c r="V65" s="663"/>
      <c r="W65" s="663"/>
      <c r="X65" s="663"/>
      <c r="Y65" s="663"/>
      <c r="Z65" s="663"/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CG65" s="656"/>
    </row>
    <row r="66" spans="1:85">
      <c r="A66" s="661"/>
      <c r="E66" s="663"/>
      <c r="F66" s="663"/>
      <c r="G66" s="663"/>
      <c r="H66" s="663"/>
      <c r="I66" s="663"/>
      <c r="J66" s="663"/>
      <c r="K66" s="663"/>
      <c r="L66" s="663"/>
      <c r="M66" s="663"/>
      <c r="N66" s="663"/>
      <c r="O66" s="663"/>
      <c r="P66" s="663"/>
      <c r="Q66" s="663"/>
      <c r="R66" s="663"/>
      <c r="S66" s="663"/>
      <c r="T66" s="663"/>
      <c r="U66" s="663"/>
      <c r="V66" s="663"/>
      <c r="W66" s="663"/>
      <c r="X66" s="663"/>
      <c r="Y66" s="663"/>
      <c r="Z66" s="663"/>
      <c r="AA66" s="663"/>
      <c r="AB66" s="663"/>
      <c r="AC66" s="663"/>
      <c r="AD66" s="663"/>
      <c r="AE66" s="663"/>
      <c r="AF66" s="663"/>
      <c r="AG66" s="663"/>
      <c r="AH66" s="663"/>
      <c r="AI66" s="663"/>
      <c r="AJ66" s="663"/>
      <c r="AK66" s="663"/>
      <c r="AL66" s="663"/>
      <c r="AM66" s="663"/>
      <c r="AN66" s="663"/>
      <c r="AO66" s="663"/>
      <c r="AP66" s="663"/>
      <c r="AQ66" s="663"/>
      <c r="AR66" s="663"/>
      <c r="AS66" s="663"/>
      <c r="AT66" s="663"/>
      <c r="AU66" s="663"/>
      <c r="CG66" s="656"/>
    </row>
    <row r="67" spans="1:85">
      <c r="A67" s="661"/>
      <c r="E67" s="663"/>
      <c r="F67" s="663"/>
      <c r="G67" s="663"/>
      <c r="H67" s="663"/>
      <c r="I67" s="663"/>
      <c r="J67" s="663"/>
      <c r="K67" s="663"/>
      <c r="L67" s="663"/>
      <c r="M67" s="663"/>
      <c r="N67" s="663"/>
      <c r="O67" s="663"/>
      <c r="P67" s="663"/>
      <c r="Q67" s="663"/>
      <c r="R67" s="663"/>
      <c r="S67" s="663"/>
      <c r="T67" s="663"/>
      <c r="U67" s="663"/>
      <c r="V67" s="663"/>
      <c r="W67" s="663"/>
      <c r="X67" s="663"/>
      <c r="Y67" s="663"/>
      <c r="Z67" s="663"/>
      <c r="AA67" s="663"/>
      <c r="AB67" s="663"/>
      <c r="AC67" s="663"/>
      <c r="AD67" s="663"/>
      <c r="AE67" s="663"/>
      <c r="AF67" s="663"/>
      <c r="AG67" s="663"/>
      <c r="AH67" s="663"/>
      <c r="AI67" s="663"/>
      <c r="AJ67" s="663"/>
      <c r="AK67" s="663"/>
      <c r="AL67" s="663"/>
      <c r="AM67" s="663"/>
      <c r="AN67" s="663"/>
      <c r="AO67" s="663"/>
      <c r="AP67" s="663"/>
      <c r="AQ67" s="663"/>
      <c r="AR67" s="663"/>
      <c r="AS67" s="663"/>
      <c r="AT67" s="663"/>
      <c r="AU67" s="663"/>
      <c r="CG67" s="656"/>
    </row>
    <row r="68" spans="1:85">
      <c r="A68" s="661"/>
      <c r="E68" s="663"/>
      <c r="F68" s="663"/>
      <c r="G68" s="663"/>
      <c r="H68" s="663"/>
      <c r="I68" s="663"/>
      <c r="J68" s="663"/>
      <c r="K68" s="663"/>
      <c r="L68" s="663"/>
      <c r="M68" s="663"/>
      <c r="N68" s="663"/>
      <c r="O68" s="663"/>
      <c r="P68" s="663"/>
      <c r="Q68" s="663"/>
      <c r="R68" s="663"/>
      <c r="S68" s="663"/>
      <c r="T68" s="663"/>
      <c r="U68" s="663"/>
      <c r="V68" s="663"/>
      <c r="W68" s="663"/>
      <c r="X68" s="663"/>
      <c r="Y68" s="663"/>
      <c r="Z68" s="663"/>
      <c r="AA68" s="663"/>
      <c r="AB68" s="663"/>
      <c r="AC68" s="663"/>
      <c r="AD68" s="663"/>
      <c r="AE68" s="663"/>
      <c r="AF68" s="663"/>
      <c r="AG68" s="663"/>
      <c r="AH68" s="663"/>
      <c r="AI68" s="663"/>
      <c r="AJ68" s="663"/>
      <c r="AK68" s="663"/>
      <c r="AL68" s="663"/>
      <c r="AM68" s="663"/>
      <c r="AN68" s="663"/>
      <c r="AO68" s="663"/>
      <c r="AP68" s="663"/>
      <c r="AQ68" s="663"/>
      <c r="AR68" s="663"/>
      <c r="AS68" s="663"/>
      <c r="AT68" s="663"/>
      <c r="AU68" s="663"/>
      <c r="CG68" s="656"/>
    </row>
    <row r="69" spans="1:85">
      <c r="A69" s="661"/>
      <c r="E69" s="663"/>
      <c r="F69" s="663"/>
      <c r="G69" s="663"/>
      <c r="H69" s="663"/>
      <c r="I69" s="663"/>
      <c r="J69" s="663"/>
      <c r="K69" s="663"/>
      <c r="L69" s="663"/>
      <c r="M69" s="663"/>
      <c r="N69" s="663"/>
      <c r="O69" s="663"/>
      <c r="P69" s="663"/>
      <c r="Q69" s="663"/>
      <c r="R69" s="663"/>
      <c r="S69" s="663"/>
      <c r="T69" s="663"/>
      <c r="U69" s="663"/>
      <c r="V69" s="663"/>
      <c r="W69" s="663"/>
      <c r="X69" s="663"/>
      <c r="Y69" s="663"/>
      <c r="Z69" s="663"/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CG69" s="656"/>
    </row>
    <row r="70" spans="1:85">
      <c r="A70" s="661"/>
      <c r="E70" s="663"/>
      <c r="F70" s="663"/>
      <c r="G70" s="663"/>
      <c r="H70" s="663"/>
      <c r="I70" s="663"/>
      <c r="J70" s="663"/>
      <c r="K70" s="663"/>
      <c r="L70" s="663"/>
      <c r="M70" s="663"/>
      <c r="N70" s="663"/>
      <c r="O70" s="663"/>
      <c r="P70" s="663"/>
      <c r="Q70" s="663"/>
      <c r="R70" s="663"/>
      <c r="S70" s="663"/>
      <c r="T70" s="663"/>
      <c r="U70" s="663"/>
      <c r="V70" s="663"/>
      <c r="W70" s="663"/>
      <c r="X70" s="663"/>
      <c r="Y70" s="663"/>
      <c r="Z70" s="663"/>
      <c r="AA70" s="663"/>
      <c r="AB70" s="663"/>
      <c r="AC70" s="663"/>
      <c r="AD70" s="663"/>
      <c r="AE70" s="663"/>
      <c r="AF70" s="663"/>
      <c r="AG70" s="663"/>
      <c r="AH70" s="663"/>
      <c r="AI70" s="663"/>
      <c r="AJ70" s="663"/>
      <c r="AK70" s="663"/>
      <c r="AL70" s="663"/>
      <c r="AM70" s="663"/>
      <c r="AN70" s="663"/>
      <c r="AO70" s="663"/>
      <c r="AP70" s="663"/>
      <c r="AQ70" s="663"/>
      <c r="AR70" s="663"/>
      <c r="AS70" s="663"/>
      <c r="AT70" s="663"/>
      <c r="AU70" s="663"/>
      <c r="CG70" s="656"/>
    </row>
    <row r="71" spans="1:85">
      <c r="A71" s="661"/>
      <c r="E71" s="663"/>
      <c r="F71" s="663"/>
      <c r="G71" s="663"/>
      <c r="H71" s="663"/>
      <c r="I71" s="663"/>
      <c r="J71" s="663"/>
      <c r="K71" s="663"/>
      <c r="L71" s="663"/>
      <c r="M71" s="663"/>
      <c r="N71" s="663"/>
      <c r="O71" s="663"/>
      <c r="P71" s="663"/>
      <c r="Q71" s="663"/>
      <c r="R71" s="663"/>
      <c r="S71" s="663"/>
      <c r="T71" s="663"/>
      <c r="U71" s="663"/>
      <c r="V71" s="663"/>
      <c r="W71" s="663"/>
      <c r="X71" s="663"/>
      <c r="Y71" s="663"/>
      <c r="Z71" s="663"/>
      <c r="AA71" s="663"/>
      <c r="AB71" s="663"/>
      <c r="AC71" s="663"/>
      <c r="AD71" s="663"/>
      <c r="AE71" s="663"/>
      <c r="AF71" s="663"/>
      <c r="AG71" s="663"/>
      <c r="AH71" s="663"/>
      <c r="AI71" s="663"/>
      <c r="AJ71" s="663"/>
      <c r="AK71" s="663"/>
      <c r="AL71" s="663"/>
      <c r="AM71" s="663"/>
      <c r="AN71" s="663"/>
      <c r="AO71" s="663"/>
      <c r="AP71" s="663"/>
      <c r="AQ71" s="663"/>
      <c r="AR71" s="663"/>
      <c r="AS71" s="663"/>
      <c r="AT71" s="663"/>
      <c r="AU71" s="663"/>
      <c r="CG71" s="656"/>
    </row>
    <row r="72" spans="1:85">
      <c r="A72" s="661"/>
      <c r="E72" s="663"/>
      <c r="F72" s="663"/>
      <c r="G72" s="663"/>
      <c r="H72" s="663"/>
      <c r="I72" s="663"/>
      <c r="J72" s="663"/>
      <c r="K72" s="663"/>
      <c r="L72" s="663"/>
      <c r="M72" s="663"/>
      <c r="N72" s="663"/>
      <c r="O72" s="663"/>
      <c r="P72" s="663"/>
      <c r="Q72" s="663"/>
      <c r="R72" s="663"/>
      <c r="S72" s="663"/>
      <c r="T72" s="663"/>
      <c r="U72" s="663"/>
      <c r="V72" s="663"/>
      <c r="W72" s="663"/>
      <c r="X72" s="663"/>
      <c r="Y72" s="663"/>
      <c r="Z72" s="663"/>
      <c r="AA72" s="663"/>
      <c r="AB72" s="663"/>
      <c r="AC72" s="663"/>
      <c r="AD72" s="663"/>
      <c r="AE72" s="663"/>
      <c r="AF72" s="663"/>
      <c r="AG72" s="663"/>
      <c r="AH72" s="663"/>
      <c r="AI72" s="663"/>
      <c r="AJ72" s="663"/>
      <c r="AK72" s="663"/>
      <c r="AL72" s="663"/>
      <c r="AM72" s="663"/>
      <c r="AN72" s="663"/>
      <c r="AO72" s="663"/>
      <c r="AP72" s="663"/>
      <c r="AQ72" s="663"/>
      <c r="AR72" s="663"/>
      <c r="AS72" s="663"/>
      <c r="AT72" s="663"/>
      <c r="AU72" s="663"/>
      <c r="CG72" s="656"/>
    </row>
    <row r="73" spans="1:85">
      <c r="A73" s="661"/>
      <c r="E73" s="663"/>
      <c r="F73" s="663"/>
      <c r="G73" s="663"/>
      <c r="H73" s="663"/>
      <c r="I73" s="663"/>
      <c r="J73" s="663"/>
      <c r="K73" s="663"/>
      <c r="L73" s="663"/>
      <c r="M73" s="663"/>
      <c r="N73" s="663"/>
      <c r="O73" s="663"/>
      <c r="P73" s="663"/>
      <c r="Q73" s="663"/>
      <c r="R73" s="663"/>
      <c r="S73" s="663"/>
      <c r="T73" s="663"/>
      <c r="U73" s="663"/>
      <c r="V73" s="663"/>
      <c r="W73" s="663"/>
      <c r="X73" s="663"/>
      <c r="Y73" s="663"/>
      <c r="Z73" s="663"/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CG73" s="656"/>
    </row>
    <row r="74" spans="1:85">
      <c r="A74" s="661"/>
      <c r="E74" s="663"/>
      <c r="F74" s="663"/>
      <c r="G74" s="663"/>
      <c r="H74" s="663"/>
      <c r="I74" s="663"/>
      <c r="J74" s="663"/>
      <c r="K74" s="663"/>
      <c r="L74" s="663"/>
      <c r="M74" s="663"/>
      <c r="N74" s="663"/>
      <c r="O74" s="663"/>
      <c r="P74" s="663"/>
      <c r="Q74" s="663"/>
      <c r="R74" s="663"/>
      <c r="S74" s="663"/>
      <c r="T74" s="663"/>
      <c r="U74" s="663"/>
      <c r="V74" s="663"/>
      <c r="W74" s="663"/>
      <c r="X74" s="663"/>
      <c r="Y74" s="663"/>
      <c r="Z74" s="663"/>
      <c r="AA74" s="663"/>
      <c r="AB74" s="663"/>
      <c r="AC74" s="663"/>
      <c r="AD74" s="663"/>
      <c r="AE74" s="663"/>
      <c r="AF74" s="663"/>
      <c r="AG74" s="663"/>
      <c r="AH74" s="663"/>
      <c r="AI74" s="663"/>
      <c r="AJ74" s="663"/>
      <c r="AK74" s="663"/>
      <c r="AL74" s="663"/>
      <c r="AM74" s="663"/>
      <c r="AN74" s="663"/>
      <c r="AO74" s="663"/>
      <c r="AP74" s="663"/>
      <c r="AQ74" s="663"/>
      <c r="AR74" s="663"/>
      <c r="AS74" s="663"/>
      <c r="AT74" s="663"/>
      <c r="AU74" s="663"/>
      <c r="CG74" s="656"/>
    </row>
    <row r="75" spans="1:85">
      <c r="A75" s="661"/>
      <c r="E75" s="663"/>
      <c r="F75" s="663"/>
      <c r="G75" s="663"/>
      <c r="H75" s="663"/>
      <c r="I75" s="663"/>
      <c r="J75" s="663"/>
      <c r="K75" s="663"/>
      <c r="L75" s="663"/>
      <c r="M75" s="663"/>
      <c r="N75" s="663"/>
      <c r="O75" s="663"/>
      <c r="P75" s="663"/>
      <c r="Q75" s="663"/>
      <c r="R75" s="663"/>
      <c r="S75" s="663"/>
      <c r="T75" s="663"/>
      <c r="U75" s="663"/>
      <c r="V75" s="663"/>
      <c r="W75" s="663"/>
      <c r="X75" s="663"/>
      <c r="Y75" s="663"/>
      <c r="Z75" s="663"/>
      <c r="AA75" s="663"/>
      <c r="AB75" s="663"/>
      <c r="AC75" s="663"/>
      <c r="AD75" s="663"/>
      <c r="AE75" s="663"/>
      <c r="AF75" s="663"/>
      <c r="AG75" s="663"/>
      <c r="AH75" s="663"/>
      <c r="AI75" s="663"/>
      <c r="AJ75" s="663"/>
      <c r="AK75" s="663"/>
      <c r="AL75" s="663"/>
      <c r="AM75" s="663"/>
      <c r="AN75" s="663"/>
      <c r="AO75" s="663"/>
      <c r="AP75" s="663"/>
      <c r="AQ75" s="663"/>
      <c r="AR75" s="663"/>
      <c r="AS75" s="663"/>
      <c r="AT75" s="663"/>
      <c r="AU75" s="663"/>
      <c r="CG75" s="656"/>
    </row>
    <row r="76" spans="1:85">
      <c r="A76" s="661"/>
      <c r="E76" s="663"/>
      <c r="F76" s="663"/>
      <c r="G76" s="663"/>
      <c r="H76" s="663"/>
      <c r="I76" s="663"/>
      <c r="J76" s="663"/>
      <c r="K76" s="663"/>
      <c r="L76" s="663"/>
      <c r="M76" s="663"/>
      <c r="N76" s="663"/>
      <c r="O76" s="663"/>
      <c r="P76" s="663"/>
      <c r="Q76" s="663"/>
      <c r="R76" s="663"/>
      <c r="S76" s="663"/>
      <c r="T76" s="663"/>
      <c r="U76" s="663"/>
      <c r="V76" s="663"/>
      <c r="W76" s="663"/>
      <c r="X76" s="663"/>
      <c r="Y76" s="663"/>
      <c r="Z76" s="663"/>
      <c r="AA76" s="663"/>
      <c r="AB76" s="663"/>
      <c r="AC76" s="663"/>
      <c r="AD76" s="663"/>
      <c r="AE76" s="663"/>
      <c r="AF76" s="663"/>
      <c r="AG76" s="663"/>
      <c r="AH76" s="663"/>
      <c r="AI76" s="663"/>
      <c r="AJ76" s="663"/>
      <c r="AK76" s="663"/>
      <c r="AL76" s="663"/>
      <c r="AM76" s="663"/>
      <c r="AN76" s="663"/>
      <c r="AO76" s="663"/>
      <c r="AP76" s="663"/>
      <c r="AQ76" s="663"/>
      <c r="AR76" s="663"/>
      <c r="AS76" s="663"/>
      <c r="AT76" s="663"/>
      <c r="AU76" s="663"/>
      <c r="CG76" s="656"/>
    </row>
    <row r="77" spans="1:85">
      <c r="A77" s="661"/>
      <c r="E77" s="663"/>
      <c r="F77" s="663"/>
      <c r="G77" s="663"/>
      <c r="H77" s="663"/>
      <c r="I77" s="663"/>
      <c r="J77" s="663"/>
      <c r="K77" s="663"/>
      <c r="L77" s="663"/>
      <c r="M77" s="663"/>
      <c r="N77" s="663"/>
      <c r="O77" s="663"/>
      <c r="P77" s="663"/>
      <c r="Q77" s="663"/>
      <c r="R77" s="663"/>
      <c r="S77" s="663"/>
      <c r="T77" s="663"/>
      <c r="U77" s="663"/>
      <c r="V77" s="663"/>
      <c r="W77" s="663"/>
      <c r="X77" s="663"/>
      <c r="Y77" s="663"/>
      <c r="Z77" s="663"/>
      <c r="AA77" s="663"/>
      <c r="AB77" s="663"/>
      <c r="AC77" s="663"/>
      <c r="AD77" s="663"/>
      <c r="AE77" s="663"/>
      <c r="AF77" s="663"/>
      <c r="AG77" s="663"/>
      <c r="AH77" s="663"/>
      <c r="AI77" s="663"/>
      <c r="AJ77" s="663"/>
      <c r="AK77" s="663"/>
      <c r="AL77" s="663"/>
      <c r="AM77" s="663"/>
      <c r="AN77" s="663"/>
      <c r="AO77" s="663"/>
      <c r="AP77" s="663"/>
      <c r="AQ77" s="663"/>
      <c r="AR77" s="663"/>
      <c r="AS77" s="663"/>
      <c r="AT77" s="663"/>
      <c r="AU77" s="663"/>
      <c r="CG77" s="656"/>
    </row>
    <row r="78" spans="1:85">
      <c r="A78" s="661"/>
      <c r="E78" s="663"/>
      <c r="F78" s="663"/>
      <c r="G78" s="663"/>
      <c r="H78" s="663"/>
      <c r="I78" s="663"/>
      <c r="J78" s="663"/>
      <c r="K78" s="663"/>
      <c r="L78" s="663"/>
      <c r="M78" s="663"/>
      <c r="N78" s="663"/>
      <c r="O78" s="663"/>
      <c r="P78" s="663"/>
      <c r="Q78" s="663"/>
      <c r="R78" s="663"/>
      <c r="S78" s="663"/>
      <c r="T78" s="663"/>
      <c r="U78" s="663"/>
      <c r="V78" s="663"/>
      <c r="W78" s="663"/>
      <c r="X78" s="663"/>
      <c r="Y78" s="663"/>
      <c r="Z78" s="663"/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CG78" s="656"/>
    </row>
    <row r="79" spans="1:85">
      <c r="A79" s="661"/>
      <c r="E79" s="663"/>
      <c r="F79" s="663"/>
      <c r="G79" s="663"/>
      <c r="H79" s="663"/>
      <c r="I79" s="663"/>
      <c r="J79" s="663"/>
      <c r="K79" s="663"/>
      <c r="L79" s="663"/>
      <c r="M79" s="663"/>
      <c r="N79" s="663"/>
      <c r="O79" s="663"/>
      <c r="P79" s="663"/>
      <c r="Q79" s="663"/>
      <c r="R79" s="663"/>
      <c r="S79" s="663"/>
      <c r="T79" s="663"/>
      <c r="U79" s="663"/>
      <c r="V79" s="663"/>
      <c r="W79" s="663"/>
      <c r="X79" s="663"/>
      <c r="Y79" s="663"/>
      <c r="Z79" s="663"/>
      <c r="AA79" s="663"/>
      <c r="AB79" s="663"/>
      <c r="AC79" s="663"/>
      <c r="AD79" s="663"/>
      <c r="AE79" s="663"/>
      <c r="AF79" s="663"/>
      <c r="AG79" s="663"/>
      <c r="AH79" s="663"/>
      <c r="AI79" s="663"/>
      <c r="AJ79" s="663"/>
      <c r="AK79" s="663"/>
      <c r="AL79" s="663"/>
      <c r="AM79" s="663"/>
      <c r="AN79" s="663"/>
      <c r="AO79" s="663"/>
      <c r="AP79" s="663"/>
      <c r="AQ79" s="663"/>
      <c r="AR79" s="663"/>
      <c r="AS79" s="663"/>
      <c r="AT79" s="663"/>
      <c r="AU79" s="663"/>
      <c r="CG79" s="656"/>
    </row>
    <row r="80" spans="1:85">
      <c r="A80" s="661"/>
      <c r="E80" s="663"/>
      <c r="F80" s="663"/>
      <c r="G80" s="663"/>
      <c r="H80" s="663"/>
      <c r="I80" s="663"/>
      <c r="J80" s="663"/>
      <c r="K80" s="663"/>
      <c r="L80" s="663"/>
      <c r="M80" s="663"/>
      <c r="N80" s="663"/>
      <c r="O80" s="663"/>
      <c r="P80" s="663"/>
      <c r="Q80" s="663"/>
      <c r="R80" s="663"/>
      <c r="S80" s="663"/>
      <c r="T80" s="663"/>
      <c r="U80" s="663"/>
      <c r="V80" s="663"/>
      <c r="W80" s="663"/>
      <c r="X80" s="663"/>
      <c r="Y80" s="663"/>
      <c r="Z80" s="663"/>
      <c r="AA80" s="663"/>
      <c r="AB80" s="663"/>
      <c r="AC80" s="663"/>
      <c r="AD80" s="663"/>
      <c r="AE80" s="663"/>
      <c r="AF80" s="663"/>
      <c r="AG80" s="663"/>
      <c r="AH80" s="663"/>
      <c r="AI80" s="663"/>
      <c r="AJ80" s="663"/>
      <c r="AK80" s="663"/>
      <c r="AL80" s="663"/>
      <c r="AM80" s="663"/>
      <c r="AN80" s="663"/>
      <c r="AO80" s="663"/>
      <c r="AP80" s="663"/>
      <c r="AQ80" s="663"/>
      <c r="AR80" s="663"/>
      <c r="AS80" s="663"/>
      <c r="AT80" s="663"/>
      <c r="AU80" s="663"/>
      <c r="CG80" s="656"/>
    </row>
    <row r="81" spans="1:85">
      <c r="A81" s="661"/>
      <c r="E81" s="663"/>
      <c r="F81" s="663"/>
      <c r="G81" s="663"/>
      <c r="H81" s="663"/>
      <c r="I81" s="663"/>
      <c r="J81" s="663"/>
      <c r="K81" s="663"/>
      <c r="L81" s="663"/>
      <c r="M81" s="663"/>
      <c r="N81" s="663"/>
      <c r="O81" s="663"/>
      <c r="P81" s="663"/>
      <c r="Q81" s="663"/>
      <c r="R81" s="663"/>
      <c r="S81" s="663"/>
      <c r="T81" s="663"/>
      <c r="U81" s="663"/>
      <c r="V81" s="663"/>
      <c r="W81" s="663"/>
      <c r="X81" s="663"/>
      <c r="Y81" s="663"/>
      <c r="Z81" s="663"/>
      <c r="AA81" s="663"/>
      <c r="AB81" s="663"/>
      <c r="AC81" s="663"/>
      <c r="AD81" s="663"/>
      <c r="AE81" s="663"/>
      <c r="AF81" s="663"/>
      <c r="AG81" s="663"/>
      <c r="AH81" s="663"/>
      <c r="AI81" s="663"/>
      <c r="AJ81" s="663"/>
      <c r="AK81" s="663"/>
      <c r="AL81" s="663"/>
      <c r="AM81" s="663"/>
      <c r="AN81" s="663"/>
      <c r="AO81" s="663"/>
      <c r="AP81" s="663"/>
      <c r="AQ81" s="663"/>
      <c r="AR81" s="663"/>
      <c r="AS81" s="663"/>
      <c r="AT81" s="663"/>
      <c r="AU81" s="663"/>
      <c r="CG81" s="656"/>
    </row>
    <row r="82" spans="1:85">
      <c r="A82" s="661"/>
      <c r="E82" s="663"/>
      <c r="F82" s="663"/>
      <c r="G82" s="663"/>
      <c r="H82" s="663"/>
      <c r="I82" s="663"/>
      <c r="J82" s="663"/>
      <c r="K82" s="663"/>
      <c r="L82" s="663"/>
      <c r="M82" s="663"/>
      <c r="N82" s="663"/>
      <c r="O82" s="663"/>
      <c r="P82" s="663"/>
      <c r="Q82" s="663"/>
      <c r="R82" s="663"/>
      <c r="S82" s="663"/>
      <c r="T82" s="663"/>
      <c r="U82" s="663"/>
      <c r="V82" s="663"/>
      <c r="W82" s="663"/>
      <c r="X82" s="663"/>
      <c r="Y82" s="663"/>
      <c r="Z82" s="663"/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CG82" s="656"/>
    </row>
    <row r="83" spans="1:85">
      <c r="A83" s="661"/>
      <c r="E83" s="663"/>
      <c r="F83" s="663"/>
      <c r="G83" s="663"/>
      <c r="H83" s="663"/>
      <c r="I83" s="663"/>
      <c r="J83" s="663"/>
      <c r="K83" s="663"/>
      <c r="L83" s="663"/>
      <c r="M83" s="663"/>
      <c r="N83" s="663"/>
      <c r="O83" s="663"/>
      <c r="P83" s="663"/>
      <c r="Q83" s="663"/>
      <c r="R83" s="663"/>
      <c r="S83" s="663"/>
      <c r="T83" s="663"/>
      <c r="U83" s="663"/>
      <c r="V83" s="663"/>
      <c r="W83" s="663"/>
      <c r="X83" s="663"/>
      <c r="Y83" s="663"/>
      <c r="Z83" s="663"/>
      <c r="AA83" s="663"/>
      <c r="AB83" s="663"/>
      <c r="AC83" s="663"/>
      <c r="AD83" s="663"/>
      <c r="AE83" s="663"/>
      <c r="AF83" s="663"/>
      <c r="AG83" s="663"/>
      <c r="AH83" s="663"/>
      <c r="AI83" s="663"/>
      <c r="AJ83" s="663"/>
      <c r="AK83" s="663"/>
      <c r="AL83" s="663"/>
      <c r="AM83" s="663"/>
      <c r="AN83" s="663"/>
      <c r="AO83" s="663"/>
      <c r="AP83" s="663"/>
      <c r="AQ83" s="663"/>
      <c r="AR83" s="663"/>
      <c r="AS83" s="663"/>
      <c r="AT83" s="663"/>
      <c r="AU83" s="663"/>
      <c r="CG83" s="656"/>
    </row>
    <row r="84" spans="1:85">
      <c r="A84" s="661"/>
      <c r="E84" s="663"/>
      <c r="F84" s="663"/>
      <c r="G84" s="663"/>
      <c r="H84" s="663"/>
      <c r="I84" s="663"/>
      <c r="J84" s="663"/>
      <c r="K84" s="663"/>
      <c r="L84" s="663"/>
      <c r="M84" s="663"/>
      <c r="N84" s="663"/>
      <c r="O84" s="663"/>
      <c r="P84" s="663"/>
      <c r="Q84" s="663"/>
      <c r="R84" s="663"/>
      <c r="S84" s="663"/>
      <c r="T84" s="663"/>
      <c r="U84" s="663"/>
      <c r="V84" s="663"/>
      <c r="W84" s="663"/>
      <c r="X84" s="663"/>
      <c r="Y84" s="663"/>
      <c r="Z84" s="663"/>
      <c r="AA84" s="663"/>
      <c r="AB84" s="663"/>
      <c r="AC84" s="663"/>
      <c r="AD84" s="663"/>
      <c r="AE84" s="663"/>
      <c r="AF84" s="663"/>
      <c r="AG84" s="663"/>
      <c r="AH84" s="663"/>
      <c r="AI84" s="663"/>
      <c r="AJ84" s="663"/>
      <c r="AK84" s="663"/>
      <c r="AL84" s="663"/>
      <c r="AM84" s="663"/>
      <c r="AN84" s="663"/>
      <c r="AO84" s="663"/>
      <c r="AP84" s="663"/>
      <c r="AQ84" s="663"/>
      <c r="AR84" s="663"/>
      <c r="AS84" s="663"/>
      <c r="AT84" s="663"/>
      <c r="AU84" s="663"/>
      <c r="CG84" s="656"/>
    </row>
    <row r="85" spans="1:85">
      <c r="A85" s="661"/>
      <c r="E85" s="663"/>
      <c r="F85" s="663"/>
      <c r="G85" s="663"/>
      <c r="H85" s="663"/>
      <c r="I85" s="663"/>
      <c r="J85" s="663"/>
      <c r="K85" s="663"/>
      <c r="L85" s="663"/>
      <c r="M85" s="663"/>
      <c r="N85" s="663"/>
      <c r="O85" s="663"/>
      <c r="P85" s="663"/>
      <c r="Q85" s="663"/>
      <c r="R85" s="663"/>
      <c r="S85" s="663"/>
      <c r="T85" s="663"/>
      <c r="U85" s="663"/>
      <c r="V85" s="663"/>
      <c r="W85" s="663"/>
      <c r="X85" s="663"/>
      <c r="Y85" s="663"/>
      <c r="Z85" s="663"/>
      <c r="AA85" s="663"/>
      <c r="AB85" s="663"/>
      <c r="AC85" s="663"/>
      <c r="AD85" s="663"/>
      <c r="AE85" s="663"/>
      <c r="AF85" s="663"/>
      <c r="AG85" s="663"/>
      <c r="AH85" s="663"/>
      <c r="AI85" s="663"/>
      <c r="AJ85" s="663"/>
      <c r="AK85" s="663"/>
      <c r="AL85" s="663"/>
      <c r="AM85" s="663"/>
      <c r="AN85" s="663"/>
      <c r="AO85" s="663"/>
      <c r="AP85" s="663"/>
      <c r="AQ85" s="663"/>
      <c r="AR85" s="663"/>
      <c r="AS85" s="663"/>
      <c r="AT85" s="663"/>
      <c r="AU85" s="663"/>
      <c r="CG85" s="656"/>
    </row>
    <row r="86" spans="1:85">
      <c r="A86" s="661"/>
      <c r="E86" s="663"/>
      <c r="F86" s="663"/>
      <c r="G86" s="663"/>
      <c r="H86" s="663"/>
      <c r="I86" s="663"/>
      <c r="J86" s="663"/>
      <c r="K86" s="663"/>
      <c r="L86" s="663"/>
      <c r="M86" s="663"/>
      <c r="N86" s="663"/>
      <c r="O86" s="663"/>
      <c r="P86" s="663"/>
      <c r="Q86" s="663"/>
      <c r="R86" s="663"/>
      <c r="S86" s="663"/>
      <c r="T86" s="663"/>
      <c r="U86" s="663"/>
      <c r="V86" s="663"/>
      <c r="W86" s="663"/>
      <c r="X86" s="663"/>
      <c r="Y86" s="663"/>
      <c r="Z86" s="663"/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CG86" s="656"/>
    </row>
    <row r="87" spans="1:85">
      <c r="A87" s="661"/>
      <c r="E87" s="663"/>
      <c r="F87" s="663"/>
      <c r="G87" s="663"/>
      <c r="H87" s="663"/>
      <c r="I87" s="663"/>
      <c r="J87" s="663"/>
      <c r="K87" s="663"/>
      <c r="L87" s="663"/>
      <c r="M87" s="663"/>
      <c r="N87" s="663"/>
      <c r="O87" s="663"/>
      <c r="P87" s="663"/>
      <c r="Q87" s="663"/>
      <c r="R87" s="663"/>
      <c r="S87" s="663"/>
      <c r="T87" s="663"/>
      <c r="U87" s="663"/>
      <c r="V87" s="663"/>
      <c r="W87" s="663"/>
      <c r="X87" s="663"/>
      <c r="Y87" s="663"/>
      <c r="Z87" s="663"/>
      <c r="AA87" s="663"/>
      <c r="AB87" s="663"/>
      <c r="AC87" s="663"/>
      <c r="AD87" s="663"/>
      <c r="AE87" s="663"/>
      <c r="AF87" s="663"/>
      <c r="AG87" s="663"/>
      <c r="AH87" s="663"/>
      <c r="AI87" s="663"/>
      <c r="AJ87" s="663"/>
      <c r="AK87" s="663"/>
      <c r="AL87" s="663"/>
      <c r="AM87" s="663"/>
      <c r="AN87" s="663"/>
      <c r="AO87" s="663"/>
      <c r="AP87" s="663"/>
      <c r="AQ87" s="663"/>
      <c r="AR87" s="663"/>
      <c r="AS87" s="663"/>
      <c r="AT87" s="663"/>
      <c r="AU87" s="663"/>
      <c r="CG87" s="656"/>
    </row>
    <row r="88" spans="1:85">
      <c r="A88" s="661"/>
      <c r="E88" s="663"/>
      <c r="F88" s="663"/>
      <c r="G88" s="663"/>
      <c r="H88" s="663"/>
      <c r="I88" s="663"/>
      <c r="J88" s="663"/>
      <c r="K88" s="663"/>
      <c r="L88" s="663"/>
      <c r="M88" s="663"/>
      <c r="N88" s="663"/>
      <c r="O88" s="663"/>
      <c r="P88" s="663"/>
      <c r="Q88" s="663"/>
      <c r="R88" s="663"/>
      <c r="S88" s="663"/>
      <c r="T88" s="663"/>
      <c r="U88" s="663"/>
      <c r="V88" s="663"/>
      <c r="W88" s="663"/>
      <c r="X88" s="663"/>
      <c r="Y88" s="663"/>
      <c r="Z88" s="663"/>
      <c r="AA88" s="663"/>
      <c r="AB88" s="663"/>
      <c r="AC88" s="663"/>
      <c r="AD88" s="663"/>
      <c r="AE88" s="663"/>
      <c r="AF88" s="663"/>
      <c r="AG88" s="663"/>
      <c r="AH88" s="663"/>
      <c r="AI88" s="663"/>
      <c r="AJ88" s="663"/>
      <c r="AK88" s="663"/>
      <c r="AL88" s="663"/>
      <c r="AM88" s="663"/>
      <c r="AN88" s="663"/>
      <c r="AO88" s="663"/>
      <c r="AP88" s="663"/>
      <c r="AQ88" s="663"/>
      <c r="AR88" s="663"/>
      <c r="AS88" s="663"/>
      <c r="AT88" s="663"/>
      <c r="AU88" s="663"/>
      <c r="CG88" s="656"/>
    </row>
    <row r="89" spans="1:85">
      <c r="A89" s="661"/>
      <c r="E89" s="663"/>
      <c r="F89" s="663"/>
      <c r="G89" s="663"/>
      <c r="H89" s="663"/>
      <c r="I89" s="663"/>
      <c r="J89" s="663"/>
      <c r="K89" s="663"/>
      <c r="L89" s="663"/>
      <c r="M89" s="663"/>
      <c r="N89" s="663"/>
      <c r="O89" s="663"/>
      <c r="P89" s="663"/>
      <c r="Q89" s="663"/>
      <c r="R89" s="663"/>
      <c r="S89" s="663"/>
      <c r="T89" s="663"/>
      <c r="U89" s="663"/>
      <c r="V89" s="663"/>
      <c r="W89" s="663"/>
      <c r="X89" s="663"/>
      <c r="Y89" s="663"/>
      <c r="Z89" s="663"/>
      <c r="AA89" s="663"/>
      <c r="AB89" s="663"/>
      <c r="AC89" s="663"/>
      <c r="AD89" s="663"/>
      <c r="AE89" s="663"/>
      <c r="AF89" s="663"/>
      <c r="AG89" s="663"/>
      <c r="AH89" s="663"/>
      <c r="AI89" s="663"/>
      <c r="AJ89" s="663"/>
      <c r="AK89" s="663"/>
      <c r="AL89" s="663"/>
      <c r="AM89" s="663"/>
      <c r="AN89" s="663"/>
      <c r="AO89" s="663"/>
      <c r="AP89" s="663"/>
      <c r="AQ89" s="663"/>
      <c r="AR89" s="663"/>
      <c r="AS89" s="663"/>
      <c r="AT89" s="663"/>
      <c r="AU89" s="663"/>
      <c r="CG89" s="656"/>
    </row>
    <row r="90" spans="1:85">
      <c r="A90" s="661"/>
      <c r="E90" s="663"/>
      <c r="F90" s="663"/>
      <c r="G90" s="663"/>
      <c r="H90" s="663"/>
      <c r="I90" s="663"/>
      <c r="J90" s="663"/>
      <c r="K90" s="663"/>
      <c r="L90" s="663"/>
      <c r="M90" s="663"/>
      <c r="N90" s="663"/>
      <c r="O90" s="663"/>
      <c r="P90" s="663"/>
      <c r="Q90" s="663"/>
      <c r="R90" s="663"/>
      <c r="S90" s="663"/>
      <c r="T90" s="663"/>
      <c r="U90" s="663"/>
      <c r="V90" s="663"/>
      <c r="W90" s="663"/>
      <c r="X90" s="663"/>
      <c r="Y90" s="663"/>
      <c r="Z90" s="663"/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CG90" s="656"/>
    </row>
    <row r="91" spans="1:85">
      <c r="A91" s="661"/>
      <c r="E91" s="663"/>
      <c r="F91" s="663"/>
      <c r="G91" s="663"/>
      <c r="H91" s="663"/>
      <c r="I91" s="663"/>
      <c r="J91" s="663"/>
      <c r="K91" s="663"/>
      <c r="L91" s="663"/>
      <c r="M91" s="663"/>
      <c r="N91" s="663"/>
      <c r="O91" s="663"/>
      <c r="P91" s="663"/>
      <c r="Q91" s="663"/>
      <c r="R91" s="663"/>
      <c r="S91" s="663"/>
      <c r="T91" s="663"/>
      <c r="U91" s="663"/>
      <c r="V91" s="663"/>
      <c r="W91" s="663"/>
      <c r="X91" s="663"/>
      <c r="Y91" s="663"/>
      <c r="Z91" s="663"/>
      <c r="AA91" s="663"/>
      <c r="AB91" s="663"/>
      <c r="AC91" s="663"/>
      <c r="AD91" s="663"/>
      <c r="AE91" s="663"/>
      <c r="AF91" s="663"/>
      <c r="AG91" s="663"/>
      <c r="AH91" s="663"/>
      <c r="AI91" s="663"/>
      <c r="AJ91" s="663"/>
      <c r="AK91" s="663"/>
      <c r="AL91" s="663"/>
      <c r="AM91" s="663"/>
      <c r="AN91" s="663"/>
      <c r="AO91" s="663"/>
      <c r="AP91" s="663"/>
      <c r="AQ91" s="663"/>
      <c r="AR91" s="663"/>
      <c r="AS91" s="663"/>
      <c r="AT91" s="663"/>
      <c r="AU91" s="663"/>
      <c r="CG91" s="656"/>
    </row>
    <row r="92" spans="1:85">
      <c r="A92" s="661"/>
      <c r="E92" s="657" t="s">
        <v>684</v>
      </c>
      <c r="I92" s="657" t="s">
        <v>458</v>
      </c>
      <c r="CG92" s="656"/>
    </row>
    <row r="93" spans="1:85">
      <c r="A93" s="661"/>
      <c r="CG93" s="656"/>
    </row>
    <row r="94" spans="1:85">
      <c r="A94" s="661"/>
      <c r="E94" s="657" t="s">
        <v>685</v>
      </c>
      <c r="F94" s="663"/>
      <c r="G94" s="663"/>
      <c r="I94" s="663" t="s">
        <v>459</v>
      </c>
      <c r="CG94" s="656"/>
    </row>
    <row r="95" spans="1:85">
      <c r="A95" s="661"/>
      <c r="E95" s="663"/>
      <c r="F95" s="663"/>
      <c r="G95" s="663"/>
      <c r="H95" s="663"/>
      <c r="I95" s="663"/>
      <c r="J95" s="663"/>
      <c r="K95" s="663"/>
      <c r="L95" s="663"/>
      <c r="M95" s="663"/>
      <c r="N95" s="663"/>
      <c r="O95" s="663"/>
      <c r="P95" s="663"/>
      <c r="Q95" s="663"/>
      <c r="R95" s="663"/>
      <c r="S95" s="663"/>
      <c r="T95" s="663"/>
      <c r="U95" s="663"/>
      <c r="V95" s="663"/>
      <c r="W95" s="663"/>
      <c r="X95" s="663"/>
      <c r="Y95" s="663"/>
      <c r="Z95" s="663"/>
      <c r="AA95" s="663"/>
      <c r="AB95" s="663"/>
      <c r="AC95" s="663"/>
      <c r="AD95" s="663"/>
      <c r="AE95" s="663"/>
      <c r="AF95" s="663"/>
      <c r="AG95" s="663"/>
      <c r="AH95" s="663"/>
      <c r="AI95" s="663"/>
      <c r="AJ95" s="663"/>
      <c r="AK95" s="663"/>
      <c r="AL95" s="663"/>
      <c r="AM95" s="663"/>
      <c r="AN95" s="663"/>
      <c r="AO95" s="663"/>
      <c r="AP95" s="663"/>
      <c r="AQ95" s="663"/>
      <c r="AR95" s="663"/>
      <c r="AS95" s="663"/>
      <c r="AT95" s="663"/>
      <c r="AU95" s="663"/>
      <c r="CG95" s="656"/>
    </row>
    <row r="96" spans="1:85">
      <c r="A96" s="661"/>
      <c r="E96" s="663"/>
      <c r="F96" s="935" t="s">
        <v>630</v>
      </c>
      <c r="G96" s="936"/>
      <c r="H96" s="936"/>
      <c r="I96" s="936"/>
      <c r="J96" s="936"/>
      <c r="K96" s="936"/>
      <c r="L96" s="936"/>
      <c r="M96" s="936"/>
      <c r="N96" s="937"/>
      <c r="O96" s="938" t="s">
        <v>631</v>
      </c>
      <c r="P96" s="894"/>
      <c r="Q96" s="894"/>
      <c r="R96" s="894"/>
      <c r="S96" s="894"/>
      <c r="T96" s="894"/>
      <c r="U96" s="894"/>
      <c r="V96" s="894"/>
      <c r="W96" s="894"/>
      <c r="X96" s="894"/>
      <c r="Y96" s="894"/>
      <c r="Z96" s="894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5"/>
      <c r="CG96" s="656"/>
    </row>
    <row r="97" spans="1:85">
      <c r="A97" s="661"/>
      <c r="E97" s="663"/>
      <c r="F97" s="946" t="s">
        <v>460</v>
      </c>
      <c r="G97" s="947"/>
      <c r="H97" s="947"/>
      <c r="I97" s="947"/>
      <c r="J97" s="947"/>
      <c r="K97" s="947"/>
      <c r="L97" s="947"/>
      <c r="M97" s="947"/>
      <c r="N97" s="948"/>
      <c r="O97" s="942" t="s">
        <v>632</v>
      </c>
      <c r="P97" s="943"/>
      <c r="Q97" s="943"/>
      <c r="R97" s="943"/>
      <c r="S97" s="943"/>
      <c r="T97" s="943"/>
      <c r="U97" s="943"/>
      <c r="V97" s="943"/>
      <c r="W97" s="943"/>
      <c r="X97" s="943"/>
      <c r="Y97" s="943"/>
      <c r="Z97" s="943"/>
      <c r="AA97" s="943"/>
      <c r="AB97" s="943"/>
      <c r="AC97" s="943"/>
      <c r="AD97" s="943"/>
      <c r="AE97" s="943"/>
      <c r="AF97" s="943"/>
      <c r="AG97" s="943"/>
      <c r="AH97" s="943"/>
      <c r="AI97" s="943"/>
      <c r="AJ97" s="943"/>
      <c r="AK97" s="943"/>
      <c r="AL97" s="943"/>
      <c r="AM97" s="943"/>
      <c r="AN97" s="943"/>
      <c r="AO97" s="943"/>
      <c r="AP97" s="943"/>
      <c r="AQ97" s="943"/>
      <c r="AR97" s="943"/>
      <c r="AS97" s="943"/>
      <c r="AT97" s="943"/>
      <c r="AU97" s="944"/>
      <c r="CG97" s="656"/>
    </row>
    <row r="98" spans="1:85">
      <c r="A98" s="661"/>
      <c r="E98" s="663"/>
      <c r="F98" s="949"/>
      <c r="G98" s="950"/>
      <c r="H98" s="950"/>
      <c r="I98" s="950"/>
      <c r="J98" s="950"/>
      <c r="K98" s="950"/>
      <c r="L98" s="950"/>
      <c r="M98" s="950"/>
      <c r="N98" s="951"/>
      <c r="O98" s="942" t="s">
        <v>633</v>
      </c>
      <c r="P98" s="943"/>
      <c r="Q98" s="943"/>
      <c r="R98" s="943"/>
      <c r="S98" s="943"/>
      <c r="T98" s="943"/>
      <c r="U98" s="943"/>
      <c r="V98" s="943"/>
      <c r="W98" s="943"/>
      <c r="X98" s="943"/>
      <c r="Y98" s="943"/>
      <c r="Z98" s="943"/>
      <c r="AA98" s="943"/>
      <c r="AB98" s="943"/>
      <c r="AC98" s="943"/>
      <c r="AD98" s="943"/>
      <c r="AE98" s="943"/>
      <c r="AF98" s="943"/>
      <c r="AG98" s="943"/>
      <c r="AH98" s="943"/>
      <c r="AI98" s="943"/>
      <c r="AJ98" s="943"/>
      <c r="AK98" s="943"/>
      <c r="AL98" s="943"/>
      <c r="AM98" s="943"/>
      <c r="AN98" s="943"/>
      <c r="AO98" s="943"/>
      <c r="AP98" s="943"/>
      <c r="AQ98" s="943"/>
      <c r="AR98" s="943"/>
      <c r="AS98" s="943"/>
      <c r="AT98" s="943"/>
      <c r="AU98" s="944"/>
      <c r="CG98" s="656"/>
    </row>
    <row r="99" spans="1:85">
      <c r="A99" s="661"/>
      <c r="E99" s="663"/>
      <c r="F99" s="664" t="s">
        <v>461</v>
      </c>
      <c r="G99" s="664"/>
      <c r="H99" s="664"/>
      <c r="I99" s="664"/>
      <c r="J99" s="664"/>
      <c r="K99" s="664"/>
      <c r="L99" s="664"/>
      <c r="M99" s="664"/>
      <c r="N99" s="664"/>
      <c r="O99" s="665"/>
      <c r="P99" s="665"/>
      <c r="Q99" s="665"/>
      <c r="R99" s="665"/>
      <c r="S99" s="665"/>
      <c r="T99" s="665"/>
      <c r="U99" s="665"/>
      <c r="V99" s="665"/>
      <c r="W99" s="665"/>
      <c r="X99" s="665"/>
      <c r="Y99" s="665"/>
      <c r="Z99" s="66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CG99" s="656"/>
    </row>
    <row r="100" spans="1:85">
      <c r="A100" s="661"/>
      <c r="E100" s="663"/>
      <c r="F100" s="664" t="s">
        <v>462</v>
      </c>
      <c r="G100" s="664"/>
      <c r="H100" s="664"/>
      <c r="I100" s="664"/>
      <c r="J100" s="664"/>
      <c r="K100" s="664"/>
      <c r="L100" s="664"/>
      <c r="M100" s="664"/>
      <c r="N100" s="664"/>
      <c r="O100" s="665"/>
      <c r="P100" s="665"/>
      <c r="Q100" s="665"/>
      <c r="R100" s="665"/>
      <c r="S100" s="665"/>
      <c r="T100" s="665"/>
      <c r="U100" s="665"/>
      <c r="V100" s="665"/>
      <c r="W100" s="665"/>
      <c r="X100" s="665"/>
      <c r="Y100" s="665"/>
      <c r="Z100" s="66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CG100" s="656"/>
    </row>
    <row r="101" spans="1:85">
      <c r="A101" s="661"/>
      <c r="E101" s="663"/>
      <c r="F101" s="664"/>
      <c r="G101" s="664"/>
      <c r="H101" s="664" t="s">
        <v>463</v>
      </c>
      <c r="I101" s="664"/>
      <c r="J101" s="664"/>
      <c r="K101" s="664"/>
      <c r="L101" s="664"/>
      <c r="M101" s="664"/>
      <c r="N101" s="664"/>
      <c r="O101" s="665"/>
      <c r="P101" s="665"/>
      <c r="Q101" s="665"/>
      <c r="R101" s="665"/>
      <c r="S101" s="665"/>
      <c r="T101" s="665"/>
      <c r="U101" s="665"/>
      <c r="V101" s="665"/>
      <c r="W101" s="665"/>
      <c r="X101" s="665"/>
      <c r="Y101" s="665"/>
      <c r="Z101" s="66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CG101" s="656"/>
    </row>
    <row r="102" spans="1:85">
      <c r="A102" s="661"/>
      <c r="E102" s="663"/>
      <c r="F102" s="664"/>
      <c r="G102" s="664"/>
      <c r="H102" s="664" t="s">
        <v>464</v>
      </c>
      <c r="I102" s="664"/>
      <c r="J102" s="664"/>
      <c r="K102" s="664"/>
      <c r="L102" s="664"/>
      <c r="M102" s="664"/>
      <c r="N102" s="664"/>
      <c r="O102" s="665"/>
      <c r="P102" s="665"/>
      <c r="Q102" s="665"/>
      <c r="R102" s="665"/>
      <c r="S102" s="665"/>
      <c r="T102" s="665"/>
      <c r="U102" s="665"/>
      <c r="V102" s="665"/>
      <c r="W102" s="665"/>
      <c r="X102" s="665"/>
      <c r="Y102" s="665"/>
      <c r="Z102" s="665"/>
      <c r="AA102" s="665"/>
      <c r="AB102" s="665"/>
      <c r="AC102" s="665"/>
      <c r="AD102" s="665"/>
      <c r="AE102" s="665"/>
      <c r="AF102" s="665"/>
      <c r="AG102" s="665"/>
      <c r="AH102" s="665"/>
      <c r="AI102" s="665"/>
      <c r="AJ102" s="665"/>
      <c r="AK102" s="665"/>
      <c r="AL102" s="665"/>
      <c r="AM102" s="665"/>
      <c r="AN102" s="665"/>
      <c r="AO102" s="665"/>
      <c r="AP102" s="665"/>
      <c r="AQ102" s="665"/>
      <c r="AR102" s="665"/>
      <c r="AS102" s="665"/>
      <c r="AT102" s="665"/>
      <c r="AU102" s="665"/>
      <c r="CG102" s="656"/>
    </row>
    <row r="103" spans="1:85">
      <c r="A103" s="661"/>
      <c r="E103" s="663"/>
      <c r="F103" s="664"/>
      <c r="G103" s="664"/>
      <c r="H103" s="664" t="s">
        <v>465</v>
      </c>
      <c r="I103" s="664"/>
      <c r="J103" s="664"/>
      <c r="K103" s="664"/>
      <c r="L103" s="664"/>
      <c r="M103" s="664"/>
      <c r="N103" s="664"/>
      <c r="O103" s="665"/>
      <c r="P103" s="665"/>
      <c r="Q103" s="665"/>
      <c r="R103" s="665"/>
      <c r="S103" s="665"/>
      <c r="T103" s="665"/>
      <c r="U103" s="665"/>
      <c r="V103" s="665"/>
      <c r="W103" s="665"/>
      <c r="X103" s="665"/>
      <c r="Y103" s="665"/>
      <c r="Z103" s="665"/>
      <c r="AA103" s="665"/>
      <c r="AB103" s="665"/>
      <c r="AC103" s="665"/>
      <c r="AD103" s="665"/>
      <c r="AE103" s="665"/>
      <c r="AF103" s="665"/>
      <c r="AG103" s="665"/>
      <c r="AH103" s="665"/>
      <c r="AI103" s="665"/>
      <c r="AJ103" s="665"/>
      <c r="AK103" s="665"/>
      <c r="AL103" s="665"/>
      <c r="AM103" s="665"/>
      <c r="AN103" s="665"/>
      <c r="AO103" s="665"/>
      <c r="AP103" s="665"/>
      <c r="AQ103" s="665"/>
      <c r="AR103" s="665"/>
      <c r="AS103" s="665"/>
      <c r="AT103" s="665"/>
      <c r="AU103" s="665"/>
      <c r="CG103" s="656"/>
    </row>
    <row r="104" spans="1:85">
      <c r="A104" s="661"/>
      <c r="E104" s="663"/>
      <c r="F104" s="664"/>
      <c r="G104" s="664"/>
      <c r="H104" s="664" t="s">
        <v>466</v>
      </c>
      <c r="I104" s="664"/>
      <c r="J104" s="664"/>
      <c r="K104" s="664"/>
      <c r="L104" s="664"/>
      <c r="M104" s="664"/>
      <c r="N104" s="664"/>
      <c r="O104" s="665"/>
      <c r="P104" s="665"/>
      <c r="Q104" s="665"/>
      <c r="R104" s="665"/>
      <c r="S104" s="665"/>
      <c r="T104" s="665"/>
      <c r="U104" s="665"/>
      <c r="V104" s="665"/>
      <c r="W104" s="665"/>
      <c r="X104" s="665"/>
      <c r="Y104" s="665"/>
      <c r="Z104" s="66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CG104" s="656"/>
    </row>
    <row r="105" spans="1:85">
      <c r="A105" s="661"/>
      <c r="E105" s="663"/>
      <c r="F105" s="664"/>
      <c r="G105" s="664"/>
      <c r="H105" s="664" t="s">
        <v>467</v>
      </c>
      <c r="I105" s="664"/>
      <c r="J105" s="664"/>
      <c r="K105" s="664"/>
      <c r="L105" s="664"/>
      <c r="M105" s="664"/>
      <c r="N105" s="664"/>
      <c r="O105" s="665"/>
      <c r="P105" s="665"/>
      <c r="Q105" s="665"/>
      <c r="R105" s="665"/>
      <c r="S105" s="665"/>
      <c r="T105" s="665"/>
      <c r="U105" s="665"/>
      <c r="V105" s="665"/>
      <c r="W105" s="665"/>
      <c r="X105" s="665"/>
      <c r="Y105" s="665"/>
      <c r="Z105" s="66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CG105" s="656"/>
    </row>
    <row r="106" spans="1:85">
      <c r="A106" s="661"/>
      <c r="E106" s="663"/>
      <c r="F106" s="664"/>
      <c r="G106" s="664"/>
      <c r="H106" s="664" t="s">
        <v>468</v>
      </c>
      <c r="I106" s="664"/>
      <c r="J106" s="664"/>
      <c r="K106" s="664"/>
      <c r="L106" s="664"/>
      <c r="M106" s="664"/>
      <c r="N106" s="664"/>
      <c r="O106" s="665"/>
      <c r="P106" s="665"/>
      <c r="Q106" s="665"/>
      <c r="R106" s="665"/>
      <c r="S106" s="665"/>
      <c r="T106" s="665"/>
      <c r="U106" s="665"/>
      <c r="V106" s="665"/>
      <c r="W106" s="665"/>
      <c r="X106" s="665"/>
      <c r="Y106" s="665"/>
      <c r="Z106" s="66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CG106" s="656"/>
    </row>
    <row r="107" spans="1:85">
      <c r="A107" s="661"/>
      <c r="E107" s="663"/>
      <c r="F107" s="664"/>
      <c r="G107" s="664"/>
      <c r="H107" s="664"/>
      <c r="I107" s="664"/>
      <c r="J107" s="664"/>
      <c r="K107" s="664"/>
      <c r="L107" s="664"/>
      <c r="M107" s="664"/>
      <c r="N107" s="664"/>
      <c r="O107" s="665"/>
      <c r="P107" s="665"/>
      <c r="Q107" s="665"/>
      <c r="R107" s="665"/>
      <c r="S107" s="665"/>
      <c r="T107" s="665"/>
      <c r="U107" s="665"/>
      <c r="V107" s="665"/>
      <c r="W107" s="665"/>
      <c r="X107" s="665"/>
      <c r="Y107" s="665"/>
      <c r="Z107" s="665"/>
      <c r="AA107" s="665"/>
      <c r="AB107" s="665"/>
      <c r="AC107" s="665"/>
      <c r="AD107" s="665"/>
      <c r="AE107" s="665"/>
      <c r="AF107" s="665"/>
      <c r="AG107" s="665"/>
      <c r="AH107" s="665"/>
      <c r="AI107" s="665"/>
      <c r="AJ107" s="665"/>
      <c r="AK107" s="665"/>
      <c r="AL107" s="665"/>
      <c r="AM107" s="665"/>
      <c r="AN107" s="665"/>
      <c r="AO107" s="665"/>
      <c r="AP107" s="665"/>
      <c r="AQ107" s="665"/>
      <c r="AR107" s="665"/>
      <c r="AS107" s="665"/>
      <c r="AT107" s="665"/>
      <c r="AU107" s="665"/>
      <c r="CG107" s="656"/>
    </row>
    <row r="108" spans="1:85">
      <c r="A108" s="661"/>
      <c r="E108" s="663"/>
      <c r="F108" s="663" t="s">
        <v>686</v>
      </c>
      <c r="G108" s="663"/>
      <c r="H108" s="663"/>
      <c r="I108" s="663"/>
      <c r="J108" s="663"/>
      <c r="K108" s="663"/>
      <c r="L108" s="663"/>
      <c r="M108" s="663"/>
      <c r="N108" s="663"/>
      <c r="O108" s="663"/>
      <c r="P108" s="663"/>
      <c r="Q108" s="663"/>
      <c r="R108" s="663"/>
      <c r="S108" s="663"/>
      <c r="T108" s="663"/>
      <c r="U108" s="663"/>
      <c r="V108" s="663"/>
      <c r="W108" s="663"/>
      <c r="X108" s="663"/>
      <c r="Y108" s="663"/>
      <c r="Z108" s="663"/>
      <c r="AA108" s="663"/>
      <c r="AB108" s="663"/>
      <c r="AC108" s="663"/>
      <c r="AD108" s="663"/>
      <c r="AE108" s="663"/>
      <c r="AF108" s="663"/>
      <c r="AG108" s="663"/>
      <c r="AH108" s="663"/>
      <c r="AI108" s="663"/>
      <c r="AJ108" s="663"/>
      <c r="AK108" s="663"/>
      <c r="AL108" s="663"/>
      <c r="AM108" s="663"/>
      <c r="AN108" s="663"/>
      <c r="AO108" s="663"/>
      <c r="AP108" s="663"/>
      <c r="AQ108" s="663"/>
      <c r="AR108" s="663"/>
      <c r="AS108" s="663"/>
      <c r="AT108" s="663"/>
      <c r="AU108" s="663"/>
      <c r="CG108" s="656"/>
    </row>
    <row r="109" spans="1:85">
      <c r="A109" s="661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  <c r="S109" s="663"/>
      <c r="T109" s="663"/>
      <c r="U109" s="663"/>
      <c r="V109" s="663"/>
      <c r="W109" s="663"/>
      <c r="X109" s="663"/>
      <c r="Y109" s="663"/>
      <c r="Z109" s="663"/>
      <c r="AA109" s="663"/>
      <c r="AB109" s="663"/>
      <c r="AC109" s="663"/>
      <c r="AD109" s="663"/>
      <c r="AE109" s="663"/>
      <c r="AF109" s="663"/>
      <c r="AG109" s="663"/>
      <c r="AH109" s="663"/>
      <c r="AI109" s="663"/>
      <c r="AJ109" s="663"/>
      <c r="AK109" s="663"/>
      <c r="AL109" s="663"/>
      <c r="AM109" s="663"/>
      <c r="AN109" s="663"/>
      <c r="AO109" s="663"/>
      <c r="AP109" s="663"/>
      <c r="AQ109" s="663"/>
      <c r="AR109" s="663"/>
      <c r="AS109" s="663"/>
      <c r="AT109" s="663"/>
      <c r="AU109" s="663"/>
      <c r="CG109" s="656"/>
    </row>
    <row r="110" spans="1:85">
      <c r="A110" s="661"/>
      <c r="E110" s="663"/>
      <c r="F110" s="666" t="s">
        <v>370</v>
      </c>
      <c r="G110" s="932" t="s">
        <v>371</v>
      </c>
      <c r="H110" s="933"/>
      <c r="I110" s="933"/>
      <c r="J110" s="933"/>
      <c r="K110" s="933"/>
      <c r="L110" s="933"/>
      <c r="M110" s="933"/>
      <c r="N110" s="934"/>
      <c r="O110" s="932" t="s">
        <v>469</v>
      </c>
      <c r="P110" s="933"/>
      <c r="Q110" s="933"/>
      <c r="R110" s="933"/>
      <c r="S110" s="933"/>
      <c r="T110" s="933"/>
      <c r="U110" s="933"/>
      <c r="V110" s="933"/>
      <c r="W110" s="933"/>
      <c r="X110" s="933"/>
      <c r="Y110" s="933"/>
      <c r="Z110" s="933"/>
      <c r="AA110" s="934"/>
      <c r="AB110" s="663"/>
      <c r="AC110" s="663"/>
      <c r="AD110" s="663"/>
      <c r="AE110" s="663"/>
      <c r="AF110" s="663"/>
      <c r="AG110" s="663"/>
      <c r="AH110" s="663"/>
      <c r="AI110" s="663"/>
      <c r="AJ110" s="663"/>
      <c r="AK110" s="663"/>
      <c r="AL110" s="663"/>
      <c r="AM110" s="663"/>
      <c r="AN110" s="663"/>
      <c r="AO110" s="663"/>
      <c r="AP110" s="663"/>
      <c r="AQ110" s="663"/>
      <c r="AR110" s="663"/>
      <c r="AU110" s="663"/>
      <c r="AW110" s="663"/>
      <c r="CG110" s="656"/>
    </row>
    <row r="111" spans="1:85">
      <c r="A111" s="661"/>
      <c r="E111" s="663"/>
      <c r="F111" s="667">
        <v>1</v>
      </c>
      <c r="G111" s="923" t="s">
        <v>372</v>
      </c>
      <c r="H111" s="924"/>
      <c r="I111" s="924"/>
      <c r="J111" s="924"/>
      <c r="K111" s="924"/>
      <c r="L111" s="924"/>
      <c r="M111" s="924"/>
      <c r="N111" s="925"/>
      <c r="O111" s="923" t="s">
        <v>374</v>
      </c>
      <c r="P111" s="924"/>
      <c r="Q111" s="924"/>
      <c r="R111" s="924"/>
      <c r="S111" s="924"/>
      <c r="T111" s="924"/>
      <c r="U111" s="924"/>
      <c r="V111" s="924"/>
      <c r="W111" s="924"/>
      <c r="X111" s="924"/>
      <c r="Y111" s="924"/>
      <c r="Z111" s="924"/>
      <c r="AA111" s="925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BB111" s="668"/>
      <c r="CG111" s="656"/>
    </row>
    <row r="112" spans="1:85">
      <c r="A112" s="661"/>
      <c r="E112" s="663"/>
      <c r="F112" s="667">
        <v>2</v>
      </c>
      <c r="G112" s="923" t="s">
        <v>470</v>
      </c>
      <c r="H112" s="924"/>
      <c r="I112" s="924"/>
      <c r="J112" s="924"/>
      <c r="K112" s="924"/>
      <c r="L112" s="924"/>
      <c r="M112" s="924"/>
      <c r="N112" s="925"/>
      <c r="O112" s="923" t="s">
        <v>471</v>
      </c>
      <c r="P112" s="924"/>
      <c r="Q112" s="924"/>
      <c r="R112" s="924"/>
      <c r="S112" s="924"/>
      <c r="T112" s="924"/>
      <c r="U112" s="924"/>
      <c r="V112" s="924"/>
      <c r="W112" s="924"/>
      <c r="X112" s="924"/>
      <c r="Y112" s="924"/>
      <c r="Z112" s="924"/>
      <c r="AA112" s="925"/>
      <c r="AB112" s="663"/>
      <c r="AC112" s="663"/>
      <c r="AD112" s="663"/>
      <c r="AE112" s="663"/>
      <c r="AF112" s="663"/>
      <c r="AG112" s="663"/>
      <c r="AH112" s="663"/>
      <c r="AI112" s="663"/>
      <c r="AJ112" s="663"/>
      <c r="AK112" s="663"/>
      <c r="AL112" s="663"/>
      <c r="AM112" s="663"/>
      <c r="AN112" s="663"/>
      <c r="AO112" s="663"/>
      <c r="AP112" s="663"/>
      <c r="AQ112" s="663"/>
      <c r="AR112" s="663"/>
      <c r="AS112" s="663"/>
      <c r="AT112" s="663"/>
      <c r="AU112" s="663"/>
      <c r="BB112" s="668"/>
      <c r="CG112" s="656"/>
    </row>
    <row r="113" spans="1:85" ht="15.75" customHeight="1">
      <c r="A113" s="661"/>
      <c r="E113" s="663"/>
      <c r="F113" s="667">
        <v>3</v>
      </c>
      <c r="G113" s="923" t="s">
        <v>373</v>
      </c>
      <c r="H113" s="924"/>
      <c r="I113" s="924"/>
      <c r="J113" s="924"/>
      <c r="K113" s="924"/>
      <c r="L113" s="924"/>
      <c r="M113" s="924"/>
      <c r="N113" s="925"/>
      <c r="O113" s="910" t="s">
        <v>472</v>
      </c>
      <c r="P113" s="911"/>
      <c r="Q113" s="911"/>
      <c r="R113" s="911"/>
      <c r="S113" s="911"/>
      <c r="T113" s="911"/>
      <c r="U113" s="911"/>
      <c r="V113" s="911"/>
      <c r="W113" s="911"/>
      <c r="X113" s="911"/>
      <c r="Y113" s="911"/>
      <c r="Z113" s="911"/>
      <c r="AA113" s="912"/>
      <c r="AB113" s="663"/>
      <c r="AC113" s="663"/>
      <c r="AD113" s="663"/>
      <c r="AE113" s="663"/>
      <c r="AF113" s="663"/>
      <c r="AG113" s="663"/>
      <c r="AH113" s="663"/>
      <c r="AI113" s="663"/>
      <c r="AJ113" s="663"/>
      <c r="AK113" s="663"/>
      <c r="AL113" s="663"/>
      <c r="AM113" s="663"/>
      <c r="AN113" s="663"/>
      <c r="AO113" s="663"/>
      <c r="AP113" s="663"/>
      <c r="AQ113" s="663"/>
      <c r="AR113" s="663"/>
      <c r="AS113" s="663"/>
      <c r="AT113" s="663"/>
      <c r="AU113" s="663"/>
      <c r="BB113" s="669"/>
      <c r="CG113" s="656"/>
    </row>
    <row r="114" spans="1:85" ht="15.75" customHeight="1">
      <c r="A114" s="661"/>
      <c r="E114" s="663"/>
      <c r="F114" s="667">
        <v>4</v>
      </c>
      <c r="G114" s="923" t="s">
        <v>473</v>
      </c>
      <c r="H114" s="924"/>
      <c r="I114" s="924"/>
      <c r="J114" s="924"/>
      <c r="K114" s="924"/>
      <c r="L114" s="924"/>
      <c r="M114" s="924"/>
      <c r="N114" s="925"/>
      <c r="O114" s="910" t="s">
        <v>474</v>
      </c>
      <c r="P114" s="911"/>
      <c r="Q114" s="911"/>
      <c r="R114" s="911"/>
      <c r="S114" s="911"/>
      <c r="T114" s="911"/>
      <c r="U114" s="911"/>
      <c r="V114" s="911"/>
      <c r="W114" s="911"/>
      <c r="X114" s="911"/>
      <c r="Y114" s="911"/>
      <c r="Z114" s="911"/>
      <c r="AA114" s="912"/>
      <c r="AB114" s="663"/>
      <c r="AC114" s="663"/>
      <c r="AD114" s="663"/>
      <c r="AE114" s="663"/>
      <c r="AF114" s="663"/>
      <c r="AG114" s="663"/>
      <c r="AH114" s="663"/>
      <c r="AI114" s="663"/>
      <c r="AJ114" s="663"/>
      <c r="AK114" s="663"/>
      <c r="AL114" s="663"/>
      <c r="AM114" s="663"/>
      <c r="AN114" s="663"/>
      <c r="AO114" s="663"/>
      <c r="AP114" s="663"/>
      <c r="AQ114" s="663"/>
      <c r="AR114" s="663"/>
      <c r="AS114" s="663"/>
      <c r="AT114" s="663"/>
      <c r="AU114" s="663"/>
      <c r="CG114" s="656"/>
    </row>
    <row r="115" spans="1:85">
      <c r="A115" s="661"/>
      <c r="E115" s="663"/>
      <c r="F115" s="667">
        <v>5</v>
      </c>
      <c r="G115" s="923" t="s">
        <v>475</v>
      </c>
      <c r="H115" s="924"/>
      <c r="I115" s="924"/>
      <c r="J115" s="924"/>
      <c r="K115" s="924"/>
      <c r="L115" s="924"/>
      <c r="M115" s="924"/>
      <c r="N115" s="925"/>
      <c r="O115" s="910" t="s">
        <v>476</v>
      </c>
      <c r="P115" s="911"/>
      <c r="Q115" s="911"/>
      <c r="R115" s="911"/>
      <c r="S115" s="911"/>
      <c r="T115" s="911"/>
      <c r="U115" s="911"/>
      <c r="V115" s="911"/>
      <c r="W115" s="911"/>
      <c r="X115" s="911"/>
      <c r="Y115" s="911"/>
      <c r="Z115" s="911"/>
      <c r="AA115" s="912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CG115" s="656"/>
    </row>
    <row r="116" spans="1:85">
      <c r="A116" s="661"/>
      <c r="F116" s="667">
        <v>6</v>
      </c>
      <c r="G116" s="923" t="s">
        <v>477</v>
      </c>
      <c r="H116" s="924"/>
      <c r="I116" s="924"/>
      <c r="J116" s="924"/>
      <c r="K116" s="924"/>
      <c r="L116" s="924"/>
      <c r="M116" s="924"/>
      <c r="N116" s="925"/>
      <c r="O116" s="910" t="s">
        <v>375</v>
      </c>
      <c r="P116" s="911"/>
      <c r="Q116" s="911"/>
      <c r="R116" s="911"/>
      <c r="S116" s="911"/>
      <c r="T116" s="911"/>
      <c r="U116" s="911"/>
      <c r="V116" s="911"/>
      <c r="W116" s="911"/>
      <c r="X116" s="911"/>
      <c r="Y116" s="911"/>
      <c r="Z116" s="911"/>
      <c r="AA116" s="912"/>
      <c r="CG116" s="656"/>
    </row>
    <row r="117" spans="1:85">
      <c r="A117" s="661"/>
      <c r="F117" s="667">
        <v>7</v>
      </c>
      <c r="G117" s="923" t="s">
        <v>637</v>
      </c>
      <c r="H117" s="924"/>
      <c r="I117" s="924"/>
      <c r="J117" s="924"/>
      <c r="K117" s="924"/>
      <c r="L117" s="924"/>
      <c r="M117" s="924"/>
      <c r="N117" s="925"/>
      <c r="O117" s="910" t="s">
        <v>638</v>
      </c>
      <c r="P117" s="911"/>
      <c r="Q117" s="911"/>
      <c r="R117" s="911"/>
      <c r="S117" s="911"/>
      <c r="T117" s="911"/>
      <c r="U117" s="911"/>
      <c r="V117" s="911"/>
      <c r="W117" s="911"/>
      <c r="X117" s="911"/>
      <c r="Y117" s="911"/>
      <c r="Z117" s="911"/>
      <c r="AA117" s="912"/>
      <c r="CG117" s="656"/>
    </row>
    <row r="118" spans="1:85">
      <c r="A118" s="661"/>
      <c r="F118" s="670"/>
      <c r="G118" s="671"/>
      <c r="H118" s="671"/>
      <c r="I118" s="671"/>
      <c r="J118" s="671"/>
      <c r="K118" s="671"/>
      <c r="L118" s="671"/>
      <c r="M118" s="671"/>
      <c r="N118" s="671"/>
      <c r="O118" s="671"/>
      <c r="P118" s="671"/>
      <c r="Q118" s="671"/>
      <c r="R118" s="671"/>
      <c r="S118" s="671"/>
      <c r="T118" s="671"/>
      <c r="U118" s="671"/>
      <c r="V118" s="671"/>
      <c r="W118" s="671"/>
      <c r="X118" s="671"/>
      <c r="Y118" s="671"/>
      <c r="Z118" s="671"/>
      <c r="AA118" s="671"/>
      <c r="CG118" s="656"/>
    </row>
    <row r="119" spans="1:85">
      <c r="A119" s="661"/>
      <c r="F119" s="663" t="s">
        <v>687</v>
      </c>
      <c r="G119" s="663"/>
      <c r="J119" s="663"/>
      <c r="K119" s="663"/>
      <c r="L119" s="663"/>
      <c r="M119" s="663"/>
      <c r="N119" s="663"/>
      <c r="O119" s="663"/>
      <c r="P119" s="663"/>
      <c r="Q119" s="663"/>
      <c r="R119" s="663"/>
      <c r="S119" s="663"/>
      <c r="T119" s="663"/>
      <c r="U119" s="663"/>
      <c r="V119" s="663"/>
      <c r="W119" s="663"/>
      <c r="X119" s="663"/>
      <c r="Y119" s="663"/>
      <c r="Z119" s="663"/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CG119" s="656"/>
    </row>
    <row r="120" spans="1:85">
      <c r="A120" s="661"/>
      <c r="F120" s="663"/>
      <c r="G120" s="663"/>
      <c r="J120" s="663"/>
      <c r="K120" s="663"/>
      <c r="L120" s="663"/>
      <c r="M120" s="663"/>
      <c r="N120" s="663"/>
      <c r="O120" s="663"/>
      <c r="P120" s="663"/>
      <c r="Q120" s="663"/>
      <c r="R120" s="663"/>
      <c r="S120" s="663"/>
      <c r="T120" s="663"/>
      <c r="U120" s="663"/>
      <c r="V120" s="663"/>
      <c r="W120" s="663"/>
      <c r="X120" s="663"/>
      <c r="Y120" s="663"/>
      <c r="Z120" s="663"/>
      <c r="AA120" s="663"/>
      <c r="AB120" s="663"/>
      <c r="AC120" s="663"/>
      <c r="AD120" s="663"/>
      <c r="AE120" s="663"/>
      <c r="AF120" s="663"/>
      <c r="AG120" s="663"/>
      <c r="AH120" s="663"/>
      <c r="AI120" s="663"/>
      <c r="AJ120" s="663"/>
      <c r="AK120" s="663"/>
      <c r="AL120" s="663"/>
      <c r="AM120" s="663"/>
      <c r="AN120" s="663"/>
      <c r="AO120" s="663"/>
      <c r="AP120" s="663"/>
      <c r="AQ120" s="663"/>
      <c r="AR120" s="663"/>
      <c r="AS120" s="663"/>
      <c r="AT120" s="663"/>
      <c r="AU120" s="663"/>
      <c r="CG120" s="656"/>
    </row>
    <row r="121" spans="1:85">
      <c r="A121" s="661"/>
      <c r="F121" s="663"/>
      <c r="G121" s="663"/>
      <c r="J121" s="663"/>
      <c r="K121" s="663"/>
      <c r="L121" s="663"/>
      <c r="M121" s="663"/>
      <c r="N121" s="663"/>
      <c r="O121" s="663"/>
      <c r="P121" s="663"/>
      <c r="Q121" s="663"/>
      <c r="R121" s="663"/>
      <c r="S121" s="663"/>
      <c r="T121" s="663"/>
      <c r="U121" s="663"/>
      <c r="V121" s="663"/>
      <c r="W121" s="663"/>
      <c r="X121" s="663"/>
      <c r="Y121" s="663"/>
      <c r="Z121" s="663"/>
      <c r="AA121" s="663"/>
      <c r="AB121" s="663"/>
      <c r="AC121" s="663"/>
      <c r="AD121" s="663"/>
      <c r="AE121" s="663"/>
      <c r="AF121" s="663"/>
      <c r="AG121" s="663"/>
      <c r="AH121" s="663"/>
      <c r="AI121" s="663"/>
      <c r="AJ121" s="663"/>
      <c r="AK121" s="663"/>
      <c r="AL121" s="663"/>
      <c r="AM121" s="663"/>
      <c r="AN121" s="663"/>
      <c r="AO121" s="663"/>
      <c r="AP121" s="663"/>
      <c r="AQ121" s="663"/>
      <c r="AR121" s="663"/>
      <c r="AS121" s="663"/>
      <c r="AT121" s="663"/>
      <c r="AU121" s="663"/>
      <c r="CG121" s="656"/>
    </row>
    <row r="122" spans="1:85">
      <c r="A122" s="661"/>
      <c r="E122" s="663"/>
      <c r="F122" s="663"/>
      <c r="AC122" s="663"/>
      <c r="AD122" s="663"/>
      <c r="AE122" s="663"/>
      <c r="AF122" s="663"/>
      <c r="AG122" s="663"/>
      <c r="AH122" s="663"/>
      <c r="AI122" s="663"/>
      <c r="AJ122" s="663"/>
      <c r="AK122" s="663"/>
      <c r="AL122" s="663"/>
      <c r="AM122" s="663"/>
      <c r="AN122" s="663"/>
      <c r="AO122" s="663"/>
      <c r="AP122" s="663"/>
      <c r="AQ122" s="663"/>
      <c r="AR122" s="663"/>
      <c r="AS122" s="663"/>
      <c r="AT122" s="663"/>
      <c r="AU122" s="663"/>
      <c r="CG122" s="656"/>
    </row>
    <row r="123" spans="1:85">
      <c r="A123" s="661"/>
      <c r="E123" s="663"/>
      <c r="F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CG123" s="656"/>
    </row>
    <row r="124" spans="1:85">
      <c r="A124" s="661"/>
      <c r="E124" s="663"/>
      <c r="F124" s="663"/>
      <c r="AC124" s="663"/>
      <c r="AD124" s="663"/>
      <c r="AE124" s="663"/>
      <c r="AF124" s="663"/>
      <c r="AG124" s="663"/>
      <c r="AH124" s="663"/>
      <c r="AI124" s="663"/>
      <c r="AJ124" s="663"/>
      <c r="AK124" s="663"/>
      <c r="AL124" s="663"/>
      <c r="AM124" s="663"/>
      <c r="AN124" s="663"/>
      <c r="AO124" s="663"/>
      <c r="AP124" s="663"/>
      <c r="AQ124" s="663"/>
      <c r="AR124" s="663"/>
      <c r="AS124" s="663"/>
      <c r="AT124" s="663"/>
      <c r="AU124" s="663"/>
      <c r="CG124" s="656"/>
    </row>
    <row r="125" spans="1:85">
      <c r="A125" s="661"/>
      <c r="E125" s="663"/>
      <c r="F125" s="663"/>
      <c r="AC125" s="663"/>
      <c r="AD125" s="663"/>
      <c r="AE125" s="663"/>
      <c r="AF125" s="663"/>
      <c r="AG125" s="663"/>
      <c r="AH125" s="663"/>
      <c r="AI125" s="663"/>
      <c r="AJ125" s="663"/>
      <c r="AK125" s="663"/>
      <c r="AL125" s="663"/>
      <c r="AM125" s="663"/>
      <c r="AN125" s="663"/>
      <c r="AO125" s="663"/>
      <c r="AP125" s="663"/>
      <c r="AQ125" s="663"/>
      <c r="AR125" s="663"/>
      <c r="AS125" s="663"/>
      <c r="AT125" s="663"/>
      <c r="AU125" s="663"/>
      <c r="CG125" s="656"/>
    </row>
    <row r="126" spans="1:85">
      <c r="A126" s="661"/>
      <c r="E126" s="663"/>
      <c r="F126" s="663"/>
      <c r="AC126" s="663"/>
      <c r="AD126" s="663"/>
      <c r="AE126" s="663"/>
      <c r="AF126" s="663"/>
      <c r="AG126" s="663"/>
      <c r="AH126" s="663"/>
      <c r="AI126" s="663"/>
      <c r="AJ126" s="663"/>
      <c r="AK126" s="663"/>
      <c r="AL126" s="663"/>
      <c r="AM126" s="663"/>
      <c r="AN126" s="663"/>
      <c r="AO126" s="663"/>
      <c r="AP126" s="663"/>
      <c r="AQ126" s="663"/>
      <c r="AR126" s="663"/>
      <c r="AS126" s="663"/>
      <c r="AT126" s="663"/>
      <c r="AU126" s="663"/>
      <c r="CG126" s="656"/>
    </row>
    <row r="127" spans="1:85">
      <c r="A127" s="661"/>
      <c r="E127" s="663"/>
      <c r="F127" s="663"/>
      <c r="AC127" s="663"/>
      <c r="AD127" s="663"/>
      <c r="AE127" s="663"/>
      <c r="AF127" s="663"/>
      <c r="AG127" s="663"/>
      <c r="AH127" s="663"/>
      <c r="AI127" s="663"/>
      <c r="AJ127" s="663"/>
      <c r="AK127" s="663"/>
      <c r="AL127" s="663"/>
      <c r="AM127" s="663"/>
      <c r="AN127" s="663"/>
      <c r="AO127" s="663"/>
      <c r="AP127" s="663"/>
      <c r="AQ127" s="663"/>
      <c r="AR127" s="663"/>
      <c r="AS127" s="663"/>
      <c r="AT127" s="663"/>
      <c r="AU127" s="663"/>
      <c r="CG127" s="656"/>
    </row>
    <row r="128" spans="1:85">
      <c r="A128" s="661"/>
      <c r="E128" s="663"/>
      <c r="F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CG128" s="656"/>
    </row>
    <row r="129" spans="1:85">
      <c r="A129" s="661"/>
      <c r="CG129" s="656"/>
    </row>
    <row r="130" spans="1:85">
      <c r="A130" s="661"/>
      <c r="CG130" s="656"/>
    </row>
    <row r="131" spans="1:85">
      <c r="A131" s="661"/>
      <c r="CG131" s="656"/>
    </row>
    <row r="132" spans="1:85">
      <c r="A132" s="661"/>
      <c r="CG132" s="656"/>
    </row>
    <row r="133" spans="1:85">
      <c r="A133" s="661"/>
      <c r="CG133" s="656"/>
    </row>
    <row r="134" spans="1:85">
      <c r="A134" s="661"/>
      <c r="CG134" s="656"/>
    </row>
    <row r="135" spans="1:85">
      <c r="A135" s="661"/>
      <c r="CG135" s="656"/>
    </row>
    <row r="136" spans="1:85">
      <c r="A136" s="661"/>
      <c r="F136" s="670"/>
      <c r="G136" s="671"/>
      <c r="H136" s="671"/>
      <c r="I136" s="671"/>
      <c r="J136" s="671"/>
      <c r="K136" s="671"/>
      <c r="L136" s="671"/>
      <c r="M136" s="671"/>
      <c r="N136" s="671"/>
      <c r="O136" s="671"/>
      <c r="P136" s="671"/>
      <c r="Q136" s="671"/>
      <c r="R136" s="671"/>
      <c r="S136" s="671"/>
      <c r="T136" s="671"/>
      <c r="U136" s="671"/>
      <c r="V136" s="671"/>
      <c r="W136" s="671"/>
      <c r="X136" s="671"/>
      <c r="Y136" s="671"/>
      <c r="Z136" s="671"/>
      <c r="AA136" s="671"/>
      <c r="CG136" s="656"/>
    </row>
    <row r="137" spans="1:85">
      <c r="A137" s="661"/>
      <c r="F137" s="670"/>
      <c r="G137" s="671"/>
      <c r="H137" s="671"/>
      <c r="I137" s="671"/>
      <c r="J137" s="671"/>
      <c r="K137" s="671"/>
      <c r="L137" s="671"/>
      <c r="M137" s="671"/>
      <c r="N137" s="671"/>
      <c r="O137" s="671"/>
      <c r="P137" s="671"/>
      <c r="Q137" s="671"/>
      <c r="R137" s="671"/>
      <c r="S137" s="671"/>
      <c r="T137" s="671"/>
      <c r="U137" s="671"/>
      <c r="V137" s="671"/>
      <c r="W137" s="671"/>
      <c r="X137" s="671"/>
      <c r="Y137" s="671"/>
      <c r="Z137" s="671"/>
      <c r="AA137" s="671"/>
      <c r="CG137" s="656"/>
    </row>
    <row r="138" spans="1:85">
      <c r="A138" s="661"/>
      <c r="F138" s="670"/>
      <c r="G138" s="671"/>
      <c r="H138" s="671"/>
      <c r="I138" s="671"/>
      <c r="J138" s="671"/>
      <c r="K138" s="671"/>
      <c r="L138" s="671"/>
      <c r="M138" s="671"/>
      <c r="N138" s="671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71"/>
      <c r="CG138" s="656"/>
    </row>
    <row r="139" spans="1:85">
      <c r="A139" s="661"/>
      <c r="F139" s="670"/>
      <c r="G139" s="671"/>
      <c r="H139" s="671"/>
      <c r="I139" s="671"/>
      <c r="J139" s="671"/>
      <c r="K139" s="671"/>
      <c r="L139" s="671"/>
      <c r="M139" s="671"/>
      <c r="N139" s="671"/>
      <c r="O139" s="671"/>
      <c r="P139" s="671"/>
      <c r="Q139" s="671"/>
      <c r="R139" s="671"/>
      <c r="S139" s="671"/>
      <c r="T139" s="671"/>
      <c r="U139" s="671"/>
      <c r="V139" s="671"/>
      <c r="W139" s="671"/>
      <c r="X139" s="671"/>
      <c r="Y139" s="671"/>
      <c r="Z139" s="671"/>
      <c r="AA139" s="671"/>
      <c r="CG139" s="656"/>
    </row>
    <row r="140" spans="1:85">
      <c r="A140" s="661"/>
      <c r="CG140" s="656"/>
    </row>
    <row r="141" spans="1:85">
      <c r="A141" s="661"/>
      <c r="CG141" s="656"/>
    </row>
    <row r="142" spans="1:85">
      <c r="A142" s="661"/>
      <c r="CG142" s="656"/>
    </row>
    <row r="143" spans="1:85">
      <c r="A143" s="661"/>
      <c r="CG143" s="656"/>
    </row>
    <row r="144" spans="1:85">
      <c r="A144" s="661"/>
      <c r="CG144" s="656"/>
    </row>
    <row r="145" spans="1:85" ht="16.5" customHeight="1">
      <c r="A145" s="661"/>
      <c r="CG145" s="656"/>
    </row>
    <row r="146" spans="1:85">
      <c r="A146" s="661"/>
      <c r="E146" s="657" t="s">
        <v>688</v>
      </c>
      <c r="F146" s="663"/>
      <c r="G146" s="663"/>
      <c r="I146" s="663" t="s">
        <v>478</v>
      </c>
      <c r="CG146" s="656"/>
    </row>
    <row r="147" spans="1:85">
      <c r="A147" s="661"/>
      <c r="F147" s="663"/>
      <c r="G147" s="663"/>
      <c r="I147" s="663"/>
      <c r="CG147" s="656"/>
    </row>
    <row r="148" spans="1:85">
      <c r="A148" s="661"/>
      <c r="F148" s="663" t="s">
        <v>689</v>
      </c>
      <c r="G148" s="663"/>
      <c r="I148" s="663"/>
      <c r="Y148" s="657" t="s">
        <v>479</v>
      </c>
      <c r="Z148" s="657" t="s">
        <v>480</v>
      </c>
      <c r="CG148" s="656"/>
    </row>
    <row r="149" spans="1:85">
      <c r="A149" s="661"/>
      <c r="F149" s="663" t="s">
        <v>690</v>
      </c>
      <c r="G149" s="663"/>
      <c r="I149" s="663"/>
      <c r="Y149" s="657" t="s">
        <v>479</v>
      </c>
      <c r="Z149" s="657" t="s">
        <v>481</v>
      </c>
      <c r="CG149" s="656"/>
    </row>
    <row r="150" spans="1:85">
      <c r="A150" s="661"/>
      <c r="F150" s="663"/>
      <c r="G150" s="663"/>
      <c r="I150" s="663"/>
      <c r="CG150" s="656"/>
    </row>
    <row r="151" spans="1:85">
      <c r="A151" s="661"/>
      <c r="F151" s="663"/>
      <c r="G151" s="663"/>
      <c r="I151" s="663"/>
      <c r="CG151" s="656"/>
    </row>
    <row r="152" spans="1:85">
      <c r="A152" s="661"/>
      <c r="F152" s="663"/>
      <c r="G152" s="663"/>
      <c r="I152" s="663"/>
      <c r="CG152" s="656"/>
    </row>
    <row r="153" spans="1:85">
      <c r="A153" s="661"/>
      <c r="E153" s="657" t="s">
        <v>691</v>
      </c>
      <c r="F153" s="663"/>
      <c r="G153" s="663"/>
      <c r="I153" s="663" t="s">
        <v>482</v>
      </c>
      <c r="CG153" s="656"/>
    </row>
    <row r="154" spans="1:85" ht="16.5" customHeight="1">
      <c r="A154" s="661"/>
      <c r="CG154" s="656"/>
    </row>
    <row r="155" spans="1:85">
      <c r="A155" s="661"/>
      <c r="E155" s="663"/>
      <c r="F155" s="935" t="s">
        <v>630</v>
      </c>
      <c r="G155" s="936"/>
      <c r="H155" s="936"/>
      <c r="I155" s="936"/>
      <c r="J155" s="936"/>
      <c r="K155" s="936"/>
      <c r="L155" s="936"/>
      <c r="M155" s="936"/>
      <c r="N155" s="937"/>
      <c r="O155" s="938" t="s">
        <v>634</v>
      </c>
      <c r="P155" s="894"/>
      <c r="Q155" s="894"/>
      <c r="R155" s="894"/>
      <c r="S155" s="894"/>
      <c r="T155" s="894"/>
      <c r="U155" s="894"/>
      <c r="V155" s="894"/>
      <c r="W155" s="894"/>
      <c r="X155" s="894"/>
      <c r="Y155" s="894"/>
      <c r="Z155" s="894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894"/>
      <c r="AO155" s="894"/>
      <c r="AP155" s="894"/>
      <c r="AQ155" s="894"/>
      <c r="AR155" s="894"/>
      <c r="AS155" s="894"/>
      <c r="AT155" s="894"/>
      <c r="AU155" s="895"/>
      <c r="CG155" s="656"/>
    </row>
    <row r="156" spans="1:85">
      <c r="A156" s="661"/>
      <c r="E156" s="663"/>
      <c r="F156" s="939" t="s">
        <v>460</v>
      </c>
      <c r="G156" s="940"/>
      <c r="H156" s="940"/>
      <c r="I156" s="940"/>
      <c r="J156" s="940"/>
      <c r="K156" s="940"/>
      <c r="L156" s="940"/>
      <c r="M156" s="940"/>
      <c r="N156" s="941"/>
      <c r="O156" s="942" t="s">
        <v>692</v>
      </c>
      <c r="P156" s="943"/>
      <c r="Q156" s="943"/>
      <c r="R156" s="943"/>
      <c r="S156" s="943"/>
      <c r="T156" s="943"/>
      <c r="U156" s="943"/>
      <c r="V156" s="943"/>
      <c r="W156" s="943"/>
      <c r="X156" s="943"/>
      <c r="Y156" s="943"/>
      <c r="Z156" s="943"/>
      <c r="AA156" s="943"/>
      <c r="AB156" s="943"/>
      <c r="AC156" s="943"/>
      <c r="AD156" s="943"/>
      <c r="AE156" s="943"/>
      <c r="AF156" s="943"/>
      <c r="AG156" s="943"/>
      <c r="AH156" s="943"/>
      <c r="AI156" s="943"/>
      <c r="AJ156" s="943"/>
      <c r="AK156" s="943"/>
      <c r="AL156" s="943"/>
      <c r="AM156" s="943"/>
      <c r="AN156" s="943"/>
      <c r="AO156" s="943"/>
      <c r="AP156" s="943"/>
      <c r="AQ156" s="943"/>
      <c r="AR156" s="943"/>
      <c r="AS156" s="943"/>
      <c r="AT156" s="943"/>
      <c r="AU156" s="944"/>
      <c r="CG156" s="656"/>
    </row>
    <row r="157" spans="1:85">
      <c r="A157" s="661"/>
      <c r="E157" s="663"/>
      <c r="F157" s="664"/>
      <c r="G157" s="664"/>
      <c r="H157" s="664"/>
      <c r="I157" s="664"/>
      <c r="J157" s="664"/>
      <c r="K157" s="664"/>
      <c r="L157" s="664"/>
      <c r="M157" s="664"/>
      <c r="N157" s="664"/>
      <c r="O157" s="665"/>
      <c r="P157" s="665"/>
      <c r="Q157" s="665"/>
      <c r="R157" s="665"/>
      <c r="S157" s="665"/>
      <c r="T157" s="665"/>
      <c r="U157" s="665"/>
      <c r="V157" s="665"/>
      <c r="W157" s="665"/>
      <c r="X157" s="665"/>
      <c r="Y157" s="665"/>
      <c r="Z157" s="665"/>
      <c r="AA157" s="665"/>
      <c r="AB157" s="665"/>
      <c r="AC157" s="665"/>
      <c r="AD157" s="665"/>
      <c r="AE157" s="665"/>
      <c r="AF157" s="665"/>
      <c r="AG157" s="665"/>
      <c r="AH157" s="665"/>
      <c r="AI157" s="665"/>
      <c r="AJ157" s="665"/>
      <c r="AK157" s="665"/>
      <c r="AL157" s="665"/>
      <c r="AM157" s="665"/>
      <c r="AN157" s="665"/>
      <c r="AO157" s="665"/>
      <c r="AP157" s="665"/>
      <c r="AQ157" s="665"/>
      <c r="AR157" s="665"/>
      <c r="AS157" s="665"/>
      <c r="AT157" s="665"/>
      <c r="AU157" s="665"/>
      <c r="CG157" s="656"/>
    </row>
    <row r="158" spans="1:85">
      <c r="A158" s="661"/>
      <c r="E158" s="663"/>
      <c r="F158" s="663" t="s">
        <v>693</v>
      </c>
      <c r="G158" s="663"/>
      <c r="H158" s="663"/>
      <c r="I158" s="663"/>
      <c r="J158" s="663"/>
      <c r="K158" s="663"/>
      <c r="L158" s="663"/>
      <c r="M158" s="663"/>
      <c r="N158" s="663"/>
      <c r="O158" s="663"/>
      <c r="P158" s="663"/>
      <c r="Q158" s="663"/>
      <c r="R158" s="663"/>
      <c r="S158" s="663"/>
      <c r="T158" s="663"/>
      <c r="U158" s="663"/>
      <c r="V158" s="663"/>
      <c r="W158" s="663"/>
      <c r="X158" s="663"/>
      <c r="Y158" s="663"/>
      <c r="Z158" s="663"/>
      <c r="AA158" s="663"/>
      <c r="AB158" s="663"/>
      <c r="AC158" s="663"/>
      <c r="AD158" s="663"/>
      <c r="AE158" s="663"/>
      <c r="AF158" s="663"/>
      <c r="AG158" s="663"/>
      <c r="AH158" s="663"/>
      <c r="AI158" s="663"/>
      <c r="AJ158" s="663"/>
      <c r="AK158" s="663"/>
      <c r="AL158" s="663"/>
      <c r="AM158" s="663"/>
      <c r="AN158" s="663"/>
      <c r="AO158" s="663"/>
      <c r="AP158" s="663"/>
      <c r="AQ158" s="663"/>
      <c r="AR158" s="663"/>
      <c r="AS158" s="663"/>
      <c r="AT158" s="663"/>
      <c r="AU158" s="663"/>
      <c r="CG158" s="656"/>
    </row>
    <row r="159" spans="1:85">
      <c r="A159" s="661"/>
      <c r="E159" s="663"/>
      <c r="F159" s="663"/>
      <c r="G159" s="663"/>
      <c r="H159" s="663"/>
      <c r="I159" s="663"/>
      <c r="J159" s="663"/>
      <c r="K159" s="663"/>
      <c r="L159" s="663"/>
      <c r="M159" s="663"/>
      <c r="N159" s="663"/>
      <c r="O159" s="663"/>
      <c r="P159" s="663"/>
      <c r="Q159" s="663"/>
      <c r="R159" s="663"/>
      <c r="S159" s="663"/>
      <c r="T159" s="663"/>
      <c r="U159" s="663"/>
      <c r="V159" s="663"/>
      <c r="W159" s="663"/>
      <c r="X159" s="663"/>
      <c r="Y159" s="663"/>
      <c r="Z159" s="663"/>
      <c r="AA159" s="663"/>
      <c r="AB159" s="663"/>
      <c r="AC159" s="663"/>
      <c r="AD159" s="663"/>
      <c r="AE159" s="663"/>
      <c r="AF159" s="663"/>
      <c r="AG159" s="663"/>
      <c r="AH159" s="663"/>
      <c r="AI159" s="663"/>
      <c r="AJ159" s="663"/>
      <c r="AK159" s="663"/>
      <c r="AL159" s="663"/>
      <c r="AM159" s="663"/>
      <c r="AN159" s="663"/>
      <c r="AO159" s="663"/>
      <c r="AP159" s="663"/>
      <c r="AQ159" s="663"/>
      <c r="AR159" s="663"/>
      <c r="AS159" s="663"/>
      <c r="AT159" s="663"/>
      <c r="AU159" s="663"/>
      <c r="CG159" s="656"/>
    </row>
    <row r="160" spans="1:85">
      <c r="A160" s="661"/>
      <c r="E160" s="663"/>
      <c r="F160" s="666" t="s">
        <v>370</v>
      </c>
      <c r="G160" s="932" t="s">
        <v>371</v>
      </c>
      <c r="H160" s="933"/>
      <c r="I160" s="933"/>
      <c r="J160" s="933"/>
      <c r="K160" s="933"/>
      <c r="L160" s="933"/>
      <c r="M160" s="933"/>
      <c r="N160" s="934"/>
      <c r="O160" s="932" t="s">
        <v>469</v>
      </c>
      <c r="P160" s="933"/>
      <c r="Q160" s="933"/>
      <c r="R160" s="933"/>
      <c r="S160" s="933"/>
      <c r="T160" s="933"/>
      <c r="U160" s="933"/>
      <c r="V160" s="933"/>
      <c r="W160" s="933"/>
      <c r="X160" s="933"/>
      <c r="Y160" s="933"/>
      <c r="Z160" s="933"/>
      <c r="AA160" s="934"/>
      <c r="AB160" s="663"/>
      <c r="AC160" s="663"/>
      <c r="AD160" s="663"/>
      <c r="AE160" s="663"/>
      <c r="AF160" s="663"/>
      <c r="AG160" s="663"/>
      <c r="AH160" s="663"/>
      <c r="AI160" s="663"/>
      <c r="AJ160" s="663"/>
      <c r="AK160" s="663"/>
      <c r="AL160" s="663"/>
      <c r="AM160" s="663"/>
      <c r="AN160" s="663"/>
      <c r="AO160" s="663"/>
      <c r="AP160" s="663"/>
      <c r="AQ160" s="663"/>
      <c r="AR160" s="663"/>
      <c r="AU160" s="663"/>
      <c r="AW160" s="663"/>
      <c r="CG160" s="656"/>
    </row>
    <row r="161" spans="1:85">
      <c r="A161" s="661"/>
      <c r="E161" s="663"/>
      <c r="F161" s="667">
        <v>1</v>
      </c>
      <c r="G161" s="923" t="s">
        <v>483</v>
      </c>
      <c r="H161" s="924"/>
      <c r="I161" s="924"/>
      <c r="J161" s="924"/>
      <c r="K161" s="924"/>
      <c r="L161" s="924"/>
      <c r="M161" s="924"/>
      <c r="N161" s="925"/>
      <c r="O161" s="923" t="s">
        <v>374</v>
      </c>
      <c r="P161" s="924"/>
      <c r="Q161" s="924"/>
      <c r="R161" s="924"/>
      <c r="S161" s="924"/>
      <c r="T161" s="924"/>
      <c r="U161" s="924"/>
      <c r="V161" s="924"/>
      <c r="W161" s="924"/>
      <c r="X161" s="924"/>
      <c r="Y161" s="924"/>
      <c r="Z161" s="924"/>
      <c r="AA161" s="925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BB161" s="668"/>
      <c r="CG161" s="656"/>
    </row>
    <row r="162" spans="1:85" ht="15.75" customHeight="1">
      <c r="A162" s="661"/>
      <c r="E162" s="663"/>
      <c r="F162" s="667">
        <v>2</v>
      </c>
      <c r="G162" s="923" t="s">
        <v>484</v>
      </c>
      <c r="H162" s="924"/>
      <c r="I162" s="924"/>
      <c r="J162" s="924"/>
      <c r="K162" s="924"/>
      <c r="L162" s="924"/>
      <c r="M162" s="924"/>
      <c r="N162" s="925"/>
      <c r="O162" s="910" t="s">
        <v>302</v>
      </c>
      <c r="P162" s="911"/>
      <c r="Q162" s="911"/>
      <c r="R162" s="911"/>
      <c r="S162" s="911"/>
      <c r="T162" s="911"/>
      <c r="U162" s="911"/>
      <c r="V162" s="911"/>
      <c r="W162" s="911"/>
      <c r="X162" s="911"/>
      <c r="Y162" s="911"/>
      <c r="Z162" s="911"/>
      <c r="AA162" s="912"/>
      <c r="AB162" s="663"/>
      <c r="AC162" s="663"/>
      <c r="AD162" s="663"/>
      <c r="AE162" s="663"/>
      <c r="AF162" s="663"/>
      <c r="AG162" s="663"/>
      <c r="AH162" s="663"/>
      <c r="AI162" s="663"/>
      <c r="AJ162" s="663"/>
      <c r="AK162" s="663"/>
      <c r="AL162" s="663"/>
      <c r="AM162" s="663"/>
      <c r="AN162" s="663"/>
      <c r="AO162" s="663"/>
      <c r="AP162" s="663"/>
      <c r="AQ162" s="663"/>
      <c r="AR162" s="663"/>
      <c r="AS162" s="663"/>
      <c r="AT162" s="663"/>
      <c r="AU162" s="663"/>
      <c r="CG162" s="656"/>
    </row>
    <row r="163" spans="1:85">
      <c r="A163" s="661"/>
      <c r="E163" s="663"/>
      <c r="F163" s="667">
        <v>3</v>
      </c>
      <c r="G163" s="923" t="s">
        <v>485</v>
      </c>
      <c r="H163" s="924"/>
      <c r="I163" s="924"/>
      <c r="J163" s="924"/>
      <c r="K163" s="924"/>
      <c r="L163" s="924"/>
      <c r="M163" s="924"/>
      <c r="N163" s="925"/>
      <c r="O163" s="910" t="s">
        <v>486</v>
      </c>
      <c r="P163" s="911"/>
      <c r="Q163" s="911"/>
      <c r="R163" s="911"/>
      <c r="S163" s="911"/>
      <c r="T163" s="911"/>
      <c r="U163" s="911"/>
      <c r="V163" s="911"/>
      <c r="W163" s="911"/>
      <c r="X163" s="911"/>
      <c r="Y163" s="911"/>
      <c r="Z163" s="911"/>
      <c r="AA163" s="912"/>
      <c r="AB163" s="663"/>
      <c r="AC163" s="663"/>
      <c r="AD163" s="663"/>
      <c r="AE163" s="663"/>
      <c r="AF163" s="663"/>
      <c r="AG163" s="663"/>
      <c r="AH163" s="663"/>
      <c r="AI163" s="663"/>
      <c r="AJ163" s="663"/>
      <c r="AK163" s="663"/>
      <c r="AL163" s="663"/>
      <c r="AM163" s="663"/>
      <c r="AN163" s="663"/>
      <c r="AO163" s="663"/>
      <c r="AP163" s="663"/>
      <c r="AQ163" s="663"/>
      <c r="AR163" s="663"/>
      <c r="AS163" s="663"/>
      <c r="AT163" s="663"/>
      <c r="AU163" s="663"/>
      <c r="CG163" s="656"/>
    </row>
    <row r="164" spans="1:85">
      <c r="A164" s="661"/>
      <c r="F164" s="667">
        <v>4</v>
      </c>
      <c r="G164" s="923" t="s">
        <v>487</v>
      </c>
      <c r="H164" s="924"/>
      <c r="I164" s="924"/>
      <c r="J164" s="924"/>
      <c r="K164" s="924"/>
      <c r="L164" s="924"/>
      <c r="M164" s="924"/>
      <c r="N164" s="925"/>
      <c r="O164" s="910" t="s">
        <v>488</v>
      </c>
      <c r="P164" s="911"/>
      <c r="Q164" s="911"/>
      <c r="R164" s="911"/>
      <c r="S164" s="911"/>
      <c r="T164" s="911"/>
      <c r="U164" s="911"/>
      <c r="V164" s="911"/>
      <c r="W164" s="911"/>
      <c r="X164" s="911"/>
      <c r="Y164" s="911"/>
      <c r="Z164" s="911"/>
      <c r="AA164" s="912"/>
      <c r="CG164" s="656"/>
    </row>
    <row r="165" spans="1:85">
      <c r="A165" s="661"/>
      <c r="F165" s="667">
        <v>5</v>
      </c>
      <c r="G165" s="923" t="s">
        <v>489</v>
      </c>
      <c r="H165" s="924"/>
      <c r="I165" s="924"/>
      <c r="J165" s="924"/>
      <c r="K165" s="924"/>
      <c r="L165" s="924"/>
      <c r="M165" s="924"/>
      <c r="N165" s="925"/>
      <c r="O165" s="910" t="s">
        <v>490</v>
      </c>
      <c r="P165" s="911"/>
      <c r="Q165" s="911"/>
      <c r="R165" s="911"/>
      <c r="S165" s="911"/>
      <c r="T165" s="911"/>
      <c r="U165" s="911"/>
      <c r="V165" s="911"/>
      <c r="W165" s="911"/>
      <c r="X165" s="911"/>
      <c r="Y165" s="911"/>
      <c r="Z165" s="911"/>
      <c r="AA165" s="912"/>
      <c r="CG165" s="656"/>
    </row>
    <row r="166" spans="1:85">
      <c r="A166" s="661"/>
      <c r="F166" s="667">
        <v>6</v>
      </c>
      <c r="G166" s="923" t="s">
        <v>491</v>
      </c>
      <c r="H166" s="924"/>
      <c r="I166" s="924"/>
      <c r="J166" s="924"/>
      <c r="K166" s="924"/>
      <c r="L166" s="924"/>
      <c r="M166" s="924"/>
      <c r="N166" s="925"/>
      <c r="O166" s="910" t="s">
        <v>492</v>
      </c>
      <c r="P166" s="911"/>
      <c r="Q166" s="911"/>
      <c r="R166" s="911"/>
      <c r="S166" s="911"/>
      <c r="T166" s="911"/>
      <c r="U166" s="911"/>
      <c r="V166" s="911"/>
      <c r="W166" s="911"/>
      <c r="X166" s="911"/>
      <c r="Y166" s="911"/>
      <c r="Z166" s="911"/>
      <c r="AA166" s="912"/>
      <c r="CG166" s="656"/>
    </row>
    <row r="167" spans="1:85">
      <c r="A167" s="661"/>
      <c r="F167" s="667">
        <v>7</v>
      </c>
      <c r="G167" s="923" t="s">
        <v>493</v>
      </c>
      <c r="H167" s="924"/>
      <c r="I167" s="924"/>
      <c r="J167" s="924"/>
      <c r="K167" s="924"/>
      <c r="L167" s="924"/>
      <c r="M167" s="924"/>
      <c r="N167" s="925"/>
      <c r="O167" s="910" t="s">
        <v>494</v>
      </c>
      <c r="P167" s="911"/>
      <c r="Q167" s="911"/>
      <c r="R167" s="911"/>
      <c r="S167" s="911"/>
      <c r="T167" s="911"/>
      <c r="U167" s="911"/>
      <c r="V167" s="911"/>
      <c r="W167" s="911"/>
      <c r="X167" s="911"/>
      <c r="Y167" s="911"/>
      <c r="Z167" s="911"/>
      <c r="AA167" s="912"/>
      <c r="CG167" s="656"/>
    </row>
    <row r="168" spans="1:85">
      <c r="A168" s="661"/>
      <c r="F168" s="667">
        <v>8</v>
      </c>
      <c r="G168" s="926" t="s">
        <v>495</v>
      </c>
      <c r="H168" s="927"/>
      <c r="I168" s="927"/>
      <c r="J168" s="927"/>
      <c r="K168" s="927"/>
      <c r="L168" s="927"/>
      <c r="M168" s="927"/>
      <c r="N168" s="928"/>
      <c r="O168" s="910" t="s">
        <v>496</v>
      </c>
      <c r="P168" s="911"/>
      <c r="Q168" s="911"/>
      <c r="R168" s="911"/>
      <c r="S168" s="911"/>
      <c r="T168" s="911"/>
      <c r="U168" s="911"/>
      <c r="V168" s="911"/>
      <c r="W168" s="911"/>
      <c r="X168" s="911"/>
      <c r="Y168" s="911"/>
      <c r="Z168" s="911"/>
      <c r="AA168" s="912"/>
      <c r="CG168" s="656"/>
    </row>
    <row r="169" spans="1:85" ht="16.5" customHeight="1">
      <c r="A169" s="661"/>
      <c r="CG169" s="656"/>
    </row>
    <row r="170" spans="1:85" ht="16.5" customHeight="1">
      <c r="A170" s="661"/>
      <c r="CG170" s="656"/>
    </row>
    <row r="171" spans="1:85">
      <c r="A171" s="661"/>
      <c r="E171" s="657" t="s">
        <v>694</v>
      </c>
      <c r="F171" s="663"/>
      <c r="G171" s="663"/>
      <c r="I171" s="663" t="s">
        <v>497</v>
      </c>
      <c r="CG171" s="656"/>
    </row>
    <row r="172" spans="1:85">
      <c r="A172" s="661"/>
      <c r="F172" s="663"/>
      <c r="G172" s="663"/>
      <c r="I172" s="663"/>
      <c r="CG172" s="656"/>
    </row>
    <row r="173" spans="1:85">
      <c r="A173" s="661"/>
      <c r="F173" s="657" t="s">
        <v>695</v>
      </c>
      <c r="G173" s="663"/>
      <c r="I173" s="663"/>
      <c r="CG173" s="656"/>
    </row>
    <row r="174" spans="1:85">
      <c r="A174" s="661"/>
      <c r="F174" s="657" t="s">
        <v>498</v>
      </c>
      <c r="G174" s="663"/>
      <c r="I174" s="663"/>
      <c r="CG174" s="656"/>
    </row>
    <row r="175" spans="1:85">
      <c r="A175" s="661"/>
      <c r="G175" s="663"/>
      <c r="I175" s="663"/>
      <c r="CG175" s="656"/>
    </row>
    <row r="176" spans="1:85">
      <c r="A176" s="661"/>
      <c r="E176" s="663"/>
      <c r="F176" s="663" t="s">
        <v>696</v>
      </c>
      <c r="G176" s="663"/>
      <c r="H176" s="663"/>
      <c r="I176" s="663"/>
      <c r="J176" s="663"/>
      <c r="K176" s="663"/>
      <c r="L176" s="663"/>
      <c r="M176" s="663"/>
      <c r="N176" s="663"/>
      <c r="O176" s="663"/>
      <c r="P176" s="663"/>
      <c r="Q176" s="663"/>
      <c r="R176" s="663"/>
      <c r="S176" s="663"/>
      <c r="T176" s="663"/>
      <c r="U176" s="663"/>
      <c r="V176" s="663"/>
      <c r="W176" s="663"/>
      <c r="X176" s="663"/>
      <c r="Y176" s="663"/>
      <c r="Z176" s="663"/>
      <c r="AA176" s="663"/>
      <c r="AB176" s="663"/>
      <c r="AC176" s="663"/>
      <c r="AD176" s="663"/>
      <c r="AE176" s="663"/>
      <c r="AF176" s="663"/>
      <c r="AG176" s="663"/>
      <c r="AH176" s="663"/>
      <c r="AI176" s="663"/>
      <c r="AJ176" s="663"/>
      <c r="AK176" s="663"/>
      <c r="AL176" s="663"/>
      <c r="AM176" s="663"/>
      <c r="AN176" s="663"/>
      <c r="AO176" s="663"/>
      <c r="AP176" s="663"/>
      <c r="AQ176" s="663"/>
      <c r="AR176" s="663"/>
      <c r="AS176" s="663"/>
      <c r="AT176" s="663"/>
      <c r="AU176" s="663"/>
      <c r="CG176" s="656"/>
    </row>
    <row r="177" spans="1:85">
      <c r="A177" s="661"/>
      <c r="E177" s="663"/>
      <c r="F177" s="663" t="s">
        <v>697</v>
      </c>
      <c r="G177" s="663"/>
      <c r="H177" s="663"/>
      <c r="I177" s="663"/>
      <c r="J177" s="663"/>
      <c r="K177" s="663"/>
      <c r="L177" s="663"/>
      <c r="M177" s="663"/>
      <c r="N177" s="663"/>
      <c r="O177" s="663"/>
      <c r="P177" s="663"/>
      <c r="Q177" s="663"/>
      <c r="R177" s="663"/>
      <c r="S177" s="663"/>
      <c r="T177" s="663"/>
      <c r="U177" s="663"/>
      <c r="V177" s="663"/>
      <c r="W177" s="663"/>
      <c r="X177" s="663"/>
      <c r="Y177" s="663"/>
      <c r="Z177" s="663"/>
      <c r="AA177" s="663"/>
      <c r="AB177" s="663"/>
      <c r="AC177" s="663"/>
      <c r="AD177" s="663"/>
      <c r="AE177" s="663"/>
      <c r="AF177" s="663"/>
      <c r="AG177" s="663"/>
      <c r="AH177" s="663" t="s">
        <v>479</v>
      </c>
      <c r="AI177" s="663" t="s">
        <v>499</v>
      </c>
      <c r="AJ177" s="663"/>
      <c r="AK177" s="663"/>
      <c r="AL177" s="663"/>
      <c r="AM177" s="663"/>
      <c r="AN177" s="663"/>
      <c r="AO177" s="663"/>
      <c r="AP177" s="663"/>
      <c r="AQ177" s="663"/>
      <c r="AR177" s="663"/>
      <c r="AS177" s="663"/>
      <c r="AT177" s="663"/>
      <c r="AU177" s="663"/>
      <c r="CG177" s="656"/>
    </row>
    <row r="178" spans="1:85">
      <c r="A178" s="661"/>
      <c r="E178" s="663"/>
      <c r="F178" s="663" t="s">
        <v>698</v>
      </c>
      <c r="G178" s="663"/>
      <c r="H178" s="663"/>
      <c r="I178" s="663"/>
      <c r="J178" s="663"/>
      <c r="K178" s="663"/>
      <c r="L178" s="663"/>
      <c r="M178" s="663"/>
      <c r="N178" s="663"/>
      <c r="O178" s="663"/>
      <c r="P178" s="663"/>
      <c r="Q178" s="663"/>
      <c r="R178" s="663"/>
      <c r="S178" s="663"/>
      <c r="T178" s="663"/>
      <c r="U178" s="663"/>
      <c r="V178" s="663"/>
      <c r="W178" s="663"/>
      <c r="X178" s="663"/>
      <c r="Y178" s="663"/>
      <c r="Z178" s="663"/>
      <c r="AA178" s="663"/>
      <c r="AB178" s="663"/>
      <c r="AC178" s="663"/>
      <c r="AD178" s="663"/>
      <c r="AE178" s="663"/>
      <c r="AF178" s="663"/>
      <c r="AG178" s="663"/>
      <c r="AH178" s="663" t="s">
        <v>479</v>
      </c>
      <c r="AI178" s="663" t="s">
        <v>500</v>
      </c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CG178" s="656"/>
    </row>
    <row r="179" spans="1:85">
      <c r="A179" s="661"/>
      <c r="F179" s="670"/>
      <c r="G179" s="671"/>
      <c r="H179" s="671"/>
      <c r="I179" s="671"/>
      <c r="J179" s="671"/>
      <c r="K179" s="671"/>
      <c r="L179" s="671"/>
      <c r="M179" s="671"/>
      <c r="N179" s="671"/>
      <c r="O179" s="671"/>
      <c r="P179" s="671"/>
      <c r="Q179" s="671"/>
      <c r="R179" s="671"/>
      <c r="S179" s="671"/>
      <c r="T179" s="671"/>
      <c r="U179" s="671"/>
      <c r="V179" s="671"/>
      <c r="W179" s="671"/>
      <c r="X179" s="671"/>
      <c r="Y179" s="671"/>
      <c r="Z179" s="671"/>
      <c r="AA179" s="671"/>
      <c r="CG179" s="656"/>
    </row>
    <row r="180" spans="1:85">
      <c r="A180" s="661"/>
      <c r="E180" s="657" t="s">
        <v>699</v>
      </c>
      <c r="CG180" s="656"/>
    </row>
    <row r="181" spans="1:85" hidden="1">
      <c r="A181" s="661"/>
      <c r="F181" s="663" t="s">
        <v>700</v>
      </c>
      <c r="CG181" s="656"/>
    </row>
    <row r="182" spans="1:85" ht="16.5" hidden="1" customHeight="1">
      <c r="A182" s="661"/>
      <c r="D182" s="655"/>
      <c r="F182" s="663"/>
      <c r="CG182" s="656"/>
    </row>
    <row r="183" spans="1:85" ht="16.5" hidden="1" customHeight="1">
      <c r="A183" s="661"/>
      <c r="H183" s="929" t="s">
        <v>501</v>
      </c>
      <c r="I183" s="930"/>
      <c r="J183" s="930"/>
      <c r="K183" s="930"/>
      <c r="L183" s="930"/>
      <c r="M183" s="930"/>
      <c r="N183" s="930"/>
      <c r="O183" s="930"/>
      <c r="P183" s="930"/>
      <c r="Q183" s="930"/>
      <c r="R183" s="930"/>
      <c r="S183" s="930"/>
      <c r="T183" s="930"/>
      <c r="U183" s="930"/>
      <c r="V183" s="930"/>
      <c r="W183" s="930"/>
      <c r="X183" s="930"/>
      <c r="Y183" s="930"/>
      <c r="Z183" s="930"/>
      <c r="AA183" s="930"/>
      <c r="AB183" s="930"/>
      <c r="AC183" s="930"/>
      <c r="AD183" s="930"/>
      <c r="AE183" s="930"/>
      <c r="AF183" s="930"/>
      <c r="AG183" s="930"/>
      <c r="AH183" s="930"/>
      <c r="AI183" s="930"/>
      <c r="AJ183" s="930"/>
      <c r="AK183" s="931"/>
      <c r="AL183" s="918" t="s">
        <v>502</v>
      </c>
      <c r="AM183" s="918"/>
      <c r="AN183" s="918"/>
      <c r="AO183" s="918"/>
      <c r="AP183" s="918"/>
      <c r="AQ183" s="918"/>
      <c r="AR183" s="918"/>
      <c r="AS183" s="918"/>
      <c r="AT183" s="918"/>
      <c r="AU183" s="918"/>
      <c r="AV183" s="918"/>
      <c r="AW183" s="918"/>
      <c r="AX183" s="918"/>
      <c r="CG183" s="656"/>
    </row>
    <row r="184" spans="1:85" ht="33.75" hidden="1" customHeight="1">
      <c r="A184" s="661"/>
      <c r="H184" s="919" t="s">
        <v>701</v>
      </c>
      <c r="I184" s="919"/>
      <c r="J184" s="919"/>
      <c r="K184" s="919"/>
      <c r="L184" s="919"/>
      <c r="M184" s="919"/>
      <c r="N184" s="919"/>
      <c r="O184" s="919"/>
      <c r="P184" s="919"/>
      <c r="Q184" s="919"/>
      <c r="R184" s="919"/>
      <c r="S184" s="919"/>
      <c r="T184" s="919"/>
      <c r="U184" s="919"/>
      <c r="V184" s="919"/>
      <c r="W184" s="919"/>
      <c r="X184" s="919"/>
      <c r="Y184" s="919"/>
      <c r="Z184" s="919"/>
      <c r="AA184" s="919"/>
      <c r="AB184" s="919"/>
      <c r="AC184" s="919"/>
      <c r="AD184" s="919"/>
      <c r="AE184" s="919"/>
      <c r="AF184" s="919"/>
      <c r="AG184" s="919"/>
      <c r="AH184" s="919"/>
      <c r="AI184" s="919"/>
      <c r="AJ184" s="919"/>
      <c r="AK184" s="919"/>
      <c r="AL184" s="922" t="s">
        <v>702</v>
      </c>
      <c r="AM184" s="922"/>
      <c r="AN184" s="922"/>
      <c r="AO184" s="922"/>
      <c r="AP184" s="922"/>
      <c r="AQ184" s="922"/>
      <c r="AR184" s="922" t="s">
        <v>703</v>
      </c>
      <c r="AS184" s="922"/>
      <c r="AT184" s="922"/>
      <c r="AU184" s="922"/>
      <c r="AV184" s="922"/>
      <c r="AW184" s="922"/>
      <c r="AX184" s="922"/>
      <c r="CG184" s="656"/>
    </row>
    <row r="185" spans="1:85" ht="16.5" hidden="1" customHeight="1">
      <c r="A185" s="661"/>
      <c r="H185" s="906" t="s">
        <v>635</v>
      </c>
      <c r="I185" s="906"/>
      <c r="J185" s="906"/>
      <c r="K185" s="906"/>
      <c r="L185" s="906"/>
      <c r="M185" s="906"/>
      <c r="N185" s="906"/>
      <c r="O185" s="906"/>
      <c r="P185" s="906"/>
      <c r="Q185" s="906"/>
      <c r="R185" s="906"/>
      <c r="S185" s="906"/>
      <c r="T185" s="906"/>
      <c r="U185" s="906"/>
      <c r="V185" s="906"/>
      <c r="W185" s="905" t="s">
        <v>503</v>
      </c>
      <c r="X185" s="905"/>
      <c r="Y185" s="905"/>
      <c r="Z185" s="905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 t="s">
        <v>504</v>
      </c>
      <c r="AM185" s="905"/>
      <c r="AN185" s="905"/>
      <c r="AO185" s="905"/>
      <c r="AP185" s="905"/>
      <c r="AQ185" s="905"/>
      <c r="AR185" s="905" t="s">
        <v>504</v>
      </c>
      <c r="AS185" s="905"/>
      <c r="AT185" s="905"/>
      <c r="AU185" s="905"/>
      <c r="AV185" s="905"/>
      <c r="AW185" s="905"/>
      <c r="AX185" s="905"/>
      <c r="CG185" s="656"/>
    </row>
    <row r="186" spans="1:85" ht="49.75" hidden="1" customHeight="1">
      <c r="A186" s="661"/>
      <c r="H186" s="906"/>
      <c r="I186" s="906"/>
      <c r="J186" s="906"/>
      <c r="K186" s="906"/>
      <c r="L186" s="906"/>
      <c r="M186" s="906"/>
      <c r="N186" s="906"/>
      <c r="O186" s="906"/>
      <c r="P186" s="906"/>
      <c r="Q186" s="906"/>
      <c r="R186" s="906"/>
      <c r="S186" s="906"/>
      <c r="T186" s="906"/>
      <c r="U186" s="906"/>
      <c r="V186" s="906"/>
      <c r="W186" s="909" t="s">
        <v>505</v>
      </c>
      <c r="X186" s="909"/>
      <c r="Y186" s="909"/>
      <c r="Z186" s="909"/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5" t="s">
        <v>504</v>
      </c>
      <c r="AM186" s="905"/>
      <c r="AN186" s="905"/>
      <c r="AO186" s="905"/>
      <c r="AP186" s="905"/>
      <c r="AQ186" s="905"/>
      <c r="AR186" s="909" t="s">
        <v>506</v>
      </c>
      <c r="AS186" s="909"/>
      <c r="AT186" s="909"/>
      <c r="AU186" s="909"/>
      <c r="AV186" s="909"/>
      <c r="AW186" s="909"/>
      <c r="AX186" s="909"/>
      <c r="CG186" s="656"/>
    </row>
    <row r="187" spans="1:85" ht="16.5" hidden="1" customHeight="1">
      <c r="A187" s="661"/>
      <c r="H187" s="906" t="s">
        <v>636</v>
      </c>
      <c r="I187" s="906"/>
      <c r="J187" s="906"/>
      <c r="K187" s="906"/>
      <c r="L187" s="906"/>
      <c r="M187" s="906"/>
      <c r="N187" s="906"/>
      <c r="O187" s="906"/>
      <c r="P187" s="906"/>
      <c r="Q187" s="906"/>
      <c r="R187" s="906"/>
      <c r="S187" s="906"/>
      <c r="T187" s="906"/>
      <c r="U187" s="906"/>
      <c r="V187" s="906"/>
      <c r="W187" s="905"/>
      <c r="X187" s="905"/>
      <c r="Y187" s="905"/>
      <c r="Z187" s="90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 t="s">
        <v>504</v>
      </c>
      <c r="AM187" s="905"/>
      <c r="AN187" s="905"/>
      <c r="AO187" s="905"/>
      <c r="AP187" s="905"/>
      <c r="AQ187" s="905"/>
      <c r="AR187" s="905" t="s">
        <v>504</v>
      </c>
      <c r="AS187" s="905"/>
      <c r="AT187" s="905"/>
      <c r="AU187" s="905"/>
      <c r="AV187" s="905"/>
      <c r="AW187" s="905"/>
      <c r="AX187" s="905"/>
      <c r="CG187" s="656"/>
    </row>
    <row r="188" spans="1:85" ht="16.5" hidden="1" customHeight="1">
      <c r="A188" s="661"/>
      <c r="H188" s="906" t="s">
        <v>507</v>
      </c>
      <c r="I188" s="906"/>
      <c r="J188" s="906"/>
      <c r="K188" s="906"/>
      <c r="L188" s="906"/>
      <c r="M188" s="906"/>
      <c r="N188" s="906"/>
      <c r="O188" s="906"/>
      <c r="P188" s="906"/>
      <c r="Q188" s="906"/>
      <c r="R188" s="906"/>
      <c r="S188" s="906"/>
      <c r="T188" s="906"/>
      <c r="U188" s="906"/>
      <c r="V188" s="906"/>
      <c r="W188" s="905"/>
      <c r="X188" s="905"/>
      <c r="Y188" s="905"/>
      <c r="Z188" s="90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 t="s">
        <v>504</v>
      </c>
      <c r="AM188" s="905"/>
      <c r="AN188" s="905"/>
      <c r="AO188" s="905"/>
      <c r="AP188" s="905"/>
      <c r="AQ188" s="905"/>
      <c r="AR188" s="905" t="s">
        <v>504</v>
      </c>
      <c r="AS188" s="905"/>
      <c r="AT188" s="905"/>
      <c r="AU188" s="905"/>
      <c r="AV188" s="905"/>
      <c r="AW188" s="905"/>
      <c r="AX188" s="905"/>
      <c r="CG188" s="656"/>
    </row>
    <row r="189" spans="1:85" ht="16.5" hidden="1" customHeight="1">
      <c r="A189" s="661"/>
      <c r="CG189" s="656"/>
    </row>
    <row r="190" spans="1:85" ht="16.5" customHeight="1">
      <c r="A190" s="661"/>
      <c r="D190" s="655"/>
      <c r="F190" s="663" t="s">
        <v>704</v>
      </c>
      <c r="CG190" s="656"/>
    </row>
    <row r="191" spans="1:85" ht="16.5" customHeight="1">
      <c r="A191" s="661"/>
      <c r="D191" s="655"/>
      <c r="F191" s="663"/>
      <c r="CG191" s="656"/>
    </row>
    <row r="192" spans="1:85" ht="16.5" customHeight="1">
      <c r="A192" s="661"/>
      <c r="F192" s="917" t="s">
        <v>501</v>
      </c>
      <c r="G192" s="917"/>
      <c r="H192" s="917"/>
      <c r="I192" s="917"/>
      <c r="J192" s="917"/>
      <c r="K192" s="917"/>
      <c r="L192" s="917"/>
      <c r="M192" s="917"/>
      <c r="N192" s="917"/>
      <c r="O192" s="917"/>
      <c r="P192" s="917"/>
      <c r="Q192" s="917"/>
      <c r="R192" s="917"/>
      <c r="S192" s="917"/>
      <c r="T192" s="917"/>
      <c r="U192" s="917"/>
      <c r="V192" s="917"/>
      <c r="W192" s="917"/>
      <c r="X192" s="917"/>
      <c r="Y192" s="917"/>
      <c r="Z192" s="917"/>
      <c r="AA192" s="917"/>
      <c r="AB192" s="917"/>
      <c r="AC192" s="917"/>
      <c r="AD192" s="917"/>
      <c r="AE192" s="917"/>
      <c r="AF192" s="917"/>
      <c r="AG192" s="917"/>
      <c r="AH192" s="917"/>
      <c r="AI192" s="917"/>
      <c r="AJ192" s="917"/>
      <c r="AK192" s="917"/>
      <c r="AL192" s="917"/>
      <c r="AM192" s="917"/>
      <c r="AN192" s="917"/>
      <c r="AO192" s="917"/>
      <c r="AP192" s="917"/>
      <c r="AQ192" s="917"/>
      <c r="AR192" s="917"/>
      <c r="AS192" s="917"/>
      <c r="AT192" s="917"/>
      <c r="AU192" s="917"/>
      <c r="AV192" s="917"/>
      <c r="AW192" s="1084" t="s">
        <v>502</v>
      </c>
      <c r="AX192" s="1085"/>
      <c r="AY192" s="1085"/>
      <c r="AZ192" s="1085"/>
      <c r="BA192" s="1085"/>
      <c r="BB192" s="1085"/>
      <c r="BC192" s="1085"/>
      <c r="BD192" s="1085"/>
      <c r="BE192" s="1085"/>
      <c r="BF192" s="1085"/>
      <c r="BG192" s="1085"/>
      <c r="BH192" s="1085"/>
      <c r="BI192" s="1085"/>
      <c r="CG192" s="656"/>
    </row>
    <row r="193" spans="1:86" ht="47" customHeight="1">
      <c r="A193" s="661"/>
      <c r="F193" s="919" t="s">
        <v>701</v>
      </c>
      <c r="G193" s="919"/>
      <c r="H193" s="919"/>
      <c r="I193" s="919"/>
      <c r="J193" s="919"/>
      <c r="K193" s="919"/>
      <c r="L193" s="919"/>
      <c r="M193" s="919"/>
      <c r="N193" s="919"/>
      <c r="O193" s="919"/>
      <c r="P193" s="919"/>
      <c r="Q193" s="919"/>
      <c r="R193" s="919"/>
      <c r="S193" s="919"/>
      <c r="T193" s="919"/>
      <c r="U193" s="919"/>
      <c r="V193" s="919"/>
      <c r="W193" s="919"/>
      <c r="X193" s="919"/>
      <c r="Y193" s="919"/>
      <c r="Z193" s="919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 t="s">
        <v>508</v>
      </c>
      <c r="AK193" s="919"/>
      <c r="AL193" s="919"/>
      <c r="AM193" s="920" t="s">
        <v>509</v>
      </c>
      <c r="AN193" s="920"/>
      <c r="AO193" s="920"/>
      <c r="AP193" s="920"/>
      <c r="AQ193" s="920"/>
      <c r="AR193" s="921" t="s">
        <v>510</v>
      </c>
      <c r="AS193" s="921"/>
      <c r="AT193" s="921"/>
      <c r="AU193" s="919" t="s">
        <v>511</v>
      </c>
      <c r="AV193" s="919"/>
      <c r="AW193" s="922" t="s">
        <v>702</v>
      </c>
      <c r="AX193" s="922"/>
      <c r="AY193" s="922"/>
      <c r="AZ193" s="922"/>
      <c r="BA193" s="922"/>
      <c r="BB193" s="922"/>
      <c r="BC193" s="922" t="s">
        <v>703</v>
      </c>
      <c r="BD193" s="922"/>
      <c r="BE193" s="922"/>
      <c r="BF193" s="922"/>
      <c r="BG193" s="922"/>
      <c r="BH193" s="922"/>
      <c r="BI193" s="922"/>
      <c r="CG193" s="656"/>
    </row>
    <row r="194" spans="1:86" ht="16.5" customHeight="1">
      <c r="A194" s="661"/>
      <c r="F194" s="906" t="s">
        <v>635</v>
      </c>
      <c r="G194" s="906"/>
      <c r="H194" s="906"/>
      <c r="I194" s="906"/>
      <c r="J194" s="906"/>
      <c r="K194" s="906"/>
      <c r="L194" s="906"/>
      <c r="M194" s="906"/>
      <c r="N194" s="906"/>
      <c r="O194" s="906"/>
      <c r="P194" s="906"/>
      <c r="Q194" s="906"/>
      <c r="R194" s="906"/>
      <c r="S194" s="906"/>
      <c r="T194" s="906"/>
      <c r="U194" s="905" t="s">
        <v>503</v>
      </c>
      <c r="V194" s="905"/>
      <c r="W194" s="905"/>
      <c r="X194" s="905"/>
      <c r="Y194" s="905"/>
      <c r="Z194" s="905"/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14" t="s">
        <v>512</v>
      </c>
      <c r="AK194" s="915"/>
      <c r="AL194" s="916"/>
      <c r="AM194" s="908" t="s">
        <v>375</v>
      </c>
      <c r="AN194" s="908"/>
      <c r="AO194" s="908"/>
      <c r="AP194" s="908"/>
      <c r="AQ194" s="908"/>
      <c r="AR194" s="883" t="s">
        <v>513</v>
      </c>
      <c r="AS194" s="883"/>
      <c r="AT194" s="883"/>
      <c r="AU194" s="883" t="s">
        <v>514</v>
      </c>
      <c r="AV194" s="883"/>
      <c r="AW194" s="883" t="s">
        <v>515</v>
      </c>
      <c r="AX194" s="883"/>
      <c r="AY194" s="883"/>
      <c r="AZ194" s="883"/>
      <c r="BA194" s="883"/>
      <c r="BB194" s="883"/>
      <c r="BC194" s="905" t="s">
        <v>515</v>
      </c>
      <c r="BD194" s="905"/>
      <c r="BE194" s="905"/>
      <c r="BF194" s="905"/>
      <c r="BG194" s="905"/>
      <c r="BH194" s="905"/>
      <c r="BI194" s="905"/>
      <c r="CH194" s="656"/>
    </row>
    <row r="195" spans="1:86" ht="49.75" customHeight="1">
      <c r="A195" s="661"/>
      <c r="F195" s="906"/>
      <c r="G195" s="906"/>
      <c r="H195" s="906"/>
      <c r="I195" s="906"/>
      <c r="J195" s="906"/>
      <c r="K195" s="906"/>
      <c r="L195" s="906"/>
      <c r="M195" s="906"/>
      <c r="N195" s="906"/>
      <c r="O195" s="906"/>
      <c r="P195" s="906"/>
      <c r="Q195" s="906"/>
      <c r="R195" s="906"/>
      <c r="S195" s="906"/>
      <c r="T195" s="906"/>
      <c r="U195" s="909" t="s">
        <v>516</v>
      </c>
      <c r="V195" s="909"/>
      <c r="W195" s="909"/>
      <c r="X195" s="909"/>
      <c r="Y195" s="909"/>
      <c r="Z195" s="909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7" t="s">
        <v>517</v>
      </c>
      <c r="AK195" s="907"/>
      <c r="AL195" s="907"/>
      <c r="AM195" s="908" t="s">
        <v>518</v>
      </c>
      <c r="AN195" s="908"/>
      <c r="AO195" s="908"/>
      <c r="AP195" s="908"/>
      <c r="AQ195" s="908"/>
      <c r="AR195" s="883" t="s">
        <v>513</v>
      </c>
      <c r="AS195" s="883"/>
      <c r="AT195" s="883"/>
      <c r="AU195" s="883" t="s">
        <v>519</v>
      </c>
      <c r="AV195" s="883"/>
      <c r="AW195" s="883" t="s">
        <v>520</v>
      </c>
      <c r="AX195" s="883"/>
      <c r="AY195" s="883"/>
      <c r="AZ195" s="883"/>
      <c r="BA195" s="883"/>
      <c r="BB195" s="883"/>
      <c r="BC195" s="909" t="s">
        <v>521</v>
      </c>
      <c r="BD195" s="909"/>
      <c r="BE195" s="909"/>
      <c r="BF195" s="909"/>
      <c r="BG195" s="909"/>
      <c r="BH195" s="909"/>
      <c r="BI195" s="909"/>
      <c r="CH195" s="656"/>
    </row>
    <row r="196" spans="1:86" ht="49.75" customHeight="1">
      <c r="A196" s="661"/>
      <c r="F196" s="906"/>
      <c r="G196" s="906"/>
      <c r="H196" s="906"/>
      <c r="I196" s="906"/>
      <c r="J196" s="906"/>
      <c r="K196" s="906"/>
      <c r="L196" s="906"/>
      <c r="M196" s="906"/>
      <c r="N196" s="906"/>
      <c r="O196" s="906"/>
      <c r="P196" s="906"/>
      <c r="Q196" s="906"/>
      <c r="R196" s="906"/>
      <c r="S196" s="906"/>
      <c r="T196" s="906"/>
      <c r="U196" s="909" t="s">
        <v>522</v>
      </c>
      <c r="V196" s="909"/>
      <c r="W196" s="909"/>
      <c r="X196" s="909"/>
      <c r="Y196" s="909"/>
      <c r="Z196" s="909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7" t="s">
        <v>517</v>
      </c>
      <c r="AK196" s="907"/>
      <c r="AL196" s="907"/>
      <c r="AM196" s="908" t="s">
        <v>523</v>
      </c>
      <c r="AN196" s="908"/>
      <c r="AO196" s="908"/>
      <c r="AP196" s="908"/>
      <c r="AQ196" s="908"/>
      <c r="AR196" s="883" t="s">
        <v>524</v>
      </c>
      <c r="AS196" s="883"/>
      <c r="AT196" s="883"/>
      <c r="AU196" s="881" t="s">
        <v>525</v>
      </c>
      <c r="AV196" s="913"/>
      <c r="AW196" s="883" t="s">
        <v>526</v>
      </c>
      <c r="AX196" s="883"/>
      <c r="AY196" s="883"/>
      <c r="AZ196" s="883"/>
      <c r="BA196" s="883"/>
      <c r="BB196" s="883"/>
      <c r="BC196" s="909" t="s">
        <v>527</v>
      </c>
      <c r="BD196" s="909"/>
      <c r="BE196" s="909"/>
      <c r="BF196" s="909"/>
      <c r="BG196" s="909"/>
      <c r="BH196" s="909"/>
      <c r="BI196" s="909"/>
      <c r="CH196" s="656"/>
    </row>
    <row r="197" spans="1:86" ht="16.5" customHeight="1">
      <c r="A197" s="661"/>
      <c r="F197" s="906" t="s">
        <v>636</v>
      </c>
      <c r="G197" s="906"/>
      <c r="H197" s="906"/>
      <c r="I197" s="906"/>
      <c r="J197" s="906"/>
      <c r="K197" s="906"/>
      <c r="L197" s="906"/>
      <c r="M197" s="906"/>
      <c r="N197" s="906"/>
      <c r="O197" s="906"/>
      <c r="P197" s="906"/>
      <c r="Q197" s="906"/>
      <c r="R197" s="906"/>
      <c r="S197" s="906"/>
      <c r="T197" s="906"/>
      <c r="U197" s="905"/>
      <c r="V197" s="905"/>
      <c r="W197" s="905"/>
      <c r="X197" s="905"/>
      <c r="Y197" s="905"/>
      <c r="Z197" s="905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7" t="s">
        <v>528</v>
      </c>
      <c r="AK197" s="907"/>
      <c r="AL197" s="907"/>
      <c r="AM197" s="908" t="s">
        <v>529</v>
      </c>
      <c r="AN197" s="908"/>
      <c r="AO197" s="908"/>
      <c r="AP197" s="908"/>
      <c r="AQ197" s="908"/>
      <c r="AR197" s="883" t="s">
        <v>513</v>
      </c>
      <c r="AS197" s="883"/>
      <c r="AT197" s="883"/>
      <c r="AU197" s="881" t="s">
        <v>530</v>
      </c>
      <c r="AV197" s="913"/>
      <c r="AW197" s="883" t="s">
        <v>531</v>
      </c>
      <c r="AX197" s="883"/>
      <c r="AY197" s="883"/>
      <c r="AZ197" s="883"/>
      <c r="BA197" s="883"/>
      <c r="BB197" s="883"/>
      <c r="BC197" s="905" t="s">
        <v>531</v>
      </c>
      <c r="BD197" s="905"/>
      <c r="BE197" s="905"/>
      <c r="BF197" s="905"/>
      <c r="BG197" s="905"/>
      <c r="BH197" s="905"/>
      <c r="BI197" s="905"/>
      <c r="CH197" s="656"/>
    </row>
    <row r="198" spans="1:86" ht="16.5" customHeight="1">
      <c r="A198" s="661"/>
      <c r="F198" s="906" t="s">
        <v>507</v>
      </c>
      <c r="G198" s="906"/>
      <c r="H198" s="906"/>
      <c r="I198" s="906"/>
      <c r="J198" s="906"/>
      <c r="K198" s="906"/>
      <c r="L198" s="906"/>
      <c r="M198" s="906"/>
      <c r="N198" s="906"/>
      <c r="O198" s="906"/>
      <c r="P198" s="906"/>
      <c r="Q198" s="906"/>
      <c r="R198" s="906"/>
      <c r="S198" s="906"/>
      <c r="T198" s="906"/>
      <c r="U198" s="905"/>
      <c r="V198" s="905"/>
      <c r="W198" s="905"/>
      <c r="X198" s="905"/>
      <c r="Y198" s="905"/>
      <c r="Z198" s="905"/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7" t="s">
        <v>512</v>
      </c>
      <c r="AK198" s="907"/>
      <c r="AL198" s="907"/>
      <c r="AM198" s="908" t="s">
        <v>529</v>
      </c>
      <c r="AN198" s="908"/>
      <c r="AO198" s="908"/>
      <c r="AP198" s="908"/>
      <c r="AQ198" s="908"/>
      <c r="AR198" s="883" t="s">
        <v>513</v>
      </c>
      <c r="AS198" s="883"/>
      <c r="AT198" s="883"/>
      <c r="AU198" s="883" t="s">
        <v>532</v>
      </c>
      <c r="AV198" s="883"/>
      <c r="AW198" s="883" t="s">
        <v>533</v>
      </c>
      <c r="AX198" s="883"/>
      <c r="AY198" s="883"/>
      <c r="AZ198" s="883"/>
      <c r="BA198" s="883"/>
      <c r="BB198" s="883"/>
      <c r="BC198" s="905" t="s">
        <v>533</v>
      </c>
      <c r="BD198" s="905"/>
      <c r="BE198" s="905"/>
      <c r="BF198" s="905"/>
      <c r="BG198" s="905"/>
      <c r="BH198" s="905"/>
      <c r="BI198" s="905"/>
      <c r="CH198" s="656"/>
    </row>
    <row r="199" spans="1:86" ht="16.5" customHeight="1">
      <c r="A199" s="661"/>
      <c r="CG199" s="656"/>
    </row>
    <row r="200" spans="1:86">
      <c r="A200" s="661"/>
      <c r="E200" s="657" t="s">
        <v>705</v>
      </c>
      <c r="CG200" s="656"/>
    </row>
    <row r="201" spans="1:86">
      <c r="A201" s="661"/>
      <c r="CG201" s="656"/>
    </row>
    <row r="202" spans="1:86">
      <c r="A202" s="661"/>
      <c r="F202" s="657" t="s">
        <v>534</v>
      </c>
      <c r="CG202" s="656"/>
    </row>
    <row r="203" spans="1:86">
      <c r="A203" s="661"/>
      <c r="CG203" s="656"/>
    </row>
    <row r="204" spans="1:86">
      <c r="A204" s="661"/>
      <c r="B204" s="662" t="s">
        <v>708</v>
      </c>
      <c r="CG204" s="656"/>
    </row>
    <row r="205" spans="1:86">
      <c r="A205" s="661"/>
      <c r="B205" s="662"/>
      <c r="CG205" s="656"/>
    </row>
    <row r="206" spans="1:86">
      <c r="A206" s="661"/>
      <c r="E206" s="663" t="s">
        <v>709</v>
      </c>
      <c r="CG206" s="656"/>
    </row>
    <row r="207" spans="1:86">
      <c r="A207" s="661"/>
      <c r="E207" s="663"/>
      <c r="CG207" s="656"/>
    </row>
    <row r="208" spans="1:86">
      <c r="A208" s="661"/>
      <c r="F208" s="657" t="s">
        <v>535</v>
      </c>
      <c r="CG208" s="656"/>
    </row>
    <row r="209" spans="1:85">
      <c r="A209" s="661"/>
      <c r="E209" s="663"/>
      <c r="CG209" s="656"/>
    </row>
    <row r="210" spans="1:85">
      <c r="A210" s="661"/>
      <c r="B210" s="662"/>
      <c r="E210" s="657" t="s">
        <v>710</v>
      </c>
      <c r="CG210" s="656"/>
    </row>
    <row r="211" spans="1:85">
      <c r="A211" s="661"/>
      <c r="B211" s="662"/>
      <c r="F211" s="657" t="s">
        <v>706</v>
      </c>
      <c r="CG211" s="656"/>
    </row>
    <row r="212" spans="1:85">
      <c r="A212" s="661"/>
      <c r="B212" s="662"/>
      <c r="F212" s="657" t="s">
        <v>707</v>
      </c>
      <c r="CG212" s="656"/>
    </row>
    <row r="213" spans="1:85">
      <c r="A213" s="661"/>
      <c r="B213" s="662"/>
      <c r="CG213" s="656"/>
    </row>
    <row r="214" spans="1:85">
      <c r="A214" s="661"/>
      <c r="B214" s="662"/>
      <c r="CG214" s="656"/>
    </row>
    <row r="215" spans="1:85">
      <c r="A215" s="661"/>
      <c r="B215" s="662"/>
      <c r="E215" s="663" t="s">
        <v>711</v>
      </c>
      <c r="CG215" s="656"/>
    </row>
    <row r="216" spans="1:85">
      <c r="A216" s="661"/>
      <c r="F216" s="663"/>
      <c r="G216" s="663"/>
      <c r="J216" s="663"/>
      <c r="K216" s="663"/>
      <c r="L216" s="663"/>
      <c r="M216" s="663"/>
      <c r="N216" s="663"/>
      <c r="O216" s="663"/>
      <c r="P216" s="663"/>
      <c r="Q216" s="663"/>
      <c r="R216" s="663"/>
      <c r="S216" s="663"/>
      <c r="T216" s="663"/>
      <c r="U216" s="663"/>
      <c r="V216" s="663"/>
      <c r="W216" s="663"/>
      <c r="X216" s="663"/>
      <c r="Y216" s="663"/>
      <c r="Z216" s="663"/>
      <c r="AA216" s="663"/>
      <c r="AB216" s="663"/>
      <c r="AC216" s="663"/>
      <c r="AD216" s="663"/>
      <c r="AE216" s="663"/>
      <c r="AF216" s="663"/>
      <c r="AG216" s="663"/>
      <c r="AH216" s="663"/>
      <c r="AI216" s="663"/>
      <c r="AJ216" s="663"/>
      <c r="AK216" s="663"/>
      <c r="AL216" s="663"/>
      <c r="AM216" s="663"/>
      <c r="AN216" s="663"/>
      <c r="AO216" s="663"/>
      <c r="AP216" s="663"/>
      <c r="AQ216" s="663"/>
      <c r="AR216" s="663"/>
      <c r="AS216" s="663"/>
      <c r="AT216" s="663"/>
      <c r="AU216" s="663"/>
      <c r="CG216" s="656"/>
    </row>
    <row r="217" spans="1:85">
      <c r="A217" s="661"/>
      <c r="F217" s="663"/>
      <c r="G217" s="663"/>
      <c r="J217" s="663"/>
      <c r="K217" s="663"/>
      <c r="L217" s="663"/>
      <c r="M217" s="663"/>
      <c r="N217" s="663"/>
      <c r="O217" s="663"/>
      <c r="P217" s="663"/>
      <c r="Q217" s="663"/>
      <c r="R217" s="663"/>
      <c r="S217" s="663"/>
      <c r="T217" s="663"/>
      <c r="U217" s="663"/>
      <c r="V217" s="663"/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3"/>
      <c r="AI217" s="663"/>
      <c r="AJ217" s="663"/>
      <c r="AK217" s="663"/>
      <c r="AL217" s="663"/>
      <c r="AM217" s="663"/>
      <c r="AN217" s="663"/>
      <c r="AO217" s="663"/>
      <c r="AP217" s="663"/>
      <c r="AQ217" s="663"/>
      <c r="AR217" s="663"/>
      <c r="AS217" s="663"/>
      <c r="AT217" s="663"/>
      <c r="AU217" s="663"/>
      <c r="CG217" s="656"/>
    </row>
    <row r="218" spans="1:85">
      <c r="A218" s="661"/>
      <c r="E218" s="663"/>
      <c r="F218" s="663"/>
      <c r="AC218" s="663"/>
      <c r="AD218" s="663"/>
      <c r="AE218" s="663"/>
      <c r="AF218" s="663"/>
      <c r="AG218" s="663"/>
      <c r="AH218" s="663"/>
      <c r="AI218" s="663"/>
      <c r="AJ218" s="663"/>
      <c r="AK218" s="663"/>
      <c r="AL218" s="663"/>
      <c r="AM218" s="663"/>
      <c r="AN218" s="663"/>
      <c r="AO218" s="663"/>
      <c r="AP218" s="663"/>
      <c r="AQ218" s="663"/>
      <c r="AR218" s="663"/>
      <c r="AS218" s="663"/>
      <c r="AT218" s="663"/>
      <c r="AU218" s="663"/>
      <c r="CG218" s="656"/>
    </row>
    <row r="219" spans="1:85">
      <c r="A219" s="661"/>
      <c r="E219" s="663"/>
      <c r="F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CG219" s="656"/>
    </row>
    <row r="220" spans="1:85">
      <c r="A220" s="661"/>
      <c r="E220" s="663"/>
      <c r="F220" s="663"/>
      <c r="AC220" s="663"/>
      <c r="AD220" s="663"/>
      <c r="AE220" s="663"/>
      <c r="AF220" s="663"/>
      <c r="AG220" s="663"/>
      <c r="AH220" s="663"/>
      <c r="AI220" s="663"/>
      <c r="AJ220" s="663"/>
      <c r="AK220" s="663"/>
      <c r="AL220" s="663"/>
      <c r="AM220" s="663"/>
      <c r="AN220" s="663"/>
      <c r="AO220" s="663"/>
      <c r="AP220" s="663"/>
      <c r="AQ220" s="663"/>
      <c r="AR220" s="663"/>
      <c r="AS220" s="663"/>
      <c r="AT220" s="663"/>
      <c r="AU220" s="663"/>
      <c r="CG220" s="656"/>
    </row>
    <row r="221" spans="1:85">
      <c r="A221" s="661"/>
      <c r="E221" s="663"/>
      <c r="F221" s="663"/>
      <c r="AC221" s="663"/>
      <c r="AD221" s="663"/>
      <c r="AE221" s="663"/>
      <c r="AF221" s="663"/>
      <c r="AG221" s="663"/>
      <c r="AH221" s="663"/>
      <c r="AI221" s="663"/>
      <c r="AJ221" s="663"/>
      <c r="AK221" s="663"/>
      <c r="AL221" s="663"/>
      <c r="AM221" s="663"/>
      <c r="AN221" s="663"/>
      <c r="AO221" s="663"/>
      <c r="AP221" s="663"/>
      <c r="AQ221" s="663"/>
      <c r="AR221" s="663"/>
      <c r="AS221" s="663"/>
      <c r="AT221" s="663"/>
      <c r="AU221" s="663"/>
      <c r="CG221" s="656"/>
    </row>
    <row r="222" spans="1:85">
      <c r="A222" s="661"/>
      <c r="E222" s="663"/>
      <c r="F222" s="663"/>
      <c r="AC222" s="663"/>
      <c r="AD222" s="663"/>
      <c r="AE222" s="663"/>
      <c r="AF222" s="663"/>
      <c r="AG222" s="663"/>
      <c r="AH222" s="663"/>
      <c r="AI222" s="663"/>
      <c r="AJ222" s="663"/>
      <c r="AK222" s="663"/>
      <c r="AL222" s="663"/>
      <c r="AM222" s="663"/>
      <c r="AN222" s="663"/>
      <c r="AO222" s="663"/>
      <c r="AP222" s="663"/>
      <c r="AQ222" s="663"/>
      <c r="AR222" s="663"/>
      <c r="AS222" s="663"/>
      <c r="AT222" s="663"/>
      <c r="AU222" s="663"/>
      <c r="CG222" s="656"/>
    </row>
    <row r="223" spans="1:85">
      <c r="A223" s="661"/>
      <c r="E223" s="663"/>
      <c r="F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CG223" s="656"/>
    </row>
    <row r="224" spans="1:85">
      <c r="A224" s="661"/>
      <c r="E224" s="663"/>
      <c r="F224" s="663"/>
      <c r="AC224" s="663"/>
      <c r="AD224" s="663"/>
      <c r="AE224" s="663"/>
      <c r="AF224" s="663"/>
      <c r="AG224" s="663"/>
      <c r="AH224" s="663"/>
      <c r="AI224" s="663"/>
      <c r="AJ224" s="663"/>
      <c r="AK224" s="663"/>
      <c r="AL224" s="663"/>
      <c r="AM224" s="663"/>
      <c r="AN224" s="663"/>
      <c r="AO224" s="663"/>
      <c r="AP224" s="663"/>
      <c r="AQ224" s="663"/>
      <c r="AR224" s="663"/>
      <c r="AS224" s="663"/>
      <c r="AT224" s="663"/>
      <c r="AU224" s="663"/>
      <c r="CG224" s="656"/>
    </row>
    <row r="225" spans="1:85">
      <c r="A225" s="661"/>
      <c r="CG225" s="656"/>
    </row>
    <row r="226" spans="1:85">
      <c r="A226" s="661"/>
      <c r="CG226" s="656"/>
    </row>
    <row r="227" spans="1:85">
      <c r="A227" s="661"/>
      <c r="CG227" s="656"/>
    </row>
    <row r="228" spans="1:85">
      <c r="A228" s="661"/>
      <c r="CG228" s="656"/>
    </row>
    <row r="229" spans="1:85">
      <c r="A229" s="661"/>
      <c r="CG229" s="656"/>
    </row>
    <row r="230" spans="1:85">
      <c r="A230" s="661"/>
      <c r="CG230" s="656"/>
    </row>
    <row r="231" spans="1:85">
      <c r="A231" s="661"/>
      <c r="CG231" s="656"/>
    </row>
    <row r="232" spans="1:85">
      <c r="A232" s="661"/>
      <c r="F232" s="670"/>
      <c r="G232" s="671"/>
      <c r="H232" s="671"/>
      <c r="I232" s="671"/>
      <c r="J232" s="671"/>
      <c r="K232" s="671"/>
      <c r="L232" s="671"/>
      <c r="M232" s="671"/>
      <c r="N232" s="671"/>
      <c r="O232" s="671"/>
      <c r="P232" s="671"/>
      <c r="Q232" s="671"/>
      <c r="R232" s="671"/>
      <c r="S232" s="671"/>
      <c r="T232" s="671"/>
      <c r="U232" s="671"/>
      <c r="V232" s="671"/>
      <c r="W232" s="671"/>
      <c r="X232" s="671"/>
      <c r="Y232" s="671"/>
      <c r="Z232" s="671"/>
      <c r="AA232" s="671"/>
      <c r="CG232" s="656"/>
    </row>
    <row r="233" spans="1:85">
      <c r="A233" s="661"/>
      <c r="F233" s="670"/>
      <c r="G233" s="671"/>
      <c r="H233" s="671"/>
      <c r="I233" s="671"/>
      <c r="J233" s="671"/>
      <c r="K233" s="671"/>
      <c r="L233" s="671"/>
      <c r="M233" s="671"/>
      <c r="N233" s="671"/>
      <c r="O233" s="671"/>
      <c r="P233" s="671"/>
      <c r="Q233" s="671"/>
      <c r="R233" s="671"/>
      <c r="S233" s="671"/>
      <c r="T233" s="671"/>
      <c r="U233" s="671"/>
      <c r="V233" s="671"/>
      <c r="W233" s="671"/>
      <c r="X233" s="671"/>
      <c r="Y233" s="671"/>
      <c r="Z233" s="671"/>
      <c r="AA233" s="671"/>
      <c r="CG233" s="656"/>
    </row>
    <row r="234" spans="1:85">
      <c r="A234" s="661"/>
      <c r="F234" s="670"/>
      <c r="G234" s="671"/>
      <c r="H234" s="671"/>
      <c r="I234" s="671"/>
      <c r="J234" s="671"/>
      <c r="K234" s="671"/>
      <c r="L234" s="671"/>
      <c r="M234" s="671"/>
      <c r="N234" s="671"/>
      <c r="O234" s="671"/>
      <c r="P234" s="671"/>
      <c r="Q234" s="671"/>
      <c r="R234" s="671"/>
      <c r="S234" s="671"/>
      <c r="T234" s="671"/>
      <c r="U234" s="671"/>
      <c r="V234" s="671"/>
      <c r="W234" s="671"/>
      <c r="X234" s="671"/>
      <c r="Y234" s="671"/>
      <c r="Z234" s="671"/>
      <c r="AA234" s="671"/>
      <c r="CG234" s="656"/>
    </row>
    <row r="235" spans="1:85">
      <c r="A235" s="661"/>
      <c r="F235" s="670"/>
      <c r="G235" s="671"/>
      <c r="H235" s="671"/>
      <c r="I235" s="671"/>
      <c r="J235" s="671"/>
      <c r="K235" s="671"/>
      <c r="L235" s="671"/>
      <c r="M235" s="671"/>
      <c r="N235" s="671"/>
      <c r="O235" s="671"/>
      <c r="P235" s="671"/>
      <c r="Q235" s="671"/>
      <c r="R235" s="671"/>
      <c r="S235" s="671"/>
      <c r="T235" s="671"/>
      <c r="U235" s="671"/>
      <c r="V235" s="671"/>
      <c r="W235" s="671"/>
      <c r="X235" s="671"/>
      <c r="Y235" s="671"/>
      <c r="Z235" s="671"/>
      <c r="AA235" s="671"/>
      <c r="CG235" s="656"/>
    </row>
    <row r="236" spans="1:85">
      <c r="A236" s="661"/>
      <c r="CG236" s="656"/>
    </row>
    <row r="237" spans="1:85">
      <c r="A237" s="661"/>
      <c r="CG237" s="656"/>
    </row>
    <row r="238" spans="1:85">
      <c r="A238" s="661"/>
      <c r="CG238" s="656"/>
    </row>
    <row r="239" spans="1:85">
      <c r="A239" s="661"/>
      <c r="CG239" s="656"/>
    </row>
    <row r="240" spans="1:85">
      <c r="A240" s="661"/>
      <c r="CG240" s="656"/>
    </row>
    <row r="241" spans="1:85">
      <c r="A241" s="661"/>
      <c r="CG241" s="656"/>
    </row>
    <row r="242" spans="1:85" ht="16.5" customHeight="1">
      <c r="A242" s="661"/>
      <c r="E242" s="663" t="s">
        <v>712</v>
      </c>
      <c r="CG242" s="656"/>
    </row>
    <row r="243" spans="1:85" ht="16.5" customHeight="1">
      <c r="A243" s="661"/>
      <c r="CG243" s="656"/>
    </row>
    <row r="244" spans="1:85" ht="16.5" customHeight="1">
      <c r="A244" s="661"/>
      <c r="F244" s="657" t="s">
        <v>536</v>
      </c>
      <c r="CG244" s="656"/>
    </row>
    <row r="245" spans="1:85" ht="16.5" customHeight="1">
      <c r="A245" s="661"/>
      <c r="CG245" s="656"/>
    </row>
    <row r="246" spans="1:85" ht="16.5" customHeight="1">
      <c r="A246" s="661"/>
      <c r="CG246" s="656"/>
    </row>
    <row r="247" spans="1:85">
      <c r="A247" s="661"/>
      <c r="G247" s="657" t="s">
        <v>537</v>
      </c>
      <c r="CG247" s="656"/>
    </row>
    <row r="248" spans="1:85">
      <c r="A248" s="661"/>
      <c r="G248" s="657" t="s">
        <v>540</v>
      </c>
      <c r="CG248" s="656"/>
    </row>
    <row r="249" spans="1:85">
      <c r="A249" s="661"/>
      <c r="CG249" s="656"/>
    </row>
    <row r="250" spans="1:85">
      <c r="A250" s="661"/>
      <c r="B250" s="662" t="s">
        <v>713</v>
      </c>
      <c r="CG250" s="656"/>
    </row>
    <row r="251" spans="1:85">
      <c r="A251" s="661"/>
      <c r="CG251" s="656"/>
    </row>
    <row r="252" spans="1:85">
      <c r="A252" s="661"/>
      <c r="E252" s="663" t="s">
        <v>457</v>
      </c>
      <c r="CG252" s="656"/>
    </row>
    <row r="253" spans="1:85">
      <c r="A253" s="661"/>
      <c r="E253" s="663"/>
      <c r="F253" s="663"/>
      <c r="G253" s="663"/>
      <c r="H253" s="663"/>
      <c r="I253" s="663"/>
      <c r="J253" s="663"/>
      <c r="K253" s="663"/>
      <c r="L253" s="663"/>
      <c r="M253" s="663"/>
      <c r="N253" s="663"/>
      <c r="O253" s="663"/>
      <c r="P253" s="663"/>
      <c r="Q253" s="663"/>
      <c r="R253" s="663"/>
      <c r="S253" s="663"/>
      <c r="T253" s="663"/>
      <c r="U253" s="663"/>
      <c r="V253" s="663"/>
      <c r="W253" s="663"/>
      <c r="X253" s="663"/>
      <c r="Y253" s="663"/>
      <c r="Z253" s="663"/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CG253" s="656"/>
    </row>
    <row r="254" spans="1:85">
      <c r="A254" s="661"/>
      <c r="E254" s="663"/>
      <c r="F254" s="663"/>
      <c r="G254" s="663"/>
      <c r="H254" s="663"/>
      <c r="I254" s="663"/>
      <c r="J254" s="663"/>
      <c r="K254" s="663"/>
      <c r="L254" s="663"/>
      <c r="M254" s="663"/>
      <c r="N254" s="663"/>
      <c r="O254" s="663"/>
      <c r="P254" s="663"/>
      <c r="Q254" s="663"/>
      <c r="R254" s="663"/>
      <c r="S254" s="663"/>
      <c r="T254" s="663"/>
      <c r="U254" s="663"/>
      <c r="V254" s="663"/>
      <c r="W254" s="663"/>
      <c r="X254" s="663"/>
      <c r="Y254" s="663"/>
      <c r="Z254" s="663"/>
      <c r="AA254" s="663"/>
      <c r="AB254" s="663"/>
      <c r="AC254" s="663"/>
      <c r="AD254" s="663"/>
      <c r="AE254" s="663"/>
      <c r="AF254" s="663"/>
      <c r="AG254" s="663"/>
      <c r="AH254" s="663"/>
      <c r="AI254" s="663"/>
      <c r="AJ254" s="663"/>
      <c r="AK254" s="663"/>
      <c r="AL254" s="663"/>
      <c r="AM254" s="663"/>
      <c r="AN254" s="663"/>
      <c r="AO254" s="663"/>
      <c r="AP254" s="663"/>
      <c r="AQ254" s="663"/>
      <c r="AR254" s="663"/>
      <c r="AS254" s="663"/>
      <c r="AT254" s="663"/>
      <c r="AU254" s="663"/>
      <c r="CG254" s="656"/>
    </row>
    <row r="255" spans="1:85">
      <c r="A255" s="661"/>
      <c r="E255" s="663"/>
      <c r="F255" s="663"/>
      <c r="G255" s="663"/>
      <c r="H255" s="663"/>
      <c r="I255" s="663"/>
      <c r="J255" s="663"/>
      <c r="K255" s="663"/>
      <c r="L255" s="663"/>
      <c r="M255" s="663"/>
      <c r="N255" s="663"/>
      <c r="O255" s="663"/>
      <c r="P255" s="663"/>
      <c r="Q255" s="663"/>
      <c r="R255" s="663"/>
      <c r="S255" s="663"/>
      <c r="T255" s="663"/>
      <c r="U255" s="663"/>
      <c r="V255" s="663"/>
      <c r="W255" s="663"/>
      <c r="X255" s="663"/>
      <c r="Y255" s="663"/>
      <c r="Z255" s="663"/>
      <c r="AA255" s="663"/>
      <c r="AB255" s="663"/>
      <c r="AC255" s="663"/>
      <c r="AD255" s="663"/>
      <c r="AE255" s="663"/>
      <c r="AF255" s="663"/>
      <c r="AG255" s="663"/>
      <c r="AH255" s="663"/>
      <c r="AI255" s="663"/>
      <c r="AJ255" s="663"/>
      <c r="AK255" s="663"/>
      <c r="AL255" s="663"/>
      <c r="AM255" s="663"/>
      <c r="AN255" s="663"/>
      <c r="AO255" s="663"/>
      <c r="AP255" s="663"/>
      <c r="AQ255" s="663"/>
      <c r="AR255" s="663"/>
      <c r="AS255" s="663"/>
      <c r="AT255" s="663"/>
      <c r="AU255" s="663"/>
      <c r="CG255" s="656"/>
    </row>
    <row r="256" spans="1:85">
      <c r="A256" s="661"/>
      <c r="E256" s="663"/>
      <c r="F256" s="663"/>
      <c r="G256" s="663"/>
      <c r="H256" s="663"/>
      <c r="I256" s="663"/>
      <c r="J256" s="663"/>
      <c r="K256" s="663"/>
      <c r="L256" s="663"/>
      <c r="M256" s="663"/>
      <c r="N256" s="663"/>
      <c r="O256" s="663"/>
      <c r="P256" s="663"/>
      <c r="Q256" s="663"/>
      <c r="R256" s="663"/>
      <c r="S256" s="663"/>
      <c r="T256" s="663"/>
      <c r="U256" s="663"/>
      <c r="V256" s="663"/>
      <c r="W256" s="663"/>
      <c r="X256" s="663"/>
      <c r="Y256" s="663"/>
      <c r="Z256" s="663"/>
      <c r="AA256" s="663"/>
      <c r="AB256" s="663"/>
      <c r="AC256" s="663"/>
      <c r="AD256" s="663"/>
      <c r="AE256" s="663"/>
      <c r="AF256" s="663"/>
      <c r="AG256" s="663"/>
      <c r="AH256" s="663"/>
      <c r="AI256" s="663"/>
      <c r="AJ256" s="663"/>
      <c r="AK256" s="663"/>
      <c r="AL256" s="663"/>
      <c r="AM256" s="663"/>
      <c r="AN256" s="663"/>
      <c r="AO256" s="663"/>
      <c r="AP256" s="663"/>
      <c r="AQ256" s="663"/>
      <c r="AR256" s="663"/>
      <c r="AS256" s="663"/>
      <c r="AT256" s="663"/>
      <c r="AU256" s="663"/>
      <c r="CG256" s="656"/>
    </row>
    <row r="257" spans="1:85">
      <c r="A257" s="661"/>
      <c r="E257" s="663"/>
      <c r="F257" s="663"/>
      <c r="G257" s="663"/>
      <c r="H257" s="663"/>
      <c r="I257" s="663"/>
      <c r="J257" s="663"/>
      <c r="K257" s="663"/>
      <c r="L257" s="663"/>
      <c r="M257" s="663"/>
      <c r="N257" s="663"/>
      <c r="O257" s="663"/>
      <c r="P257" s="663"/>
      <c r="Q257" s="663"/>
      <c r="R257" s="663"/>
      <c r="S257" s="663"/>
      <c r="T257" s="663"/>
      <c r="U257" s="663"/>
      <c r="V257" s="663"/>
      <c r="W257" s="663"/>
      <c r="X257" s="663"/>
      <c r="Y257" s="663"/>
      <c r="Z257" s="663"/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CG257" s="656"/>
    </row>
    <row r="258" spans="1:85">
      <c r="A258" s="661"/>
      <c r="E258" s="663"/>
      <c r="F258" s="663"/>
      <c r="G258" s="663"/>
      <c r="H258" s="663"/>
      <c r="I258" s="663"/>
      <c r="J258" s="663"/>
      <c r="K258" s="663"/>
      <c r="L258" s="663"/>
      <c r="M258" s="663"/>
      <c r="N258" s="663"/>
      <c r="O258" s="663"/>
      <c r="P258" s="663"/>
      <c r="Q258" s="663"/>
      <c r="R258" s="663"/>
      <c r="S258" s="663"/>
      <c r="T258" s="663"/>
      <c r="U258" s="663"/>
      <c r="V258" s="663"/>
      <c r="W258" s="663"/>
      <c r="X258" s="663"/>
      <c r="Y258" s="663"/>
      <c r="Z258" s="663"/>
      <c r="AA258" s="663"/>
      <c r="AB258" s="663"/>
      <c r="AC258" s="663"/>
      <c r="AD258" s="663"/>
      <c r="AE258" s="663"/>
      <c r="AF258" s="663"/>
      <c r="AG258" s="663"/>
      <c r="AH258" s="663"/>
      <c r="AI258" s="663"/>
      <c r="AJ258" s="663"/>
      <c r="AK258" s="663"/>
      <c r="AL258" s="663"/>
      <c r="AM258" s="663"/>
      <c r="AN258" s="663"/>
      <c r="AO258" s="663"/>
      <c r="AP258" s="663"/>
      <c r="AQ258" s="663"/>
      <c r="AR258" s="663"/>
      <c r="AS258" s="663"/>
      <c r="AT258" s="663"/>
      <c r="AU258" s="663"/>
      <c r="CG258" s="656"/>
    </row>
    <row r="259" spans="1:85">
      <c r="A259" s="661"/>
      <c r="E259" s="663"/>
      <c r="F259" s="663"/>
      <c r="G259" s="663"/>
      <c r="H259" s="663"/>
      <c r="I259" s="663"/>
      <c r="J259" s="663"/>
      <c r="K259" s="663"/>
      <c r="L259" s="663"/>
      <c r="M259" s="663"/>
      <c r="N259" s="663"/>
      <c r="O259" s="663"/>
      <c r="P259" s="663"/>
      <c r="Q259" s="663"/>
      <c r="R259" s="663"/>
      <c r="S259" s="663"/>
      <c r="T259" s="663"/>
      <c r="U259" s="663"/>
      <c r="V259" s="663"/>
      <c r="W259" s="663"/>
      <c r="X259" s="663"/>
      <c r="Y259" s="663"/>
      <c r="Z259" s="663"/>
      <c r="AA259" s="663"/>
      <c r="AB259" s="663"/>
      <c r="AC259" s="663"/>
      <c r="AD259" s="663"/>
      <c r="AE259" s="663"/>
      <c r="AF259" s="663"/>
      <c r="AG259" s="663"/>
      <c r="AH259" s="663"/>
      <c r="AI259" s="663"/>
      <c r="AJ259" s="663"/>
      <c r="AK259" s="663"/>
      <c r="AL259" s="663"/>
      <c r="AM259" s="663"/>
      <c r="AN259" s="663"/>
      <c r="AO259" s="663"/>
      <c r="AP259" s="663"/>
      <c r="AQ259" s="663"/>
      <c r="AR259" s="663"/>
      <c r="AS259" s="663"/>
      <c r="AT259" s="663"/>
      <c r="AU259" s="663"/>
      <c r="CG259" s="656"/>
    </row>
    <row r="260" spans="1:85">
      <c r="A260" s="661"/>
      <c r="E260" s="663"/>
      <c r="F260" s="663"/>
      <c r="G260" s="663"/>
      <c r="H260" s="663"/>
      <c r="I260" s="663"/>
      <c r="J260" s="663"/>
      <c r="K260" s="663"/>
      <c r="L260" s="663"/>
      <c r="M260" s="663"/>
      <c r="N260" s="663"/>
      <c r="O260" s="663"/>
      <c r="P260" s="663"/>
      <c r="Q260" s="663"/>
      <c r="R260" s="663"/>
      <c r="S260" s="663"/>
      <c r="T260" s="663"/>
      <c r="U260" s="663"/>
      <c r="V260" s="663"/>
      <c r="W260" s="663"/>
      <c r="X260" s="663"/>
      <c r="Y260" s="663"/>
      <c r="Z260" s="663"/>
      <c r="AA260" s="663"/>
      <c r="AB260" s="663"/>
      <c r="AC260" s="663"/>
      <c r="AD260" s="663"/>
      <c r="AE260" s="663"/>
      <c r="AF260" s="663"/>
      <c r="AG260" s="663"/>
      <c r="AH260" s="663"/>
      <c r="AI260" s="663"/>
      <c r="AJ260" s="663"/>
      <c r="AK260" s="663"/>
      <c r="AL260" s="663"/>
      <c r="AM260" s="663"/>
      <c r="AN260" s="663"/>
      <c r="AO260" s="663"/>
      <c r="AP260" s="663"/>
      <c r="AQ260" s="663"/>
      <c r="AR260" s="663"/>
      <c r="AS260" s="663"/>
      <c r="AT260" s="663"/>
      <c r="AU260" s="663"/>
      <c r="CG260" s="656"/>
    </row>
    <row r="261" spans="1:85">
      <c r="A261" s="661"/>
      <c r="E261" s="663"/>
      <c r="F261" s="663"/>
      <c r="G261" s="663"/>
      <c r="H261" s="663"/>
      <c r="I261" s="663"/>
      <c r="J261" s="663"/>
      <c r="K261" s="663"/>
      <c r="L261" s="663"/>
      <c r="M261" s="663"/>
      <c r="N261" s="663"/>
      <c r="O261" s="663"/>
      <c r="P261" s="663"/>
      <c r="Q261" s="663"/>
      <c r="R261" s="663"/>
      <c r="S261" s="663"/>
      <c r="T261" s="663"/>
      <c r="U261" s="663"/>
      <c r="V261" s="663"/>
      <c r="W261" s="663"/>
      <c r="X261" s="663"/>
      <c r="Y261" s="663"/>
      <c r="Z261" s="663"/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CG261" s="656"/>
    </row>
    <row r="262" spans="1:85">
      <c r="A262" s="661"/>
      <c r="E262" s="663"/>
      <c r="F262" s="663"/>
      <c r="G262" s="663"/>
      <c r="H262" s="663"/>
      <c r="I262" s="663"/>
      <c r="J262" s="663"/>
      <c r="K262" s="663"/>
      <c r="L262" s="663"/>
      <c r="M262" s="663"/>
      <c r="N262" s="663"/>
      <c r="O262" s="663"/>
      <c r="P262" s="663"/>
      <c r="Q262" s="663"/>
      <c r="R262" s="663"/>
      <c r="S262" s="663"/>
      <c r="T262" s="663"/>
      <c r="U262" s="663"/>
      <c r="V262" s="663"/>
      <c r="W262" s="663"/>
      <c r="X262" s="663"/>
      <c r="Y262" s="663"/>
      <c r="Z262" s="663"/>
      <c r="AA262" s="663"/>
      <c r="AB262" s="663"/>
      <c r="AC262" s="663"/>
      <c r="AD262" s="663"/>
      <c r="AE262" s="663"/>
      <c r="AF262" s="663"/>
      <c r="AG262" s="663"/>
      <c r="AH262" s="663"/>
      <c r="AI262" s="663"/>
      <c r="AJ262" s="663"/>
      <c r="AK262" s="663"/>
      <c r="AL262" s="663"/>
      <c r="AM262" s="663"/>
      <c r="AN262" s="663"/>
      <c r="AO262" s="663"/>
      <c r="AP262" s="663"/>
      <c r="AQ262" s="663"/>
      <c r="AR262" s="663"/>
      <c r="AS262" s="663"/>
      <c r="AT262" s="663"/>
      <c r="AU262" s="663"/>
      <c r="CG262" s="656"/>
    </row>
    <row r="263" spans="1:85">
      <c r="A263" s="661"/>
      <c r="E263" s="663"/>
      <c r="F263" s="663"/>
      <c r="G263" s="663"/>
      <c r="H263" s="663"/>
      <c r="I263" s="663"/>
      <c r="J263" s="663"/>
      <c r="K263" s="663"/>
      <c r="L263" s="663"/>
      <c r="M263" s="663"/>
      <c r="N263" s="663"/>
      <c r="O263" s="663"/>
      <c r="P263" s="663"/>
      <c r="Q263" s="663"/>
      <c r="R263" s="663"/>
      <c r="S263" s="663"/>
      <c r="T263" s="663"/>
      <c r="U263" s="663"/>
      <c r="V263" s="663"/>
      <c r="W263" s="663"/>
      <c r="X263" s="663"/>
      <c r="Y263" s="663"/>
      <c r="Z263" s="663"/>
      <c r="AA263" s="663"/>
      <c r="AB263" s="663"/>
      <c r="AC263" s="663"/>
      <c r="AD263" s="663"/>
      <c r="AE263" s="663"/>
      <c r="AF263" s="663"/>
      <c r="AG263" s="663"/>
      <c r="AH263" s="663"/>
      <c r="AI263" s="663"/>
      <c r="AJ263" s="663"/>
      <c r="AK263" s="663"/>
      <c r="AL263" s="663"/>
      <c r="AM263" s="663"/>
      <c r="AN263" s="663"/>
      <c r="AO263" s="663"/>
      <c r="AP263" s="663"/>
      <c r="AQ263" s="663"/>
      <c r="AR263" s="663"/>
      <c r="AS263" s="663"/>
      <c r="AT263" s="663"/>
      <c r="AU263" s="663"/>
      <c r="CG263" s="656"/>
    </row>
    <row r="264" spans="1:85">
      <c r="A264" s="661"/>
      <c r="E264" s="663"/>
      <c r="F264" s="663"/>
      <c r="G264" s="663"/>
      <c r="H264" s="663"/>
      <c r="I264" s="663"/>
      <c r="J264" s="663"/>
      <c r="K264" s="663"/>
      <c r="L264" s="663"/>
      <c r="M264" s="663"/>
      <c r="N264" s="663"/>
      <c r="O264" s="663"/>
      <c r="P264" s="663"/>
      <c r="Q264" s="663"/>
      <c r="R264" s="663"/>
      <c r="S264" s="663"/>
      <c r="T264" s="663"/>
      <c r="U264" s="663"/>
      <c r="V264" s="663"/>
      <c r="W264" s="663"/>
      <c r="X264" s="663"/>
      <c r="Y264" s="663"/>
      <c r="Z264" s="663"/>
      <c r="AA264" s="663"/>
      <c r="AB264" s="663"/>
      <c r="AC264" s="663"/>
      <c r="AD264" s="663"/>
      <c r="AE264" s="663"/>
      <c r="AF264" s="663"/>
      <c r="AG264" s="663"/>
      <c r="AH264" s="663"/>
      <c r="AI264" s="663"/>
      <c r="AJ264" s="663"/>
      <c r="AK264" s="663"/>
      <c r="AL264" s="663"/>
      <c r="AM264" s="663"/>
      <c r="AN264" s="663"/>
      <c r="AO264" s="663"/>
      <c r="AP264" s="663"/>
      <c r="AQ264" s="663"/>
      <c r="AR264" s="663"/>
      <c r="AS264" s="663"/>
      <c r="AT264" s="663"/>
      <c r="AU264" s="663"/>
      <c r="CG264" s="656"/>
    </row>
    <row r="265" spans="1:85">
      <c r="A265" s="661"/>
      <c r="E265" s="663"/>
      <c r="F265" s="663"/>
      <c r="G265" s="663"/>
      <c r="H265" s="663"/>
      <c r="I265" s="663"/>
      <c r="J265" s="663"/>
      <c r="K265" s="663"/>
      <c r="L265" s="663"/>
      <c r="M265" s="663"/>
      <c r="N265" s="663"/>
      <c r="O265" s="663"/>
      <c r="P265" s="663"/>
      <c r="Q265" s="663"/>
      <c r="R265" s="663"/>
      <c r="S265" s="663"/>
      <c r="T265" s="663"/>
      <c r="U265" s="663"/>
      <c r="V265" s="663"/>
      <c r="W265" s="663"/>
      <c r="X265" s="663"/>
      <c r="Y265" s="663"/>
      <c r="Z265" s="663"/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CG265" s="656"/>
    </row>
    <row r="266" spans="1:85">
      <c r="A266" s="661"/>
      <c r="E266" s="663"/>
      <c r="F266" s="663"/>
      <c r="G266" s="663"/>
      <c r="H266" s="663"/>
      <c r="I266" s="663"/>
      <c r="J266" s="663"/>
      <c r="K266" s="663"/>
      <c r="L266" s="663"/>
      <c r="M266" s="663"/>
      <c r="N266" s="663"/>
      <c r="O266" s="663"/>
      <c r="P266" s="663"/>
      <c r="Q266" s="663"/>
      <c r="R266" s="663"/>
      <c r="S266" s="663"/>
      <c r="T266" s="663"/>
      <c r="U266" s="663"/>
      <c r="V266" s="663"/>
      <c r="W266" s="663"/>
      <c r="X266" s="663"/>
      <c r="Y266" s="663"/>
      <c r="Z266" s="663"/>
      <c r="AA266" s="663"/>
      <c r="AB266" s="663"/>
      <c r="AC266" s="663"/>
      <c r="AD266" s="663"/>
      <c r="AE266" s="663"/>
      <c r="AF266" s="663"/>
      <c r="AG266" s="663"/>
      <c r="AH266" s="663"/>
      <c r="AI266" s="663"/>
      <c r="AJ266" s="663"/>
      <c r="AK266" s="663"/>
      <c r="AL266" s="663"/>
      <c r="AM266" s="663"/>
      <c r="AN266" s="663"/>
      <c r="AO266" s="663"/>
      <c r="AP266" s="663"/>
      <c r="AQ266" s="663"/>
      <c r="AR266" s="663"/>
      <c r="AS266" s="663"/>
      <c r="AT266" s="663"/>
      <c r="AU266" s="663"/>
      <c r="CG266" s="656"/>
    </row>
    <row r="267" spans="1:85">
      <c r="A267" s="661"/>
      <c r="E267" s="663"/>
      <c r="F267" s="663"/>
      <c r="G267" s="663"/>
      <c r="H267" s="663"/>
      <c r="I267" s="663"/>
      <c r="J267" s="663"/>
      <c r="K267" s="663"/>
      <c r="L267" s="663"/>
      <c r="M267" s="663"/>
      <c r="N267" s="663"/>
      <c r="O267" s="663"/>
      <c r="P267" s="663"/>
      <c r="Q267" s="663"/>
      <c r="R267" s="663"/>
      <c r="S267" s="663"/>
      <c r="T267" s="663"/>
      <c r="U267" s="663"/>
      <c r="V267" s="663"/>
      <c r="W267" s="663"/>
      <c r="X267" s="663"/>
      <c r="Y267" s="663"/>
      <c r="Z267" s="663"/>
      <c r="AA267" s="663"/>
      <c r="AB267" s="663"/>
      <c r="AC267" s="663"/>
      <c r="AD267" s="663"/>
      <c r="AE267" s="663"/>
      <c r="AF267" s="663"/>
      <c r="AG267" s="663"/>
      <c r="AH267" s="663"/>
      <c r="AI267" s="663"/>
      <c r="AJ267" s="663"/>
      <c r="AK267" s="663"/>
      <c r="AL267" s="663"/>
      <c r="AM267" s="663"/>
      <c r="AN267" s="663"/>
      <c r="AO267" s="663"/>
      <c r="AP267" s="663"/>
      <c r="AQ267" s="663"/>
      <c r="AR267" s="663"/>
      <c r="AS267" s="663"/>
      <c r="AT267" s="663"/>
      <c r="AU267" s="663"/>
      <c r="CG267" s="656"/>
    </row>
    <row r="268" spans="1:85">
      <c r="A268" s="661"/>
      <c r="E268" s="663"/>
      <c r="F268" s="663"/>
      <c r="G268" s="663"/>
      <c r="H268" s="663"/>
      <c r="I268" s="663"/>
      <c r="J268" s="663"/>
      <c r="K268" s="663"/>
      <c r="L268" s="663"/>
      <c r="M268" s="663"/>
      <c r="N268" s="663"/>
      <c r="O268" s="663"/>
      <c r="P268" s="663"/>
      <c r="Q268" s="663"/>
      <c r="R268" s="663"/>
      <c r="S268" s="663"/>
      <c r="T268" s="663"/>
      <c r="U268" s="663"/>
      <c r="V268" s="663"/>
      <c r="W268" s="663"/>
      <c r="X268" s="663"/>
      <c r="Y268" s="663"/>
      <c r="Z268" s="663"/>
      <c r="AA268" s="663"/>
      <c r="AB268" s="663"/>
      <c r="AC268" s="663"/>
      <c r="AD268" s="663"/>
      <c r="AE268" s="663"/>
      <c r="AF268" s="663"/>
      <c r="AG268" s="663"/>
      <c r="AH268" s="663"/>
      <c r="AI268" s="663"/>
      <c r="AJ268" s="663"/>
      <c r="AK268" s="663"/>
      <c r="AL268" s="663"/>
      <c r="AM268" s="663"/>
      <c r="AN268" s="663"/>
      <c r="AO268" s="663"/>
      <c r="AP268" s="663"/>
      <c r="AQ268" s="663"/>
      <c r="AR268" s="663"/>
      <c r="AS268" s="663"/>
      <c r="AT268" s="663"/>
      <c r="AU268" s="663"/>
      <c r="CG268" s="656"/>
    </row>
    <row r="269" spans="1:85">
      <c r="A269" s="661"/>
      <c r="E269" s="663"/>
      <c r="F269" s="663"/>
      <c r="G269" s="663"/>
      <c r="H269" s="663"/>
      <c r="I269" s="663"/>
      <c r="J269" s="663"/>
      <c r="K269" s="663"/>
      <c r="L269" s="663"/>
      <c r="M269" s="663"/>
      <c r="N269" s="663"/>
      <c r="O269" s="663"/>
      <c r="P269" s="663"/>
      <c r="Q269" s="663"/>
      <c r="R269" s="663"/>
      <c r="S269" s="663"/>
      <c r="T269" s="663"/>
      <c r="U269" s="663"/>
      <c r="V269" s="663"/>
      <c r="W269" s="663"/>
      <c r="X269" s="663"/>
      <c r="Y269" s="663"/>
      <c r="Z269" s="663"/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CG269" s="656"/>
    </row>
    <row r="270" spans="1:85">
      <c r="A270" s="661"/>
      <c r="E270" s="663"/>
      <c r="F270" s="663"/>
      <c r="G270" s="663"/>
      <c r="H270" s="663"/>
      <c r="I270" s="663"/>
      <c r="J270" s="663"/>
      <c r="K270" s="663"/>
      <c r="L270" s="663"/>
      <c r="M270" s="663"/>
      <c r="N270" s="663"/>
      <c r="O270" s="663"/>
      <c r="P270" s="663"/>
      <c r="Q270" s="663"/>
      <c r="R270" s="663"/>
      <c r="S270" s="663"/>
      <c r="T270" s="663"/>
      <c r="U270" s="663"/>
      <c r="V270" s="663"/>
      <c r="W270" s="663"/>
      <c r="X270" s="663"/>
      <c r="Y270" s="663"/>
      <c r="Z270" s="663"/>
      <c r="AA270" s="663"/>
      <c r="AB270" s="663"/>
      <c r="AC270" s="663"/>
      <c r="AD270" s="663"/>
      <c r="AE270" s="663"/>
      <c r="AF270" s="663"/>
      <c r="AG270" s="663"/>
      <c r="AH270" s="663"/>
      <c r="AI270" s="663"/>
      <c r="AJ270" s="663"/>
      <c r="AK270" s="663"/>
      <c r="AL270" s="663"/>
      <c r="AM270" s="663"/>
      <c r="AN270" s="663"/>
      <c r="AO270" s="663"/>
      <c r="AP270" s="663"/>
      <c r="AQ270" s="663"/>
      <c r="AR270" s="663"/>
      <c r="AS270" s="663"/>
      <c r="AT270" s="663"/>
      <c r="AU270" s="663"/>
      <c r="CG270" s="656"/>
    </row>
    <row r="271" spans="1:85">
      <c r="A271" s="661"/>
      <c r="E271" s="663"/>
      <c r="F271" s="663"/>
      <c r="G271" s="663"/>
      <c r="H271" s="663"/>
      <c r="I271" s="663"/>
      <c r="J271" s="663"/>
      <c r="K271" s="663"/>
      <c r="L271" s="663"/>
      <c r="M271" s="663"/>
      <c r="N271" s="663"/>
      <c r="O271" s="663"/>
      <c r="P271" s="663"/>
      <c r="Q271" s="663"/>
      <c r="R271" s="663"/>
      <c r="S271" s="663"/>
      <c r="T271" s="663"/>
      <c r="U271" s="663"/>
      <c r="V271" s="663"/>
      <c r="W271" s="663"/>
      <c r="X271" s="663"/>
      <c r="Y271" s="663"/>
      <c r="Z271" s="663"/>
      <c r="AA271" s="663"/>
      <c r="AB271" s="663"/>
      <c r="AC271" s="663"/>
      <c r="AD271" s="663"/>
      <c r="AE271" s="663"/>
      <c r="AF271" s="663"/>
      <c r="AG271" s="663"/>
      <c r="AH271" s="663"/>
      <c r="AI271" s="663"/>
      <c r="AJ271" s="663"/>
      <c r="AK271" s="663"/>
      <c r="AL271" s="663"/>
      <c r="AM271" s="663"/>
      <c r="AN271" s="663"/>
      <c r="AO271" s="663"/>
      <c r="AP271" s="663"/>
      <c r="AQ271" s="663"/>
      <c r="AR271" s="663"/>
      <c r="AS271" s="663"/>
      <c r="AT271" s="663"/>
      <c r="AU271" s="663"/>
      <c r="CG271" s="656"/>
    </row>
    <row r="272" spans="1:85">
      <c r="A272" s="661"/>
      <c r="E272" s="663"/>
      <c r="F272" s="663"/>
      <c r="G272" s="663"/>
      <c r="H272" s="663"/>
      <c r="I272" s="663"/>
      <c r="J272" s="663"/>
      <c r="K272" s="663"/>
      <c r="L272" s="663"/>
      <c r="M272" s="663"/>
      <c r="N272" s="663"/>
      <c r="O272" s="663"/>
      <c r="P272" s="663"/>
      <c r="Q272" s="663"/>
      <c r="R272" s="663"/>
      <c r="S272" s="663"/>
      <c r="T272" s="663"/>
      <c r="U272" s="663"/>
      <c r="V272" s="663"/>
      <c r="W272" s="663"/>
      <c r="X272" s="663"/>
      <c r="Y272" s="663"/>
      <c r="Z272" s="663"/>
      <c r="AA272" s="663"/>
      <c r="AB272" s="663"/>
      <c r="AC272" s="663"/>
      <c r="AD272" s="663"/>
      <c r="AE272" s="663"/>
      <c r="AF272" s="663"/>
      <c r="AG272" s="663"/>
      <c r="AH272" s="663"/>
      <c r="AI272" s="663"/>
      <c r="AJ272" s="663"/>
      <c r="AK272" s="663"/>
      <c r="AL272" s="663"/>
      <c r="AM272" s="663"/>
      <c r="AN272" s="663"/>
      <c r="AO272" s="663"/>
      <c r="AP272" s="663"/>
      <c r="AQ272" s="663"/>
      <c r="AR272" s="663"/>
      <c r="AS272" s="663"/>
      <c r="AT272" s="663"/>
      <c r="AU272" s="663"/>
      <c r="CG272" s="656"/>
    </row>
    <row r="273" spans="1:85">
      <c r="A273" s="661"/>
      <c r="E273" s="663"/>
      <c r="F273" s="663"/>
      <c r="G273" s="663"/>
      <c r="H273" s="663"/>
      <c r="I273" s="663"/>
      <c r="J273" s="663"/>
      <c r="K273" s="663"/>
      <c r="L273" s="663"/>
      <c r="M273" s="663"/>
      <c r="N273" s="663"/>
      <c r="O273" s="663"/>
      <c r="P273" s="663"/>
      <c r="Q273" s="663"/>
      <c r="R273" s="663"/>
      <c r="S273" s="663"/>
      <c r="T273" s="663"/>
      <c r="U273" s="663"/>
      <c r="V273" s="663"/>
      <c r="W273" s="663"/>
      <c r="X273" s="663"/>
      <c r="Y273" s="663"/>
      <c r="Z273" s="663"/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CG273" s="656"/>
    </row>
    <row r="274" spans="1:85">
      <c r="A274" s="661"/>
      <c r="E274" s="663"/>
      <c r="F274" s="663"/>
      <c r="G274" s="663"/>
      <c r="H274" s="663"/>
      <c r="I274" s="663"/>
      <c r="J274" s="663"/>
      <c r="K274" s="663"/>
      <c r="L274" s="663"/>
      <c r="M274" s="663"/>
      <c r="N274" s="663"/>
      <c r="O274" s="663"/>
      <c r="P274" s="663"/>
      <c r="Q274" s="663"/>
      <c r="R274" s="663"/>
      <c r="S274" s="663"/>
      <c r="T274" s="663"/>
      <c r="U274" s="663"/>
      <c r="V274" s="663"/>
      <c r="W274" s="663"/>
      <c r="X274" s="663"/>
      <c r="Y274" s="663"/>
      <c r="Z274" s="663"/>
      <c r="AA274" s="663"/>
      <c r="AB274" s="663"/>
      <c r="AC274" s="663"/>
      <c r="AD274" s="663"/>
      <c r="AE274" s="663"/>
      <c r="AF274" s="663"/>
      <c r="AG274" s="663"/>
      <c r="AH274" s="663"/>
      <c r="AI274" s="663"/>
      <c r="AJ274" s="663"/>
      <c r="AK274" s="663"/>
      <c r="AL274" s="663"/>
      <c r="AM274" s="663"/>
      <c r="AN274" s="663"/>
      <c r="AO274" s="663"/>
      <c r="AP274" s="663"/>
      <c r="AQ274" s="663"/>
      <c r="AR274" s="663"/>
      <c r="AS274" s="663"/>
      <c r="AT274" s="663"/>
      <c r="AU274" s="663"/>
      <c r="CG274" s="656"/>
    </row>
    <row r="275" spans="1:85">
      <c r="A275" s="661"/>
      <c r="E275" s="663"/>
      <c r="F275" s="663"/>
      <c r="G275" s="663"/>
      <c r="H275" s="663"/>
      <c r="I275" s="663"/>
      <c r="J275" s="663"/>
      <c r="K275" s="663"/>
      <c r="L275" s="663"/>
      <c r="M275" s="663"/>
      <c r="N275" s="663"/>
      <c r="O275" s="663"/>
      <c r="P275" s="663"/>
      <c r="Q275" s="663"/>
      <c r="R275" s="663"/>
      <c r="S275" s="663"/>
      <c r="T275" s="663"/>
      <c r="U275" s="663"/>
      <c r="V275" s="663"/>
      <c r="W275" s="663"/>
      <c r="X275" s="663"/>
      <c r="Y275" s="663"/>
      <c r="Z275" s="663"/>
      <c r="AA275" s="663"/>
      <c r="AB275" s="663"/>
      <c r="AC275" s="663"/>
      <c r="AD275" s="663"/>
      <c r="AE275" s="663"/>
      <c r="AF275" s="663"/>
      <c r="AG275" s="663"/>
      <c r="AH275" s="663"/>
      <c r="AI275" s="663"/>
      <c r="AJ275" s="663"/>
      <c r="AK275" s="663"/>
      <c r="AL275" s="663"/>
      <c r="AM275" s="663"/>
      <c r="AN275" s="663"/>
      <c r="AO275" s="663"/>
      <c r="AP275" s="663"/>
      <c r="AQ275" s="663"/>
      <c r="AR275" s="663"/>
      <c r="AS275" s="663"/>
      <c r="AT275" s="663"/>
      <c r="AU275" s="663"/>
      <c r="CG275" s="656"/>
    </row>
    <row r="276" spans="1:85">
      <c r="A276" s="661"/>
      <c r="E276" s="663"/>
      <c r="F276" s="663"/>
      <c r="G276" s="663"/>
      <c r="H276" s="663"/>
      <c r="I276" s="663"/>
      <c r="J276" s="663"/>
      <c r="K276" s="663"/>
      <c r="L276" s="663"/>
      <c r="M276" s="663"/>
      <c r="N276" s="663"/>
      <c r="O276" s="663"/>
      <c r="P276" s="663"/>
      <c r="Q276" s="663"/>
      <c r="R276" s="663"/>
      <c r="S276" s="663"/>
      <c r="T276" s="663"/>
      <c r="U276" s="663"/>
      <c r="V276" s="663"/>
      <c r="W276" s="663"/>
      <c r="X276" s="663"/>
      <c r="Y276" s="663"/>
      <c r="Z276" s="663"/>
      <c r="AA276" s="663"/>
      <c r="AB276" s="663"/>
      <c r="AC276" s="663"/>
      <c r="AD276" s="663"/>
      <c r="AE276" s="663"/>
      <c r="AF276" s="663"/>
      <c r="AG276" s="663"/>
      <c r="AH276" s="663"/>
      <c r="AI276" s="663"/>
      <c r="AJ276" s="663"/>
      <c r="AK276" s="663"/>
      <c r="AL276" s="663"/>
      <c r="AM276" s="663"/>
      <c r="AN276" s="663"/>
      <c r="AO276" s="663"/>
      <c r="AP276" s="663"/>
      <c r="AQ276" s="663"/>
      <c r="AR276" s="663"/>
      <c r="AS276" s="663"/>
      <c r="AT276" s="663"/>
      <c r="AU276" s="663"/>
      <c r="CG276" s="656"/>
    </row>
    <row r="277" spans="1:85">
      <c r="A277" s="661"/>
      <c r="E277" s="663"/>
      <c r="F277" s="663"/>
      <c r="G277" s="663"/>
      <c r="H277" s="663"/>
      <c r="I277" s="663"/>
      <c r="J277" s="663"/>
      <c r="K277" s="663"/>
      <c r="L277" s="663"/>
      <c r="M277" s="663"/>
      <c r="N277" s="663"/>
      <c r="O277" s="663"/>
      <c r="P277" s="663"/>
      <c r="Q277" s="663"/>
      <c r="R277" s="663"/>
      <c r="S277" s="663"/>
      <c r="T277" s="663"/>
      <c r="U277" s="663"/>
      <c r="V277" s="663"/>
      <c r="W277" s="663"/>
      <c r="X277" s="663"/>
      <c r="Y277" s="663"/>
      <c r="Z277" s="663"/>
      <c r="AA277" s="663"/>
      <c r="AB277" s="663"/>
      <c r="AC277" s="663"/>
      <c r="AD277" s="663"/>
      <c r="AE277" s="663"/>
      <c r="AF277" s="663"/>
      <c r="AG277" s="663"/>
      <c r="AH277" s="663"/>
      <c r="AI277" s="663"/>
      <c r="AJ277" s="663"/>
      <c r="AK277" s="663"/>
      <c r="AL277" s="663"/>
      <c r="AM277" s="663"/>
      <c r="AN277" s="663"/>
      <c r="AO277" s="663"/>
      <c r="AP277" s="663"/>
      <c r="AQ277" s="663"/>
      <c r="AR277" s="663"/>
      <c r="AS277" s="663"/>
      <c r="AT277" s="663"/>
      <c r="AU277" s="663"/>
      <c r="CG277" s="656"/>
    </row>
    <row r="278" spans="1:85">
      <c r="A278" s="661"/>
      <c r="E278" s="663"/>
      <c r="F278" s="663"/>
      <c r="G278" s="663"/>
      <c r="H278" s="663"/>
      <c r="I278" s="663"/>
      <c r="J278" s="663"/>
      <c r="K278" s="663"/>
      <c r="L278" s="663"/>
      <c r="M278" s="663"/>
      <c r="N278" s="663"/>
      <c r="O278" s="663"/>
      <c r="P278" s="663"/>
      <c r="Q278" s="663"/>
      <c r="R278" s="663"/>
      <c r="S278" s="663"/>
      <c r="T278" s="663"/>
      <c r="U278" s="663"/>
      <c r="V278" s="663"/>
      <c r="W278" s="663"/>
      <c r="X278" s="663"/>
      <c r="Y278" s="663"/>
      <c r="Z278" s="663"/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CG278" s="656"/>
    </row>
    <row r="279" spans="1:85">
      <c r="A279" s="661"/>
      <c r="E279" s="663"/>
      <c r="F279" s="663"/>
      <c r="G279" s="663"/>
      <c r="H279" s="663"/>
      <c r="I279" s="663"/>
      <c r="J279" s="663"/>
      <c r="K279" s="663"/>
      <c r="L279" s="663"/>
      <c r="M279" s="663"/>
      <c r="N279" s="663"/>
      <c r="O279" s="663"/>
      <c r="P279" s="663"/>
      <c r="Q279" s="663"/>
      <c r="R279" s="663"/>
      <c r="S279" s="663"/>
      <c r="T279" s="663"/>
      <c r="U279" s="663"/>
      <c r="V279" s="663"/>
      <c r="W279" s="663"/>
      <c r="X279" s="663"/>
      <c r="Y279" s="663"/>
      <c r="Z279" s="663"/>
      <c r="AA279" s="663"/>
      <c r="AB279" s="663"/>
      <c r="AC279" s="663"/>
      <c r="AD279" s="663"/>
      <c r="AE279" s="663"/>
      <c r="AF279" s="663"/>
      <c r="AG279" s="663"/>
      <c r="AH279" s="663"/>
      <c r="AI279" s="663"/>
      <c r="AJ279" s="663"/>
      <c r="AK279" s="663"/>
      <c r="AL279" s="663"/>
      <c r="AM279" s="663"/>
      <c r="AN279" s="663"/>
      <c r="AO279" s="663"/>
      <c r="AP279" s="663"/>
      <c r="AQ279" s="663"/>
      <c r="AR279" s="663"/>
      <c r="AS279" s="663"/>
      <c r="AT279" s="663"/>
      <c r="AU279" s="663"/>
      <c r="CG279" s="656"/>
    </row>
    <row r="280" spans="1:85">
      <c r="A280" s="661"/>
      <c r="E280" s="663"/>
      <c r="F280" s="663"/>
      <c r="G280" s="663"/>
      <c r="H280" s="663"/>
      <c r="I280" s="663"/>
      <c r="J280" s="663"/>
      <c r="K280" s="663"/>
      <c r="L280" s="663"/>
      <c r="M280" s="663"/>
      <c r="N280" s="663"/>
      <c r="O280" s="663"/>
      <c r="P280" s="663"/>
      <c r="Q280" s="663"/>
      <c r="R280" s="663"/>
      <c r="S280" s="663"/>
      <c r="T280" s="663"/>
      <c r="U280" s="663"/>
      <c r="V280" s="663"/>
      <c r="W280" s="663"/>
      <c r="X280" s="663"/>
      <c r="Y280" s="663"/>
      <c r="Z280" s="663"/>
      <c r="AA280" s="663"/>
      <c r="AB280" s="663"/>
      <c r="AC280" s="663"/>
      <c r="AD280" s="663"/>
      <c r="AE280" s="663"/>
      <c r="AF280" s="663"/>
      <c r="AG280" s="663"/>
      <c r="AH280" s="663"/>
      <c r="AI280" s="663"/>
      <c r="AJ280" s="663"/>
      <c r="AK280" s="663"/>
      <c r="AL280" s="663"/>
      <c r="AM280" s="663"/>
      <c r="AN280" s="663"/>
      <c r="AO280" s="663"/>
      <c r="AP280" s="663"/>
      <c r="AQ280" s="663"/>
      <c r="AR280" s="663"/>
      <c r="AS280" s="663"/>
      <c r="AT280" s="663"/>
      <c r="AU280" s="663"/>
      <c r="CG280" s="656"/>
    </row>
    <row r="281" spans="1:85">
      <c r="A281" s="661"/>
      <c r="E281" s="663"/>
      <c r="F281" s="663"/>
      <c r="G281" s="663"/>
      <c r="H281" s="663"/>
      <c r="I281" s="663"/>
      <c r="J281" s="663"/>
      <c r="K281" s="663"/>
      <c r="L281" s="663"/>
      <c r="M281" s="663"/>
      <c r="N281" s="663"/>
      <c r="O281" s="663"/>
      <c r="P281" s="663"/>
      <c r="Q281" s="663"/>
      <c r="R281" s="663"/>
      <c r="S281" s="663"/>
      <c r="T281" s="663"/>
      <c r="U281" s="663"/>
      <c r="V281" s="663"/>
      <c r="W281" s="663"/>
      <c r="X281" s="663"/>
      <c r="Y281" s="663"/>
      <c r="Z281" s="663"/>
      <c r="AA281" s="663"/>
      <c r="AB281" s="663"/>
      <c r="AC281" s="663"/>
      <c r="AD281" s="663"/>
      <c r="AE281" s="663"/>
      <c r="AF281" s="663"/>
      <c r="AG281" s="663"/>
      <c r="AH281" s="663"/>
      <c r="AI281" s="663"/>
      <c r="AJ281" s="663"/>
      <c r="AK281" s="663"/>
      <c r="AL281" s="663"/>
      <c r="AM281" s="663"/>
      <c r="AN281" s="663"/>
      <c r="AO281" s="663"/>
      <c r="AP281" s="663"/>
      <c r="AQ281" s="663"/>
      <c r="AR281" s="663"/>
      <c r="AS281" s="663"/>
      <c r="AT281" s="663"/>
      <c r="AU281" s="663"/>
      <c r="CG281" s="656"/>
    </row>
    <row r="282" spans="1:85">
      <c r="A282" s="661"/>
      <c r="E282" s="663"/>
      <c r="F282" s="663"/>
      <c r="G282" s="663"/>
      <c r="H282" s="663"/>
      <c r="I282" s="663"/>
      <c r="J282" s="663"/>
      <c r="K282" s="663"/>
      <c r="L282" s="663"/>
      <c r="M282" s="663"/>
      <c r="N282" s="663"/>
      <c r="O282" s="663"/>
      <c r="P282" s="663"/>
      <c r="Q282" s="663"/>
      <c r="R282" s="663"/>
      <c r="S282" s="663"/>
      <c r="T282" s="663"/>
      <c r="U282" s="663"/>
      <c r="V282" s="663"/>
      <c r="W282" s="663"/>
      <c r="X282" s="663"/>
      <c r="Y282" s="663"/>
      <c r="Z282" s="663"/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CG282" s="656"/>
    </row>
    <row r="283" spans="1:85">
      <c r="A283" s="661"/>
      <c r="E283" s="663"/>
      <c r="F283" s="663"/>
      <c r="G283" s="663"/>
      <c r="H283" s="663"/>
      <c r="I283" s="663"/>
      <c r="J283" s="663"/>
      <c r="K283" s="663"/>
      <c r="L283" s="663"/>
      <c r="M283" s="663"/>
      <c r="N283" s="663"/>
      <c r="O283" s="663"/>
      <c r="P283" s="663"/>
      <c r="Q283" s="663"/>
      <c r="R283" s="663"/>
      <c r="S283" s="663"/>
      <c r="T283" s="663"/>
      <c r="U283" s="663"/>
      <c r="V283" s="663"/>
      <c r="W283" s="663"/>
      <c r="X283" s="663"/>
      <c r="Y283" s="663"/>
      <c r="Z283" s="663"/>
      <c r="AA283" s="663"/>
      <c r="AB283" s="663"/>
      <c r="AC283" s="663"/>
      <c r="AD283" s="663"/>
      <c r="AE283" s="663"/>
      <c r="AF283" s="663"/>
      <c r="AG283" s="663"/>
      <c r="AH283" s="663"/>
      <c r="AI283" s="663"/>
      <c r="AJ283" s="663"/>
      <c r="AK283" s="663"/>
      <c r="AL283" s="663"/>
      <c r="AM283" s="663"/>
      <c r="AN283" s="663"/>
      <c r="AO283" s="663"/>
      <c r="AP283" s="663"/>
      <c r="AQ283" s="663"/>
      <c r="AR283" s="663"/>
      <c r="AS283" s="663"/>
      <c r="AT283" s="663"/>
      <c r="AU283" s="663"/>
      <c r="CG283" s="656"/>
    </row>
    <row r="284" spans="1:85">
      <c r="A284" s="661"/>
      <c r="E284" s="663"/>
      <c r="F284" s="663"/>
      <c r="G284" s="663"/>
      <c r="H284" s="663"/>
      <c r="I284" s="663"/>
      <c r="J284" s="663"/>
      <c r="K284" s="663"/>
      <c r="L284" s="663"/>
      <c r="M284" s="663"/>
      <c r="N284" s="663"/>
      <c r="O284" s="663"/>
      <c r="P284" s="663"/>
      <c r="Q284" s="663"/>
      <c r="R284" s="663"/>
      <c r="S284" s="663"/>
      <c r="T284" s="663"/>
      <c r="U284" s="663"/>
      <c r="V284" s="663"/>
      <c r="W284" s="663"/>
      <c r="X284" s="663"/>
      <c r="Y284" s="663"/>
      <c r="Z284" s="663"/>
      <c r="AA284" s="663"/>
      <c r="AB284" s="663"/>
      <c r="AC284" s="663"/>
      <c r="AD284" s="663"/>
      <c r="AE284" s="663"/>
      <c r="AF284" s="663"/>
      <c r="AG284" s="663"/>
      <c r="AH284" s="663"/>
      <c r="AI284" s="663"/>
      <c r="AJ284" s="663"/>
      <c r="AK284" s="663"/>
      <c r="AL284" s="663"/>
      <c r="AM284" s="663"/>
      <c r="AN284" s="663"/>
      <c r="AO284" s="663"/>
      <c r="AP284" s="663"/>
      <c r="AQ284" s="663"/>
      <c r="AR284" s="663"/>
      <c r="AS284" s="663"/>
      <c r="AT284" s="663"/>
      <c r="AU284" s="663"/>
      <c r="CG284" s="656"/>
    </row>
    <row r="285" spans="1:85">
      <c r="A285" s="661"/>
      <c r="E285" s="663"/>
      <c r="F285" s="663"/>
      <c r="G285" s="663"/>
      <c r="H285" s="663"/>
      <c r="I285" s="663"/>
      <c r="J285" s="663"/>
      <c r="K285" s="663"/>
      <c r="L285" s="663"/>
      <c r="M285" s="663"/>
      <c r="N285" s="663"/>
      <c r="O285" s="663"/>
      <c r="P285" s="663"/>
      <c r="Q285" s="663"/>
      <c r="R285" s="663"/>
      <c r="S285" s="663"/>
      <c r="T285" s="663"/>
      <c r="U285" s="663"/>
      <c r="V285" s="663"/>
      <c r="W285" s="663"/>
      <c r="X285" s="663"/>
      <c r="Y285" s="663"/>
      <c r="Z285" s="663"/>
      <c r="AA285" s="663"/>
      <c r="AB285" s="663"/>
      <c r="AC285" s="663"/>
      <c r="AD285" s="663"/>
      <c r="AE285" s="663"/>
      <c r="AF285" s="663"/>
      <c r="AG285" s="663"/>
      <c r="AH285" s="663"/>
      <c r="AI285" s="663"/>
      <c r="AJ285" s="663"/>
      <c r="AK285" s="663"/>
      <c r="AL285" s="663"/>
      <c r="AM285" s="663"/>
      <c r="AN285" s="663"/>
      <c r="AO285" s="663"/>
      <c r="AP285" s="663"/>
      <c r="AQ285" s="663"/>
      <c r="AR285" s="663"/>
      <c r="AS285" s="663"/>
      <c r="AT285" s="663"/>
      <c r="AU285" s="663"/>
      <c r="CG285" s="656"/>
    </row>
    <row r="286" spans="1:85">
      <c r="A286" s="661"/>
      <c r="E286" s="663"/>
      <c r="F286" s="663"/>
      <c r="G286" s="663"/>
      <c r="H286" s="663"/>
      <c r="I286" s="663"/>
      <c r="J286" s="663"/>
      <c r="K286" s="663"/>
      <c r="L286" s="663"/>
      <c r="M286" s="663"/>
      <c r="N286" s="663"/>
      <c r="O286" s="663"/>
      <c r="P286" s="663"/>
      <c r="Q286" s="663"/>
      <c r="R286" s="663"/>
      <c r="S286" s="663"/>
      <c r="T286" s="663"/>
      <c r="U286" s="663"/>
      <c r="V286" s="663"/>
      <c r="W286" s="663"/>
      <c r="X286" s="663"/>
      <c r="Y286" s="663"/>
      <c r="Z286" s="663"/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CG286" s="656"/>
    </row>
    <row r="287" spans="1:85">
      <c r="A287" s="661"/>
      <c r="E287" s="663"/>
      <c r="F287" s="663"/>
      <c r="G287" s="663"/>
      <c r="H287" s="663"/>
      <c r="I287" s="663"/>
      <c r="J287" s="663"/>
      <c r="K287" s="663"/>
      <c r="L287" s="663"/>
      <c r="M287" s="663"/>
      <c r="N287" s="663"/>
      <c r="O287" s="663"/>
      <c r="P287" s="663"/>
      <c r="Q287" s="663"/>
      <c r="R287" s="663"/>
      <c r="S287" s="663"/>
      <c r="T287" s="663"/>
      <c r="U287" s="663"/>
      <c r="V287" s="663"/>
      <c r="W287" s="663"/>
      <c r="X287" s="663"/>
      <c r="Y287" s="663"/>
      <c r="Z287" s="663"/>
      <c r="AA287" s="663"/>
      <c r="AB287" s="663"/>
      <c r="AC287" s="663"/>
      <c r="AD287" s="663"/>
      <c r="AE287" s="663"/>
      <c r="AF287" s="663"/>
      <c r="AG287" s="663"/>
      <c r="AH287" s="663"/>
      <c r="AI287" s="663"/>
      <c r="AJ287" s="663"/>
      <c r="AK287" s="663"/>
      <c r="AL287" s="663"/>
      <c r="AM287" s="663"/>
      <c r="AN287" s="663"/>
      <c r="AO287" s="663"/>
      <c r="AP287" s="663"/>
      <c r="AQ287" s="663"/>
      <c r="AR287" s="663"/>
      <c r="AS287" s="663"/>
      <c r="AT287" s="663"/>
      <c r="AU287" s="663"/>
      <c r="CG287" s="656"/>
    </row>
    <row r="288" spans="1:85">
      <c r="A288" s="661"/>
      <c r="E288" s="663"/>
      <c r="CG288" s="656"/>
    </row>
    <row r="289" spans="1:85">
      <c r="A289" s="661"/>
      <c r="E289" s="663"/>
      <c r="CG289" s="656"/>
    </row>
    <row r="290" spans="1:85">
      <c r="A290" s="661"/>
      <c r="E290" s="663"/>
      <c r="CG290" s="656"/>
    </row>
    <row r="291" spans="1:85">
      <c r="A291" s="661"/>
      <c r="E291" s="663"/>
      <c r="CG291" s="656"/>
    </row>
    <row r="292" spans="1:85">
      <c r="A292" s="661"/>
      <c r="E292" s="663"/>
      <c r="CG292" s="656"/>
    </row>
    <row r="293" spans="1:85">
      <c r="A293" s="661"/>
      <c r="E293" s="663"/>
      <c r="CG293" s="656"/>
    </row>
    <row r="294" spans="1:85">
      <c r="A294" s="661"/>
      <c r="E294" s="663"/>
      <c r="CG294" s="656"/>
    </row>
    <row r="295" spans="1:85">
      <c r="A295" s="661"/>
      <c r="E295" s="663"/>
      <c r="CG295" s="656"/>
    </row>
    <row r="296" spans="1:85">
      <c r="A296" s="661"/>
      <c r="E296" s="663"/>
      <c r="CG296" s="656"/>
    </row>
    <row r="297" spans="1:85">
      <c r="A297" s="661"/>
      <c r="E297" s="663"/>
      <c r="CG297" s="656"/>
    </row>
    <row r="298" spans="1:85">
      <c r="A298" s="661"/>
      <c r="E298" s="663"/>
      <c r="CG298" s="656"/>
    </row>
    <row r="299" spans="1:85">
      <c r="A299" s="661"/>
      <c r="E299" s="663"/>
      <c r="CG299" s="656"/>
    </row>
    <row r="300" spans="1:85">
      <c r="A300" s="661"/>
      <c r="E300" s="663"/>
      <c r="CG300" s="656"/>
    </row>
    <row r="301" spans="1:85">
      <c r="A301" s="661"/>
      <c r="E301" s="663"/>
      <c r="CG301" s="656"/>
    </row>
    <row r="302" spans="1:85">
      <c r="A302" s="661"/>
      <c r="E302" s="657" t="s">
        <v>714</v>
      </c>
      <c r="I302" s="657" t="s">
        <v>541</v>
      </c>
      <c r="CG302" s="656"/>
    </row>
    <row r="303" spans="1:85">
      <c r="A303" s="661"/>
      <c r="CG303" s="656"/>
    </row>
    <row r="304" spans="1:85">
      <c r="A304" s="661"/>
      <c r="F304" s="657" t="s">
        <v>542</v>
      </c>
      <c r="CG304" s="656"/>
    </row>
    <row r="305" spans="1:85">
      <c r="A305" s="661"/>
      <c r="CG305" s="656"/>
    </row>
    <row r="306" spans="1:85">
      <c r="A306" s="661"/>
      <c r="E306" s="657" t="s">
        <v>715</v>
      </c>
      <c r="I306" s="657" t="s">
        <v>543</v>
      </c>
      <c r="CG306" s="656"/>
    </row>
    <row r="307" spans="1:85">
      <c r="A307" s="661"/>
      <c r="CG307" s="656"/>
    </row>
    <row r="308" spans="1:85">
      <c r="A308" s="661"/>
      <c r="F308" s="657" t="s">
        <v>544</v>
      </c>
      <c r="CG308" s="656"/>
    </row>
    <row r="309" spans="1:85">
      <c r="A309" s="661"/>
      <c r="CG309" s="656"/>
    </row>
    <row r="310" spans="1:85">
      <c r="A310" s="661"/>
      <c r="H310" s="902" t="s">
        <v>545</v>
      </c>
      <c r="I310" s="903"/>
      <c r="J310" s="903"/>
      <c r="K310" s="904" t="s">
        <v>538</v>
      </c>
      <c r="L310" s="904"/>
      <c r="M310" s="904"/>
      <c r="N310" s="904"/>
      <c r="O310" s="904"/>
      <c r="P310" s="904"/>
      <c r="Q310" s="904"/>
      <c r="R310" s="904"/>
      <c r="S310" s="904"/>
      <c r="T310" s="904"/>
      <c r="U310" s="904"/>
      <c r="V310" s="904" t="s">
        <v>546</v>
      </c>
      <c r="W310" s="904"/>
      <c r="X310" s="904"/>
      <c r="Y310" s="904"/>
      <c r="Z310" s="904"/>
      <c r="AA310" s="904"/>
      <c r="AB310" s="904"/>
      <c r="AC310" s="904"/>
      <c r="AD310" s="904"/>
      <c r="AE310" s="904"/>
      <c r="AF310" s="904" t="s">
        <v>539</v>
      </c>
      <c r="AG310" s="904"/>
      <c r="AH310" s="904"/>
      <c r="AI310" s="904"/>
      <c r="AJ310" s="904"/>
      <c r="AK310" s="904"/>
      <c r="AL310" s="904"/>
      <c r="AM310" s="904"/>
      <c r="AN310" s="904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 t="s">
        <v>69</v>
      </c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  <c r="BW310" s="904"/>
      <c r="BX310" s="904"/>
      <c r="BY310" s="904"/>
      <c r="BZ310" s="904"/>
      <c r="CA310" s="904"/>
      <c r="CG310" s="656"/>
    </row>
    <row r="311" spans="1:85">
      <c r="A311" s="661"/>
      <c r="H311" s="881">
        <v>1</v>
      </c>
      <c r="I311" s="882"/>
      <c r="J311" s="882"/>
      <c r="K311" s="883" t="s">
        <v>547</v>
      </c>
      <c r="L311" s="883"/>
      <c r="M311" s="883"/>
      <c r="N311" s="883"/>
      <c r="O311" s="883"/>
      <c r="P311" s="883"/>
      <c r="Q311" s="883"/>
      <c r="R311" s="883"/>
      <c r="S311" s="883"/>
      <c r="T311" s="883"/>
      <c r="U311" s="883"/>
      <c r="V311" s="883" t="s">
        <v>548</v>
      </c>
      <c r="W311" s="883"/>
      <c r="X311" s="883"/>
      <c r="Y311" s="883"/>
      <c r="Z311" s="883"/>
      <c r="AA311" s="883"/>
      <c r="AB311" s="883"/>
      <c r="AC311" s="883"/>
      <c r="AD311" s="883"/>
      <c r="AE311" s="883"/>
      <c r="AF311" s="905" t="s">
        <v>549</v>
      </c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 t="s">
        <v>550</v>
      </c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  <c r="BW311" s="905"/>
      <c r="BX311" s="905"/>
      <c r="BY311" s="905"/>
      <c r="BZ311" s="905"/>
      <c r="CA311" s="905"/>
      <c r="CG311" s="656"/>
    </row>
    <row r="312" spans="1:85" ht="127.5" customHeight="1">
      <c r="A312" s="661"/>
      <c r="H312" s="881">
        <v>2</v>
      </c>
      <c r="I312" s="882"/>
      <c r="J312" s="882"/>
      <c r="K312" s="883" t="s">
        <v>551</v>
      </c>
      <c r="L312" s="883"/>
      <c r="M312" s="883"/>
      <c r="N312" s="883"/>
      <c r="O312" s="883"/>
      <c r="P312" s="883"/>
      <c r="Q312" s="883"/>
      <c r="R312" s="883"/>
      <c r="S312" s="883"/>
      <c r="T312" s="883"/>
      <c r="U312" s="883"/>
      <c r="V312" s="883" t="s">
        <v>552</v>
      </c>
      <c r="W312" s="883"/>
      <c r="X312" s="883"/>
      <c r="Y312" s="883"/>
      <c r="Z312" s="883"/>
      <c r="AA312" s="883"/>
      <c r="AB312" s="883"/>
      <c r="AC312" s="883"/>
      <c r="AD312" s="883"/>
      <c r="AE312" s="883"/>
      <c r="AF312" s="909" t="s">
        <v>553</v>
      </c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10" t="s">
        <v>554</v>
      </c>
      <c r="BE312" s="911"/>
      <c r="BF312" s="911"/>
      <c r="BG312" s="911"/>
      <c r="BH312" s="911"/>
      <c r="BI312" s="911"/>
      <c r="BJ312" s="911"/>
      <c r="BK312" s="911"/>
      <c r="BL312" s="911"/>
      <c r="BM312" s="911"/>
      <c r="BN312" s="911"/>
      <c r="BO312" s="911"/>
      <c r="BP312" s="911"/>
      <c r="BQ312" s="911"/>
      <c r="BR312" s="911"/>
      <c r="BS312" s="911"/>
      <c r="BT312" s="911"/>
      <c r="BU312" s="911"/>
      <c r="BV312" s="911"/>
      <c r="BW312" s="911"/>
      <c r="BX312" s="911"/>
      <c r="BY312" s="911"/>
      <c r="BZ312" s="911"/>
      <c r="CA312" s="912"/>
      <c r="CG312" s="656"/>
    </row>
    <row r="313" spans="1:85" ht="15.75" customHeight="1">
      <c r="A313" s="661"/>
      <c r="H313" s="881">
        <v>3</v>
      </c>
      <c r="I313" s="882"/>
      <c r="J313" s="882"/>
      <c r="K313" s="883" t="s">
        <v>555</v>
      </c>
      <c r="L313" s="883"/>
      <c r="M313" s="883"/>
      <c r="N313" s="883"/>
      <c r="O313" s="883"/>
      <c r="P313" s="883"/>
      <c r="Q313" s="883"/>
      <c r="R313" s="883"/>
      <c r="S313" s="883"/>
      <c r="T313" s="883"/>
      <c r="U313" s="883"/>
      <c r="V313" s="884" t="s">
        <v>556</v>
      </c>
      <c r="W313" s="885"/>
      <c r="X313" s="885"/>
      <c r="Y313" s="885"/>
      <c r="Z313" s="885"/>
      <c r="AA313" s="885"/>
      <c r="AB313" s="885"/>
      <c r="AC313" s="885"/>
      <c r="AD313" s="885"/>
      <c r="AE313" s="886"/>
      <c r="AF313" s="893" t="s">
        <v>557</v>
      </c>
      <c r="AG313" s="894"/>
      <c r="AH313" s="894"/>
      <c r="AI313" s="894"/>
      <c r="AJ313" s="894"/>
      <c r="AK313" s="894"/>
      <c r="AL313" s="894"/>
      <c r="AM313" s="894"/>
      <c r="AN313" s="894"/>
      <c r="AO313" s="894"/>
      <c r="AP313" s="894"/>
      <c r="AQ313" s="894"/>
      <c r="AR313" s="894"/>
      <c r="AS313" s="894"/>
      <c r="AT313" s="894"/>
      <c r="AU313" s="894"/>
      <c r="AV313" s="894"/>
      <c r="AW313" s="894"/>
      <c r="AX313" s="894"/>
      <c r="AY313" s="894"/>
      <c r="AZ313" s="894"/>
      <c r="BA313" s="894"/>
      <c r="BB313" s="894"/>
      <c r="BC313" s="895"/>
      <c r="BD313" s="893"/>
      <c r="BE313" s="894"/>
      <c r="BF313" s="894"/>
      <c r="BG313" s="894"/>
      <c r="BH313" s="894"/>
      <c r="BI313" s="894"/>
      <c r="BJ313" s="894"/>
      <c r="BK313" s="894"/>
      <c r="BL313" s="894"/>
      <c r="BM313" s="894"/>
      <c r="BN313" s="894"/>
      <c r="BO313" s="894"/>
      <c r="BP313" s="894"/>
      <c r="BQ313" s="894"/>
      <c r="BR313" s="894"/>
      <c r="BS313" s="894"/>
      <c r="BT313" s="894"/>
      <c r="BU313" s="894"/>
      <c r="BV313" s="894"/>
      <c r="BW313" s="894"/>
      <c r="BX313" s="894"/>
      <c r="BY313" s="894"/>
      <c r="BZ313" s="894"/>
      <c r="CA313" s="895"/>
      <c r="CG313" s="656"/>
    </row>
    <row r="314" spans="1:85">
      <c r="A314" s="661"/>
      <c r="H314" s="881">
        <v>4</v>
      </c>
      <c r="I314" s="882"/>
      <c r="J314" s="882"/>
      <c r="K314" s="883" t="s">
        <v>558</v>
      </c>
      <c r="L314" s="883"/>
      <c r="M314" s="883"/>
      <c r="N314" s="883"/>
      <c r="O314" s="883"/>
      <c r="P314" s="883"/>
      <c r="Q314" s="883"/>
      <c r="R314" s="883"/>
      <c r="S314" s="883"/>
      <c r="T314" s="883"/>
      <c r="U314" s="883"/>
      <c r="V314" s="887"/>
      <c r="W314" s="888"/>
      <c r="X314" s="888"/>
      <c r="Y314" s="888"/>
      <c r="Z314" s="888"/>
      <c r="AA314" s="888"/>
      <c r="AB314" s="888"/>
      <c r="AC314" s="888"/>
      <c r="AD314" s="888"/>
      <c r="AE314" s="889"/>
      <c r="AF314" s="896"/>
      <c r="AG314" s="897"/>
      <c r="AH314" s="897"/>
      <c r="AI314" s="897"/>
      <c r="AJ314" s="897"/>
      <c r="AK314" s="897"/>
      <c r="AL314" s="897"/>
      <c r="AM314" s="897"/>
      <c r="AN314" s="897"/>
      <c r="AO314" s="897"/>
      <c r="AP314" s="897"/>
      <c r="AQ314" s="897"/>
      <c r="AR314" s="897"/>
      <c r="AS314" s="897"/>
      <c r="AT314" s="897"/>
      <c r="AU314" s="897"/>
      <c r="AV314" s="897"/>
      <c r="AW314" s="897"/>
      <c r="AX314" s="897"/>
      <c r="AY314" s="897"/>
      <c r="AZ314" s="897"/>
      <c r="BA314" s="897"/>
      <c r="BB314" s="897"/>
      <c r="BC314" s="898"/>
      <c r="BD314" s="896"/>
      <c r="BE314" s="897"/>
      <c r="BF314" s="897"/>
      <c r="BG314" s="897"/>
      <c r="BH314" s="897"/>
      <c r="BI314" s="897"/>
      <c r="BJ314" s="897"/>
      <c r="BK314" s="897"/>
      <c r="BL314" s="897"/>
      <c r="BM314" s="897"/>
      <c r="BN314" s="897"/>
      <c r="BO314" s="897"/>
      <c r="BP314" s="897"/>
      <c r="BQ314" s="897"/>
      <c r="BR314" s="897"/>
      <c r="BS314" s="897"/>
      <c r="BT314" s="897"/>
      <c r="BU314" s="897"/>
      <c r="BV314" s="897"/>
      <c r="BW314" s="897"/>
      <c r="BX314" s="897"/>
      <c r="BY314" s="897"/>
      <c r="BZ314" s="897"/>
      <c r="CA314" s="898"/>
      <c r="CG314" s="656"/>
    </row>
    <row r="315" spans="1:85">
      <c r="A315" s="661"/>
      <c r="H315" s="881">
        <v>5</v>
      </c>
      <c r="I315" s="882"/>
      <c r="J315" s="882"/>
      <c r="K315" s="883" t="s">
        <v>559</v>
      </c>
      <c r="L315" s="883"/>
      <c r="M315" s="883"/>
      <c r="N315" s="883"/>
      <c r="O315" s="883"/>
      <c r="P315" s="883"/>
      <c r="Q315" s="883"/>
      <c r="R315" s="883"/>
      <c r="S315" s="883"/>
      <c r="T315" s="883"/>
      <c r="U315" s="883"/>
      <c r="V315" s="887"/>
      <c r="W315" s="888"/>
      <c r="X315" s="888"/>
      <c r="Y315" s="888"/>
      <c r="Z315" s="888"/>
      <c r="AA315" s="888"/>
      <c r="AB315" s="888"/>
      <c r="AC315" s="888"/>
      <c r="AD315" s="888"/>
      <c r="AE315" s="889"/>
      <c r="AF315" s="896"/>
      <c r="AG315" s="897"/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897"/>
      <c r="AW315" s="897"/>
      <c r="AX315" s="897"/>
      <c r="AY315" s="897"/>
      <c r="AZ315" s="897"/>
      <c r="BA315" s="897"/>
      <c r="BB315" s="897"/>
      <c r="BC315" s="898"/>
      <c r="BD315" s="896"/>
      <c r="BE315" s="897"/>
      <c r="BF315" s="897"/>
      <c r="BG315" s="897"/>
      <c r="BH315" s="897"/>
      <c r="BI315" s="897"/>
      <c r="BJ315" s="897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  <c r="BW315" s="897"/>
      <c r="BX315" s="897"/>
      <c r="BY315" s="897"/>
      <c r="BZ315" s="897"/>
      <c r="CA315" s="898"/>
      <c r="CG315" s="656"/>
    </row>
    <row r="316" spans="1:85">
      <c r="A316" s="661"/>
      <c r="H316" s="881" t="s">
        <v>479</v>
      </c>
      <c r="I316" s="882"/>
      <c r="J316" s="882"/>
      <c r="K316" s="883" t="s">
        <v>479</v>
      </c>
      <c r="L316" s="883"/>
      <c r="M316" s="883"/>
      <c r="N316" s="883"/>
      <c r="O316" s="883"/>
      <c r="P316" s="883"/>
      <c r="Q316" s="883"/>
      <c r="R316" s="883"/>
      <c r="S316" s="883"/>
      <c r="T316" s="883"/>
      <c r="U316" s="883"/>
      <c r="V316" s="890"/>
      <c r="W316" s="891"/>
      <c r="X316" s="891"/>
      <c r="Y316" s="891"/>
      <c r="Z316" s="891"/>
      <c r="AA316" s="891"/>
      <c r="AB316" s="891"/>
      <c r="AC316" s="891"/>
      <c r="AD316" s="891"/>
      <c r="AE316" s="892"/>
      <c r="AF316" s="899"/>
      <c r="AG316" s="900"/>
      <c r="AH316" s="900"/>
      <c r="AI316" s="900"/>
      <c r="AJ316" s="900"/>
      <c r="AK316" s="900"/>
      <c r="AL316" s="900"/>
      <c r="AM316" s="900"/>
      <c r="AN316" s="900"/>
      <c r="AO316" s="900"/>
      <c r="AP316" s="900"/>
      <c r="AQ316" s="900"/>
      <c r="AR316" s="900"/>
      <c r="AS316" s="900"/>
      <c r="AT316" s="900"/>
      <c r="AU316" s="900"/>
      <c r="AV316" s="900"/>
      <c r="AW316" s="900"/>
      <c r="AX316" s="900"/>
      <c r="AY316" s="900"/>
      <c r="AZ316" s="900"/>
      <c r="BA316" s="900"/>
      <c r="BB316" s="900"/>
      <c r="BC316" s="901"/>
      <c r="BD316" s="899"/>
      <c r="BE316" s="900"/>
      <c r="BF316" s="900"/>
      <c r="BG316" s="900"/>
      <c r="BH316" s="900"/>
      <c r="BI316" s="900"/>
      <c r="BJ316" s="900"/>
      <c r="BK316" s="900"/>
      <c r="BL316" s="900"/>
      <c r="BM316" s="900"/>
      <c r="BN316" s="900"/>
      <c r="BO316" s="900"/>
      <c r="BP316" s="900"/>
      <c r="BQ316" s="900"/>
      <c r="BR316" s="900"/>
      <c r="BS316" s="900"/>
      <c r="BT316" s="900"/>
      <c r="BU316" s="900"/>
      <c r="BV316" s="900"/>
      <c r="BW316" s="900"/>
      <c r="BX316" s="900"/>
      <c r="BY316" s="900"/>
      <c r="BZ316" s="900"/>
      <c r="CA316" s="901"/>
      <c r="CG316" s="656"/>
    </row>
    <row r="317" spans="1:85">
      <c r="A317" s="661"/>
      <c r="H317" s="672"/>
      <c r="CG317" s="656"/>
    </row>
    <row r="318" spans="1:85">
      <c r="A318" s="661"/>
      <c r="CG318" s="656"/>
    </row>
    <row r="319" spans="1:85">
      <c r="A319" s="661"/>
      <c r="E319" s="657" t="s">
        <v>560</v>
      </c>
      <c r="I319" s="657" t="s">
        <v>561</v>
      </c>
      <c r="CG319" s="656"/>
    </row>
    <row r="320" spans="1:85">
      <c r="A320" s="661"/>
      <c r="CG320" s="656"/>
    </row>
    <row r="321" spans="1:85">
      <c r="A321" s="661"/>
      <c r="F321" s="657" t="s">
        <v>562</v>
      </c>
      <c r="CG321" s="656"/>
    </row>
    <row r="322" spans="1:85">
      <c r="A322" s="661"/>
      <c r="F322" s="657" t="s">
        <v>563</v>
      </c>
      <c r="CG322" s="656"/>
    </row>
    <row r="323" spans="1:85">
      <c r="A323" s="661"/>
      <c r="F323" s="663"/>
      <c r="G323" s="663"/>
      <c r="I323" s="663"/>
      <c r="CG323" s="656"/>
    </row>
    <row r="324" spans="1:85">
      <c r="A324" s="661"/>
      <c r="CG324" s="656"/>
    </row>
    <row r="325" spans="1:85">
      <c r="A325" s="673"/>
      <c r="B325" s="674"/>
      <c r="C325" s="674"/>
      <c r="D325" s="674"/>
      <c r="E325" s="674"/>
      <c r="F325" s="674"/>
      <c r="G325" s="674"/>
      <c r="H325" s="674"/>
      <c r="I325" s="674"/>
      <c r="J325" s="674"/>
      <c r="K325" s="674"/>
      <c r="L325" s="674"/>
      <c r="M325" s="674"/>
      <c r="N325" s="674"/>
      <c r="O325" s="674"/>
      <c r="P325" s="674"/>
      <c r="Q325" s="674"/>
      <c r="R325" s="674"/>
      <c r="S325" s="674"/>
      <c r="T325" s="674"/>
      <c r="U325" s="674"/>
      <c r="V325" s="674"/>
      <c r="W325" s="674"/>
      <c r="X325" s="674"/>
      <c r="Y325" s="674"/>
      <c r="Z325" s="674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4"/>
      <c r="AL325" s="674"/>
      <c r="AM325" s="674"/>
      <c r="AN325" s="674"/>
      <c r="AO325" s="674"/>
      <c r="AP325" s="674"/>
      <c r="AQ325" s="674"/>
      <c r="AR325" s="674"/>
      <c r="AS325" s="674"/>
      <c r="AT325" s="674"/>
      <c r="AU325" s="674"/>
      <c r="AV325" s="674"/>
      <c r="AW325" s="674"/>
      <c r="AX325" s="674"/>
      <c r="AY325" s="674"/>
      <c r="AZ325" s="674"/>
      <c r="BA325" s="674"/>
      <c r="BB325" s="674"/>
      <c r="BC325" s="674"/>
      <c r="BD325" s="674"/>
      <c r="BE325" s="674"/>
      <c r="BF325" s="674"/>
      <c r="BG325" s="674"/>
      <c r="BH325" s="674"/>
      <c r="BI325" s="674"/>
      <c r="BJ325" s="674"/>
      <c r="BK325" s="674"/>
      <c r="BL325" s="674"/>
      <c r="BM325" s="674"/>
      <c r="BN325" s="674"/>
      <c r="BO325" s="674"/>
      <c r="BP325" s="674"/>
      <c r="BQ325" s="674"/>
      <c r="BR325" s="674"/>
      <c r="BS325" s="674"/>
      <c r="BT325" s="674"/>
      <c r="BU325" s="674"/>
      <c r="BV325" s="674"/>
      <c r="BW325" s="674"/>
      <c r="BX325" s="674"/>
      <c r="BY325" s="674"/>
      <c r="BZ325" s="674"/>
      <c r="CA325" s="674"/>
      <c r="CB325" s="674"/>
      <c r="CC325" s="674"/>
      <c r="CD325" s="674"/>
      <c r="CE325" s="674"/>
      <c r="CF325" s="674"/>
      <c r="CG325" s="675"/>
    </row>
    <row r="326" spans="1:85">
      <c r="A326" s="661"/>
    </row>
    <row r="327" spans="1:85">
      <c r="A327" s="661"/>
    </row>
    <row r="328" spans="1:85">
      <c r="A328" s="661"/>
    </row>
    <row r="329" spans="1:85">
      <c r="A329" s="661"/>
    </row>
    <row r="330" spans="1:85">
      <c r="A330" s="661"/>
    </row>
    <row r="331" spans="1:85">
      <c r="A331" s="661"/>
    </row>
    <row r="332" spans="1:85">
      <c r="A332" s="661"/>
    </row>
    <row r="333" spans="1:85">
      <c r="A333" s="661"/>
    </row>
    <row r="334" spans="1:85">
      <c r="A334" s="661"/>
    </row>
    <row r="335" spans="1:85">
      <c r="A335" s="661"/>
    </row>
    <row r="336" spans="1:85">
      <c r="A336" s="661"/>
    </row>
    <row r="337" spans="1:1">
      <c r="A337" s="661"/>
    </row>
    <row r="338" spans="1:1">
      <c r="A338" s="661"/>
    </row>
    <row r="339" spans="1:1">
      <c r="A339" s="661"/>
    </row>
    <row r="340" spans="1:1">
      <c r="A340" s="661"/>
    </row>
    <row r="341" spans="1:1">
      <c r="A341" s="661"/>
    </row>
    <row r="342" spans="1:1">
      <c r="A342" s="661"/>
    </row>
    <row r="343" spans="1:1">
      <c r="A343" s="661"/>
    </row>
    <row r="344" spans="1:1">
      <c r="A344" s="661"/>
    </row>
    <row r="345" spans="1:1">
      <c r="A345" s="661"/>
    </row>
    <row r="346" spans="1:1">
      <c r="A346" s="661"/>
    </row>
    <row r="347" spans="1:1">
      <c r="A347" s="661"/>
    </row>
    <row r="348" spans="1:1">
      <c r="A348" s="661"/>
    </row>
  </sheetData>
  <mergeCells count="137">
    <mergeCell ref="AW196:BB196"/>
    <mergeCell ref="AW197:BB197"/>
    <mergeCell ref="AW198:BB198"/>
    <mergeCell ref="G110:N110"/>
    <mergeCell ref="O110:AA110"/>
    <mergeCell ref="G111:N111"/>
    <mergeCell ref="O111:AA111"/>
    <mergeCell ref="G112:N112"/>
    <mergeCell ref="O112:AA112"/>
    <mergeCell ref="A1:M1"/>
    <mergeCell ref="F96:N96"/>
    <mergeCell ref="O96:AU96"/>
    <mergeCell ref="F97:N98"/>
    <mergeCell ref="O97:AU97"/>
    <mergeCell ref="O98:AU98"/>
    <mergeCell ref="G116:N116"/>
    <mergeCell ref="O116:AA116"/>
    <mergeCell ref="F155:N155"/>
    <mergeCell ref="O155:AU155"/>
    <mergeCell ref="F156:N156"/>
    <mergeCell ref="O156:AU156"/>
    <mergeCell ref="G113:N113"/>
    <mergeCell ref="O113:AA113"/>
    <mergeCell ref="G114:N114"/>
    <mergeCell ref="O114:AA114"/>
    <mergeCell ref="G115:N115"/>
    <mergeCell ref="O115:AA115"/>
    <mergeCell ref="G117:N117"/>
    <mergeCell ref="O117:AA117"/>
    <mergeCell ref="G163:N163"/>
    <mergeCell ref="O163:AA163"/>
    <mergeCell ref="G164:N164"/>
    <mergeCell ref="O164:AA164"/>
    <mergeCell ref="G165:N165"/>
    <mergeCell ref="O165:AA165"/>
    <mergeCell ref="G160:N160"/>
    <mergeCell ref="O160:AA160"/>
    <mergeCell ref="G161:N161"/>
    <mergeCell ref="O161:AA161"/>
    <mergeCell ref="G162:N162"/>
    <mergeCell ref="O162:AA162"/>
    <mergeCell ref="G166:N166"/>
    <mergeCell ref="O166:AA166"/>
    <mergeCell ref="G167:N167"/>
    <mergeCell ref="O167:AA167"/>
    <mergeCell ref="G168:N168"/>
    <mergeCell ref="O168:AA168"/>
    <mergeCell ref="H183:AK183"/>
    <mergeCell ref="AL183:AX183"/>
    <mergeCell ref="H184:AK184"/>
    <mergeCell ref="AL184:AQ184"/>
    <mergeCell ref="AR184:AX184"/>
    <mergeCell ref="H187:V187"/>
    <mergeCell ref="W187:AK187"/>
    <mergeCell ref="AL187:AQ187"/>
    <mergeCell ref="AR187:AX187"/>
    <mergeCell ref="H188:V188"/>
    <mergeCell ref="W188:AK188"/>
    <mergeCell ref="AL188:AQ188"/>
    <mergeCell ref="AR188:AX188"/>
    <mergeCell ref="H185:V186"/>
    <mergeCell ref="W185:AK185"/>
    <mergeCell ref="AL185:AQ185"/>
    <mergeCell ref="AR185:AX185"/>
    <mergeCell ref="W186:AK186"/>
    <mergeCell ref="AL186:AQ186"/>
    <mergeCell ref="AR186:AX186"/>
    <mergeCell ref="BC195:BI195"/>
    <mergeCell ref="U194:AI194"/>
    <mergeCell ref="AJ194:AL194"/>
    <mergeCell ref="AM194:AQ194"/>
    <mergeCell ref="AR194:AT194"/>
    <mergeCell ref="AU194:AV194"/>
    <mergeCell ref="F192:AV192"/>
    <mergeCell ref="F193:AI193"/>
    <mergeCell ref="AJ193:AL193"/>
    <mergeCell ref="AM193:AQ193"/>
    <mergeCell ref="AR193:AT193"/>
    <mergeCell ref="AU193:AV193"/>
    <mergeCell ref="AW193:BB193"/>
    <mergeCell ref="BC193:BI193"/>
    <mergeCell ref="AW192:BI192"/>
    <mergeCell ref="AW194:BB194"/>
    <mergeCell ref="AW195:BB195"/>
    <mergeCell ref="AU196:AV196"/>
    <mergeCell ref="BC196:BI196"/>
    <mergeCell ref="F197:T197"/>
    <mergeCell ref="U197:AI197"/>
    <mergeCell ref="AJ197:AL197"/>
    <mergeCell ref="AM197:AQ197"/>
    <mergeCell ref="AR197:AT197"/>
    <mergeCell ref="AU197:AV197"/>
    <mergeCell ref="F194:T196"/>
    <mergeCell ref="U196:AI196"/>
    <mergeCell ref="AJ196:AL196"/>
    <mergeCell ref="AM196:AQ196"/>
    <mergeCell ref="AR196:AT196"/>
    <mergeCell ref="BC197:BI197"/>
    <mergeCell ref="BC194:BI194"/>
    <mergeCell ref="U195:AI195"/>
    <mergeCell ref="AJ195:AL195"/>
    <mergeCell ref="AM195:AQ195"/>
    <mergeCell ref="AR195:AT195"/>
    <mergeCell ref="AU195:AV195"/>
    <mergeCell ref="F198:T198"/>
    <mergeCell ref="U198:AI198"/>
    <mergeCell ref="AJ198:AL198"/>
    <mergeCell ref="AM198:AQ198"/>
    <mergeCell ref="AR198:AT198"/>
    <mergeCell ref="AU198:AV198"/>
    <mergeCell ref="BC198:BI198"/>
    <mergeCell ref="AF312:BC312"/>
    <mergeCell ref="BD312:CA312"/>
    <mergeCell ref="H313:J313"/>
    <mergeCell ref="K313:U313"/>
    <mergeCell ref="V313:AE316"/>
    <mergeCell ref="AF313:BC316"/>
    <mergeCell ref="BD313:CA316"/>
    <mergeCell ref="H310:J310"/>
    <mergeCell ref="K310:U310"/>
    <mergeCell ref="V310:AE310"/>
    <mergeCell ref="AF310:BC310"/>
    <mergeCell ref="BD310:CA310"/>
    <mergeCell ref="H311:J311"/>
    <mergeCell ref="K311:U311"/>
    <mergeCell ref="V311:AE311"/>
    <mergeCell ref="AF311:BC311"/>
    <mergeCell ref="BD311:CA311"/>
    <mergeCell ref="H314:J314"/>
    <mergeCell ref="K314:U314"/>
    <mergeCell ref="H315:J315"/>
    <mergeCell ref="K315:U315"/>
    <mergeCell ref="H316:J316"/>
    <mergeCell ref="K316:U316"/>
    <mergeCell ref="H312:J312"/>
    <mergeCell ref="K312:U312"/>
    <mergeCell ref="V312:AE312"/>
  </mergeCells>
  <phoneticPr fontId="57"/>
  <dataValidations count="1">
    <dataValidation type="list" allowBlank="1" showInputMessage="1" showErrorMessage="1" sqref="WVZ983234:WWE983255 WMD983234:WMI983255 WCH983234:WCM983255 VSL983234:VSQ983255 VIP983234:VIU983255 UYT983234:UYY983255 UOX983234:UPC983255 UFB983234:UFG983255 TVF983234:TVK983255 TLJ983234:TLO983255 TBN983234:TBS983255 SRR983234:SRW983255 SHV983234:SIA983255 RXZ983234:RYE983255 ROD983234:ROI983255 REH983234:REM983255 QUL983234:QUQ983255 QKP983234:QKU983255 QAT983234:QAY983255 PQX983234:PRC983255 PHB983234:PHG983255 OXF983234:OXK983255 ONJ983234:ONO983255 ODN983234:ODS983255 NTR983234:NTW983255 NJV983234:NKA983255 MZZ983234:NAE983255 MQD983234:MQI983255 MGH983234:MGM983255 LWL983234:LWQ983255 LMP983234:LMU983255 LCT983234:LCY983255 KSX983234:KTC983255 KJB983234:KJG983255 JZF983234:JZK983255 JPJ983234:JPO983255 JFN983234:JFS983255 IVR983234:IVW983255 ILV983234:IMA983255 IBZ983234:ICE983255 HSD983234:HSI983255 HIH983234:HIM983255 GYL983234:GYQ983255 GOP983234:GOU983255 GET983234:GEY983255 FUX983234:FVC983255 FLB983234:FLG983255 FBF983234:FBK983255 ERJ983234:ERO983255 EHN983234:EHS983255 DXR983234:DXW983255 DNV983234:DOA983255 DDZ983234:DEE983255 CUD983234:CUI983255 CKH983234:CKM983255 CAL983234:CAQ983255 BQP983234:BQU983255 BGT983234:BGY983255 AWX983234:AXC983255 ANB983234:ANG983255 ADF983234:ADK983255 TJ983234:TO983255 JN983234:JS983255 J983258:O983279 WVZ917698:WWE917719 WMD917698:WMI917719 WCH917698:WCM917719 VSL917698:VSQ917719 VIP917698:VIU917719 UYT917698:UYY917719 UOX917698:UPC917719 UFB917698:UFG917719 TVF917698:TVK917719 TLJ917698:TLO917719 TBN917698:TBS917719 SRR917698:SRW917719 SHV917698:SIA917719 RXZ917698:RYE917719 ROD917698:ROI917719 REH917698:REM917719 QUL917698:QUQ917719 QKP917698:QKU917719 QAT917698:QAY917719 PQX917698:PRC917719 PHB917698:PHG917719 OXF917698:OXK917719 ONJ917698:ONO917719 ODN917698:ODS917719 NTR917698:NTW917719 NJV917698:NKA917719 MZZ917698:NAE917719 MQD917698:MQI917719 MGH917698:MGM917719 LWL917698:LWQ917719 LMP917698:LMU917719 LCT917698:LCY917719 KSX917698:KTC917719 KJB917698:KJG917719 JZF917698:JZK917719 JPJ917698:JPO917719 JFN917698:JFS917719 IVR917698:IVW917719 ILV917698:IMA917719 IBZ917698:ICE917719 HSD917698:HSI917719 HIH917698:HIM917719 GYL917698:GYQ917719 GOP917698:GOU917719 GET917698:GEY917719 FUX917698:FVC917719 FLB917698:FLG917719 FBF917698:FBK917719 ERJ917698:ERO917719 EHN917698:EHS917719 DXR917698:DXW917719 DNV917698:DOA917719 DDZ917698:DEE917719 CUD917698:CUI917719 CKH917698:CKM917719 CAL917698:CAQ917719 BQP917698:BQU917719 BGT917698:BGY917719 AWX917698:AXC917719 ANB917698:ANG917719 ADF917698:ADK917719 TJ917698:TO917719 JN917698:JS917719 J917722:O917743 WVZ852162:WWE852183 WMD852162:WMI852183 WCH852162:WCM852183 VSL852162:VSQ852183 VIP852162:VIU852183 UYT852162:UYY852183 UOX852162:UPC852183 UFB852162:UFG852183 TVF852162:TVK852183 TLJ852162:TLO852183 TBN852162:TBS852183 SRR852162:SRW852183 SHV852162:SIA852183 RXZ852162:RYE852183 ROD852162:ROI852183 REH852162:REM852183 QUL852162:QUQ852183 QKP852162:QKU852183 QAT852162:QAY852183 PQX852162:PRC852183 PHB852162:PHG852183 OXF852162:OXK852183 ONJ852162:ONO852183 ODN852162:ODS852183 NTR852162:NTW852183 NJV852162:NKA852183 MZZ852162:NAE852183 MQD852162:MQI852183 MGH852162:MGM852183 LWL852162:LWQ852183 LMP852162:LMU852183 LCT852162:LCY852183 KSX852162:KTC852183 KJB852162:KJG852183 JZF852162:JZK852183 JPJ852162:JPO852183 JFN852162:JFS852183 IVR852162:IVW852183 ILV852162:IMA852183 IBZ852162:ICE852183 HSD852162:HSI852183 HIH852162:HIM852183 GYL852162:GYQ852183 GOP852162:GOU852183 GET852162:GEY852183 FUX852162:FVC852183 FLB852162:FLG852183 FBF852162:FBK852183 ERJ852162:ERO852183 EHN852162:EHS852183 DXR852162:DXW852183 DNV852162:DOA852183 DDZ852162:DEE852183 CUD852162:CUI852183 CKH852162:CKM852183 CAL852162:CAQ852183 BQP852162:BQU852183 BGT852162:BGY852183 AWX852162:AXC852183 ANB852162:ANG852183 ADF852162:ADK852183 TJ852162:TO852183 JN852162:JS852183 J852186:O852207 WVZ786626:WWE786647 WMD786626:WMI786647 WCH786626:WCM786647 VSL786626:VSQ786647 VIP786626:VIU786647 UYT786626:UYY786647 UOX786626:UPC786647 UFB786626:UFG786647 TVF786626:TVK786647 TLJ786626:TLO786647 TBN786626:TBS786647 SRR786626:SRW786647 SHV786626:SIA786647 RXZ786626:RYE786647 ROD786626:ROI786647 REH786626:REM786647 QUL786626:QUQ786647 QKP786626:QKU786647 QAT786626:QAY786647 PQX786626:PRC786647 PHB786626:PHG786647 OXF786626:OXK786647 ONJ786626:ONO786647 ODN786626:ODS786647 NTR786626:NTW786647 NJV786626:NKA786647 MZZ786626:NAE786647 MQD786626:MQI786647 MGH786626:MGM786647 LWL786626:LWQ786647 LMP786626:LMU786647 LCT786626:LCY786647 KSX786626:KTC786647 KJB786626:KJG786647 JZF786626:JZK786647 JPJ786626:JPO786647 JFN786626:JFS786647 IVR786626:IVW786647 ILV786626:IMA786647 IBZ786626:ICE786647 HSD786626:HSI786647 HIH786626:HIM786647 GYL786626:GYQ786647 GOP786626:GOU786647 GET786626:GEY786647 FUX786626:FVC786647 FLB786626:FLG786647 FBF786626:FBK786647 ERJ786626:ERO786647 EHN786626:EHS786647 DXR786626:DXW786647 DNV786626:DOA786647 DDZ786626:DEE786647 CUD786626:CUI786647 CKH786626:CKM786647 CAL786626:CAQ786647 BQP786626:BQU786647 BGT786626:BGY786647 AWX786626:AXC786647 ANB786626:ANG786647 ADF786626:ADK786647 TJ786626:TO786647 JN786626:JS786647 J786650:O786671 WVZ721090:WWE721111 WMD721090:WMI721111 WCH721090:WCM721111 VSL721090:VSQ721111 VIP721090:VIU721111 UYT721090:UYY721111 UOX721090:UPC721111 UFB721090:UFG721111 TVF721090:TVK721111 TLJ721090:TLO721111 TBN721090:TBS721111 SRR721090:SRW721111 SHV721090:SIA721111 RXZ721090:RYE721111 ROD721090:ROI721111 REH721090:REM721111 QUL721090:QUQ721111 QKP721090:QKU721111 QAT721090:QAY721111 PQX721090:PRC721111 PHB721090:PHG721111 OXF721090:OXK721111 ONJ721090:ONO721111 ODN721090:ODS721111 NTR721090:NTW721111 NJV721090:NKA721111 MZZ721090:NAE721111 MQD721090:MQI721111 MGH721090:MGM721111 LWL721090:LWQ721111 LMP721090:LMU721111 LCT721090:LCY721111 KSX721090:KTC721111 KJB721090:KJG721111 JZF721090:JZK721111 JPJ721090:JPO721111 JFN721090:JFS721111 IVR721090:IVW721111 ILV721090:IMA721111 IBZ721090:ICE721111 HSD721090:HSI721111 HIH721090:HIM721111 GYL721090:GYQ721111 GOP721090:GOU721111 GET721090:GEY721111 FUX721090:FVC721111 FLB721090:FLG721111 FBF721090:FBK721111 ERJ721090:ERO721111 EHN721090:EHS721111 DXR721090:DXW721111 DNV721090:DOA721111 DDZ721090:DEE721111 CUD721090:CUI721111 CKH721090:CKM721111 CAL721090:CAQ721111 BQP721090:BQU721111 BGT721090:BGY721111 AWX721090:AXC721111 ANB721090:ANG721111 ADF721090:ADK721111 TJ721090:TO721111 JN721090:JS721111 J721114:O721135 WVZ655554:WWE655575 WMD655554:WMI655575 WCH655554:WCM655575 VSL655554:VSQ655575 VIP655554:VIU655575 UYT655554:UYY655575 UOX655554:UPC655575 UFB655554:UFG655575 TVF655554:TVK655575 TLJ655554:TLO655575 TBN655554:TBS655575 SRR655554:SRW655575 SHV655554:SIA655575 RXZ655554:RYE655575 ROD655554:ROI655575 REH655554:REM655575 QUL655554:QUQ655575 QKP655554:QKU655575 QAT655554:QAY655575 PQX655554:PRC655575 PHB655554:PHG655575 OXF655554:OXK655575 ONJ655554:ONO655575 ODN655554:ODS655575 NTR655554:NTW655575 NJV655554:NKA655575 MZZ655554:NAE655575 MQD655554:MQI655575 MGH655554:MGM655575 LWL655554:LWQ655575 LMP655554:LMU655575 LCT655554:LCY655575 KSX655554:KTC655575 KJB655554:KJG655575 JZF655554:JZK655575 JPJ655554:JPO655575 JFN655554:JFS655575 IVR655554:IVW655575 ILV655554:IMA655575 IBZ655554:ICE655575 HSD655554:HSI655575 HIH655554:HIM655575 GYL655554:GYQ655575 GOP655554:GOU655575 GET655554:GEY655575 FUX655554:FVC655575 FLB655554:FLG655575 FBF655554:FBK655575 ERJ655554:ERO655575 EHN655554:EHS655575 DXR655554:DXW655575 DNV655554:DOA655575 DDZ655554:DEE655575 CUD655554:CUI655575 CKH655554:CKM655575 CAL655554:CAQ655575 BQP655554:BQU655575 BGT655554:BGY655575 AWX655554:AXC655575 ANB655554:ANG655575 ADF655554:ADK655575 TJ655554:TO655575 JN655554:JS655575 J655578:O655599 WVZ590018:WWE590039 WMD590018:WMI590039 WCH590018:WCM590039 VSL590018:VSQ590039 VIP590018:VIU590039 UYT590018:UYY590039 UOX590018:UPC590039 UFB590018:UFG590039 TVF590018:TVK590039 TLJ590018:TLO590039 TBN590018:TBS590039 SRR590018:SRW590039 SHV590018:SIA590039 RXZ590018:RYE590039 ROD590018:ROI590039 REH590018:REM590039 QUL590018:QUQ590039 QKP590018:QKU590039 QAT590018:QAY590039 PQX590018:PRC590039 PHB590018:PHG590039 OXF590018:OXK590039 ONJ590018:ONO590039 ODN590018:ODS590039 NTR590018:NTW590039 NJV590018:NKA590039 MZZ590018:NAE590039 MQD590018:MQI590039 MGH590018:MGM590039 LWL590018:LWQ590039 LMP590018:LMU590039 LCT590018:LCY590039 KSX590018:KTC590039 KJB590018:KJG590039 JZF590018:JZK590039 JPJ590018:JPO590039 JFN590018:JFS590039 IVR590018:IVW590039 ILV590018:IMA590039 IBZ590018:ICE590039 HSD590018:HSI590039 HIH590018:HIM590039 GYL590018:GYQ590039 GOP590018:GOU590039 GET590018:GEY590039 FUX590018:FVC590039 FLB590018:FLG590039 FBF590018:FBK590039 ERJ590018:ERO590039 EHN590018:EHS590039 DXR590018:DXW590039 DNV590018:DOA590039 DDZ590018:DEE590039 CUD590018:CUI590039 CKH590018:CKM590039 CAL590018:CAQ590039 BQP590018:BQU590039 BGT590018:BGY590039 AWX590018:AXC590039 ANB590018:ANG590039 ADF590018:ADK590039 TJ590018:TO590039 JN590018:JS590039 J590042:O590063 WVZ524482:WWE524503 WMD524482:WMI524503 WCH524482:WCM524503 VSL524482:VSQ524503 VIP524482:VIU524503 UYT524482:UYY524503 UOX524482:UPC524503 UFB524482:UFG524503 TVF524482:TVK524503 TLJ524482:TLO524503 TBN524482:TBS524503 SRR524482:SRW524503 SHV524482:SIA524503 RXZ524482:RYE524503 ROD524482:ROI524503 REH524482:REM524503 QUL524482:QUQ524503 QKP524482:QKU524503 QAT524482:QAY524503 PQX524482:PRC524503 PHB524482:PHG524503 OXF524482:OXK524503 ONJ524482:ONO524503 ODN524482:ODS524503 NTR524482:NTW524503 NJV524482:NKA524503 MZZ524482:NAE524503 MQD524482:MQI524503 MGH524482:MGM524503 LWL524482:LWQ524503 LMP524482:LMU524503 LCT524482:LCY524503 KSX524482:KTC524503 KJB524482:KJG524503 JZF524482:JZK524503 JPJ524482:JPO524503 JFN524482:JFS524503 IVR524482:IVW524503 ILV524482:IMA524503 IBZ524482:ICE524503 HSD524482:HSI524503 HIH524482:HIM524503 GYL524482:GYQ524503 GOP524482:GOU524503 GET524482:GEY524503 FUX524482:FVC524503 FLB524482:FLG524503 FBF524482:FBK524503 ERJ524482:ERO524503 EHN524482:EHS524503 DXR524482:DXW524503 DNV524482:DOA524503 DDZ524482:DEE524503 CUD524482:CUI524503 CKH524482:CKM524503 CAL524482:CAQ524503 BQP524482:BQU524503 BGT524482:BGY524503 AWX524482:AXC524503 ANB524482:ANG524503 ADF524482:ADK524503 TJ524482:TO524503 JN524482:JS524503 J524506:O524527 WVZ458946:WWE458967 WMD458946:WMI458967 WCH458946:WCM458967 VSL458946:VSQ458967 VIP458946:VIU458967 UYT458946:UYY458967 UOX458946:UPC458967 UFB458946:UFG458967 TVF458946:TVK458967 TLJ458946:TLO458967 TBN458946:TBS458967 SRR458946:SRW458967 SHV458946:SIA458967 RXZ458946:RYE458967 ROD458946:ROI458967 REH458946:REM458967 QUL458946:QUQ458967 QKP458946:QKU458967 QAT458946:QAY458967 PQX458946:PRC458967 PHB458946:PHG458967 OXF458946:OXK458967 ONJ458946:ONO458967 ODN458946:ODS458967 NTR458946:NTW458967 NJV458946:NKA458967 MZZ458946:NAE458967 MQD458946:MQI458967 MGH458946:MGM458967 LWL458946:LWQ458967 LMP458946:LMU458967 LCT458946:LCY458967 KSX458946:KTC458967 KJB458946:KJG458967 JZF458946:JZK458967 JPJ458946:JPO458967 JFN458946:JFS458967 IVR458946:IVW458967 ILV458946:IMA458967 IBZ458946:ICE458967 HSD458946:HSI458967 HIH458946:HIM458967 GYL458946:GYQ458967 GOP458946:GOU458967 GET458946:GEY458967 FUX458946:FVC458967 FLB458946:FLG458967 FBF458946:FBK458967 ERJ458946:ERO458967 EHN458946:EHS458967 DXR458946:DXW458967 DNV458946:DOA458967 DDZ458946:DEE458967 CUD458946:CUI458967 CKH458946:CKM458967 CAL458946:CAQ458967 BQP458946:BQU458967 BGT458946:BGY458967 AWX458946:AXC458967 ANB458946:ANG458967 ADF458946:ADK458967 TJ458946:TO458967 JN458946:JS458967 J458970:O458991 WVZ393410:WWE393431 WMD393410:WMI393431 WCH393410:WCM393431 VSL393410:VSQ393431 VIP393410:VIU393431 UYT393410:UYY393431 UOX393410:UPC393431 UFB393410:UFG393431 TVF393410:TVK393431 TLJ393410:TLO393431 TBN393410:TBS393431 SRR393410:SRW393431 SHV393410:SIA393431 RXZ393410:RYE393431 ROD393410:ROI393431 REH393410:REM393431 QUL393410:QUQ393431 QKP393410:QKU393431 QAT393410:QAY393431 PQX393410:PRC393431 PHB393410:PHG393431 OXF393410:OXK393431 ONJ393410:ONO393431 ODN393410:ODS393431 NTR393410:NTW393431 NJV393410:NKA393431 MZZ393410:NAE393431 MQD393410:MQI393431 MGH393410:MGM393431 LWL393410:LWQ393431 LMP393410:LMU393431 LCT393410:LCY393431 KSX393410:KTC393431 KJB393410:KJG393431 JZF393410:JZK393431 JPJ393410:JPO393431 JFN393410:JFS393431 IVR393410:IVW393431 ILV393410:IMA393431 IBZ393410:ICE393431 HSD393410:HSI393431 HIH393410:HIM393431 GYL393410:GYQ393431 GOP393410:GOU393431 GET393410:GEY393431 FUX393410:FVC393431 FLB393410:FLG393431 FBF393410:FBK393431 ERJ393410:ERO393431 EHN393410:EHS393431 DXR393410:DXW393431 DNV393410:DOA393431 DDZ393410:DEE393431 CUD393410:CUI393431 CKH393410:CKM393431 CAL393410:CAQ393431 BQP393410:BQU393431 BGT393410:BGY393431 AWX393410:AXC393431 ANB393410:ANG393431 ADF393410:ADK393431 TJ393410:TO393431 JN393410:JS393431 J393434:O393455 WVZ327874:WWE327895 WMD327874:WMI327895 WCH327874:WCM327895 VSL327874:VSQ327895 VIP327874:VIU327895 UYT327874:UYY327895 UOX327874:UPC327895 UFB327874:UFG327895 TVF327874:TVK327895 TLJ327874:TLO327895 TBN327874:TBS327895 SRR327874:SRW327895 SHV327874:SIA327895 RXZ327874:RYE327895 ROD327874:ROI327895 REH327874:REM327895 QUL327874:QUQ327895 QKP327874:QKU327895 QAT327874:QAY327895 PQX327874:PRC327895 PHB327874:PHG327895 OXF327874:OXK327895 ONJ327874:ONO327895 ODN327874:ODS327895 NTR327874:NTW327895 NJV327874:NKA327895 MZZ327874:NAE327895 MQD327874:MQI327895 MGH327874:MGM327895 LWL327874:LWQ327895 LMP327874:LMU327895 LCT327874:LCY327895 KSX327874:KTC327895 KJB327874:KJG327895 JZF327874:JZK327895 JPJ327874:JPO327895 JFN327874:JFS327895 IVR327874:IVW327895 ILV327874:IMA327895 IBZ327874:ICE327895 HSD327874:HSI327895 HIH327874:HIM327895 GYL327874:GYQ327895 GOP327874:GOU327895 GET327874:GEY327895 FUX327874:FVC327895 FLB327874:FLG327895 FBF327874:FBK327895 ERJ327874:ERO327895 EHN327874:EHS327895 DXR327874:DXW327895 DNV327874:DOA327895 DDZ327874:DEE327895 CUD327874:CUI327895 CKH327874:CKM327895 CAL327874:CAQ327895 BQP327874:BQU327895 BGT327874:BGY327895 AWX327874:AXC327895 ANB327874:ANG327895 ADF327874:ADK327895 TJ327874:TO327895 JN327874:JS327895 J327898:O327919 WVZ262338:WWE262359 WMD262338:WMI262359 WCH262338:WCM262359 VSL262338:VSQ262359 VIP262338:VIU262359 UYT262338:UYY262359 UOX262338:UPC262359 UFB262338:UFG262359 TVF262338:TVK262359 TLJ262338:TLO262359 TBN262338:TBS262359 SRR262338:SRW262359 SHV262338:SIA262359 RXZ262338:RYE262359 ROD262338:ROI262359 REH262338:REM262359 QUL262338:QUQ262359 QKP262338:QKU262359 QAT262338:QAY262359 PQX262338:PRC262359 PHB262338:PHG262359 OXF262338:OXK262359 ONJ262338:ONO262359 ODN262338:ODS262359 NTR262338:NTW262359 NJV262338:NKA262359 MZZ262338:NAE262359 MQD262338:MQI262359 MGH262338:MGM262359 LWL262338:LWQ262359 LMP262338:LMU262359 LCT262338:LCY262359 KSX262338:KTC262359 KJB262338:KJG262359 JZF262338:JZK262359 JPJ262338:JPO262359 JFN262338:JFS262359 IVR262338:IVW262359 ILV262338:IMA262359 IBZ262338:ICE262359 HSD262338:HSI262359 HIH262338:HIM262359 GYL262338:GYQ262359 GOP262338:GOU262359 GET262338:GEY262359 FUX262338:FVC262359 FLB262338:FLG262359 FBF262338:FBK262359 ERJ262338:ERO262359 EHN262338:EHS262359 DXR262338:DXW262359 DNV262338:DOA262359 DDZ262338:DEE262359 CUD262338:CUI262359 CKH262338:CKM262359 CAL262338:CAQ262359 BQP262338:BQU262359 BGT262338:BGY262359 AWX262338:AXC262359 ANB262338:ANG262359 ADF262338:ADK262359 TJ262338:TO262359 JN262338:JS262359 J262362:O262383 WVZ196802:WWE196823 WMD196802:WMI196823 WCH196802:WCM196823 VSL196802:VSQ196823 VIP196802:VIU196823 UYT196802:UYY196823 UOX196802:UPC196823 UFB196802:UFG196823 TVF196802:TVK196823 TLJ196802:TLO196823 TBN196802:TBS196823 SRR196802:SRW196823 SHV196802:SIA196823 RXZ196802:RYE196823 ROD196802:ROI196823 REH196802:REM196823 QUL196802:QUQ196823 QKP196802:QKU196823 QAT196802:QAY196823 PQX196802:PRC196823 PHB196802:PHG196823 OXF196802:OXK196823 ONJ196802:ONO196823 ODN196802:ODS196823 NTR196802:NTW196823 NJV196802:NKA196823 MZZ196802:NAE196823 MQD196802:MQI196823 MGH196802:MGM196823 LWL196802:LWQ196823 LMP196802:LMU196823 LCT196802:LCY196823 KSX196802:KTC196823 KJB196802:KJG196823 JZF196802:JZK196823 JPJ196802:JPO196823 JFN196802:JFS196823 IVR196802:IVW196823 ILV196802:IMA196823 IBZ196802:ICE196823 HSD196802:HSI196823 HIH196802:HIM196823 GYL196802:GYQ196823 GOP196802:GOU196823 GET196802:GEY196823 FUX196802:FVC196823 FLB196802:FLG196823 FBF196802:FBK196823 ERJ196802:ERO196823 EHN196802:EHS196823 DXR196802:DXW196823 DNV196802:DOA196823 DDZ196802:DEE196823 CUD196802:CUI196823 CKH196802:CKM196823 CAL196802:CAQ196823 BQP196802:BQU196823 BGT196802:BGY196823 AWX196802:AXC196823 ANB196802:ANG196823 ADF196802:ADK196823 TJ196802:TO196823 JN196802:JS196823 J196826:O196847 WVZ131266:WWE131287 WMD131266:WMI131287 WCH131266:WCM131287 VSL131266:VSQ131287 VIP131266:VIU131287 UYT131266:UYY131287 UOX131266:UPC131287 UFB131266:UFG131287 TVF131266:TVK131287 TLJ131266:TLO131287 TBN131266:TBS131287 SRR131266:SRW131287 SHV131266:SIA131287 RXZ131266:RYE131287 ROD131266:ROI131287 REH131266:REM131287 QUL131266:QUQ131287 QKP131266:QKU131287 QAT131266:QAY131287 PQX131266:PRC131287 PHB131266:PHG131287 OXF131266:OXK131287 ONJ131266:ONO131287 ODN131266:ODS131287 NTR131266:NTW131287 NJV131266:NKA131287 MZZ131266:NAE131287 MQD131266:MQI131287 MGH131266:MGM131287 LWL131266:LWQ131287 LMP131266:LMU131287 LCT131266:LCY131287 KSX131266:KTC131287 KJB131266:KJG131287 JZF131266:JZK131287 JPJ131266:JPO131287 JFN131266:JFS131287 IVR131266:IVW131287 ILV131266:IMA131287 IBZ131266:ICE131287 HSD131266:HSI131287 HIH131266:HIM131287 GYL131266:GYQ131287 GOP131266:GOU131287 GET131266:GEY131287 FUX131266:FVC131287 FLB131266:FLG131287 FBF131266:FBK131287 ERJ131266:ERO131287 EHN131266:EHS131287 DXR131266:DXW131287 DNV131266:DOA131287 DDZ131266:DEE131287 CUD131266:CUI131287 CKH131266:CKM131287 CAL131266:CAQ131287 BQP131266:BQU131287 BGT131266:BGY131287 AWX131266:AXC131287 ANB131266:ANG131287 ADF131266:ADK131287 TJ131266:TO131287 JN131266:JS131287 J131290:O131311 WVZ65730:WWE65751 WMD65730:WMI65751 WCH65730:WCM65751 VSL65730:VSQ65751 VIP65730:VIU65751 UYT65730:UYY65751 UOX65730:UPC65751 UFB65730:UFG65751 TVF65730:TVK65751 TLJ65730:TLO65751 TBN65730:TBS65751 SRR65730:SRW65751 SHV65730:SIA65751 RXZ65730:RYE65751 ROD65730:ROI65751 REH65730:REM65751 QUL65730:QUQ65751 QKP65730:QKU65751 QAT65730:QAY65751 PQX65730:PRC65751 PHB65730:PHG65751 OXF65730:OXK65751 ONJ65730:ONO65751 ODN65730:ODS65751 NTR65730:NTW65751 NJV65730:NKA65751 MZZ65730:NAE65751 MQD65730:MQI65751 MGH65730:MGM65751 LWL65730:LWQ65751 LMP65730:LMU65751 LCT65730:LCY65751 KSX65730:KTC65751 KJB65730:KJG65751 JZF65730:JZK65751 JPJ65730:JPO65751 JFN65730:JFS65751 IVR65730:IVW65751 ILV65730:IMA65751 IBZ65730:ICE65751 HSD65730:HSI65751 HIH65730:HIM65751 GYL65730:GYQ65751 GOP65730:GOU65751 GET65730:GEY65751 FUX65730:FVC65751 FLB65730:FLG65751 FBF65730:FBK65751 ERJ65730:ERO65751 EHN65730:EHS65751 DXR65730:DXW65751 DNV65730:DOA65751 DDZ65730:DEE65751 CUD65730:CUI65751 CKH65730:CKM65751 CAL65730:CAQ65751 BQP65730:BQU65751 BGT65730:BGY65751 AWX65730:AXC65751 ANB65730:ANG65751 ADF65730:ADK65751 TJ65730:TO65751 JN65730:JS65751 J65754:O65775 WWN983234:WWU983255 WMR983234:WMY983255 WCV983234:WDC983255 VSZ983234:VTG983255 VJD983234:VJK983255 UZH983234:UZO983255 UPL983234:UPS983255 UFP983234:UFW983255 TVT983234:TWA983255 TLX983234:TME983255 TCB983234:TCI983255 SSF983234:SSM983255 SIJ983234:SIQ983255 RYN983234:RYU983255 ROR983234:ROY983255 REV983234:RFC983255 QUZ983234:QVG983255 QLD983234:QLK983255 QBH983234:QBO983255 PRL983234:PRS983255 PHP983234:PHW983255 OXT983234:OYA983255 ONX983234:OOE983255 OEB983234:OEI983255 NUF983234:NUM983255 NKJ983234:NKQ983255 NAN983234:NAU983255 MQR983234:MQY983255 MGV983234:MHC983255 LWZ983234:LXG983255 LND983234:LNK983255 LDH983234:LDO983255 KTL983234:KTS983255 KJP983234:KJW983255 JZT983234:KAA983255 JPX983234:JQE983255 JGB983234:JGI983255 IWF983234:IWM983255 IMJ983234:IMQ983255 ICN983234:ICU983255 HSR983234:HSY983255 HIV983234:HJC983255 GYZ983234:GZG983255 GPD983234:GPK983255 GFH983234:GFO983255 FVL983234:FVS983255 FLP983234:FLW983255 FBT983234:FCA983255 ERX983234:ESE983255 EIB983234:EII983255 DYF983234:DYM983255 DOJ983234:DOQ983255 DEN983234:DEU983255 CUR983234:CUY983255 CKV983234:CLC983255 CAZ983234:CBG983255 BRD983234:BRK983255 BHH983234:BHO983255 AXL983234:AXS983255 ANP983234:ANW983255 ADT983234:AEA983255 TX983234:UE983255 KB983234:KI983255 X983258:AE983279 WWN917698:WWU917719 WMR917698:WMY917719 WCV917698:WDC917719 VSZ917698:VTG917719 VJD917698:VJK917719 UZH917698:UZO917719 UPL917698:UPS917719 UFP917698:UFW917719 TVT917698:TWA917719 TLX917698:TME917719 TCB917698:TCI917719 SSF917698:SSM917719 SIJ917698:SIQ917719 RYN917698:RYU917719 ROR917698:ROY917719 REV917698:RFC917719 QUZ917698:QVG917719 QLD917698:QLK917719 QBH917698:QBO917719 PRL917698:PRS917719 PHP917698:PHW917719 OXT917698:OYA917719 ONX917698:OOE917719 OEB917698:OEI917719 NUF917698:NUM917719 NKJ917698:NKQ917719 NAN917698:NAU917719 MQR917698:MQY917719 MGV917698:MHC917719 LWZ917698:LXG917719 LND917698:LNK917719 LDH917698:LDO917719 KTL917698:KTS917719 KJP917698:KJW917719 JZT917698:KAA917719 JPX917698:JQE917719 JGB917698:JGI917719 IWF917698:IWM917719 IMJ917698:IMQ917719 ICN917698:ICU917719 HSR917698:HSY917719 HIV917698:HJC917719 GYZ917698:GZG917719 GPD917698:GPK917719 GFH917698:GFO917719 FVL917698:FVS917719 FLP917698:FLW917719 FBT917698:FCA917719 ERX917698:ESE917719 EIB917698:EII917719 DYF917698:DYM917719 DOJ917698:DOQ917719 DEN917698:DEU917719 CUR917698:CUY917719 CKV917698:CLC917719 CAZ917698:CBG917719 BRD917698:BRK917719 BHH917698:BHO917719 AXL917698:AXS917719 ANP917698:ANW917719 ADT917698:AEA917719 TX917698:UE917719 KB917698:KI917719 X917722:AE917743 WWN852162:WWU852183 WMR852162:WMY852183 WCV852162:WDC852183 VSZ852162:VTG852183 VJD852162:VJK852183 UZH852162:UZO852183 UPL852162:UPS852183 UFP852162:UFW852183 TVT852162:TWA852183 TLX852162:TME852183 TCB852162:TCI852183 SSF852162:SSM852183 SIJ852162:SIQ852183 RYN852162:RYU852183 ROR852162:ROY852183 REV852162:RFC852183 QUZ852162:QVG852183 QLD852162:QLK852183 QBH852162:QBO852183 PRL852162:PRS852183 PHP852162:PHW852183 OXT852162:OYA852183 ONX852162:OOE852183 OEB852162:OEI852183 NUF852162:NUM852183 NKJ852162:NKQ852183 NAN852162:NAU852183 MQR852162:MQY852183 MGV852162:MHC852183 LWZ852162:LXG852183 LND852162:LNK852183 LDH852162:LDO852183 KTL852162:KTS852183 KJP852162:KJW852183 JZT852162:KAA852183 JPX852162:JQE852183 JGB852162:JGI852183 IWF852162:IWM852183 IMJ852162:IMQ852183 ICN852162:ICU852183 HSR852162:HSY852183 HIV852162:HJC852183 GYZ852162:GZG852183 GPD852162:GPK852183 GFH852162:GFO852183 FVL852162:FVS852183 FLP852162:FLW852183 FBT852162:FCA852183 ERX852162:ESE852183 EIB852162:EII852183 DYF852162:DYM852183 DOJ852162:DOQ852183 DEN852162:DEU852183 CUR852162:CUY852183 CKV852162:CLC852183 CAZ852162:CBG852183 BRD852162:BRK852183 BHH852162:BHO852183 AXL852162:AXS852183 ANP852162:ANW852183 ADT852162:AEA852183 TX852162:UE852183 KB852162:KI852183 X852186:AE852207 WWN786626:WWU786647 WMR786626:WMY786647 WCV786626:WDC786647 VSZ786626:VTG786647 VJD786626:VJK786647 UZH786626:UZO786647 UPL786626:UPS786647 UFP786626:UFW786647 TVT786626:TWA786647 TLX786626:TME786647 TCB786626:TCI786647 SSF786626:SSM786647 SIJ786626:SIQ786647 RYN786626:RYU786647 ROR786626:ROY786647 REV786626:RFC786647 QUZ786626:QVG786647 QLD786626:QLK786647 QBH786626:QBO786647 PRL786626:PRS786647 PHP786626:PHW786647 OXT786626:OYA786647 ONX786626:OOE786647 OEB786626:OEI786647 NUF786626:NUM786647 NKJ786626:NKQ786647 NAN786626:NAU786647 MQR786626:MQY786647 MGV786626:MHC786647 LWZ786626:LXG786647 LND786626:LNK786647 LDH786626:LDO786647 KTL786626:KTS786647 KJP786626:KJW786647 JZT786626:KAA786647 JPX786626:JQE786647 JGB786626:JGI786647 IWF786626:IWM786647 IMJ786626:IMQ786647 ICN786626:ICU786647 HSR786626:HSY786647 HIV786626:HJC786647 GYZ786626:GZG786647 GPD786626:GPK786647 GFH786626:GFO786647 FVL786626:FVS786647 FLP786626:FLW786647 FBT786626:FCA786647 ERX786626:ESE786647 EIB786626:EII786647 DYF786626:DYM786647 DOJ786626:DOQ786647 DEN786626:DEU786647 CUR786626:CUY786647 CKV786626:CLC786647 CAZ786626:CBG786647 BRD786626:BRK786647 BHH786626:BHO786647 AXL786626:AXS786647 ANP786626:ANW786647 ADT786626:AEA786647 TX786626:UE786647 KB786626:KI786647 X786650:AE786671 WWN721090:WWU721111 WMR721090:WMY721111 WCV721090:WDC721111 VSZ721090:VTG721111 VJD721090:VJK721111 UZH721090:UZO721111 UPL721090:UPS721111 UFP721090:UFW721111 TVT721090:TWA721111 TLX721090:TME721111 TCB721090:TCI721111 SSF721090:SSM721111 SIJ721090:SIQ721111 RYN721090:RYU721111 ROR721090:ROY721111 REV721090:RFC721111 QUZ721090:QVG721111 QLD721090:QLK721111 QBH721090:QBO721111 PRL721090:PRS721111 PHP721090:PHW721111 OXT721090:OYA721111 ONX721090:OOE721111 OEB721090:OEI721111 NUF721090:NUM721111 NKJ721090:NKQ721111 NAN721090:NAU721111 MQR721090:MQY721111 MGV721090:MHC721111 LWZ721090:LXG721111 LND721090:LNK721111 LDH721090:LDO721111 KTL721090:KTS721111 KJP721090:KJW721111 JZT721090:KAA721111 JPX721090:JQE721111 JGB721090:JGI721111 IWF721090:IWM721111 IMJ721090:IMQ721111 ICN721090:ICU721111 HSR721090:HSY721111 HIV721090:HJC721111 GYZ721090:GZG721111 GPD721090:GPK721111 GFH721090:GFO721111 FVL721090:FVS721111 FLP721090:FLW721111 FBT721090:FCA721111 ERX721090:ESE721111 EIB721090:EII721111 DYF721090:DYM721111 DOJ721090:DOQ721111 DEN721090:DEU721111 CUR721090:CUY721111 CKV721090:CLC721111 CAZ721090:CBG721111 BRD721090:BRK721111 BHH721090:BHO721111 AXL721090:AXS721111 ANP721090:ANW721111 ADT721090:AEA721111 TX721090:UE721111 KB721090:KI721111 X721114:AE721135 WWN655554:WWU655575 WMR655554:WMY655575 WCV655554:WDC655575 VSZ655554:VTG655575 VJD655554:VJK655575 UZH655554:UZO655575 UPL655554:UPS655575 UFP655554:UFW655575 TVT655554:TWA655575 TLX655554:TME655575 TCB655554:TCI655575 SSF655554:SSM655575 SIJ655554:SIQ655575 RYN655554:RYU655575 ROR655554:ROY655575 REV655554:RFC655575 QUZ655554:QVG655575 QLD655554:QLK655575 QBH655554:QBO655575 PRL655554:PRS655575 PHP655554:PHW655575 OXT655554:OYA655575 ONX655554:OOE655575 OEB655554:OEI655575 NUF655554:NUM655575 NKJ655554:NKQ655575 NAN655554:NAU655575 MQR655554:MQY655575 MGV655554:MHC655575 LWZ655554:LXG655575 LND655554:LNK655575 LDH655554:LDO655575 KTL655554:KTS655575 KJP655554:KJW655575 JZT655554:KAA655575 JPX655554:JQE655575 JGB655554:JGI655575 IWF655554:IWM655575 IMJ655554:IMQ655575 ICN655554:ICU655575 HSR655554:HSY655575 HIV655554:HJC655575 GYZ655554:GZG655575 GPD655554:GPK655575 GFH655554:GFO655575 FVL655554:FVS655575 FLP655554:FLW655575 FBT655554:FCA655575 ERX655554:ESE655575 EIB655554:EII655575 DYF655554:DYM655575 DOJ655554:DOQ655575 DEN655554:DEU655575 CUR655554:CUY655575 CKV655554:CLC655575 CAZ655554:CBG655575 BRD655554:BRK655575 BHH655554:BHO655575 AXL655554:AXS655575 ANP655554:ANW655575 ADT655554:AEA655575 TX655554:UE655575 KB655554:KI655575 X655578:AE655599 WWN590018:WWU590039 WMR590018:WMY590039 WCV590018:WDC590039 VSZ590018:VTG590039 VJD590018:VJK590039 UZH590018:UZO590039 UPL590018:UPS590039 UFP590018:UFW590039 TVT590018:TWA590039 TLX590018:TME590039 TCB590018:TCI590039 SSF590018:SSM590039 SIJ590018:SIQ590039 RYN590018:RYU590039 ROR590018:ROY590039 REV590018:RFC590039 QUZ590018:QVG590039 QLD590018:QLK590039 QBH590018:QBO590039 PRL590018:PRS590039 PHP590018:PHW590039 OXT590018:OYA590039 ONX590018:OOE590039 OEB590018:OEI590039 NUF590018:NUM590039 NKJ590018:NKQ590039 NAN590018:NAU590039 MQR590018:MQY590039 MGV590018:MHC590039 LWZ590018:LXG590039 LND590018:LNK590039 LDH590018:LDO590039 KTL590018:KTS590039 KJP590018:KJW590039 JZT590018:KAA590039 JPX590018:JQE590039 JGB590018:JGI590039 IWF590018:IWM590039 IMJ590018:IMQ590039 ICN590018:ICU590039 HSR590018:HSY590039 HIV590018:HJC590039 GYZ590018:GZG590039 GPD590018:GPK590039 GFH590018:GFO590039 FVL590018:FVS590039 FLP590018:FLW590039 FBT590018:FCA590039 ERX590018:ESE590039 EIB590018:EII590039 DYF590018:DYM590039 DOJ590018:DOQ590039 DEN590018:DEU590039 CUR590018:CUY590039 CKV590018:CLC590039 CAZ590018:CBG590039 BRD590018:BRK590039 BHH590018:BHO590039 AXL590018:AXS590039 ANP590018:ANW590039 ADT590018:AEA590039 TX590018:UE590039 KB590018:KI590039 X590042:AE590063 WWN524482:WWU524503 WMR524482:WMY524503 WCV524482:WDC524503 VSZ524482:VTG524503 VJD524482:VJK524503 UZH524482:UZO524503 UPL524482:UPS524503 UFP524482:UFW524503 TVT524482:TWA524503 TLX524482:TME524503 TCB524482:TCI524503 SSF524482:SSM524503 SIJ524482:SIQ524503 RYN524482:RYU524503 ROR524482:ROY524503 REV524482:RFC524503 QUZ524482:QVG524503 QLD524482:QLK524503 QBH524482:QBO524503 PRL524482:PRS524503 PHP524482:PHW524503 OXT524482:OYA524503 ONX524482:OOE524503 OEB524482:OEI524503 NUF524482:NUM524503 NKJ524482:NKQ524503 NAN524482:NAU524503 MQR524482:MQY524503 MGV524482:MHC524503 LWZ524482:LXG524503 LND524482:LNK524503 LDH524482:LDO524503 KTL524482:KTS524503 KJP524482:KJW524503 JZT524482:KAA524503 JPX524482:JQE524503 JGB524482:JGI524503 IWF524482:IWM524503 IMJ524482:IMQ524503 ICN524482:ICU524503 HSR524482:HSY524503 HIV524482:HJC524503 GYZ524482:GZG524503 GPD524482:GPK524503 GFH524482:GFO524503 FVL524482:FVS524503 FLP524482:FLW524503 FBT524482:FCA524503 ERX524482:ESE524503 EIB524482:EII524503 DYF524482:DYM524503 DOJ524482:DOQ524503 DEN524482:DEU524503 CUR524482:CUY524503 CKV524482:CLC524503 CAZ524482:CBG524503 BRD524482:BRK524503 BHH524482:BHO524503 AXL524482:AXS524503 ANP524482:ANW524503 ADT524482:AEA524503 TX524482:UE524503 KB524482:KI524503 X524506:AE524527 WWN458946:WWU458967 WMR458946:WMY458967 WCV458946:WDC458967 VSZ458946:VTG458967 VJD458946:VJK458967 UZH458946:UZO458967 UPL458946:UPS458967 UFP458946:UFW458967 TVT458946:TWA458967 TLX458946:TME458967 TCB458946:TCI458967 SSF458946:SSM458967 SIJ458946:SIQ458967 RYN458946:RYU458967 ROR458946:ROY458967 REV458946:RFC458967 QUZ458946:QVG458967 QLD458946:QLK458967 QBH458946:QBO458967 PRL458946:PRS458967 PHP458946:PHW458967 OXT458946:OYA458967 ONX458946:OOE458967 OEB458946:OEI458967 NUF458946:NUM458967 NKJ458946:NKQ458967 NAN458946:NAU458967 MQR458946:MQY458967 MGV458946:MHC458967 LWZ458946:LXG458967 LND458946:LNK458967 LDH458946:LDO458967 KTL458946:KTS458967 KJP458946:KJW458967 JZT458946:KAA458967 JPX458946:JQE458967 JGB458946:JGI458967 IWF458946:IWM458967 IMJ458946:IMQ458967 ICN458946:ICU458967 HSR458946:HSY458967 HIV458946:HJC458967 GYZ458946:GZG458967 GPD458946:GPK458967 GFH458946:GFO458967 FVL458946:FVS458967 FLP458946:FLW458967 FBT458946:FCA458967 ERX458946:ESE458967 EIB458946:EII458967 DYF458946:DYM458967 DOJ458946:DOQ458967 DEN458946:DEU458967 CUR458946:CUY458967 CKV458946:CLC458967 CAZ458946:CBG458967 BRD458946:BRK458967 BHH458946:BHO458967 AXL458946:AXS458967 ANP458946:ANW458967 ADT458946:AEA458967 TX458946:UE458967 KB458946:KI458967 X458970:AE458991 WWN393410:WWU393431 WMR393410:WMY393431 WCV393410:WDC393431 VSZ393410:VTG393431 VJD393410:VJK393431 UZH393410:UZO393431 UPL393410:UPS393431 UFP393410:UFW393431 TVT393410:TWA393431 TLX393410:TME393431 TCB393410:TCI393431 SSF393410:SSM393431 SIJ393410:SIQ393431 RYN393410:RYU393431 ROR393410:ROY393431 REV393410:RFC393431 QUZ393410:QVG393431 QLD393410:QLK393431 QBH393410:QBO393431 PRL393410:PRS393431 PHP393410:PHW393431 OXT393410:OYA393431 ONX393410:OOE393431 OEB393410:OEI393431 NUF393410:NUM393431 NKJ393410:NKQ393431 NAN393410:NAU393431 MQR393410:MQY393431 MGV393410:MHC393431 LWZ393410:LXG393431 LND393410:LNK393431 LDH393410:LDO393431 KTL393410:KTS393431 KJP393410:KJW393431 JZT393410:KAA393431 JPX393410:JQE393431 JGB393410:JGI393431 IWF393410:IWM393431 IMJ393410:IMQ393431 ICN393410:ICU393431 HSR393410:HSY393431 HIV393410:HJC393431 GYZ393410:GZG393431 GPD393410:GPK393431 GFH393410:GFO393431 FVL393410:FVS393431 FLP393410:FLW393431 FBT393410:FCA393431 ERX393410:ESE393431 EIB393410:EII393431 DYF393410:DYM393431 DOJ393410:DOQ393431 DEN393410:DEU393431 CUR393410:CUY393431 CKV393410:CLC393431 CAZ393410:CBG393431 BRD393410:BRK393431 BHH393410:BHO393431 AXL393410:AXS393431 ANP393410:ANW393431 ADT393410:AEA393431 TX393410:UE393431 KB393410:KI393431 X393434:AE393455 WWN327874:WWU327895 WMR327874:WMY327895 WCV327874:WDC327895 VSZ327874:VTG327895 VJD327874:VJK327895 UZH327874:UZO327895 UPL327874:UPS327895 UFP327874:UFW327895 TVT327874:TWA327895 TLX327874:TME327895 TCB327874:TCI327895 SSF327874:SSM327895 SIJ327874:SIQ327895 RYN327874:RYU327895 ROR327874:ROY327895 REV327874:RFC327895 QUZ327874:QVG327895 QLD327874:QLK327895 QBH327874:QBO327895 PRL327874:PRS327895 PHP327874:PHW327895 OXT327874:OYA327895 ONX327874:OOE327895 OEB327874:OEI327895 NUF327874:NUM327895 NKJ327874:NKQ327895 NAN327874:NAU327895 MQR327874:MQY327895 MGV327874:MHC327895 LWZ327874:LXG327895 LND327874:LNK327895 LDH327874:LDO327895 KTL327874:KTS327895 KJP327874:KJW327895 JZT327874:KAA327895 JPX327874:JQE327895 JGB327874:JGI327895 IWF327874:IWM327895 IMJ327874:IMQ327895 ICN327874:ICU327895 HSR327874:HSY327895 HIV327874:HJC327895 GYZ327874:GZG327895 GPD327874:GPK327895 GFH327874:GFO327895 FVL327874:FVS327895 FLP327874:FLW327895 FBT327874:FCA327895 ERX327874:ESE327895 EIB327874:EII327895 DYF327874:DYM327895 DOJ327874:DOQ327895 DEN327874:DEU327895 CUR327874:CUY327895 CKV327874:CLC327895 CAZ327874:CBG327895 BRD327874:BRK327895 BHH327874:BHO327895 AXL327874:AXS327895 ANP327874:ANW327895 ADT327874:AEA327895 TX327874:UE327895 KB327874:KI327895 X327898:AE327919 WWN262338:WWU262359 WMR262338:WMY262359 WCV262338:WDC262359 VSZ262338:VTG262359 VJD262338:VJK262359 UZH262338:UZO262359 UPL262338:UPS262359 UFP262338:UFW262359 TVT262338:TWA262359 TLX262338:TME262359 TCB262338:TCI262359 SSF262338:SSM262359 SIJ262338:SIQ262359 RYN262338:RYU262359 ROR262338:ROY262359 REV262338:RFC262359 QUZ262338:QVG262359 QLD262338:QLK262359 QBH262338:QBO262359 PRL262338:PRS262359 PHP262338:PHW262359 OXT262338:OYA262359 ONX262338:OOE262359 OEB262338:OEI262359 NUF262338:NUM262359 NKJ262338:NKQ262359 NAN262338:NAU262359 MQR262338:MQY262359 MGV262338:MHC262359 LWZ262338:LXG262359 LND262338:LNK262359 LDH262338:LDO262359 KTL262338:KTS262359 KJP262338:KJW262359 JZT262338:KAA262359 JPX262338:JQE262359 JGB262338:JGI262359 IWF262338:IWM262359 IMJ262338:IMQ262359 ICN262338:ICU262359 HSR262338:HSY262359 HIV262338:HJC262359 GYZ262338:GZG262359 GPD262338:GPK262359 GFH262338:GFO262359 FVL262338:FVS262359 FLP262338:FLW262359 FBT262338:FCA262359 ERX262338:ESE262359 EIB262338:EII262359 DYF262338:DYM262359 DOJ262338:DOQ262359 DEN262338:DEU262359 CUR262338:CUY262359 CKV262338:CLC262359 CAZ262338:CBG262359 BRD262338:BRK262359 BHH262338:BHO262359 AXL262338:AXS262359 ANP262338:ANW262359 ADT262338:AEA262359 TX262338:UE262359 KB262338:KI262359 X262362:AE262383 WWN196802:WWU196823 WMR196802:WMY196823 WCV196802:WDC196823 VSZ196802:VTG196823 VJD196802:VJK196823 UZH196802:UZO196823 UPL196802:UPS196823 UFP196802:UFW196823 TVT196802:TWA196823 TLX196802:TME196823 TCB196802:TCI196823 SSF196802:SSM196823 SIJ196802:SIQ196823 RYN196802:RYU196823 ROR196802:ROY196823 REV196802:RFC196823 QUZ196802:QVG196823 QLD196802:QLK196823 QBH196802:QBO196823 PRL196802:PRS196823 PHP196802:PHW196823 OXT196802:OYA196823 ONX196802:OOE196823 OEB196802:OEI196823 NUF196802:NUM196823 NKJ196802:NKQ196823 NAN196802:NAU196823 MQR196802:MQY196823 MGV196802:MHC196823 LWZ196802:LXG196823 LND196802:LNK196823 LDH196802:LDO196823 KTL196802:KTS196823 KJP196802:KJW196823 JZT196802:KAA196823 JPX196802:JQE196823 JGB196802:JGI196823 IWF196802:IWM196823 IMJ196802:IMQ196823 ICN196802:ICU196823 HSR196802:HSY196823 HIV196802:HJC196823 GYZ196802:GZG196823 GPD196802:GPK196823 GFH196802:GFO196823 FVL196802:FVS196823 FLP196802:FLW196823 FBT196802:FCA196823 ERX196802:ESE196823 EIB196802:EII196823 DYF196802:DYM196823 DOJ196802:DOQ196823 DEN196802:DEU196823 CUR196802:CUY196823 CKV196802:CLC196823 CAZ196802:CBG196823 BRD196802:BRK196823 BHH196802:BHO196823 AXL196802:AXS196823 ANP196802:ANW196823 ADT196802:AEA196823 TX196802:UE196823 KB196802:KI196823 X196826:AE196847 WWN131266:WWU131287 WMR131266:WMY131287 WCV131266:WDC131287 VSZ131266:VTG131287 VJD131266:VJK131287 UZH131266:UZO131287 UPL131266:UPS131287 UFP131266:UFW131287 TVT131266:TWA131287 TLX131266:TME131287 TCB131266:TCI131287 SSF131266:SSM131287 SIJ131266:SIQ131287 RYN131266:RYU131287 ROR131266:ROY131287 REV131266:RFC131287 QUZ131266:QVG131287 QLD131266:QLK131287 QBH131266:QBO131287 PRL131266:PRS131287 PHP131266:PHW131287 OXT131266:OYA131287 ONX131266:OOE131287 OEB131266:OEI131287 NUF131266:NUM131287 NKJ131266:NKQ131287 NAN131266:NAU131287 MQR131266:MQY131287 MGV131266:MHC131287 LWZ131266:LXG131287 LND131266:LNK131287 LDH131266:LDO131287 KTL131266:KTS131287 KJP131266:KJW131287 JZT131266:KAA131287 JPX131266:JQE131287 JGB131266:JGI131287 IWF131266:IWM131287 IMJ131266:IMQ131287 ICN131266:ICU131287 HSR131266:HSY131287 HIV131266:HJC131287 GYZ131266:GZG131287 GPD131266:GPK131287 GFH131266:GFO131287 FVL131266:FVS131287 FLP131266:FLW131287 FBT131266:FCA131287 ERX131266:ESE131287 EIB131266:EII131287 DYF131266:DYM131287 DOJ131266:DOQ131287 DEN131266:DEU131287 CUR131266:CUY131287 CKV131266:CLC131287 CAZ131266:CBG131287 BRD131266:BRK131287 BHH131266:BHO131287 AXL131266:AXS131287 ANP131266:ANW131287 ADT131266:AEA131287 TX131266:UE131287 KB131266:KI131287 X131290:AE131311 WWN65730:WWU65751 WMR65730:WMY65751 WCV65730:WDC65751 VSZ65730:VTG65751 VJD65730:VJK65751 UZH65730:UZO65751 UPL65730:UPS65751 UFP65730:UFW65751 TVT65730:TWA65751 TLX65730:TME65751 TCB65730:TCI65751 SSF65730:SSM65751 SIJ65730:SIQ65751 RYN65730:RYU65751 ROR65730:ROY65751 REV65730:RFC65751 QUZ65730:QVG65751 QLD65730:QLK65751 QBH65730:QBO65751 PRL65730:PRS65751 PHP65730:PHW65751 OXT65730:OYA65751 ONX65730:OOE65751 OEB65730:OEI65751 NUF65730:NUM65751 NKJ65730:NKQ65751 NAN65730:NAU65751 MQR65730:MQY65751 MGV65730:MHC65751 LWZ65730:LXG65751 LND65730:LNK65751 LDH65730:LDO65751 KTL65730:KTS65751 KJP65730:KJW65751 JZT65730:KAA65751 JPX65730:JQE65751 JGB65730:JGI65751 IWF65730:IWM65751 IMJ65730:IMQ65751 ICN65730:ICU65751 HSR65730:HSY65751 HIV65730:HJC65751 GYZ65730:GZG65751 GPD65730:GPK65751 GFH65730:GFO65751 FVL65730:FVS65751 FLP65730:FLW65751 FBT65730:FCA65751 ERX65730:ESE65751 EIB65730:EII65751 DYF65730:DYM65751 DOJ65730:DOQ65751 DEN65730:DEU65751 CUR65730:CUY65751 CKV65730:CLC65751 CAZ65730:CBG65751 BRD65730:BRK65751 BHH65730:BHO65751 AXL65730:AXS65751 ANP65730:ANW65751 ADT65730:AEA65751 TX65730:UE65751 KB65730:KI65751 X65754:AE65775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241" max="85" man="1"/>
    <brk id="286" max="8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7CC5F-BD5C-4426-82AA-C846ACF5A5E5}">
  <sheetPr>
    <pageSetUpPr fitToPage="1"/>
  </sheetPr>
  <dimension ref="A1:AK35"/>
  <sheetViews>
    <sheetView showGridLines="0" view="pageBreakPreview" zoomScale="90" zoomScaleNormal="70" zoomScaleSheetLayoutView="90" workbookViewId="0">
      <selection activeCell="AV18" sqref="AV18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37" ht="13.75" customHeight="1">
      <c r="A1" s="965" t="s">
        <v>639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37" ht="13.75" customHeight="1">
      <c r="A2" s="961" t="s">
        <v>640</v>
      </c>
      <c r="B2" s="961"/>
      <c r="C2" s="961"/>
      <c r="D2" s="961"/>
      <c r="E2" s="961"/>
      <c r="F2" s="961"/>
      <c r="G2" s="961"/>
      <c r="H2" s="961"/>
      <c r="I2" s="961"/>
      <c r="J2" s="961"/>
      <c r="K2" s="961"/>
      <c r="L2" s="961"/>
      <c r="M2" s="961"/>
      <c r="N2" s="961"/>
      <c r="O2" s="961"/>
      <c r="P2" s="961"/>
      <c r="Q2" s="961"/>
      <c r="R2" s="961"/>
      <c r="S2" s="961"/>
      <c r="T2" s="961"/>
      <c r="U2" s="961"/>
      <c r="V2" s="961"/>
      <c r="W2" s="961"/>
      <c r="X2" s="961"/>
      <c r="Y2" s="961"/>
      <c r="Z2" s="961"/>
      <c r="AA2" s="961"/>
      <c r="AB2" s="961"/>
      <c r="AC2" s="961"/>
      <c r="AD2" s="961"/>
      <c r="AE2" s="961"/>
      <c r="AF2" s="961"/>
      <c r="AG2" s="961"/>
      <c r="AH2" s="961"/>
      <c r="AI2" s="961"/>
      <c r="AJ2" s="961"/>
    </row>
    <row r="3" spans="1:37" ht="13.75" customHeight="1">
      <c r="A3" s="961"/>
      <c r="B3" s="961"/>
      <c r="C3" s="961"/>
      <c r="D3" s="961"/>
      <c r="E3" s="961"/>
      <c r="F3" s="961"/>
      <c r="G3" s="961"/>
      <c r="H3" s="961"/>
      <c r="I3" s="961"/>
      <c r="J3" s="961"/>
      <c r="K3" s="961"/>
      <c r="L3" s="961"/>
      <c r="M3" s="961"/>
      <c r="N3" s="961"/>
      <c r="O3" s="961"/>
      <c r="P3" s="961"/>
      <c r="Q3" s="961"/>
      <c r="R3" s="961"/>
      <c r="S3" s="961"/>
      <c r="T3" s="961"/>
      <c r="U3" s="961"/>
      <c r="V3" s="961"/>
      <c r="W3" s="961"/>
      <c r="X3" s="961"/>
      <c r="Y3" s="961"/>
      <c r="Z3" s="961"/>
      <c r="AA3" s="961"/>
      <c r="AB3" s="961"/>
      <c r="AC3" s="961"/>
      <c r="AD3" s="961"/>
      <c r="AE3" s="961"/>
      <c r="AF3" s="961"/>
      <c r="AG3" s="961"/>
      <c r="AH3" s="961"/>
      <c r="AI3" s="961"/>
      <c r="AJ3" s="961"/>
    </row>
    <row r="4" spans="1:37" ht="13.75" customHeight="1">
      <c r="A4" s="961"/>
      <c r="B4" s="961"/>
      <c r="C4" s="961"/>
      <c r="D4" s="961"/>
      <c r="E4" s="961"/>
      <c r="F4" s="961"/>
      <c r="G4" s="961"/>
      <c r="H4" s="961"/>
      <c r="I4" s="961"/>
      <c r="J4" s="961"/>
      <c r="K4" s="961"/>
      <c r="L4" s="961"/>
      <c r="M4" s="961"/>
      <c r="N4" s="961"/>
      <c r="O4" s="961"/>
      <c r="P4" s="961"/>
      <c r="Q4" s="961"/>
      <c r="R4" s="961"/>
      <c r="S4" s="961"/>
      <c r="T4" s="961"/>
      <c r="U4" s="961"/>
      <c r="V4" s="961"/>
      <c r="W4" s="961"/>
      <c r="X4" s="961"/>
      <c r="Y4" s="961"/>
      <c r="Z4" s="961"/>
      <c r="AA4" s="961"/>
      <c r="AB4" s="961"/>
      <c r="AC4" s="961"/>
      <c r="AD4" s="961"/>
      <c r="AE4" s="961"/>
      <c r="AF4" s="961"/>
      <c r="AG4" s="961"/>
      <c r="AH4" s="961"/>
      <c r="AI4" s="961"/>
      <c r="AJ4" s="961"/>
    </row>
    <row r="5" spans="1:37" ht="13.75" customHeight="1">
      <c r="A5" s="957" t="s">
        <v>641</v>
      </c>
      <c r="B5" s="957"/>
      <c r="C5" s="957"/>
      <c r="D5" s="957"/>
      <c r="E5" s="957"/>
      <c r="F5" s="957"/>
      <c r="G5" s="957"/>
      <c r="H5" s="957"/>
      <c r="I5" s="957"/>
      <c r="J5" s="961" t="s">
        <v>670</v>
      </c>
      <c r="K5" s="961"/>
      <c r="L5" s="961"/>
      <c r="M5" s="961"/>
      <c r="N5" s="961"/>
      <c r="O5" s="961"/>
      <c r="P5" s="961"/>
      <c r="Q5" s="961"/>
      <c r="R5" s="961"/>
      <c r="S5" s="961"/>
      <c r="T5" s="961"/>
      <c r="U5" s="961"/>
      <c r="V5" s="961"/>
      <c r="W5" s="961"/>
      <c r="X5" s="961"/>
      <c r="Y5" s="961"/>
      <c r="Z5" s="961"/>
      <c r="AA5" s="961"/>
      <c r="AB5" s="961"/>
      <c r="AC5" s="961"/>
      <c r="AD5" s="961"/>
      <c r="AE5" s="961"/>
      <c r="AF5" s="961"/>
      <c r="AG5" s="961"/>
      <c r="AH5" s="961"/>
      <c r="AI5" s="961"/>
      <c r="AJ5" s="961"/>
    </row>
    <row r="6" spans="1:37" ht="13.75" customHeight="1">
      <c r="A6" s="957" t="s">
        <v>642</v>
      </c>
      <c r="B6" s="957"/>
      <c r="C6" s="957"/>
      <c r="D6" s="957"/>
      <c r="E6" s="957"/>
      <c r="F6" s="957"/>
      <c r="G6" s="957"/>
      <c r="H6" s="957"/>
      <c r="I6" s="957"/>
      <c r="J6" s="966" t="s">
        <v>643</v>
      </c>
      <c r="K6" s="966"/>
      <c r="L6" s="966"/>
      <c r="M6" s="966"/>
      <c r="N6" s="966"/>
      <c r="O6" s="966"/>
      <c r="P6" s="966"/>
      <c r="Q6" s="966"/>
      <c r="R6" s="966"/>
      <c r="S6" s="966"/>
      <c r="T6" s="966"/>
      <c r="U6" s="966"/>
      <c r="V6" s="966"/>
      <c r="W6" s="966"/>
      <c r="X6" s="966"/>
      <c r="Y6" s="966"/>
      <c r="Z6" s="966"/>
      <c r="AA6" s="966"/>
      <c r="AB6" s="966"/>
      <c r="AC6" s="966"/>
      <c r="AD6" s="957" t="s">
        <v>644</v>
      </c>
      <c r="AE6" s="957"/>
      <c r="AF6" s="957"/>
      <c r="AG6" s="957"/>
      <c r="AH6" s="957"/>
      <c r="AI6" s="957"/>
      <c r="AJ6" s="957"/>
    </row>
    <row r="7" spans="1:37" ht="13.75" customHeight="1">
      <c r="A7" s="957"/>
      <c r="B7" s="957"/>
      <c r="C7" s="957"/>
      <c r="D7" s="957"/>
      <c r="E7" s="957"/>
      <c r="F7" s="957"/>
      <c r="G7" s="957"/>
      <c r="H7" s="957"/>
      <c r="I7" s="957"/>
      <c r="J7" s="966"/>
      <c r="K7" s="966"/>
      <c r="L7" s="966"/>
      <c r="M7" s="966"/>
      <c r="N7" s="966"/>
      <c r="O7" s="966"/>
      <c r="P7" s="966"/>
      <c r="Q7" s="966"/>
      <c r="R7" s="966"/>
      <c r="S7" s="966"/>
      <c r="T7" s="966"/>
      <c r="U7" s="966"/>
      <c r="V7" s="966"/>
      <c r="W7" s="966"/>
      <c r="X7" s="966"/>
      <c r="Y7" s="966"/>
      <c r="Z7" s="966"/>
      <c r="AA7" s="966"/>
      <c r="AB7" s="966"/>
      <c r="AC7" s="966"/>
      <c r="AD7" s="957"/>
      <c r="AE7" s="957"/>
      <c r="AF7" s="957"/>
      <c r="AG7" s="957"/>
      <c r="AH7" s="957"/>
      <c r="AI7" s="957"/>
      <c r="AJ7" s="957"/>
    </row>
    <row r="8" spans="1:37" ht="13.75" customHeight="1">
      <c r="A8" s="697" t="s">
        <v>370</v>
      </c>
      <c r="B8" s="957" t="s">
        <v>371</v>
      </c>
      <c r="C8" s="957"/>
      <c r="D8" s="957"/>
      <c r="E8" s="957"/>
      <c r="F8" s="957"/>
      <c r="G8" s="957"/>
      <c r="H8" s="957"/>
      <c r="I8" s="957"/>
      <c r="J8" s="966"/>
      <c r="K8" s="966"/>
      <c r="L8" s="966"/>
      <c r="M8" s="966"/>
      <c r="N8" s="966"/>
      <c r="O8" s="966"/>
      <c r="P8" s="966"/>
      <c r="Q8" s="966"/>
      <c r="R8" s="966"/>
      <c r="S8" s="966"/>
      <c r="T8" s="966"/>
      <c r="U8" s="966"/>
      <c r="V8" s="966"/>
      <c r="W8" s="966"/>
      <c r="X8" s="966"/>
      <c r="Y8" s="966"/>
      <c r="Z8" s="966"/>
      <c r="AA8" s="966"/>
      <c r="AB8" s="966"/>
      <c r="AC8" s="966"/>
      <c r="AD8" s="957"/>
      <c r="AE8" s="957"/>
      <c r="AF8" s="957"/>
      <c r="AG8" s="957"/>
      <c r="AH8" s="957"/>
      <c r="AI8" s="957"/>
      <c r="AJ8" s="957"/>
    </row>
    <row r="9" spans="1:37" ht="13.75" customHeight="1">
      <c r="A9" s="698"/>
      <c r="B9" s="959" t="s">
        <v>631</v>
      </c>
      <c r="C9" s="959"/>
      <c r="D9" s="959"/>
      <c r="E9" s="959"/>
      <c r="F9" s="959"/>
      <c r="G9" s="959"/>
      <c r="H9" s="959"/>
      <c r="I9" s="959"/>
      <c r="J9" s="957"/>
      <c r="K9" s="957"/>
      <c r="L9" s="957"/>
      <c r="M9" s="957"/>
      <c r="N9" s="957"/>
      <c r="O9" s="957"/>
      <c r="P9" s="957"/>
      <c r="Q9" s="957"/>
      <c r="R9" s="957"/>
      <c r="S9" s="957"/>
      <c r="T9" s="957"/>
      <c r="U9" s="957"/>
      <c r="V9" s="957"/>
      <c r="W9" s="957"/>
      <c r="X9" s="957"/>
      <c r="Y9" s="957"/>
      <c r="Z9" s="957"/>
      <c r="AA9" s="957"/>
      <c r="AB9" s="957"/>
      <c r="AC9" s="957"/>
      <c r="AD9" s="957"/>
      <c r="AE9" s="957"/>
      <c r="AF9" s="957"/>
      <c r="AG9" s="957"/>
      <c r="AH9" s="957"/>
      <c r="AI9" s="957"/>
      <c r="AJ9" s="957"/>
    </row>
    <row r="10" spans="1:37" ht="45" customHeight="1">
      <c r="A10" s="698">
        <v>1</v>
      </c>
      <c r="B10" s="952" t="s">
        <v>671</v>
      </c>
      <c r="C10" s="952"/>
      <c r="D10" s="952"/>
      <c r="E10" s="952"/>
      <c r="F10" s="952"/>
      <c r="G10" s="952"/>
      <c r="H10" s="952"/>
      <c r="I10" s="952"/>
      <c r="J10" s="958" t="s">
        <v>645</v>
      </c>
      <c r="K10" s="953"/>
      <c r="L10" s="953"/>
      <c r="M10" s="953"/>
      <c r="N10" s="953"/>
      <c r="O10" s="953"/>
      <c r="P10" s="953"/>
      <c r="Q10" s="953"/>
      <c r="R10" s="953"/>
      <c r="S10" s="953"/>
      <c r="T10" s="953"/>
      <c r="U10" s="953"/>
      <c r="V10" s="953"/>
      <c r="W10" s="953"/>
      <c r="X10" s="953"/>
      <c r="Y10" s="953"/>
      <c r="Z10" s="953"/>
      <c r="AA10" s="953"/>
      <c r="AB10" s="953"/>
      <c r="AC10" s="953"/>
      <c r="AD10" s="954" t="s">
        <v>646</v>
      </c>
      <c r="AE10" s="955"/>
      <c r="AF10" s="955"/>
      <c r="AG10" s="955"/>
      <c r="AH10" s="955"/>
      <c r="AI10" s="955"/>
      <c r="AJ10" s="956"/>
      <c r="AK10" s="695"/>
    </row>
    <row r="11" spans="1:37" ht="13.75" customHeight="1">
      <c r="A11" s="698">
        <v>2</v>
      </c>
      <c r="B11" s="952" t="s">
        <v>672</v>
      </c>
      <c r="C11" s="952"/>
      <c r="D11" s="952"/>
      <c r="E11" s="952"/>
      <c r="F11" s="952"/>
      <c r="G11" s="952"/>
      <c r="H11" s="952"/>
      <c r="I11" s="952"/>
      <c r="J11" s="953" t="s">
        <v>647</v>
      </c>
      <c r="K11" s="953"/>
      <c r="L11" s="953"/>
      <c r="M11" s="953"/>
      <c r="N11" s="953"/>
      <c r="O11" s="953"/>
      <c r="P11" s="953"/>
      <c r="Q11" s="953"/>
      <c r="R11" s="953"/>
      <c r="S11" s="953"/>
      <c r="T11" s="953"/>
      <c r="U11" s="953"/>
      <c r="V11" s="953"/>
      <c r="W11" s="953"/>
      <c r="X11" s="953"/>
      <c r="Y11" s="953"/>
      <c r="Z11" s="953"/>
      <c r="AA11" s="953"/>
      <c r="AB11" s="953"/>
      <c r="AC11" s="953"/>
      <c r="AD11" s="954"/>
      <c r="AE11" s="955"/>
      <c r="AF11" s="955"/>
      <c r="AG11" s="955"/>
      <c r="AH11" s="955"/>
      <c r="AI11" s="955"/>
      <c r="AJ11" s="956"/>
      <c r="AK11" s="695"/>
    </row>
    <row r="12" spans="1:37" ht="13.75" customHeight="1">
      <c r="A12" s="698">
        <v>3</v>
      </c>
      <c r="B12" s="952" t="s">
        <v>673</v>
      </c>
      <c r="C12" s="952"/>
      <c r="D12" s="952"/>
      <c r="E12" s="952"/>
      <c r="F12" s="952"/>
      <c r="G12" s="952"/>
      <c r="H12" s="952"/>
      <c r="I12" s="952"/>
      <c r="J12" s="953" t="s">
        <v>648</v>
      </c>
      <c r="K12" s="953"/>
      <c r="L12" s="953"/>
      <c r="M12" s="953"/>
      <c r="N12" s="953"/>
      <c r="O12" s="953"/>
      <c r="P12" s="953"/>
      <c r="Q12" s="953"/>
      <c r="R12" s="953"/>
      <c r="S12" s="953"/>
      <c r="T12" s="953"/>
      <c r="U12" s="953"/>
      <c r="V12" s="953"/>
      <c r="W12" s="953"/>
      <c r="X12" s="953"/>
      <c r="Y12" s="953"/>
      <c r="Z12" s="953"/>
      <c r="AA12" s="953"/>
      <c r="AB12" s="953"/>
      <c r="AC12" s="953"/>
      <c r="AD12" s="954"/>
      <c r="AE12" s="955"/>
      <c r="AF12" s="955"/>
      <c r="AG12" s="955"/>
      <c r="AH12" s="955"/>
      <c r="AI12" s="955"/>
      <c r="AJ12" s="956"/>
      <c r="AK12" s="695"/>
    </row>
    <row r="13" spans="1:37" ht="13.75" customHeight="1">
      <c r="A13" s="698">
        <v>4</v>
      </c>
      <c r="B13" s="952" t="s">
        <v>674</v>
      </c>
      <c r="C13" s="952"/>
      <c r="D13" s="952"/>
      <c r="E13" s="952"/>
      <c r="F13" s="952"/>
      <c r="G13" s="952"/>
      <c r="H13" s="952"/>
      <c r="I13" s="952"/>
      <c r="J13" s="953" t="s">
        <v>649</v>
      </c>
      <c r="K13" s="953"/>
      <c r="L13" s="953"/>
      <c r="M13" s="953"/>
      <c r="N13" s="953"/>
      <c r="O13" s="953"/>
      <c r="P13" s="953"/>
      <c r="Q13" s="953"/>
      <c r="R13" s="953"/>
      <c r="S13" s="953"/>
      <c r="T13" s="953"/>
      <c r="U13" s="953"/>
      <c r="V13" s="953"/>
      <c r="W13" s="953"/>
      <c r="X13" s="953"/>
      <c r="Y13" s="953"/>
      <c r="Z13" s="953"/>
      <c r="AA13" s="953"/>
      <c r="AB13" s="953"/>
      <c r="AC13" s="953"/>
      <c r="AD13" s="954" t="s">
        <v>650</v>
      </c>
      <c r="AE13" s="955"/>
      <c r="AF13" s="955"/>
      <c r="AG13" s="955"/>
      <c r="AH13" s="955"/>
      <c r="AI13" s="955"/>
      <c r="AJ13" s="956"/>
      <c r="AK13" s="695"/>
    </row>
    <row r="14" spans="1:37" ht="13.75" customHeight="1">
      <c r="A14" s="698">
        <v>5</v>
      </c>
      <c r="B14" s="952" t="s">
        <v>319</v>
      </c>
      <c r="C14" s="952"/>
      <c r="D14" s="952"/>
      <c r="E14" s="952"/>
      <c r="F14" s="952"/>
      <c r="G14" s="952"/>
      <c r="H14" s="952"/>
      <c r="I14" s="952"/>
      <c r="J14" s="953" t="s">
        <v>651</v>
      </c>
      <c r="K14" s="953"/>
      <c r="L14" s="953"/>
      <c r="M14" s="953"/>
      <c r="N14" s="953"/>
      <c r="O14" s="953"/>
      <c r="P14" s="953"/>
      <c r="Q14" s="953"/>
      <c r="R14" s="953"/>
      <c r="S14" s="953"/>
      <c r="T14" s="953"/>
      <c r="U14" s="953"/>
      <c r="V14" s="953"/>
      <c r="W14" s="953"/>
      <c r="X14" s="953"/>
      <c r="Y14" s="953"/>
      <c r="Z14" s="953"/>
      <c r="AA14" s="953"/>
      <c r="AB14" s="953"/>
      <c r="AC14" s="953"/>
      <c r="AD14" s="954" t="s">
        <v>652</v>
      </c>
      <c r="AE14" s="955"/>
      <c r="AF14" s="955"/>
      <c r="AG14" s="955"/>
      <c r="AH14" s="955"/>
      <c r="AI14" s="955"/>
      <c r="AJ14" s="956"/>
      <c r="AK14" s="695"/>
    </row>
    <row r="15" spans="1:37" ht="27" customHeight="1">
      <c r="A15" s="698">
        <v>6</v>
      </c>
      <c r="B15" s="952" t="s">
        <v>674</v>
      </c>
      <c r="C15" s="952"/>
      <c r="D15" s="952"/>
      <c r="E15" s="952"/>
      <c r="F15" s="952"/>
      <c r="G15" s="952"/>
      <c r="H15" s="952"/>
      <c r="I15" s="952"/>
      <c r="J15" s="953" t="s">
        <v>653</v>
      </c>
      <c r="K15" s="953"/>
      <c r="L15" s="953"/>
      <c r="M15" s="953"/>
      <c r="N15" s="953"/>
      <c r="O15" s="953"/>
      <c r="P15" s="953"/>
      <c r="Q15" s="953"/>
      <c r="R15" s="953"/>
      <c r="S15" s="953"/>
      <c r="T15" s="953"/>
      <c r="U15" s="953"/>
      <c r="V15" s="953"/>
      <c r="W15" s="953"/>
      <c r="X15" s="953"/>
      <c r="Y15" s="953"/>
      <c r="Z15" s="953"/>
      <c r="AA15" s="953"/>
      <c r="AB15" s="953"/>
      <c r="AC15" s="953"/>
      <c r="AD15" s="962" t="s">
        <v>654</v>
      </c>
      <c r="AE15" s="963"/>
      <c r="AF15" s="963"/>
      <c r="AG15" s="963"/>
      <c r="AH15" s="963"/>
      <c r="AI15" s="963"/>
      <c r="AJ15" s="964"/>
      <c r="AK15" s="695"/>
    </row>
    <row r="16" spans="1:37" ht="27.75" customHeight="1">
      <c r="A16" s="698">
        <v>7</v>
      </c>
      <c r="B16" s="952" t="s">
        <v>675</v>
      </c>
      <c r="C16" s="952"/>
      <c r="D16" s="952"/>
      <c r="E16" s="952"/>
      <c r="F16" s="952"/>
      <c r="G16" s="952"/>
      <c r="H16" s="952"/>
      <c r="I16" s="952"/>
      <c r="J16" s="961" t="s">
        <v>305</v>
      </c>
      <c r="K16" s="961"/>
      <c r="L16" s="961"/>
      <c r="M16" s="961"/>
      <c r="N16" s="961"/>
      <c r="O16" s="961"/>
      <c r="P16" s="961"/>
      <c r="Q16" s="961"/>
      <c r="R16" s="961"/>
      <c r="S16" s="961"/>
      <c r="T16" s="961"/>
      <c r="U16" s="961"/>
      <c r="V16" s="961"/>
      <c r="W16" s="961"/>
      <c r="X16" s="961"/>
      <c r="Y16" s="961"/>
      <c r="Z16" s="961"/>
      <c r="AA16" s="961"/>
      <c r="AB16" s="961"/>
      <c r="AC16" s="961"/>
      <c r="AD16" s="962" t="s">
        <v>655</v>
      </c>
      <c r="AE16" s="963"/>
      <c r="AF16" s="963"/>
      <c r="AG16" s="963"/>
      <c r="AH16" s="963"/>
      <c r="AI16" s="963"/>
      <c r="AJ16" s="964"/>
      <c r="AK16" s="695"/>
    </row>
    <row r="17" spans="1:37" ht="13.75" customHeight="1">
      <c r="A17" s="698">
        <v>8</v>
      </c>
      <c r="B17" s="952" t="s">
        <v>676</v>
      </c>
      <c r="C17" s="952"/>
      <c r="D17" s="952"/>
      <c r="E17" s="952"/>
      <c r="F17" s="952"/>
      <c r="G17" s="952"/>
      <c r="H17" s="952"/>
      <c r="I17" s="952"/>
      <c r="J17" s="961" t="s">
        <v>305</v>
      </c>
      <c r="K17" s="961"/>
      <c r="L17" s="961"/>
      <c r="M17" s="961"/>
      <c r="N17" s="961"/>
      <c r="O17" s="961"/>
      <c r="P17" s="961"/>
      <c r="Q17" s="961"/>
      <c r="R17" s="961"/>
      <c r="S17" s="961"/>
      <c r="T17" s="961"/>
      <c r="U17" s="961"/>
      <c r="V17" s="961"/>
      <c r="W17" s="961"/>
      <c r="X17" s="961"/>
      <c r="Y17" s="961"/>
      <c r="Z17" s="961"/>
      <c r="AA17" s="961"/>
      <c r="AB17" s="961"/>
      <c r="AC17" s="961"/>
      <c r="AD17" s="962" t="s">
        <v>656</v>
      </c>
      <c r="AE17" s="963"/>
      <c r="AF17" s="963"/>
      <c r="AG17" s="963"/>
      <c r="AH17" s="963"/>
      <c r="AI17" s="963"/>
      <c r="AJ17" s="964"/>
      <c r="AK17" s="695"/>
    </row>
    <row r="18" spans="1:37" ht="13.75" customHeight="1">
      <c r="A18" s="698">
        <v>9</v>
      </c>
      <c r="B18" s="952" t="s">
        <v>677</v>
      </c>
      <c r="C18" s="952"/>
      <c r="D18" s="952"/>
      <c r="E18" s="952"/>
      <c r="F18" s="952"/>
      <c r="G18" s="952"/>
      <c r="H18" s="952"/>
      <c r="I18" s="952"/>
      <c r="J18" s="961" t="s">
        <v>305</v>
      </c>
      <c r="K18" s="961"/>
      <c r="L18" s="961"/>
      <c r="M18" s="961"/>
      <c r="N18" s="961"/>
      <c r="O18" s="961"/>
      <c r="P18" s="961"/>
      <c r="Q18" s="961"/>
      <c r="R18" s="961"/>
      <c r="S18" s="961"/>
      <c r="T18" s="961"/>
      <c r="U18" s="961"/>
      <c r="V18" s="961"/>
      <c r="W18" s="961"/>
      <c r="X18" s="961"/>
      <c r="Y18" s="961"/>
      <c r="Z18" s="961"/>
      <c r="AA18" s="961"/>
      <c r="AB18" s="961"/>
      <c r="AC18" s="961"/>
      <c r="AD18" s="962" t="s">
        <v>656</v>
      </c>
      <c r="AE18" s="963"/>
      <c r="AF18" s="963"/>
      <c r="AG18" s="963"/>
      <c r="AH18" s="963"/>
      <c r="AI18" s="963"/>
      <c r="AJ18" s="964"/>
      <c r="AK18" s="695"/>
    </row>
    <row r="19" spans="1:37" ht="13.75" customHeight="1">
      <c r="A19" s="698">
        <v>10</v>
      </c>
      <c r="B19" s="952" t="s">
        <v>678</v>
      </c>
      <c r="C19" s="952"/>
      <c r="D19" s="952"/>
      <c r="E19" s="952"/>
      <c r="F19" s="952"/>
      <c r="G19" s="952"/>
      <c r="H19" s="952"/>
      <c r="I19" s="952"/>
      <c r="J19" s="961" t="s">
        <v>305</v>
      </c>
      <c r="K19" s="961"/>
      <c r="L19" s="961"/>
      <c r="M19" s="961"/>
      <c r="N19" s="961"/>
      <c r="O19" s="961"/>
      <c r="P19" s="961"/>
      <c r="Q19" s="961"/>
      <c r="R19" s="961"/>
      <c r="S19" s="961"/>
      <c r="T19" s="961"/>
      <c r="U19" s="961"/>
      <c r="V19" s="961"/>
      <c r="W19" s="961"/>
      <c r="X19" s="961"/>
      <c r="Y19" s="961"/>
      <c r="Z19" s="961"/>
      <c r="AA19" s="961"/>
      <c r="AB19" s="961"/>
      <c r="AC19" s="961"/>
      <c r="AD19" s="962" t="s">
        <v>656</v>
      </c>
      <c r="AE19" s="963"/>
      <c r="AF19" s="963"/>
      <c r="AG19" s="963"/>
      <c r="AH19" s="963"/>
      <c r="AI19" s="963"/>
      <c r="AJ19" s="964"/>
      <c r="AK19" s="695"/>
    </row>
    <row r="20" spans="1:37" ht="13.75" customHeight="1">
      <c r="A20" s="698"/>
      <c r="B20" s="952"/>
      <c r="C20" s="952"/>
      <c r="D20" s="952"/>
      <c r="E20" s="952"/>
      <c r="F20" s="952"/>
      <c r="G20" s="952"/>
      <c r="H20" s="952"/>
      <c r="I20" s="952"/>
      <c r="J20" s="953"/>
      <c r="K20" s="953"/>
      <c r="L20" s="953"/>
      <c r="M20" s="953"/>
      <c r="N20" s="953"/>
      <c r="O20" s="953"/>
      <c r="P20" s="953"/>
      <c r="Q20" s="953"/>
      <c r="R20" s="953"/>
      <c r="S20" s="953"/>
      <c r="T20" s="953"/>
      <c r="U20" s="953"/>
      <c r="V20" s="953"/>
      <c r="W20" s="953"/>
      <c r="X20" s="953"/>
      <c r="Y20" s="953"/>
      <c r="Z20" s="953"/>
      <c r="AA20" s="953"/>
      <c r="AB20" s="953"/>
      <c r="AC20" s="953"/>
      <c r="AD20" s="954"/>
      <c r="AE20" s="955"/>
      <c r="AF20" s="955"/>
      <c r="AG20" s="955"/>
      <c r="AH20" s="955"/>
      <c r="AI20" s="955"/>
      <c r="AJ20" s="956"/>
      <c r="AK20" s="695"/>
    </row>
    <row r="21" spans="1:37" ht="13.75" customHeight="1">
      <c r="A21" s="699"/>
      <c r="B21" s="952"/>
      <c r="C21" s="952"/>
      <c r="D21" s="952"/>
      <c r="E21" s="952"/>
      <c r="F21" s="952"/>
      <c r="G21" s="952"/>
      <c r="H21" s="952"/>
      <c r="I21" s="952"/>
      <c r="J21" s="953"/>
      <c r="K21" s="953"/>
      <c r="L21" s="953"/>
      <c r="M21" s="953"/>
      <c r="N21" s="953"/>
      <c r="O21" s="953"/>
      <c r="P21" s="953"/>
      <c r="Q21" s="953"/>
      <c r="R21" s="953"/>
      <c r="S21" s="953"/>
      <c r="T21" s="953"/>
      <c r="U21" s="953"/>
      <c r="V21" s="953"/>
      <c r="W21" s="953"/>
      <c r="X21" s="953"/>
      <c r="Y21" s="953"/>
      <c r="Z21" s="953"/>
      <c r="AA21" s="953"/>
      <c r="AB21" s="953"/>
      <c r="AC21" s="953"/>
      <c r="AD21" s="954"/>
      <c r="AE21" s="955"/>
      <c r="AF21" s="955"/>
      <c r="AG21" s="955"/>
      <c r="AH21" s="955"/>
      <c r="AI21" s="955"/>
      <c r="AJ21" s="956"/>
      <c r="AK21" s="695"/>
    </row>
    <row r="22" spans="1:37" ht="13.75" customHeight="1">
      <c r="A22" s="698"/>
      <c r="B22" s="959" t="s">
        <v>679</v>
      </c>
      <c r="C22" s="959"/>
      <c r="D22" s="959"/>
      <c r="E22" s="959"/>
      <c r="F22" s="959"/>
      <c r="G22" s="959"/>
      <c r="H22" s="959"/>
      <c r="I22" s="959"/>
      <c r="J22" s="960"/>
      <c r="K22" s="960"/>
      <c r="L22" s="960"/>
      <c r="M22" s="960"/>
      <c r="N22" s="960"/>
      <c r="O22" s="960"/>
      <c r="P22" s="960"/>
      <c r="Q22" s="960"/>
      <c r="R22" s="960"/>
      <c r="S22" s="960"/>
      <c r="T22" s="960"/>
      <c r="U22" s="960"/>
      <c r="V22" s="960"/>
      <c r="W22" s="960"/>
      <c r="X22" s="960"/>
      <c r="Y22" s="960"/>
      <c r="Z22" s="960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695"/>
    </row>
    <row r="23" spans="1:37" ht="13.75" customHeight="1">
      <c r="A23" s="698">
        <v>1</v>
      </c>
      <c r="B23" s="952" t="s">
        <v>374</v>
      </c>
      <c r="C23" s="952"/>
      <c r="D23" s="952"/>
      <c r="E23" s="952"/>
      <c r="F23" s="952"/>
      <c r="G23" s="952"/>
      <c r="H23" s="952"/>
      <c r="I23" s="952"/>
      <c r="J23" s="953" t="s">
        <v>657</v>
      </c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3"/>
      <c r="W23" s="953"/>
      <c r="X23" s="953"/>
      <c r="Y23" s="953"/>
      <c r="Z23" s="953"/>
      <c r="AA23" s="953"/>
      <c r="AB23" s="953"/>
      <c r="AC23" s="953"/>
      <c r="AD23" s="954" t="s">
        <v>658</v>
      </c>
      <c r="AE23" s="955"/>
      <c r="AF23" s="955"/>
      <c r="AG23" s="955"/>
      <c r="AH23" s="955"/>
      <c r="AI23" s="955"/>
      <c r="AJ23" s="956"/>
      <c r="AK23" s="695"/>
    </row>
    <row r="24" spans="1:37" ht="34.5" customHeight="1">
      <c r="A24" s="698">
        <v>2</v>
      </c>
      <c r="B24" s="952" t="s">
        <v>680</v>
      </c>
      <c r="C24" s="952"/>
      <c r="D24" s="952"/>
      <c r="E24" s="952"/>
      <c r="F24" s="952"/>
      <c r="G24" s="952"/>
      <c r="H24" s="952"/>
      <c r="I24" s="952"/>
      <c r="J24" s="953" t="s">
        <v>659</v>
      </c>
      <c r="K24" s="953"/>
      <c r="L24" s="953"/>
      <c r="M24" s="953"/>
      <c r="N24" s="953"/>
      <c r="O24" s="953"/>
      <c r="P24" s="953"/>
      <c r="Q24" s="953"/>
      <c r="R24" s="953"/>
      <c r="S24" s="953"/>
      <c r="T24" s="953"/>
      <c r="U24" s="953"/>
      <c r="V24" s="953"/>
      <c r="W24" s="953"/>
      <c r="X24" s="953"/>
      <c r="Y24" s="953"/>
      <c r="Z24" s="953"/>
      <c r="AA24" s="953"/>
      <c r="AB24" s="953"/>
      <c r="AC24" s="953"/>
      <c r="AD24" s="954" t="s">
        <v>660</v>
      </c>
      <c r="AE24" s="955"/>
      <c r="AF24" s="955"/>
      <c r="AG24" s="955"/>
      <c r="AH24" s="955"/>
      <c r="AI24" s="955"/>
      <c r="AJ24" s="956"/>
      <c r="AK24" s="695"/>
    </row>
    <row r="25" spans="1:37" ht="13.75" customHeight="1">
      <c r="A25" s="698">
        <v>3</v>
      </c>
      <c r="B25" s="952" t="s">
        <v>301</v>
      </c>
      <c r="C25" s="952"/>
      <c r="D25" s="952"/>
      <c r="E25" s="952"/>
      <c r="F25" s="952"/>
      <c r="G25" s="952"/>
      <c r="H25" s="952"/>
      <c r="I25" s="952"/>
      <c r="J25" s="953" t="s">
        <v>661</v>
      </c>
      <c r="K25" s="953"/>
      <c r="L25" s="953"/>
      <c r="M25" s="953"/>
      <c r="N25" s="953"/>
      <c r="O25" s="953"/>
      <c r="P25" s="953"/>
      <c r="Q25" s="953"/>
      <c r="R25" s="953"/>
      <c r="S25" s="953"/>
      <c r="T25" s="953"/>
      <c r="U25" s="953"/>
      <c r="V25" s="953"/>
      <c r="W25" s="953"/>
      <c r="X25" s="953"/>
      <c r="Y25" s="953"/>
      <c r="Z25" s="953"/>
      <c r="AA25" s="953"/>
      <c r="AB25" s="953"/>
      <c r="AC25" s="953"/>
      <c r="AD25" s="954" t="s">
        <v>662</v>
      </c>
      <c r="AE25" s="955"/>
      <c r="AF25" s="955"/>
      <c r="AG25" s="955"/>
      <c r="AH25" s="955"/>
      <c r="AI25" s="955"/>
      <c r="AJ25" s="956"/>
    </row>
    <row r="26" spans="1:37" ht="13.75" customHeight="1">
      <c r="A26" s="698">
        <v>4</v>
      </c>
      <c r="B26" s="952" t="s">
        <v>681</v>
      </c>
      <c r="C26" s="952"/>
      <c r="D26" s="952"/>
      <c r="E26" s="952"/>
      <c r="F26" s="952"/>
      <c r="G26" s="952"/>
      <c r="H26" s="952"/>
      <c r="I26" s="952"/>
      <c r="J26" s="953" t="s">
        <v>663</v>
      </c>
      <c r="K26" s="953"/>
      <c r="L26" s="953"/>
      <c r="M26" s="953"/>
      <c r="N26" s="953"/>
      <c r="O26" s="953"/>
      <c r="P26" s="953"/>
      <c r="Q26" s="953"/>
      <c r="R26" s="953"/>
      <c r="S26" s="953"/>
      <c r="T26" s="953"/>
      <c r="U26" s="953"/>
      <c r="V26" s="953"/>
      <c r="W26" s="953"/>
      <c r="X26" s="953"/>
      <c r="Y26" s="953"/>
      <c r="Z26" s="953"/>
      <c r="AA26" s="953"/>
      <c r="AB26" s="953"/>
      <c r="AC26" s="953"/>
      <c r="AD26" s="954" t="s">
        <v>662</v>
      </c>
      <c r="AE26" s="955"/>
      <c r="AF26" s="955"/>
      <c r="AG26" s="955"/>
      <c r="AH26" s="955"/>
      <c r="AI26" s="955"/>
      <c r="AJ26" s="956"/>
    </row>
    <row r="27" spans="1:37" ht="74.25" customHeight="1">
      <c r="A27" s="698">
        <v>5</v>
      </c>
      <c r="B27" s="952" t="s">
        <v>682</v>
      </c>
      <c r="C27" s="952"/>
      <c r="D27" s="952"/>
      <c r="E27" s="952"/>
      <c r="F27" s="952"/>
      <c r="G27" s="952"/>
      <c r="H27" s="952"/>
      <c r="I27" s="952"/>
      <c r="J27" s="958" t="s">
        <v>664</v>
      </c>
      <c r="K27" s="953"/>
      <c r="L27" s="953"/>
      <c r="M27" s="953"/>
      <c r="N27" s="953"/>
      <c r="O27" s="953"/>
      <c r="P27" s="953"/>
      <c r="Q27" s="953"/>
      <c r="R27" s="953"/>
      <c r="S27" s="953"/>
      <c r="T27" s="953"/>
      <c r="U27" s="953"/>
      <c r="V27" s="953"/>
      <c r="W27" s="953"/>
      <c r="X27" s="953"/>
      <c r="Y27" s="953"/>
      <c r="Z27" s="953"/>
      <c r="AA27" s="953"/>
      <c r="AB27" s="953"/>
      <c r="AC27" s="953"/>
      <c r="AD27" s="954" t="s">
        <v>662</v>
      </c>
      <c r="AE27" s="955"/>
      <c r="AF27" s="955"/>
      <c r="AG27" s="955"/>
      <c r="AH27" s="955"/>
      <c r="AI27" s="955"/>
      <c r="AJ27" s="956"/>
    </row>
    <row r="28" spans="1:37" ht="13.75" customHeight="1">
      <c r="A28" s="698">
        <v>6</v>
      </c>
      <c r="B28" s="952" t="s">
        <v>585</v>
      </c>
      <c r="C28" s="952"/>
      <c r="D28" s="952"/>
      <c r="E28" s="952"/>
      <c r="F28" s="952"/>
      <c r="G28" s="952"/>
      <c r="H28" s="952"/>
      <c r="I28" s="952"/>
      <c r="J28" s="953" t="s">
        <v>665</v>
      </c>
      <c r="K28" s="953"/>
      <c r="L28" s="953"/>
      <c r="M28" s="953"/>
      <c r="N28" s="953"/>
      <c r="O28" s="953"/>
      <c r="P28" s="953"/>
      <c r="Q28" s="953"/>
      <c r="R28" s="953"/>
      <c r="S28" s="953"/>
      <c r="T28" s="953"/>
      <c r="U28" s="953"/>
      <c r="V28" s="953"/>
      <c r="W28" s="953"/>
      <c r="X28" s="953"/>
      <c r="Y28" s="953"/>
      <c r="Z28" s="953"/>
      <c r="AA28" s="953"/>
      <c r="AB28" s="953"/>
      <c r="AC28" s="953"/>
      <c r="AD28" s="954" t="s">
        <v>662</v>
      </c>
      <c r="AE28" s="955"/>
      <c r="AF28" s="955"/>
      <c r="AG28" s="955"/>
      <c r="AH28" s="955"/>
      <c r="AI28" s="955"/>
      <c r="AJ28" s="956"/>
    </row>
    <row r="29" spans="1:37" ht="13.75" customHeight="1">
      <c r="A29" s="698"/>
      <c r="B29" s="952"/>
      <c r="C29" s="952"/>
      <c r="D29" s="952"/>
      <c r="E29" s="952"/>
      <c r="F29" s="952"/>
      <c r="G29" s="952"/>
      <c r="H29" s="952"/>
      <c r="I29" s="952"/>
      <c r="J29" s="953"/>
      <c r="K29" s="953"/>
      <c r="L29" s="953"/>
      <c r="M29" s="953"/>
      <c r="N29" s="953"/>
      <c r="O29" s="953"/>
      <c r="P29" s="953"/>
      <c r="Q29" s="953"/>
      <c r="R29" s="953"/>
      <c r="S29" s="953"/>
      <c r="T29" s="953"/>
      <c r="U29" s="953"/>
      <c r="V29" s="953"/>
      <c r="W29" s="953"/>
      <c r="X29" s="953"/>
      <c r="Y29" s="953"/>
      <c r="Z29" s="953"/>
      <c r="AA29" s="953"/>
      <c r="AB29" s="953"/>
      <c r="AC29" s="953"/>
      <c r="AD29" s="954"/>
      <c r="AE29" s="955"/>
      <c r="AF29" s="955"/>
      <c r="AG29" s="955"/>
      <c r="AH29" s="955"/>
      <c r="AI29" s="955"/>
      <c r="AJ29" s="956"/>
    </row>
    <row r="30" spans="1:37">
      <c r="A30" s="957" t="s">
        <v>22</v>
      </c>
      <c r="B30" s="957"/>
      <c r="C30" s="957"/>
      <c r="D30" s="957"/>
      <c r="E30" s="957"/>
      <c r="F30" s="957"/>
      <c r="G30" s="957"/>
      <c r="H30" s="957"/>
      <c r="I30" s="957"/>
      <c r="J30" s="700"/>
      <c r="K30" s="701"/>
      <c r="L30" s="701"/>
      <c r="M30" s="701"/>
      <c r="N30" s="701"/>
      <c r="O30" s="701"/>
      <c r="P30" s="701"/>
      <c r="Q30" s="701"/>
      <c r="R30" s="701"/>
      <c r="S30" s="701"/>
      <c r="T30" s="702"/>
      <c r="U30" s="702"/>
      <c r="V30" s="702"/>
      <c r="W30" s="702"/>
      <c r="X30" s="702"/>
      <c r="Y30" s="702"/>
      <c r="Z30" s="702"/>
      <c r="AA30" s="702"/>
      <c r="AB30" s="702"/>
      <c r="AC30" s="702"/>
      <c r="AD30" s="702"/>
      <c r="AE30" s="702"/>
      <c r="AF30" s="702"/>
      <c r="AG30" s="702"/>
      <c r="AH30" s="702"/>
      <c r="AI30" s="702"/>
      <c r="AJ30" s="703"/>
    </row>
    <row r="31" spans="1:37">
      <c r="A31" s="704" t="s">
        <v>666</v>
      </c>
      <c r="B31" s="701"/>
      <c r="C31" s="705" t="s">
        <v>667</v>
      </c>
      <c r="D31" s="701"/>
      <c r="E31" s="701"/>
      <c r="F31" s="701"/>
      <c r="G31" s="701"/>
      <c r="H31" s="701"/>
      <c r="I31" s="701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695"/>
      <c r="U31" s="695"/>
      <c r="V31" s="695"/>
      <c r="W31" s="695"/>
      <c r="X31" s="695"/>
      <c r="Y31" s="695"/>
      <c r="Z31" s="695"/>
      <c r="AA31" s="695"/>
      <c r="AB31" s="695"/>
      <c r="AC31" s="695"/>
      <c r="AD31" s="695"/>
      <c r="AE31" s="695"/>
      <c r="AF31" s="695"/>
      <c r="AG31" s="695"/>
      <c r="AH31" s="695"/>
      <c r="AI31" s="695"/>
      <c r="AJ31" s="706"/>
    </row>
    <row r="32" spans="1:37">
      <c r="A32" s="707"/>
      <c r="B32" s="705"/>
      <c r="C32" s="705" t="s">
        <v>668</v>
      </c>
      <c r="D32" s="705"/>
      <c r="E32" s="705"/>
      <c r="F32" s="705"/>
      <c r="G32" s="705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695"/>
      <c r="U32" s="695"/>
      <c r="V32" s="695"/>
      <c r="W32" s="695"/>
      <c r="X32" s="695"/>
      <c r="Y32" s="695"/>
      <c r="Z32" s="695"/>
      <c r="AA32" s="695"/>
      <c r="AB32" s="695"/>
      <c r="AC32" s="695"/>
      <c r="AD32" s="695"/>
      <c r="AE32" s="695"/>
      <c r="AF32" s="695"/>
      <c r="AG32" s="695"/>
      <c r="AH32" s="695"/>
      <c r="AI32" s="695"/>
      <c r="AJ32" s="706"/>
    </row>
    <row r="33" spans="1:36">
      <c r="A33" s="707"/>
      <c r="B33" s="705"/>
      <c r="C33" s="705" t="s">
        <v>669</v>
      </c>
      <c r="D33" s="705"/>
      <c r="E33" s="705"/>
      <c r="F33" s="705"/>
      <c r="G33" s="705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695"/>
      <c r="U33" s="695"/>
      <c r="V33" s="695"/>
      <c r="W33" s="695"/>
      <c r="X33" s="695"/>
      <c r="Y33" s="695"/>
      <c r="Z33" s="695"/>
      <c r="AA33" s="695"/>
      <c r="AB33" s="695"/>
      <c r="AC33" s="695"/>
      <c r="AD33" s="695"/>
      <c r="AE33" s="695"/>
      <c r="AF33" s="695"/>
      <c r="AG33" s="695"/>
      <c r="AH33" s="695"/>
      <c r="AI33" s="695"/>
      <c r="AJ33" s="706"/>
    </row>
    <row r="34" spans="1:36">
      <c r="A34" s="707"/>
      <c r="B34" s="705"/>
      <c r="C34" s="705"/>
      <c r="D34" s="705"/>
      <c r="E34" s="705"/>
      <c r="F34" s="705"/>
      <c r="G34" s="705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695"/>
      <c r="U34" s="695"/>
      <c r="V34" s="695"/>
      <c r="W34" s="695"/>
      <c r="X34" s="695"/>
      <c r="Y34" s="695"/>
      <c r="Z34" s="695"/>
      <c r="AA34" s="695"/>
      <c r="AB34" s="695"/>
      <c r="AC34" s="695"/>
      <c r="AD34" s="695"/>
      <c r="AE34" s="695"/>
      <c r="AF34" s="695"/>
      <c r="AG34" s="695"/>
      <c r="AH34" s="695"/>
      <c r="AI34" s="695"/>
      <c r="AJ34" s="706"/>
    </row>
    <row r="35" spans="1:36">
      <c r="A35" s="708"/>
      <c r="B35" s="709"/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  <c r="S35" s="709"/>
      <c r="T35" s="710"/>
      <c r="U35" s="710"/>
      <c r="V35" s="710"/>
      <c r="W35" s="710"/>
      <c r="X35" s="710"/>
      <c r="Y35" s="710"/>
      <c r="Z35" s="710"/>
      <c r="AA35" s="710"/>
      <c r="AB35" s="710"/>
      <c r="AC35" s="710"/>
      <c r="AD35" s="710"/>
      <c r="AE35" s="710"/>
      <c r="AF35" s="710"/>
      <c r="AG35" s="710"/>
      <c r="AH35" s="710"/>
      <c r="AI35" s="710"/>
      <c r="AJ35" s="711"/>
    </row>
  </sheetData>
  <mergeCells count="72">
    <mergeCell ref="A1:M1"/>
    <mergeCell ref="A2:AJ4"/>
    <mergeCell ref="A5:I5"/>
    <mergeCell ref="J5:AJ5"/>
    <mergeCell ref="A6:I7"/>
    <mergeCell ref="J6:AC8"/>
    <mergeCell ref="AD6:AJ8"/>
    <mergeCell ref="B8:I8"/>
    <mergeCell ref="B9:I9"/>
    <mergeCell ref="J9:AC9"/>
    <mergeCell ref="AD9:AJ9"/>
    <mergeCell ref="B10:I10"/>
    <mergeCell ref="J10:AC10"/>
    <mergeCell ref="AD10:AJ10"/>
    <mergeCell ref="B11:I11"/>
    <mergeCell ref="J11:AC11"/>
    <mergeCell ref="AD11:AJ11"/>
    <mergeCell ref="B12:I12"/>
    <mergeCell ref="J12:AC12"/>
    <mergeCell ref="AD12:AJ12"/>
    <mergeCell ref="B13:I13"/>
    <mergeCell ref="J13:AC13"/>
    <mergeCell ref="AD13:AJ13"/>
    <mergeCell ref="B14:I14"/>
    <mergeCell ref="J14:AC14"/>
    <mergeCell ref="AD14:AJ14"/>
    <mergeCell ref="B15:I15"/>
    <mergeCell ref="J15:AC15"/>
    <mergeCell ref="AD15:AJ15"/>
    <mergeCell ref="B16:I16"/>
    <mergeCell ref="J16:AC16"/>
    <mergeCell ref="AD16:AJ16"/>
    <mergeCell ref="B17:I17"/>
    <mergeCell ref="J17:AC17"/>
    <mergeCell ref="AD17:AJ17"/>
    <mergeCell ref="B18:I18"/>
    <mergeCell ref="J18:AC18"/>
    <mergeCell ref="AD18:AJ18"/>
    <mergeCell ref="B19:I19"/>
    <mergeCell ref="J19:AC19"/>
    <mergeCell ref="AD19:AJ19"/>
    <mergeCell ref="B20:I20"/>
    <mergeCell ref="J20:AC20"/>
    <mergeCell ref="AD20:AJ20"/>
    <mergeCell ref="B21:I21"/>
    <mergeCell ref="J21:AC21"/>
    <mergeCell ref="AD21:AJ21"/>
    <mergeCell ref="B22:I22"/>
    <mergeCell ref="J22:AC22"/>
    <mergeCell ref="AD22:AJ22"/>
    <mergeCell ref="B23:I23"/>
    <mergeCell ref="J23:AC23"/>
    <mergeCell ref="AD23:AJ23"/>
    <mergeCell ref="B24:I24"/>
    <mergeCell ref="J24:AC24"/>
    <mergeCell ref="AD24:AJ24"/>
    <mergeCell ref="B25:I25"/>
    <mergeCell ref="J25:AC25"/>
    <mergeCell ref="AD25:AJ25"/>
    <mergeCell ref="B26:I26"/>
    <mergeCell ref="J26:AC26"/>
    <mergeCell ref="AD26:AJ26"/>
    <mergeCell ref="B29:I29"/>
    <mergeCell ref="J29:AC29"/>
    <mergeCell ref="AD29:AJ29"/>
    <mergeCell ref="A30:I30"/>
    <mergeCell ref="B27:I27"/>
    <mergeCell ref="J27:AC27"/>
    <mergeCell ref="AD27:AJ27"/>
    <mergeCell ref="B28:I28"/>
    <mergeCell ref="J28:AC28"/>
    <mergeCell ref="AD28:AJ28"/>
  </mergeCells>
  <phoneticPr fontId="57"/>
  <dataValidations count="1">
    <dataValidation type="list" allowBlank="1" showInputMessage="1" showErrorMessage="1" sqref="WVR982940:WVW982961 WLV982940:WMA982961 WBZ982940:WCE982961 VSD982940:VSI982961 VIH982940:VIM982961 UYL982940:UYQ982961 UOP982940:UOU982961 UET982940:UEY982961 TUX982940:TVC982961 TLB982940:TLG982961 TBF982940:TBK982961 SRJ982940:SRO982961 SHN982940:SHS982961 RXR982940:RXW982961 RNV982940:ROA982961 RDZ982940:REE982961 QUD982940:QUI982961 QKH982940:QKM982961 QAL982940:QAQ982961 PQP982940:PQU982961 PGT982940:PGY982961 OWX982940:OXC982961 ONB982940:ONG982961 ODF982940:ODK982961 NTJ982940:NTO982961 NJN982940:NJS982961 MZR982940:MZW982961 MPV982940:MQA982961 MFZ982940:MGE982961 LWD982940:LWI982961 LMH982940:LMM982961 LCL982940:LCQ982961 KSP982940:KSU982961 KIT982940:KIY982961 JYX982940:JZC982961 JPB982940:JPG982961 JFF982940:JFK982961 IVJ982940:IVO982961 ILN982940:ILS982961 IBR982940:IBW982961 HRV982940:HSA982961 HHZ982940:HIE982961 GYD982940:GYI982961 GOH982940:GOM982961 GEL982940:GEQ982961 FUP982940:FUU982961 FKT982940:FKY982961 FAX982940:FBC982961 ERB982940:ERG982961 EHF982940:EHK982961 DXJ982940:DXO982961 DNN982940:DNS982961 DDR982940:DDW982961 CTV982940:CUA982961 CJZ982940:CKE982961 CAD982940:CAI982961 BQH982940:BQM982961 BGL982940:BGQ982961 AWP982940:AWU982961 AMT982940:AMY982961 ACX982940:ADC982961 TB982940:TG982961 JF982940:JK982961 J982940:O982961 WVR917404:WVW917425 WLV917404:WMA917425 WBZ917404:WCE917425 VSD917404:VSI917425 VIH917404:VIM917425 UYL917404:UYQ917425 UOP917404:UOU917425 UET917404:UEY917425 TUX917404:TVC917425 TLB917404:TLG917425 TBF917404:TBK917425 SRJ917404:SRO917425 SHN917404:SHS917425 RXR917404:RXW917425 RNV917404:ROA917425 RDZ917404:REE917425 QUD917404:QUI917425 QKH917404:QKM917425 QAL917404:QAQ917425 PQP917404:PQU917425 PGT917404:PGY917425 OWX917404:OXC917425 ONB917404:ONG917425 ODF917404:ODK917425 NTJ917404:NTO917425 NJN917404:NJS917425 MZR917404:MZW917425 MPV917404:MQA917425 MFZ917404:MGE917425 LWD917404:LWI917425 LMH917404:LMM917425 LCL917404:LCQ917425 KSP917404:KSU917425 KIT917404:KIY917425 JYX917404:JZC917425 JPB917404:JPG917425 JFF917404:JFK917425 IVJ917404:IVO917425 ILN917404:ILS917425 IBR917404:IBW917425 HRV917404:HSA917425 HHZ917404:HIE917425 GYD917404:GYI917425 GOH917404:GOM917425 GEL917404:GEQ917425 FUP917404:FUU917425 FKT917404:FKY917425 FAX917404:FBC917425 ERB917404:ERG917425 EHF917404:EHK917425 DXJ917404:DXO917425 DNN917404:DNS917425 DDR917404:DDW917425 CTV917404:CUA917425 CJZ917404:CKE917425 CAD917404:CAI917425 BQH917404:BQM917425 BGL917404:BGQ917425 AWP917404:AWU917425 AMT917404:AMY917425 ACX917404:ADC917425 TB917404:TG917425 JF917404:JK917425 J917404:O917425 WVR851868:WVW851889 WLV851868:WMA851889 WBZ851868:WCE851889 VSD851868:VSI851889 VIH851868:VIM851889 UYL851868:UYQ851889 UOP851868:UOU851889 UET851868:UEY851889 TUX851868:TVC851889 TLB851868:TLG851889 TBF851868:TBK851889 SRJ851868:SRO851889 SHN851868:SHS851889 RXR851868:RXW851889 RNV851868:ROA851889 RDZ851868:REE851889 QUD851868:QUI851889 QKH851868:QKM851889 QAL851868:QAQ851889 PQP851868:PQU851889 PGT851868:PGY851889 OWX851868:OXC851889 ONB851868:ONG851889 ODF851868:ODK851889 NTJ851868:NTO851889 NJN851868:NJS851889 MZR851868:MZW851889 MPV851868:MQA851889 MFZ851868:MGE851889 LWD851868:LWI851889 LMH851868:LMM851889 LCL851868:LCQ851889 KSP851868:KSU851889 KIT851868:KIY851889 JYX851868:JZC851889 JPB851868:JPG851889 JFF851868:JFK851889 IVJ851868:IVO851889 ILN851868:ILS851889 IBR851868:IBW851889 HRV851868:HSA851889 HHZ851868:HIE851889 GYD851868:GYI851889 GOH851868:GOM851889 GEL851868:GEQ851889 FUP851868:FUU851889 FKT851868:FKY851889 FAX851868:FBC851889 ERB851868:ERG851889 EHF851868:EHK851889 DXJ851868:DXO851889 DNN851868:DNS851889 DDR851868:DDW851889 CTV851868:CUA851889 CJZ851868:CKE851889 CAD851868:CAI851889 BQH851868:BQM851889 BGL851868:BGQ851889 AWP851868:AWU851889 AMT851868:AMY851889 ACX851868:ADC851889 TB851868:TG851889 JF851868:JK851889 J851868:O851889 WVR786332:WVW786353 WLV786332:WMA786353 WBZ786332:WCE786353 VSD786332:VSI786353 VIH786332:VIM786353 UYL786332:UYQ786353 UOP786332:UOU786353 UET786332:UEY786353 TUX786332:TVC786353 TLB786332:TLG786353 TBF786332:TBK786353 SRJ786332:SRO786353 SHN786332:SHS786353 RXR786332:RXW786353 RNV786332:ROA786353 RDZ786332:REE786353 QUD786332:QUI786353 QKH786332:QKM786353 QAL786332:QAQ786353 PQP786332:PQU786353 PGT786332:PGY786353 OWX786332:OXC786353 ONB786332:ONG786353 ODF786332:ODK786353 NTJ786332:NTO786353 NJN786332:NJS786353 MZR786332:MZW786353 MPV786332:MQA786353 MFZ786332:MGE786353 LWD786332:LWI786353 LMH786332:LMM786353 LCL786332:LCQ786353 KSP786332:KSU786353 KIT786332:KIY786353 JYX786332:JZC786353 JPB786332:JPG786353 JFF786332:JFK786353 IVJ786332:IVO786353 ILN786332:ILS786353 IBR786332:IBW786353 HRV786332:HSA786353 HHZ786332:HIE786353 GYD786332:GYI786353 GOH786332:GOM786353 GEL786332:GEQ786353 FUP786332:FUU786353 FKT786332:FKY786353 FAX786332:FBC786353 ERB786332:ERG786353 EHF786332:EHK786353 DXJ786332:DXO786353 DNN786332:DNS786353 DDR786332:DDW786353 CTV786332:CUA786353 CJZ786332:CKE786353 CAD786332:CAI786353 BQH786332:BQM786353 BGL786332:BGQ786353 AWP786332:AWU786353 AMT786332:AMY786353 ACX786332:ADC786353 TB786332:TG786353 JF786332:JK786353 J786332:O786353 WVR720796:WVW720817 WLV720796:WMA720817 WBZ720796:WCE720817 VSD720796:VSI720817 VIH720796:VIM720817 UYL720796:UYQ720817 UOP720796:UOU720817 UET720796:UEY720817 TUX720796:TVC720817 TLB720796:TLG720817 TBF720796:TBK720817 SRJ720796:SRO720817 SHN720796:SHS720817 RXR720796:RXW720817 RNV720796:ROA720817 RDZ720796:REE720817 QUD720796:QUI720817 QKH720796:QKM720817 QAL720796:QAQ720817 PQP720796:PQU720817 PGT720796:PGY720817 OWX720796:OXC720817 ONB720796:ONG720817 ODF720796:ODK720817 NTJ720796:NTO720817 NJN720796:NJS720817 MZR720796:MZW720817 MPV720796:MQA720817 MFZ720796:MGE720817 LWD720796:LWI720817 LMH720796:LMM720817 LCL720796:LCQ720817 KSP720796:KSU720817 KIT720796:KIY720817 JYX720796:JZC720817 JPB720796:JPG720817 JFF720796:JFK720817 IVJ720796:IVO720817 ILN720796:ILS720817 IBR720796:IBW720817 HRV720796:HSA720817 HHZ720796:HIE720817 GYD720796:GYI720817 GOH720796:GOM720817 GEL720796:GEQ720817 FUP720796:FUU720817 FKT720796:FKY720817 FAX720796:FBC720817 ERB720796:ERG720817 EHF720796:EHK720817 DXJ720796:DXO720817 DNN720796:DNS720817 DDR720796:DDW720817 CTV720796:CUA720817 CJZ720796:CKE720817 CAD720796:CAI720817 BQH720796:BQM720817 BGL720796:BGQ720817 AWP720796:AWU720817 AMT720796:AMY720817 ACX720796:ADC720817 TB720796:TG720817 JF720796:JK720817 J720796:O720817 WVR655260:WVW655281 WLV655260:WMA655281 WBZ655260:WCE655281 VSD655260:VSI655281 VIH655260:VIM655281 UYL655260:UYQ655281 UOP655260:UOU655281 UET655260:UEY655281 TUX655260:TVC655281 TLB655260:TLG655281 TBF655260:TBK655281 SRJ655260:SRO655281 SHN655260:SHS655281 RXR655260:RXW655281 RNV655260:ROA655281 RDZ655260:REE655281 QUD655260:QUI655281 QKH655260:QKM655281 QAL655260:QAQ655281 PQP655260:PQU655281 PGT655260:PGY655281 OWX655260:OXC655281 ONB655260:ONG655281 ODF655260:ODK655281 NTJ655260:NTO655281 NJN655260:NJS655281 MZR655260:MZW655281 MPV655260:MQA655281 MFZ655260:MGE655281 LWD655260:LWI655281 LMH655260:LMM655281 LCL655260:LCQ655281 KSP655260:KSU655281 KIT655260:KIY655281 JYX655260:JZC655281 JPB655260:JPG655281 JFF655260:JFK655281 IVJ655260:IVO655281 ILN655260:ILS655281 IBR655260:IBW655281 HRV655260:HSA655281 HHZ655260:HIE655281 GYD655260:GYI655281 GOH655260:GOM655281 GEL655260:GEQ655281 FUP655260:FUU655281 FKT655260:FKY655281 FAX655260:FBC655281 ERB655260:ERG655281 EHF655260:EHK655281 DXJ655260:DXO655281 DNN655260:DNS655281 DDR655260:DDW655281 CTV655260:CUA655281 CJZ655260:CKE655281 CAD655260:CAI655281 BQH655260:BQM655281 BGL655260:BGQ655281 AWP655260:AWU655281 AMT655260:AMY655281 ACX655260:ADC655281 TB655260:TG655281 JF655260:JK655281 J655260:O655281 WVR589724:WVW589745 WLV589724:WMA589745 WBZ589724:WCE589745 VSD589724:VSI589745 VIH589724:VIM589745 UYL589724:UYQ589745 UOP589724:UOU589745 UET589724:UEY589745 TUX589724:TVC589745 TLB589724:TLG589745 TBF589724:TBK589745 SRJ589724:SRO589745 SHN589724:SHS589745 RXR589724:RXW589745 RNV589724:ROA589745 RDZ589724:REE589745 QUD589724:QUI589745 QKH589724:QKM589745 QAL589724:QAQ589745 PQP589724:PQU589745 PGT589724:PGY589745 OWX589724:OXC589745 ONB589724:ONG589745 ODF589724:ODK589745 NTJ589724:NTO589745 NJN589724:NJS589745 MZR589724:MZW589745 MPV589724:MQA589745 MFZ589724:MGE589745 LWD589724:LWI589745 LMH589724:LMM589745 LCL589724:LCQ589745 KSP589724:KSU589745 KIT589724:KIY589745 JYX589724:JZC589745 JPB589724:JPG589745 JFF589724:JFK589745 IVJ589724:IVO589745 ILN589724:ILS589745 IBR589724:IBW589745 HRV589724:HSA589745 HHZ589724:HIE589745 GYD589724:GYI589745 GOH589724:GOM589745 GEL589724:GEQ589745 FUP589724:FUU589745 FKT589724:FKY589745 FAX589724:FBC589745 ERB589724:ERG589745 EHF589724:EHK589745 DXJ589724:DXO589745 DNN589724:DNS589745 DDR589724:DDW589745 CTV589724:CUA589745 CJZ589724:CKE589745 CAD589724:CAI589745 BQH589724:BQM589745 BGL589724:BGQ589745 AWP589724:AWU589745 AMT589724:AMY589745 ACX589724:ADC589745 TB589724:TG589745 JF589724:JK589745 J589724:O589745 WVR524188:WVW524209 WLV524188:WMA524209 WBZ524188:WCE524209 VSD524188:VSI524209 VIH524188:VIM524209 UYL524188:UYQ524209 UOP524188:UOU524209 UET524188:UEY524209 TUX524188:TVC524209 TLB524188:TLG524209 TBF524188:TBK524209 SRJ524188:SRO524209 SHN524188:SHS524209 RXR524188:RXW524209 RNV524188:ROA524209 RDZ524188:REE524209 QUD524188:QUI524209 QKH524188:QKM524209 QAL524188:QAQ524209 PQP524188:PQU524209 PGT524188:PGY524209 OWX524188:OXC524209 ONB524188:ONG524209 ODF524188:ODK524209 NTJ524188:NTO524209 NJN524188:NJS524209 MZR524188:MZW524209 MPV524188:MQA524209 MFZ524188:MGE524209 LWD524188:LWI524209 LMH524188:LMM524209 LCL524188:LCQ524209 KSP524188:KSU524209 KIT524188:KIY524209 JYX524188:JZC524209 JPB524188:JPG524209 JFF524188:JFK524209 IVJ524188:IVO524209 ILN524188:ILS524209 IBR524188:IBW524209 HRV524188:HSA524209 HHZ524188:HIE524209 GYD524188:GYI524209 GOH524188:GOM524209 GEL524188:GEQ524209 FUP524188:FUU524209 FKT524188:FKY524209 FAX524188:FBC524209 ERB524188:ERG524209 EHF524188:EHK524209 DXJ524188:DXO524209 DNN524188:DNS524209 DDR524188:DDW524209 CTV524188:CUA524209 CJZ524188:CKE524209 CAD524188:CAI524209 BQH524188:BQM524209 BGL524188:BGQ524209 AWP524188:AWU524209 AMT524188:AMY524209 ACX524188:ADC524209 TB524188:TG524209 JF524188:JK524209 J524188:O524209 WVR458652:WVW458673 WLV458652:WMA458673 WBZ458652:WCE458673 VSD458652:VSI458673 VIH458652:VIM458673 UYL458652:UYQ458673 UOP458652:UOU458673 UET458652:UEY458673 TUX458652:TVC458673 TLB458652:TLG458673 TBF458652:TBK458673 SRJ458652:SRO458673 SHN458652:SHS458673 RXR458652:RXW458673 RNV458652:ROA458673 RDZ458652:REE458673 QUD458652:QUI458673 QKH458652:QKM458673 QAL458652:QAQ458673 PQP458652:PQU458673 PGT458652:PGY458673 OWX458652:OXC458673 ONB458652:ONG458673 ODF458652:ODK458673 NTJ458652:NTO458673 NJN458652:NJS458673 MZR458652:MZW458673 MPV458652:MQA458673 MFZ458652:MGE458673 LWD458652:LWI458673 LMH458652:LMM458673 LCL458652:LCQ458673 KSP458652:KSU458673 KIT458652:KIY458673 JYX458652:JZC458673 JPB458652:JPG458673 JFF458652:JFK458673 IVJ458652:IVO458673 ILN458652:ILS458673 IBR458652:IBW458673 HRV458652:HSA458673 HHZ458652:HIE458673 GYD458652:GYI458673 GOH458652:GOM458673 GEL458652:GEQ458673 FUP458652:FUU458673 FKT458652:FKY458673 FAX458652:FBC458673 ERB458652:ERG458673 EHF458652:EHK458673 DXJ458652:DXO458673 DNN458652:DNS458673 DDR458652:DDW458673 CTV458652:CUA458673 CJZ458652:CKE458673 CAD458652:CAI458673 BQH458652:BQM458673 BGL458652:BGQ458673 AWP458652:AWU458673 AMT458652:AMY458673 ACX458652:ADC458673 TB458652:TG458673 JF458652:JK458673 J458652:O458673 WVR393116:WVW393137 WLV393116:WMA393137 WBZ393116:WCE393137 VSD393116:VSI393137 VIH393116:VIM393137 UYL393116:UYQ393137 UOP393116:UOU393137 UET393116:UEY393137 TUX393116:TVC393137 TLB393116:TLG393137 TBF393116:TBK393137 SRJ393116:SRO393137 SHN393116:SHS393137 RXR393116:RXW393137 RNV393116:ROA393137 RDZ393116:REE393137 QUD393116:QUI393137 QKH393116:QKM393137 QAL393116:QAQ393137 PQP393116:PQU393137 PGT393116:PGY393137 OWX393116:OXC393137 ONB393116:ONG393137 ODF393116:ODK393137 NTJ393116:NTO393137 NJN393116:NJS393137 MZR393116:MZW393137 MPV393116:MQA393137 MFZ393116:MGE393137 LWD393116:LWI393137 LMH393116:LMM393137 LCL393116:LCQ393137 KSP393116:KSU393137 KIT393116:KIY393137 JYX393116:JZC393137 JPB393116:JPG393137 JFF393116:JFK393137 IVJ393116:IVO393137 ILN393116:ILS393137 IBR393116:IBW393137 HRV393116:HSA393137 HHZ393116:HIE393137 GYD393116:GYI393137 GOH393116:GOM393137 GEL393116:GEQ393137 FUP393116:FUU393137 FKT393116:FKY393137 FAX393116:FBC393137 ERB393116:ERG393137 EHF393116:EHK393137 DXJ393116:DXO393137 DNN393116:DNS393137 DDR393116:DDW393137 CTV393116:CUA393137 CJZ393116:CKE393137 CAD393116:CAI393137 BQH393116:BQM393137 BGL393116:BGQ393137 AWP393116:AWU393137 AMT393116:AMY393137 ACX393116:ADC393137 TB393116:TG393137 JF393116:JK393137 J393116:O393137 WVR327580:WVW327601 WLV327580:WMA327601 WBZ327580:WCE327601 VSD327580:VSI327601 VIH327580:VIM327601 UYL327580:UYQ327601 UOP327580:UOU327601 UET327580:UEY327601 TUX327580:TVC327601 TLB327580:TLG327601 TBF327580:TBK327601 SRJ327580:SRO327601 SHN327580:SHS327601 RXR327580:RXW327601 RNV327580:ROA327601 RDZ327580:REE327601 QUD327580:QUI327601 QKH327580:QKM327601 QAL327580:QAQ327601 PQP327580:PQU327601 PGT327580:PGY327601 OWX327580:OXC327601 ONB327580:ONG327601 ODF327580:ODK327601 NTJ327580:NTO327601 NJN327580:NJS327601 MZR327580:MZW327601 MPV327580:MQA327601 MFZ327580:MGE327601 LWD327580:LWI327601 LMH327580:LMM327601 LCL327580:LCQ327601 KSP327580:KSU327601 KIT327580:KIY327601 JYX327580:JZC327601 JPB327580:JPG327601 JFF327580:JFK327601 IVJ327580:IVO327601 ILN327580:ILS327601 IBR327580:IBW327601 HRV327580:HSA327601 HHZ327580:HIE327601 GYD327580:GYI327601 GOH327580:GOM327601 GEL327580:GEQ327601 FUP327580:FUU327601 FKT327580:FKY327601 FAX327580:FBC327601 ERB327580:ERG327601 EHF327580:EHK327601 DXJ327580:DXO327601 DNN327580:DNS327601 DDR327580:DDW327601 CTV327580:CUA327601 CJZ327580:CKE327601 CAD327580:CAI327601 BQH327580:BQM327601 BGL327580:BGQ327601 AWP327580:AWU327601 AMT327580:AMY327601 ACX327580:ADC327601 TB327580:TG327601 JF327580:JK327601 J327580:O327601 WVR262044:WVW262065 WLV262044:WMA262065 WBZ262044:WCE262065 VSD262044:VSI262065 VIH262044:VIM262065 UYL262044:UYQ262065 UOP262044:UOU262065 UET262044:UEY262065 TUX262044:TVC262065 TLB262044:TLG262065 TBF262044:TBK262065 SRJ262044:SRO262065 SHN262044:SHS262065 RXR262044:RXW262065 RNV262044:ROA262065 RDZ262044:REE262065 QUD262044:QUI262065 QKH262044:QKM262065 QAL262044:QAQ262065 PQP262044:PQU262065 PGT262044:PGY262065 OWX262044:OXC262065 ONB262044:ONG262065 ODF262044:ODK262065 NTJ262044:NTO262065 NJN262044:NJS262065 MZR262044:MZW262065 MPV262044:MQA262065 MFZ262044:MGE262065 LWD262044:LWI262065 LMH262044:LMM262065 LCL262044:LCQ262065 KSP262044:KSU262065 KIT262044:KIY262065 JYX262044:JZC262065 JPB262044:JPG262065 JFF262044:JFK262065 IVJ262044:IVO262065 ILN262044:ILS262065 IBR262044:IBW262065 HRV262044:HSA262065 HHZ262044:HIE262065 GYD262044:GYI262065 GOH262044:GOM262065 GEL262044:GEQ262065 FUP262044:FUU262065 FKT262044:FKY262065 FAX262044:FBC262065 ERB262044:ERG262065 EHF262044:EHK262065 DXJ262044:DXO262065 DNN262044:DNS262065 DDR262044:DDW262065 CTV262044:CUA262065 CJZ262044:CKE262065 CAD262044:CAI262065 BQH262044:BQM262065 BGL262044:BGQ262065 AWP262044:AWU262065 AMT262044:AMY262065 ACX262044:ADC262065 TB262044:TG262065 JF262044:JK262065 J262044:O262065 WVR196508:WVW196529 WLV196508:WMA196529 WBZ196508:WCE196529 VSD196508:VSI196529 VIH196508:VIM196529 UYL196508:UYQ196529 UOP196508:UOU196529 UET196508:UEY196529 TUX196508:TVC196529 TLB196508:TLG196529 TBF196508:TBK196529 SRJ196508:SRO196529 SHN196508:SHS196529 RXR196508:RXW196529 RNV196508:ROA196529 RDZ196508:REE196529 QUD196508:QUI196529 QKH196508:QKM196529 QAL196508:QAQ196529 PQP196508:PQU196529 PGT196508:PGY196529 OWX196508:OXC196529 ONB196508:ONG196529 ODF196508:ODK196529 NTJ196508:NTO196529 NJN196508:NJS196529 MZR196508:MZW196529 MPV196508:MQA196529 MFZ196508:MGE196529 LWD196508:LWI196529 LMH196508:LMM196529 LCL196508:LCQ196529 KSP196508:KSU196529 KIT196508:KIY196529 JYX196508:JZC196529 JPB196508:JPG196529 JFF196508:JFK196529 IVJ196508:IVO196529 ILN196508:ILS196529 IBR196508:IBW196529 HRV196508:HSA196529 HHZ196508:HIE196529 GYD196508:GYI196529 GOH196508:GOM196529 GEL196508:GEQ196529 FUP196508:FUU196529 FKT196508:FKY196529 FAX196508:FBC196529 ERB196508:ERG196529 EHF196508:EHK196529 DXJ196508:DXO196529 DNN196508:DNS196529 DDR196508:DDW196529 CTV196508:CUA196529 CJZ196508:CKE196529 CAD196508:CAI196529 BQH196508:BQM196529 BGL196508:BGQ196529 AWP196508:AWU196529 AMT196508:AMY196529 ACX196508:ADC196529 TB196508:TG196529 JF196508:JK196529 J196508:O196529 WVR130972:WVW130993 WLV130972:WMA130993 WBZ130972:WCE130993 VSD130972:VSI130993 VIH130972:VIM130993 UYL130972:UYQ130993 UOP130972:UOU130993 UET130972:UEY130993 TUX130972:TVC130993 TLB130972:TLG130993 TBF130972:TBK130993 SRJ130972:SRO130993 SHN130972:SHS130993 RXR130972:RXW130993 RNV130972:ROA130993 RDZ130972:REE130993 QUD130972:QUI130993 QKH130972:QKM130993 QAL130972:QAQ130993 PQP130972:PQU130993 PGT130972:PGY130993 OWX130972:OXC130993 ONB130972:ONG130993 ODF130972:ODK130993 NTJ130972:NTO130993 NJN130972:NJS130993 MZR130972:MZW130993 MPV130972:MQA130993 MFZ130972:MGE130993 LWD130972:LWI130993 LMH130972:LMM130993 LCL130972:LCQ130993 KSP130972:KSU130993 KIT130972:KIY130993 JYX130972:JZC130993 JPB130972:JPG130993 JFF130972:JFK130993 IVJ130972:IVO130993 ILN130972:ILS130993 IBR130972:IBW130993 HRV130972:HSA130993 HHZ130972:HIE130993 GYD130972:GYI130993 GOH130972:GOM130993 GEL130972:GEQ130993 FUP130972:FUU130993 FKT130972:FKY130993 FAX130972:FBC130993 ERB130972:ERG130993 EHF130972:EHK130993 DXJ130972:DXO130993 DNN130972:DNS130993 DDR130972:DDW130993 CTV130972:CUA130993 CJZ130972:CKE130993 CAD130972:CAI130993 BQH130972:BQM130993 BGL130972:BGQ130993 AWP130972:AWU130993 AMT130972:AMY130993 ACX130972:ADC130993 TB130972:TG130993 JF130972:JK130993 J130972:O130993 WVR65436:WVW65457 WLV65436:WMA65457 WBZ65436:WCE65457 VSD65436:VSI65457 VIH65436:VIM65457 UYL65436:UYQ65457 UOP65436:UOU65457 UET65436:UEY65457 TUX65436:TVC65457 TLB65436:TLG65457 TBF65436:TBK65457 SRJ65436:SRO65457 SHN65436:SHS65457 RXR65436:RXW65457 RNV65436:ROA65457 RDZ65436:REE65457 QUD65436:QUI65457 QKH65436:QKM65457 QAL65436:QAQ65457 PQP65436:PQU65457 PGT65436:PGY65457 OWX65436:OXC65457 ONB65436:ONG65457 ODF65436:ODK65457 NTJ65436:NTO65457 NJN65436:NJS65457 MZR65436:MZW65457 MPV65436:MQA65457 MFZ65436:MGE65457 LWD65436:LWI65457 LMH65436:LMM65457 LCL65436:LCQ65457 KSP65436:KSU65457 KIT65436:KIY65457 JYX65436:JZC65457 JPB65436:JPG65457 JFF65436:JFK65457 IVJ65436:IVO65457 ILN65436:ILS65457 IBR65436:IBW65457 HRV65436:HSA65457 HHZ65436:HIE65457 GYD65436:GYI65457 GOH65436:GOM65457 GEL65436:GEQ65457 FUP65436:FUU65457 FKT65436:FKY65457 FAX65436:FBC65457 ERB65436:ERG65457 EHF65436:EHK65457 DXJ65436:DXO65457 DNN65436:DNS65457 DDR65436:DDW65457 CTV65436:CUA65457 CJZ65436:CKE65457 CAD65436:CAI65457 BQH65436:BQM65457 BGL65436:BGQ65457 AWP65436:AWU65457 AMT65436:AMY65457 ACX65436:ADC65457 TB65436:TG65457 JF65436:JK65457 J65436:O65457 WWF982940:WWM982961 WMJ982940:WMQ982961 WCN982940:WCU982961 VSR982940:VSY982961 VIV982940:VJC982961 UYZ982940:UZG982961 UPD982940:UPK982961 UFH982940:UFO982961 TVL982940:TVS982961 TLP982940:TLW982961 TBT982940:TCA982961 SRX982940:SSE982961 SIB982940:SII982961 RYF982940:RYM982961 ROJ982940:ROQ982961 REN982940:REU982961 QUR982940:QUY982961 QKV982940:QLC982961 QAZ982940:QBG982961 PRD982940:PRK982961 PHH982940:PHO982961 OXL982940:OXS982961 ONP982940:ONW982961 ODT982940:OEA982961 NTX982940:NUE982961 NKB982940:NKI982961 NAF982940:NAM982961 MQJ982940:MQQ982961 MGN982940:MGU982961 LWR982940:LWY982961 LMV982940:LNC982961 LCZ982940:LDG982961 KTD982940:KTK982961 KJH982940:KJO982961 JZL982940:JZS982961 JPP982940:JPW982961 JFT982940:JGA982961 IVX982940:IWE982961 IMB982940:IMI982961 ICF982940:ICM982961 HSJ982940:HSQ982961 HIN982940:HIU982961 GYR982940:GYY982961 GOV982940:GPC982961 GEZ982940:GFG982961 FVD982940:FVK982961 FLH982940:FLO982961 FBL982940:FBS982961 ERP982940:ERW982961 EHT982940:EIA982961 DXX982940:DYE982961 DOB982940:DOI982961 DEF982940:DEM982961 CUJ982940:CUQ982961 CKN982940:CKU982961 CAR982940:CAY982961 BQV982940:BRC982961 BGZ982940:BHG982961 AXD982940:AXK982961 ANH982940:ANO982961 ADL982940:ADS982961 TP982940:TW982961 JT982940:KA982961 X982940:AE982961 WWF917404:WWM917425 WMJ917404:WMQ917425 WCN917404:WCU917425 VSR917404:VSY917425 VIV917404:VJC917425 UYZ917404:UZG917425 UPD917404:UPK917425 UFH917404:UFO917425 TVL917404:TVS917425 TLP917404:TLW917425 TBT917404:TCA917425 SRX917404:SSE917425 SIB917404:SII917425 RYF917404:RYM917425 ROJ917404:ROQ917425 REN917404:REU917425 QUR917404:QUY917425 QKV917404:QLC917425 QAZ917404:QBG917425 PRD917404:PRK917425 PHH917404:PHO917425 OXL917404:OXS917425 ONP917404:ONW917425 ODT917404:OEA917425 NTX917404:NUE917425 NKB917404:NKI917425 NAF917404:NAM917425 MQJ917404:MQQ917425 MGN917404:MGU917425 LWR917404:LWY917425 LMV917404:LNC917425 LCZ917404:LDG917425 KTD917404:KTK917425 KJH917404:KJO917425 JZL917404:JZS917425 JPP917404:JPW917425 JFT917404:JGA917425 IVX917404:IWE917425 IMB917404:IMI917425 ICF917404:ICM917425 HSJ917404:HSQ917425 HIN917404:HIU917425 GYR917404:GYY917425 GOV917404:GPC917425 GEZ917404:GFG917425 FVD917404:FVK917425 FLH917404:FLO917425 FBL917404:FBS917425 ERP917404:ERW917425 EHT917404:EIA917425 DXX917404:DYE917425 DOB917404:DOI917425 DEF917404:DEM917425 CUJ917404:CUQ917425 CKN917404:CKU917425 CAR917404:CAY917425 BQV917404:BRC917425 BGZ917404:BHG917425 AXD917404:AXK917425 ANH917404:ANO917425 ADL917404:ADS917425 TP917404:TW917425 JT917404:KA917425 X917404:AE917425 WWF851868:WWM851889 WMJ851868:WMQ851889 WCN851868:WCU851889 VSR851868:VSY851889 VIV851868:VJC851889 UYZ851868:UZG851889 UPD851868:UPK851889 UFH851868:UFO851889 TVL851868:TVS851889 TLP851868:TLW851889 TBT851868:TCA851889 SRX851868:SSE851889 SIB851868:SII851889 RYF851868:RYM851889 ROJ851868:ROQ851889 REN851868:REU851889 QUR851868:QUY851889 QKV851868:QLC851889 QAZ851868:QBG851889 PRD851868:PRK851889 PHH851868:PHO851889 OXL851868:OXS851889 ONP851868:ONW851889 ODT851868:OEA851889 NTX851868:NUE851889 NKB851868:NKI851889 NAF851868:NAM851889 MQJ851868:MQQ851889 MGN851868:MGU851889 LWR851868:LWY851889 LMV851868:LNC851889 LCZ851868:LDG851889 KTD851868:KTK851889 KJH851868:KJO851889 JZL851868:JZS851889 JPP851868:JPW851889 JFT851868:JGA851889 IVX851868:IWE851889 IMB851868:IMI851889 ICF851868:ICM851889 HSJ851868:HSQ851889 HIN851868:HIU851889 GYR851868:GYY851889 GOV851868:GPC851889 GEZ851868:GFG851889 FVD851868:FVK851889 FLH851868:FLO851889 FBL851868:FBS851889 ERP851868:ERW851889 EHT851868:EIA851889 DXX851868:DYE851889 DOB851868:DOI851889 DEF851868:DEM851889 CUJ851868:CUQ851889 CKN851868:CKU851889 CAR851868:CAY851889 BQV851868:BRC851889 BGZ851868:BHG851889 AXD851868:AXK851889 ANH851868:ANO851889 ADL851868:ADS851889 TP851868:TW851889 JT851868:KA851889 X851868:AE851889 WWF786332:WWM786353 WMJ786332:WMQ786353 WCN786332:WCU786353 VSR786332:VSY786353 VIV786332:VJC786353 UYZ786332:UZG786353 UPD786332:UPK786353 UFH786332:UFO786353 TVL786332:TVS786353 TLP786332:TLW786353 TBT786332:TCA786353 SRX786332:SSE786353 SIB786332:SII786353 RYF786332:RYM786353 ROJ786332:ROQ786353 REN786332:REU786353 QUR786332:QUY786353 QKV786332:QLC786353 QAZ786332:QBG786353 PRD786332:PRK786353 PHH786332:PHO786353 OXL786332:OXS786353 ONP786332:ONW786353 ODT786332:OEA786353 NTX786332:NUE786353 NKB786332:NKI786353 NAF786332:NAM786353 MQJ786332:MQQ786353 MGN786332:MGU786353 LWR786332:LWY786353 LMV786332:LNC786353 LCZ786332:LDG786353 KTD786332:KTK786353 KJH786332:KJO786353 JZL786332:JZS786353 JPP786332:JPW786353 JFT786332:JGA786353 IVX786332:IWE786353 IMB786332:IMI786353 ICF786332:ICM786353 HSJ786332:HSQ786353 HIN786332:HIU786353 GYR786332:GYY786353 GOV786332:GPC786353 GEZ786332:GFG786353 FVD786332:FVK786353 FLH786332:FLO786353 FBL786332:FBS786353 ERP786332:ERW786353 EHT786332:EIA786353 DXX786332:DYE786353 DOB786332:DOI786353 DEF786332:DEM786353 CUJ786332:CUQ786353 CKN786332:CKU786353 CAR786332:CAY786353 BQV786332:BRC786353 BGZ786332:BHG786353 AXD786332:AXK786353 ANH786332:ANO786353 ADL786332:ADS786353 TP786332:TW786353 JT786332:KA786353 X786332:AE786353 WWF720796:WWM720817 WMJ720796:WMQ720817 WCN720796:WCU720817 VSR720796:VSY720817 VIV720796:VJC720817 UYZ720796:UZG720817 UPD720796:UPK720817 UFH720796:UFO720817 TVL720796:TVS720817 TLP720796:TLW720817 TBT720796:TCA720817 SRX720796:SSE720817 SIB720796:SII720817 RYF720796:RYM720817 ROJ720796:ROQ720817 REN720796:REU720817 QUR720796:QUY720817 QKV720796:QLC720817 QAZ720796:QBG720817 PRD720796:PRK720817 PHH720796:PHO720817 OXL720796:OXS720817 ONP720796:ONW720817 ODT720796:OEA720817 NTX720796:NUE720817 NKB720796:NKI720817 NAF720796:NAM720817 MQJ720796:MQQ720817 MGN720796:MGU720817 LWR720796:LWY720817 LMV720796:LNC720817 LCZ720796:LDG720817 KTD720796:KTK720817 KJH720796:KJO720817 JZL720796:JZS720817 JPP720796:JPW720817 JFT720796:JGA720817 IVX720796:IWE720817 IMB720796:IMI720817 ICF720796:ICM720817 HSJ720796:HSQ720817 HIN720796:HIU720817 GYR720796:GYY720817 GOV720796:GPC720817 GEZ720796:GFG720817 FVD720796:FVK720817 FLH720796:FLO720817 FBL720796:FBS720817 ERP720796:ERW720817 EHT720796:EIA720817 DXX720796:DYE720817 DOB720796:DOI720817 DEF720796:DEM720817 CUJ720796:CUQ720817 CKN720796:CKU720817 CAR720796:CAY720817 BQV720796:BRC720817 BGZ720796:BHG720817 AXD720796:AXK720817 ANH720796:ANO720817 ADL720796:ADS720817 TP720796:TW720817 JT720796:KA720817 X720796:AE720817 WWF655260:WWM655281 WMJ655260:WMQ655281 WCN655260:WCU655281 VSR655260:VSY655281 VIV655260:VJC655281 UYZ655260:UZG655281 UPD655260:UPK655281 UFH655260:UFO655281 TVL655260:TVS655281 TLP655260:TLW655281 TBT655260:TCA655281 SRX655260:SSE655281 SIB655260:SII655281 RYF655260:RYM655281 ROJ655260:ROQ655281 REN655260:REU655281 QUR655260:QUY655281 QKV655260:QLC655281 QAZ655260:QBG655281 PRD655260:PRK655281 PHH655260:PHO655281 OXL655260:OXS655281 ONP655260:ONW655281 ODT655260:OEA655281 NTX655260:NUE655281 NKB655260:NKI655281 NAF655260:NAM655281 MQJ655260:MQQ655281 MGN655260:MGU655281 LWR655260:LWY655281 LMV655260:LNC655281 LCZ655260:LDG655281 KTD655260:KTK655281 KJH655260:KJO655281 JZL655260:JZS655281 JPP655260:JPW655281 JFT655260:JGA655281 IVX655260:IWE655281 IMB655260:IMI655281 ICF655260:ICM655281 HSJ655260:HSQ655281 HIN655260:HIU655281 GYR655260:GYY655281 GOV655260:GPC655281 GEZ655260:GFG655281 FVD655260:FVK655281 FLH655260:FLO655281 FBL655260:FBS655281 ERP655260:ERW655281 EHT655260:EIA655281 DXX655260:DYE655281 DOB655260:DOI655281 DEF655260:DEM655281 CUJ655260:CUQ655281 CKN655260:CKU655281 CAR655260:CAY655281 BQV655260:BRC655281 BGZ655260:BHG655281 AXD655260:AXK655281 ANH655260:ANO655281 ADL655260:ADS655281 TP655260:TW655281 JT655260:KA655281 X655260:AE655281 WWF589724:WWM589745 WMJ589724:WMQ589745 WCN589724:WCU589745 VSR589724:VSY589745 VIV589724:VJC589745 UYZ589724:UZG589745 UPD589724:UPK589745 UFH589724:UFO589745 TVL589724:TVS589745 TLP589724:TLW589745 TBT589724:TCA589745 SRX589724:SSE589745 SIB589724:SII589745 RYF589724:RYM589745 ROJ589724:ROQ589745 REN589724:REU589745 QUR589724:QUY589745 QKV589724:QLC589745 QAZ589724:QBG589745 PRD589724:PRK589745 PHH589724:PHO589745 OXL589724:OXS589745 ONP589724:ONW589745 ODT589724:OEA589745 NTX589724:NUE589745 NKB589724:NKI589745 NAF589724:NAM589745 MQJ589724:MQQ589745 MGN589724:MGU589745 LWR589724:LWY589745 LMV589724:LNC589745 LCZ589724:LDG589745 KTD589724:KTK589745 KJH589724:KJO589745 JZL589724:JZS589745 JPP589724:JPW589745 JFT589724:JGA589745 IVX589724:IWE589745 IMB589724:IMI589745 ICF589724:ICM589745 HSJ589724:HSQ589745 HIN589724:HIU589745 GYR589724:GYY589745 GOV589724:GPC589745 GEZ589724:GFG589745 FVD589724:FVK589745 FLH589724:FLO589745 FBL589724:FBS589745 ERP589724:ERW589745 EHT589724:EIA589745 DXX589724:DYE589745 DOB589724:DOI589745 DEF589724:DEM589745 CUJ589724:CUQ589745 CKN589724:CKU589745 CAR589724:CAY589745 BQV589724:BRC589745 BGZ589724:BHG589745 AXD589724:AXK589745 ANH589724:ANO589745 ADL589724:ADS589745 TP589724:TW589745 JT589724:KA589745 X589724:AE589745 WWF524188:WWM524209 WMJ524188:WMQ524209 WCN524188:WCU524209 VSR524188:VSY524209 VIV524188:VJC524209 UYZ524188:UZG524209 UPD524188:UPK524209 UFH524188:UFO524209 TVL524188:TVS524209 TLP524188:TLW524209 TBT524188:TCA524209 SRX524188:SSE524209 SIB524188:SII524209 RYF524188:RYM524209 ROJ524188:ROQ524209 REN524188:REU524209 QUR524188:QUY524209 QKV524188:QLC524209 QAZ524188:QBG524209 PRD524188:PRK524209 PHH524188:PHO524209 OXL524188:OXS524209 ONP524188:ONW524209 ODT524188:OEA524209 NTX524188:NUE524209 NKB524188:NKI524209 NAF524188:NAM524209 MQJ524188:MQQ524209 MGN524188:MGU524209 LWR524188:LWY524209 LMV524188:LNC524209 LCZ524188:LDG524209 KTD524188:KTK524209 KJH524188:KJO524209 JZL524188:JZS524209 JPP524188:JPW524209 JFT524188:JGA524209 IVX524188:IWE524209 IMB524188:IMI524209 ICF524188:ICM524209 HSJ524188:HSQ524209 HIN524188:HIU524209 GYR524188:GYY524209 GOV524188:GPC524209 GEZ524188:GFG524209 FVD524188:FVK524209 FLH524188:FLO524209 FBL524188:FBS524209 ERP524188:ERW524209 EHT524188:EIA524209 DXX524188:DYE524209 DOB524188:DOI524209 DEF524188:DEM524209 CUJ524188:CUQ524209 CKN524188:CKU524209 CAR524188:CAY524209 BQV524188:BRC524209 BGZ524188:BHG524209 AXD524188:AXK524209 ANH524188:ANO524209 ADL524188:ADS524209 TP524188:TW524209 JT524188:KA524209 X524188:AE524209 WWF458652:WWM458673 WMJ458652:WMQ458673 WCN458652:WCU458673 VSR458652:VSY458673 VIV458652:VJC458673 UYZ458652:UZG458673 UPD458652:UPK458673 UFH458652:UFO458673 TVL458652:TVS458673 TLP458652:TLW458673 TBT458652:TCA458673 SRX458652:SSE458673 SIB458652:SII458673 RYF458652:RYM458673 ROJ458652:ROQ458673 REN458652:REU458673 QUR458652:QUY458673 QKV458652:QLC458673 QAZ458652:QBG458673 PRD458652:PRK458673 PHH458652:PHO458673 OXL458652:OXS458673 ONP458652:ONW458673 ODT458652:OEA458673 NTX458652:NUE458673 NKB458652:NKI458673 NAF458652:NAM458673 MQJ458652:MQQ458673 MGN458652:MGU458673 LWR458652:LWY458673 LMV458652:LNC458673 LCZ458652:LDG458673 KTD458652:KTK458673 KJH458652:KJO458673 JZL458652:JZS458673 JPP458652:JPW458673 JFT458652:JGA458673 IVX458652:IWE458673 IMB458652:IMI458673 ICF458652:ICM458673 HSJ458652:HSQ458673 HIN458652:HIU458673 GYR458652:GYY458673 GOV458652:GPC458673 GEZ458652:GFG458673 FVD458652:FVK458673 FLH458652:FLO458673 FBL458652:FBS458673 ERP458652:ERW458673 EHT458652:EIA458673 DXX458652:DYE458673 DOB458652:DOI458673 DEF458652:DEM458673 CUJ458652:CUQ458673 CKN458652:CKU458673 CAR458652:CAY458673 BQV458652:BRC458673 BGZ458652:BHG458673 AXD458652:AXK458673 ANH458652:ANO458673 ADL458652:ADS458673 TP458652:TW458673 JT458652:KA458673 X458652:AE458673 WWF393116:WWM393137 WMJ393116:WMQ393137 WCN393116:WCU393137 VSR393116:VSY393137 VIV393116:VJC393137 UYZ393116:UZG393137 UPD393116:UPK393137 UFH393116:UFO393137 TVL393116:TVS393137 TLP393116:TLW393137 TBT393116:TCA393137 SRX393116:SSE393137 SIB393116:SII393137 RYF393116:RYM393137 ROJ393116:ROQ393137 REN393116:REU393137 QUR393116:QUY393137 QKV393116:QLC393137 QAZ393116:QBG393137 PRD393116:PRK393137 PHH393116:PHO393137 OXL393116:OXS393137 ONP393116:ONW393137 ODT393116:OEA393137 NTX393116:NUE393137 NKB393116:NKI393137 NAF393116:NAM393137 MQJ393116:MQQ393137 MGN393116:MGU393137 LWR393116:LWY393137 LMV393116:LNC393137 LCZ393116:LDG393137 KTD393116:KTK393137 KJH393116:KJO393137 JZL393116:JZS393137 JPP393116:JPW393137 JFT393116:JGA393137 IVX393116:IWE393137 IMB393116:IMI393137 ICF393116:ICM393137 HSJ393116:HSQ393137 HIN393116:HIU393137 GYR393116:GYY393137 GOV393116:GPC393137 GEZ393116:GFG393137 FVD393116:FVK393137 FLH393116:FLO393137 FBL393116:FBS393137 ERP393116:ERW393137 EHT393116:EIA393137 DXX393116:DYE393137 DOB393116:DOI393137 DEF393116:DEM393137 CUJ393116:CUQ393137 CKN393116:CKU393137 CAR393116:CAY393137 BQV393116:BRC393137 BGZ393116:BHG393137 AXD393116:AXK393137 ANH393116:ANO393137 ADL393116:ADS393137 TP393116:TW393137 JT393116:KA393137 X393116:AE393137 WWF327580:WWM327601 WMJ327580:WMQ327601 WCN327580:WCU327601 VSR327580:VSY327601 VIV327580:VJC327601 UYZ327580:UZG327601 UPD327580:UPK327601 UFH327580:UFO327601 TVL327580:TVS327601 TLP327580:TLW327601 TBT327580:TCA327601 SRX327580:SSE327601 SIB327580:SII327601 RYF327580:RYM327601 ROJ327580:ROQ327601 REN327580:REU327601 QUR327580:QUY327601 QKV327580:QLC327601 QAZ327580:QBG327601 PRD327580:PRK327601 PHH327580:PHO327601 OXL327580:OXS327601 ONP327580:ONW327601 ODT327580:OEA327601 NTX327580:NUE327601 NKB327580:NKI327601 NAF327580:NAM327601 MQJ327580:MQQ327601 MGN327580:MGU327601 LWR327580:LWY327601 LMV327580:LNC327601 LCZ327580:LDG327601 KTD327580:KTK327601 KJH327580:KJO327601 JZL327580:JZS327601 JPP327580:JPW327601 JFT327580:JGA327601 IVX327580:IWE327601 IMB327580:IMI327601 ICF327580:ICM327601 HSJ327580:HSQ327601 HIN327580:HIU327601 GYR327580:GYY327601 GOV327580:GPC327601 GEZ327580:GFG327601 FVD327580:FVK327601 FLH327580:FLO327601 FBL327580:FBS327601 ERP327580:ERW327601 EHT327580:EIA327601 DXX327580:DYE327601 DOB327580:DOI327601 DEF327580:DEM327601 CUJ327580:CUQ327601 CKN327580:CKU327601 CAR327580:CAY327601 BQV327580:BRC327601 BGZ327580:BHG327601 AXD327580:AXK327601 ANH327580:ANO327601 ADL327580:ADS327601 TP327580:TW327601 JT327580:KA327601 X327580:AE327601 WWF262044:WWM262065 WMJ262044:WMQ262065 WCN262044:WCU262065 VSR262044:VSY262065 VIV262044:VJC262065 UYZ262044:UZG262065 UPD262044:UPK262065 UFH262044:UFO262065 TVL262044:TVS262065 TLP262044:TLW262065 TBT262044:TCA262065 SRX262044:SSE262065 SIB262044:SII262065 RYF262044:RYM262065 ROJ262044:ROQ262065 REN262044:REU262065 QUR262044:QUY262065 QKV262044:QLC262065 QAZ262044:QBG262065 PRD262044:PRK262065 PHH262044:PHO262065 OXL262044:OXS262065 ONP262044:ONW262065 ODT262044:OEA262065 NTX262044:NUE262065 NKB262044:NKI262065 NAF262044:NAM262065 MQJ262044:MQQ262065 MGN262044:MGU262065 LWR262044:LWY262065 LMV262044:LNC262065 LCZ262044:LDG262065 KTD262044:KTK262065 KJH262044:KJO262065 JZL262044:JZS262065 JPP262044:JPW262065 JFT262044:JGA262065 IVX262044:IWE262065 IMB262044:IMI262065 ICF262044:ICM262065 HSJ262044:HSQ262065 HIN262044:HIU262065 GYR262044:GYY262065 GOV262044:GPC262065 GEZ262044:GFG262065 FVD262044:FVK262065 FLH262044:FLO262065 FBL262044:FBS262065 ERP262044:ERW262065 EHT262044:EIA262065 DXX262044:DYE262065 DOB262044:DOI262065 DEF262044:DEM262065 CUJ262044:CUQ262065 CKN262044:CKU262065 CAR262044:CAY262065 BQV262044:BRC262065 BGZ262044:BHG262065 AXD262044:AXK262065 ANH262044:ANO262065 ADL262044:ADS262065 TP262044:TW262065 JT262044:KA262065 X262044:AE262065 WWF196508:WWM196529 WMJ196508:WMQ196529 WCN196508:WCU196529 VSR196508:VSY196529 VIV196508:VJC196529 UYZ196508:UZG196529 UPD196508:UPK196529 UFH196508:UFO196529 TVL196508:TVS196529 TLP196508:TLW196529 TBT196508:TCA196529 SRX196508:SSE196529 SIB196508:SII196529 RYF196508:RYM196529 ROJ196508:ROQ196529 REN196508:REU196529 QUR196508:QUY196529 QKV196508:QLC196529 QAZ196508:QBG196529 PRD196508:PRK196529 PHH196508:PHO196529 OXL196508:OXS196529 ONP196508:ONW196529 ODT196508:OEA196529 NTX196508:NUE196529 NKB196508:NKI196529 NAF196508:NAM196529 MQJ196508:MQQ196529 MGN196508:MGU196529 LWR196508:LWY196529 LMV196508:LNC196529 LCZ196508:LDG196529 KTD196508:KTK196529 KJH196508:KJO196529 JZL196508:JZS196529 JPP196508:JPW196529 JFT196508:JGA196529 IVX196508:IWE196529 IMB196508:IMI196529 ICF196508:ICM196529 HSJ196508:HSQ196529 HIN196508:HIU196529 GYR196508:GYY196529 GOV196508:GPC196529 GEZ196508:GFG196529 FVD196508:FVK196529 FLH196508:FLO196529 FBL196508:FBS196529 ERP196508:ERW196529 EHT196508:EIA196529 DXX196508:DYE196529 DOB196508:DOI196529 DEF196508:DEM196529 CUJ196508:CUQ196529 CKN196508:CKU196529 CAR196508:CAY196529 BQV196508:BRC196529 BGZ196508:BHG196529 AXD196508:AXK196529 ANH196508:ANO196529 ADL196508:ADS196529 TP196508:TW196529 JT196508:KA196529 X196508:AE196529 WWF130972:WWM130993 WMJ130972:WMQ130993 WCN130972:WCU130993 VSR130972:VSY130993 VIV130972:VJC130993 UYZ130972:UZG130993 UPD130972:UPK130993 UFH130972:UFO130993 TVL130972:TVS130993 TLP130972:TLW130993 TBT130972:TCA130993 SRX130972:SSE130993 SIB130972:SII130993 RYF130972:RYM130993 ROJ130972:ROQ130993 REN130972:REU130993 QUR130972:QUY130993 QKV130972:QLC130993 QAZ130972:QBG130993 PRD130972:PRK130993 PHH130972:PHO130993 OXL130972:OXS130993 ONP130972:ONW130993 ODT130972:OEA130993 NTX130972:NUE130993 NKB130972:NKI130993 NAF130972:NAM130993 MQJ130972:MQQ130993 MGN130972:MGU130993 LWR130972:LWY130993 LMV130972:LNC130993 LCZ130972:LDG130993 KTD130972:KTK130993 KJH130972:KJO130993 JZL130972:JZS130993 JPP130972:JPW130993 JFT130972:JGA130993 IVX130972:IWE130993 IMB130972:IMI130993 ICF130972:ICM130993 HSJ130972:HSQ130993 HIN130972:HIU130993 GYR130972:GYY130993 GOV130972:GPC130993 GEZ130972:GFG130993 FVD130972:FVK130993 FLH130972:FLO130993 FBL130972:FBS130993 ERP130972:ERW130993 EHT130972:EIA130993 DXX130972:DYE130993 DOB130972:DOI130993 DEF130972:DEM130993 CUJ130972:CUQ130993 CKN130972:CKU130993 CAR130972:CAY130993 BQV130972:BRC130993 BGZ130972:BHG130993 AXD130972:AXK130993 ANH130972:ANO130993 ADL130972:ADS130993 TP130972:TW130993 JT130972:KA130993 X130972:AE130993 WWF65436:WWM65457 WMJ65436:WMQ65457 WCN65436:WCU65457 VSR65436:VSY65457 VIV65436:VJC65457 UYZ65436:UZG65457 UPD65436:UPK65457 UFH65436:UFO65457 TVL65436:TVS65457 TLP65436:TLW65457 TBT65436:TCA65457 SRX65436:SSE65457 SIB65436:SII65457 RYF65436:RYM65457 ROJ65436:ROQ65457 REN65436:REU65457 QUR65436:QUY65457 QKV65436:QLC65457 QAZ65436:QBG65457 PRD65436:PRK65457 PHH65436:PHO65457 OXL65436:OXS65457 ONP65436:ONW65457 ODT65436:OEA65457 NTX65436:NUE65457 NKB65436:NKI65457 NAF65436:NAM65457 MQJ65436:MQQ65457 MGN65436:MGU65457 LWR65436:LWY65457 LMV65436:LNC65457 LCZ65436:LDG65457 KTD65436:KTK65457 KJH65436:KJO65457 JZL65436:JZS65457 JPP65436:JPW65457 JFT65436:JGA65457 IVX65436:IWE65457 IMB65436:IMI65457 ICF65436:ICM65457 HSJ65436:HSQ65457 HIN65436:HIU65457 GYR65436:GYY65457 GOV65436:GPC65457 GEZ65436:GFG65457 FVD65436:FVK65457 FLH65436:FLO65457 FBL65436:FBS65457 ERP65436:ERW65457 EHT65436:EIA65457 DXX65436:DYE65457 DOB65436:DOI65457 DEF65436:DEM65457 CUJ65436:CUQ65457 CKN65436:CKU65457 CAR65436:CAY65457 BQV65436:BRC65457 BGZ65436:BHG65457 AXD65436:AXK65457 ANH65436:ANO65457 ADL65436:ADS65457 TP65436:TW65457 JT65436:KA65457 X65436:AE65457" xr:uid="{C8C3ED1E-E5CC-4487-A42A-C5673A97D81B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C47F-A432-4FE1-87DC-DA820E87D824}">
  <sheetPr>
    <pageSetUpPr fitToPage="1"/>
  </sheetPr>
  <dimension ref="A1:DD33"/>
  <sheetViews>
    <sheetView showGridLines="0" view="pageBreakPreview" zoomScale="85" zoomScaleNormal="70" zoomScaleSheetLayoutView="85" workbookViewId="0">
      <selection activeCell="AC38" sqref="AC38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108" ht="13.75" customHeight="1">
      <c r="A1" s="977" t="s">
        <v>577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108" ht="13.75" customHeight="1">
      <c r="A2" s="978" t="s">
        <v>578</v>
      </c>
      <c r="B2" s="952"/>
      <c r="C2" s="952"/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  <c r="AA2" s="952"/>
      <c r="AB2" s="952"/>
      <c r="AC2" s="952"/>
    </row>
    <row r="3" spans="1:108" ht="13.75" customHeight="1">
      <c r="A3" s="952"/>
      <c r="B3" s="952"/>
      <c r="C3" s="952"/>
      <c r="D3" s="952"/>
      <c r="E3" s="952"/>
      <c r="F3" s="952"/>
      <c r="G3" s="952"/>
      <c r="H3" s="952"/>
      <c r="I3" s="952"/>
      <c r="J3" s="952"/>
      <c r="K3" s="952"/>
      <c r="L3" s="952"/>
      <c r="M3" s="952"/>
      <c r="N3" s="952"/>
      <c r="O3" s="952"/>
      <c r="P3" s="952"/>
      <c r="Q3" s="952"/>
      <c r="R3" s="952"/>
      <c r="S3" s="952"/>
      <c r="T3" s="952"/>
      <c r="U3" s="952"/>
      <c r="V3" s="952"/>
      <c r="W3" s="952"/>
      <c r="X3" s="952"/>
      <c r="Y3" s="952"/>
      <c r="Z3" s="952"/>
      <c r="AA3" s="952"/>
      <c r="AB3" s="952"/>
      <c r="AC3" s="952"/>
    </row>
    <row r="5" spans="1:108">
      <c r="B5" s="696" t="s">
        <v>579</v>
      </c>
    </row>
    <row r="7" spans="1:108">
      <c r="C7" s="696" t="s">
        <v>580</v>
      </c>
    </row>
    <row r="8" spans="1:108">
      <c r="C8" s="696"/>
    </row>
    <row r="9" spans="1:108">
      <c r="D9" s="694" t="s">
        <v>581</v>
      </c>
    </row>
    <row r="10" spans="1:108" ht="15.75" customHeight="1">
      <c r="D10" s="975" t="s">
        <v>582</v>
      </c>
      <c r="E10" s="975"/>
      <c r="F10" s="975"/>
      <c r="G10" s="975"/>
      <c r="H10" s="975"/>
      <c r="I10" s="975"/>
      <c r="J10" s="975"/>
      <c r="K10" s="975" t="s">
        <v>374</v>
      </c>
      <c r="L10" s="975"/>
      <c r="M10" s="975"/>
      <c r="N10" s="975"/>
      <c r="O10" s="975"/>
      <c r="P10" s="975"/>
      <c r="Q10" s="975"/>
      <c r="R10" s="975" t="s">
        <v>583</v>
      </c>
      <c r="S10" s="975"/>
      <c r="T10" s="975"/>
      <c r="U10" s="975"/>
      <c r="V10" s="975"/>
      <c r="W10" s="975"/>
      <c r="X10" s="975"/>
      <c r="Y10" s="975" t="s">
        <v>584</v>
      </c>
      <c r="Z10" s="975"/>
      <c r="AA10" s="975"/>
      <c r="AB10" s="975"/>
      <c r="AC10" s="975"/>
      <c r="AD10" s="975"/>
      <c r="AE10" s="975"/>
      <c r="AF10" s="975" t="s">
        <v>585</v>
      </c>
      <c r="AG10" s="975"/>
      <c r="AH10" s="975"/>
      <c r="AI10" s="975"/>
      <c r="AJ10" s="975"/>
      <c r="AK10" s="975"/>
      <c r="AL10" s="975"/>
      <c r="AM10" s="975" t="s">
        <v>586</v>
      </c>
      <c r="AN10" s="975"/>
      <c r="AO10" s="975"/>
      <c r="AP10" s="975"/>
      <c r="AQ10" s="975"/>
      <c r="AR10" s="975"/>
      <c r="AS10" s="975"/>
      <c r="AT10" s="976" t="s">
        <v>587</v>
      </c>
      <c r="AU10" s="976"/>
      <c r="AV10" s="976"/>
      <c r="AW10" s="976"/>
      <c r="AX10" s="976"/>
      <c r="AY10" s="976"/>
      <c r="AZ10" s="976"/>
      <c r="BA10" s="975" t="s">
        <v>588</v>
      </c>
      <c r="BB10" s="975"/>
      <c r="BC10" s="975"/>
      <c r="BD10" s="975"/>
      <c r="BE10" s="975"/>
      <c r="BF10" s="975"/>
      <c r="BG10" s="975"/>
      <c r="BH10" s="975" t="s">
        <v>589</v>
      </c>
      <c r="BI10" s="975"/>
      <c r="BJ10" s="975"/>
      <c r="BK10" s="975"/>
      <c r="BL10" s="975"/>
      <c r="BM10" s="975"/>
      <c r="BN10" s="975"/>
      <c r="BO10" s="975" t="s">
        <v>590</v>
      </c>
      <c r="BP10" s="975"/>
      <c r="BQ10" s="975"/>
      <c r="BR10" s="975"/>
      <c r="BS10" s="975"/>
      <c r="BT10" s="975"/>
      <c r="BU10" s="975"/>
      <c r="BV10" s="975" t="s">
        <v>591</v>
      </c>
      <c r="BW10" s="975"/>
      <c r="BX10" s="975"/>
      <c r="BY10" s="975"/>
      <c r="BZ10" s="975"/>
      <c r="CA10" s="975"/>
      <c r="CB10" s="975"/>
      <c r="CC10" s="975" t="s">
        <v>592</v>
      </c>
      <c r="CD10" s="975"/>
      <c r="CE10" s="975"/>
      <c r="CF10" s="975"/>
      <c r="CG10" s="975"/>
      <c r="CH10" s="975"/>
      <c r="CI10" s="975"/>
      <c r="CJ10" s="975" t="s">
        <v>593</v>
      </c>
      <c r="CK10" s="975"/>
      <c r="CL10" s="975"/>
      <c r="CM10" s="975"/>
      <c r="CN10" s="975"/>
      <c r="CO10" s="975"/>
      <c r="CP10" s="975"/>
      <c r="CQ10" s="975" t="s">
        <v>594</v>
      </c>
      <c r="CR10" s="975"/>
      <c r="CS10" s="975"/>
      <c r="CT10" s="975"/>
      <c r="CU10" s="975"/>
      <c r="CV10" s="975"/>
      <c r="CW10" s="975"/>
      <c r="CX10" s="975" t="s">
        <v>595</v>
      </c>
      <c r="CY10" s="975"/>
      <c r="CZ10" s="975"/>
      <c r="DA10" s="975"/>
      <c r="DB10" s="975"/>
      <c r="DC10" s="975"/>
      <c r="DD10" s="975"/>
    </row>
    <row r="11" spans="1:108" ht="15.75" customHeight="1">
      <c r="D11" s="967" t="s">
        <v>596</v>
      </c>
      <c r="E11" s="967"/>
      <c r="F11" s="967"/>
      <c r="G11" s="967"/>
      <c r="H11" s="967"/>
      <c r="I11" s="967"/>
      <c r="J11" s="967"/>
      <c r="K11" s="967" t="s">
        <v>597</v>
      </c>
      <c r="L11" s="967"/>
      <c r="M11" s="967"/>
      <c r="N11" s="967"/>
      <c r="O11" s="967"/>
      <c r="P11" s="967"/>
      <c r="Q11" s="967"/>
      <c r="R11" s="967" t="s">
        <v>598</v>
      </c>
      <c r="S11" s="967"/>
      <c r="T11" s="967"/>
      <c r="U11" s="967"/>
      <c r="V11" s="967"/>
      <c r="W11" s="967"/>
      <c r="X11" s="967"/>
      <c r="Y11" s="967" t="s">
        <v>599</v>
      </c>
      <c r="Z11" s="967"/>
      <c r="AA11" s="967"/>
      <c r="AB11" s="967"/>
      <c r="AC11" s="967"/>
      <c r="AD11" s="967"/>
      <c r="AE11" s="967"/>
      <c r="AF11" s="968" t="s">
        <v>600</v>
      </c>
      <c r="AG11" s="967"/>
      <c r="AH11" s="967"/>
      <c r="AI11" s="967"/>
      <c r="AJ11" s="967"/>
      <c r="AK11" s="967"/>
      <c r="AL11" s="967"/>
      <c r="AM11" s="967"/>
      <c r="AN11" s="967"/>
      <c r="AO11" s="967"/>
      <c r="AP11" s="967"/>
      <c r="AQ11" s="967"/>
      <c r="AR11" s="967"/>
      <c r="AS11" s="967"/>
      <c r="AT11" s="969" t="s">
        <v>601</v>
      </c>
      <c r="AU11" s="969"/>
      <c r="AV11" s="969"/>
      <c r="AW11" s="969"/>
      <c r="AX11" s="969"/>
      <c r="AY11" s="969"/>
      <c r="AZ11" s="969"/>
      <c r="BA11" s="967" t="s">
        <v>602</v>
      </c>
      <c r="BB11" s="967"/>
      <c r="BC11" s="967"/>
      <c r="BD11" s="967"/>
      <c r="BE11" s="967"/>
      <c r="BF11" s="967"/>
      <c r="BG11" s="967"/>
      <c r="BH11" s="967" t="s">
        <v>603</v>
      </c>
      <c r="BI11" s="967"/>
      <c r="BJ11" s="967"/>
      <c r="BK11" s="967"/>
      <c r="BL11" s="967"/>
      <c r="BM11" s="967"/>
      <c r="BN11" s="967"/>
      <c r="BO11" s="967" t="s">
        <v>604</v>
      </c>
      <c r="BP11" s="967"/>
      <c r="BQ11" s="967"/>
      <c r="BR11" s="967"/>
      <c r="BS11" s="967"/>
      <c r="BT11" s="967"/>
      <c r="BU11" s="967"/>
      <c r="BV11" s="967" t="s">
        <v>604</v>
      </c>
      <c r="BW11" s="967"/>
      <c r="BX11" s="967"/>
      <c r="BY11" s="967"/>
      <c r="BZ11" s="967"/>
      <c r="CA11" s="967"/>
      <c r="CB11" s="967"/>
      <c r="CC11" s="967" t="s">
        <v>604</v>
      </c>
      <c r="CD11" s="967"/>
      <c r="CE11" s="967"/>
      <c r="CF11" s="967"/>
      <c r="CG11" s="967"/>
      <c r="CH11" s="967"/>
      <c r="CI11" s="967"/>
      <c r="CJ11" s="967" t="s">
        <v>604</v>
      </c>
      <c r="CK11" s="967"/>
      <c r="CL11" s="967"/>
      <c r="CM11" s="967"/>
      <c r="CN11" s="967"/>
      <c r="CO11" s="967"/>
      <c r="CP11" s="967"/>
      <c r="CQ11" s="967" t="s">
        <v>604</v>
      </c>
      <c r="CR11" s="967"/>
      <c r="CS11" s="967"/>
      <c r="CT11" s="967"/>
      <c r="CU11" s="967"/>
      <c r="CV11" s="967"/>
      <c r="CW11" s="967"/>
      <c r="CX11" s="967" t="s">
        <v>604</v>
      </c>
      <c r="CY11" s="967"/>
      <c r="CZ11" s="967"/>
      <c r="DA11" s="967"/>
      <c r="DB11" s="967"/>
      <c r="DC11" s="967"/>
      <c r="DD11" s="967"/>
    </row>
    <row r="12" spans="1:108" ht="15.75" customHeight="1">
      <c r="D12" s="967" t="s">
        <v>596</v>
      </c>
      <c r="E12" s="967"/>
      <c r="F12" s="967"/>
      <c r="G12" s="967"/>
      <c r="H12" s="967"/>
      <c r="I12" s="967"/>
      <c r="J12" s="967"/>
      <c r="K12" s="967" t="s">
        <v>597</v>
      </c>
      <c r="L12" s="967"/>
      <c r="M12" s="967"/>
      <c r="N12" s="967"/>
      <c r="O12" s="967"/>
      <c r="P12" s="967"/>
      <c r="Q12" s="967"/>
      <c r="R12" s="967" t="s">
        <v>598</v>
      </c>
      <c r="S12" s="967"/>
      <c r="T12" s="967"/>
      <c r="U12" s="967"/>
      <c r="V12" s="967"/>
      <c r="W12" s="967"/>
      <c r="X12" s="967"/>
      <c r="Y12" s="967" t="s">
        <v>599</v>
      </c>
      <c r="Z12" s="967"/>
      <c r="AA12" s="967"/>
      <c r="AB12" s="967"/>
      <c r="AC12" s="967"/>
      <c r="AD12" s="967"/>
      <c r="AE12" s="967"/>
      <c r="AF12" s="968" t="s">
        <v>600</v>
      </c>
      <c r="AG12" s="967"/>
      <c r="AH12" s="967"/>
      <c r="AI12" s="967"/>
      <c r="AJ12" s="967"/>
      <c r="AK12" s="967"/>
      <c r="AL12" s="967"/>
      <c r="AM12" s="967" t="s">
        <v>605</v>
      </c>
      <c r="AN12" s="967"/>
      <c r="AO12" s="967"/>
      <c r="AP12" s="967"/>
      <c r="AQ12" s="967"/>
      <c r="AR12" s="967"/>
      <c r="AS12" s="967"/>
      <c r="AT12" s="967"/>
      <c r="AU12" s="967"/>
      <c r="AV12" s="967"/>
      <c r="AW12" s="967"/>
      <c r="AX12" s="967"/>
      <c r="AY12" s="967"/>
      <c r="AZ12" s="967"/>
      <c r="BA12" s="967"/>
      <c r="BB12" s="967"/>
      <c r="BC12" s="967"/>
      <c r="BD12" s="967"/>
      <c r="BE12" s="967"/>
      <c r="BF12" s="967"/>
      <c r="BG12" s="967"/>
      <c r="BH12" s="967"/>
      <c r="BI12" s="967"/>
      <c r="BJ12" s="967"/>
      <c r="BK12" s="967"/>
      <c r="BL12" s="967"/>
      <c r="BM12" s="967"/>
      <c r="BN12" s="967"/>
      <c r="BO12" s="967"/>
      <c r="BP12" s="967"/>
      <c r="BQ12" s="967"/>
      <c r="BR12" s="967"/>
      <c r="BS12" s="967"/>
      <c r="BT12" s="967"/>
      <c r="BU12" s="967"/>
      <c r="BV12" s="967"/>
      <c r="BW12" s="967"/>
      <c r="BX12" s="967"/>
      <c r="BY12" s="967"/>
      <c r="BZ12" s="967"/>
      <c r="CA12" s="967"/>
      <c r="CB12" s="967"/>
      <c r="CC12" s="967"/>
      <c r="CD12" s="967"/>
      <c r="CE12" s="967"/>
      <c r="CF12" s="967"/>
      <c r="CG12" s="967"/>
      <c r="CH12" s="967"/>
      <c r="CI12" s="967"/>
      <c r="CJ12" s="967"/>
      <c r="CK12" s="967"/>
      <c r="CL12" s="967"/>
      <c r="CM12" s="967"/>
      <c r="CN12" s="967"/>
      <c r="CO12" s="967"/>
      <c r="CP12" s="967"/>
      <c r="CQ12" s="967"/>
      <c r="CR12" s="967"/>
      <c r="CS12" s="967"/>
      <c r="CT12" s="967"/>
      <c r="CU12" s="967"/>
      <c r="CV12" s="967"/>
      <c r="CW12" s="967"/>
      <c r="CX12" s="967"/>
      <c r="CY12" s="967"/>
      <c r="CZ12" s="967"/>
      <c r="DA12" s="967"/>
      <c r="DB12" s="967"/>
      <c r="DC12" s="967"/>
      <c r="DD12" s="967"/>
    </row>
    <row r="13" spans="1:108" ht="15.75" customHeight="1">
      <c r="D13" s="967" t="s">
        <v>606</v>
      </c>
      <c r="E13" s="967"/>
      <c r="F13" s="967"/>
      <c r="G13" s="967"/>
      <c r="H13" s="967"/>
      <c r="I13" s="967"/>
      <c r="J13" s="967"/>
      <c r="K13" s="967" t="s">
        <v>607</v>
      </c>
      <c r="L13" s="967"/>
      <c r="M13" s="967"/>
      <c r="N13" s="967"/>
      <c r="O13" s="967"/>
      <c r="P13" s="967"/>
      <c r="Q13" s="967"/>
      <c r="R13" s="967" t="s">
        <v>608</v>
      </c>
      <c r="S13" s="967"/>
      <c r="T13" s="967"/>
      <c r="U13" s="967"/>
      <c r="V13" s="967"/>
      <c r="W13" s="967"/>
      <c r="X13" s="967"/>
      <c r="Y13" s="967" t="s">
        <v>609</v>
      </c>
      <c r="Z13" s="967"/>
      <c r="AA13" s="967"/>
      <c r="AB13" s="967"/>
      <c r="AC13" s="967"/>
      <c r="AD13" s="967"/>
      <c r="AE13" s="967"/>
      <c r="AF13" s="973" t="s">
        <v>610</v>
      </c>
      <c r="AG13" s="967"/>
      <c r="AH13" s="967"/>
      <c r="AI13" s="967"/>
      <c r="AJ13" s="967"/>
      <c r="AK13" s="967"/>
      <c r="AL13" s="967"/>
      <c r="AM13" s="967"/>
      <c r="AN13" s="967"/>
      <c r="AO13" s="967"/>
      <c r="AP13" s="967"/>
      <c r="AQ13" s="967"/>
      <c r="AR13" s="967"/>
      <c r="AS13" s="967"/>
      <c r="AT13" s="969" t="s">
        <v>601</v>
      </c>
      <c r="AU13" s="969"/>
      <c r="AV13" s="969"/>
      <c r="AW13" s="969"/>
      <c r="AX13" s="969"/>
      <c r="AY13" s="969"/>
      <c r="AZ13" s="969"/>
      <c r="BA13" s="967" t="s">
        <v>602</v>
      </c>
      <c r="BB13" s="967"/>
      <c r="BC13" s="967"/>
      <c r="BD13" s="967"/>
      <c r="BE13" s="967"/>
      <c r="BF13" s="967"/>
      <c r="BG13" s="967"/>
      <c r="BH13" s="967" t="s">
        <v>611</v>
      </c>
      <c r="BI13" s="967"/>
      <c r="BJ13" s="967"/>
      <c r="BK13" s="967"/>
      <c r="BL13" s="967"/>
      <c r="BM13" s="967"/>
      <c r="BN13" s="967"/>
      <c r="BO13" s="967" t="s">
        <v>611</v>
      </c>
      <c r="BP13" s="967"/>
      <c r="BQ13" s="967"/>
      <c r="BR13" s="967"/>
      <c r="BS13" s="967"/>
      <c r="BT13" s="967"/>
      <c r="BU13" s="967"/>
      <c r="BV13" s="967" t="s">
        <v>604</v>
      </c>
      <c r="BW13" s="967"/>
      <c r="BX13" s="967"/>
      <c r="BY13" s="967"/>
      <c r="BZ13" s="967"/>
      <c r="CA13" s="967"/>
      <c r="CB13" s="967"/>
      <c r="CC13" s="967" t="s">
        <v>604</v>
      </c>
      <c r="CD13" s="967"/>
      <c r="CE13" s="967"/>
      <c r="CF13" s="967"/>
      <c r="CG13" s="967"/>
      <c r="CH13" s="967"/>
      <c r="CI13" s="967"/>
      <c r="CJ13" s="967" t="s">
        <v>612</v>
      </c>
      <c r="CK13" s="967"/>
      <c r="CL13" s="967"/>
      <c r="CM13" s="967"/>
      <c r="CN13" s="967"/>
      <c r="CO13" s="967"/>
      <c r="CP13" s="967"/>
      <c r="CQ13" s="967" t="s">
        <v>604</v>
      </c>
      <c r="CR13" s="967"/>
      <c r="CS13" s="967"/>
      <c r="CT13" s="967"/>
      <c r="CU13" s="967"/>
      <c r="CV13" s="967"/>
      <c r="CW13" s="967"/>
      <c r="CX13" s="967" t="s">
        <v>604</v>
      </c>
      <c r="CY13" s="967"/>
      <c r="CZ13" s="967"/>
      <c r="DA13" s="967"/>
      <c r="DB13" s="967"/>
      <c r="DC13" s="967"/>
      <c r="DD13" s="967"/>
    </row>
    <row r="14" spans="1:108" ht="15.75" customHeight="1">
      <c r="D14" s="967" t="s">
        <v>613</v>
      </c>
      <c r="E14" s="967"/>
      <c r="F14" s="967"/>
      <c r="G14" s="967"/>
      <c r="H14" s="967"/>
      <c r="I14" s="967"/>
      <c r="J14" s="967"/>
      <c r="K14" s="967" t="s">
        <v>614</v>
      </c>
      <c r="L14" s="967"/>
      <c r="M14" s="967"/>
      <c r="N14" s="967"/>
      <c r="O14" s="967"/>
      <c r="P14" s="967"/>
      <c r="Q14" s="967"/>
      <c r="R14" s="967" t="s">
        <v>615</v>
      </c>
      <c r="S14" s="967"/>
      <c r="T14" s="967"/>
      <c r="U14" s="967"/>
      <c r="V14" s="967"/>
      <c r="W14" s="967"/>
      <c r="X14" s="967"/>
      <c r="Y14" s="967" t="s">
        <v>616</v>
      </c>
      <c r="Z14" s="967"/>
      <c r="AA14" s="967"/>
      <c r="AB14" s="967"/>
      <c r="AC14" s="967"/>
      <c r="AD14" s="967"/>
      <c r="AE14" s="967"/>
      <c r="AF14" s="968" t="s">
        <v>305</v>
      </c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9" t="s">
        <v>601</v>
      </c>
      <c r="AU14" s="969"/>
      <c r="AV14" s="969"/>
      <c r="AW14" s="969"/>
      <c r="AX14" s="969"/>
      <c r="AY14" s="969"/>
      <c r="AZ14" s="969"/>
      <c r="BA14" s="967" t="s">
        <v>602</v>
      </c>
      <c r="BB14" s="967"/>
      <c r="BC14" s="967"/>
      <c r="BD14" s="967"/>
      <c r="BE14" s="967"/>
      <c r="BF14" s="967"/>
      <c r="BG14" s="967"/>
      <c r="BH14" s="967" t="s">
        <v>604</v>
      </c>
      <c r="BI14" s="967"/>
      <c r="BJ14" s="967"/>
      <c r="BK14" s="967"/>
      <c r="BL14" s="967"/>
      <c r="BM14" s="967"/>
      <c r="BN14" s="967"/>
      <c r="BO14" s="967" t="s">
        <v>604</v>
      </c>
      <c r="BP14" s="967"/>
      <c r="BQ14" s="967"/>
      <c r="BR14" s="967"/>
      <c r="BS14" s="967"/>
      <c r="BT14" s="967"/>
      <c r="BU14" s="967"/>
      <c r="BV14" s="967" t="s">
        <v>604</v>
      </c>
      <c r="BW14" s="967"/>
      <c r="BX14" s="967"/>
      <c r="BY14" s="967"/>
      <c r="BZ14" s="967"/>
      <c r="CA14" s="967"/>
      <c r="CB14" s="967"/>
      <c r="CC14" s="967" t="s">
        <v>604</v>
      </c>
      <c r="CD14" s="967"/>
      <c r="CE14" s="967"/>
      <c r="CF14" s="967"/>
      <c r="CG14" s="967"/>
      <c r="CH14" s="967"/>
      <c r="CI14" s="967"/>
      <c r="CJ14" s="967" t="s">
        <v>612</v>
      </c>
      <c r="CK14" s="967"/>
      <c r="CL14" s="967"/>
      <c r="CM14" s="967"/>
      <c r="CN14" s="967"/>
      <c r="CO14" s="967"/>
      <c r="CP14" s="967"/>
      <c r="CQ14" s="967" t="s">
        <v>612</v>
      </c>
      <c r="CR14" s="967"/>
      <c r="CS14" s="967"/>
      <c r="CT14" s="967"/>
      <c r="CU14" s="967"/>
      <c r="CV14" s="967"/>
      <c r="CW14" s="967"/>
      <c r="CX14" s="967" t="s">
        <v>612</v>
      </c>
      <c r="CY14" s="967"/>
      <c r="CZ14" s="967"/>
      <c r="DA14" s="967"/>
      <c r="DB14" s="967"/>
      <c r="DC14" s="967"/>
      <c r="DD14" s="967"/>
    </row>
    <row r="15" spans="1:108" ht="15.75" customHeight="1">
      <c r="D15" s="967" t="s">
        <v>617</v>
      </c>
      <c r="E15" s="967"/>
      <c r="F15" s="967"/>
      <c r="G15" s="967"/>
      <c r="H15" s="967"/>
      <c r="I15" s="967"/>
      <c r="J15" s="967"/>
      <c r="K15" s="967" t="s">
        <v>618</v>
      </c>
      <c r="L15" s="967"/>
      <c r="M15" s="967"/>
      <c r="N15" s="967"/>
      <c r="O15" s="967"/>
      <c r="P15" s="967"/>
      <c r="Q15" s="967"/>
      <c r="R15" s="967" t="s">
        <v>619</v>
      </c>
      <c r="S15" s="967"/>
      <c r="T15" s="967"/>
      <c r="U15" s="967"/>
      <c r="V15" s="967"/>
      <c r="W15" s="967"/>
      <c r="X15" s="967"/>
      <c r="Y15" s="970" t="s">
        <v>620</v>
      </c>
      <c r="Z15" s="971"/>
      <c r="AA15" s="971"/>
      <c r="AB15" s="971"/>
      <c r="AC15" s="971"/>
      <c r="AD15" s="971"/>
      <c r="AE15" s="972"/>
      <c r="AF15" s="968" t="s">
        <v>305</v>
      </c>
      <c r="AG15" s="967"/>
      <c r="AH15" s="967"/>
      <c r="AI15" s="967"/>
      <c r="AJ15" s="967"/>
      <c r="AK15" s="967"/>
      <c r="AL15" s="967"/>
      <c r="AM15" s="967"/>
      <c r="AN15" s="967"/>
      <c r="AO15" s="967"/>
      <c r="AP15" s="967"/>
      <c r="AQ15" s="967"/>
      <c r="AR15" s="967"/>
      <c r="AS15" s="967"/>
      <c r="AT15" s="969" t="s">
        <v>601</v>
      </c>
      <c r="AU15" s="969"/>
      <c r="AV15" s="969"/>
      <c r="AW15" s="969"/>
      <c r="AX15" s="969"/>
      <c r="AY15" s="969"/>
      <c r="AZ15" s="969"/>
      <c r="BA15" s="967" t="s">
        <v>602</v>
      </c>
      <c r="BB15" s="967"/>
      <c r="BC15" s="967"/>
      <c r="BD15" s="967"/>
      <c r="BE15" s="967"/>
      <c r="BF15" s="967"/>
      <c r="BG15" s="967"/>
      <c r="BH15" s="967" t="s">
        <v>604</v>
      </c>
      <c r="BI15" s="967"/>
      <c r="BJ15" s="967"/>
      <c r="BK15" s="967"/>
      <c r="BL15" s="967"/>
      <c r="BM15" s="967"/>
      <c r="BN15" s="967"/>
      <c r="BO15" s="967" t="s">
        <v>604</v>
      </c>
      <c r="BP15" s="967"/>
      <c r="BQ15" s="967"/>
      <c r="BR15" s="967"/>
      <c r="BS15" s="967"/>
      <c r="BT15" s="967"/>
      <c r="BU15" s="967"/>
      <c r="BV15" s="967" t="s">
        <v>604</v>
      </c>
      <c r="BW15" s="967"/>
      <c r="BX15" s="967"/>
      <c r="BY15" s="967"/>
      <c r="BZ15" s="967"/>
      <c r="CA15" s="967"/>
      <c r="CB15" s="967"/>
      <c r="CC15" s="967" t="s">
        <v>604</v>
      </c>
      <c r="CD15" s="967"/>
      <c r="CE15" s="967"/>
      <c r="CF15" s="967"/>
      <c r="CG15" s="967"/>
      <c r="CH15" s="967"/>
      <c r="CI15" s="967"/>
      <c r="CJ15" s="967" t="s">
        <v>604</v>
      </c>
      <c r="CK15" s="967"/>
      <c r="CL15" s="967"/>
      <c r="CM15" s="967"/>
      <c r="CN15" s="967"/>
      <c r="CO15" s="967"/>
      <c r="CP15" s="967"/>
      <c r="CQ15" s="967" t="s">
        <v>604</v>
      </c>
      <c r="CR15" s="967"/>
      <c r="CS15" s="967"/>
      <c r="CT15" s="967"/>
      <c r="CU15" s="967"/>
      <c r="CV15" s="967"/>
      <c r="CW15" s="967"/>
      <c r="CX15" s="967" t="s">
        <v>604</v>
      </c>
      <c r="CY15" s="967"/>
      <c r="CZ15" s="967"/>
      <c r="DA15" s="967"/>
      <c r="DB15" s="967"/>
      <c r="DC15" s="967"/>
      <c r="DD15" s="967"/>
    </row>
    <row r="16" spans="1:108">
      <c r="D16" s="968" t="s">
        <v>305</v>
      </c>
      <c r="E16" s="967"/>
      <c r="F16" s="967"/>
      <c r="G16" s="967"/>
      <c r="H16" s="967"/>
      <c r="I16" s="967"/>
      <c r="J16" s="967"/>
      <c r="K16" s="967" t="s">
        <v>621</v>
      </c>
      <c r="L16" s="967"/>
      <c r="M16" s="967"/>
      <c r="N16" s="967"/>
      <c r="O16" s="967"/>
      <c r="P16" s="967"/>
      <c r="Q16" s="967"/>
      <c r="R16" s="968" t="s">
        <v>305</v>
      </c>
      <c r="S16" s="967"/>
      <c r="T16" s="967"/>
      <c r="U16" s="967"/>
      <c r="V16" s="967"/>
      <c r="W16" s="967"/>
      <c r="X16" s="967"/>
      <c r="Y16" s="968" t="s">
        <v>305</v>
      </c>
      <c r="Z16" s="967"/>
      <c r="AA16" s="967"/>
      <c r="AB16" s="967"/>
      <c r="AC16" s="967"/>
      <c r="AD16" s="967"/>
      <c r="AE16" s="967"/>
      <c r="AF16" s="968" t="s">
        <v>305</v>
      </c>
      <c r="AG16" s="967"/>
      <c r="AH16" s="967"/>
      <c r="AI16" s="967"/>
      <c r="AJ16" s="967"/>
      <c r="AK16" s="967"/>
      <c r="AL16" s="967"/>
      <c r="AM16" s="967" t="s">
        <v>622</v>
      </c>
      <c r="AN16" s="967"/>
      <c r="AO16" s="967"/>
      <c r="AP16" s="967"/>
      <c r="AQ16" s="967"/>
      <c r="AR16" s="967"/>
      <c r="AS16" s="967"/>
      <c r="AT16" s="969" t="s">
        <v>601</v>
      </c>
      <c r="AU16" s="969"/>
      <c r="AV16" s="969"/>
      <c r="AW16" s="969"/>
      <c r="AX16" s="969"/>
      <c r="AY16" s="969"/>
      <c r="AZ16" s="969"/>
      <c r="BA16" s="967" t="s">
        <v>602</v>
      </c>
      <c r="BB16" s="967"/>
      <c r="BC16" s="967"/>
      <c r="BD16" s="967"/>
      <c r="BE16" s="967"/>
      <c r="BF16" s="967"/>
      <c r="BG16" s="967"/>
      <c r="BH16" s="967" t="s">
        <v>612</v>
      </c>
      <c r="BI16" s="967"/>
      <c r="BJ16" s="967"/>
      <c r="BK16" s="967"/>
      <c r="BL16" s="967"/>
      <c r="BM16" s="967"/>
      <c r="BN16" s="967"/>
      <c r="BO16" s="967" t="s">
        <v>612</v>
      </c>
      <c r="BP16" s="967"/>
      <c r="BQ16" s="967"/>
      <c r="BR16" s="967"/>
      <c r="BS16" s="967"/>
      <c r="BT16" s="967"/>
      <c r="BU16" s="967"/>
      <c r="BV16" s="967" t="s">
        <v>612</v>
      </c>
      <c r="BW16" s="967"/>
      <c r="BX16" s="967"/>
      <c r="BY16" s="967"/>
      <c r="BZ16" s="967"/>
      <c r="CA16" s="967"/>
      <c r="CB16" s="967"/>
      <c r="CC16" s="967" t="s">
        <v>612</v>
      </c>
      <c r="CD16" s="967"/>
      <c r="CE16" s="967"/>
      <c r="CF16" s="967"/>
      <c r="CG16" s="967"/>
      <c r="CH16" s="967"/>
      <c r="CI16" s="967"/>
      <c r="CJ16" s="967" t="s">
        <v>612</v>
      </c>
      <c r="CK16" s="967"/>
      <c r="CL16" s="967"/>
      <c r="CM16" s="967"/>
      <c r="CN16" s="967"/>
      <c r="CO16" s="967"/>
      <c r="CP16" s="967"/>
      <c r="CQ16" s="967" t="s">
        <v>612</v>
      </c>
      <c r="CR16" s="967"/>
      <c r="CS16" s="967"/>
      <c r="CT16" s="967"/>
      <c r="CU16" s="967"/>
      <c r="CV16" s="967"/>
      <c r="CW16" s="967"/>
      <c r="CX16" s="967" t="s">
        <v>612</v>
      </c>
      <c r="CY16" s="967"/>
      <c r="CZ16" s="967"/>
      <c r="DA16" s="967"/>
      <c r="DB16" s="967"/>
      <c r="DC16" s="967"/>
      <c r="DD16" s="967"/>
    </row>
    <row r="19" spans="2:87">
      <c r="C19" s="696" t="s">
        <v>623</v>
      </c>
    </row>
    <row r="20" spans="2:87">
      <c r="C20" s="696"/>
    </row>
    <row r="21" spans="2:87">
      <c r="D21" s="694" t="s">
        <v>581</v>
      </c>
    </row>
    <row r="22" spans="2:87">
      <c r="D22" s="975" t="s">
        <v>582</v>
      </c>
      <c r="E22" s="975"/>
      <c r="F22" s="975"/>
      <c r="G22" s="975"/>
      <c r="H22" s="975"/>
      <c r="I22" s="975"/>
      <c r="J22" s="975"/>
      <c r="K22" s="974" t="s">
        <v>374</v>
      </c>
      <c r="L22" s="974"/>
      <c r="M22" s="974"/>
      <c r="N22" s="974"/>
      <c r="O22" s="974"/>
      <c r="P22" s="974"/>
      <c r="Q22" s="974"/>
      <c r="R22" s="975" t="s">
        <v>583</v>
      </c>
      <c r="S22" s="975"/>
      <c r="T22" s="975"/>
      <c r="U22" s="975"/>
      <c r="V22" s="975"/>
      <c r="W22" s="975"/>
      <c r="X22" s="975"/>
      <c r="Y22" s="975" t="s">
        <v>584</v>
      </c>
      <c r="Z22" s="975"/>
      <c r="AA22" s="975"/>
      <c r="AB22" s="975"/>
      <c r="AC22" s="975"/>
      <c r="AD22" s="975"/>
      <c r="AE22" s="975"/>
      <c r="AF22" s="975" t="s">
        <v>585</v>
      </c>
      <c r="AG22" s="975"/>
      <c r="AH22" s="975"/>
      <c r="AI22" s="975"/>
      <c r="AJ22" s="975"/>
      <c r="AK22" s="975"/>
      <c r="AL22" s="975"/>
      <c r="AM22" s="974" t="s">
        <v>586</v>
      </c>
      <c r="AN22" s="974"/>
      <c r="AO22" s="974"/>
      <c r="AP22" s="974"/>
      <c r="AQ22" s="974"/>
      <c r="AR22" s="974"/>
      <c r="AS22" s="974"/>
      <c r="AT22" s="976" t="s">
        <v>587</v>
      </c>
      <c r="AU22" s="976"/>
      <c r="AV22" s="976"/>
      <c r="AW22" s="976"/>
      <c r="AX22" s="976"/>
      <c r="AY22" s="976"/>
      <c r="AZ22" s="976"/>
      <c r="BA22" s="974" t="s">
        <v>588</v>
      </c>
      <c r="BB22" s="974"/>
      <c r="BC22" s="974"/>
      <c r="BD22" s="974"/>
      <c r="BE22" s="974"/>
      <c r="BF22" s="974"/>
      <c r="BG22" s="974"/>
      <c r="BH22" s="974" t="s">
        <v>589</v>
      </c>
      <c r="BI22" s="974"/>
      <c r="BJ22" s="974"/>
      <c r="BK22" s="974"/>
      <c r="BL22" s="974"/>
      <c r="BM22" s="974"/>
      <c r="BN22" s="974"/>
      <c r="BO22" s="974" t="s">
        <v>590</v>
      </c>
      <c r="BP22" s="974"/>
      <c r="BQ22" s="974"/>
      <c r="BR22" s="974"/>
      <c r="BS22" s="974"/>
      <c r="BT22" s="974"/>
      <c r="BU22" s="974"/>
      <c r="BV22" s="974" t="s">
        <v>591</v>
      </c>
      <c r="BW22" s="974"/>
      <c r="BX22" s="974"/>
      <c r="BY22" s="974"/>
      <c r="BZ22" s="974"/>
      <c r="CA22" s="974"/>
      <c r="CB22" s="974"/>
      <c r="CC22" s="974" t="s">
        <v>592</v>
      </c>
      <c r="CD22" s="974"/>
      <c r="CE22" s="974"/>
      <c r="CF22" s="974"/>
      <c r="CG22" s="974"/>
      <c r="CH22" s="974"/>
      <c r="CI22" s="974"/>
    </row>
    <row r="23" spans="2:87">
      <c r="D23" s="967" t="s">
        <v>596</v>
      </c>
      <c r="E23" s="967"/>
      <c r="F23" s="967"/>
      <c r="G23" s="967"/>
      <c r="H23" s="967"/>
      <c r="I23" s="967"/>
      <c r="J23" s="967"/>
      <c r="K23" s="967" t="s">
        <v>597</v>
      </c>
      <c r="L23" s="967"/>
      <c r="M23" s="967"/>
      <c r="N23" s="967"/>
      <c r="O23" s="967"/>
      <c r="P23" s="967"/>
      <c r="Q23" s="967"/>
      <c r="R23" s="967" t="s">
        <v>598</v>
      </c>
      <c r="S23" s="967"/>
      <c r="T23" s="967"/>
      <c r="U23" s="967"/>
      <c r="V23" s="967"/>
      <c r="W23" s="967"/>
      <c r="X23" s="967"/>
      <c r="Y23" s="967" t="s">
        <v>599</v>
      </c>
      <c r="Z23" s="967"/>
      <c r="AA23" s="967"/>
      <c r="AB23" s="967"/>
      <c r="AC23" s="967"/>
      <c r="AD23" s="967"/>
      <c r="AE23" s="967"/>
      <c r="AF23" s="968" t="s">
        <v>600</v>
      </c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9" t="s">
        <v>601</v>
      </c>
      <c r="AU23" s="969"/>
      <c r="AV23" s="969"/>
      <c r="AW23" s="969"/>
      <c r="AX23" s="969"/>
      <c r="AY23" s="969"/>
      <c r="AZ23" s="969"/>
      <c r="BA23" s="967" t="s">
        <v>602</v>
      </c>
      <c r="BB23" s="967"/>
      <c r="BC23" s="967"/>
      <c r="BD23" s="967"/>
      <c r="BE23" s="967"/>
      <c r="BF23" s="967"/>
      <c r="BG23" s="967"/>
      <c r="BH23" s="967" t="s">
        <v>604</v>
      </c>
      <c r="BI23" s="967"/>
      <c r="BJ23" s="967"/>
      <c r="BK23" s="967"/>
      <c r="BL23" s="967"/>
      <c r="BM23" s="967"/>
      <c r="BN23" s="967"/>
      <c r="BO23" s="967" t="s">
        <v>604</v>
      </c>
      <c r="BP23" s="967"/>
      <c r="BQ23" s="967"/>
      <c r="BR23" s="967"/>
      <c r="BS23" s="967"/>
      <c r="BT23" s="967"/>
      <c r="BU23" s="967"/>
      <c r="BV23" s="967" t="s">
        <v>604</v>
      </c>
      <c r="BW23" s="967"/>
      <c r="BX23" s="967"/>
      <c r="BY23" s="967"/>
      <c r="BZ23" s="967"/>
      <c r="CA23" s="967"/>
      <c r="CB23" s="967"/>
      <c r="CC23" s="967" t="s">
        <v>604</v>
      </c>
      <c r="CD23" s="967"/>
      <c r="CE23" s="967"/>
      <c r="CF23" s="967"/>
      <c r="CG23" s="967"/>
      <c r="CH23" s="967"/>
      <c r="CI23" s="967"/>
    </row>
    <row r="24" spans="2:87">
      <c r="D24" s="967" t="s">
        <v>596</v>
      </c>
      <c r="E24" s="967"/>
      <c r="F24" s="967"/>
      <c r="G24" s="967"/>
      <c r="H24" s="967"/>
      <c r="I24" s="967"/>
      <c r="J24" s="967"/>
      <c r="K24" s="967" t="s">
        <v>597</v>
      </c>
      <c r="L24" s="967"/>
      <c r="M24" s="967"/>
      <c r="N24" s="967"/>
      <c r="O24" s="967"/>
      <c r="P24" s="967"/>
      <c r="Q24" s="967"/>
      <c r="R24" s="967" t="s">
        <v>598</v>
      </c>
      <c r="S24" s="967"/>
      <c r="T24" s="967"/>
      <c r="U24" s="967"/>
      <c r="V24" s="967"/>
      <c r="W24" s="967"/>
      <c r="X24" s="967"/>
      <c r="Y24" s="967" t="s">
        <v>599</v>
      </c>
      <c r="Z24" s="967"/>
      <c r="AA24" s="967"/>
      <c r="AB24" s="967"/>
      <c r="AC24" s="967"/>
      <c r="AD24" s="967"/>
      <c r="AE24" s="967"/>
      <c r="AF24" s="968" t="s">
        <v>600</v>
      </c>
      <c r="AG24" s="967"/>
      <c r="AH24" s="967"/>
      <c r="AI24" s="967"/>
      <c r="AJ24" s="967"/>
      <c r="AK24" s="967"/>
      <c r="AL24" s="967"/>
      <c r="AM24" s="967" t="s">
        <v>624</v>
      </c>
      <c r="AN24" s="967"/>
      <c r="AO24" s="967"/>
      <c r="AP24" s="967"/>
      <c r="AQ24" s="967"/>
      <c r="AR24" s="967"/>
      <c r="AS24" s="967"/>
      <c r="AT24" s="967"/>
      <c r="AU24" s="967"/>
      <c r="AV24" s="967"/>
      <c r="AW24" s="967"/>
      <c r="AX24" s="967"/>
      <c r="AY24" s="967"/>
      <c r="AZ24" s="967"/>
      <c r="BA24" s="967"/>
      <c r="BB24" s="967"/>
      <c r="BC24" s="967"/>
      <c r="BD24" s="967"/>
      <c r="BE24" s="967"/>
      <c r="BF24" s="967"/>
      <c r="BG24" s="967"/>
      <c r="BH24" s="967"/>
      <c r="BI24" s="967"/>
      <c r="BJ24" s="967"/>
      <c r="BK24" s="967"/>
      <c r="BL24" s="967"/>
      <c r="BM24" s="967"/>
      <c r="BN24" s="967"/>
      <c r="BO24" s="967"/>
      <c r="BP24" s="967"/>
      <c r="BQ24" s="967"/>
      <c r="BR24" s="967"/>
      <c r="BS24" s="967"/>
      <c r="BT24" s="967"/>
      <c r="BU24" s="967"/>
      <c r="BV24" s="967"/>
      <c r="BW24" s="967"/>
      <c r="BX24" s="967"/>
      <c r="BY24" s="967"/>
      <c r="BZ24" s="967"/>
      <c r="CA24" s="967"/>
      <c r="CB24" s="967"/>
      <c r="CC24" s="967"/>
      <c r="CD24" s="967"/>
      <c r="CE24" s="967"/>
      <c r="CF24" s="967"/>
      <c r="CG24" s="967"/>
      <c r="CH24" s="967"/>
      <c r="CI24" s="967"/>
    </row>
    <row r="25" spans="2:87">
      <c r="D25" s="967" t="s">
        <v>606</v>
      </c>
      <c r="E25" s="967"/>
      <c r="F25" s="967"/>
      <c r="G25" s="967"/>
      <c r="H25" s="967"/>
      <c r="I25" s="967"/>
      <c r="J25" s="967"/>
      <c r="K25" s="967" t="s">
        <v>607</v>
      </c>
      <c r="L25" s="967"/>
      <c r="M25" s="967"/>
      <c r="N25" s="967"/>
      <c r="O25" s="967"/>
      <c r="P25" s="967"/>
      <c r="Q25" s="967"/>
      <c r="R25" s="967" t="s">
        <v>608</v>
      </c>
      <c r="S25" s="967"/>
      <c r="T25" s="967"/>
      <c r="U25" s="967"/>
      <c r="V25" s="967"/>
      <c r="W25" s="967"/>
      <c r="X25" s="967"/>
      <c r="Y25" s="967" t="s">
        <v>609</v>
      </c>
      <c r="Z25" s="967"/>
      <c r="AA25" s="967"/>
      <c r="AB25" s="967"/>
      <c r="AC25" s="967"/>
      <c r="AD25" s="967"/>
      <c r="AE25" s="967"/>
      <c r="AF25" s="973" t="s">
        <v>610</v>
      </c>
      <c r="AG25" s="967"/>
      <c r="AH25" s="967"/>
      <c r="AI25" s="967"/>
      <c r="AJ25" s="967"/>
      <c r="AK25" s="967"/>
      <c r="AL25" s="967"/>
      <c r="AM25" s="967"/>
      <c r="AN25" s="967"/>
      <c r="AO25" s="967"/>
      <c r="AP25" s="967"/>
      <c r="AQ25" s="967"/>
      <c r="AR25" s="967"/>
      <c r="AS25" s="967"/>
      <c r="AT25" s="969" t="s">
        <v>601</v>
      </c>
      <c r="AU25" s="969"/>
      <c r="AV25" s="969"/>
      <c r="AW25" s="969"/>
      <c r="AX25" s="969"/>
      <c r="AY25" s="969"/>
      <c r="AZ25" s="969"/>
      <c r="BA25" s="967" t="s">
        <v>602</v>
      </c>
      <c r="BB25" s="967"/>
      <c r="BC25" s="967"/>
      <c r="BD25" s="967"/>
      <c r="BE25" s="967"/>
      <c r="BF25" s="967"/>
      <c r="BG25" s="967"/>
      <c r="BH25" s="967" t="s">
        <v>611</v>
      </c>
      <c r="BI25" s="967"/>
      <c r="BJ25" s="967"/>
      <c r="BK25" s="967"/>
      <c r="BL25" s="967"/>
      <c r="BM25" s="967"/>
      <c r="BN25" s="967"/>
      <c r="BO25" s="967" t="s">
        <v>375</v>
      </c>
      <c r="BP25" s="967"/>
      <c r="BQ25" s="967"/>
      <c r="BR25" s="967"/>
      <c r="BS25" s="967"/>
      <c r="BT25" s="967"/>
      <c r="BU25" s="967"/>
      <c r="BV25" s="967" t="s">
        <v>604</v>
      </c>
      <c r="BW25" s="967"/>
      <c r="BX25" s="967"/>
      <c r="BY25" s="967"/>
      <c r="BZ25" s="967"/>
      <c r="CA25" s="967"/>
      <c r="CB25" s="967"/>
      <c r="CC25" s="967" t="s">
        <v>604</v>
      </c>
      <c r="CD25" s="967"/>
      <c r="CE25" s="967"/>
      <c r="CF25" s="967"/>
      <c r="CG25" s="967"/>
      <c r="CH25" s="967"/>
      <c r="CI25" s="967"/>
    </row>
    <row r="26" spans="2:87">
      <c r="D26" s="967" t="s">
        <v>613</v>
      </c>
      <c r="E26" s="967"/>
      <c r="F26" s="967"/>
      <c r="G26" s="967"/>
      <c r="H26" s="967"/>
      <c r="I26" s="967"/>
      <c r="J26" s="967"/>
      <c r="K26" s="967" t="s">
        <v>614</v>
      </c>
      <c r="L26" s="967"/>
      <c r="M26" s="967"/>
      <c r="N26" s="967"/>
      <c r="O26" s="967"/>
      <c r="P26" s="967"/>
      <c r="Q26" s="967"/>
      <c r="R26" s="967" t="s">
        <v>615</v>
      </c>
      <c r="S26" s="967"/>
      <c r="T26" s="967"/>
      <c r="U26" s="967"/>
      <c r="V26" s="967"/>
      <c r="W26" s="967"/>
      <c r="X26" s="967"/>
      <c r="Y26" s="967" t="s">
        <v>616</v>
      </c>
      <c r="Z26" s="967"/>
      <c r="AA26" s="967"/>
      <c r="AB26" s="967"/>
      <c r="AC26" s="967"/>
      <c r="AD26" s="967"/>
      <c r="AE26" s="967"/>
      <c r="AF26" s="968" t="s">
        <v>305</v>
      </c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9" t="s">
        <v>601</v>
      </c>
      <c r="AU26" s="969"/>
      <c r="AV26" s="969"/>
      <c r="AW26" s="969"/>
      <c r="AX26" s="969"/>
      <c r="AY26" s="969"/>
      <c r="AZ26" s="969"/>
      <c r="BA26" s="967" t="s">
        <v>602</v>
      </c>
      <c r="BB26" s="967"/>
      <c r="BC26" s="967"/>
      <c r="BD26" s="967"/>
      <c r="BE26" s="967"/>
      <c r="BF26" s="967"/>
      <c r="BG26" s="967"/>
      <c r="BH26" s="967" t="s">
        <v>604</v>
      </c>
      <c r="BI26" s="967"/>
      <c r="BJ26" s="967"/>
      <c r="BK26" s="967"/>
      <c r="BL26" s="967"/>
      <c r="BM26" s="967"/>
      <c r="BN26" s="967"/>
      <c r="BO26" s="967" t="s">
        <v>604</v>
      </c>
      <c r="BP26" s="967"/>
      <c r="BQ26" s="967"/>
      <c r="BR26" s="967"/>
      <c r="BS26" s="967"/>
      <c r="BT26" s="967"/>
      <c r="BU26" s="967"/>
      <c r="BV26" s="967" t="s">
        <v>604</v>
      </c>
      <c r="BW26" s="967"/>
      <c r="BX26" s="967"/>
      <c r="BY26" s="967"/>
      <c r="BZ26" s="967"/>
      <c r="CA26" s="967"/>
      <c r="CB26" s="967"/>
      <c r="CC26" s="967" t="s">
        <v>604</v>
      </c>
      <c r="CD26" s="967"/>
      <c r="CE26" s="967"/>
      <c r="CF26" s="967"/>
      <c r="CG26" s="967"/>
      <c r="CH26" s="967"/>
      <c r="CI26" s="967"/>
    </row>
    <row r="27" spans="2:87">
      <c r="D27" s="967" t="s">
        <v>617</v>
      </c>
      <c r="E27" s="967"/>
      <c r="F27" s="967"/>
      <c r="G27" s="967"/>
      <c r="H27" s="967"/>
      <c r="I27" s="967"/>
      <c r="J27" s="967"/>
      <c r="K27" s="967" t="s">
        <v>618</v>
      </c>
      <c r="L27" s="967"/>
      <c r="M27" s="967"/>
      <c r="N27" s="967"/>
      <c r="O27" s="967"/>
      <c r="P27" s="967"/>
      <c r="Q27" s="967"/>
      <c r="R27" s="967" t="s">
        <v>619</v>
      </c>
      <c r="S27" s="967"/>
      <c r="T27" s="967"/>
      <c r="U27" s="967"/>
      <c r="V27" s="967"/>
      <c r="W27" s="967"/>
      <c r="X27" s="967"/>
      <c r="Y27" s="970" t="s">
        <v>620</v>
      </c>
      <c r="Z27" s="971"/>
      <c r="AA27" s="971"/>
      <c r="AB27" s="971"/>
      <c r="AC27" s="971"/>
      <c r="AD27" s="971"/>
      <c r="AE27" s="972"/>
      <c r="AF27" s="968" t="s">
        <v>305</v>
      </c>
      <c r="AG27" s="967"/>
      <c r="AH27" s="967"/>
      <c r="AI27" s="967"/>
      <c r="AJ27" s="967"/>
      <c r="AK27" s="967"/>
      <c r="AL27" s="967"/>
      <c r="AM27" s="967"/>
      <c r="AN27" s="967"/>
      <c r="AO27" s="967"/>
      <c r="AP27" s="967"/>
      <c r="AQ27" s="967"/>
      <c r="AR27" s="967"/>
      <c r="AS27" s="967"/>
      <c r="AT27" s="969" t="s">
        <v>601</v>
      </c>
      <c r="AU27" s="969"/>
      <c r="AV27" s="969"/>
      <c r="AW27" s="969"/>
      <c r="AX27" s="969"/>
      <c r="AY27" s="969"/>
      <c r="AZ27" s="969"/>
      <c r="BA27" s="967" t="s">
        <v>602</v>
      </c>
      <c r="BB27" s="967"/>
      <c r="BC27" s="967"/>
      <c r="BD27" s="967"/>
      <c r="BE27" s="967"/>
      <c r="BF27" s="967"/>
      <c r="BG27" s="967"/>
      <c r="BH27" s="967" t="s">
        <v>604</v>
      </c>
      <c r="BI27" s="967"/>
      <c r="BJ27" s="967"/>
      <c r="BK27" s="967"/>
      <c r="BL27" s="967"/>
      <c r="BM27" s="967"/>
      <c r="BN27" s="967"/>
      <c r="BO27" s="967" t="s">
        <v>604</v>
      </c>
      <c r="BP27" s="967"/>
      <c r="BQ27" s="967"/>
      <c r="BR27" s="967"/>
      <c r="BS27" s="967"/>
      <c r="BT27" s="967"/>
      <c r="BU27" s="967"/>
      <c r="BV27" s="967" t="s">
        <v>604</v>
      </c>
      <c r="BW27" s="967"/>
      <c r="BX27" s="967"/>
      <c r="BY27" s="967"/>
      <c r="BZ27" s="967"/>
      <c r="CA27" s="967"/>
      <c r="CB27" s="967"/>
      <c r="CC27" s="967" t="s">
        <v>604</v>
      </c>
      <c r="CD27" s="967"/>
      <c r="CE27" s="967"/>
      <c r="CF27" s="967"/>
      <c r="CG27" s="967"/>
      <c r="CH27" s="967"/>
      <c r="CI27" s="967"/>
    </row>
    <row r="28" spans="2:87">
      <c r="D28" s="968" t="s">
        <v>305</v>
      </c>
      <c r="E28" s="967"/>
      <c r="F28" s="967"/>
      <c r="G28" s="967"/>
      <c r="H28" s="967"/>
      <c r="I28" s="967"/>
      <c r="J28" s="967"/>
      <c r="K28" s="967" t="s">
        <v>621</v>
      </c>
      <c r="L28" s="967"/>
      <c r="M28" s="967"/>
      <c r="N28" s="967"/>
      <c r="O28" s="967"/>
      <c r="P28" s="967"/>
      <c r="Q28" s="967"/>
      <c r="R28" s="968" t="s">
        <v>305</v>
      </c>
      <c r="S28" s="967"/>
      <c r="T28" s="967"/>
      <c r="U28" s="967"/>
      <c r="V28" s="967"/>
      <c r="W28" s="967"/>
      <c r="X28" s="967"/>
      <c r="Y28" s="968" t="s">
        <v>305</v>
      </c>
      <c r="Z28" s="967"/>
      <c r="AA28" s="967"/>
      <c r="AB28" s="967"/>
      <c r="AC28" s="967"/>
      <c r="AD28" s="967"/>
      <c r="AE28" s="967"/>
      <c r="AF28" s="968" t="s">
        <v>305</v>
      </c>
      <c r="AG28" s="967"/>
      <c r="AH28" s="967"/>
      <c r="AI28" s="967"/>
      <c r="AJ28" s="967"/>
      <c r="AK28" s="967"/>
      <c r="AL28" s="967"/>
      <c r="AM28" s="967" t="s">
        <v>622</v>
      </c>
      <c r="AN28" s="967"/>
      <c r="AO28" s="967"/>
      <c r="AP28" s="967"/>
      <c r="AQ28" s="967"/>
      <c r="AR28" s="967"/>
      <c r="AS28" s="967"/>
      <c r="AT28" s="969" t="s">
        <v>601</v>
      </c>
      <c r="AU28" s="969"/>
      <c r="AV28" s="969"/>
      <c r="AW28" s="969"/>
      <c r="AX28" s="969"/>
      <c r="AY28" s="969"/>
      <c r="AZ28" s="969"/>
      <c r="BA28" s="967" t="s">
        <v>602</v>
      </c>
      <c r="BB28" s="967"/>
      <c r="BC28" s="967"/>
      <c r="BD28" s="967"/>
      <c r="BE28" s="967"/>
      <c r="BF28" s="967"/>
      <c r="BG28" s="967"/>
      <c r="BH28" s="967" t="s">
        <v>612</v>
      </c>
      <c r="BI28" s="967"/>
      <c r="BJ28" s="967"/>
      <c r="BK28" s="967"/>
      <c r="BL28" s="967"/>
      <c r="BM28" s="967"/>
      <c r="BN28" s="967"/>
      <c r="BO28" s="967" t="s">
        <v>612</v>
      </c>
      <c r="BP28" s="967"/>
      <c r="BQ28" s="967"/>
      <c r="BR28" s="967"/>
      <c r="BS28" s="967"/>
      <c r="BT28" s="967"/>
      <c r="BU28" s="967"/>
      <c r="BV28" s="967" t="s">
        <v>612</v>
      </c>
      <c r="BW28" s="967"/>
      <c r="BX28" s="967"/>
      <c r="BY28" s="967"/>
      <c r="BZ28" s="967"/>
      <c r="CA28" s="967"/>
      <c r="CB28" s="967"/>
      <c r="CC28" s="967" t="s">
        <v>612</v>
      </c>
      <c r="CD28" s="967"/>
      <c r="CE28" s="967"/>
      <c r="CF28" s="967"/>
      <c r="CG28" s="967"/>
      <c r="CH28" s="967"/>
      <c r="CI28" s="967"/>
    </row>
    <row r="30" spans="2:87">
      <c r="B30" s="694" t="s">
        <v>625</v>
      </c>
      <c r="C30" s="694" t="s">
        <v>626</v>
      </c>
    </row>
    <row r="31" spans="2:87">
      <c r="C31" s="694" t="s">
        <v>627</v>
      </c>
    </row>
    <row r="32" spans="2:87">
      <c r="C32" s="694" t="s">
        <v>628</v>
      </c>
    </row>
    <row r="33" spans="3:3">
      <c r="C33" s="694" t="s">
        <v>629</v>
      </c>
    </row>
  </sheetData>
  <mergeCells count="191"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D12:J12"/>
    <mergeCell ref="K12:Q12"/>
    <mergeCell ref="R12:X12"/>
    <mergeCell ref="Y12:AE12"/>
    <mergeCell ref="AF12:AL12"/>
    <mergeCell ref="AM12:AS12"/>
    <mergeCell ref="AM11:AS11"/>
    <mergeCell ref="AT11:AZ11"/>
    <mergeCell ref="BA11:BG11"/>
    <mergeCell ref="BH11:BN11"/>
    <mergeCell ref="BO11:BU11"/>
    <mergeCell ref="BV11:CB11"/>
    <mergeCell ref="CJ12:CP12"/>
    <mergeCell ref="CQ12:CW12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D14:J14"/>
    <mergeCell ref="K14:Q14"/>
    <mergeCell ref="R14:X14"/>
    <mergeCell ref="Y14:AE14"/>
    <mergeCell ref="AF14:AL14"/>
    <mergeCell ref="AM14:AS14"/>
    <mergeCell ref="AT14:AZ14"/>
    <mergeCell ref="BA14:BG14"/>
    <mergeCell ref="BA13:BG13"/>
    <mergeCell ref="BH13:BN13"/>
    <mergeCell ref="BO13:BU13"/>
    <mergeCell ref="BV13:CB13"/>
    <mergeCell ref="CC13:CI13"/>
    <mergeCell ref="CJ13:CP13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AM23:AS23"/>
    <mergeCell ref="AT23:AZ23"/>
    <mergeCell ref="BA23:BG23"/>
    <mergeCell ref="BH23:BN23"/>
    <mergeCell ref="BO23:BU23"/>
    <mergeCell ref="BV23:CB23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</mergeCells>
  <phoneticPr fontId="57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375E865F-471A-4ACB-9D0F-F56F60D97D62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選択画面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46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165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166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167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132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168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169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133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134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79"/>
      <c r="K38" s="979"/>
      <c r="L38" s="979"/>
      <c r="M38" s="979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79"/>
      <c r="K39" s="979"/>
      <c r="L39" s="979"/>
      <c r="M39" s="979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285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288</v>
      </c>
      <c r="E40" s="28"/>
      <c r="F40" s="28"/>
      <c r="G40" s="28"/>
      <c r="H40" s="86" t="s">
        <v>139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64</v>
      </c>
      <c r="E41" s="206"/>
      <c r="F41" s="206"/>
      <c r="G41" s="207"/>
      <c r="H41" s="208" t="s">
        <v>73</v>
      </c>
      <c r="I41" s="209"/>
      <c r="J41" s="209"/>
      <c r="K41" s="209"/>
      <c r="L41" s="206"/>
      <c r="M41" s="207"/>
      <c r="N41" s="205" t="s">
        <v>74</v>
      </c>
      <c r="O41" s="206"/>
      <c r="P41" s="206"/>
      <c r="Q41" s="207"/>
      <c r="R41" s="205" t="s">
        <v>75</v>
      </c>
      <c r="S41" s="206"/>
      <c r="T41" s="206"/>
      <c r="U41" s="206"/>
      <c r="V41" s="210" t="s">
        <v>87</v>
      </c>
      <c r="W41" s="211"/>
      <c r="X41" s="211"/>
      <c r="Y41" s="212"/>
      <c r="Z41" s="211" t="s">
        <v>89</v>
      </c>
      <c r="AA41" s="211"/>
      <c r="AB41" s="211"/>
      <c r="AC41" s="212"/>
      <c r="AD41" s="211" t="s">
        <v>76</v>
      </c>
      <c r="AE41" s="211"/>
      <c r="AF41" s="211"/>
      <c r="AG41" s="212"/>
      <c r="AH41" s="210" t="s">
        <v>77</v>
      </c>
      <c r="AI41" s="211"/>
      <c r="AJ41" s="211"/>
      <c r="AK41" s="211"/>
      <c r="AL41" s="212"/>
      <c r="AM41" s="210" t="s">
        <v>83</v>
      </c>
      <c r="AN41" s="211"/>
      <c r="AO41" s="211"/>
      <c r="AP41" s="212"/>
      <c r="AQ41" s="211" t="s">
        <v>85</v>
      </c>
      <c r="AR41" s="211"/>
      <c r="AS41" s="212"/>
      <c r="AT41" s="305" t="s">
        <v>86</v>
      </c>
      <c r="AU41" s="211"/>
      <c r="AV41" s="211"/>
      <c r="AW41" s="212"/>
      <c r="AX41" s="211" t="s">
        <v>69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88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90</v>
      </c>
      <c r="E43" s="149"/>
      <c r="F43" s="149"/>
      <c r="G43" s="151"/>
      <c r="H43" s="242" t="s">
        <v>91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09">
        <v>5000</v>
      </c>
      <c r="S43" s="1010"/>
      <c r="T43" s="1010"/>
      <c r="U43" s="1011"/>
      <c r="V43" s="998">
        <v>122.5</v>
      </c>
      <c r="W43" s="1007"/>
      <c r="X43" s="1007"/>
      <c r="Y43" s="1008"/>
      <c r="Z43" s="998">
        <v>125</v>
      </c>
      <c r="AA43" s="1007"/>
      <c r="AB43" s="1007"/>
      <c r="AC43" s="1008"/>
      <c r="AD43" s="998">
        <v>124</v>
      </c>
      <c r="AE43" s="1007"/>
      <c r="AF43" s="1007"/>
      <c r="AG43" s="1008"/>
      <c r="AH43" s="998">
        <v>94.52</v>
      </c>
      <c r="AI43" s="1007"/>
      <c r="AJ43" s="1007"/>
      <c r="AK43" s="1007"/>
      <c r="AL43" s="1008"/>
      <c r="AM43" s="998">
        <v>125</v>
      </c>
      <c r="AN43" s="1007"/>
      <c r="AO43" s="1007"/>
      <c r="AP43" s="1008"/>
      <c r="AQ43" s="995">
        <v>10.3</v>
      </c>
      <c r="AR43" s="996"/>
      <c r="AS43" s="997"/>
      <c r="AT43" s="309" t="s">
        <v>96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94</v>
      </c>
      <c r="E44" s="149"/>
      <c r="F44" s="149"/>
      <c r="G44" s="151"/>
      <c r="H44" s="242" t="s">
        <v>95</v>
      </c>
      <c r="I44" s="150"/>
      <c r="J44" s="150"/>
      <c r="K44" s="150"/>
      <c r="L44" s="161"/>
      <c r="M44" s="162"/>
      <c r="N44" s="242" t="s">
        <v>92</v>
      </c>
      <c r="O44" s="150"/>
      <c r="P44" s="150"/>
      <c r="Q44" s="99" t="s">
        <v>33</v>
      </c>
      <c r="R44" s="1009">
        <v>5000</v>
      </c>
      <c r="S44" s="1010"/>
      <c r="T44" s="1010"/>
      <c r="U44" s="1011"/>
      <c r="V44" s="998">
        <v>39</v>
      </c>
      <c r="W44" s="1007"/>
      <c r="X44" s="1007"/>
      <c r="Y44" s="1008"/>
      <c r="Z44" s="998">
        <v>40</v>
      </c>
      <c r="AA44" s="1007"/>
      <c r="AB44" s="1007"/>
      <c r="AC44" s="1008"/>
      <c r="AD44" s="998">
        <v>40</v>
      </c>
      <c r="AE44" s="1007"/>
      <c r="AF44" s="1007"/>
      <c r="AG44" s="1008"/>
      <c r="AH44" s="998">
        <v>36.89</v>
      </c>
      <c r="AI44" s="1007"/>
      <c r="AJ44" s="1007"/>
      <c r="AK44" s="1007"/>
      <c r="AL44" s="1008"/>
      <c r="AM44" s="998">
        <v>41</v>
      </c>
      <c r="AN44" s="1007"/>
      <c r="AO44" s="1007"/>
      <c r="AP44" s="1008"/>
      <c r="AQ44" s="995">
        <v>12.3</v>
      </c>
      <c r="AR44" s="996"/>
      <c r="AS44" s="997"/>
      <c r="AT44" s="309" t="s">
        <v>97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244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78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72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260</v>
      </c>
      <c r="E57" s="235"/>
      <c r="F57" s="234" t="s">
        <v>64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67</v>
      </c>
      <c r="Q57" s="240"/>
      <c r="R57" s="240"/>
      <c r="S57" s="241"/>
      <c r="T57" s="234" t="s">
        <v>79</v>
      </c>
      <c r="U57" s="235"/>
      <c r="V57" s="235"/>
      <c r="W57" s="236"/>
      <c r="X57" s="234" t="s">
        <v>80</v>
      </c>
      <c r="Y57" s="235"/>
      <c r="Z57" s="235"/>
      <c r="AA57" s="235"/>
      <c r="AB57" s="239" t="s">
        <v>65</v>
      </c>
      <c r="AC57" s="240"/>
      <c r="AD57" s="240"/>
      <c r="AE57" s="240"/>
      <c r="AF57" s="241"/>
      <c r="AG57" s="240" t="s">
        <v>68</v>
      </c>
      <c r="AH57" s="240"/>
      <c r="AI57" s="240"/>
      <c r="AJ57" s="241"/>
      <c r="AK57" s="240" t="s">
        <v>66</v>
      </c>
      <c r="AL57" s="240"/>
      <c r="AM57" s="240"/>
      <c r="AN57" s="241"/>
      <c r="AO57" s="239" t="s">
        <v>81</v>
      </c>
      <c r="AP57" s="240"/>
      <c r="AQ57" s="240"/>
      <c r="AR57" s="241"/>
      <c r="AS57" s="239" t="s">
        <v>82</v>
      </c>
      <c r="AT57" s="240"/>
      <c r="AU57" s="240"/>
      <c r="AV57" s="240"/>
      <c r="AW57" s="239" t="s">
        <v>83</v>
      </c>
      <c r="AX57" s="240"/>
      <c r="AY57" s="240"/>
      <c r="AZ57" s="241"/>
      <c r="BA57" s="239" t="s">
        <v>84</v>
      </c>
      <c r="BB57" s="240"/>
      <c r="BC57" s="240"/>
      <c r="BD57" s="241"/>
      <c r="BE57" s="240" t="s">
        <v>85</v>
      </c>
      <c r="BF57" s="240"/>
      <c r="BG57" s="241"/>
      <c r="BH57" s="240" t="s">
        <v>86</v>
      </c>
      <c r="BI57" s="240"/>
      <c r="BJ57" s="240"/>
      <c r="BK57" s="241"/>
      <c r="BL57" s="240" t="s">
        <v>69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93</v>
      </c>
      <c r="Q58" s="150"/>
      <c r="R58" s="150"/>
      <c r="S58" s="162"/>
      <c r="T58" s="1009">
        <f>R43</f>
        <v>5000</v>
      </c>
      <c r="U58" s="1010"/>
      <c r="V58" s="1010"/>
      <c r="W58" s="1011"/>
      <c r="X58" s="983">
        <f>AH43</f>
        <v>94.52</v>
      </c>
      <c r="Y58" s="984"/>
      <c r="Z58" s="984"/>
      <c r="AA58" s="985"/>
      <c r="AB58" s="983">
        <f>V43</f>
        <v>122.5</v>
      </c>
      <c r="AC58" s="984"/>
      <c r="AD58" s="984"/>
      <c r="AE58" s="984"/>
      <c r="AF58" s="985"/>
      <c r="AG58" s="983">
        <f>Z43</f>
        <v>125</v>
      </c>
      <c r="AH58" s="984"/>
      <c r="AI58" s="984"/>
      <c r="AJ58" s="985"/>
      <c r="AK58" s="983">
        <f>AD43</f>
        <v>124</v>
      </c>
      <c r="AL58" s="984"/>
      <c r="AM58" s="984"/>
      <c r="AN58" s="985"/>
      <c r="AO58" s="989">
        <f>1-X58/AK58</f>
        <v>0.23774193548387101</v>
      </c>
      <c r="AP58" s="990"/>
      <c r="AQ58" s="990"/>
      <c r="AR58" s="991"/>
      <c r="AS58" s="1001">
        <f>(AK58-AG58)/AG58</f>
        <v>-8.0000000000000002E-3</v>
      </c>
      <c r="AT58" s="1002"/>
      <c r="AU58" s="1002"/>
      <c r="AV58" s="1003"/>
      <c r="AW58" s="148"/>
      <c r="AX58" s="150"/>
      <c r="AY58" s="150"/>
      <c r="AZ58" s="162"/>
      <c r="BA58" s="1004">
        <f>1-(AD43/AM43)</f>
        <v>8.0000000000000071E-3</v>
      </c>
      <c r="BB58" s="1005"/>
      <c r="BC58" s="1005"/>
      <c r="BD58" s="1006"/>
      <c r="BE58" s="995">
        <f>AQ43</f>
        <v>10.3</v>
      </c>
      <c r="BF58" s="996"/>
      <c r="BG58" s="997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93</v>
      </c>
      <c r="Q59" s="150"/>
      <c r="R59" s="150"/>
      <c r="S59" s="162"/>
      <c r="T59" s="1009">
        <f>R44</f>
        <v>5000</v>
      </c>
      <c r="U59" s="1010"/>
      <c r="V59" s="1010"/>
      <c r="W59" s="1011"/>
      <c r="X59" s="983">
        <f>AH44</f>
        <v>36.89</v>
      </c>
      <c r="Y59" s="984"/>
      <c r="Z59" s="984"/>
      <c r="AA59" s="985"/>
      <c r="AB59" s="983">
        <f>V44</f>
        <v>39</v>
      </c>
      <c r="AC59" s="984"/>
      <c r="AD59" s="984"/>
      <c r="AE59" s="984"/>
      <c r="AF59" s="985"/>
      <c r="AG59" s="983">
        <f>Z44</f>
        <v>40</v>
      </c>
      <c r="AH59" s="984"/>
      <c r="AI59" s="984"/>
      <c r="AJ59" s="985"/>
      <c r="AK59" s="983">
        <f>AD44</f>
        <v>40</v>
      </c>
      <c r="AL59" s="984"/>
      <c r="AM59" s="984"/>
      <c r="AN59" s="985"/>
      <c r="AO59" s="989">
        <f>1-X59/AK59</f>
        <v>7.7749999999999986E-2</v>
      </c>
      <c r="AP59" s="990"/>
      <c r="AQ59" s="990"/>
      <c r="AR59" s="991"/>
      <c r="AS59" s="1001">
        <f>(AK59-AG59)/AG59</f>
        <v>0</v>
      </c>
      <c r="AT59" s="1002"/>
      <c r="AU59" s="1002"/>
      <c r="AV59" s="1003"/>
      <c r="AW59" s="148"/>
      <c r="AX59" s="150"/>
      <c r="AY59" s="150"/>
      <c r="AZ59" s="162"/>
      <c r="BA59" s="1004">
        <f>1-(AD44/AM44)</f>
        <v>2.4390243902439046E-2</v>
      </c>
      <c r="BB59" s="1005"/>
      <c r="BC59" s="1005"/>
      <c r="BD59" s="1006"/>
      <c r="BE59" s="995">
        <f>AQ44</f>
        <v>12.3</v>
      </c>
      <c r="BF59" s="996"/>
      <c r="BG59" s="997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281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280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98</v>
      </c>
      <c r="AC61" s="508"/>
      <c r="AD61" s="508"/>
      <c r="AE61" s="508"/>
      <c r="AF61" s="509"/>
      <c r="AG61" s="508" t="s">
        <v>259</v>
      </c>
      <c r="AH61" s="503"/>
      <c r="AI61" s="503"/>
      <c r="AJ61" s="503"/>
      <c r="AK61" s="510" t="s">
        <v>99</v>
      </c>
      <c r="AL61" s="508"/>
      <c r="AM61" s="508"/>
      <c r="AN61" s="509"/>
      <c r="AO61" s="507" t="s">
        <v>81</v>
      </c>
      <c r="AP61" s="508"/>
      <c r="AQ61" s="508"/>
      <c r="AR61" s="509"/>
      <c r="AS61" s="507" t="s">
        <v>82</v>
      </c>
      <c r="AT61" s="508"/>
      <c r="AU61" s="508"/>
      <c r="AV61" s="508"/>
      <c r="AW61" s="507" t="s">
        <v>100</v>
      </c>
      <c r="AX61" s="508"/>
      <c r="AY61" s="508"/>
      <c r="AZ61" s="509"/>
      <c r="BA61" s="507" t="s">
        <v>101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92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998"/>
      <c r="Y62" s="999"/>
      <c r="Z62" s="999"/>
      <c r="AA62" s="1000"/>
      <c r="AB62" s="1015">
        <f>SUMPRODUCT($T$58:$W$59,$AK$58:$AN$59)</f>
        <v>820000</v>
      </c>
      <c r="AC62" s="1016"/>
      <c r="AD62" s="1016"/>
      <c r="AE62" s="1016"/>
      <c r="AF62" s="1017"/>
      <c r="AG62" s="983">
        <f>SUM($X$58:$AA$59)</f>
        <v>131.41</v>
      </c>
      <c r="AH62" s="984"/>
      <c r="AI62" s="984"/>
      <c r="AJ62" s="985"/>
      <c r="AK62" s="986">
        <f>AB62-SUMPRODUCT($T$58:$W$59,$X$58:$AA$59)</f>
        <v>162950</v>
      </c>
      <c r="AL62" s="987"/>
      <c r="AM62" s="987"/>
      <c r="AN62" s="988"/>
      <c r="AO62" s="989">
        <f>$AK62/$AB62</f>
        <v>0.19871951219512196</v>
      </c>
      <c r="AP62" s="990"/>
      <c r="AQ62" s="990"/>
      <c r="AR62" s="991"/>
      <c r="AS62" s="989">
        <f>AW62/($AB62-AW62)</f>
        <v>-6.0606060606060606E-3</v>
      </c>
      <c r="AT62" s="990"/>
      <c r="AU62" s="990"/>
      <c r="AV62" s="991"/>
      <c r="AW62" s="992">
        <f>$T$58*($AK$58-$AG$58)+$T$59*($AK$59-$AG$59)</f>
        <v>-5000</v>
      </c>
      <c r="AX62" s="993"/>
      <c r="AY62" s="993"/>
      <c r="AZ62" s="994"/>
      <c r="BA62" s="980">
        <f>SUMPRODUCT($T$58:$W$59,$AG$58:$AJ$59)</f>
        <v>825000</v>
      </c>
      <c r="BB62" s="981"/>
      <c r="BC62" s="981"/>
      <c r="BD62" s="982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279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98</v>
      </c>
      <c r="AC64" s="249"/>
      <c r="AD64" s="249"/>
      <c r="AE64" s="249"/>
      <c r="AF64" s="250"/>
      <c r="AG64" s="249" t="s">
        <v>259</v>
      </c>
      <c r="AH64" s="244"/>
      <c r="AI64" s="244"/>
      <c r="AJ64" s="244"/>
      <c r="AK64" s="330" t="s">
        <v>99</v>
      </c>
      <c r="AL64" s="249"/>
      <c r="AM64" s="249"/>
      <c r="AN64" s="250"/>
      <c r="AO64" s="248" t="s">
        <v>81</v>
      </c>
      <c r="AP64" s="249"/>
      <c r="AQ64" s="249"/>
      <c r="AR64" s="250"/>
      <c r="AS64" s="248" t="s">
        <v>82</v>
      </c>
      <c r="AT64" s="249"/>
      <c r="AU64" s="249"/>
      <c r="AV64" s="249"/>
      <c r="AW64" s="248" t="s">
        <v>100</v>
      </c>
      <c r="AX64" s="249"/>
      <c r="AY64" s="249"/>
      <c r="AZ64" s="250"/>
      <c r="BA64" s="248" t="s">
        <v>101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998"/>
      <c r="Y65" s="999"/>
      <c r="Z65" s="999"/>
      <c r="AA65" s="1000"/>
      <c r="AB65" s="1015">
        <f>SUMPRODUCT($T$58:$W$59,$AK$58:$AN$59)</f>
        <v>820000</v>
      </c>
      <c r="AC65" s="1016"/>
      <c r="AD65" s="1016"/>
      <c r="AE65" s="1016"/>
      <c r="AF65" s="1017"/>
      <c r="AG65" s="983">
        <f>SUM($X$58:$AA$59)</f>
        <v>131.41</v>
      </c>
      <c r="AH65" s="984"/>
      <c r="AI65" s="984"/>
      <c r="AJ65" s="985"/>
      <c r="AK65" s="986">
        <f>AB65-SUMPRODUCT($T$58:$W$59,$X$58:$AA$59)</f>
        <v>162950</v>
      </c>
      <c r="AL65" s="987"/>
      <c r="AM65" s="987"/>
      <c r="AN65" s="988"/>
      <c r="AO65" s="989">
        <f>$AK65/$AB65</f>
        <v>0.19871951219512196</v>
      </c>
      <c r="AP65" s="990"/>
      <c r="AQ65" s="990"/>
      <c r="AR65" s="991"/>
      <c r="AS65" s="989">
        <f>AW65/($AB65-AW65)</f>
        <v>-6.0606060606060606E-3</v>
      </c>
      <c r="AT65" s="990"/>
      <c r="AU65" s="990"/>
      <c r="AV65" s="991"/>
      <c r="AW65" s="992">
        <f>$T$58*($AK$58-$AG$58)+$T$59*($AK$59-$AG$59)</f>
        <v>-5000</v>
      </c>
      <c r="AX65" s="993"/>
      <c r="AY65" s="993"/>
      <c r="AZ65" s="994"/>
      <c r="BA65" s="980">
        <f>SUMPRODUCT($T$58:$W$59,$AG$58:$AJ$59)</f>
        <v>825000</v>
      </c>
      <c r="BB65" s="981"/>
      <c r="BC65" s="981"/>
      <c r="BD65" s="982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2"/>
      <c r="K68" s="1013"/>
      <c r="L68" s="1013"/>
      <c r="M68" s="1013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4"/>
      <c r="K70" s="1014"/>
      <c r="L70" s="1014"/>
      <c r="M70" s="1014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79"/>
      <c r="K77" s="979"/>
      <c r="L77" s="979"/>
      <c r="M77" s="979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297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79"/>
      <c r="K78" s="979"/>
      <c r="L78" s="979"/>
      <c r="M78" s="979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18"/>
      <c r="K80" s="1018"/>
      <c r="L80" s="1018"/>
      <c r="M80" s="1018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79"/>
      <c r="K86" s="979"/>
      <c r="L86" s="979"/>
      <c r="M86" s="979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79"/>
      <c r="K94" s="979"/>
      <c r="L94" s="979"/>
      <c r="M94" s="979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79"/>
      <c r="K103" s="979"/>
      <c r="L103" s="979"/>
      <c r="M103" s="979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79"/>
      <c r="K104" s="979"/>
      <c r="L104" s="979"/>
      <c r="M104" s="979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X62:AA62"/>
    <mergeCell ref="AB62:AF62"/>
    <mergeCell ref="AO59:AR59"/>
    <mergeCell ref="AB58:AF58"/>
    <mergeCell ref="AB59:AF59"/>
    <mergeCell ref="T58:W58"/>
    <mergeCell ref="T59:W59"/>
    <mergeCell ref="AG59:AJ59"/>
    <mergeCell ref="AK58:AN58"/>
    <mergeCell ref="AK59:AN59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R43:U43"/>
    <mergeCell ref="R44:U44"/>
    <mergeCell ref="V43:Y43"/>
    <mergeCell ref="V44:Y44"/>
    <mergeCell ref="Z43:AC43"/>
    <mergeCell ref="Z44:AC44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BA62:BD62"/>
    <mergeCell ref="AG62:AJ62"/>
    <mergeCell ref="AK62:AN62"/>
    <mergeCell ref="AO62:AR62"/>
    <mergeCell ref="AS62:AV62"/>
    <mergeCell ref="AW62:AZ62"/>
  </mergeCells>
  <phoneticPr fontId="57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288</v>
      </c>
      <c r="E39" s="28"/>
      <c r="F39" s="28"/>
      <c r="G39" s="28"/>
      <c r="H39" s="86" t="s">
        <v>128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64</v>
      </c>
      <c r="E40" s="206"/>
      <c r="F40" s="206"/>
      <c r="G40" s="207"/>
      <c r="H40" s="208" t="s">
        <v>73</v>
      </c>
      <c r="I40" s="209"/>
      <c r="J40" s="209"/>
      <c r="K40" s="209"/>
      <c r="L40" s="206"/>
      <c r="M40" s="207"/>
      <c r="N40" s="205" t="s">
        <v>74</v>
      </c>
      <c r="O40" s="206"/>
      <c r="P40" s="206"/>
      <c r="Q40" s="207"/>
      <c r="R40" s="205" t="s">
        <v>75</v>
      </c>
      <c r="S40" s="206"/>
      <c r="T40" s="206"/>
      <c r="U40" s="206"/>
      <c r="V40" s="210" t="s">
        <v>87</v>
      </c>
      <c r="W40" s="211"/>
      <c r="X40" s="211"/>
      <c r="Y40" s="212"/>
      <c r="Z40" s="211" t="s">
        <v>89</v>
      </c>
      <c r="AA40" s="211"/>
      <c r="AB40" s="211"/>
      <c r="AC40" s="212"/>
      <c r="AD40" s="211" t="s">
        <v>76</v>
      </c>
      <c r="AE40" s="211"/>
      <c r="AF40" s="211"/>
      <c r="AG40" s="212"/>
      <c r="AH40" s="210" t="s">
        <v>278</v>
      </c>
      <c r="AI40" s="211"/>
      <c r="AJ40" s="211"/>
      <c r="AK40" s="211"/>
      <c r="AL40" s="212"/>
      <c r="AM40" s="210" t="s">
        <v>105</v>
      </c>
      <c r="AN40" s="211"/>
      <c r="AO40" s="211"/>
      <c r="AP40" s="211"/>
      <c r="AQ40" s="210" t="s">
        <v>83</v>
      </c>
      <c r="AR40" s="211"/>
      <c r="AS40" s="211"/>
      <c r="AT40" s="212"/>
      <c r="AU40" s="211" t="s">
        <v>85</v>
      </c>
      <c r="AV40" s="211"/>
      <c r="AW40" s="212"/>
      <c r="AX40" s="305" t="s">
        <v>86</v>
      </c>
      <c r="AY40" s="211"/>
      <c r="AZ40" s="211"/>
      <c r="BA40" s="212"/>
      <c r="BB40" s="211" t="s">
        <v>69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88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135</v>
      </c>
      <c r="E42" s="149"/>
      <c r="F42" s="149"/>
      <c r="G42" s="151"/>
      <c r="H42" s="242" t="s">
        <v>137</v>
      </c>
      <c r="I42" s="150"/>
      <c r="J42" s="150"/>
      <c r="K42" s="150"/>
      <c r="L42" s="161"/>
      <c r="M42" s="162"/>
      <c r="N42" s="242" t="s">
        <v>92</v>
      </c>
      <c r="O42" s="150"/>
      <c r="P42" s="150"/>
      <c r="Q42" s="99" t="s">
        <v>33</v>
      </c>
      <c r="R42" s="1009">
        <v>1000</v>
      </c>
      <c r="S42" s="1010"/>
      <c r="T42" s="1010"/>
      <c r="U42" s="1011"/>
      <c r="V42" s="998">
        <v>980</v>
      </c>
      <c r="W42" s="1007"/>
      <c r="X42" s="1007"/>
      <c r="Y42" s="1008"/>
      <c r="Z42" s="998">
        <v>1610</v>
      </c>
      <c r="AA42" s="1007"/>
      <c r="AB42" s="1007"/>
      <c r="AC42" s="1008"/>
      <c r="AD42" s="998">
        <v>1035</v>
      </c>
      <c r="AE42" s="1007"/>
      <c r="AF42" s="1007"/>
      <c r="AG42" s="1008"/>
      <c r="AH42" s="998">
        <v>510.27</v>
      </c>
      <c r="AI42" s="1007"/>
      <c r="AJ42" s="1007"/>
      <c r="AK42" s="1007"/>
      <c r="AL42" s="1008"/>
      <c r="AM42" s="998">
        <v>796.03</v>
      </c>
      <c r="AN42" s="1007"/>
      <c r="AO42" s="1007"/>
      <c r="AP42" s="1008"/>
      <c r="AQ42" s="998"/>
      <c r="AR42" s="1007"/>
      <c r="AS42" s="1007"/>
      <c r="AT42" s="1008"/>
      <c r="AU42" s="995">
        <v>64.7</v>
      </c>
      <c r="AV42" s="996"/>
      <c r="AW42" s="997"/>
      <c r="AX42" s="309" t="s">
        <v>140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136</v>
      </c>
      <c r="E43" s="149"/>
      <c r="F43" s="149"/>
      <c r="G43" s="151"/>
      <c r="H43" s="242" t="s">
        <v>138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09">
        <v>500</v>
      </c>
      <c r="S43" s="1010"/>
      <c r="T43" s="1010"/>
      <c r="U43" s="1011"/>
      <c r="V43" s="998">
        <v>500</v>
      </c>
      <c r="W43" s="1007"/>
      <c r="X43" s="1007"/>
      <c r="Y43" s="1008"/>
      <c r="Z43" s="998">
        <v>794</v>
      </c>
      <c r="AA43" s="1007"/>
      <c r="AB43" s="1007"/>
      <c r="AC43" s="1008"/>
      <c r="AD43" s="998">
        <v>630</v>
      </c>
      <c r="AE43" s="1007"/>
      <c r="AF43" s="1007"/>
      <c r="AG43" s="1008"/>
      <c r="AH43" s="998">
        <v>247.92</v>
      </c>
      <c r="AI43" s="1007"/>
      <c r="AJ43" s="1007"/>
      <c r="AK43" s="1007"/>
      <c r="AL43" s="1008"/>
      <c r="AM43" s="998">
        <v>483.47</v>
      </c>
      <c r="AN43" s="1007"/>
      <c r="AO43" s="1007"/>
      <c r="AP43" s="1008"/>
      <c r="AQ43" s="998"/>
      <c r="AR43" s="1007"/>
      <c r="AS43" s="1007"/>
      <c r="AT43" s="1008"/>
      <c r="AU43" s="995">
        <v>39.4</v>
      </c>
      <c r="AV43" s="996"/>
      <c r="AW43" s="997"/>
      <c r="AX43" s="309" t="s">
        <v>140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71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78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72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260</v>
      </c>
      <c r="E56" s="235"/>
      <c r="F56" s="234" t="s">
        <v>64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67</v>
      </c>
      <c r="Q56" s="240"/>
      <c r="R56" s="240"/>
      <c r="S56" s="241"/>
      <c r="T56" s="234" t="s">
        <v>79</v>
      </c>
      <c r="U56" s="235"/>
      <c r="V56" s="235"/>
      <c r="W56" s="236"/>
      <c r="X56" s="234" t="s">
        <v>224</v>
      </c>
      <c r="Y56" s="235"/>
      <c r="Z56" s="235"/>
      <c r="AA56" s="235"/>
      <c r="AB56" s="239" t="s">
        <v>65</v>
      </c>
      <c r="AC56" s="240"/>
      <c r="AD56" s="240"/>
      <c r="AE56" s="240"/>
      <c r="AF56" s="241"/>
      <c r="AG56" s="240" t="s">
        <v>68</v>
      </c>
      <c r="AH56" s="240"/>
      <c r="AI56" s="240"/>
      <c r="AJ56" s="241"/>
      <c r="AK56" s="240" t="s">
        <v>66</v>
      </c>
      <c r="AL56" s="240"/>
      <c r="AM56" s="240"/>
      <c r="AN56" s="241"/>
      <c r="AO56" s="239" t="s">
        <v>141</v>
      </c>
      <c r="AP56" s="240"/>
      <c r="AQ56" s="240"/>
      <c r="AR56" s="241"/>
      <c r="AS56" s="239" t="s">
        <v>82</v>
      </c>
      <c r="AT56" s="240"/>
      <c r="AU56" s="240"/>
      <c r="AV56" s="240"/>
      <c r="AW56" s="239" t="s">
        <v>83</v>
      </c>
      <c r="AX56" s="240"/>
      <c r="AY56" s="240"/>
      <c r="AZ56" s="241"/>
      <c r="BA56" s="239" t="s">
        <v>84</v>
      </c>
      <c r="BB56" s="240"/>
      <c r="BC56" s="240"/>
      <c r="BD56" s="241"/>
      <c r="BE56" s="240" t="s">
        <v>85</v>
      </c>
      <c r="BF56" s="240"/>
      <c r="BG56" s="241"/>
      <c r="BH56" s="240" t="s">
        <v>86</v>
      </c>
      <c r="BI56" s="240"/>
      <c r="BJ56" s="240"/>
      <c r="BK56" s="241"/>
      <c r="BL56" s="240" t="s">
        <v>69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144</v>
      </c>
      <c r="Q57" s="150"/>
      <c r="R57" s="150"/>
      <c r="S57" s="162"/>
      <c r="T57" s="1009">
        <f>R42</f>
        <v>1000</v>
      </c>
      <c r="U57" s="1010"/>
      <c r="V57" s="1010"/>
      <c r="W57" s="1011"/>
      <c r="X57" s="1019">
        <f>AH42</f>
        <v>510.27</v>
      </c>
      <c r="Y57" s="1020"/>
      <c r="Z57" s="1020"/>
      <c r="AA57" s="1021"/>
      <c r="AB57" s="1019">
        <f>V42</f>
        <v>980</v>
      </c>
      <c r="AC57" s="1020"/>
      <c r="AD57" s="1020"/>
      <c r="AE57" s="1020"/>
      <c r="AF57" s="1021"/>
      <c r="AG57" s="1019">
        <f>Z42</f>
        <v>1610</v>
      </c>
      <c r="AH57" s="1020"/>
      <c r="AI57" s="1020"/>
      <c r="AJ57" s="1021"/>
      <c r="AK57" s="1019">
        <f>AD42</f>
        <v>1035</v>
      </c>
      <c r="AL57" s="1020"/>
      <c r="AM57" s="1020"/>
      <c r="AN57" s="1021"/>
      <c r="AO57" s="1004">
        <f>AD42/AM42-1</f>
        <v>0.30020225368390641</v>
      </c>
      <c r="AP57" s="1005"/>
      <c r="AQ57" s="1005"/>
      <c r="AR57" s="1006"/>
      <c r="AS57" s="1001">
        <f>(AK57-AG57)/AG57</f>
        <v>-0.35714285714285715</v>
      </c>
      <c r="AT57" s="1002"/>
      <c r="AU57" s="1002"/>
      <c r="AV57" s="1003"/>
      <c r="AW57" s="148"/>
      <c r="AX57" s="150"/>
      <c r="AY57" s="150"/>
      <c r="AZ57" s="162"/>
      <c r="BA57" s="1004" t="str">
        <f>IFERROR(1-(AD42/AQ42),"")</f>
        <v/>
      </c>
      <c r="BB57" s="1005"/>
      <c r="BC57" s="1005"/>
      <c r="BD57" s="1006"/>
      <c r="BE57" s="995">
        <f>AU42</f>
        <v>64.7</v>
      </c>
      <c r="BF57" s="996"/>
      <c r="BG57" s="997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144</v>
      </c>
      <c r="Q58" s="150"/>
      <c r="R58" s="150"/>
      <c r="S58" s="162"/>
      <c r="T58" s="1009">
        <f>R43</f>
        <v>500</v>
      </c>
      <c r="U58" s="1010"/>
      <c r="V58" s="1010"/>
      <c r="W58" s="1011"/>
      <c r="X58" s="1019">
        <f>AH43</f>
        <v>247.92</v>
      </c>
      <c r="Y58" s="1020"/>
      <c r="Z58" s="1020"/>
      <c r="AA58" s="1021"/>
      <c r="AB58" s="1019">
        <f>V43</f>
        <v>500</v>
      </c>
      <c r="AC58" s="1020"/>
      <c r="AD58" s="1020"/>
      <c r="AE58" s="1020"/>
      <c r="AF58" s="1021"/>
      <c r="AG58" s="1019">
        <f>Z43</f>
        <v>794</v>
      </c>
      <c r="AH58" s="1020"/>
      <c r="AI58" s="1020"/>
      <c r="AJ58" s="1021"/>
      <c r="AK58" s="1019">
        <f>AD43</f>
        <v>630</v>
      </c>
      <c r="AL58" s="1020"/>
      <c r="AM58" s="1020"/>
      <c r="AN58" s="1021"/>
      <c r="AO58" s="1004">
        <f>AD43/AM43-1</f>
        <v>0.3030798188098538</v>
      </c>
      <c r="AP58" s="1005"/>
      <c r="AQ58" s="1005"/>
      <c r="AR58" s="1006"/>
      <c r="AS58" s="1001">
        <f>(AK58-AG58)/AG58</f>
        <v>-0.20654911838790932</v>
      </c>
      <c r="AT58" s="1002"/>
      <c r="AU58" s="1002"/>
      <c r="AV58" s="1003"/>
      <c r="AW58" s="148"/>
      <c r="AX58" s="150"/>
      <c r="AY58" s="150"/>
      <c r="AZ58" s="162"/>
      <c r="BA58" s="1004" t="str">
        <f>IFERROR(1-(AD43/AQ43),"")</f>
        <v/>
      </c>
      <c r="BB58" s="1005"/>
      <c r="BC58" s="1005"/>
      <c r="BD58" s="1006"/>
      <c r="BE58" s="995">
        <f>AU43</f>
        <v>39.4</v>
      </c>
      <c r="BF58" s="996"/>
      <c r="BG58" s="997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281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280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98</v>
      </c>
      <c r="AC60" s="508"/>
      <c r="AD60" s="508"/>
      <c r="AE60" s="508"/>
      <c r="AF60" s="509"/>
      <c r="AG60" s="510" t="s">
        <v>145</v>
      </c>
      <c r="AH60" s="508"/>
      <c r="AI60" s="508"/>
      <c r="AJ60" s="509"/>
      <c r="AK60" s="510" t="s">
        <v>142</v>
      </c>
      <c r="AL60" s="508"/>
      <c r="AM60" s="508"/>
      <c r="AN60" s="509"/>
      <c r="AO60" s="507" t="s">
        <v>143</v>
      </c>
      <c r="AP60" s="508"/>
      <c r="AQ60" s="508"/>
      <c r="AR60" s="509"/>
      <c r="AS60" s="507" t="s">
        <v>82</v>
      </c>
      <c r="AT60" s="508"/>
      <c r="AU60" s="508"/>
      <c r="AV60" s="508"/>
      <c r="AW60" s="507" t="s">
        <v>100</v>
      </c>
      <c r="AX60" s="508"/>
      <c r="AY60" s="508"/>
      <c r="AZ60" s="509"/>
      <c r="BA60" s="507" t="s">
        <v>101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92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998"/>
      <c r="Y61" s="999"/>
      <c r="Z61" s="999"/>
      <c r="AA61" s="1000"/>
      <c r="AB61" s="1015">
        <f>SUMPRODUCT($T$57:$W$58,$AK$57:$AN$58)</f>
        <v>1350000</v>
      </c>
      <c r="AC61" s="1016"/>
      <c r="AD61" s="1016"/>
      <c r="AE61" s="1016"/>
      <c r="AF61" s="1017"/>
      <c r="AG61" s="986">
        <f>SUM(AM$42:AP$43)</f>
        <v>1279.5</v>
      </c>
      <c r="AH61" s="987"/>
      <c r="AI61" s="987"/>
      <c r="AJ61" s="988"/>
      <c r="AK61" s="986">
        <f>$AB61-SUMPRODUCT($R$42:$U$43,$AM$42:$AP$43)</f>
        <v>312235</v>
      </c>
      <c r="AL61" s="987"/>
      <c r="AM61" s="987"/>
      <c r="AN61" s="988"/>
      <c r="AO61" s="989">
        <f>$AK61/($AB61-$AK61)</f>
        <v>0.30087254821660009</v>
      </c>
      <c r="AP61" s="990"/>
      <c r="AQ61" s="990"/>
      <c r="AR61" s="991"/>
      <c r="AS61" s="989">
        <f>AW61/($AB61-AW61)</f>
        <v>-0.3273542600896861</v>
      </c>
      <c r="AT61" s="990"/>
      <c r="AU61" s="990"/>
      <c r="AV61" s="991"/>
      <c r="AW61" s="992">
        <f>$T$57*($AK$57-$AG$57)+$T$58*($AK$58-$AG$58)</f>
        <v>-657000</v>
      </c>
      <c r="AX61" s="993"/>
      <c r="AY61" s="993"/>
      <c r="AZ61" s="994"/>
      <c r="BA61" s="980">
        <f>SUMPRODUCT($T$57:$W$58,$AG$57:$AJ$58)</f>
        <v>2007000</v>
      </c>
      <c r="BB61" s="981"/>
      <c r="BC61" s="981"/>
      <c r="BD61" s="982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98</v>
      </c>
      <c r="AC63" s="249"/>
      <c r="AD63" s="249"/>
      <c r="AE63" s="249"/>
      <c r="AF63" s="250"/>
      <c r="AG63" s="330" t="s">
        <v>145</v>
      </c>
      <c r="AH63" s="249"/>
      <c r="AI63" s="249"/>
      <c r="AJ63" s="250"/>
      <c r="AK63" s="330" t="s">
        <v>142</v>
      </c>
      <c r="AL63" s="249"/>
      <c r="AM63" s="249"/>
      <c r="AN63" s="250"/>
      <c r="AO63" s="248" t="s">
        <v>143</v>
      </c>
      <c r="AP63" s="249"/>
      <c r="AQ63" s="249"/>
      <c r="AR63" s="250"/>
      <c r="AS63" s="248" t="s">
        <v>82</v>
      </c>
      <c r="AT63" s="249"/>
      <c r="AU63" s="249"/>
      <c r="AV63" s="249"/>
      <c r="AW63" s="248" t="s">
        <v>100</v>
      </c>
      <c r="AX63" s="249"/>
      <c r="AY63" s="249"/>
      <c r="AZ63" s="250"/>
      <c r="BA63" s="248" t="s">
        <v>101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998"/>
      <c r="Y64" s="999"/>
      <c r="Z64" s="999"/>
      <c r="AA64" s="1000"/>
      <c r="AB64" s="1015">
        <f>SUMPRODUCT($T$57:$W$58,$AK$57:$AN$58)</f>
        <v>1350000</v>
      </c>
      <c r="AC64" s="1016"/>
      <c r="AD64" s="1016"/>
      <c r="AE64" s="1016"/>
      <c r="AF64" s="1017"/>
      <c r="AG64" s="986">
        <f>SUM(AM$42:AP$43)</f>
        <v>1279.5</v>
      </c>
      <c r="AH64" s="987"/>
      <c r="AI64" s="987"/>
      <c r="AJ64" s="988"/>
      <c r="AK64" s="986">
        <f>$AB64-SUMPRODUCT($R$42:$U$43,$AM$42:$AP$43)</f>
        <v>312235</v>
      </c>
      <c r="AL64" s="987"/>
      <c r="AM64" s="987"/>
      <c r="AN64" s="988"/>
      <c r="AO64" s="989">
        <f>$AK64/($AB64-$AK64)</f>
        <v>0.30087254821660009</v>
      </c>
      <c r="AP64" s="990"/>
      <c r="AQ64" s="990"/>
      <c r="AR64" s="991"/>
      <c r="AS64" s="989">
        <f>AW64/($AB64-AW64)</f>
        <v>-0.3273542600896861</v>
      </c>
      <c r="AT64" s="990"/>
      <c r="AU64" s="990"/>
      <c r="AV64" s="991"/>
      <c r="AW64" s="992">
        <f>$T$57*($AK$57-$AG$57)+$T$58*($AK$58-$AG$58)</f>
        <v>-657000</v>
      </c>
      <c r="AX64" s="993"/>
      <c r="AY64" s="993"/>
      <c r="AZ64" s="994"/>
      <c r="BA64" s="980">
        <f>SUMPRODUCT($T$57:$W$58,$AG$57:$AJ$58)</f>
        <v>2007000</v>
      </c>
      <c r="BB64" s="981"/>
      <c r="BC64" s="981"/>
      <c r="BD64" s="982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2"/>
      <c r="K68" s="1013"/>
      <c r="L68" s="1013"/>
      <c r="M68" s="1013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4"/>
      <c r="K70" s="1014"/>
      <c r="L70" s="1014"/>
      <c r="M70" s="1014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22"/>
      <c r="K77" s="1022"/>
      <c r="L77" s="1022"/>
      <c r="M77" s="1022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79"/>
      <c r="K78" s="979"/>
      <c r="L78" s="979"/>
      <c r="M78" s="979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18"/>
      <c r="K80" s="1018"/>
      <c r="L80" s="1018"/>
      <c r="M80" s="1018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79"/>
      <c r="K86" s="979"/>
      <c r="L86" s="979"/>
      <c r="M86" s="979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79"/>
      <c r="K94" s="979"/>
      <c r="L94" s="979"/>
      <c r="M94" s="979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79"/>
      <c r="K103" s="979"/>
      <c r="L103" s="979"/>
      <c r="M103" s="979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79"/>
      <c r="K104" s="979"/>
      <c r="L104" s="979"/>
      <c r="M104" s="979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W61:AZ61"/>
    <mergeCell ref="BA61:BD61"/>
    <mergeCell ref="X61:AA61"/>
    <mergeCell ref="AB61:AF61"/>
    <mergeCell ref="AG61:AJ61"/>
    <mergeCell ref="AK61:AN61"/>
    <mergeCell ref="AO61:AR61"/>
  </mergeCells>
  <phoneticPr fontId="57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264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282</v>
      </c>
      <c r="D39" s="28"/>
      <c r="E39" s="28"/>
      <c r="F39" s="28"/>
      <c r="G39" s="86" t="s">
        <v>277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262</v>
      </c>
      <c r="E40" s="206"/>
      <c r="F40" s="206"/>
      <c r="G40" s="207"/>
      <c r="H40" s="208" t="s">
        <v>276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148</v>
      </c>
      <c r="E41" s="149"/>
      <c r="F41" s="149"/>
      <c r="G41" s="151"/>
      <c r="H41" s="1029">
        <v>110</v>
      </c>
      <c r="I41" s="999"/>
      <c r="J41" s="999"/>
      <c r="K41" s="999"/>
      <c r="L41" s="1000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263</v>
      </c>
      <c r="E42" s="149"/>
      <c r="F42" s="149"/>
      <c r="G42" s="151"/>
      <c r="H42" s="1029">
        <v>125</v>
      </c>
      <c r="I42" s="999"/>
      <c r="J42" s="999"/>
      <c r="K42" s="999"/>
      <c r="L42" s="100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63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288</v>
      </c>
      <c r="E47" s="28"/>
      <c r="F47" s="28"/>
      <c r="G47" s="28"/>
      <c r="H47" s="86" t="s">
        <v>146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64</v>
      </c>
      <c r="E48" s="206"/>
      <c r="F48" s="206"/>
      <c r="G48" s="207"/>
      <c r="H48" s="208" t="s">
        <v>73</v>
      </c>
      <c r="I48" s="209"/>
      <c r="J48" s="209"/>
      <c r="K48" s="209"/>
      <c r="L48" s="206"/>
      <c r="M48" s="207"/>
      <c r="N48" s="205" t="s">
        <v>74</v>
      </c>
      <c r="O48" s="206"/>
      <c r="P48" s="206"/>
      <c r="Q48" s="207"/>
      <c r="R48" s="205" t="s">
        <v>75</v>
      </c>
      <c r="S48" s="206"/>
      <c r="T48" s="206"/>
      <c r="U48" s="206"/>
      <c r="V48" s="210" t="s">
        <v>292</v>
      </c>
      <c r="W48" s="211"/>
      <c r="X48" s="211"/>
      <c r="Y48" s="212"/>
      <c r="Z48" s="210" t="s">
        <v>150</v>
      </c>
      <c r="AA48" s="211"/>
      <c r="AB48" s="211"/>
      <c r="AC48" s="212"/>
      <c r="AD48" s="210" t="s">
        <v>293</v>
      </c>
      <c r="AE48" s="211"/>
      <c r="AF48" s="211"/>
      <c r="AG48" s="212"/>
      <c r="AH48" s="211" t="s">
        <v>76</v>
      </c>
      <c r="AI48" s="211"/>
      <c r="AJ48" s="211"/>
      <c r="AK48" s="212"/>
      <c r="AL48" s="211" t="s">
        <v>89</v>
      </c>
      <c r="AM48" s="211"/>
      <c r="AN48" s="211"/>
      <c r="AO48" s="212"/>
      <c r="AP48" s="210" t="s">
        <v>153</v>
      </c>
      <c r="AQ48" s="211"/>
      <c r="AR48" s="211"/>
      <c r="AS48" s="211"/>
      <c r="AT48" s="210" t="s">
        <v>154</v>
      </c>
      <c r="AU48" s="211"/>
      <c r="AV48" s="211"/>
      <c r="AW48" s="211"/>
      <c r="AX48" s="210" t="s">
        <v>83</v>
      </c>
      <c r="AY48" s="211"/>
      <c r="AZ48" s="211"/>
      <c r="BA48" s="212"/>
      <c r="BB48" s="210" t="s">
        <v>87</v>
      </c>
      <c r="BC48" s="211"/>
      <c r="BD48" s="211"/>
      <c r="BE48" s="212"/>
      <c r="BF48" s="210" t="s">
        <v>156</v>
      </c>
      <c r="BG48" s="211"/>
      <c r="BH48" s="211"/>
      <c r="BI48" s="212"/>
      <c r="BJ48" s="305" t="s">
        <v>86</v>
      </c>
      <c r="BK48" s="211"/>
      <c r="BL48" s="211"/>
      <c r="BM48" s="212"/>
      <c r="BN48" s="211" t="s">
        <v>69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155</v>
      </c>
      <c r="AU49" s="218"/>
      <c r="AV49" s="219"/>
      <c r="AW49" s="219"/>
      <c r="AX49" s="217" t="s">
        <v>155</v>
      </c>
      <c r="AY49" s="218"/>
      <c r="AZ49" s="219"/>
      <c r="BA49" s="220"/>
      <c r="BB49" s="217" t="s">
        <v>88</v>
      </c>
      <c r="BC49" s="218"/>
      <c r="BD49" s="219"/>
      <c r="BE49" s="220"/>
      <c r="BF49" s="217" t="s">
        <v>157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158</v>
      </c>
      <c r="E50" s="149"/>
      <c r="F50" s="149"/>
      <c r="G50" s="151"/>
      <c r="H50" s="242" t="s">
        <v>159</v>
      </c>
      <c r="I50" s="150"/>
      <c r="J50" s="150"/>
      <c r="K50" s="150"/>
      <c r="L50" s="161"/>
      <c r="M50" s="162"/>
      <c r="N50" s="242" t="s">
        <v>160</v>
      </c>
      <c r="O50" s="150"/>
      <c r="P50" s="150"/>
      <c r="Q50" s="99" t="s">
        <v>33</v>
      </c>
      <c r="R50" s="1009">
        <v>70000</v>
      </c>
      <c r="S50" s="1010"/>
      <c r="T50" s="1010"/>
      <c r="U50" s="1011"/>
      <c r="V50" s="148" t="s">
        <v>148</v>
      </c>
      <c r="W50" s="150"/>
      <c r="X50" s="150"/>
      <c r="Y50" s="99" t="s">
        <v>33</v>
      </c>
      <c r="Z50" s="1023">
        <v>6.7299999999999999E-2</v>
      </c>
      <c r="AA50" s="1024"/>
      <c r="AB50" s="1024"/>
      <c r="AC50" s="1025"/>
      <c r="AD50" s="148" t="s">
        <v>148</v>
      </c>
      <c r="AE50" s="150"/>
      <c r="AF50" s="150"/>
      <c r="AG50" s="99" t="s">
        <v>33</v>
      </c>
      <c r="AH50" s="1023">
        <v>0.1211</v>
      </c>
      <c r="AI50" s="1024"/>
      <c r="AJ50" s="1024"/>
      <c r="AK50" s="1025"/>
      <c r="AL50" s="1023"/>
      <c r="AM50" s="1024"/>
      <c r="AN50" s="1024"/>
      <c r="AO50" s="1025"/>
      <c r="AP50" s="1026">
        <v>0.01</v>
      </c>
      <c r="AQ50" s="1027"/>
      <c r="AR50" s="1027"/>
      <c r="AS50" s="1028"/>
      <c r="AT50" s="1023">
        <v>0.13589999999999999</v>
      </c>
      <c r="AU50" s="1024"/>
      <c r="AV50" s="1024"/>
      <c r="AW50" s="1025"/>
      <c r="AX50" s="1023">
        <v>0.151</v>
      </c>
      <c r="AY50" s="1024"/>
      <c r="AZ50" s="1024"/>
      <c r="BA50" s="1025"/>
      <c r="BB50" s="1023">
        <v>0.151</v>
      </c>
      <c r="BC50" s="1024"/>
      <c r="BD50" s="1024"/>
      <c r="BE50" s="1025"/>
      <c r="BF50" s="1023">
        <v>6.1000000000000004E-3</v>
      </c>
      <c r="BG50" s="1024"/>
      <c r="BH50" s="1024"/>
      <c r="BI50" s="1025"/>
      <c r="BJ50" s="1033"/>
      <c r="BK50" s="1034"/>
      <c r="BL50" s="1034"/>
      <c r="BM50" s="1035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09"/>
      <c r="S51" s="1010"/>
      <c r="T51" s="1010"/>
      <c r="U51" s="1011"/>
      <c r="V51" s="148"/>
      <c r="W51" s="150"/>
      <c r="X51" s="150"/>
      <c r="Y51" s="99" t="s">
        <v>33</v>
      </c>
      <c r="Z51" s="998"/>
      <c r="AA51" s="1007"/>
      <c r="AB51" s="1007"/>
      <c r="AC51" s="1008"/>
      <c r="AD51" s="148"/>
      <c r="AE51" s="150"/>
      <c r="AF51" s="150"/>
      <c r="AG51" s="99" t="s">
        <v>33</v>
      </c>
      <c r="AH51" s="998"/>
      <c r="AI51" s="1007"/>
      <c r="AJ51" s="1007"/>
      <c r="AK51" s="1008"/>
      <c r="AL51" s="998"/>
      <c r="AM51" s="1007"/>
      <c r="AN51" s="1007"/>
      <c r="AO51" s="1008"/>
      <c r="AP51" s="998"/>
      <c r="AQ51" s="1007"/>
      <c r="AR51" s="1007"/>
      <c r="AS51" s="1008"/>
      <c r="AT51" s="998"/>
      <c r="AU51" s="1007"/>
      <c r="AV51" s="1007"/>
      <c r="AW51" s="1008"/>
      <c r="AX51" s="998"/>
      <c r="AY51" s="1007"/>
      <c r="AZ51" s="1007"/>
      <c r="BA51" s="1008"/>
      <c r="BB51" s="998"/>
      <c r="BC51" s="1007"/>
      <c r="BD51" s="1007"/>
      <c r="BE51" s="1008"/>
      <c r="BF51" s="998"/>
      <c r="BG51" s="1007"/>
      <c r="BH51" s="1007"/>
      <c r="BI51" s="1008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71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78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72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260</v>
      </c>
      <c r="E64" s="235"/>
      <c r="F64" s="234" t="s">
        <v>64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67</v>
      </c>
      <c r="Q64" s="240"/>
      <c r="R64" s="240"/>
      <c r="S64" s="241"/>
      <c r="T64" s="234" t="s">
        <v>79</v>
      </c>
      <c r="U64" s="235"/>
      <c r="V64" s="235"/>
      <c r="W64" s="236"/>
      <c r="X64" s="234" t="s">
        <v>150</v>
      </c>
      <c r="Y64" s="235"/>
      <c r="Z64" s="235"/>
      <c r="AA64" s="235"/>
      <c r="AB64" s="239" t="s">
        <v>65</v>
      </c>
      <c r="AC64" s="240"/>
      <c r="AD64" s="240"/>
      <c r="AE64" s="240"/>
      <c r="AF64" s="241"/>
      <c r="AG64" s="240" t="s">
        <v>68</v>
      </c>
      <c r="AH64" s="240"/>
      <c r="AI64" s="240"/>
      <c r="AJ64" s="241"/>
      <c r="AK64" s="240" t="s">
        <v>66</v>
      </c>
      <c r="AL64" s="240"/>
      <c r="AM64" s="240"/>
      <c r="AN64" s="241"/>
      <c r="AO64" s="239" t="s">
        <v>161</v>
      </c>
      <c r="AP64" s="240"/>
      <c r="AQ64" s="240"/>
      <c r="AR64" s="241"/>
      <c r="AS64" s="239" t="s">
        <v>82</v>
      </c>
      <c r="AT64" s="240"/>
      <c r="AU64" s="240"/>
      <c r="AV64" s="240"/>
      <c r="AW64" s="357" t="s">
        <v>83</v>
      </c>
      <c r="AX64" s="240"/>
      <c r="AY64" s="240"/>
      <c r="AZ64" s="241"/>
      <c r="BA64" s="239" t="s">
        <v>84</v>
      </c>
      <c r="BB64" s="240"/>
      <c r="BC64" s="240"/>
      <c r="BD64" s="241"/>
      <c r="BE64" s="240" t="s">
        <v>85</v>
      </c>
      <c r="BF64" s="240"/>
      <c r="BG64" s="241"/>
      <c r="BH64" s="240" t="s">
        <v>86</v>
      </c>
      <c r="BI64" s="240"/>
      <c r="BJ64" s="240"/>
      <c r="BK64" s="241"/>
      <c r="BL64" s="240" t="s">
        <v>69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147</v>
      </c>
      <c r="Q65" s="150"/>
      <c r="R65" s="150"/>
      <c r="S65" s="162"/>
      <c r="T65" s="1009">
        <f>R50</f>
        <v>70000</v>
      </c>
      <c r="U65" s="1010"/>
      <c r="V65" s="1010"/>
      <c r="W65" s="1011"/>
      <c r="X65" s="1039">
        <f>SUM(Z50:AC51)</f>
        <v>6.7299999999999999E-2</v>
      </c>
      <c r="Y65" s="1040"/>
      <c r="Z65" s="1040"/>
      <c r="AA65" s="1041"/>
      <c r="AB65" s="1042">
        <f>BB50</f>
        <v>0.151</v>
      </c>
      <c r="AC65" s="1043"/>
      <c r="AD65" s="1043"/>
      <c r="AE65" s="1043"/>
      <c r="AF65" s="1044"/>
      <c r="AG65" s="1023">
        <f>AL50</f>
        <v>0</v>
      </c>
      <c r="AH65" s="1024"/>
      <c r="AI65" s="1024"/>
      <c r="AJ65" s="1025"/>
      <c r="AK65" s="1023">
        <f>AH50</f>
        <v>0.1211</v>
      </c>
      <c r="AL65" s="1024"/>
      <c r="AM65" s="1024"/>
      <c r="AN65" s="1025"/>
      <c r="AO65" s="1004">
        <f>1-Z50/AT50</f>
        <v>0.50478292862398821</v>
      </c>
      <c r="AP65" s="1005"/>
      <c r="AQ65" s="1005"/>
      <c r="AR65" s="1006"/>
      <c r="AS65" s="1001" t="str">
        <f>IFERROR((AK65-AG65)/AG65,"")</f>
        <v/>
      </c>
      <c r="AT65" s="1002"/>
      <c r="AU65" s="1002"/>
      <c r="AV65" s="1003"/>
      <c r="AW65" s="1023">
        <f>AX50</f>
        <v>0.151</v>
      </c>
      <c r="AX65" s="1024"/>
      <c r="AY65" s="1024"/>
      <c r="AZ65" s="1025"/>
      <c r="BA65" s="1004">
        <f>1-(AH50/AX50)</f>
        <v>0.19801324503311257</v>
      </c>
      <c r="BB65" s="1005"/>
      <c r="BC65" s="1005"/>
      <c r="BD65" s="1006"/>
      <c r="BE65" s="1039">
        <f>BF50</f>
        <v>6.1000000000000004E-3</v>
      </c>
      <c r="BF65" s="1040"/>
      <c r="BG65" s="1041"/>
      <c r="BH65" s="1033"/>
      <c r="BI65" s="1034"/>
      <c r="BJ65" s="1034"/>
      <c r="BK65" s="1035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09"/>
      <c r="U66" s="1010"/>
      <c r="V66" s="1010"/>
      <c r="W66" s="1011"/>
      <c r="X66" s="998"/>
      <c r="Y66" s="1007"/>
      <c r="Z66" s="1007"/>
      <c r="AA66" s="1008"/>
      <c r="AB66" s="1036"/>
      <c r="AC66" s="1037"/>
      <c r="AD66" s="1037"/>
      <c r="AE66" s="1037"/>
      <c r="AF66" s="1038"/>
      <c r="AG66" s="998"/>
      <c r="AH66" s="1007"/>
      <c r="AI66" s="1007"/>
      <c r="AJ66" s="1008"/>
      <c r="AK66" s="998"/>
      <c r="AL66" s="1007"/>
      <c r="AM66" s="1007"/>
      <c r="AN66" s="1008"/>
      <c r="AO66" s="1004"/>
      <c r="AP66" s="1005"/>
      <c r="AQ66" s="1005"/>
      <c r="AR66" s="1006"/>
      <c r="AS66" s="1001"/>
      <c r="AT66" s="1002"/>
      <c r="AU66" s="1002"/>
      <c r="AV66" s="1003"/>
      <c r="AW66" s="998"/>
      <c r="AX66" s="1007"/>
      <c r="AY66" s="1007"/>
      <c r="AZ66" s="1008"/>
      <c r="BA66" s="1004"/>
      <c r="BB66" s="1005"/>
      <c r="BC66" s="1005"/>
      <c r="BD66" s="1006"/>
      <c r="BE66" s="995"/>
      <c r="BF66" s="996"/>
      <c r="BG66" s="997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281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280</v>
      </c>
      <c r="E68" s="503"/>
      <c r="F68" s="504" t="s">
        <v>294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102</v>
      </c>
      <c r="U68" s="503"/>
      <c r="V68" s="503"/>
      <c r="W68" s="509"/>
      <c r="X68" s="510" t="s">
        <v>234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163</v>
      </c>
      <c r="AH68" s="508"/>
      <c r="AI68" s="508"/>
      <c r="AJ68" s="509"/>
      <c r="AK68" s="514" t="s">
        <v>164</v>
      </c>
      <c r="AL68" s="508"/>
      <c r="AM68" s="508"/>
      <c r="AN68" s="509"/>
      <c r="AO68" s="507" t="s">
        <v>82</v>
      </c>
      <c r="AP68" s="508"/>
      <c r="AQ68" s="508"/>
      <c r="AR68" s="508"/>
      <c r="AS68" s="507" t="s">
        <v>100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160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09">
        <f>SUMPRODUCT($T$65:$W$66,$AK$65:$AN$66)</f>
        <v>8477</v>
      </c>
      <c r="U69" s="1010"/>
      <c r="V69" s="1010"/>
      <c r="W69" s="1011"/>
      <c r="X69" s="986">
        <f>SUMPRODUCT(R46:U47,Z46:AC47)</f>
        <v>0</v>
      </c>
      <c r="Y69" s="987"/>
      <c r="Z69" s="987"/>
      <c r="AA69" s="988"/>
      <c r="AB69" s="252"/>
      <c r="AC69" s="252"/>
      <c r="AD69" s="252"/>
      <c r="AE69" s="252"/>
      <c r="AF69" s="252"/>
      <c r="AG69" s="986">
        <f>$T69-$X69</f>
        <v>8477</v>
      </c>
      <c r="AH69" s="987"/>
      <c r="AI69" s="987"/>
      <c r="AJ69" s="988"/>
      <c r="AK69" s="1030">
        <f>AG69/T69</f>
        <v>1</v>
      </c>
      <c r="AL69" s="1031"/>
      <c r="AM69" s="1031"/>
      <c r="AN69" s="1032"/>
      <c r="AO69" s="989">
        <f>IFERROR(AS69/($T69-AS69),"")</f>
        <v>-0.5</v>
      </c>
      <c r="AP69" s="990"/>
      <c r="AQ69" s="990"/>
      <c r="AR69" s="991"/>
      <c r="AS69" s="992">
        <f>$T$65*($AG$65-$AK$65)+$T$66*($AG$66-$AK$66)</f>
        <v>-8477</v>
      </c>
      <c r="AT69" s="993"/>
      <c r="AU69" s="993"/>
      <c r="AV69" s="994"/>
      <c r="AW69" s="980"/>
      <c r="AX69" s="981"/>
      <c r="AY69" s="981"/>
      <c r="AZ69" s="982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160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09">
        <f>SUMPRODUCT($T$65:$W$66,$AK$65:$AN$66)</f>
        <v>8477</v>
      </c>
      <c r="U70" s="1010"/>
      <c r="V70" s="1010"/>
      <c r="W70" s="1011"/>
      <c r="X70" s="986">
        <f>SUMPRODUCT(R47:U48,Z47:AC48)</f>
        <v>0</v>
      </c>
      <c r="Y70" s="987"/>
      <c r="Z70" s="987"/>
      <c r="AA70" s="988"/>
      <c r="AB70" s="252"/>
      <c r="AC70" s="252"/>
      <c r="AD70" s="252"/>
      <c r="AE70" s="252"/>
      <c r="AF70" s="252"/>
      <c r="AG70" s="986">
        <f>$T70-$X70</f>
        <v>8477</v>
      </c>
      <c r="AH70" s="987"/>
      <c r="AI70" s="987"/>
      <c r="AJ70" s="988"/>
      <c r="AK70" s="1030">
        <f>AG70/T70</f>
        <v>1</v>
      </c>
      <c r="AL70" s="1031"/>
      <c r="AM70" s="1031"/>
      <c r="AN70" s="1032"/>
      <c r="AO70" s="989">
        <f>IFERROR(AS70/($T70-AS70),"")</f>
        <v>-0.5</v>
      </c>
      <c r="AP70" s="990"/>
      <c r="AQ70" s="990"/>
      <c r="AR70" s="991"/>
      <c r="AS70" s="992">
        <f>$T$65*($AG$65-$AK$65)+$T$66*($AG$66-$AK$66)</f>
        <v>-8477</v>
      </c>
      <c r="AT70" s="993"/>
      <c r="AU70" s="993"/>
      <c r="AV70" s="994"/>
      <c r="AW70" s="980"/>
      <c r="AX70" s="981"/>
      <c r="AY70" s="981"/>
      <c r="AZ70" s="982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296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102</v>
      </c>
      <c r="U72" s="244"/>
      <c r="V72" s="244"/>
      <c r="W72" s="250"/>
      <c r="X72" s="330" t="s">
        <v>234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163</v>
      </c>
      <c r="AH72" s="249"/>
      <c r="AI72" s="249"/>
      <c r="AJ72" s="250"/>
      <c r="AK72" s="358" t="s">
        <v>164</v>
      </c>
      <c r="AL72" s="249"/>
      <c r="AM72" s="249"/>
      <c r="AN72" s="250"/>
      <c r="AO72" s="248" t="s">
        <v>82</v>
      </c>
      <c r="AP72" s="249"/>
      <c r="AQ72" s="249"/>
      <c r="AR72" s="249"/>
      <c r="AS72" s="248" t="s">
        <v>100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148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09">
        <f>SUMPRODUCT($T$65:$W$66,$AK$65:$AN$66)</f>
        <v>8477</v>
      </c>
      <c r="U73" s="1010"/>
      <c r="V73" s="1010"/>
      <c r="W73" s="1011"/>
      <c r="X73" s="986">
        <f>SUMPRODUCT(R49:U50,Z49:AC50)</f>
        <v>4711</v>
      </c>
      <c r="Y73" s="987"/>
      <c r="Z73" s="987"/>
      <c r="AA73" s="988"/>
      <c r="AB73" s="252"/>
      <c r="AC73" s="252"/>
      <c r="AD73" s="252"/>
      <c r="AE73" s="252"/>
      <c r="AF73" s="252"/>
      <c r="AG73" s="986">
        <f>$T73-$X73</f>
        <v>3766</v>
      </c>
      <c r="AH73" s="987"/>
      <c r="AI73" s="987"/>
      <c r="AJ73" s="988"/>
      <c r="AK73" s="1030">
        <f>AG73/T73</f>
        <v>0.44426094137076794</v>
      </c>
      <c r="AL73" s="1031"/>
      <c r="AM73" s="1031"/>
      <c r="AN73" s="1032"/>
      <c r="AO73" s="989">
        <f>IFERROR(AS73/($T73-AS73),"")</f>
        <v>-0.5</v>
      </c>
      <c r="AP73" s="990"/>
      <c r="AQ73" s="990"/>
      <c r="AR73" s="991"/>
      <c r="AS73" s="992">
        <f>$T$65*($AG$65-$AK$65)+$T$66*($AG$66-$AK$66)</f>
        <v>-8477</v>
      </c>
      <c r="AT73" s="993"/>
      <c r="AU73" s="993"/>
      <c r="AV73" s="994"/>
      <c r="AW73" s="980"/>
      <c r="AX73" s="981"/>
      <c r="AY73" s="981"/>
      <c r="AZ73" s="982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09">
        <f>SUMPRODUCT($T$65:$W$66,$AK$65:$AN$66)</f>
        <v>8477</v>
      </c>
      <c r="U74" s="1010"/>
      <c r="V74" s="1010"/>
      <c r="W74" s="1011"/>
      <c r="X74" s="986">
        <f>SUMPRODUCT(R50:U51,Z50:AC51)</f>
        <v>4711</v>
      </c>
      <c r="Y74" s="987"/>
      <c r="Z74" s="987"/>
      <c r="AA74" s="988"/>
      <c r="AB74" s="252"/>
      <c r="AC74" s="252"/>
      <c r="AD74" s="252"/>
      <c r="AE74" s="252"/>
      <c r="AF74" s="252"/>
      <c r="AG74" s="986">
        <f>$T74-$X74</f>
        <v>3766</v>
      </c>
      <c r="AH74" s="987"/>
      <c r="AI74" s="987"/>
      <c r="AJ74" s="988"/>
      <c r="AK74" s="1030">
        <f>AG74/T74</f>
        <v>0.44426094137076794</v>
      </c>
      <c r="AL74" s="1031"/>
      <c r="AM74" s="1031"/>
      <c r="AN74" s="1032"/>
      <c r="AO74" s="989">
        <f>IFERROR(AS74/($T74-AS74),"")</f>
        <v>-0.5</v>
      </c>
      <c r="AP74" s="990"/>
      <c r="AQ74" s="990"/>
      <c r="AR74" s="991"/>
      <c r="AS74" s="992">
        <f>$T$65*($AG$65-$AK$65)+$T$66*($AG$66-$AK$66)</f>
        <v>-8477</v>
      </c>
      <c r="AT74" s="993"/>
      <c r="AU74" s="993"/>
      <c r="AV74" s="994"/>
      <c r="AW74" s="980"/>
      <c r="AX74" s="981"/>
      <c r="AY74" s="981"/>
      <c r="AZ74" s="982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12"/>
      <c r="K78" s="1013"/>
      <c r="L78" s="1013"/>
      <c r="M78" s="1013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14"/>
      <c r="K80" s="1014"/>
      <c r="L80" s="1014"/>
      <c r="M80" s="1014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131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44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45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22"/>
      <c r="K87" s="1022"/>
      <c r="L87" s="1022"/>
      <c r="M87" s="1022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247</v>
      </c>
      <c r="D88" s="332"/>
      <c r="E88" s="65"/>
      <c r="F88" s="65"/>
      <c r="G88" s="65"/>
      <c r="H88" s="65"/>
      <c r="I88" s="65"/>
      <c r="J88" s="979"/>
      <c r="K88" s="979"/>
      <c r="L88" s="979"/>
      <c r="M88" s="979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248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18"/>
      <c r="K90" s="1018"/>
      <c r="L90" s="1018"/>
      <c r="M90" s="1018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240</v>
      </c>
      <c r="E92" s="28"/>
      <c r="F92" s="28"/>
      <c r="G92" s="28"/>
      <c r="H92" s="468" t="s">
        <v>245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246</v>
      </c>
      <c r="S92" s="470"/>
      <c r="T92" s="471"/>
      <c r="U92" s="471"/>
      <c r="V92" s="483"/>
      <c r="W92" s="472"/>
      <c r="X92" s="471"/>
      <c r="Y92" s="473"/>
      <c r="Z92" s="474"/>
      <c r="AB92" s="469" t="s">
        <v>289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54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243</v>
      </c>
      <c r="D96" s="332"/>
      <c r="E96" s="65"/>
      <c r="F96" s="65"/>
      <c r="G96" s="65"/>
      <c r="H96" s="65"/>
      <c r="I96" s="65"/>
      <c r="J96" s="979"/>
      <c r="K96" s="979"/>
      <c r="L96" s="979"/>
      <c r="M96" s="979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240</v>
      </c>
      <c r="E98" s="28"/>
      <c r="F98" s="28"/>
      <c r="G98" s="28"/>
      <c r="H98" s="468" t="s">
        <v>241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242</v>
      </c>
      <c r="S98" s="470"/>
      <c r="T98" s="471"/>
      <c r="U98" s="471"/>
      <c r="V98" s="483"/>
      <c r="W98" s="484" t="s">
        <v>254</v>
      </c>
      <c r="X98" s="471"/>
      <c r="Y98" s="473"/>
      <c r="Z98" s="474"/>
      <c r="AB98" s="529" t="s">
        <v>290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253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243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249</v>
      </c>
      <c r="D104" s="332"/>
      <c r="E104" s="65"/>
      <c r="F104" s="65"/>
      <c r="G104" s="65"/>
      <c r="H104" s="65"/>
      <c r="I104" s="65"/>
      <c r="J104" s="979"/>
      <c r="K104" s="979"/>
      <c r="L104" s="979"/>
      <c r="M104" s="979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250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252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251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44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255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54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79"/>
      <c r="K112" s="979"/>
      <c r="L112" s="979"/>
      <c r="M112" s="979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79"/>
      <c r="K113" s="979"/>
      <c r="L113" s="979"/>
      <c r="M113" s="979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79"/>
      <c r="K114" s="979"/>
      <c r="L114" s="979"/>
      <c r="M114" s="979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7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291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287</v>
      </c>
      <c r="P7" s="36"/>
      <c r="Q7" s="36"/>
      <c r="R7" s="36"/>
      <c r="S7" s="49" t="s">
        <v>286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172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173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112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264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282</v>
      </c>
      <c r="D45" s="28"/>
      <c r="E45" s="28"/>
      <c r="F45" s="28"/>
      <c r="G45" s="86" t="s">
        <v>277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262</v>
      </c>
      <c r="E46" s="206"/>
      <c r="F46" s="206"/>
      <c r="G46" s="207"/>
      <c r="H46" s="208" t="s">
        <v>276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148</v>
      </c>
      <c r="E47" s="149"/>
      <c r="F47" s="149"/>
      <c r="G47" s="151"/>
      <c r="H47" s="1029">
        <v>110</v>
      </c>
      <c r="I47" s="999"/>
      <c r="J47" s="999"/>
      <c r="K47" s="999"/>
      <c r="L47" s="1000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263</v>
      </c>
      <c r="E48" s="149"/>
      <c r="F48" s="149"/>
      <c r="G48" s="151"/>
      <c r="H48" s="1029">
        <v>125</v>
      </c>
      <c r="I48" s="999"/>
      <c r="J48" s="999"/>
      <c r="K48" s="999"/>
      <c r="L48" s="1000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63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288</v>
      </c>
      <c r="E53" s="28"/>
      <c r="F53" s="28"/>
      <c r="G53" s="28"/>
      <c r="H53" s="86" t="s">
        <v>139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64</v>
      </c>
      <c r="E54" s="206"/>
      <c r="F54" s="206"/>
      <c r="G54" s="207"/>
      <c r="H54" s="208" t="s">
        <v>73</v>
      </c>
      <c r="I54" s="209"/>
      <c r="J54" s="209"/>
      <c r="K54" s="209"/>
      <c r="L54" s="206"/>
      <c r="M54" s="207"/>
      <c r="N54" s="205" t="s">
        <v>74</v>
      </c>
      <c r="O54" s="206"/>
      <c r="P54" s="206"/>
      <c r="Q54" s="207"/>
      <c r="R54" s="205" t="s">
        <v>75</v>
      </c>
      <c r="S54" s="206"/>
      <c r="T54" s="206"/>
      <c r="U54" s="206"/>
      <c r="V54" s="210" t="s">
        <v>292</v>
      </c>
      <c r="W54" s="211"/>
      <c r="X54" s="211"/>
      <c r="Y54" s="212"/>
      <c r="Z54" s="528" t="s">
        <v>77</v>
      </c>
      <c r="AA54" s="211"/>
      <c r="AB54" s="211"/>
      <c r="AC54" s="211"/>
      <c r="AD54" s="212"/>
      <c r="AE54" s="210" t="s">
        <v>293</v>
      </c>
      <c r="AF54" s="211"/>
      <c r="AG54" s="211"/>
      <c r="AH54" s="212"/>
      <c r="AI54" s="210" t="s">
        <v>162</v>
      </c>
      <c r="AJ54" s="211"/>
      <c r="AK54" s="211"/>
      <c r="AL54" s="212"/>
      <c r="AM54" s="211" t="s">
        <v>152</v>
      </c>
      <c r="AN54" s="211"/>
      <c r="AO54" s="211"/>
      <c r="AP54" s="212"/>
      <c r="AQ54" s="211" t="s">
        <v>197</v>
      </c>
      <c r="AR54" s="211"/>
      <c r="AS54" s="211"/>
      <c r="AT54" s="212"/>
      <c r="AU54" s="210" t="s">
        <v>199</v>
      </c>
      <c r="AV54" s="211"/>
      <c r="AW54" s="211"/>
      <c r="AX54" s="212"/>
      <c r="AY54" s="210" t="s">
        <v>83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156</v>
      </c>
      <c r="BH54" s="211"/>
      <c r="BI54" s="212"/>
      <c r="BJ54" s="305" t="s">
        <v>86</v>
      </c>
      <c r="BK54" s="211"/>
      <c r="BL54" s="211"/>
      <c r="BM54" s="212"/>
      <c r="BN54" s="211" t="s">
        <v>69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198</v>
      </c>
      <c r="AR55" s="218"/>
      <c r="AS55" s="219"/>
      <c r="AT55" s="220"/>
      <c r="AU55" s="217" t="s">
        <v>155</v>
      </c>
      <c r="AV55" s="218"/>
      <c r="AW55" s="219"/>
      <c r="AX55" s="220"/>
      <c r="AY55" s="217" t="s">
        <v>155</v>
      </c>
      <c r="AZ55" s="218"/>
      <c r="BA55" s="219"/>
      <c r="BB55" s="220"/>
      <c r="BC55" s="217" t="s">
        <v>200</v>
      </c>
      <c r="BD55" s="218"/>
      <c r="BE55" s="219"/>
      <c r="BF55" s="220"/>
      <c r="BG55" s="218" t="s">
        <v>201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202</v>
      </c>
      <c r="E56" s="149"/>
      <c r="F56" s="149"/>
      <c r="G56" s="151"/>
      <c r="H56" s="242" t="s">
        <v>204</v>
      </c>
      <c r="I56" s="150"/>
      <c r="J56" s="150"/>
      <c r="K56" s="150"/>
      <c r="L56" s="161"/>
      <c r="M56" s="162"/>
      <c r="N56" s="242" t="s">
        <v>206</v>
      </c>
      <c r="O56" s="150"/>
      <c r="P56" s="150"/>
      <c r="Q56" s="99" t="s">
        <v>33</v>
      </c>
      <c r="R56" s="1009">
        <v>2000000</v>
      </c>
      <c r="S56" s="1010"/>
      <c r="T56" s="1010"/>
      <c r="U56" s="1011"/>
      <c r="V56" s="148" t="s">
        <v>207</v>
      </c>
      <c r="W56" s="150"/>
      <c r="X56" s="150"/>
      <c r="Y56" s="99" t="s">
        <v>33</v>
      </c>
      <c r="Z56" s="998">
        <v>5.29</v>
      </c>
      <c r="AA56" s="1007"/>
      <c r="AB56" s="1007"/>
      <c r="AC56" s="1007"/>
      <c r="AD56" s="1008"/>
      <c r="AE56" s="148" t="s">
        <v>148</v>
      </c>
      <c r="AF56" s="150"/>
      <c r="AG56" s="150"/>
      <c r="AH56" s="99" t="s">
        <v>33</v>
      </c>
      <c r="AI56" s="1023">
        <v>9.2200000000000004E-2</v>
      </c>
      <c r="AJ56" s="1024"/>
      <c r="AK56" s="1024"/>
      <c r="AL56" s="1025"/>
      <c r="AM56" s="1023">
        <v>9.4E-2</v>
      </c>
      <c r="AN56" s="1024"/>
      <c r="AO56" s="1024"/>
      <c r="AP56" s="1025"/>
      <c r="AQ56" s="1026">
        <v>0.01</v>
      </c>
      <c r="AR56" s="1027"/>
      <c r="AS56" s="1027"/>
      <c r="AT56" s="1028"/>
      <c r="AU56" s="1023">
        <v>0.1012</v>
      </c>
      <c r="AV56" s="1024"/>
      <c r="AW56" s="1024"/>
      <c r="AX56" s="1025"/>
      <c r="AY56" s="1023">
        <v>0.11</v>
      </c>
      <c r="AZ56" s="1024"/>
      <c r="BA56" s="1024"/>
      <c r="BB56" s="1025"/>
      <c r="BC56" s="1023">
        <v>0.11</v>
      </c>
      <c r="BD56" s="1024"/>
      <c r="BE56" s="1024"/>
      <c r="BF56" s="1025"/>
      <c r="BG56" s="1039">
        <f>AI56/21</f>
        <v>4.3904761904761903E-3</v>
      </c>
      <c r="BH56" s="1040"/>
      <c r="BI56" s="1041"/>
      <c r="BJ56" s="309" t="s">
        <v>208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203</v>
      </c>
      <c r="E57" s="149"/>
      <c r="F57" s="149"/>
      <c r="G57" s="151"/>
      <c r="H57" s="242" t="s">
        <v>205</v>
      </c>
      <c r="I57" s="150"/>
      <c r="J57" s="150"/>
      <c r="K57" s="150"/>
      <c r="L57" s="161"/>
      <c r="M57" s="162"/>
      <c r="N57" s="242" t="s">
        <v>206</v>
      </c>
      <c r="O57" s="150"/>
      <c r="P57" s="150"/>
      <c r="Q57" s="99" t="s">
        <v>33</v>
      </c>
      <c r="R57" s="1009">
        <v>20000</v>
      </c>
      <c r="S57" s="1010"/>
      <c r="T57" s="1010"/>
      <c r="U57" s="1011"/>
      <c r="V57" s="148" t="s">
        <v>207</v>
      </c>
      <c r="W57" s="150"/>
      <c r="X57" s="150"/>
      <c r="Y57" s="99" t="s">
        <v>33</v>
      </c>
      <c r="Z57" s="998">
        <v>11</v>
      </c>
      <c r="AA57" s="1007"/>
      <c r="AB57" s="1007"/>
      <c r="AC57" s="1007"/>
      <c r="AD57" s="1008"/>
      <c r="AE57" s="148" t="s">
        <v>148</v>
      </c>
      <c r="AF57" s="150"/>
      <c r="AG57" s="150"/>
      <c r="AH57" s="99" t="s">
        <v>33</v>
      </c>
      <c r="AI57" s="1023">
        <v>0.12970000000000001</v>
      </c>
      <c r="AJ57" s="1024"/>
      <c r="AK57" s="1024"/>
      <c r="AL57" s="1025"/>
      <c r="AM57" s="1023">
        <v>0.13</v>
      </c>
      <c r="AN57" s="1024"/>
      <c r="AO57" s="1024"/>
      <c r="AP57" s="1025"/>
      <c r="AQ57" s="1026">
        <v>0.01</v>
      </c>
      <c r="AR57" s="1027"/>
      <c r="AS57" s="1027"/>
      <c r="AT57" s="1028"/>
      <c r="AU57" s="1023">
        <v>0.13600000000000001</v>
      </c>
      <c r="AV57" s="1024"/>
      <c r="AW57" s="1024"/>
      <c r="AX57" s="1025"/>
      <c r="AY57" s="1023">
        <v>0.156</v>
      </c>
      <c r="AZ57" s="1024"/>
      <c r="BA57" s="1024"/>
      <c r="BB57" s="1025"/>
      <c r="BC57" s="1023">
        <v>0.156</v>
      </c>
      <c r="BD57" s="1024"/>
      <c r="BE57" s="1024"/>
      <c r="BF57" s="1025"/>
      <c r="BG57" s="1039">
        <f>AI57/21</f>
        <v>6.1761904761904766E-3</v>
      </c>
      <c r="BH57" s="1040"/>
      <c r="BI57" s="1041"/>
      <c r="BJ57" s="309" t="s">
        <v>209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71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174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72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182</v>
      </c>
      <c r="E63" s="433"/>
      <c r="F63" s="433"/>
      <c r="G63" s="434"/>
      <c r="H63" s="435" t="s">
        <v>183</v>
      </c>
      <c r="I63" s="436"/>
      <c r="J63" s="436"/>
      <c r="K63" s="436"/>
      <c r="L63" s="433"/>
      <c r="M63" s="434"/>
      <c r="N63" s="432" t="s">
        <v>184</v>
      </c>
      <c r="O63" s="433"/>
      <c r="P63" s="433"/>
      <c r="Q63" s="433"/>
      <c r="R63" s="433"/>
      <c r="S63" s="434"/>
      <c r="T63" s="432" t="s">
        <v>185</v>
      </c>
      <c r="U63" s="433"/>
      <c r="V63" s="433"/>
      <c r="W63" s="433"/>
      <c r="X63" s="433"/>
      <c r="Y63" s="433"/>
      <c r="Z63" s="437" t="s">
        <v>179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180</v>
      </c>
      <c r="E64" s="149"/>
      <c r="F64" s="149"/>
      <c r="G64" s="99" t="s">
        <v>33</v>
      </c>
      <c r="H64" s="242" t="s">
        <v>192</v>
      </c>
      <c r="I64" s="150"/>
      <c r="J64" s="150"/>
      <c r="K64" s="150"/>
      <c r="L64" s="161"/>
      <c r="M64" s="162"/>
      <c r="N64" s="1061">
        <v>5000</v>
      </c>
      <c r="O64" s="1062"/>
      <c r="P64" s="1062"/>
      <c r="Q64" s="1062"/>
      <c r="R64" s="1062"/>
      <c r="S64" s="1063"/>
      <c r="T64" s="1061">
        <v>5000</v>
      </c>
      <c r="U64" s="1056"/>
      <c r="V64" s="1056"/>
      <c r="W64" s="1056"/>
      <c r="X64" s="1056"/>
      <c r="Y64" s="1057"/>
      <c r="Z64" s="1064">
        <v>10</v>
      </c>
      <c r="AA64" s="1065"/>
      <c r="AB64" s="1065"/>
      <c r="AC64" s="1066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71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181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72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182</v>
      </c>
      <c r="E69" s="445"/>
      <c r="F69" s="445"/>
      <c r="G69" s="446"/>
      <c r="H69" s="447" t="s">
        <v>189</v>
      </c>
      <c r="I69" s="448"/>
      <c r="J69" s="448"/>
      <c r="K69" s="448"/>
      <c r="L69" s="445"/>
      <c r="M69" s="446"/>
      <c r="N69" s="449" t="s">
        <v>190</v>
      </c>
      <c r="O69" s="445"/>
      <c r="P69" s="445"/>
      <c r="Q69" s="445"/>
      <c r="R69" s="445"/>
      <c r="S69" s="446"/>
      <c r="T69" s="449" t="s">
        <v>191</v>
      </c>
      <c r="U69" s="445"/>
      <c r="V69" s="445"/>
      <c r="W69" s="445"/>
      <c r="X69" s="445"/>
      <c r="Y69" s="445"/>
      <c r="Z69" s="450" t="s">
        <v>179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180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055">
        <v>5000</v>
      </c>
      <c r="O70" s="1056"/>
      <c r="P70" s="1056"/>
      <c r="Q70" s="1056"/>
      <c r="R70" s="1056"/>
      <c r="S70" s="1057"/>
      <c r="T70" s="1055">
        <v>5000</v>
      </c>
      <c r="U70" s="1056"/>
      <c r="V70" s="1056"/>
      <c r="W70" s="1056"/>
      <c r="X70" s="1056"/>
      <c r="Y70" s="1057"/>
      <c r="Z70" s="1058">
        <v>10</v>
      </c>
      <c r="AA70" s="1059"/>
      <c r="AB70" s="1059"/>
      <c r="AC70" s="1060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71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78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260</v>
      </c>
      <c r="E79" s="235"/>
      <c r="F79" s="234" t="s">
        <v>64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67</v>
      </c>
      <c r="Q79" s="240"/>
      <c r="R79" s="240"/>
      <c r="S79" s="241"/>
      <c r="T79" s="239" t="s">
        <v>151</v>
      </c>
      <c r="U79" s="240"/>
      <c r="V79" s="240"/>
      <c r="W79" s="241"/>
      <c r="X79" s="234" t="s">
        <v>79</v>
      </c>
      <c r="Y79" s="235"/>
      <c r="Z79" s="235"/>
      <c r="AA79" s="236"/>
      <c r="AB79" s="234" t="s">
        <v>80</v>
      </c>
      <c r="AC79" s="235"/>
      <c r="AD79" s="235"/>
      <c r="AE79" s="235"/>
      <c r="AF79" s="239" t="s">
        <v>65</v>
      </c>
      <c r="AG79" s="240"/>
      <c r="AH79" s="240"/>
      <c r="AI79" s="240"/>
      <c r="AJ79" s="241"/>
      <c r="AK79" s="240" t="s">
        <v>210</v>
      </c>
      <c r="AL79" s="240"/>
      <c r="AM79" s="240"/>
      <c r="AN79" s="241"/>
      <c r="AO79" s="240" t="s">
        <v>162</v>
      </c>
      <c r="AP79" s="240"/>
      <c r="AQ79" s="240"/>
      <c r="AR79" s="241"/>
      <c r="AS79" s="240" t="s">
        <v>211</v>
      </c>
      <c r="AT79" s="240"/>
      <c r="AU79" s="240"/>
      <c r="AV79" s="241"/>
      <c r="AW79" s="240" t="s">
        <v>66</v>
      </c>
      <c r="AX79" s="240"/>
      <c r="AY79" s="240"/>
      <c r="AZ79" s="241"/>
      <c r="BA79" s="239" t="s">
        <v>212</v>
      </c>
      <c r="BB79" s="240"/>
      <c r="BC79" s="240"/>
      <c r="BD79" s="241"/>
      <c r="BE79" s="239" t="s">
        <v>213</v>
      </c>
      <c r="BF79" s="240"/>
      <c r="BG79" s="240"/>
      <c r="BH79" s="240"/>
      <c r="BI79" s="239" t="s">
        <v>199</v>
      </c>
      <c r="BJ79" s="240"/>
      <c r="BK79" s="240"/>
      <c r="BL79" s="241"/>
      <c r="BM79" s="239" t="s">
        <v>214</v>
      </c>
      <c r="BN79" s="240"/>
      <c r="BO79" s="240"/>
      <c r="BP79" s="241"/>
      <c r="BQ79" s="239" t="s">
        <v>215</v>
      </c>
      <c r="BR79" s="240"/>
      <c r="BS79" s="240"/>
      <c r="BT79" s="241"/>
      <c r="BU79" s="239" t="s">
        <v>83</v>
      </c>
      <c r="BV79" s="240"/>
      <c r="BW79" s="240"/>
      <c r="BX79" s="241"/>
      <c r="BY79" s="239" t="s">
        <v>84</v>
      </c>
      <c r="BZ79" s="240"/>
      <c r="CA79" s="240"/>
      <c r="CB79" s="241"/>
      <c r="CC79" s="240" t="s">
        <v>85</v>
      </c>
      <c r="CD79" s="240"/>
      <c r="CE79" s="241"/>
      <c r="CF79" s="240" t="s">
        <v>86</v>
      </c>
      <c r="CG79" s="240"/>
      <c r="CH79" s="240"/>
      <c r="CI79" s="241"/>
      <c r="CJ79" s="240" t="s">
        <v>69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93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09">
        <f>R56</f>
        <v>2000000</v>
      </c>
      <c r="Y80" s="1010"/>
      <c r="Z80" s="1010"/>
      <c r="AA80" s="1011"/>
      <c r="AB80" s="1023">
        <f>Z56/111</f>
        <v>4.7657657657657657E-2</v>
      </c>
      <c r="AC80" s="1024"/>
      <c r="AD80" s="1024"/>
      <c r="AE80" s="1025"/>
      <c r="AF80" s="1023">
        <f>BC56</f>
        <v>0.11</v>
      </c>
      <c r="AG80" s="1024"/>
      <c r="AH80" s="1024"/>
      <c r="AI80" s="1024"/>
      <c r="AJ80" s="1025"/>
      <c r="AK80" s="1023">
        <f>AM56</f>
        <v>9.4E-2</v>
      </c>
      <c r="AL80" s="1024"/>
      <c r="AM80" s="1024"/>
      <c r="AN80" s="1025"/>
      <c r="AO80" s="1023">
        <f>AI56</f>
        <v>9.2200000000000004E-2</v>
      </c>
      <c r="AP80" s="1024"/>
      <c r="AQ80" s="1024"/>
      <c r="AR80" s="1025"/>
      <c r="AS80" s="1023">
        <f>AI56/(1-AQ56)</f>
        <v>9.3131313131313134E-2</v>
      </c>
      <c r="AT80" s="1024"/>
      <c r="AU80" s="1024"/>
      <c r="AV80" s="1025"/>
      <c r="AW80" s="1023">
        <f>AO80-(AS80*$K$20)</f>
        <v>8.7543434343434354E-2</v>
      </c>
      <c r="AX80" s="1024"/>
      <c r="AY80" s="1024"/>
      <c r="AZ80" s="1025"/>
      <c r="BA80" s="989">
        <f>1-Z56/111/AW80</f>
        <v>0.4556112858138982</v>
      </c>
      <c r="BB80" s="990"/>
      <c r="BC80" s="990"/>
      <c r="BD80" s="991"/>
      <c r="BE80" s="1001">
        <f>(AI56-AM56)/AM56</f>
        <v>-1.9148936170212724E-2</v>
      </c>
      <c r="BF80" s="1002"/>
      <c r="BG80" s="1002"/>
      <c r="BH80" s="1003"/>
      <c r="BI80" s="1051">
        <f>AU56</f>
        <v>0.1012</v>
      </c>
      <c r="BJ80" s="1052"/>
      <c r="BK80" s="1052"/>
      <c r="BL80" s="1053"/>
      <c r="BM80" s="1004">
        <f>1-AI56/(1-AQ56)/AU56</f>
        <v>7.9730107398091499E-2</v>
      </c>
      <c r="BN80" s="1005"/>
      <c r="BO80" s="1005"/>
      <c r="BP80" s="1006"/>
      <c r="BQ80" s="1004">
        <f>1-(Z56/111+AI56*AQ56+AS80*$K$20)/AU56</f>
        <v>0.47395036250767475</v>
      </c>
      <c r="BR80" s="1005"/>
      <c r="BS80" s="1005"/>
      <c r="BT80" s="1006"/>
      <c r="BU80" s="1039">
        <f>AY56</f>
        <v>0.11</v>
      </c>
      <c r="BV80" s="1040"/>
      <c r="BW80" s="1040"/>
      <c r="BX80" s="1041"/>
      <c r="BY80" s="1004">
        <f>1-AU56/AY56</f>
        <v>8.0000000000000071E-2</v>
      </c>
      <c r="BZ80" s="1005"/>
      <c r="CA80" s="1005"/>
      <c r="CB80" s="1006"/>
      <c r="CC80" s="995">
        <f>BG56</f>
        <v>4.3904761904761903E-3</v>
      </c>
      <c r="CD80" s="996"/>
      <c r="CE80" s="997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93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09">
        <f>R57</f>
        <v>20000</v>
      </c>
      <c r="Y81" s="1010"/>
      <c r="Z81" s="1010"/>
      <c r="AA81" s="1011"/>
      <c r="AB81" s="1023">
        <f>Z57/111</f>
        <v>9.90990990990991E-2</v>
      </c>
      <c r="AC81" s="1024"/>
      <c r="AD81" s="1024"/>
      <c r="AE81" s="1025"/>
      <c r="AF81" s="1023">
        <f>BC57</f>
        <v>0.156</v>
      </c>
      <c r="AG81" s="1024"/>
      <c r="AH81" s="1024"/>
      <c r="AI81" s="1024"/>
      <c r="AJ81" s="1025"/>
      <c r="AK81" s="1023">
        <f>AM57</f>
        <v>0.13</v>
      </c>
      <c r="AL81" s="1024"/>
      <c r="AM81" s="1024"/>
      <c r="AN81" s="1025"/>
      <c r="AO81" s="1023">
        <f>AI57</f>
        <v>0.12970000000000001</v>
      </c>
      <c r="AP81" s="1024"/>
      <c r="AQ81" s="1024"/>
      <c r="AR81" s="1025"/>
      <c r="AS81" s="1023">
        <f>AI57/(1-AQ57)</f>
        <v>0.13101010101010102</v>
      </c>
      <c r="AT81" s="1024"/>
      <c r="AU81" s="1024"/>
      <c r="AV81" s="1025"/>
      <c r="AW81" s="1023">
        <f>AO81-(AS81*$K$20)</f>
        <v>0.12314949494949495</v>
      </c>
      <c r="AX81" s="1024"/>
      <c r="AY81" s="1024"/>
      <c r="AZ81" s="1025"/>
      <c r="BA81" s="989">
        <f>1-Z57/111/AW81</f>
        <v>0.19529431168401623</v>
      </c>
      <c r="BB81" s="990"/>
      <c r="BC81" s="990"/>
      <c r="BD81" s="991"/>
      <c r="BE81" s="1001">
        <f>(AI57-AM57)/AM57</f>
        <v>-2.3076923076922671E-3</v>
      </c>
      <c r="BF81" s="1002"/>
      <c r="BG81" s="1002"/>
      <c r="BH81" s="1003"/>
      <c r="BI81" s="1051">
        <f>AU57</f>
        <v>0.13600000000000001</v>
      </c>
      <c r="BJ81" s="1052"/>
      <c r="BK81" s="1052"/>
      <c r="BL81" s="1053"/>
      <c r="BM81" s="1004">
        <f>1-AI57/(1-AQ57)/AU57</f>
        <v>3.669043374925729E-2</v>
      </c>
      <c r="BN81" s="1005"/>
      <c r="BO81" s="1005"/>
      <c r="BP81" s="1006"/>
      <c r="BQ81" s="1004">
        <f>1-(Z57/111+AI57*AQ57+AS81*$K$20)/AU57</f>
        <v>0.21362791066467535</v>
      </c>
      <c r="BR81" s="1005"/>
      <c r="BS81" s="1005"/>
      <c r="BT81" s="1006"/>
      <c r="BU81" s="1039">
        <f>AY57</f>
        <v>0.156</v>
      </c>
      <c r="BV81" s="1040"/>
      <c r="BW81" s="1040"/>
      <c r="BX81" s="1041"/>
      <c r="BY81" s="1004">
        <f>1-AU57/AY57</f>
        <v>0.12820512820512819</v>
      </c>
      <c r="BZ81" s="1005"/>
      <c r="CA81" s="1005"/>
      <c r="CB81" s="1006"/>
      <c r="CC81" s="995">
        <f>BG57</f>
        <v>6.1761904761904766E-3</v>
      </c>
      <c r="CD81" s="996"/>
      <c r="CE81" s="997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281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280</v>
      </c>
      <c r="E83" s="503"/>
      <c r="F83" s="504" t="s">
        <v>294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216</v>
      </c>
      <c r="Y83" s="503"/>
      <c r="Z83" s="503"/>
      <c r="AA83" s="503"/>
      <c r="AB83" s="507" t="s">
        <v>217</v>
      </c>
      <c r="AC83" s="503"/>
      <c r="AD83" s="503"/>
      <c r="AE83" s="503"/>
      <c r="AF83" s="507" t="s">
        <v>218</v>
      </c>
      <c r="AG83" s="508"/>
      <c r="AH83" s="508"/>
      <c r="AI83" s="508"/>
      <c r="AJ83" s="509"/>
      <c r="AK83" s="507" t="s">
        <v>219</v>
      </c>
      <c r="AL83" s="508"/>
      <c r="AM83" s="508"/>
      <c r="AN83" s="509"/>
      <c r="AO83" s="507" t="s">
        <v>220</v>
      </c>
      <c r="AP83" s="508"/>
      <c r="AQ83" s="508"/>
      <c r="AR83" s="509"/>
      <c r="AS83" s="507" t="s">
        <v>221</v>
      </c>
      <c r="AT83" s="508"/>
      <c r="AU83" s="508"/>
      <c r="AV83" s="508"/>
      <c r="AW83" s="507" t="s">
        <v>101</v>
      </c>
      <c r="AX83" s="508"/>
      <c r="AY83" s="508"/>
      <c r="AZ83" s="509"/>
      <c r="BA83" s="511" t="s">
        <v>222</v>
      </c>
      <c r="BB83" s="508"/>
      <c r="BC83" s="508"/>
      <c r="BD83" s="509"/>
      <c r="BE83" s="513" t="s">
        <v>223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233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206</v>
      </c>
      <c r="E85" s="149"/>
      <c r="F85" s="148" t="s">
        <v>148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86">
        <f>SUMPRODUCT(X$80:AA$81,AO$80:AR$81)</f>
        <v>186994</v>
      </c>
      <c r="Y85" s="987"/>
      <c r="Z85" s="987"/>
      <c r="AA85" s="988"/>
      <c r="AB85" s="986">
        <f>SUMPRODUCT(X$80:AA$81,AB$80:AE$81)</f>
        <v>97297.297297297293</v>
      </c>
      <c r="AC85" s="987"/>
      <c r="AD85" s="987"/>
      <c r="AE85" s="988"/>
      <c r="AF85" s="1015">
        <f>X$86-AB$86</f>
        <v>89696.702702702707</v>
      </c>
      <c r="AG85" s="1016"/>
      <c r="AH85" s="1016"/>
      <c r="AI85" s="1016"/>
      <c r="AJ85" s="1017"/>
      <c r="AK85" s="989">
        <f>AF85/X85</f>
        <v>0.4796769024819123</v>
      </c>
      <c r="AL85" s="990"/>
      <c r="AM85" s="990"/>
      <c r="AN85" s="991"/>
      <c r="AO85" s="989">
        <f>AS85/AW85</f>
        <v>-1.8919202518363022E-2</v>
      </c>
      <c r="AP85" s="990"/>
      <c r="AQ85" s="990"/>
      <c r="AR85" s="991"/>
      <c r="AS85" s="1045">
        <f>X$80*(AO$80-AK$80)+X$81*(AO$81-AK$81)</f>
        <v>-3605.9999999999923</v>
      </c>
      <c r="AT85" s="1046"/>
      <c r="AU85" s="1046"/>
      <c r="AV85" s="1047"/>
      <c r="AW85" s="1048">
        <f>SUMPRODUCT(X$80:AA$81,AK$80:AN$81)</f>
        <v>190600</v>
      </c>
      <c r="AX85" s="1049"/>
      <c r="AY85" s="1049"/>
      <c r="AZ85" s="1050"/>
      <c r="BA85" s="986">
        <f>SUMPRODUCT(X$80:AA$81,BI$80:BL$81)</f>
        <v>205120</v>
      </c>
      <c r="BB85" s="987"/>
      <c r="BC85" s="987"/>
      <c r="BD85" s="988"/>
      <c r="BE85" s="1004">
        <f>1-(AB$91+X$80*(AO$80*AQ$56+AS$80*$K$20)+X$81*(AO$81*AQ$57+AS$81*$K$20))/BA$91</f>
        <v>0.47049834871568497</v>
      </c>
      <c r="BF85" s="1005"/>
      <c r="BG85" s="1005"/>
      <c r="BH85" s="1006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206</v>
      </c>
      <c r="E86" s="149"/>
      <c r="F86" s="148" t="s">
        <v>207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86">
        <f>SUMPRODUCT(X$80:AA$81,AO$80:AR$81)</f>
        <v>186994</v>
      </c>
      <c r="Y86" s="987"/>
      <c r="Z86" s="987"/>
      <c r="AA86" s="988"/>
      <c r="AB86" s="986">
        <f>SUMPRODUCT(X$80:AA$81,AB$80:AE$81)</f>
        <v>97297.297297297293</v>
      </c>
      <c r="AC86" s="987"/>
      <c r="AD86" s="987"/>
      <c r="AE86" s="988"/>
      <c r="AF86" s="1015">
        <f>X$86-AB$86</f>
        <v>89696.702702702707</v>
      </c>
      <c r="AG86" s="1016"/>
      <c r="AH86" s="1016"/>
      <c r="AI86" s="1016"/>
      <c r="AJ86" s="1017"/>
      <c r="AK86" s="989">
        <f>AF86/X86</f>
        <v>0.4796769024819123</v>
      </c>
      <c r="AL86" s="990"/>
      <c r="AM86" s="990"/>
      <c r="AN86" s="991"/>
      <c r="AO86" s="989">
        <f>AS86/AW86</f>
        <v>-1.8919202518363022E-2</v>
      </c>
      <c r="AP86" s="990"/>
      <c r="AQ86" s="990"/>
      <c r="AR86" s="991"/>
      <c r="AS86" s="1045">
        <f>X$80*(AO$80-AK$80)+X$81*(AO$81-AK$81)</f>
        <v>-3605.9999999999923</v>
      </c>
      <c r="AT86" s="1046"/>
      <c r="AU86" s="1046"/>
      <c r="AV86" s="1047"/>
      <c r="AW86" s="1048">
        <f>SUMPRODUCT(X$80:AA$81,AK$80:AN$81)</f>
        <v>190600</v>
      </c>
      <c r="AX86" s="1049"/>
      <c r="AY86" s="1049"/>
      <c r="AZ86" s="1050"/>
      <c r="BA86" s="986">
        <f>SUMPRODUCT(X$80:AA$81,BI$80:BL$81)</f>
        <v>205120</v>
      </c>
      <c r="BB86" s="987"/>
      <c r="BC86" s="987"/>
      <c r="BD86" s="988"/>
      <c r="BE86" s="1004">
        <f>1-(AB$91+X$80*(AO$80*AQ$56+AS$80*$K$20)+X$81*(AO$81*AQ$57+AS$81*$K$20))/BA$91</f>
        <v>0.47049834871568497</v>
      </c>
      <c r="BF86" s="1005"/>
      <c r="BG86" s="1005"/>
      <c r="BH86" s="1006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279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295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216</v>
      </c>
      <c r="Y88" s="244"/>
      <c r="Z88" s="244"/>
      <c r="AA88" s="244"/>
      <c r="AB88" s="248" t="s">
        <v>217</v>
      </c>
      <c r="AC88" s="244"/>
      <c r="AD88" s="244"/>
      <c r="AE88" s="244"/>
      <c r="AF88" s="248" t="s">
        <v>218</v>
      </c>
      <c r="AG88" s="249"/>
      <c r="AH88" s="249"/>
      <c r="AI88" s="249"/>
      <c r="AJ88" s="250"/>
      <c r="AK88" s="248" t="s">
        <v>219</v>
      </c>
      <c r="AL88" s="249"/>
      <c r="AM88" s="249"/>
      <c r="AN88" s="250"/>
      <c r="AO88" s="248" t="s">
        <v>220</v>
      </c>
      <c r="AP88" s="249"/>
      <c r="AQ88" s="249"/>
      <c r="AR88" s="250"/>
      <c r="AS88" s="248" t="s">
        <v>221</v>
      </c>
      <c r="AT88" s="249"/>
      <c r="AU88" s="249"/>
      <c r="AV88" s="249"/>
      <c r="AW88" s="248" t="s">
        <v>101</v>
      </c>
      <c r="AX88" s="249"/>
      <c r="AY88" s="249"/>
      <c r="AZ88" s="250"/>
      <c r="BA88" s="253" t="s">
        <v>222</v>
      </c>
      <c r="BB88" s="249"/>
      <c r="BC88" s="249"/>
      <c r="BD88" s="250"/>
      <c r="BE88" s="251" t="s">
        <v>223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233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148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86">
        <f>SUMPRODUCT(X$80:AA$81,AO$80:AR$81)</f>
        <v>186994</v>
      </c>
      <c r="Y90" s="987"/>
      <c r="Z90" s="987"/>
      <c r="AA90" s="988"/>
      <c r="AB90" s="986">
        <f>SUMPRODUCT(X$80:AA$81,AB$80:AE$81)</f>
        <v>97297.297297297293</v>
      </c>
      <c r="AC90" s="987"/>
      <c r="AD90" s="987"/>
      <c r="AE90" s="988"/>
      <c r="AF90" s="1015">
        <f>X$91-AB$91</f>
        <v>89696.702702702707</v>
      </c>
      <c r="AG90" s="1016"/>
      <c r="AH90" s="1016"/>
      <c r="AI90" s="1016"/>
      <c r="AJ90" s="1017"/>
      <c r="AK90" s="989">
        <f>AF90/X90</f>
        <v>0.4796769024819123</v>
      </c>
      <c r="AL90" s="990"/>
      <c r="AM90" s="990"/>
      <c r="AN90" s="991"/>
      <c r="AO90" s="989">
        <f>AS90/AW90</f>
        <v>-1.8919202518363022E-2</v>
      </c>
      <c r="AP90" s="990"/>
      <c r="AQ90" s="990"/>
      <c r="AR90" s="991"/>
      <c r="AS90" s="1045">
        <f>X$80*(AO$80-AK$80)+X$81*(AO$81-AK$81)</f>
        <v>-3605.9999999999923</v>
      </c>
      <c r="AT90" s="1046"/>
      <c r="AU90" s="1046"/>
      <c r="AV90" s="1047"/>
      <c r="AW90" s="1048">
        <f>SUMPRODUCT(X$80:AA$81,AK$80:AN$81)</f>
        <v>190600</v>
      </c>
      <c r="AX90" s="1049"/>
      <c r="AY90" s="1049"/>
      <c r="AZ90" s="1050"/>
      <c r="BA90" s="986">
        <f>SUMPRODUCT(X$80:AA$81,BI$80:BL$81)</f>
        <v>205120</v>
      </c>
      <c r="BB90" s="987"/>
      <c r="BC90" s="987"/>
      <c r="BD90" s="988"/>
      <c r="BE90" s="1004">
        <f>1-(AB$91+X$80*(AO$80*AQ$56+AS$80*$K$20)+X$81*(AO$81*AQ$57+AS$81*$K$20))/BA$91</f>
        <v>0.47049834871568497</v>
      </c>
      <c r="BF90" s="1005"/>
      <c r="BG90" s="1005"/>
      <c r="BH90" s="1006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207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86">
        <f>SUMPRODUCT(X$80:AA$81,AO$80:AR$81)</f>
        <v>186994</v>
      </c>
      <c r="Y91" s="987"/>
      <c r="Z91" s="987"/>
      <c r="AA91" s="988"/>
      <c r="AB91" s="986">
        <f>SUMPRODUCT(X$80:AA$81,AB$80:AE$81)</f>
        <v>97297.297297297293</v>
      </c>
      <c r="AC91" s="987"/>
      <c r="AD91" s="987"/>
      <c r="AE91" s="988"/>
      <c r="AF91" s="1015">
        <f>X$91-AB$91</f>
        <v>89696.702702702707</v>
      </c>
      <c r="AG91" s="1016"/>
      <c r="AH91" s="1016"/>
      <c r="AI91" s="1016"/>
      <c r="AJ91" s="1017"/>
      <c r="AK91" s="989">
        <f>AF91/X91</f>
        <v>0.4796769024819123</v>
      </c>
      <c r="AL91" s="990"/>
      <c r="AM91" s="990"/>
      <c r="AN91" s="991"/>
      <c r="AO91" s="989">
        <f>AS91/AW91</f>
        <v>-1.8919202518363022E-2</v>
      </c>
      <c r="AP91" s="990"/>
      <c r="AQ91" s="990"/>
      <c r="AR91" s="991"/>
      <c r="AS91" s="1045">
        <f>X$80*(AO$80-AK$80)+X$81*(AO$81-AK$81)</f>
        <v>-3605.9999999999923</v>
      </c>
      <c r="AT91" s="1046"/>
      <c r="AU91" s="1046"/>
      <c r="AV91" s="1047"/>
      <c r="AW91" s="1048">
        <f>SUMPRODUCT(X$80:AA$81,AK$80:AN$81)</f>
        <v>190600</v>
      </c>
      <c r="AX91" s="1049"/>
      <c r="AY91" s="1049"/>
      <c r="AZ91" s="1050"/>
      <c r="BA91" s="986">
        <f>SUMPRODUCT(X$80:AA$81,BI$80:BL$81)</f>
        <v>205120</v>
      </c>
      <c r="BB91" s="987"/>
      <c r="BC91" s="987"/>
      <c r="BD91" s="988"/>
      <c r="BE91" s="1004">
        <f>1-(AB$91+X$80*(AO$80*AQ$56+AS$80*$K$20)+X$81*(AO$81*AQ$57+AS$81*$K$20))/BA$91</f>
        <v>0.47049834871568497</v>
      </c>
      <c r="BF91" s="1005"/>
      <c r="BG91" s="1005"/>
      <c r="BH91" s="1006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12"/>
      <c r="K93" s="1013"/>
      <c r="L93" s="1013"/>
      <c r="M93" s="1013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174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72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175</v>
      </c>
      <c r="E95" s="404"/>
      <c r="F95" s="404"/>
      <c r="G95" s="405"/>
      <c r="H95" s="406" t="s">
        <v>176</v>
      </c>
      <c r="I95" s="407"/>
      <c r="J95" s="407"/>
      <c r="K95" s="407"/>
      <c r="L95" s="404"/>
      <c r="M95" s="405"/>
      <c r="N95" s="403" t="s">
        <v>177</v>
      </c>
      <c r="O95" s="404"/>
      <c r="P95" s="404"/>
      <c r="Q95" s="404"/>
      <c r="R95" s="404"/>
      <c r="S95" s="405"/>
      <c r="T95" s="403" t="s">
        <v>178</v>
      </c>
      <c r="U95" s="404"/>
      <c r="V95" s="404"/>
      <c r="W95" s="404"/>
      <c r="X95" s="404"/>
      <c r="Y95" s="404"/>
      <c r="Z95" s="408" t="s">
        <v>179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261</v>
      </c>
      <c r="E96" s="428"/>
      <c r="F96" s="428"/>
      <c r="G96" s="429"/>
      <c r="H96" s="420" t="s">
        <v>192</v>
      </c>
      <c r="I96" s="117"/>
      <c r="J96" s="117"/>
      <c r="K96" s="117"/>
      <c r="L96" s="421"/>
      <c r="M96" s="422"/>
      <c r="N96" s="1061">
        <v>5000</v>
      </c>
      <c r="O96" s="1062"/>
      <c r="P96" s="1062"/>
      <c r="Q96" s="1062"/>
      <c r="R96" s="1062"/>
      <c r="S96" s="1063"/>
      <c r="T96" s="1061">
        <v>5000</v>
      </c>
      <c r="U96" s="1056"/>
      <c r="V96" s="1056"/>
      <c r="W96" s="1056"/>
      <c r="X96" s="1056"/>
      <c r="Y96" s="1057"/>
      <c r="Z96" s="1064">
        <v>10</v>
      </c>
      <c r="AA96" s="1065"/>
      <c r="AB96" s="1065"/>
      <c r="AC96" s="1066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61">
        <v>5000</v>
      </c>
      <c r="O97" s="1062"/>
      <c r="P97" s="1062"/>
      <c r="Q97" s="1062"/>
      <c r="R97" s="1062"/>
      <c r="S97" s="1063"/>
      <c r="T97" s="1061">
        <v>5000</v>
      </c>
      <c r="U97" s="1056"/>
      <c r="V97" s="1056"/>
      <c r="W97" s="1056"/>
      <c r="X97" s="1056"/>
      <c r="Y97" s="1057"/>
      <c r="Z97" s="1064"/>
      <c r="AA97" s="1065"/>
      <c r="AB97" s="1065"/>
      <c r="AC97" s="1066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54"/>
      <c r="S98" s="1054"/>
      <c r="T98" s="1054"/>
      <c r="U98" s="1054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181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72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175</v>
      </c>
      <c r="E100" s="412"/>
      <c r="F100" s="412"/>
      <c r="G100" s="413"/>
      <c r="H100" s="414" t="s">
        <v>186</v>
      </c>
      <c r="I100" s="415"/>
      <c r="J100" s="415"/>
      <c r="K100" s="415"/>
      <c r="L100" s="412"/>
      <c r="M100" s="413"/>
      <c r="N100" s="411" t="s">
        <v>187</v>
      </c>
      <c r="O100" s="412"/>
      <c r="P100" s="412"/>
      <c r="Q100" s="412"/>
      <c r="R100" s="412"/>
      <c r="S100" s="413"/>
      <c r="T100" s="411" t="s">
        <v>188</v>
      </c>
      <c r="U100" s="412"/>
      <c r="V100" s="412"/>
      <c r="W100" s="412"/>
      <c r="X100" s="412"/>
      <c r="Y100" s="412"/>
      <c r="Z100" s="416" t="s">
        <v>179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261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055">
        <v>5000</v>
      </c>
      <c r="O101" s="1056"/>
      <c r="P101" s="1056"/>
      <c r="Q101" s="1056"/>
      <c r="R101" s="1056"/>
      <c r="S101" s="1057"/>
      <c r="T101" s="1055">
        <v>5000</v>
      </c>
      <c r="U101" s="1056"/>
      <c r="V101" s="1056"/>
      <c r="W101" s="1056"/>
      <c r="X101" s="1056"/>
      <c r="Y101" s="1057"/>
      <c r="Z101" s="1058">
        <v>10</v>
      </c>
      <c r="AA101" s="1059"/>
      <c r="AB101" s="1059"/>
      <c r="AC101" s="1060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055">
        <v>5000</v>
      </c>
      <c r="O102" s="1056"/>
      <c r="P102" s="1056"/>
      <c r="Q102" s="1056"/>
      <c r="R102" s="1056"/>
      <c r="S102" s="1057"/>
      <c r="T102" s="1055">
        <v>5000</v>
      </c>
      <c r="U102" s="1056"/>
      <c r="V102" s="1056"/>
      <c r="W102" s="1056"/>
      <c r="X102" s="1056"/>
      <c r="Y102" s="1057"/>
      <c r="Z102" s="1058"/>
      <c r="AA102" s="1059"/>
      <c r="AB102" s="1059"/>
      <c r="AC102" s="1060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193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194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196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195</v>
      </c>
      <c r="D106" s="28"/>
      <c r="E106" s="28"/>
      <c r="F106" s="28"/>
      <c r="H106" s="516" t="s">
        <v>283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284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14"/>
      <c r="K114" s="1014"/>
      <c r="L114" s="1014"/>
      <c r="M114" s="1014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131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44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45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79"/>
      <c r="K121" s="979"/>
      <c r="L121" s="979"/>
      <c r="M121" s="979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247</v>
      </c>
      <c r="D122" s="332"/>
      <c r="E122" s="65"/>
      <c r="F122" s="65"/>
      <c r="G122" s="65"/>
      <c r="H122" s="65"/>
      <c r="I122" s="65"/>
      <c r="J122" s="979"/>
      <c r="K122" s="979"/>
      <c r="L122" s="979"/>
      <c r="M122" s="979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248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18"/>
      <c r="K124" s="1018"/>
      <c r="L124" s="1018"/>
      <c r="M124" s="1018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240</v>
      </c>
      <c r="E126" s="28"/>
      <c r="F126" s="28"/>
      <c r="G126" s="28"/>
      <c r="H126" s="468" t="s">
        <v>245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246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289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54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243</v>
      </c>
      <c r="D130" s="332"/>
      <c r="E130" s="65"/>
      <c r="F130" s="65"/>
      <c r="G130" s="65"/>
      <c r="H130" s="65"/>
      <c r="I130" s="65"/>
      <c r="J130" s="979"/>
      <c r="K130" s="979"/>
      <c r="L130" s="979"/>
      <c r="M130" s="979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240</v>
      </c>
      <c r="E132" s="28"/>
      <c r="F132" s="28"/>
      <c r="G132" s="28"/>
      <c r="H132" s="468" t="s">
        <v>241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242</v>
      </c>
      <c r="S132" s="470"/>
      <c r="T132" s="471"/>
      <c r="U132" s="471"/>
      <c r="V132" s="483"/>
      <c r="W132" s="484" t="s">
        <v>254</v>
      </c>
      <c r="X132" s="471"/>
      <c r="Y132" s="473"/>
      <c r="Z132" s="474"/>
      <c r="AB132" s="529" t="s">
        <v>290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253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243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249</v>
      </c>
      <c r="D138" s="332"/>
      <c r="E138" s="65"/>
      <c r="F138" s="65"/>
      <c r="G138" s="65"/>
      <c r="H138" s="65"/>
      <c r="I138" s="65"/>
      <c r="J138" s="979"/>
      <c r="K138" s="979"/>
      <c r="L138" s="979"/>
      <c r="M138" s="979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250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252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251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44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255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54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256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54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257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54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79"/>
      <c r="K146" s="979"/>
      <c r="L146" s="979"/>
      <c r="M146" s="979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79"/>
      <c r="K147" s="979"/>
      <c r="L147" s="979"/>
      <c r="M147" s="979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79"/>
      <c r="K148" s="979"/>
      <c r="L148" s="979"/>
      <c r="M148" s="979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</mergeCells>
  <phoneticPr fontId="57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29">
        <v>110</v>
      </c>
      <c r="I42" s="999"/>
      <c r="J42" s="999"/>
      <c r="K42" s="999"/>
      <c r="L42" s="100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29">
        <v>125</v>
      </c>
      <c r="I43" s="999"/>
      <c r="J43" s="999"/>
      <c r="K43" s="999"/>
      <c r="L43" s="1000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128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278</v>
      </c>
      <c r="AA49" s="211"/>
      <c r="AB49" s="211"/>
      <c r="AC49" s="211"/>
      <c r="AD49" s="212"/>
      <c r="AE49" s="210" t="s">
        <v>224</v>
      </c>
      <c r="AF49" s="211"/>
      <c r="AG49" s="211"/>
      <c r="AH49" s="211"/>
      <c r="AI49" s="212"/>
      <c r="AJ49" s="210" t="s">
        <v>293</v>
      </c>
      <c r="AK49" s="211"/>
      <c r="AL49" s="211"/>
      <c r="AM49" s="212"/>
      <c r="AN49" s="210" t="s">
        <v>162</v>
      </c>
      <c r="AO49" s="211"/>
      <c r="AP49" s="211"/>
      <c r="AQ49" s="212"/>
      <c r="AR49" s="211" t="s">
        <v>152</v>
      </c>
      <c r="AS49" s="211"/>
      <c r="AT49" s="211"/>
      <c r="AU49" s="212"/>
      <c r="AV49" s="211" t="s">
        <v>197</v>
      </c>
      <c r="AW49" s="211"/>
      <c r="AX49" s="211"/>
      <c r="AY49" s="212"/>
      <c r="AZ49" s="210" t="s">
        <v>199</v>
      </c>
      <c r="BA49" s="211"/>
      <c r="BB49" s="211"/>
      <c r="BC49" s="212"/>
      <c r="BD49" s="210" t="s">
        <v>83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156</v>
      </c>
      <c r="BM49" s="211"/>
      <c r="BN49" s="212"/>
      <c r="BO49" s="305" t="s">
        <v>86</v>
      </c>
      <c r="BP49" s="211"/>
      <c r="BQ49" s="211"/>
      <c r="BR49" s="212"/>
      <c r="BS49" s="211" t="s">
        <v>69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198</v>
      </c>
      <c r="AW50" s="218"/>
      <c r="AX50" s="219"/>
      <c r="AY50" s="220"/>
      <c r="AZ50" s="217" t="s">
        <v>155</v>
      </c>
      <c r="BA50" s="218"/>
      <c r="BB50" s="219"/>
      <c r="BC50" s="220"/>
      <c r="BD50" s="217" t="s">
        <v>155</v>
      </c>
      <c r="BE50" s="218"/>
      <c r="BF50" s="219"/>
      <c r="BG50" s="220"/>
      <c r="BH50" s="217" t="s">
        <v>200</v>
      </c>
      <c r="BI50" s="218"/>
      <c r="BJ50" s="219"/>
      <c r="BK50" s="220"/>
      <c r="BL50" s="218" t="s">
        <v>201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225</v>
      </c>
      <c r="E51" s="149"/>
      <c r="F51" s="149"/>
      <c r="G51" s="151"/>
      <c r="H51" s="242" t="s">
        <v>227</v>
      </c>
      <c r="I51" s="150"/>
      <c r="J51" s="150"/>
      <c r="K51" s="150"/>
      <c r="L51" s="161"/>
      <c r="M51" s="162"/>
      <c r="N51" s="242" t="s">
        <v>229</v>
      </c>
      <c r="O51" s="150"/>
      <c r="P51" s="150"/>
      <c r="Q51" s="99" t="s">
        <v>33</v>
      </c>
      <c r="R51" s="1009">
        <v>200</v>
      </c>
      <c r="S51" s="1010"/>
      <c r="T51" s="1010"/>
      <c r="U51" s="1011"/>
      <c r="V51" s="148" t="s">
        <v>207</v>
      </c>
      <c r="W51" s="150"/>
      <c r="X51" s="150"/>
      <c r="Y51" s="99" t="s">
        <v>33</v>
      </c>
      <c r="Z51" s="998">
        <v>34690.32</v>
      </c>
      <c r="AA51" s="1007"/>
      <c r="AB51" s="1007"/>
      <c r="AC51" s="1007"/>
      <c r="AD51" s="1008"/>
      <c r="AE51" s="998">
        <v>46831.94</v>
      </c>
      <c r="AF51" s="1007"/>
      <c r="AG51" s="1007"/>
      <c r="AH51" s="1007"/>
      <c r="AI51" s="1008"/>
      <c r="AJ51" s="148" t="s">
        <v>148</v>
      </c>
      <c r="AK51" s="150"/>
      <c r="AL51" s="150"/>
      <c r="AM51" s="99" t="s">
        <v>33</v>
      </c>
      <c r="AN51" s="1023">
        <v>547.11950000000002</v>
      </c>
      <c r="AO51" s="1024"/>
      <c r="AP51" s="1024"/>
      <c r="AQ51" s="1025"/>
      <c r="AR51" s="1023">
        <v>560</v>
      </c>
      <c r="AS51" s="1024"/>
      <c r="AT51" s="1024"/>
      <c r="AU51" s="1025"/>
      <c r="AV51" s="1026">
        <v>4.4999999999999998E-2</v>
      </c>
      <c r="AW51" s="1027"/>
      <c r="AX51" s="1027"/>
      <c r="AY51" s="1028"/>
      <c r="AZ51" s="1023">
        <v>674</v>
      </c>
      <c r="BA51" s="1024"/>
      <c r="BB51" s="1024"/>
      <c r="BC51" s="1025"/>
      <c r="BD51" s="1023"/>
      <c r="BE51" s="1024"/>
      <c r="BF51" s="1024"/>
      <c r="BG51" s="1025"/>
      <c r="BH51" s="1023"/>
      <c r="BI51" s="1024"/>
      <c r="BJ51" s="1024"/>
      <c r="BK51" s="1025"/>
      <c r="BL51" s="1039"/>
      <c r="BM51" s="1040"/>
      <c r="BN51" s="1041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226</v>
      </c>
      <c r="E52" s="149"/>
      <c r="F52" s="149"/>
      <c r="G52" s="151"/>
      <c r="H52" s="242" t="s">
        <v>228</v>
      </c>
      <c r="I52" s="150"/>
      <c r="J52" s="150"/>
      <c r="K52" s="150"/>
      <c r="L52" s="161"/>
      <c r="M52" s="162"/>
      <c r="N52" s="242" t="s">
        <v>229</v>
      </c>
      <c r="O52" s="150"/>
      <c r="P52" s="150"/>
      <c r="Q52" s="99" t="s">
        <v>33</v>
      </c>
      <c r="R52" s="1009">
        <v>200</v>
      </c>
      <c r="S52" s="1010"/>
      <c r="T52" s="1010"/>
      <c r="U52" s="1011"/>
      <c r="V52" s="148" t="s">
        <v>207</v>
      </c>
      <c r="W52" s="150"/>
      <c r="X52" s="150"/>
      <c r="Y52" s="99" t="s">
        <v>33</v>
      </c>
      <c r="Z52" s="998">
        <v>11230.49</v>
      </c>
      <c r="AA52" s="1007"/>
      <c r="AB52" s="1007"/>
      <c r="AC52" s="1007"/>
      <c r="AD52" s="1008"/>
      <c r="AE52" s="998">
        <v>15161.17</v>
      </c>
      <c r="AF52" s="1007"/>
      <c r="AG52" s="1007"/>
      <c r="AH52" s="1007"/>
      <c r="AI52" s="1008"/>
      <c r="AJ52" s="148" t="s">
        <v>148</v>
      </c>
      <c r="AK52" s="150"/>
      <c r="AL52" s="150"/>
      <c r="AM52" s="99" t="s">
        <v>33</v>
      </c>
      <c r="AN52" s="1023">
        <v>177.12389999999999</v>
      </c>
      <c r="AO52" s="1024"/>
      <c r="AP52" s="1024"/>
      <c r="AQ52" s="1025"/>
      <c r="AR52" s="1023">
        <v>180</v>
      </c>
      <c r="AS52" s="1024"/>
      <c r="AT52" s="1024"/>
      <c r="AU52" s="1025"/>
      <c r="AV52" s="1026">
        <v>4.4999999999999998E-2</v>
      </c>
      <c r="AW52" s="1027"/>
      <c r="AX52" s="1027"/>
      <c r="AY52" s="1028"/>
      <c r="AZ52" s="1023">
        <v>218.2</v>
      </c>
      <c r="BA52" s="1024"/>
      <c r="BB52" s="1024"/>
      <c r="BC52" s="1025"/>
      <c r="BD52" s="1023"/>
      <c r="BE52" s="1024"/>
      <c r="BF52" s="1024"/>
      <c r="BG52" s="1025"/>
      <c r="BH52" s="1023"/>
      <c r="BI52" s="1024"/>
      <c r="BJ52" s="1024"/>
      <c r="BK52" s="1025"/>
      <c r="BL52" s="1039"/>
      <c r="BM52" s="1040"/>
      <c r="BN52" s="1041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80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212</v>
      </c>
      <c r="BB63" s="240"/>
      <c r="BC63" s="240"/>
      <c r="BD63" s="241"/>
      <c r="BE63" s="239" t="s">
        <v>213</v>
      </c>
      <c r="BF63" s="240"/>
      <c r="BG63" s="240"/>
      <c r="BH63" s="240"/>
      <c r="BI63" s="239" t="s">
        <v>199</v>
      </c>
      <c r="BJ63" s="240"/>
      <c r="BK63" s="240"/>
      <c r="BL63" s="241"/>
      <c r="BM63" s="239" t="s">
        <v>214</v>
      </c>
      <c r="BN63" s="240"/>
      <c r="BO63" s="240"/>
      <c r="BP63" s="241"/>
      <c r="BQ63" s="239" t="s">
        <v>215</v>
      </c>
      <c r="BR63" s="240"/>
      <c r="BS63" s="240"/>
      <c r="BT63" s="241"/>
      <c r="BU63" s="239" t="s">
        <v>83</v>
      </c>
      <c r="BV63" s="240"/>
      <c r="BW63" s="240"/>
      <c r="BX63" s="241"/>
      <c r="BY63" s="239" t="s">
        <v>84</v>
      </c>
      <c r="BZ63" s="240"/>
      <c r="CA63" s="240"/>
      <c r="CB63" s="241"/>
      <c r="CC63" s="240" t="s">
        <v>85</v>
      </c>
      <c r="CD63" s="240"/>
      <c r="CE63" s="241"/>
      <c r="CF63" s="240" t="s">
        <v>86</v>
      </c>
      <c r="CG63" s="240"/>
      <c r="CH63" s="240"/>
      <c r="CI63" s="241"/>
      <c r="CJ63" s="240" t="s">
        <v>69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275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09">
        <f>R51</f>
        <v>200</v>
      </c>
      <c r="Y64" s="1010"/>
      <c r="Z64" s="1010"/>
      <c r="AA64" s="1011"/>
      <c r="AB64" s="1023">
        <f>Z51/H42</f>
        <v>315.36654545454547</v>
      </c>
      <c r="AC64" s="1024"/>
      <c r="AD64" s="1024"/>
      <c r="AE64" s="1025"/>
      <c r="AF64" s="1023">
        <f>BH51</f>
        <v>0</v>
      </c>
      <c r="AG64" s="1024"/>
      <c r="AH64" s="1024"/>
      <c r="AI64" s="1024"/>
      <c r="AJ64" s="1025"/>
      <c r="AK64" s="1023">
        <f>AR51</f>
        <v>560</v>
      </c>
      <c r="AL64" s="1024"/>
      <c r="AM64" s="1024"/>
      <c r="AN64" s="1025"/>
      <c r="AO64" s="1023">
        <f>AN51</f>
        <v>547.11950000000002</v>
      </c>
      <c r="AP64" s="1024"/>
      <c r="AQ64" s="1024"/>
      <c r="AR64" s="1025"/>
      <c r="AS64" s="1023">
        <f>AN51/(1-AV51)</f>
        <v>572.90000000000009</v>
      </c>
      <c r="AT64" s="1024"/>
      <c r="AU64" s="1024"/>
      <c r="AV64" s="1025"/>
      <c r="AW64" s="1023">
        <f>AN51-(AS64*$K$20)</f>
        <v>518.47450000000003</v>
      </c>
      <c r="AX64" s="1024"/>
      <c r="AY64" s="1024"/>
      <c r="AZ64" s="1025"/>
      <c r="BA64" s="989">
        <f>(AO64-AS64*$K$20-AE51/H42)/(AE51/H42)</f>
        <v>0.21780551905387649</v>
      </c>
      <c r="BB64" s="990"/>
      <c r="BC64" s="990"/>
      <c r="BD64" s="991"/>
      <c r="BE64" s="1001">
        <f>(AN51-AR51)/AR51</f>
        <v>-2.3000892857142827E-2</v>
      </c>
      <c r="BF64" s="1002"/>
      <c r="BG64" s="1002"/>
      <c r="BH64" s="1003"/>
      <c r="BI64" s="1051">
        <f>AZ51</f>
        <v>674</v>
      </c>
      <c r="BJ64" s="1052"/>
      <c r="BK64" s="1052"/>
      <c r="BL64" s="1053"/>
      <c r="BM64" s="1004">
        <f>1-AN51/(1-AV51)/AZ51</f>
        <v>0.14999999999999991</v>
      </c>
      <c r="BN64" s="1005"/>
      <c r="BO64" s="1005"/>
      <c r="BP64" s="1006"/>
      <c r="BQ64" s="1004">
        <f>1-(Z51/H42+AN51*AV51+AS64*$K$20)/AZ51</f>
        <v>0.45306836356892366</v>
      </c>
      <c r="BR64" s="1005"/>
      <c r="BS64" s="1005"/>
      <c r="BT64" s="1006"/>
      <c r="BU64" s="1039">
        <f>BD51</f>
        <v>0</v>
      </c>
      <c r="BV64" s="1040"/>
      <c r="BW64" s="1040"/>
      <c r="BX64" s="1041"/>
      <c r="BY64" s="1004" t="str">
        <f>IFERROR(1-AZ51/BD51,"")</f>
        <v/>
      </c>
      <c r="BZ64" s="1005"/>
      <c r="CA64" s="1005"/>
      <c r="CB64" s="1006"/>
      <c r="CC64" s="995">
        <f>BL51</f>
        <v>0</v>
      </c>
      <c r="CD64" s="996"/>
      <c r="CE64" s="997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275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09">
        <f>R52</f>
        <v>200</v>
      </c>
      <c r="Y65" s="1010"/>
      <c r="Z65" s="1010"/>
      <c r="AA65" s="1011"/>
      <c r="AB65" s="1023">
        <f>Z52/H42</f>
        <v>102.09536363636363</v>
      </c>
      <c r="AC65" s="1024"/>
      <c r="AD65" s="1024"/>
      <c r="AE65" s="1025"/>
      <c r="AF65" s="1023">
        <f>BH52</f>
        <v>0</v>
      </c>
      <c r="AG65" s="1024"/>
      <c r="AH65" s="1024"/>
      <c r="AI65" s="1024"/>
      <c r="AJ65" s="1025"/>
      <c r="AK65" s="1023">
        <f>AR52</f>
        <v>180</v>
      </c>
      <c r="AL65" s="1024"/>
      <c r="AM65" s="1024"/>
      <c r="AN65" s="1025"/>
      <c r="AO65" s="1023">
        <f>AN52</f>
        <v>177.12389999999999</v>
      </c>
      <c r="AP65" s="1024"/>
      <c r="AQ65" s="1024"/>
      <c r="AR65" s="1025"/>
      <c r="AS65" s="1023">
        <f>AN52/(1-AV52)</f>
        <v>185.47005235602094</v>
      </c>
      <c r="AT65" s="1024"/>
      <c r="AU65" s="1024"/>
      <c r="AV65" s="1025"/>
      <c r="AW65" s="1023">
        <f>AN52-(AS65*$K$20)</f>
        <v>167.85039738219893</v>
      </c>
      <c r="AX65" s="1024"/>
      <c r="AY65" s="1024"/>
      <c r="AZ65" s="1025"/>
      <c r="BA65" s="989">
        <f>(AO65-AS65*$K$20-AE52/H42)/(AE52/H42)</f>
        <v>0.21781786709349499</v>
      </c>
      <c r="BB65" s="990"/>
      <c r="BC65" s="990"/>
      <c r="BD65" s="991"/>
      <c r="BE65" s="1001">
        <f>(AN52-AR52)/AR52</f>
        <v>-1.5978333333333379E-2</v>
      </c>
      <c r="BF65" s="1002"/>
      <c r="BG65" s="1002"/>
      <c r="BH65" s="1003"/>
      <c r="BI65" s="1051">
        <f>AZ52</f>
        <v>218.2</v>
      </c>
      <c r="BJ65" s="1052"/>
      <c r="BK65" s="1052"/>
      <c r="BL65" s="1053"/>
      <c r="BM65" s="1004">
        <f>1-AN52/(1-AV52)/AZ52</f>
        <v>0.14999976005489934</v>
      </c>
      <c r="BN65" s="1005"/>
      <c r="BO65" s="1005"/>
      <c r="BP65" s="1006"/>
      <c r="BQ65" s="1004">
        <f>1-(Z52/H42+AN52*AV52+AS65*$K$20)/AZ52</f>
        <v>0.45307313586542308</v>
      </c>
      <c r="BR65" s="1005"/>
      <c r="BS65" s="1005"/>
      <c r="BT65" s="1006"/>
      <c r="BU65" s="1039">
        <f>BD52</f>
        <v>0</v>
      </c>
      <c r="BV65" s="1040"/>
      <c r="BW65" s="1040"/>
      <c r="BX65" s="1041"/>
      <c r="BY65" s="1004" t="str">
        <f>IFERROR(1-AZ52/BD52,"")</f>
        <v/>
      </c>
      <c r="BZ65" s="1005"/>
      <c r="CA65" s="1005"/>
      <c r="CB65" s="1006"/>
      <c r="CC65" s="995">
        <f>BL52</f>
        <v>0</v>
      </c>
      <c r="CD65" s="996"/>
      <c r="CE65" s="997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281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280</v>
      </c>
      <c r="E67" s="503"/>
      <c r="F67" s="504" t="s">
        <v>294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216</v>
      </c>
      <c r="Y67" s="503"/>
      <c r="Z67" s="503"/>
      <c r="AA67" s="503"/>
      <c r="AB67" s="507" t="s">
        <v>145</v>
      </c>
      <c r="AC67" s="503"/>
      <c r="AD67" s="503"/>
      <c r="AE67" s="503"/>
      <c r="AF67" s="507" t="s">
        <v>230</v>
      </c>
      <c r="AG67" s="508"/>
      <c r="AH67" s="508"/>
      <c r="AI67" s="508"/>
      <c r="AJ67" s="509"/>
      <c r="AK67" s="507" t="s">
        <v>219</v>
      </c>
      <c r="AL67" s="508"/>
      <c r="AM67" s="508"/>
      <c r="AN67" s="509"/>
      <c r="AO67" s="507" t="s">
        <v>220</v>
      </c>
      <c r="AP67" s="508"/>
      <c r="AQ67" s="508"/>
      <c r="AR67" s="509"/>
      <c r="AS67" s="507" t="s">
        <v>221</v>
      </c>
      <c r="AT67" s="508"/>
      <c r="AU67" s="508"/>
      <c r="AV67" s="508"/>
      <c r="AW67" s="507" t="s">
        <v>101</v>
      </c>
      <c r="AX67" s="508"/>
      <c r="AY67" s="508"/>
      <c r="AZ67" s="509"/>
      <c r="BA67" s="511" t="s">
        <v>222</v>
      </c>
      <c r="BB67" s="508"/>
      <c r="BC67" s="508"/>
      <c r="BD67" s="509"/>
      <c r="BE67" s="513" t="s">
        <v>223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231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232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229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998">
        <f>SUMPRODUCT(X$64:AA$65,AO$64:AR$65)</f>
        <v>144848.68</v>
      </c>
      <c r="Y69" s="1007"/>
      <c r="Z69" s="1007"/>
      <c r="AA69" s="1008"/>
      <c r="AB69" s="998">
        <f>SUMPRODUCT(R$51:R$52,AE$51:AE$52)/H42</f>
        <v>112714.74545454545</v>
      </c>
      <c r="AC69" s="1007"/>
      <c r="AD69" s="1007"/>
      <c r="AE69" s="1008"/>
      <c r="AF69" s="1015">
        <f>X69-AB69</f>
        <v>32133.93454545454</v>
      </c>
      <c r="AG69" s="1016"/>
      <c r="AH69" s="1016"/>
      <c r="AI69" s="1016"/>
      <c r="AJ69" s="1017"/>
      <c r="AK69" s="1068">
        <f>AF69/AB69</f>
        <v>0.2850907786365291</v>
      </c>
      <c r="AL69" s="1069"/>
      <c r="AM69" s="1069"/>
      <c r="AN69" s="1070"/>
      <c r="AO69" s="989">
        <f>AS69/(X69-AS69)</f>
        <v>-2.1292702702702691E-2</v>
      </c>
      <c r="AP69" s="990"/>
      <c r="AQ69" s="990"/>
      <c r="AR69" s="991"/>
      <c r="AS69" s="1071">
        <f>X$64*(AO$64-AK$64)+X$65*(AO$65-AK$65)</f>
        <v>-3151.3199999999983</v>
      </c>
      <c r="AT69" s="1072"/>
      <c r="AU69" s="1072"/>
      <c r="AV69" s="1073"/>
      <c r="AW69" s="1074">
        <f>SUMPRODUCT(X$64:AA$65,AK$64:AN$65)</f>
        <v>148000</v>
      </c>
      <c r="AX69" s="1075"/>
      <c r="AY69" s="1075"/>
      <c r="AZ69" s="1076"/>
      <c r="BA69" s="998">
        <f>SUMPRODUCT(X$64:AA$65,BI$64:BL$65)</f>
        <v>178440</v>
      </c>
      <c r="BB69" s="1007"/>
      <c r="BC69" s="1007"/>
      <c r="BD69" s="1008"/>
      <c r="BE69" s="1004">
        <f>1-(SUMPRODUCT(R$51:R$52,Z$51:Z$52)/107+(AN$51*AV$51+AN$51/(1-AV$51)*$K$20)*R$51+(AN$52*AV$52+AN$52/(1-AV$52)*$K$20)*R$52)/BA$75</f>
        <v>0.43995079106037671</v>
      </c>
      <c r="BF69" s="1005"/>
      <c r="BG69" s="1005"/>
      <c r="BH69" s="1006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229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86">
        <f>SUMPRODUCT(X$64:AA$65,AO$64:AR$65)*H42</f>
        <v>15933354.799999999</v>
      </c>
      <c r="Y70" s="987"/>
      <c r="Z70" s="987"/>
      <c r="AA70" s="988"/>
      <c r="AB70" s="986">
        <f>SUMPRODUCT(R$51:R$52,AE$51:AE$52)</f>
        <v>12398622</v>
      </c>
      <c r="AC70" s="987"/>
      <c r="AD70" s="987"/>
      <c r="AE70" s="988"/>
      <c r="AF70" s="1015">
        <f>X70-AB70</f>
        <v>3534732.7999999989</v>
      </c>
      <c r="AG70" s="1016"/>
      <c r="AH70" s="1016"/>
      <c r="AI70" s="1016"/>
      <c r="AJ70" s="1017"/>
      <c r="AK70" s="1068">
        <f>AF70/AB70</f>
        <v>0.28509077863652904</v>
      </c>
      <c r="AL70" s="1069"/>
      <c r="AM70" s="1069"/>
      <c r="AN70" s="1070"/>
      <c r="AO70" s="989">
        <f>AS70/(X70-AS70)</f>
        <v>-1.9774221377452075E-4</v>
      </c>
      <c r="AP70" s="990"/>
      <c r="AQ70" s="990"/>
      <c r="AR70" s="991"/>
      <c r="AS70" s="1045">
        <f>X$64*(AO$64-AK$64)+X$65*(AO$65-AK$65)</f>
        <v>-3151.3199999999983</v>
      </c>
      <c r="AT70" s="1046"/>
      <c r="AU70" s="1046"/>
      <c r="AV70" s="1047"/>
      <c r="AW70" s="1048">
        <f>SUMPRODUCT(X$64:AA$65,AK$64:AN$65)</f>
        <v>148000</v>
      </c>
      <c r="AX70" s="1049"/>
      <c r="AY70" s="1049"/>
      <c r="AZ70" s="1050"/>
      <c r="BA70" s="986">
        <f>SUMPRODUCT(X$64:AA$65,BI$64:BL$65)</f>
        <v>178440</v>
      </c>
      <c r="BB70" s="987"/>
      <c r="BC70" s="987"/>
      <c r="BD70" s="988"/>
      <c r="BE70" s="1004">
        <f>1-(SUMPRODUCT(R$51:R$52,Z$51:Z$52)/107+(AN$51*AV$51+AN$51/(1-AV$51)*$K$20)*R$51+(AN$52*AV$52+AN$52/(1-AV$52)*$K$20)*R$52)/BA$75</f>
        <v>0.43995079106037671</v>
      </c>
      <c r="BF70" s="1005"/>
      <c r="BG70" s="1005"/>
      <c r="BH70" s="1006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295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216</v>
      </c>
      <c r="Y72" s="244"/>
      <c r="Z72" s="244"/>
      <c r="AA72" s="244"/>
      <c r="AB72" s="248" t="s">
        <v>145</v>
      </c>
      <c r="AC72" s="244"/>
      <c r="AD72" s="244"/>
      <c r="AE72" s="244"/>
      <c r="AF72" s="248" t="s">
        <v>230</v>
      </c>
      <c r="AG72" s="249"/>
      <c r="AH72" s="249"/>
      <c r="AI72" s="249"/>
      <c r="AJ72" s="250"/>
      <c r="AK72" s="248" t="s">
        <v>219</v>
      </c>
      <c r="AL72" s="249"/>
      <c r="AM72" s="249"/>
      <c r="AN72" s="250"/>
      <c r="AO72" s="248" t="s">
        <v>220</v>
      </c>
      <c r="AP72" s="249"/>
      <c r="AQ72" s="249"/>
      <c r="AR72" s="250"/>
      <c r="AS72" s="248" t="s">
        <v>221</v>
      </c>
      <c r="AT72" s="249"/>
      <c r="AU72" s="249"/>
      <c r="AV72" s="249"/>
      <c r="AW72" s="248" t="s">
        <v>101</v>
      </c>
      <c r="AX72" s="249"/>
      <c r="AY72" s="249"/>
      <c r="AZ72" s="250"/>
      <c r="BA72" s="253" t="s">
        <v>222</v>
      </c>
      <c r="BB72" s="249"/>
      <c r="BC72" s="249"/>
      <c r="BD72" s="250"/>
      <c r="BE72" s="251" t="s">
        <v>223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231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232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998">
        <f>SUMPRODUCT(X$64:AA$65,AO$64:AR$65)</f>
        <v>144848.68</v>
      </c>
      <c r="Y74" s="1007"/>
      <c r="Z74" s="1007"/>
      <c r="AA74" s="1008"/>
      <c r="AB74" s="998">
        <f>SUMPRODUCT(R$51:R$52,AE$51:AE$52)/107</f>
        <v>115874.97196261682</v>
      </c>
      <c r="AC74" s="1007"/>
      <c r="AD74" s="1007"/>
      <c r="AE74" s="1008"/>
      <c r="AF74" s="1015">
        <f>X74-AB74</f>
        <v>28973.70803738317</v>
      </c>
      <c r="AG74" s="1016"/>
      <c r="AH74" s="1016"/>
      <c r="AI74" s="1016"/>
      <c r="AJ74" s="1017"/>
      <c r="AK74" s="1068">
        <f>AF74/AB74</f>
        <v>0.25004284831007828</v>
      </c>
      <c r="AL74" s="1069"/>
      <c r="AM74" s="1069"/>
      <c r="AN74" s="1070"/>
      <c r="AO74" s="989">
        <f>AS74/(X74-AS74)</f>
        <v>-2.1292702702702691E-2</v>
      </c>
      <c r="AP74" s="990"/>
      <c r="AQ74" s="990"/>
      <c r="AR74" s="991"/>
      <c r="AS74" s="1071">
        <f>X$64*(AO$64-AK$64)+X$65*(AO$65-AK$65)</f>
        <v>-3151.3199999999983</v>
      </c>
      <c r="AT74" s="1072"/>
      <c r="AU74" s="1072"/>
      <c r="AV74" s="1073"/>
      <c r="AW74" s="1074">
        <f>SUMPRODUCT(X$64:AA$65,AK$64:AN$65)</f>
        <v>148000</v>
      </c>
      <c r="AX74" s="1075"/>
      <c r="AY74" s="1075"/>
      <c r="AZ74" s="1076"/>
      <c r="BA74" s="998">
        <f>SUMPRODUCT(X$64:AA$65,BI$64:BL$65)</f>
        <v>178440</v>
      </c>
      <c r="BB74" s="1007"/>
      <c r="BC74" s="1007"/>
      <c r="BD74" s="1008"/>
      <c r="BE74" s="1004">
        <f>1-(SUMPRODUCT(R$51:R$52,Z$51:Z$52)/107+(AN$51*AV$51+AN$51/(1-AV$51)*$K$20)*R$51+(AN$52*AV$52+AN$52/(1-AV$52)*$K$20)*R$52)/BA$75</f>
        <v>0.43995079106037671</v>
      </c>
      <c r="BF74" s="1005"/>
      <c r="BG74" s="1005"/>
      <c r="BH74" s="1006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207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86">
        <f>SUMPRODUCT(X$64:AA$65,AO$64:AR$65)</f>
        <v>144848.68</v>
      </c>
      <c r="Y75" s="987"/>
      <c r="Z75" s="987"/>
      <c r="AA75" s="988"/>
      <c r="AB75" s="986">
        <f>SUMPRODUCT(R$51:R$52,AE$51:AE$52)/107</f>
        <v>115874.97196261682</v>
      </c>
      <c r="AC75" s="987"/>
      <c r="AD75" s="987"/>
      <c r="AE75" s="988"/>
      <c r="AF75" s="1015">
        <f>X75-AB75</f>
        <v>28973.70803738317</v>
      </c>
      <c r="AG75" s="1016"/>
      <c r="AH75" s="1016"/>
      <c r="AI75" s="1016"/>
      <c r="AJ75" s="1017"/>
      <c r="AK75" s="1068">
        <f>AF75/AB75</f>
        <v>0.25004284831007828</v>
      </c>
      <c r="AL75" s="1069"/>
      <c r="AM75" s="1069"/>
      <c r="AN75" s="1070"/>
      <c r="AO75" s="989">
        <f>AS75/(X75-AS75)</f>
        <v>-2.1292702702702691E-2</v>
      </c>
      <c r="AP75" s="990"/>
      <c r="AQ75" s="990"/>
      <c r="AR75" s="991"/>
      <c r="AS75" s="1045">
        <f>X$64*(AO$64-AK$64)+X$65*(AO$65-AK$65)</f>
        <v>-3151.3199999999983</v>
      </c>
      <c r="AT75" s="1046"/>
      <c r="AU75" s="1046"/>
      <c r="AV75" s="1047"/>
      <c r="AW75" s="1048">
        <f>SUMPRODUCT(X$64:AA$65,AK$64:AN$65)</f>
        <v>148000</v>
      </c>
      <c r="AX75" s="1049"/>
      <c r="AY75" s="1049"/>
      <c r="AZ75" s="1050"/>
      <c r="BA75" s="986">
        <f>SUMPRODUCT(X$64:AA$65,BI$64:BL$65)</f>
        <v>178440</v>
      </c>
      <c r="BB75" s="987"/>
      <c r="BC75" s="987"/>
      <c r="BD75" s="988"/>
      <c r="BE75" s="1004">
        <f>1-(SUMPRODUCT(R$51:R$52,Z$51:Z$52)/107+(AN$51*AV$51+AN$51/(1-AV$51)*$K$20)*R$51+(AN$52*AV$52+AN$52/(1-AV$52)*$K$20)*R$52)/BA$75</f>
        <v>0.43995079106037671</v>
      </c>
      <c r="BF75" s="1005"/>
      <c r="BG75" s="1005"/>
      <c r="BH75" s="1006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78"/>
      <c r="BE76" s="1079"/>
      <c r="BF76" s="1079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12"/>
      <c r="K77" s="1013"/>
      <c r="L77" s="1013"/>
      <c r="M77" s="1013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14"/>
      <c r="K81" s="1014"/>
      <c r="L81" s="1014"/>
      <c r="M81" s="1014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77"/>
      <c r="BL81" s="1077"/>
      <c r="BM81" s="1077"/>
      <c r="BN81" s="1077"/>
      <c r="BO81" s="1077"/>
    </row>
    <row r="82" spans="1:67" ht="14.15" customHeight="1">
      <c r="A82" s="22"/>
      <c r="B82" s="129"/>
      <c r="C82" s="346" t="s">
        <v>131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67"/>
      <c r="BF82" s="1067"/>
      <c r="BG82" s="1067"/>
      <c r="BH82" s="1067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44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45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79"/>
      <c r="K88" s="979"/>
      <c r="L88" s="979"/>
      <c r="M88" s="979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247</v>
      </c>
      <c r="D89" s="332"/>
      <c r="E89" s="65"/>
      <c r="F89" s="65"/>
      <c r="G89" s="65"/>
      <c r="H89" s="65"/>
      <c r="I89" s="65"/>
      <c r="J89" s="979"/>
      <c r="K89" s="979"/>
      <c r="L89" s="979"/>
      <c r="M89" s="979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248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18"/>
      <c r="K91" s="1018"/>
      <c r="L91" s="1018"/>
      <c r="M91" s="1018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240</v>
      </c>
      <c r="E93" s="28"/>
      <c r="F93" s="28"/>
      <c r="G93" s="28"/>
      <c r="H93" s="468" t="s">
        <v>245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246</v>
      </c>
      <c r="S93" s="470"/>
      <c r="T93" s="471"/>
      <c r="U93" s="471"/>
      <c r="V93" s="483"/>
      <c r="W93" s="472"/>
      <c r="X93" s="471"/>
      <c r="Y93" s="473"/>
      <c r="Z93" s="474"/>
      <c r="AB93" s="469" t="s">
        <v>289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54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243</v>
      </c>
      <c r="D97" s="332"/>
      <c r="E97" s="65"/>
      <c r="F97" s="65"/>
      <c r="G97" s="65"/>
      <c r="H97" s="65"/>
      <c r="I97" s="65"/>
      <c r="J97" s="979"/>
      <c r="K97" s="979"/>
      <c r="L97" s="979"/>
      <c r="M97" s="979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240</v>
      </c>
      <c r="E99" s="28"/>
      <c r="F99" s="28"/>
      <c r="G99" s="28"/>
      <c r="H99" s="468" t="s">
        <v>241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242</v>
      </c>
      <c r="S99" s="470"/>
      <c r="T99" s="471"/>
      <c r="U99" s="471"/>
      <c r="V99" s="483"/>
      <c r="W99" s="484" t="s">
        <v>254</v>
      </c>
      <c r="X99" s="471"/>
      <c r="Y99" s="473"/>
      <c r="Z99" s="474"/>
      <c r="AB99" s="529" t="s">
        <v>290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253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243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249</v>
      </c>
      <c r="D105" s="332"/>
      <c r="E105" s="65"/>
      <c r="F105" s="65"/>
      <c r="G105" s="65"/>
      <c r="H105" s="65"/>
      <c r="I105" s="65"/>
      <c r="J105" s="979"/>
      <c r="K105" s="979"/>
      <c r="L105" s="979"/>
      <c r="M105" s="979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250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252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251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44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257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54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79"/>
      <c r="K114" s="979"/>
      <c r="L114" s="979"/>
      <c r="M114" s="979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79"/>
      <c r="K115" s="979"/>
      <c r="L115" s="979"/>
      <c r="M115" s="979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</mergeCells>
  <phoneticPr fontId="57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2" t="str">
        <f>変更来歴!M2</f>
        <v>　</v>
      </c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処理詳細画面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画面レイアウト(処理詳細)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29">
        <v>110</v>
      </c>
      <c r="I42" s="999"/>
      <c r="J42" s="999"/>
      <c r="K42" s="999"/>
      <c r="L42" s="100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29">
        <v>125</v>
      </c>
      <c r="I43" s="999"/>
      <c r="J43" s="999"/>
      <c r="K43" s="999"/>
      <c r="L43" s="1000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146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150</v>
      </c>
      <c r="AA49" s="211"/>
      <c r="AB49" s="211"/>
      <c r="AC49" s="211"/>
      <c r="AD49" s="212"/>
      <c r="AE49" s="210" t="s">
        <v>293</v>
      </c>
      <c r="AF49" s="211"/>
      <c r="AG49" s="211"/>
      <c r="AH49" s="212"/>
      <c r="AI49" s="210" t="s">
        <v>162</v>
      </c>
      <c r="AJ49" s="211"/>
      <c r="AK49" s="211"/>
      <c r="AL49" s="212"/>
      <c r="AM49" s="211" t="s">
        <v>152</v>
      </c>
      <c r="AN49" s="211"/>
      <c r="AO49" s="211"/>
      <c r="AP49" s="212"/>
      <c r="AQ49" s="211" t="s">
        <v>197</v>
      </c>
      <c r="AR49" s="211"/>
      <c r="AS49" s="211"/>
      <c r="AT49" s="212"/>
      <c r="AU49" s="210" t="s">
        <v>199</v>
      </c>
      <c r="AV49" s="211"/>
      <c r="AW49" s="211"/>
      <c r="AX49" s="212"/>
      <c r="AY49" s="210" t="s">
        <v>83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156</v>
      </c>
      <c r="BH49" s="211"/>
      <c r="BI49" s="212"/>
      <c r="BJ49" s="305" t="s">
        <v>86</v>
      </c>
      <c r="BK49" s="211"/>
      <c r="BL49" s="211"/>
      <c r="BM49" s="212"/>
      <c r="BN49" s="211" t="s">
        <v>69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198</v>
      </c>
      <c r="AR50" s="218"/>
      <c r="AS50" s="219"/>
      <c r="AT50" s="220"/>
      <c r="AU50" s="217" t="s">
        <v>155</v>
      </c>
      <c r="AV50" s="218"/>
      <c r="AW50" s="219"/>
      <c r="AX50" s="220"/>
      <c r="AY50" s="217" t="s">
        <v>155</v>
      </c>
      <c r="AZ50" s="218"/>
      <c r="BA50" s="219"/>
      <c r="BB50" s="220"/>
      <c r="BC50" s="217" t="s">
        <v>200</v>
      </c>
      <c r="BD50" s="218"/>
      <c r="BE50" s="219"/>
      <c r="BF50" s="220"/>
      <c r="BG50" s="218" t="s">
        <v>201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158</v>
      </c>
      <c r="E51" s="149"/>
      <c r="F51" s="149"/>
      <c r="G51" s="151"/>
      <c r="H51" s="242" t="s">
        <v>159</v>
      </c>
      <c r="I51" s="150"/>
      <c r="J51" s="150"/>
      <c r="K51" s="150"/>
      <c r="L51" s="161"/>
      <c r="M51" s="162"/>
      <c r="N51" s="242" t="s">
        <v>160</v>
      </c>
      <c r="O51" s="150"/>
      <c r="P51" s="150"/>
      <c r="Q51" s="99" t="s">
        <v>33</v>
      </c>
      <c r="R51" s="1009">
        <v>70000</v>
      </c>
      <c r="S51" s="1010"/>
      <c r="T51" s="1010"/>
      <c r="U51" s="1011"/>
      <c r="V51" s="148" t="s">
        <v>148</v>
      </c>
      <c r="W51" s="150"/>
      <c r="X51" s="150"/>
      <c r="Y51" s="99" t="s">
        <v>33</v>
      </c>
      <c r="Z51" s="1023">
        <v>6.7299999999999999E-2</v>
      </c>
      <c r="AA51" s="1024"/>
      <c r="AB51" s="1024"/>
      <c r="AC51" s="1024"/>
      <c r="AD51" s="1025"/>
      <c r="AE51" s="148" t="s">
        <v>148</v>
      </c>
      <c r="AF51" s="150"/>
      <c r="AG51" s="150"/>
      <c r="AH51" s="99" t="s">
        <v>33</v>
      </c>
      <c r="AI51" s="1023">
        <v>0.1211</v>
      </c>
      <c r="AJ51" s="1024"/>
      <c r="AK51" s="1024"/>
      <c r="AL51" s="1025"/>
      <c r="AM51" s="1023">
        <v>0.12</v>
      </c>
      <c r="AN51" s="1024"/>
      <c r="AO51" s="1024"/>
      <c r="AP51" s="1025"/>
      <c r="AQ51" s="1026">
        <v>0.01</v>
      </c>
      <c r="AR51" s="1027"/>
      <c r="AS51" s="1027"/>
      <c r="AT51" s="1028"/>
      <c r="AU51" s="1023">
        <v>0.13589999999999999</v>
      </c>
      <c r="AV51" s="1024"/>
      <c r="AW51" s="1024"/>
      <c r="AX51" s="1025"/>
      <c r="AY51" s="1023">
        <v>0.151</v>
      </c>
      <c r="AZ51" s="1024"/>
      <c r="BA51" s="1024"/>
      <c r="BB51" s="1025"/>
      <c r="BC51" s="1023">
        <v>0.151</v>
      </c>
      <c r="BD51" s="1024"/>
      <c r="BE51" s="1024"/>
      <c r="BF51" s="1025"/>
      <c r="BG51" s="1039">
        <v>6.1000000000000004E-3</v>
      </c>
      <c r="BH51" s="1040"/>
      <c r="BI51" s="1041"/>
      <c r="BJ51" s="309" t="s">
        <v>208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09"/>
      <c r="S52" s="1010"/>
      <c r="T52" s="1010"/>
      <c r="U52" s="1011"/>
      <c r="V52" s="148"/>
      <c r="W52" s="150"/>
      <c r="X52" s="150"/>
      <c r="Y52" s="99" t="s">
        <v>33</v>
      </c>
      <c r="Z52" s="998"/>
      <c r="AA52" s="1007"/>
      <c r="AB52" s="1007"/>
      <c r="AC52" s="1007"/>
      <c r="AD52" s="1008"/>
      <c r="AE52" s="148"/>
      <c r="AF52" s="150"/>
      <c r="AG52" s="150"/>
      <c r="AH52" s="99" t="s">
        <v>33</v>
      </c>
      <c r="AI52" s="1023"/>
      <c r="AJ52" s="1024"/>
      <c r="AK52" s="1024"/>
      <c r="AL52" s="1025"/>
      <c r="AM52" s="1023"/>
      <c r="AN52" s="1024"/>
      <c r="AO52" s="1024"/>
      <c r="AP52" s="1025"/>
      <c r="AQ52" s="1026"/>
      <c r="AR52" s="1027"/>
      <c r="AS52" s="1027"/>
      <c r="AT52" s="1028"/>
      <c r="AU52" s="1023"/>
      <c r="AV52" s="1024"/>
      <c r="AW52" s="1024"/>
      <c r="AX52" s="1025"/>
      <c r="AY52" s="1023"/>
      <c r="AZ52" s="1024"/>
      <c r="BA52" s="1024"/>
      <c r="BB52" s="1025"/>
      <c r="BC52" s="1023"/>
      <c r="BD52" s="1024"/>
      <c r="BE52" s="1024"/>
      <c r="BF52" s="1025"/>
      <c r="BG52" s="1039"/>
      <c r="BH52" s="1040"/>
      <c r="BI52" s="1041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83">
        <f>1-(0.0673/0.1359)</f>
        <v>0.50478292862398821</v>
      </c>
      <c r="BN58" s="1083"/>
      <c r="BO58" s="1083"/>
      <c r="BP58" s="1083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150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213</v>
      </c>
      <c r="BB63" s="240"/>
      <c r="BC63" s="240"/>
      <c r="BD63" s="240"/>
      <c r="BE63" s="239" t="s">
        <v>199</v>
      </c>
      <c r="BF63" s="240"/>
      <c r="BG63" s="240"/>
      <c r="BH63" s="241"/>
      <c r="BI63" s="239" t="s">
        <v>214</v>
      </c>
      <c r="BJ63" s="240"/>
      <c r="BK63" s="240"/>
      <c r="BL63" s="241"/>
      <c r="BM63" s="239" t="s">
        <v>236</v>
      </c>
      <c r="BN63" s="240"/>
      <c r="BO63" s="240"/>
      <c r="BP63" s="241"/>
      <c r="BQ63" s="239" t="s">
        <v>83</v>
      </c>
      <c r="BR63" s="240"/>
      <c r="BS63" s="240"/>
      <c r="BT63" s="241"/>
      <c r="BU63" s="239" t="s">
        <v>84</v>
      </c>
      <c r="BV63" s="240"/>
      <c r="BW63" s="240"/>
      <c r="BX63" s="241"/>
      <c r="BY63" s="240" t="s">
        <v>85</v>
      </c>
      <c r="BZ63" s="240"/>
      <c r="CA63" s="241"/>
      <c r="CB63" s="240" t="s">
        <v>86</v>
      </c>
      <c r="CC63" s="240"/>
      <c r="CD63" s="240"/>
      <c r="CE63" s="241"/>
      <c r="CF63" s="240" t="s">
        <v>69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149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09">
        <f>R51</f>
        <v>70000</v>
      </c>
      <c r="Y64" s="1010"/>
      <c r="Z64" s="1010"/>
      <c r="AA64" s="1011"/>
      <c r="AB64" s="1023">
        <f>Z51</f>
        <v>6.7299999999999999E-2</v>
      </c>
      <c r="AC64" s="1024"/>
      <c r="AD64" s="1024"/>
      <c r="AE64" s="1025"/>
      <c r="AF64" s="1023">
        <f>BC51</f>
        <v>0.151</v>
      </c>
      <c r="AG64" s="1024"/>
      <c r="AH64" s="1024"/>
      <c r="AI64" s="1024"/>
      <c r="AJ64" s="1025"/>
      <c r="AK64" s="1023">
        <f>AM51</f>
        <v>0.12</v>
      </c>
      <c r="AL64" s="1024"/>
      <c r="AM64" s="1024"/>
      <c r="AN64" s="1025"/>
      <c r="AO64" s="1023">
        <f>AI51</f>
        <v>0.1211</v>
      </c>
      <c r="AP64" s="1024"/>
      <c r="AQ64" s="1024"/>
      <c r="AR64" s="1025"/>
      <c r="AS64" s="1023">
        <f>AI51/(1-AQ51)</f>
        <v>0.12232323232323232</v>
      </c>
      <c r="AT64" s="1024"/>
      <c r="AU64" s="1024"/>
      <c r="AV64" s="1025"/>
      <c r="AW64" s="1023">
        <f>AO64-(AS64*$K$20)</f>
        <v>0.11498383838383838</v>
      </c>
      <c r="AX64" s="1024"/>
      <c r="AY64" s="1024"/>
      <c r="AZ64" s="1025"/>
      <c r="BA64" s="1001">
        <f>IFERROR((AI51-AM51)/AM51,"")</f>
        <v>9.1666666666666979E-3</v>
      </c>
      <c r="BB64" s="1002"/>
      <c r="BC64" s="1002"/>
      <c r="BD64" s="1003"/>
      <c r="BE64" s="1051">
        <f>AU51</f>
        <v>0.13589999999999999</v>
      </c>
      <c r="BF64" s="1052"/>
      <c r="BG64" s="1052"/>
      <c r="BH64" s="1053"/>
      <c r="BI64" s="1004">
        <f>1-AI51/(1-AQ51)/AU51</f>
        <v>9.990263191146187E-2</v>
      </c>
      <c r="BJ64" s="1005"/>
      <c r="BK64" s="1005"/>
      <c r="BL64" s="1006"/>
      <c r="BM64" s="1004">
        <f>1-AB64/BE64</f>
        <v>0.50478292862398821</v>
      </c>
      <c r="BN64" s="1005"/>
      <c r="BO64" s="1005"/>
      <c r="BP64" s="1006"/>
      <c r="BQ64" s="1039">
        <f>AY51</f>
        <v>0.151</v>
      </c>
      <c r="BR64" s="1040"/>
      <c r="BS64" s="1040"/>
      <c r="BT64" s="1041"/>
      <c r="BU64" s="1004">
        <f>1-AU51/AY51</f>
        <v>9.9999999999999978E-2</v>
      </c>
      <c r="BV64" s="1005"/>
      <c r="BW64" s="1005"/>
      <c r="BX64" s="1006"/>
      <c r="BY64" s="1023">
        <f>BG51</f>
        <v>6.1000000000000004E-3</v>
      </c>
      <c r="BZ64" s="1024"/>
      <c r="CA64" s="1025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281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280</v>
      </c>
      <c r="E66" s="503"/>
      <c r="F66" s="504" t="s">
        <v>294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239</v>
      </c>
      <c r="Y66" s="503"/>
      <c r="Z66" s="503"/>
      <c r="AA66" s="503"/>
      <c r="AB66" s="507" t="s">
        <v>234</v>
      </c>
      <c r="AC66" s="503"/>
      <c r="AD66" s="503"/>
      <c r="AE66" s="503"/>
      <c r="AF66" s="507" t="s">
        <v>235</v>
      </c>
      <c r="AG66" s="508"/>
      <c r="AH66" s="508"/>
      <c r="AI66" s="508"/>
      <c r="AJ66" s="509"/>
      <c r="AK66" s="507" t="s">
        <v>236</v>
      </c>
      <c r="AL66" s="508"/>
      <c r="AM66" s="508"/>
      <c r="AN66" s="509"/>
      <c r="AO66" s="507" t="s">
        <v>237</v>
      </c>
      <c r="AP66" s="508"/>
      <c r="AQ66" s="508"/>
      <c r="AR66" s="509"/>
      <c r="AS66" s="507" t="s">
        <v>238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160</v>
      </c>
      <c r="E67" s="149"/>
      <c r="F67" s="148" t="s">
        <v>148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998">
        <f>SUMPRODUCT(X$64:AA$64,BE$64:BH$64)</f>
        <v>9513</v>
      </c>
      <c r="Y67" s="1007"/>
      <c r="Z67" s="1007"/>
      <c r="AA67" s="1008"/>
      <c r="AB67" s="998">
        <f>SUMPRODUCT(X$64:AA$64,AB$64:AE$64)</f>
        <v>4711</v>
      </c>
      <c r="AC67" s="1007"/>
      <c r="AD67" s="1007"/>
      <c r="AE67" s="1008"/>
      <c r="AF67" s="998">
        <f>X67-AB67</f>
        <v>4802</v>
      </c>
      <c r="AG67" s="1007"/>
      <c r="AH67" s="1007"/>
      <c r="AI67" s="1007"/>
      <c r="AJ67" s="1008"/>
      <c r="AK67" s="989">
        <f>AF67/X67</f>
        <v>0.50478292862398821</v>
      </c>
      <c r="AL67" s="990"/>
      <c r="AM67" s="990"/>
      <c r="AN67" s="991"/>
      <c r="AO67" s="989">
        <f>IFERROR(AS67/(X67-AS67),"")</f>
        <v>0.13249999999999998</v>
      </c>
      <c r="AP67" s="990"/>
      <c r="AQ67" s="990"/>
      <c r="AR67" s="991"/>
      <c r="AS67" s="1080">
        <f>X$64*(BE$64-AK$64)</f>
        <v>1112.9999999999998</v>
      </c>
      <c r="AT67" s="1081"/>
      <c r="AU67" s="1081"/>
      <c r="AV67" s="1082"/>
      <c r="AW67" s="1048"/>
      <c r="AX67" s="1049"/>
      <c r="AY67" s="1049"/>
      <c r="AZ67" s="1050"/>
      <c r="BA67" s="986"/>
      <c r="BB67" s="987"/>
      <c r="BC67" s="987"/>
      <c r="BD67" s="988"/>
      <c r="BE67" s="1004"/>
      <c r="BF67" s="1005"/>
      <c r="BG67" s="1005"/>
      <c r="BH67" s="1006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160</v>
      </c>
      <c r="E68" s="149"/>
      <c r="F68" s="148" t="s">
        <v>207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86">
        <f>SUMPRODUCT(X$64:AA$64,BE$64:BH$64)</f>
        <v>9513</v>
      </c>
      <c r="Y68" s="987"/>
      <c r="Z68" s="987"/>
      <c r="AA68" s="988"/>
      <c r="AB68" s="986">
        <f>SUMPRODUCT(X$64:AA$64,AB$64:AE$64)</f>
        <v>4711</v>
      </c>
      <c r="AC68" s="987"/>
      <c r="AD68" s="987"/>
      <c r="AE68" s="988"/>
      <c r="AF68" s="986">
        <f>X68-AB68</f>
        <v>4802</v>
      </c>
      <c r="AG68" s="987"/>
      <c r="AH68" s="987"/>
      <c r="AI68" s="987"/>
      <c r="AJ68" s="988"/>
      <c r="AK68" s="989">
        <f>AF68/X68</f>
        <v>0.50478292862398821</v>
      </c>
      <c r="AL68" s="990"/>
      <c r="AM68" s="990"/>
      <c r="AN68" s="991"/>
      <c r="AO68" s="989">
        <f>IFERROR(AS68/(X68-AS68),"")</f>
        <v>0.13249999999999998</v>
      </c>
      <c r="AP68" s="990"/>
      <c r="AQ68" s="990"/>
      <c r="AR68" s="991"/>
      <c r="AS68" s="1045">
        <f>X$64*(BE$64-AK$64)</f>
        <v>1112.9999999999998</v>
      </c>
      <c r="AT68" s="1046"/>
      <c r="AU68" s="1046"/>
      <c r="AV68" s="1047"/>
      <c r="AW68" s="1048"/>
      <c r="AX68" s="1049"/>
      <c r="AY68" s="1049"/>
      <c r="AZ68" s="1050"/>
      <c r="BA68" s="986"/>
      <c r="BB68" s="987"/>
      <c r="BC68" s="987"/>
      <c r="BD68" s="988"/>
      <c r="BE68" s="1004"/>
      <c r="BF68" s="1005"/>
      <c r="BG68" s="1005"/>
      <c r="BH68" s="1006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279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295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239</v>
      </c>
      <c r="Y70" s="244"/>
      <c r="Z70" s="244"/>
      <c r="AA70" s="244"/>
      <c r="AB70" s="248" t="s">
        <v>234</v>
      </c>
      <c r="AC70" s="244"/>
      <c r="AD70" s="244"/>
      <c r="AE70" s="244"/>
      <c r="AF70" s="248" t="s">
        <v>235</v>
      </c>
      <c r="AG70" s="249"/>
      <c r="AH70" s="249"/>
      <c r="AI70" s="249"/>
      <c r="AJ70" s="250"/>
      <c r="AK70" s="248" t="s">
        <v>236</v>
      </c>
      <c r="AL70" s="249"/>
      <c r="AM70" s="249"/>
      <c r="AN70" s="250"/>
      <c r="AO70" s="248" t="s">
        <v>237</v>
      </c>
      <c r="AP70" s="249"/>
      <c r="AQ70" s="249"/>
      <c r="AR70" s="250"/>
      <c r="AS70" s="248" t="s">
        <v>238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148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998">
        <f>SUMPRODUCT(X$64:AA$64,BE$64:BH$64)</f>
        <v>9513</v>
      </c>
      <c r="Y71" s="1007"/>
      <c r="Z71" s="1007"/>
      <c r="AA71" s="1008"/>
      <c r="AB71" s="998">
        <f>SUMPRODUCT(X$64:AA$64,AB$64:AE$64)</f>
        <v>4711</v>
      </c>
      <c r="AC71" s="1007"/>
      <c r="AD71" s="1007"/>
      <c r="AE71" s="1008"/>
      <c r="AF71" s="998">
        <f>X71-AB71</f>
        <v>4802</v>
      </c>
      <c r="AG71" s="1007"/>
      <c r="AH71" s="1007"/>
      <c r="AI71" s="1007"/>
      <c r="AJ71" s="1008"/>
      <c r="AK71" s="989">
        <f>AF71/X71</f>
        <v>0.50478292862398821</v>
      </c>
      <c r="AL71" s="990"/>
      <c r="AM71" s="990"/>
      <c r="AN71" s="991"/>
      <c r="AO71" s="989">
        <f>IFERROR(AS71/(X71-AS71),"")</f>
        <v>0.13249999999999998</v>
      </c>
      <c r="AP71" s="990"/>
      <c r="AQ71" s="990"/>
      <c r="AR71" s="991"/>
      <c r="AS71" s="1080">
        <f>X$64*(BE$64-AK$64)</f>
        <v>1112.9999999999998</v>
      </c>
      <c r="AT71" s="1081"/>
      <c r="AU71" s="1081"/>
      <c r="AV71" s="1082"/>
      <c r="AW71" s="1048"/>
      <c r="AX71" s="1049"/>
      <c r="AY71" s="1049"/>
      <c r="AZ71" s="1050"/>
      <c r="BA71" s="986"/>
      <c r="BB71" s="987"/>
      <c r="BC71" s="987"/>
      <c r="BD71" s="988"/>
      <c r="BE71" s="1004"/>
      <c r="BF71" s="1005"/>
      <c r="BG71" s="1005"/>
      <c r="BH71" s="1006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207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86">
        <f>SUMPRODUCT(X$64:AA$64,BE$64:BH$64)</f>
        <v>9513</v>
      </c>
      <c r="Y72" s="987"/>
      <c r="Z72" s="987"/>
      <c r="AA72" s="988"/>
      <c r="AB72" s="986">
        <f>SUMPRODUCT(X$64:AA$64,AB$64:AE$64)</f>
        <v>4711</v>
      </c>
      <c r="AC72" s="987"/>
      <c r="AD72" s="987"/>
      <c r="AE72" s="988"/>
      <c r="AF72" s="986">
        <f>X72-AB72</f>
        <v>4802</v>
      </c>
      <c r="AG72" s="987"/>
      <c r="AH72" s="987"/>
      <c r="AI72" s="987"/>
      <c r="AJ72" s="988"/>
      <c r="AK72" s="989">
        <f>AF72/X72</f>
        <v>0.50478292862398821</v>
      </c>
      <c r="AL72" s="990"/>
      <c r="AM72" s="990"/>
      <c r="AN72" s="991"/>
      <c r="AO72" s="989">
        <f>IFERROR(AS72/(X72-AS72),"")</f>
        <v>0.13249999999999998</v>
      </c>
      <c r="AP72" s="990"/>
      <c r="AQ72" s="990"/>
      <c r="AR72" s="991"/>
      <c r="AS72" s="1045">
        <f>X$64*(BE$64-AK$64)</f>
        <v>1112.9999999999998</v>
      </c>
      <c r="AT72" s="1046"/>
      <c r="AU72" s="1046"/>
      <c r="AV72" s="1047"/>
      <c r="AW72" s="1048"/>
      <c r="AX72" s="1049"/>
      <c r="AY72" s="1049"/>
      <c r="AZ72" s="1050"/>
      <c r="BA72" s="986"/>
      <c r="BB72" s="987"/>
      <c r="BC72" s="987"/>
      <c r="BD72" s="988"/>
      <c r="BE72" s="1004"/>
      <c r="BF72" s="1005"/>
      <c r="BG72" s="1005"/>
      <c r="BH72" s="1006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78"/>
      <c r="BE73" s="1079"/>
      <c r="BF73" s="1079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14"/>
      <c r="K77" s="1014"/>
      <c r="L77" s="1014"/>
      <c r="M77" s="1014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131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44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45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79"/>
      <c r="K84" s="979"/>
      <c r="L84" s="979"/>
      <c r="M84" s="979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247</v>
      </c>
      <c r="D85" s="332"/>
      <c r="E85" s="65"/>
      <c r="F85" s="65"/>
      <c r="G85" s="65"/>
      <c r="H85" s="65"/>
      <c r="I85" s="65"/>
      <c r="J85" s="979"/>
      <c r="K85" s="979"/>
      <c r="L85" s="979"/>
      <c r="M85" s="979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248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18"/>
      <c r="K87" s="1018"/>
      <c r="L87" s="1018"/>
      <c r="M87" s="1018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240</v>
      </c>
      <c r="E89" s="28"/>
      <c r="F89" s="28"/>
      <c r="G89" s="28"/>
      <c r="H89" s="468" t="s">
        <v>245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246</v>
      </c>
      <c r="S89" s="470"/>
      <c r="T89" s="471"/>
      <c r="U89" s="471"/>
      <c r="V89" s="483"/>
      <c r="W89" s="472"/>
      <c r="X89" s="471"/>
      <c r="Y89" s="473"/>
      <c r="Z89" s="474"/>
      <c r="AB89" s="469" t="s">
        <v>289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54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243</v>
      </c>
      <c r="D93" s="332"/>
      <c r="E93" s="65"/>
      <c r="F93" s="65"/>
      <c r="G93" s="65"/>
      <c r="H93" s="65"/>
      <c r="I93" s="65"/>
      <c r="J93" s="979"/>
      <c r="K93" s="979"/>
      <c r="L93" s="979"/>
      <c r="M93" s="979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240</v>
      </c>
      <c r="E95" s="28"/>
      <c r="F95" s="28"/>
      <c r="G95" s="28"/>
      <c r="H95" s="468" t="s">
        <v>241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242</v>
      </c>
      <c r="S95" s="470"/>
      <c r="T95" s="471"/>
      <c r="U95" s="471"/>
      <c r="V95" s="483"/>
      <c r="W95" s="484" t="s">
        <v>254</v>
      </c>
      <c r="X95" s="471"/>
      <c r="Y95" s="473"/>
      <c r="Z95" s="474"/>
      <c r="AB95" s="529" t="s">
        <v>290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253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243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249</v>
      </c>
      <c r="D101" s="332"/>
      <c r="E101" s="65"/>
      <c r="F101" s="65"/>
      <c r="G101" s="65"/>
      <c r="H101" s="65"/>
      <c r="I101" s="65"/>
      <c r="J101" s="979"/>
      <c r="K101" s="979"/>
      <c r="L101" s="979"/>
      <c r="M101" s="979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250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252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251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44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255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54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256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54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257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54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79"/>
      <c r="K110" s="979"/>
      <c r="L110" s="979"/>
      <c r="M110" s="979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79"/>
      <c r="K111" s="979"/>
      <c r="L111" s="979"/>
      <c r="M111" s="979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7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処理詳細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'外貨(PPM)'!Print_Area</vt:lpstr>
      <vt:lpstr>'外貨(コリア原計)'!Print_Area</vt:lpstr>
      <vt:lpstr>'外貨(技術原計)'!Print_Area</vt:lpstr>
      <vt:lpstr>出力編集仕様!Print_Area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2026-05-22T06:17:51Z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