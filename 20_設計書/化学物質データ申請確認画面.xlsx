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25C82E7A-747A-4580-83C2-027A8E12A82B}" xr6:coauthVersionLast="47" xr6:coauthVersionMax="47" xr10:uidLastSave="{00000000-0000-0000-0000-000000000000}"/>
  <bookViews>
    <workbookView xWindow="30495" yWindow="1875" windowWidth="25725" windowHeight="900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化学物質データ申請確認画面!$A$1:$BC$86</definedName>
    <definedName name="_xlnm.Print_Area" localSheetId="3">画面項目!$A$1:$CA$29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4">処理詳細!$A$1:$CH$344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N2" i="67"/>
  <c r="AV3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2" i="66"/>
  <c r="AN2" i="66"/>
  <c r="AN2" i="65"/>
  <c r="AV3" i="65"/>
  <c r="AV3" i="66"/>
  <c r="AV2" i="65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2" i="59"/>
  <c r="AV3" i="63"/>
  <c r="AV2" i="63"/>
  <c r="AN2" i="63"/>
  <c r="AV3" i="61"/>
  <c r="AV3" i="59"/>
  <c r="AV2" i="64"/>
  <c r="AN2" i="61"/>
  <c r="AN2" i="59"/>
  <c r="AN2" i="64"/>
  <c r="AV3" i="64"/>
  <c r="AV2" i="61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2" i="16"/>
  <c r="AV3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<sst xmlns="http://schemas.openxmlformats.org/spreadsheetml/2006/main" count="2320" uniqueCount="727">
  <si>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</si>
  <si>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</si>
  <si>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</si>
  <si>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</si>
  <si>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</si>
  <si>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</si>
  <si>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</si>
  <si>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</si>
  <si>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</si>
  <si>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</si>
  <si>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</si>
  <si>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</si>
  <si>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</si>
  <si>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</si>
  <si>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</si>
  <si>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</si>
  <si>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</si>
  <si>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</si>
  <si>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</si>
  <si>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</si>
  <si>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</si>
  <si>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</si>
  <si>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</si>
  <si>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</si>
  <si>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</si>
  <si>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</si>
  <si>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</si>
  <si>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</si>
  <si>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</si>
  <si>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　</t>
    <phoneticPr fontId="51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</si>
  <si>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</si>
  <si>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</si>
  <si>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</si>
  <si>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</si>
  <si>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</si>
  <si>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</si>
  <si>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</si>
  <si>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</si>
  <si>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</si>
  <si>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</si>
  <si>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</si>
  <si>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</si>
  <si>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</si>
  <si>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</si>
  <si>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</si>
  <si>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</si>
  <si>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</si>
  <si>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</si>
  <si>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</si>
  <si>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</si>
  <si>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</si>
  <si>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</si>
  <si>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</si>
  <si>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</si>
  <si>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</si>
  <si>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</si>
  <si>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</si>
  <si>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</si>
  <si>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</si>
  <si>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</si>
  <si>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</si>
  <si>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</si>
  <si>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</si>
  <si>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</si>
  <si>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</si>
  <si>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</si>
  <si>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</si>
  <si>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</si>
  <si>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</si>
  <si>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</si>
  <si>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</si>
  <si>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</si>
  <si>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</si>
  <si>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</si>
  <si>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</si>
  <si>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</si>
  <si>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</si>
  <si>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</si>
  <si>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</si>
  <si>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</si>
  <si>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</si>
  <si>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</si>
  <si>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</si>
  <si>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</si>
  <si>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</si>
  <si>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</si>
  <si>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</si>
  <si>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</si>
  <si>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</si>
  <si>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</si>
  <si>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</si>
  <si>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</si>
  <si>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</si>
  <si>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</si>
  <si>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</si>
  <si>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</si>
  <si>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</si>
  <si>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</si>
  <si>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</si>
  <si>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</si>
  <si>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</si>
  <si>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</si>
  <si>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</si>
  <si>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</si>
  <si>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</si>
  <si>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</si>
  <si>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</si>
  <si>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</si>
  <si>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</si>
  <si>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</si>
  <si>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</si>
  <si>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</si>
  <si>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</si>
  <si>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</si>
  <si>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</si>
  <si>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</si>
  <si>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</si>
  <si>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</si>
  <si>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</si>
  <si>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</si>
  <si>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</si>
  <si>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</si>
  <si>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</si>
  <si>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</si>
  <si>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</si>
  <si>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</si>
  <si>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</si>
  <si>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</si>
  <si>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</si>
  <si>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</si>
  <si>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</si>
  <si>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</si>
  <si>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</si>
  <si>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</si>
  <si>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</si>
  <si>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</si>
  <si>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</si>
  <si>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</si>
  <si>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</si>
  <si>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</si>
  <si>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</si>
  <si>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</si>
  <si>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</si>
  <si>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</si>
  <si>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</si>
  <si>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</si>
  <si>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</si>
  <si>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</si>
  <si>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</si>
  <si>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</si>
  <si>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</si>
  <si>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</si>
  <si>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</si>
  <si>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</si>
  <si>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</si>
  <si>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</si>
  <si>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</si>
  <si>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</si>
  <si>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</si>
  <si>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</si>
  <si>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</si>
  <si>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</si>
  <si>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</si>
  <si>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</si>
  <si>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</si>
  <si>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</si>
  <si>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</si>
  <si>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</si>
  <si>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</si>
  <si>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</si>
  <si>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</si>
  <si>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</si>
  <si>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</si>
  <si>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</si>
  <si>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</si>
  <si>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</si>
  <si>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</si>
  <si>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</si>
  <si>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</si>
  <si>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</si>
  <si>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</si>
  <si>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</si>
  <si>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</si>
  <si>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</si>
  <si>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</si>
  <si>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</si>
  <si>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</si>
  <si>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</si>
  <si>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</si>
  <si>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</si>
  <si>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</si>
  <si>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</si>
  <si>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</si>
  <si>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</si>
  <si>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</si>
  <si>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</si>
  <si>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</si>
  <si>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</si>
  <si>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</si>
  <si>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</si>
  <si>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</si>
  <si>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</si>
  <si>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</si>
  <si>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</si>
  <si>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</si>
  <si>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</si>
  <si>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</si>
  <si>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</si>
  <si>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</si>
  <si>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</si>
  <si>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</si>
  <si>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</si>
  <si>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</si>
  <si>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</si>
  <si>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</si>
  <si>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</si>
  <si>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</si>
  <si>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</si>
  <si>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</si>
  <si>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</si>
  <si>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</si>
  <si>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</si>
  <si>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</si>
  <si>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</si>
  <si>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</si>
  <si>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</si>
  <si>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</si>
  <si>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</si>
  <si>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</si>
  <si>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</si>
  <si>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</si>
  <si>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</si>
  <si>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</si>
  <si>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</si>
  <si>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</si>
  <si>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</si>
  <si>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</si>
  <si>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</si>
  <si>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</si>
  <si>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</si>
  <si>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</si>
  <si>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</si>
  <si>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</si>
  <si>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</si>
  <si>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</si>
  <si>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</si>
  <si>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</si>
  <si>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</si>
  <si>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</si>
  <si>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</si>
  <si>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</si>
  <si>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</si>
  <si>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</si>
  <si>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</si>
  <si>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</si>
  <si>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</si>
  <si>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</si>
  <si>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</si>
  <si>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ｒ1.0</t>
    <phoneticPr fontId="51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</si>
  <si>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</si>
  <si>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</si>
  <si>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</si>
  <si>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</si>
  <si>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</si>
  <si>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</si>
  <si>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</si>
  <si>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</si>
  <si>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</si>
  <si>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</si>
  <si>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</si>
  <si>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</si>
  <si>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</si>
  <si>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</si>
  <si>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</si>
  <si>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</si>
  <si>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</si>
  <si>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</si>
  <si>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</si>
  <si>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</si>
  <si>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</si>
  <si>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</si>
  <si>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</si>
  <si>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</si>
  <si>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</si>
  <si>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</si>
  <si>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</si>
  <si>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</si>
  <si>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</si>
  <si>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</si>
  <si>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</si>
  <si>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</si>
  <si>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</si>
  <si>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</si>
  <si>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</si>
  <si>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</si>
  <si>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</si>
  <si>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</si>
  <si>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</si>
  <si>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</si>
  <si>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</si>
  <si>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</si>
  <si>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</si>
  <si>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新製品区分</t>
    <rPh sb="0" eb="3">
      <t>シンセイヒン</t>
    </rPh>
    <rPh sb="3" eb="5">
      <t>クブン</t>
    </rPh>
    <phoneticPr fontId="61"/>
  </si>
  <si>
    <t>製品販売状況</t>
    <rPh sb="0" eb="2">
      <t>セイヒン</t>
    </rPh>
    <rPh sb="2" eb="4">
      <t>ハンバイ</t>
    </rPh>
    <rPh sb="4" eb="6">
      <t>ジョウキョウ</t>
    </rPh>
    <phoneticPr fontId="61"/>
  </si>
  <si>
    <t>PCN番号</t>
    <rPh sb="3" eb="5">
      <t>バンゴウ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</si>
  <si>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</si>
  <si>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</si>
  <si>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</si>
  <si>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</si>
  <si>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</si>
  <si>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</si>
  <si>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</si>
  <si>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</si>
  <si>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</si>
  <si>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</si>
  <si>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</si>
  <si>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</si>
  <si>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</si>
  <si>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</si>
  <si>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</si>
  <si>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</si>
  <si>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</si>
  <si>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</si>
  <si>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</si>
  <si>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</si>
  <si>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</si>
  <si>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</si>
  <si>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</si>
  <si>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</si>
  <si>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</si>
  <si>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</si>
  <si>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</si>
  <si>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</si>
  <si>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</si>
  <si>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</si>
  <si>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</si>
  <si>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</si>
  <si>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</si>
  <si>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</si>
  <si>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</si>
  <si>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</si>
  <si>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</si>
  <si>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</si>
  <si>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</si>
  <si>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</si>
  <si>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1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</si>
  <si>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1"/>
  </si>
  <si>
    <t>2.10</t>
    <phoneticPr fontId="61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</si>
  <si>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1"/>
  </si>
  <si>
    <t>2.11</t>
    <phoneticPr fontId="61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</si>
  <si>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1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</si>
  <si>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1"/>
  </si>
  <si>
    <t>2.12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</si>
  <si>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</si>
  <si>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</si>
  <si>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2.13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</si>
  <si>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</si>
  <si>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</si>
  <si>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2.14</t>
    <phoneticPr fontId="61"/>
  </si>
  <si>
    <t>戻る</t>
    <phoneticPr fontId="61"/>
  </si>
  <si>
    <t>申請</t>
    <phoneticPr fontId="61"/>
  </si>
  <si>
    <t>いいえボタン</t>
    <phoneticPr fontId="61"/>
  </si>
  <si>
    <t>2.17</t>
    <phoneticPr fontId="61"/>
  </si>
  <si>
    <t>はいボタン</t>
    <phoneticPr fontId="61"/>
  </si>
  <si>
    <t>2.18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</si>
  <si>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</si>
  <si>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</si>
  <si>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2.19</t>
    <phoneticPr fontId="61"/>
  </si>
  <si>
    <t>エラーメッセージ</t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</si>
  <si>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</si>
  <si>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</si>
  <si>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</si>
  <si>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</si>
  <si>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</si>
  <si>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</si>
  <si>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</si>
  <si>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</si>
  <si>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</si>
  <si>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</si>
  <si>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</si>
  <si>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</si>
  <si>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</si>
  <si>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</si>
  <si>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</si>
  <si>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</si>
  <si>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NameE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</si>
  <si>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</si>
  <si>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</si>
  <si>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</si>
  <si>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</si>
  <si>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</si>
  <si>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4567-8-94</t>
    <phoneticPr fontId="57"/>
  </si>
  <si>
    <t>CL0123-
4567-8-95</t>
    <phoneticPr fontId="57"/>
  </si>
  <si>
    <t>CL0123-
4567-8-96</t>
    <phoneticPr fontId="57"/>
  </si>
  <si>
    <t>2024-01</t>
    <phoneticPr fontId="57"/>
  </si>
  <si>
    <t>2023-12</t>
    <phoneticPr fontId="57"/>
  </si>
  <si>
    <t>2023-10</t>
    <phoneticPr fontId="57"/>
  </si>
  <si>
    <t>2023-11</t>
    <phoneticPr fontId="57"/>
  </si>
  <si>
    <t>YES</t>
    <phoneticPr fontId="57"/>
  </si>
  <si>
    <t>Non-complia
nt</t>
    <phoneticPr fontId="57"/>
  </si>
  <si>
    <t>Contact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</si>
  <si>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</si>
  <si>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</si>
  <si>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</si>
  <si>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</si>
  <si>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</si>
  <si>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</si>
  <si>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</si>
  <si>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</si>
  <si>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</si>
  <si>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7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</si>
  <si>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7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</si>
  <si>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7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</si>
  <si>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7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</si>
  <si>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7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</si>
  <si>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7"/>
  </si>
  <si>
    <t>販売品
Items for sales</t>
    <rPh sb="0" eb="3">
      <t>ハンバイヒン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</si>
  <si>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</si>
  <si>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</si>
  <si>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</si>
  <si>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</si>
  <si>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</si>
  <si>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</si>
  <si>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r1.1</t>
    <phoneticPr fontId="1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</si>
  <si>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</si>
  <si>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</si>
  <si>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</si>
  <si>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</si>
  <si>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</si>
  <si>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</si>
  <si>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</si>
  <si>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</si>
  <si>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</si>
  <si>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</si>
  <si>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</si>
  <si>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</si>
  <si>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</si>
  <si>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</si>
  <si>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</si>
  <si>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</si>
  <si>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</si>
  <si>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</si>
  <si>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</si>
  <si>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7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</si>
  <si>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7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</si>
  <si>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</si>
  <si>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</si>
  <si>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</si>
  <si>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</si>
  <si>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</si>
  <si>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</si>
  <si>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</si>
  <si>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r1.2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</si>
  <si>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</si>
  <si>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「化学物質データ申請確認画面」シート</t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</si>
  <si>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</si>
  <si>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</si>
  <si>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</si>
  <si>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</si>
  <si>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</si>
  <si>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</si>
  <si>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</si>
  <si>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</si>
  <si>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</si>
  <si>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</si>
  <si>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</si>
  <si>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</si>
  <si>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</si>
  <si>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</si>
  <si>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</si>
  <si>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</si>
  <si>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</si>
  <si>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</si>
  <si>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</si>
  <si>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</si>
  <si>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</si>
  <si>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</si>
  <si>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</si>
  <si>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</si>
  <si>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</si>
  <si>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</si>
  <si>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</si>
  <si>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1"/>
  </si>
  <si>
    <t>code</t>
    <phoneticPr fontId="61"/>
  </si>
  <si>
    <t>newProductClass[lang]</t>
    <phoneticPr fontId="61"/>
  </si>
  <si>
    <t>discontinued</t>
    <phoneticPr fontId="61"/>
  </si>
  <si>
    <t>廃図フラグ</t>
    <phoneticPr fontId="61"/>
  </si>
  <si>
    <t>lastOrderDate</t>
    <phoneticPr fontId="61"/>
  </si>
  <si>
    <t>最終受注受付日</t>
    <phoneticPr fontId="61"/>
  </si>
  <si>
    <t>nrndPriorityFlag</t>
    <phoneticPr fontId="61"/>
  </si>
  <si>
    <t>新規設計非推奨（手動優先フラグ）</t>
    <phoneticPr fontId="61"/>
  </si>
  <si>
    <t>nrndManualFlag</t>
    <phoneticPr fontId="61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</si>
  <si>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1"/>
  </si>
  <si>
    <t>salesCondition</t>
    <phoneticPr fontId="61"/>
  </si>
  <si>
    <t>新規受注制限</t>
    <rPh sb="0" eb="2">
      <t>シンキ</t>
    </rPh>
    <rPh sb="2" eb="4">
      <t>ジュチュウ</t>
    </rPh>
    <rPh sb="4" eb="6">
      <t>セイゲン</t>
    </rPh>
    <phoneticPr fontId="61"/>
  </si>
  <si>
    <t>terminationPlanDocumentNo</t>
    <phoneticPr fontId="61"/>
  </si>
  <si>
    <t>変更通知No.</t>
    <rPh sb="0" eb="2">
      <t>ヘンコウ</t>
    </rPh>
    <rPh sb="2" eb="4">
      <t>ツウチ</t>
    </rPh>
    <phoneticPr fontId="61"/>
  </si>
  <si>
    <t>申請可能条件よりチェック</t>
    <rPh sb="0" eb="2">
      <t>シンセイ</t>
    </rPh>
    <rPh sb="2" eb="4">
      <t>カノウ</t>
    </rPh>
    <rPh sb="4" eb="6">
      <t>ジョウケン</t>
    </rPh>
    <phoneticPr fontId="61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</si>
  <si>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1"/>
  </si>
  <si>
    <t>申請可能チェック結果OK</t>
    <rPh sb="0" eb="2">
      <t>シンセイ</t>
    </rPh>
    <rPh sb="2" eb="4">
      <t>カノウ</t>
    </rPh>
    <rPh sb="8" eb="10">
      <t>ケッカ</t>
    </rPh>
    <phoneticPr fontId="61"/>
  </si>
  <si>
    <t>申請可能チェック結果NG</t>
    <rPh sb="0" eb="2">
      <t>シンセイ</t>
    </rPh>
    <rPh sb="2" eb="4">
      <t>カノウ</t>
    </rPh>
    <rPh sb="8" eb="10">
      <t>ケッカ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</si>
  <si>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</si>
  <si>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</si>
  <si>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</si>
  <si>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</si>
  <si>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</si>
  <si>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</si>
  <si>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</si>
  <si>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</si>
  <si>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</si>
  <si>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</si>
  <si>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</si>
  <si>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</si>
  <si>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</si>
  <si>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</si>
  <si>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左と同様※①</t>
    <rPh sb="0" eb="1">
      <t>ヒダリ</t>
    </rPh>
    <rPh sb="2" eb="4">
      <t>ドウヨウ</t>
    </rPh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</si>
  <si>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</si>
  <si>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</si>
  <si>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</si>
  <si>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</si>
  <si>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左と同様※②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</si>
  <si>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</si>
  <si>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</si>
  <si>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</si>
  <si>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</si>
  <si>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</si>
  <si>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左と同様※③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</si>
  <si>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</si>
  <si>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</si>
  <si>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</si>
  <si>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</si>
  <si>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左と同様※④</t>
    <rPh sb="0" eb="1">
      <t>ヒダリ</t>
    </rPh>
    <rPh sb="2" eb="4">
      <t>ドウヨウ</t>
    </rPh>
    <phoneticPr fontId="61"/>
  </si>
  <si>
    <t>⑤</t>
    <phoneticPr fontId="61"/>
  </si>
  <si>
    <t>左と同様※⑤</t>
    <rPh sb="0" eb="1">
      <t>ヒダリ</t>
    </rPh>
    <rPh sb="2" eb="4">
      <t>ドウヨウ</t>
    </rPh>
    <phoneticPr fontId="61"/>
  </si>
  <si>
    <t>※別シート「画面項目」を参照</t>
    <rPh sb="1" eb="2">
      <t>ベツ</t>
    </rPh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</si>
  <si>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</si>
  <si>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</si>
  <si>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</si>
  <si>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</si>
  <si>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</si>
  <si>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</si>
  <si>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</si>
  <si>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</si>
  <si>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</si>
  <si>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</si>
  <si>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</si>
  <si>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</si>
  <si>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</si>
  <si>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</si>
  <si>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HrsChemicalSubstance.appNo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</si>
  <si>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</si>
  <si>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</si>
  <si>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</si>
  <si>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</si>
  <si>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</si>
  <si>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</si>
  <si>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</si>
  <si>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</si>
  <si>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</si>
  <si>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</si>
  <si>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</si>
  <si>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</si>
  <si>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</si>
  <si>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</si>
  <si>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</si>
  <si>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</si>
  <si>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</si>
  <si>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</si>
  <si>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</si>
  <si>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</si>
  <si>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</si>
  <si>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申請製品情報マスタ 製品名</t>
    <rPh sb="0" eb="2">
      <t>シンセイ</t>
    </rPh>
    <rPh sb="2" eb="4">
      <t>セイヒン</t>
    </rPh>
    <rPh sb="4" eb="6">
      <t>ジョウホウ</t>
    </rPh>
    <rPh sb="10" eb="13">
      <t>セイヒンメイ</t>
    </rPh>
    <phoneticPr fontId="57"/>
  </si>
  <si>
    <t>申請製品情報マスタ CLコード</t>
    <rPh sb="0" eb="2">
      <t>シンセイ</t>
    </rPh>
    <rPh sb="2" eb="4">
      <t>セイヒン</t>
    </rPh>
    <rPh sb="4" eb="6">
      <t>ジョウホウ</t>
    </rPh>
    <phoneticPr fontId="57"/>
  </si>
  <si>
    <t>製品マスタ 新製品区分</t>
    <rPh sb="0" eb="2">
      <t>セイヒン</t>
    </rPh>
    <rPh sb="6" eb="11">
      <t>シンセイヒンクブン</t>
    </rPh>
    <phoneticPr fontId="57"/>
  </si>
  <si>
    <t>製品マスタ 製品販売状況</t>
    <rPh sb="0" eb="2">
      <t>セイヒン</t>
    </rPh>
    <rPh sb="6" eb="8">
      <t>セイヒン</t>
    </rPh>
    <rPh sb="8" eb="10">
      <t>ハンバイ</t>
    </rPh>
    <rPh sb="10" eb="12">
      <t>ジョウキョウ</t>
    </rPh>
    <phoneticPr fontId="57"/>
  </si>
  <si>
    <t>製品マスタ PCN No</t>
    <rPh sb="0" eb="2">
      <t>セイヒン</t>
    </rPh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</si>
  <si>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</si>
  <si>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</si>
  <si>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</si>
  <si>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</si>
  <si>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</si>
  <si>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</si>
  <si>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</si>
  <si>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</si>
  <si>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</si>
  <si>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</si>
  <si>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</si>
  <si>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</si>
  <si>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</si>
  <si>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</si>
  <si>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</si>
  <si>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</si>
  <si>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</si>
  <si>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</si>
  <si>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</si>
  <si>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</si>
  <si>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</si>
  <si>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オリジナル</t>
    <phoneticPr fontId="61"/>
  </si>
  <si>
    <t>生産終了予定品</t>
    <phoneticPr fontId="61"/>
  </si>
  <si>
    <t>2024-01</t>
    <phoneticPr fontId="61"/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</si>
  <si>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</si>
  <si>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</si>
  <si>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</si>
  <si>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</si>
  <si>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</si>
  <si>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</si>
  <si>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</si>
  <si>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オリジナル(特定社)</t>
    <phoneticPr fontId="61"/>
  </si>
  <si>
    <t>生産終了品</t>
    <phoneticPr fontId="61"/>
  </si>
  <si>
    <t>2023-12</t>
    <phoneticPr fontId="61"/>
  </si>
  <si>
    <t>Non-compliant</t>
  </si>
  <si>
    <t>Request</t>
  </si>
  <si>
    <t>NameC</t>
    <phoneticPr fontId="61"/>
  </si>
  <si>
    <t>CL0123-4567-8-92</t>
  </si>
  <si>
    <t>カスタム(他社販売可)</t>
    <phoneticPr fontId="61"/>
  </si>
  <si>
    <t>新規設計非推奨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</si>
  <si>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</si>
  <si>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</si>
  <si>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</si>
  <si>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</si>
  <si>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</si>
  <si>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</si>
  <si>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</si>
  <si>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</si>
  <si>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</si>
  <si>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</si>
  <si>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</si>
  <si>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</si>
  <si>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</si>
  <si>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</si>
  <si>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証明書申請テーブル</t>
    <rPh sb="0" eb="5">
      <t>ショウメイショシンセイ</t>
    </rPh>
    <phoneticPr fontId="61"/>
  </si>
  <si>
    <t>申請製品情報マスタ CLコード=入力リスト.製品名/CLコード　※1</t>
    <rPh sb="0" eb="2">
      <t>シンセイ</t>
    </rPh>
    <rPh sb="2" eb="4">
      <t>セイヒン</t>
    </rPh>
    <rPh sb="4" eb="6">
      <t>ジョウホウ</t>
    </rPh>
    <rPh sb="16" eb="18">
      <t>ニュウリョク</t>
    </rPh>
    <rPh sb="22" eb="25">
      <t>セイヒンメイ</t>
    </rPh>
    <phoneticPr fontId="61"/>
  </si>
  <si>
    <t>申請製品情報マスタ 製品名=入力リスト.製品名/CLコード　※2</t>
    <rPh sb="0" eb="2">
      <t>シンセイ</t>
    </rPh>
    <rPh sb="2" eb="4">
      <t>セイヒン</t>
    </rPh>
    <rPh sb="4" eb="6">
      <t>ジョウホウ</t>
    </rPh>
    <rPh sb="10" eb="13">
      <t>セイヒンメイ</t>
    </rPh>
    <rPh sb="14" eb="16">
      <t>ニュウリョク</t>
    </rPh>
    <rPh sb="20" eb="23">
      <t>セイヒンメイ</t>
    </rPh>
    <phoneticPr fontId="61"/>
  </si>
  <si>
    <t>製品マスタ</t>
    <rPh sb="0" eb="2">
      <t>セイヒン</t>
    </rPh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</si>
  <si>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</si>
  <si>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</si>
  <si>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</si>
  <si>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</si>
  <si>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</si>
  <si>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</si>
  <si>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</si>
  <si>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</si>
  <si>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</si>
  <si>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</si>
  <si>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</si>
  <si>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</si>
  <si>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</si>
  <si>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</si>
  <si>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</si>
  <si>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</si>
  <si>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</si>
  <si>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</si>
  <si>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</si>
  <si>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</si>
  <si>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</si>
  <si>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</si>
  <si>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画面.CLコード</t>
    <phoneticPr fontId="61"/>
  </si>
  <si>
    <t>画面項目の2.8毎に処理</t>
    <phoneticPr fontId="61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</si>
  <si>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1"/>
  </si>
  <si>
    <t>画面項目の2.12</t>
    <phoneticPr fontId="61"/>
  </si>
  <si>
    <t>環境証明書申請製品情報.製品名</t>
    <rPh sb="12" eb="15">
      <t>セイヒンメイ</t>
    </rPh>
    <phoneticPr fontId="61"/>
  </si>
  <si>
    <t>CLコードを基に再取得</t>
    <rPh sb="6" eb="7">
      <t>モト</t>
    </rPh>
    <rPh sb="8" eb="9">
      <t>サイ</t>
    </rPh>
    <rPh sb="9" eb="11">
      <t>シュトク</t>
    </rPh>
    <phoneticPr fontId="61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</si>
  <si>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1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</si>
  <si>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1"/>
  </si>
  <si>
    <t>製品マスター情報.変更通知No.</t>
    <rPh sb="9" eb="11">
      <t>ヘンコウ</t>
    </rPh>
    <rPh sb="11" eb="13">
      <t>ツウチ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</si>
  <si>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</si>
  <si>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</si>
  <si>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</si>
  <si>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</si>
  <si>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</si>
  <si>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</si>
  <si>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ユーザーコード</t>
    <phoneticPr fontId="61"/>
  </si>
  <si>
    <t>要求日</t>
    <rPh sb="0" eb="3">
      <t>ヨウキュウビ</t>
    </rPh>
    <phoneticPr fontId="61"/>
  </si>
  <si>
    <t>ステータス</t>
    <phoneticPr fontId="61"/>
  </si>
  <si>
    <t>ダウンロード有効期限</t>
    <rPh sb="6" eb="8">
      <t>ユウコウ</t>
    </rPh>
    <rPh sb="8" eb="10">
      <t>キゲン</t>
    </rPh>
    <phoneticPr fontId="61"/>
  </si>
  <si>
    <t>ファイルサイズ</t>
    <phoneticPr fontId="61"/>
  </si>
  <si>
    <t>フォルダカウント</t>
    <phoneticPr fontId="61"/>
  </si>
  <si>
    <t>ファイルカウント</t>
    <phoneticPr fontId="61"/>
  </si>
  <si>
    <t>証明書申請入力テーブル</t>
    <rPh sb="0" eb="5">
      <t>ショウメイショシンセイ</t>
    </rPh>
    <rPh sb="5" eb="7">
      <t>ニュウリョク</t>
    </rPh>
    <phoneticPr fontId="61"/>
  </si>
  <si>
    <t>申請書証明書種類</t>
    <rPh sb="0" eb="6">
      <t>シンセイショショウメイショ</t>
    </rPh>
    <rPh sb="6" eb="8">
      <t>シュルイ</t>
    </rPh>
    <phoneticPr fontId="61"/>
  </si>
  <si>
    <t>新製品区分</t>
    <rPh sb="0" eb="5">
      <t>シンセイヒンクブン</t>
    </rPh>
    <phoneticPr fontId="61"/>
  </si>
  <si>
    <t>製品販売状況</t>
    <rPh sb="0" eb="6">
      <t>セイヒンハンバイジョウキョウ</t>
    </rPh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</si>
  <si>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</si>
  <si>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</si>
  <si>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</si>
  <si>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</si>
  <si>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</si>
  <si>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</si>
  <si>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</si>
  <si>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</si>
  <si>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１－１－５．</t>
  </si>
  <si>
    <t>製品マスタ CLコード=１－１－２．で取得した「環境証明書申請製品情報」の「CLコード」</t>
    <rPh sb="0" eb="2">
      <t>セイヒン</t>
    </rPh>
    <rPh sb="19" eb="21">
      <t>シュトク</t>
    </rPh>
    <phoneticPr fontId="61"/>
  </si>
  <si>
    <t>■１－１－５－１．製品マスターテーブル抜粋（HrsProduct）</t>
    <rPh sb="9" eb="11">
      <t>セイヒン</t>
    </rPh>
    <rPh sb="19" eb="21">
      <t>バッスイ</t>
    </rPh>
    <phoneticPr fontId="61"/>
  </si>
  <si>
    <t>１－１－６．</t>
  </si>
  <si>
    <t>前提：１－１－５．で「製品マスター情報」のレコードを取得した場合に本処理を実施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1"/>
  </si>
  <si>
    <t>■１－１－６－１．申請可能条件</t>
  </si>
  <si>
    <t>・１－１－５．で取得した「製品マスター情報」の「新製品区分」[en]==Original[固定値]の場合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1"/>
  </si>
  <si>
    <t>・１－１－５．で取得した「製品マスター情報」の「新製品区分」[en]==Original[固定値]でない場合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</si>
  <si>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</si>
  <si>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</si>
  <si>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</si>
  <si>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</si>
  <si>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</si>
  <si>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</si>
  <si>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１－１－８．製品マスター情報を表示内容として設定</t>
    <rPh sb="15" eb="17">
      <t>ヒョウジ</t>
    </rPh>
    <rPh sb="17" eb="19">
      <t>ナイヨウ</t>
    </rPh>
    <phoneticPr fontId="61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</si>
  <si>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</si>
  <si>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※対応するデータ情報の取得について、「２－１－５．製品名/CLコードより製品マスター情報取得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</si>
  <si>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</si>
  <si>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</si>
  <si>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</si>
  <si>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</si>
  <si>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</si>
  <si>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</si>
  <si>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</si>
  <si>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３－１－２．</t>
    <phoneticPr fontId="61"/>
  </si>
  <si>
    <t>送信トリガー</t>
    <rPh sb="0" eb="2">
      <t>ソウシン</t>
    </rPh>
    <phoneticPr fontId="61"/>
  </si>
  <si>
    <t>申請確認ダイアログで「はい」ボタン押下時</t>
    <rPh sb="0" eb="4">
      <t>シンセイカクニン</t>
    </rPh>
    <rPh sb="17" eb="20">
      <t>オウカジ</t>
    </rPh>
    <phoneticPr fontId="61"/>
  </si>
  <si>
    <t>4－1－1．</t>
    <phoneticPr fontId="61"/>
  </si>
  <si>
    <t>①送信トリガー</t>
    <rPh sb="1" eb="3">
      <t>ソウシン</t>
    </rPh>
    <phoneticPr fontId="57"/>
  </si>
  <si>
    <t>②メールヘッダー定義</t>
    <rPh sb="8" eb="10">
      <t>テイギ</t>
    </rPh>
    <phoneticPr fontId="57"/>
  </si>
  <si>
    <t>設定内容</t>
    <rPh sb="0" eb="4">
      <t>セッテイナイヨウ</t>
    </rPh>
    <phoneticPr fontId="61"/>
  </si>
  <si>
    <t>From</t>
    <phoneticPr fontId="61"/>
  </si>
  <si>
    <t>To</t>
    <phoneticPr fontId="61"/>
  </si>
  <si>
    <t>GM_no-reply@hirose.com</t>
    <phoneticPr fontId="61"/>
  </si>
  <si>
    <t>user@mail.com</t>
    <phoneticPr fontId="61"/>
  </si>
  <si>
    <t>&lt;HRS:20XX-000XXX&gt; 化学物質データ申請完了</t>
    <rPh sb="18" eb="20">
      <t>カガク</t>
    </rPh>
    <rPh sb="20" eb="22">
      <t>ブッシツ</t>
    </rPh>
    <rPh sb="25" eb="27">
      <t>シンセイ</t>
    </rPh>
    <rPh sb="27" eb="29">
      <t>カンリョウ</t>
    </rPh>
    <phoneticPr fontId="61"/>
  </si>
  <si>
    <t>既存項目の「AIS」は本改修で削除</t>
    <rPh sb="0" eb="4">
      <t>キソンコウモク</t>
    </rPh>
    <rPh sb="11" eb="14">
      <t>ホンカイシュウ</t>
    </rPh>
    <rPh sb="15" eb="17">
      <t>サクジョ</t>
    </rPh>
    <phoneticPr fontId="5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</si>
</sst>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4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  <font>
      <sz val="11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9" fillId="0" borderId="0" xfId="186" applyFont="1" applyAlignment="1">
      <alignment horizontal="left" vertical="center"/>
    </xf>
    <xf numFmtId="0" fontId="120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21" fillId="0" borderId="0" xfId="186" applyFont="1">
      <alignment vertical="center"/>
    </xf>
    <xf numFmtId="0" fontId="101" fillId="0" borderId="7" xfId="186" applyFont="1" applyBorder="1">
      <alignment vertical="center"/>
    </xf>
    <xf numFmtId="0" fontId="101" fillId="0" borderId="8" xfId="186" applyFont="1" applyBorder="1">
      <alignment vertical="center"/>
    </xf>
    <xf numFmtId="0" fontId="101" fillId="0" borderId="14" xfId="186" applyFont="1" applyBorder="1">
      <alignment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5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101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5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4" fillId="0" borderId="3" xfId="0" applyNumberFormat="1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06" fillId="36" borderId="0" xfId="0" applyFont="1" applyFill="1" applyAlignment="1">
      <alignment horizontal="center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114" fillId="0" borderId="74" xfId="0" applyFont="1" applyBorder="1" applyAlignment="1">
      <alignment horizontal="center" vertical="center"/>
    </xf>
    <xf numFmtId="17" fontId="106" fillId="0" borderId="74" xfId="0" quotePrefix="1" applyNumberFormat="1" applyFont="1" applyBorder="1" applyAlignment="1">
      <alignment horizontal="left" vertical="center"/>
    </xf>
    <xf numFmtId="0" fontId="106" fillId="0" borderId="74" xfId="0" applyFont="1" applyBorder="1" applyAlignment="1">
      <alignment horizontal="left" vertical="center"/>
    </xf>
    <xf numFmtId="0" fontId="104" fillId="14" borderId="73" xfId="0" applyFont="1" applyFill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6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4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22" fillId="0" borderId="3" xfId="48" applyFont="1" applyBorder="1" applyAlignment="1">
      <alignment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6" fillId="36" borderId="75" xfId="0" applyFont="1" applyFill="1" applyBorder="1" applyAlignment="1">
      <alignment horizontal="left" vertical="center" wrapText="1"/>
    </xf>
    <xf numFmtId="0" fontId="116" fillId="36" borderId="77" xfId="0" applyFont="1" applyFill="1" applyBorder="1" applyAlignment="1">
      <alignment horizontal="left" vertical="center" wrapText="1"/>
    </xf>
    <xf numFmtId="0" fontId="116" fillId="19" borderId="75" xfId="161" applyFont="1" applyFill="1" applyBorder="1" applyAlignment="1">
      <alignment horizontal="left" vertical="center" wrapText="1"/>
    </xf>
    <xf numFmtId="0" fontId="113" fillId="19" borderId="75" xfId="161" applyFont="1" applyFill="1" applyBorder="1" applyAlignment="1">
      <alignment horizontal="left" vertical="center"/>
    </xf>
    <xf numFmtId="0" fontId="113" fillId="19" borderId="77" xfId="161" applyFont="1" applyFill="1" applyBorder="1" applyAlignment="1">
      <alignment horizontal="left" vertical="center"/>
    </xf>
    <xf numFmtId="0" fontId="113" fillId="36" borderId="75" xfId="0" applyFont="1" applyFill="1" applyBorder="1" applyAlignment="1">
      <alignment horizontal="left" vertical="center" wrapText="1"/>
    </xf>
    <xf numFmtId="0" fontId="113" fillId="36" borderId="77" xfId="0" applyFont="1" applyFill="1" applyBorder="1" applyAlignment="1">
      <alignment horizontal="left" vertical="center" wrapText="1"/>
    </xf>
    <xf numFmtId="0" fontId="97" fillId="36" borderId="75" xfId="161" applyFont="1" applyFill="1" applyBorder="1" applyAlignment="1">
      <alignment horizontal="center" vertical="center"/>
    </xf>
    <xf numFmtId="0" fontId="97" fillId="36" borderId="77" xfId="161" applyFont="1" applyFill="1" applyBorder="1" applyAlignment="1">
      <alignment horizontal="center" vertical="center"/>
    </xf>
    <xf numFmtId="0" fontId="118" fillId="14" borderId="72" xfId="0" applyFont="1" applyFill="1" applyBorder="1" applyAlignment="1">
      <alignment horizontal="center" vertical="center" wrapText="1"/>
    </xf>
    <xf numFmtId="0" fontId="118" fillId="14" borderId="72" xfId="0" applyFont="1" applyFill="1" applyBorder="1" applyAlignment="1">
      <alignment horizontal="center" vertical="center"/>
    </xf>
    <xf numFmtId="0" fontId="118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104" fillId="36" borderId="73" xfId="161" applyFont="1" applyFill="1" applyBorder="1" applyAlignment="1">
      <alignment horizontal="left" vertical="center" wrapText="1"/>
    </xf>
    <xf numFmtId="0" fontId="104" fillId="36" borderId="73" xfId="161" applyFont="1" applyFill="1" applyBorder="1" applyAlignment="1">
      <alignment horizontal="left" vertical="center"/>
    </xf>
    <xf numFmtId="0" fontId="113" fillId="19" borderId="75" xfId="161" applyFont="1" applyFill="1" applyBorder="1" applyAlignment="1">
      <alignment horizontal="left" vertical="center" wrapText="1"/>
    </xf>
    <xf numFmtId="0" fontId="113" fillId="19" borderId="77" xfId="161" applyFont="1" applyFill="1" applyBorder="1" applyAlignment="1">
      <alignment horizontal="left" vertical="center" wrapText="1"/>
    </xf>
    <xf numFmtId="0" fontId="106" fillId="0" borderId="74" xfId="0" applyFont="1" applyBorder="1" applyAlignment="1">
      <alignment horizontal="left" vertical="center" wrapText="1"/>
    </xf>
    <xf numFmtId="0" fontId="115" fillId="0" borderId="74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185" fontId="104" fillId="14" borderId="12" xfId="161" quotePrefix="1" applyNumberFormat="1" applyFont="1" applyFill="1" applyBorder="1" applyAlignment="1">
      <alignment horizontal="right" vertical="center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5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58" xfId="184" applyFont="1" applyBorder="1" applyAlignment="1">
      <alignment horizontal="center" vertical="center" wrapText="1"/>
    </xf>
    <xf numFmtId="0" fontId="97" fillId="0" borderId="2" xfId="184" applyFont="1" applyBorder="1" applyAlignment="1">
      <alignment horizontal="center" vertical="center" wrapText="1"/>
    </xf>
    <xf numFmtId="0" fontId="97" fillId="0" borderId="54" xfId="184" applyFont="1" applyBorder="1" applyAlignment="1">
      <alignment horizontal="center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54" xfId="45" applyFont="1" applyBorder="1" applyAlignment="1">
      <alignment horizontal="left" vertical="center" wrapText="1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01" fillId="0" borderId="10" xfId="186" applyFont="1" applyBorder="1" applyAlignment="1">
      <alignment horizontal="center" vertical="center"/>
    </xf>
    <xf numFmtId="0" fontId="101" fillId="0" borderId="2" xfId="186" applyFont="1" applyBorder="1" applyAlignment="1">
      <alignment horizontal="center" vertical="center"/>
    </xf>
    <xf numFmtId="0" fontId="101" fillId="0" borderId="3" xfId="186" applyFont="1" applyBorder="1" applyAlignment="1">
      <alignment horizontal="center" vertical="center"/>
    </xf>
    <xf numFmtId="0" fontId="101" fillId="0" borderId="15" xfId="186" applyFont="1" applyBorder="1" applyAlignment="1">
      <alignment horizontal="center" vertical="center"/>
    </xf>
    <xf numFmtId="0" fontId="101" fillId="0" borderId="12" xfId="186" applyFont="1" applyBorder="1" applyAlignment="1">
      <alignment horizontal="center" vertical="center"/>
    </xf>
    <xf numFmtId="0" fontId="101" fillId="0" borderId="13" xfId="186" applyFont="1" applyBorder="1" applyAlignment="1">
      <alignment horizontal="center" vertical="center"/>
    </xf>
    <xf numFmtId="0" fontId="101" fillId="0" borderId="6" xfId="186" applyFont="1" applyBorder="1" applyAlignment="1">
      <alignment horizontal="center" vertical="center"/>
    </xf>
    <xf numFmtId="0" fontId="101" fillId="0" borderId="0" xfId="186" applyFont="1" applyAlignment="1">
      <alignment horizontal="center" vertical="center"/>
    </xf>
    <xf numFmtId="0" fontId="101" fillId="0" borderId="11" xfId="186" applyFont="1" applyBorder="1" applyAlignment="1">
      <alignment horizontal="center" vertical="center"/>
    </xf>
    <xf numFmtId="0" fontId="101" fillId="0" borderId="7" xfId="186" applyFont="1" applyBorder="1" applyAlignment="1">
      <alignment horizontal="center" vertical="center"/>
    </xf>
    <xf numFmtId="0" fontId="101" fillId="0" borderId="8" xfId="186" applyFont="1" applyBorder="1" applyAlignment="1">
      <alignment horizontal="center" vertical="center"/>
    </xf>
    <xf numFmtId="0" fontId="101" fillId="0" borderId="14" xfId="186" applyFont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 wrapText="1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0" borderId="6" xfId="186" applyFont="1" applyBorder="1" applyAlignment="1">
      <alignment horizontal="left" vertical="center"/>
    </xf>
    <xf numFmtId="0" fontId="101" fillId="0" borderId="0" xfId="186" applyFont="1" applyAlignment="1">
      <alignment horizontal="left" vertical="center"/>
    </xf>
    <xf numFmtId="0" fontId="101" fillId="0" borderId="11" xfId="186" applyFont="1" applyBorder="1" applyAlignment="1">
      <alignment horizontal="left" vertical="center"/>
    </xf>
    <xf numFmtId="0" fontId="101" fillId="0" borderId="7" xfId="186" applyFont="1" applyBorder="1" applyAlignment="1">
      <alignment horizontal="left" vertical="center"/>
    </xf>
    <xf numFmtId="0" fontId="101" fillId="0" borderId="8" xfId="186" applyFont="1" applyBorder="1" applyAlignment="1">
      <alignment horizontal="left" vertical="center"/>
    </xf>
    <xf numFmtId="0" fontId="101" fillId="0" borderId="14" xfId="186" applyFont="1" applyBorder="1" applyAlignment="1">
      <alignment horizontal="left" vertical="center"/>
    </xf>
    <xf numFmtId="0" fontId="101" fillId="35" borderId="10" xfId="186" applyFont="1" applyFill="1" applyBorder="1" applyAlignment="1">
      <alignment horizontal="center" vertical="center"/>
    </xf>
    <xf numFmtId="0" fontId="101" fillId="35" borderId="2" xfId="186" applyFont="1" applyFill="1" applyBorder="1" applyAlignment="1">
      <alignment horizontal="center" vertical="center"/>
    </xf>
    <xf numFmtId="0" fontId="101" fillId="35" borderId="3" xfId="186" applyFont="1" applyFill="1" applyBorder="1" applyAlignment="1">
      <alignment horizontal="center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7" applyFont="1" applyBorder="1" applyAlignment="1">
      <alignment horizontal="left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3" xfId="186" applyFont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center" vertical="center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1" fillId="37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38" borderId="3" xfId="186" applyFont="1" applyFill="1" applyBorder="1" applyAlignment="1">
      <alignment horizontal="left" vertical="center" wrapText="1"/>
    </xf>
    <xf numFmtId="0" fontId="101" fillId="38" borderId="85" xfId="186" applyFont="1" applyFill="1" applyBorder="1" applyAlignment="1">
      <alignment horizontal="center" vertical="center"/>
    </xf>
    <xf numFmtId="0" fontId="101" fillId="38" borderId="65" xfId="186" applyFont="1" applyFill="1" applyBorder="1" applyAlignment="1">
      <alignment horizontal="center" vertical="center"/>
    </xf>
    <xf numFmtId="0" fontId="101" fillId="0" borderId="10" xfId="186" applyFont="1" applyBorder="1" applyAlignment="1">
      <alignment horizontal="left" vertical="center" shrinkToFit="1"/>
    </xf>
    <xf numFmtId="0" fontId="101" fillId="0" borderId="2" xfId="186" applyFont="1" applyBorder="1" applyAlignment="1">
      <alignment horizontal="left" vertical="center" shrinkToFit="1"/>
    </xf>
    <xf numFmtId="0" fontId="101" fillId="0" borderId="17" xfId="186" applyFont="1" applyBorder="1" applyAlignment="1">
      <alignment horizontal="left" vertical="center" shrinkToFi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10" fillId="33" borderId="23" xfId="186" applyFont="1" applyFill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14" borderId="10" xfId="186" applyFont="1" applyFill="1" applyBorder="1" applyAlignment="1">
      <alignment horizontal="left" vertical="center"/>
    </xf>
    <xf numFmtId="0" fontId="101" fillId="14" borderId="2" xfId="186" applyFont="1" applyFill="1" applyBorder="1" applyAlignment="1">
      <alignment horizontal="left" vertical="center"/>
    </xf>
    <xf numFmtId="0" fontId="101" fillId="14" borderId="17" xfId="186" applyFont="1" applyFill="1" applyBorder="1" applyAlignment="1">
      <alignment horizontal="left"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34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left" vertical="center" wrapText="1"/>
    </xf>
    <xf numFmtId="0" fontId="100" fillId="34" borderId="3" xfId="188" applyFont="1" applyFill="1" applyBorder="1">
      <alignment vertical="center"/>
    </xf>
    <xf numFmtId="0" fontId="97" fillId="34" borderId="3" xfId="188" applyFont="1" applyFill="1" applyBorder="1" applyAlignment="1">
      <alignment horizontal="left" vertical="center"/>
    </xf>
    <xf numFmtId="0" fontId="97" fillId="0" borderId="3" xfId="188" applyFont="1" applyBorder="1" applyAlignment="1">
      <alignment horizontal="center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103" fillId="33" borderId="2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1" fillId="0" borderId="3" xfId="188" applyFont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0" fontId="122" fillId="0" borderId="3" xfId="188" applyFont="1" applyBorder="1" applyAlignment="1">
      <alignment horizontal="center" vertical="center"/>
    </xf>
    <xf numFmtId="0" fontId="101" fillId="0" borderId="10" xfId="188" applyFont="1" applyBorder="1" applyAlignment="1">
      <alignment horizontal="center" vertical="center"/>
    </xf>
    <xf numFmtId="0" fontId="101" fillId="0" borderId="2" xfId="188" applyFont="1" applyBorder="1" applyAlignment="1">
      <alignment horizontal="center" vertical="center"/>
    </xf>
    <xf numFmtId="0" fontId="101" fillId="0" borderId="17" xfId="188" applyFont="1" applyBorder="1" applyAlignment="1">
      <alignment horizontal="center" vertical="center"/>
    </xf>
    <xf numFmtId="17" fontId="101" fillId="0" borderId="3" xfId="188" quotePrefix="1" applyNumberFormat="1" applyFont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 shrinkToFit="1"/>
    </xf>
    <xf numFmtId="0" fontId="122" fillId="35" borderId="3" xfId="188" applyFont="1" applyFill="1" applyBorder="1" applyAlignment="1">
      <alignment horizontal="center" vertical="center" shrinkToFit="1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185" fontId="62" fillId="0" borderId="0" xfId="161" quotePrefix="1" applyNumberFormat="1" applyFont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5" fontId="62" fillId="0" borderId="31" xfId="161" quotePrefix="1" applyNumberFormat="1" applyFont="1" applyBorder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182" fontId="62" fillId="0" borderId="28" xfId="161" quotePrefix="1" applyNumberFormat="1" applyFont="1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9</xdr:row>
      <xdr:rowOff>95250</xdr:rowOff>
    </xdr:from>
    <xdr:to>
      <xdr:col>11</xdr:col>
      <xdr:colOff>1</xdr:colOff>
      <xdr:row>11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123825</xdr:colOff>
      <xdr:row>23</xdr:row>
      <xdr:rowOff>28575</xdr:rowOff>
    </xdr:from>
    <xdr:to>
      <xdr:col>47</xdr:col>
      <xdr:colOff>154967</xdr:colOff>
      <xdr:row>25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58</xdr:row>
      <xdr:rowOff>0</xdr:rowOff>
    </xdr:from>
    <xdr:to>
      <xdr:col>42</xdr:col>
      <xdr:colOff>9525</xdr:colOff>
      <xdr:row>61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34</xdr:row>
      <xdr:rowOff>0</xdr:rowOff>
    </xdr:from>
    <xdr:to>
      <xdr:col>6</xdr:col>
      <xdr:colOff>1395</xdr:colOff>
      <xdr:row>61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34</xdr:row>
      <xdr:rowOff>0</xdr:rowOff>
    </xdr:from>
    <xdr:to>
      <xdr:col>8</xdr:col>
      <xdr:colOff>161924</xdr:colOff>
      <xdr:row>61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161925</xdr:colOff>
      <xdr:row>61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161925</xdr:colOff>
      <xdr:row>61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33</xdr:row>
      <xdr:rowOff>133350</xdr:rowOff>
    </xdr:from>
    <xdr:to>
      <xdr:col>17</xdr:col>
      <xdr:colOff>158750</xdr:colOff>
      <xdr:row>61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34</xdr:row>
      <xdr:rowOff>0</xdr:rowOff>
    </xdr:from>
    <xdr:to>
      <xdr:col>20</xdr:col>
      <xdr:colOff>161925</xdr:colOff>
      <xdr:row>61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76199</xdr:colOff>
      <xdr:row>27</xdr:row>
      <xdr:rowOff>76200</xdr:rowOff>
    </xdr:from>
    <xdr:to>
      <xdr:col>42</xdr:col>
      <xdr:colOff>133350</xdr:colOff>
      <xdr:row>29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10</xdr:row>
      <xdr:rowOff>139700</xdr:rowOff>
    </xdr:from>
    <xdr:to>
      <xdr:col>21</xdr:col>
      <xdr:colOff>101601</xdr:colOff>
      <xdr:row>12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26</xdr:row>
      <xdr:rowOff>47625</xdr:rowOff>
    </xdr:from>
    <xdr:to>
      <xdr:col>3</xdr:col>
      <xdr:colOff>142875</xdr:colOff>
      <xdr:row>27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30</xdr:row>
      <xdr:rowOff>38100</xdr:rowOff>
    </xdr:from>
    <xdr:to>
      <xdr:col>3</xdr:col>
      <xdr:colOff>142875</xdr:colOff>
      <xdr:row>31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26</xdr:row>
      <xdr:rowOff>76200</xdr:rowOff>
    </xdr:from>
    <xdr:to>
      <xdr:col>37</xdr:col>
      <xdr:colOff>133350</xdr:colOff>
      <xdr:row>28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32</xdr:row>
      <xdr:rowOff>38100</xdr:rowOff>
    </xdr:from>
    <xdr:to>
      <xdr:col>5</xdr:col>
      <xdr:colOff>123825</xdr:colOff>
      <xdr:row>33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32</xdr:row>
      <xdr:rowOff>38100</xdr:rowOff>
    </xdr:from>
    <xdr:to>
      <xdr:col>8</xdr:col>
      <xdr:colOff>66675</xdr:colOff>
      <xdr:row>33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32</xdr:row>
      <xdr:rowOff>28575</xdr:rowOff>
    </xdr:from>
    <xdr:to>
      <xdr:col>11</xdr:col>
      <xdr:colOff>66675</xdr:colOff>
      <xdr:row>33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32</xdr:row>
      <xdr:rowOff>28575</xdr:rowOff>
    </xdr:from>
    <xdr:to>
      <xdr:col>14</xdr:col>
      <xdr:colOff>66675</xdr:colOff>
      <xdr:row>33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32</xdr:row>
      <xdr:rowOff>25400</xdr:rowOff>
    </xdr:from>
    <xdr:to>
      <xdr:col>17</xdr:col>
      <xdr:colOff>114300</xdr:colOff>
      <xdr:row>33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32</xdr:row>
      <xdr:rowOff>38100</xdr:rowOff>
    </xdr:from>
    <xdr:to>
      <xdr:col>20</xdr:col>
      <xdr:colOff>177800</xdr:colOff>
      <xdr:row>33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32</xdr:row>
      <xdr:rowOff>0</xdr:rowOff>
    </xdr:from>
    <xdr:to>
      <xdr:col>27</xdr:col>
      <xdr:colOff>111126</xdr:colOff>
      <xdr:row>33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40</xdr:row>
      <xdr:rowOff>0</xdr:rowOff>
    </xdr:from>
    <xdr:to>
      <xdr:col>44</xdr:col>
      <xdr:colOff>111126</xdr:colOff>
      <xdr:row>41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62</xdr:row>
      <xdr:rowOff>85725</xdr:rowOff>
    </xdr:from>
    <xdr:to>
      <xdr:col>32</xdr:col>
      <xdr:colOff>222</xdr:colOff>
      <xdr:row>65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62</xdr:row>
      <xdr:rowOff>101600</xdr:rowOff>
    </xdr:from>
    <xdr:to>
      <xdr:col>21</xdr:col>
      <xdr:colOff>27124</xdr:colOff>
      <xdr:row>65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62</xdr:row>
      <xdr:rowOff>9525</xdr:rowOff>
    </xdr:from>
    <xdr:to>
      <xdr:col>14</xdr:col>
      <xdr:colOff>111126</xdr:colOff>
      <xdr:row>63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62</xdr:row>
      <xdr:rowOff>0</xdr:rowOff>
    </xdr:from>
    <xdr:to>
      <xdr:col>25</xdr:col>
      <xdr:colOff>111126</xdr:colOff>
      <xdr:row>63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78</xdr:row>
      <xdr:rowOff>28576</xdr:rowOff>
    </xdr:from>
    <xdr:to>
      <xdr:col>10</xdr:col>
      <xdr:colOff>76201</xdr:colOff>
      <xdr:row>80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78</xdr:row>
      <xdr:rowOff>25400</xdr:rowOff>
    </xdr:from>
    <xdr:to>
      <xdr:col>15</xdr:col>
      <xdr:colOff>171450</xdr:colOff>
      <xdr:row>80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70</xdr:row>
      <xdr:rowOff>76201</xdr:rowOff>
    </xdr:from>
    <xdr:to>
      <xdr:col>16</xdr:col>
      <xdr:colOff>130176</xdr:colOff>
      <xdr:row>71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80</xdr:row>
      <xdr:rowOff>66675</xdr:rowOff>
    </xdr:from>
    <xdr:to>
      <xdr:col>6</xdr:col>
      <xdr:colOff>130176</xdr:colOff>
      <xdr:row>81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80</xdr:row>
      <xdr:rowOff>76200</xdr:rowOff>
    </xdr:from>
    <xdr:to>
      <xdr:col>13</xdr:col>
      <xdr:colOff>34926</xdr:colOff>
      <xdr:row>82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69</xdr:row>
      <xdr:rowOff>34925</xdr:rowOff>
    </xdr:from>
    <xdr:to>
      <xdr:col>21</xdr:col>
      <xdr:colOff>95251</xdr:colOff>
      <xdr:row>70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22</xdr:row>
      <xdr:rowOff>114300</xdr:rowOff>
    </xdr:from>
    <xdr:to>
      <xdr:col>3</xdr:col>
      <xdr:colOff>120651</xdr:colOff>
      <xdr:row>24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37</xdr:row>
      <xdr:rowOff>0</xdr:rowOff>
    </xdr:from>
    <xdr:to>
      <xdr:col>42</xdr:col>
      <xdr:colOff>0</xdr:colOff>
      <xdr:row>40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43</xdr:col>
      <xdr:colOff>0</xdr:colOff>
      <xdr:row>60</xdr:row>
      <xdr:rowOff>0</xdr:rowOff>
    </xdr:from>
    <xdr:to>
      <xdr:col>51</xdr:col>
      <xdr:colOff>48932</xdr:colOff>
      <xdr:row>63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15</xdr:row>
      <xdr:rowOff>46878</xdr:rowOff>
    </xdr:from>
    <xdr:to>
      <xdr:col>34</xdr:col>
      <xdr:colOff>30070</xdr:colOff>
      <xdr:row>16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460751" y="6337300"/>
          <a:ext cx="3473450" cy="48670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50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１－１－３．製品名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272</xdr:row>
      <xdr:rowOff>83872</xdr:rowOff>
    </xdr:from>
    <xdr:to>
      <xdr:col>35</xdr:col>
      <xdr:colOff>161925</xdr:colOff>
      <xdr:row>275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273</xdr:row>
      <xdr:rowOff>95851</xdr:rowOff>
    </xdr:from>
    <xdr:to>
      <xdr:col>23</xdr:col>
      <xdr:colOff>95509</xdr:colOff>
      <xdr:row>277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264</xdr:row>
      <xdr:rowOff>26220</xdr:rowOff>
    </xdr:from>
    <xdr:to>
      <xdr:col>15</xdr:col>
      <xdr:colOff>157293</xdr:colOff>
      <xdr:row>269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277</xdr:row>
      <xdr:rowOff>43802</xdr:rowOff>
    </xdr:from>
    <xdr:to>
      <xdr:col>15</xdr:col>
      <xdr:colOff>166818</xdr:colOff>
      <xdr:row>281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262</xdr:row>
      <xdr:rowOff>115707</xdr:rowOff>
    </xdr:from>
    <xdr:to>
      <xdr:col>23</xdr:col>
      <xdr:colOff>85822</xdr:colOff>
      <xdr:row>264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286</xdr:row>
      <xdr:rowOff>44503</xdr:rowOff>
    </xdr:from>
    <xdr:to>
      <xdr:col>15</xdr:col>
      <xdr:colOff>77307</xdr:colOff>
      <xdr:row>287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254</xdr:row>
      <xdr:rowOff>74245</xdr:rowOff>
    </xdr:from>
    <xdr:to>
      <xdr:col>23</xdr:col>
      <xdr:colOff>66772</xdr:colOff>
      <xdr:row>255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255</xdr:row>
      <xdr:rowOff>173017</xdr:rowOff>
    </xdr:from>
    <xdr:to>
      <xdr:col>15</xdr:col>
      <xdr:colOff>142875</xdr:colOff>
      <xdr:row>257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260</xdr:row>
      <xdr:rowOff>123826</xdr:rowOff>
    </xdr:from>
    <xdr:to>
      <xdr:col>15</xdr:col>
      <xdr:colOff>200024</xdr:colOff>
      <xdr:row>283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252</xdr:row>
      <xdr:rowOff>0</xdr:rowOff>
    </xdr:from>
    <xdr:to>
      <xdr:col>16</xdr:col>
      <xdr:colOff>13037</xdr:colOff>
      <xdr:row>252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252</xdr:row>
      <xdr:rowOff>176687</xdr:rowOff>
    </xdr:from>
    <xdr:to>
      <xdr:col>15</xdr:col>
      <xdr:colOff>138574</xdr:colOff>
      <xdr:row>254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298</xdr:row>
      <xdr:rowOff>38100</xdr:rowOff>
    </xdr:from>
    <xdr:to>
      <xdr:col>16</xdr:col>
      <xdr:colOff>105016</xdr:colOff>
      <xdr:row>299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56751071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257</xdr:row>
      <xdr:rowOff>104774</xdr:rowOff>
    </xdr:from>
    <xdr:to>
      <xdr:col>19</xdr:col>
      <xdr:colOff>142875</xdr:colOff>
      <xdr:row>259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259</xdr:row>
      <xdr:rowOff>104775</xdr:rowOff>
    </xdr:from>
    <xdr:to>
      <xdr:col>15</xdr:col>
      <xdr:colOff>157293</xdr:colOff>
      <xdr:row>262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270</xdr:row>
      <xdr:rowOff>111945</xdr:rowOff>
    </xdr:from>
    <xdr:to>
      <xdr:col>15</xdr:col>
      <xdr:colOff>166818</xdr:colOff>
      <xdr:row>273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275</xdr:row>
      <xdr:rowOff>69827</xdr:rowOff>
    </xdr:from>
    <xdr:to>
      <xdr:col>28</xdr:col>
      <xdr:colOff>129001</xdr:colOff>
      <xdr:row>298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270</xdr:row>
      <xdr:rowOff>137083</xdr:rowOff>
    </xdr:from>
    <xdr:to>
      <xdr:col>31</xdr:col>
      <xdr:colOff>41918</xdr:colOff>
      <xdr:row>272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266</xdr:row>
      <xdr:rowOff>133350</xdr:rowOff>
    </xdr:from>
    <xdr:to>
      <xdr:col>25</xdr:col>
      <xdr:colOff>95250</xdr:colOff>
      <xdr:row>278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269</xdr:row>
      <xdr:rowOff>1407</xdr:rowOff>
    </xdr:from>
    <xdr:to>
      <xdr:col>23</xdr:col>
      <xdr:colOff>85822</xdr:colOff>
      <xdr:row>270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285</xdr:row>
      <xdr:rowOff>81902</xdr:rowOff>
    </xdr:from>
    <xdr:to>
      <xdr:col>15</xdr:col>
      <xdr:colOff>180975</xdr:colOff>
      <xdr:row>288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288</xdr:row>
      <xdr:rowOff>47624</xdr:rowOff>
    </xdr:from>
    <xdr:to>
      <xdr:col>19</xdr:col>
      <xdr:colOff>180975</xdr:colOff>
      <xdr:row>290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290</xdr:row>
      <xdr:rowOff>47625</xdr:rowOff>
    </xdr:from>
    <xdr:to>
      <xdr:col>15</xdr:col>
      <xdr:colOff>190501</xdr:colOff>
      <xdr:row>293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281</xdr:row>
      <xdr:rowOff>142875</xdr:rowOff>
    </xdr:from>
    <xdr:to>
      <xdr:col>23</xdr:col>
      <xdr:colOff>95509</xdr:colOff>
      <xdr:row>285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273</xdr:row>
      <xdr:rowOff>177853</xdr:rowOff>
    </xdr:from>
    <xdr:to>
      <xdr:col>28</xdr:col>
      <xdr:colOff>10632</xdr:colOff>
      <xdr:row>275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271</xdr:row>
      <xdr:rowOff>85725</xdr:rowOff>
    </xdr:from>
    <xdr:to>
      <xdr:col>7</xdr:col>
      <xdr:colOff>50877</xdr:colOff>
      <xdr:row>272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298</xdr:row>
      <xdr:rowOff>0</xdr:rowOff>
    </xdr:from>
    <xdr:to>
      <xdr:col>29</xdr:col>
      <xdr:colOff>44691</xdr:colOff>
      <xdr:row>299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56712971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296</xdr:row>
      <xdr:rowOff>9525</xdr:rowOff>
    </xdr:from>
    <xdr:to>
      <xdr:col>37</xdr:col>
      <xdr:colOff>161926</xdr:colOff>
      <xdr:row>299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293</xdr:row>
      <xdr:rowOff>0</xdr:rowOff>
    </xdr:from>
    <xdr:to>
      <xdr:col>10</xdr:col>
      <xdr:colOff>95250</xdr:colOff>
      <xdr:row>295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293</xdr:row>
      <xdr:rowOff>9525</xdr:rowOff>
    </xdr:from>
    <xdr:to>
      <xdr:col>18</xdr:col>
      <xdr:colOff>152401</xdr:colOff>
      <xdr:row>295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292</xdr:row>
      <xdr:rowOff>152401</xdr:rowOff>
    </xdr:from>
    <xdr:to>
      <xdr:col>26</xdr:col>
      <xdr:colOff>123825</xdr:colOff>
      <xdr:row>295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290</xdr:row>
      <xdr:rowOff>47626</xdr:rowOff>
    </xdr:from>
    <xdr:to>
      <xdr:col>15</xdr:col>
      <xdr:colOff>180975</xdr:colOff>
      <xdr:row>293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290</xdr:row>
      <xdr:rowOff>47625</xdr:rowOff>
    </xdr:from>
    <xdr:to>
      <xdr:col>23</xdr:col>
      <xdr:colOff>52469</xdr:colOff>
      <xdr:row>292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295</xdr:row>
      <xdr:rowOff>125231</xdr:rowOff>
    </xdr:from>
    <xdr:to>
      <xdr:col>15</xdr:col>
      <xdr:colOff>195676</xdr:colOff>
      <xdr:row>298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295</xdr:row>
      <xdr:rowOff>131927</xdr:rowOff>
    </xdr:from>
    <xdr:to>
      <xdr:col>15</xdr:col>
      <xdr:colOff>195677</xdr:colOff>
      <xdr:row>298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295</xdr:row>
      <xdr:rowOff>114299</xdr:rowOff>
    </xdr:from>
    <xdr:to>
      <xdr:col>23</xdr:col>
      <xdr:colOff>52471</xdr:colOff>
      <xdr:row>298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216</xdr:row>
      <xdr:rowOff>9526</xdr:rowOff>
    </xdr:from>
    <xdr:to>
      <xdr:col>34</xdr:col>
      <xdr:colOff>193862</xdr:colOff>
      <xdr:row>239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証明書申請製品情報マスタ</a:t>
          </a:r>
        </a:p>
      </xdr:txBody>
    </xdr:sp>
    <xdr:clientData/>
  </xdr:twoCellAnchor>
  <xdr:twoCellAnchor>
    <xdr:from>
      <xdr:col>15</xdr:col>
      <xdr:colOff>165605</xdr:colOff>
      <xdr:row>223</xdr:row>
      <xdr:rowOff>68912</xdr:rowOff>
    </xdr:from>
    <xdr:to>
      <xdr:col>23</xdr:col>
      <xdr:colOff>96152</xdr:colOff>
      <xdr:row>224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227</xdr:row>
      <xdr:rowOff>70812</xdr:rowOff>
    </xdr:from>
    <xdr:to>
      <xdr:col>29</xdr:col>
      <xdr:colOff>65666</xdr:colOff>
      <xdr:row>227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232</xdr:row>
      <xdr:rowOff>58973</xdr:rowOff>
    </xdr:from>
    <xdr:to>
      <xdr:col>33</xdr:col>
      <xdr:colOff>36972</xdr:colOff>
      <xdr:row>235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229</xdr:row>
      <xdr:rowOff>4</xdr:rowOff>
    </xdr:from>
    <xdr:to>
      <xdr:col>29</xdr:col>
      <xdr:colOff>67382</xdr:colOff>
      <xdr:row>232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227</xdr:row>
      <xdr:rowOff>70811</xdr:rowOff>
    </xdr:from>
    <xdr:to>
      <xdr:col>32</xdr:col>
      <xdr:colOff>25767</xdr:colOff>
      <xdr:row>229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232</xdr:row>
      <xdr:rowOff>70180</xdr:rowOff>
    </xdr:from>
    <xdr:to>
      <xdr:col>23</xdr:col>
      <xdr:colOff>126624</xdr:colOff>
      <xdr:row>235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229</xdr:row>
      <xdr:rowOff>22416</xdr:rowOff>
    </xdr:from>
    <xdr:to>
      <xdr:col>19</xdr:col>
      <xdr:colOff>177731</xdr:colOff>
      <xdr:row>232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227</xdr:row>
      <xdr:rowOff>93223</xdr:rowOff>
    </xdr:from>
    <xdr:to>
      <xdr:col>22</xdr:col>
      <xdr:colOff>137831</xdr:colOff>
      <xdr:row>229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232</xdr:row>
      <xdr:rowOff>92589</xdr:rowOff>
    </xdr:from>
    <xdr:to>
      <xdr:col>14</xdr:col>
      <xdr:colOff>59392</xdr:colOff>
      <xdr:row>235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229</xdr:row>
      <xdr:rowOff>33622</xdr:rowOff>
    </xdr:from>
    <xdr:to>
      <xdr:col>10</xdr:col>
      <xdr:colOff>157450</xdr:colOff>
      <xdr:row>232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227</xdr:row>
      <xdr:rowOff>104429</xdr:rowOff>
    </xdr:from>
    <xdr:to>
      <xdr:col>13</xdr:col>
      <xdr:colOff>115421</xdr:colOff>
      <xdr:row>229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224</xdr:row>
      <xdr:rowOff>193638</xdr:rowOff>
    </xdr:from>
    <xdr:to>
      <xdr:col>19</xdr:col>
      <xdr:colOff>185688</xdr:colOff>
      <xdr:row>227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226</xdr:row>
      <xdr:rowOff>172835</xdr:rowOff>
    </xdr:from>
    <xdr:to>
      <xdr:col>33</xdr:col>
      <xdr:colOff>25776</xdr:colOff>
      <xdr:row>229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231</xdr:row>
      <xdr:rowOff>134470</xdr:rowOff>
    </xdr:from>
    <xdr:to>
      <xdr:col>33</xdr:col>
      <xdr:colOff>111888</xdr:colOff>
      <xdr:row>236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229</xdr:row>
      <xdr:rowOff>168090</xdr:rowOff>
    </xdr:from>
    <xdr:to>
      <xdr:col>10</xdr:col>
      <xdr:colOff>80692</xdr:colOff>
      <xdr:row>232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229</xdr:row>
      <xdr:rowOff>123268</xdr:rowOff>
    </xdr:from>
    <xdr:to>
      <xdr:col>19</xdr:col>
      <xdr:colOff>69484</xdr:colOff>
      <xdr:row>232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229</xdr:row>
      <xdr:rowOff>22415</xdr:rowOff>
    </xdr:from>
    <xdr:to>
      <xdr:col>29</xdr:col>
      <xdr:colOff>13449</xdr:colOff>
      <xdr:row>231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215</xdr:row>
      <xdr:rowOff>112060</xdr:rowOff>
    </xdr:from>
    <xdr:to>
      <xdr:col>48</xdr:col>
      <xdr:colOff>123265</xdr:colOff>
      <xdr:row>239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223</xdr:row>
      <xdr:rowOff>76795</xdr:rowOff>
    </xdr:from>
    <xdr:to>
      <xdr:col>44</xdr:col>
      <xdr:colOff>95465</xdr:colOff>
      <xdr:row>224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232</xdr:row>
      <xdr:rowOff>36430</xdr:rowOff>
    </xdr:from>
    <xdr:to>
      <xdr:col>45</xdr:col>
      <xdr:colOff>10395</xdr:colOff>
      <xdr:row>235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227</xdr:row>
      <xdr:rowOff>4878</xdr:rowOff>
    </xdr:from>
    <xdr:to>
      <xdr:col>45</xdr:col>
      <xdr:colOff>23124</xdr:colOff>
      <xdr:row>229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227</xdr:row>
      <xdr:rowOff>146466</xdr:rowOff>
    </xdr:from>
    <xdr:to>
      <xdr:col>38</xdr:col>
      <xdr:colOff>11207</xdr:colOff>
      <xdr:row>229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233</xdr:row>
      <xdr:rowOff>20048</xdr:rowOff>
    </xdr:from>
    <xdr:to>
      <xdr:col>37</xdr:col>
      <xdr:colOff>139797</xdr:colOff>
      <xdr:row>234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124048</xdr:colOff>
      <xdr:row>60</xdr:row>
      <xdr:rowOff>172068</xdr:rowOff>
    </xdr:from>
    <xdr:to>
      <xdr:col>15</xdr:col>
      <xdr:colOff>130186</xdr:colOff>
      <xdr:row>63</xdr:row>
      <xdr:rowOff>153707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cxnSpLocks/>
          <a:stCxn id="93" idx="2"/>
          <a:endCxn id="161" idx="0"/>
        </xdr:cNvCxnSpPr>
      </xdr:nvCxnSpPr>
      <xdr:spPr>
        <a:xfrm>
          <a:off x="2981548" y="11579656"/>
          <a:ext cx="6138" cy="55313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</a:t>
          </a:r>
        </a:p>
      </xdr:txBody>
    </xdr:sp>
    <xdr:clientData/>
  </xdr:twoCellAnchor>
  <xdr:twoCellAnchor>
    <xdr:from>
      <xdr:col>15</xdr:col>
      <xdr:colOff>130186</xdr:colOff>
      <xdr:row>66</xdr:row>
      <xdr:rowOff>29353</xdr:rowOff>
    </xdr:from>
    <xdr:to>
      <xdr:col>15</xdr:col>
      <xdr:colOff>135113</xdr:colOff>
      <xdr:row>69</xdr:row>
      <xdr:rowOff>82706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cxnSpLocks/>
          <a:stCxn id="161" idx="2"/>
          <a:endCxn id="91" idx="0"/>
        </xdr:cNvCxnSpPr>
      </xdr:nvCxnSpPr>
      <xdr:spPr>
        <a:xfrm>
          <a:off x="2987686" y="12579941"/>
          <a:ext cx="4927" cy="62485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120</xdr:row>
      <xdr:rowOff>9526</xdr:rowOff>
    </xdr:from>
    <xdr:to>
      <xdr:col>35</xdr:col>
      <xdr:colOff>33617</xdr:colOff>
      <xdr:row>143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申請製品情報マスタ</a:t>
          </a:r>
        </a:p>
      </xdr:txBody>
    </xdr:sp>
    <xdr:clientData/>
  </xdr:twoCellAnchor>
  <xdr:twoCellAnchor>
    <xdr:from>
      <xdr:col>16</xdr:col>
      <xdr:colOff>5360</xdr:colOff>
      <xdr:row>127</xdr:row>
      <xdr:rowOff>68912</xdr:rowOff>
    </xdr:from>
    <xdr:to>
      <xdr:col>23</xdr:col>
      <xdr:colOff>148819</xdr:colOff>
      <xdr:row>128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131</xdr:row>
      <xdr:rowOff>70812</xdr:rowOff>
    </xdr:from>
    <xdr:to>
      <xdr:col>29</xdr:col>
      <xdr:colOff>118333</xdr:colOff>
      <xdr:row>131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136</xdr:row>
      <xdr:rowOff>58973</xdr:rowOff>
    </xdr:from>
    <xdr:to>
      <xdr:col>33</xdr:col>
      <xdr:colOff>89639</xdr:colOff>
      <xdr:row>139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133</xdr:row>
      <xdr:rowOff>4</xdr:rowOff>
    </xdr:from>
    <xdr:to>
      <xdr:col>29</xdr:col>
      <xdr:colOff>120049</xdr:colOff>
      <xdr:row>136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131</xdr:row>
      <xdr:rowOff>70811</xdr:rowOff>
    </xdr:from>
    <xdr:to>
      <xdr:col>32</xdr:col>
      <xdr:colOff>78434</xdr:colOff>
      <xdr:row>133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136</xdr:row>
      <xdr:rowOff>70180</xdr:rowOff>
    </xdr:from>
    <xdr:to>
      <xdr:col>23</xdr:col>
      <xdr:colOff>179291</xdr:colOff>
      <xdr:row>139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133</xdr:row>
      <xdr:rowOff>22416</xdr:rowOff>
    </xdr:from>
    <xdr:to>
      <xdr:col>20</xdr:col>
      <xdr:colOff>17487</xdr:colOff>
      <xdr:row>136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131</xdr:row>
      <xdr:rowOff>93223</xdr:rowOff>
    </xdr:from>
    <xdr:to>
      <xdr:col>22</xdr:col>
      <xdr:colOff>190498</xdr:colOff>
      <xdr:row>133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136</xdr:row>
      <xdr:rowOff>92589</xdr:rowOff>
    </xdr:from>
    <xdr:to>
      <xdr:col>14</xdr:col>
      <xdr:colOff>112059</xdr:colOff>
      <xdr:row>139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133</xdr:row>
      <xdr:rowOff>33622</xdr:rowOff>
    </xdr:from>
    <xdr:to>
      <xdr:col>10</xdr:col>
      <xdr:colOff>210117</xdr:colOff>
      <xdr:row>136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131</xdr:row>
      <xdr:rowOff>104429</xdr:rowOff>
    </xdr:from>
    <xdr:to>
      <xdr:col>13</xdr:col>
      <xdr:colOff>168088</xdr:colOff>
      <xdr:row>133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128</xdr:row>
      <xdr:rowOff>193638</xdr:rowOff>
    </xdr:from>
    <xdr:to>
      <xdr:col>20</xdr:col>
      <xdr:colOff>25444</xdr:colOff>
      <xdr:row>131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127</xdr:row>
      <xdr:rowOff>20739</xdr:rowOff>
    </xdr:from>
    <xdr:to>
      <xdr:col>25</xdr:col>
      <xdr:colOff>162413</xdr:colOff>
      <xdr:row>128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130</xdr:row>
      <xdr:rowOff>172836</xdr:rowOff>
    </xdr:from>
    <xdr:to>
      <xdr:col>33</xdr:col>
      <xdr:colOff>78443</xdr:colOff>
      <xdr:row>133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135</xdr:row>
      <xdr:rowOff>134470</xdr:rowOff>
    </xdr:from>
    <xdr:to>
      <xdr:col>33</xdr:col>
      <xdr:colOff>164555</xdr:colOff>
      <xdr:row>140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133</xdr:row>
      <xdr:rowOff>168090</xdr:rowOff>
    </xdr:from>
    <xdr:to>
      <xdr:col>10</xdr:col>
      <xdr:colOff>133359</xdr:colOff>
      <xdr:row>136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133</xdr:row>
      <xdr:rowOff>123268</xdr:rowOff>
    </xdr:from>
    <xdr:to>
      <xdr:col>19</xdr:col>
      <xdr:colOff>122151</xdr:colOff>
      <xdr:row>136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133</xdr:row>
      <xdr:rowOff>22415</xdr:rowOff>
    </xdr:from>
    <xdr:to>
      <xdr:col>29</xdr:col>
      <xdr:colOff>66116</xdr:colOff>
      <xdr:row>135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120</xdr:row>
      <xdr:rowOff>11206</xdr:rowOff>
    </xdr:from>
    <xdr:to>
      <xdr:col>54</xdr:col>
      <xdr:colOff>190499</xdr:colOff>
      <xdr:row>143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127</xdr:row>
      <xdr:rowOff>37982</xdr:rowOff>
    </xdr:from>
    <xdr:to>
      <xdr:col>49</xdr:col>
      <xdr:colOff>2941</xdr:colOff>
      <xdr:row>128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136</xdr:row>
      <xdr:rowOff>23122</xdr:rowOff>
    </xdr:from>
    <xdr:to>
      <xdr:col>49</xdr:col>
      <xdr:colOff>73806</xdr:colOff>
      <xdr:row>139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130</xdr:row>
      <xdr:rowOff>182768</xdr:rowOff>
    </xdr:from>
    <xdr:to>
      <xdr:col>49</xdr:col>
      <xdr:colOff>71280</xdr:colOff>
      <xdr:row>133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127</xdr:row>
      <xdr:rowOff>47954</xdr:rowOff>
    </xdr:from>
    <xdr:to>
      <xdr:col>39</xdr:col>
      <xdr:colOff>134471</xdr:colOff>
      <xdr:row>128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131</xdr:row>
      <xdr:rowOff>153635</xdr:rowOff>
    </xdr:from>
    <xdr:to>
      <xdr:col>39</xdr:col>
      <xdr:colOff>67235</xdr:colOff>
      <xdr:row>133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137</xdr:row>
      <xdr:rowOff>40000</xdr:rowOff>
    </xdr:from>
    <xdr:to>
      <xdr:col>39</xdr:col>
      <xdr:colOff>156882</xdr:colOff>
      <xdr:row>138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122</xdr:row>
      <xdr:rowOff>147354</xdr:rowOff>
    </xdr:from>
    <xdr:to>
      <xdr:col>23</xdr:col>
      <xdr:colOff>160025</xdr:colOff>
      <xdr:row>124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122</xdr:row>
      <xdr:rowOff>112059</xdr:rowOff>
    </xdr:from>
    <xdr:to>
      <xdr:col>25</xdr:col>
      <xdr:colOff>161880</xdr:colOff>
      <xdr:row>124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122</xdr:row>
      <xdr:rowOff>179294</xdr:rowOff>
    </xdr:from>
    <xdr:to>
      <xdr:col>49</xdr:col>
      <xdr:colOff>12801</xdr:colOff>
      <xdr:row>124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123</xdr:row>
      <xdr:rowOff>0</xdr:rowOff>
    </xdr:from>
    <xdr:to>
      <xdr:col>39</xdr:col>
      <xdr:colOff>134470</xdr:colOff>
      <xdr:row>124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218</xdr:row>
      <xdr:rowOff>124943</xdr:rowOff>
    </xdr:from>
    <xdr:to>
      <xdr:col>23</xdr:col>
      <xdr:colOff>115202</xdr:colOff>
      <xdr:row>220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218</xdr:row>
      <xdr:rowOff>89648</xdr:rowOff>
    </xdr:from>
    <xdr:to>
      <xdr:col>25</xdr:col>
      <xdr:colOff>117057</xdr:colOff>
      <xdr:row>220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218</xdr:row>
      <xdr:rowOff>145677</xdr:rowOff>
    </xdr:from>
    <xdr:to>
      <xdr:col>44</xdr:col>
      <xdr:colOff>86923</xdr:colOff>
      <xdr:row>220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218</xdr:row>
      <xdr:rowOff>179295</xdr:rowOff>
    </xdr:from>
    <xdr:to>
      <xdr:col>37</xdr:col>
      <xdr:colOff>110937</xdr:colOff>
      <xdr:row>220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223</xdr:row>
      <xdr:rowOff>20739</xdr:rowOff>
    </xdr:from>
    <xdr:to>
      <xdr:col>25</xdr:col>
      <xdr:colOff>109746</xdr:colOff>
      <xdr:row>224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223</xdr:row>
      <xdr:rowOff>98152</xdr:rowOff>
    </xdr:from>
    <xdr:to>
      <xdr:col>37</xdr:col>
      <xdr:colOff>133697</xdr:colOff>
      <xdr:row>224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35</xdr:col>
      <xdr:colOff>8030</xdr:colOff>
      <xdr:row>37</xdr:row>
      <xdr:rowOff>11206</xdr:rowOff>
    </xdr:from>
    <xdr:to>
      <xdr:col>45</xdr:col>
      <xdr:colOff>33617</xdr:colOff>
      <xdr:row>41</xdr:row>
      <xdr:rowOff>64060</xdr:rowOff>
    </xdr:to>
    <xdr:sp macro="" textlink="">
      <xdr:nvSpPr>
        <xdr:cNvPr id="150" name="吹き出し: 四角形 149">
          <a:extLst>
            <a:ext uri="{FF2B5EF4-FFF2-40B4-BE49-F238E27FC236}">
              <a16:creationId xmlns:a16="http://schemas.microsoft.com/office/drawing/2014/main" id="{AA315312-2705-E9A1-12B2-51FB4055B985}"/>
            </a:ext>
          </a:extLst>
        </xdr:cNvPr>
        <xdr:cNvSpPr/>
      </xdr:nvSpPr>
      <xdr:spPr>
        <a:xfrm>
          <a:off x="6675530" y="7037294"/>
          <a:ext cx="1930587" cy="814854"/>
        </a:xfrm>
        <a:prstGeom prst="wedgeRectCallout">
          <a:avLst>
            <a:gd name="adj1" fmla="val -183356"/>
            <a:gd name="adj2" fmla="val -79741"/>
          </a:avLst>
        </a:prstGeom>
        <a:solidFill>
          <a:schemeClr val="bg1"/>
        </a:solidFill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050" baseline="0">
              <a:solidFill>
                <a:srgbClr val="FF0000"/>
              </a:solidFill>
            </a:rPr>
            <a:t>AA </a:t>
          </a:r>
          <a:r>
            <a:rPr kumimoji="1" lang="ja-JP" altLang="en-US" sz="1050" baseline="0">
              <a:solidFill>
                <a:srgbClr val="FF0000"/>
              </a:solidFill>
            </a:rPr>
            <a:t>古竹</a:t>
          </a:r>
          <a:endParaRPr kumimoji="1" lang="en-US" altLang="ja-JP" sz="105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05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1050" baseline="0">
              <a:solidFill>
                <a:srgbClr val="FF0000"/>
              </a:solidFill>
            </a:rPr>
            <a:t>1-1-3 </a:t>
          </a:r>
          <a:r>
            <a:rPr kumimoji="1" lang="ja-JP" altLang="en-US" sz="1050" baseline="0">
              <a:solidFill>
                <a:srgbClr val="FF0000"/>
              </a:solidFill>
            </a:rPr>
            <a:t>重複する</a:t>
          </a:r>
          <a:r>
            <a:rPr kumimoji="1" lang="en-US" altLang="ja-JP" sz="1050" baseline="0">
              <a:solidFill>
                <a:srgbClr val="FF0000"/>
              </a:solidFill>
            </a:rPr>
            <a:t>CL</a:t>
          </a:r>
          <a:r>
            <a:rPr kumimoji="1" lang="ja-JP" altLang="en-US" sz="1050" baseline="0">
              <a:solidFill>
                <a:srgbClr val="FF0000"/>
              </a:solidFill>
            </a:rPr>
            <a:t>は処理対象外になると思われますがその認識であっていますか。</a:t>
          </a:r>
          <a:endParaRPr kumimoji="1" lang="en-US" altLang="ja-JP" sz="1050" baseline="0">
            <a:solidFill>
              <a:srgbClr val="FF0000"/>
            </a:solidFill>
          </a:endParaRPr>
        </a:p>
      </xdr:txBody>
    </xdr:sp>
    <xdr:clientData/>
  </xdr:twoCellAnchor>
  <xdr:twoCellAnchor>
    <xdr:from>
      <xdr:col>32</xdr:col>
      <xdr:colOff>144183</xdr:colOff>
      <xdr:row>58</xdr:row>
      <xdr:rowOff>161739</xdr:rowOff>
    </xdr:from>
    <xdr:to>
      <xdr:col>42</xdr:col>
      <xdr:colOff>179295</xdr:colOff>
      <xdr:row>63</xdr:row>
      <xdr:rowOff>124947</xdr:rowOff>
    </xdr:to>
    <xdr:sp macro="" textlink="">
      <xdr:nvSpPr>
        <xdr:cNvPr id="160" name="吹き出し: 四角形 159">
          <a:extLst>
            <a:ext uri="{FF2B5EF4-FFF2-40B4-BE49-F238E27FC236}">
              <a16:creationId xmlns:a16="http://schemas.microsoft.com/office/drawing/2014/main" id="{D44506C0-CBB6-4935-AACD-B2EE7C7CC1F0}"/>
            </a:ext>
          </a:extLst>
        </xdr:cNvPr>
        <xdr:cNvSpPr/>
      </xdr:nvSpPr>
      <xdr:spPr>
        <a:xfrm>
          <a:off x="6240183" y="11188327"/>
          <a:ext cx="1940112" cy="915708"/>
        </a:xfrm>
        <a:prstGeom prst="wedgeRectCallout">
          <a:avLst>
            <a:gd name="adj1" fmla="val -204383"/>
            <a:gd name="adj2" fmla="val 9004"/>
          </a:avLst>
        </a:prstGeom>
        <a:solidFill>
          <a:schemeClr val="bg1"/>
        </a:solidFill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72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100" baseline="0">
              <a:solidFill>
                <a:srgbClr val="FF0000"/>
              </a:solidFill>
            </a:rPr>
            <a:t>AA </a:t>
          </a:r>
          <a:r>
            <a:rPr kumimoji="1" lang="ja-JP" altLang="en-US" sz="1100" baseline="0">
              <a:solidFill>
                <a:srgbClr val="FF0000"/>
              </a:solidFill>
            </a:rPr>
            <a:t>古竹</a:t>
          </a:r>
          <a:endParaRPr kumimoji="1" lang="en-US" altLang="ja-JP" sz="110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100" baseline="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1100" baseline="0">
              <a:solidFill>
                <a:srgbClr val="FF0000"/>
              </a:solidFill>
            </a:rPr>
            <a:t>代理店権限アリの時は</a:t>
          </a:r>
          <a:r>
            <a:rPr kumimoji="1" lang="en-US" altLang="ja-JP" sz="1100" baseline="0">
              <a:solidFill>
                <a:srgbClr val="FF0000"/>
              </a:solidFill>
            </a:rPr>
            <a:t>1-6</a:t>
          </a:r>
          <a:r>
            <a:rPr kumimoji="1" lang="ja-JP" altLang="en-US" sz="1100" baseline="0">
              <a:solidFill>
                <a:srgbClr val="FF0000"/>
              </a:solidFill>
            </a:rPr>
            <a:t>分岐であっていますか</a:t>
          </a:r>
          <a:endParaRPr kumimoji="1" lang="en-US" altLang="ja-JP" sz="1100" baseline="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95997</xdr:colOff>
      <xdr:row>63</xdr:row>
      <xdr:rowOff>153707</xdr:rowOff>
    </xdr:from>
    <xdr:to>
      <xdr:col>23</xdr:col>
      <xdr:colOff>161200</xdr:colOff>
      <xdr:row>66</xdr:row>
      <xdr:rowOff>26178</xdr:rowOff>
    </xdr:to>
    <xdr:sp macro="" textlink="">
      <xdr:nvSpPr>
        <xdr:cNvPr id="161" name="フローチャート: 処理 160">
          <a:extLst>
            <a:ext uri="{FF2B5EF4-FFF2-40B4-BE49-F238E27FC236}">
              <a16:creationId xmlns:a16="http://schemas.microsoft.com/office/drawing/2014/main" id="{87F2428A-C8D2-4732-8A45-0A3D47BFBFA6}"/>
            </a:ext>
          </a:extLst>
        </xdr:cNvPr>
        <xdr:cNvSpPr/>
      </xdr:nvSpPr>
      <xdr:spPr>
        <a:xfrm>
          <a:off x="1429497" y="12132795"/>
          <a:ext cx="3113203" cy="44397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１－１－６．申請可能条件よりチェック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7A4B26B-6B1F-4B17-97B8-E6467E599C7A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6CAB6AC-F7BD-49CE-BF70-CF461FF0ABD3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2" t="str">
        <f ca="1">TEXT(変更来歴!AT2,"yyyy年 mm月 dd日") &amp; " " &amp; 変更来歴!AT3</f>
        <v>2026年 05月 20日 r1.2</v>
      </c>
      <c r="C22" s="713"/>
      <c r="D22" s="713"/>
      <c r="E22" s="713"/>
      <c r="F22" s="713"/>
      <c r="G22" s="713"/>
      <c r="H22" s="71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5" t="s">
        <v>28</v>
      </c>
      <c r="D28" s="715"/>
      <c r="E28" s="715"/>
      <c r="F28" s="715" t="s">
        <v>0</v>
      </c>
      <c r="G28" s="715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6"/>
      <c r="D33" s="716"/>
      <c r="E33" s="716"/>
      <c r="F33" s="716"/>
      <c r="G33" s="716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7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4"/>
    </row>
    <row r="43" spans="3:20" s="8" customFormat="1" ht="14.25" customHeight="1">
      <c r="K43" s="17"/>
      <c r="L43" s="12"/>
      <c r="N43" s="12"/>
      <c r="R43" s="14"/>
      <c r="S43" s="19"/>
      <c r="T43" s="71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7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7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7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7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7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7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7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7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7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7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7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7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7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7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7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7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7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7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">
        <v>6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">
        <v>451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">
        <v>298</v>
      </c>
      <c r="AO1" s="746"/>
      <c r="AP1" s="746"/>
      <c r="AQ1" s="745" t="s">
        <v>9</v>
      </c>
      <c r="AR1" s="745"/>
      <c r="AS1" s="745"/>
      <c r="AT1" s="748">
        <f>AL7</f>
        <v>46125</v>
      </c>
      <c r="AU1" s="748"/>
      <c r="AV1" s="748"/>
      <c r="AW1" s="748"/>
      <c r="AX1" s="737" t="s">
        <v>10</v>
      </c>
      <c r="AY1" s="738"/>
      <c r="AZ1" s="738"/>
      <c r="BA1" s="739"/>
    </row>
    <row r="2" spans="1:53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42" t="s">
        <v>29</v>
      </c>
      <c r="N2" s="743"/>
      <c r="O2" s="743"/>
      <c r="P2" s="743"/>
      <c r="Q2" s="743"/>
      <c r="R2" s="743"/>
      <c r="S2" s="743"/>
      <c r="T2" s="743"/>
      <c r="U2" s="743"/>
      <c r="V2" s="743"/>
      <c r="W2" s="74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">
        <v>298</v>
      </c>
      <c r="AO2" s="746"/>
      <c r="AP2" s="746"/>
      <c r="AQ2" s="745" t="s">
        <v>13</v>
      </c>
      <c r="AR2" s="745"/>
      <c r="AS2" s="745"/>
      <c r="AT2" s="748">
        <v>46162</v>
      </c>
      <c r="AU2" s="748"/>
      <c r="AV2" s="748"/>
      <c r="AW2" s="748"/>
      <c r="AX2" s="749" t="s">
        <v>31</v>
      </c>
      <c r="AY2" s="750"/>
      <c r="AZ2" s="750"/>
      <c r="BA2" s="751"/>
    </row>
    <row r="3" spans="1:53" ht="12" customHeight="1">
      <c r="A3" s="755" t="s">
        <v>26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">
        <v>450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45" t="s">
        <v>15</v>
      </c>
      <c r="AR3" s="745"/>
      <c r="AS3" s="745"/>
      <c r="AT3" s="761" t="str">
        <f ca="1">INDIRECT("A" &amp; COUNTA(A7:A39) + 6)</f>
        <v>r1.2</v>
      </c>
      <c r="AU3" s="761"/>
      <c r="AV3" s="761"/>
      <c r="AW3" s="761"/>
      <c r="AX3" s="752"/>
      <c r="AY3" s="753"/>
      <c r="AZ3" s="753"/>
      <c r="BA3" s="754"/>
    </row>
    <row r="4" spans="1:53" ht="5.9" customHeight="1"/>
    <row r="5" spans="1:53" ht="14">
      <c r="A5" s="759" t="s">
        <v>25</v>
      </c>
      <c r="B5" s="759"/>
      <c r="C5" s="759"/>
      <c r="D5" s="759"/>
      <c r="E5" s="759"/>
      <c r="F5" s="759"/>
      <c r="G5" s="759"/>
      <c r="H5" s="759"/>
      <c r="I5" s="759"/>
      <c r="J5" s="759"/>
      <c r="K5" s="759"/>
      <c r="L5" s="759"/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</row>
    <row r="6" spans="1:53">
      <c r="A6" s="762" t="s">
        <v>24</v>
      </c>
      <c r="B6" s="763"/>
      <c r="C6" s="747" t="s">
        <v>17</v>
      </c>
      <c r="D6" s="747"/>
      <c r="E6" s="747"/>
      <c r="F6" s="747"/>
      <c r="G6" s="747"/>
      <c r="H6" s="747"/>
      <c r="I6" s="747"/>
      <c r="J6" s="747"/>
      <c r="K6" s="747"/>
      <c r="L6" s="747"/>
      <c r="M6" s="747"/>
      <c r="N6" s="747"/>
      <c r="O6" s="747"/>
      <c r="P6" s="747"/>
      <c r="Q6" s="747" t="s">
        <v>18</v>
      </c>
      <c r="R6" s="747"/>
      <c r="S6" s="747"/>
      <c r="T6" s="747"/>
      <c r="U6" s="747"/>
      <c r="V6" s="747"/>
      <c r="W6" s="747"/>
      <c r="X6" s="747"/>
      <c r="Y6" s="747"/>
      <c r="Z6" s="747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 t="s">
        <v>19</v>
      </c>
      <c r="AM6" s="747"/>
      <c r="AN6" s="747"/>
      <c r="AO6" s="747"/>
      <c r="AP6" s="747" t="s">
        <v>20</v>
      </c>
      <c r="AQ6" s="747"/>
      <c r="AR6" s="747"/>
      <c r="AS6" s="747" t="s">
        <v>21</v>
      </c>
      <c r="AT6" s="747"/>
      <c r="AU6" s="747"/>
      <c r="AV6" s="747" t="s">
        <v>22</v>
      </c>
      <c r="AW6" s="747"/>
      <c r="AX6" s="747"/>
      <c r="AY6" s="747"/>
      <c r="AZ6" s="747"/>
      <c r="BA6" s="747"/>
    </row>
    <row r="7" spans="1:53">
      <c r="A7" s="719" t="s">
        <v>258</v>
      </c>
      <c r="B7" s="719"/>
      <c r="C7" s="720" t="s">
        <v>23</v>
      </c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4">
        <v>46125</v>
      </c>
      <c r="AM7" s="725"/>
      <c r="AN7" s="725"/>
      <c r="AO7" s="725"/>
      <c r="AP7" s="720" t="s">
        <v>298</v>
      </c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</row>
    <row r="8" spans="1:53" ht="25" customHeight="1">
      <c r="A8" s="734" t="s">
        <v>423</v>
      </c>
      <c r="B8" s="735"/>
      <c r="C8" s="721" t="s">
        <v>425</v>
      </c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31" t="s">
        <v>454</v>
      </c>
      <c r="R8" s="732"/>
      <c r="S8" s="732"/>
      <c r="T8" s="732"/>
      <c r="U8" s="732"/>
      <c r="V8" s="732"/>
      <c r="W8" s="732"/>
      <c r="X8" s="732"/>
      <c r="Y8" s="732"/>
      <c r="Z8" s="732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3"/>
      <c r="AL8" s="726">
        <v>46134</v>
      </c>
      <c r="AM8" s="727"/>
      <c r="AN8" s="727"/>
      <c r="AO8" s="728"/>
      <c r="AP8" s="720" t="s">
        <v>424</v>
      </c>
      <c r="AQ8" s="720"/>
      <c r="AR8" s="720"/>
      <c r="AS8" s="720"/>
      <c r="AT8" s="720"/>
      <c r="AU8" s="720"/>
      <c r="AV8" s="720"/>
      <c r="AW8" s="720"/>
      <c r="AX8" s="720"/>
      <c r="AY8" s="720"/>
      <c r="AZ8" s="720"/>
      <c r="BA8" s="720"/>
    </row>
    <row r="9" spans="1:53">
      <c r="A9" s="734" t="s">
        <v>452</v>
      </c>
      <c r="B9" s="735"/>
      <c r="C9" s="720" t="s">
        <v>453</v>
      </c>
      <c r="D9" s="720"/>
      <c r="E9" s="720"/>
      <c r="F9" s="720"/>
      <c r="G9" s="720"/>
      <c r="H9" s="720"/>
      <c r="I9" s="720"/>
      <c r="J9" s="720"/>
      <c r="K9" s="720"/>
      <c r="L9" s="720"/>
      <c r="M9" s="720"/>
      <c r="N9" s="720"/>
      <c r="O9" s="720"/>
      <c r="P9" s="720"/>
      <c r="Q9" s="731" t="s">
        <v>454</v>
      </c>
      <c r="R9" s="732"/>
      <c r="S9" s="732"/>
      <c r="T9" s="732"/>
      <c r="U9" s="732"/>
      <c r="V9" s="732"/>
      <c r="W9" s="732"/>
      <c r="X9" s="732"/>
      <c r="Y9" s="732"/>
      <c r="Z9" s="732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3"/>
      <c r="AL9" s="726">
        <v>46162</v>
      </c>
      <c r="AM9" s="727"/>
      <c r="AN9" s="727"/>
      <c r="AO9" s="728"/>
      <c r="AP9" s="720" t="s">
        <v>424</v>
      </c>
      <c r="AQ9" s="720"/>
      <c r="AR9" s="720"/>
      <c r="AS9" s="720"/>
      <c r="AT9" s="720"/>
      <c r="AU9" s="720"/>
      <c r="AV9" s="720"/>
      <c r="AW9" s="720"/>
      <c r="AX9" s="720"/>
      <c r="AY9" s="720"/>
      <c r="AZ9" s="720"/>
      <c r="BA9" s="720"/>
    </row>
    <row r="10" spans="1:53">
      <c r="A10" s="719"/>
      <c r="B10" s="719"/>
      <c r="C10" s="720"/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  <c r="P10" s="720"/>
      <c r="Q10" s="721"/>
      <c r="R10" s="720"/>
      <c r="S10" s="720"/>
      <c r="T10" s="720"/>
      <c r="U10" s="720"/>
      <c r="V10" s="720"/>
      <c r="W10" s="720"/>
      <c r="X10" s="720"/>
      <c r="Y10" s="720"/>
      <c r="Z10" s="720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18"/>
      <c r="AM10" s="719"/>
      <c r="AN10" s="719"/>
      <c r="AO10" s="719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</row>
    <row r="11" spans="1:53">
      <c r="A11" s="719"/>
      <c r="B11" s="719"/>
      <c r="C11" s="721"/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  <c r="P11" s="720"/>
      <c r="Q11" s="721"/>
      <c r="R11" s="720"/>
      <c r="S11" s="720"/>
      <c r="T11" s="720"/>
      <c r="U11" s="720"/>
      <c r="V11" s="720"/>
      <c r="W11" s="720"/>
      <c r="X11" s="720"/>
      <c r="Y11" s="720"/>
      <c r="Z11" s="720"/>
      <c r="AA11" s="720"/>
      <c r="AB11" s="720"/>
      <c r="AC11" s="720"/>
      <c r="AD11" s="720"/>
      <c r="AE11" s="720"/>
      <c r="AF11" s="720"/>
      <c r="AG11" s="720"/>
      <c r="AH11" s="720"/>
      <c r="AI11" s="720"/>
      <c r="AJ11" s="720"/>
      <c r="AK11" s="720"/>
      <c r="AL11" s="718"/>
      <c r="AM11" s="719"/>
      <c r="AN11" s="719"/>
      <c r="AO11" s="719"/>
      <c r="AP11" s="720"/>
      <c r="AQ11" s="720"/>
      <c r="AR11" s="720"/>
      <c r="AS11" s="720"/>
      <c r="AT11" s="720"/>
      <c r="AU11" s="720"/>
      <c r="AV11" s="720"/>
      <c r="AW11" s="720"/>
      <c r="AX11" s="720"/>
      <c r="AY11" s="720"/>
      <c r="AZ11" s="720"/>
      <c r="BA11" s="720"/>
    </row>
    <row r="12" spans="1:53">
      <c r="A12" s="719"/>
      <c r="B12" s="719"/>
      <c r="C12" s="720"/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  <c r="P12" s="720"/>
      <c r="Q12" s="720"/>
      <c r="R12" s="720"/>
      <c r="S12" s="720"/>
      <c r="T12" s="720"/>
      <c r="U12" s="720"/>
      <c r="V12" s="720"/>
      <c r="W12" s="720"/>
      <c r="X12" s="720"/>
      <c r="Y12" s="720"/>
      <c r="Z12" s="720"/>
      <c r="AA12" s="720"/>
      <c r="AB12" s="720"/>
      <c r="AC12" s="720"/>
      <c r="AD12" s="720"/>
      <c r="AE12" s="720"/>
      <c r="AF12" s="720"/>
      <c r="AG12" s="720"/>
      <c r="AH12" s="720"/>
      <c r="AI12" s="720"/>
      <c r="AJ12" s="720"/>
      <c r="AK12" s="720"/>
      <c r="AL12" s="718"/>
      <c r="AM12" s="719"/>
      <c r="AN12" s="719"/>
      <c r="AO12" s="719"/>
      <c r="AP12" s="720"/>
      <c r="AQ12" s="720"/>
      <c r="AR12" s="720"/>
      <c r="AS12" s="720"/>
      <c r="AT12" s="720"/>
      <c r="AU12" s="720"/>
      <c r="AV12" s="720"/>
      <c r="AW12" s="720"/>
      <c r="AX12" s="720"/>
      <c r="AY12" s="720"/>
      <c r="AZ12" s="720"/>
      <c r="BA12" s="720"/>
    </row>
    <row r="13" spans="1:53">
      <c r="A13" s="730"/>
      <c r="B13" s="730"/>
      <c r="C13" s="722"/>
      <c r="D13" s="722"/>
      <c r="E13" s="722"/>
      <c r="F13" s="722"/>
      <c r="G13" s="722"/>
      <c r="H13" s="722"/>
      <c r="I13" s="722"/>
      <c r="J13" s="722"/>
      <c r="K13" s="722"/>
      <c r="L13" s="722"/>
      <c r="M13" s="722"/>
      <c r="N13" s="722"/>
      <c r="O13" s="722"/>
      <c r="P13" s="722"/>
      <c r="Q13" s="721"/>
      <c r="R13" s="720"/>
      <c r="S13" s="720"/>
      <c r="T13" s="720"/>
      <c r="U13" s="720"/>
      <c r="V13" s="720"/>
      <c r="W13" s="720"/>
      <c r="X13" s="720"/>
      <c r="Y13" s="720"/>
      <c r="Z13" s="720"/>
      <c r="AA13" s="720"/>
      <c r="AB13" s="720"/>
      <c r="AC13" s="720"/>
      <c r="AD13" s="720"/>
      <c r="AE13" s="720"/>
      <c r="AF13" s="720"/>
      <c r="AG13" s="720"/>
      <c r="AH13" s="720"/>
      <c r="AI13" s="720"/>
      <c r="AJ13" s="720"/>
      <c r="AK13" s="720"/>
      <c r="AL13" s="729"/>
      <c r="AM13" s="730"/>
      <c r="AN13" s="730"/>
      <c r="AO13" s="730"/>
      <c r="AP13" s="720"/>
      <c r="AQ13" s="720"/>
      <c r="AR13" s="720"/>
      <c r="AS13" s="722"/>
      <c r="AT13" s="722"/>
      <c r="AU13" s="722"/>
      <c r="AV13" s="722"/>
      <c r="AW13" s="722"/>
      <c r="AX13" s="722"/>
      <c r="AY13" s="722"/>
      <c r="AZ13" s="722"/>
      <c r="BA13" s="722"/>
    </row>
    <row r="14" spans="1:53">
      <c r="A14" s="719"/>
      <c r="B14" s="719"/>
      <c r="C14" s="720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  <c r="P14" s="720"/>
      <c r="Q14" s="721"/>
      <c r="R14" s="720"/>
      <c r="S14" s="720"/>
      <c r="T14" s="720"/>
      <c r="U14" s="720"/>
      <c r="V14" s="720"/>
      <c r="W14" s="720"/>
      <c r="X14" s="720"/>
      <c r="Y14" s="720"/>
      <c r="Z14" s="720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18"/>
      <c r="AM14" s="719"/>
      <c r="AN14" s="719"/>
      <c r="AO14" s="719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</row>
    <row r="15" spans="1:53">
      <c r="A15" s="719"/>
      <c r="B15" s="719"/>
      <c r="C15" s="720"/>
      <c r="D15" s="720"/>
      <c r="E15" s="720"/>
      <c r="F15" s="720"/>
      <c r="G15" s="720"/>
      <c r="H15" s="720"/>
      <c r="I15" s="720"/>
      <c r="J15" s="720"/>
      <c r="K15" s="720"/>
      <c r="L15" s="720"/>
      <c r="M15" s="720"/>
      <c r="N15" s="720"/>
      <c r="O15" s="720"/>
      <c r="P15" s="720"/>
      <c r="Q15" s="721"/>
      <c r="R15" s="720"/>
      <c r="S15" s="720"/>
      <c r="T15" s="720"/>
      <c r="U15" s="720"/>
      <c r="V15" s="720"/>
      <c r="W15" s="720"/>
      <c r="X15" s="720"/>
      <c r="Y15" s="720"/>
      <c r="Z15" s="720"/>
      <c r="AA15" s="720"/>
      <c r="AB15" s="720"/>
      <c r="AC15" s="720"/>
      <c r="AD15" s="720"/>
      <c r="AE15" s="720"/>
      <c r="AF15" s="720"/>
      <c r="AG15" s="720"/>
      <c r="AH15" s="720"/>
      <c r="AI15" s="720"/>
      <c r="AJ15" s="720"/>
      <c r="AK15" s="720"/>
      <c r="AL15" s="718"/>
      <c r="AM15" s="719"/>
      <c r="AN15" s="719"/>
      <c r="AO15" s="719"/>
      <c r="AP15" s="720"/>
      <c r="AQ15" s="720"/>
      <c r="AR15" s="720"/>
      <c r="AS15" s="720"/>
      <c r="AT15" s="720"/>
      <c r="AU15" s="720"/>
      <c r="AV15" s="720"/>
      <c r="AW15" s="720"/>
      <c r="AX15" s="720"/>
      <c r="AY15" s="720"/>
      <c r="AZ15" s="720"/>
      <c r="BA15" s="720"/>
    </row>
    <row r="16" spans="1:53">
      <c r="A16" s="719"/>
      <c r="B16" s="719"/>
      <c r="C16" s="720"/>
      <c r="D16" s="720"/>
      <c r="E16" s="720"/>
      <c r="F16" s="720"/>
      <c r="G16" s="720"/>
      <c r="H16" s="720"/>
      <c r="I16" s="720"/>
      <c r="J16" s="720"/>
      <c r="K16" s="720"/>
      <c r="L16" s="720"/>
      <c r="M16" s="720"/>
      <c r="N16" s="720"/>
      <c r="O16" s="720"/>
      <c r="P16" s="720"/>
      <c r="Q16" s="721"/>
      <c r="R16" s="720"/>
      <c r="S16" s="720"/>
      <c r="T16" s="720"/>
      <c r="U16" s="720"/>
      <c r="V16" s="720"/>
      <c r="W16" s="720"/>
      <c r="X16" s="720"/>
      <c r="Y16" s="720"/>
      <c r="Z16" s="720"/>
      <c r="AA16" s="720"/>
      <c r="AB16" s="720"/>
      <c r="AC16" s="720"/>
      <c r="AD16" s="720"/>
      <c r="AE16" s="720"/>
      <c r="AF16" s="720"/>
      <c r="AG16" s="720"/>
      <c r="AH16" s="720"/>
      <c r="AI16" s="720"/>
      <c r="AJ16" s="720"/>
      <c r="AK16" s="720"/>
      <c r="AL16" s="718"/>
      <c r="AM16" s="719"/>
      <c r="AN16" s="719"/>
      <c r="AO16" s="719"/>
      <c r="AP16" s="720"/>
      <c r="AQ16" s="720"/>
      <c r="AR16" s="720"/>
      <c r="AS16" s="720"/>
      <c r="AT16" s="720"/>
      <c r="AU16" s="720"/>
      <c r="AV16" s="720"/>
      <c r="AW16" s="720"/>
      <c r="AX16" s="720"/>
      <c r="AY16" s="720"/>
      <c r="AZ16" s="720"/>
      <c r="BA16" s="720"/>
    </row>
    <row r="17" spans="1:53">
      <c r="A17" s="736"/>
      <c r="B17" s="736"/>
      <c r="C17" s="720"/>
      <c r="D17" s="720"/>
      <c r="E17" s="720"/>
      <c r="F17" s="720"/>
      <c r="G17" s="720"/>
      <c r="H17" s="720"/>
      <c r="I17" s="720"/>
      <c r="J17" s="720"/>
      <c r="K17" s="720"/>
      <c r="L17" s="720"/>
      <c r="M17" s="720"/>
      <c r="N17" s="720"/>
      <c r="O17" s="720"/>
      <c r="P17" s="720"/>
      <c r="Q17" s="720"/>
      <c r="R17" s="723"/>
      <c r="S17" s="723"/>
      <c r="T17" s="723"/>
      <c r="U17" s="723"/>
      <c r="V17" s="723"/>
      <c r="W17" s="723"/>
      <c r="X17" s="723"/>
      <c r="Y17" s="723"/>
      <c r="Z17" s="723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18"/>
      <c r="AM17" s="719"/>
      <c r="AN17" s="719"/>
      <c r="AO17" s="719"/>
      <c r="AP17" s="720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</row>
    <row r="18" spans="1:53">
      <c r="A18" s="736"/>
      <c r="B18" s="736"/>
      <c r="C18" s="720"/>
      <c r="D18" s="720"/>
      <c r="E18" s="720"/>
      <c r="F18" s="720"/>
      <c r="G18" s="720"/>
      <c r="H18" s="720"/>
      <c r="I18" s="720"/>
      <c r="J18" s="720"/>
      <c r="K18" s="720"/>
      <c r="L18" s="720"/>
      <c r="M18" s="720"/>
      <c r="N18" s="720"/>
      <c r="O18" s="720"/>
      <c r="P18" s="720"/>
      <c r="Q18" s="720"/>
      <c r="R18" s="723"/>
      <c r="S18" s="723"/>
      <c r="T18" s="723"/>
      <c r="U18" s="723"/>
      <c r="V18" s="723"/>
      <c r="W18" s="723"/>
      <c r="X18" s="723"/>
      <c r="Y18" s="723"/>
      <c r="Z18" s="723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18"/>
      <c r="AM18" s="719"/>
      <c r="AN18" s="719"/>
      <c r="AO18" s="719"/>
      <c r="AP18" s="720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</row>
    <row r="19" spans="1:53">
      <c r="A19" s="719"/>
      <c r="B19" s="719"/>
      <c r="C19" s="720"/>
      <c r="D19" s="720"/>
      <c r="E19" s="720"/>
      <c r="F19" s="720"/>
      <c r="G19" s="720"/>
      <c r="H19" s="720"/>
      <c r="I19" s="720"/>
      <c r="J19" s="720"/>
      <c r="K19" s="720"/>
      <c r="L19" s="720"/>
      <c r="M19" s="720"/>
      <c r="N19" s="720"/>
      <c r="O19" s="720"/>
      <c r="P19" s="720"/>
      <c r="Q19" s="720"/>
      <c r="R19" s="720"/>
      <c r="S19" s="720"/>
      <c r="T19" s="720"/>
      <c r="U19" s="720"/>
      <c r="V19" s="720"/>
      <c r="W19" s="720"/>
      <c r="X19" s="720"/>
      <c r="Y19" s="720"/>
      <c r="Z19" s="720"/>
      <c r="AA19" s="720"/>
      <c r="AB19" s="720"/>
      <c r="AC19" s="720"/>
      <c r="AD19" s="720"/>
      <c r="AE19" s="720"/>
      <c r="AF19" s="720"/>
      <c r="AG19" s="720"/>
      <c r="AH19" s="720"/>
      <c r="AI19" s="720"/>
      <c r="AJ19" s="720"/>
      <c r="AK19" s="720"/>
      <c r="AL19" s="718"/>
      <c r="AM19" s="718"/>
      <c r="AN19" s="718"/>
      <c r="AO19" s="718"/>
      <c r="AP19" s="720"/>
      <c r="AQ19" s="720"/>
      <c r="AR19" s="720"/>
      <c r="AS19" s="720"/>
      <c r="AT19" s="720"/>
      <c r="AU19" s="720"/>
      <c r="AV19" s="720"/>
      <c r="AW19" s="720"/>
      <c r="AX19" s="720"/>
      <c r="AY19" s="720"/>
      <c r="AZ19" s="720"/>
      <c r="BA19" s="720"/>
    </row>
    <row r="20" spans="1:53">
      <c r="A20" s="719"/>
      <c r="B20" s="719"/>
      <c r="C20" s="720"/>
      <c r="D20" s="720"/>
      <c r="E20" s="720"/>
      <c r="F20" s="720"/>
      <c r="G20" s="720"/>
      <c r="H20" s="720"/>
      <c r="I20" s="720"/>
      <c r="J20" s="720"/>
      <c r="K20" s="720"/>
      <c r="L20" s="720"/>
      <c r="M20" s="720"/>
      <c r="N20" s="720"/>
      <c r="O20" s="720"/>
      <c r="P20" s="720"/>
      <c r="Q20" s="720"/>
      <c r="R20" s="720"/>
      <c r="S20" s="720"/>
      <c r="T20" s="720"/>
      <c r="U20" s="720"/>
      <c r="V20" s="720"/>
      <c r="W20" s="720"/>
      <c r="X20" s="720"/>
      <c r="Y20" s="720"/>
      <c r="Z20" s="720"/>
      <c r="AA20" s="720"/>
      <c r="AB20" s="720"/>
      <c r="AC20" s="720"/>
      <c r="AD20" s="720"/>
      <c r="AE20" s="720"/>
      <c r="AF20" s="720"/>
      <c r="AG20" s="720"/>
      <c r="AH20" s="720"/>
      <c r="AI20" s="720"/>
      <c r="AJ20" s="720"/>
      <c r="AK20" s="720"/>
      <c r="AL20" s="718"/>
      <c r="AM20" s="718"/>
      <c r="AN20" s="718"/>
      <c r="AO20" s="718"/>
      <c r="AP20" s="720"/>
      <c r="AQ20" s="720"/>
      <c r="AR20" s="720"/>
      <c r="AS20" s="720"/>
      <c r="AT20" s="720"/>
      <c r="AU20" s="720"/>
      <c r="AV20" s="720"/>
      <c r="AW20" s="720"/>
      <c r="AX20" s="720"/>
      <c r="AY20" s="720"/>
      <c r="AZ20" s="720"/>
      <c r="BA20" s="720"/>
    </row>
    <row r="21" spans="1:53" ht="13.5" customHeight="1">
      <c r="A21" s="719"/>
      <c r="B21" s="719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0"/>
      <c r="P21" s="720"/>
      <c r="Q21" s="720"/>
      <c r="R21" s="723"/>
      <c r="S21" s="723"/>
      <c r="T21" s="723"/>
      <c r="U21" s="723"/>
      <c r="V21" s="723"/>
      <c r="W21" s="723"/>
      <c r="X21" s="723"/>
      <c r="Y21" s="723"/>
      <c r="Z21" s="723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18"/>
      <c r="AM21" s="718"/>
      <c r="AN21" s="718"/>
      <c r="AO21" s="718"/>
      <c r="AP21" s="720"/>
      <c r="AQ21" s="720"/>
      <c r="AR21" s="720"/>
      <c r="AS21" s="720"/>
      <c r="AT21" s="720"/>
      <c r="AU21" s="720"/>
      <c r="AV21" s="720"/>
      <c r="AW21" s="720"/>
      <c r="AX21" s="720"/>
      <c r="AY21" s="720"/>
      <c r="AZ21" s="720"/>
      <c r="BA21" s="720"/>
    </row>
    <row r="22" spans="1:53">
      <c r="A22" s="719"/>
      <c r="B22" s="719"/>
      <c r="C22" s="720"/>
      <c r="D22" s="720"/>
      <c r="E22" s="720"/>
      <c r="F22" s="720"/>
      <c r="G22" s="720"/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18"/>
      <c r="AM22" s="718"/>
      <c r="AN22" s="718"/>
      <c r="AO22" s="718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</row>
    <row r="23" spans="1:53">
      <c r="A23" s="719"/>
      <c r="B23" s="719"/>
      <c r="C23" s="720"/>
      <c r="D23" s="720"/>
      <c r="E23" s="720"/>
      <c r="F23" s="720"/>
      <c r="G23" s="720"/>
      <c r="H23" s="720"/>
      <c r="I23" s="720"/>
      <c r="J23" s="720"/>
      <c r="K23" s="720"/>
      <c r="L23" s="720"/>
      <c r="M23" s="720"/>
      <c r="N23" s="720"/>
      <c r="O23" s="720"/>
      <c r="P23" s="720"/>
      <c r="Q23" s="720"/>
      <c r="R23" s="723"/>
      <c r="S23" s="723"/>
      <c r="T23" s="723"/>
      <c r="U23" s="723"/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18"/>
      <c r="AM23" s="718"/>
      <c r="AN23" s="718"/>
      <c r="AO23" s="718"/>
      <c r="AP23" s="720"/>
      <c r="AQ23" s="720"/>
      <c r="AR23" s="720"/>
      <c r="AS23" s="720"/>
      <c r="AT23" s="720"/>
      <c r="AU23" s="720"/>
      <c r="AV23" s="720"/>
      <c r="AW23" s="720"/>
      <c r="AX23" s="720"/>
      <c r="AY23" s="720"/>
      <c r="AZ23" s="720"/>
      <c r="BA23" s="720"/>
    </row>
    <row r="24" spans="1:53">
      <c r="A24" s="719"/>
      <c r="B24" s="719"/>
      <c r="C24" s="720"/>
      <c r="D24" s="720"/>
      <c r="E24" s="720"/>
      <c r="F24" s="720"/>
      <c r="G24" s="720"/>
      <c r="H24" s="720"/>
      <c r="I24" s="720"/>
      <c r="J24" s="720"/>
      <c r="K24" s="720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  <c r="AA24" s="720"/>
      <c r="AB24" s="720"/>
      <c r="AC24" s="720"/>
      <c r="AD24" s="720"/>
      <c r="AE24" s="720"/>
      <c r="AF24" s="720"/>
      <c r="AG24" s="720"/>
      <c r="AH24" s="720"/>
      <c r="AI24" s="720"/>
      <c r="AJ24" s="720"/>
      <c r="AK24" s="720"/>
      <c r="AL24" s="718"/>
      <c r="AM24" s="718"/>
      <c r="AN24" s="718"/>
      <c r="AO24" s="718"/>
      <c r="AP24" s="720"/>
      <c r="AQ24" s="720"/>
      <c r="AR24" s="720"/>
      <c r="AS24" s="720"/>
      <c r="AT24" s="720"/>
      <c r="AU24" s="720"/>
      <c r="AV24" s="720"/>
      <c r="AW24" s="720"/>
      <c r="AX24" s="720"/>
      <c r="AY24" s="720"/>
      <c r="AZ24" s="720"/>
      <c r="BA24" s="720"/>
    </row>
    <row r="25" spans="1:53">
      <c r="A25" s="719"/>
      <c r="B25" s="719"/>
      <c r="C25" s="720"/>
      <c r="D25" s="720"/>
      <c r="E25" s="720"/>
      <c r="F25" s="720"/>
      <c r="G25" s="720"/>
      <c r="H25" s="720"/>
      <c r="I25" s="720"/>
      <c r="J25" s="720"/>
      <c r="K25" s="720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  <c r="AA25" s="720"/>
      <c r="AB25" s="720"/>
      <c r="AC25" s="720"/>
      <c r="AD25" s="720"/>
      <c r="AE25" s="720"/>
      <c r="AF25" s="720"/>
      <c r="AG25" s="720"/>
      <c r="AH25" s="720"/>
      <c r="AI25" s="720"/>
      <c r="AJ25" s="720"/>
      <c r="AK25" s="720"/>
      <c r="AL25" s="718"/>
      <c r="AM25" s="719"/>
      <c r="AN25" s="719"/>
      <c r="AO25" s="719"/>
      <c r="AP25" s="720"/>
      <c r="AQ25" s="720"/>
      <c r="AR25" s="720"/>
      <c r="AS25" s="720"/>
      <c r="AT25" s="720"/>
      <c r="AU25" s="720"/>
      <c r="AV25" s="720"/>
      <c r="AW25" s="720"/>
      <c r="AX25" s="720"/>
      <c r="AY25" s="720"/>
      <c r="AZ25" s="720"/>
      <c r="BA25" s="720"/>
    </row>
    <row r="26" spans="1:53">
      <c r="A26" s="719"/>
      <c r="B26" s="719"/>
      <c r="C26" s="720"/>
      <c r="D26" s="720"/>
      <c r="E26" s="720"/>
      <c r="F26" s="720"/>
      <c r="G26" s="720"/>
      <c r="H26" s="720"/>
      <c r="I26" s="720"/>
      <c r="J26" s="720"/>
      <c r="K26" s="720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18"/>
      <c r="AM26" s="719"/>
      <c r="AN26" s="719"/>
      <c r="AO26" s="719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</row>
    <row r="27" spans="1:53">
      <c r="A27" s="719"/>
      <c r="B27" s="719"/>
      <c r="C27" s="720"/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  <c r="AA27" s="720"/>
      <c r="AB27" s="720"/>
      <c r="AC27" s="720"/>
      <c r="AD27" s="720"/>
      <c r="AE27" s="720"/>
      <c r="AF27" s="720"/>
      <c r="AG27" s="720"/>
      <c r="AH27" s="720"/>
      <c r="AI27" s="720"/>
      <c r="AJ27" s="720"/>
      <c r="AK27" s="720"/>
      <c r="AL27" s="718"/>
      <c r="AM27" s="719"/>
      <c r="AN27" s="719"/>
      <c r="AO27" s="719"/>
      <c r="AP27" s="720"/>
      <c r="AQ27" s="720"/>
      <c r="AR27" s="720"/>
      <c r="AS27" s="720"/>
      <c r="AT27" s="720"/>
      <c r="AU27" s="720"/>
      <c r="AV27" s="720"/>
      <c r="AW27" s="720"/>
      <c r="AX27" s="720"/>
      <c r="AY27" s="720"/>
      <c r="AZ27" s="720"/>
      <c r="BA27" s="720"/>
    </row>
    <row r="28" spans="1:53">
      <c r="A28" s="719"/>
      <c r="B28" s="719"/>
      <c r="C28" s="720"/>
      <c r="D28" s="720"/>
      <c r="E28" s="720"/>
      <c r="F28" s="720"/>
      <c r="G28" s="720"/>
      <c r="H28" s="720"/>
      <c r="I28" s="720"/>
      <c r="J28" s="720"/>
      <c r="K28" s="720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  <c r="AA28" s="720"/>
      <c r="AB28" s="720"/>
      <c r="AC28" s="720"/>
      <c r="AD28" s="720"/>
      <c r="AE28" s="720"/>
      <c r="AF28" s="720"/>
      <c r="AG28" s="720"/>
      <c r="AH28" s="720"/>
      <c r="AI28" s="720"/>
      <c r="AJ28" s="720"/>
      <c r="AK28" s="720"/>
      <c r="AL28" s="718"/>
      <c r="AM28" s="719"/>
      <c r="AN28" s="719"/>
      <c r="AO28" s="719"/>
      <c r="AP28" s="720"/>
      <c r="AQ28" s="720"/>
      <c r="AR28" s="720"/>
      <c r="AS28" s="720"/>
      <c r="AT28" s="720"/>
      <c r="AU28" s="720"/>
      <c r="AV28" s="720"/>
      <c r="AW28" s="720"/>
      <c r="AX28" s="720"/>
      <c r="AY28" s="720"/>
      <c r="AZ28" s="720"/>
      <c r="BA28" s="720"/>
    </row>
    <row r="29" spans="1:53">
      <c r="A29" s="719"/>
      <c r="B29" s="719"/>
      <c r="C29" s="720"/>
      <c r="D29" s="720"/>
      <c r="E29" s="720"/>
      <c r="F29" s="720"/>
      <c r="G29" s="720"/>
      <c r="H29" s="720"/>
      <c r="I29" s="720"/>
      <c r="J29" s="720"/>
      <c r="K29" s="720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  <c r="AA29" s="720"/>
      <c r="AB29" s="720"/>
      <c r="AC29" s="720"/>
      <c r="AD29" s="720"/>
      <c r="AE29" s="720"/>
      <c r="AF29" s="720"/>
      <c r="AG29" s="720"/>
      <c r="AH29" s="720"/>
      <c r="AI29" s="720"/>
      <c r="AJ29" s="720"/>
      <c r="AK29" s="720"/>
      <c r="AL29" s="718"/>
      <c r="AM29" s="719"/>
      <c r="AN29" s="719"/>
      <c r="AO29" s="719"/>
      <c r="AP29" s="720"/>
      <c r="AQ29" s="720"/>
      <c r="AR29" s="720"/>
      <c r="AS29" s="720"/>
      <c r="AT29" s="720"/>
      <c r="AU29" s="720"/>
      <c r="AV29" s="720"/>
      <c r="AW29" s="720"/>
      <c r="AX29" s="720"/>
      <c r="AY29" s="720"/>
      <c r="AZ29" s="720"/>
      <c r="BA29" s="720"/>
    </row>
    <row r="30" spans="1:53">
      <c r="A30" s="719"/>
      <c r="B30" s="719"/>
      <c r="C30" s="720"/>
      <c r="D30" s="720"/>
      <c r="E30" s="720"/>
      <c r="F30" s="720"/>
      <c r="G30" s="720"/>
      <c r="H30" s="720"/>
      <c r="I30" s="720"/>
      <c r="J30" s="720"/>
      <c r="K30" s="720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  <c r="AA30" s="720"/>
      <c r="AB30" s="720"/>
      <c r="AC30" s="720"/>
      <c r="AD30" s="720"/>
      <c r="AE30" s="720"/>
      <c r="AF30" s="720"/>
      <c r="AG30" s="720"/>
      <c r="AH30" s="720"/>
      <c r="AI30" s="720"/>
      <c r="AJ30" s="720"/>
      <c r="AK30" s="720"/>
      <c r="AL30" s="719"/>
      <c r="AM30" s="719"/>
      <c r="AN30" s="719"/>
      <c r="AO30" s="719"/>
      <c r="AP30" s="720"/>
      <c r="AQ30" s="720"/>
      <c r="AR30" s="720"/>
      <c r="AS30" s="720"/>
      <c r="AT30" s="720"/>
      <c r="AU30" s="720"/>
      <c r="AV30" s="720"/>
      <c r="AW30" s="720"/>
      <c r="AX30" s="720"/>
      <c r="AY30" s="720"/>
      <c r="AZ30" s="720"/>
      <c r="BA30" s="720"/>
    </row>
    <row r="31" spans="1:53">
      <c r="A31" s="719"/>
      <c r="B31" s="719"/>
      <c r="C31" s="720"/>
      <c r="D31" s="720"/>
      <c r="E31" s="720"/>
      <c r="F31" s="720"/>
      <c r="G31" s="720"/>
      <c r="H31" s="720"/>
      <c r="I31" s="720"/>
      <c r="J31" s="720"/>
      <c r="K31" s="720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19"/>
      <c r="AM31" s="719"/>
      <c r="AN31" s="719"/>
      <c r="AO31" s="719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</row>
    <row r="32" spans="1:53">
      <c r="A32" s="719"/>
      <c r="B32" s="719"/>
      <c r="C32" s="720"/>
      <c r="D32" s="720"/>
      <c r="E32" s="720"/>
      <c r="F32" s="720"/>
      <c r="G32" s="720"/>
      <c r="H32" s="720"/>
      <c r="I32" s="720"/>
      <c r="J32" s="720"/>
      <c r="K32" s="720"/>
      <c r="L32" s="720"/>
      <c r="M32" s="720"/>
      <c r="N32" s="720"/>
      <c r="O32" s="720"/>
      <c r="P32" s="720"/>
      <c r="Q32" s="720"/>
      <c r="R32" s="720"/>
      <c r="S32" s="720"/>
      <c r="T32" s="720"/>
      <c r="U32" s="720"/>
      <c r="V32" s="720"/>
      <c r="W32" s="720"/>
      <c r="X32" s="720"/>
      <c r="Y32" s="720"/>
      <c r="Z32" s="720"/>
      <c r="AA32" s="720"/>
      <c r="AB32" s="720"/>
      <c r="AC32" s="720"/>
      <c r="AD32" s="720"/>
      <c r="AE32" s="720"/>
      <c r="AF32" s="720"/>
      <c r="AG32" s="720"/>
      <c r="AH32" s="720"/>
      <c r="AI32" s="720"/>
      <c r="AJ32" s="720"/>
      <c r="AK32" s="720"/>
      <c r="AL32" s="719"/>
      <c r="AM32" s="719"/>
      <c r="AN32" s="719"/>
      <c r="AO32" s="719"/>
      <c r="AP32" s="720"/>
      <c r="AQ32" s="720"/>
      <c r="AR32" s="720"/>
      <c r="AS32" s="720"/>
      <c r="AT32" s="720"/>
      <c r="AU32" s="720"/>
      <c r="AV32" s="720"/>
      <c r="AW32" s="720"/>
      <c r="AX32" s="720"/>
      <c r="AY32" s="720"/>
      <c r="AZ32" s="720"/>
      <c r="BA32" s="720"/>
    </row>
    <row r="33" spans="1:53">
      <c r="A33" s="719"/>
      <c r="B33" s="719"/>
      <c r="C33" s="720"/>
      <c r="D33" s="720"/>
      <c r="E33" s="720"/>
      <c r="F33" s="720"/>
      <c r="G33" s="720"/>
      <c r="H33" s="720"/>
      <c r="I33" s="720"/>
      <c r="J33" s="720"/>
      <c r="K33" s="720"/>
      <c r="L33" s="720"/>
      <c r="M33" s="720"/>
      <c r="N33" s="720"/>
      <c r="O33" s="720"/>
      <c r="P33" s="720"/>
      <c r="Q33" s="720"/>
      <c r="R33" s="720"/>
      <c r="S33" s="720"/>
      <c r="T33" s="720"/>
      <c r="U33" s="720"/>
      <c r="V33" s="720"/>
      <c r="W33" s="720"/>
      <c r="X33" s="720"/>
      <c r="Y33" s="720"/>
      <c r="Z33" s="720"/>
      <c r="AA33" s="720"/>
      <c r="AB33" s="720"/>
      <c r="AC33" s="720"/>
      <c r="AD33" s="720"/>
      <c r="AE33" s="720"/>
      <c r="AF33" s="720"/>
      <c r="AG33" s="720"/>
      <c r="AH33" s="720"/>
      <c r="AI33" s="720"/>
      <c r="AJ33" s="720"/>
      <c r="AK33" s="720"/>
      <c r="AL33" s="719"/>
      <c r="AM33" s="719"/>
      <c r="AN33" s="719"/>
      <c r="AO33" s="719"/>
      <c r="AP33" s="720"/>
      <c r="AQ33" s="720"/>
      <c r="AR33" s="720"/>
      <c r="AS33" s="720"/>
      <c r="AT33" s="720"/>
      <c r="AU33" s="720"/>
      <c r="AV33" s="720"/>
      <c r="AW33" s="720"/>
      <c r="AX33" s="720"/>
      <c r="AY33" s="720"/>
      <c r="AZ33" s="720"/>
      <c r="BA33" s="720"/>
    </row>
    <row r="34" spans="1:53">
      <c r="A34" s="719"/>
      <c r="B34" s="719"/>
      <c r="C34" s="720"/>
      <c r="D34" s="720"/>
      <c r="E34" s="720"/>
      <c r="F34" s="720"/>
      <c r="G34" s="720"/>
      <c r="H34" s="720"/>
      <c r="I34" s="720"/>
      <c r="J34" s="720"/>
      <c r="K34" s="720"/>
      <c r="L34" s="720"/>
      <c r="M34" s="720"/>
      <c r="N34" s="720"/>
      <c r="O34" s="720"/>
      <c r="P34" s="720"/>
      <c r="Q34" s="720"/>
      <c r="R34" s="720"/>
      <c r="S34" s="720"/>
      <c r="T34" s="720"/>
      <c r="U34" s="720"/>
      <c r="V34" s="720"/>
      <c r="W34" s="720"/>
      <c r="X34" s="720"/>
      <c r="Y34" s="720"/>
      <c r="Z34" s="720"/>
      <c r="AA34" s="720"/>
      <c r="AB34" s="720"/>
      <c r="AC34" s="720"/>
      <c r="AD34" s="720"/>
      <c r="AE34" s="720"/>
      <c r="AF34" s="720"/>
      <c r="AG34" s="720"/>
      <c r="AH34" s="720"/>
      <c r="AI34" s="720"/>
      <c r="AJ34" s="720"/>
      <c r="AK34" s="720"/>
      <c r="AL34" s="719"/>
      <c r="AM34" s="719"/>
      <c r="AN34" s="719"/>
      <c r="AO34" s="719"/>
      <c r="AP34" s="720"/>
      <c r="AQ34" s="720"/>
      <c r="AR34" s="720"/>
      <c r="AS34" s="720"/>
      <c r="AT34" s="720"/>
      <c r="AU34" s="720"/>
      <c r="AV34" s="720"/>
      <c r="AW34" s="720"/>
      <c r="AX34" s="720"/>
      <c r="AY34" s="720"/>
      <c r="AZ34" s="720"/>
      <c r="BA34" s="720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0"/>
  <sheetViews>
    <sheetView showGridLines="0" topLeftCell="A5" zoomScaleNormal="100" zoomScaleSheetLayoutView="100" workbookViewId="0">
      <pane ySplit="2" topLeftCell="A31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72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72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化学物質データ申請確認画面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72" ht="5.9" customHeight="1"/>
    <row r="5" spans="1:72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376</v>
      </c>
      <c r="D7" s="590"/>
      <c r="E7" s="591"/>
      <c r="F7" s="591"/>
      <c r="G7" s="591"/>
      <c r="H7" s="585"/>
      <c r="I7" s="585"/>
      <c r="J7" s="792"/>
      <c r="K7" s="792"/>
      <c r="L7" s="792"/>
      <c r="M7" s="792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789" t="s">
        <v>300</v>
      </c>
      <c r="BG7" s="790"/>
      <c r="BH7" s="791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680" t="s">
        <v>405</v>
      </c>
      <c r="BG8" s="681"/>
      <c r="BH8" s="682"/>
      <c r="BI8" s="682"/>
      <c r="BJ8" s="682"/>
      <c r="BK8" s="682"/>
      <c r="BL8" s="682"/>
      <c r="BM8" s="683"/>
      <c r="BN8" s="683"/>
      <c r="BO8" s="683"/>
      <c r="BP8" s="683"/>
      <c r="BQ8" s="683"/>
      <c r="BR8" s="683"/>
      <c r="BS8" s="683"/>
      <c r="BT8" s="684"/>
    </row>
    <row r="9" spans="1:72" ht="24" customHeight="1">
      <c r="A9" s="540"/>
      <c r="B9" s="619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653" t="s">
        <v>420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14"/>
      <c r="AU9" s="615"/>
      <c r="AV9" s="616"/>
      <c r="AW9" s="616"/>
      <c r="AX9" s="616"/>
      <c r="AY9" s="617"/>
      <c r="AZ9" s="618"/>
      <c r="BA9" s="543"/>
      <c r="BB9" s="536"/>
      <c r="BC9" s="537"/>
      <c r="BD9" s="538"/>
      <c r="BE9" s="576"/>
      <c r="BF9" s="685"/>
      <c r="BG9" s="576" t="s">
        <v>406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686"/>
    </row>
    <row r="10" spans="1:72" ht="12" customHeight="1">
      <c r="A10" s="540"/>
      <c r="B10" s="548"/>
      <c r="C10" s="807" t="s">
        <v>419</v>
      </c>
      <c r="D10" s="808"/>
      <c r="E10" s="808"/>
      <c r="F10" s="808"/>
      <c r="G10" s="808"/>
      <c r="H10" s="808"/>
      <c r="I10" s="808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687"/>
      <c r="BG10" s="576"/>
      <c r="BH10" s="576" t="s">
        <v>421</v>
      </c>
      <c r="BI10" s="688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6"/>
    </row>
    <row r="11" spans="1:72" ht="12.5" customHeight="1">
      <c r="A11" s="540"/>
      <c r="B11" s="541"/>
      <c r="C11" s="809"/>
      <c r="D11" s="809"/>
      <c r="E11" s="809"/>
      <c r="F11" s="809"/>
      <c r="G11" s="809"/>
      <c r="H11" s="809"/>
      <c r="I11" s="809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7"/>
      <c r="BG11" s="576"/>
      <c r="BH11" s="576" t="s">
        <v>422</v>
      </c>
      <c r="BI11" s="688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686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689"/>
      <c r="BG12" s="596"/>
      <c r="BH12" s="598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686"/>
    </row>
    <row r="13" spans="1:72" ht="12.5" customHeight="1">
      <c r="A13" s="540"/>
      <c r="B13" s="566"/>
      <c r="C13" s="810" t="s">
        <v>439</v>
      </c>
      <c r="D13" s="811"/>
      <c r="E13" s="811"/>
      <c r="F13" s="811"/>
      <c r="G13" s="811"/>
      <c r="H13" s="811"/>
      <c r="I13" s="811"/>
      <c r="J13" s="811"/>
      <c r="K13" s="811"/>
      <c r="L13" s="811"/>
      <c r="M13" s="811"/>
      <c r="N13" s="811"/>
      <c r="O13" s="811"/>
      <c r="P13" s="811"/>
      <c r="Q13" s="811"/>
      <c r="R13" s="811"/>
      <c r="S13" s="811"/>
      <c r="T13" s="811"/>
      <c r="U13" s="811"/>
      <c r="V13" s="811"/>
      <c r="W13" s="811"/>
      <c r="X13" s="811"/>
      <c r="Y13" s="811"/>
      <c r="Z13" s="811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569"/>
      <c r="BA13" s="569"/>
      <c r="BB13" s="536"/>
      <c r="BC13" s="537"/>
      <c r="BD13" s="538"/>
      <c r="BE13" s="598"/>
      <c r="BF13" s="687"/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6"/>
    </row>
    <row r="14" spans="1:72" ht="12.5" customHeight="1">
      <c r="A14" s="540"/>
      <c r="B14" s="566"/>
      <c r="C14" s="811"/>
      <c r="D14" s="811"/>
      <c r="E14" s="811"/>
      <c r="F14" s="811"/>
      <c r="G14" s="811"/>
      <c r="H14" s="811"/>
      <c r="I14" s="811"/>
      <c r="J14" s="811"/>
      <c r="K14" s="811"/>
      <c r="L14" s="811"/>
      <c r="M14" s="811"/>
      <c r="N14" s="811"/>
      <c r="O14" s="811"/>
      <c r="P14" s="811"/>
      <c r="Q14" s="811"/>
      <c r="R14" s="811"/>
      <c r="S14" s="811"/>
      <c r="T14" s="811"/>
      <c r="U14" s="811"/>
      <c r="V14" s="811"/>
      <c r="W14" s="811"/>
      <c r="X14" s="811"/>
      <c r="Y14" s="811"/>
      <c r="Z14" s="811"/>
      <c r="AA14" s="811"/>
      <c r="AB14" s="811"/>
      <c r="AC14" s="811"/>
      <c r="AD14" s="811"/>
      <c r="AE14" s="811"/>
      <c r="AF14" s="811"/>
      <c r="AG14" s="811"/>
      <c r="AH14" s="811"/>
      <c r="AI14" s="811"/>
      <c r="AJ14" s="811"/>
      <c r="AK14" s="811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  <c r="AX14" s="811"/>
      <c r="AY14" s="811"/>
      <c r="AZ14" s="569"/>
      <c r="BA14" s="569"/>
      <c r="BB14" s="536"/>
      <c r="BC14" s="537"/>
      <c r="BD14" s="538"/>
      <c r="BE14" s="596"/>
      <c r="BF14" s="689"/>
      <c r="BG14" s="576"/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6"/>
    </row>
    <row r="15" spans="1:72" ht="12.5" customHeight="1">
      <c r="A15" s="540"/>
      <c r="B15" s="566"/>
      <c r="C15" s="811"/>
      <c r="D15" s="811"/>
      <c r="E15" s="811"/>
      <c r="F15" s="811"/>
      <c r="G15" s="811"/>
      <c r="H15" s="811"/>
      <c r="I15" s="811"/>
      <c r="J15" s="811"/>
      <c r="K15" s="811"/>
      <c r="L15" s="811"/>
      <c r="M15" s="811"/>
      <c r="N15" s="811"/>
      <c r="O15" s="811"/>
      <c r="P15" s="811"/>
      <c r="Q15" s="811"/>
      <c r="R15" s="811"/>
      <c r="S15" s="811"/>
      <c r="T15" s="811"/>
      <c r="U15" s="811"/>
      <c r="V15" s="811"/>
      <c r="W15" s="811"/>
      <c r="X15" s="811"/>
      <c r="Y15" s="811"/>
      <c r="Z15" s="811"/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569"/>
      <c r="BA15" s="569"/>
      <c r="BB15" s="536"/>
      <c r="BC15" s="537"/>
      <c r="BD15" s="538"/>
      <c r="BE15" s="596"/>
      <c r="BF15" s="689"/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6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690"/>
      <c r="BG16" s="691"/>
      <c r="BH16" s="691"/>
      <c r="BI16" s="692"/>
      <c r="BJ16" s="692"/>
      <c r="BK16" s="692"/>
      <c r="BL16" s="692"/>
      <c r="BM16" s="692"/>
      <c r="BN16" s="692"/>
      <c r="BO16" s="692"/>
      <c r="BP16" s="692"/>
      <c r="BQ16" s="692"/>
      <c r="BR16" s="692"/>
      <c r="BS16" s="692"/>
      <c r="BT16" s="693"/>
    </row>
    <row r="17" spans="1:72" ht="12.5" customHeight="1">
      <c r="A17" s="540"/>
      <c r="B17" s="566"/>
      <c r="C17" s="565"/>
      <c r="D17" s="568"/>
      <c r="E17" s="765" t="s">
        <v>426</v>
      </c>
      <c r="F17" s="766"/>
      <c r="G17" s="766"/>
      <c r="H17" s="766"/>
      <c r="I17" s="766"/>
      <c r="J17" s="766"/>
      <c r="K17" s="766"/>
      <c r="L17" s="766"/>
      <c r="M17" s="766"/>
      <c r="N17" s="766"/>
      <c r="O17" s="767"/>
      <c r="P17" s="765" t="s">
        <v>427</v>
      </c>
      <c r="Q17" s="766"/>
      <c r="R17" s="766"/>
      <c r="S17" s="766"/>
      <c r="T17" s="766"/>
      <c r="U17" s="766"/>
      <c r="V17" s="766"/>
      <c r="W17" s="766"/>
      <c r="X17" s="766"/>
      <c r="Y17" s="766"/>
      <c r="Z17" s="766"/>
      <c r="AA17" s="767"/>
      <c r="AB17" s="765" t="s">
        <v>428</v>
      </c>
      <c r="AC17" s="766"/>
      <c r="AD17" s="766"/>
      <c r="AE17" s="766"/>
      <c r="AF17" s="766"/>
      <c r="AG17" s="766"/>
      <c r="AH17" s="766"/>
      <c r="AI17" s="766"/>
      <c r="AJ17" s="766"/>
      <c r="AK17" s="766"/>
      <c r="AL17" s="766"/>
      <c r="AM17" s="766"/>
      <c r="AN17" s="766"/>
      <c r="AO17" s="766"/>
      <c r="AP17" s="766"/>
      <c r="AQ17" s="766"/>
      <c r="AR17" s="766"/>
      <c r="AS17" s="766"/>
      <c r="AT17" s="766"/>
      <c r="AU17" s="766"/>
      <c r="AV17" s="766"/>
      <c r="AW17" s="767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/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21" customHeight="1">
      <c r="A18" s="540"/>
      <c r="B18" s="566"/>
      <c r="C18" s="565"/>
      <c r="D18" s="565"/>
      <c r="E18" s="768" t="s">
        <v>429</v>
      </c>
      <c r="F18" s="769"/>
      <c r="G18" s="769"/>
      <c r="H18" s="769"/>
      <c r="I18" s="769"/>
      <c r="J18" s="769"/>
      <c r="K18" s="769"/>
      <c r="L18" s="769"/>
      <c r="M18" s="769"/>
      <c r="N18" s="769"/>
      <c r="O18" s="770"/>
      <c r="P18" s="768" t="s">
        <v>564</v>
      </c>
      <c r="Q18" s="769"/>
      <c r="R18" s="769"/>
      <c r="S18" s="769"/>
      <c r="T18" s="769"/>
      <c r="U18" s="769"/>
      <c r="V18" s="769"/>
      <c r="W18" s="769"/>
      <c r="X18" s="769"/>
      <c r="Y18" s="769"/>
      <c r="Z18" s="769"/>
      <c r="AA18" s="770"/>
      <c r="AB18" s="768" t="s">
        <v>430</v>
      </c>
      <c r="AC18" s="769"/>
      <c r="AD18" s="769"/>
      <c r="AE18" s="769"/>
      <c r="AF18" s="769"/>
      <c r="AG18" s="769"/>
      <c r="AH18" s="769"/>
      <c r="AI18" s="769"/>
      <c r="AJ18" s="769"/>
      <c r="AK18" s="769"/>
      <c r="AL18" s="769"/>
      <c r="AM18" s="769"/>
      <c r="AN18" s="769"/>
      <c r="AO18" s="769"/>
      <c r="AP18" s="769"/>
      <c r="AQ18" s="769"/>
      <c r="AR18" s="769"/>
      <c r="AS18" s="769"/>
      <c r="AT18" s="769"/>
      <c r="AU18" s="769"/>
      <c r="AV18" s="769"/>
      <c r="AW18" s="770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33.5" customHeight="1">
      <c r="A19" s="540"/>
      <c r="B19" s="566"/>
      <c r="C19" s="565"/>
      <c r="D19" s="565"/>
      <c r="E19" s="768" t="s">
        <v>401</v>
      </c>
      <c r="F19" s="769"/>
      <c r="G19" s="769"/>
      <c r="H19" s="769"/>
      <c r="I19" s="769"/>
      <c r="J19" s="769"/>
      <c r="K19" s="769"/>
      <c r="L19" s="769"/>
      <c r="M19" s="769"/>
      <c r="N19" s="769"/>
      <c r="O19" s="770"/>
      <c r="P19" s="771" t="s">
        <v>431</v>
      </c>
      <c r="Q19" s="772"/>
      <c r="R19" s="772"/>
      <c r="S19" s="772"/>
      <c r="T19" s="772"/>
      <c r="U19" s="772"/>
      <c r="V19" s="772"/>
      <c r="W19" s="772"/>
      <c r="X19" s="772"/>
      <c r="Y19" s="772"/>
      <c r="Z19" s="772"/>
      <c r="AA19" s="773"/>
      <c r="AB19" s="771" t="s">
        <v>432</v>
      </c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3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27.5" customHeight="1">
      <c r="A20" s="540"/>
      <c r="B20" s="566"/>
      <c r="C20" s="565"/>
      <c r="D20" s="565"/>
      <c r="E20" s="771" t="s">
        <v>433</v>
      </c>
      <c r="F20" s="772"/>
      <c r="G20" s="772"/>
      <c r="H20" s="772"/>
      <c r="I20" s="772"/>
      <c r="J20" s="772"/>
      <c r="K20" s="772"/>
      <c r="L20" s="772"/>
      <c r="M20" s="772"/>
      <c r="N20" s="772"/>
      <c r="O20" s="773"/>
      <c r="P20" s="768" t="s">
        <v>434</v>
      </c>
      <c r="Q20" s="769"/>
      <c r="R20" s="769"/>
      <c r="S20" s="769"/>
      <c r="T20" s="769"/>
      <c r="U20" s="769"/>
      <c r="V20" s="769"/>
      <c r="W20" s="769"/>
      <c r="X20" s="769"/>
      <c r="Y20" s="769"/>
      <c r="Z20" s="769"/>
      <c r="AA20" s="770"/>
      <c r="AB20" s="768" t="s">
        <v>435</v>
      </c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70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6" customHeight="1">
      <c r="A21" s="540"/>
      <c r="B21" s="566"/>
      <c r="C21" s="565"/>
      <c r="D21" s="565"/>
      <c r="E21" s="771" t="s">
        <v>436</v>
      </c>
      <c r="F21" s="772"/>
      <c r="G21" s="772"/>
      <c r="H21" s="772"/>
      <c r="I21" s="772"/>
      <c r="J21" s="772"/>
      <c r="K21" s="772"/>
      <c r="L21" s="772"/>
      <c r="M21" s="772"/>
      <c r="N21" s="772"/>
      <c r="O21" s="773"/>
      <c r="P21" s="768" t="s">
        <v>437</v>
      </c>
      <c r="Q21" s="769"/>
      <c r="R21" s="769"/>
      <c r="S21" s="769"/>
      <c r="T21" s="769"/>
      <c r="U21" s="769"/>
      <c r="V21" s="769"/>
      <c r="W21" s="769"/>
      <c r="X21" s="769"/>
      <c r="Y21" s="769"/>
      <c r="Z21" s="769"/>
      <c r="AA21" s="770"/>
      <c r="AB21" s="768" t="s">
        <v>438</v>
      </c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70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/>
      <c r="F22" s="567"/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75"/>
      <c r="D23" s="576"/>
      <c r="E23" s="568"/>
      <c r="F23" s="568"/>
      <c r="G23" s="568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79"/>
      <c r="AT23" s="573"/>
      <c r="AU23" s="568"/>
      <c r="AV23" s="568"/>
      <c r="AW23" s="568"/>
      <c r="AX23" s="568"/>
      <c r="AY23" s="568"/>
      <c r="AZ23" s="569"/>
      <c r="BA23" s="569"/>
      <c r="BB23" s="551"/>
      <c r="BC23" s="552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5"/>
      <c r="D24" s="576"/>
      <c r="E24" s="568"/>
      <c r="F24" s="568"/>
      <c r="G24" s="568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1"/>
      <c r="AT24" s="577"/>
      <c r="AU24" s="577"/>
      <c r="AV24" s="577"/>
      <c r="AW24" s="577"/>
      <c r="AX24" s="577"/>
      <c r="AY24" s="577"/>
      <c r="AZ24" s="569"/>
      <c r="BA24" s="569"/>
      <c r="BB24" s="551"/>
      <c r="BC24" s="552"/>
      <c r="BD24" s="538"/>
      <c r="BE24" s="596"/>
      <c r="BF24" s="596"/>
      <c r="BG24" s="596"/>
      <c r="BH24" s="596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65"/>
      <c r="D25" s="565"/>
      <c r="E25" s="565"/>
      <c r="F25" s="565"/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70"/>
      <c r="D26" s="565"/>
      <c r="E26" s="565"/>
      <c r="F26" s="565"/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8"/>
      <c r="BE26" s="596"/>
      <c r="BF26" s="596"/>
      <c r="BG26" s="596"/>
      <c r="BH26" s="598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568"/>
      <c r="F27" s="568"/>
      <c r="G27" s="568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1"/>
      <c r="AT27" s="577"/>
      <c r="AU27" s="577"/>
      <c r="AV27" s="577"/>
      <c r="AW27" s="577"/>
      <c r="AX27" s="577"/>
      <c r="AY27" s="577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65"/>
      <c r="D28" s="565"/>
      <c r="E28" s="812" t="s">
        <v>407</v>
      </c>
      <c r="F28" s="813"/>
      <c r="G28" s="813"/>
      <c r="H28" s="813"/>
      <c r="I28" s="777">
        <v>123456</v>
      </c>
      <c r="J28" s="777"/>
      <c r="K28" s="777"/>
      <c r="L28" s="777"/>
      <c r="M28" s="777"/>
      <c r="N28" s="777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80"/>
      <c r="AT28" s="571"/>
      <c r="AU28" s="565"/>
      <c r="AV28" s="568"/>
      <c r="AW28" s="568"/>
      <c r="AX28" s="568"/>
      <c r="AY28" s="565"/>
      <c r="AZ28" s="569"/>
      <c r="BA28" s="569"/>
      <c r="BB28" s="536"/>
      <c r="BC28" s="537"/>
      <c r="BD28" s="539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812"/>
      <c r="F29" s="813"/>
      <c r="G29" s="813"/>
      <c r="H29" s="813"/>
      <c r="I29" s="777"/>
      <c r="J29" s="777"/>
      <c r="K29" s="777"/>
      <c r="L29" s="777"/>
      <c r="M29" s="777"/>
      <c r="N29" s="777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79"/>
      <c r="AT29" s="573"/>
      <c r="AU29" s="568"/>
      <c r="AV29" s="568"/>
      <c r="AW29" s="568"/>
      <c r="AX29" s="568"/>
      <c r="AY29" s="568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75"/>
      <c r="D30" s="576"/>
      <c r="E30" s="813"/>
      <c r="F30" s="813"/>
      <c r="G30" s="813"/>
      <c r="H30" s="813"/>
      <c r="I30" s="777"/>
      <c r="J30" s="777"/>
      <c r="K30" s="777"/>
      <c r="L30" s="777"/>
      <c r="M30" s="777"/>
      <c r="N30" s="777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79"/>
      <c r="AT30" s="573"/>
      <c r="AU30" s="568"/>
      <c r="AV30" s="568"/>
      <c r="AW30" s="568"/>
      <c r="AX30" s="568"/>
      <c r="AY30" s="568"/>
      <c r="AZ30" s="569"/>
      <c r="BA30" s="569"/>
      <c r="BB30" s="551"/>
      <c r="BC30" s="552"/>
      <c r="BD30" s="538"/>
      <c r="BE30" s="596"/>
      <c r="BF30" s="596"/>
      <c r="BG30" s="596"/>
      <c r="BH30" s="596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812" t="s">
        <v>408</v>
      </c>
      <c r="F31" s="813"/>
      <c r="G31" s="813"/>
      <c r="H31" s="813"/>
      <c r="I31" s="777" t="s">
        <v>377</v>
      </c>
      <c r="J31" s="777"/>
      <c r="K31" s="777"/>
      <c r="L31" s="777"/>
      <c r="M31" s="777"/>
      <c r="N31" s="777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1"/>
      <c r="AT31" s="577"/>
      <c r="AU31" s="577"/>
      <c r="AV31" s="577"/>
      <c r="AW31" s="577"/>
      <c r="AX31" s="577"/>
      <c r="AY31" s="577"/>
      <c r="AZ31" s="569"/>
      <c r="BA31" s="569"/>
      <c r="BB31" s="551"/>
      <c r="BC31" s="552"/>
      <c r="BD31" s="538"/>
      <c r="BE31" s="596"/>
      <c r="BF31" s="596"/>
      <c r="BG31" s="596"/>
      <c r="BH31" s="598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65"/>
      <c r="D32" s="565"/>
      <c r="E32" s="813"/>
      <c r="F32" s="813"/>
      <c r="G32" s="813"/>
      <c r="H32" s="813"/>
      <c r="I32" s="777"/>
      <c r="J32" s="777"/>
      <c r="K32" s="777"/>
      <c r="L32" s="777"/>
      <c r="M32" s="777"/>
      <c r="N32" s="777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68"/>
      <c r="AW32" s="568"/>
      <c r="AX32" s="568"/>
      <c r="AY32" s="565"/>
      <c r="AZ32" s="569"/>
      <c r="BA32" s="569"/>
      <c r="BB32" s="536"/>
      <c r="BC32" s="537"/>
      <c r="BD32" s="539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75"/>
      <c r="D33" s="576"/>
      <c r="E33" s="568"/>
      <c r="F33" s="568"/>
      <c r="G33" s="568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79"/>
      <c r="AT33" s="573"/>
      <c r="AU33" s="568"/>
      <c r="AV33" s="568"/>
      <c r="AW33" s="568"/>
      <c r="AX33" s="568"/>
      <c r="AY33" s="568"/>
      <c r="AZ33" s="569"/>
      <c r="BA33" s="569"/>
      <c r="BB33" s="551"/>
      <c r="BC33" s="552"/>
      <c r="BD33" s="538"/>
      <c r="BE33" s="596"/>
      <c r="BF33" s="596"/>
      <c r="BG33" s="596"/>
      <c r="BH33" s="596"/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568"/>
      <c r="F34" s="568"/>
      <c r="G34" s="568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81"/>
      <c r="AT34" s="577"/>
      <c r="AU34" s="577"/>
      <c r="AV34" s="577"/>
      <c r="AW34" s="577"/>
      <c r="AX34" s="577"/>
      <c r="AY34" s="577"/>
      <c r="AZ34" s="569"/>
      <c r="BA34" s="569"/>
      <c r="BB34" s="551"/>
      <c r="BC34" s="552"/>
      <c r="BD34" s="538"/>
      <c r="BE34" s="596"/>
      <c r="BF34" s="596"/>
      <c r="BG34" s="596"/>
      <c r="BH34" s="598"/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65"/>
      <c r="D35" s="565"/>
      <c r="E35" s="805"/>
      <c r="F35" s="805"/>
      <c r="G35" s="814" t="s">
        <v>409</v>
      </c>
      <c r="H35" s="801"/>
      <c r="I35" s="801"/>
      <c r="J35" s="801" t="s">
        <v>378</v>
      </c>
      <c r="K35" s="801"/>
      <c r="L35" s="801"/>
      <c r="M35" s="814" t="s">
        <v>443</v>
      </c>
      <c r="N35" s="814"/>
      <c r="O35" s="814"/>
      <c r="P35" s="800" t="s">
        <v>444</v>
      </c>
      <c r="Q35" s="814"/>
      <c r="R35" s="814"/>
      <c r="S35" s="800" t="s">
        <v>445</v>
      </c>
      <c r="T35" s="801"/>
      <c r="U35" s="801"/>
      <c r="V35" s="803" t="s">
        <v>446</v>
      </c>
      <c r="W35" s="803"/>
      <c r="X35" s="803"/>
      <c r="Y35" s="803" t="s">
        <v>447</v>
      </c>
      <c r="Z35" s="803"/>
      <c r="AA35" s="803"/>
      <c r="AB35" s="803" t="s">
        <v>448</v>
      </c>
      <c r="AC35" s="803"/>
      <c r="AD35" s="803"/>
      <c r="AE35" s="798" t="s">
        <v>440</v>
      </c>
      <c r="AF35" s="798"/>
      <c r="AG35" s="798"/>
      <c r="AH35" s="798" t="s">
        <v>379</v>
      </c>
      <c r="AI35" s="798"/>
      <c r="AJ35" s="798"/>
      <c r="AK35" s="798" t="s">
        <v>441</v>
      </c>
      <c r="AL35" s="798"/>
      <c r="AM35" s="798"/>
      <c r="AN35" s="798" t="s">
        <v>449</v>
      </c>
      <c r="AO35" s="798"/>
      <c r="AP35" s="798"/>
      <c r="AQ35" s="579"/>
      <c r="AR35" s="579"/>
      <c r="AS35" s="580"/>
      <c r="AT35" s="571"/>
      <c r="AU35" s="565"/>
      <c r="AV35" s="568"/>
      <c r="AW35" s="568"/>
      <c r="AX35" s="568"/>
      <c r="AY35" s="565"/>
      <c r="AZ35" s="569"/>
      <c r="BA35" s="569"/>
      <c r="BB35" s="536"/>
      <c r="BC35" s="537"/>
      <c r="BD35" s="539"/>
      <c r="BE35" s="596"/>
      <c r="BF35" s="596"/>
      <c r="BG35" s="596"/>
      <c r="BH35" s="598"/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7.5" customHeight="1">
      <c r="A36" s="540"/>
      <c r="B36" s="566"/>
      <c r="C36" s="575"/>
      <c r="D36" s="576"/>
      <c r="E36" s="806"/>
      <c r="F36" s="806"/>
      <c r="G36" s="815"/>
      <c r="H36" s="802"/>
      <c r="I36" s="802"/>
      <c r="J36" s="802"/>
      <c r="K36" s="802"/>
      <c r="L36" s="802"/>
      <c r="M36" s="815"/>
      <c r="N36" s="815"/>
      <c r="O36" s="815"/>
      <c r="P36" s="815"/>
      <c r="Q36" s="815"/>
      <c r="R36" s="815"/>
      <c r="S36" s="802"/>
      <c r="T36" s="802"/>
      <c r="U36" s="802"/>
      <c r="V36" s="804"/>
      <c r="W36" s="804"/>
      <c r="X36" s="804"/>
      <c r="Y36" s="804"/>
      <c r="Z36" s="804"/>
      <c r="AA36" s="804"/>
      <c r="AB36" s="804"/>
      <c r="AC36" s="804"/>
      <c r="AD36" s="804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579"/>
      <c r="AR36" s="579"/>
      <c r="AS36" s="579"/>
      <c r="AT36" s="573"/>
      <c r="AU36" s="568"/>
      <c r="AV36" s="568"/>
      <c r="AW36" s="568"/>
      <c r="AX36" s="568"/>
      <c r="AY36" s="568"/>
      <c r="AZ36" s="569"/>
      <c r="BA36" s="569"/>
      <c r="BB36" s="551"/>
      <c r="BC36" s="552"/>
      <c r="BD36" s="538"/>
      <c r="BE36" s="596"/>
      <c r="BF36" s="596"/>
      <c r="BG36" s="596"/>
      <c r="BH36" s="596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7.5" customHeight="1">
      <c r="A37" s="540"/>
      <c r="B37" s="566"/>
      <c r="C37" s="575"/>
      <c r="D37" s="576"/>
      <c r="E37" s="806"/>
      <c r="F37" s="806"/>
      <c r="G37" s="802"/>
      <c r="H37" s="802"/>
      <c r="I37" s="802"/>
      <c r="J37" s="802"/>
      <c r="K37" s="802"/>
      <c r="L37" s="802"/>
      <c r="M37" s="815"/>
      <c r="N37" s="815"/>
      <c r="O37" s="815"/>
      <c r="P37" s="815"/>
      <c r="Q37" s="815"/>
      <c r="R37" s="815"/>
      <c r="S37" s="802"/>
      <c r="T37" s="802"/>
      <c r="U37" s="802"/>
      <c r="V37" s="804"/>
      <c r="W37" s="804"/>
      <c r="X37" s="804"/>
      <c r="Y37" s="804"/>
      <c r="Z37" s="804"/>
      <c r="AA37" s="804"/>
      <c r="AB37" s="804"/>
      <c r="AC37" s="804"/>
      <c r="AD37" s="804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579"/>
      <c r="AR37" s="579"/>
      <c r="AS37" s="579"/>
      <c r="AT37" s="573"/>
      <c r="AU37" s="568"/>
      <c r="AV37" s="568"/>
      <c r="AW37" s="568"/>
      <c r="AX37" s="568"/>
      <c r="AY37" s="568"/>
      <c r="AZ37" s="569"/>
      <c r="BA37" s="569"/>
      <c r="BB37" s="551"/>
      <c r="BC37" s="552"/>
      <c r="BD37" s="538"/>
      <c r="BE37" s="596"/>
      <c r="BF37" s="596"/>
      <c r="BG37" s="596"/>
      <c r="BH37" s="598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774" t="s">
        <v>380</v>
      </c>
      <c r="F38" s="774"/>
      <c r="G38" s="776" t="s">
        <v>381</v>
      </c>
      <c r="H38" s="776"/>
      <c r="I38" s="776"/>
      <c r="J38" s="816" t="s">
        <v>387</v>
      </c>
      <c r="K38" s="776"/>
      <c r="L38" s="776"/>
      <c r="M38" s="816" t="s">
        <v>413</v>
      </c>
      <c r="N38" s="776"/>
      <c r="O38" s="776"/>
      <c r="P38" s="816" t="s">
        <v>410</v>
      </c>
      <c r="Q38" s="776"/>
      <c r="R38" s="776"/>
      <c r="S38" s="775" t="s">
        <v>394</v>
      </c>
      <c r="T38" s="776"/>
      <c r="U38" s="776"/>
      <c r="V38" s="778" t="s">
        <v>398</v>
      </c>
      <c r="W38" s="779"/>
      <c r="X38" s="780"/>
      <c r="Y38" s="778" t="s">
        <v>398</v>
      </c>
      <c r="Z38" s="779"/>
      <c r="AA38" s="780"/>
      <c r="AB38" s="778" t="s">
        <v>398</v>
      </c>
      <c r="AC38" s="779"/>
      <c r="AD38" s="780"/>
      <c r="AE38" s="778" t="s">
        <v>398</v>
      </c>
      <c r="AF38" s="779"/>
      <c r="AG38" s="780"/>
      <c r="AH38" s="778" t="s">
        <v>398</v>
      </c>
      <c r="AI38" s="779"/>
      <c r="AJ38" s="780"/>
      <c r="AK38" s="778" t="s">
        <v>398</v>
      </c>
      <c r="AL38" s="779"/>
      <c r="AM38" s="780"/>
      <c r="AN38" s="778" t="s">
        <v>398</v>
      </c>
      <c r="AO38" s="779"/>
      <c r="AP38" s="780"/>
      <c r="AQ38" s="579"/>
      <c r="AR38" s="579"/>
      <c r="AS38" s="581"/>
      <c r="AT38" s="577"/>
      <c r="AU38" s="577"/>
      <c r="AV38" s="577"/>
      <c r="AW38" s="577"/>
      <c r="AX38" s="577"/>
      <c r="AY38" s="577"/>
      <c r="AZ38" s="569"/>
      <c r="BA38" s="569"/>
      <c r="BB38" s="551"/>
      <c r="BC38" s="552"/>
      <c r="BD38" s="538"/>
      <c r="BE38" s="596"/>
      <c r="BF38" s="596"/>
      <c r="BG38" s="596"/>
      <c r="BH38" s="598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65"/>
      <c r="D39" s="565"/>
      <c r="E39" s="774"/>
      <c r="F39" s="774"/>
      <c r="G39" s="776"/>
      <c r="H39" s="776"/>
      <c r="I39" s="776"/>
      <c r="J39" s="816"/>
      <c r="K39" s="776"/>
      <c r="L39" s="776"/>
      <c r="M39" s="776"/>
      <c r="N39" s="776"/>
      <c r="O39" s="776"/>
      <c r="P39" s="816"/>
      <c r="Q39" s="776"/>
      <c r="R39" s="776"/>
      <c r="S39" s="775"/>
      <c r="T39" s="776"/>
      <c r="U39" s="776"/>
      <c r="V39" s="781"/>
      <c r="W39" s="782"/>
      <c r="X39" s="783"/>
      <c r="Y39" s="781"/>
      <c r="Z39" s="782"/>
      <c r="AA39" s="783"/>
      <c r="AB39" s="781"/>
      <c r="AC39" s="782"/>
      <c r="AD39" s="783"/>
      <c r="AE39" s="781"/>
      <c r="AF39" s="782"/>
      <c r="AG39" s="783"/>
      <c r="AH39" s="781"/>
      <c r="AI39" s="782"/>
      <c r="AJ39" s="783"/>
      <c r="AK39" s="781"/>
      <c r="AL39" s="782"/>
      <c r="AM39" s="783"/>
      <c r="AN39" s="781"/>
      <c r="AO39" s="782"/>
      <c r="AP39" s="783"/>
      <c r="AQ39" s="579"/>
      <c r="AR39" s="579"/>
      <c r="AS39" s="580"/>
      <c r="AT39" s="571"/>
      <c r="AU39" s="565"/>
      <c r="AV39" s="568"/>
      <c r="AW39" s="568"/>
      <c r="AX39" s="568"/>
      <c r="AY39" s="565"/>
      <c r="AZ39" s="569"/>
      <c r="BA39" s="569"/>
      <c r="BB39" s="536"/>
      <c r="BC39" s="537"/>
      <c r="BD39" s="539"/>
      <c r="BE39" s="596"/>
      <c r="BF39" s="596"/>
      <c r="BG39" s="596"/>
      <c r="BH39" s="596"/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65"/>
      <c r="D40" s="565"/>
      <c r="E40" s="774"/>
      <c r="F40" s="774"/>
      <c r="G40" s="776"/>
      <c r="H40" s="776"/>
      <c r="I40" s="776"/>
      <c r="J40" s="776"/>
      <c r="K40" s="776"/>
      <c r="L40" s="776"/>
      <c r="M40" s="776"/>
      <c r="N40" s="776"/>
      <c r="O40" s="776"/>
      <c r="P40" s="776"/>
      <c r="Q40" s="776"/>
      <c r="R40" s="776"/>
      <c r="S40" s="776"/>
      <c r="T40" s="776"/>
      <c r="U40" s="776"/>
      <c r="V40" s="784"/>
      <c r="W40" s="785"/>
      <c r="X40" s="786"/>
      <c r="Y40" s="784"/>
      <c r="Z40" s="785"/>
      <c r="AA40" s="786"/>
      <c r="AB40" s="784"/>
      <c r="AC40" s="785"/>
      <c r="AD40" s="786"/>
      <c r="AE40" s="784"/>
      <c r="AF40" s="785"/>
      <c r="AG40" s="786"/>
      <c r="AH40" s="784"/>
      <c r="AI40" s="785"/>
      <c r="AJ40" s="786"/>
      <c r="AK40" s="784"/>
      <c r="AL40" s="785"/>
      <c r="AM40" s="786"/>
      <c r="AN40" s="784"/>
      <c r="AO40" s="785"/>
      <c r="AP40" s="786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8"/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774"/>
      <c r="F41" s="774"/>
      <c r="G41" s="776" t="s">
        <v>381</v>
      </c>
      <c r="H41" s="776"/>
      <c r="I41" s="776"/>
      <c r="J41" s="816" t="s">
        <v>387</v>
      </c>
      <c r="K41" s="776"/>
      <c r="L41" s="776"/>
      <c r="M41" s="816" t="s">
        <v>413</v>
      </c>
      <c r="N41" s="776"/>
      <c r="O41" s="776"/>
      <c r="P41" s="816" t="s">
        <v>410</v>
      </c>
      <c r="Q41" s="776"/>
      <c r="R41" s="776"/>
      <c r="S41" s="775" t="s">
        <v>394</v>
      </c>
      <c r="T41" s="776"/>
      <c r="U41" s="776"/>
      <c r="V41" s="778" t="s">
        <v>398</v>
      </c>
      <c r="W41" s="779"/>
      <c r="X41" s="780"/>
      <c r="Y41" s="778" t="s">
        <v>398</v>
      </c>
      <c r="Z41" s="779"/>
      <c r="AA41" s="780"/>
      <c r="AB41" s="778" t="s">
        <v>398</v>
      </c>
      <c r="AC41" s="779"/>
      <c r="AD41" s="780"/>
      <c r="AE41" s="778" t="s">
        <v>398</v>
      </c>
      <c r="AF41" s="779"/>
      <c r="AG41" s="780"/>
      <c r="AH41" s="778" t="s">
        <v>398</v>
      </c>
      <c r="AI41" s="779"/>
      <c r="AJ41" s="780"/>
      <c r="AK41" s="778" t="s">
        <v>398</v>
      </c>
      <c r="AL41" s="779"/>
      <c r="AM41" s="780"/>
      <c r="AN41" s="778" t="s">
        <v>398</v>
      </c>
      <c r="AO41" s="779"/>
      <c r="AP41" s="780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8"/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774"/>
      <c r="F42" s="774"/>
      <c r="G42" s="776"/>
      <c r="H42" s="776"/>
      <c r="I42" s="776"/>
      <c r="J42" s="816"/>
      <c r="K42" s="776"/>
      <c r="L42" s="776"/>
      <c r="M42" s="776"/>
      <c r="N42" s="776"/>
      <c r="O42" s="776"/>
      <c r="P42" s="816"/>
      <c r="Q42" s="776"/>
      <c r="R42" s="776"/>
      <c r="S42" s="775"/>
      <c r="T42" s="776"/>
      <c r="U42" s="776"/>
      <c r="V42" s="781"/>
      <c r="W42" s="782"/>
      <c r="X42" s="783"/>
      <c r="Y42" s="781"/>
      <c r="Z42" s="782"/>
      <c r="AA42" s="783"/>
      <c r="AB42" s="781"/>
      <c r="AC42" s="782"/>
      <c r="AD42" s="783"/>
      <c r="AE42" s="781"/>
      <c r="AF42" s="782"/>
      <c r="AG42" s="783"/>
      <c r="AH42" s="781"/>
      <c r="AI42" s="782"/>
      <c r="AJ42" s="783"/>
      <c r="AK42" s="781"/>
      <c r="AL42" s="782"/>
      <c r="AM42" s="783"/>
      <c r="AN42" s="781"/>
      <c r="AO42" s="782"/>
      <c r="AP42" s="783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8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774"/>
      <c r="F43" s="774"/>
      <c r="G43" s="776"/>
      <c r="H43" s="776"/>
      <c r="I43" s="776"/>
      <c r="J43" s="776"/>
      <c r="K43" s="776"/>
      <c r="L43" s="776"/>
      <c r="M43" s="776"/>
      <c r="N43" s="776"/>
      <c r="O43" s="776"/>
      <c r="P43" s="776"/>
      <c r="Q43" s="776"/>
      <c r="R43" s="776"/>
      <c r="S43" s="776"/>
      <c r="T43" s="776"/>
      <c r="U43" s="776"/>
      <c r="V43" s="784"/>
      <c r="W43" s="785"/>
      <c r="X43" s="786"/>
      <c r="Y43" s="784"/>
      <c r="Z43" s="785"/>
      <c r="AA43" s="786"/>
      <c r="AB43" s="784"/>
      <c r="AC43" s="785"/>
      <c r="AD43" s="786"/>
      <c r="AE43" s="784"/>
      <c r="AF43" s="785"/>
      <c r="AG43" s="786"/>
      <c r="AH43" s="784"/>
      <c r="AI43" s="785"/>
      <c r="AJ43" s="786"/>
      <c r="AK43" s="784"/>
      <c r="AL43" s="785"/>
      <c r="AM43" s="786"/>
      <c r="AN43" s="784"/>
      <c r="AO43" s="785"/>
      <c r="AP43" s="786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/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75"/>
      <c r="D44" s="576"/>
      <c r="E44" s="774" t="s">
        <v>380</v>
      </c>
      <c r="F44" s="774"/>
      <c r="G44" s="776" t="s">
        <v>382</v>
      </c>
      <c r="H44" s="776"/>
      <c r="I44" s="776"/>
      <c r="J44" s="816" t="s">
        <v>388</v>
      </c>
      <c r="K44" s="776"/>
      <c r="L44" s="776"/>
      <c r="M44" s="816" t="s">
        <v>412</v>
      </c>
      <c r="N44" s="776"/>
      <c r="O44" s="776"/>
      <c r="P44" s="816" t="s">
        <v>410</v>
      </c>
      <c r="Q44" s="776"/>
      <c r="R44" s="776"/>
      <c r="S44" s="775" t="s">
        <v>395</v>
      </c>
      <c r="T44" s="776"/>
      <c r="U44" s="776"/>
      <c r="V44" s="816" t="s">
        <v>399</v>
      </c>
      <c r="W44" s="776"/>
      <c r="X44" s="776"/>
      <c r="Y44" s="816" t="s">
        <v>399</v>
      </c>
      <c r="Z44" s="776"/>
      <c r="AA44" s="776"/>
      <c r="AB44" s="778" t="s">
        <v>398</v>
      </c>
      <c r="AC44" s="779"/>
      <c r="AD44" s="780"/>
      <c r="AE44" s="778" t="s">
        <v>398</v>
      </c>
      <c r="AF44" s="779"/>
      <c r="AG44" s="780"/>
      <c r="AH44" s="776" t="s">
        <v>401</v>
      </c>
      <c r="AI44" s="776"/>
      <c r="AJ44" s="776"/>
      <c r="AK44" s="778" t="s">
        <v>398</v>
      </c>
      <c r="AL44" s="779"/>
      <c r="AM44" s="780"/>
      <c r="AN44" s="778" t="s">
        <v>398</v>
      </c>
      <c r="AO44" s="779"/>
      <c r="AP44" s="780"/>
      <c r="AQ44" s="579"/>
      <c r="AR44" s="579"/>
      <c r="AS44" s="581"/>
      <c r="AT44" s="577"/>
      <c r="AU44" s="577"/>
      <c r="AV44" s="577"/>
      <c r="AW44" s="577"/>
      <c r="AX44" s="577"/>
      <c r="AY44" s="577"/>
      <c r="AZ44" s="569"/>
      <c r="BA44" s="569"/>
      <c r="BB44" s="551"/>
      <c r="BC44" s="552"/>
      <c r="BD44" s="538"/>
      <c r="BE44" s="596"/>
      <c r="BF44" s="596"/>
      <c r="BG44" s="596"/>
      <c r="BH44" s="598"/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774"/>
      <c r="F45" s="774"/>
      <c r="G45" s="776"/>
      <c r="H45" s="776"/>
      <c r="I45" s="776"/>
      <c r="J45" s="816"/>
      <c r="K45" s="776"/>
      <c r="L45" s="776"/>
      <c r="M45" s="816"/>
      <c r="N45" s="776"/>
      <c r="O45" s="776"/>
      <c r="P45" s="816"/>
      <c r="Q45" s="776"/>
      <c r="R45" s="776"/>
      <c r="S45" s="775"/>
      <c r="T45" s="776"/>
      <c r="U45" s="776"/>
      <c r="V45" s="816"/>
      <c r="W45" s="776"/>
      <c r="X45" s="776"/>
      <c r="Y45" s="816"/>
      <c r="Z45" s="776"/>
      <c r="AA45" s="776"/>
      <c r="AB45" s="781"/>
      <c r="AC45" s="782"/>
      <c r="AD45" s="783"/>
      <c r="AE45" s="781"/>
      <c r="AF45" s="782"/>
      <c r="AG45" s="783"/>
      <c r="AH45" s="776"/>
      <c r="AI45" s="776"/>
      <c r="AJ45" s="776"/>
      <c r="AK45" s="781"/>
      <c r="AL45" s="782"/>
      <c r="AM45" s="783"/>
      <c r="AN45" s="781"/>
      <c r="AO45" s="782"/>
      <c r="AP45" s="783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8"/>
      <c r="BI45" s="596"/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65"/>
      <c r="D46" s="565"/>
      <c r="E46" s="774"/>
      <c r="F46" s="774"/>
      <c r="G46" s="776"/>
      <c r="H46" s="776"/>
      <c r="I46" s="776"/>
      <c r="J46" s="776"/>
      <c r="K46" s="776"/>
      <c r="L46" s="776"/>
      <c r="M46" s="776"/>
      <c r="N46" s="776"/>
      <c r="O46" s="776"/>
      <c r="P46" s="776"/>
      <c r="Q46" s="776"/>
      <c r="R46" s="776"/>
      <c r="S46" s="776"/>
      <c r="T46" s="776"/>
      <c r="U46" s="776"/>
      <c r="V46" s="776"/>
      <c r="W46" s="776"/>
      <c r="X46" s="776"/>
      <c r="Y46" s="776"/>
      <c r="Z46" s="776"/>
      <c r="AA46" s="776"/>
      <c r="AB46" s="784"/>
      <c r="AC46" s="785"/>
      <c r="AD46" s="786"/>
      <c r="AE46" s="784"/>
      <c r="AF46" s="785"/>
      <c r="AG46" s="786"/>
      <c r="AH46" s="776"/>
      <c r="AI46" s="776"/>
      <c r="AJ46" s="776"/>
      <c r="AK46" s="784"/>
      <c r="AL46" s="785"/>
      <c r="AM46" s="786"/>
      <c r="AN46" s="784"/>
      <c r="AO46" s="785"/>
      <c r="AP46" s="786"/>
      <c r="AQ46" s="579"/>
      <c r="AR46" s="579"/>
      <c r="AS46" s="580"/>
      <c r="AT46" s="571"/>
      <c r="AU46" s="565"/>
      <c r="AV46" s="568"/>
      <c r="AW46" s="568"/>
      <c r="AX46" s="568"/>
      <c r="AY46" s="565"/>
      <c r="AZ46" s="569"/>
      <c r="BA46" s="569"/>
      <c r="BB46" s="536"/>
      <c r="BC46" s="537"/>
      <c r="BD46" s="539"/>
      <c r="BE46" s="596"/>
      <c r="BF46" s="596"/>
      <c r="BG46" s="596"/>
      <c r="BH46" s="598"/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74" t="s">
        <v>380</v>
      </c>
      <c r="F47" s="774"/>
      <c r="G47" s="776" t="s">
        <v>383</v>
      </c>
      <c r="H47" s="776"/>
      <c r="I47" s="776"/>
      <c r="J47" s="816" t="s">
        <v>389</v>
      </c>
      <c r="K47" s="776"/>
      <c r="L47" s="776"/>
      <c r="M47" s="816" t="s">
        <v>411</v>
      </c>
      <c r="N47" s="776"/>
      <c r="O47" s="776"/>
      <c r="P47" s="816" t="s">
        <v>415</v>
      </c>
      <c r="Q47" s="776"/>
      <c r="R47" s="776"/>
      <c r="S47" s="776" t="s">
        <v>299</v>
      </c>
      <c r="T47" s="776"/>
      <c r="U47" s="776"/>
      <c r="V47" s="816" t="s">
        <v>399</v>
      </c>
      <c r="W47" s="776"/>
      <c r="X47" s="776"/>
      <c r="Y47" s="776" t="s">
        <v>398</v>
      </c>
      <c r="Z47" s="776"/>
      <c r="AA47" s="776"/>
      <c r="AB47" s="776" t="s">
        <v>398</v>
      </c>
      <c r="AC47" s="776"/>
      <c r="AD47" s="776"/>
      <c r="AE47" s="776" t="s">
        <v>398</v>
      </c>
      <c r="AF47" s="776"/>
      <c r="AG47" s="776"/>
      <c r="AH47" s="776" t="s">
        <v>401</v>
      </c>
      <c r="AI47" s="776"/>
      <c r="AJ47" s="776"/>
      <c r="AK47" s="776" t="s">
        <v>401</v>
      </c>
      <c r="AL47" s="776"/>
      <c r="AM47" s="776"/>
      <c r="AN47" s="776" t="s">
        <v>401</v>
      </c>
      <c r="AO47" s="776"/>
      <c r="AP47" s="776"/>
      <c r="AQ47" s="579"/>
      <c r="AR47" s="579"/>
      <c r="AS47" s="579"/>
      <c r="AT47" s="573"/>
      <c r="AU47" s="568"/>
      <c r="AV47" s="568"/>
      <c r="AW47" s="568"/>
      <c r="AX47" s="568"/>
      <c r="AY47" s="568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/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74"/>
      <c r="F48" s="774"/>
      <c r="G48" s="776"/>
      <c r="H48" s="776"/>
      <c r="I48" s="776"/>
      <c r="J48" s="816"/>
      <c r="K48" s="776"/>
      <c r="L48" s="776"/>
      <c r="M48" s="816"/>
      <c r="N48" s="776"/>
      <c r="O48" s="776"/>
      <c r="P48" s="816"/>
      <c r="Q48" s="776"/>
      <c r="R48" s="776"/>
      <c r="S48" s="776"/>
      <c r="T48" s="776"/>
      <c r="U48" s="776"/>
      <c r="V48" s="816"/>
      <c r="W48" s="776"/>
      <c r="X48" s="776"/>
      <c r="Y48" s="776"/>
      <c r="Z48" s="776"/>
      <c r="AA48" s="776"/>
      <c r="AB48" s="776"/>
      <c r="AC48" s="776"/>
      <c r="AD48" s="776"/>
      <c r="AE48" s="776"/>
      <c r="AF48" s="776"/>
      <c r="AG48" s="776"/>
      <c r="AH48" s="776"/>
      <c r="AI48" s="776"/>
      <c r="AJ48" s="776"/>
      <c r="AK48" s="776"/>
      <c r="AL48" s="776"/>
      <c r="AM48" s="776"/>
      <c r="AN48" s="776"/>
      <c r="AO48" s="776"/>
      <c r="AP48" s="776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8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74"/>
      <c r="F49" s="774"/>
      <c r="G49" s="776"/>
      <c r="H49" s="776"/>
      <c r="I49" s="776"/>
      <c r="J49" s="776"/>
      <c r="K49" s="776"/>
      <c r="L49" s="776"/>
      <c r="M49" s="776"/>
      <c r="N49" s="776"/>
      <c r="O49" s="776"/>
      <c r="P49" s="776"/>
      <c r="Q49" s="776"/>
      <c r="R49" s="776"/>
      <c r="S49" s="776"/>
      <c r="T49" s="776"/>
      <c r="U49" s="776"/>
      <c r="V49" s="776"/>
      <c r="W49" s="776"/>
      <c r="X49" s="776"/>
      <c r="Y49" s="776"/>
      <c r="Z49" s="776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/>
      <c r="BH49" s="598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75"/>
      <c r="D50" s="576"/>
      <c r="E50" s="774" t="s">
        <v>380</v>
      </c>
      <c r="F50" s="774"/>
      <c r="G50" s="776" t="s">
        <v>384</v>
      </c>
      <c r="H50" s="776"/>
      <c r="I50" s="776"/>
      <c r="J50" s="816" t="s">
        <v>390</v>
      </c>
      <c r="K50" s="776"/>
      <c r="L50" s="776"/>
      <c r="M50" s="816" t="s">
        <v>411</v>
      </c>
      <c r="N50" s="776"/>
      <c r="O50" s="776"/>
      <c r="P50" s="816" t="s">
        <v>415</v>
      </c>
      <c r="Q50" s="776"/>
      <c r="R50" s="776"/>
      <c r="S50" s="775" t="s">
        <v>397</v>
      </c>
      <c r="T50" s="776"/>
      <c r="U50" s="776"/>
      <c r="V50" s="776" t="s">
        <v>398</v>
      </c>
      <c r="W50" s="776"/>
      <c r="X50" s="776"/>
      <c r="Y50" s="816" t="s">
        <v>399</v>
      </c>
      <c r="Z50" s="776"/>
      <c r="AA50" s="776"/>
      <c r="AB50" s="776" t="s">
        <v>398</v>
      </c>
      <c r="AC50" s="776"/>
      <c r="AD50" s="776"/>
      <c r="AE50" s="776" t="s">
        <v>398</v>
      </c>
      <c r="AF50" s="776"/>
      <c r="AG50" s="776"/>
      <c r="AH50" s="776" t="s">
        <v>398</v>
      </c>
      <c r="AI50" s="776"/>
      <c r="AJ50" s="776"/>
      <c r="AK50" s="776" t="s">
        <v>398</v>
      </c>
      <c r="AL50" s="776"/>
      <c r="AM50" s="776"/>
      <c r="AN50" s="776" t="s">
        <v>398</v>
      </c>
      <c r="AO50" s="776"/>
      <c r="AP50" s="776"/>
      <c r="AQ50" s="579"/>
      <c r="AR50" s="579"/>
      <c r="AS50" s="581"/>
      <c r="AT50" s="577"/>
      <c r="AU50" s="577"/>
      <c r="AV50" s="577"/>
      <c r="AW50" s="577"/>
      <c r="AX50" s="577"/>
      <c r="AY50" s="577"/>
      <c r="AZ50" s="569"/>
      <c r="BA50" s="569"/>
      <c r="BB50" s="551"/>
      <c r="BC50" s="552"/>
      <c r="BD50" s="538"/>
      <c r="BE50" s="596"/>
      <c r="BF50" s="596"/>
      <c r="BG50" s="596"/>
      <c r="BH50" s="598"/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774"/>
      <c r="F51" s="774"/>
      <c r="G51" s="776"/>
      <c r="H51" s="776"/>
      <c r="I51" s="776"/>
      <c r="J51" s="816"/>
      <c r="K51" s="776"/>
      <c r="L51" s="776"/>
      <c r="M51" s="816"/>
      <c r="N51" s="776"/>
      <c r="O51" s="776"/>
      <c r="P51" s="816"/>
      <c r="Q51" s="776"/>
      <c r="R51" s="776"/>
      <c r="S51" s="775"/>
      <c r="T51" s="776"/>
      <c r="U51" s="776"/>
      <c r="V51" s="776"/>
      <c r="W51" s="776"/>
      <c r="X51" s="776"/>
      <c r="Y51" s="816"/>
      <c r="Z51" s="776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6"/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774"/>
      <c r="F52" s="774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776"/>
      <c r="V52" s="776"/>
      <c r="W52" s="776"/>
      <c r="X52" s="776"/>
      <c r="Y52" s="776"/>
      <c r="Z52" s="776"/>
      <c r="AA52" s="776"/>
      <c r="AB52" s="776"/>
      <c r="AC52" s="776"/>
      <c r="AD52" s="776"/>
      <c r="AE52" s="776"/>
      <c r="AF52" s="776"/>
      <c r="AG52" s="776"/>
      <c r="AH52" s="776"/>
      <c r="AI52" s="776"/>
      <c r="AJ52" s="776"/>
      <c r="AK52" s="776"/>
      <c r="AL52" s="776"/>
      <c r="AM52" s="776"/>
      <c r="AN52" s="776"/>
      <c r="AO52" s="776"/>
      <c r="AP52" s="776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8"/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774"/>
      <c r="F53" s="774"/>
      <c r="G53" s="776" t="s">
        <v>385</v>
      </c>
      <c r="H53" s="776"/>
      <c r="I53" s="776"/>
      <c r="J53" s="816" t="s">
        <v>391</v>
      </c>
      <c r="K53" s="776"/>
      <c r="L53" s="776"/>
      <c r="M53" s="816" t="s">
        <v>414</v>
      </c>
      <c r="N53" s="776"/>
      <c r="O53" s="776"/>
      <c r="P53" s="816" t="s">
        <v>416</v>
      </c>
      <c r="Q53" s="776"/>
      <c r="R53" s="776"/>
      <c r="S53" s="776" t="s">
        <v>299</v>
      </c>
      <c r="T53" s="776"/>
      <c r="U53" s="776"/>
      <c r="V53" s="817" t="s">
        <v>400</v>
      </c>
      <c r="W53" s="817"/>
      <c r="X53" s="817"/>
      <c r="Y53" s="817" t="s">
        <v>400</v>
      </c>
      <c r="Z53" s="817"/>
      <c r="AA53" s="817"/>
      <c r="AB53" s="817" t="s">
        <v>400</v>
      </c>
      <c r="AC53" s="817"/>
      <c r="AD53" s="817"/>
      <c r="AE53" s="817" t="s">
        <v>400</v>
      </c>
      <c r="AF53" s="817"/>
      <c r="AG53" s="817"/>
      <c r="AH53" s="817" t="s">
        <v>400</v>
      </c>
      <c r="AI53" s="817"/>
      <c r="AJ53" s="817"/>
      <c r="AK53" s="817" t="s">
        <v>400</v>
      </c>
      <c r="AL53" s="817"/>
      <c r="AM53" s="817"/>
      <c r="AN53" s="817" t="s">
        <v>400</v>
      </c>
      <c r="AO53" s="817"/>
      <c r="AP53" s="817"/>
      <c r="AQ53" s="579"/>
      <c r="AR53" s="579"/>
      <c r="AS53" s="579"/>
      <c r="AT53" s="573"/>
      <c r="AU53" s="568"/>
      <c r="AV53" s="568"/>
      <c r="AW53" s="568"/>
      <c r="AX53" s="568"/>
      <c r="AY53" s="568"/>
      <c r="AZ53" s="569"/>
      <c r="BA53" s="569"/>
      <c r="BB53" s="551"/>
      <c r="BC53" s="552"/>
      <c r="BD53" s="538"/>
      <c r="BE53" s="596"/>
      <c r="BF53" s="596"/>
      <c r="BG53" s="596"/>
      <c r="BH53" s="598"/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74"/>
      <c r="F54" s="774"/>
      <c r="G54" s="776"/>
      <c r="H54" s="776"/>
      <c r="I54" s="776"/>
      <c r="J54" s="816"/>
      <c r="K54" s="776"/>
      <c r="L54" s="776"/>
      <c r="M54" s="816"/>
      <c r="N54" s="776"/>
      <c r="O54" s="776"/>
      <c r="P54" s="776"/>
      <c r="Q54" s="776"/>
      <c r="R54" s="776"/>
      <c r="S54" s="776"/>
      <c r="T54" s="776"/>
      <c r="U54" s="776"/>
      <c r="V54" s="817"/>
      <c r="W54" s="817"/>
      <c r="X54" s="817"/>
      <c r="Y54" s="817"/>
      <c r="Z54" s="817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74"/>
      <c r="F55" s="774"/>
      <c r="G55" s="776"/>
      <c r="H55" s="776"/>
      <c r="I55" s="776"/>
      <c r="J55" s="776"/>
      <c r="K55" s="776"/>
      <c r="L55" s="776"/>
      <c r="M55" s="776"/>
      <c r="N55" s="776"/>
      <c r="O55" s="776"/>
      <c r="P55" s="776"/>
      <c r="Q55" s="776"/>
      <c r="R55" s="776"/>
      <c r="S55" s="776"/>
      <c r="T55" s="776"/>
      <c r="U55" s="776"/>
      <c r="V55" s="817"/>
      <c r="W55" s="817"/>
      <c r="X55" s="817"/>
      <c r="Y55" s="817"/>
      <c r="Z55" s="817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/>
      <c r="BH55" s="598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74"/>
      <c r="F56" s="774"/>
      <c r="G56" s="776" t="s">
        <v>386</v>
      </c>
      <c r="H56" s="776"/>
      <c r="I56" s="776"/>
      <c r="J56" s="816" t="s">
        <v>392</v>
      </c>
      <c r="K56" s="776"/>
      <c r="L56" s="776"/>
      <c r="M56" s="816" t="s">
        <v>414</v>
      </c>
      <c r="N56" s="776"/>
      <c r="O56" s="776"/>
      <c r="P56" s="816" t="s">
        <v>416</v>
      </c>
      <c r="Q56" s="776"/>
      <c r="R56" s="776"/>
      <c r="S56" s="775" t="s">
        <v>396</v>
      </c>
      <c r="T56" s="776"/>
      <c r="U56" s="776"/>
      <c r="V56" s="776" t="s">
        <v>401</v>
      </c>
      <c r="W56" s="776"/>
      <c r="X56" s="776"/>
      <c r="Y56" s="776" t="s">
        <v>401</v>
      </c>
      <c r="Z56" s="776"/>
      <c r="AA56" s="776"/>
      <c r="AB56" s="776" t="s">
        <v>401</v>
      </c>
      <c r="AC56" s="776"/>
      <c r="AD56" s="776"/>
      <c r="AE56" s="776" t="s">
        <v>401</v>
      </c>
      <c r="AF56" s="776"/>
      <c r="AG56" s="776"/>
      <c r="AH56" s="776" t="s">
        <v>401</v>
      </c>
      <c r="AI56" s="776"/>
      <c r="AJ56" s="776"/>
      <c r="AK56" s="776" t="s">
        <v>401</v>
      </c>
      <c r="AL56" s="776"/>
      <c r="AM56" s="776"/>
      <c r="AN56" s="776" t="s">
        <v>401</v>
      </c>
      <c r="AO56" s="776"/>
      <c r="AP56" s="776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8"/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774"/>
      <c r="F57" s="774"/>
      <c r="G57" s="776"/>
      <c r="H57" s="776"/>
      <c r="I57" s="776"/>
      <c r="J57" s="816"/>
      <c r="K57" s="776"/>
      <c r="L57" s="776"/>
      <c r="M57" s="816"/>
      <c r="N57" s="776"/>
      <c r="O57" s="776"/>
      <c r="P57" s="776"/>
      <c r="Q57" s="776"/>
      <c r="R57" s="776"/>
      <c r="S57" s="775"/>
      <c r="T57" s="776"/>
      <c r="U57" s="776"/>
      <c r="V57" s="776"/>
      <c r="W57" s="776"/>
      <c r="X57" s="776"/>
      <c r="Y57" s="776"/>
      <c r="Z57" s="776"/>
      <c r="AA57" s="776"/>
      <c r="AB57" s="776"/>
      <c r="AC57" s="776"/>
      <c r="AD57" s="776"/>
      <c r="AE57" s="776"/>
      <c r="AF57" s="776"/>
      <c r="AG57" s="776"/>
      <c r="AH57" s="776"/>
      <c r="AI57" s="776"/>
      <c r="AJ57" s="776"/>
      <c r="AK57" s="776"/>
      <c r="AL57" s="776"/>
      <c r="AM57" s="776"/>
      <c r="AN57" s="776"/>
      <c r="AO57" s="776"/>
      <c r="AP57" s="776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65"/>
      <c r="D58" s="565"/>
      <c r="E58" s="774"/>
      <c r="F58" s="774"/>
      <c r="G58" s="776"/>
      <c r="H58" s="776"/>
      <c r="I58" s="776"/>
      <c r="J58" s="776"/>
      <c r="K58" s="776"/>
      <c r="L58" s="776"/>
      <c r="M58" s="776"/>
      <c r="N58" s="776"/>
      <c r="O58" s="776"/>
      <c r="P58" s="776"/>
      <c r="Q58" s="776"/>
      <c r="R58" s="776"/>
      <c r="S58" s="776"/>
      <c r="T58" s="776"/>
      <c r="U58" s="776"/>
      <c r="V58" s="776"/>
      <c r="W58" s="776"/>
      <c r="X58" s="776"/>
      <c r="Y58" s="776"/>
      <c r="Z58" s="776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579"/>
      <c r="AR58" s="579"/>
      <c r="AS58" s="580"/>
      <c r="AT58" s="571"/>
      <c r="AU58" s="565"/>
      <c r="AV58" s="568"/>
      <c r="AW58" s="568"/>
      <c r="AX58" s="568"/>
      <c r="AY58" s="565"/>
      <c r="AZ58" s="569"/>
      <c r="BA58" s="569"/>
      <c r="BB58" s="536"/>
      <c r="BC58" s="537"/>
      <c r="BD58" s="539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774"/>
      <c r="F59" s="774"/>
      <c r="G59" s="776" t="s">
        <v>299</v>
      </c>
      <c r="H59" s="776"/>
      <c r="I59" s="776"/>
      <c r="J59" s="816" t="s">
        <v>393</v>
      </c>
      <c r="K59" s="776"/>
      <c r="L59" s="776"/>
      <c r="M59" s="776" t="s">
        <v>299</v>
      </c>
      <c r="N59" s="776"/>
      <c r="O59" s="776"/>
      <c r="P59" s="776" t="s">
        <v>299</v>
      </c>
      <c r="Q59" s="776"/>
      <c r="R59" s="776"/>
      <c r="S59" s="776" t="s">
        <v>299</v>
      </c>
      <c r="T59" s="776"/>
      <c r="U59" s="776"/>
      <c r="V59" s="776"/>
      <c r="W59" s="776"/>
      <c r="X59" s="776"/>
      <c r="Y59" s="776"/>
      <c r="Z59" s="776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774"/>
      <c r="F60" s="774"/>
      <c r="G60" s="776"/>
      <c r="H60" s="776"/>
      <c r="I60" s="776"/>
      <c r="J60" s="816"/>
      <c r="K60" s="776"/>
      <c r="L60" s="776"/>
      <c r="M60" s="776"/>
      <c r="N60" s="776"/>
      <c r="O60" s="776"/>
      <c r="P60" s="776"/>
      <c r="Q60" s="776"/>
      <c r="R60" s="776"/>
      <c r="S60" s="776"/>
      <c r="T60" s="776"/>
      <c r="U60" s="776"/>
      <c r="V60" s="776"/>
      <c r="W60" s="776"/>
      <c r="X60" s="776"/>
      <c r="Y60" s="776"/>
      <c r="Z60" s="776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774"/>
      <c r="F61" s="774"/>
      <c r="G61" s="776"/>
      <c r="H61" s="776"/>
      <c r="I61" s="776"/>
      <c r="J61" s="776"/>
      <c r="K61" s="776"/>
      <c r="L61" s="776"/>
      <c r="M61" s="776"/>
      <c r="N61" s="776"/>
      <c r="O61" s="776"/>
      <c r="P61" s="776"/>
      <c r="Q61" s="776"/>
      <c r="R61" s="776"/>
      <c r="S61" s="776"/>
      <c r="T61" s="776"/>
      <c r="U61" s="776"/>
      <c r="V61" s="776"/>
      <c r="W61" s="776"/>
      <c r="X61" s="776"/>
      <c r="Y61" s="776"/>
      <c r="Z61" s="776"/>
      <c r="AA61" s="776"/>
      <c r="AB61" s="776"/>
      <c r="AC61" s="776"/>
      <c r="AD61" s="776"/>
      <c r="AE61" s="776"/>
      <c r="AF61" s="776"/>
      <c r="AG61" s="776"/>
      <c r="AH61" s="776"/>
      <c r="AI61" s="776"/>
      <c r="AJ61" s="776"/>
      <c r="AK61" s="776"/>
      <c r="AL61" s="776"/>
      <c r="AM61" s="776"/>
      <c r="AN61" s="776"/>
      <c r="AO61" s="776"/>
      <c r="AP61" s="776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565"/>
      <c r="F62" s="565"/>
      <c r="G62" s="565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  <c r="AF63" s="579"/>
      <c r="AG63" s="579"/>
      <c r="AH63" s="579"/>
      <c r="AI63" s="579"/>
      <c r="AJ63" s="579"/>
      <c r="AK63" s="579"/>
      <c r="AL63" s="579"/>
      <c r="AM63" s="579"/>
      <c r="AN63" s="579"/>
      <c r="AO63" s="579"/>
      <c r="AP63" s="579"/>
      <c r="AQ63" s="579"/>
      <c r="AR63" s="579"/>
      <c r="AS63" s="579"/>
      <c r="AT63" s="573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568"/>
      <c r="F65" s="568"/>
      <c r="G65" s="568"/>
      <c r="H65" s="579"/>
      <c r="I65" s="579"/>
      <c r="J65" s="794"/>
      <c r="K65" s="794"/>
      <c r="L65" s="794"/>
      <c r="M65" s="794"/>
      <c r="N65" s="582"/>
      <c r="O65" s="583"/>
      <c r="P65" s="582"/>
      <c r="Q65" s="579"/>
      <c r="R65" s="579"/>
      <c r="S65" s="579"/>
      <c r="T65" s="580"/>
      <c r="U65" s="580"/>
      <c r="V65" s="580"/>
      <c r="W65" s="580"/>
      <c r="X65" s="580"/>
      <c r="Y65" s="583"/>
      <c r="Z65" s="580"/>
      <c r="AA65" s="579"/>
      <c r="AB65" s="583"/>
      <c r="AC65" s="580"/>
      <c r="AD65" s="579"/>
      <c r="AE65" s="583"/>
      <c r="AF65" s="579"/>
      <c r="AG65" s="579"/>
      <c r="AH65" s="583"/>
      <c r="AI65" s="579"/>
      <c r="AJ65" s="579"/>
      <c r="AK65" s="584"/>
      <c r="AL65" s="579"/>
      <c r="AM65" s="579"/>
      <c r="AN65" s="579"/>
      <c r="AO65" s="579"/>
      <c r="AP65" s="579"/>
      <c r="AQ65" s="579"/>
      <c r="AR65" s="579"/>
      <c r="AS65" s="579"/>
      <c r="AT65" s="568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/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79"/>
      <c r="AT66" s="573"/>
      <c r="AU66" s="568"/>
      <c r="AV66" s="568"/>
      <c r="AW66" s="568"/>
      <c r="AX66" s="568"/>
      <c r="AY66" s="568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1"/>
      <c r="AT67" s="577"/>
      <c r="AU67" s="577"/>
      <c r="AV67" s="577"/>
      <c r="AW67" s="577"/>
      <c r="AX67" s="577"/>
      <c r="AY67" s="577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794"/>
      <c r="K68" s="794"/>
      <c r="L68" s="794"/>
      <c r="M68" s="794"/>
      <c r="N68" s="582"/>
      <c r="O68" s="583"/>
      <c r="P68" s="582"/>
      <c r="Q68" s="579"/>
      <c r="R68" s="579"/>
      <c r="S68" s="579"/>
      <c r="T68" s="580"/>
      <c r="U68" s="580"/>
      <c r="V68" s="580"/>
      <c r="W68" s="580"/>
      <c r="X68" s="580"/>
      <c r="Y68" s="583"/>
      <c r="Z68" s="580"/>
      <c r="AA68" s="579"/>
      <c r="AB68" s="583"/>
      <c r="AC68" s="580"/>
      <c r="AD68" s="579"/>
      <c r="AE68" s="583"/>
      <c r="AF68" s="579"/>
      <c r="AG68" s="579"/>
      <c r="AH68" s="583"/>
      <c r="AI68" s="579"/>
      <c r="AJ68" s="579"/>
      <c r="AK68" s="584"/>
      <c r="AL68" s="579"/>
      <c r="AM68" s="579"/>
      <c r="AN68" s="579"/>
      <c r="AO68" s="579"/>
      <c r="AP68" s="579"/>
      <c r="AQ68" s="579"/>
      <c r="AR68" s="579"/>
      <c r="AS68" s="579"/>
      <c r="AT68" s="568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/>
      <c r="BH69" s="598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625" t="s">
        <v>402</v>
      </c>
      <c r="F70" s="568"/>
      <c r="G70" s="568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79"/>
      <c r="AT70" s="573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8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 t="s">
        <v>417</v>
      </c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81"/>
      <c r="AT71" s="577"/>
      <c r="AU71" s="577"/>
      <c r="AV71" s="577"/>
      <c r="AW71" s="577"/>
      <c r="AX71" s="577"/>
      <c r="AY71" s="577"/>
      <c r="AZ71" s="569"/>
      <c r="BA71" s="569"/>
      <c r="BB71" s="551"/>
      <c r="BC71" s="552"/>
      <c r="BD71" s="538"/>
      <c r="BE71" s="596"/>
      <c r="BF71" s="596"/>
      <c r="BG71" s="596"/>
      <c r="BH71" s="598"/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7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794"/>
      <c r="K72" s="794"/>
      <c r="L72" s="794"/>
      <c r="M72" s="794"/>
      <c r="N72" s="582"/>
      <c r="O72" s="583"/>
      <c r="P72" s="582"/>
      <c r="Q72" s="579"/>
      <c r="R72" s="579"/>
      <c r="S72" s="579"/>
      <c r="T72" s="580"/>
      <c r="U72" s="580"/>
      <c r="V72" s="580"/>
      <c r="W72" s="580"/>
      <c r="X72" s="580"/>
      <c r="Y72" s="583"/>
      <c r="Z72" s="580"/>
      <c r="AA72" s="579"/>
      <c r="AB72" s="583"/>
      <c r="AC72" s="580"/>
      <c r="AD72" s="579"/>
      <c r="AE72" s="583"/>
      <c r="AF72" s="579"/>
      <c r="AG72" s="579"/>
      <c r="AH72" s="583"/>
      <c r="AI72" s="579"/>
      <c r="AJ72" s="579"/>
      <c r="AK72" s="584"/>
      <c r="AL72" s="579"/>
      <c r="AM72" s="579"/>
      <c r="AN72" s="579"/>
      <c r="AO72" s="579"/>
      <c r="AP72" s="579"/>
      <c r="AQ72" s="579"/>
      <c r="AR72" s="579"/>
      <c r="AS72" s="579"/>
      <c r="AT72" s="568"/>
      <c r="AU72" s="568"/>
      <c r="AV72" s="568"/>
      <c r="AW72" s="568"/>
      <c r="AX72" s="568"/>
      <c r="AY72" s="568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7"/>
      <c r="BT72" s="596"/>
    </row>
    <row r="73" spans="1:72" ht="12.5" customHeight="1">
      <c r="A73" s="540"/>
      <c r="B73" s="566"/>
      <c r="C73" s="567"/>
      <c r="D73" s="567"/>
      <c r="E73" s="626"/>
      <c r="F73" s="626"/>
      <c r="G73" s="626"/>
      <c r="H73" s="626"/>
      <c r="I73" s="626"/>
      <c r="J73" s="626"/>
      <c r="K73" s="626"/>
      <c r="L73" s="626"/>
      <c r="M73" s="626"/>
      <c r="N73" s="626"/>
      <c r="O73" s="626"/>
      <c r="P73" s="626"/>
      <c r="Q73" s="626"/>
      <c r="R73" s="626"/>
      <c r="S73" s="626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7"/>
      <c r="BT73" s="596"/>
    </row>
    <row r="74" spans="1:72" ht="12.5" customHeight="1">
      <c r="A74" s="540"/>
      <c r="B74" s="566"/>
      <c r="C74" s="575"/>
      <c r="D74" s="576"/>
      <c r="E74" s="627"/>
      <c r="F74" s="627"/>
      <c r="G74" s="632" t="s">
        <v>403</v>
      </c>
      <c r="H74" s="631"/>
      <c r="I74" s="631"/>
      <c r="J74" s="631"/>
      <c r="K74" s="631"/>
      <c r="L74" s="631"/>
      <c r="M74" s="631"/>
      <c r="N74" s="631"/>
      <c r="O74" s="631"/>
      <c r="P74" s="631"/>
      <c r="Q74" s="628"/>
      <c r="R74" s="628"/>
      <c r="S74" s="628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79"/>
      <c r="AT74" s="573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7"/>
      <c r="BT74" s="596"/>
    </row>
    <row r="75" spans="1:72" ht="12.5" customHeight="1">
      <c r="A75" s="540"/>
      <c r="B75" s="566"/>
      <c r="C75" s="575"/>
      <c r="D75" s="576"/>
      <c r="E75" s="627"/>
      <c r="F75" s="627"/>
      <c r="G75" s="627"/>
      <c r="H75" s="628"/>
      <c r="I75" s="628"/>
      <c r="J75" s="631" t="s">
        <v>404</v>
      </c>
      <c r="K75" s="631"/>
      <c r="L75" s="631"/>
      <c r="M75" s="631"/>
      <c r="N75" s="628"/>
      <c r="O75" s="628"/>
      <c r="P75" s="628"/>
      <c r="Q75" s="628"/>
      <c r="R75" s="628"/>
      <c r="S75" s="628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81"/>
      <c r="AT75" s="577"/>
      <c r="AU75" s="577"/>
      <c r="AV75" s="577"/>
      <c r="AW75" s="577"/>
      <c r="AX75" s="577"/>
      <c r="AY75" s="57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764" t="s">
        <v>442</v>
      </c>
      <c r="F76" s="764"/>
      <c r="G76" s="764"/>
      <c r="H76" s="764"/>
      <c r="I76" s="764"/>
      <c r="J76" s="764"/>
      <c r="K76" s="764"/>
      <c r="L76" s="764"/>
      <c r="M76" s="764"/>
      <c r="N76" s="764"/>
      <c r="O76" s="764"/>
      <c r="P76" s="764"/>
      <c r="Q76" s="764"/>
      <c r="R76" s="764"/>
      <c r="S76" s="764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6"/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6"/>
      <c r="BT76" s="596"/>
    </row>
    <row r="77" spans="1:72" ht="12.5" customHeight="1">
      <c r="A77" s="540"/>
      <c r="B77" s="566"/>
      <c r="C77" s="575"/>
      <c r="D77" s="576"/>
      <c r="E77" s="627"/>
      <c r="F77" s="627"/>
      <c r="G77" s="627"/>
      <c r="H77" s="628"/>
      <c r="I77" s="628"/>
      <c r="J77" s="631" t="s">
        <v>418</v>
      </c>
      <c r="K77" s="631"/>
      <c r="L77" s="631"/>
      <c r="M77" s="631"/>
      <c r="N77" s="628"/>
      <c r="O77" s="628"/>
      <c r="P77" s="628"/>
      <c r="Q77" s="628"/>
      <c r="R77" s="628"/>
      <c r="S77" s="628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8"/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6"/>
      <c r="BT77" s="596"/>
    </row>
    <row r="78" spans="1:72" ht="12.5" customHeight="1">
      <c r="A78" s="540"/>
      <c r="B78" s="566"/>
      <c r="C78" s="575"/>
      <c r="D78" s="576"/>
      <c r="E78" s="627"/>
      <c r="F78" s="627"/>
      <c r="G78" s="627"/>
      <c r="H78" s="628"/>
      <c r="I78" s="628"/>
      <c r="J78" s="633"/>
      <c r="K78" s="633"/>
      <c r="L78" s="633"/>
      <c r="M78" s="633"/>
      <c r="N78" s="629"/>
      <c r="O78" s="630"/>
      <c r="P78" s="629"/>
      <c r="Q78" s="628"/>
      <c r="R78" s="628"/>
      <c r="S78" s="628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8"/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6"/>
      <c r="BT78" s="596"/>
    </row>
    <row r="79" spans="1:72" ht="12.5" customHeight="1">
      <c r="A79" s="540"/>
      <c r="B79" s="566"/>
      <c r="C79" s="575"/>
      <c r="D79" s="576"/>
      <c r="E79" s="627"/>
      <c r="F79" s="627"/>
      <c r="G79" s="627"/>
      <c r="H79" s="628"/>
      <c r="I79" s="628"/>
      <c r="J79" s="818"/>
      <c r="K79" s="818"/>
      <c r="L79" s="818"/>
      <c r="M79" s="818"/>
      <c r="N79" s="629"/>
      <c r="O79" s="630"/>
      <c r="P79" s="629"/>
      <c r="Q79" s="628"/>
      <c r="R79" s="628"/>
      <c r="S79" s="628"/>
      <c r="T79" s="580"/>
      <c r="U79" s="580"/>
      <c r="V79" s="580"/>
      <c r="W79" s="580"/>
      <c r="X79" s="580"/>
      <c r="Y79" s="583"/>
      <c r="Z79" s="580"/>
      <c r="AA79" s="579"/>
      <c r="AB79" s="583"/>
      <c r="AC79" s="580"/>
      <c r="AD79" s="579"/>
      <c r="AE79" s="583"/>
      <c r="AF79" s="579"/>
      <c r="AG79" s="579"/>
      <c r="AH79" s="583"/>
      <c r="AI79" s="579"/>
      <c r="AJ79" s="579"/>
      <c r="AK79" s="584"/>
      <c r="AL79" s="579"/>
      <c r="AM79" s="579"/>
      <c r="AN79" s="579"/>
      <c r="AO79" s="579"/>
      <c r="AP79" s="579"/>
      <c r="AQ79" s="579"/>
      <c r="AR79" s="579"/>
      <c r="AS79" s="579"/>
      <c r="AT79" s="568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66"/>
      <c r="C80" s="567"/>
      <c r="D80" s="567"/>
      <c r="E80" s="626"/>
      <c r="F80" s="626"/>
      <c r="G80" s="626"/>
      <c r="H80" s="626"/>
      <c r="I80" s="626"/>
      <c r="J80" s="626"/>
      <c r="K80" s="626"/>
      <c r="L80" s="626"/>
      <c r="M80" s="626"/>
      <c r="N80" s="626"/>
      <c r="O80" s="626"/>
      <c r="P80" s="626"/>
      <c r="Q80" s="626"/>
      <c r="R80" s="626"/>
      <c r="S80" s="626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51"/>
      <c r="BC80" s="552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26"/>
      <c r="F81" s="626"/>
      <c r="G81" s="626"/>
      <c r="H81" s="626"/>
      <c r="I81" s="626"/>
      <c r="J81" s="626"/>
      <c r="K81" s="626"/>
      <c r="L81" s="626"/>
      <c r="M81" s="626"/>
      <c r="N81" s="626"/>
      <c r="O81" s="626"/>
      <c r="P81" s="626"/>
      <c r="Q81" s="626"/>
      <c r="R81" s="626"/>
      <c r="S81" s="626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8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568"/>
      <c r="F82" s="568"/>
      <c r="G82" s="568"/>
      <c r="H82" s="579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568"/>
      <c r="F83" s="568"/>
      <c r="G83" s="568"/>
      <c r="H83" s="579"/>
      <c r="I83" s="579"/>
      <c r="J83" s="794"/>
      <c r="K83" s="794"/>
      <c r="L83" s="794"/>
      <c r="M83" s="794"/>
      <c r="N83" s="582"/>
      <c r="O83" s="583"/>
      <c r="P83" s="582"/>
      <c r="Q83" s="579"/>
      <c r="R83" s="579"/>
      <c r="S83" s="579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9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74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36"/>
      <c r="BC85" s="537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3.5">
      <c r="A86" s="540"/>
      <c r="B86" s="620"/>
      <c r="C86" s="621"/>
      <c r="D86" s="621"/>
      <c r="E86" s="621"/>
      <c r="F86" s="621"/>
      <c r="G86" s="621"/>
      <c r="H86" s="621"/>
      <c r="I86" s="621"/>
      <c r="J86" s="621"/>
      <c r="K86" s="621"/>
      <c r="L86" s="621"/>
      <c r="M86" s="621"/>
      <c r="N86" s="621"/>
      <c r="O86" s="621"/>
      <c r="P86" s="621"/>
      <c r="Q86" s="621"/>
      <c r="R86" s="621"/>
      <c r="S86" s="622"/>
      <c r="T86" s="622"/>
      <c r="U86" s="622"/>
      <c r="V86" s="622"/>
      <c r="W86" s="621"/>
      <c r="X86" s="621"/>
      <c r="Y86" s="622"/>
      <c r="Z86" s="623"/>
      <c r="AA86" s="621"/>
      <c r="AB86" s="621"/>
      <c r="AC86" s="621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22"/>
      <c r="AQ86" s="622"/>
      <c r="AR86" s="622"/>
      <c r="AS86" s="622"/>
      <c r="AT86" s="622"/>
      <c r="AU86" s="622"/>
      <c r="AV86" s="622"/>
      <c r="AW86" s="622"/>
      <c r="AX86" s="622"/>
      <c r="AY86" s="624"/>
      <c r="AZ86" s="578"/>
      <c r="BA86" s="569"/>
      <c r="BB86" s="551"/>
      <c r="BC86" s="552"/>
      <c r="BD86" s="553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5">
      <c r="A87" s="554"/>
      <c r="B87" s="599"/>
      <c r="C87" s="600"/>
      <c r="D87" s="600"/>
      <c r="E87" s="600"/>
      <c r="F87" s="600"/>
      <c r="G87" s="600"/>
      <c r="H87" s="600"/>
      <c r="I87" s="600"/>
      <c r="J87" s="600"/>
      <c r="K87" s="600"/>
      <c r="L87" s="600"/>
      <c r="M87" s="600"/>
      <c r="N87" s="600"/>
      <c r="O87" s="600"/>
      <c r="P87" s="600"/>
      <c r="Q87" s="600"/>
      <c r="R87" s="600"/>
      <c r="S87" s="601"/>
      <c r="T87" s="601"/>
      <c r="U87" s="601"/>
      <c r="V87" s="601"/>
      <c r="W87" s="600"/>
      <c r="X87" s="600"/>
      <c r="Y87" s="601"/>
      <c r="Z87" s="601"/>
      <c r="AA87" s="600"/>
      <c r="AB87" s="600"/>
      <c r="AC87" s="600"/>
      <c r="AD87" s="601"/>
      <c r="AE87" s="601"/>
      <c r="AF87" s="601"/>
      <c r="AG87" s="601"/>
      <c r="AH87" s="601"/>
      <c r="AI87" s="601"/>
      <c r="AJ87" s="601"/>
      <c r="AK87" s="601"/>
      <c r="AL87" s="601"/>
      <c r="AM87" s="601"/>
      <c r="AN87" s="601"/>
      <c r="AO87" s="601"/>
      <c r="AP87" s="601"/>
      <c r="AQ87" s="601"/>
      <c r="AR87" s="601"/>
      <c r="AS87" s="601"/>
      <c r="AT87" s="601"/>
      <c r="AU87" s="601"/>
      <c r="AV87" s="601"/>
      <c r="AW87" s="601"/>
      <c r="AX87" s="601"/>
      <c r="AY87" s="599"/>
      <c r="AZ87" s="599"/>
      <c r="BA87" s="578"/>
      <c r="BB87" s="603"/>
      <c r="BC87" s="552"/>
      <c r="BD87" s="553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634"/>
      <c r="C88" s="635"/>
      <c r="D88" s="636"/>
      <c r="E88" s="637"/>
      <c r="F88" s="637"/>
      <c r="G88" s="637"/>
      <c r="H88" s="638"/>
      <c r="I88" s="638"/>
      <c r="J88" s="819"/>
      <c r="K88" s="819"/>
      <c r="L88" s="819"/>
      <c r="M88" s="819"/>
      <c r="N88" s="639"/>
      <c r="O88" s="640"/>
      <c r="P88" s="639"/>
      <c r="Q88" s="638"/>
      <c r="R88" s="638"/>
      <c r="S88" s="638"/>
      <c r="T88" s="641"/>
      <c r="U88" s="641"/>
      <c r="V88" s="641"/>
      <c r="W88" s="641"/>
      <c r="X88" s="641"/>
      <c r="Y88" s="640"/>
      <c r="Z88" s="641"/>
      <c r="AA88" s="638"/>
      <c r="AB88" s="640"/>
      <c r="AC88" s="641"/>
      <c r="AD88" s="638"/>
      <c r="AE88" s="640"/>
      <c r="AF88" s="638"/>
      <c r="AG88" s="638"/>
      <c r="AH88" s="640"/>
      <c r="AI88" s="638"/>
      <c r="AJ88" s="638"/>
      <c r="AK88" s="642"/>
      <c r="AL88" s="638"/>
      <c r="AM88" s="638"/>
      <c r="AN88" s="638"/>
      <c r="AO88" s="638"/>
      <c r="AP88" s="638"/>
      <c r="AQ88" s="638"/>
      <c r="AR88" s="638"/>
      <c r="AS88" s="638"/>
      <c r="AT88" s="637"/>
      <c r="AU88" s="637"/>
      <c r="AV88" s="637"/>
      <c r="AW88" s="637"/>
      <c r="AX88" s="637"/>
      <c r="AY88" s="637"/>
      <c r="AZ88" s="602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94"/>
      <c r="K89" s="794"/>
      <c r="L89" s="794"/>
      <c r="M89" s="794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94"/>
      <c r="K90" s="794"/>
      <c r="L90" s="794"/>
      <c r="M90" s="794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94"/>
      <c r="K91" s="794"/>
      <c r="L91" s="794"/>
      <c r="M91" s="794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94"/>
      <c r="K92" s="794"/>
      <c r="L92" s="794"/>
      <c r="M92" s="794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94"/>
      <c r="K93" s="794"/>
      <c r="L93" s="794"/>
      <c r="M93" s="794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94"/>
      <c r="K94" s="794"/>
      <c r="L94" s="794"/>
      <c r="M94" s="794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94"/>
      <c r="K95" s="794"/>
      <c r="L95" s="794"/>
      <c r="M95" s="794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94"/>
      <c r="K96" s="794"/>
      <c r="L96" s="794"/>
      <c r="M96" s="794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94"/>
      <c r="K97" s="794"/>
      <c r="L97" s="794"/>
      <c r="M97" s="794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94"/>
      <c r="K98" s="794"/>
      <c r="L98" s="794"/>
      <c r="M98" s="794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94"/>
      <c r="K99" s="794"/>
      <c r="L99" s="794"/>
      <c r="M99" s="794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94"/>
      <c r="K100" s="794"/>
      <c r="L100" s="794"/>
      <c r="M100" s="794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94"/>
      <c r="K101" s="794"/>
      <c r="L101" s="794"/>
      <c r="M101" s="794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94"/>
      <c r="K102" s="794"/>
      <c r="L102" s="794"/>
      <c r="M102" s="794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94"/>
      <c r="K103" s="794"/>
      <c r="L103" s="794"/>
      <c r="M103" s="794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94"/>
      <c r="K104" s="794"/>
      <c r="L104" s="794"/>
      <c r="M104" s="794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94"/>
      <c r="K105" s="794"/>
      <c r="L105" s="794"/>
      <c r="M105" s="794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94"/>
      <c r="K106" s="794"/>
      <c r="L106" s="794"/>
      <c r="M106" s="794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94"/>
      <c r="K107" s="794"/>
      <c r="L107" s="794"/>
      <c r="M107" s="794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94"/>
      <c r="K108" s="794"/>
      <c r="L108" s="794"/>
      <c r="M108" s="794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94"/>
      <c r="K109" s="794"/>
      <c r="L109" s="794"/>
      <c r="M109" s="79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94"/>
      <c r="K110" s="794"/>
      <c r="L110" s="794"/>
      <c r="M110" s="79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94"/>
      <c r="K111" s="794"/>
      <c r="L111" s="794"/>
      <c r="M111" s="79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94"/>
      <c r="K112" s="794"/>
      <c r="L112" s="794"/>
      <c r="M112" s="79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94"/>
      <c r="K113" s="794"/>
      <c r="L113" s="794"/>
      <c r="M113" s="79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654"/>
      <c r="K118" s="654"/>
      <c r="L118" s="654"/>
      <c r="M118" s="654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3.5">
      <c r="A119" s="540"/>
      <c r="B119" s="567"/>
      <c r="C119" s="575"/>
      <c r="D119" s="576"/>
      <c r="E119" s="568"/>
      <c r="F119" s="568"/>
      <c r="G119" s="568"/>
      <c r="H119" s="579"/>
      <c r="I119" s="579"/>
      <c r="J119" s="654"/>
      <c r="K119" s="654"/>
      <c r="L119" s="654"/>
      <c r="M119" s="654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3.5">
      <c r="A120" s="540"/>
      <c r="B120" s="567"/>
      <c r="C120" s="575"/>
      <c r="D120" s="576"/>
      <c r="E120" s="568"/>
      <c r="F120" s="568"/>
      <c r="G120" s="568"/>
      <c r="H120" s="579"/>
      <c r="I120" s="579"/>
      <c r="J120" s="654"/>
      <c r="K120" s="654"/>
      <c r="L120" s="654"/>
      <c r="M120" s="654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3.5">
      <c r="A121" s="540"/>
      <c r="B121" s="567"/>
      <c r="C121" s="575"/>
      <c r="D121" s="576"/>
      <c r="E121" s="568"/>
      <c r="F121" s="568"/>
      <c r="G121" s="568"/>
      <c r="H121" s="579"/>
      <c r="I121" s="579"/>
      <c r="J121" s="654"/>
      <c r="K121" s="654"/>
      <c r="L121" s="654"/>
      <c r="M121" s="654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3.5">
      <c r="A122" s="540"/>
      <c r="B122" s="567"/>
      <c r="C122" s="575"/>
      <c r="D122" s="576"/>
      <c r="E122" s="568"/>
      <c r="F122" s="568"/>
      <c r="G122" s="568"/>
      <c r="H122" s="579"/>
      <c r="I122" s="579"/>
      <c r="J122" s="654"/>
      <c r="K122" s="654"/>
      <c r="L122" s="654"/>
      <c r="M122" s="654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3.5">
      <c r="A123" s="554"/>
      <c r="B123" s="643"/>
      <c r="C123" s="644"/>
      <c r="D123" s="645"/>
      <c r="E123" s="646"/>
      <c r="F123" s="646"/>
      <c r="G123" s="646"/>
      <c r="H123" s="647"/>
      <c r="I123" s="647"/>
      <c r="J123" s="648"/>
      <c r="K123" s="648"/>
      <c r="L123" s="648"/>
      <c r="M123" s="648"/>
      <c r="N123" s="649"/>
      <c r="O123" s="650"/>
      <c r="P123" s="649"/>
      <c r="Q123" s="647"/>
      <c r="R123" s="647"/>
      <c r="S123" s="647"/>
      <c r="T123" s="651"/>
      <c r="U123" s="651"/>
      <c r="V123" s="651"/>
      <c r="W123" s="651"/>
      <c r="X123" s="651"/>
      <c r="Y123" s="650"/>
      <c r="Z123" s="651"/>
      <c r="AA123" s="647"/>
      <c r="AB123" s="650"/>
      <c r="AC123" s="651"/>
      <c r="AD123" s="647"/>
      <c r="AE123" s="650"/>
      <c r="AF123" s="647"/>
      <c r="AG123" s="647"/>
      <c r="AH123" s="650"/>
      <c r="AI123" s="647"/>
      <c r="AJ123" s="647"/>
      <c r="AK123" s="652"/>
      <c r="AL123" s="647"/>
      <c r="AM123" s="647"/>
      <c r="AN123" s="647"/>
      <c r="AO123" s="647"/>
      <c r="AP123" s="647"/>
      <c r="AQ123" s="647"/>
      <c r="AR123" s="647"/>
      <c r="AS123" s="647"/>
      <c r="AT123" s="646"/>
      <c r="AU123" s="646"/>
      <c r="AV123" s="646"/>
      <c r="AW123" s="646"/>
      <c r="AX123" s="646"/>
      <c r="AY123" s="646"/>
      <c r="AZ123" s="599"/>
      <c r="BA123" s="578"/>
      <c r="BB123" s="555"/>
      <c r="BC123" s="556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</sheetData>
  <mergeCells count="199">
    <mergeCell ref="J110:M110"/>
    <mergeCell ref="J111:M111"/>
    <mergeCell ref="J112:M112"/>
    <mergeCell ref="J113:M113"/>
    <mergeCell ref="J105:M105"/>
    <mergeCell ref="J106:M106"/>
    <mergeCell ref="J107:M107"/>
    <mergeCell ref="J108:M108"/>
    <mergeCell ref="J109:M109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AE56:AG58"/>
    <mergeCell ref="AE59:AG61"/>
    <mergeCell ref="AB38:AD40"/>
    <mergeCell ref="AB41:AD43"/>
    <mergeCell ref="AB44:AD46"/>
    <mergeCell ref="J79:M79"/>
    <mergeCell ref="J68:M68"/>
    <mergeCell ref="J72:M72"/>
    <mergeCell ref="AB47:AD49"/>
    <mergeCell ref="AB50:AD52"/>
    <mergeCell ref="Y44:AA46"/>
    <mergeCell ref="Y47:AA49"/>
    <mergeCell ref="Y50:AA52"/>
    <mergeCell ref="J88:M88"/>
    <mergeCell ref="J89:M89"/>
    <mergeCell ref="M50:O52"/>
    <mergeCell ref="V38:X40"/>
    <mergeCell ref="V41:X43"/>
    <mergeCell ref="V44:X46"/>
    <mergeCell ref="AN53:AP55"/>
    <mergeCell ref="AN56:AP58"/>
    <mergeCell ref="AN59:AP61"/>
    <mergeCell ref="J65:M65"/>
    <mergeCell ref="AH53:AJ55"/>
    <mergeCell ref="AH56:AJ58"/>
    <mergeCell ref="AH59:AJ61"/>
    <mergeCell ref="V53:X55"/>
    <mergeCell ref="V56:X58"/>
    <mergeCell ref="V59:X61"/>
    <mergeCell ref="S53:U55"/>
    <mergeCell ref="S56:U58"/>
    <mergeCell ref="S59:U61"/>
    <mergeCell ref="Y53:AA55"/>
    <mergeCell ref="Y56:AA58"/>
    <mergeCell ref="Y59:AA61"/>
    <mergeCell ref="M53:O55"/>
    <mergeCell ref="M56:O58"/>
    <mergeCell ref="M59:O61"/>
    <mergeCell ref="P59:R61"/>
    <mergeCell ref="AK38:AM40"/>
    <mergeCell ref="AK41:AM43"/>
    <mergeCell ref="AK44:AM46"/>
    <mergeCell ref="AK47:AM49"/>
    <mergeCell ref="AK50:AM52"/>
    <mergeCell ref="AK53:AM55"/>
    <mergeCell ref="AK56:AM58"/>
    <mergeCell ref="AK59:AM61"/>
    <mergeCell ref="AB53:AD55"/>
    <mergeCell ref="AB56:AD58"/>
    <mergeCell ref="AB59:AD61"/>
    <mergeCell ref="AE38:AG40"/>
    <mergeCell ref="AE41:AG43"/>
    <mergeCell ref="AE44:AG46"/>
    <mergeCell ref="AE47:AG49"/>
    <mergeCell ref="AE50:AG52"/>
    <mergeCell ref="AE53:AG55"/>
    <mergeCell ref="AH38:AJ40"/>
    <mergeCell ref="V47:X49"/>
    <mergeCell ref="V50:X52"/>
    <mergeCell ref="P53:R55"/>
    <mergeCell ref="P56:R58"/>
    <mergeCell ref="AH41:AJ43"/>
    <mergeCell ref="AH44:AJ46"/>
    <mergeCell ref="AH47:AJ49"/>
    <mergeCell ref="AH50:AJ52"/>
    <mergeCell ref="P47:R49"/>
    <mergeCell ref="P50:R52"/>
    <mergeCell ref="J38:L40"/>
    <mergeCell ref="M38:O40"/>
    <mergeCell ref="G38:I40"/>
    <mergeCell ref="P38:R40"/>
    <mergeCell ref="G53:I55"/>
    <mergeCell ref="G56:I58"/>
    <mergeCell ref="G59:I61"/>
    <mergeCell ref="J41:L43"/>
    <mergeCell ref="J44:L46"/>
    <mergeCell ref="J47:L49"/>
    <mergeCell ref="M41:O43"/>
    <mergeCell ref="P44:R46"/>
    <mergeCell ref="G41:I43"/>
    <mergeCell ref="G44:I46"/>
    <mergeCell ref="P41:R43"/>
    <mergeCell ref="J50:L52"/>
    <mergeCell ref="J53:L55"/>
    <mergeCell ref="J56:L58"/>
    <mergeCell ref="J59:L61"/>
    <mergeCell ref="M44:O46"/>
    <mergeCell ref="M47:O49"/>
    <mergeCell ref="P35:R37"/>
    <mergeCell ref="M35:O37"/>
    <mergeCell ref="J35:L37"/>
    <mergeCell ref="G35:I37"/>
    <mergeCell ref="E31:H32"/>
    <mergeCell ref="I28:N30"/>
    <mergeCell ref="E17:O17"/>
    <mergeCell ref="P17:AA17"/>
    <mergeCell ref="E21:O21"/>
    <mergeCell ref="P21:AA21"/>
    <mergeCell ref="J83:M83"/>
    <mergeCell ref="A5:BA5"/>
    <mergeCell ref="AH35:AJ37"/>
    <mergeCell ref="AK35:AM37"/>
    <mergeCell ref="AN35:AP37"/>
    <mergeCell ref="S35:U37"/>
    <mergeCell ref="V35:X37"/>
    <mergeCell ref="Y35:AA37"/>
    <mergeCell ref="AB35:AD37"/>
    <mergeCell ref="AE35:AG37"/>
    <mergeCell ref="E35:F37"/>
    <mergeCell ref="E59:F61"/>
    <mergeCell ref="E44:F46"/>
    <mergeCell ref="E47:F49"/>
    <mergeCell ref="E50:F52"/>
    <mergeCell ref="E53:F55"/>
    <mergeCell ref="E56:F58"/>
    <mergeCell ref="G47:I49"/>
    <mergeCell ref="G50:I52"/>
    <mergeCell ref="C10:I11"/>
    <mergeCell ref="C13:AY15"/>
    <mergeCell ref="E28:H30"/>
    <mergeCell ref="S38:U40"/>
    <mergeCell ref="S41:U4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BB5:BC5"/>
    <mergeCell ref="AV2:AY2"/>
    <mergeCell ref="AZ2:BC3"/>
    <mergeCell ref="A3:H3"/>
    <mergeCell ref="I3:L3"/>
    <mergeCell ref="M3:W3"/>
    <mergeCell ref="X3:Z3"/>
    <mergeCell ref="BF7:BH7"/>
    <mergeCell ref="AB21:AW21"/>
    <mergeCell ref="AA3:AR3"/>
    <mergeCell ref="AS3:AU3"/>
    <mergeCell ref="AV3:AY3"/>
    <mergeCell ref="J7:M7"/>
    <mergeCell ref="E76:S76"/>
    <mergeCell ref="AB17:AW17"/>
    <mergeCell ref="E18:O18"/>
    <mergeCell ref="P18:AA18"/>
    <mergeCell ref="AB18:AW18"/>
    <mergeCell ref="E19:O19"/>
    <mergeCell ref="P19:AA19"/>
    <mergeCell ref="AB19:AW19"/>
    <mergeCell ref="E20:O20"/>
    <mergeCell ref="P20:AA20"/>
    <mergeCell ref="AB20:AW20"/>
    <mergeCell ref="E41:F43"/>
    <mergeCell ref="E38:F40"/>
    <mergeCell ref="S44:U46"/>
    <mergeCell ref="S47:U49"/>
    <mergeCell ref="S50:U52"/>
    <mergeCell ref="I31:N32"/>
    <mergeCell ref="AN38:AP40"/>
    <mergeCell ref="AN41:AP43"/>
    <mergeCell ref="AN44:AP46"/>
    <mergeCell ref="AN47:AP49"/>
    <mergeCell ref="AN50:AP52"/>
    <mergeCell ref="Y38:AA40"/>
    <mergeCell ref="Y41:AA43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30"/>
  <sheetViews>
    <sheetView showGridLines="0" view="pageBreakPreview" topLeftCell="A17" zoomScale="90" zoomScaleNormal="70" zoomScaleSheetLayoutView="90" workbookViewId="0">
      <selection activeCell="J19" sqref="J19:P19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79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38" t="s">
        <v>306</v>
      </c>
      <c r="B1" s="838"/>
      <c r="C1" s="838"/>
      <c r="D1" s="838"/>
      <c r="E1" s="838"/>
      <c r="F1" s="838"/>
      <c r="G1" s="838"/>
      <c r="H1" s="838"/>
      <c r="I1" s="838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6"/>
      <c r="AC1" s="676"/>
      <c r="AD1" s="676"/>
      <c r="AE1" s="676"/>
      <c r="AF1" s="676"/>
      <c r="AG1" s="676"/>
      <c r="AH1" s="676"/>
      <c r="AI1" s="676"/>
      <c r="AJ1" s="676"/>
      <c r="AK1" s="676"/>
      <c r="AL1" s="676"/>
      <c r="AM1" s="676"/>
      <c r="AN1" s="676"/>
      <c r="AO1" s="676"/>
      <c r="AP1" s="676"/>
      <c r="AQ1" s="676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39" t="s">
        <v>307</v>
      </c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40"/>
      <c r="R2" s="840"/>
      <c r="S2" s="840"/>
      <c r="T2" s="840"/>
      <c r="U2" s="840"/>
      <c r="V2" s="840"/>
      <c r="W2" s="840"/>
      <c r="X2" s="840"/>
      <c r="Y2" s="840"/>
      <c r="Z2" s="840"/>
      <c r="AA2" s="840"/>
      <c r="AB2" s="840"/>
      <c r="AC2" s="840"/>
      <c r="AD2" s="840"/>
      <c r="AE2" s="840"/>
      <c r="AF2" s="840"/>
      <c r="AG2" s="840"/>
      <c r="AH2" s="840"/>
      <c r="AI2" s="840"/>
      <c r="AJ2" s="840"/>
      <c r="AK2" s="840"/>
      <c r="AL2" s="840"/>
      <c r="AM2" s="840"/>
      <c r="AN2" s="840"/>
      <c r="AO2" s="840"/>
      <c r="AP2" s="840"/>
      <c r="AQ2" s="840"/>
      <c r="AR2" s="840"/>
      <c r="AS2" s="840"/>
      <c r="AT2" s="840"/>
      <c r="AU2" s="840"/>
      <c r="AV2" s="840"/>
      <c r="AW2" s="840"/>
      <c r="AX2" s="840"/>
      <c r="AY2" s="840"/>
      <c r="AZ2" s="840"/>
      <c r="BA2" s="840"/>
      <c r="BB2" s="840"/>
      <c r="BC2" s="840"/>
      <c r="BD2" s="840"/>
      <c r="BE2" s="840"/>
      <c r="BF2" s="840"/>
      <c r="BG2" s="840"/>
      <c r="BH2" s="840"/>
      <c r="BI2" s="840"/>
      <c r="BJ2" s="840"/>
      <c r="BK2" s="840"/>
      <c r="BL2" s="840"/>
      <c r="BM2" s="840"/>
      <c r="BN2" s="840"/>
      <c r="BO2" s="840"/>
      <c r="BP2" s="840"/>
      <c r="BQ2" s="840"/>
      <c r="BR2" s="840"/>
      <c r="BS2" s="840"/>
      <c r="BT2" s="840"/>
      <c r="BU2" s="840"/>
      <c r="BV2" s="840"/>
      <c r="BW2" s="840"/>
      <c r="BX2" s="840"/>
      <c r="BY2" s="840"/>
      <c r="BZ2" s="840"/>
    </row>
    <row r="3" spans="1:78" ht="27.75" customHeight="1">
      <c r="A3" s="842" t="s">
        <v>308</v>
      </c>
      <c r="B3" s="843"/>
      <c r="C3" s="843" t="s">
        <v>309</v>
      </c>
      <c r="D3" s="843"/>
      <c r="E3" s="843"/>
      <c r="F3" s="843"/>
      <c r="G3" s="843"/>
      <c r="H3" s="843"/>
      <c r="I3" s="843"/>
      <c r="J3" s="843"/>
      <c r="K3" s="843"/>
      <c r="L3" s="843"/>
      <c r="M3" s="843"/>
      <c r="N3" s="843"/>
      <c r="O3" s="843"/>
      <c r="P3" s="843"/>
      <c r="Q3" s="844" t="s">
        <v>310</v>
      </c>
      <c r="R3" s="845"/>
      <c r="S3" s="845"/>
      <c r="T3" s="845"/>
      <c r="U3" s="845"/>
      <c r="V3" s="845"/>
      <c r="W3" s="845"/>
      <c r="X3" s="845"/>
      <c r="Y3" s="845"/>
      <c r="Z3" s="845"/>
      <c r="AA3" s="846"/>
      <c r="AB3" s="850" t="s">
        <v>566</v>
      </c>
      <c r="AC3" s="851"/>
      <c r="AD3" s="851"/>
      <c r="AE3" s="851"/>
      <c r="AF3" s="851"/>
      <c r="AG3" s="851"/>
      <c r="AH3" s="851"/>
      <c r="AI3" s="850" t="s">
        <v>567</v>
      </c>
      <c r="AJ3" s="851"/>
      <c r="AK3" s="851"/>
      <c r="AL3" s="851"/>
      <c r="AM3" s="851"/>
      <c r="AN3" s="851"/>
      <c r="AO3" s="851"/>
      <c r="AP3" s="851"/>
      <c r="AQ3" s="851"/>
      <c r="AR3" s="842" t="s">
        <v>311</v>
      </c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  <c r="BX3" s="842"/>
      <c r="BY3" s="842"/>
      <c r="BZ3" s="842"/>
    </row>
    <row r="4" spans="1:78" ht="27.75" customHeight="1">
      <c r="A4" s="843"/>
      <c r="B4" s="843"/>
      <c r="C4" s="841" t="s">
        <v>312</v>
      </c>
      <c r="D4" s="841"/>
      <c r="E4" s="841"/>
      <c r="F4" s="841"/>
      <c r="G4" s="841"/>
      <c r="H4" s="841"/>
      <c r="I4" s="841"/>
      <c r="J4" s="841" t="s">
        <v>313</v>
      </c>
      <c r="K4" s="841"/>
      <c r="L4" s="841"/>
      <c r="M4" s="841"/>
      <c r="N4" s="841"/>
      <c r="O4" s="841"/>
      <c r="P4" s="841"/>
      <c r="Q4" s="847"/>
      <c r="R4" s="848"/>
      <c r="S4" s="848"/>
      <c r="T4" s="848"/>
      <c r="U4" s="848"/>
      <c r="V4" s="848"/>
      <c r="W4" s="848"/>
      <c r="X4" s="848"/>
      <c r="Y4" s="848"/>
      <c r="Z4" s="848"/>
      <c r="AA4" s="849"/>
      <c r="AB4" s="852"/>
      <c r="AC4" s="853"/>
      <c r="AD4" s="853"/>
      <c r="AE4" s="853"/>
      <c r="AF4" s="853"/>
      <c r="AG4" s="853"/>
      <c r="AH4" s="853"/>
      <c r="AI4" s="852"/>
      <c r="AJ4" s="853"/>
      <c r="AK4" s="853"/>
      <c r="AL4" s="853"/>
      <c r="AM4" s="853"/>
      <c r="AN4" s="853"/>
      <c r="AO4" s="853"/>
      <c r="AP4" s="853"/>
      <c r="AQ4" s="853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  <c r="BX4" s="842"/>
      <c r="BY4" s="842"/>
      <c r="BZ4" s="842"/>
    </row>
    <row r="5" spans="1:78">
      <c r="A5" s="828" t="s">
        <v>314</v>
      </c>
      <c r="B5" s="829"/>
      <c r="C5" s="830" t="s">
        <v>315</v>
      </c>
      <c r="D5" s="831"/>
      <c r="E5" s="831"/>
      <c r="F5" s="831"/>
      <c r="G5" s="831"/>
      <c r="H5" s="831"/>
      <c r="I5" s="832"/>
      <c r="J5" s="833"/>
      <c r="K5" s="834"/>
      <c r="L5" s="834"/>
      <c r="M5" s="834"/>
      <c r="N5" s="834"/>
      <c r="O5" s="834"/>
      <c r="P5" s="835"/>
      <c r="Q5" s="824"/>
      <c r="R5" s="825"/>
      <c r="S5" s="825"/>
      <c r="T5" s="825"/>
      <c r="U5" s="825"/>
      <c r="V5" s="825"/>
      <c r="W5" s="825"/>
      <c r="X5" s="825"/>
      <c r="Y5" s="825"/>
      <c r="Z5" s="825"/>
      <c r="AA5" s="826"/>
      <c r="AB5" s="836"/>
      <c r="AC5" s="837"/>
      <c r="AD5" s="837"/>
      <c r="AE5" s="837"/>
      <c r="AF5" s="837"/>
      <c r="AG5" s="837"/>
      <c r="AH5" s="837"/>
      <c r="AI5" s="836"/>
      <c r="AJ5" s="837"/>
      <c r="AK5" s="837"/>
      <c r="AL5" s="837"/>
      <c r="AM5" s="837"/>
      <c r="AN5" s="837"/>
      <c r="AO5" s="837"/>
      <c r="AP5" s="837"/>
      <c r="AQ5" s="837"/>
      <c r="AR5" s="827"/>
      <c r="AS5" s="825"/>
      <c r="AT5" s="825"/>
      <c r="AU5" s="825"/>
      <c r="AV5" s="825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  <c r="BW5" s="825"/>
      <c r="BX5" s="825"/>
      <c r="BY5" s="825"/>
      <c r="BZ5" s="826"/>
    </row>
    <row r="6" spans="1:78">
      <c r="A6" s="828" t="s">
        <v>316</v>
      </c>
      <c r="B6" s="829"/>
      <c r="C6" s="830"/>
      <c r="D6" s="831"/>
      <c r="E6" s="831"/>
      <c r="F6" s="831"/>
      <c r="G6" s="831"/>
      <c r="H6" s="831"/>
      <c r="I6" s="832"/>
      <c r="J6" s="833" t="s">
        <v>317</v>
      </c>
      <c r="K6" s="834"/>
      <c r="L6" s="834"/>
      <c r="M6" s="834"/>
      <c r="N6" s="834"/>
      <c r="O6" s="834"/>
      <c r="P6" s="835"/>
      <c r="Q6" s="824" t="s">
        <v>305</v>
      </c>
      <c r="R6" s="825"/>
      <c r="S6" s="825"/>
      <c r="T6" s="825"/>
      <c r="U6" s="825"/>
      <c r="V6" s="825"/>
      <c r="W6" s="825"/>
      <c r="X6" s="825"/>
      <c r="Y6" s="825"/>
      <c r="Z6" s="825"/>
      <c r="AA6" s="826"/>
      <c r="AB6" s="836"/>
      <c r="AC6" s="837"/>
      <c r="AD6" s="837"/>
      <c r="AE6" s="837"/>
      <c r="AF6" s="837"/>
      <c r="AG6" s="837"/>
      <c r="AH6" s="837"/>
      <c r="AI6" s="836"/>
      <c r="AJ6" s="837"/>
      <c r="AK6" s="837"/>
      <c r="AL6" s="837"/>
      <c r="AM6" s="837"/>
      <c r="AN6" s="837"/>
      <c r="AO6" s="837"/>
      <c r="AP6" s="837"/>
      <c r="AQ6" s="837"/>
      <c r="AR6" s="827"/>
      <c r="AS6" s="825"/>
      <c r="AT6" s="825"/>
      <c r="AU6" s="825"/>
      <c r="AV6" s="825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  <c r="BW6" s="825"/>
      <c r="BX6" s="825"/>
      <c r="BY6" s="825"/>
      <c r="BZ6" s="826"/>
    </row>
    <row r="7" spans="1:78" ht="15.75" customHeight="1">
      <c r="A7" s="828" t="s">
        <v>321</v>
      </c>
      <c r="B7" s="829"/>
      <c r="C7" s="857" t="s">
        <v>322</v>
      </c>
      <c r="D7" s="858"/>
      <c r="E7" s="858"/>
      <c r="F7" s="858"/>
      <c r="G7" s="858"/>
      <c r="H7" s="858"/>
      <c r="I7" s="859"/>
      <c r="J7" s="860"/>
      <c r="K7" s="860"/>
      <c r="L7" s="860"/>
      <c r="M7" s="860"/>
      <c r="N7" s="860"/>
      <c r="O7" s="860"/>
      <c r="P7" s="860"/>
      <c r="Q7" s="824" t="s">
        <v>318</v>
      </c>
      <c r="R7" s="825"/>
      <c r="S7" s="825"/>
      <c r="T7" s="825"/>
      <c r="U7" s="825"/>
      <c r="V7" s="825"/>
      <c r="W7" s="825"/>
      <c r="X7" s="825"/>
      <c r="Y7" s="825"/>
      <c r="Z7" s="825"/>
      <c r="AA7" s="826"/>
      <c r="AB7" s="836"/>
      <c r="AC7" s="837"/>
      <c r="AD7" s="837"/>
      <c r="AE7" s="837"/>
      <c r="AF7" s="837"/>
      <c r="AG7" s="837"/>
      <c r="AH7" s="837"/>
      <c r="AI7" s="836"/>
      <c r="AJ7" s="837"/>
      <c r="AK7" s="837"/>
      <c r="AL7" s="837"/>
      <c r="AM7" s="837"/>
      <c r="AN7" s="837"/>
      <c r="AO7" s="837"/>
      <c r="AP7" s="837"/>
      <c r="AQ7" s="837"/>
      <c r="AR7" s="854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  <c r="BX7" s="855"/>
      <c r="BY7" s="855"/>
      <c r="BZ7" s="856"/>
    </row>
    <row r="8" spans="1:78" ht="44.5" customHeight="1">
      <c r="A8" s="828" t="s">
        <v>323</v>
      </c>
      <c r="B8" s="829"/>
      <c r="C8" s="607"/>
      <c r="D8" s="608"/>
      <c r="E8" s="608"/>
      <c r="F8" s="608"/>
      <c r="G8" s="608"/>
      <c r="H8" s="608"/>
      <c r="I8" s="609"/>
      <c r="J8" s="864" t="s">
        <v>324</v>
      </c>
      <c r="K8" s="865"/>
      <c r="L8" s="865"/>
      <c r="M8" s="865"/>
      <c r="N8" s="865"/>
      <c r="O8" s="865"/>
      <c r="P8" s="866"/>
      <c r="Q8" s="861" t="s">
        <v>325</v>
      </c>
      <c r="R8" s="862"/>
      <c r="S8" s="862"/>
      <c r="T8" s="862"/>
      <c r="U8" s="862"/>
      <c r="V8" s="862"/>
      <c r="W8" s="862"/>
      <c r="X8" s="862"/>
      <c r="Y8" s="862"/>
      <c r="Z8" s="862"/>
      <c r="AA8" s="863"/>
      <c r="AB8" s="821"/>
      <c r="AC8" s="822"/>
      <c r="AD8" s="822"/>
      <c r="AE8" s="822"/>
      <c r="AF8" s="822"/>
      <c r="AG8" s="822"/>
      <c r="AH8" s="822"/>
      <c r="AI8" s="821" t="s">
        <v>568</v>
      </c>
      <c r="AJ8" s="822"/>
      <c r="AK8" s="822"/>
      <c r="AL8" s="822"/>
      <c r="AM8" s="822"/>
      <c r="AN8" s="822"/>
      <c r="AO8" s="822"/>
      <c r="AP8" s="822"/>
      <c r="AQ8" s="822"/>
      <c r="AR8" s="827"/>
      <c r="AS8" s="825"/>
      <c r="AT8" s="825"/>
      <c r="AU8" s="825"/>
      <c r="AV8" s="825"/>
      <c r="AW8" s="825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25"/>
      <c r="BO8" s="825"/>
      <c r="BP8" s="825"/>
      <c r="BQ8" s="825"/>
      <c r="BR8" s="825"/>
      <c r="BS8" s="825"/>
      <c r="BT8" s="825"/>
      <c r="BU8" s="825"/>
      <c r="BV8" s="825"/>
      <c r="BW8" s="825"/>
      <c r="BX8" s="825"/>
      <c r="BY8" s="825"/>
      <c r="BZ8" s="826"/>
    </row>
    <row r="9" spans="1:78" ht="31.75" customHeight="1">
      <c r="A9" s="828" t="s">
        <v>326</v>
      </c>
      <c r="B9" s="829"/>
      <c r="C9" s="607"/>
      <c r="D9" s="608"/>
      <c r="E9" s="608"/>
      <c r="F9" s="608"/>
      <c r="G9" s="608"/>
      <c r="H9" s="608"/>
      <c r="I9" s="609"/>
      <c r="J9" s="864" t="s">
        <v>327</v>
      </c>
      <c r="K9" s="865"/>
      <c r="L9" s="865"/>
      <c r="M9" s="865"/>
      <c r="N9" s="865"/>
      <c r="O9" s="865"/>
      <c r="P9" s="866"/>
      <c r="Q9" s="861" t="s">
        <v>305</v>
      </c>
      <c r="R9" s="862"/>
      <c r="S9" s="862"/>
      <c r="T9" s="862"/>
      <c r="U9" s="862"/>
      <c r="V9" s="862"/>
      <c r="W9" s="862"/>
      <c r="X9" s="862"/>
      <c r="Y9" s="862"/>
      <c r="Z9" s="862"/>
      <c r="AA9" s="863"/>
      <c r="AB9" s="821"/>
      <c r="AC9" s="822"/>
      <c r="AD9" s="822"/>
      <c r="AE9" s="822"/>
      <c r="AF9" s="822"/>
      <c r="AG9" s="822"/>
      <c r="AH9" s="822"/>
      <c r="AI9" s="821"/>
      <c r="AJ9" s="822"/>
      <c r="AK9" s="822"/>
      <c r="AL9" s="822"/>
      <c r="AM9" s="822"/>
      <c r="AN9" s="822"/>
      <c r="AO9" s="822"/>
      <c r="AP9" s="822"/>
      <c r="AQ9" s="822"/>
      <c r="AR9" s="612"/>
      <c r="AS9" s="610"/>
      <c r="AT9" s="610"/>
      <c r="AU9" s="610"/>
      <c r="AV9" s="610"/>
      <c r="AW9" s="610"/>
      <c r="AX9" s="610"/>
      <c r="AY9" s="610"/>
      <c r="AZ9" s="610"/>
      <c r="BA9" s="610"/>
      <c r="BB9" s="610"/>
      <c r="BC9" s="610"/>
      <c r="BD9" s="610"/>
      <c r="BE9" s="610"/>
      <c r="BF9" s="610"/>
      <c r="BG9" s="610"/>
      <c r="BH9" s="610"/>
      <c r="BI9" s="610"/>
      <c r="BJ9" s="610"/>
      <c r="BK9" s="610"/>
      <c r="BL9" s="610"/>
      <c r="BM9" s="610"/>
      <c r="BN9" s="610"/>
      <c r="BO9" s="610"/>
      <c r="BP9" s="610"/>
      <c r="BQ9" s="610"/>
      <c r="BR9" s="610"/>
      <c r="BS9" s="610"/>
      <c r="BT9" s="610"/>
      <c r="BU9" s="610"/>
      <c r="BV9" s="610"/>
      <c r="BW9" s="610"/>
      <c r="BX9" s="610"/>
      <c r="BY9" s="610"/>
      <c r="BZ9" s="613"/>
    </row>
    <row r="10" spans="1:78" ht="33.75" customHeight="1">
      <c r="A10" s="828" t="s">
        <v>328</v>
      </c>
      <c r="B10" s="829"/>
      <c r="C10" s="607"/>
      <c r="D10" s="608"/>
      <c r="E10" s="608"/>
      <c r="F10" s="608"/>
      <c r="G10" s="608"/>
      <c r="H10" s="608"/>
      <c r="I10" s="609"/>
      <c r="J10" s="864" t="s">
        <v>320</v>
      </c>
      <c r="K10" s="865"/>
      <c r="L10" s="865"/>
      <c r="M10" s="865"/>
      <c r="N10" s="865"/>
      <c r="O10" s="865"/>
      <c r="P10" s="866"/>
      <c r="Q10" s="861" t="s">
        <v>569</v>
      </c>
      <c r="R10" s="862"/>
      <c r="S10" s="862"/>
      <c r="T10" s="862"/>
      <c r="U10" s="862"/>
      <c r="V10" s="862"/>
      <c r="W10" s="862"/>
      <c r="X10" s="862"/>
      <c r="Y10" s="862"/>
      <c r="Z10" s="862"/>
      <c r="AA10" s="863"/>
      <c r="AB10" s="836"/>
      <c r="AC10" s="837"/>
      <c r="AD10" s="837"/>
      <c r="AE10" s="837"/>
      <c r="AF10" s="837"/>
      <c r="AG10" s="837"/>
      <c r="AH10" s="837"/>
      <c r="AI10" s="821" t="s">
        <v>568</v>
      </c>
      <c r="AJ10" s="822"/>
      <c r="AK10" s="822"/>
      <c r="AL10" s="822"/>
      <c r="AM10" s="822"/>
      <c r="AN10" s="822"/>
      <c r="AO10" s="822"/>
      <c r="AP10" s="822"/>
      <c r="AQ10" s="822"/>
      <c r="AR10" s="612"/>
      <c r="AS10" s="610"/>
      <c r="AT10" s="610"/>
      <c r="AU10" s="610"/>
      <c r="AV10" s="610"/>
      <c r="AW10" s="610"/>
      <c r="AX10" s="610"/>
      <c r="AY10" s="610"/>
      <c r="AZ10" s="610"/>
      <c r="BA10" s="610"/>
      <c r="BB10" s="610"/>
      <c r="BC10" s="610"/>
      <c r="BD10" s="610"/>
      <c r="BE10" s="610"/>
      <c r="BF10" s="610"/>
      <c r="BG10" s="610"/>
      <c r="BH10" s="610"/>
      <c r="BI10" s="610"/>
      <c r="BJ10" s="610"/>
      <c r="BK10" s="610"/>
      <c r="BL10" s="610"/>
      <c r="BM10" s="610"/>
      <c r="BN10" s="610"/>
      <c r="BO10" s="610"/>
      <c r="BP10" s="610"/>
      <c r="BQ10" s="610"/>
      <c r="BR10" s="610"/>
      <c r="BS10" s="610"/>
      <c r="BT10" s="610"/>
      <c r="BU10" s="610"/>
      <c r="BV10" s="610"/>
      <c r="BW10" s="610"/>
      <c r="BX10" s="610"/>
      <c r="BY10" s="610"/>
      <c r="BZ10" s="613"/>
    </row>
    <row r="11" spans="1:78" ht="35.5" customHeight="1">
      <c r="A11" s="828" t="s">
        <v>329</v>
      </c>
      <c r="B11" s="829"/>
      <c r="C11" s="607"/>
      <c r="D11" s="608"/>
      <c r="E11" s="608"/>
      <c r="F11" s="608"/>
      <c r="G11" s="608"/>
      <c r="H11" s="608"/>
      <c r="I11" s="609"/>
      <c r="J11" s="864" t="s">
        <v>319</v>
      </c>
      <c r="K11" s="865"/>
      <c r="L11" s="865"/>
      <c r="M11" s="865"/>
      <c r="N11" s="865"/>
      <c r="O11" s="865"/>
      <c r="P11" s="866"/>
      <c r="Q11" s="861" t="s">
        <v>330</v>
      </c>
      <c r="R11" s="862"/>
      <c r="S11" s="862"/>
      <c r="T11" s="862"/>
      <c r="U11" s="862"/>
      <c r="V11" s="862"/>
      <c r="W11" s="862"/>
      <c r="X11" s="862"/>
      <c r="Y11" s="862"/>
      <c r="Z11" s="862"/>
      <c r="AA11" s="863"/>
      <c r="AB11" s="821"/>
      <c r="AC11" s="822"/>
      <c r="AD11" s="822"/>
      <c r="AE11" s="822"/>
      <c r="AF11" s="822"/>
      <c r="AG11" s="822"/>
      <c r="AH11" s="822"/>
      <c r="AI11" s="821" t="s">
        <v>568</v>
      </c>
      <c r="AJ11" s="822"/>
      <c r="AK11" s="822"/>
      <c r="AL11" s="822"/>
      <c r="AM11" s="822"/>
      <c r="AN11" s="822"/>
      <c r="AO11" s="822"/>
      <c r="AP11" s="822"/>
      <c r="AQ11" s="822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26.5" customHeight="1">
      <c r="A12" s="828" t="s">
        <v>331</v>
      </c>
      <c r="B12" s="829"/>
      <c r="C12" s="607"/>
      <c r="D12" s="608"/>
      <c r="E12" s="608"/>
      <c r="F12" s="608"/>
      <c r="G12" s="608"/>
      <c r="H12" s="608"/>
      <c r="I12" s="609"/>
      <c r="J12" s="864" t="s">
        <v>332</v>
      </c>
      <c r="K12" s="865"/>
      <c r="L12" s="865"/>
      <c r="M12" s="865"/>
      <c r="N12" s="865"/>
      <c r="O12" s="865"/>
      <c r="P12" s="866"/>
      <c r="Q12" s="861" t="s">
        <v>318</v>
      </c>
      <c r="R12" s="862"/>
      <c r="S12" s="862"/>
      <c r="T12" s="862"/>
      <c r="U12" s="862"/>
      <c r="V12" s="862"/>
      <c r="W12" s="862"/>
      <c r="X12" s="862"/>
      <c r="Y12" s="862"/>
      <c r="Z12" s="862"/>
      <c r="AA12" s="863"/>
      <c r="AB12" s="821"/>
      <c r="AC12" s="822"/>
      <c r="AD12" s="822"/>
      <c r="AE12" s="822"/>
      <c r="AF12" s="822"/>
      <c r="AG12" s="822"/>
      <c r="AH12" s="822"/>
      <c r="AI12" s="821"/>
      <c r="AJ12" s="822"/>
      <c r="AK12" s="822"/>
      <c r="AL12" s="822"/>
      <c r="AM12" s="822"/>
      <c r="AN12" s="822"/>
      <c r="AO12" s="822"/>
      <c r="AP12" s="822"/>
      <c r="AQ12" s="822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0" customHeight="1">
      <c r="A13" s="828" t="s">
        <v>333</v>
      </c>
      <c r="B13" s="829"/>
      <c r="C13" s="607"/>
      <c r="D13" s="608"/>
      <c r="E13" s="608"/>
      <c r="F13" s="608"/>
      <c r="G13" s="608"/>
      <c r="H13" s="608"/>
      <c r="I13" s="609"/>
      <c r="J13" s="864" t="s">
        <v>334</v>
      </c>
      <c r="K13" s="865"/>
      <c r="L13" s="865"/>
      <c r="M13" s="865"/>
      <c r="N13" s="865"/>
      <c r="O13" s="865"/>
      <c r="P13" s="866"/>
      <c r="Q13" s="861" t="s">
        <v>335</v>
      </c>
      <c r="R13" s="862"/>
      <c r="S13" s="862"/>
      <c r="T13" s="862"/>
      <c r="U13" s="862"/>
      <c r="V13" s="862"/>
      <c r="W13" s="862"/>
      <c r="X13" s="862"/>
      <c r="Y13" s="862"/>
      <c r="Z13" s="862"/>
      <c r="AA13" s="863"/>
      <c r="AB13" s="836"/>
      <c r="AC13" s="837"/>
      <c r="AD13" s="837"/>
      <c r="AE13" s="837"/>
      <c r="AF13" s="837"/>
      <c r="AG13" s="837"/>
      <c r="AH13" s="837"/>
      <c r="AI13" s="836" t="s">
        <v>570</v>
      </c>
      <c r="AJ13" s="837"/>
      <c r="AK13" s="837"/>
      <c r="AL13" s="837"/>
      <c r="AM13" s="837"/>
      <c r="AN13" s="837"/>
      <c r="AO13" s="837"/>
      <c r="AP13" s="837"/>
      <c r="AQ13" s="837"/>
      <c r="AR13" s="827" t="s">
        <v>336</v>
      </c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  <c r="BW13" s="825"/>
      <c r="BX13" s="825"/>
      <c r="BY13" s="825"/>
      <c r="BZ13" s="826"/>
    </row>
    <row r="14" spans="1:78" ht="246.5" customHeight="1">
      <c r="A14" s="828" t="s">
        <v>337</v>
      </c>
      <c r="B14" s="829"/>
      <c r="C14" s="607"/>
      <c r="D14" s="608"/>
      <c r="E14" s="608"/>
      <c r="F14" s="608"/>
      <c r="G14" s="608"/>
      <c r="H14" s="608"/>
      <c r="I14" s="609"/>
      <c r="J14" s="864" t="s">
        <v>301</v>
      </c>
      <c r="K14" s="865"/>
      <c r="L14" s="865"/>
      <c r="M14" s="865"/>
      <c r="N14" s="865"/>
      <c r="O14" s="865"/>
      <c r="P14" s="866"/>
      <c r="Q14" s="861" t="s">
        <v>338</v>
      </c>
      <c r="R14" s="862"/>
      <c r="S14" s="862"/>
      <c r="T14" s="862"/>
      <c r="U14" s="862"/>
      <c r="V14" s="862"/>
      <c r="W14" s="862"/>
      <c r="X14" s="862"/>
      <c r="Y14" s="862"/>
      <c r="Z14" s="862"/>
      <c r="AA14" s="863"/>
      <c r="AB14" s="836"/>
      <c r="AC14" s="837"/>
      <c r="AD14" s="837"/>
      <c r="AE14" s="837"/>
      <c r="AF14" s="837"/>
      <c r="AG14" s="837"/>
      <c r="AH14" s="837"/>
      <c r="AI14" s="836" t="s">
        <v>571</v>
      </c>
      <c r="AJ14" s="837"/>
      <c r="AK14" s="837"/>
      <c r="AL14" s="837"/>
      <c r="AM14" s="837"/>
      <c r="AN14" s="837"/>
      <c r="AO14" s="837"/>
      <c r="AP14" s="837"/>
      <c r="AQ14" s="837"/>
      <c r="AR14" s="867" t="s">
        <v>339</v>
      </c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68"/>
      <c r="BO14" s="868"/>
      <c r="BP14" s="868"/>
      <c r="BQ14" s="868"/>
      <c r="BR14" s="868"/>
      <c r="BS14" s="868"/>
      <c r="BT14" s="868"/>
      <c r="BU14" s="868"/>
      <c r="BV14" s="868"/>
      <c r="BW14" s="868"/>
      <c r="BX14" s="868"/>
      <c r="BY14" s="868"/>
      <c r="BZ14" s="869"/>
    </row>
    <row r="15" spans="1:78" ht="72.5" customHeight="1">
      <c r="A15" s="828" t="s">
        <v>340</v>
      </c>
      <c r="B15" s="829"/>
      <c r="C15" s="607"/>
      <c r="D15" s="608"/>
      <c r="E15" s="608"/>
      <c r="F15" s="608"/>
      <c r="G15" s="608"/>
      <c r="H15" s="608"/>
      <c r="I15" s="609"/>
      <c r="J15" s="864" t="s">
        <v>341</v>
      </c>
      <c r="K15" s="865"/>
      <c r="L15" s="865"/>
      <c r="M15" s="865"/>
      <c r="N15" s="865"/>
      <c r="O15" s="865"/>
      <c r="P15" s="866"/>
      <c r="Q15" s="861" t="s">
        <v>342</v>
      </c>
      <c r="R15" s="862"/>
      <c r="S15" s="862"/>
      <c r="T15" s="862"/>
      <c r="U15" s="862"/>
      <c r="V15" s="862"/>
      <c r="W15" s="862"/>
      <c r="X15" s="862"/>
      <c r="Y15" s="862"/>
      <c r="Z15" s="862"/>
      <c r="AA15" s="863"/>
      <c r="AB15" s="677"/>
      <c r="AC15" s="678"/>
      <c r="AD15" s="678"/>
      <c r="AE15" s="678"/>
      <c r="AF15" s="678"/>
      <c r="AG15" s="678"/>
      <c r="AH15" s="678"/>
      <c r="AI15" s="836" t="s">
        <v>572</v>
      </c>
      <c r="AJ15" s="837"/>
      <c r="AK15" s="837"/>
      <c r="AL15" s="837"/>
      <c r="AM15" s="837"/>
      <c r="AN15" s="837"/>
      <c r="AO15" s="837"/>
      <c r="AP15" s="837"/>
      <c r="AQ15" s="837"/>
      <c r="AR15" s="867" t="s">
        <v>343</v>
      </c>
      <c r="AS15" s="868"/>
      <c r="AT15" s="868"/>
      <c r="AU15" s="868"/>
      <c r="AV15" s="868"/>
      <c r="AW15" s="868"/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68"/>
      <c r="BO15" s="868"/>
      <c r="BP15" s="868"/>
      <c r="BQ15" s="868"/>
      <c r="BR15" s="868"/>
      <c r="BS15" s="868"/>
      <c r="BT15" s="868"/>
      <c r="BU15" s="868"/>
      <c r="BV15" s="868"/>
      <c r="BW15" s="868"/>
      <c r="BX15" s="868"/>
      <c r="BY15" s="868"/>
      <c r="BZ15" s="869"/>
    </row>
    <row r="16" spans="1:78" ht="40.5" customHeight="1">
      <c r="A16" s="828" t="s">
        <v>344</v>
      </c>
      <c r="B16" s="829"/>
      <c r="C16" s="607"/>
      <c r="D16" s="608"/>
      <c r="E16" s="608"/>
      <c r="F16" s="608"/>
      <c r="G16" s="608"/>
      <c r="H16" s="608"/>
      <c r="I16" s="609"/>
      <c r="J16" s="864" t="s">
        <v>302</v>
      </c>
      <c r="K16" s="865"/>
      <c r="L16" s="865"/>
      <c r="M16" s="865"/>
      <c r="N16" s="865"/>
      <c r="O16" s="865"/>
      <c r="P16" s="866"/>
      <c r="Q16" s="861" t="s">
        <v>345</v>
      </c>
      <c r="R16" s="862"/>
      <c r="S16" s="862"/>
      <c r="T16" s="862"/>
      <c r="U16" s="862"/>
      <c r="V16" s="862"/>
      <c r="W16" s="862"/>
      <c r="X16" s="862"/>
      <c r="Y16" s="862"/>
      <c r="Z16" s="862"/>
      <c r="AA16" s="863"/>
      <c r="AB16" s="677"/>
      <c r="AC16" s="678"/>
      <c r="AD16" s="678"/>
      <c r="AE16" s="678"/>
      <c r="AF16" s="678"/>
      <c r="AG16" s="678"/>
      <c r="AH16" s="678"/>
      <c r="AI16" s="836" t="s">
        <v>573</v>
      </c>
      <c r="AJ16" s="837"/>
      <c r="AK16" s="837"/>
      <c r="AL16" s="837"/>
      <c r="AM16" s="837"/>
      <c r="AN16" s="837"/>
      <c r="AO16" s="837"/>
      <c r="AP16" s="837"/>
      <c r="AQ16" s="837"/>
      <c r="AR16" s="827" t="s">
        <v>346</v>
      </c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825"/>
      <c r="BP16" s="825"/>
      <c r="BQ16" s="825"/>
      <c r="BR16" s="825"/>
      <c r="BS16" s="825"/>
      <c r="BT16" s="825"/>
      <c r="BU16" s="825"/>
      <c r="BV16" s="825"/>
      <c r="BW16" s="825"/>
      <c r="BX16" s="825"/>
      <c r="BY16" s="825"/>
      <c r="BZ16" s="826"/>
    </row>
    <row r="17" spans="1:78" ht="133.5" customHeight="1">
      <c r="A17" s="828" t="s">
        <v>347</v>
      </c>
      <c r="B17" s="829"/>
      <c r="C17" s="607"/>
      <c r="D17" s="608"/>
      <c r="E17" s="608"/>
      <c r="F17" s="608"/>
      <c r="G17" s="608"/>
      <c r="H17" s="608"/>
      <c r="I17" s="609"/>
      <c r="J17" s="864" t="s">
        <v>303</v>
      </c>
      <c r="K17" s="865"/>
      <c r="L17" s="865"/>
      <c r="M17" s="865"/>
      <c r="N17" s="865"/>
      <c r="O17" s="865"/>
      <c r="P17" s="866"/>
      <c r="Q17" s="861" t="s">
        <v>348</v>
      </c>
      <c r="R17" s="862"/>
      <c r="S17" s="862"/>
      <c r="T17" s="862"/>
      <c r="U17" s="862"/>
      <c r="V17" s="862"/>
      <c r="W17" s="862"/>
      <c r="X17" s="862"/>
      <c r="Y17" s="862"/>
      <c r="Z17" s="862"/>
      <c r="AA17" s="863"/>
      <c r="AB17" s="870"/>
      <c r="AC17" s="871"/>
      <c r="AD17" s="871"/>
      <c r="AE17" s="871"/>
      <c r="AF17" s="871"/>
      <c r="AG17" s="871"/>
      <c r="AH17" s="872"/>
      <c r="AI17" s="836" t="s">
        <v>574</v>
      </c>
      <c r="AJ17" s="837"/>
      <c r="AK17" s="837"/>
      <c r="AL17" s="837"/>
      <c r="AM17" s="837"/>
      <c r="AN17" s="837"/>
      <c r="AO17" s="837"/>
      <c r="AP17" s="837"/>
      <c r="AQ17" s="837"/>
      <c r="AR17" s="827" t="s">
        <v>346</v>
      </c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825"/>
      <c r="BP17" s="825"/>
      <c r="BQ17" s="825"/>
      <c r="BR17" s="825"/>
      <c r="BS17" s="825"/>
      <c r="BT17" s="825"/>
      <c r="BU17" s="825"/>
      <c r="BV17" s="825"/>
      <c r="BW17" s="825"/>
      <c r="BX17" s="825"/>
      <c r="BY17" s="825"/>
      <c r="BZ17" s="826"/>
    </row>
    <row r="18" spans="1:78" ht="30.75" customHeight="1">
      <c r="A18" s="828" t="s">
        <v>349</v>
      </c>
      <c r="B18" s="829"/>
      <c r="C18" s="607"/>
      <c r="D18" s="608"/>
      <c r="E18" s="608"/>
      <c r="F18" s="608"/>
      <c r="G18" s="608"/>
      <c r="H18" s="608"/>
      <c r="I18" s="609"/>
      <c r="J18" s="864" t="s">
        <v>304</v>
      </c>
      <c r="K18" s="865"/>
      <c r="L18" s="865"/>
      <c r="M18" s="865"/>
      <c r="N18" s="865"/>
      <c r="O18" s="865"/>
      <c r="P18" s="866"/>
      <c r="Q18" s="861" t="s">
        <v>350</v>
      </c>
      <c r="R18" s="862"/>
      <c r="S18" s="862"/>
      <c r="T18" s="862"/>
      <c r="U18" s="862"/>
      <c r="V18" s="862"/>
      <c r="W18" s="862"/>
      <c r="X18" s="862"/>
      <c r="Y18" s="862"/>
      <c r="Z18" s="862"/>
      <c r="AA18" s="863"/>
      <c r="AB18" s="870"/>
      <c r="AC18" s="871"/>
      <c r="AD18" s="871"/>
      <c r="AE18" s="871"/>
      <c r="AF18" s="871"/>
      <c r="AG18" s="871"/>
      <c r="AH18" s="872"/>
      <c r="AI18" s="836" t="s">
        <v>575</v>
      </c>
      <c r="AJ18" s="837"/>
      <c r="AK18" s="837"/>
      <c r="AL18" s="837"/>
      <c r="AM18" s="837"/>
      <c r="AN18" s="837"/>
      <c r="AO18" s="837"/>
      <c r="AP18" s="837"/>
      <c r="AQ18" s="837"/>
      <c r="AR18" s="827" t="s">
        <v>351</v>
      </c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25"/>
      <c r="BP18" s="825"/>
      <c r="BQ18" s="825"/>
      <c r="BR18" s="825"/>
      <c r="BS18" s="825"/>
      <c r="BT18" s="825"/>
      <c r="BU18" s="825"/>
      <c r="BV18" s="825"/>
      <c r="BW18" s="825"/>
      <c r="BX18" s="825"/>
      <c r="BY18" s="825"/>
      <c r="BZ18" s="826"/>
    </row>
    <row r="19" spans="1:78" ht="46.5" customHeight="1">
      <c r="A19" s="828" t="s">
        <v>352</v>
      </c>
      <c r="B19" s="829"/>
      <c r="C19" s="830"/>
      <c r="D19" s="831"/>
      <c r="E19" s="831"/>
      <c r="F19" s="831"/>
      <c r="G19" s="831"/>
      <c r="H19" s="831"/>
      <c r="I19" s="832"/>
      <c r="J19" s="864" t="s">
        <v>353</v>
      </c>
      <c r="K19" s="865"/>
      <c r="L19" s="865"/>
      <c r="M19" s="865"/>
      <c r="N19" s="865"/>
      <c r="O19" s="865"/>
      <c r="P19" s="866"/>
      <c r="Q19" s="873" t="s">
        <v>354</v>
      </c>
      <c r="R19" s="874"/>
      <c r="S19" s="874"/>
      <c r="T19" s="874"/>
      <c r="U19" s="874"/>
      <c r="V19" s="874"/>
      <c r="W19" s="874"/>
      <c r="X19" s="874"/>
      <c r="Y19" s="874"/>
      <c r="Z19" s="874"/>
      <c r="AA19" s="875"/>
      <c r="AB19" s="677"/>
      <c r="AC19" s="678"/>
      <c r="AD19" s="678"/>
      <c r="AE19" s="678"/>
      <c r="AF19" s="678"/>
      <c r="AG19" s="678"/>
      <c r="AH19" s="678"/>
      <c r="AI19" s="821" t="s">
        <v>568</v>
      </c>
      <c r="AJ19" s="822"/>
      <c r="AK19" s="822"/>
      <c r="AL19" s="822"/>
      <c r="AM19" s="822"/>
      <c r="AN19" s="822"/>
      <c r="AO19" s="822"/>
      <c r="AP19" s="822"/>
      <c r="AQ19" s="822"/>
      <c r="AR19" s="827" t="s">
        <v>726</v>
      </c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  <c r="BX19" s="825"/>
      <c r="BY19" s="825"/>
      <c r="BZ19" s="826"/>
    </row>
    <row r="20" spans="1:78" ht="167.5" customHeight="1">
      <c r="A20" s="828" t="s">
        <v>355</v>
      </c>
      <c r="B20" s="829"/>
      <c r="C20" s="833"/>
      <c r="D20" s="834"/>
      <c r="E20" s="834"/>
      <c r="F20" s="834"/>
      <c r="G20" s="834"/>
      <c r="H20" s="834"/>
      <c r="I20" s="835"/>
      <c r="J20" s="864" t="s">
        <v>356</v>
      </c>
      <c r="K20" s="865"/>
      <c r="L20" s="865"/>
      <c r="M20" s="865"/>
      <c r="N20" s="865"/>
      <c r="O20" s="865"/>
      <c r="P20" s="866"/>
      <c r="Q20" s="873" t="s">
        <v>357</v>
      </c>
      <c r="R20" s="874"/>
      <c r="S20" s="874"/>
      <c r="T20" s="874"/>
      <c r="U20" s="874"/>
      <c r="V20" s="874"/>
      <c r="W20" s="874"/>
      <c r="X20" s="874"/>
      <c r="Y20" s="874"/>
      <c r="Z20" s="874"/>
      <c r="AA20" s="875"/>
      <c r="AB20" s="836"/>
      <c r="AC20" s="837"/>
      <c r="AD20" s="837"/>
      <c r="AE20" s="837"/>
      <c r="AF20" s="837"/>
      <c r="AG20" s="837"/>
      <c r="AH20" s="837"/>
      <c r="AI20" s="836"/>
      <c r="AJ20" s="837"/>
      <c r="AK20" s="837"/>
      <c r="AL20" s="837"/>
      <c r="AM20" s="837"/>
      <c r="AN20" s="837"/>
      <c r="AO20" s="837"/>
      <c r="AP20" s="837"/>
      <c r="AQ20" s="837"/>
      <c r="AR20" s="827" t="s">
        <v>563</v>
      </c>
      <c r="AS20" s="825"/>
      <c r="AT20" s="825"/>
      <c r="AU20" s="825"/>
      <c r="AV20" s="825"/>
      <c r="AW20" s="825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25"/>
      <c r="BJ20" s="825"/>
      <c r="BK20" s="825"/>
      <c r="BL20" s="825"/>
      <c r="BM20" s="825"/>
      <c r="BN20" s="825"/>
      <c r="BO20" s="825"/>
      <c r="BP20" s="825"/>
      <c r="BQ20" s="825"/>
      <c r="BR20" s="825"/>
      <c r="BS20" s="825"/>
      <c r="BT20" s="825"/>
      <c r="BU20" s="825"/>
      <c r="BV20" s="825"/>
      <c r="BW20" s="825"/>
      <c r="BX20" s="825"/>
      <c r="BY20" s="825"/>
      <c r="BZ20" s="826"/>
    </row>
    <row r="21" spans="1:78" ht="15.75" customHeight="1">
      <c r="A21" s="828" t="s">
        <v>358</v>
      </c>
      <c r="B21" s="829"/>
      <c r="C21" s="864"/>
      <c r="D21" s="865"/>
      <c r="E21" s="865"/>
      <c r="F21" s="865"/>
      <c r="G21" s="865"/>
      <c r="H21" s="865"/>
      <c r="I21" s="866"/>
      <c r="J21" s="864" t="s">
        <v>359</v>
      </c>
      <c r="K21" s="865"/>
      <c r="L21" s="865"/>
      <c r="M21" s="865"/>
      <c r="N21" s="865"/>
      <c r="O21" s="865"/>
      <c r="P21" s="866"/>
      <c r="Q21" s="873" t="s">
        <v>318</v>
      </c>
      <c r="R21" s="874"/>
      <c r="S21" s="874"/>
      <c r="T21" s="874"/>
      <c r="U21" s="874"/>
      <c r="V21" s="874"/>
      <c r="W21" s="874"/>
      <c r="X21" s="874"/>
      <c r="Y21" s="874"/>
      <c r="Z21" s="874"/>
      <c r="AA21" s="875"/>
      <c r="AB21" s="836"/>
      <c r="AC21" s="837"/>
      <c r="AD21" s="837"/>
      <c r="AE21" s="837"/>
      <c r="AF21" s="837"/>
      <c r="AG21" s="837"/>
      <c r="AH21" s="837"/>
      <c r="AI21" s="836"/>
      <c r="AJ21" s="837"/>
      <c r="AK21" s="837"/>
      <c r="AL21" s="837"/>
      <c r="AM21" s="837"/>
      <c r="AN21" s="837"/>
      <c r="AO21" s="837"/>
      <c r="AP21" s="837"/>
      <c r="AQ21" s="837"/>
      <c r="AR21" s="827"/>
      <c r="AS21" s="825"/>
      <c r="AT21" s="825"/>
      <c r="AU21" s="825"/>
      <c r="AV21" s="825"/>
      <c r="AW21" s="825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25"/>
      <c r="BJ21" s="825"/>
      <c r="BK21" s="825"/>
      <c r="BL21" s="825"/>
      <c r="BM21" s="825"/>
      <c r="BN21" s="825"/>
      <c r="BO21" s="825"/>
      <c r="BP21" s="825"/>
      <c r="BQ21" s="825"/>
      <c r="BR21" s="825"/>
      <c r="BS21" s="825"/>
      <c r="BT21" s="825"/>
      <c r="BU21" s="825"/>
      <c r="BV21" s="825"/>
      <c r="BW21" s="825"/>
      <c r="BX21" s="825"/>
      <c r="BY21" s="825"/>
      <c r="BZ21" s="826"/>
    </row>
    <row r="22" spans="1:78" ht="60.5" customHeight="1">
      <c r="A22" s="854">
        <v>2.15</v>
      </c>
      <c r="B22" s="876"/>
      <c r="C22" s="864"/>
      <c r="D22" s="865"/>
      <c r="E22" s="865"/>
      <c r="F22" s="865"/>
      <c r="G22" s="865"/>
      <c r="H22" s="865"/>
      <c r="I22" s="866"/>
      <c r="J22" s="864" t="s">
        <v>360</v>
      </c>
      <c r="K22" s="865"/>
      <c r="L22" s="865"/>
      <c r="M22" s="865"/>
      <c r="N22" s="865"/>
      <c r="O22" s="865"/>
      <c r="P22" s="866"/>
      <c r="Q22" s="873" t="s">
        <v>318</v>
      </c>
      <c r="R22" s="874"/>
      <c r="S22" s="874"/>
      <c r="T22" s="874"/>
      <c r="U22" s="874"/>
      <c r="V22" s="874"/>
      <c r="W22" s="874"/>
      <c r="X22" s="874"/>
      <c r="Y22" s="874"/>
      <c r="Z22" s="874"/>
      <c r="AA22" s="875"/>
      <c r="AB22" s="836"/>
      <c r="AC22" s="837"/>
      <c r="AD22" s="837"/>
      <c r="AE22" s="837"/>
      <c r="AF22" s="837"/>
      <c r="AG22" s="837"/>
      <c r="AH22" s="837"/>
      <c r="AI22" s="836"/>
      <c r="AJ22" s="837"/>
      <c r="AK22" s="837"/>
      <c r="AL22" s="837"/>
      <c r="AM22" s="837"/>
      <c r="AN22" s="837"/>
      <c r="AO22" s="837"/>
      <c r="AP22" s="837"/>
      <c r="AQ22" s="837"/>
      <c r="AR22" s="827" t="s">
        <v>455</v>
      </c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  <c r="BX22" s="825"/>
      <c r="BY22" s="825"/>
      <c r="BZ22" s="826"/>
    </row>
    <row r="23" spans="1:78" ht="36" customHeight="1">
      <c r="A23" s="854">
        <v>2.16</v>
      </c>
      <c r="B23" s="876"/>
      <c r="C23" s="607"/>
      <c r="D23" s="608"/>
      <c r="E23" s="608"/>
      <c r="F23" s="608"/>
      <c r="G23" s="608"/>
      <c r="H23" s="608"/>
      <c r="I23" s="609"/>
      <c r="J23" s="864" t="s">
        <v>361</v>
      </c>
      <c r="K23" s="865"/>
      <c r="L23" s="865"/>
      <c r="M23" s="865"/>
      <c r="N23" s="865"/>
      <c r="O23" s="865"/>
      <c r="P23" s="866"/>
      <c r="Q23" s="861" t="s">
        <v>305</v>
      </c>
      <c r="R23" s="862"/>
      <c r="S23" s="862"/>
      <c r="T23" s="862"/>
      <c r="U23" s="862"/>
      <c r="V23" s="862"/>
      <c r="W23" s="862"/>
      <c r="X23" s="862"/>
      <c r="Y23" s="862"/>
      <c r="Z23" s="862"/>
      <c r="AA23" s="877"/>
      <c r="AB23" s="836"/>
      <c r="AC23" s="837"/>
      <c r="AD23" s="837"/>
      <c r="AE23" s="837"/>
      <c r="AF23" s="837"/>
      <c r="AG23" s="837"/>
      <c r="AH23" s="837"/>
      <c r="AI23" s="836"/>
      <c r="AJ23" s="837"/>
      <c r="AK23" s="837"/>
      <c r="AL23" s="837"/>
      <c r="AM23" s="837"/>
      <c r="AN23" s="837"/>
      <c r="AO23" s="837"/>
      <c r="AP23" s="837"/>
      <c r="AQ23" s="837"/>
      <c r="AR23" s="824" t="s">
        <v>565</v>
      </c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  <c r="BX23" s="825"/>
      <c r="BY23" s="825"/>
      <c r="BZ23" s="826"/>
    </row>
    <row r="24" spans="1:78" ht="71.5" customHeight="1">
      <c r="A24" s="828" t="s">
        <v>362</v>
      </c>
      <c r="B24" s="829"/>
      <c r="C24" s="607"/>
      <c r="D24" s="608"/>
      <c r="E24" s="608"/>
      <c r="F24" s="608"/>
      <c r="G24" s="608"/>
      <c r="H24" s="608"/>
      <c r="I24" s="609"/>
      <c r="J24" s="864" t="s">
        <v>363</v>
      </c>
      <c r="K24" s="865"/>
      <c r="L24" s="865"/>
      <c r="M24" s="865"/>
      <c r="N24" s="865"/>
      <c r="O24" s="865"/>
      <c r="P24" s="866"/>
      <c r="Q24" s="861" t="s">
        <v>305</v>
      </c>
      <c r="R24" s="862"/>
      <c r="S24" s="862"/>
      <c r="T24" s="862"/>
      <c r="U24" s="862"/>
      <c r="V24" s="862"/>
      <c r="W24" s="862"/>
      <c r="X24" s="862"/>
      <c r="Y24" s="862"/>
      <c r="Z24" s="862"/>
      <c r="AA24" s="877"/>
      <c r="AB24" s="821"/>
      <c r="AC24" s="822"/>
      <c r="AD24" s="822"/>
      <c r="AE24" s="822"/>
      <c r="AF24" s="822"/>
      <c r="AG24" s="822"/>
      <c r="AH24" s="822"/>
      <c r="AI24" s="821"/>
      <c r="AJ24" s="822"/>
      <c r="AK24" s="822"/>
      <c r="AL24" s="822"/>
      <c r="AM24" s="822"/>
      <c r="AN24" s="822"/>
      <c r="AO24" s="822"/>
      <c r="AP24" s="822"/>
      <c r="AQ24" s="822"/>
      <c r="AR24" s="824" t="s">
        <v>369</v>
      </c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5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  <c r="BW24" s="825"/>
      <c r="BX24" s="825"/>
      <c r="BY24" s="825"/>
      <c r="BZ24" s="826"/>
    </row>
    <row r="25" spans="1:78" ht="36" customHeight="1">
      <c r="A25" s="828" t="s">
        <v>364</v>
      </c>
      <c r="B25" s="829"/>
      <c r="C25" s="607"/>
      <c r="D25" s="608"/>
      <c r="E25" s="608"/>
      <c r="F25" s="608"/>
      <c r="G25" s="608"/>
      <c r="H25" s="608"/>
      <c r="I25" s="609"/>
      <c r="J25" s="864" t="s">
        <v>365</v>
      </c>
      <c r="K25" s="865"/>
      <c r="L25" s="865"/>
      <c r="M25" s="865"/>
      <c r="N25" s="865"/>
      <c r="O25" s="865"/>
      <c r="P25" s="866"/>
      <c r="Q25" s="861" t="s">
        <v>305</v>
      </c>
      <c r="R25" s="862"/>
      <c r="S25" s="862"/>
      <c r="T25" s="862"/>
      <c r="U25" s="862"/>
      <c r="V25" s="862"/>
      <c r="W25" s="862"/>
      <c r="X25" s="862"/>
      <c r="Y25" s="862"/>
      <c r="Z25" s="862"/>
      <c r="AA25" s="863"/>
      <c r="AB25" s="821"/>
      <c r="AC25" s="822"/>
      <c r="AD25" s="822"/>
      <c r="AE25" s="822"/>
      <c r="AF25" s="822"/>
      <c r="AG25" s="822"/>
      <c r="AH25" s="822"/>
      <c r="AI25" s="821"/>
      <c r="AJ25" s="822"/>
      <c r="AK25" s="822"/>
      <c r="AL25" s="822"/>
      <c r="AM25" s="822"/>
      <c r="AN25" s="822"/>
      <c r="AO25" s="822"/>
      <c r="AP25" s="822"/>
      <c r="AQ25" s="822"/>
      <c r="AR25" s="827" t="s">
        <v>366</v>
      </c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25"/>
      <c r="BJ25" s="825"/>
      <c r="BK25" s="825"/>
      <c r="BL25" s="825"/>
      <c r="BM25" s="825"/>
      <c r="BN25" s="825"/>
      <c r="BO25" s="825"/>
      <c r="BP25" s="825"/>
      <c r="BQ25" s="825"/>
      <c r="BR25" s="825"/>
      <c r="BS25" s="825"/>
      <c r="BT25" s="825"/>
      <c r="BU25" s="825"/>
      <c r="BV25" s="825"/>
      <c r="BW25" s="825"/>
      <c r="BX25" s="825"/>
      <c r="BY25" s="825"/>
      <c r="BZ25" s="826"/>
    </row>
    <row r="26" spans="1:78" ht="36" customHeight="1">
      <c r="A26" s="828" t="s">
        <v>367</v>
      </c>
      <c r="B26" s="829"/>
      <c r="C26" s="607"/>
      <c r="D26" s="608"/>
      <c r="E26" s="608"/>
      <c r="F26" s="608"/>
      <c r="G26" s="608"/>
      <c r="H26" s="608"/>
      <c r="I26" s="609"/>
      <c r="J26" s="864" t="s">
        <v>368</v>
      </c>
      <c r="K26" s="865"/>
      <c r="L26" s="865"/>
      <c r="M26" s="865"/>
      <c r="N26" s="865"/>
      <c r="O26" s="865"/>
      <c r="P26" s="866"/>
      <c r="Q26" s="861" t="s">
        <v>305</v>
      </c>
      <c r="R26" s="862"/>
      <c r="S26" s="862"/>
      <c r="T26" s="862"/>
      <c r="U26" s="862"/>
      <c r="V26" s="862"/>
      <c r="W26" s="862"/>
      <c r="X26" s="862"/>
      <c r="Y26" s="862"/>
      <c r="Z26" s="862"/>
      <c r="AA26" s="877"/>
      <c r="AB26" s="821"/>
      <c r="AC26" s="822"/>
      <c r="AD26" s="822"/>
      <c r="AE26" s="822"/>
      <c r="AF26" s="822"/>
      <c r="AG26" s="822"/>
      <c r="AH26" s="822"/>
      <c r="AI26" s="821"/>
      <c r="AJ26" s="822"/>
      <c r="AK26" s="822"/>
      <c r="AL26" s="822"/>
      <c r="AM26" s="822"/>
      <c r="AN26" s="822"/>
      <c r="AO26" s="822"/>
      <c r="AP26" s="822"/>
      <c r="AQ26" s="822"/>
      <c r="AR26" s="824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25"/>
      <c r="BP26" s="825"/>
      <c r="BQ26" s="825"/>
      <c r="BR26" s="825"/>
      <c r="BS26" s="825"/>
      <c r="BT26" s="825"/>
      <c r="BU26" s="825"/>
      <c r="BV26" s="825"/>
      <c r="BW26" s="825"/>
      <c r="BX26" s="825"/>
      <c r="BY26" s="825"/>
      <c r="BZ26" s="826"/>
    </row>
    <row r="27" spans="1:78" ht="36" customHeight="1">
      <c r="A27" s="828"/>
      <c r="B27" s="829"/>
      <c r="C27" s="607"/>
      <c r="D27" s="608"/>
      <c r="E27" s="608"/>
      <c r="F27" s="608"/>
      <c r="G27" s="608"/>
      <c r="H27" s="608"/>
      <c r="I27" s="609"/>
      <c r="J27" s="864"/>
      <c r="K27" s="865"/>
      <c r="L27" s="865"/>
      <c r="M27" s="865"/>
      <c r="N27" s="865"/>
      <c r="O27" s="865"/>
      <c r="P27" s="866"/>
      <c r="Q27" s="878"/>
      <c r="R27" s="879"/>
      <c r="S27" s="879"/>
      <c r="T27" s="879"/>
      <c r="U27" s="879"/>
      <c r="V27" s="879"/>
      <c r="W27" s="879"/>
      <c r="X27" s="879"/>
      <c r="Y27" s="879"/>
      <c r="Z27" s="879"/>
      <c r="AA27" s="611"/>
      <c r="AB27" s="821"/>
      <c r="AC27" s="822"/>
      <c r="AD27" s="822"/>
      <c r="AE27" s="822"/>
      <c r="AF27" s="822"/>
      <c r="AG27" s="822"/>
      <c r="AH27" s="822"/>
      <c r="AI27" s="821"/>
      <c r="AJ27" s="822"/>
      <c r="AK27" s="822"/>
      <c r="AL27" s="822"/>
      <c r="AM27" s="822"/>
      <c r="AN27" s="822"/>
      <c r="AO27" s="822"/>
      <c r="AP27" s="822"/>
      <c r="AQ27" s="822"/>
      <c r="AR27" s="824"/>
      <c r="AS27" s="825"/>
      <c r="AT27" s="825"/>
      <c r="AU27" s="825"/>
      <c r="AV27" s="825"/>
      <c r="AW27" s="825"/>
      <c r="AX27" s="825"/>
      <c r="AY27" s="825"/>
      <c r="AZ27" s="825"/>
      <c r="BA27" s="825"/>
      <c r="BB27" s="825"/>
      <c r="BC27" s="825"/>
      <c r="BD27" s="825"/>
      <c r="BE27" s="825"/>
      <c r="BF27" s="825"/>
      <c r="BG27" s="825"/>
      <c r="BH27" s="825"/>
      <c r="BI27" s="825"/>
      <c r="BJ27" s="825"/>
      <c r="BK27" s="825"/>
      <c r="BL27" s="825"/>
      <c r="BM27" s="825"/>
      <c r="BN27" s="825"/>
      <c r="BO27" s="825"/>
      <c r="BP27" s="825"/>
      <c r="BQ27" s="825"/>
      <c r="BR27" s="825"/>
      <c r="BS27" s="825"/>
      <c r="BT27" s="825"/>
      <c r="BU27" s="825"/>
      <c r="BV27" s="825"/>
      <c r="BW27" s="825"/>
      <c r="BX27" s="825"/>
      <c r="BY27" s="825"/>
      <c r="BZ27" s="826"/>
    </row>
    <row r="28" spans="1:78">
      <c r="A28" s="604"/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  <c r="M28" s="604"/>
      <c r="N28" s="604"/>
      <c r="O28" s="604"/>
      <c r="P28" s="604"/>
      <c r="Q28" s="604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823"/>
      <c r="AC28" s="823"/>
      <c r="AD28" s="823"/>
      <c r="AE28" s="823"/>
      <c r="AF28" s="823"/>
      <c r="AG28" s="823"/>
      <c r="AH28" s="823"/>
      <c r="AI28" s="823"/>
      <c r="AJ28" s="823"/>
      <c r="AK28" s="823"/>
      <c r="AL28" s="823"/>
      <c r="AM28" s="823"/>
      <c r="AN28" s="823"/>
      <c r="AO28" s="823"/>
      <c r="AP28" s="823"/>
      <c r="AQ28" s="823"/>
      <c r="AR28" s="604"/>
      <c r="AS28" s="604"/>
      <c r="AT28" s="604"/>
      <c r="AU28" s="604"/>
      <c r="AV28" s="604"/>
      <c r="AW28" s="604"/>
      <c r="AX28" s="604"/>
      <c r="AY28" s="604"/>
      <c r="AZ28" s="604"/>
      <c r="BA28" s="604"/>
      <c r="BB28" s="604"/>
      <c r="BC28" s="604"/>
      <c r="BD28" s="604"/>
      <c r="BE28" s="604"/>
      <c r="BF28" s="604"/>
      <c r="BG28" s="604"/>
      <c r="BH28" s="604"/>
      <c r="BI28" s="604"/>
      <c r="BJ28" s="604"/>
      <c r="BK28" s="604"/>
      <c r="BL28" s="604"/>
      <c r="BM28" s="604"/>
      <c r="BN28" s="604"/>
      <c r="BO28" s="604"/>
      <c r="BP28" s="604"/>
      <c r="BQ28" s="604"/>
      <c r="BR28" s="604"/>
      <c r="BS28" s="604"/>
      <c r="BT28" s="604"/>
      <c r="BU28" s="604"/>
      <c r="BV28" s="604"/>
      <c r="BW28" s="604"/>
      <c r="BX28" s="604"/>
      <c r="BY28" s="604"/>
      <c r="BZ28" s="604"/>
    </row>
    <row r="29" spans="1:78"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</row>
    <row r="30" spans="1:78"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</row>
  </sheetData>
  <mergeCells count="153">
    <mergeCell ref="A25:B25"/>
    <mergeCell ref="J25:P25"/>
    <mergeCell ref="A24:B24"/>
    <mergeCell ref="J24:P24"/>
    <mergeCell ref="AR23:BZ23"/>
    <mergeCell ref="AR24:BZ24"/>
    <mergeCell ref="AR26:BZ26"/>
    <mergeCell ref="AR27:BZ27"/>
    <mergeCell ref="A27:B27"/>
    <mergeCell ref="J27:P27"/>
    <mergeCell ref="Q27:Z27"/>
    <mergeCell ref="A26:B26"/>
    <mergeCell ref="J26:P26"/>
    <mergeCell ref="Q26:AA26"/>
    <mergeCell ref="Q25:AA25"/>
    <mergeCell ref="AR25:BZ25"/>
    <mergeCell ref="Q24:AA24"/>
    <mergeCell ref="AR22:BZ22"/>
    <mergeCell ref="Q22:AA22"/>
    <mergeCell ref="A22:B22"/>
    <mergeCell ref="C22:I22"/>
    <mergeCell ref="J22:P22"/>
    <mergeCell ref="AB22:AH22"/>
    <mergeCell ref="AI22:AQ22"/>
    <mergeCell ref="Q23:AA23"/>
    <mergeCell ref="A23:B23"/>
    <mergeCell ref="J23:P23"/>
    <mergeCell ref="AB23:AH23"/>
    <mergeCell ref="AI23:AQ23"/>
    <mergeCell ref="AR20:BZ20"/>
    <mergeCell ref="Q20:AA20"/>
    <mergeCell ref="A20:B20"/>
    <mergeCell ref="C20:I20"/>
    <mergeCell ref="J20:P20"/>
    <mergeCell ref="AB20:AH20"/>
    <mergeCell ref="AI20:AQ20"/>
    <mergeCell ref="Q21:AA21"/>
    <mergeCell ref="AR21:BZ21"/>
    <mergeCell ref="A21:B21"/>
    <mergeCell ref="C21:I21"/>
    <mergeCell ref="J21:P21"/>
    <mergeCell ref="AB21:AH21"/>
    <mergeCell ref="AI21:AQ21"/>
    <mergeCell ref="Q19:AA19"/>
    <mergeCell ref="AR19:BZ19"/>
    <mergeCell ref="AR18:BZ18"/>
    <mergeCell ref="A19:B19"/>
    <mergeCell ref="C19:I19"/>
    <mergeCell ref="J19:P19"/>
    <mergeCell ref="A18:B18"/>
    <mergeCell ref="J18:P18"/>
    <mergeCell ref="Q18:AA18"/>
    <mergeCell ref="AB18:AH18"/>
    <mergeCell ref="AI18:AQ18"/>
    <mergeCell ref="AI19:AQ19"/>
    <mergeCell ref="Q17:AA17"/>
    <mergeCell ref="AR17:BZ17"/>
    <mergeCell ref="AR16:BZ16"/>
    <mergeCell ref="A17:B17"/>
    <mergeCell ref="J17:P17"/>
    <mergeCell ref="A16:B16"/>
    <mergeCell ref="J16:P16"/>
    <mergeCell ref="Q16:AA16"/>
    <mergeCell ref="AI16:AQ16"/>
    <mergeCell ref="AB17:AH17"/>
    <mergeCell ref="AI17:AQ17"/>
    <mergeCell ref="Q13:AA13"/>
    <mergeCell ref="AR13:BZ13"/>
    <mergeCell ref="A13:B13"/>
    <mergeCell ref="J13:P13"/>
    <mergeCell ref="AB13:AH13"/>
    <mergeCell ref="AI13:AQ13"/>
    <mergeCell ref="Q15:AA15"/>
    <mergeCell ref="AR15:BZ15"/>
    <mergeCell ref="AR14:BZ14"/>
    <mergeCell ref="A15:B15"/>
    <mergeCell ref="J15:P15"/>
    <mergeCell ref="A14:B14"/>
    <mergeCell ref="J14:P14"/>
    <mergeCell ref="Q14:AA14"/>
    <mergeCell ref="AB14:AH14"/>
    <mergeCell ref="AI14:AQ14"/>
    <mergeCell ref="AI15:AQ15"/>
    <mergeCell ref="Q11:AA11"/>
    <mergeCell ref="A11:B11"/>
    <mergeCell ref="J11:P11"/>
    <mergeCell ref="AB11:AH11"/>
    <mergeCell ref="AI11:AQ11"/>
    <mergeCell ref="Q12:AA12"/>
    <mergeCell ref="A12:B12"/>
    <mergeCell ref="J12:P12"/>
    <mergeCell ref="AB12:AH12"/>
    <mergeCell ref="AI12:AQ12"/>
    <mergeCell ref="Q10:AA10"/>
    <mergeCell ref="Q9:AA9"/>
    <mergeCell ref="A10:B10"/>
    <mergeCell ref="J10:P10"/>
    <mergeCell ref="A9:B9"/>
    <mergeCell ref="J9:P9"/>
    <mergeCell ref="AB9:AH9"/>
    <mergeCell ref="AI9:AQ9"/>
    <mergeCell ref="AB10:AH10"/>
    <mergeCell ref="AI10:AQ10"/>
    <mergeCell ref="Q7:AA7"/>
    <mergeCell ref="AR7:BZ7"/>
    <mergeCell ref="A7:B7"/>
    <mergeCell ref="C7:I7"/>
    <mergeCell ref="J7:P7"/>
    <mergeCell ref="AB7:AH7"/>
    <mergeCell ref="AI7:AQ7"/>
    <mergeCell ref="Q8:AA8"/>
    <mergeCell ref="AR8:BZ8"/>
    <mergeCell ref="A8:B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5:AA5"/>
    <mergeCell ref="AR5:BZ5"/>
    <mergeCell ref="A5:B5"/>
    <mergeCell ref="C5:I5"/>
    <mergeCell ref="J5:P5"/>
    <mergeCell ref="AB5:AH5"/>
    <mergeCell ref="AI5:AQ5"/>
    <mergeCell ref="AR6:BZ6"/>
    <mergeCell ref="Q6:AA6"/>
    <mergeCell ref="A6:B6"/>
    <mergeCell ref="C6:I6"/>
    <mergeCell ref="J6:P6"/>
    <mergeCell ref="AB6:AH6"/>
    <mergeCell ref="AI6:AQ6"/>
    <mergeCell ref="AB29:AH29"/>
    <mergeCell ref="AI29:AQ29"/>
    <mergeCell ref="AB24:AH24"/>
    <mergeCell ref="AI24:AQ24"/>
    <mergeCell ref="AB25:AH25"/>
    <mergeCell ref="AI25:AQ25"/>
    <mergeCell ref="AB26:AH26"/>
    <mergeCell ref="AI26:AQ26"/>
    <mergeCell ref="AB27:AH27"/>
    <mergeCell ref="AI27:AQ27"/>
    <mergeCell ref="AB28:AH28"/>
    <mergeCell ref="AI28:AQ28"/>
  </mergeCells>
  <phoneticPr fontId="57"/>
  <conditionalFormatting sqref="Q5:Q27">
    <cfRule type="expression" dxfId="42" priority="7" stopIfTrue="1">
      <formula>FIND("○",#REF!)</formula>
    </cfRule>
  </conditionalFormatting>
  <conditionalFormatting sqref="AB5:AB29">
    <cfRule type="expression" dxfId="41" priority="2" stopIfTrue="1">
      <formula>FIND("○",#REF!)</formula>
    </cfRule>
  </conditionalFormatting>
  <conditionalFormatting sqref="AI5:AI29">
    <cfRule type="expression" dxfId="40" priority="1" stopIfTrue="1">
      <formula>FIND("○",#REF!)</formula>
    </cfRule>
  </conditionalFormatting>
  <conditionalFormatting sqref="AR5:AR27">
    <cfRule type="expression" dxfId="39" priority="19" stopIfTrue="1">
      <formula>FIND("○",#REF!)</formula>
    </cfRule>
  </conditionalFormatting>
  <dataValidations count="4">
    <dataValidation type="list" allowBlank="1" showInputMessage="1" showErrorMessage="1" sqref="U65543:X65543 IM65543:IP65543 SI65543:SL65543 ACE65543:ACH65543 AMA65543:AMD65543 AVW65543:AVZ65543 BFS65543:BFV65543 BPO65543:BPR65543 BZK65543:BZN65543 CJG65543:CJJ65543 CTC65543:CTF65543 DCY65543:DDB65543 DMU65543:DMX65543 DWQ65543:DWT65543 EGM65543:EGP65543 EQI65543:EQL65543 FAE65543:FAH65543 FKA65543:FKD65543 FTW65543:FTZ65543 GDS65543:GDV65543 GNO65543:GNR65543 GXK65543:GXN65543 HHG65543:HHJ65543 HRC65543:HRF65543 IAY65543:IBB65543 IKU65543:IKX65543 IUQ65543:IUT65543 JEM65543:JEP65543 JOI65543:JOL65543 JYE65543:JYH65543 KIA65543:KID65543 KRW65543:KRZ65543 LBS65543:LBV65543 LLO65543:LLR65543 LVK65543:LVN65543 MFG65543:MFJ65543 MPC65543:MPF65543 MYY65543:MZB65543 NIU65543:NIX65543 NSQ65543:NST65543 OCM65543:OCP65543 OMI65543:OML65543 OWE65543:OWH65543 PGA65543:PGD65543 PPW65543:PPZ65543 PZS65543:PZV65543 QJO65543:QJR65543 QTK65543:QTN65543 RDG65543:RDJ65543 RNC65543:RNF65543 RWY65543:RXB65543 SGU65543:SGX65543 SQQ65543:SQT65543 TAM65543:TAP65543 TKI65543:TKL65543 TUE65543:TUH65543 UEA65543:UED65543 UNW65543:UNZ65543 UXS65543:UXV65543 VHO65543:VHR65543 VRK65543:VRN65543 WBG65543:WBJ65543 WLC65543:WLF65543 WUY65543:WVB65543 U131079:X131079 IM131079:IP131079 SI131079:SL131079 ACE131079:ACH131079 AMA131079:AMD131079 AVW131079:AVZ131079 BFS131079:BFV131079 BPO131079:BPR131079 BZK131079:BZN131079 CJG131079:CJJ131079 CTC131079:CTF131079 DCY131079:DDB131079 DMU131079:DMX131079 DWQ131079:DWT131079 EGM131079:EGP131079 EQI131079:EQL131079 FAE131079:FAH131079 FKA131079:FKD131079 FTW131079:FTZ131079 GDS131079:GDV131079 GNO131079:GNR131079 GXK131079:GXN131079 HHG131079:HHJ131079 HRC131079:HRF131079 IAY131079:IBB131079 IKU131079:IKX131079 IUQ131079:IUT131079 JEM131079:JEP131079 JOI131079:JOL131079 JYE131079:JYH131079 KIA131079:KID131079 KRW131079:KRZ131079 LBS131079:LBV131079 LLO131079:LLR131079 LVK131079:LVN131079 MFG131079:MFJ131079 MPC131079:MPF131079 MYY131079:MZB131079 NIU131079:NIX131079 NSQ131079:NST131079 OCM131079:OCP131079 OMI131079:OML131079 OWE131079:OWH131079 PGA131079:PGD131079 PPW131079:PPZ131079 PZS131079:PZV131079 QJO131079:QJR131079 QTK131079:QTN131079 RDG131079:RDJ131079 RNC131079:RNF131079 RWY131079:RXB131079 SGU131079:SGX131079 SQQ131079:SQT131079 TAM131079:TAP131079 TKI131079:TKL131079 TUE131079:TUH131079 UEA131079:UED131079 UNW131079:UNZ131079 UXS131079:UXV131079 VHO131079:VHR131079 VRK131079:VRN131079 WBG131079:WBJ131079 WLC131079:WLF131079 WUY131079:WVB131079 U196615:X196615 IM196615:IP196615 SI196615:SL196615 ACE196615:ACH196615 AMA196615:AMD196615 AVW196615:AVZ196615 BFS196615:BFV196615 BPO196615:BPR196615 BZK196615:BZN196615 CJG196615:CJJ196615 CTC196615:CTF196615 DCY196615:DDB196615 DMU196615:DMX196615 DWQ196615:DWT196615 EGM196615:EGP196615 EQI196615:EQL196615 FAE196615:FAH196615 FKA196615:FKD196615 FTW196615:FTZ196615 GDS196615:GDV196615 GNO196615:GNR196615 GXK196615:GXN196615 HHG196615:HHJ196615 HRC196615:HRF196615 IAY196615:IBB196615 IKU196615:IKX196615 IUQ196615:IUT196615 JEM196615:JEP196615 JOI196615:JOL196615 JYE196615:JYH196615 KIA196615:KID196615 KRW196615:KRZ196615 LBS196615:LBV196615 LLO196615:LLR196615 LVK196615:LVN196615 MFG196615:MFJ196615 MPC196615:MPF196615 MYY196615:MZB196615 NIU196615:NIX196615 NSQ196615:NST196615 OCM196615:OCP196615 OMI196615:OML196615 OWE196615:OWH196615 PGA196615:PGD196615 PPW196615:PPZ196615 PZS196615:PZV196615 QJO196615:QJR196615 QTK196615:QTN196615 RDG196615:RDJ196615 RNC196615:RNF196615 RWY196615:RXB196615 SGU196615:SGX196615 SQQ196615:SQT196615 TAM196615:TAP196615 TKI196615:TKL196615 TUE196615:TUH196615 UEA196615:UED196615 UNW196615:UNZ196615 UXS196615:UXV196615 VHO196615:VHR196615 VRK196615:VRN196615 WBG196615:WBJ196615 WLC196615:WLF196615 WUY196615:WVB196615 U262151:X262151 IM262151:IP262151 SI262151:SL262151 ACE262151:ACH262151 AMA262151:AMD262151 AVW262151:AVZ262151 BFS262151:BFV262151 BPO262151:BPR262151 BZK262151:BZN262151 CJG262151:CJJ262151 CTC262151:CTF262151 DCY262151:DDB262151 DMU262151:DMX262151 DWQ262151:DWT262151 EGM262151:EGP262151 EQI262151:EQL262151 FAE262151:FAH262151 FKA262151:FKD262151 FTW262151:FTZ262151 GDS262151:GDV262151 GNO262151:GNR262151 GXK262151:GXN262151 HHG262151:HHJ262151 HRC262151:HRF262151 IAY262151:IBB262151 IKU262151:IKX262151 IUQ262151:IUT262151 JEM262151:JEP262151 JOI262151:JOL262151 JYE262151:JYH262151 KIA262151:KID262151 KRW262151:KRZ262151 LBS262151:LBV262151 LLO262151:LLR262151 LVK262151:LVN262151 MFG262151:MFJ262151 MPC262151:MPF262151 MYY262151:MZB262151 NIU262151:NIX262151 NSQ262151:NST262151 OCM262151:OCP262151 OMI262151:OML262151 OWE262151:OWH262151 PGA262151:PGD262151 PPW262151:PPZ262151 PZS262151:PZV262151 QJO262151:QJR262151 QTK262151:QTN262151 RDG262151:RDJ262151 RNC262151:RNF262151 RWY262151:RXB262151 SGU262151:SGX262151 SQQ262151:SQT262151 TAM262151:TAP262151 TKI262151:TKL262151 TUE262151:TUH262151 UEA262151:UED262151 UNW262151:UNZ262151 UXS262151:UXV262151 VHO262151:VHR262151 VRK262151:VRN262151 WBG262151:WBJ262151 WLC262151:WLF262151 WUY262151:WVB262151 U327687:X327687 IM327687:IP327687 SI327687:SL327687 ACE327687:ACH327687 AMA327687:AMD327687 AVW327687:AVZ327687 BFS327687:BFV327687 BPO327687:BPR327687 BZK327687:BZN327687 CJG327687:CJJ327687 CTC327687:CTF327687 DCY327687:DDB327687 DMU327687:DMX327687 DWQ327687:DWT327687 EGM327687:EGP327687 EQI327687:EQL327687 FAE327687:FAH327687 FKA327687:FKD327687 FTW327687:FTZ327687 GDS327687:GDV327687 GNO327687:GNR327687 GXK327687:GXN327687 HHG327687:HHJ327687 HRC327687:HRF327687 IAY327687:IBB327687 IKU327687:IKX327687 IUQ327687:IUT327687 JEM327687:JEP327687 JOI327687:JOL327687 JYE327687:JYH327687 KIA327687:KID327687 KRW327687:KRZ327687 LBS327687:LBV327687 LLO327687:LLR327687 LVK327687:LVN327687 MFG327687:MFJ327687 MPC327687:MPF327687 MYY327687:MZB327687 NIU327687:NIX327687 NSQ327687:NST327687 OCM327687:OCP327687 OMI327687:OML327687 OWE327687:OWH327687 PGA327687:PGD327687 PPW327687:PPZ327687 PZS327687:PZV327687 QJO327687:QJR327687 QTK327687:QTN327687 RDG327687:RDJ327687 RNC327687:RNF327687 RWY327687:RXB327687 SGU327687:SGX327687 SQQ327687:SQT327687 TAM327687:TAP327687 TKI327687:TKL327687 TUE327687:TUH327687 UEA327687:UED327687 UNW327687:UNZ327687 UXS327687:UXV327687 VHO327687:VHR327687 VRK327687:VRN327687 WBG327687:WBJ327687 WLC327687:WLF327687 WUY327687:WVB327687 U393223:X393223 IM393223:IP393223 SI393223:SL393223 ACE393223:ACH393223 AMA393223:AMD393223 AVW393223:AVZ393223 BFS393223:BFV393223 BPO393223:BPR393223 BZK393223:BZN393223 CJG393223:CJJ393223 CTC393223:CTF393223 DCY393223:DDB393223 DMU393223:DMX393223 DWQ393223:DWT393223 EGM393223:EGP393223 EQI393223:EQL393223 FAE393223:FAH393223 FKA393223:FKD393223 FTW393223:FTZ393223 GDS393223:GDV393223 GNO393223:GNR393223 GXK393223:GXN393223 HHG393223:HHJ393223 HRC393223:HRF393223 IAY393223:IBB393223 IKU393223:IKX393223 IUQ393223:IUT393223 JEM393223:JEP393223 JOI393223:JOL393223 JYE393223:JYH393223 KIA393223:KID393223 KRW393223:KRZ393223 LBS393223:LBV393223 LLO393223:LLR393223 LVK393223:LVN393223 MFG393223:MFJ393223 MPC393223:MPF393223 MYY393223:MZB393223 NIU393223:NIX393223 NSQ393223:NST393223 OCM393223:OCP393223 OMI393223:OML393223 OWE393223:OWH393223 PGA393223:PGD393223 PPW393223:PPZ393223 PZS393223:PZV393223 QJO393223:QJR393223 QTK393223:QTN393223 RDG393223:RDJ393223 RNC393223:RNF393223 RWY393223:RXB393223 SGU393223:SGX393223 SQQ393223:SQT393223 TAM393223:TAP393223 TKI393223:TKL393223 TUE393223:TUH393223 UEA393223:UED393223 UNW393223:UNZ393223 UXS393223:UXV393223 VHO393223:VHR393223 VRK393223:VRN393223 WBG393223:WBJ393223 WLC393223:WLF393223 WUY393223:WVB393223 U458759:X458759 IM458759:IP458759 SI458759:SL458759 ACE458759:ACH458759 AMA458759:AMD458759 AVW458759:AVZ458759 BFS458759:BFV458759 BPO458759:BPR458759 BZK458759:BZN458759 CJG458759:CJJ458759 CTC458759:CTF458759 DCY458759:DDB458759 DMU458759:DMX458759 DWQ458759:DWT458759 EGM458759:EGP458759 EQI458759:EQL458759 FAE458759:FAH458759 FKA458759:FKD458759 FTW458759:FTZ458759 GDS458759:GDV458759 GNO458759:GNR458759 GXK458759:GXN458759 HHG458759:HHJ458759 HRC458759:HRF458759 IAY458759:IBB458759 IKU458759:IKX458759 IUQ458759:IUT458759 JEM458759:JEP458759 JOI458759:JOL458759 JYE458759:JYH458759 KIA458759:KID458759 KRW458759:KRZ458759 LBS458759:LBV458759 LLO458759:LLR458759 LVK458759:LVN458759 MFG458759:MFJ458759 MPC458759:MPF458759 MYY458759:MZB458759 NIU458759:NIX458759 NSQ458759:NST458759 OCM458759:OCP458759 OMI458759:OML458759 OWE458759:OWH458759 PGA458759:PGD458759 PPW458759:PPZ458759 PZS458759:PZV458759 QJO458759:QJR458759 QTK458759:QTN458759 RDG458759:RDJ458759 RNC458759:RNF458759 RWY458759:RXB458759 SGU458759:SGX458759 SQQ458759:SQT458759 TAM458759:TAP458759 TKI458759:TKL458759 TUE458759:TUH458759 UEA458759:UED458759 UNW458759:UNZ458759 UXS458759:UXV458759 VHO458759:VHR458759 VRK458759:VRN458759 WBG458759:WBJ458759 WLC458759:WLF458759 WUY458759:WVB458759 U524295:X524295 IM524295:IP524295 SI524295:SL524295 ACE524295:ACH524295 AMA524295:AMD524295 AVW524295:AVZ524295 BFS524295:BFV524295 BPO524295:BPR524295 BZK524295:BZN524295 CJG524295:CJJ524295 CTC524295:CTF524295 DCY524295:DDB524295 DMU524295:DMX524295 DWQ524295:DWT524295 EGM524295:EGP524295 EQI524295:EQL524295 FAE524295:FAH524295 FKA524295:FKD524295 FTW524295:FTZ524295 GDS524295:GDV524295 GNO524295:GNR524295 GXK524295:GXN524295 HHG524295:HHJ524295 HRC524295:HRF524295 IAY524295:IBB524295 IKU524295:IKX524295 IUQ524295:IUT524295 JEM524295:JEP524295 JOI524295:JOL524295 JYE524295:JYH524295 KIA524295:KID524295 KRW524295:KRZ524295 LBS524295:LBV524295 LLO524295:LLR524295 LVK524295:LVN524295 MFG524295:MFJ524295 MPC524295:MPF524295 MYY524295:MZB524295 NIU524295:NIX524295 NSQ524295:NST524295 OCM524295:OCP524295 OMI524295:OML524295 OWE524295:OWH524295 PGA524295:PGD524295 PPW524295:PPZ524295 PZS524295:PZV524295 QJO524295:QJR524295 QTK524295:QTN524295 RDG524295:RDJ524295 RNC524295:RNF524295 RWY524295:RXB524295 SGU524295:SGX524295 SQQ524295:SQT524295 TAM524295:TAP524295 TKI524295:TKL524295 TUE524295:TUH524295 UEA524295:UED524295 UNW524295:UNZ524295 UXS524295:UXV524295 VHO524295:VHR524295 VRK524295:VRN524295 WBG524295:WBJ524295 WLC524295:WLF524295 WUY524295:WVB524295 U589831:X589831 IM589831:IP589831 SI589831:SL589831 ACE589831:ACH589831 AMA589831:AMD589831 AVW589831:AVZ589831 BFS589831:BFV589831 BPO589831:BPR589831 BZK589831:BZN589831 CJG589831:CJJ589831 CTC589831:CTF589831 DCY589831:DDB589831 DMU589831:DMX589831 DWQ589831:DWT589831 EGM589831:EGP589831 EQI589831:EQL589831 FAE589831:FAH589831 FKA589831:FKD589831 FTW589831:FTZ589831 GDS589831:GDV589831 GNO589831:GNR589831 GXK589831:GXN589831 HHG589831:HHJ589831 HRC589831:HRF589831 IAY589831:IBB589831 IKU589831:IKX589831 IUQ589831:IUT589831 JEM589831:JEP589831 JOI589831:JOL589831 JYE589831:JYH589831 KIA589831:KID589831 KRW589831:KRZ589831 LBS589831:LBV589831 LLO589831:LLR589831 LVK589831:LVN589831 MFG589831:MFJ589831 MPC589831:MPF589831 MYY589831:MZB589831 NIU589831:NIX589831 NSQ589831:NST589831 OCM589831:OCP589831 OMI589831:OML589831 OWE589831:OWH589831 PGA589831:PGD589831 PPW589831:PPZ589831 PZS589831:PZV589831 QJO589831:QJR589831 QTK589831:QTN589831 RDG589831:RDJ589831 RNC589831:RNF589831 RWY589831:RXB589831 SGU589831:SGX589831 SQQ589831:SQT589831 TAM589831:TAP589831 TKI589831:TKL589831 TUE589831:TUH589831 UEA589831:UED589831 UNW589831:UNZ589831 UXS589831:UXV589831 VHO589831:VHR589831 VRK589831:VRN589831 WBG589831:WBJ589831 WLC589831:WLF589831 WUY589831:WVB589831 U655367:X655367 IM655367:IP655367 SI655367:SL655367 ACE655367:ACH655367 AMA655367:AMD655367 AVW655367:AVZ655367 BFS655367:BFV655367 BPO655367:BPR655367 BZK655367:BZN655367 CJG655367:CJJ655367 CTC655367:CTF655367 DCY655367:DDB655367 DMU655367:DMX655367 DWQ655367:DWT655367 EGM655367:EGP655367 EQI655367:EQL655367 FAE655367:FAH655367 FKA655367:FKD655367 FTW655367:FTZ655367 GDS655367:GDV655367 GNO655367:GNR655367 GXK655367:GXN655367 HHG655367:HHJ655367 HRC655367:HRF655367 IAY655367:IBB655367 IKU655367:IKX655367 IUQ655367:IUT655367 JEM655367:JEP655367 JOI655367:JOL655367 JYE655367:JYH655367 KIA655367:KID655367 KRW655367:KRZ655367 LBS655367:LBV655367 LLO655367:LLR655367 LVK655367:LVN655367 MFG655367:MFJ655367 MPC655367:MPF655367 MYY655367:MZB655367 NIU655367:NIX655367 NSQ655367:NST655367 OCM655367:OCP655367 OMI655367:OML655367 OWE655367:OWH655367 PGA655367:PGD655367 PPW655367:PPZ655367 PZS655367:PZV655367 QJO655367:QJR655367 QTK655367:QTN655367 RDG655367:RDJ655367 RNC655367:RNF655367 RWY655367:RXB655367 SGU655367:SGX655367 SQQ655367:SQT655367 TAM655367:TAP655367 TKI655367:TKL655367 TUE655367:TUH655367 UEA655367:UED655367 UNW655367:UNZ655367 UXS655367:UXV655367 VHO655367:VHR655367 VRK655367:VRN655367 WBG655367:WBJ655367 WLC655367:WLF655367 WUY655367:WVB655367 U720903:X720903 IM720903:IP720903 SI720903:SL720903 ACE720903:ACH720903 AMA720903:AMD720903 AVW720903:AVZ720903 BFS720903:BFV720903 BPO720903:BPR720903 BZK720903:BZN720903 CJG720903:CJJ720903 CTC720903:CTF720903 DCY720903:DDB720903 DMU720903:DMX720903 DWQ720903:DWT720903 EGM720903:EGP720903 EQI720903:EQL720903 FAE720903:FAH720903 FKA720903:FKD720903 FTW720903:FTZ720903 GDS720903:GDV720903 GNO720903:GNR720903 GXK720903:GXN720903 HHG720903:HHJ720903 HRC720903:HRF720903 IAY720903:IBB720903 IKU720903:IKX720903 IUQ720903:IUT720903 JEM720903:JEP720903 JOI720903:JOL720903 JYE720903:JYH720903 KIA720903:KID720903 KRW720903:KRZ720903 LBS720903:LBV720903 LLO720903:LLR720903 LVK720903:LVN720903 MFG720903:MFJ720903 MPC720903:MPF720903 MYY720903:MZB720903 NIU720903:NIX720903 NSQ720903:NST720903 OCM720903:OCP720903 OMI720903:OML720903 OWE720903:OWH720903 PGA720903:PGD720903 PPW720903:PPZ720903 PZS720903:PZV720903 QJO720903:QJR720903 QTK720903:QTN720903 RDG720903:RDJ720903 RNC720903:RNF720903 RWY720903:RXB720903 SGU720903:SGX720903 SQQ720903:SQT720903 TAM720903:TAP720903 TKI720903:TKL720903 TUE720903:TUH720903 UEA720903:UED720903 UNW720903:UNZ720903 UXS720903:UXV720903 VHO720903:VHR720903 VRK720903:VRN720903 WBG720903:WBJ720903 WLC720903:WLF720903 WUY720903:WVB720903 U786439:X786439 IM786439:IP786439 SI786439:SL786439 ACE786439:ACH786439 AMA786439:AMD786439 AVW786439:AVZ786439 BFS786439:BFV786439 BPO786439:BPR786439 BZK786439:BZN786439 CJG786439:CJJ786439 CTC786439:CTF786439 DCY786439:DDB786439 DMU786439:DMX786439 DWQ786439:DWT786439 EGM786439:EGP786439 EQI786439:EQL786439 FAE786439:FAH786439 FKA786439:FKD786439 FTW786439:FTZ786439 GDS786439:GDV786439 GNO786439:GNR786439 GXK786439:GXN786439 HHG786439:HHJ786439 HRC786439:HRF786439 IAY786439:IBB786439 IKU786439:IKX786439 IUQ786439:IUT786439 JEM786439:JEP786439 JOI786439:JOL786439 JYE786439:JYH786439 KIA786439:KID786439 KRW786439:KRZ786439 LBS786439:LBV786439 LLO786439:LLR786439 LVK786439:LVN786439 MFG786439:MFJ786439 MPC786439:MPF786439 MYY786439:MZB786439 NIU786439:NIX786439 NSQ786439:NST786439 OCM786439:OCP786439 OMI786439:OML786439 OWE786439:OWH786439 PGA786439:PGD786439 PPW786439:PPZ786439 PZS786439:PZV786439 QJO786439:QJR786439 QTK786439:QTN786439 RDG786439:RDJ786439 RNC786439:RNF786439 RWY786439:RXB786439 SGU786439:SGX786439 SQQ786439:SQT786439 TAM786439:TAP786439 TKI786439:TKL786439 TUE786439:TUH786439 UEA786439:UED786439 UNW786439:UNZ786439 UXS786439:UXV786439 VHO786439:VHR786439 VRK786439:VRN786439 WBG786439:WBJ786439 WLC786439:WLF786439 WUY786439:WVB786439 U851975:X851975 IM851975:IP851975 SI851975:SL851975 ACE851975:ACH851975 AMA851975:AMD851975 AVW851975:AVZ851975 BFS851975:BFV851975 BPO851975:BPR851975 BZK851975:BZN851975 CJG851975:CJJ851975 CTC851975:CTF851975 DCY851975:DDB851975 DMU851975:DMX851975 DWQ851975:DWT851975 EGM851975:EGP851975 EQI851975:EQL851975 FAE851975:FAH851975 FKA851975:FKD851975 FTW851975:FTZ851975 GDS851975:GDV851975 GNO851975:GNR851975 GXK851975:GXN851975 HHG851975:HHJ851975 HRC851975:HRF851975 IAY851975:IBB851975 IKU851975:IKX851975 IUQ851975:IUT851975 JEM851975:JEP851975 JOI851975:JOL851975 JYE851975:JYH851975 KIA851975:KID851975 KRW851975:KRZ851975 LBS851975:LBV851975 LLO851975:LLR851975 LVK851975:LVN851975 MFG851975:MFJ851975 MPC851975:MPF851975 MYY851975:MZB851975 NIU851975:NIX851975 NSQ851975:NST851975 OCM851975:OCP851975 OMI851975:OML851975 OWE851975:OWH851975 PGA851975:PGD851975 PPW851975:PPZ851975 PZS851975:PZV851975 QJO851975:QJR851975 QTK851975:QTN851975 RDG851975:RDJ851975 RNC851975:RNF851975 RWY851975:RXB851975 SGU851975:SGX851975 SQQ851975:SQT851975 TAM851975:TAP851975 TKI851975:TKL851975 TUE851975:TUH851975 UEA851975:UED851975 UNW851975:UNZ851975 UXS851975:UXV851975 VHO851975:VHR851975 VRK851975:VRN851975 WBG851975:WBJ851975 WLC851975:WLF851975 WUY851975:WVB851975 U917511:X917511 IM917511:IP917511 SI917511:SL917511 ACE917511:ACH917511 AMA917511:AMD917511 AVW917511:AVZ917511 BFS917511:BFV917511 BPO917511:BPR917511 BZK917511:BZN917511 CJG917511:CJJ917511 CTC917511:CTF917511 DCY917511:DDB917511 DMU917511:DMX917511 DWQ917511:DWT917511 EGM917511:EGP917511 EQI917511:EQL917511 FAE917511:FAH917511 FKA917511:FKD917511 FTW917511:FTZ917511 GDS917511:GDV917511 GNO917511:GNR917511 GXK917511:GXN917511 HHG917511:HHJ917511 HRC917511:HRF917511 IAY917511:IBB917511 IKU917511:IKX917511 IUQ917511:IUT917511 JEM917511:JEP917511 JOI917511:JOL917511 JYE917511:JYH917511 KIA917511:KID917511 KRW917511:KRZ917511 LBS917511:LBV917511 LLO917511:LLR917511 LVK917511:LVN917511 MFG917511:MFJ917511 MPC917511:MPF917511 MYY917511:MZB917511 NIU917511:NIX917511 NSQ917511:NST917511 OCM917511:OCP917511 OMI917511:OML917511 OWE917511:OWH917511 PGA917511:PGD917511 PPW917511:PPZ917511 PZS917511:PZV917511 QJO917511:QJR917511 QTK917511:QTN917511 RDG917511:RDJ917511 RNC917511:RNF917511 RWY917511:RXB917511 SGU917511:SGX917511 SQQ917511:SQT917511 TAM917511:TAP917511 TKI917511:TKL917511 TUE917511:TUH917511 UEA917511:UED917511 UNW917511:UNZ917511 UXS917511:UXV917511 VHO917511:VHR917511 VRK917511:VRN917511 WBG917511:WBJ917511 WLC917511:WLF917511 WUY917511:WVB917511 U983047:X983047 IM983047:IP983047 SI983047:SL983047 ACE983047:ACH983047 AMA983047:AMD983047 AVW983047:AVZ983047 BFS983047:BFV983047 BPO983047:BPR983047 BZK983047:BZN983047 CJG983047:CJJ983047 CTC983047:CTF983047 DCY983047:DDB983047 DMU983047:DMX983047 DWQ983047:DWT983047 EGM983047:EGP983047 EQI983047:EQL983047 FAE983047:FAH983047 FKA983047:FKD983047 FTW983047:FTZ983047 GDS983047:GDV983047 GNO983047:GNR983047 GXK983047:GXN983047 HHG983047:HHJ983047 HRC983047:HRF983047 IAY983047:IBB983047 IKU983047:IKX983047 IUQ983047:IUT983047 JEM983047:JEP983047 JOI983047:JOL983047 JYE983047:JYH983047 KIA983047:KID983047 KRW983047:KRZ983047 LBS983047:LBV983047 LLO983047:LLR983047 LVK983047:LVN983047 MFG983047:MFJ983047 MPC983047:MPF983047 MYY983047:MZB983047 NIU983047:NIX983047 NSQ983047:NST983047 OCM983047:OCP983047 OMI983047:OML983047 OWE983047:OWH983047 PGA983047:PGD983047 PPW983047:PPZ983047 PZS983047:PZV983047 QJO983047:QJR983047 QTK983047:QTN983047 RDG983047:RDJ983047 RNC983047:RNF983047 RWY983047:RXB983047 SGU983047:SGX983047 SQQ983047:SQT983047 TAM983047:TAP983047 TKI983047:TKL983047 TUE983047:TUH983047 UEA983047:UED983047 UNW983047:UNZ983047 UXS983047:UXV983047 VHO983047:VHR983047 VRK983047:VRN983047 WBG983047:WBJ983047 WLC983047:WLF983047 WUY983047:WVB983047 IH983046:IK983046 SD983046:SG983046 ABZ983046:ACC983046 ALV983046:ALY983046 AVR983046:AVU983046 BFN983046:BFQ983046 BPJ983046:BPM983046 BZF983046:BZI983046 CJB983046:CJE983046 CSX983046:CTA983046 DCT983046:DCW983046 DMP983046:DMS983046 DWL983046:DWO983046 EGH983046:EGK983046 EQD983046:EQG983046 EZZ983046:FAC983046 FJV983046:FJY983046 FTR983046:FTU983046 GDN983046:GDQ983046 GNJ983046:GNM983046 GXF983046:GXI983046 HHB983046:HHE983046 HQX983046:HRA983046 IAT983046:IAW983046 IKP983046:IKS983046 IUL983046:IUO983046 JEH983046:JEK983046 JOD983046:JOG983046 JXZ983046:JYC983046 KHV983046:KHY983046 KRR983046:KRU983046 LBN983046:LBQ983046 LLJ983046:LLM983046 LVF983046:LVI983046 MFB983046:MFE983046 MOX983046:MPA983046 MYT983046:MYW983046 NIP983046:NIS983046 NSL983046:NSO983046 OCH983046:OCK983046 OMD983046:OMG983046 OVZ983046:OWC983046 PFV983046:PFY983046 PPR983046:PPU983046 PZN983046:PZQ983046 QJJ983046:QJM983046 QTF983046:QTI983046 RDB983046:RDE983046 RMX983046:RNA983046 RWT983046:RWW983046 SGP983046:SGS983046 SQL983046:SQO983046 TAH983046:TAK983046 TKD983046:TKG983046 TTZ983046:TUC983046 UDV983046:UDY983046 UNR983046:UNU983046 UXN983046:UXQ983046 VHJ983046:VHM983046 VRF983046:VRI983046 WBB983046:WBE983046 WKX983046:WLA983046 WUT983046:WUW983046 IH65542:IK65542 SD65542:SG65542 ABZ65542:ACC65542 ALV65542:ALY65542 AVR65542:AVU65542 BFN65542:BFQ65542 BPJ65542:BPM65542 BZF65542:BZI65542 CJB65542:CJE65542 CSX65542:CTA65542 DCT65542:DCW65542 DMP65542:DMS65542 DWL65542:DWO65542 EGH65542:EGK65542 EQD65542:EQG65542 EZZ65542:FAC65542 FJV65542:FJY65542 FTR65542:FTU65542 GDN65542:GDQ65542 GNJ65542:GNM65542 GXF65542:GXI65542 HHB65542:HHE65542 HQX65542:HRA65542 IAT65542:IAW65542 IKP65542:IKS65542 IUL65542:IUO65542 JEH65542:JEK65542 JOD65542:JOG65542 JXZ65542:JYC65542 KHV65542:KHY65542 KRR65542:KRU65542 LBN65542:LBQ65542 LLJ65542:LLM65542 LVF65542:LVI65542 MFB65542:MFE65542 MOX65542:MPA65542 MYT65542:MYW65542 NIP65542:NIS65542 NSL65542:NSO65542 OCH65542:OCK65542 OMD65542:OMG65542 OVZ65542:OWC65542 PFV65542:PFY65542 PPR65542:PPU65542 PZN65542:PZQ65542 QJJ65542:QJM65542 QTF65542:QTI65542 RDB65542:RDE65542 RMX65542:RNA65542 RWT65542:RWW65542 SGP65542:SGS65542 SQL65542:SQO65542 TAH65542:TAK65542 TKD65542:TKG65542 TTZ65542:TUC65542 UDV65542:UDY65542 UNR65542:UNU65542 UXN65542:UXQ65542 VHJ65542:VHM65542 VRF65542:VRI65542 WBB65542:WBE65542 WKX65542:WLA65542 WUT65542:WUW65542 IH131078:IK131078 SD131078:SG131078 ABZ131078:ACC131078 ALV131078:ALY131078 AVR131078:AVU131078 BFN131078:BFQ131078 BPJ131078:BPM131078 BZF131078:BZI131078 CJB131078:CJE131078 CSX131078:CTA131078 DCT131078:DCW131078 DMP131078:DMS131078 DWL131078:DWO131078 EGH131078:EGK131078 EQD131078:EQG131078 EZZ131078:FAC131078 FJV131078:FJY131078 FTR131078:FTU131078 GDN131078:GDQ131078 GNJ131078:GNM131078 GXF131078:GXI131078 HHB131078:HHE131078 HQX131078:HRA131078 IAT131078:IAW131078 IKP131078:IKS131078 IUL131078:IUO131078 JEH131078:JEK131078 JOD131078:JOG131078 JXZ131078:JYC131078 KHV131078:KHY131078 KRR131078:KRU131078 LBN131078:LBQ131078 LLJ131078:LLM131078 LVF131078:LVI131078 MFB131078:MFE131078 MOX131078:MPA131078 MYT131078:MYW131078 NIP131078:NIS131078 NSL131078:NSO131078 OCH131078:OCK131078 OMD131078:OMG131078 OVZ131078:OWC131078 PFV131078:PFY131078 PPR131078:PPU131078 PZN131078:PZQ131078 QJJ131078:QJM131078 QTF131078:QTI131078 RDB131078:RDE131078 RMX131078:RNA131078 RWT131078:RWW131078 SGP131078:SGS131078 SQL131078:SQO131078 TAH131078:TAK131078 TKD131078:TKG131078 TTZ131078:TUC131078 UDV131078:UDY131078 UNR131078:UNU131078 UXN131078:UXQ131078 VHJ131078:VHM131078 VRF131078:VRI131078 WBB131078:WBE131078 WKX131078:WLA131078 WUT131078:WUW131078 IH196614:IK196614 SD196614:SG196614 ABZ196614:ACC196614 ALV196614:ALY196614 AVR196614:AVU196614 BFN196614:BFQ196614 BPJ196614:BPM196614 BZF196614:BZI196614 CJB196614:CJE196614 CSX196614:CTA196614 DCT196614:DCW196614 DMP196614:DMS196614 DWL196614:DWO196614 EGH196614:EGK196614 EQD196614:EQG196614 EZZ196614:FAC196614 FJV196614:FJY196614 FTR196614:FTU196614 GDN196614:GDQ196614 GNJ196614:GNM196614 GXF196614:GXI196614 HHB196614:HHE196614 HQX196614:HRA196614 IAT196614:IAW196614 IKP196614:IKS196614 IUL196614:IUO196614 JEH196614:JEK196614 JOD196614:JOG196614 JXZ196614:JYC196614 KHV196614:KHY196614 KRR196614:KRU196614 LBN196614:LBQ196614 LLJ196614:LLM196614 LVF196614:LVI196614 MFB196614:MFE196614 MOX196614:MPA196614 MYT196614:MYW196614 NIP196614:NIS196614 NSL196614:NSO196614 OCH196614:OCK196614 OMD196614:OMG196614 OVZ196614:OWC196614 PFV196614:PFY196614 PPR196614:PPU196614 PZN196614:PZQ196614 QJJ196614:QJM196614 QTF196614:QTI196614 RDB196614:RDE196614 RMX196614:RNA196614 RWT196614:RWW196614 SGP196614:SGS196614 SQL196614:SQO196614 TAH196614:TAK196614 TKD196614:TKG196614 TTZ196614:TUC196614 UDV196614:UDY196614 UNR196614:UNU196614 UXN196614:UXQ196614 VHJ196614:VHM196614 VRF196614:VRI196614 WBB196614:WBE196614 WKX196614:WLA196614 WUT196614:WUW196614 IH262150:IK262150 SD262150:SG262150 ABZ262150:ACC262150 ALV262150:ALY262150 AVR262150:AVU262150 BFN262150:BFQ262150 BPJ262150:BPM262150 BZF262150:BZI262150 CJB262150:CJE262150 CSX262150:CTA262150 DCT262150:DCW262150 DMP262150:DMS262150 DWL262150:DWO262150 EGH262150:EGK262150 EQD262150:EQG262150 EZZ262150:FAC262150 FJV262150:FJY262150 FTR262150:FTU262150 GDN262150:GDQ262150 GNJ262150:GNM262150 GXF262150:GXI262150 HHB262150:HHE262150 HQX262150:HRA262150 IAT262150:IAW262150 IKP262150:IKS262150 IUL262150:IUO262150 JEH262150:JEK262150 JOD262150:JOG262150 JXZ262150:JYC262150 KHV262150:KHY262150 KRR262150:KRU262150 LBN262150:LBQ262150 LLJ262150:LLM262150 LVF262150:LVI262150 MFB262150:MFE262150 MOX262150:MPA262150 MYT262150:MYW262150 NIP262150:NIS262150 NSL262150:NSO262150 OCH262150:OCK262150 OMD262150:OMG262150 OVZ262150:OWC262150 PFV262150:PFY262150 PPR262150:PPU262150 PZN262150:PZQ262150 QJJ262150:QJM262150 QTF262150:QTI262150 RDB262150:RDE262150 RMX262150:RNA262150 RWT262150:RWW262150 SGP262150:SGS262150 SQL262150:SQO262150 TAH262150:TAK262150 TKD262150:TKG262150 TTZ262150:TUC262150 UDV262150:UDY262150 UNR262150:UNU262150 UXN262150:UXQ262150 VHJ262150:VHM262150 VRF262150:VRI262150 WBB262150:WBE262150 WKX262150:WLA262150 WUT262150:WUW262150 IH327686:IK327686 SD327686:SG327686 ABZ327686:ACC327686 ALV327686:ALY327686 AVR327686:AVU327686 BFN327686:BFQ327686 BPJ327686:BPM327686 BZF327686:BZI327686 CJB327686:CJE327686 CSX327686:CTA327686 DCT327686:DCW327686 DMP327686:DMS327686 DWL327686:DWO327686 EGH327686:EGK327686 EQD327686:EQG327686 EZZ327686:FAC327686 FJV327686:FJY327686 FTR327686:FTU327686 GDN327686:GDQ327686 GNJ327686:GNM327686 GXF327686:GXI327686 HHB327686:HHE327686 HQX327686:HRA327686 IAT327686:IAW327686 IKP327686:IKS327686 IUL327686:IUO327686 JEH327686:JEK327686 JOD327686:JOG327686 JXZ327686:JYC327686 KHV327686:KHY327686 KRR327686:KRU327686 LBN327686:LBQ327686 LLJ327686:LLM327686 LVF327686:LVI327686 MFB327686:MFE327686 MOX327686:MPA327686 MYT327686:MYW327686 NIP327686:NIS327686 NSL327686:NSO327686 OCH327686:OCK327686 OMD327686:OMG327686 OVZ327686:OWC327686 PFV327686:PFY327686 PPR327686:PPU327686 PZN327686:PZQ327686 QJJ327686:QJM327686 QTF327686:QTI327686 RDB327686:RDE327686 RMX327686:RNA327686 RWT327686:RWW327686 SGP327686:SGS327686 SQL327686:SQO327686 TAH327686:TAK327686 TKD327686:TKG327686 TTZ327686:TUC327686 UDV327686:UDY327686 UNR327686:UNU327686 UXN327686:UXQ327686 VHJ327686:VHM327686 VRF327686:VRI327686 WBB327686:WBE327686 WKX327686:WLA327686 WUT327686:WUW327686 IH393222:IK393222 SD393222:SG393222 ABZ393222:ACC393222 ALV393222:ALY393222 AVR393222:AVU393222 BFN393222:BFQ393222 BPJ393222:BPM393222 BZF393222:BZI393222 CJB393222:CJE393222 CSX393222:CTA393222 DCT393222:DCW393222 DMP393222:DMS393222 DWL393222:DWO393222 EGH393222:EGK393222 EQD393222:EQG393222 EZZ393222:FAC393222 FJV393222:FJY393222 FTR393222:FTU393222 GDN393222:GDQ393222 GNJ393222:GNM393222 GXF393222:GXI393222 HHB393222:HHE393222 HQX393222:HRA393222 IAT393222:IAW393222 IKP393222:IKS393222 IUL393222:IUO393222 JEH393222:JEK393222 JOD393222:JOG393222 JXZ393222:JYC393222 KHV393222:KHY393222 KRR393222:KRU393222 LBN393222:LBQ393222 LLJ393222:LLM393222 LVF393222:LVI393222 MFB393222:MFE393222 MOX393222:MPA393222 MYT393222:MYW393222 NIP393222:NIS393222 NSL393222:NSO393222 OCH393222:OCK393222 OMD393222:OMG393222 OVZ393222:OWC393222 PFV393222:PFY393222 PPR393222:PPU393222 PZN393222:PZQ393222 QJJ393222:QJM393222 QTF393222:QTI393222 RDB393222:RDE393222 RMX393222:RNA393222 RWT393222:RWW393222 SGP393222:SGS393222 SQL393222:SQO393222 TAH393222:TAK393222 TKD393222:TKG393222 TTZ393222:TUC393222 UDV393222:UDY393222 UNR393222:UNU393222 UXN393222:UXQ393222 VHJ393222:VHM393222 VRF393222:VRI393222 WBB393222:WBE393222 WKX393222:WLA393222 WUT393222:WUW393222 IH458758:IK458758 SD458758:SG458758 ABZ458758:ACC458758 ALV458758:ALY458758 AVR458758:AVU458758 BFN458758:BFQ458758 BPJ458758:BPM458758 BZF458758:BZI458758 CJB458758:CJE458758 CSX458758:CTA458758 DCT458758:DCW458758 DMP458758:DMS458758 DWL458758:DWO458758 EGH458758:EGK458758 EQD458758:EQG458758 EZZ458758:FAC458758 FJV458758:FJY458758 FTR458758:FTU458758 GDN458758:GDQ458758 GNJ458758:GNM458758 GXF458758:GXI458758 HHB458758:HHE458758 HQX458758:HRA458758 IAT458758:IAW458758 IKP458758:IKS458758 IUL458758:IUO458758 JEH458758:JEK458758 JOD458758:JOG458758 JXZ458758:JYC458758 KHV458758:KHY458758 KRR458758:KRU458758 LBN458758:LBQ458758 LLJ458758:LLM458758 LVF458758:LVI458758 MFB458758:MFE458758 MOX458758:MPA458758 MYT458758:MYW458758 NIP458758:NIS458758 NSL458758:NSO458758 OCH458758:OCK458758 OMD458758:OMG458758 OVZ458758:OWC458758 PFV458758:PFY458758 PPR458758:PPU458758 PZN458758:PZQ458758 QJJ458758:QJM458758 QTF458758:QTI458758 RDB458758:RDE458758 RMX458758:RNA458758 RWT458758:RWW458758 SGP458758:SGS458758 SQL458758:SQO458758 TAH458758:TAK458758 TKD458758:TKG458758 TTZ458758:TUC458758 UDV458758:UDY458758 UNR458758:UNU458758 UXN458758:UXQ458758 VHJ458758:VHM458758 VRF458758:VRI458758 WBB458758:WBE458758 WKX458758:WLA458758 WUT458758:WUW458758 IH524294:IK524294 SD524294:SG524294 ABZ524294:ACC524294 ALV524294:ALY524294 AVR524294:AVU524294 BFN524294:BFQ524294 BPJ524294:BPM524294 BZF524294:BZI524294 CJB524294:CJE524294 CSX524294:CTA524294 DCT524294:DCW524294 DMP524294:DMS524294 DWL524294:DWO524294 EGH524294:EGK524294 EQD524294:EQG524294 EZZ524294:FAC524294 FJV524294:FJY524294 FTR524294:FTU524294 GDN524294:GDQ524294 GNJ524294:GNM524294 GXF524294:GXI524294 HHB524294:HHE524294 HQX524294:HRA524294 IAT524294:IAW524294 IKP524294:IKS524294 IUL524294:IUO524294 JEH524294:JEK524294 JOD524294:JOG524294 JXZ524294:JYC524294 KHV524294:KHY524294 KRR524294:KRU524294 LBN524294:LBQ524294 LLJ524294:LLM524294 LVF524294:LVI524294 MFB524294:MFE524294 MOX524294:MPA524294 MYT524294:MYW524294 NIP524294:NIS524294 NSL524294:NSO524294 OCH524294:OCK524294 OMD524294:OMG524294 OVZ524294:OWC524294 PFV524294:PFY524294 PPR524294:PPU524294 PZN524294:PZQ524294 QJJ524294:QJM524294 QTF524294:QTI524294 RDB524294:RDE524294 RMX524294:RNA524294 RWT524294:RWW524294 SGP524294:SGS524294 SQL524294:SQO524294 TAH524294:TAK524294 TKD524294:TKG524294 TTZ524294:TUC524294 UDV524294:UDY524294 UNR524294:UNU524294 UXN524294:UXQ524294 VHJ524294:VHM524294 VRF524294:VRI524294 WBB524294:WBE524294 WKX524294:WLA524294 WUT524294:WUW524294 IH589830:IK589830 SD589830:SG589830 ABZ589830:ACC589830 ALV589830:ALY589830 AVR589830:AVU589830 BFN589830:BFQ589830 BPJ589830:BPM589830 BZF589830:BZI589830 CJB589830:CJE589830 CSX589830:CTA589830 DCT589830:DCW589830 DMP589830:DMS589830 DWL589830:DWO589830 EGH589830:EGK589830 EQD589830:EQG589830 EZZ589830:FAC589830 FJV589830:FJY589830 FTR589830:FTU589830 GDN589830:GDQ589830 GNJ589830:GNM589830 GXF589830:GXI589830 HHB589830:HHE589830 HQX589830:HRA589830 IAT589830:IAW589830 IKP589830:IKS589830 IUL589830:IUO589830 JEH589830:JEK589830 JOD589830:JOG589830 JXZ589830:JYC589830 KHV589830:KHY589830 KRR589830:KRU589830 LBN589830:LBQ589830 LLJ589830:LLM589830 LVF589830:LVI589830 MFB589830:MFE589830 MOX589830:MPA589830 MYT589830:MYW589830 NIP589830:NIS589830 NSL589830:NSO589830 OCH589830:OCK589830 OMD589830:OMG589830 OVZ589830:OWC589830 PFV589830:PFY589830 PPR589830:PPU589830 PZN589830:PZQ589830 QJJ589830:QJM589830 QTF589830:QTI589830 RDB589830:RDE589830 RMX589830:RNA589830 RWT589830:RWW589830 SGP589830:SGS589830 SQL589830:SQO589830 TAH589830:TAK589830 TKD589830:TKG589830 TTZ589830:TUC589830 UDV589830:UDY589830 UNR589830:UNU589830 UXN589830:UXQ589830 VHJ589830:VHM589830 VRF589830:VRI589830 WBB589830:WBE589830 WKX589830:WLA589830 WUT589830:WUW589830 IH655366:IK655366 SD655366:SG655366 ABZ655366:ACC655366 ALV655366:ALY655366 AVR655366:AVU655366 BFN655366:BFQ655366 BPJ655366:BPM655366 BZF655366:BZI655366 CJB655366:CJE655366 CSX655366:CTA655366 DCT655366:DCW655366 DMP655366:DMS655366 DWL655366:DWO655366 EGH655366:EGK655366 EQD655366:EQG655366 EZZ655366:FAC655366 FJV655366:FJY655366 FTR655366:FTU655366 GDN655366:GDQ655366 GNJ655366:GNM655366 GXF655366:GXI655366 HHB655366:HHE655366 HQX655366:HRA655366 IAT655366:IAW655366 IKP655366:IKS655366 IUL655366:IUO655366 JEH655366:JEK655366 JOD655366:JOG655366 JXZ655366:JYC655366 KHV655366:KHY655366 KRR655366:KRU655366 LBN655366:LBQ655366 LLJ655366:LLM655366 LVF655366:LVI655366 MFB655366:MFE655366 MOX655366:MPA655366 MYT655366:MYW655366 NIP655366:NIS655366 NSL655366:NSO655366 OCH655366:OCK655366 OMD655366:OMG655366 OVZ655366:OWC655366 PFV655366:PFY655366 PPR655366:PPU655366 PZN655366:PZQ655366 QJJ655366:QJM655366 QTF655366:QTI655366 RDB655366:RDE655366 RMX655366:RNA655366 RWT655366:RWW655366 SGP655366:SGS655366 SQL655366:SQO655366 TAH655366:TAK655366 TKD655366:TKG655366 TTZ655366:TUC655366 UDV655366:UDY655366 UNR655366:UNU655366 UXN655366:UXQ655366 VHJ655366:VHM655366 VRF655366:VRI655366 WBB655366:WBE655366 WKX655366:WLA655366 WUT655366:WUW655366 IH720902:IK720902 SD720902:SG720902 ABZ720902:ACC720902 ALV720902:ALY720902 AVR720902:AVU720902 BFN720902:BFQ720902 BPJ720902:BPM720902 BZF720902:BZI720902 CJB720902:CJE720902 CSX720902:CTA720902 DCT720902:DCW720902 DMP720902:DMS720902 DWL720902:DWO720902 EGH720902:EGK720902 EQD720902:EQG720902 EZZ720902:FAC720902 FJV720902:FJY720902 FTR720902:FTU720902 GDN720902:GDQ720902 GNJ720902:GNM720902 GXF720902:GXI720902 HHB720902:HHE720902 HQX720902:HRA720902 IAT720902:IAW720902 IKP720902:IKS720902 IUL720902:IUO720902 JEH720902:JEK720902 JOD720902:JOG720902 JXZ720902:JYC720902 KHV720902:KHY720902 KRR720902:KRU720902 LBN720902:LBQ720902 LLJ720902:LLM720902 LVF720902:LVI720902 MFB720902:MFE720902 MOX720902:MPA720902 MYT720902:MYW720902 NIP720902:NIS720902 NSL720902:NSO720902 OCH720902:OCK720902 OMD720902:OMG720902 OVZ720902:OWC720902 PFV720902:PFY720902 PPR720902:PPU720902 PZN720902:PZQ720902 QJJ720902:QJM720902 QTF720902:QTI720902 RDB720902:RDE720902 RMX720902:RNA720902 RWT720902:RWW720902 SGP720902:SGS720902 SQL720902:SQO720902 TAH720902:TAK720902 TKD720902:TKG720902 TTZ720902:TUC720902 UDV720902:UDY720902 UNR720902:UNU720902 UXN720902:UXQ720902 VHJ720902:VHM720902 VRF720902:VRI720902 WBB720902:WBE720902 WKX720902:WLA720902 WUT720902:WUW720902 IH786438:IK786438 SD786438:SG786438 ABZ786438:ACC786438 ALV786438:ALY786438 AVR786438:AVU786438 BFN786438:BFQ786438 BPJ786438:BPM786438 BZF786438:BZI786438 CJB786438:CJE786438 CSX786438:CTA786438 DCT786438:DCW786438 DMP786438:DMS786438 DWL786438:DWO786438 EGH786438:EGK786438 EQD786438:EQG786438 EZZ786438:FAC786438 FJV786438:FJY786438 FTR786438:FTU786438 GDN786438:GDQ786438 GNJ786438:GNM786438 GXF786438:GXI786438 HHB786438:HHE786438 HQX786438:HRA786438 IAT786438:IAW786438 IKP786438:IKS786438 IUL786438:IUO786438 JEH786438:JEK786438 JOD786438:JOG786438 JXZ786438:JYC786438 KHV786438:KHY786438 KRR786438:KRU786438 LBN786438:LBQ786438 LLJ786438:LLM786438 LVF786438:LVI786438 MFB786438:MFE786438 MOX786438:MPA786438 MYT786438:MYW786438 NIP786438:NIS786438 NSL786438:NSO786438 OCH786438:OCK786438 OMD786438:OMG786438 OVZ786438:OWC786438 PFV786438:PFY786438 PPR786438:PPU786438 PZN786438:PZQ786438 QJJ786438:QJM786438 QTF786438:QTI786438 RDB786438:RDE786438 RMX786438:RNA786438 RWT786438:RWW786438 SGP786438:SGS786438 SQL786438:SQO786438 TAH786438:TAK786438 TKD786438:TKG786438 TTZ786438:TUC786438 UDV786438:UDY786438 UNR786438:UNU786438 UXN786438:UXQ786438 VHJ786438:VHM786438 VRF786438:VRI786438 WBB786438:WBE786438 WKX786438:WLA786438 WUT786438:WUW786438 IH851974:IK851974 SD851974:SG851974 ABZ851974:ACC851974 ALV851974:ALY851974 AVR851974:AVU851974 BFN851974:BFQ851974 BPJ851974:BPM851974 BZF851974:BZI851974 CJB851974:CJE851974 CSX851974:CTA851974 DCT851974:DCW851974 DMP851974:DMS851974 DWL851974:DWO851974 EGH851974:EGK851974 EQD851974:EQG851974 EZZ851974:FAC851974 FJV851974:FJY851974 FTR851974:FTU851974 GDN851974:GDQ851974 GNJ851974:GNM851974 GXF851974:GXI851974 HHB851974:HHE851974 HQX851974:HRA851974 IAT851974:IAW851974 IKP851974:IKS851974 IUL851974:IUO851974 JEH851974:JEK851974 JOD851974:JOG851974 JXZ851974:JYC851974 KHV851974:KHY851974 KRR851974:KRU851974 LBN851974:LBQ851974 LLJ851974:LLM851974 LVF851974:LVI851974 MFB851974:MFE851974 MOX851974:MPA851974 MYT851974:MYW851974 NIP851974:NIS851974 NSL851974:NSO851974 OCH851974:OCK851974 OMD851974:OMG851974 OVZ851974:OWC851974 PFV851974:PFY851974 PPR851974:PPU851974 PZN851974:PZQ851974 QJJ851974:QJM851974 QTF851974:QTI851974 RDB851974:RDE851974 RMX851974:RNA851974 RWT851974:RWW851974 SGP851974:SGS851974 SQL851974:SQO851974 TAH851974:TAK851974 TKD851974:TKG851974 TTZ851974:TUC851974 UDV851974:UDY851974 UNR851974:UNU851974 UXN851974:UXQ851974 VHJ851974:VHM851974 VRF851974:VRI851974 WBB851974:WBE851974 WKX851974:WLA851974 WUT851974:WUW851974 IH917510:IK917510 SD917510:SG917510 ABZ917510:ACC917510 ALV917510:ALY917510 AVR917510:AVU917510 BFN917510:BFQ917510 BPJ917510:BPM917510 BZF917510:BZI917510 CJB917510:CJE917510 CSX917510:CTA917510 DCT917510:DCW917510 DMP917510:DMS917510 DWL917510:DWO917510 EGH917510:EGK917510 EQD917510:EQG917510 EZZ917510:FAC917510 FJV917510:FJY917510 FTR917510:FTU917510 GDN917510:GDQ917510 GNJ917510:GNM917510 GXF917510:GXI917510 HHB917510:HHE917510 HQX917510:HRA917510 IAT917510:IAW917510 IKP917510:IKS917510 IUL917510:IUO917510 JEH917510:JEK917510 JOD917510:JOG917510 JXZ917510:JYC917510 KHV917510:KHY917510 KRR917510:KRU917510 LBN917510:LBQ917510 LLJ917510:LLM917510 LVF917510:LVI917510 MFB917510:MFE917510 MOX917510:MPA917510 MYT917510:MYW917510 NIP917510:NIS917510 NSL917510:NSO917510 OCH917510:OCK917510 OMD917510:OMG917510 OVZ917510:OWC917510 PFV917510:PFY917510 PPR917510:PPU917510 PZN917510:PZQ917510 QJJ917510:QJM917510 QTF917510:QTI917510 RDB917510:RDE917510 RMX917510:RNA917510 RWT917510:RWW917510 SGP917510:SGS917510 SQL917510:SQO917510 TAH917510:TAK917510 TKD917510:TKG917510 TTZ917510:TUC917510 UDV917510:UDY917510 UNR917510:UNU917510 UXN917510:UXQ917510 VHJ917510:VHM917510 VRF917510:VRI917510 WBB917510:WBE917510 WKX917510:WLA917510 WUT917510:WUW917510 Q917510:S917510 Q851974:S851974 Q786438:S786438 Q720902:S720902 Q655366:S655366 Q589830:S589830 Q524294:S524294 Q458758:S458758 Q393222:S393222 Q327686:S327686 Q262150:S262150 Q196614:S196614 Q131078:S131078 Q65542:S65542 Q983046:S983046 AF131080:AH131080 AF196616:AH196616 AF262152:AH262152 AF327688:AH327688 AF393224:AH393224 AF458760:AH458760 AF524296:AH524296 AF589832:AH589832 AF655368:AH655368 AF720904:AH720904 AF786440:AH786440 AF851976:AH851976 AF917512:AH917512 AF983048:AH983048 AB983047:AD983047 AB917511:AD917511 AB851975:AD851975 AB786439:AD786439 AB720903:AD720903 AB655367:AD655367 AB589831:AD589831 AB524295:AD524295 AB458759:AD458759 AB393223:AD393223 AB327687:AD327687 AB262151:AD262151 AB196615:AD196615 AB131079:AD131079 AB65543:AD65543 AF65544:AH65544 AO131080:AQ131080 AO196616:AQ196616 AO262152:AQ262152 AO327688:AQ327688 AO393224:AQ393224 AO458760:AQ458760 AO524296:AQ524296 AO589832:AQ589832 AO655368:AQ655368 AO720904:AQ720904 AO786440:AQ786440 AO851976:AQ851976 AO917512:AQ917512 AO983048:AQ983048 AI917511:AK917511 AI851975:AK851975 AI786439:AK786439 AI720903:AK720903 AI655367:AK655367 AI589831:AK589831 AI524295:AK524295 AI458759:AK458759 AI393223:AK393223 AI327687:AK327687 AI262151:AK262151 AI196615:AK196615 AI131079:AK131079 AI65543:AK65543 AO65544:AQ65544 AI983047:AK983047 AL131080:AM131080 AL196616:AM196616 AL262152:AM262152 AL327688:AM327688 AL393224:AM393224 AL458760:AM458760 AL524296:AM524296 AL589832:AM589832 AL655368:AM655368 AL720904:AM720904 AL786440:AM786440 AL851976:AM851976 AL917512:AM917512 AL983048:AM983048 AL65544:AM65544" xr:uid="{87090E45-91C1-418E-8188-C4A72504E6B6}">
      <formula1>"○, ○（オンライン処理設計書なし）"</formula1>
    </dataValidation>
    <dataValidation type="list" allowBlank="1" showInputMessage="1" showErrorMessage="1" sqref="V65549:Y65552 IN65549:IQ65552 SJ65549:SM65552 ACF65549:ACI65552 AMB65549:AME65552 AVX65549:AWA65552 BFT65549:BFW65552 BPP65549:BPS65552 BZL65549:BZO65552 CJH65549:CJK65552 CTD65549:CTG65552 DCZ65549:DDC65552 DMV65549:DMY65552 DWR65549:DWU65552 EGN65549:EGQ65552 EQJ65549:EQM65552 FAF65549:FAI65552 FKB65549:FKE65552 FTX65549:FUA65552 GDT65549:GDW65552 GNP65549:GNS65552 GXL65549:GXO65552 HHH65549:HHK65552 HRD65549:HRG65552 IAZ65549:IBC65552 IKV65549:IKY65552 IUR65549:IUU65552 JEN65549:JEQ65552 JOJ65549:JOM65552 JYF65549:JYI65552 KIB65549:KIE65552 KRX65549:KSA65552 LBT65549:LBW65552 LLP65549:LLS65552 LVL65549:LVO65552 MFH65549:MFK65552 MPD65549:MPG65552 MYZ65549:MZC65552 NIV65549:NIY65552 NSR65549:NSU65552 OCN65549:OCQ65552 OMJ65549:OMM65552 OWF65549:OWI65552 PGB65549:PGE65552 PPX65549:PQA65552 PZT65549:PZW65552 QJP65549:QJS65552 QTL65549:QTO65552 RDH65549:RDK65552 RND65549:RNG65552 RWZ65549:RXC65552 SGV65549:SGY65552 SQR65549:SQU65552 TAN65549:TAQ65552 TKJ65549:TKM65552 TUF65549:TUI65552 UEB65549:UEE65552 UNX65549:UOA65552 UXT65549:UXW65552 VHP65549:VHS65552 VRL65549:VRO65552 WBH65549:WBK65552 WLD65549:WLG65552 WUZ65549:WVC65552 V131085:Y131088 IN131085:IQ131088 SJ131085:SM131088 ACF131085:ACI131088 AMB131085:AME131088 AVX131085:AWA131088 BFT131085:BFW131088 BPP131085:BPS131088 BZL131085:BZO131088 CJH131085:CJK131088 CTD131085:CTG131088 DCZ131085:DDC131088 DMV131085:DMY131088 DWR131085:DWU131088 EGN131085:EGQ131088 EQJ131085:EQM131088 FAF131085:FAI131088 FKB131085:FKE131088 FTX131085:FUA131088 GDT131085:GDW131088 GNP131085:GNS131088 GXL131085:GXO131088 HHH131085:HHK131088 HRD131085:HRG131088 IAZ131085:IBC131088 IKV131085:IKY131088 IUR131085:IUU131088 JEN131085:JEQ131088 JOJ131085:JOM131088 JYF131085:JYI131088 KIB131085:KIE131088 KRX131085:KSA131088 LBT131085:LBW131088 LLP131085:LLS131088 LVL131085:LVO131088 MFH131085:MFK131088 MPD131085:MPG131088 MYZ131085:MZC131088 NIV131085:NIY131088 NSR131085:NSU131088 OCN131085:OCQ131088 OMJ131085:OMM131088 OWF131085:OWI131088 PGB131085:PGE131088 PPX131085:PQA131088 PZT131085:PZW131088 QJP131085:QJS131088 QTL131085:QTO131088 RDH131085:RDK131088 RND131085:RNG131088 RWZ131085:RXC131088 SGV131085:SGY131088 SQR131085:SQU131088 TAN131085:TAQ131088 TKJ131085:TKM131088 TUF131085:TUI131088 UEB131085:UEE131088 UNX131085:UOA131088 UXT131085:UXW131088 VHP131085:VHS131088 VRL131085:VRO131088 WBH131085:WBK131088 WLD131085:WLG131088 WUZ131085:WVC131088 V196621:Y196624 IN196621:IQ196624 SJ196621:SM196624 ACF196621:ACI196624 AMB196621:AME196624 AVX196621:AWA196624 BFT196621:BFW196624 BPP196621:BPS196624 BZL196621:BZO196624 CJH196621:CJK196624 CTD196621:CTG196624 DCZ196621:DDC196624 DMV196621:DMY196624 DWR196621:DWU196624 EGN196621:EGQ196624 EQJ196621:EQM196624 FAF196621:FAI196624 FKB196621:FKE196624 FTX196621:FUA196624 GDT196621:GDW196624 GNP196621:GNS196624 GXL196621:GXO196624 HHH196621:HHK196624 HRD196621:HRG196624 IAZ196621:IBC196624 IKV196621:IKY196624 IUR196621:IUU196624 JEN196621:JEQ196624 JOJ196621:JOM196624 JYF196621:JYI196624 KIB196621:KIE196624 KRX196621:KSA196624 LBT196621:LBW196624 LLP196621:LLS196624 LVL196621:LVO196624 MFH196621:MFK196624 MPD196621:MPG196624 MYZ196621:MZC196624 NIV196621:NIY196624 NSR196621:NSU196624 OCN196621:OCQ196624 OMJ196621:OMM196624 OWF196621:OWI196624 PGB196621:PGE196624 PPX196621:PQA196624 PZT196621:PZW196624 QJP196621:QJS196624 QTL196621:QTO196624 RDH196621:RDK196624 RND196621:RNG196624 RWZ196621:RXC196624 SGV196621:SGY196624 SQR196621:SQU196624 TAN196621:TAQ196624 TKJ196621:TKM196624 TUF196621:TUI196624 UEB196621:UEE196624 UNX196621:UOA196624 UXT196621:UXW196624 VHP196621:VHS196624 VRL196621:VRO196624 WBH196621:WBK196624 WLD196621:WLG196624 WUZ196621:WVC196624 V262157:Y262160 IN262157:IQ262160 SJ262157:SM262160 ACF262157:ACI262160 AMB262157:AME262160 AVX262157:AWA262160 BFT262157:BFW262160 BPP262157:BPS262160 BZL262157:BZO262160 CJH262157:CJK262160 CTD262157:CTG262160 DCZ262157:DDC262160 DMV262157:DMY262160 DWR262157:DWU262160 EGN262157:EGQ262160 EQJ262157:EQM262160 FAF262157:FAI262160 FKB262157:FKE262160 FTX262157:FUA262160 GDT262157:GDW262160 GNP262157:GNS262160 GXL262157:GXO262160 HHH262157:HHK262160 HRD262157:HRG262160 IAZ262157:IBC262160 IKV262157:IKY262160 IUR262157:IUU262160 JEN262157:JEQ262160 JOJ262157:JOM262160 JYF262157:JYI262160 KIB262157:KIE262160 KRX262157:KSA262160 LBT262157:LBW262160 LLP262157:LLS262160 LVL262157:LVO262160 MFH262157:MFK262160 MPD262157:MPG262160 MYZ262157:MZC262160 NIV262157:NIY262160 NSR262157:NSU262160 OCN262157:OCQ262160 OMJ262157:OMM262160 OWF262157:OWI262160 PGB262157:PGE262160 PPX262157:PQA262160 PZT262157:PZW262160 QJP262157:QJS262160 QTL262157:QTO262160 RDH262157:RDK262160 RND262157:RNG262160 RWZ262157:RXC262160 SGV262157:SGY262160 SQR262157:SQU262160 TAN262157:TAQ262160 TKJ262157:TKM262160 TUF262157:TUI262160 UEB262157:UEE262160 UNX262157:UOA262160 UXT262157:UXW262160 VHP262157:VHS262160 VRL262157:VRO262160 WBH262157:WBK262160 WLD262157:WLG262160 WUZ262157:WVC262160 V327693:Y327696 IN327693:IQ327696 SJ327693:SM327696 ACF327693:ACI327696 AMB327693:AME327696 AVX327693:AWA327696 BFT327693:BFW327696 BPP327693:BPS327696 BZL327693:BZO327696 CJH327693:CJK327696 CTD327693:CTG327696 DCZ327693:DDC327696 DMV327693:DMY327696 DWR327693:DWU327696 EGN327693:EGQ327696 EQJ327693:EQM327696 FAF327693:FAI327696 FKB327693:FKE327696 FTX327693:FUA327696 GDT327693:GDW327696 GNP327693:GNS327696 GXL327693:GXO327696 HHH327693:HHK327696 HRD327693:HRG327696 IAZ327693:IBC327696 IKV327693:IKY327696 IUR327693:IUU327696 JEN327693:JEQ327696 JOJ327693:JOM327696 JYF327693:JYI327696 KIB327693:KIE327696 KRX327693:KSA327696 LBT327693:LBW327696 LLP327693:LLS327696 LVL327693:LVO327696 MFH327693:MFK327696 MPD327693:MPG327696 MYZ327693:MZC327696 NIV327693:NIY327696 NSR327693:NSU327696 OCN327693:OCQ327696 OMJ327693:OMM327696 OWF327693:OWI327696 PGB327693:PGE327696 PPX327693:PQA327696 PZT327693:PZW327696 QJP327693:QJS327696 QTL327693:QTO327696 RDH327693:RDK327696 RND327693:RNG327696 RWZ327693:RXC327696 SGV327693:SGY327696 SQR327693:SQU327696 TAN327693:TAQ327696 TKJ327693:TKM327696 TUF327693:TUI327696 UEB327693:UEE327696 UNX327693:UOA327696 UXT327693:UXW327696 VHP327693:VHS327696 VRL327693:VRO327696 WBH327693:WBK327696 WLD327693:WLG327696 WUZ327693:WVC327696 V393229:Y393232 IN393229:IQ393232 SJ393229:SM393232 ACF393229:ACI393232 AMB393229:AME393232 AVX393229:AWA393232 BFT393229:BFW393232 BPP393229:BPS393232 BZL393229:BZO393232 CJH393229:CJK393232 CTD393229:CTG393232 DCZ393229:DDC393232 DMV393229:DMY393232 DWR393229:DWU393232 EGN393229:EGQ393232 EQJ393229:EQM393232 FAF393229:FAI393232 FKB393229:FKE393232 FTX393229:FUA393232 GDT393229:GDW393232 GNP393229:GNS393232 GXL393229:GXO393232 HHH393229:HHK393232 HRD393229:HRG393232 IAZ393229:IBC393232 IKV393229:IKY393232 IUR393229:IUU393232 JEN393229:JEQ393232 JOJ393229:JOM393232 JYF393229:JYI393232 KIB393229:KIE393232 KRX393229:KSA393232 LBT393229:LBW393232 LLP393229:LLS393232 LVL393229:LVO393232 MFH393229:MFK393232 MPD393229:MPG393232 MYZ393229:MZC393232 NIV393229:NIY393232 NSR393229:NSU393232 OCN393229:OCQ393232 OMJ393229:OMM393232 OWF393229:OWI393232 PGB393229:PGE393232 PPX393229:PQA393232 PZT393229:PZW393232 QJP393229:QJS393232 QTL393229:QTO393232 RDH393229:RDK393232 RND393229:RNG393232 RWZ393229:RXC393232 SGV393229:SGY393232 SQR393229:SQU393232 TAN393229:TAQ393232 TKJ393229:TKM393232 TUF393229:TUI393232 UEB393229:UEE393232 UNX393229:UOA393232 UXT393229:UXW393232 VHP393229:VHS393232 VRL393229:VRO393232 WBH393229:WBK393232 WLD393229:WLG393232 WUZ393229:WVC393232 V458765:Y458768 IN458765:IQ458768 SJ458765:SM458768 ACF458765:ACI458768 AMB458765:AME458768 AVX458765:AWA458768 BFT458765:BFW458768 BPP458765:BPS458768 BZL458765:BZO458768 CJH458765:CJK458768 CTD458765:CTG458768 DCZ458765:DDC458768 DMV458765:DMY458768 DWR458765:DWU458768 EGN458765:EGQ458768 EQJ458765:EQM458768 FAF458765:FAI458768 FKB458765:FKE458768 FTX458765:FUA458768 GDT458765:GDW458768 GNP458765:GNS458768 GXL458765:GXO458768 HHH458765:HHK458768 HRD458765:HRG458768 IAZ458765:IBC458768 IKV458765:IKY458768 IUR458765:IUU458768 JEN458765:JEQ458768 JOJ458765:JOM458768 JYF458765:JYI458768 KIB458765:KIE458768 KRX458765:KSA458768 LBT458765:LBW458768 LLP458765:LLS458768 LVL458765:LVO458768 MFH458765:MFK458768 MPD458765:MPG458768 MYZ458765:MZC458768 NIV458765:NIY458768 NSR458765:NSU458768 OCN458765:OCQ458768 OMJ458765:OMM458768 OWF458765:OWI458768 PGB458765:PGE458768 PPX458765:PQA458768 PZT458765:PZW458768 QJP458765:QJS458768 QTL458765:QTO458768 RDH458765:RDK458768 RND458765:RNG458768 RWZ458765:RXC458768 SGV458765:SGY458768 SQR458765:SQU458768 TAN458765:TAQ458768 TKJ458765:TKM458768 TUF458765:TUI458768 UEB458765:UEE458768 UNX458765:UOA458768 UXT458765:UXW458768 VHP458765:VHS458768 VRL458765:VRO458768 WBH458765:WBK458768 WLD458765:WLG458768 WUZ458765:WVC458768 V524301:Y524304 IN524301:IQ524304 SJ524301:SM524304 ACF524301:ACI524304 AMB524301:AME524304 AVX524301:AWA524304 BFT524301:BFW524304 BPP524301:BPS524304 BZL524301:BZO524304 CJH524301:CJK524304 CTD524301:CTG524304 DCZ524301:DDC524304 DMV524301:DMY524304 DWR524301:DWU524304 EGN524301:EGQ524304 EQJ524301:EQM524304 FAF524301:FAI524304 FKB524301:FKE524304 FTX524301:FUA524304 GDT524301:GDW524304 GNP524301:GNS524304 GXL524301:GXO524304 HHH524301:HHK524304 HRD524301:HRG524304 IAZ524301:IBC524304 IKV524301:IKY524304 IUR524301:IUU524304 JEN524301:JEQ524304 JOJ524301:JOM524304 JYF524301:JYI524304 KIB524301:KIE524304 KRX524301:KSA524304 LBT524301:LBW524304 LLP524301:LLS524304 LVL524301:LVO524304 MFH524301:MFK524304 MPD524301:MPG524304 MYZ524301:MZC524304 NIV524301:NIY524304 NSR524301:NSU524304 OCN524301:OCQ524304 OMJ524301:OMM524304 OWF524301:OWI524304 PGB524301:PGE524304 PPX524301:PQA524304 PZT524301:PZW524304 QJP524301:QJS524304 QTL524301:QTO524304 RDH524301:RDK524304 RND524301:RNG524304 RWZ524301:RXC524304 SGV524301:SGY524304 SQR524301:SQU524304 TAN524301:TAQ524304 TKJ524301:TKM524304 TUF524301:TUI524304 UEB524301:UEE524304 UNX524301:UOA524304 UXT524301:UXW524304 VHP524301:VHS524304 VRL524301:VRO524304 WBH524301:WBK524304 WLD524301:WLG524304 WUZ524301:WVC524304 V589837:Y589840 IN589837:IQ589840 SJ589837:SM589840 ACF589837:ACI589840 AMB589837:AME589840 AVX589837:AWA589840 BFT589837:BFW589840 BPP589837:BPS589840 BZL589837:BZO589840 CJH589837:CJK589840 CTD589837:CTG589840 DCZ589837:DDC589840 DMV589837:DMY589840 DWR589837:DWU589840 EGN589837:EGQ589840 EQJ589837:EQM589840 FAF589837:FAI589840 FKB589837:FKE589840 FTX589837:FUA589840 GDT589837:GDW589840 GNP589837:GNS589840 GXL589837:GXO589840 HHH589837:HHK589840 HRD589837:HRG589840 IAZ589837:IBC589840 IKV589837:IKY589840 IUR589837:IUU589840 JEN589837:JEQ589840 JOJ589837:JOM589840 JYF589837:JYI589840 KIB589837:KIE589840 KRX589837:KSA589840 LBT589837:LBW589840 LLP589837:LLS589840 LVL589837:LVO589840 MFH589837:MFK589840 MPD589837:MPG589840 MYZ589837:MZC589840 NIV589837:NIY589840 NSR589837:NSU589840 OCN589837:OCQ589840 OMJ589837:OMM589840 OWF589837:OWI589840 PGB589837:PGE589840 PPX589837:PQA589840 PZT589837:PZW589840 QJP589837:QJS589840 QTL589837:QTO589840 RDH589837:RDK589840 RND589837:RNG589840 RWZ589837:RXC589840 SGV589837:SGY589840 SQR589837:SQU589840 TAN589837:TAQ589840 TKJ589837:TKM589840 TUF589837:TUI589840 UEB589837:UEE589840 UNX589837:UOA589840 UXT589837:UXW589840 VHP589837:VHS589840 VRL589837:VRO589840 WBH589837:WBK589840 WLD589837:WLG589840 WUZ589837:WVC589840 V655373:Y655376 IN655373:IQ655376 SJ655373:SM655376 ACF655373:ACI655376 AMB655373:AME655376 AVX655373:AWA655376 BFT655373:BFW655376 BPP655373:BPS655376 BZL655373:BZO655376 CJH655373:CJK655376 CTD655373:CTG655376 DCZ655373:DDC655376 DMV655373:DMY655376 DWR655373:DWU655376 EGN655373:EGQ655376 EQJ655373:EQM655376 FAF655373:FAI655376 FKB655373:FKE655376 FTX655373:FUA655376 GDT655373:GDW655376 GNP655373:GNS655376 GXL655373:GXO655376 HHH655373:HHK655376 HRD655373:HRG655376 IAZ655373:IBC655376 IKV655373:IKY655376 IUR655373:IUU655376 JEN655373:JEQ655376 JOJ655373:JOM655376 JYF655373:JYI655376 KIB655373:KIE655376 KRX655373:KSA655376 LBT655373:LBW655376 LLP655373:LLS655376 LVL655373:LVO655376 MFH655373:MFK655376 MPD655373:MPG655376 MYZ655373:MZC655376 NIV655373:NIY655376 NSR655373:NSU655376 OCN655373:OCQ655376 OMJ655373:OMM655376 OWF655373:OWI655376 PGB655373:PGE655376 PPX655373:PQA655376 PZT655373:PZW655376 QJP655373:QJS655376 QTL655373:QTO655376 RDH655373:RDK655376 RND655373:RNG655376 RWZ655373:RXC655376 SGV655373:SGY655376 SQR655373:SQU655376 TAN655373:TAQ655376 TKJ655373:TKM655376 TUF655373:TUI655376 UEB655373:UEE655376 UNX655373:UOA655376 UXT655373:UXW655376 VHP655373:VHS655376 VRL655373:VRO655376 WBH655373:WBK655376 WLD655373:WLG655376 WUZ655373:WVC655376 V720909:Y720912 IN720909:IQ720912 SJ720909:SM720912 ACF720909:ACI720912 AMB720909:AME720912 AVX720909:AWA720912 BFT720909:BFW720912 BPP720909:BPS720912 BZL720909:BZO720912 CJH720909:CJK720912 CTD720909:CTG720912 DCZ720909:DDC720912 DMV720909:DMY720912 DWR720909:DWU720912 EGN720909:EGQ720912 EQJ720909:EQM720912 FAF720909:FAI720912 FKB720909:FKE720912 FTX720909:FUA720912 GDT720909:GDW720912 GNP720909:GNS720912 GXL720909:GXO720912 HHH720909:HHK720912 HRD720909:HRG720912 IAZ720909:IBC720912 IKV720909:IKY720912 IUR720909:IUU720912 JEN720909:JEQ720912 JOJ720909:JOM720912 JYF720909:JYI720912 KIB720909:KIE720912 KRX720909:KSA720912 LBT720909:LBW720912 LLP720909:LLS720912 LVL720909:LVO720912 MFH720909:MFK720912 MPD720909:MPG720912 MYZ720909:MZC720912 NIV720909:NIY720912 NSR720909:NSU720912 OCN720909:OCQ720912 OMJ720909:OMM720912 OWF720909:OWI720912 PGB720909:PGE720912 PPX720909:PQA720912 PZT720909:PZW720912 QJP720909:QJS720912 QTL720909:QTO720912 RDH720909:RDK720912 RND720909:RNG720912 RWZ720909:RXC720912 SGV720909:SGY720912 SQR720909:SQU720912 TAN720909:TAQ720912 TKJ720909:TKM720912 TUF720909:TUI720912 UEB720909:UEE720912 UNX720909:UOA720912 UXT720909:UXW720912 VHP720909:VHS720912 VRL720909:VRO720912 WBH720909:WBK720912 WLD720909:WLG720912 WUZ720909:WVC720912 V786445:Y786448 IN786445:IQ786448 SJ786445:SM786448 ACF786445:ACI786448 AMB786445:AME786448 AVX786445:AWA786448 BFT786445:BFW786448 BPP786445:BPS786448 BZL786445:BZO786448 CJH786445:CJK786448 CTD786445:CTG786448 DCZ786445:DDC786448 DMV786445:DMY786448 DWR786445:DWU786448 EGN786445:EGQ786448 EQJ786445:EQM786448 FAF786445:FAI786448 FKB786445:FKE786448 FTX786445:FUA786448 GDT786445:GDW786448 GNP786445:GNS786448 GXL786445:GXO786448 HHH786445:HHK786448 HRD786445:HRG786448 IAZ786445:IBC786448 IKV786445:IKY786448 IUR786445:IUU786448 JEN786445:JEQ786448 JOJ786445:JOM786448 JYF786445:JYI786448 KIB786445:KIE786448 KRX786445:KSA786448 LBT786445:LBW786448 LLP786445:LLS786448 LVL786445:LVO786448 MFH786445:MFK786448 MPD786445:MPG786448 MYZ786445:MZC786448 NIV786445:NIY786448 NSR786445:NSU786448 OCN786445:OCQ786448 OMJ786445:OMM786448 OWF786445:OWI786448 PGB786445:PGE786448 PPX786445:PQA786448 PZT786445:PZW786448 QJP786445:QJS786448 QTL786445:QTO786448 RDH786445:RDK786448 RND786445:RNG786448 RWZ786445:RXC786448 SGV786445:SGY786448 SQR786445:SQU786448 TAN786445:TAQ786448 TKJ786445:TKM786448 TUF786445:TUI786448 UEB786445:UEE786448 UNX786445:UOA786448 UXT786445:UXW786448 VHP786445:VHS786448 VRL786445:VRO786448 WBH786445:WBK786448 WLD786445:WLG786448 WUZ786445:WVC786448 V851981:Y851984 IN851981:IQ851984 SJ851981:SM851984 ACF851981:ACI851984 AMB851981:AME851984 AVX851981:AWA851984 BFT851981:BFW851984 BPP851981:BPS851984 BZL851981:BZO851984 CJH851981:CJK851984 CTD851981:CTG851984 DCZ851981:DDC851984 DMV851981:DMY851984 DWR851981:DWU851984 EGN851981:EGQ851984 EQJ851981:EQM851984 FAF851981:FAI851984 FKB851981:FKE851984 FTX851981:FUA851984 GDT851981:GDW851984 GNP851981:GNS851984 GXL851981:GXO851984 HHH851981:HHK851984 HRD851981:HRG851984 IAZ851981:IBC851984 IKV851981:IKY851984 IUR851981:IUU851984 JEN851981:JEQ851984 JOJ851981:JOM851984 JYF851981:JYI851984 KIB851981:KIE851984 KRX851981:KSA851984 LBT851981:LBW851984 LLP851981:LLS851984 LVL851981:LVO851984 MFH851981:MFK851984 MPD851981:MPG851984 MYZ851981:MZC851984 NIV851981:NIY851984 NSR851981:NSU851984 OCN851981:OCQ851984 OMJ851981:OMM851984 OWF851981:OWI851984 PGB851981:PGE851984 PPX851981:PQA851984 PZT851981:PZW851984 QJP851981:QJS851984 QTL851981:QTO851984 RDH851981:RDK851984 RND851981:RNG851984 RWZ851981:RXC851984 SGV851981:SGY851984 SQR851981:SQU851984 TAN851981:TAQ851984 TKJ851981:TKM851984 TUF851981:TUI851984 UEB851981:UEE851984 UNX851981:UOA851984 UXT851981:UXW851984 VHP851981:VHS851984 VRL851981:VRO851984 WBH851981:WBK851984 WLD851981:WLG851984 WUZ851981:WVC851984 V917517:Y917520 IN917517:IQ917520 SJ917517:SM917520 ACF917517:ACI917520 AMB917517:AME917520 AVX917517:AWA917520 BFT917517:BFW917520 BPP917517:BPS917520 BZL917517:BZO917520 CJH917517:CJK917520 CTD917517:CTG917520 DCZ917517:DDC917520 DMV917517:DMY917520 DWR917517:DWU917520 EGN917517:EGQ917520 EQJ917517:EQM917520 FAF917517:FAI917520 FKB917517:FKE917520 FTX917517:FUA917520 GDT917517:GDW917520 GNP917517:GNS917520 GXL917517:GXO917520 HHH917517:HHK917520 HRD917517:HRG917520 IAZ917517:IBC917520 IKV917517:IKY917520 IUR917517:IUU917520 JEN917517:JEQ917520 JOJ917517:JOM917520 JYF917517:JYI917520 KIB917517:KIE917520 KRX917517:KSA917520 LBT917517:LBW917520 LLP917517:LLS917520 LVL917517:LVO917520 MFH917517:MFK917520 MPD917517:MPG917520 MYZ917517:MZC917520 NIV917517:NIY917520 NSR917517:NSU917520 OCN917517:OCQ917520 OMJ917517:OMM917520 OWF917517:OWI917520 PGB917517:PGE917520 PPX917517:PQA917520 PZT917517:PZW917520 QJP917517:QJS917520 QTL917517:QTO917520 RDH917517:RDK917520 RND917517:RNG917520 RWZ917517:RXC917520 SGV917517:SGY917520 SQR917517:SQU917520 TAN917517:TAQ917520 TKJ917517:TKM917520 TUF917517:TUI917520 UEB917517:UEE917520 UNX917517:UOA917520 UXT917517:UXW917520 VHP917517:VHS917520 VRL917517:VRO917520 WBH917517:WBK917520 WLD917517:WLG917520 WUZ917517:WVC917520 V983053:Y983056 IN983053:IQ983056 SJ983053:SM983056 ACF983053:ACI983056 AMB983053:AME983056 AVX983053:AWA983056 BFT983053:BFW983056 BPP983053:BPS983056 BZL983053:BZO983056 CJH983053:CJK983056 CTD983053:CTG983056 DCZ983053:DDC983056 DMV983053:DMY983056 DWR983053:DWU983056 EGN983053:EGQ983056 EQJ983053:EQM983056 FAF983053:FAI983056 FKB983053:FKE983056 FTX983053:FUA983056 GDT983053:GDW983056 GNP983053:GNS983056 GXL983053:GXO983056 HHH983053:HHK983056 HRD983053:HRG983056 IAZ983053:IBC983056 IKV983053:IKY983056 IUR983053:IUU983056 JEN983053:JEQ983056 JOJ983053:JOM983056 JYF983053:JYI983056 KIB983053:KIE983056 KRX983053:KSA983056 LBT983053:LBW983056 LLP983053:LLS983056 LVL983053:LVO983056 MFH983053:MFK983056 MPD983053:MPG983056 MYZ983053:MZC983056 NIV983053:NIY983056 NSR983053:NSU983056 OCN983053:OCQ983056 OMJ983053:OMM983056 OWF983053:OWI983056 PGB983053:PGE983056 PPX983053:PQA983056 PZT983053:PZW983056 QJP983053:QJS983056 QTL983053:QTO983056 RDH983053:RDK983056 RND983053:RNG983056 RWZ983053:RXC983056 SGV983053:SGY983056 SQR983053:SQU983056 TAN983053:TAQ983056 TKJ983053:TKM983056 TUF983053:TUI983056 UEB983053:UEE983056 UNX983053:UOA983056 UXT983053:UXW983056 VHP983053:VHS983056 VRL983053:VRO983056 WBH983053:WBK983056 WLD983053:WLG983056 WUZ983053:WVC983056 Q65543:T65543 II65543:IL65543 SE65543:SH65543 ACA65543:ACD65543 ALW65543:ALZ65543 AVS65543:AVV65543 BFO65543:BFR65543 BPK65543:BPN65543 BZG65543:BZJ65543 CJC65543:CJF65543 CSY65543:CTB65543 DCU65543:DCX65543 DMQ65543:DMT65543 DWM65543:DWP65543 EGI65543:EGL65543 EQE65543:EQH65543 FAA65543:FAD65543 FJW65543:FJZ65543 FTS65543:FTV65543 GDO65543:GDR65543 GNK65543:GNN65543 GXG65543:GXJ65543 HHC65543:HHF65543 HQY65543:HRB65543 IAU65543:IAX65543 IKQ65543:IKT65543 IUM65543:IUP65543 JEI65543:JEL65543 JOE65543:JOH65543 JYA65543:JYD65543 KHW65543:KHZ65543 KRS65543:KRV65543 LBO65543:LBR65543 LLK65543:LLN65543 LVG65543:LVJ65543 MFC65543:MFF65543 MOY65543:MPB65543 MYU65543:MYX65543 NIQ65543:NIT65543 NSM65543:NSP65543 OCI65543:OCL65543 OME65543:OMH65543 OWA65543:OWD65543 PFW65543:PFZ65543 PPS65543:PPV65543 PZO65543:PZR65543 QJK65543:QJN65543 QTG65543:QTJ65543 RDC65543:RDF65543 RMY65543:RNB65543 RWU65543:RWX65543 SGQ65543:SGT65543 SQM65543:SQP65543 TAI65543:TAL65543 TKE65543:TKH65543 TUA65543:TUD65543 UDW65543:UDZ65543 UNS65543:UNV65543 UXO65543:UXR65543 VHK65543:VHN65543 VRG65543:VRJ65543 WBC65543:WBF65543 WKY65543:WLB65543 WUU65543:WUX65543 Q131079:T131079 II131079:IL131079 SE131079:SH131079 ACA131079:ACD131079 ALW131079:ALZ131079 AVS131079:AVV131079 BFO131079:BFR131079 BPK131079:BPN131079 BZG131079:BZJ131079 CJC131079:CJF131079 CSY131079:CTB131079 DCU131079:DCX131079 DMQ131079:DMT131079 DWM131079:DWP131079 EGI131079:EGL131079 EQE131079:EQH131079 FAA131079:FAD131079 FJW131079:FJZ131079 FTS131079:FTV131079 GDO131079:GDR131079 GNK131079:GNN131079 GXG131079:GXJ131079 HHC131079:HHF131079 HQY131079:HRB131079 IAU131079:IAX131079 IKQ131079:IKT131079 IUM131079:IUP131079 JEI131079:JEL131079 JOE131079:JOH131079 JYA131079:JYD131079 KHW131079:KHZ131079 KRS131079:KRV131079 LBO131079:LBR131079 LLK131079:LLN131079 LVG131079:LVJ131079 MFC131079:MFF131079 MOY131079:MPB131079 MYU131079:MYX131079 NIQ131079:NIT131079 NSM131079:NSP131079 OCI131079:OCL131079 OME131079:OMH131079 OWA131079:OWD131079 PFW131079:PFZ131079 PPS131079:PPV131079 PZO131079:PZR131079 QJK131079:QJN131079 QTG131079:QTJ131079 RDC131079:RDF131079 RMY131079:RNB131079 RWU131079:RWX131079 SGQ131079:SGT131079 SQM131079:SQP131079 TAI131079:TAL131079 TKE131079:TKH131079 TUA131079:TUD131079 UDW131079:UDZ131079 UNS131079:UNV131079 UXO131079:UXR131079 VHK131079:VHN131079 VRG131079:VRJ131079 WBC131079:WBF131079 WKY131079:WLB131079 WUU131079:WUX131079 Q196615:T196615 II196615:IL196615 SE196615:SH196615 ACA196615:ACD196615 ALW196615:ALZ196615 AVS196615:AVV196615 BFO196615:BFR196615 BPK196615:BPN196615 BZG196615:BZJ196615 CJC196615:CJF196615 CSY196615:CTB196615 DCU196615:DCX196615 DMQ196615:DMT196615 DWM196615:DWP196615 EGI196615:EGL196615 EQE196615:EQH196615 FAA196615:FAD196615 FJW196615:FJZ196615 FTS196615:FTV196615 GDO196615:GDR196615 GNK196615:GNN196615 GXG196615:GXJ196615 HHC196615:HHF196615 HQY196615:HRB196615 IAU196615:IAX196615 IKQ196615:IKT196615 IUM196615:IUP196615 JEI196615:JEL196615 JOE196615:JOH196615 JYA196615:JYD196615 KHW196615:KHZ196615 KRS196615:KRV196615 LBO196615:LBR196615 LLK196615:LLN196615 LVG196615:LVJ196615 MFC196615:MFF196615 MOY196615:MPB196615 MYU196615:MYX196615 NIQ196615:NIT196615 NSM196615:NSP196615 OCI196615:OCL196615 OME196615:OMH196615 OWA196615:OWD196615 PFW196615:PFZ196615 PPS196615:PPV196615 PZO196615:PZR196615 QJK196615:QJN196615 QTG196615:QTJ196615 RDC196615:RDF196615 RMY196615:RNB196615 RWU196615:RWX196615 SGQ196615:SGT196615 SQM196615:SQP196615 TAI196615:TAL196615 TKE196615:TKH196615 TUA196615:TUD196615 UDW196615:UDZ196615 UNS196615:UNV196615 UXO196615:UXR196615 VHK196615:VHN196615 VRG196615:VRJ196615 WBC196615:WBF196615 WKY196615:WLB196615 WUU196615:WUX196615 Q262151:T262151 II262151:IL262151 SE262151:SH262151 ACA262151:ACD262151 ALW262151:ALZ262151 AVS262151:AVV262151 BFO262151:BFR262151 BPK262151:BPN262151 BZG262151:BZJ262151 CJC262151:CJF262151 CSY262151:CTB262151 DCU262151:DCX262151 DMQ262151:DMT262151 DWM262151:DWP262151 EGI262151:EGL262151 EQE262151:EQH262151 FAA262151:FAD262151 FJW262151:FJZ262151 FTS262151:FTV262151 GDO262151:GDR262151 GNK262151:GNN262151 GXG262151:GXJ262151 HHC262151:HHF262151 HQY262151:HRB262151 IAU262151:IAX262151 IKQ262151:IKT262151 IUM262151:IUP262151 JEI262151:JEL262151 JOE262151:JOH262151 JYA262151:JYD262151 KHW262151:KHZ262151 KRS262151:KRV262151 LBO262151:LBR262151 LLK262151:LLN262151 LVG262151:LVJ262151 MFC262151:MFF262151 MOY262151:MPB262151 MYU262151:MYX262151 NIQ262151:NIT262151 NSM262151:NSP262151 OCI262151:OCL262151 OME262151:OMH262151 OWA262151:OWD262151 PFW262151:PFZ262151 PPS262151:PPV262151 PZO262151:PZR262151 QJK262151:QJN262151 QTG262151:QTJ262151 RDC262151:RDF262151 RMY262151:RNB262151 RWU262151:RWX262151 SGQ262151:SGT262151 SQM262151:SQP262151 TAI262151:TAL262151 TKE262151:TKH262151 TUA262151:TUD262151 UDW262151:UDZ262151 UNS262151:UNV262151 UXO262151:UXR262151 VHK262151:VHN262151 VRG262151:VRJ262151 WBC262151:WBF262151 WKY262151:WLB262151 WUU262151:WUX262151 Q327687:T327687 II327687:IL327687 SE327687:SH327687 ACA327687:ACD327687 ALW327687:ALZ327687 AVS327687:AVV327687 BFO327687:BFR327687 BPK327687:BPN327687 BZG327687:BZJ327687 CJC327687:CJF327687 CSY327687:CTB327687 DCU327687:DCX327687 DMQ327687:DMT327687 DWM327687:DWP327687 EGI327687:EGL327687 EQE327687:EQH327687 FAA327687:FAD327687 FJW327687:FJZ327687 FTS327687:FTV327687 GDO327687:GDR327687 GNK327687:GNN327687 GXG327687:GXJ327687 HHC327687:HHF327687 HQY327687:HRB327687 IAU327687:IAX327687 IKQ327687:IKT327687 IUM327687:IUP327687 JEI327687:JEL327687 JOE327687:JOH327687 JYA327687:JYD327687 KHW327687:KHZ327687 KRS327687:KRV327687 LBO327687:LBR327687 LLK327687:LLN327687 LVG327687:LVJ327687 MFC327687:MFF327687 MOY327687:MPB327687 MYU327687:MYX327687 NIQ327687:NIT327687 NSM327687:NSP327687 OCI327687:OCL327687 OME327687:OMH327687 OWA327687:OWD327687 PFW327687:PFZ327687 PPS327687:PPV327687 PZO327687:PZR327687 QJK327687:QJN327687 QTG327687:QTJ327687 RDC327687:RDF327687 RMY327687:RNB327687 RWU327687:RWX327687 SGQ327687:SGT327687 SQM327687:SQP327687 TAI327687:TAL327687 TKE327687:TKH327687 TUA327687:TUD327687 UDW327687:UDZ327687 UNS327687:UNV327687 UXO327687:UXR327687 VHK327687:VHN327687 VRG327687:VRJ327687 WBC327687:WBF327687 WKY327687:WLB327687 WUU327687:WUX327687 Q393223:T393223 II393223:IL393223 SE393223:SH393223 ACA393223:ACD393223 ALW393223:ALZ393223 AVS393223:AVV393223 BFO393223:BFR393223 BPK393223:BPN393223 BZG393223:BZJ393223 CJC393223:CJF393223 CSY393223:CTB393223 DCU393223:DCX393223 DMQ393223:DMT393223 DWM393223:DWP393223 EGI393223:EGL393223 EQE393223:EQH393223 FAA393223:FAD393223 FJW393223:FJZ393223 FTS393223:FTV393223 GDO393223:GDR393223 GNK393223:GNN393223 GXG393223:GXJ393223 HHC393223:HHF393223 HQY393223:HRB393223 IAU393223:IAX393223 IKQ393223:IKT393223 IUM393223:IUP393223 JEI393223:JEL393223 JOE393223:JOH393223 JYA393223:JYD393223 KHW393223:KHZ393223 KRS393223:KRV393223 LBO393223:LBR393223 LLK393223:LLN393223 LVG393223:LVJ393223 MFC393223:MFF393223 MOY393223:MPB393223 MYU393223:MYX393223 NIQ393223:NIT393223 NSM393223:NSP393223 OCI393223:OCL393223 OME393223:OMH393223 OWA393223:OWD393223 PFW393223:PFZ393223 PPS393223:PPV393223 PZO393223:PZR393223 QJK393223:QJN393223 QTG393223:QTJ393223 RDC393223:RDF393223 RMY393223:RNB393223 RWU393223:RWX393223 SGQ393223:SGT393223 SQM393223:SQP393223 TAI393223:TAL393223 TKE393223:TKH393223 TUA393223:TUD393223 UDW393223:UDZ393223 UNS393223:UNV393223 UXO393223:UXR393223 VHK393223:VHN393223 VRG393223:VRJ393223 WBC393223:WBF393223 WKY393223:WLB393223 WUU393223:WUX393223 Q458759:T458759 II458759:IL458759 SE458759:SH458759 ACA458759:ACD458759 ALW458759:ALZ458759 AVS458759:AVV458759 BFO458759:BFR458759 BPK458759:BPN458759 BZG458759:BZJ458759 CJC458759:CJF458759 CSY458759:CTB458759 DCU458759:DCX458759 DMQ458759:DMT458759 DWM458759:DWP458759 EGI458759:EGL458759 EQE458759:EQH458759 FAA458759:FAD458759 FJW458759:FJZ458759 FTS458759:FTV458759 GDO458759:GDR458759 GNK458759:GNN458759 GXG458759:GXJ458759 HHC458759:HHF458759 HQY458759:HRB458759 IAU458759:IAX458759 IKQ458759:IKT458759 IUM458759:IUP458759 JEI458759:JEL458759 JOE458759:JOH458759 JYA458759:JYD458759 KHW458759:KHZ458759 KRS458759:KRV458759 LBO458759:LBR458759 LLK458759:LLN458759 LVG458759:LVJ458759 MFC458759:MFF458759 MOY458759:MPB458759 MYU458759:MYX458759 NIQ458759:NIT458759 NSM458759:NSP458759 OCI458759:OCL458759 OME458759:OMH458759 OWA458759:OWD458759 PFW458759:PFZ458759 PPS458759:PPV458759 PZO458759:PZR458759 QJK458759:QJN458759 QTG458759:QTJ458759 RDC458759:RDF458759 RMY458759:RNB458759 RWU458759:RWX458759 SGQ458759:SGT458759 SQM458759:SQP458759 TAI458759:TAL458759 TKE458759:TKH458759 TUA458759:TUD458759 UDW458759:UDZ458759 UNS458759:UNV458759 UXO458759:UXR458759 VHK458759:VHN458759 VRG458759:VRJ458759 WBC458759:WBF458759 WKY458759:WLB458759 WUU458759:WUX458759 Q524295:T524295 II524295:IL524295 SE524295:SH524295 ACA524295:ACD524295 ALW524295:ALZ524295 AVS524295:AVV524295 BFO524295:BFR524295 BPK524295:BPN524295 BZG524295:BZJ524295 CJC524295:CJF524295 CSY524295:CTB524295 DCU524295:DCX524295 DMQ524295:DMT524295 DWM524295:DWP524295 EGI524295:EGL524295 EQE524295:EQH524295 FAA524295:FAD524295 FJW524295:FJZ524295 FTS524295:FTV524295 GDO524295:GDR524295 GNK524295:GNN524295 GXG524295:GXJ524295 HHC524295:HHF524295 HQY524295:HRB524295 IAU524295:IAX524295 IKQ524295:IKT524295 IUM524295:IUP524295 JEI524295:JEL524295 JOE524295:JOH524295 JYA524295:JYD524295 KHW524295:KHZ524295 KRS524295:KRV524295 LBO524295:LBR524295 LLK524295:LLN524295 LVG524295:LVJ524295 MFC524295:MFF524295 MOY524295:MPB524295 MYU524295:MYX524295 NIQ524295:NIT524295 NSM524295:NSP524295 OCI524295:OCL524295 OME524295:OMH524295 OWA524295:OWD524295 PFW524295:PFZ524295 PPS524295:PPV524295 PZO524295:PZR524295 QJK524295:QJN524295 QTG524295:QTJ524295 RDC524295:RDF524295 RMY524295:RNB524295 RWU524295:RWX524295 SGQ524295:SGT524295 SQM524295:SQP524295 TAI524295:TAL524295 TKE524295:TKH524295 TUA524295:TUD524295 UDW524295:UDZ524295 UNS524295:UNV524295 UXO524295:UXR524295 VHK524295:VHN524295 VRG524295:VRJ524295 WBC524295:WBF524295 WKY524295:WLB524295 WUU524295:WUX524295 Q589831:T589831 II589831:IL589831 SE589831:SH589831 ACA589831:ACD589831 ALW589831:ALZ589831 AVS589831:AVV589831 BFO589831:BFR589831 BPK589831:BPN589831 BZG589831:BZJ589831 CJC589831:CJF589831 CSY589831:CTB589831 DCU589831:DCX589831 DMQ589831:DMT589831 DWM589831:DWP589831 EGI589831:EGL589831 EQE589831:EQH589831 FAA589831:FAD589831 FJW589831:FJZ589831 FTS589831:FTV589831 GDO589831:GDR589831 GNK589831:GNN589831 GXG589831:GXJ589831 HHC589831:HHF589831 HQY589831:HRB589831 IAU589831:IAX589831 IKQ589831:IKT589831 IUM589831:IUP589831 JEI589831:JEL589831 JOE589831:JOH589831 JYA589831:JYD589831 KHW589831:KHZ589831 KRS589831:KRV589831 LBO589831:LBR589831 LLK589831:LLN589831 LVG589831:LVJ589831 MFC589831:MFF589831 MOY589831:MPB589831 MYU589831:MYX589831 NIQ589831:NIT589831 NSM589831:NSP589831 OCI589831:OCL589831 OME589831:OMH589831 OWA589831:OWD589831 PFW589831:PFZ589831 PPS589831:PPV589831 PZO589831:PZR589831 QJK589831:QJN589831 QTG589831:QTJ589831 RDC589831:RDF589831 RMY589831:RNB589831 RWU589831:RWX589831 SGQ589831:SGT589831 SQM589831:SQP589831 TAI589831:TAL589831 TKE589831:TKH589831 TUA589831:TUD589831 UDW589831:UDZ589831 UNS589831:UNV589831 UXO589831:UXR589831 VHK589831:VHN589831 VRG589831:VRJ589831 WBC589831:WBF589831 WKY589831:WLB589831 WUU589831:WUX589831 Q655367:T655367 II655367:IL655367 SE655367:SH655367 ACA655367:ACD655367 ALW655367:ALZ655367 AVS655367:AVV655367 BFO655367:BFR655367 BPK655367:BPN655367 BZG655367:BZJ655367 CJC655367:CJF655367 CSY655367:CTB655367 DCU655367:DCX655367 DMQ655367:DMT655367 DWM655367:DWP655367 EGI655367:EGL655367 EQE655367:EQH655367 FAA655367:FAD655367 FJW655367:FJZ655367 FTS655367:FTV655367 GDO655367:GDR655367 GNK655367:GNN655367 GXG655367:GXJ655367 HHC655367:HHF655367 HQY655367:HRB655367 IAU655367:IAX655367 IKQ655367:IKT655367 IUM655367:IUP655367 JEI655367:JEL655367 JOE655367:JOH655367 JYA655367:JYD655367 KHW655367:KHZ655367 KRS655367:KRV655367 LBO655367:LBR655367 LLK655367:LLN655367 LVG655367:LVJ655367 MFC655367:MFF655367 MOY655367:MPB655367 MYU655367:MYX655367 NIQ655367:NIT655367 NSM655367:NSP655367 OCI655367:OCL655367 OME655367:OMH655367 OWA655367:OWD655367 PFW655367:PFZ655367 PPS655367:PPV655367 PZO655367:PZR655367 QJK655367:QJN655367 QTG655367:QTJ655367 RDC655367:RDF655367 RMY655367:RNB655367 RWU655367:RWX655367 SGQ655367:SGT655367 SQM655367:SQP655367 TAI655367:TAL655367 TKE655367:TKH655367 TUA655367:TUD655367 UDW655367:UDZ655367 UNS655367:UNV655367 UXO655367:UXR655367 VHK655367:VHN655367 VRG655367:VRJ655367 WBC655367:WBF655367 WKY655367:WLB655367 WUU655367:WUX655367 Q720903:T720903 II720903:IL720903 SE720903:SH720903 ACA720903:ACD720903 ALW720903:ALZ720903 AVS720903:AVV720903 BFO720903:BFR720903 BPK720903:BPN720903 BZG720903:BZJ720903 CJC720903:CJF720903 CSY720903:CTB720903 DCU720903:DCX720903 DMQ720903:DMT720903 DWM720903:DWP720903 EGI720903:EGL720903 EQE720903:EQH720903 FAA720903:FAD720903 FJW720903:FJZ720903 FTS720903:FTV720903 GDO720903:GDR720903 GNK720903:GNN720903 GXG720903:GXJ720903 HHC720903:HHF720903 HQY720903:HRB720903 IAU720903:IAX720903 IKQ720903:IKT720903 IUM720903:IUP720903 JEI720903:JEL720903 JOE720903:JOH720903 JYA720903:JYD720903 KHW720903:KHZ720903 KRS720903:KRV720903 LBO720903:LBR720903 LLK720903:LLN720903 LVG720903:LVJ720903 MFC720903:MFF720903 MOY720903:MPB720903 MYU720903:MYX720903 NIQ720903:NIT720903 NSM720903:NSP720903 OCI720903:OCL720903 OME720903:OMH720903 OWA720903:OWD720903 PFW720903:PFZ720903 PPS720903:PPV720903 PZO720903:PZR720903 QJK720903:QJN720903 QTG720903:QTJ720903 RDC720903:RDF720903 RMY720903:RNB720903 RWU720903:RWX720903 SGQ720903:SGT720903 SQM720903:SQP720903 TAI720903:TAL720903 TKE720903:TKH720903 TUA720903:TUD720903 UDW720903:UDZ720903 UNS720903:UNV720903 UXO720903:UXR720903 VHK720903:VHN720903 VRG720903:VRJ720903 WBC720903:WBF720903 WKY720903:WLB720903 WUU720903:WUX720903 Q786439:T786439 II786439:IL786439 SE786439:SH786439 ACA786439:ACD786439 ALW786439:ALZ786439 AVS786439:AVV786439 BFO786439:BFR786439 BPK786439:BPN786439 BZG786439:BZJ786439 CJC786439:CJF786439 CSY786439:CTB786439 DCU786439:DCX786439 DMQ786439:DMT786439 DWM786439:DWP786439 EGI786439:EGL786439 EQE786439:EQH786439 FAA786439:FAD786439 FJW786439:FJZ786439 FTS786439:FTV786439 GDO786439:GDR786439 GNK786439:GNN786439 GXG786439:GXJ786439 HHC786439:HHF786439 HQY786439:HRB786439 IAU786439:IAX786439 IKQ786439:IKT786439 IUM786439:IUP786439 JEI786439:JEL786439 JOE786439:JOH786439 JYA786439:JYD786439 KHW786439:KHZ786439 KRS786439:KRV786439 LBO786439:LBR786439 LLK786439:LLN786439 LVG786439:LVJ786439 MFC786439:MFF786439 MOY786439:MPB786439 MYU786439:MYX786439 NIQ786439:NIT786439 NSM786439:NSP786439 OCI786439:OCL786439 OME786439:OMH786439 OWA786439:OWD786439 PFW786439:PFZ786439 PPS786439:PPV786439 PZO786439:PZR786439 QJK786439:QJN786439 QTG786439:QTJ786439 RDC786439:RDF786439 RMY786439:RNB786439 RWU786439:RWX786439 SGQ786439:SGT786439 SQM786439:SQP786439 TAI786439:TAL786439 TKE786439:TKH786439 TUA786439:TUD786439 UDW786439:UDZ786439 UNS786439:UNV786439 UXO786439:UXR786439 VHK786439:VHN786439 VRG786439:VRJ786439 WBC786439:WBF786439 WKY786439:WLB786439 WUU786439:WUX786439 Q851975:T851975 II851975:IL851975 SE851975:SH851975 ACA851975:ACD851975 ALW851975:ALZ851975 AVS851975:AVV851975 BFO851975:BFR851975 BPK851975:BPN851975 BZG851975:BZJ851975 CJC851975:CJF851975 CSY851975:CTB851975 DCU851975:DCX851975 DMQ851975:DMT851975 DWM851975:DWP851975 EGI851975:EGL851975 EQE851975:EQH851975 FAA851975:FAD851975 FJW851975:FJZ851975 FTS851975:FTV851975 GDO851975:GDR851975 GNK851975:GNN851975 GXG851975:GXJ851975 HHC851975:HHF851975 HQY851975:HRB851975 IAU851975:IAX851975 IKQ851975:IKT851975 IUM851975:IUP851975 JEI851975:JEL851975 JOE851975:JOH851975 JYA851975:JYD851975 KHW851975:KHZ851975 KRS851975:KRV851975 LBO851975:LBR851975 LLK851975:LLN851975 LVG851975:LVJ851975 MFC851975:MFF851975 MOY851975:MPB851975 MYU851975:MYX851975 NIQ851975:NIT851975 NSM851975:NSP851975 OCI851975:OCL851975 OME851975:OMH851975 OWA851975:OWD851975 PFW851975:PFZ851975 PPS851975:PPV851975 PZO851975:PZR851975 QJK851975:QJN851975 QTG851975:QTJ851975 RDC851975:RDF851975 RMY851975:RNB851975 RWU851975:RWX851975 SGQ851975:SGT851975 SQM851975:SQP851975 TAI851975:TAL851975 TKE851975:TKH851975 TUA851975:TUD851975 UDW851975:UDZ851975 UNS851975:UNV851975 UXO851975:UXR851975 VHK851975:VHN851975 VRG851975:VRJ851975 WBC851975:WBF851975 WKY851975:WLB851975 WUU851975:WUX851975 Q917511:T917511 II917511:IL917511 SE917511:SH917511 ACA917511:ACD917511 ALW917511:ALZ917511 AVS917511:AVV917511 BFO917511:BFR917511 BPK917511:BPN917511 BZG917511:BZJ917511 CJC917511:CJF917511 CSY917511:CTB917511 DCU917511:DCX917511 DMQ917511:DMT917511 DWM917511:DWP917511 EGI917511:EGL917511 EQE917511:EQH917511 FAA917511:FAD917511 FJW917511:FJZ917511 FTS917511:FTV917511 GDO917511:GDR917511 GNK917511:GNN917511 GXG917511:GXJ917511 HHC917511:HHF917511 HQY917511:HRB917511 IAU917511:IAX917511 IKQ917511:IKT917511 IUM917511:IUP917511 JEI917511:JEL917511 JOE917511:JOH917511 JYA917511:JYD917511 KHW917511:KHZ917511 KRS917511:KRV917511 LBO917511:LBR917511 LLK917511:LLN917511 LVG917511:LVJ917511 MFC917511:MFF917511 MOY917511:MPB917511 MYU917511:MYX917511 NIQ917511:NIT917511 NSM917511:NSP917511 OCI917511:OCL917511 OME917511:OMH917511 OWA917511:OWD917511 PFW917511:PFZ917511 PPS917511:PPV917511 PZO917511:PZR917511 QJK917511:QJN917511 QTG917511:QTJ917511 RDC917511:RDF917511 RMY917511:RNB917511 RWU917511:RWX917511 SGQ917511:SGT917511 SQM917511:SQP917511 TAI917511:TAL917511 TKE917511:TKH917511 TUA917511:TUD917511 UDW917511:UDZ917511 UNS917511:UNV917511 UXO917511:UXR917511 VHK917511:VHN917511 VRG917511:VRJ917511 WBC917511:WBF917511 WKY917511:WLB917511 WUU917511:WUX917511 Q983047:T983047 II983047:IL983047 SE983047:SH983047 ACA983047:ACD983047 ALW983047:ALZ983047 AVS983047:AVV983047 BFO983047:BFR983047 BPK983047:BPN983047 BZG983047:BZJ983047 CJC983047:CJF983047 CSY983047:CTB983047 DCU983047:DCX983047 DMQ983047:DMT983047 DWM983047:DWP983047 EGI983047:EGL983047 EQE983047:EQH983047 FAA983047:FAD983047 FJW983047:FJZ983047 FTS983047:FTV983047 GDO983047:GDR983047 GNK983047:GNN983047 GXG983047:GXJ983047 HHC983047:HHF983047 HQY983047:HRB983047 IAU983047:IAX983047 IKQ983047:IKT983047 IUM983047:IUP983047 JEI983047:JEL983047 JOE983047:JOH983047 JYA983047:JYD983047 KHW983047:KHZ983047 KRS983047:KRV983047 LBO983047:LBR983047 LLK983047:LLN983047 LVG983047:LVJ983047 MFC983047:MFF983047 MOY983047:MPB983047 MYU983047:MYX983047 NIQ983047:NIT983047 NSM983047:NSP983047 OCI983047:OCL983047 OME983047:OMH983047 OWA983047:OWD983047 PFW983047:PFZ983047 PPS983047:PPV983047 PZO983047:PZR983047 QJK983047:QJN983047 QTG983047:QTJ983047 RDC983047:RDF983047 RMY983047:RNB983047 RWU983047:RWX983047 SGQ983047:SGT983047 SQM983047:SQP983047 TAI983047:TAL983047 TKE983047:TKH983047 TUA983047:TUD983047 UDW983047:UDZ983047 UNS983047:UNV983047 UXO983047:UXR983047 VHK983047:VHN983047 VRG983047:VRJ983047 WBC983047:WBF983047 WKY983047:WLB983047 WUU983047:WUX983047 ID983046:IG983046 RZ983046:SC983046 ABV983046:ABY983046 ALR983046:ALU983046 AVN983046:AVQ983046 BFJ983046:BFM983046 BPF983046:BPI983046 BZB983046:BZE983046 CIX983046:CJA983046 CST983046:CSW983046 DCP983046:DCS983046 DML983046:DMO983046 DWH983046:DWK983046 EGD983046:EGG983046 EPZ983046:EQC983046 EZV983046:EZY983046 FJR983046:FJU983046 FTN983046:FTQ983046 GDJ983046:GDM983046 GNF983046:GNI983046 GXB983046:GXE983046 HGX983046:HHA983046 HQT983046:HQW983046 IAP983046:IAS983046 IKL983046:IKO983046 IUH983046:IUK983046 JED983046:JEG983046 JNZ983046:JOC983046 JXV983046:JXY983046 KHR983046:KHU983046 KRN983046:KRQ983046 LBJ983046:LBM983046 LLF983046:LLI983046 LVB983046:LVE983046 MEX983046:MFA983046 MOT983046:MOW983046 MYP983046:MYS983046 NIL983046:NIO983046 NSH983046:NSK983046 OCD983046:OCG983046 OLZ983046:OMC983046 OVV983046:OVY983046 PFR983046:PFU983046 PPN983046:PPQ983046 PZJ983046:PZM983046 QJF983046:QJI983046 QTB983046:QTE983046 RCX983046:RDA983046 RMT983046:RMW983046 RWP983046:RWS983046 SGL983046:SGO983046 SQH983046:SQK983046 TAD983046:TAG983046 TJZ983046:TKC983046 TTV983046:TTY983046 UDR983046:UDU983046 UNN983046:UNQ983046 UXJ983046:UXM983046 VHF983046:VHI983046 VRB983046:VRE983046 WAX983046:WBA983046 WKT983046:WKW983046 WUP983046:WUS983046 ID65542:IG65542 RZ65542:SC65542 ABV65542:ABY65542 ALR65542:ALU65542 AVN65542:AVQ65542 BFJ65542:BFM65542 BPF65542:BPI65542 BZB65542:BZE65542 CIX65542:CJA65542 CST65542:CSW65542 DCP65542:DCS65542 DML65542:DMO65542 DWH65542:DWK65542 EGD65542:EGG65542 EPZ65542:EQC65542 EZV65542:EZY65542 FJR65542:FJU65542 FTN65542:FTQ65542 GDJ65542:GDM65542 GNF65542:GNI65542 GXB65542:GXE65542 HGX65542:HHA65542 HQT65542:HQW65542 IAP65542:IAS65542 IKL65542:IKO65542 IUH65542:IUK65542 JED65542:JEG65542 JNZ65542:JOC65542 JXV65542:JXY65542 KHR65542:KHU65542 KRN65542:KRQ65542 LBJ65542:LBM65542 LLF65542:LLI65542 LVB65542:LVE65542 MEX65542:MFA65542 MOT65542:MOW65542 MYP65542:MYS65542 NIL65542:NIO65542 NSH65542:NSK65542 OCD65542:OCG65542 OLZ65542:OMC65542 OVV65542:OVY65542 PFR65542:PFU65542 PPN65542:PPQ65542 PZJ65542:PZM65542 QJF65542:QJI65542 QTB65542:QTE65542 RCX65542:RDA65542 RMT65542:RMW65542 RWP65542:RWS65542 SGL65542:SGO65542 SQH65542:SQK65542 TAD65542:TAG65542 TJZ65542:TKC65542 TTV65542:TTY65542 UDR65542:UDU65542 UNN65542:UNQ65542 UXJ65542:UXM65542 VHF65542:VHI65542 VRB65542:VRE65542 WAX65542:WBA65542 WKT65542:WKW65542 WUP65542:WUS65542 ID131078:IG131078 RZ131078:SC131078 ABV131078:ABY131078 ALR131078:ALU131078 AVN131078:AVQ131078 BFJ131078:BFM131078 BPF131078:BPI131078 BZB131078:BZE131078 CIX131078:CJA131078 CST131078:CSW131078 DCP131078:DCS131078 DML131078:DMO131078 DWH131078:DWK131078 EGD131078:EGG131078 EPZ131078:EQC131078 EZV131078:EZY131078 FJR131078:FJU131078 FTN131078:FTQ131078 GDJ131078:GDM131078 GNF131078:GNI131078 GXB131078:GXE131078 HGX131078:HHA131078 HQT131078:HQW131078 IAP131078:IAS131078 IKL131078:IKO131078 IUH131078:IUK131078 JED131078:JEG131078 JNZ131078:JOC131078 JXV131078:JXY131078 KHR131078:KHU131078 KRN131078:KRQ131078 LBJ131078:LBM131078 LLF131078:LLI131078 LVB131078:LVE131078 MEX131078:MFA131078 MOT131078:MOW131078 MYP131078:MYS131078 NIL131078:NIO131078 NSH131078:NSK131078 OCD131078:OCG131078 OLZ131078:OMC131078 OVV131078:OVY131078 PFR131078:PFU131078 PPN131078:PPQ131078 PZJ131078:PZM131078 QJF131078:QJI131078 QTB131078:QTE131078 RCX131078:RDA131078 RMT131078:RMW131078 RWP131078:RWS131078 SGL131078:SGO131078 SQH131078:SQK131078 TAD131078:TAG131078 TJZ131078:TKC131078 TTV131078:TTY131078 UDR131078:UDU131078 UNN131078:UNQ131078 UXJ131078:UXM131078 VHF131078:VHI131078 VRB131078:VRE131078 WAX131078:WBA131078 WKT131078:WKW131078 WUP131078:WUS131078 ID196614:IG196614 RZ196614:SC196614 ABV196614:ABY196614 ALR196614:ALU196614 AVN196614:AVQ196614 BFJ196614:BFM196614 BPF196614:BPI196614 BZB196614:BZE196614 CIX196614:CJA196614 CST196614:CSW196614 DCP196614:DCS196614 DML196614:DMO196614 DWH196614:DWK196614 EGD196614:EGG196614 EPZ196614:EQC196614 EZV196614:EZY196614 FJR196614:FJU196614 FTN196614:FTQ196614 GDJ196614:GDM196614 GNF196614:GNI196614 GXB196614:GXE196614 HGX196614:HHA196614 HQT196614:HQW196614 IAP196614:IAS196614 IKL196614:IKO196614 IUH196614:IUK196614 JED196614:JEG196614 JNZ196614:JOC196614 JXV196614:JXY196614 KHR196614:KHU196614 KRN196614:KRQ196614 LBJ196614:LBM196614 LLF196614:LLI196614 LVB196614:LVE196614 MEX196614:MFA196614 MOT196614:MOW196614 MYP196614:MYS196614 NIL196614:NIO196614 NSH196614:NSK196614 OCD196614:OCG196614 OLZ196614:OMC196614 OVV196614:OVY196614 PFR196614:PFU196614 PPN196614:PPQ196614 PZJ196614:PZM196614 QJF196614:QJI196614 QTB196614:QTE196614 RCX196614:RDA196614 RMT196614:RMW196614 RWP196614:RWS196614 SGL196614:SGO196614 SQH196614:SQK196614 TAD196614:TAG196614 TJZ196614:TKC196614 TTV196614:TTY196614 UDR196614:UDU196614 UNN196614:UNQ196614 UXJ196614:UXM196614 VHF196614:VHI196614 VRB196614:VRE196614 WAX196614:WBA196614 WKT196614:WKW196614 WUP196614:WUS196614 ID262150:IG262150 RZ262150:SC262150 ABV262150:ABY262150 ALR262150:ALU262150 AVN262150:AVQ262150 BFJ262150:BFM262150 BPF262150:BPI262150 BZB262150:BZE262150 CIX262150:CJA262150 CST262150:CSW262150 DCP262150:DCS262150 DML262150:DMO262150 DWH262150:DWK262150 EGD262150:EGG262150 EPZ262150:EQC262150 EZV262150:EZY262150 FJR262150:FJU262150 FTN262150:FTQ262150 GDJ262150:GDM262150 GNF262150:GNI262150 GXB262150:GXE262150 HGX262150:HHA262150 HQT262150:HQW262150 IAP262150:IAS262150 IKL262150:IKO262150 IUH262150:IUK262150 JED262150:JEG262150 JNZ262150:JOC262150 JXV262150:JXY262150 KHR262150:KHU262150 KRN262150:KRQ262150 LBJ262150:LBM262150 LLF262150:LLI262150 LVB262150:LVE262150 MEX262150:MFA262150 MOT262150:MOW262150 MYP262150:MYS262150 NIL262150:NIO262150 NSH262150:NSK262150 OCD262150:OCG262150 OLZ262150:OMC262150 OVV262150:OVY262150 PFR262150:PFU262150 PPN262150:PPQ262150 PZJ262150:PZM262150 QJF262150:QJI262150 QTB262150:QTE262150 RCX262150:RDA262150 RMT262150:RMW262150 RWP262150:RWS262150 SGL262150:SGO262150 SQH262150:SQK262150 TAD262150:TAG262150 TJZ262150:TKC262150 TTV262150:TTY262150 UDR262150:UDU262150 UNN262150:UNQ262150 UXJ262150:UXM262150 VHF262150:VHI262150 VRB262150:VRE262150 WAX262150:WBA262150 WKT262150:WKW262150 WUP262150:WUS262150 ID327686:IG327686 RZ327686:SC327686 ABV327686:ABY327686 ALR327686:ALU327686 AVN327686:AVQ327686 BFJ327686:BFM327686 BPF327686:BPI327686 BZB327686:BZE327686 CIX327686:CJA327686 CST327686:CSW327686 DCP327686:DCS327686 DML327686:DMO327686 DWH327686:DWK327686 EGD327686:EGG327686 EPZ327686:EQC327686 EZV327686:EZY327686 FJR327686:FJU327686 FTN327686:FTQ327686 GDJ327686:GDM327686 GNF327686:GNI327686 GXB327686:GXE327686 HGX327686:HHA327686 HQT327686:HQW327686 IAP327686:IAS327686 IKL327686:IKO327686 IUH327686:IUK327686 JED327686:JEG327686 JNZ327686:JOC327686 JXV327686:JXY327686 KHR327686:KHU327686 KRN327686:KRQ327686 LBJ327686:LBM327686 LLF327686:LLI327686 LVB327686:LVE327686 MEX327686:MFA327686 MOT327686:MOW327686 MYP327686:MYS327686 NIL327686:NIO327686 NSH327686:NSK327686 OCD327686:OCG327686 OLZ327686:OMC327686 OVV327686:OVY327686 PFR327686:PFU327686 PPN327686:PPQ327686 PZJ327686:PZM327686 QJF327686:QJI327686 QTB327686:QTE327686 RCX327686:RDA327686 RMT327686:RMW327686 RWP327686:RWS327686 SGL327686:SGO327686 SQH327686:SQK327686 TAD327686:TAG327686 TJZ327686:TKC327686 TTV327686:TTY327686 UDR327686:UDU327686 UNN327686:UNQ327686 UXJ327686:UXM327686 VHF327686:VHI327686 VRB327686:VRE327686 WAX327686:WBA327686 WKT327686:WKW327686 WUP327686:WUS327686 ID393222:IG393222 RZ393222:SC393222 ABV393222:ABY393222 ALR393222:ALU393222 AVN393222:AVQ393222 BFJ393222:BFM393222 BPF393222:BPI393222 BZB393222:BZE393222 CIX393222:CJA393222 CST393222:CSW393222 DCP393222:DCS393222 DML393222:DMO393222 DWH393222:DWK393222 EGD393222:EGG393222 EPZ393222:EQC393222 EZV393222:EZY393222 FJR393222:FJU393222 FTN393222:FTQ393222 GDJ393222:GDM393222 GNF393222:GNI393222 GXB393222:GXE393222 HGX393222:HHA393222 HQT393222:HQW393222 IAP393222:IAS393222 IKL393222:IKO393222 IUH393222:IUK393222 JED393222:JEG393222 JNZ393222:JOC393222 JXV393222:JXY393222 KHR393222:KHU393222 KRN393222:KRQ393222 LBJ393222:LBM393222 LLF393222:LLI393222 LVB393222:LVE393222 MEX393222:MFA393222 MOT393222:MOW393222 MYP393222:MYS393222 NIL393222:NIO393222 NSH393222:NSK393222 OCD393222:OCG393222 OLZ393222:OMC393222 OVV393222:OVY393222 PFR393222:PFU393222 PPN393222:PPQ393222 PZJ393222:PZM393222 QJF393222:QJI393222 QTB393222:QTE393222 RCX393222:RDA393222 RMT393222:RMW393222 RWP393222:RWS393222 SGL393222:SGO393222 SQH393222:SQK393222 TAD393222:TAG393222 TJZ393222:TKC393222 TTV393222:TTY393222 UDR393222:UDU393222 UNN393222:UNQ393222 UXJ393222:UXM393222 VHF393222:VHI393222 VRB393222:VRE393222 WAX393222:WBA393222 WKT393222:WKW393222 WUP393222:WUS393222 ID458758:IG458758 RZ458758:SC458758 ABV458758:ABY458758 ALR458758:ALU458758 AVN458758:AVQ458758 BFJ458758:BFM458758 BPF458758:BPI458758 BZB458758:BZE458758 CIX458758:CJA458758 CST458758:CSW458758 DCP458758:DCS458758 DML458758:DMO458758 DWH458758:DWK458758 EGD458758:EGG458758 EPZ458758:EQC458758 EZV458758:EZY458758 FJR458758:FJU458758 FTN458758:FTQ458758 GDJ458758:GDM458758 GNF458758:GNI458758 GXB458758:GXE458758 HGX458758:HHA458758 HQT458758:HQW458758 IAP458758:IAS458758 IKL458758:IKO458758 IUH458758:IUK458758 JED458758:JEG458758 JNZ458758:JOC458758 JXV458758:JXY458758 KHR458758:KHU458758 KRN458758:KRQ458758 LBJ458758:LBM458758 LLF458758:LLI458758 LVB458758:LVE458758 MEX458758:MFA458758 MOT458758:MOW458758 MYP458758:MYS458758 NIL458758:NIO458758 NSH458758:NSK458758 OCD458758:OCG458758 OLZ458758:OMC458758 OVV458758:OVY458758 PFR458758:PFU458758 PPN458758:PPQ458758 PZJ458758:PZM458758 QJF458758:QJI458758 QTB458758:QTE458758 RCX458758:RDA458758 RMT458758:RMW458758 RWP458758:RWS458758 SGL458758:SGO458758 SQH458758:SQK458758 TAD458758:TAG458758 TJZ458758:TKC458758 TTV458758:TTY458758 UDR458758:UDU458758 UNN458758:UNQ458758 UXJ458758:UXM458758 VHF458758:VHI458758 VRB458758:VRE458758 WAX458758:WBA458758 WKT458758:WKW458758 WUP458758:WUS458758 ID524294:IG524294 RZ524294:SC524294 ABV524294:ABY524294 ALR524294:ALU524294 AVN524294:AVQ524294 BFJ524294:BFM524294 BPF524294:BPI524294 BZB524294:BZE524294 CIX524294:CJA524294 CST524294:CSW524294 DCP524294:DCS524294 DML524294:DMO524294 DWH524294:DWK524294 EGD524294:EGG524294 EPZ524294:EQC524294 EZV524294:EZY524294 FJR524294:FJU524294 FTN524294:FTQ524294 GDJ524294:GDM524294 GNF524294:GNI524294 GXB524294:GXE524294 HGX524294:HHA524294 HQT524294:HQW524294 IAP524294:IAS524294 IKL524294:IKO524294 IUH524294:IUK524294 JED524294:JEG524294 JNZ524294:JOC524294 JXV524294:JXY524294 KHR524294:KHU524294 KRN524294:KRQ524294 LBJ524294:LBM524294 LLF524294:LLI524294 LVB524294:LVE524294 MEX524294:MFA524294 MOT524294:MOW524294 MYP524294:MYS524294 NIL524294:NIO524294 NSH524294:NSK524294 OCD524294:OCG524294 OLZ524294:OMC524294 OVV524294:OVY524294 PFR524294:PFU524294 PPN524294:PPQ524294 PZJ524294:PZM524294 QJF524294:QJI524294 QTB524294:QTE524294 RCX524294:RDA524294 RMT524294:RMW524294 RWP524294:RWS524294 SGL524294:SGO524294 SQH524294:SQK524294 TAD524294:TAG524294 TJZ524294:TKC524294 TTV524294:TTY524294 UDR524294:UDU524294 UNN524294:UNQ524294 UXJ524294:UXM524294 VHF524294:VHI524294 VRB524294:VRE524294 WAX524294:WBA524294 WKT524294:WKW524294 WUP524294:WUS524294 ID589830:IG589830 RZ589830:SC589830 ABV589830:ABY589830 ALR589830:ALU589830 AVN589830:AVQ589830 BFJ589830:BFM589830 BPF589830:BPI589830 BZB589830:BZE589830 CIX589830:CJA589830 CST589830:CSW589830 DCP589830:DCS589830 DML589830:DMO589830 DWH589830:DWK589830 EGD589830:EGG589830 EPZ589830:EQC589830 EZV589830:EZY589830 FJR589830:FJU589830 FTN589830:FTQ589830 GDJ589830:GDM589830 GNF589830:GNI589830 GXB589830:GXE589830 HGX589830:HHA589830 HQT589830:HQW589830 IAP589830:IAS589830 IKL589830:IKO589830 IUH589830:IUK589830 JED589830:JEG589830 JNZ589830:JOC589830 JXV589830:JXY589830 KHR589830:KHU589830 KRN589830:KRQ589830 LBJ589830:LBM589830 LLF589830:LLI589830 LVB589830:LVE589830 MEX589830:MFA589830 MOT589830:MOW589830 MYP589830:MYS589830 NIL589830:NIO589830 NSH589830:NSK589830 OCD589830:OCG589830 OLZ589830:OMC589830 OVV589830:OVY589830 PFR589830:PFU589830 PPN589830:PPQ589830 PZJ589830:PZM589830 QJF589830:QJI589830 QTB589830:QTE589830 RCX589830:RDA589830 RMT589830:RMW589830 RWP589830:RWS589830 SGL589830:SGO589830 SQH589830:SQK589830 TAD589830:TAG589830 TJZ589830:TKC589830 TTV589830:TTY589830 UDR589830:UDU589830 UNN589830:UNQ589830 UXJ589830:UXM589830 VHF589830:VHI589830 VRB589830:VRE589830 WAX589830:WBA589830 WKT589830:WKW589830 WUP589830:WUS589830 ID655366:IG655366 RZ655366:SC655366 ABV655366:ABY655366 ALR655366:ALU655366 AVN655366:AVQ655366 BFJ655366:BFM655366 BPF655366:BPI655366 BZB655366:BZE655366 CIX655366:CJA655366 CST655366:CSW655366 DCP655366:DCS655366 DML655366:DMO655366 DWH655366:DWK655366 EGD655366:EGG655366 EPZ655366:EQC655366 EZV655366:EZY655366 FJR655366:FJU655366 FTN655366:FTQ655366 GDJ655366:GDM655366 GNF655366:GNI655366 GXB655366:GXE655366 HGX655366:HHA655366 HQT655366:HQW655366 IAP655366:IAS655366 IKL655366:IKO655366 IUH655366:IUK655366 JED655366:JEG655366 JNZ655366:JOC655366 JXV655366:JXY655366 KHR655366:KHU655366 KRN655366:KRQ655366 LBJ655366:LBM655366 LLF655366:LLI655366 LVB655366:LVE655366 MEX655366:MFA655366 MOT655366:MOW655366 MYP655366:MYS655366 NIL655366:NIO655366 NSH655366:NSK655366 OCD655366:OCG655366 OLZ655366:OMC655366 OVV655366:OVY655366 PFR655366:PFU655366 PPN655366:PPQ655366 PZJ655366:PZM655366 QJF655366:QJI655366 QTB655366:QTE655366 RCX655366:RDA655366 RMT655366:RMW655366 RWP655366:RWS655366 SGL655366:SGO655366 SQH655366:SQK655366 TAD655366:TAG655366 TJZ655366:TKC655366 TTV655366:TTY655366 UDR655366:UDU655366 UNN655366:UNQ655366 UXJ655366:UXM655366 VHF655366:VHI655366 VRB655366:VRE655366 WAX655366:WBA655366 WKT655366:WKW655366 WUP655366:WUS655366 ID720902:IG720902 RZ720902:SC720902 ABV720902:ABY720902 ALR720902:ALU720902 AVN720902:AVQ720902 BFJ720902:BFM720902 BPF720902:BPI720902 BZB720902:BZE720902 CIX720902:CJA720902 CST720902:CSW720902 DCP720902:DCS720902 DML720902:DMO720902 DWH720902:DWK720902 EGD720902:EGG720902 EPZ720902:EQC720902 EZV720902:EZY720902 FJR720902:FJU720902 FTN720902:FTQ720902 GDJ720902:GDM720902 GNF720902:GNI720902 GXB720902:GXE720902 HGX720902:HHA720902 HQT720902:HQW720902 IAP720902:IAS720902 IKL720902:IKO720902 IUH720902:IUK720902 JED720902:JEG720902 JNZ720902:JOC720902 JXV720902:JXY720902 KHR720902:KHU720902 KRN720902:KRQ720902 LBJ720902:LBM720902 LLF720902:LLI720902 LVB720902:LVE720902 MEX720902:MFA720902 MOT720902:MOW720902 MYP720902:MYS720902 NIL720902:NIO720902 NSH720902:NSK720902 OCD720902:OCG720902 OLZ720902:OMC720902 OVV720902:OVY720902 PFR720902:PFU720902 PPN720902:PPQ720902 PZJ720902:PZM720902 QJF720902:QJI720902 QTB720902:QTE720902 RCX720902:RDA720902 RMT720902:RMW720902 RWP720902:RWS720902 SGL720902:SGO720902 SQH720902:SQK720902 TAD720902:TAG720902 TJZ720902:TKC720902 TTV720902:TTY720902 UDR720902:UDU720902 UNN720902:UNQ720902 UXJ720902:UXM720902 VHF720902:VHI720902 VRB720902:VRE720902 WAX720902:WBA720902 WKT720902:WKW720902 WUP720902:WUS720902 ID786438:IG786438 RZ786438:SC786438 ABV786438:ABY786438 ALR786438:ALU786438 AVN786438:AVQ786438 BFJ786438:BFM786438 BPF786438:BPI786438 BZB786438:BZE786438 CIX786438:CJA786438 CST786438:CSW786438 DCP786438:DCS786438 DML786438:DMO786438 DWH786438:DWK786438 EGD786438:EGG786438 EPZ786438:EQC786438 EZV786438:EZY786438 FJR786438:FJU786438 FTN786438:FTQ786438 GDJ786438:GDM786438 GNF786438:GNI786438 GXB786438:GXE786438 HGX786438:HHA786438 HQT786438:HQW786438 IAP786438:IAS786438 IKL786438:IKO786438 IUH786438:IUK786438 JED786438:JEG786438 JNZ786438:JOC786438 JXV786438:JXY786438 KHR786438:KHU786438 KRN786438:KRQ786438 LBJ786438:LBM786438 LLF786438:LLI786438 LVB786438:LVE786438 MEX786438:MFA786438 MOT786438:MOW786438 MYP786438:MYS786438 NIL786438:NIO786438 NSH786438:NSK786438 OCD786438:OCG786438 OLZ786438:OMC786438 OVV786438:OVY786438 PFR786438:PFU786438 PPN786438:PPQ786438 PZJ786438:PZM786438 QJF786438:QJI786438 QTB786438:QTE786438 RCX786438:RDA786438 RMT786438:RMW786438 RWP786438:RWS786438 SGL786438:SGO786438 SQH786438:SQK786438 TAD786438:TAG786438 TJZ786438:TKC786438 TTV786438:TTY786438 UDR786438:UDU786438 UNN786438:UNQ786438 UXJ786438:UXM786438 VHF786438:VHI786438 VRB786438:VRE786438 WAX786438:WBA786438 WKT786438:WKW786438 WUP786438:WUS786438 ID851974:IG851974 RZ851974:SC851974 ABV851974:ABY851974 ALR851974:ALU851974 AVN851974:AVQ851974 BFJ851974:BFM851974 BPF851974:BPI851974 BZB851974:BZE851974 CIX851974:CJA851974 CST851974:CSW851974 DCP851974:DCS851974 DML851974:DMO851974 DWH851974:DWK851974 EGD851974:EGG851974 EPZ851974:EQC851974 EZV851974:EZY851974 FJR851974:FJU851974 FTN851974:FTQ851974 GDJ851974:GDM851974 GNF851974:GNI851974 GXB851974:GXE851974 HGX851974:HHA851974 HQT851974:HQW851974 IAP851974:IAS851974 IKL851974:IKO851974 IUH851974:IUK851974 JED851974:JEG851974 JNZ851974:JOC851974 JXV851974:JXY851974 KHR851974:KHU851974 KRN851974:KRQ851974 LBJ851974:LBM851974 LLF851974:LLI851974 LVB851974:LVE851974 MEX851974:MFA851974 MOT851974:MOW851974 MYP851974:MYS851974 NIL851974:NIO851974 NSH851974:NSK851974 OCD851974:OCG851974 OLZ851974:OMC851974 OVV851974:OVY851974 PFR851974:PFU851974 PPN851974:PPQ851974 PZJ851974:PZM851974 QJF851974:QJI851974 QTB851974:QTE851974 RCX851974:RDA851974 RMT851974:RMW851974 RWP851974:RWS851974 SGL851974:SGO851974 SQH851974:SQK851974 TAD851974:TAG851974 TJZ851974:TKC851974 TTV851974:TTY851974 UDR851974:UDU851974 UNN851974:UNQ851974 UXJ851974:UXM851974 VHF851974:VHI851974 VRB851974:VRE851974 WAX851974:WBA851974 WKT851974:WKW851974 WUP851974:WUS851974 ID917510:IG917510 RZ917510:SC917510 ABV917510:ABY917510 ALR917510:ALU917510 AVN917510:AVQ917510 BFJ917510:BFM917510 BPF917510:BPI917510 BZB917510:BZE917510 CIX917510:CJA917510 CST917510:CSW917510 DCP917510:DCS917510 DML917510:DMO917510 DWH917510:DWK917510 EGD917510:EGG917510 EPZ917510:EQC917510 EZV917510:EZY917510 FJR917510:FJU917510 FTN917510:FTQ917510 GDJ917510:GDM917510 GNF917510:GNI917510 GXB917510:GXE917510 HGX917510:HHA917510 HQT917510:HQW917510 IAP917510:IAS917510 IKL917510:IKO917510 IUH917510:IUK917510 JED917510:JEG917510 JNZ917510:JOC917510 JXV917510:JXY917510 KHR917510:KHU917510 KRN917510:KRQ917510 LBJ917510:LBM917510 LLF917510:LLI917510 LVB917510:LVE917510 MEX917510:MFA917510 MOT917510:MOW917510 MYP917510:MYS917510 NIL917510:NIO917510 NSH917510:NSK917510 OCD917510:OCG917510 OLZ917510:OMC917510 OVV917510:OVY917510 PFR917510:PFU917510 PPN917510:PPQ917510 PZJ917510:PZM917510 QJF917510:QJI917510 QTB917510:QTE917510 RCX917510:RDA917510 RMT917510:RMW917510 RWP917510:RWS917510 SGL917510:SGO917510 SQH917510:SQK917510 TAD917510:TAG917510 TJZ917510:TKC917510 TTV917510:TTY917510 UDR917510:UDU917510 UNN917510:UNQ917510 UXJ917510:UXM917510 VHF917510:VHI917510 VRB917510:VRE917510 WAX917510:WBA917510 WKT917510:WKW917510 WUP917510:WUS917510 AG65550:AH65553 AG131086:AH131089 AG196622:AH196625 AG262158:AH262161 AG327694:AH327697 AG393230:AH393233 AG458766:AH458769 AG524302:AH524305 AG589838:AH589841 AG655374:AH655377 AG720910:AH720913 AG786446:AH786449 AG851982:AH851985 AG917518:AH917521 AG983054:AH983057 AB983048:AE983048 AB65544:AE65544 AB131080:AE131080 AB196616:AE196616 AB262152:AE262152 AB327688:AE327688 AB393224:AE393224 AB458760:AE458760 AB524296:AE524296 AB589832:AE589832 AB655368:AE655368 AB720904:AE720904 AB786440:AE786440 AB851976:AE851976 AB917512:AE917512 AP65550:AQ65553 AP131086:AQ131089 AP196622:AQ196625 AP262158:AQ262161 AP327694:AQ327697 AP393230:AQ393233 AP458766:AQ458769 AP524302:AQ524305 AP589838:AQ589841 AP655374:AQ655377 AP720910:AQ720913 AP786446:AQ786449 AP851982:AQ851985 AP917518:AQ917521 AP983054:AQ983057 AN65544 AN131080 AN196616 AN262152 AN327688 AN393224 AN458760 AN524296 AN589832 AN655368 AN720904 AN786440 AN851976 AN917512 AI917512:AK917512 AI851976:AK851976 AI786440:AK786440 AI720904:AK720904 AI655368:AK655368 AI589832:AK589832 AI524296:AK524296 AI458760:AK458760 AI393224:AK393224 AI327688:AK327688 AI262152:AK262152 AI196616:AK196616 AI131080:AK131080 AI65544:AK65544 AI983048:AK983048 AN983048 AM65550:AM65553 AM131086:AM131089 AM196622:AM196625 AM262158:AM262161 AM327694:AM327697 AM393230:AM393233 AM458766:AM458769 AM524302:AM524305 AM589838:AM589841 AM655374:AM655377 AM720910:AM720913 AM786446:AM786449 AM851982:AM851985 AM917518:AM917521 AM983054:AM983057" xr:uid="{1F41FD54-6119-4DAF-A90D-E246A62C70A7}">
      <formula1>"○"</formula1>
    </dataValidation>
    <dataValidation type="list" allowBlank="1" showInputMessage="1" showErrorMessage="1" sqref="WAD5:WAR27 VQH5:VQV27 VGL5:VGZ27 UWP5:UXD27 UMT5:UNH27 UCX5:UDL27 TTB5:TTP27 TJF5:TJT27 SZJ5:SZX27 SPN5:SQB27 SFR5:SGF27 RVV5:RWJ27 RLZ5:RMN27 RCD5:RCR27 QSH5:QSV27 QIL5:QIZ27 PYP5:PZD27 POT5:PPH27 PEX5:PFL27 OVB5:OVP27 OLF5:OLT27 OBJ5:OBX27 NRN5:NSB27 NHR5:NIF27 MXV5:MYJ27 MNZ5:MON27 MED5:MER27 LUH5:LUV27 LKL5:LKZ27 LAP5:LBD27 KQT5:KRH27 KGX5:KHL27 JXB5:JXP27 JNF5:JNT27 JDJ5:JDX27 ITN5:IUB27 IJR5:IKF27 HZV5:IAJ27 HPZ5:HQN27 HGD5:HGR27 GWH5:GWV27 GML5:GMZ27 GCP5:GDD27 FST5:FTH27 FIX5:FJL27 EZB5:EZP27 EPF5:EPT27 EFJ5:EFX27 DVN5:DWB27 DLR5:DMF27 DBV5:DCJ27 CRZ5:CSN27 CID5:CIR27 BYH5:BYV27 BOL5:BOZ27 BEP5:BFD27 AUT5:AVH27 AKX5:ALL27 ABB5:ABP27 RF5:RT27 HJ5:HX27 WTV5:WUJ27 WJZ5:WKN27 VQH982999:VQV983036 VGL982999:VGZ983036 UWP982999:UXD983036 UMT982999:UNH983036 UCX982999:UDL983036 TTB982999:TTP983036 TJF982999:TJT983036 SZJ982999:SZX983036 SPN982999:SQB983036 SFR982999:SGF983036 RVV982999:RWJ983036 RLZ982999:RMN983036 RCD982999:RCR983036 QSH982999:QSV983036 QIL982999:QIZ983036 PYP982999:PZD983036 POT982999:PPH983036 PEX982999:PFL983036 OVB982999:OVP983036 OLF982999:OLT983036 OBJ982999:OBX983036 NRN982999:NSB983036 NHR982999:NIF983036 MXV982999:MYJ983036 MNZ982999:MON983036 MED982999:MER983036 LUH982999:LUV983036 LKL982999:LKZ983036 LAP982999:LBD983036 KQT982999:KRH983036 KGX982999:KHL983036 JXB982999:JXP983036 JNF982999:JNT983036 JDJ982999:JDX983036 ITN982999:IUB983036 IJR982999:IKF983036 HZV982999:IAJ983036 HPZ982999:HQN983036 HGD982999:HGR983036 GWH982999:GWV983036 GML982999:GMZ983036 GCP982999:GDD983036 FST982999:FTH983036 FIX982999:FJL983036 EZB982999:EZP983036 EPF982999:EPT983036 EFJ982999:EFX983036 DVN982999:DWB983036 DLR982999:DMF983036 DBV982999:DCJ983036 CRZ982999:CSN983036 CID982999:CIR983036 BYH982999:BYV983036 BOL982999:BOZ983036 BEP982999:BFD983036 AUT982999:AVH983036 AKX982999:ALL983036 ABB982999:ABP983036 RF982999:RT983036 HJ982999:HX983036 WTV917463:WUJ917500 WJZ917463:WKN917500 WAD917463:WAR917500 VQH917463:VQV917500 VGL917463:VGZ917500 UWP917463:UXD917500 UMT917463:UNH917500 UCX917463:UDL917500 TTB917463:TTP917500 TJF917463:TJT917500 SZJ917463:SZX917500 SPN917463:SQB917500 SFR917463:SGF917500 RVV917463:RWJ917500 RLZ917463:RMN917500 RCD917463:RCR917500 QSH917463:QSV917500 QIL917463:QIZ917500 PYP917463:PZD917500 POT917463:PPH917500 PEX917463:PFL917500 OVB917463:OVP917500 OLF917463:OLT917500 OBJ917463:OBX917500 NRN917463:NSB917500 NHR917463:NIF917500 MXV917463:MYJ917500 MNZ917463:MON917500 MED917463:MER917500 LUH917463:LUV917500 LKL917463:LKZ917500 LAP917463:LBD917500 KQT917463:KRH917500 KGX917463:KHL917500 JXB917463:JXP917500 JNF917463:JNT917500 JDJ917463:JDX917500 ITN917463:IUB917500 IJR917463:IKF917500 HZV917463:IAJ917500 HPZ917463:HQN917500 HGD917463:HGR917500 GWH917463:GWV917500 GML917463:GMZ917500 GCP917463:GDD917500 FST917463:FTH917500 FIX917463:FJL917500 EZB917463:EZP917500 EPF917463:EPT917500 EFJ917463:EFX917500 DVN917463:DWB917500 DLR917463:DMF917500 DBV917463:DCJ917500 CRZ917463:CSN917500 CID917463:CIR917500 BYH917463:BYV917500 BOL917463:BOZ917500 BEP917463:BFD917500 AUT917463:AVH917500 AKX917463:ALL917500 ABB917463:ABP917500 RF917463:RT917500 HJ917463:HX917500 WTV851927:WUJ851964 WJZ851927:WKN851964 WAD851927:WAR851964 VQH851927:VQV851964 VGL851927:VGZ851964 UWP851927:UXD851964 UMT851927:UNH851964 UCX851927:UDL851964 TTB851927:TTP851964 TJF851927:TJT851964 SZJ851927:SZX851964 SPN851927:SQB851964 SFR851927:SGF851964 RVV851927:RWJ851964 RLZ851927:RMN851964 RCD851927:RCR851964 QSH851927:QSV851964 QIL851927:QIZ851964 PYP851927:PZD851964 POT851927:PPH851964 PEX851927:PFL851964 OVB851927:OVP851964 OLF851927:OLT851964 OBJ851927:OBX851964 NRN851927:NSB851964 NHR851927:NIF851964 MXV851927:MYJ851964 MNZ851927:MON851964 MED851927:MER851964 LUH851927:LUV851964 LKL851927:LKZ851964 LAP851927:LBD851964 KQT851927:KRH851964 KGX851927:KHL851964 JXB851927:JXP851964 JNF851927:JNT851964 JDJ851927:JDX851964 ITN851927:IUB851964 IJR851927:IKF851964 HZV851927:IAJ851964 HPZ851927:HQN851964 HGD851927:HGR851964 GWH851927:GWV851964 GML851927:GMZ851964 GCP851927:GDD851964 FST851927:FTH851964 FIX851927:FJL851964 EZB851927:EZP851964 EPF851927:EPT851964 EFJ851927:EFX851964 DVN851927:DWB851964 DLR851927:DMF851964 DBV851927:DCJ851964 CRZ851927:CSN851964 CID851927:CIR851964 BYH851927:BYV851964 BOL851927:BOZ851964 BEP851927:BFD851964 AUT851927:AVH851964 AKX851927:ALL851964 ABB851927:ABP851964 RF851927:RT851964 HJ851927:HX851964 WTV786391:WUJ786428 WJZ786391:WKN786428 WAD786391:WAR786428 VQH786391:VQV786428 VGL786391:VGZ786428 UWP786391:UXD786428 UMT786391:UNH786428 UCX786391:UDL786428 TTB786391:TTP786428 TJF786391:TJT786428 SZJ786391:SZX786428 SPN786391:SQB786428 SFR786391:SGF786428 RVV786391:RWJ786428 RLZ786391:RMN786428 RCD786391:RCR786428 QSH786391:QSV786428 QIL786391:QIZ786428 PYP786391:PZD786428 POT786391:PPH786428 PEX786391:PFL786428 OVB786391:OVP786428 OLF786391:OLT786428 OBJ786391:OBX786428 NRN786391:NSB786428 NHR786391:NIF786428 MXV786391:MYJ786428 MNZ786391:MON786428 MED786391:MER786428 LUH786391:LUV786428 LKL786391:LKZ786428 LAP786391:LBD786428 KQT786391:KRH786428 KGX786391:KHL786428 JXB786391:JXP786428 JNF786391:JNT786428 JDJ786391:JDX786428 ITN786391:IUB786428 IJR786391:IKF786428 HZV786391:IAJ786428 HPZ786391:HQN786428 HGD786391:HGR786428 GWH786391:GWV786428 GML786391:GMZ786428 GCP786391:GDD786428 FST786391:FTH786428 FIX786391:FJL786428 EZB786391:EZP786428 EPF786391:EPT786428 EFJ786391:EFX786428 DVN786391:DWB786428 DLR786391:DMF786428 DBV786391:DCJ786428 CRZ786391:CSN786428 CID786391:CIR786428 BYH786391:BYV786428 BOL786391:BOZ786428 BEP786391:BFD786428 AUT786391:AVH786428 AKX786391:ALL786428 ABB786391:ABP786428 RF786391:RT786428 HJ786391:HX786428 WTV720855:WUJ720892 WJZ720855:WKN720892 WAD720855:WAR720892 VQH720855:VQV720892 VGL720855:VGZ720892 UWP720855:UXD720892 UMT720855:UNH720892 UCX720855:UDL720892 TTB720855:TTP720892 TJF720855:TJT720892 SZJ720855:SZX720892 SPN720855:SQB720892 SFR720855:SGF720892 RVV720855:RWJ720892 RLZ720855:RMN720892 RCD720855:RCR720892 QSH720855:QSV720892 QIL720855:QIZ720892 PYP720855:PZD720892 POT720855:PPH720892 PEX720855:PFL720892 OVB720855:OVP720892 OLF720855:OLT720892 OBJ720855:OBX720892 NRN720855:NSB720892 NHR720855:NIF720892 MXV720855:MYJ720892 MNZ720855:MON720892 MED720855:MER720892 LUH720855:LUV720892 LKL720855:LKZ720892 LAP720855:LBD720892 KQT720855:KRH720892 KGX720855:KHL720892 JXB720855:JXP720892 JNF720855:JNT720892 JDJ720855:JDX720892 ITN720855:IUB720892 IJR720855:IKF720892 HZV720855:IAJ720892 HPZ720855:HQN720892 HGD720855:HGR720892 GWH720855:GWV720892 GML720855:GMZ720892 GCP720855:GDD720892 FST720855:FTH720892 FIX720855:FJL720892 EZB720855:EZP720892 EPF720855:EPT720892 EFJ720855:EFX720892 DVN720855:DWB720892 DLR720855:DMF720892 DBV720855:DCJ720892 CRZ720855:CSN720892 CID720855:CIR720892 BYH720855:BYV720892 BOL720855:BOZ720892 BEP720855:BFD720892 AUT720855:AVH720892 AKX720855:ALL720892 ABB720855:ABP720892 RF720855:RT720892 HJ720855:HX720892 WTV655319:WUJ655356 WJZ655319:WKN655356 WAD655319:WAR655356 VQH655319:VQV655356 VGL655319:VGZ655356 UWP655319:UXD655356 UMT655319:UNH655356 UCX655319:UDL655356 TTB655319:TTP655356 TJF655319:TJT655356 SZJ655319:SZX655356 SPN655319:SQB655356 SFR655319:SGF655356 RVV655319:RWJ655356 RLZ655319:RMN655356 RCD655319:RCR655356 QSH655319:QSV655356 QIL655319:QIZ655356 PYP655319:PZD655356 POT655319:PPH655356 PEX655319:PFL655356 OVB655319:OVP655356 OLF655319:OLT655356 OBJ655319:OBX655356 NRN655319:NSB655356 NHR655319:NIF655356 MXV655319:MYJ655356 MNZ655319:MON655356 MED655319:MER655356 LUH655319:LUV655356 LKL655319:LKZ655356 LAP655319:LBD655356 KQT655319:KRH655356 KGX655319:KHL655356 JXB655319:JXP655356 JNF655319:JNT655356 JDJ655319:JDX655356 ITN655319:IUB655356 IJR655319:IKF655356 HZV655319:IAJ655356 HPZ655319:HQN655356 HGD655319:HGR655356 GWH655319:GWV655356 GML655319:GMZ655356 GCP655319:GDD655356 FST655319:FTH655356 FIX655319:FJL655356 EZB655319:EZP655356 EPF655319:EPT655356 EFJ655319:EFX655356 DVN655319:DWB655356 DLR655319:DMF655356 DBV655319:DCJ655356 CRZ655319:CSN655356 CID655319:CIR655356 BYH655319:BYV655356 BOL655319:BOZ655356 BEP655319:BFD655356 AUT655319:AVH655356 AKX655319:ALL655356 ABB655319:ABP655356 RF655319:RT655356 HJ655319:HX655356 WTV589783:WUJ589820 WJZ589783:WKN589820 WAD589783:WAR589820 VQH589783:VQV589820 VGL589783:VGZ589820 UWP589783:UXD589820 UMT589783:UNH589820 UCX589783:UDL589820 TTB589783:TTP589820 TJF589783:TJT589820 SZJ589783:SZX589820 SPN589783:SQB589820 SFR589783:SGF589820 RVV589783:RWJ589820 RLZ589783:RMN589820 RCD589783:RCR589820 QSH589783:QSV589820 QIL589783:QIZ589820 PYP589783:PZD589820 POT589783:PPH589820 PEX589783:PFL589820 OVB589783:OVP589820 OLF589783:OLT589820 OBJ589783:OBX589820 NRN589783:NSB589820 NHR589783:NIF589820 MXV589783:MYJ589820 MNZ589783:MON589820 MED589783:MER589820 LUH589783:LUV589820 LKL589783:LKZ589820 LAP589783:LBD589820 KQT589783:KRH589820 KGX589783:KHL589820 JXB589783:JXP589820 JNF589783:JNT589820 JDJ589783:JDX589820 ITN589783:IUB589820 IJR589783:IKF589820 HZV589783:IAJ589820 HPZ589783:HQN589820 HGD589783:HGR589820 GWH589783:GWV589820 GML589783:GMZ589820 GCP589783:GDD589820 FST589783:FTH589820 FIX589783:FJL589820 EZB589783:EZP589820 EPF589783:EPT589820 EFJ589783:EFX589820 DVN589783:DWB589820 DLR589783:DMF589820 DBV589783:DCJ589820 CRZ589783:CSN589820 CID589783:CIR589820 BYH589783:BYV589820 BOL589783:BOZ589820 BEP589783:BFD589820 AUT589783:AVH589820 AKX589783:ALL589820 ABB589783:ABP589820 RF589783:RT589820 HJ589783:HX589820 WTV524247:WUJ524284 WJZ524247:WKN524284 WAD524247:WAR524284 VQH524247:VQV524284 VGL524247:VGZ524284 UWP524247:UXD524284 UMT524247:UNH524284 UCX524247:UDL524284 TTB524247:TTP524284 TJF524247:TJT524284 SZJ524247:SZX524284 SPN524247:SQB524284 SFR524247:SGF524284 RVV524247:RWJ524284 RLZ524247:RMN524284 RCD524247:RCR524284 QSH524247:QSV524284 QIL524247:QIZ524284 PYP524247:PZD524284 POT524247:PPH524284 PEX524247:PFL524284 OVB524247:OVP524284 OLF524247:OLT524284 OBJ524247:OBX524284 NRN524247:NSB524284 NHR524247:NIF524284 MXV524247:MYJ524284 MNZ524247:MON524284 MED524247:MER524284 LUH524247:LUV524284 LKL524247:LKZ524284 LAP524247:LBD524284 KQT524247:KRH524284 KGX524247:KHL524284 JXB524247:JXP524284 JNF524247:JNT524284 JDJ524247:JDX524284 ITN524247:IUB524284 IJR524247:IKF524284 HZV524247:IAJ524284 HPZ524247:HQN524284 HGD524247:HGR524284 GWH524247:GWV524284 GML524247:GMZ524284 GCP524247:GDD524284 FST524247:FTH524284 FIX524247:FJL524284 EZB524247:EZP524284 EPF524247:EPT524284 EFJ524247:EFX524284 DVN524247:DWB524284 DLR524247:DMF524284 DBV524247:DCJ524284 CRZ524247:CSN524284 CID524247:CIR524284 BYH524247:BYV524284 BOL524247:BOZ524284 BEP524247:BFD524284 AUT524247:AVH524284 AKX524247:ALL524284 ABB524247:ABP524284 RF524247:RT524284 HJ524247:HX524284 WTV458711:WUJ458748 WJZ458711:WKN458748 WAD458711:WAR458748 VQH458711:VQV458748 VGL458711:VGZ458748 UWP458711:UXD458748 UMT458711:UNH458748 UCX458711:UDL458748 TTB458711:TTP458748 TJF458711:TJT458748 SZJ458711:SZX458748 SPN458711:SQB458748 SFR458711:SGF458748 RVV458711:RWJ458748 RLZ458711:RMN458748 RCD458711:RCR458748 QSH458711:QSV458748 QIL458711:QIZ458748 PYP458711:PZD458748 POT458711:PPH458748 PEX458711:PFL458748 OVB458711:OVP458748 OLF458711:OLT458748 OBJ458711:OBX458748 NRN458711:NSB458748 NHR458711:NIF458748 MXV458711:MYJ458748 MNZ458711:MON458748 MED458711:MER458748 LUH458711:LUV458748 LKL458711:LKZ458748 LAP458711:LBD458748 KQT458711:KRH458748 KGX458711:KHL458748 JXB458711:JXP458748 JNF458711:JNT458748 JDJ458711:JDX458748 ITN458711:IUB458748 IJR458711:IKF458748 HZV458711:IAJ458748 HPZ458711:HQN458748 HGD458711:HGR458748 GWH458711:GWV458748 GML458711:GMZ458748 GCP458711:GDD458748 FST458711:FTH458748 FIX458711:FJL458748 EZB458711:EZP458748 EPF458711:EPT458748 EFJ458711:EFX458748 DVN458711:DWB458748 DLR458711:DMF458748 DBV458711:DCJ458748 CRZ458711:CSN458748 CID458711:CIR458748 BYH458711:BYV458748 BOL458711:BOZ458748 BEP458711:BFD458748 AUT458711:AVH458748 AKX458711:ALL458748 ABB458711:ABP458748 RF458711:RT458748 HJ458711:HX458748 WTV393175:WUJ393212 WJZ393175:WKN393212 WAD393175:WAR393212 VQH393175:VQV393212 VGL393175:VGZ393212 UWP393175:UXD393212 UMT393175:UNH393212 UCX393175:UDL393212 TTB393175:TTP393212 TJF393175:TJT393212 SZJ393175:SZX393212 SPN393175:SQB393212 SFR393175:SGF393212 RVV393175:RWJ393212 RLZ393175:RMN393212 RCD393175:RCR393212 QSH393175:QSV393212 QIL393175:QIZ393212 PYP393175:PZD393212 POT393175:PPH393212 PEX393175:PFL393212 OVB393175:OVP393212 OLF393175:OLT393212 OBJ393175:OBX393212 NRN393175:NSB393212 NHR393175:NIF393212 MXV393175:MYJ393212 MNZ393175:MON393212 MED393175:MER393212 LUH393175:LUV393212 LKL393175:LKZ393212 LAP393175:LBD393212 KQT393175:KRH393212 KGX393175:KHL393212 JXB393175:JXP393212 JNF393175:JNT393212 JDJ393175:JDX393212 ITN393175:IUB393212 IJR393175:IKF393212 HZV393175:IAJ393212 HPZ393175:HQN393212 HGD393175:HGR393212 GWH393175:GWV393212 GML393175:GMZ393212 GCP393175:GDD393212 FST393175:FTH393212 FIX393175:FJL393212 EZB393175:EZP393212 EPF393175:EPT393212 EFJ393175:EFX393212 DVN393175:DWB393212 DLR393175:DMF393212 DBV393175:DCJ393212 CRZ393175:CSN393212 CID393175:CIR393212 BYH393175:BYV393212 BOL393175:BOZ393212 BEP393175:BFD393212 AUT393175:AVH393212 AKX393175:ALL393212 ABB393175:ABP393212 RF393175:RT393212 HJ393175:HX393212 WTV327639:WUJ327676 WJZ327639:WKN327676 WAD327639:WAR327676 VQH327639:VQV327676 VGL327639:VGZ327676 UWP327639:UXD327676 UMT327639:UNH327676 UCX327639:UDL327676 TTB327639:TTP327676 TJF327639:TJT327676 SZJ327639:SZX327676 SPN327639:SQB327676 SFR327639:SGF327676 RVV327639:RWJ327676 RLZ327639:RMN327676 RCD327639:RCR327676 QSH327639:QSV327676 QIL327639:QIZ327676 PYP327639:PZD327676 POT327639:PPH327676 PEX327639:PFL327676 OVB327639:OVP327676 OLF327639:OLT327676 OBJ327639:OBX327676 NRN327639:NSB327676 NHR327639:NIF327676 MXV327639:MYJ327676 MNZ327639:MON327676 MED327639:MER327676 LUH327639:LUV327676 LKL327639:LKZ327676 LAP327639:LBD327676 KQT327639:KRH327676 KGX327639:KHL327676 JXB327639:JXP327676 JNF327639:JNT327676 JDJ327639:JDX327676 ITN327639:IUB327676 IJR327639:IKF327676 HZV327639:IAJ327676 HPZ327639:HQN327676 HGD327639:HGR327676 GWH327639:GWV327676 GML327639:GMZ327676 GCP327639:GDD327676 FST327639:FTH327676 FIX327639:FJL327676 EZB327639:EZP327676 EPF327639:EPT327676 EFJ327639:EFX327676 DVN327639:DWB327676 DLR327639:DMF327676 DBV327639:DCJ327676 CRZ327639:CSN327676 CID327639:CIR327676 BYH327639:BYV327676 BOL327639:BOZ327676 BEP327639:BFD327676 AUT327639:AVH327676 AKX327639:ALL327676 ABB327639:ABP327676 RF327639:RT327676 HJ327639:HX327676 WTV262103:WUJ262140 WJZ262103:WKN262140 WAD262103:WAR262140 VQH262103:VQV262140 VGL262103:VGZ262140 UWP262103:UXD262140 UMT262103:UNH262140 UCX262103:UDL262140 TTB262103:TTP262140 TJF262103:TJT262140 SZJ262103:SZX262140 SPN262103:SQB262140 SFR262103:SGF262140 RVV262103:RWJ262140 RLZ262103:RMN262140 RCD262103:RCR262140 QSH262103:QSV262140 QIL262103:QIZ262140 PYP262103:PZD262140 POT262103:PPH262140 PEX262103:PFL262140 OVB262103:OVP262140 OLF262103:OLT262140 OBJ262103:OBX262140 NRN262103:NSB262140 NHR262103:NIF262140 MXV262103:MYJ262140 MNZ262103:MON262140 MED262103:MER262140 LUH262103:LUV262140 LKL262103:LKZ262140 LAP262103:LBD262140 KQT262103:KRH262140 KGX262103:KHL262140 JXB262103:JXP262140 JNF262103:JNT262140 JDJ262103:JDX262140 ITN262103:IUB262140 IJR262103:IKF262140 HZV262103:IAJ262140 HPZ262103:HQN262140 HGD262103:HGR262140 GWH262103:GWV262140 GML262103:GMZ262140 GCP262103:GDD262140 FST262103:FTH262140 FIX262103:FJL262140 EZB262103:EZP262140 EPF262103:EPT262140 EFJ262103:EFX262140 DVN262103:DWB262140 DLR262103:DMF262140 DBV262103:DCJ262140 CRZ262103:CSN262140 CID262103:CIR262140 BYH262103:BYV262140 BOL262103:BOZ262140 BEP262103:BFD262140 AUT262103:AVH262140 AKX262103:ALL262140 ABB262103:ABP262140 RF262103:RT262140 HJ262103:HX262140 WTV196567:WUJ196604 WJZ196567:WKN196604 WAD196567:WAR196604 VQH196567:VQV196604 VGL196567:VGZ196604 UWP196567:UXD196604 UMT196567:UNH196604 UCX196567:UDL196604 TTB196567:TTP196604 TJF196567:TJT196604 SZJ196567:SZX196604 SPN196567:SQB196604 SFR196567:SGF196604 RVV196567:RWJ196604 RLZ196567:RMN196604 RCD196567:RCR196604 QSH196567:QSV196604 QIL196567:QIZ196604 PYP196567:PZD196604 POT196567:PPH196604 PEX196567:PFL196604 OVB196567:OVP196604 OLF196567:OLT196604 OBJ196567:OBX196604 NRN196567:NSB196604 NHR196567:NIF196604 MXV196567:MYJ196604 MNZ196567:MON196604 MED196567:MER196604 LUH196567:LUV196604 LKL196567:LKZ196604 LAP196567:LBD196604 KQT196567:KRH196604 KGX196567:KHL196604 JXB196567:JXP196604 JNF196567:JNT196604 JDJ196567:JDX196604 ITN196567:IUB196604 IJR196567:IKF196604 HZV196567:IAJ196604 HPZ196567:HQN196604 HGD196567:HGR196604 GWH196567:GWV196604 GML196567:GMZ196604 GCP196567:GDD196604 FST196567:FTH196604 FIX196567:FJL196604 EZB196567:EZP196604 EPF196567:EPT196604 EFJ196567:EFX196604 DVN196567:DWB196604 DLR196567:DMF196604 DBV196567:DCJ196604 CRZ196567:CSN196604 CID196567:CIR196604 BYH196567:BYV196604 BOL196567:BOZ196604 BEP196567:BFD196604 AUT196567:AVH196604 AKX196567:ALL196604 ABB196567:ABP196604 RF196567:RT196604 HJ196567:HX196604 WTV131031:WUJ131068 WJZ131031:WKN131068 WAD131031:WAR131068 VQH131031:VQV131068 VGL131031:VGZ131068 UWP131031:UXD131068 UMT131031:UNH131068 UCX131031:UDL131068 TTB131031:TTP131068 TJF131031:TJT131068 SZJ131031:SZX131068 SPN131031:SQB131068 SFR131031:SGF131068 RVV131031:RWJ131068 RLZ131031:RMN131068 RCD131031:RCR131068 QSH131031:QSV131068 QIL131031:QIZ131068 PYP131031:PZD131068 POT131031:PPH131068 PEX131031:PFL131068 OVB131031:OVP131068 OLF131031:OLT131068 OBJ131031:OBX131068 NRN131031:NSB131068 NHR131031:NIF131068 MXV131031:MYJ131068 MNZ131031:MON131068 MED131031:MER131068 LUH131031:LUV131068 LKL131031:LKZ131068 LAP131031:LBD131068 KQT131031:KRH131068 KGX131031:KHL131068 JXB131031:JXP131068 JNF131031:JNT131068 JDJ131031:JDX131068 ITN131031:IUB131068 IJR131031:IKF131068 HZV131031:IAJ131068 HPZ131031:HQN131068 HGD131031:HGR131068 GWH131031:GWV131068 GML131031:GMZ131068 GCP131031:GDD131068 FST131031:FTH131068 FIX131031:FJL131068 EZB131031:EZP131068 EPF131031:EPT131068 EFJ131031:EFX131068 DVN131031:DWB131068 DLR131031:DMF131068 DBV131031:DCJ131068 CRZ131031:CSN131068 CID131031:CIR131068 BYH131031:BYV131068 BOL131031:BOZ131068 BEP131031:BFD131068 AUT131031:AVH131068 AKX131031:ALL131068 ABB131031:ABP131068 RF131031:RT131068 HJ131031:HX131068 WTV65495:WUJ65532 WJZ65495:WKN65532 WAD65495:WAR65532 VQH65495:VQV65532 VGL65495:VGZ65532 UWP65495:UXD65532 UMT65495:UNH65532 UCX65495:UDL65532 TTB65495:TTP65532 TJF65495:TJT65532 SZJ65495:SZX65532 SPN65495:SQB65532 SFR65495:SGF65532 RVV65495:RWJ65532 RLZ65495:RMN65532 RCD65495:RCR65532 QSH65495:QSV65532 QIL65495:QIZ65532 PYP65495:PZD65532 POT65495:PPH65532 PEX65495:PFL65532 OVB65495:OVP65532 OLF65495:OLT65532 OBJ65495:OBX65532 NRN65495:NSB65532 NHR65495:NIF65532 MXV65495:MYJ65532 MNZ65495:MON65532 MED65495:MER65532 LUH65495:LUV65532 LKL65495:LKZ65532 LAP65495:LBD65532 KQT65495:KRH65532 KGX65495:KHL65532 JXB65495:JXP65532 JNF65495:JNT65532 JDJ65495:JDX65532 ITN65495:IUB65532 IJR65495:IKF65532 HZV65495:IAJ65532 HPZ65495:HQN65532 HGD65495:HGR65532 GWH65495:GWV65532 GML65495:GMZ65532 GCP65495:GDD65532 FST65495:FTH65532 FIX65495:FJL65532 EZB65495:EZP65532 EPF65495:EPT65532 EFJ65495:EFX65532 DVN65495:DWB65532 DLR65495:DMF65532 DBV65495:DCJ65532 CRZ65495:CSN65532 CID65495:CIR65532 BYH65495:BYV65532 BOL65495:BOZ65532 BEP65495:BFD65532 AUT65495:AVH65532 AKX65495:ALL65532 ABB65495:ABP65532 RF65495:RT65532 HJ65495:HX65532 WJZ982999:WKN983036 WAD982999:WAR983036 WTV982999:WUJ983036" xr:uid="{F9FA6065-A332-4F40-AADA-5EB35076845A}">
      <formula1>#REF!</formula1>
    </dataValidation>
    <dataValidation type="list" allowBlank="1" showInputMessage="1" showErrorMessage="1" sqref="HX983040:IE983045 RT983040:SA983045 ABP983040:ABW983045 ALL983040:ALS983045 AVH983040:AVO983045 BFD983040:BFK983045 BOZ983040:BPG983045 BYV983040:BZC983045 CIR983040:CIY983045 CSN983040:CSU983045 DCJ983040:DCQ983045 DMF983040:DMM983045 DWB983040:DWI983045 EFX983040:EGE983045 EPT983040:EQA983045 EZP983040:EZW983045 FJL983040:FJS983045 FTH983040:FTO983045 GDD983040:GDK983045 GMZ983040:GNG983045 GWV983040:GXC983045 HGR983040:HGY983045 HQN983040:HQU983045 IAJ983040:IAQ983045 IKF983040:IKM983045 IUB983040:IUI983045 JDX983040:JEE983045 JNT983040:JOA983045 JXP983040:JXW983045 KHL983040:KHS983045 KRH983040:KRO983045 LBD983040:LBK983045 LKZ983040:LLG983045 LUV983040:LVC983045 MER983040:MEY983045 MON983040:MOU983045 MYJ983040:MYQ983045 NIF983040:NIM983045 NSB983040:NSI983045 OBX983040:OCE983045 OLT983040:OMA983045 OVP983040:OVW983045 PFL983040:PFS983045 PPH983040:PPO983045 PZD983040:PZK983045 QIZ983040:QJG983045 QSV983040:QTC983045 RCR983040:RCY983045 RMN983040:RMU983045 RWJ983040:RWQ983045 SGF983040:SGM983045 SQB983040:SQI983045 SZX983040:TAE983045 TJT983040:TKA983045 TTP983040:TTW983045 UDL983040:UDS983045 UNH983040:UNO983045 UXD983040:UXK983045 VGZ983040:VHG983045 VQV983040:VRC983045 WAR983040:WAY983045 WKN983040:WKU983045 WUJ983040:WUQ983045 HX65536:IE65541 RT65536:SA65541 ABP65536:ABW65541 ALL65536:ALS65541 AVH65536:AVO65541 BFD65536:BFK65541 BOZ65536:BPG65541 BYV65536:BZC65541 CIR65536:CIY65541 CSN65536:CSU65541 DCJ65536:DCQ65541 DMF65536:DMM65541 DWB65536:DWI65541 EFX65536:EGE65541 EPT65536:EQA65541 EZP65536:EZW65541 FJL65536:FJS65541 FTH65536:FTO65541 GDD65536:GDK65541 GMZ65536:GNG65541 GWV65536:GXC65541 HGR65536:HGY65541 HQN65536:HQU65541 IAJ65536:IAQ65541 IKF65536:IKM65541 IUB65536:IUI65541 JDX65536:JEE65541 JNT65536:JOA65541 JXP65536:JXW65541 KHL65536:KHS65541 KRH65536:KRO65541 LBD65536:LBK65541 LKZ65536:LLG65541 LUV65536:LVC65541 MER65536:MEY65541 MON65536:MOU65541 MYJ65536:MYQ65541 NIF65536:NIM65541 NSB65536:NSI65541 OBX65536:OCE65541 OLT65536:OMA65541 OVP65536:OVW65541 PFL65536:PFS65541 PPH65536:PPO65541 PZD65536:PZK65541 QIZ65536:QJG65541 QSV65536:QTC65541 RCR65536:RCY65541 RMN65536:RMU65541 RWJ65536:RWQ65541 SGF65536:SGM65541 SQB65536:SQI65541 SZX65536:TAE65541 TJT65536:TKA65541 TTP65536:TTW65541 UDL65536:UDS65541 UNH65536:UNO65541 UXD65536:UXK65541 VGZ65536:VHG65541 VQV65536:VRC65541 WAR65536:WAY65541 WKN65536:WKU65541 WUJ65536:WUQ65541 HX131072:IE131077 RT131072:SA131077 ABP131072:ABW131077 ALL131072:ALS131077 AVH131072:AVO131077 BFD131072:BFK131077 BOZ131072:BPG131077 BYV131072:BZC131077 CIR131072:CIY131077 CSN131072:CSU131077 DCJ131072:DCQ131077 DMF131072:DMM131077 DWB131072:DWI131077 EFX131072:EGE131077 EPT131072:EQA131077 EZP131072:EZW131077 FJL131072:FJS131077 FTH131072:FTO131077 GDD131072:GDK131077 GMZ131072:GNG131077 GWV131072:GXC131077 HGR131072:HGY131077 HQN131072:HQU131077 IAJ131072:IAQ131077 IKF131072:IKM131077 IUB131072:IUI131077 JDX131072:JEE131077 JNT131072:JOA131077 JXP131072:JXW131077 KHL131072:KHS131077 KRH131072:KRO131077 LBD131072:LBK131077 LKZ131072:LLG131077 LUV131072:LVC131077 MER131072:MEY131077 MON131072:MOU131077 MYJ131072:MYQ131077 NIF131072:NIM131077 NSB131072:NSI131077 OBX131072:OCE131077 OLT131072:OMA131077 OVP131072:OVW131077 PFL131072:PFS131077 PPH131072:PPO131077 PZD131072:PZK131077 QIZ131072:QJG131077 QSV131072:QTC131077 RCR131072:RCY131077 RMN131072:RMU131077 RWJ131072:RWQ131077 SGF131072:SGM131077 SQB131072:SQI131077 SZX131072:TAE131077 TJT131072:TKA131077 TTP131072:TTW131077 UDL131072:UDS131077 UNH131072:UNO131077 UXD131072:UXK131077 VGZ131072:VHG131077 VQV131072:VRC131077 WAR131072:WAY131077 WKN131072:WKU131077 WUJ131072:WUQ131077 HX196608:IE196613 RT196608:SA196613 ABP196608:ABW196613 ALL196608:ALS196613 AVH196608:AVO196613 BFD196608:BFK196613 BOZ196608:BPG196613 BYV196608:BZC196613 CIR196608:CIY196613 CSN196608:CSU196613 DCJ196608:DCQ196613 DMF196608:DMM196613 DWB196608:DWI196613 EFX196608:EGE196613 EPT196608:EQA196613 EZP196608:EZW196613 FJL196608:FJS196613 FTH196608:FTO196613 GDD196608:GDK196613 GMZ196608:GNG196613 GWV196608:GXC196613 HGR196608:HGY196613 HQN196608:HQU196613 IAJ196608:IAQ196613 IKF196608:IKM196613 IUB196608:IUI196613 JDX196608:JEE196613 JNT196608:JOA196613 JXP196608:JXW196613 KHL196608:KHS196613 KRH196608:KRO196613 LBD196608:LBK196613 LKZ196608:LLG196613 LUV196608:LVC196613 MER196608:MEY196613 MON196608:MOU196613 MYJ196608:MYQ196613 NIF196608:NIM196613 NSB196608:NSI196613 OBX196608:OCE196613 OLT196608:OMA196613 OVP196608:OVW196613 PFL196608:PFS196613 PPH196608:PPO196613 PZD196608:PZK196613 QIZ196608:QJG196613 QSV196608:QTC196613 RCR196608:RCY196613 RMN196608:RMU196613 RWJ196608:RWQ196613 SGF196608:SGM196613 SQB196608:SQI196613 SZX196608:TAE196613 TJT196608:TKA196613 TTP196608:TTW196613 UDL196608:UDS196613 UNH196608:UNO196613 UXD196608:UXK196613 VGZ196608:VHG196613 VQV196608:VRC196613 WAR196608:WAY196613 WKN196608:WKU196613 WUJ196608:WUQ196613 HX262144:IE262149 RT262144:SA262149 ABP262144:ABW262149 ALL262144:ALS262149 AVH262144:AVO262149 BFD262144:BFK262149 BOZ262144:BPG262149 BYV262144:BZC262149 CIR262144:CIY262149 CSN262144:CSU262149 DCJ262144:DCQ262149 DMF262144:DMM262149 DWB262144:DWI262149 EFX262144:EGE262149 EPT262144:EQA262149 EZP262144:EZW262149 FJL262144:FJS262149 FTH262144:FTO262149 GDD262144:GDK262149 GMZ262144:GNG262149 GWV262144:GXC262149 HGR262144:HGY262149 HQN262144:HQU262149 IAJ262144:IAQ262149 IKF262144:IKM262149 IUB262144:IUI262149 JDX262144:JEE262149 JNT262144:JOA262149 JXP262144:JXW262149 KHL262144:KHS262149 KRH262144:KRO262149 LBD262144:LBK262149 LKZ262144:LLG262149 LUV262144:LVC262149 MER262144:MEY262149 MON262144:MOU262149 MYJ262144:MYQ262149 NIF262144:NIM262149 NSB262144:NSI262149 OBX262144:OCE262149 OLT262144:OMA262149 OVP262144:OVW262149 PFL262144:PFS262149 PPH262144:PPO262149 PZD262144:PZK262149 QIZ262144:QJG262149 QSV262144:QTC262149 RCR262144:RCY262149 RMN262144:RMU262149 RWJ262144:RWQ262149 SGF262144:SGM262149 SQB262144:SQI262149 SZX262144:TAE262149 TJT262144:TKA262149 TTP262144:TTW262149 UDL262144:UDS262149 UNH262144:UNO262149 UXD262144:UXK262149 VGZ262144:VHG262149 VQV262144:VRC262149 WAR262144:WAY262149 WKN262144:WKU262149 WUJ262144:WUQ262149 HX327680:IE327685 RT327680:SA327685 ABP327680:ABW327685 ALL327680:ALS327685 AVH327680:AVO327685 BFD327680:BFK327685 BOZ327680:BPG327685 BYV327680:BZC327685 CIR327680:CIY327685 CSN327680:CSU327685 DCJ327680:DCQ327685 DMF327680:DMM327685 DWB327680:DWI327685 EFX327680:EGE327685 EPT327680:EQA327685 EZP327680:EZW327685 FJL327680:FJS327685 FTH327680:FTO327685 GDD327680:GDK327685 GMZ327680:GNG327685 GWV327680:GXC327685 HGR327680:HGY327685 HQN327680:HQU327685 IAJ327680:IAQ327685 IKF327680:IKM327685 IUB327680:IUI327685 JDX327680:JEE327685 JNT327680:JOA327685 JXP327680:JXW327685 KHL327680:KHS327685 KRH327680:KRO327685 LBD327680:LBK327685 LKZ327680:LLG327685 LUV327680:LVC327685 MER327680:MEY327685 MON327680:MOU327685 MYJ327680:MYQ327685 NIF327680:NIM327685 NSB327680:NSI327685 OBX327680:OCE327685 OLT327680:OMA327685 OVP327680:OVW327685 PFL327680:PFS327685 PPH327680:PPO327685 PZD327680:PZK327685 QIZ327680:QJG327685 QSV327680:QTC327685 RCR327680:RCY327685 RMN327680:RMU327685 RWJ327680:RWQ327685 SGF327680:SGM327685 SQB327680:SQI327685 SZX327680:TAE327685 TJT327680:TKA327685 TTP327680:TTW327685 UDL327680:UDS327685 UNH327680:UNO327685 UXD327680:UXK327685 VGZ327680:VHG327685 VQV327680:VRC327685 WAR327680:WAY327685 WKN327680:WKU327685 WUJ327680:WUQ327685 HX393216:IE393221 RT393216:SA393221 ABP393216:ABW393221 ALL393216:ALS393221 AVH393216:AVO393221 BFD393216:BFK393221 BOZ393216:BPG393221 BYV393216:BZC393221 CIR393216:CIY393221 CSN393216:CSU393221 DCJ393216:DCQ393221 DMF393216:DMM393221 DWB393216:DWI393221 EFX393216:EGE393221 EPT393216:EQA393221 EZP393216:EZW393221 FJL393216:FJS393221 FTH393216:FTO393221 GDD393216:GDK393221 GMZ393216:GNG393221 GWV393216:GXC393221 HGR393216:HGY393221 HQN393216:HQU393221 IAJ393216:IAQ393221 IKF393216:IKM393221 IUB393216:IUI393221 JDX393216:JEE393221 JNT393216:JOA393221 JXP393216:JXW393221 KHL393216:KHS393221 KRH393216:KRO393221 LBD393216:LBK393221 LKZ393216:LLG393221 LUV393216:LVC393221 MER393216:MEY393221 MON393216:MOU393221 MYJ393216:MYQ393221 NIF393216:NIM393221 NSB393216:NSI393221 OBX393216:OCE393221 OLT393216:OMA393221 OVP393216:OVW393221 PFL393216:PFS393221 PPH393216:PPO393221 PZD393216:PZK393221 QIZ393216:QJG393221 QSV393216:QTC393221 RCR393216:RCY393221 RMN393216:RMU393221 RWJ393216:RWQ393221 SGF393216:SGM393221 SQB393216:SQI393221 SZX393216:TAE393221 TJT393216:TKA393221 TTP393216:TTW393221 UDL393216:UDS393221 UNH393216:UNO393221 UXD393216:UXK393221 VGZ393216:VHG393221 VQV393216:VRC393221 WAR393216:WAY393221 WKN393216:WKU393221 WUJ393216:WUQ393221 HX458752:IE458757 RT458752:SA458757 ABP458752:ABW458757 ALL458752:ALS458757 AVH458752:AVO458757 BFD458752:BFK458757 BOZ458752:BPG458757 BYV458752:BZC458757 CIR458752:CIY458757 CSN458752:CSU458757 DCJ458752:DCQ458757 DMF458752:DMM458757 DWB458752:DWI458757 EFX458752:EGE458757 EPT458752:EQA458757 EZP458752:EZW458757 FJL458752:FJS458757 FTH458752:FTO458757 GDD458752:GDK458757 GMZ458752:GNG458757 GWV458752:GXC458757 HGR458752:HGY458757 HQN458752:HQU458757 IAJ458752:IAQ458757 IKF458752:IKM458757 IUB458752:IUI458757 JDX458752:JEE458757 JNT458752:JOA458757 JXP458752:JXW458757 KHL458752:KHS458757 KRH458752:KRO458757 LBD458752:LBK458757 LKZ458752:LLG458757 LUV458752:LVC458757 MER458752:MEY458757 MON458752:MOU458757 MYJ458752:MYQ458757 NIF458752:NIM458757 NSB458752:NSI458757 OBX458752:OCE458757 OLT458752:OMA458757 OVP458752:OVW458757 PFL458752:PFS458757 PPH458752:PPO458757 PZD458752:PZK458757 QIZ458752:QJG458757 QSV458752:QTC458757 RCR458752:RCY458757 RMN458752:RMU458757 RWJ458752:RWQ458757 SGF458752:SGM458757 SQB458752:SQI458757 SZX458752:TAE458757 TJT458752:TKA458757 TTP458752:TTW458757 UDL458752:UDS458757 UNH458752:UNO458757 UXD458752:UXK458757 VGZ458752:VHG458757 VQV458752:VRC458757 WAR458752:WAY458757 WKN458752:WKU458757 WUJ458752:WUQ458757 HX524288:IE524293 RT524288:SA524293 ABP524288:ABW524293 ALL524288:ALS524293 AVH524288:AVO524293 BFD524288:BFK524293 BOZ524288:BPG524293 BYV524288:BZC524293 CIR524288:CIY524293 CSN524288:CSU524293 DCJ524288:DCQ524293 DMF524288:DMM524293 DWB524288:DWI524293 EFX524288:EGE524293 EPT524288:EQA524293 EZP524288:EZW524293 FJL524288:FJS524293 FTH524288:FTO524293 GDD524288:GDK524293 GMZ524288:GNG524293 GWV524288:GXC524293 HGR524288:HGY524293 HQN524288:HQU524293 IAJ524288:IAQ524293 IKF524288:IKM524293 IUB524288:IUI524293 JDX524288:JEE524293 JNT524288:JOA524293 JXP524288:JXW524293 KHL524288:KHS524293 KRH524288:KRO524293 LBD524288:LBK524293 LKZ524288:LLG524293 LUV524288:LVC524293 MER524288:MEY524293 MON524288:MOU524293 MYJ524288:MYQ524293 NIF524288:NIM524293 NSB524288:NSI524293 OBX524288:OCE524293 OLT524288:OMA524293 OVP524288:OVW524293 PFL524288:PFS524293 PPH524288:PPO524293 PZD524288:PZK524293 QIZ524288:QJG524293 QSV524288:QTC524293 RCR524288:RCY524293 RMN524288:RMU524293 RWJ524288:RWQ524293 SGF524288:SGM524293 SQB524288:SQI524293 SZX524288:TAE524293 TJT524288:TKA524293 TTP524288:TTW524293 UDL524288:UDS524293 UNH524288:UNO524293 UXD524288:UXK524293 VGZ524288:VHG524293 VQV524288:VRC524293 WAR524288:WAY524293 WKN524288:WKU524293 WUJ524288:WUQ524293 HX589824:IE589829 RT589824:SA589829 ABP589824:ABW589829 ALL589824:ALS589829 AVH589824:AVO589829 BFD589824:BFK589829 BOZ589824:BPG589829 BYV589824:BZC589829 CIR589824:CIY589829 CSN589824:CSU589829 DCJ589824:DCQ589829 DMF589824:DMM589829 DWB589824:DWI589829 EFX589824:EGE589829 EPT589824:EQA589829 EZP589824:EZW589829 FJL589824:FJS589829 FTH589824:FTO589829 GDD589824:GDK589829 GMZ589824:GNG589829 GWV589824:GXC589829 HGR589824:HGY589829 HQN589824:HQU589829 IAJ589824:IAQ589829 IKF589824:IKM589829 IUB589824:IUI589829 JDX589824:JEE589829 JNT589824:JOA589829 JXP589824:JXW589829 KHL589824:KHS589829 KRH589824:KRO589829 LBD589824:LBK589829 LKZ589824:LLG589829 LUV589824:LVC589829 MER589824:MEY589829 MON589824:MOU589829 MYJ589824:MYQ589829 NIF589824:NIM589829 NSB589824:NSI589829 OBX589824:OCE589829 OLT589824:OMA589829 OVP589824:OVW589829 PFL589824:PFS589829 PPH589824:PPO589829 PZD589824:PZK589829 QIZ589824:QJG589829 QSV589824:QTC589829 RCR589824:RCY589829 RMN589824:RMU589829 RWJ589824:RWQ589829 SGF589824:SGM589829 SQB589824:SQI589829 SZX589824:TAE589829 TJT589824:TKA589829 TTP589824:TTW589829 UDL589824:UDS589829 UNH589824:UNO589829 UXD589824:UXK589829 VGZ589824:VHG589829 VQV589824:VRC589829 WAR589824:WAY589829 WKN589824:WKU589829 WUJ589824:WUQ589829 HX655360:IE655365 RT655360:SA655365 ABP655360:ABW655365 ALL655360:ALS655365 AVH655360:AVO655365 BFD655360:BFK655365 BOZ655360:BPG655365 BYV655360:BZC655365 CIR655360:CIY655365 CSN655360:CSU655365 DCJ655360:DCQ655365 DMF655360:DMM655365 DWB655360:DWI655365 EFX655360:EGE655365 EPT655360:EQA655365 EZP655360:EZW655365 FJL655360:FJS655365 FTH655360:FTO655365 GDD655360:GDK655365 GMZ655360:GNG655365 GWV655360:GXC655365 HGR655360:HGY655365 HQN655360:HQU655365 IAJ655360:IAQ655365 IKF655360:IKM655365 IUB655360:IUI655365 JDX655360:JEE655365 JNT655360:JOA655365 JXP655360:JXW655365 KHL655360:KHS655365 KRH655360:KRO655365 LBD655360:LBK655365 LKZ655360:LLG655365 LUV655360:LVC655365 MER655360:MEY655365 MON655360:MOU655365 MYJ655360:MYQ655365 NIF655360:NIM655365 NSB655360:NSI655365 OBX655360:OCE655365 OLT655360:OMA655365 OVP655360:OVW655365 PFL655360:PFS655365 PPH655360:PPO655365 PZD655360:PZK655365 QIZ655360:QJG655365 QSV655360:QTC655365 RCR655360:RCY655365 RMN655360:RMU655365 RWJ655360:RWQ655365 SGF655360:SGM655365 SQB655360:SQI655365 SZX655360:TAE655365 TJT655360:TKA655365 TTP655360:TTW655365 UDL655360:UDS655365 UNH655360:UNO655365 UXD655360:UXK655365 VGZ655360:VHG655365 VQV655360:VRC655365 WAR655360:WAY655365 WKN655360:WKU655365 WUJ655360:WUQ655365 HX720896:IE720901 RT720896:SA720901 ABP720896:ABW720901 ALL720896:ALS720901 AVH720896:AVO720901 BFD720896:BFK720901 BOZ720896:BPG720901 BYV720896:BZC720901 CIR720896:CIY720901 CSN720896:CSU720901 DCJ720896:DCQ720901 DMF720896:DMM720901 DWB720896:DWI720901 EFX720896:EGE720901 EPT720896:EQA720901 EZP720896:EZW720901 FJL720896:FJS720901 FTH720896:FTO720901 GDD720896:GDK720901 GMZ720896:GNG720901 GWV720896:GXC720901 HGR720896:HGY720901 HQN720896:HQU720901 IAJ720896:IAQ720901 IKF720896:IKM720901 IUB720896:IUI720901 JDX720896:JEE720901 JNT720896:JOA720901 JXP720896:JXW720901 KHL720896:KHS720901 KRH720896:KRO720901 LBD720896:LBK720901 LKZ720896:LLG720901 LUV720896:LVC720901 MER720896:MEY720901 MON720896:MOU720901 MYJ720896:MYQ720901 NIF720896:NIM720901 NSB720896:NSI720901 OBX720896:OCE720901 OLT720896:OMA720901 OVP720896:OVW720901 PFL720896:PFS720901 PPH720896:PPO720901 PZD720896:PZK720901 QIZ720896:QJG720901 QSV720896:QTC720901 RCR720896:RCY720901 RMN720896:RMU720901 RWJ720896:RWQ720901 SGF720896:SGM720901 SQB720896:SQI720901 SZX720896:TAE720901 TJT720896:TKA720901 TTP720896:TTW720901 UDL720896:UDS720901 UNH720896:UNO720901 UXD720896:UXK720901 VGZ720896:VHG720901 VQV720896:VRC720901 WAR720896:WAY720901 WKN720896:WKU720901 WUJ720896:WUQ720901 HX786432:IE786437 RT786432:SA786437 ABP786432:ABW786437 ALL786432:ALS786437 AVH786432:AVO786437 BFD786432:BFK786437 BOZ786432:BPG786437 BYV786432:BZC786437 CIR786432:CIY786437 CSN786432:CSU786437 DCJ786432:DCQ786437 DMF786432:DMM786437 DWB786432:DWI786437 EFX786432:EGE786437 EPT786432:EQA786437 EZP786432:EZW786437 FJL786432:FJS786437 FTH786432:FTO786437 GDD786432:GDK786437 GMZ786432:GNG786437 GWV786432:GXC786437 HGR786432:HGY786437 HQN786432:HQU786437 IAJ786432:IAQ786437 IKF786432:IKM786437 IUB786432:IUI786437 JDX786432:JEE786437 JNT786432:JOA786437 JXP786432:JXW786437 KHL786432:KHS786437 KRH786432:KRO786437 LBD786432:LBK786437 LKZ786432:LLG786437 LUV786432:LVC786437 MER786432:MEY786437 MON786432:MOU786437 MYJ786432:MYQ786437 NIF786432:NIM786437 NSB786432:NSI786437 OBX786432:OCE786437 OLT786432:OMA786437 OVP786432:OVW786437 PFL786432:PFS786437 PPH786432:PPO786437 PZD786432:PZK786437 QIZ786432:QJG786437 QSV786432:QTC786437 RCR786432:RCY786437 RMN786432:RMU786437 RWJ786432:RWQ786437 SGF786432:SGM786437 SQB786432:SQI786437 SZX786432:TAE786437 TJT786432:TKA786437 TTP786432:TTW786437 UDL786432:UDS786437 UNH786432:UNO786437 UXD786432:UXK786437 VGZ786432:VHG786437 VQV786432:VRC786437 WAR786432:WAY786437 WKN786432:WKU786437 WUJ786432:WUQ786437 HX851968:IE851973 RT851968:SA851973 ABP851968:ABW851973 ALL851968:ALS851973 AVH851968:AVO851973 BFD851968:BFK851973 BOZ851968:BPG851973 BYV851968:BZC851973 CIR851968:CIY851973 CSN851968:CSU851973 DCJ851968:DCQ851973 DMF851968:DMM851973 DWB851968:DWI851973 EFX851968:EGE851973 EPT851968:EQA851973 EZP851968:EZW851973 FJL851968:FJS851973 FTH851968:FTO851973 GDD851968:GDK851973 GMZ851968:GNG851973 GWV851968:GXC851973 HGR851968:HGY851973 HQN851968:HQU851973 IAJ851968:IAQ851973 IKF851968:IKM851973 IUB851968:IUI851973 JDX851968:JEE851973 JNT851968:JOA851973 JXP851968:JXW851973 KHL851968:KHS851973 KRH851968:KRO851973 LBD851968:LBK851973 LKZ851968:LLG851973 LUV851968:LVC851973 MER851968:MEY851973 MON851968:MOU851973 MYJ851968:MYQ851973 NIF851968:NIM851973 NSB851968:NSI851973 OBX851968:OCE851973 OLT851968:OMA851973 OVP851968:OVW851973 PFL851968:PFS851973 PPH851968:PPO851973 PZD851968:PZK851973 QIZ851968:QJG851973 QSV851968:QTC851973 RCR851968:RCY851973 RMN851968:RMU851973 RWJ851968:RWQ851973 SGF851968:SGM851973 SQB851968:SQI851973 SZX851968:TAE851973 TJT851968:TKA851973 TTP851968:TTW851973 UDL851968:UDS851973 UNH851968:UNO851973 UXD851968:UXK851973 VGZ851968:VHG851973 VQV851968:VRC851973 WAR851968:WAY851973 WKN851968:WKU851973 WUJ851968:WUQ851973 HX917504:IE917509 RT917504:SA917509 ABP917504:ABW917509 ALL917504:ALS917509 AVH917504:AVO917509 BFD917504:BFK917509 BOZ917504:BPG917509 BYV917504:BZC917509 CIR917504:CIY917509 CSN917504:CSU917509 DCJ917504:DCQ917509 DMF917504:DMM917509 DWB917504:DWI917509 EFX917504:EGE917509 EPT917504:EQA917509 EZP917504:EZW917509 FJL917504:FJS917509 FTH917504:FTO917509 GDD917504:GDK917509 GMZ917504:GNG917509 GWV917504:GXC917509 HGR917504:HGY917509 HQN917504:HQU917509 IAJ917504:IAQ917509 IKF917504:IKM917509 IUB917504:IUI917509 JDX917504:JEE917509 JNT917504:JOA917509 JXP917504:JXW917509 KHL917504:KHS917509 KRH917504:KRO917509 LBD917504:LBK917509 LKZ917504:LLG917509 LUV917504:LVC917509 MER917504:MEY917509 MON917504:MOU917509 MYJ917504:MYQ917509 NIF917504:NIM917509 NSB917504:NSI917509 OBX917504:OCE917509 OLT917504:OMA917509 OVP917504:OVW917509 PFL917504:PFS917509 PPH917504:PPO917509 PZD917504:PZK917509 QIZ917504:QJG917509 QSV917504:QTC917509 RCR917504:RCY917509 RMN917504:RMU917509 RWJ917504:RWQ917509 SGF917504:SGM917509 SQB917504:SQI917509 SZX917504:TAE917509 TJT917504:TKA917509 TTP917504:TTW917509 UDL917504:UDS917509 UNH917504:UNO917509 UXD917504:UXK917509 VGZ917504:VHG917509 VQV917504:VRC917509 WAR917504:WAY917509 WKN917504:WKU917509 WUJ917504:WUQ917509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H366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86" width="2.7265625" style="657" customWidth="1"/>
    <col min="87" max="16384" width="2.54296875" style="657"/>
  </cols>
  <sheetData>
    <row r="1" spans="1:85" ht="13.75" customHeight="1">
      <c r="A1" s="936" t="s">
        <v>456</v>
      </c>
      <c r="B1" s="936"/>
      <c r="C1" s="936"/>
      <c r="D1" s="936"/>
      <c r="E1" s="936"/>
      <c r="F1" s="936"/>
      <c r="G1" s="936"/>
      <c r="H1" s="936"/>
      <c r="I1" s="936"/>
      <c r="J1" s="936"/>
      <c r="K1" s="936"/>
      <c r="L1" s="936"/>
      <c r="M1" s="936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682</v>
      </c>
      <c r="CG3" s="656"/>
    </row>
    <row r="4" spans="1:85">
      <c r="A4" s="661"/>
      <c r="CG4" s="656"/>
    </row>
    <row r="5" spans="1:85">
      <c r="A5" s="661"/>
      <c r="E5" s="663" t="s">
        <v>457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63"/>
      <c r="F65" s="663"/>
      <c r="G65" s="663"/>
      <c r="H65" s="663"/>
      <c r="I65" s="663"/>
      <c r="J65" s="663"/>
      <c r="K65" s="663"/>
      <c r="L65" s="663"/>
      <c r="M65" s="663"/>
      <c r="N65" s="663"/>
      <c r="O65" s="663"/>
      <c r="P65" s="663"/>
      <c r="Q65" s="663"/>
      <c r="R65" s="663"/>
      <c r="S65" s="663"/>
      <c r="T65" s="663"/>
      <c r="U65" s="663"/>
      <c r="V65" s="663"/>
      <c r="W65" s="663"/>
      <c r="X65" s="663"/>
      <c r="Y65" s="663"/>
      <c r="Z65" s="663"/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CG65" s="656"/>
    </row>
    <row r="66" spans="1:85">
      <c r="A66" s="661"/>
      <c r="E66" s="663"/>
      <c r="F66" s="663"/>
      <c r="G66" s="663"/>
      <c r="H66" s="663"/>
      <c r="I66" s="663"/>
      <c r="J66" s="663"/>
      <c r="K66" s="663"/>
      <c r="L66" s="663"/>
      <c r="M66" s="663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3"/>
      <c r="AC66" s="663"/>
      <c r="AD66" s="663"/>
      <c r="AE66" s="663"/>
      <c r="AF66" s="663"/>
      <c r="AG66" s="663"/>
      <c r="AH66" s="663"/>
      <c r="AI66" s="663"/>
      <c r="AJ66" s="663"/>
      <c r="AK66" s="663"/>
      <c r="AL66" s="663"/>
      <c r="AM66" s="663"/>
      <c r="AN66" s="663"/>
      <c r="AO66" s="663"/>
      <c r="AP66" s="663"/>
      <c r="AQ66" s="663"/>
      <c r="AR66" s="663"/>
      <c r="AS66" s="663"/>
      <c r="AT66" s="663"/>
      <c r="AU66" s="663"/>
      <c r="CG66" s="656"/>
    </row>
    <row r="67" spans="1:85">
      <c r="A67" s="661"/>
      <c r="E67" s="663"/>
      <c r="F67" s="663"/>
      <c r="G67" s="663"/>
      <c r="H67" s="663"/>
      <c r="I67" s="663"/>
      <c r="J67" s="663"/>
      <c r="K67" s="663"/>
      <c r="L67" s="663"/>
      <c r="M67" s="663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3"/>
      <c r="AC67" s="663"/>
      <c r="AD67" s="663"/>
      <c r="AE67" s="663"/>
      <c r="AF67" s="663"/>
      <c r="AG67" s="663"/>
      <c r="AH67" s="663"/>
      <c r="AI67" s="663"/>
      <c r="AJ67" s="663"/>
      <c r="AK67" s="663"/>
      <c r="AL67" s="663"/>
      <c r="AM67" s="663"/>
      <c r="AN67" s="663"/>
      <c r="AO67" s="663"/>
      <c r="AP67" s="663"/>
      <c r="AQ67" s="663"/>
      <c r="AR67" s="663"/>
      <c r="AS67" s="663"/>
      <c r="AT67" s="663"/>
      <c r="AU67" s="663"/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663"/>
      <c r="G69" s="663"/>
      <c r="H69" s="663"/>
      <c r="I69" s="663"/>
      <c r="J69" s="663"/>
      <c r="K69" s="663"/>
      <c r="L69" s="663"/>
      <c r="M69" s="663"/>
      <c r="N69" s="663"/>
      <c r="O69" s="663"/>
      <c r="P69" s="663"/>
      <c r="Q69" s="663"/>
      <c r="R69" s="663"/>
      <c r="S69" s="663"/>
      <c r="T69" s="663"/>
      <c r="U69" s="663"/>
      <c r="V69" s="663"/>
      <c r="W69" s="663"/>
      <c r="X69" s="663"/>
      <c r="Y69" s="663"/>
      <c r="Z69" s="663"/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CG69" s="656"/>
    </row>
    <row r="70" spans="1:85">
      <c r="A70" s="661"/>
      <c r="E70" s="663"/>
      <c r="F70" s="663"/>
      <c r="G70" s="663"/>
      <c r="H70" s="663"/>
      <c r="I70" s="663"/>
      <c r="J70" s="663"/>
      <c r="K70" s="663"/>
      <c r="L70" s="663"/>
      <c r="M70" s="663"/>
      <c r="N70" s="663"/>
      <c r="O70" s="663"/>
      <c r="P70" s="663"/>
      <c r="Q70" s="663"/>
      <c r="R70" s="663"/>
      <c r="S70" s="663"/>
      <c r="T70" s="663"/>
      <c r="U70" s="663"/>
      <c r="V70" s="663"/>
      <c r="W70" s="663"/>
      <c r="X70" s="663"/>
      <c r="Y70" s="663"/>
      <c r="Z70" s="663"/>
      <c r="AA70" s="663"/>
      <c r="AB70" s="663"/>
      <c r="AC70" s="663"/>
      <c r="AD70" s="663"/>
      <c r="AE70" s="663"/>
      <c r="AF70" s="663"/>
      <c r="AG70" s="663"/>
      <c r="AH70" s="663"/>
      <c r="AI70" s="663"/>
      <c r="AJ70" s="663"/>
      <c r="AK70" s="663"/>
      <c r="AL70" s="663"/>
      <c r="AM70" s="663"/>
      <c r="AN70" s="663"/>
      <c r="AO70" s="663"/>
      <c r="AP70" s="663"/>
      <c r="AQ70" s="663"/>
      <c r="AR70" s="663"/>
      <c r="AS70" s="663"/>
      <c r="AT70" s="663"/>
      <c r="AU70" s="663"/>
      <c r="CG70" s="656"/>
    </row>
    <row r="71" spans="1:85">
      <c r="A71" s="661"/>
      <c r="E71" s="663"/>
      <c r="F71" s="663"/>
      <c r="G71" s="663"/>
      <c r="H71" s="663"/>
      <c r="I71" s="663"/>
      <c r="J71" s="663"/>
      <c r="K71" s="663"/>
      <c r="L71" s="663"/>
      <c r="M71" s="663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3"/>
      <c r="AC71" s="663"/>
      <c r="AD71" s="663"/>
      <c r="AE71" s="663"/>
      <c r="AF71" s="663"/>
      <c r="AG71" s="663"/>
      <c r="AH71" s="663"/>
      <c r="AI71" s="663"/>
      <c r="AJ71" s="663"/>
      <c r="AK71" s="663"/>
      <c r="AL71" s="663"/>
      <c r="AM71" s="663"/>
      <c r="AN71" s="663"/>
      <c r="AO71" s="663"/>
      <c r="AP71" s="663"/>
      <c r="AQ71" s="663"/>
      <c r="AR71" s="663"/>
      <c r="AS71" s="663"/>
      <c r="AT71" s="663"/>
      <c r="AU71" s="663"/>
      <c r="CG71" s="656"/>
    </row>
    <row r="72" spans="1:85">
      <c r="A72" s="661"/>
      <c r="E72" s="663"/>
      <c r="F72" s="663"/>
      <c r="G72" s="663"/>
      <c r="H72" s="663"/>
      <c r="I72" s="663"/>
      <c r="J72" s="663"/>
      <c r="K72" s="663"/>
      <c r="L72" s="663"/>
      <c r="M72" s="663"/>
      <c r="N72" s="663"/>
      <c r="O72" s="663"/>
      <c r="P72" s="663"/>
      <c r="Q72" s="663"/>
      <c r="R72" s="663"/>
      <c r="S72" s="663"/>
      <c r="T72" s="663"/>
      <c r="U72" s="663"/>
      <c r="V72" s="663"/>
      <c r="W72" s="663"/>
      <c r="X72" s="663"/>
      <c r="Y72" s="663"/>
      <c r="Z72" s="663"/>
      <c r="AA72" s="663"/>
      <c r="AB72" s="663"/>
      <c r="AC72" s="663"/>
      <c r="AD72" s="663"/>
      <c r="AE72" s="663"/>
      <c r="AF72" s="663"/>
      <c r="AG72" s="663"/>
      <c r="AH72" s="663"/>
      <c r="AI72" s="663"/>
      <c r="AJ72" s="663"/>
      <c r="AK72" s="663"/>
      <c r="AL72" s="663"/>
      <c r="AM72" s="663"/>
      <c r="AN72" s="663"/>
      <c r="AO72" s="663"/>
      <c r="AP72" s="663"/>
      <c r="AQ72" s="663"/>
      <c r="AR72" s="663"/>
      <c r="AS72" s="663"/>
      <c r="AT72" s="663"/>
      <c r="AU72" s="663"/>
      <c r="CG72" s="656"/>
    </row>
    <row r="73" spans="1:85">
      <c r="A73" s="661"/>
      <c r="E73" s="663"/>
      <c r="F73" s="663"/>
      <c r="G73" s="663"/>
      <c r="H73" s="663"/>
      <c r="I73" s="663"/>
      <c r="J73" s="663"/>
      <c r="K73" s="663"/>
      <c r="L73" s="663"/>
      <c r="M73" s="663"/>
      <c r="N73" s="663"/>
      <c r="O73" s="663"/>
      <c r="P73" s="663"/>
      <c r="Q73" s="663"/>
      <c r="R73" s="663"/>
      <c r="S73" s="663"/>
      <c r="T73" s="663"/>
      <c r="U73" s="663"/>
      <c r="V73" s="663"/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CG73" s="656"/>
    </row>
    <row r="74" spans="1:85">
      <c r="A74" s="661"/>
      <c r="E74" s="663"/>
      <c r="F74" s="663"/>
      <c r="G74" s="663"/>
      <c r="H74" s="663"/>
      <c r="I74" s="663"/>
      <c r="J74" s="663"/>
      <c r="K74" s="663"/>
      <c r="L74" s="663"/>
      <c r="M74" s="663"/>
      <c r="N74" s="663"/>
      <c r="O74" s="663"/>
      <c r="P74" s="663"/>
      <c r="Q74" s="663"/>
      <c r="R74" s="663"/>
      <c r="S74" s="663"/>
      <c r="T74" s="663"/>
      <c r="U74" s="663"/>
      <c r="V74" s="663"/>
      <c r="W74" s="663"/>
      <c r="X74" s="663"/>
      <c r="Y74" s="663"/>
      <c r="Z74" s="663"/>
      <c r="AA74" s="663"/>
      <c r="AB74" s="663"/>
      <c r="AC74" s="663"/>
      <c r="AD74" s="663"/>
      <c r="AE74" s="663"/>
      <c r="AF74" s="663"/>
      <c r="AG74" s="663"/>
      <c r="AH74" s="663"/>
      <c r="AI74" s="663"/>
      <c r="AJ74" s="663"/>
      <c r="AK74" s="663"/>
      <c r="AL74" s="663"/>
      <c r="AM74" s="663"/>
      <c r="AN74" s="663"/>
      <c r="AO74" s="663"/>
      <c r="AP74" s="663"/>
      <c r="AQ74" s="663"/>
      <c r="AR74" s="663"/>
      <c r="AS74" s="663"/>
      <c r="AT74" s="663"/>
      <c r="AU74" s="663"/>
      <c r="CG74" s="656"/>
    </row>
    <row r="75" spans="1:85">
      <c r="A75" s="661"/>
      <c r="E75" s="663"/>
      <c r="F75" s="663"/>
      <c r="G75" s="663"/>
      <c r="H75" s="663"/>
      <c r="I75" s="663"/>
      <c r="J75" s="663"/>
      <c r="K75" s="663"/>
      <c r="L75" s="663"/>
      <c r="M75" s="663"/>
      <c r="N75" s="663"/>
      <c r="O75" s="663"/>
      <c r="P75" s="663"/>
      <c r="Q75" s="663"/>
      <c r="R75" s="663"/>
      <c r="S75" s="663"/>
      <c r="T75" s="663"/>
      <c r="U75" s="663"/>
      <c r="V75" s="663"/>
      <c r="W75" s="663"/>
      <c r="X75" s="663"/>
      <c r="Y75" s="663"/>
      <c r="Z75" s="663"/>
      <c r="AA75" s="663"/>
      <c r="AB75" s="663"/>
      <c r="AC75" s="663"/>
      <c r="AD75" s="663"/>
      <c r="AE75" s="663"/>
      <c r="AF75" s="663"/>
      <c r="AG75" s="663"/>
      <c r="AH75" s="663"/>
      <c r="AI75" s="663"/>
      <c r="AJ75" s="663"/>
      <c r="AK75" s="663"/>
      <c r="AL75" s="663"/>
      <c r="AM75" s="663"/>
      <c r="AN75" s="663"/>
      <c r="AO75" s="663"/>
      <c r="AP75" s="663"/>
      <c r="AQ75" s="663"/>
      <c r="AR75" s="663"/>
      <c r="AS75" s="663"/>
      <c r="AT75" s="663"/>
      <c r="AU75" s="663"/>
      <c r="CG75" s="656"/>
    </row>
    <row r="76" spans="1:85">
      <c r="A76" s="661"/>
      <c r="E76" s="663"/>
      <c r="F76" s="663"/>
      <c r="G76" s="663"/>
      <c r="H76" s="663"/>
      <c r="I76" s="663"/>
      <c r="J76" s="663"/>
      <c r="K76" s="663"/>
      <c r="L76" s="663"/>
      <c r="M76" s="663"/>
      <c r="N76" s="663"/>
      <c r="O76" s="663"/>
      <c r="P76" s="663"/>
      <c r="Q76" s="663"/>
      <c r="R76" s="663"/>
      <c r="S76" s="663"/>
      <c r="T76" s="663"/>
      <c r="U76" s="663"/>
      <c r="V76" s="663"/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3"/>
      <c r="AH76" s="663"/>
      <c r="AI76" s="663"/>
      <c r="AJ76" s="663"/>
      <c r="AK76" s="663"/>
      <c r="AL76" s="663"/>
      <c r="AM76" s="663"/>
      <c r="AN76" s="663"/>
      <c r="AO76" s="663"/>
      <c r="AP76" s="663"/>
      <c r="AQ76" s="663"/>
      <c r="AR76" s="663"/>
      <c r="AS76" s="663"/>
      <c r="AT76" s="663"/>
      <c r="AU76" s="663"/>
      <c r="CG76" s="656"/>
    </row>
    <row r="77" spans="1:85">
      <c r="A77" s="661"/>
      <c r="E77" s="663"/>
      <c r="F77" s="663"/>
      <c r="G77" s="663"/>
      <c r="H77" s="663"/>
      <c r="I77" s="663"/>
      <c r="J77" s="663"/>
      <c r="K77" s="663"/>
      <c r="L77" s="663"/>
      <c r="M77" s="663"/>
      <c r="N77" s="663"/>
      <c r="O77" s="663"/>
      <c r="P77" s="663"/>
      <c r="Q77" s="663"/>
      <c r="R77" s="663"/>
      <c r="S77" s="663"/>
      <c r="T77" s="663"/>
      <c r="U77" s="663"/>
      <c r="V77" s="663"/>
      <c r="W77" s="663"/>
      <c r="X77" s="663"/>
      <c r="Y77" s="663"/>
      <c r="Z77" s="663"/>
      <c r="AA77" s="663"/>
      <c r="AB77" s="663"/>
      <c r="AC77" s="663"/>
      <c r="AD77" s="663"/>
      <c r="AE77" s="663"/>
      <c r="AF77" s="663"/>
      <c r="AG77" s="663"/>
      <c r="AH77" s="663"/>
      <c r="AI77" s="663"/>
      <c r="AJ77" s="663"/>
      <c r="AK77" s="663"/>
      <c r="AL77" s="663"/>
      <c r="AM77" s="663"/>
      <c r="AN77" s="663"/>
      <c r="AO77" s="663"/>
      <c r="AP77" s="663"/>
      <c r="AQ77" s="663"/>
      <c r="AR77" s="663"/>
      <c r="AS77" s="663"/>
      <c r="AT77" s="663"/>
      <c r="AU77" s="663"/>
      <c r="CG77" s="656"/>
    </row>
    <row r="78" spans="1:85">
      <c r="A78" s="661"/>
      <c r="E78" s="663"/>
      <c r="F78" s="663"/>
      <c r="G78" s="663"/>
      <c r="H78" s="663"/>
      <c r="I78" s="663"/>
      <c r="J78" s="663"/>
      <c r="K78" s="663"/>
      <c r="L78" s="663"/>
      <c r="M78" s="663"/>
      <c r="N78" s="663"/>
      <c r="O78" s="663"/>
      <c r="P78" s="663"/>
      <c r="Q78" s="663"/>
      <c r="R78" s="663"/>
      <c r="S78" s="663"/>
      <c r="T78" s="663"/>
      <c r="U78" s="663"/>
      <c r="V78" s="663"/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CG78" s="656"/>
    </row>
    <row r="79" spans="1:85">
      <c r="A79" s="661"/>
      <c r="E79" s="663"/>
      <c r="F79" s="663"/>
      <c r="G79" s="663"/>
      <c r="H79" s="663"/>
      <c r="I79" s="663"/>
      <c r="J79" s="663"/>
      <c r="K79" s="663"/>
      <c r="L79" s="663"/>
      <c r="M79" s="663"/>
      <c r="N79" s="663"/>
      <c r="O79" s="663"/>
      <c r="P79" s="663"/>
      <c r="Q79" s="663"/>
      <c r="R79" s="663"/>
      <c r="S79" s="663"/>
      <c r="T79" s="663"/>
      <c r="U79" s="663"/>
      <c r="V79" s="663"/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3"/>
      <c r="AH79" s="663"/>
      <c r="AI79" s="663"/>
      <c r="AJ79" s="663"/>
      <c r="AK79" s="663"/>
      <c r="AL79" s="663"/>
      <c r="AM79" s="663"/>
      <c r="AN79" s="663"/>
      <c r="AO79" s="663"/>
      <c r="AP79" s="663"/>
      <c r="AQ79" s="663"/>
      <c r="AR79" s="663"/>
      <c r="AS79" s="663"/>
      <c r="AT79" s="663"/>
      <c r="AU79" s="663"/>
      <c r="CG79" s="656"/>
    </row>
    <row r="80" spans="1:85">
      <c r="A80" s="661"/>
      <c r="E80" s="663"/>
      <c r="F80" s="663"/>
      <c r="G80" s="663"/>
      <c r="H80" s="663"/>
      <c r="I80" s="663"/>
      <c r="J80" s="663"/>
      <c r="K80" s="663"/>
      <c r="L80" s="663"/>
      <c r="M80" s="663"/>
      <c r="N80" s="663"/>
      <c r="O80" s="663"/>
      <c r="P80" s="663"/>
      <c r="Q80" s="663"/>
      <c r="R80" s="663"/>
      <c r="S80" s="663"/>
      <c r="T80" s="663"/>
      <c r="U80" s="663"/>
      <c r="V80" s="663"/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3"/>
      <c r="AH80" s="663"/>
      <c r="AI80" s="663"/>
      <c r="AJ80" s="663"/>
      <c r="AK80" s="663"/>
      <c r="AL80" s="663"/>
      <c r="AM80" s="663"/>
      <c r="AN80" s="663"/>
      <c r="AO80" s="663"/>
      <c r="AP80" s="663"/>
      <c r="AQ80" s="663"/>
      <c r="AR80" s="663"/>
      <c r="AS80" s="663"/>
      <c r="AT80" s="663"/>
      <c r="AU80" s="663"/>
      <c r="CG80" s="656"/>
    </row>
    <row r="81" spans="1:85">
      <c r="A81" s="661"/>
      <c r="E81" s="663"/>
      <c r="F81" s="663"/>
      <c r="G81" s="663"/>
      <c r="H81" s="663"/>
      <c r="I81" s="663"/>
      <c r="J81" s="663"/>
      <c r="K81" s="663"/>
      <c r="L81" s="663"/>
      <c r="M81" s="663"/>
      <c r="N81" s="663"/>
      <c r="O81" s="663"/>
      <c r="P81" s="663"/>
      <c r="Q81" s="663"/>
      <c r="R81" s="663"/>
      <c r="S81" s="663"/>
      <c r="T81" s="663"/>
      <c r="U81" s="663"/>
      <c r="V81" s="663"/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3"/>
      <c r="AI81" s="663"/>
      <c r="AJ81" s="663"/>
      <c r="AK81" s="663"/>
      <c r="AL81" s="663"/>
      <c r="AM81" s="663"/>
      <c r="AN81" s="663"/>
      <c r="AO81" s="663"/>
      <c r="AP81" s="663"/>
      <c r="AQ81" s="663"/>
      <c r="AR81" s="663"/>
      <c r="AS81" s="663"/>
      <c r="AT81" s="663"/>
      <c r="AU81" s="663"/>
      <c r="CG81" s="656"/>
    </row>
    <row r="82" spans="1:85">
      <c r="A82" s="661"/>
      <c r="E82" s="663"/>
      <c r="F82" s="663"/>
      <c r="G82" s="663"/>
      <c r="H82" s="663"/>
      <c r="I82" s="663"/>
      <c r="J82" s="663"/>
      <c r="K82" s="663"/>
      <c r="L82" s="663"/>
      <c r="M82" s="663"/>
      <c r="N82" s="663"/>
      <c r="O82" s="663"/>
      <c r="P82" s="663"/>
      <c r="Q82" s="663"/>
      <c r="R82" s="663"/>
      <c r="S82" s="663"/>
      <c r="T82" s="663"/>
      <c r="U82" s="663"/>
      <c r="V82" s="663"/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CG82" s="656"/>
    </row>
    <row r="83" spans="1:85">
      <c r="A83" s="661"/>
      <c r="E83" s="663"/>
      <c r="F83" s="663"/>
      <c r="G83" s="663"/>
      <c r="H83" s="663"/>
      <c r="I83" s="663"/>
      <c r="J83" s="663"/>
      <c r="K83" s="663"/>
      <c r="L83" s="663"/>
      <c r="M83" s="663"/>
      <c r="N83" s="663"/>
      <c r="O83" s="663"/>
      <c r="P83" s="663"/>
      <c r="Q83" s="663"/>
      <c r="R83" s="663"/>
      <c r="S83" s="663"/>
      <c r="T83" s="663"/>
      <c r="U83" s="663"/>
      <c r="V83" s="663"/>
      <c r="W83" s="663"/>
      <c r="X83" s="663"/>
      <c r="Y83" s="663"/>
      <c r="Z83" s="663"/>
      <c r="AA83" s="663"/>
      <c r="AB83" s="663"/>
      <c r="AC83" s="663"/>
      <c r="AD83" s="663"/>
      <c r="AE83" s="663"/>
      <c r="AF83" s="663"/>
      <c r="AG83" s="663"/>
      <c r="AH83" s="663"/>
      <c r="AI83" s="663"/>
      <c r="AJ83" s="663"/>
      <c r="AK83" s="663"/>
      <c r="AL83" s="663"/>
      <c r="AM83" s="663"/>
      <c r="AN83" s="663"/>
      <c r="AO83" s="663"/>
      <c r="AP83" s="663"/>
      <c r="AQ83" s="663"/>
      <c r="AR83" s="663"/>
      <c r="AS83" s="663"/>
      <c r="AT83" s="663"/>
      <c r="AU83" s="663"/>
      <c r="CG83" s="656"/>
    </row>
    <row r="84" spans="1:85">
      <c r="A84" s="661"/>
      <c r="E84" s="663"/>
      <c r="F84" s="663"/>
      <c r="G84" s="663"/>
      <c r="H84" s="663"/>
      <c r="I84" s="663"/>
      <c r="J84" s="663"/>
      <c r="K84" s="663"/>
      <c r="L84" s="663"/>
      <c r="M84" s="663"/>
      <c r="N84" s="663"/>
      <c r="O84" s="663"/>
      <c r="P84" s="663"/>
      <c r="Q84" s="663"/>
      <c r="R84" s="663"/>
      <c r="S84" s="663"/>
      <c r="T84" s="663"/>
      <c r="U84" s="663"/>
      <c r="V84" s="663"/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3"/>
      <c r="AJ84" s="663"/>
      <c r="AK84" s="663"/>
      <c r="AL84" s="663"/>
      <c r="AM84" s="663"/>
      <c r="AN84" s="663"/>
      <c r="AO84" s="663"/>
      <c r="AP84" s="663"/>
      <c r="AQ84" s="663"/>
      <c r="AR84" s="663"/>
      <c r="AS84" s="663"/>
      <c r="AT84" s="663"/>
      <c r="AU84" s="663"/>
      <c r="CG84" s="656"/>
    </row>
    <row r="85" spans="1:85">
      <c r="A85" s="661"/>
      <c r="E85" s="663"/>
      <c r="F85" s="663"/>
      <c r="G85" s="663"/>
      <c r="H85" s="663"/>
      <c r="I85" s="663"/>
      <c r="J85" s="663"/>
      <c r="K85" s="663"/>
      <c r="L85" s="663"/>
      <c r="M85" s="663"/>
      <c r="N85" s="663"/>
      <c r="O85" s="663"/>
      <c r="P85" s="663"/>
      <c r="Q85" s="663"/>
      <c r="R85" s="663"/>
      <c r="S85" s="663"/>
      <c r="T85" s="663"/>
      <c r="U85" s="663"/>
      <c r="V85" s="663"/>
      <c r="W85" s="663"/>
      <c r="X85" s="663"/>
      <c r="Y85" s="663"/>
      <c r="Z85" s="663"/>
      <c r="AA85" s="663"/>
      <c r="AB85" s="663"/>
      <c r="AC85" s="663"/>
      <c r="AD85" s="663"/>
      <c r="AE85" s="663"/>
      <c r="AF85" s="663"/>
      <c r="AG85" s="663"/>
      <c r="AH85" s="663"/>
      <c r="AI85" s="663"/>
      <c r="AJ85" s="663"/>
      <c r="AK85" s="663"/>
      <c r="AL85" s="663"/>
      <c r="AM85" s="663"/>
      <c r="AN85" s="663"/>
      <c r="AO85" s="663"/>
      <c r="AP85" s="663"/>
      <c r="AQ85" s="663"/>
      <c r="AR85" s="663"/>
      <c r="AS85" s="663"/>
      <c r="AT85" s="663"/>
      <c r="AU85" s="663"/>
      <c r="CG85" s="656"/>
    </row>
    <row r="86" spans="1:85">
      <c r="A86" s="661"/>
      <c r="E86" s="663"/>
      <c r="F86" s="663"/>
      <c r="G86" s="663"/>
      <c r="H86" s="663"/>
      <c r="I86" s="663"/>
      <c r="J86" s="663"/>
      <c r="K86" s="663"/>
      <c r="L86" s="663"/>
      <c r="M86" s="663"/>
      <c r="N86" s="663"/>
      <c r="O86" s="663"/>
      <c r="P86" s="663"/>
      <c r="Q86" s="663"/>
      <c r="R86" s="663"/>
      <c r="S86" s="663"/>
      <c r="T86" s="663"/>
      <c r="U86" s="663"/>
      <c r="V86" s="663"/>
      <c r="W86" s="663"/>
      <c r="X86" s="663"/>
      <c r="Y86" s="663"/>
      <c r="Z86" s="663"/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CG86" s="656"/>
    </row>
    <row r="87" spans="1:85">
      <c r="A87" s="661"/>
      <c r="E87" s="663"/>
      <c r="F87" s="663"/>
      <c r="G87" s="663"/>
      <c r="H87" s="663"/>
      <c r="I87" s="663"/>
      <c r="J87" s="663"/>
      <c r="K87" s="663"/>
      <c r="L87" s="663"/>
      <c r="M87" s="663"/>
      <c r="N87" s="663"/>
      <c r="O87" s="663"/>
      <c r="P87" s="663"/>
      <c r="Q87" s="663"/>
      <c r="R87" s="663"/>
      <c r="S87" s="663"/>
      <c r="T87" s="663"/>
      <c r="U87" s="663"/>
      <c r="V87" s="663"/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3"/>
      <c r="G88" s="663"/>
      <c r="H88" s="663"/>
      <c r="I88" s="663"/>
      <c r="J88" s="663"/>
      <c r="K88" s="663"/>
      <c r="L88" s="663"/>
      <c r="M88" s="663"/>
      <c r="N88" s="663"/>
      <c r="O88" s="663"/>
      <c r="P88" s="663"/>
      <c r="Q88" s="663"/>
      <c r="R88" s="663"/>
      <c r="S88" s="663"/>
      <c r="T88" s="663"/>
      <c r="U88" s="663"/>
      <c r="V88" s="663"/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S88" s="663"/>
      <c r="AT88" s="663"/>
      <c r="AU88" s="663"/>
      <c r="CG88" s="656"/>
    </row>
    <row r="89" spans="1:85">
      <c r="A89" s="661"/>
      <c r="E89" s="663"/>
      <c r="F89" s="663"/>
      <c r="G89" s="663"/>
      <c r="H89" s="663"/>
      <c r="I89" s="663"/>
      <c r="J89" s="663"/>
      <c r="K89" s="663"/>
      <c r="L89" s="663"/>
      <c r="M89" s="663"/>
      <c r="N89" s="663"/>
      <c r="O89" s="663"/>
      <c r="P89" s="663"/>
      <c r="Q89" s="663"/>
      <c r="R89" s="663"/>
      <c r="S89" s="663"/>
      <c r="T89" s="663"/>
      <c r="U89" s="663"/>
      <c r="V89" s="663"/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3"/>
      <c r="AJ89" s="663"/>
      <c r="AK89" s="663"/>
      <c r="AL89" s="663"/>
      <c r="AM89" s="663"/>
      <c r="AN89" s="663"/>
      <c r="AO89" s="663"/>
      <c r="AP89" s="663"/>
      <c r="AQ89" s="663"/>
      <c r="AR89" s="663"/>
      <c r="AS89" s="663"/>
      <c r="AT89" s="663"/>
      <c r="AU89" s="663"/>
      <c r="CG89" s="656"/>
    </row>
    <row r="90" spans="1:85">
      <c r="A90" s="661"/>
      <c r="E90" s="663"/>
      <c r="F90" s="663"/>
      <c r="G90" s="663"/>
      <c r="H90" s="663"/>
      <c r="I90" s="663"/>
      <c r="J90" s="663"/>
      <c r="K90" s="663"/>
      <c r="L90" s="663"/>
      <c r="M90" s="663"/>
      <c r="N90" s="663"/>
      <c r="O90" s="663"/>
      <c r="P90" s="663"/>
      <c r="Q90" s="663"/>
      <c r="R90" s="663"/>
      <c r="S90" s="663"/>
      <c r="T90" s="663"/>
      <c r="U90" s="663"/>
      <c r="V90" s="663"/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CG90" s="656"/>
    </row>
    <row r="91" spans="1:85">
      <c r="A91" s="661"/>
      <c r="E91" s="663"/>
      <c r="F91" s="663"/>
      <c r="G91" s="663"/>
      <c r="H91" s="663"/>
      <c r="I91" s="663"/>
      <c r="J91" s="663"/>
      <c r="K91" s="663"/>
      <c r="L91" s="663"/>
      <c r="M91" s="663"/>
      <c r="N91" s="663"/>
      <c r="O91" s="663"/>
      <c r="P91" s="663"/>
      <c r="Q91" s="663"/>
      <c r="R91" s="663"/>
      <c r="S91" s="663"/>
      <c r="T91" s="663"/>
      <c r="U91" s="663"/>
      <c r="V91" s="663"/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3"/>
      <c r="AI91" s="663"/>
      <c r="AJ91" s="663"/>
      <c r="AK91" s="663"/>
      <c r="AL91" s="663"/>
      <c r="AM91" s="663"/>
      <c r="AN91" s="663"/>
      <c r="AO91" s="663"/>
      <c r="AP91" s="663"/>
      <c r="AQ91" s="663"/>
      <c r="AR91" s="663"/>
      <c r="AS91" s="663"/>
      <c r="AT91" s="663"/>
      <c r="AU91" s="663"/>
      <c r="CG91" s="656"/>
    </row>
    <row r="92" spans="1:85">
      <c r="A92" s="661"/>
      <c r="E92" s="657" t="s">
        <v>683</v>
      </c>
      <c r="I92" s="657" t="s">
        <v>458</v>
      </c>
      <c r="CG92" s="656"/>
    </row>
    <row r="93" spans="1:85">
      <c r="A93" s="661"/>
      <c r="CG93" s="656"/>
    </row>
    <row r="94" spans="1:85">
      <c r="A94" s="661"/>
      <c r="E94" s="657" t="s">
        <v>684</v>
      </c>
      <c r="F94" s="663"/>
      <c r="G94" s="663"/>
      <c r="I94" s="663" t="s">
        <v>459</v>
      </c>
      <c r="CG94" s="656"/>
    </row>
    <row r="95" spans="1:85">
      <c r="A95" s="661"/>
      <c r="E95" s="663"/>
      <c r="F95" s="663"/>
      <c r="G95" s="663"/>
      <c r="H95" s="663"/>
      <c r="I95" s="663"/>
      <c r="J95" s="663"/>
      <c r="K95" s="663"/>
      <c r="L95" s="663"/>
      <c r="M95" s="663"/>
      <c r="N95" s="663"/>
      <c r="O95" s="663"/>
      <c r="P95" s="663"/>
      <c r="Q95" s="663"/>
      <c r="R95" s="663"/>
      <c r="S95" s="663"/>
      <c r="T95" s="663"/>
      <c r="U95" s="663"/>
      <c r="V95" s="663"/>
      <c r="W95" s="663"/>
      <c r="X95" s="663"/>
      <c r="Y95" s="663"/>
      <c r="Z95" s="663"/>
      <c r="AA95" s="663"/>
      <c r="AB95" s="663"/>
      <c r="AC95" s="663"/>
      <c r="AD95" s="663"/>
      <c r="AE95" s="663"/>
      <c r="AF95" s="663"/>
      <c r="AG95" s="663"/>
      <c r="AH95" s="663"/>
      <c r="AI95" s="663"/>
      <c r="AJ95" s="663"/>
      <c r="AK95" s="663"/>
      <c r="AL95" s="663"/>
      <c r="AM95" s="663"/>
      <c r="AN95" s="663"/>
      <c r="AO95" s="663"/>
      <c r="AP95" s="663"/>
      <c r="AQ95" s="663"/>
      <c r="AR95" s="663"/>
      <c r="AS95" s="663"/>
      <c r="AT95" s="663"/>
      <c r="AU95" s="663"/>
      <c r="CG95" s="656"/>
    </row>
    <row r="96" spans="1:85">
      <c r="A96" s="661"/>
      <c r="E96" s="663"/>
      <c r="F96" s="880" t="s">
        <v>629</v>
      </c>
      <c r="G96" s="881"/>
      <c r="H96" s="881"/>
      <c r="I96" s="881"/>
      <c r="J96" s="881"/>
      <c r="K96" s="881"/>
      <c r="L96" s="881"/>
      <c r="M96" s="881"/>
      <c r="N96" s="882"/>
      <c r="O96" s="937" t="s">
        <v>630</v>
      </c>
      <c r="P96" s="899"/>
      <c r="Q96" s="899"/>
      <c r="R96" s="899"/>
      <c r="S96" s="899"/>
      <c r="T96" s="899"/>
      <c r="U96" s="899"/>
      <c r="V96" s="899"/>
      <c r="W96" s="899"/>
      <c r="X96" s="899"/>
      <c r="Y96" s="899"/>
      <c r="Z96" s="89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900"/>
      <c r="CG96" s="656"/>
    </row>
    <row r="97" spans="1:85">
      <c r="A97" s="661"/>
      <c r="E97" s="663"/>
      <c r="F97" s="938" t="s">
        <v>460</v>
      </c>
      <c r="G97" s="939"/>
      <c r="H97" s="939"/>
      <c r="I97" s="939"/>
      <c r="J97" s="939"/>
      <c r="K97" s="939"/>
      <c r="L97" s="939"/>
      <c r="M97" s="939"/>
      <c r="N97" s="940"/>
      <c r="O97" s="944" t="s">
        <v>631</v>
      </c>
      <c r="P97" s="945"/>
      <c r="Q97" s="945"/>
      <c r="R97" s="945"/>
      <c r="S97" s="945"/>
      <c r="T97" s="945"/>
      <c r="U97" s="945"/>
      <c r="V97" s="945"/>
      <c r="W97" s="945"/>
      <c r="X97" s="945"/>
      <c r="Y97" s="945"/>
      <c r="Z97" s="945"/>
      <c r="AA97" s="945"/>
      <c r="AB97" s="945"/>
      <c r="AC97" s="945"/>
      <c r="AD97" s="945"/>
      <c r="AE97" s="945"/>
      <c r="AF97" s="945"/>
      <c r="AG97" s="945"/>
      <c r="AH97" s="945"/>
      <c r="AI97" s="945"/>
      <c r="AJ97" s="945"/>
      <c r="AK97" s="945"/>
      <c r="AL97" s="945"/>
      <c r="AM97" s="945"/>
      <c r="AN97" s="945"/>
      <c r="AO97" s="945"/>
      <c r="AP97" s="945"/>
      <c r="AQ97" s="945"/>
      <c r="AR97" s="945"/>
      <c r="AS97" s="945"/>
      <c r="AT97" s="945"/>
      <c r="AU97" s="946"/>
      <c r="CG97" s="656"/>
    </row>
    <row r="98" spans="1:85">
      <c r="A98" s="661"/>
      <c r="E98" s="663"/>
      <c r="F98" s="941"/>
      <c r="G98" s="942"/>
      <c r="H98" s="942"/>
      <c r="I98" s="942"/>
      <c r="J98" s="942"/>
      <c r="K98" s="942"/>
      <c r="L98" s="942"/>
      <c r="M98" s="942"/>
      <c r="N98" s="943"/>
      <c r="O98" s="944" t="s">
        <v>632</v>
      </c>
      <c r="P98" s="945"/>
      <c r="Q98" s="945"/>
      <c r="R98" s="945"/>
      <c r="S98" s="945"/>
      <c r="T98" s="945"/>
      <c r="U98" s="945"/>
      <c r="V98" s="945"/>
      <c r="W98" s="945"/>
      <c r="X98" s="945"/>
      <c r="Y98" s="945"/>
      <c r="Z98" s="945"/>
      <c r="AA98" s="945"/>
      <c r="AB98" s="945"/>
      <c r="AC98" s="945"/>
      <c r="AD98" s="945"/>
      <c r="AE98" s="945"/>
      <c r="AF98" s="945"/>
      <c r="AG98" s="945"/>
      <c r="AH98" s="945"/>
      <c r="AI98" s="945"/>
      <c r="AJ98" s="945"/>
      <c r="AK98" s="945"/>
      <c r="AL98" s="945"/>
      <c r="AM98" s="945"/>
      <c r="AN98" s="945"/>
      <c r="AO98" s="945"/>
      <c r="AP98" s="945"/>
      <c r="AQ98" s="945"/>
      <c r="AR98" s="945"/>
      <c r="AS98" s="945"/>
      <c r="AT98" s="945"/>
      <c r="AU98" s="946"/>
      <c r="CG98" s="656"/>
    </row>
    <row r="99" spans="1:85">
      <c r="A99" s="661"/>
      <c r="E99" s="663"/>
      <c r="F99" s="664" t="s">
        <v>461</v>
      </c>
      <c r="G99" s="664"/>
      <c r="H99" s="664"/>
      <c r="I99" s="664"/>
      <c r="J99" s="664"/>
      <c r="K99" s="664"/>
      <c r="L99" s="664"/>
      <c r="M99" s="664"/>
      <c r="N99" s="664"/>
      <c r="O99" s="665"/>
      <c r="P99" s="665"/>
      <c r="Q99" s="665"/>
      <c r="R99" s="665"/>
      <c r="S99" s="665"/>
      <c r="T99" s="665"/>
      <c r="U99" s="665"/>
      <c r="V99" s="665"/>
      <c r="W99" s="665"/>
      <c r="X99" s="665"/>
      <c r="Y99" s="665"/>
      <c r="Z99" s="66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CG99" s="656"/>
    </row>
    <row r="100" spans="1:85">
      <c r="A100" s="661"/>
      <c r="E100" s="663"/>
      <c r="F100" s="664" t="s">
        <v>462</v>
      </c>
      <c r="G100" s="664"/>
      <c r="H100" s="664"/>
      <c r="I100" s="664"/>
      <c r="J100" s="664"/>
      <c r="K100" s="664"/>
      <c r="L100" s="664"/>
      <c r="M100" s="664"/>
      <c r="N100" s="664"/>
      <c r="O100" s="665"/>
      <c r="P100" s="665"/>
      <c r="Q100" s="665"/>
      <c r="R100" s="665"/>
      <c r="S100" s="665"/>
      <c r="T100" s="665"/>
      <c r="U100" s="665"/>
      <c r="V100" s="665"/>
      <c r="W100" s="665"/>
      <c r="X100" s="665"/>
      <c r="Y100" s="665"/>
      <c r="Z100" s="66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CG100" s="656"/>
    </row>
    <row r="101" spans="1:85">
      <c r="A101" s="661"/>
      <c r="E101" s="663"/>
      <c r="F101" s="664"/>
      <c r="G101" s="664"/>
      <c r="H101" s="664" t="s">
        <v>463</v>
      </c>
      <c r="I101" s="664"/>
      <c r="J101" s="664"/>
      <c r="K101" s="664"/>
      <c r="L101" s="664"/>
      <c r="M101" s="664"/>
      <c r="N101" s="664"/>
      <c r="O101" s="665"/>
      <c r="P101" s="665"/>
      <c r="Q101" s="665"/>
      <c r="R101" s="665"/>
      <c r="S101" s="665"/>
      <c r="T101" s="665"/>
      <c r="U101" s="665"/>
      <c r="V101" s="665"/>
      <c r="W101" s="665"/>
      <c r="X101" s="665"/>
      <c r="Y101" s="665"/>
      <c r="Z101" s="66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CG101" s="656"/>
    </row>
    <row r="102" spans="1:85">
      <c r="A102" s="661"/>
      <c r="E102" s="663"/>
      <c r="F102" s="664"/>
      <c r="G102" s="664"/>
      <c r="H102" s="664" t="s">
        <v>464</v>
      </c>
      <c r="I102" s="664"/>
      <c r="J102" s="664"/>
      <c r="K102" s="664"/>
      <c r="L102" s="664"/>
      <c r="M102" s="664"/>
      <c r="N102" s="664"/>
      <c r="O102" s="665"/>
      <c r="P102" s="665"/>
      <c r="Q102" s="665"/>
      <c r="R102" s="665"/>
      <c r="S102" s="665"/>
      <c r="T102" s="665"/>
      <c r="U102" s="665"/>
      <c r="V102" s="665"/>
      <c r="W102" s="665"/>
      <c r="X102" s="665"/>
      <c r="Y102" s="665"/>
      <c r="Z102" s="665"/>
      <c r="AA102" s="665"/>
      <c r="AB102" s="665"/>
      <c r="AC102" s="665"/>
      <c r="AD102" s="665"/>
      <c r="AE102" s="665"/>
      <c r="AF102" s="665"/>
      <c r="AG102" s="665"/>
      <c r="AH102" s="665"/>
      <c r="AI102" s="665"/>
      <c r="AJ102" s="665"/>
      <c r="AK102" s="665"/>
      <c r="AL102" s="665"/>
      <c r="AM102" s="665"/>
      <c r="AN102" s="665"/>
      <c r="AO102" s="665"/>
      <c r="AP102" s="665"/>
      <c r="AQ102" s="665"/>
      <c r="AR102" s="665"/>
      <c r="AS102" s="665"/>
      <c r="AT102" s="665"/>
      <c r="AU102" s="665"/>
      <c r="CG102" s="656"/>
    </row>
    <row r="103" spans="1:85">
      <c r="A103" s="661"/>
      <c r="E103" s="663"/>
      <c r="F103" s="664"/>
      <c r="G103" s="664"/>
      <c r="H103" s="664" t="s">
        <v>465</v>
      </c>
      <c r="I103" s="664"/>
      <c r="J103" s="664"/>
      <c r="K103" s="664"/>
      <c r="L103" s="664"/>
      <c r="M103" s="664"/>
      <c r="N103" s="664"/>
      <c r="O103" s="665"/>
      <c r="P103" s="665"/>
      <c r="Q103" s="665"/>
      <c r="R103" s="665"/>
      <c r="S103" s="665"/>
      <c r="T103" s="665"/>
      <c r="U103" s="665"/>
      <c r="V103" s="665"/>
      <c r="W103" s="665"/>
      <c r="X103" s="665"/>
      <c r="Y103" s="665"/>
      <c r="Z103" s="665"/>
      <c r="AA103" s="665"/>
      <c r="AB103" s="665"/>
      <c r="AC103" s="665"/>
      <c r="AD103" s="665"/>
      <c r="AE103" s="665"/>
      <c r="AF103" s="665"/>
      <c r="AG103" s="665"/>
      <c r="AH103" s="665"/>
      <c r="AI103" s="665"/>
      <c r="AJ103" s="665"/>
      <c r="AK103" s="665"/>
      <c r="AL103" s="665"/>
      <c r="AM103" s="665"/>
      <c r="AN103" s="665"/>
      <c r="AO103" s="665"/>
      <c r="AP103" s="665"/>
      <c r="AQ103" s="665"/>
      <c r="AR103" s="665"/>
      <c r="AS103" s="665"/>
      <c r="AT103" s="665"/>
      <c r="AU103" s="665"/>
      <c r="CG103" s="656"/>
    </row>
    <row r="104" spans="1:85">
      <c r="A104" s="661"/>
      <c r="E104" s="663"/>
      <c r="F104" s="664"/>
      <c r="G104" s="664"/>
      <c r="H104" s="664" t="s">
        <v>466</v>
      </c>
      <c r="I104" s="664"/>
      <c r="J104" s="664"/>
      <c r="K104" s="664"/>
      <c r="L104" s="664"/>
      <c r="M104" s="664"/>
      <c r="N104" s="664"/>
      <c r="O104" s="665"/>
      <c r="P104" s="665"/>
      <c r="Q104" s="665"/>
      <c r="R104" s="665"/>
      <c r="S104" s="665"/>
      <c r="T104" s="665"/>
      <c r="U104" s="665"/>
      <c r="V104" s="665"/>
      <c r="W104" s="665"/>
      <c r="X104" s="665"/>
      <c r="Y104" s="665"/>
      <c r="Z104" s="66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CG104" s="656"/>
    </row>
    <row r="105" spans="1:85">
      <c r="A105" s="661"/>
      <c r="E105" s="663"/>
      <c r="F105" s="664"/>
      <c r="G105" s="664"/>
      <c r="H105" s="664" t="s">
        <v>467</v>
      </c>
      <c r="I105" s="664"/>
      <c r="J105" s="664"/>
      <c r="K105" s="664"/>
      <c r="L105" s="664"/>
      <c r="M105" s="664"/>
      <c r="N105" s="664"/>
      <c r="O105" s="665"/>
      <c r="P105" s="665"/>
      <c r="Q105" s="665"/>
      <c r="R105" s="665"/>
      <c r="S105" s="665"/>
      <c r="T105" s="665"/>
      <c r="U105" s="665"/>
      <c r="V105" s="665"/>
      <c r="W105" s="665"/>
      <c r="X105" s="665"/>
      <c r="Y105" s="665"/>
      <c r="Z105" s="66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CG105" s="656"/>
    </row>
    <row r="106" spans="1:85">
      <c r="A106" s="661"/>
      <c r="E106" s="663"/>
      <c r="F106" s="664"/>
      <c r="G106" s="664"/>
      <c r="H106" s="664" t="s">
        <v>468</v>
      </c>
      <c r="I106" s="664"/>
      <c r="J106" s="664"/>
      <c r="K106" s="664"/>
      <c r="L106" s="664"/>
      <c r="M106" s="664"/>
      <c r="N106" s="664"/>
      <c r="O106" s="665"/>
      <c r="P106" s="665"/>
      <c r="Q106" s="665"/>
      <c r="R106" s="665"/>
      <c r="S106" s="665"/>
      <c r="T106" s="665"/>
      <c r="U106" s="665"/>
      <c r="V106" s="665"/>
      <c r="W106" s="665"/>
      <c r="X106" s="665"/>
      <c r="Y106" s="665"/>
      <c r="Z106" s="66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CG106" s="656"/>
    </row>
    <row r="107" spans="1:85">
      <c r="A107" s="661"/>
      <c r="E107" s="663"/>
      <c r="F107" s="664"/>
      <c r="G107" s="664"/>
      <c r="H107" s="664"/>
      <c r="I107" s="664"/>
      <c r="J107" s="664"/>
      <c r="K107" s="664"/>
      <c r="L107" s="664"/>
      <c r="M107" s="664"/>
      <c r="N107" s="664"/>
      <c r="O107" s="665"/>
      <c r="P107" s="665"/>
      <c r="Q107" s="665"/>
      <c r="R107" s="665"/>
      <c r="S107" s="665"/>
      <c r="T107" s="665"/>
      <c r="U107" s="665"/>
      <c r="V107" s="665"/>
      <c r="W107" s="665"/>
      <c r="X107" s="665"/>
      <c r="Y107" s="665"/>
      <c r="Z107" s="665"/>
      <c r="AA107" s="665"/>
      <c r="AB107" s="665"/>
      <c r="AC107" s="665"/>
      <c r="AD107" s="665"/>
      <c r="AE107" s="665"/>
      <c r="AF107" s="665"/>
      <c r="AG107" s="665"/>
      <c r="AH107" s="665"/>
      <c r="AI107" s="665"/>
      <c r="AJ107" s="665"/>
      <c r="AK107" s="665"/>
      <c r="AL107" s="665"/>
      <c r="AM107" s="665"/>
      <c r="AN107" s="665"/>
      <c r="AO107" s="665"/>
      <c r="AP107" s="665"/>
      <c r="AQ107" s="665"/>
      <c r="AR107" s="665"/>
      <c r="AS107" s="665"/>
      <c r="AT107" s="665"/>
      <c r="AU107" s="665"/>
      <c r="CG107" s="656"/>
    </row>
    <row r="108" spans="1:85">
      <c r="A108" s="661"/>
      <c r="E108" s="663"/>
      <c r="F108" s="663" t="s">
        <v>685</v>
      </c>
      <c r="G108" s="663"/>
      <c r="H108" s="663"/>
      <c r="I108" s="663"/>
      <c r="J108" s="663"/>
      <c r="K108" s="663"/>
      <c r="L108" s="663"/>
      <c r="M108" s="663"/>
      <c r="N108" s="663"/>
      <c r="O108" s="663"/>
      <c r="P108" s="663"/>
      <c r="Q108" s="663"/>
      <c r="R108" s="663"/>
      <c r="S108" s="663"/>
      <c r="T108" s="663"/>
      <c r="U108" s="663"/>
      <c r="V108" s="663"/>
      <c r="W108" s="663"/>
      <c r="X108" s="663"/>
      <c r="Y108" s="663"/>
      <c r="Z108" s="663"/>
      <c r="AA108" s="663"/>
      <c r="AB108" s="663"/>
      <c r="AC108" s="663"/>
      <c r="AD108" s="663"/>
      <c r="AE108" s="663"/>
      <c r="AF108" s="663"/>
      <c r="AG108" s="663"/>
      <c r="AH108" s="663"/>
      <c r="AI108" s="663"/>
      <c r="AJ108" s="663"/>
      <c r="AK108" s="663"/>
      <c r="AL108" s="663"/>
      <c r="AM108" s="663"/>
      <c r="AN108" s="663"/>
      <c r="AO108" s="663"/>
      <c r="AP108" s="663"/>
      <c r="AQ108" s="663"/>
      <c r="AR108" s="663"/>
      <c r="AS108" s="663"/>
      <c r="AT108" s="663"/>
      <c r="AU108" s="663"/>
      <c r="CG108" s="656"/>
    </row>
    <row r="109" spans="1:85">
      <c r="A109" s="661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  <c r="S109" s="663"/>
      <c r="T109" s="663"/>
      <c r="U109" s="663"/>
      <c r="V109" s="663"/>
      <c r="W109" s="663"/>
      <c r="X109" s="663"/>
      <c r="Y109" s="663"/>
      <c r="Z109" s="663"/>
      <c r="AA109" s="663"/>
      <c r="AB109" s="663"/>
      <c r="AC109" s="663"/>
      <c r="AD109" s="663"/>
      <c r="AE109" s="663"/>
      <c r="AF109" s="663"/>
      <c r="AG109" s="663"/>
      <c r="AH109" s="663"/>
      <c r="AI109" s="663"/>
      <c r="AJ109" s="663"/>
      <c r="AK109" s="663"/>
      <c r="AL109" s="663"/>
      <c r="AM109" s="663"/>
      <c r="AN109" s="663"/>
      <c r="AO109" s="663"/>
      <c r="AP109" s="663"/>
      <c r="AQ109" s="663"/>
      <c r="AR109" s="663"/>
      <c r="AS109" s="663"/>
      <c r="AT109" s="663"/>
      <c r="AU109" s="663"/>
      <c r="CG109" s="656"/>
    </row>
    <row r="110" spans="1:85">
      <c r="A110" s="661"/>
      <c r="E110" s="663"/>
      <c r="F110" s="666" t="s">
        <v>370</v>
      </c>
      <c r="G110" s="947" t="s">
        <v>371</v>
      </c>
      <c r="H110" s="948"/>
      <c r="I110" s="948"/>
      <c r="J110" s="948"/>
      <c r="K110" s="948"/>
      <c r="L110" s="948"/>
      <c r="M110" s="948"/>
      <c r="N110" s="949"/>
      <c r="O110" s="947" t="s">
        <v>469</v>
      </c>
      <c r="P110" s="948"/>
      <c r="Q110" s="948"/>
      <c r="R110" s="948"/>
      <c r="S110" s="948"/>
      <c r="T110" s="948"/>
      <c r="U110" s="948"/>
      <c r="V110" s="948"/>
      <c r="W110" s="948"/>
      <c r="X110" s="948"/>
      <c r="Y110" s="948"/>
      <c r="Z110" s="948"/>
      <c r="AA110" s="949"/>
      <c r="AB110" s="663"/>
      <c r="AC110" s="663"/>
      <c r="AD110" s="663"/>
      <c r="AE110" s="663"/>
      <c r="AF110" s="663"/>
      <c r="AG110" s="663"/>
      <c r="AH110" s="663"/>
      <c r="AI110" s="663"/>
      <c r="AJ110" s="663"/>
      <c r="AK110" s="663"/>
      <c r="AL110" s="663"/>
      <c r="AM110" s="663"/>
      <c r="AN110" s="663"/>
      <c r="AO110" s="663"/>
      <c r="AP110" s="663"/>
      <c r="AQ110" s="663"/>
      <c r="AR110" s="663"/>
      <c r="AU110" s="663"/>
      <c r="AW110" s="663"/>
      <c r="CG110" s="656"/>
    </row>
    <row r="111" spans="1:85">
      <c r="A111" s="661"/>
      <c r="E111" s="663"/>
      <c r="F111" s="667">
        <v>1</v>
      </c>
      <c r="G111" s="883" t="s">
        <v>372</v>
      </c>
      <c r="H111" s="884"/>
      <c r="I111" s="884"/>
      <c r="J111" s="884"/>
      <c r="K111" s="884"/>
      <c r="L111" s="884"/>
      <c r="M111" s="884"/>
      <c r="N111" s="885"/>
      <c r="O111" s="883" t="s">
        <v>374</v>
      </c>
      <c r="P111" s="884"/>
      <c r="Q111" s="884"/>
      <c r="R111" s="884"/>
      <c r="S111" s="884"/>
      <c r="T111" s="884"/>
      <c r="U111" s="884"/>
      <c r="V111" s="884"/>
      <c r="W111" s="884"/>
      <c r="X111" s="884"/>
      <c r="Y111" s="884"/>
      <c r="Z111" s="884"/>
      <c r="AA111" s="885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BB111" s="668"/>
      <c r="CG111" s="656"/>
    </row>
    <row r="112" spans="1:85">
      <c r="A112" s="661"/>
      <c r="E112" s="663"/>
      <c r="F112" s="667">
        <v>2</v>
      </c>
      <c r="G112" s="883" t="s">
        <v>470</v>
      </c>
      <c r="H112" s="884"/>
      <c r="I112" s="884"/>
      <c r="J112" s="884"/>
      <c r="K112" s="884"/>
      <c r="L112" s="884"/>
      <c r="M112" s="884"/>
      <c r="N112" s="885"/>
      <c r="O112" s="883" t="s">
        <v>471</v>
      </c>
      <c r="P112" s="884"/>
      <c r="Q112" s="884"/>
      <c r="R112" s="884"/>
      <c r="S112" s="884"/>
      <c r="T112" s="884"/>
      <c r="U112" s="884"/>
      <c r="V112" s="884"/>
      <c r="W112" s="884"/>
      <c r="X112" s="884"/>
      <c r="Y112" s="884"/>
      <c r="Z112" s="884"/>
      <c r="AA112" s="885"/>
      <c r="AB112" s="663"/>
      <c r="AC112" s="663"/>
      <c r="AD112" s="663"/>
      <c r="AE112" s="663"/>
      <c r="AF112" s="663"/>
      <c r="AG112" s="663"/>
      <c r="AH112" s="663"/>
      <c r="AI112" s="663"/>
      <c r="AJ112" s="663"/>
      <c r="AK112" s="663"/>
      <c r="AL112" s="663"/>
      <c r="AM112" s="663"/>
      <c r="AN112" s="663"/>
      <c r="AO112" s="663"/>
      <c r="AP112" s="663"/>
      <c r="AQ112" s="663"/>
      <c r="AR112" s="663"/>
      <c r="AS112" s="663"/>
      <c r="AT112" s="663"/>
      <c r="AU112" s="663"/>
      <c r="BB112" s="668"/>
      <c r="CG112" s="656"/>
    </row>
    <row r="113" spans="1:85" ht="15.75" customHeight="1">
      <c r="A113" s="661"/>
      <c r="E113" s="663"/>
      <c r="F113" s="667">
        <v>3</v>
      </c>
      <c r="G113" s="883" t="s">
        <v>373</v>
      </c>
      <c r="H113" s="884"/>
      <c r="I113" s="884"/>
      <c r="J113" s="884"/>
      <c r="K113" s="884"/>
      <c r="L113" s="884"/>
      <c r="M113" s="884"/>
      <c r="N113" s="885"/>
      <c r="O113" s="915" t="s">
        <v>472</v>
      </c>
      <c r="P113" s="916"/>
      <c r="Q113" s="916"/>
      <c r="R113" s="916"/>
      <c r="S113" s="916"/>
      <c r="T113" s="916"/>
      <c r="U113" s="916"/>
      <c r="V113" s="916"/>
      <c r="W113" s="916"/>
      <c r="X113" s="916"/>
      <c r="Y113" s="916"/>
      <c r="Z113" s="916"/>
      <c r="AA113" s="917"/>
      <c r="AB113" s="663"/>
      <c r="AC113" s="663"/>
      <c r="AD113" s="663"/>
      <c r="AE113" s="663"/>
      <c r="AF113" s="663"/>
      <c r="AG113" s="663"/>
      <c r="AH113" s="663"/>
      <c r="AI113" s="663"/>
      <c r="AJ113" s="663"/>
      <c r="AK113" s="663"/>
      <c r="AL113" s="663"/>
      <c r="AM113" s="663"/>
      <c r="AN113" s="663"/>
      <c r="AO113" s="663"/>
      <c r="AP113" s="663"/>
      <c r="AQ113" s="663"/>
      <c r="AR113" s="663"/>
      <c r="AS113" s="663"/>
      <c r="AT113" s="663"/>
      <c r="AU113" s="663"/>
      <c r="BB113" s="669"/>
      <c r="CG113" s="656"/>
    </row>
    <row r="114" spans="1:85" ht="15.75" customHeight="1">
      <c r="A114" s="661"/>
      <c r="E114" s="663"/>
      <c r="F114" s="667">
        <v>4</v>
      </c>
      <c r="G114" s="883" t="s">
        <v>473</v>
      </c>
      <c r="H114" s="884"/>
      <c r="I114" s="884"/>
      <c r="J114" s="884"/>
      <c r="K114" s="884"/>
      <c r="L114" s="884"/>
      <c r="M114" s="884"/>
      <c r="N114" s="885"/>
      <c r="O114" s="915" t="s">
        <v>474</v>
      </c>
      <c r="P114" s="916"/>
      <c r="Q114" s="916"/>
      <c r="R114" s="916"/>
      <c r="S114" s="916"/>
      <c r="T114" s="916"/>
      <c r="U114" s="916"/>
      <c r="V114" s="916"/>
      <c r="W114" s="916"/>
      <c r="X114" s="916"/>
      <c r="Y114" s="916"/>
      <c r="Z114" s="916"/>
      <c r="AA114" s="917"/>
      <c r="AB114" s="663"/>
      <c r="AC114" s="663"/>
      <c r="AD114" s="663"/>
      <c r="AE114" s="663"/>
      <c r="AF114" s="663"/>
      <c r="AG114" s="663"/>
      <c r="AH114" s="663"/>
      <c r="AI114" s="663"/>
      <c r="AJ114" s="663"/>
      <c r="AK114" s="663"/>
      <c r="AL114" s="663"/>
      <c r="AM114" s="663"/>
      <c r="AN114" s="663"/>
      <c r="AO114" s="663"/>
      <c r="AP114" s="663"/>
      <c r="AQ114" s="663"/>
      <c r="AR114" s="663"/>
      <c r="AS114" s="663"/>
      <c r="AT114" s="663"/>
      <c r="AU114" s="663"/>
      <c r="CG114" s="656"/>
    </row>
    <row r="115" spans="1:85">
      <c r="A115" s="661"/>
      <c r="E115" s="663"/>
      <c r="F115" s="667">
        <v>5</v>
      </c>
      <c r="G115" s="883" t="s">
        <v>475</v>
      </c>
      <c r="H115" s="884"/>
      <c r="I115" s="884"/>
      <c r="J115" s="884"/>
      <c r="K115" s="884"/>
      <c r="L115" s="884"/>
      <c r="M115" s="884"/>
      <c r="N115" s="885"/>
      <c r="O115" s="915" t="s">
        <v>476</v>
      </c>
      <c r="P115" s="916"/>
      <c r="Q115" s="916"/>
      <c r="R115" s="916"/>
      <c r="S115" s="916"/>
      <c r="T115" s="916"/>
      <c r="U115" s="916"/>
      <c r="V115" s="916"/>
      <c r="W115" s="916"/>
      <c r="X115" s="916"/>
      <c r="Y115" s="916"/>
      <c r="Z115" s="916"/>
      <c r="AA115" s="917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CG115" s="656"/>
    </row>
    <row r="116" spans="1:85">
      <c r="A116" s="661"/>
      <c r="F116" s="667">
        <v>6</v>
      </c>
      <c r="G116" s="883" t="s">
        <v>477</v>
      </c>
      <c r="H116" s="884"/>
      <c r="I116" s="884"/>
      <c r="J116" s="884"/>
      <c r="K116" s="884"/>
      <c r="L116" s="884"/>
      <c r="M116" s="884"/>
      <c r="N116" s="885"/>
      <c r="O116" s="915" t="s">
        <v>375</v>
      </c>
      <c r="P116" s="916"/>
      <c r="Q116" s="916"/>
      <c r="R116" s="916"/>
      <c r="S116" s="916"/>
      <c r="T116" s="916"/>
      <c r="U116" s="916"/>
      <c r="V116" s="916"/>
      <c r="W116" s="916"/>
      <c r="X116" s="916"/>
      <c r="Y116" s="916"/>
      <c r="Z116" s="916"/>
      <c r="AA116" s="917"/>
      <c r="CG116" s="656"/>
    </row>
    <row r="117" spans="1:85">
      <c r="A117" s="661"/>
      <c r="F117" s="667">
        <v>7</v>
      </c>
      <c r="G117" s="883" t="s">
        <v>636</v>
      </c>
      <c r="H117" s="884"/>
      <c r="I117" s="884"/>
      <c r="J117" s="884"/>
      <c r="K117" s="884"/>
      <c r="L117" s="884"/>
      <c r="M117" s="884"/>
      <c r="N117" s="885"/>
      <c r="O117" s="915" t="s">
        <v>637</v>
      </c>
      <c r="P117" s="916"/>
      <c r="Q117" s="916"/>
      <c r="R117" s="916"/>
      <c r="S117" s="916"/>
      <c r="T117" s="916"/>
      <c r="U117" s="916"/>
      <c r="V117" s="916"/>
      <c r="W117" s="916"/>
      <c r="X117" s="916"/>
      <c r="Y117" s="916"/>
      <c r="Z117" s="916"/>
      <c r="AA117" s="917"/>
      <c r="CG117" s="656"/>
    </row>
    <row r="118" spans="1:85">
      <c r="A118" s="661"/>
      <c r="F118" s="670"/>
      <c r="G118" s="671"/>
      <c r="H118" s="671"/>
      <c r="I118" s="671"/>
      <c r="J118" s="671"/>
      <c r="K118" s="671"/>
      <c r="L118" s="671"/>
      <c r="M118" s="671"/>
      <c r="N118" s="671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CG118" s="656"/>
    </row>
    <row r="119" spans="1:85">
      <c r="A119" s="661"/>
      <c r="F119" s="663" t="s">
        <v>686</v>
      </c>
      <c r="G119" s="663"/>
      <c r="J119" s="663"/>
      <c r="K119" s="663"/>
      <c r="L119" s="663"/>
      <c r="M119" s="663"/>
      <c r="N119" s="663"/>
      <c r="O119" s="663"/>
      <c r="P119" s="663"/>
      <c r="Q119" s="663"/>
      <c r="R119" s="663"/>
      <c r="S119" s="663"/>
      <c r="T119" s="663"/>
      <c r="U119" s="663"/>
      <c r="V119" s="663"/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CG119" s="656"/>
    </row>
    <row r="120" spans="1:85">
      <c r="A120" s="661"/>
      <c r="F120" s="663"/>
      <c r="G120" s="663"/>
      <c r="J120" s="663"/>
      <c r="K120" s="663"/>
      <c r="L120" s="663"/>
      <c r="M120" s="663"/>
      <c r="N120" s="663"/>
      <c r="O120" s="663"/>
      <c r="P120" s="663"/>
      <c r="Q120" s="663"/>
      <c r="R120" s="663"/>
      <c r="S120" s="663"/>
      <c r="T120" s="663"/>
      <c r="U120" s="663"/>
      <c r="V120" s="663"/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3"/>
      <c r="AK120" s="663"/>
      <c r="AL120" s="663"/>
      <c r="AM120" s="663"/>
      <c r="AN120" s="663"/>
      <c r="AO120" s="663"/>
      <c r="AP120" s="663"/>
      <c r="AQ120" s="663"/>
      <c r="AR120" s="663"/>
      <c r="AS120" s="663"/>
      <c r="AT120" s="663"/>
      <c r="AU120" s="663"/>
      <c r="CG120" s="656"/>
    </row>
    <row r="121" spans="1:85">
      <c r="A121" s="661"/>
      <c r="F121" s="663"/>
      <c r="G121" s="663"/>
      <c r="J121" s="663"/>
      <c r="K121" s="663"/>
      <c r="L121" s="663"/>
      <c r="M121" s="663"/>
      <c r="N121" s="663"/>
      <c r="O121" s="663"/>
      <c r="P121" s="663"/>
      <c r="Q121" s="663"/>
      <c r="R121" s="663"/>
      <c r="S121" s="663"/>
      <c r="T121" s="663"/>
      <c r="U121" s="663"/>
      <c r="V121" s="663"/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3"/>
      <c r="AH121" s="663"/>
      <c r="AI121" s="663"/>
      <c r="AJ121" s="663"/>
      <c r="AK121" s="663"/>
      <c r="AL121" s="663"/>
      <c r="AM121" s="663"/>
      <c r="AN121" s="663"/>
      <c r="AO121" s="663"/>
      <c r="AP121" s="663"/>
      <c r="AQ121" s="663"/>
      <c r="AR121" s="663"/>
      <c r="AS121" s="663"/>
      <c r="AT121" s="663"/>
      <c r="AU121" s="663"/>
      <c r="CG121" s="656"/>
    </row>
    <row r="122" spans="1:85">
      <c r="A122" s="661"/>
      <c r="E122" s="663"/>
      <c r="F122" s="663"/>
      <c r="AC122" s="663"/>
      <c r="AD122" s="663"/>
      <c r="AE122" s="663"/>
      <c r="AF122" s="663"/>
      <c r="AG122" s="663"/>
      <c r="AH122" s="663"/>
      <c r="AI122" s="663"/>
      <c r="AJ122" s="663"/>
      <c r="AK122" s="663"/>
      <c r="AL122" s="663"/>
      <c r="AM122" s="663"/>
      <c r="AN122" s="663"/>
      <c r="AO122" s="663"/>
      <c r="AP122" s="663"/>
      <c r="AQ122" s="663"/>
      <c r="AR122" s="663"/>
      <c r="AS122" s="663"/>
      <c r="AT122" s="663"/>
      <c r="AU122" s="663"/>
      <c r="CG122" s="656"/>
    </row>
    <row r="123" spans="1:85">
      <c r="A123" s="661"/>
      <c r="E123" s="663"/>
      <c r="F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CG123" s="656"/>
    </row>
    <row r="124" spans="1:85">
      <c r="A124" s="661"/>
      <c r="E124" s="663"/>
      <c r="F124" s="663"/>
      <c r="AC124" s="663"/>
      <c r="AD124" s="663"/>
      <c r="AE124" s="663"/>
      <c r="AF124" s="663"/>
      <c r="AG124" s="663"/>
      <c r="AH124" s="663"/>
      <c r="AI124" s="663"/>
      <c r="AJ124" s="663"/>
      <c r="AK124" s="663"/>
      <c r="AL124" s="663"/>
      <c r="AM124" s="663"/>
      <c r="AN124" s="663"/>
      <c r="AO124" s="663"/>
      <c r="AP124" s="663"/>
      <c r="AQ124" s="663"/>
      <c r="AR124" s="663"/>
      <c r="AS124" s="663"/>
      <c r="AT124" s="663"/>
      <c r="AU124" s="663"/>
      <c r="CG124" s="656"/>
    </row>
    <row r="125" spans="1:85">
      <c r="A125" s="661"/>
      <c r="E125" s="663"/>
      <c r="F125" s="663"/>
      <c r="AC125" s="663"/>
      <c r="AD125" s="663"/>
      <c r="AE125" s="663"/>
      <c r="AF125" s="663"/>
      <c r="AG125" s="663"/>
      <c r="AH125" s="663"/>
      <c r="AI125" s="663"/>
      <c r="AJ125" s="663"/>
      <c r="AK125" s="663"/>
      <c r="AL125" s="663"/>
      <c r="AM125" s="663"/>
      <c r="AN125" s="663"/>
      <c r="AO125" s="663"/>
      <c r="AP125" s="663"/>
      <c r="AQ125" s="663"/>
      <c r="AR125" s="663"/>
      <c r="AS125" s="663"/>
      <c r="AT125" s="663"/>
      <c r="AU125" s="663"/>
      <c r="CG125" s="656"/>
    </row>
    <row r="126" spans="1:85">
      <c r="A126" s="661"/>
      <c r="E126" s="663"/>
      <c r="F126" s="663"/>
      <c r="AC126" s="663"/>
      <c r="AD126" s="663"/>
      <c r="AE126" s="663"/>
      <c r="AF126" s="663"/>
      <c r="AG126" s="663"/>
      <c r="AH126" s="663"/>
      <c r="AI126" s="663"/>
      <c r="AJ126" s="663"/>
      <c r="AK126" s="663"/>
      <c r="AL126" s="663"/>
      <c r="AM126" s="663"/>
      <c r="AN126" s="663"/>
      <c r="AO126" s="663"/>
      <c r="AP126" s="663"/>
      <c r="AQ126" s="663"/>
      <c r="AR126" s="663"/>
      <c r="AS126" s="663"/>
      <c r="AT126" s="663"/>
      <c r="AU126" s="663"/>
      <c r="CG126" s="656"/>
    </row>
    <row r="127" spans="1:85">
      <c r="A127" s="661"/>
      <c r="E127" s="663"/>
      <c r="F127" s="663"/>
      <c r="AC127" s="663"/>
      <c r="AD127" s="663"/>
      <c r="AE127" s="663"/>
      <c r="AF127" s="663"/>
      <c r="AG127" s="663"/>
      <c r="AH127" s="663"/>
      <c r="AI127" s="663"/>
      <c r="AJ127" s="663"/>
      <c r="AK127" s="663"/>
      <c r="AL127" s="663"/>
      <c r="AM127" s="663"/>
      <c r="AN127" s="663"/>
      <c r="AO127" s="663"/>
      <c r="AP127" s="663"/>
      <c r="AQ127" s="663"/>
      <c r="AR127" s="663"/>
      <c r="AS127" s="663"/>
      <c r="AT127" s="663"/>
      <c r="AU127" s="663"/>
      <c r="CG127" s="656"/>
    </row>
    <row r="128" spans="1:85">
      <c r="A128" s="661"/>
      <c r="E128" s="663"/>
      <c r="F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CG128" s="656"/>
    </row>
    <row r="129" spans="1:85">
      <c r="A129" s="661"/>
      <c r="CG129" s="656"/>
    </row>
    <row r="130" spans="1:85">
      <c r="A130" s="661"/>
      <c r="CG130" s="656"/>
    </row>
    <row r="131" spans="1:85">
      <c r="A131" s="661"/>
      <c r="CG131" s="656"/>
    </row>
    <row r="132" spans="1:85">
      <c r="A132" s="661"/>
      <c r="CG132" s="656"/>
    </row>
    <row r="133" spans="1:85">
      <c r="A133" s="661"/>
      <c r="CG133" s="656"/>
    </row>
    <row r="134" spans="1:85">
      <c r="A134" s="661"/>
      <c r="CG134" s="656"/>
    </row>
    <row r="135" spans="1:85">
      <c r="A135" s="661"/>
      <c r="CG135" s="656"/>
    </row>
    <row r="136" spans="1:85">
      <c r="A136" s="661"/>
      <c r="F136" s="670"/>
      <c r="G136" s="671"/>
      <c r="H136" s="671"/>
      <c r="I136" s="671"/>
      <c r="J136" s="671"/>
      <c r="K136" s="671"/>
      <c r="L136" s="671"/>
      <c r="M136" s="671"/>
      <c r="N136" s="671"/>
      <c r="O136" s="671"/>
      <c r="P136" s="671"/>
      <c r="Q136" s="671"/>
      <c r="R136" s="671"/>
      <c r="S136" s="671"/>
      <c r="T136" s="671"/>
      <c r="U136" s="671"/>
      <c r="V136" s="671"/>
      <c r="W136" s="671"/>
      <c r="X136" s="671"/>
      <c r="Y136" s="671"/>
      <c r="Z136" s="671"/>
      <c r="AA136" s="671"/>
      <c r="CG136" s="656"/>
    </row>
    <row r="137" spans="1:85">
      <c r="A137" s="661"/>
      <c r="F137" s="670"/>
      <c r="G137" s="671"/>
      <c r="H137" s="671"/>
      <c r="I137" s="671"/>
      <c r="J137" s="671"/>
      <c r="K137" s="671"/>
      <c r="L137" s="671"/>
      <c r="M137" s="671"/>
      <c r="N137" s="671"/>
      <c r="O137" s="671"/>
      <c r="P137" s="671"/>
      <c r="Q137" s="671"/>
      <c r="R137" s="671"/>
      <c r="S137" s="671"/>
      <c r="T137" s="671"/>
      <c r="U137" s="671"/>
      <c r="V137" s="671"/>
      <c r="W137" s="671"/>
      <c r="X137" s="671"/>
      <c r="Y137" s="671"/>
      <c r="Z137" s="671"/>
      <c r="AA137" s="671"/>
      <c r="CG137" s="656"/>
    </row>
    <row r="138" spans="1:85">
      <c r="A138" s="661"/>
      <c r="F138" s="670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CG138" s="656"/>
    </row>
    <row r="139" spans="1:85">
      <c r="A139" s="661"/>
      <c r="F139" s="670"/>
      <c r="G139" s="671"/>
      <c r="H139" s="671"/>
      <c r="I139" s="671"/>
      <c r="J139" s="671"/>
      <c r="K139" s="671"/>
      <c r="L139" s="671"/>
      <c r="M139" s="671"/>
      <c r="N139" s="671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CG139" s="656"/>
    </row>
    <row r="140" spans="1:85">
      <c r="A140" s="661"/>
      <c r="CG140" s="656"/>
    </row>
    <row r="141" spans="1:85">
      <c r="A141" s="661"/>
      <c r="CG141" s="656"/>
    </row>
    <row r="142" spans="1:85">
      <c r="A142" s="661"/>
      <c r="CG142" s="656"/>
    </row>
    <row r="143" spans="1:85">
      <c r="A143" s="661"/>
      <c r="CG143" s="656"/>
    </row>
    <row r="144" spans="1:85">
      <c r="A144" s="661"/>
      <c r="CG144" s="656"/>
    </row>
    <row r="145" spans="1:85" ht="16.5" customHeight="1">
      <c r="A145" s="661"/>
      <c r="CG145" s="656"/>
    </row>
    <row r="146" spans="1:85">
      <c r="A146" s="661"/>
      <c r="E146" s="657" t="s">
        <v>687</v>
      </c>
      <c r="F146" s="663"/>
      <c r="G146" s="663"/>
      <c r="I146" s="663" t="s">
        <v>478</v>
      </c>
      <c r="CG146" s="656"/>
    </row>
    <row r="147" spans="1:85">
      <c r="A147" s="661"/>
      <c r="F147" s="663"/>
      <c r="G147" s="663"/>
      <c r="I147" s="663"/>
      <c r="CG147" s="656"/>
    </row>
    <row r="148" spans="1:85">
      <c r="A148" s="661"/>
      <c r="F148" s="663" t="s">
        <v>688</v>
      </c>
      <c r="G148" s="663"/>
      <c r="I148" s="663"/>
      <c r="Y148" s="657" t="s">
        <v>479</v>
      </c>
      <c r="Z148" s="657" t="s">
        <v>480</v>
      </c>
      <c r="CG148" s="656"/>
    </row>
    <row r="149" spans="1:85">
      <c r="A149" s="661"/>
      <c r="F149" s="663" t="s">
        <v>689</v>
      </c>
      <c r="G149" s="663"/>
      <c r="I149" s="663"/>
      <c r="Y149" s="657" t="s">
        <v>479</v>
      </c>
      <c r="Z149" s="657" t="s">
        <v>481</v>
      </c>
      <c r="CG149" s="656"/>
    </row>
    <row r="150" spans="1:85">
      <c r="A150" s="661"/>
      <c r="F150" s="663"/>
      <c r="G150" s="663"/>
      <c r="I150" s="663"/>
      <c r="CG150" s="656"/>
    </row>
    <row r="151" spans="1:85">
      <c r="A151" s="661"/>
      <c r="F151" s="663"/>
      <c r="G151" s="663"/>
      <c r="I151" s="663"/>
      <c r="CG151" s="656"/>
    </row>
    <row r="152" spans="1:85">
      <c r="A152" s="661"/>
      <c r="F152" s="663"/>
      <c r="G152" s="663"/>
      <c r="I152" s="663"/>
      <c r="CG152" s="656"/>
    </row>
    <row r="153" spans="1:85">
      <c r="A153" s="661"/>
      <c r="E153" s="657" t="s">
        <v>690</v>
      </c>
      <c r="F153" s="663"/>
      <c r="G153" s="663"/>
      <c r="I153" s="663" t="s">
        <v>482</v>
      </c>
      <c r="CG153" s="656"/>
    </row>
    <row r="154" spans="1:85" ht="16.5" customHeight="1">
      <c r="A154" s="661"/>
      <c r="CG154" s="656"/>
    </row>
    <row r="155" spans="1:85">
      <c r="A155" s="661"/>
      <c r="E155" s="663"/>
      <c r="F155" s="880" t="s">
        <v>629</v>
      </c>
      <c r="G155" s="881"/>
      <c r="H155" s="881"/>
      <c r="I155" s="881"/>
      <c r="J155" s="881"/>
      <c r="K155" s="881"/>
      <c r="L155" s="881"/>
      <c r="M155" s="881"/>
      <c r="N155" s="882"/>
      <c r="O155" s="937" t="s">
        <v>633</v>
      </c>
      <c r="P155" s="899"/>
      <c r="Q155" s="899"/>
      <c r="R155" s="899"/>
      <c r="S155" s="899"/>
      <c r="T155" s="899"/>
      <c r="U155" s="899"/>
      <c r="V155" s="899"/>
      <c r="W155" s="899"/>
      <c r="X155" s="899"/>
      <c r="Y155" s="899"/>
      <c r="Z155" s="89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899"/>
      <c r="AO155" s="899"/>
      <c r="AP155" s="899"/>
      <c r="AQ155" s="899"/>
      <c r="AR155" s="899"/>
      <c r="AS155" s="899"/>
      <c r="AT155" s="899"/>
      <c r="AU155" s="900"/>
      <c r="CG155" s="656"/>
    </row>
    <row r="156" spans="1:85">
      <c r="A156" s="661"/>
      <c r="E156" s="663"/>
      <c r="F156" s="950" t="s">
        <v>460</v>
      </c>
      <c r="G156" s="951"/>
      <c r="H156" s="951"/>
      <c r="I156" s="951"/>
      <c r="J156" s="951"/>
      <c r="K156" s="951"/>
      <c r="L156" s="951"/>
      <c r="M156" s="951"/>
      <c r="N156" s="952"/>
      <c r="O156" s="944" t="s">
        <v>691</v>
      </c>
      <c r="P156" s="945"/>
      <c r="Q156" s="945"/>
      <c r="R156" s="945"/>
      <c r="S156" s="945"/>
      <c r="T156" s="945"/>
      <c r="U156" s="945"/>
      <c r="V156" s="945"/>
      <c r="W156" s="945"/>
      <c r="X156" s="945"/>
      <c r="Y156" s="945"/>
      <c r="Z156" s="945"/>
      <c r="AA156" s="945"/>
      <c r="AB156" s="945"/>
      <c r="AC156" s="945"/>
      <c r="AD156" s="945"/>
      <c r="AE156" s="945"/>
      <c r="AF156" s="945"/>
      <c r="AG156" s="945"/>
      <c r="AH156" s="945"/>
      <c r="AI156" s="945"/>
      <c r="AJ156" s="945"/>
      <c r="AK156" s="945"/>
      <c r="AL156" s="945"/>
      <c r="AM156" s="945"/>
      <c r="AN156" s="945"/>
      <c r="AO156" s="945"/>
      <c r="AP156" s="945"/>
      <c r="AQ156" s="945"/>
      <c r="AR156" s="945"/>
      <c r="AS156" s="945"/>
      <c r="AT156" s="945"/>
      <c r="AU156" s="946"/>
      <c r="CG156" s="656"/>
    </row>
    <row r="157" spans="1:85">
      <c r="A157" s="661"/>
      <c r="E157" s="663"/>
      <c r="F157" s="664"/>
      <c r="G157" s="664"/>
      <c r="H157" s="664"/>
      <c r="I157" s="664"/>
      <c r="J157" s="664"/>
      <c r="K157" s="664"/>
      <c r="L157" s="664"/>
      <c r="M157" s="664"/>
      <c r="N157" s="664"/>
      <c r="O157" s="665"/>
      <c r="P157" s="665"/>
      <c r="Q157" s="665"/>
      <c r="R157" s="665"/>
      <c r="S157" s="665"/>
      <c r="T157" s="665"/>
      <c r="U157" s="665"/>
      <c r="V157" s="665"/>
      <c r="W157" s="665"/>
      <c r="X157" s="665"/>
      <c r="Y157" s="665"/>
      <c r="Z157" s="665"/>
      <c r="AA157" s="665"/>
      <c r="AB157" s="665"/>
      <c r="AC157" s="665"/>
      <c r="AD157" s="665"/>
      <c r="AE157" s="665"/>
      <c r="AF157" s="665"/>
      <c r="AG157" s="665"/>
      <c r="AH157" s="665"/>
      <c r="AI157" s="665"/>
      <c r="AJ157" s="665"/>
      <c r="AK157" s="665"/>
      <c r="AL157" s="665"/>
      <c r="AM157" s="665"/>
      <c r="AN157" s="665"/>
      <c r="AO157" s="665"/>
      <c r="AP157" s="665"/>
      <c r="AQ157" s="665"/>
      <c r="AR157" s="665"/>
      <c r="AS157" s="665"/>
      <c r="AT157" s="665"/>
      <c r="AU157" s="665"/>
      <c r="CG157" s="656"/>
    </row>
    <row r="158" spans="1:85">
      <c r="A158" s="661"/>
      <c r="E158" s="663"/>
      <c r="F158" s="663" t="s">
        <v>692</v>
      </c>
      <c r="G158" s="663"/>
      <c r="H158" s="663"/>
      <c r="I158" s="663"/>
      <c r="J158" s="663"/>
      <c r="K158" s="663"/>
      <c r="L158" s="663"/>
      <c r="M158" s="663"/>
      <c r="N158" s="663"/>
      <c r="O158" s="663"/>
      <c r="P158" s="663"/>
      <c r="Q158" s="663"/>
      <c r="R158" s="663"/>
      <c r="S158" s="663"/>
      <c r="T158" s="663"/>
      <c r="U158" s="663"/>
      <c r="V158" s="663"/>
      <c r="W158" s="663"/>
      <c r="X158" s="663"/>
      <c r="Y158" s="663"/>
      <c r="Z158" s="663"/>
      <c r="AA158" s="663"/>
      <c r="AB158" s="663"/>
      <c r="AC158" s="663"/>
      <c r="AD158" s="663"/>
      <c r="AE158" s="663"/>
      <c r="AF158" s="663"/>
      <c r="AG158" s="663"/>
      <c r="AH158" s="663"/>
      <c r="AI158" s="663"/>
      <c r="AJ158" s="663"/>
      <c r="AK158" s="663"/>
      <c r="AL158" s="663"/>
      <c r="AM158" s="663"/>
      <c r="AN158" s="663"/>
      <c r="AO158" s="663"/>
      <c r="AP158" s="663"/>
      <c r="AQ158" s="663"/>
      <c r="AR158" s="663"/>
      <c r="AS158" s="663"/>
      <c r="AT158" s="663"/>
      <c r="AU158" s="663"/>
      <c r="CG158" s="656"/>
    </row>
    <row r="159" spans="1:85">
      <c r="A159" s="661"/>
      <c r="E159" s="663"/>
      <c r="F159" s="663"/>
      <c r="G159" s="663"/>
      <c r="H159" s="663"/>
      <c r="I159" s="663"/>
      <c r="J159" s="663"/>
      <c r="K159" s="663"/>
      <c r="L159" s="663"/>
      <c r="M159" s="663"/>
      <c r="N159" s="663"/>
      <c r="O159" s="663"/>
      <c r="P159" s="663"/>
      <c r="Q159" s="663"/>
      <c r="R159" s="663"/>
      <c r="S159" s="663"/>
      <c r="T159" s="663"/>
      <c r="U159" s="663"/>
      <c r="V159" s="663"/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3"/>
      <c r="AH159" s="663"/>
      <c r="AI159" s="663"/>
      <c r="AJ159" s="663"/>
      <c r="AK159" s="663"/>
      <c r="AL159" s="663"/>
      <c r="AM159" s="663"/>
      <c r="AN159" s="663"/>
      <c r="AO159" s="663"/>
      <c r="AP159" s="663"/>
      <c r="AQ159" s="663"/>
      <c r="AR159" s="663"/>
      <c r="AS159" s="663"/>
      <c r="AT159" s="663"/>
      <c r="AU159" s="663"/>
      <c r="CG159" s="656"/>
    </row>
    <row r="160" spans="1:85">
      <c r="A160" s="661"/>
      <c r="E160" s="663"/>
      <c r="F160" s="666" t="s">
        <v>370</v>
      </c>
      <c r="G160" s="947" t="s">
        <v>371</v>
      </c>
      <c r="H160" s="948"/>
      <c r="I160" s="948"/>
      <c r="J160" s="948"/>
      <c r="K160" s="948"/>
      <c r="L160" s="948"/>
      <c r="M160" s="948"/>
      <c r="N160" s="949"/>
      <c r="O160" s="947" t="s">
        <v>469</v>
      </c>
      <c r="P160" s="948"/>
      <c r="Q160" s="948"/>
      <c r="R160" s="948"/>
      <c r="S160" s="948"/>
      <c r="T160" s="948"/>
      <c r="U160" s="948"/>
      <c r="V160" s="948"/>
      <c r="W160" s="948"/>
      <c r="X160" s="948"/>
      <c r="Y160" s="948"/>
      <c r="Z160" s="948"/>
      <c r="AA160" s="949"/>
      <c r="AB160" s="663"/>
      <c r="AC160" s="663"/>
      <c r="AD160" s="663"/>
      <c r="AE160" s="663"/>
      <c r="AF160" s="663"/>
      <c r="AG160" s="663"/>
      <c r="AH160" s="663"/>
      <c r="AI160" s="663"/>
      <c r="AJ160" s="663"/>
      <c r="AK160" s="663"/>
      <c r="AL160" s="663"/>
      <c r="AM160" s="663"/>
      <c r="AN160" s="663"/>
      <c r="AO160" s="663"/>
      <c r="AP160" s="663"/>
      <c r="AQ160" s="663"/>
      <c r="AR160" s="663"/>
      <c r="AU160" s="663"/>
      <c r="AW160" s="663"/>
      <c r="CG160" s="656"/>
    </row>
    <row r="161" spans="1:85">
      <c r="A161" s="661"/>
      <c r="E161" s="663"/>
      <c r="F161" s="667">
        <v>1</v>
      </c>
      <c r="G161" s="883" t="s">
        <v>483</v>
      </c>
      <c r="H161" s="884"/>
      <c r="I161" s="884"/>
      <c r="J161" s="884"/>
      <c r="K161" s="884"/>
      <c r="L161" s="884"/>
      <c r="M161" s="884"/>
      <c r="N161" s="885"/>
      <c r="O161" s="883" t="s">
        <v>374</v>
      </c>
      <c r="P161" s="884"/>
      <c r="Q161" s="884"/>
      <c r="R161" s="884"/>
      <c r="S161" s="884"/>
      <c r="T161" s="884"/>
      <c r="U161" s="884"/>
      <c r="V161" s="884"/>
      <c r="W161" s="884"/>
      <c r="X161" s="884"/>
      <c r="Y161" s="884"/>
      <c r="Z161" s="884"/>
      <c r="AA161" s="885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BB161" s="668"/>
      <c r="CG161" s="656"/>
    </row>
    <row r="162" spans="1:85" ht="15.75" customHeight="1">
      <c r="A162" s="661"/>
      <c r="E162" s="663"/>
      <c r="F162" s="667">
        <v>2</v>
      </c>
      <c r="G162" s="883" t="s">
        <v>484</v>
      </c>
      <c r="H162" s="884"/>
      <c r="I162" s="884"/>
      <c r="J162" s="884"/>
      <c r="K162" s="884"/>
      <c r="L162" s="884"/>
      <c r="M162" s="884"/>
      <c r="N162" s="885"/>
      <c r="O162" s="915" t="s">
        <v>302</v>
      </c>
      <c r="P162" s="916"/>
      <c r="Q162" s="916"/>
      <c r="R162" s="916"/>
      <c r="S162" s="916"/>
      <c r="T162" s="916"/>
      <c r="U162" s="916"/>
      <c r="V162" s="916"/>
      <c r="W162" s="916"/>
      <c r="X162" s="916"/>
      <c r="Y162" s="916"/>
      <c r="Z162" s="916"/>
      <c r="AA162" s="917"/>
      <c r="AB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E163" s="663"/>
      <c r="F163" s="667">
        <v>3</v>
      </c>
      <c r="G163" s="883" t="s">
        <v>485</v>
      </c>
      <c r="H163" s="884"/>
      <c r="I163" s="884"/>
      <c r="J163" s="884"/>
      <c r="K163" s="884"/>
      <c r="L163" s="884"/>
      <c r="M163" s="884"/>
      <c r="N163" s="885"/>
      <c r="O163" s="915" t="s">
        <v>486</v>
      </c>
      <c r="P163" s="916"/>
      <c r="Q163" s="916"/>
      <c r="R163" s="916"/>
      <c r="S163" s="916"/>
      <c r="T163" s="916"/>
      <c r="U163" s="916"/>
      <c r="V163" s="916"/>
      <c r="W163" s="916"/>
      <c r="X163" s="916"/>
      <c r="Y163" s="916"/>
      <c r="Z163" s="916"/>
      <c r="AA163" s="917"/>
      <c r="AB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F164" s="667">
        <v>4</v>
      </c>
      <c r="G164" s="883" t="s">
        <v>487</v>
      </c>
      <c r="H164" s="884"/>
      <c r="I164" s="884"/>
      <c r="J164" s="884"/>
      <c r="K164" s="884"/>
      <c r="L164" s="884"/>
      <c r="M164" s="884"/>
      <c r="N164" s="885"/>
      <c r="O164" s="915" t="s">
        <v>488</v>
      </c>
      <c r="P164" s="916"/>
      <c r="Q164" s="916"/>
      <c r="R164" s="916"/>
      <c r="S164" s="916"/>
      <c r="T164" s="916"/>
      <c r="U164" s="916"/>
      <c r="V164" s="916"/>
      <c r="W164" s="916"/>
      <c r="X164" s="916"/>
      <c r="Y164" s="916"/>
      <c r="Z164" s="916"/>
      <c r="AA164" s="917"/>
      <c r="CG164" s="656"/>
    </row>
    <row r="165" spans="1:85">
      <c r="A165" s="661"/>
      <c r="F165" s="667">
        <v>5</v>
      </c>
      <c r="G165" s="883" t="s">
        <v>489</v>
      </c>
      <c r="H165" s="884"/>
      <c r="I165" s="884"/>
      <c r="J165" s="884"/>
      <c r="K165" s="884"/>
      <c r="L165" s="884"/>
      <c r="M165" s="884"/>
      <c r="N165" s="885"/>
      <c r="O165" s="915" t="s">
        <v>490</v>
      </c>
      <c r="P165" s="916"/>
      <c r="Q165" s="916"/>
      <c r="R165" s="916"/>
      <c r="S165" s="916"/>
      <c r="T165" s="916"/>
      <c r="U165" s="916"/>
      <c r="V165" s="916"/>
      <c r="W165" s="916"/>
      <c r="X165" s="916"/>
      <c r="Y165" s="916"/>
      <c r="Z165" s="916"/>
      <c r="AA165" s="917"/>
      <c r="CG165" s="656"/>
    </row>
    <row r="166" spans="1:85">
      <c r="A166" s="661"/>
      <c r="F166" s="667">
        <v>6</v>
      </c>
      <c r="G166" s="883" t="s">
        <v>491</v>
      </c>
      <c r="H166" s="884"/>
      <c r="I166" s="884"/>
      <c r="J166" s="884"/>
      <c r="K166" s="884"/>
      <c r="L166" s="884"/>
      <c r="M166" s="884"/>
      <c r="N166" s="885"/>
      <c r="O166" s="915" t="s">
        <v>492</v>
      </c>
      <c r="P166" s="916"/>
      <c r="Q166" s="916"/>
      <c r="R166" s="916"/>
      <c r="S166" s="916"/>
      <c r="T166" s="916"/>
      <c r="U166" s="916"/>
      <c r="V166" s="916"/>
      <c r="W166" s="916"/>
      <c r="X166" s="916"/>
      <c r="Y166" s="916"/>
      <c r="Z166" s="916"/>
      <c r="AA166" s="917"/>
      <c r="CG166" s="656"/>
    </row>
    <row r="167" spans="1:85">
      <c r="A167" s="661"/>
      <c r="F167" s="667">
        <v>7</v>
      </c>
      <c r="G167" s="883" t="s">
        <v>493</v>
      </c>
      <c r="H167" s="884"/>
      <c r="I167" s="884"/>
      <c r="J167" s="884"/>
      <c r="K167" s="884"/>
      <c r="L167" s="884"/>
      <c r="M167" s="884"/>
      <c r="N167" s="885"/>
      <c r="O167" s="915" t="s">
        <v>494</v>
      </c>
      <c r="P167" s="916"/>
      <c r="Q167" s="916"/>
      <c r="R167" s="916"/>
      <c r="S167" s="916"/>
      <c r="T167" s="916"/>
      <c r="U167" s="916"/>
      <c r="V167" s="916"/>
      <c r="W167" s="916"/>
      <c r="X167" s="916"/>
      <c r="Y167" s="916"/>
      <c r="Z167" s="916"/>
      <c r="AA167" s="917"/>
      <c r="CG167" s="656"/>
    </row>
    <row r="168" spans="1:85">
      <c r="A168" s="661"/>
      <c r="F168" s="667">
        <v>8</v>
      </c>
      <c r="G168" s="929" t="s">
        <v>495</v>
      </c>
      <c r="H168" s="930"/>
      <c r="I168" s="930"/>
      <c r="J168" s="930"/>
      <c r="K168" s="930"/>
      <c r="L168" s="930"/>
      <c r="M168" s="930"/>
      <c r="N168" s="931"/>
      <c r="O168" s="915" t="s">
        <v>496</v>
      </c>
      <c r="P168" s="916"/>
      <c r="Q168" s="916"/>
      <c r="R168" s="916"/>
      <c r="S168" s="916"/>
      <c r="T168" s="916"/>
      <c r="U168" s="916"/>
      <c r="V168" s="916"/>
      <c r="W168" s="916"/>
      <c r="X168" s="916"/>
      <c r="Y168" s="916"/>
      <c r="Z168" s="916"/>
      <c r="AA168" s="917"/>
      <c r="CG168" s="656"/>
    </row>
    <row r="169" spans="1:85" ht="16.5" customHeight="1">
      <c r="A169" s="661"/>
      <c r="CG169" s="656"/>
    </row>
    <row r="170" spans="1:85" ht="16.5" customHeight="1">
      <c r="A170" s="661"/>
      <c r="CG170" s="656"/>
    </row>
    <row r="171" spans="1:85">
      <c r="A171" s="661"/>
      <c r="E171" s="657" t="s">
        <v>693</v>
      </c>
      <c r="F171" s="663"/>
      <c r="G171" s="663"/>
      <c r="I171" s="663" t="s">
        <v>497</v>
      </c>
      <c r="CG171" s="656"/>
    </row>
    <row r="172" spans="1:85">
      <c r="A172" s="661"/>
      <c r="F172" s="663"/>
      <c r="G172" s="663"/>
      <c r="I172" s="663"/>
      <c r="CG172" s="656"/>
    </row>
    <row r="173" spans="1:85">
      <c r="A173" s="661"/>
      <c r="F173" s="657" t="s">
        <v>694</v>
      </c>
      <c r="G173" s="663"/>
      <c r="I173" s="663"/>
      <c r="CG173" s="656"/>
    </row>
    <row r="174" spans="1:85">
      <c r="A174" s="661"/>
      <c r="F174" s="657" t="s">
        <v>498</v>
      </c>
      <c r="G174" s="663"/>
      <c r="I174" s="663"/>
      <c r="CG174" s="656"/>
    </row>
    <row r="175" spans="1:85">
      <c r="A175" s="661"/>
      <c r="G175" s="663"/>
      <c r="I175" s="663"/>
      <c r="CG175" s="656"/>
    </row>
    <row r="176" spans="1:85">
      <c r="A176" s="661"/>
      <c r="E176" s="663"/>
      <c r="F176" s="663" t="s">
        <v>695</v>
      </c>
      <c r="G176" s="663"/>
      <c r="H176" s="663"/>
      <c r="I176" s="663"/>
      <c r="J176" s="663"/>
      <c r="K176" s="663"/>
      <c r="L176" s="663"/>
      <c r="M176" s="663"/>
      <c r="N176" s="663"/>
      <c r="O176" s="663"/>
      <c r="P176" s="663"/>
      <c r="Q176" s="663"/>
      <c r="R176" s="663"/>
      <c r="S176" s="663"/>
      <c r="T176" s="663"/>
      <c r="U176" s="663"/>
      <c r="V176" s="663"/>
      <c r="W176" s="663"/>
      <c r="X176" s="663"/>
      <c r="Y176" s="663"/>
      <c r="Z176" s="663"/>
      <c r="AA176" s="663"/>
      <c r="AB176" s="663"/>
      <c r="AC176" s="663"/>
      <c r="AD176" s="663"/>
      <c r="AE176" s="663"/>
      <c r="AF176" s="663"/>
      <c r="AG176" s="663"/>
      <c r="AH176" s="663"/>
      <c r="AI176" s="663"/>
      <c r="AJ176" s="663"/>
      <c r="AK176" s="663"/>
      <c r="AL176" s="663"/>
      <c r="AM176" s="663"/>
      <c r="AN176" s="663"/>
      <c r="AO176" s="663"/>
      <c r="AP176" s="663"/>
      <c r="AQ176" s="663"/>
      <c r="AR176" s="663"/>
      <c r="AS176" s="663"/>
      <c r="AT176" s="663"/>
      <c r="AU176" s="663"/>
      <c r="CG176" s="656"/>
    </row>
    <row r="177" spans="1:85">
      <c r="A177" s="661"/>
      <c r="E177" s="663"/>
      <c r="F177" s="663" t="s">
        <v>696</v>
      </c>
      <c r="G177" s="663"/>
      <c r="H177" s="663"/>
      <c r="I177" s="663"/>
      <c r="J177" s="663"/>
      <c r="K177" s="663"/>
      <c r="L177" s="663"/>
      <c r="M177" s="663"/>
      <c r="N177" s="663"/>
      <c r="O177" s="663"/>
      <c r="P177" s="663"/>
      <c r="Q177" s="663"/>
      <c r="R177" s="663"/>
      <c r="S177" s="663"/>
      <c r="T177" s="663"/>
      <c r="U177" s="663"/>
      <c r="V177" s="663"/>
      <c r="W177" s="663"/>
      <c r="X177" s="663"/>
      <c r="Y177" s="663"/>
      <c r="Z177" s="663"/>
      <c r="AA177" s="663"/>
      <c r="AB177" s="663"/>
      <c r="AC177" s="663"/>
      <c r="AD177" s="663"/>
      <c r="AE177" s="663"/>
      <c r="AF177" s="663"/>
      <c r="AG177" s="663"/>
      <c r="AH177" s="663" t="s">
        <v>479</v>
      </c>
      <c r="AI177" s="663" t="s">
        <v>499</v>
      </c>
      <c r="AJ177" s="663"/>
      <c r="AK177" s="663"/>
      <c r="AL177" s="663"/>
      <c r="AM177" s="663"/>
      <c r="AN177" s="663"/>
      <c r="AO177" s="663"/>
      <c r="AP177" s="663"/>
      <c r="AQ177" s="663"/>
      <c r="AR177" s="663"/>
      <c r="AS177" s="663"/>
      <c r="AT177" s="663"/>
      <c r="AU177" s="663"/>
      <c r="CG177" s="656"/>
    </row>
    <row r="178" spans="1:85">
      <c r="A178" s="661"/>
      <c r="E178" s="663"/>
      <c r="F178" s="663" t="s">
        <v>697</v>
      </c>
      <c r="G178" s="663"/>
      <c r="H178" s="663"/>
      <c r="I178" s="663"/>
      <c r="J178" s="663"/>
      <c r="K178" s="663"/>
      <c r="L178" s="663"/>
      <c r="M178" s="663"/>
      <c r="N178" s="663"/>
      <c r="O178" s="663"/>
      <c r="P178" s="663"/>
      <c r="Q178" s="663"/>
      <c r="R178" s="663"/>
      <c r="S178" s="663"/>
      <c r="T178" s="663"/>
      <c r="U178" s="663"/>
      <c r="V178" s="663"/>
      <c r="W178" s="663"/>
      <c r="X178" s="663"/>
      <c r="Y178" s="663"/>
      <c r="Z178" s="663"/>
      <c r="AA178" s="663"/>
      <c r="AB178" s="663"/>
      <c r="AC178" s="663"/>
      <c r="AD178" s="663"/>
      <c r="AE178" s="663"/>
      <c r="AF178" s="663"/>
      <c r="AG178" s="663"/>
      <c r="AH178" s="663" t="s">
        <v>479</v>
      </c>
      <c r="AI178" s="663" t="s">
        <v>500</v>
      </c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CG178" s="656"/>
    </row>
    <row r="179" spans="1:85">
      <c r="A179" s="661"/>
      <c r="F179" s="670"/>
      <c r="G179" s="671"/>
      <c r="H179" s="671"/>
      <c r="I179" s="671"/>
      <c r="J179" s="671"/>
      <c r="K179" s="671"/>
      <c r="L179" s="671"/>
      <c r="M179" s="671"/>
      <c r="N179" s="671"/>
      <c r="O179" s="671"/>
      <c r="P179" s="671"/>
      <c r="Q179" s="671"/>
      <c r="R179" s="671"/>
      <c r="S179" s="671"/>
      <c r="T179" s="671"/>
      <c r="U179" s="671"/>
      <c r="V179" s="671"/>
      <c r="W179" s="671"/>
      <c r="X179" s="671"/>
      <c r="Y179" s="671"/>
      <c r="Z179" s="671"/>
      <c r="AA179" s="671"/>
      <c r="CG179" s="656"/>
    </row>
    <row r="180" spans="1:85">
      <c r="A180" s="661"/>
      <c r="E180" s="657" t="s">
        <v>698</v>
      </c>
      <c r="CG180" s="656"/>
    </row>
    <row r="181" spans="1:85" hidden="1">
      <c r="A181" s="661"/>
      <c r="F181" s="663" t="s">
        <v>699</v>
      </c>
      <c r="CG181" s="656"/>
    </row>
    <row r="182" spans="1:85" ht="16.5" hidden="1" customHeight="1">
      <c r="A182" s="661"/>
      <c r="D182" s="655"/>
      <c r="F182" s="663"/>
      <c r="CG182" s="656"/>
    </row>
    <row r="183" spans="1:85" ht="16.5" hidden="1" customHeight="1">
      <c r="A183" s="661"/>
      <c r="H183" s="932" t="s">
        <v>501</v>
      </c>
      <c r="I183" s="933"/>
      <c r="J183" s="933"/>
      <c r="K183" s="933"/>
      <c r="L183" s="933"/>
      <c r="M183" s="933"/>
      <c r="N183" s="933"/>
      <c r="O183" s="933"/>
      <c r="P183" s="933"/>
      <c r="Q183" s="933"/>
      <c r="R183" s="933"/>
      <c r="S183" s="933"/>
      <c r="T183" s="933"/>
      <c r="U183" s="933"/>
      <c r="V183" s="933"/>
      <c r="W183" s="933"/>
      <c r="X183" s="933"/>
      <c r="Y183" s="933"/>
      <c r="Z183" s="933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4"/>
      <c r="AL183" s="935" t="s">
        <v>502</v>
      </c>
      <c r="AM183" s="935"/>
      <c r="AN183" s="935"/>
      <c r="AO183" s="935"/>
      <c r="AP183" s="935"/>
      <c r="AQ183" s="935"/>
      <c r="AR183" s="935"/>
      <c r="AS183" s="935"/>
      <c r="AT183" s="935"/>
      <c r="AU183" s="935"/>
      <c r="AV183" s="935"/>
      <c r="AW183" s="935"/>
      <c r="AX183" s="935"/>
      <c r="CG183" s="656"/>
    </row>
    <row r="184" spans="1:85" ht="33.75" hidden="1" customHeight="1">
      <c r="A184" s="661"/>
      <c r="H184" s="923" t="s">
        <v>700</v>
      </c>
      <c r="I184" s="923"/>
      <c r="J184" s="923"/>
      <c r="K184" s="923"/>
      <c r="L184" s="923"/>
      <c r="M184" s="923"/>
      <c r="N184" s="923"/>
      <c r="O184" s="923"/>
      <c r="P184" s="923"/>
      <c r="Q184" s="923"/>
      <c r="R184" s="923"/>
      <c r="S184" s="923"/>
      <c r="T184" s="923"/>
      <c r="U184" s="923"/>
      <c r="V184" s="923"/>
      <c r="W184" s="923"/>
      <c r="X184" s="923"/>
      <c r="Y184" s="923"/>
      <c r="Z184" s="923"/>
      <c r="AA184" s="923"/>
      <c r="AB184" s="923"/>
      <c r="AC184" s="923"/>
      <c r="AD184" s="923"/>
      <c r="AE184" s="923"/>
      <c r="AF184" s="923"/>
      <c r="AG184" s="923"/>
      <c r="AH184" s="923"/>
      <c r="AI184" s="923"/>
      <c r="AJ184" s="923"/>
      <c r="AK184" s="923"/>
      <c r="AL184" s="926" t="s">
        <v>701</v>
      </c>
      <c r="AM184" s="926"/>
      <c r="AN184" s="926"/>
      <c r="AO184" s="926"/>
      <c r="AP184" s="926"/>
      <c r="AQ184" s="926"/>
      <c r="AR184" s="926" t="s">
        <v>702</v>
      </c>
      <c r="AS184" s="926"/>
      <c r="AT184" s="926"/>
      <c r="AU184" s="926"/>
      <c r="AV184" s="926"/>
      <c r="AW184" s="926"/>
      <c r="AX184" s="926"/>
      <c r="CG184" s="656"/>
    </row>
    <row r="185" spans="1:85" ht="16.5" hidden="1" customHeight="1">
      <c r="A185" s="661"/>
      <c r="H185" s="911" t="s">
        <v>634</v>
      </c>
      <c r="I185" s="911"/>
      <c r="J185" s="911"/>
      <c r="K185" s="911"/>
      <c r="L185" s="911"/>
      <c r="M185" s="911"/>
      <c r="N185" s="911"/>
      <c r="O185" s="911"/>
      <c r="P185" s="911"/>
      <c r="Q185" s="911"/>
      <c r="R185" s="911"/>
      <c r="S185" s="911"/>
      <c r="T185" s="911"/>
      <c r="U185" s="911"/>
      <c r="V185" s="911"/>
      <c r="W185" s="910" t="s">
        <v>503</v>
      </c>
      <c r="X185" s="910"/>
      <c r="Y185" s="910"/>
      <c r="Z185" s="910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 t="s">
        <v>504</v>
      </c>
      <c r="AM185" s="910"/>
      <c r="AN185" s="910"/>
      <c r="AO185" s="910"/>
      <c r="AP185" s="910"/>
      <c r="AQ185" s="910"/>
      <c r="AR185" s="910" t="s">
        <v>504</v>
      </c>
      <c r="AS185" s="910"/>
      <c r="AT185" s="910"/>
      <c r="AU185" s="910"/>
      <c r="AV185" s="910"/>
      <c r="AW185" s="910"/>
      <c r="AX185" s="910"/>
      <c r="CG185" s="656"/>
    </row>
    <row r="186" spans="1:85" ht="49.75" hidden="1" customHeight="1">
      <c r="A186" s="661"/>
      <c r="H186" s="911"/>
      <c r="I186" s="911"/>
      <c r="J186" s="911"/>
      <c r="K186" s="911"/>
      <c r="L186" s="911"/>
      <c r="M186" s="911"/>
      <c r="N186" s="911"/>
      <c r="O186" s="911"/>
      <c r="P186" s="911"/>
      <c r="Q186" s="911"/>
      <c r="R186" s="911"/>
      <c r="S186" s="911"/>
      <c r="T186" s="911"/>
      <c r="U186" s="911"/>
      <c r="V186" s="911"/>
      <c r="W186" s="914" t="s">
        <v>505</v>
      </c>
      <c r="X186" s="914"/>
      <c r="Y186" s="914"/>
      <c r="Z186" s="914"/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0" t="s">
        <v>504</v>
      </c>
      <c r="AM186" s="910"/>
      <c r="AN186" s="910"/>
      <c r="AO186" s="910"/>
      <c r="AP186" s="910"/>
      <c r="AQ186" s="910"/>
      <c r="AR186" s="914" t="s">
        <v>506</v>
      </c>
      <c r="AS186" s="914"/>
      <c r="AT186" s="914"/>
      <c r="AU186" s="914"/>
      <c r="AV186" s="914"/>
      <c r="AW186" s="914"/>
      <c r="AX186" s="914"/>
      <c r="CG186" s="656"/>
    </row>
    <row r="187" spans="1:85" ht="16.5" hidden="1" customHeight="1">
      <c r="A187" s="661"/>
      <c r="H187" s="911" t="s">
        <v>635</v>
      </c>
      <c r="I187" s="911"/>
      <c r="J187" s="911"/>
      <c r="K187" s="911"/>
      <c r="L187" s="911"/>
      <c r="M187" s="911"/>
      <c r="N187" s="911"/>
      <c r="O187" s="911"/>
      <c r="P187" s="911"/>
      <c r="Q187" s="911"/>
      <c r="R187" s="911"/>
      <c r="S187" s="911"/>
      <c r="T187" s="911"/>
      <c r="U187" s="911"/>
      <c r="V187" s="911"/>
      <c r="W187" s="910"/>
      <c r="X187" s="910"/>
      <c r="Y187" s="910"/>
      <c r="Z187" s="91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 t="s">
        <v>504</v>
      </c>
      <c r="AM187" s="910"/>
      <c r="AN187" s="910"/>
      <c r="AO187" s="910"/>
      <c r="AP187" s="910"/>
      <c r="AQ187" s="910"/>
      <c r="AR187" s="910" t="s">
        <v>504</v>
      </c>
      <c r="AS187" s="910"/>
      <c r="AT187" s="910"/>
      <c r="AU187" s="910"/>
      <c r="AV187" s="910"/>
      <c r="AW187" s="910"/>
      <c r="AX187" s="910"/>
      <c r="CG187" s="656"/>
    </row>
    <row r="188" spans="1:85" ht="16.5" hidden="1" customHeight="1">
      <c r="A188" s="661"/>
      <c r="H188" s="911" t="s">
        <v>507</v>
      </c>
      <c r="I188" s="911"/>
      <c r="J188" s="911"/>
      <c r="K188" s="911"/>
      <c r="L188" s="911"/>
      <c r="M188" s="911"/>
      <c r="N188" s="911"/>
      <c r="O188" s="911"/>
      <c r="P188" s="911"/>
      <c r="Q188" s="911"/>
      <c r="R188" s="911"/>
      <c r="S188" s="911"/>
      <c r="T188" s="911"/>
      <c r="U188" s="911"/>
      <c r="V188" s="911"/>
      <c r="W188" s="910"/>
      <c r="X188" s="910"/>
      <c r="Y188" s="910"/>
      <c r="Z188" s="91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 t="s">
        <v>504</v>
      </c>
      <c r="AM188" s="910"/>
      <c r="AN188" s="910"/>
      <c r="AO188" s="910"/>
      <c r="AP188" s="910"/>
      <c r="AQ188" s="910"/>
      <c r="AR188" s="910" t="s">
        <v>504</v>
      </c>
      <c r="AS188" s="910"/>
      <c r="AT188" s="910"/>
      <c r="AU188" s="910"/>
      <c r="AV188" s="910"/>
      <c r="AW188" s="910"/>
      <c r="AX188" s="910"/>
      <c r="CG188" s="656"/>
    </row>
    <row r="189" spans="1:85" ht="16.5" hidden="1" customHeight="1">
      <c r="A189" s="661"/>
      <c r="CG189" s="656"/>
    </row>
    <row r="190" spans="1:85" ht="16.5" customHeight="1">
      <c r="A190" s="661"/>
      <c r="D190" s="655"/>
      <c r="F190" s="663" t="s">
        <v>703</v>
      </c>
      <c r="CG190" s="656"/>
    </row>
    <row r="191" spans="1:85" ht="16.5" customHeight="1">
      <c r="A191" s="661"/>
      <c r="D191" s="655"/>
      <c r="F191" s="663"/>
      <c r="CG191" s="656"/>
    </row>
    <row r="192" spans="1:85" ht="16.5" customHeight="1">
      <c r="A192" s="661"/>
      <c r="F192" s="922" t="s">
        <v>501</v>
      </c>
      <c r="G192" s="922"/>
      <c r="H192" s="922"/>
      <c r="I192" s="922"/>
      <c r="J192" s="922"/>
      <c r="K192" s="922"/>
      <c r="L192" s="922"/>
      <c r="M192" s="922"/>
      <c r="N192" s="922"/>
      <c r="O192" s="922"/>
      <c r="P192" s="922"/>
      <c r="Q192" s="922"/>
      <c r="R192" s="922"/>
      <c r="S192" s="922"/>
      <c r="T192" s="922"/>
      <c r="U192" s="922"/>
      <c r="V192" s="922"/>
      <c r="W192" s="922"/>
      <c r="X192" s="922"/>
      <c r="Y192" s="922"/>
      <c r="Z192" s="922"/>
      <c r="AA192" s="922"/>
      <c r="AB192" s="922"/>
      <c r="AC192" s="922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2"/>
      <c r="AW192" s="927" t="s">
        <v>502</v>
      </c>
      <c r="AX192" s="928"/>
      <c r="AY192" s="928"/>
      <c r="AZ192" s="928"/>
      <c r="BA192" s="928"/>
      <c r="BB192" s="928"/>
      <c r="BC192" s="928"/>
      <c r="BD192" s="928"/>
      <c r="BE192" s="928"/>
      <c r="BF192" s="928"/>
      <c r="BG192" s="928"/>
      <c r="BH192" s="928"/>
      <c r="BI192" s="928"/>
      <c r="CG192" s="656"/>
    </row>
    <row r="193" spans="1:86" ht="47" customHeight="1">
      <c r="A193" s="661"/>
      <c r="F193" s="923" t="s">
        <v>700</v>
      </c>
      <c r="G193" s="923"/>
      <c r="H193" s="923"/>
      <c r="I193" s="923"/>
      <c r="J193" s="923"/>
      <c r="K193" s="923"/>
      <c r="L193" s="923"/>
      <c r="M193" s="923"/>
      <c r="N193" s="923"/>
      <c r="O193" s="923"/>
      <c r="P193" s="923"/>
      <c r="Q193" s="923"/>
      <c r="R193" s="923"/>
      <c r="S193" s="923"/>
      <c r="T193" s="923"/>
      <c r="U193" s="923"/>
      <c r="V193" s="923"/>
      <c r="W193" s="923"/>
      <c r="X193" s="923"/>
      <c r="Y193" s="923"/>
      <c r="Z193" s="923"/>
      <c r="AA193" s="923"/>
      <c r="AB193" s="923"/>
      <c r="AC193" s="923"/>
      <c r="AD193" s="923"/>
      <c r="AE193" s="923"/>
      <c r="AF193" s="923"/>
      <c r="AG193" s="923"/>
      <c r="AH193" s="923"/>
      <c r="AI193" s="923"/>
      <c r="AJ193" s="923" t="s">
        <v>508</v>
      </c>
      <c r="AK193" s="923"/>
      <c r="AL193" s="923"/>
      <c r="AM193" s="924" t="s">
        <v>509</v>
      </c>
      <c r="AN193" s="924"/>
      <c r="AO193" s="924"/>
      <c r="AP193" s="924"/>
      <c r="AQ193" s="924"/>
      <c r="AR193" s="925" t="s">
        <v>510</v>
      </c>
      <c r="AS193" s="925"/>
      <c r="AT193" s="925"/>
      <c r="AU193" s="923" t="s">
        <v>511</v>
      </c>
      <c r="AV193" s="923"/>
      <c r="AW193" s="926" t="s">
        <v>701</v>
      </c>
      <c r="AX193" s="926"/>
      <c r="AY193" s="926"/>
      <c r="AZ193" s="926"/>
      <c r="BA193" s="926"/>
      <c r="BB193" s="926"/>
      <c r="BC193" s="926" t="s">
        <v>702</v>
      </c>
      <c r="BD193" s="926"/>
      <c r="BE193" s="926"/>
      <c r="BF193" s="926"/>
      <c r="BG193" s="926"/>
      <c r="BH193" s="926"/>
      <c r="BI193" s="926"/>
      <c r="CG193" s="656"/>
    </row>
    <row r="194" spans="1:86" ht="16.5" customHeight="1">
      <c r="A194" s="661"/>
      <c r="F194" s="911" t="s">
        <v>634</v>
      </c>
      <c r="G194" s="911"/>
      <c r="H194" s="911"/>
      <c r="I194" s="911"/>
      <c r="J194" s="911"/>
      <c r="K194" s="911"/>
      <c r="L194" s="911"/>
      <c r="M194" s="911"/>
      <c r="N194" s="911"/>
      <c r="O194" s="911"/>
      <c r="P194" s="911"/>
      <c r="Q194" s="911"/>
      <c r="R194" s="911"/>
      <c r="S194" s="911"/>
      <c r="T194" s="911"/>
      <c r="U194" s="910" t="s">
        <v>503</v>
      </c>
      <c r="V194" s="910"/>
      <c r="W194" s="910"/>
      <c r="X194" s="910"/>
      <c r="Y194" s="910"/>
      <c r="Z194" s="910"/>
      <c r="AA194" s="910"/>
      <c r="AB194" s="910"/>
      <c r="AC194" s="910"/>
      <c r="AD194" s="910"/>
      <c r="AE194" s="910"/>
      <c r="AF194" s="910"/>
      <c r="AG194" s="910"/>
      <c r="AH194" s="910"/>
      <c r="AI194" s="910"/>
      <c r="AJ194" s="919" t="s">
        <v>512</v>
      </c>
      <c r="AK194" s="920"/>
      <c r="AL194" s="921"/>
      <c r="AM194" s="913" t="s">
        <v>375</v>
      </c>
      <c r="AN194" s="913"/>
      <c r="AO194" s="913"/>
      <c r="AP194" s="913"/>
      <c r="AQ194" s="913"/>
      <c r="AR194" s="888" t="s">
        <v>513</v>
      </c>
      <c r="AS194" s="888"/>
      <c r="AT194" s="888"/>
      <c r="AU194" s="888" t="s">
        <v>514</v>
      </c>
      <c r="AV194" s="888"/>
      <c r="AW194" s="888" t="s">
        <v>515</v>
      </c>
      <c r="AX194" s="888"/>
      <c r="AY194" s="888"/>
      <c r="AZ194" s="888"/>
      <c r="BA194" s="888"/>
      <c r="BB194" s="888"/>
      <c r="BC194" s="910" t="s">
        <v>515</v>
      </c>
      <c r="BD194" s="910"/>
      <c r="BE194" s="910"/>
      <c r="BF194" s="910"/>
      <c r="BG194" s="910"/>
      <c r="BH194" s="910"/>
      <c r="BI194" s="910"/>
      <c r="CH194" s="656"/>
    </row>
    <row r="195" spans="1:86" ht="49.75" customHeight="1">
      <c r="A195" s="661"/>
      <c r="F195" s="911"/>
      <c r="G195" s="911"/>
      <c r="H195" s="911"/>
      <c r="I195" s="911"/>
      <c r="J195" s="911"/>
      <c r="K195" s="911"/>
      <c r="L195" s="911"/>
      <c r="M195" s="911"/>
      <c r="N195" s="911"/>
      <c r="O195" s="911"/>
      <c r="P195" s="911"/>
      <c r="Q195" s="911"/>
      <c r="R195" s="911"/>
      <c r="S195" s="911"/>
      <c r="T195" s="911"/>
      <c r="U195" s="914" t="s">
        <v>516</v>
      </c>
      <c r="V195" s="914"/>
      <c r="W195" s="914"/>
      <c r="X195" s="914"/>
      <c r="Y195" s="914"/>
      <c r="Z195" s="914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2" t="s">
        <v>517</v>
      </c>
      <c r="AK195" s="912"/>
      <c r="AL195" s="912"/>
      <c r="AM195" s="913" t="s">
        <v>518</v>
      </c>
      <c r="AN195" s="913"/>
      <c r="AO195" s="913"/>
      <c r="AP195" s="913"/>
      <c r="AQ195" s="913"/>
      <c r="AR195" s="888" t="s">
        <v>513</v>
      </c>
      <c r="AS195" s="888"/>
      <c r="AT195" s="888"/>
      <c r="AU195" s="888" t="s">
        <v>519</v>
      </c>
      <c r="AV195" s="888"/>
      <c r="AW195" s="888" t="s">
        <v>520</v>
      </c>
      <c r="AX195" s="888"/>
      <c r="AY195" s="888"/>
      <c r="AZ195" s="888"/>
      <c r="BA195" s="888"/>
      <c r="BB195" s="888"/>
      <c r="BC195" s="914" t="s">
        <v>521</v>
      </c>
      <c r="BD195" s="914"/>
      <c r="BE195" s="914"/>
      <c r="BF195" s="914"/>
      <c r="BG195" s="914"/>
      <c r="BH195" s="914"/>
      <c r="BI195" s="914"/>
      <c r="CH195" s="656"/>
    </row>
    <row r="196" spans="1:86" ht="49.75" customHeight="1">
      <c r="A196" s="661"/>
      <c r="F196" s="911"/>
      <c r="G196" s="911"/>
      <c r="H196" s="911"/>
      <c r="I196" s="911"/>
      <c r="J196" s="911"/>
      <c r="K196" s="911"/>
      <c r="L196" s="911"/>
      <c r="M196" s="911"/>
      <c r="N196" s="911"/>
      <c r="O196" s="911"/>
      <c r="P196" s="911"/>
      <c r="Q196" s="911"/>
      <c r="R196" s="911"/>
      <c r="S196" s="911"/>
      <c r="T196" s="911"/>
      <c r="U196" s="914" t="s">
        <v>522</v>
      </c>
      <c r="V196" s="914"/>
      <c r="W196" s="914"/>
      <c r="X196" s="914"/>
      <c r="Y196" s="914"/>
      <c r="Z196" s="914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2" t="s">
        <v>517</v>
      </c>
      <c r="AK196" s="912"/>
      <c r="AL196" s="912"/>
      <c r="AM196" s="913" t="s">
        <v>523</v>
      </c>
      <c r="AN196" s="913"/>
      <c r="AO196" s="913"/>
      <c r="AP196" s="913"/>
      <c r="AQ196" s="913"/>
      <c r="AR196" s="888" t="s">
        <v>524</v>
      </c>
      <c r="AS196" s="888"/>
      <c r="AT196" s="888"/>
      <c r="AU196" s="886" t="s">
        <v>525</v>
      </c>
      <c r="AV196" s="918"/>
      <c r="AW196" s="888" t="s">
        <v>526</v>
      </c>
      <c r="AX196" s="888"/>
      <c r="AY196" s="888"/>
      <c r="AZ196" s="888"/>
      <c r="BA196" s="888"/>
      <c r="BB196" s="888"/>
      <c r="BC196" s="914" t="s">
        <v>527</v>
      </c>
      <c r="BD196" s="914"/>
      <c r="BE196" s="914"/>
      <c r="BF196" s="914"/>
      <c r="BG196" s="914"/>
      <c r="BH196" s="914"/>
      <c r="BI196" s="914"/>
      <c r="CH196" s="656"/>
    </row>
    <row r="197" spans="1:86" ht="16.5" customHeight="1">
      <c r="A197" s="661"/>
      <c r="F197" s="911" t="s">
        <v>635</v>
      </c>
      <c r="G197" s="911"/>
      <c r="H197" s="911"/>
      <c r="I197" s="911"/>
      <c r="J197" s="911"/>
      <c r="K197" s="911"/>
      <c r="L197" s="911"/>
      <c r="M197" s="911"/>
      <c r="N197" s="911"/>
      <c r="O197" s="911"/>
      <c r="P197" s="911"/>
      <c r="Q197" s="911"/>
      <c r="R197" s="911"/>
      <c r="S197" s="911"/>
      <c r="T197" s="911"/>
      <c r="U197" s="910"/>
      <c r="V197" s="910"/>
      <c r="W197" s="910"/>
      <c r="X197" s="910"/>
      <c r="Y197" s="910"/>
      <c r="Z197" s="910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2" t="s">
        <v>528</v>
      </c>
      <c r="AK197" s="912"/>
      <c r="AL197" s="912"/>
      <c r="AM197" s="913" t="s">
        <v>529</v>
      </c>
      <c r="AN197" s="913"/>
      <c r="AO197" s="913"/>
      <c r="AP197" s="913"/>
      <c r="AQ197" s="913"/>
      <c r="AR197" s="888" t="s">
        <v>513</v>
      </c>
      <c r="AS197" s="888"/>
      <c r="AT197" s="888"/>
      <c r="AU197" s="886" t="s">
        <v>530</v>
      </c>
      <c r="AV197" s="918"/>
      <c r="AW197" s="888" t="s">
        <v>531</v>
      </c>
      <c r="AX197" s="888"/>
      <c r="AY197" s="888"/>
      <c r="AZ197" s="888"/>
      <c r="BA197" s="888"/>
      <c r="BB197" s="888"/>
      <c r="BC197" s="910" t="s">
        <v>531</v>
      </c>
      <c r="BD197" s="910"/>
      <c r="BE197" s="910"/>
      <c r="BF197" s="910"/>
      <c r="BG197" s="910"/>
      <c r="BH197" s="910"/>
      <c r="BI197" s="910"/>
      <c r="CH197" s="656"/>
    </row>
    <row r="198" spans="1:86" ht="16.5" customHeight="1">
      <c r="A198" s="661"/>
      <c r="F198" s="911" t="s">
        <v>507</v>
      </c>
      <c r="G198" s="911"/>
      <c r="H198" s="911"/>
      <c r="I198" s="911"/>
      <c r="J198" s="911"/>
      <c r="K198" s="911"/>
      <c r="L198" s="911"/>
      <c r="M198" s="911"/>
      <c r="N198" s="911"/>
      <c r="O198" s="911"/>
      <c r="P198" s="911"/>
      <c r="Q198" s="911"/>
      <c r="R198" s="911"/>
      <c r="S198" s="911"/>
      <c r="T198" s="911"/>
      <c r="U198" s="910"/>
      <c r="V198" s="910"/>
      <c r="W198" s="910"/>
      <c r="X198" s="910"/>
      <c r="Y198" s="910"/>
      <c r="Z198" s="910"/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2" t="s">
        <v>512</v>
      </c>
      <c r="AK198" s="912"/>
      <c r="AL198" s="912"/>
      <c r="AM198" s="913" t="s">
        <v>529</v>
      </c>
      <c r="AN198" s="913"/>
      <c r="AO198" s="913"/>
      <c r="AP198" s="913"/>
      <c r="AQ198" s="913"/>
      <c r="AR198" s="888" t="s">
        <v>513</v>
      </c>
      <c r="AS198" s="888"/>
      <c r="AT198" s="888"/>
      <c r="AU198" s="888" t="s">
        <v>532</v>
      </c>
      <c r="AV198" s="888"/>
      <c r="AW198" s="888" t="s">
        <v>533</v>
      </c>
      <c r="AX198" s="888"/>
      <c r="AY198" s="888"/>
      <c r="AZ198" s="888"/>
      <c r="BA198" s="888"/>
      <c r="BB198" s="888"/>
      <c r="BC198" s="910" t="s">
        <v>533</v>
      </c>
      <c r="BD198" s="910"/>
      <c r="BE198" s="910"/>
      <c r="BF198" s="910"/>
      <c r="BG198" s="910"/>
      <c r="BH198" s="910"/>
      <c r="BI198" s="910"/>
      <c r="CH198" s="656"/>
    </row>
    <row r="199" spans="1:86" ht="16.5" customHeight="1">
      <c r="A199" s="661"/>
      <c r="CG199" s="656"/>
    </row>
    <row r="200" spans="1:86">
      <c r="A200" s="661"/>
      <c r="E200" s="657" t="s">
        <v>704</v>
      </c>
      <c r="CG200" s="656"/>
    </row>
    <row r="201" spans="1:86">
      <c r="A201" s="661"/>
      <c r="CG201" s="656"/>
    </row>
    <row r="202" spans="1:86">
      <c r="A202" s="661"/>
      <c r="F202" s="657" t="s">
        <v>534</v>
      </c>
      <c r="CG202" s="656"/>
    </row>
    <row r="203" spans="1:86">
      <c r="A203" s="661"/>
      <c r="CG203" s="656"/>
    </row>
    <row r="204" spans="1:86">
      <c r="A204" s="661"/>
      <c r="B204" s="662" t="s">
        <v>707</v>
      </c>
      <c r="CG204" s="656"/>
    </row>
    <row r="205" spans="1:86">
      <c r="A205" s="661"/>
      <c r="B205" s="662"/>
      <c r="CG205" s="656"/>
    </row>
    <row r="206" spans="1:86">
      <c r="A206" s="661"/>
      <c r="E206" s="663" t="s">
        <v>708</v>
      </c>
      <c r="CG206" s="656"/>
    </row>
    <row r="207" spans="1:86">
      <c r="A207" s="661"/>
      <c r="E207" s="663"/>
      <c r="CG207" s="656"/>
    </row>
    <row r="208" spans="1:86">
      <c r="A208" s="661"/>
      <c r="F208" s="657" t="s">
        <v>535</v>
      </c>
      <c r="CG208" s="656"/>
    </row>
    <row r="209" spans="1:85">
      <c r="A209" s="661"/>
      <c r="E209" s="663"/>
      <c r="CG209" s="656"/>
    </row>
    <row r="210" spans="1:85">
      <c r="A210" s="661"/>
      <c r="B210" s="662"/>
      <c r="E210" s="657" t="s">
        <v>709</v>
      </c>
      <c r="CG210" s="656"/>
    </row>
    <row r="211" spans="1:85">
      <c r="A211" s="661"/>
      <c r="B211" s="662"/>
      <c r="F211" s="657" t="s">
        <v>705</v>
      </c>
      <c r="CG211" s="656"/>
    </row>
    <row r="212" spans="1:85">
      <c r="A212" s="661"/>
      <c r="B212" s="662"/>
      <c r="F212" s="657" t="s">
        <v>706</v>
      </c>
      <c r="CG212" s="656"/>
    </row>
    <row r="213" spans="1:85">
      <c r="A213" s="661"/>
      <c r="B213" s="662"/>
      <c r="CG213" s="656"/>
    </row>
    <row r="214" spans="1:85">
      <c r="A214" s="661"/>
      <c r="B214" s="662"/>
      <c r="CG214" s="656"/>
    </row>
    <row r="215" spans="1:85">
      <c r="A215" s="661"/>
      <c r="B215" s="662"/>
      <c r="E215" s="663" t="s">
        <v>710</v>
      </c>
      <c r="CG215" s="656"/>
    </row>
    <row r="216" spans="1:85">
      <c r="A216" s="661"/>
      <c r="F216" s="663"/>
      <c r="G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F217" s="663"/>
      <c r="G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CG225" s="656"/>
    </row>
    <row r="226" spans="1:85">
      <c r="A226" s="661"/>
      <c r="CG226" s="656"/>
    </row>
    <row r="227" spans="1:85">
      <c r="A227" s="661"/>
      <c r="CG227" s="656"/>
    </row>
    <row r="228" spans="1:85">
      <c r="A228" s="661"/>
      <c r="CG228" s="656"/>
    </row>
    <row r="229" spans="1:85">
      <c r="A229" s="661"/>
      <c r="CG229" s="656"/>
    </row>
    <row r="230" spans="1:85">
      <c r="A230" s="661"/>
      <c r="CG230" s="656"/>
    </row>
    <row r="231" spans="1:85">
      <c r="A231" s="661"/>
      <c r="CG231" s="656"/>
    </row>
    <row r="232" spans="1:85">
      <c r="A232" s="661"/>
      <c r="F232" s="670"/>
      <c r="G232" s="671"/>
      <c r="H232" s="671"/>
      <c r="I232" s="671"/>
      <c r="J232" s="671"/>
      <c r="K232" s="671"/>
      <c r="L232" s="671"/>
      <c r="M232" s="671"/>
      <c r="N232" s="671"/>
      <c r="O232" s="671"/>
      <c r="P232" s="671"/>
      <c r="Q232" s="671"/>
      <c r="R232" s="671"/>
      <c r="S232" s="671"/>
      <c r="T232" s="671"/>
      <c r="U232" s="671"/>
      <c r="V232" s="671"/>
      <c r="W232" s="671"/>
      <c r="X232" s="671"/>
      <c r="Y232" s="671"/>
      <c r="Z232" s="671"/>
      <c r="AA232" s="671"/>
      <c r="CG232" s="656"/>
    </row>
    <row r="233" spans="1:85">
      <c r="A233" s="661"/>
      <c r="F233" s="670"/>
      <c r="G233" s="671"/>
      <c r="H233" s="671"/>
      <c r="I233" s="671"/>
      <c r="J233" s="671"/>
      <c r="K233" s="671"/>
      <c r="L233" s="671"/>
      <c r="M233" s="671"/>
      <c r="N233" s="671"/>
      <c r="O233" s="671"/>
      <c r="P233" s="671"/>
      <c r="Q233" s="671"/>
      <c r="R233" s="671"/>
      <c r="S233" s="671"/>
      <c r="T233" s="671"/>
      <c r="U233" s="671"/>
      <c r="V233" s="671"/>
      <c r="W233" s="671"/>
      <c r="X233" s="671"/>
      <c r="Y233" s="671"/>
      <c r="Z233" s="671"/>
      <c r="AA233" s="671"/>
      <c r="CG233" s="656"/>
    </row>
    <row r="234" spans="1:85">
      <c r="A234" s="661"/>
      <c r="F234" s="670"/>
      <c r="G234" s="671"/>
      <c r="H234" s="671"/>
      <c r="I234" s="671"/>
      <c r="J234" s="671"/>
      <c r="K234" s="671"/>
      <c r="L234" s="671"/>
      <c r="M234" s="671"/>
      <c r="N234" s="671"/>
      <c r="O234" s="671"/>
      <c r="P234" s="671"/>
      <c r="Q234" s="671"/>
      <c r="R234" s="671"/>
      <c r="S234" s="671"/>
      <c r="T234" s="671"/>
      <c r="U234" s="671"/>
      <c r="V234" s="671"/>
      <c r="W234" s="671"/>
      <c r="X234" s="671"/>
      <c r="Y234" s="671"/>
      <c r="Z234" s="671"/>
      <c r="AA234" s="671"/>
      <c r="CG234" s="656"/>
    </row>
    <row r="235" spans="1:85">
      <c r="A235" s="661"/>
      <c r="F235" s="670"/>
      <c r="G235" s="671"/>
      <c r="H235" s="671"/>
      <c r="I235" s="671"/>
      <c r="J235" s="671"/>
      <c r="K235" s="671"/>
      <c r="L235" s="671"/>
      <c r="M235" s="671"/>
      <c r="N235" s="671"/>
      <c r="O235" s="671"/>
      <c r="P235" s="671"/>
      <c r="Q235" s="671"/>
      <c r="R235" s="671"/>
      <c r="S235" s="671"/>
      <c r="T235" s="671"/>
      <c r="U235" s="671"/>
      <c r="V235" s="671"/>
      <c r="W235" s="671"/>
      <c r="X235" s="671"/>
      <c r="Y235" s="671"/>
      <c r="Z235" s="671"/>
      <c r="AA235" s="671"/>
      <c r="CG235" s="656"/>
    </row>
    <row r="236" spans="1:85">
      <c r="A236" s="661"/>
      <c r="CG236" s="656"/>
    </row>
    <row r="237" spans="1:85">
      <c r="A237" s="661"/>
      <c r="CG237" s="656"/>
    </row>
    <row r="238" spans="1:85">
      <c r="A238" s="661"/>
      <c r="CG238" s="656"/>
    </row>
    <row r="239" spans="1:85">
      <c r="A239" s="661"/>
      <c r="CG239" s="656"/>
    </row>
    <row r="240" spans="1:85">
      <c r="A240" s="661"/>
      <c r="CG240" s="656"/>
    </row>
    <row r="241" spans="1:85">
      <c r="A241" s="661"/>
      <c r="CG241" s="656"/>
    </row>
    <row r="242" spans="1:85" ht="16.5" customHeight="1">
      <c r="A242" s="661"/>
      <c r="E242" s="663" t="s">
        <v>711</v>
      </c>
      <c r="CG242" s="656"/>
    </row>
    <row r="243" spans="1:85" ht="16.5" customHeight="1">
      <c r="A243" s="661"/>
      <c r="CG243" s="656"/>
    </row>
    <row r="244" spans="1:85" ht="16.5" customHeight="1">
      <c r="A244" s="661"/>
      <c r="F244" s="657" t="s">
        <v>536</v>
      </c>
      <c r="CG244" s="656"/>
    </row>
    <row r="245" spans="1:85" ht="16.5" customHeight="1">
      <c r="A245" s="661"/>
      <c r="CG245" s="656"/>
    </row>
    <row r="246" spans="1:85" ht="16.5" customHeight="1">
      <c r="A246" s="661"/>
      <c r="CG246" s="656"/>
    </row>
    <row r="247" spans="1:85">
      <c r="A247" s="661"/>
      <c r="G247" s="657" t="s">
        <v>537</v>
      </c>
      <c r="CG247" s="656"/>
    </row>
    <row r="248" spans="1:85">
      <c r="A248" s="661"/>
      <c r="G248" s="657" t="s">
        <v>540</v>
      </c>
      <c r="CG248" s="656"/>
    </row>
    <row r="249" spans="1:85">
      <c r="A249" s="661"/>
      <c r="CG249" s="656"/>
    </row>
    <row r="250" spans="1:85">
      <c r="A250" s="661"/>
      <c r="B250" s="662" t="s">
        <v>712</v>
      </c>
      <c r="CG250" s="656"/>
    </row>
    <row r="251" spans="1:85">
      <c r="A251" s="661"/>
      <c r="CG251" s="656"/>
    </row>
    <row r="252" spans="1:85">
      <c r="A252" s="661"/>
      <c r="E252" s="663" t="s">
        <v>457</v>
      </c>
      <c r="CG252" s="656"/>
    </row>
    <row r="253" spans="1:85">
      <c r="A253" s="661"/>
      <c r="E253" s="663"/>
      <c r="F253" s="663"/>
      <c r="G253" s="663"/>
      <c r="H253" s="663"/>
      <c r="I253" s="663"/>
      <c r="J253" s="663"/>
      <c r="K253" s="663"/>
      <c r="L253" s="663"/>
      <c r="M253" s="663"/>
      <c r="N253" s="663"/>
      <c r="O253" s="663"/>
      <c r="P253" s="663"/>
      <c r="Q253" s="663"/>
      <c r="R253" s="663"/>
      <c r="S253" s="663"/>
      <c r="T253" s="663"/>
      <c r="U253" s="663"/>
      <c r="V253" s="663"/>
      <c r="W253" s="663"/>
      <c r="X253" s="663"/>
      <c r="Y253" s="663"/>
      <c r="Z253" s="663"/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CG253" s="656"/>
    </row>
    <row r="254" spans="1:85">
      <c r="A254" s="661"/>
      <c r="E254" s="663"/>
      <c r="F254" s="663"/>
      <c r="G254" s="663"/>
      <c r="H254" s="663"/>
      <c r="I254" s="663"/>
      <c r="J254" s="663"/>
      <c r="K254" s="663"/>
      <c r="L254" s="663"/>
      <c r="M254" s="663"/>
      <c r="N254" s="663"/>
      <c r="O254" s="663"/>
      <c r="P254" s="663"/>
      <c r="Q254" s="663"/>
      <c r="R254" s="663"/>
      <c r="S254" s="663"/>
      <c r="T254" s="663"/>
      <c r="U254" s="663"/>
      <c r="V254" s="663"/>
      <c r="W254" s="663"/>
      <c r="X254" s="663"/>
      <c r="Y254" s="663"/>
      <c r="Z254" s="663"/>
      <c r="AA254" s="663"/>
      <c r="AB254" s="663"/>
      <c r="AC254" s="663"/>
      <c r="AD254" s="663"/>
      <c r="AE254" s="663"/>
      <c r="AF254" s="663"/>
      <c r="AG254" s="663"/>
      <c r="AH254" s="663"/>
      <c r="AI254" s="663"/>
      <c r="AJ254" s="663"/>
      <c r="AK254" s="663"/>
      <c r="AL254" s="663"/>
      <c r="AM254" s="663"/>
      <c r="AN254" s="663"/>
      <c r="AO254" s="663"/>
      <c r="AP254" s="663"/>
      <c r="AQ254" s="663"/>
      <c r="AR254" s="663"/>
      <c r="AS254" s="663"/>
      <c r="AT254" s="663"/>
      <c r="AU254" s="663"/>
      <c r="CG254" s="656"/>
    </row>
    <row r="255" spans="1:85">
      <c r="A255" s="661"/>
      <c r="E255" s="663"/>
      <c r="F255" s="663"/>
      <c r="G255" s="663"/>
      <c r="H255" s="663"/>
      <c r="I255" s="663"/>
      <c r="J255" s="663"/>
      <c r="K255" s="663"/>
      <c r="L255" s="663"/>
      <c r="M255" s="663"/>
      <c r="N255" s="663"/>
      <c r="O255" s="663"/>
      <c r="P255" s="663"/>
      <c r="Q255" s="663"/>
      <c r="R255" s="663"/>
      <c r="S255" s="663"/>
      <c r="T255" s="663"/>
      <c r="U255" s="663"/>
      <c r="V255" s="663"/>
      <c r="W255" s="663"/>
      <c r="X255" s="663"/>
      <c r="Y255" s="663"/>
      <c r="Z255" s="663"/>
      <c r="AA255" s="663"/>
      <c r="AB255" s="663"/>
      <c r="AC255" s="663"/>
      <c r="AD255" s="663"/>
      <c r="AE255" s="663"/>
      <c r="AF255" s="663"/>
      <c r="AG255" s="663"/>
      <c r="AH255" s="663"/>
      <c r="AI255" s="663"/>
      <c r="AJ255" s="663"/>
      <c r="AK255" s="663"/>
      <c r="AL255" s="663"/>
      <c r="AM255" s="663"/>
      <c r="AN255" s="663"/>
      <c r="AO255" s="663"/>
      <c r="AP255" s="663"/>
      <c r="AQ255" s="663"/>
      <c r="AR255" s="663"/>
      <c r="AS255" s="663"/>
      <c r="AT255" s="663"/>
      <c r="AU255" s="663"/>
      <c r="CG255" s="656"/>
    </row>
    <row r="256" spans="1:85">
      <c r="A256" s="661"/>
      <c r="E256" s="663"/>
      <c r="F256" s="663"/>
      <c r="G256" s="663"/>
      <c r="H256" s="663"/>
      <c r="I256" s="663"/>
      <c r="J256" s="663"/>
      <c r="K256" s="663"/>
      <c r="L256" s="663"/>
      <c r="M256" s="663"/>
      <c r="N256" s="663"/>
      <c r="O256" s="663"/>
      <c r="P256" s="663"/>
      <c r="Q256" s="663"/>
      <c r="R256" s="663"/>
      <c r="S256" s="663"/>
      <c r="T256" s="663"/>
      <c r="U256" s="663"/>
      <c r="V256" s="663"/>
      <c r="W256" s="663"/>
      <c r="X256" s="663"/>
      <c r="Y256" s="663"/>
      <c r="Z256" s="663"/>
      <c r="AA256" s="663"/>
      <c r="AB256" s="663"/>
      <c r="AC256" s="663"/>
      <c r="AD256" s="663"/>
      <c r="AE256" s="663"/>
      <c r="AF256" s="663"/>
      <c r="AG256" s="663"/>
      <c r="AH256" s="663"/>
      <c r="AI256" s="663"/>
      <c r="AJ256" s="663"/>
      <c r="AK256" s="663"/>
      <c r="AL256" s="663"/>
      <c r="AM256" s="663"/>
      <c r="AN256" s="663"/>
      <c r="AO256" s="663"/>
      <c r="AP256" s="663"/>
      <c r="AQ256" s="663"/>
      <c r="AR256" s="663"/>
      <c r="AS256" s="663"/>
      <c r="AT256" s="663"/>
      <c r="AU256" s="663"/>
      <c r="CG256" s="656"/>
    </row>
    <row r="257" spans="1:85">
      <c r="A257" s="661"/>
      <c r="E257" s="663"/>
      <c r="F257" s="663"/>
      <c r="G257" s="663"/>
      <c r="H257" s="663"/>
      <c r="I257" s="663"/>
      <c r="J257" s="663"/>
      <c r="K257" s="663"/>
      <c r="L257" s="663"/>
      <c r="M257" s="663"/>
      <c r="N257" s="663"/>
      <c r="O257" s="663"/>
      <c r="P257" s="663"/>
      <c r="Q257" s="663"/>
      <c r="R257" s="663"/>
      <c r="S257" s="663"/>
      <c r="T257" s="663"/>
      <c r="U257" s="663"/>
      <c r="V257" s="663"/>
      <c r="W257" s="663"/>
      <c r="X257" s="663"/>
      <c r="Y257" s="663"/>
      <c r="Z257" s="663"/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CG257" s="656"/>
    </row>
    <row r="258" spans="1:85">
      <c r="A258" s="661"/>
      <c r="E258" s="663"/>
      <c r="F258" s="663"/>
      <c r="G258" s="663"/>
      <c r="H258" s="663"/>
      <c r="I258" s="663"/>
      <c r="J258" s="663"/>
      <c r="K258" s="663"/>
      <c r="L258" s="663"/>
      <c r="M258" s="663"/>
      <c r="N258" s="663"/>
      <c r="O258" s="663"/>
      <c r="P258" s="663"/>
      <c r="Q258" s="663"/>
      <c r="R258" s="663"/>
      <c r="S258" s="663"/>
      <c r="T258" s="663"/>
      <c r="U258" s="663"/>
      <c r="V258" s="663"/>
      <c r="W258" s="663"/>
      <c r="X258" s="663"/>
      <c r="Y258" s="663"/>
      <c r="Z258" s="663"/>
      <c r="AA258" s="663"/>
      <c r="AB258" s="663"/>
      <c r="AC258" s="663"/>
      <c r="AD258" s="663"/>
      <c r="AE258" s="663"/>
      <c r="AF258" s="663"/>
      <c r="AG258" s="663"/>
      <c r="AH258" s="663"/>
      <c r="AI258" s="663"/>
      <c r="AJ258" s="663"/>
      <c r="AK258" s="663"/>
      <c r="AL258" s="663"/>
      <c r="AM258" s="663"/>
      <c r="AN258" s="663"/>
      <c r="AO258" s="663"/>
      <c r="AP258" s="663"/>
      <c r="AQ258" s="663"/>
      <c r="AR258" s="663"/>
      <c r="AS258" s="663"/>
      <c r="AT258" s="663"/>
      <c r="AU258" s="663"/>
      <c r="CG258" s="656"/>
    </row>
    <row r="259" spans="1:85">
      <c r="A259" s="661"/>
      <c r="E259" s="663"/>
      <c r="F259" s="663"/>
      <c r="G259" s="663"/>
      <c r="H259" s="663"/>
      <c r="I259" s="663"/>
      <c r="J259" s="663"/>
      <c r="K259" s="663"/>
      <c r="L259" s="663"/>
      <c r="M259" s="663"/>
      <c r="N259" s="663"/>
      <c r="O259" s="663"/>
      <c r="P259" s="663"/>
      <c r="Q259" s="663"/>
      <c r="R259" s="663"/>
      <c r="S259" s="663"/>
      <c r="T259" s="663"/>
      <c r="U259" s="663"/>
      <c r="V259" s="663"/>
      <c r="W259" s="663"/>
      <c r="X259" s="663"/>
      <c r="Y259" s="663"/>
      <c r="Z259" s="663"/>
      <c r="AA259" s="663"/>
      <c r="AB259" s="663"/>
      <c r="AC259" s="663"/>
      <c r="AD259" s="663"/>
      <c r="AE259" s="663"/>
      <c r="AF259" s="663"/>
      <c r="AG259" s="663"/>
      <c r="AH259" s="663"/>
      <c r="AI259" s="663"/>
      <c r="AJ259" s="663"/>
      <c r="AK259" s="663"/>
      <c r="AL259" s="663"/>
      <c r="AM259" s="663"/>
      <c r="AN259" s="663"/>
      <c r="AO259" s="663"/>
      <c r="AP259" s="663"/>
      <c r="AQ259" s="663"/>
      <c r="AR259" s="663"/>
      <c r="AS259" s="663"/>
      <c r="AT259" s="663"/>
      <c r="AU259" s="663"/>
      <c r="CG259" s="656"/>
    </row>
    <row r="260" spans="1:85">
      <c r="A260" s="661"/>
      <c r="E260" s="663"/>
      <c r="F260" s="663"/>
      <c r="G260" s="663"/>
      <c r="H260" s="663"/>
      <c r="I260" s="663"/>
      <c r="J260" s="663"/>
      <c r="K260" s="663"/>
      <c r="L260" s="663"/>
      <c r="M260" s="663"/>
      <c r="N260" s="663"/>
      <c r="O260" s="663"/>
      <c r="P260" s="663"/>
      <c r="Q260" s="663"/>
      <c r="R260" s="663"/>
      <c r="S260" s="663"/>
      <c r="T260" s="663"/>
      <c r="U260" s="663"/>
      <c r="V260" s="663"/>
      <c r="W260" s="663"/>
      <c r="X260" s="663"/>
      <c r="Y260" s="663"/>
      <c r="Z260" s="663"/>
      <c r="AA260" s="663"/>
      <c r="AB260" s="663"/>
      <c r="AC260" s="663"/>
      <c r="AD260" s="663"/>
      <c r="AE260" s="663"/>
      <c r="AF260" s="663"/>
      <c r="AG260" s="663"/>
      <c r="AH260" s="663"/>
      <c r="AI260" s="663"/>
      <c r="AJ260" s="663"/>
      <c r="AK260" s="663"/>
      <c r="AL260" s="663"/>
      <c r="AM260" s="663"/>
      <c r="AN260" s="663"/>
      <c r="AO260" s="663"/>
      <c r="AP260" s="663"/>
      <c r="AQ260" s="663"/>
      <c r="AR260" s="663"/>
      <c r="AS260" s="663"/>
      <c r="AT260" s="663"/>
      <c r="AU260" s="663"/>
      <c r="CG260" s="656"/>
    </row>
    <row r="261" spans="1:85">
      <c r="A261" s="661"/>
      <c r="E261" s="663"/>
      <c r="F261" s="663"/>
      <c r="G261" s="663"/>
      <c r="H261" s="663"/>
      <c r="I261" s="663"/>
      <c r="J261" s="663"/>
      <c r="K261" s="663"/>
      <c r="L261" s="663"/>
      <c r="M261" s="663"/>
      <c r="N261" s="663"/>
      <c r="O261" s="663"/>
      <c r="P261" s="663"/>
      <c r="Q261" s="663"/>
      <c r="R261" s="663"/>
      <c r="S261" s="663"/>
      <c r="T261" s="663"/>
      <c r="U261" s="663"/>
      <c r="V261" s="663"/>
      <c r="W261" s="663"/>
      <c r="X261" s="663"/>
      <c r="Y261" s="663"/>
      <c r="Z261" s="663"/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CG261" s="656"/>
    </row>
    <row r="262" spans="1:85">
      <c r="A262" s="661"/>
      <c r="E262" s="663"/>
      <c r="F262" s="663"/>
      <c r="G262" s="663"/>
      <c r="H262" s="663"/>
      <c r="I262" s="663"/>
      <c r="J262" s="663"/>
      <c r="K262" s="663"/>
      <c r="L262" s="663"/>
      <c r="M262" s="663"/>
      <c r="N262" s="663"/>
      <c r="O262" s="663"/>
      <c r="P262" s="663"/>
      <c r="Q262" s="663"/>
      <c r="R262" s="663"/>
      <c r="S262" s="663"/>
      <c r="T262" s="663"/>
      <c r="U262" s="663"/>
      <c r="V262" s="663"/>
      <c r="W262" s="663"/>
      <c r="X262" s="663"/>
      <c r="Y262" s="663"/>
      <c r="Z262" s="663"/>
      <c r="AA262" s="663"/>
      <c r="AB262" s="663"/>
      <c r="AC262" s="663"/>
      <c r="AD262" s="663"/>
      <c r="AE262" s="663"/>
      <c r="AF262" s="663"/>
      <c r="AG262" s="663"/>
      <c r="AH262" s="663"/>
      <c r="AI262" s="663"/>
      <c r="AJ262" s="663"/>
      <c r="AK262" s="663"/>
      <c r="AL262" s="663"/>
      <c r="AM262" s="663"/>
      <c r="AN262" s="663"/>
      <c r="AO262" s="663"/>
      <c r="AP262" s="663"/>
      <c r="AQ262" s="663"/>
      <c r="AR262" s="663"/>
      <c r="AS262" s="663"/>
      <c r="AT262" s="663"/>
      <c r="AU262" s="663"/>
      <c r="CG262" s="656"/>
    </row>
    <row r="263" spans="1:85">
      <c r="A263" s="661"/>
      <c r="E263" s="663"/>
      <c r="F263" s="663"/>
      <c r="G263" s="663"/>
      <c r="H263" s="663"/>
      <c r="I263" s="663"/>
      <c r="J263" s="663"/>
      <c r="K263" s="663"/>
      <c r="L263" s="663"/>
      <c r="M263" s="663"/>
      <c r="N263" s="663"/>
      <c r="O263" s="663"/>
      <c r="P263" s="663"/>
      <c r="Q263" s="663"/>
      <c r="R263" s="663"/>
      <c r="S263" s="663"/>
      <c r="T263" s="663"/>
      <c r="U263" s="663"/>
      <c r="V263" s="663"/>
      <c r="W263" s="663"/>
      <c r="X263" s="663"/>
      <c r="Y263" s="663"/>
      <c r="Z263" s="663"/>
      <c r="AA263" s="663"/>
      <c r="AB263" s="663"/>
      <c r="AC263" s="663"/>
      <c r="AD263" s="663"/>
      <c r="AE263" s="663"/>
      <c r="AF263" s="663"/>
      <c r="AG263" s="663"/>
      <c r="AH263" s="663"/>
      <c r="AI263" s="663"/>
      <c r="AJ263" s="663"/>
      <c r="AK263" s="663"/>
      <c r="AL263" s="663"/>
      <c r="AM263" s="663"/>
      <c r="AN263" s="663"/>
      <c r="AO263" s="663"/>
      <c r="AP263" s="663"/>
      <c r="AQ263" s="663"/>
      <c r="AR263" s="663"/>
      <c r="AS263" s="663"/>
      <c r="AT263" s="663"/>
      <c r="AU263" s="663"/>
      <c r="CG263" s="656"/>
    </row>
    <row r="264" spans="1:85">
      <c r="A264" s="661"/>
      <c r="E264" s="663"/>
      <c r="F264" s="663"/>
      <c r="G264" s="663"/>
      <c r="H264" s="663"/>
      <c r="I264" s="663"/>
      <c r="J264" s="663"/>
      <c r="K264" s="663"/>
      <c r="L264" s="663"/>
      <c r="M264" s="663"/>
      <c r="N264" s="663"/>
      <c r="O264" s="663"/>
      <c r="P264" s="663"/>
      <c r="Q264" s="663"/>
      <c r="R264" s="663"/>
      <c r="S264" s="663"/>
      <c r="T264" s="663"/>
      <c r="U264" s="663"/>
      <c r="V264" s="663"/>
      <c r="W264" s="663"/>
      <c r="X264" s="663"/>
      <c r="Y264" s="663"/>
      <c r="Z264" s="663"/>
      <c r="AA264" s="663"/>
      <c r="AB264" s="663"/>
      <c r="AC264" s="663"/>
      <c r="AD264" s="663"/>
      <c r="AE264" s="663"/>
      <c r="AF264" s="663"/>
      <c r="AG264" s="663"/>
      <c r="AH264" s="663"/>
      <c r="AI264" s="663"/>
      <c r="AJ264" s="663"/>
      <c r="AK264" s="663"/>
      <c r="AL264" s="663"/>
      <c r="AM264" s="663"/>
      <c r="AN264" s="663"/>
      <c r="AO264" s="663"/>
      <c r="AP264" s="663"/>
      <c r="AQ264" s="663"/>
      <c r="AR264" s="663"/>
      <c r="AS264" s="663"/>
      <c r="AT264" s="663"/>
      <c r="AU264" s="663"/>
      <c r="CG264" s="656"/>
    </row>
    <row r="265" spans="1:85">
      <c r="A265" s="661"/>
      <c r="E265" s="663"/>
      <c r="F265" s="663"/>
      <c r="G265" s="663"/>
      <c r="H265" s="663"/>
      <c r="I265" s="663"/>
      <c r="J265" s="663"/>
      <c r="K265" s="663"/>
      <c r="L265" s="663"/>
      <c r="M265" s="663"/>
      <c r="N265" s="663"/>
      <c r="O265" s="663"/>
      <c r="P265" s="663"/>
      <c r="Q265" s="663"/>
      <c r="R265" s="663"/>
      <c r="S265" s="663"/>
      <c r="T265" s="663"/>
      <c r="U265" s="663"/>
      <c r="V265" s="663"/>
      <c r="W265" s="663"/>
      <c r="X265" s="663"/>
      <c r="Y265" s="663"/>
      <c r="Z265" s="663"/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CG265" s="656"/>
    </row>
    <row r="266" spans="1:85">
      <c r="A266" s="661"/>
      <c r="E266" s="663"/>
      <c r="F266" s="663"/>
      <c r="G266" s="663"/>
      <c r="H266" s="663"/>
      <c r="I266" s="663"/>
      <c r="J266" s="663"/>
      <c r="K266" s="663"/>
      <c r="L266" s="663"/>
      <c r="M266" s="663"/>
      <c r="N266" s="663"/>
      <c r="O266" s="663"/>
      <c r="P266" s="663"/>
      <c r="Q266" s="663"/>
      <c r="R266" s="663"/>
      <c r="S266" s="663"/>
      <c r="T266" s="663"/>
      <c r="U266" s="663"/>
      <c r="V266" s="663"/>
      <c r="W266" s="663"/>
      <c r="X266" s="663"/>
      <c r="Y266" s="663"/>
      <c r="Z266" s="663"/>
      <c r="AA266" s="663"/>
      <c r="AB266" s="663"/>
      <c r="AC266" s="663"/>
      <c r="AD266" s="663"/>
      <c r="AE266" s="663"/>
      <c r="AF266" s="663"/>
      <c r="AG266" s="663"/>
      <c r="AH266" s="663"/>
      <c r="AI266" s="663"/>
      <c r="AJ266" s="663"/>
      <c r="AK266" s="663"/>
      <c r="AL266" s="663"/>
      <c r="AM266" s="663"/>
      <c r="AN266" s="663"/>
      <c r="AO266" s="663"/>
      <c r="AP266" s="663"/>
      <c r="AQ266" s="663"/>
      <c r="AR266" s="663"/>
      <c r="AS266" s="663"/>
      <c r="AT266" s="663"/>
      <c r="AU266" s="663"/>
      <c r="CG266" s="656"/>
    </row>
    <row r="267" spans="1:85">
      <c r="A267" s="661"/>
      <c r="E267" s="663"/>
      <c r="F267" s="663"/>
      <c r="G267" s="663"/>
      <c r="H267" s="663"/>
      <c r="I267" s="663"/>
      <c r="J267" s="663"/>
      <c r="K267" s="663"/>
      <c r="L267" s="663"/>
      <c r="M267" s="663"/>
      <c r="N267" s="663"/>
      <c r="O267" s="663"/>
      <c r="P267" s="663"/>
      <c r="Q267" s="663"/>
      <c r="R267" s="663"/>
      <c r="S267" s="663"/>
      <c r="T267" s="663"/>
      <c r="U267" s="663"/>
      <c r="V267" s="663"/>
      <c r="W267" s="663"/>
      <c r="X267" s="663"/>
      <c r="Y267" s="663"/>
      <c r="Z267" s="663"/>
      <c r="AA267" s="663"/>
      <c r="AB267" s="663"/>
      <c r="AC267" s="663"/>
      <c r="AD267" s="663"/>
      <c r="AE267" s="663"/>
      <c r="AF267" s="663"/>
      <c r="AG267" s="663"/>
      <c r="AH267" s="663"/>
      <c r="AI267" s="663"/>
      <c r="AJ267" s="663"/>
      <c r="AK267" s="663"/>
      <c r="AL267" s="663"/>
      <c r="AM267" s="663"/>
      <c r="AN267" s="663"/>
      <c r="AO267" s="663"/>
      <c r="AP267" s="663"/>
      <c r="AQ267" s="663"/>
      <c r="AR267" s="663"/>
      <c r="AS267" s="663"/>
      <c r="AT267" s="663"/>
      <c r="AU267" s="663"/>
      <c r="CG267" s="656"/>
    </row>
    <row r="268" spans="1:85">
      <c r="A268" s="661"/>
      <c r="E268" s="663"/>
      <c r="F268" s="663"/>
      <c r="G268" s="663"/>
      <c r="H268" s="663"/>
      <c r="I268" s="663"/>
      <c r="J268" s="663"/>
      <c r="K268" s="663"/>
      <c r="L268" s="663"/>
      <c r="M268" s="663"/>
      <c r="N268" s="663"/>
      <c r="O268" s="663"/>
      <c r="P268" s="663"/>
      <c r="Q268" s="663"/>
      <c r="R268" s="663"/>
      <c r="S268" s="663"/>
      <c r="T268" s="663"/>
      <c r="U268" s="663"/>
      <c r="V268" s="663"/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3"/>
      <c r="AI268" s="663"/>
      <c r="AJ268" s="663"/>
      <c r="AK268" s="663"/>
      <c r="AL268" s="663"/>
      <c r="AM268" s="663"/>
      <c r="AN268" s="663"/>
      <c r="AO268" s="663"/>
      <c r="AP268" s="663"/>
      <c r="AQ268" s="663"/>
      <c r="AR268" s="663"/>
      <c r="AS268" s="663"/>
      <c r="AT268" s="663"/>
      <c r="AU268" s="663"/>
      <c r="CG268" s="656"/>
    </row>
    <row r="269" spans="1:85">
      <c r="A269" s="661"/>
      <c r="E269" s="663"/>
      <c r="F269" s="663"/>
      <c r="G269" s="663"/>
      <c r="H269" s="663"/>
      <c r="I269" s="663"/>
      <c r="J269" s="663"/>
      <c r="K269" s="663"/>
      <c r="L269" s="663"/>
      <c r="M269" s="663"/>
      <c r="N269" s="663"/>
      <c r="O269" s="663"/>
      <c r="P269" s="663"/>
      <c r="Q269" s="663"/>
      <c r="R269" s="663"/>
      <c r="S269" s="663"/>
      <c r="T269" s="663"/>
      <c r="U269" s="663"/>
      <c r="V269" s="663"/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CG269" s="656"/>
    </row>
    <row r="270" spans="1:85">
      <c r="A270" s="661"/>
      <c r="E270" s="663"/>
      <c r="F270" s="663"/>
      <c r="G270" s="663"/>
      <c r="H270" s="663"/>
      <c r="I270" s="663"/>
      <c r="J270" s="663"/>
      <c r="K270" s="663"/>
      <c r="L270" s="663"/>
      <c r="M270" s="663"/>
      <c r="N270" s="663"/>
      <c r="O270" s="663"/>
      <c r="P270" s="663"/>
      <c r="Q270" s="663"/>
      <c r="R270" s="663"/>
      <c r="S270" s="663"/>
      <c r="T270" s="663"/>
      <c r="U270" s="663"/>
      <c r="V270" s="663"/>
      <c r="W270" s="663"/>
      <c r="X270" s="663"/>
      <c r="Y270" s="663"/>
      <c r="Z270" s="663"/>
      <c r="AA270" s="663"/>
      <c r="AB270" s="663"/>
      <c r="AC270" s="663"/>
      <c r="AD270" s="663"/>
      <c r="AE270" s="663"/>
      <c r="AF270" s="663"/>
      <c r="AG270" s="663"/>
      <c r="AH270" s="663"/>
      <c r="AI270" s="663"/>
      <c r="AJ270" s="663"/>
      <c r="AK270" s="663"/>
      <c r="AL270" s="663"/>
      <c r="AM270" s="663"/>
      <c r="AN270" s="663"/>
      <c r="AO270" s="663"/>
      <c r="AP270" s="663"/>
      <c r="AQ270" s="663"/>
      <c r="AR270" s="663"/>
      <c r="AS270" s="663"/>
      <c r="AT270" s="663"/>
      <c r="AU270" s="663"/>
      <c r="CG270" s="656"/>
    </row>
    <row r="271" spans="1:85">
      <c r="A271" s="661"/>
      <c r="E271" s="663"/>
      <c r="F271" s="663"/>
      <c r="G271" s="663"/>
      <c r="H271" s="663"/>
      <c r="I271" s="663"/>
      <c r="J271" s="663"/>
      <c r="K271" s="663"/>
      <c r="L271" s="663"/>
      <c r="M271" s="663"/>
      <c r="N271" s="663"/>
      <c r="O271" s="663"/>
      <c r="P271" s="663"/>
      <c r="Q271" s="663"/>
      <c r="R271" s="663"/>
      <c r="S271" s="663"/>
      <c r="T271" s="663"/>
      <c r="U271" s="663"/>
      <c r="V271" s="663"/>
      <c r="W271" s="663"/>
      <c r="X271" s="663"/>
      <c r="Y271" s="663"/>
      <c r="Z271" s="663"/>
      <c r="AA271" s="663"/>
      <c r="AB271" s="663"/>
      <c r="AC271" s="663"/>
      <c r="AD271" s="663"/>
      <c r="AE271" s="663"/>
      <c r="AF271" s="663"/>
      <c r="AG271" s="663"/>
      <c r="AH271" s="663"/>
      <c r="AI271" s="663"/>
      <c r="AJ271" s="663"/>
      <c r="AK271" s="663"/>
      <c r="AL271" s="663"/>
      <c r="AM271" s="663"/>
      <c r="AN271" s="663"/>
      <c r="AO271" s="663"/>
      <c r="AP271" s="663"/>
      <c r="AQ271" s="663"/>
      <c r="AR271" s="663"/>
      <c r="AS271" s="663"/>
      <c r="AT271" s="663"/>
      <c r="AU271" s="663"/>
      <c r="CG271" s="656"/>
    </row>
    <row r="272" spans="1:85">
      <c r="A272" s="661"/>
      <c r="E272" s="663"/>
      <c r="F272" s="663"/>
      <c r="G272" s="663"/>
      <c r="H272" s="663"/>
      <c r="I272" s="663"/>
      <c r="J272" s="663"/>
      <c r="K272" s="663"/>
      <c r="L272" s="663"/>
      <c r="M272" s="663"/>
      <c r="N272" s="663"/>
      <c r="O272" s="663"/>
      <c r="P272" s="663"/>
      <c r="Q272" s="663"/>
      <c r="R272" s="663"/>
      <c r="S272" s="663"/>
      <c r="T272" s="663"/>
      <c r="U272" s="663"/>
      <c r="V272" s="663"/>
      <c r="W272" s="663"/>
      <c r="X272" s="663"/>
      <c r="Y272" s="663"/>
      <c r="Z272" s="663"/>
      <c r="AA272" s="663"/>
      <c r="AB272" s="663"/>
      <c r="AC272" s="663"/>
      <c r="AD272" s="663"/>
      <c r="AE272" s="663"/>
      <c r="AF272" s="663"/>
      <c r="AG272" s="663"/>
      <c r="AH272" s="663"/>
      <c r="AI272" s="663"/>
      <c r="AJ272" s="663"/>
      <c r="AK272" s="663"/>
      <c r="AL272" s="663"/>
      <c r="AM272" s="663"/>
      <c r="AN272" s="663"/>
      <c r="AO272" s="663"/>
      <c r="AP272" s="663"/>
      <c r="AQ272" s="663"/>
      <c r="AR272" s="663"/>
      <c r="AS272" s="663"/>
      <c r="AT272" s="663"/>
      <c r="AU272" s="663"/>
      <c r="CG272" s="656"/>
    </row>
    <row r="273" spans="1:85">
      <c r="A273" s="661"/>
      <c r="E273" s="663"/>
      <c r="F273" s="663"/>
      <c r="G273" s="663"/>
      <c r="H273" s="663"/>
      <c r="I273" s="663"/>
      <c r="J273" s="663"/>
      <c r="K273" s="663"/>
      <c r="L273" s="663"/>
      <c r="M273" s="663"/>
      <c r="N273" s="663"/>
      <c r="O273" s="663"/>
      <c r="P273" s="663"/>
      <c r="Q273" s="663"/>
      <c r="R273" s="663"/>
      <c r="S273" s="663"/>
      <c r="T273" s="663"/>
      <c r="U273" s="663"/>
      <c r="V273" s="663"/>
      <c r="W273" s="663"/>
      <c r="X273" s="663"/>
      <c r="Y273" s="663"/>
      <c r="Z273" s="663"/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CG273" s="656"/>
    </row>
    <row r="274" spans="1:85">
      <c r="A274" s="661"/>
      <c r="E274" s="663"/>
      <c r="F274" s="663"/>
      <c r="G274" s="663"/>
      <c r="H274" s="663"/>
      <c r="I274" s="663"/>
      <c r="J274" s="663"/>
      <c r="K274" s="663"/>
      <c r="L274" s="663"/>
      <c r="M274" s="663"/>
      <c r="N274" s="663"/>
      <c r="O274" s="663"/>
      <c r="P274" s="663"/>
      <c r="Q274" s="663"/>
      <c r="R274" s="663"/>
      <c r="S274" s="663"/>
      <c r="T274" s="663"/>
      <c r="U274" s="663"/>
      <c r="V274" s="663"/>
      <c r="W274" s="663"/>
      <c r="X274" s="663"/>
      <c r="Y274" s="663"/>
      <c r="Z274" s="663"/>
      <c r="AA274" s="663"/>
      <c r="AB274" s="663"/>
      <c r="AC274" s="663"/>
      <c r="AD274" s="663"/>
      <c r="AE274" s="663"/>
      <c r="AF274" s="663"/>
      <c r="AG274" s="663"/>
      <c r="AH274" s="663"/>
      <c r="AI274" s="663"/>
      <c r="AJ274" s="663"/>
      <c r="AK274" s="663"/>
      <c r="AL274" s="663"/>
      <c r="AM274" s="663"/>
      <c r="AN274" s="663"/>
      <c r="AO274" s="663"/>
      <c r="AP274" s="663"/>
      <c r="AQ274" s="663"/>
      <c r="AR274" s="663"/>
      <c r="AS274" s="663"/>
      <c r="AT274" s="663"/>
      <c r="AU274" s="663"/>
      <c r="CG274" s="656"/>
    </row>
    <row r="275" spans="1:85">
      <c r="A275" s="661"/>
      <c r="E275" s="663"/>
      <c r="F275" s="663"/>
      <c r="G275" s="663"/>
      <c r="H275" s="663"/>
      <c r="I275" s="663"/>
      <c r="J275" s="663"/>
      <c r="K275" s="663"/>
      <c r="L275" s="663"/>
      <c r="M275" s="663"/>
      <c r="N275" s="663"/>
      <c r="O275" s="663"/>
      <c r="P275" s="663"/>
      <c r="Q275" s="663"/>
      <c r="R275" s="663"/>
      <c r="S275" s="663"/>
      <c r="T275" s="663"/>
      <c r="U275" s="663"/>
      <c r="V275" s="663"/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3"/>
      <c r="AI275" s="663"/>
      <c r="AJ275" s="663"/>
      <c r="AK275" s="663"/>
      <c r="AL275" s="663"/>
      <c r="AM275" s="663"/>
      <c r="AN275" s="663"/>
      <c r="AO275" s="663"/>
      <c r="AP275" s="663"/>
      <c r="AQ275" s="663"/>
      <c r="AR275" s="663"/>
      <c r="AS275" s="663"/>
      <c r="AT275" s="663"/>
      <c r="AU275" s="663"/>
      <c r="CG275" s="656"/>
    </row>
    <row r="276" spans="1:85">
      <c r="A276" s="661"/>
      <c r="E276" s="663"/>
      <c r="F276" s="663"/>
      <c r="G276" s="663"/>
      <c r="H276" s="663"/>
      <c r="I276" s="663"/>
      <c r="J276" s="663"/>
      <c r="K276" s="663"/>
      <c r="L276" s="663"/>
      <c r="M276" s="663"/>
      <c r="N276" s="663"/>
      <c r="O276" s="663"/>
      <c r="P276" s="663"/>
      <c r="Q276" s="663"/>
      <c r="R276" s="663"/>
      <c r="S276" s="663"/>
      <c r="T276" s="663"/>
      <c r="U276" s="663"/>
      <c r="V276" s="663"/>
      <c r="W276" s="663"/>
      <c r="X276" s="663"/>
      <c r="Y276" s="663"/>
      <c r="Z276" s="663"/>
      <c r="AA276" s="663"/>
      <c r="AB276" s="663"/>
      <c r="AC276" s="663"/>
      <c r="AD276" s="663"/>
      <c r="AE276" s="663"/>
      <c r="AF276" s="663"/>
      <c r="AG276" s="663"/>
      <c r="AH276" s="663"/>
      <c r="AI276" s="663"/>
      <c r="AJ276" s="663"/>
      <c r="AK276" s="663"/>
      <c r="AL276" s="663"/>
      <c r="AM276" s="663"/>
      <c r="AN276" s="663"/>
      <c r="AO276" s="663"/>
      <c r="AP276" s="663"/>
      <c r="AQ276" s="663"/>
      <c r="AR276" s="663"/>
      <c r="AS276" s="663"/>
      <c r="AT276" s="663"/>
      <c r="AU276" s="663"/>
      <c r="CG276" s="656"/>
    </row>
    <row r="277" spans="1:85">
      <c r="A277" s="661"/>
      <c r="E277" s="663"/>
      <c r="F277" s="663"/>
      <c r="G277" s="663"/>
      <c r="H277" s="663"/>
      <c r="I277" s="663"/>
      <c r="J277" s="663"/>
      <c r="K277" s="663"/>
      <c r="L277" s="663"/>
      <c r="M277" s="663"/>
      <c r="N277" s="663"/>
      <c r="O277" s="663"/>
      <c r="P277" s="663"/>
      <c r="Q277" s="663"/>
      <c r="R277" s="663"/>
      <c r="S277" s="663"/>
      <c r="T277" s="663"/>
      <c r="U277" s="663"/>
      <c r="V277" s="663"/>
      <c r="W277" s="663"/>
      <c r="X277" s="663"/>
      <c r="Y277" s="663"/>
      <c r="Z277" s="663"/>
      <c r="AA277" s="663"/>
      <c r="AB277" s="663"/>
      <c r="AC277" s="663"/>
      <c r="AD277" s="663"/>
      <c r="AE277" s="663"/>
      <c r="AF277" s="663"/>
      <c r="AG277" s="663"/>
      <c r="AH277" s="663"/>
      <c r="AI277" s="663"/>
      <c r="AJ277" s="663"/>
      <c r="AK277" s="663"/>
      <c r="AL277" s="663"/>
      <c r="AM277" s="663"/>
      <c r="AN277" s="663"/>
      <c r="AO277" s="663"/>
      <c r="AP277" s="663"/>
      <c r="AQ277" s="663"/>
      <c r="AR277" s="663"/>
      <c r="AS277" s="663"/>
      <c r="AT277" s="663"/>
      <c r="AU277" s="663"/>
      <c r="CG277" s="656"/>
    </row>
    <row r="278" spans="1:85">
      <c r="A278" s="661"/>
      <c r="E278" s="663"/>
      <c r="F278" s="663"/>
      <c r="G278" s="663"/>
      <c r="H278" s="663"/>
      <c r="I278" s="663"/>
      <c r="J278" s="663"/>
      <c r="K278" s="663"/>
      <c r="L278" s="663"/>
      <c r="M278" s="663"/>
      <c r="N278" s="663"/>
      <c r="O278" s="663"/>
      <c r="P278" s="663"/>
      <c r="Q278" s="663"/>
      <c r="R278" s="663"/>
      <c r="S278" s="663"/>
      <c r="T278" s="663"/>
      <c r="U278" s="663"/>
      <c r="V278" s="663"/>
      <c r="W278" s="663"/>
      <c r="X278" s="663"/>
      <c r="Y278" s="663"/>
      <c r="Z278" s="663"/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CG278" s="656"/>
    </row>
    <row r="279" spans="1:85">
      <c r="A279" s="661"/>
      <c r="E279" s="663"/>
      <c r="F279" s="663"/>
      <c r="G279" s="663"/>
      <c r="H279" s="663"/>
      <c r="I279" s="663"/>
      <c r="J279" s="663"/>
      <c r="K279" s="663"/>
      <c r="L279" s="663"/>
      <c r="M279" s="663"/>
      <c r="N279" s="663"/>
      <c r="O279" s="663"/>
      <c r="P279" s="663"/>
      <c r="Q279" s="663"/>
      <c r="R279" s="663"/>
      <c r="S279" s="663"/>
      <c r="T279" s="663"/>
      <c r="U279" s="663"/>
      <c r="V279" s="663"/>
      <c r="W279" s="663"/>
      <c r="X279" s="663"/>
      <c r="Y279" s="663"/>
      <c r="Z279" s="663"/>
      <c r="AA279" s="663"/>
      <c r="AB279" s="663"/>
      <c r="AC279" s="663"/>
      <c r="AD279" s="663"/>
      <c r="AE279" s="663"/>
      <c r="AF279" s="663"/>
      <c r="AG279" s="663"/>
      <c r="AH279" s="663"/>
      <c r="AI279" s="663"/>
      <c r="AJ279" s="663"/>
      <c r="AK279" s="663"/>
      <c r="AL279" s="663"/>
      <c r="AM279" s="663"/>
      <c r="AN279" s="663"/>
      <c r="AO279" s="663"/>
      <c r="AP279" s="663"/>
      <c r="AQ279" s="663"/>
      <c r="AR279" s="663"/>
      <c r="AS279" s="663"/>
      <c r="AT279" s="663"/>
      <c r="AU279" s="663"/>
      <c r="CG279" s="656"/>
    </row>
    <row r="280" spans="1:85">
      <c r="A280" s="661"/>
      <c r="E280" s="663"/>
      <c r="F280" s="663"/>
      <c r="G280" s="663"/>
      <c r="H280" s="663"/>
      <c r="I280" s="663"/>
      <c r="J280" s="663"/>
      <c r="K280" s="663"/>
      <c r="L280" s="663"/>
      <c r="M280" s="663"/>
      <c r="N280" s="663"/>
      <c r="O280" s="663"/>
      <c r="P280" s="663"/>
      <c r="Q280" s="663"/>
      <c r="R280" s="663"/>
      <c r="S280" s="663"/>
      <c r="T280" s="663"/>
      <c r="U280" s="663"/>
      <c r="V280" s="663"/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3"/>
      <c r="AI280" s="663"/>
      <c r="AJ280" s="663"/>
      <c r="AK280" s="663"/>
      <c r="AL280" s="663"/>
      <c r="AM280" s="663"/>
      <c r="AN280" s="663"/>
      <c r="AO280" s="663"/>
      <c r="AP280" s="663"/>
      <c r="AQ280" s="663"/>
      <c r="AR280" s="663"/>
      <c r="AS280" s="663"/>
      <c r="AT280" s="663"/>
      <c r="AU280" s="663"/>
      <c r="CG280" s="656"/>
    </row>
    <row r="281" spans="1:85">
      <c r="A281" s="661"/>
      <c r="E281" s="663"/>
      <c r="F281" s="663"/>
      <c r="G281" s="663"/>
      <c r="H281" s="663"/>
      <c r="I281" s="663"/>
      <c r="J281" s="663"/>
      <c r="K281" s="663"/>
      <c r="L281" s="663"/>
      <c r="M281" s="663"/>
      <c r="N281" s="663"/>
      <c r="O281" s="663"/>
      <c r="P281" s="663"/>
      <c r="Q281" s="663"/>
      <c r="R281" s="663"/>
      <c r="S281" s="663"/>
      <c r="T281" s="663"/>
      <c r="U281" s="663"/>
      <c r="V281" s="663"/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3"/>
      <c r="AI281" s="663"/>
      <c r="AJ281" s="663"/>
      <c r="AK281" s="663"/>
      <c r="AL281" s="663"/>
      <c r="AM281" s="663"/>
      <c r="AN281" s="663"/>
      <c r="AO281" s="663"/>
      <c r="AP281" s="663"/>
      <c r="AQ281" s="663"/>
      <c r="AR281" s="663"/>
      <c r="AS281" s="663"/>
      <c r="AT281" s="663"/>
      <c r="AU281" s="663"/>
      <c r="CG281" s="656"/>
    </row>
    <row r="282" spans="1:85">
      <c r="A282" s="661"/>
      <c r="E282" s="663"/>
      <c r="F282" s="663"/>
      <c r="G282" s="663"/>
      <c r="H282" s="663"/>
      <c r="I282" s="663"/>
      <c r="J282" s="663"/>
      <c r="K282" s="663"/>
      <c r="L282" s="663"/>
      <c r="M282" s="663"/>
      <c r="N282" s="663"/>
      <c r="O282" s="663"/>
      <c r="P282" s="663"/>
      <c r="Q282" s="663"/>
      <c r="R282" s="663"/>
      <c r="S282" s="663"/>
      <c r="T282" s="663"/>
      <c r="U282" s="663"/>
      <c r="V282" s="663"/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CG282" s="656"/>
    </row>
    <row r="283" spans="1:85">
      <c r="A283" s="661"/>
      <c r="E283" s="663"/>
      <c r="F283" s="663"/>
      <c r="G283" s="663"/>
      <c r="H283" s="663"/>
      <c r="I283" s="663"/>
      <c r="J283" s="663"/>
      <c r="K283" s="663"/>
      <c r="L283" s="663"/>
      <c r="M283" s="663"/>
      <c r="N283" s="663"/>
      <c r="O283" s="663"/>
      <c r="P283" s="663"/>
      <c r="Q283" s="663"/>
      <c r="R283" s="663"/>
      <c r="S283" s="663"/>
      <c r="T283" s="663"/>
      <c r="U283" s="663"/>
      <c r="V283" s="663"/>
      <c r="W283" s="663"/>
      <c r="X283" s="663"/>
      <c r="Y283" s="663"/>
      <c r="Z283" s="663"/>
      <c r="AA283" s="663"/>
      <c r="AB283" s="663"/>
      <c r="AC283" s="663"/>
      <c r="AD283" s="663"/>
      <c r="AE283" s="663"/>
      <c r="AF283" s="663"/>
      <c r="AG283" s="663"/>
      <c r="AH283" s="663"/>
      <c r="AI283" s="663"/>
      <c r="AJ283" s="663"/>
      <c r="AK283" s="663"/>
      <c r="AL283" s="663"/>
      <c r="AM283" s="663"/>
      <c r="AN283" s="663"/>
      <c r="AO283" s="663"/>
      <c r="AP283" s="663"/>
      <c r="AQ283" s="663"/>
      <c r="AR283" s="663"/>
      <c r="AS283" s="663"/>
      <c r="AT283" s="663"/>
      <c r="AU283" s="663"/>
      <c r="CG283" s="656"/>
    </row>
    <row r="284" spans="1:85">
      <c r="A284" s="661"/>
      <c r="E284" s="663"/>
      <c r="F284" s="663"/>
      <c r="G284" s="663"/>
      <c r="H284" s="663"/>
      <c r="I284" s="663"/>
      <c r="J284" s="663"/>
      <c r="K284" s="663"/>
      <c r="L284" s="663"/>
      <c r="M284" s="663"/>
      <c r="N284" s="663"/>
      <c r="O284" s="663"/>
      <c r="P284" s="663"/>
      <c r="Q284" s="663"/>
      <c r="R284" s="663"/>
      <c r="S284" s="663"/>
      <c r="T284" s="663"/>
      <c r="U284" s="663"/>
      <c r="V284" s="663"/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3"/>
      <c r="AJ284" s="663"/>
      <c r="AK284" s="663"/>
      <c r="AL284" s="663"/>
      <c r="AM284" s="663"/>
      <c r="AN284" s="663"/>
      <c r="AO284" s="663"/>
      <c r="AP284" s="663"/>
      <c r="AQ284" s="663"/>
      <c r="AR284" s="663"/>
      <c r="AS284" s="663"/>
      <c r="AT284" s="663"/>
      <c r="AU284" s="663"/>
      <c r="CG284" s="656"/>
    </row>
    <row r="285" spans="1:85">
      <c r="A285" s="661"/>
      <c r="E285" s="663"/>
      <c r="F285" s="663"/>
      <c r="G285" s="663"/>
      <c r="H285" s="663"/>
      <c r="I285" s="663"/>
      <c r="J285" s="663"/>
      <c r="K285" s="663"/>
      <c r="L285" s="663"/>
      <c r="M285" s="663"/>
      <c r="N285" s="663"/>
      <c r="O285" s="663"/>
      <c r="P285" s="663"/>
      <c r="Q285" s="663"/>
      <c r="R285" s="663"/>
      <c r="S285" s="663"/>
      <c r="T285" s="663"/>
      <c r="U285" s="663"/>
      <c r="V285" s="663"/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3"/>
      <c r="AJ285" s="663"/>
      <c r="AK285" s="663"/>
      <c r="AL285" s="663"/>
      <c r="AM285" s="663"/>
      <c r="AN285" s="663"/>
      <c r="AO285" s="663"/>
      <c r="AP285" s="663"/>
      <c r="AQ285" s="663"/>
      <c r="AR285" s="663"/>
      <c r="AS285" s="663"/>
      <c r="AT285" s="663"/>
      <c r="AU285" s="663"/>
      <c r="CG285" s="656"/>
    </row>
    <row r="286" spans="1:85">
      <c r="A286" s="661"/>
      <c r="E286" s="663"/>
      <c r="F286" s="663"/>
      <c r="G286" s="663"/>
      <c r="H286" s="663"/>
      <c r="I286" s="663"/>
      <c r="J286" s="663"/>
      <c r="K286" s="663"/>
      <c r="L286" s="663"/>
      <c r="M286" s="663"/>
      <c r="N286" s="663"/>
      <c r="O286" s="663"/>
      <c r="P286" s="663"/>
      <c r="Q286" s="663"/>
      <c r="R286" s="663"/>
      <c r="S286" s="663"/>
      <c r="T286" s="663"/>
      <c r="U286" s="663"/>
      <c r="V286" s="663"/>
      <c r="W286" s="663"/>
      <c r="X286" s="663"/>
      <c r="Y286" s="663"/>
      <c r="Z286" s="663"/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CG286" s="656"/>
    </row>
    <row r="287" spans="1:85">
      <c r="A287" s="661"/>
      <c r="E287" s="663"/>
      <c r="F287" s="663"/>
      <c r="G287" s="663"/>
      <c r="H287" s="663"/>
      <c r="I287" s="663"/>
      <c r="J287" s="663"/>
      <c r="K287" s="663"/>
      <c r="L287" s="663"/>
      <c r="M287" s="663"/>
      <c r="N287" s="663"/>
      <c r="O287" s="663"/>
      <c r="P287" s="663"/>
      <c r="Q287" s="663"/>
      <c r="R287" s="663"/>
      <c r="S287" s="663"/>
      <c r="T287" s="663"/>
      <c r="U287" s="663"/>
      <c r="V287" s="663"/>
      <c r="W287" s="663"/>
      <c r="X287" s="663"/>
      <c r="Y287" s="663"/>
      <c r="Z287" s="663"/>
      <c r="AA287" s="663"/>
      <c r="AB287" s="663"/>
      <c r="AC287" s="663"/>
      <c r="AD287" s="663"/>
      <c r="AE287" s="663"/>
      <c r="AF287" s="663"/>
      <c r="AG287" s="663"/>
      <c r="AH287" s="663"/>
      <c r="AI287" s="663"/>
      <c r="AJ287" s="663"/>
      <c r="AK287" s="663"/>
      <c r="AL287" s="663"/>
      <c r="AM287" s="663"/>
      <c r="AN287" s="663"/>
      <c r="AO287" s="663"/>
      <c r="AP287" s="663"/>
      <c r="AQ287" s="663"/>
      <c r="AR287" s="663"/>
      <c r="AS287" s="663"/>
      <c r="AT287" s="663"/>
      <c r="AU287" s="663"/>
      <c r="CG287" s="656"/>
    </row>
    <row r="288" spans="1:85">
      <c r="A288" s="661"/>
      <c r="E288" s="663"/>
      <c r="CG288" s="656"/>
    </row>
    <row r="289" spans="1:85">
      <c r="A289" s="661"/>
      <c r="E289" s="663"/>
      <c r="CG289" s="656"/>
    </row>
    <row r="290" spans="1:85">
      <c r="A290" s="661"/>
      <c r="E290" s="663"/>
      <c r="CG290" s="656"/>
    </row>
    <row r="291" spans="1:85">
      <c r="A291" s="661"/>
      <c r="E291" s="663"/>
      <c r="CG291" s="656"/>
    </row>
    <row r="292" spans="1:85">
      <c r="A292" s="661"/>
      <c r="E292" s="663"/>
      <c r="CG292" s="656"/>
    </row>
    <row r="293" spans="1:85">
      <c r="A293" s="661"/>
      <c r="E293" s="663"/>
      <c r="CG293" s="656"/>
    </row>
    <row r="294" spans="1:85">
      <c r="A294" s="661"/>
      <c r="E294" s="663"/>
      <c r="CG294" s="656"/>
    </row>
    <row r="295" spans="1:85">
      <c r="A295" s="661"/>
      <c r="E295" s="663"/>
      <c r="CG295" s="656"/>
    </row>
    <row r="296" spans="1:85">
      <c r="A296" s="661"/>
      <c r="E296" s="663"/>
      <c r="CG296" s="656"/>
    </row>
    <row r="297" spans="1:85">
      <c r="A297" s="661"/>
      <c r="E297" s="663"/>
      <c r="CG297" s="656"/>
    </row>
    <row r="298" spans="1:85">
      <c r="A298" s="661"/>
      <c r="E298" s="663"/>
      <c r="CG298" s="656"/>
    </row>
    <row r="299" spans="1:85">
      <c r="A299" s="661"/>
      <c r="E299" s="663"/>
      <c r="CG299" s="656"/>
    </row>
    <row r="300" spans="1:85">
      <c r="A300" s="661"/>
      <c r="E300" s="663"/>
      <c r="CG300" s="656"/>
    </row>
    <row r="301" spans="1:85">
      <c r="A301" s="661"/>
      <c r="E301" s="663"/>
      <c r="CG301" s="656"/>
    </row>
    <row r="302" spans="1:85">
      <c r="A302" s="661"/>
      <c r="E302" s="657" t="s">
        <v>713</v>
      </c>
      <c r="I302" s="657" t="s">
        <v>541</v>
      </c>
      <c r="CG302" s="656"/>
    </row>
    <row r="303" spans="1:85">
      <c r="A303" s="661"/>
      <c r="CG303" s="656"/>
    </row>
    <row r="304" spans="1:85">
      <c r="A304" s="661"/>
      <c r="F304" s="657" t="s">
        <v>542</v>
      </c>
      <c r="CG304" s="656"/>
    </row>
    <row r="305" spans="1:85">
      <c r="A305" s="661"/>
      <c r="CG305" s="656"/>
    </row>
    <row r="306" spans="1:85">
      <c r="A306" s="661"/>
      <c r="E306" s="657" t="s">
        <v>714</v>
      </c>
      <c r="I306" s="657" t="s">
        <v>543</v>
      </c>
      <c r="CG306" s="656"/>
    </row>
    <row r="307" spans="1:85">
      <c r="A307" s="661"/>
      <c r="CG307" s="656"/>
    </row>
    <row r="308" spans="1:85">
      <c r="A308" s="661"/>
      <c r="F308" s="657" t="s">
        <v>544</v>
      </c>
      <c r="CG308" s="656"/>
    </row>
    <row r="309" spans="1:85">
      <c r="A309" s="661"/>
      <c r="CG309" s="656"/>
    </row>
    <row r="310" spans="1:85">
      <c r="A310" s="661"/>
      <c r="H310" s="907" t="s">
        <v>545</v>
      </c>
      <c r="I310" s="908"/>
      <c r="J310" s="908"/>
      <c r="K310" s="909" t="s">
        <v>538</v>
      </c>
      <c r="L310" s="909"/>
      <c r="M310" s="909"/>
      <c r="N310" s="909"/>
      <c r="O310" s="909"/>
      <c r="P310" s="909"/>
      <c r="Q310" s="909"/>
      <c r="R310" s="909"/>
      <c r="S310" s="909"/>
      <c r="T310" s="909"/>
      <c r="U310" s="909"/>
      <c r="V310" s="909" t="s">
        <v>546</v>
      </c>
      <c r="W310" s="909"/>
      <c r="X310" s="909"/>
      <c r="Y310" s="909"/>
      <c r="Z310" s="909"/>
      <c r="AA310" s="909"/>
      <c r="AB310" s="909"/>
      <c r="AC310" s="909"/>
      <c r="AD310" s="909"/>
      <c r="AE310" s="909"/>
      <c r="AF310" s="909" t="s">
        <v>539</v>
      </c>
      <c r="AG310" s="909"/>
      <c r="AH310" s="909"/>
      <c r="AI310" s="909"/>
      <c r="AJ310" s="909"/>
      <c r="AK310" s="909"/>
      <c r="AL310" s="909"/>
      <c r="AM310" s="909"/>
      <c r="AN310" s="909"/>
      <c r="AO310" s="909"/>
      <c r="AP310" s="909"/>
      <c r="AQ310" s="909"/>
      <c r="AR310" s="909"/>
      <c r="AS310" s="909"/>
      <c r="AT310" s="909"/>
      <c r="AU310" s="909"/>
      <c r="AV310" s="909"/>
      <c r="AW310" s="909"/>
      <c r="AX310" s="909"/>
      <c r="AY310" s="909"/>
      <c r="AZ310" s="909"/>
      <c r="BA310" s="909"/>
      <c r="BB310" s="909"/>
      <c r="BC310" s="909"/>
      <c r="BD310" s="909" t="s">
        <v>69</v>
      </c>
      <c r="BE310" s="909"/>
      <c r="BF310" s="909"/>
      <c r="BG310" s="909"/>
      <c r="BH310" s="909"/>
      <c r="BI310" s="909"/>
      <c r="BJ310" s="909"/>
      <c r="BK310" s="909"/>
      <c r="BL310" s="909"/>
      <c r="BM310" s="909"/>
      <c r="BN310" s="909"/>
      <c r="BO310" s="909"/>
      <c r="BP310" s="909"/>
      <c r="BQ310" s="909"/>
      <c r="BR310" s="909"/>
      <c r="BS310" s="909"/>
      <c r="BT310" s="909"/>
      <c r="BU310" s="909"/>
      <c r="BV310" s="909"/>
      <c r="BW310" s="909"/>
      <c r="BX310" s="909"/>
      <c r="BY310" s="909"/>
      <c r="BZ310" s="909"/>
      <c r="CA310" s="909"/>
      <c r="CG310" s="656"/>
    </row>
    <row r="311" spans="1:85">
      <c r="A311" s="661"/>
      <c r="H311" s="886">
        <v>1</v>
      </c>
      <c r="I311" s="887"/>
      <c r="J311" s="887"/>
      <c r="K311" s="888" t="s">
        <v>547</v>
      </c>
      <c r="L311" s="888"/>
      <c r="M311" s="888"/>
      <c r="N311" s="888"/>
      <c r="O311" s="888"/>
      <c r="P311" s="888"/>
      <c r="Q311" s="888"/>
      <c r="R311" s="888"/>
      <c r="S311" s="888"/>
      <c r="T311" s="888"/>
      <c r="U311" s="888"/>
      <c r="V311" s="888" t="s">
        <v>548</v>
      </c>
      <c r="W311" s="888"/>
      <c r="X311" s="888"/>
      <c r="Y311" s="888"/>
      <c r="Z311" s="888"/>
      <c r="AA311" s="888"/>
      <c r="AB311" s="888"/>
      <c r="AC311" s="888"/>
      <c r="AD311" s="888"/>
      <c r="AE311" s="888"/>
      <c r="AF311" s="910" t="s">
        <v>549</v>
      </c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  <c r="AV311" s="910"/>
      <c r="AW311" s="910"/>
      <c r="AX311" s="910"/>
      <c r="AY311" s="910"/>
      <c r="AZ311" s="910"/>
      <c r="BA311" s="910"/>
      <c r="BB311" s="910"/>
      <c r="BC311" s="910"/>
      <c r="BD311" s="910" t="s">
        <v>550</v>
      </c>
      <c r="BE311" s="910"/>
      <c r="BF311" s="910"/>
      <c r="BG311" s="910"/>
      <c r="BH311" s="910"/>
      <c r="BI311" s="910"/>
      <c r="BJ311" s="910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  <c r="BW311" s="910"/>
      <c r="BX311" s="910"/>
      <c r="BY311" s="910"/>
      <c r="BZ311" s="910"/>
      <c r="CA311" s="910"/>
      <c r="CG311" s="656"/>
    </row>
    <row r="312" spans="1:85" ht="127.5" customHeight="1">
      <c r="A312" s="661"/>
      <c r="H312" s="886">
        <v>2</v>
      </c>
      <c r="I312" s="887"/>
      <c r="J312" s="887"/>
      <c r="K312" s="888" t="s">
        <v>551</v>
      </c>
      <c r="L312" s="888"/>
      <c r="M312" s="888"/>
      <c r="N312" s="888"/>
      <c r="O312" s="888"/>
      <c r="P312" s="888"/>
      <c r="Q312" s="888"/>
      <c r="R312" s="888"/>
      <c r="S312" s="888"/>
      <c r="T312" s="888"/>
      <c r="U312" s="888"/>
      <c r="V312" s="888" t="s">
        <v>552</v>
      </c>
      <c r="W312" s="888"/>
      <c r="X312" s="888"/>
      <c r="Y312" s="888"/>
      <c r="Z312" s="888"/>
      <c r="AA312" s="888"/>
      <c r="AB312" s="888"/>
      <c r="AC312" s="888"/>
      <c r="AD312" s="888"/>
      <c r="AE312" s="888"/>
      <c r="AF312" s="914" t="s">
        <v>553</v>
      </c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5" t="s">
        <v>554</v>
      </c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  <c r="BW312" s="916"/>
      <c r="BX312" s="916"/>
      <c r="BY312" s="916"/>
      <c r="BZ312" s="916"/>
      <c r="CA312" s="917"/>
      <c r="CG312" s="656"/>
    </row>
    <row r="313" spans="1:85" ht="15.75" customHeight="1">
      <c r="A313" s="661"/>
      <c r="H313" s="886">
        <v>3</v>
      </c>
      <c r="I313" s="887"/>
      <c r="J313" s="887"/>
      <c r="K313" s="888" t="s">
        <v>555</v>
      </c>
      <c r="L313" s="888"/>
      <c r="M313" s="888"/>
      <c r="N313" s="888"/>
      <c r="O313" s="888"/>
      <c r="P313" s="888"/>
      <c r="Q313" s="888"/>
      <c r="R313" s="888"/>
      <c r="S313" s="888"/>
      <c r="T313" s="888"/>
      <c r="U313" s="888"/>
      <c r="V313" s="889" t="s">
        <v>556</v>
      </c>
      <c r="W313" s="890"/>
      <c r="X313" s="890"/>
      <c r="Y313" s="890"/>
      <c r="Z313" s="890"/>
      <c r="AA313" s="890"/>
      <c r="AB313" s="890"/>
      <c r="AC313" s="890"/>
      <c r="AD313" s="890"/>
      <c r="AE313" s="891"/>
      <c r="AF313" s="898" t="s">
        <v>557</v>
      </c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900"/>
      <c r="BD313" s="898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  <c r="BW313" s="899"/>
      <c r="BX313" s="899"/>
      <c r="BY313" s="899"/>
      <c r="BZ313" s="899"/>
      <c r="CA313" s="900"/>
      <c r="CG313" s="656"/>
    </row>
    <row r="314" spans="1:85">
      <c r="A314" s="661"/>
      <c r="H314" s="886">
        <v>4</v>
      </c>
      <c r="I314" s="887"/>
      <c r="J314" s="887"/>
      <c r="K314" s="888" t="s">
        <v>558</v>
      </c>
      <c r="L314" s="888"/>
      <c r="M314" s="888"/>
      <c r="N314" s="888"/>
      <c r="O314" s="888"/>
      <c r="P314" s="888"/>
      <c r="Q314" s="888"/>
      <c r="R314" s="888"/>
      <c r="S314" s="888"/>
      <c r="T314" s="888"/>
      <c r="U314" s="888"/>
      <c r="V314" s="892"/>
      <c r="W314" s="893"/>
      <c r="X314" s="893"/>
      <c r="Y314" s="893"/>
      <c r="Z314" s="893"/>
      <c r="AA314" s="893"/>
      <c r="AB314" s="893"/>
      <c r="AC314" s="893"/>
      <c r="AD314" s="893"/>
      <c r="AE314" s="894"/>
      <c r="AF314" s="901"/>
      <c r="AG314" s="902"/>
      <c r="AH314" s="902"/>
      <c r="AI314" s="902"/>
      <c r="AJ314" s="902"/>
      <c r="AK314" s="902"/>
      <c r="AL314" s="902"/>
      <c r="AM314" s="902"/>
      <c r="AN314" s="902"/>
      <c r="AO314" s="902"/>
      <c r="AP314" s="902"/>
      <c r="AQ314" s="902"/>
      <c r="AR314" s="902"/>
      <c r="AS314" s="902"/>
      <c r="AT314" s="902"/>
      <c r="AU314" s="902"/>
      <c r="AV314" s="902"/>
      <c r="AW314" s="902"/>
      <c r="AX314" s="902"/>
      <c r="AY314" s="902"/>
      <c r="AZ314" s="902"/>
      <c r="BA314" s="902"/>
      <c r="BB314" s="902"/>
      <c r="BC314" s="903"/>
      <c r="BD314" s="901"/>
      <c r="BE314" s="902"/>
      <c r="BF314" s="902"/>
      <c r="BG314" s="902"/>
      <c r="BH314" s="902"/>
      <c r="BI314" s="902"/>
      <c r="BJ314" s="902"/>
      <c r="BK314" s="902"/>
      <c r="BL314" s="902"/>
      <c r="BM314" s="902"/>
      <c r="BN314" s="902"/>
      <c r="BO314" s="902"/>
      <c r="BP314" s="902"/>
      <c r="BQ314" s="902"/>
      <c r="BR314" s="902"/>
      <c r="BS314" s="902"/>
      <c r="BT314" s="902"/>
      <c r="BU314" s="902"/>
      <c r="BV314" s="902"/>
      <c r="BW314" s="902"/>
      <c r="BX314" s="902"/>
      <c r="BY314" s="902"/>
      <c r="BZ314" s="902"/>
      <c r="CA314" s="903"/>
      <c r="CG314" s="656"/>
    </row>
    <row r="315" spans="1:85">
      <c r="A315" s="661"/>
      <c r="H315" s="886">
        <v>5</v>
      </c>
      <c r="I315" s="887"/>
      <c r="J315" s="887"/>
      <c r="K315" s="888" t="s">
        <v>559</v>
      </c>
      <c r="L315" s="888"/>
      <c r="M315" s="888"/>
      <c r="N315" s="888"/>
      <c r="O315" s="888"/>
      <c r="P315" s="888"/>
      <c r="Q315" s="888"/>
      <c r="R315" s="888"/>
      <c r="S315" s="888"/>
      <c r="T315" s="888"/>
      <c r="U315" s="888"/>
      <c r="V315" s="892"/>
      <c r="W315" s="893"/>
      <c r="X315" s="893"/>
      <c r="Y315" s="893"/>
      <c r="Z315" s="893"/>
      <c r="AA315" s="893"/>
      <c r="AB315" s="893"/>
      <c r="AC315" s="893"/>
      <c r="AD315" s="893"/>
      <c r="AE315" s="894"/>
      <c r="AF315" s="901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3"/>
      <c r="BD315" s="901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  <c r="BW315" s="902"/>
      <c r="BX315" s="902"/>
      <c r="BY315" s="902"/>
      <c r="BZ315" s="902"/>
      <c r="CA315" s="903"/>
      <c r="CG315" s="656"/>
    </row>
    <row r="316" spans="1:85">
      <c r="A316" s="661"/>
      <c r="H316" s="886" t="s">
        <v>479</v>
      </c>
      <c r="I316" s="887"/>
      <c r="J316" s="887"/>
      <c r="K316" s="888" t="s">
        <v>479</v>
      </c>
      <c r="L316" s="888"/>
      <c r="M316" s="888"/>
      <c r="N316" s="888"/>
      <c r="O316" s="888"/>
      <c r="P316" s="888"/>
      <c r="Q316" s="888"/>
      <c r="R316" s="888"/>
      <c r="S316" s="888"/>
      <c r="T316" s="888"/>
      <c r="U316" s="888"/>
      <c r="V316" s="895"/>
      <c r="W316" s="896"/>
      <c r="X316" s="896"/>
      <c r="Y316" s="896"/>
      <c r="Z316" s="896"/>
      <c r="AA316" s="896"/>
      <c r="AB316" s="896"/>
      <c r="AC316" s="896"/>
      <c r="AD316" s="896"/>
      <c r="AE316" s="897"/>
      <c r="AF316" s="904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6"/>
      <c r="BD316" s="904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  <c r="BW316" s="905"/>
      <c r="BX316" s="905"/>
      <c r="BY316" s="905"/>
      <c r="BZ316" s="905"/>
      <c r="CA316" s="906"/>
      <c r="CG316" s="656"/>
    </row>
    <row r="317" spans="1:85">
      <c r="A317" s="661"/>
      <c r="H317" s="672"/>
      <c r="CG317" s="656"/>
    </row>
    <row r="318" spans="1:85">
      <c r="A318" s="661"/>
      <c r="CG318" s="656"/>
    </row>
    <row r="319" spans="1:85">
      <c r="A319" s="661"/>
      <c r="E319" s="657" t="s">
        <v>717</v>
      </c>
      <c r="I319" s="657" t="s">
        <v>560</v>
      </c>
      <c r="CG319" s="656"/>
    </row>
    <row r="320" spans="1:85">
      <c r="A320" s="661"/>
      <c r="F320" s="663" t="s">
        <v>718</v>
      </c>
      <c r="G320" s="663"/>
      <c r="I320" s="663"/>
      <c r="CG320" s="656"/>
    </row>
    <row r="321" spans="1:85">
      <c r="A321" s="661"/>
      <c r="F321" s="880" t="s">
        <v>715</v>
      </c>
      <c r="G321" s="881"/>
      <c r="H321" s="881"/>
      <c r="I321" s="881"/>
      <c r="J321" s="881"/>
      <c r="K321" s="881"/>
      <c r="L321" s="881"/>
      <c r="M321" s="881"/>
      <c r="N321" s="882"/>
      <c r="O321" s="883" t="s">
        <v>716</v>
      </c>
      <c r="P321" s="884"/>
      <c r="Q321" s="884"/>
      <c r="R321" s="884"/>
      <c r="S321" s="884"/>
      <c r="T321" s="884"/>
      <c r="U321" s="884"/>
      <c r="V321" s="884"/>
      <c r="W321" s="884"/>
      <c r="X321" s="884"/>
      <c r="Y321" s="884"/>
      <c r="Z321" s="88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5"/>
      <c r="CG321" s="656"/>
    </row>
    <row r="322" spans="1:85">
      <c r="A322" s="661"/>
      <c r="CG322" s="656"/>
    </row>
    <row r="323" spans="1:85">
      <c r="A323" s="661"/>
      <c r="F323" s="663" t="s">
        <v>719</v>
      </c>
      <c r="G323" s="663"/>
      <c r="I323" s="663"/>
      <c r="CG323" s="656"/>
    </row>
    <row r="324" spans="1:85">
      <c r="A324" s="661"/>
      <c r="F324" s="880" t="s">
        <v>538</v>
      </c>
      <c r="G324" s="881"/>
      <c r="H324" s="881"/>
      <c r="I324" s="881"/>
      <c r="J324" s="881"/>
      <c r="K324" s="881"/>
      <c r="L324" s="881"/>
      <c r="M324" s="881"/>
      <c r="N324" s="882"/>
      <c r="O324" s="883" t="s">
        <v>720</v>
      </c>
      <c r="P324" s="884"/>
      <c r="Q324" s="884"/>
      <c r="R324" s="884"/>
      <c r="S324" s="884"/>
      <c r="T324" s="884"/>
      <c r="U324" s="884"/>
      <c r="V324" s="884"/>
      <c r="W324" s="884"/>
      <c r="X324" s="884"/>
      <c r="Y324" s="884"/>
      <c r="Z324" s="88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5"/>
      <c r="CG324" s="656"/>
    </row>
    <row r="325" spans="1:85">
      <c r="A325" s="661"/>
      <c r="F325" s="880" t="s">
        <v>721</v>
      </c>
      <c r="G325" s="881"/>
      <c r="H325" s="881"/>
      <c r="I325" s="881"/>
      <c r="J325" s="881"/>
      <c r="K325" s="881"/>
      <c r="L325" s="881"/>
      <c r="M325" s="881"/>
      <c r="N325" s="882"/>
      <c r="O325" s="883" t="s">
        <v>723</v>
      </c>
      <c r="P325" s="884"/>
      <c r="Q325" s="884"/>
      <c r="R325" s="884"/>
      <c r="S325" s="884"/>
      <c r="T325" s="884"/>
      <c r="U325" s="884"/>
      <c r="V325" s="884"/>
      <c r="W325" s="884"/>
      <c r="X325" s="884"/>
      <c r="Y325" s="884"/>
      <c r="Z325" s="88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5"/>
      <c r="CG325" s="656"/>
    </row>
    <row r="326" spans="1:85">
      <c r="A326" s="661"/>
      <c r="F326" s="880" t="s">
        <v>722</v>
      </c>
      <c r="G326" s="881"/>
      <c r="H326" s="881"/>
      <c r="I326" s="881"/>
      <c r="J326" s="881"/>
      <c r="K326" s="881"/>
      <c r="L326" s="881"/>
      <c r="M326" s="881"/>
      <c r="N326" s="882"/>
      <c r="O326" s="883" t="s">
        <v>724</v>
      </c>
      <c r="P326" s="884"/>
      <c r="Q326" s="884"/>
      <c r="R326" s="884"/>
      <c r="S326" s="884"/>
      <c r="T326" s="884"/>
      <c r="U326" s="884"/>
      <c r="V326" s="884"/>
      <c r="W326" s="884"/>
      <c r="X326" s="884"/>
      <c r="Y326" s="884"/>
      <c r="Z326" s="884"/>
      <c r="AA326" s="884"/>
      <c r="AB326" s="884"/>
      <c r="AC326" s="884"/>
      <c r="AD326" s="884"/>
      <c r="AE326" s="884"/>
      <c r="AF326" s="884"/>
      <c r="AG326" s="884"/>
      <c r="AH326" s="884"/>
      <c r="AI326" s="884"/>
      <c r="AJ326" s="884"/>
      <c r="AK326" s="884"/>
      <c r="AL326" s="884"/>
      <c r="AM326" s="884"/>
      <c r="AN326" s="884"/>
      <c r="AO326" s="884"/>
      <c r="AP326" s="884"/>
      <c r="AQ326" s="884"/>
      <c r="AR326" s="884"/>
      <c r="AS326" s="884"/>
      <c r="AT326" s="884"/>
      <c r="AU326" s="885"/>
      <c r="CG326" s="656"/>
    </row>
    <row r="327" spans="1:85">
      <c r="A327" s="661"/>
      <c r="F327" s="880" t="s">
        <v>715</v>
      </c>
      <c r="G327" s="881"/>
      <c r="H327" s="881"/>
      <c r="I327" s="881"/>
      <c r="J327" s="881"/>
      <c r="K327" s="881"/>
      <c r="L327" s="881"/>
      <c r="M327" s="881"/>
      <c r="N327" s="882"/>
      <c r="O327" s="883" t="s">
        <v>725</v>
      </c>
      <c r="P327" s="884"/>
      <c r="Q327" s="884"/>
      <c r="R327" s="884"/>
      <c r="S327" s="884"/>
      <c r="T327" s="884"/>
      <c r="U327" s="884"/>
      <c r="V327" s="884"/>
      <c r="W327" s="884"/>
      <c r="X327" s="884"/>
      <c r="Y327" s="884"/>
      <c r="Z327" s="884"/>
      <c r="AA327" s="884"/>
      <c r="AB327" s="884"/>
      <c r="AC327" s="884"/>
      <c r="AD327" s="884"/>
      <c r="AE327" s="884"/>
      <c r="AF327" s="884"/>
      <c r="AG327" s="884"/>
      <c r="AH327" s="884"/>
      <c r="AI327" s="884"/>
      <c r="AJ327" s="884"/>
      <c r="AK327" s="884"/>
      <c r="AL327" s="884"/>
      <c r="AM327" s="884"/>
      <c r="AN327" s="884"/>
      <c r="AO327" s="884"/>
      <c r="AP327" s="884"/>
      <c r="AQ327" s="884"/>
      <c r="AR327" s="884"/>
      <c r="AS327" s="884"/>
      <c r="AT327" s="884"/>
      <c r="AU327" s="885"/>
      <c r="CG327" s="656"/>
    </row>
    <row r="328" spans="1:85">
      <c r="A328" s="661"/>
      <c r="CG328" s="656"/>
    </row>
    <row r="329" spans="1:85">
      <c r="A329" s="661"/>
      <c r="CG329" s="656"/>
    </row>
    <row r="330" spans="1:85">
      <c r="A330" s="661"/>
      <c r="F330" s="657" t="s">
        <v>561</v>
      </c>
      <c r="CG330" s="656"/>
    </row>
    <row r="331" spans="1:85">
      <c r="A331" s="661"/>
      <c r="F331" s="657" t="s">
        <v>562</v>
      </c>
      <c r="CG331" s="656"/>
    </row>
    <row r="332" spans="1:85">
      <c r="A332" s="661"/>
      <c r="F332" s="663"/>
      <c r="G332" s="663"/>
      <c r="I332" s="663"/>
      <c r="CG332" s="656"/>
    </row>
    <row r="333" spans="1:85">
      <c r="A333" s="661"/>
      <c r="CG333" s="656"/>
    </row>
    <row r="334" spans="1:85">
      <c r="A334" s="661"/>
      <c r="CG334" s="656"/>
    </row>
    <row r="335" spans="1:85">
      <c r="A335" s="661"/>
      <c r="F335" s="663"/>
      <c r="G335" s="663"/>
      <c r="I335" s="663"/>
      <c r="CG335" s="656"/>
    </row>
    <row r="336" spans="1:85">
      <c r="A336" s="661"/>
      <c r="CG336" s="656"/>
    </row>
    <row r="337" spans="1:85">
      <c r="A337" s="661"/>
      <c r="CG337" s="656"/>
    </row>
    <row r="338" spans="1:85">
      <c r="A338" s="661"/>
      <c r="F338" s="663"/>
      <c r="G338" s="663"/>
      <c r="I338" s="663"/>
      <c r="CG338" s="656"/>
    </row>
    <row r="339" spans="1:85">
      <c r="A339" s="661"/>
      <c r="CG339" s="656"/>
    </row>
    <row r="340" spans="1:85">
      <c r="A340" s="661"/>
      <c r="CG340" s="656"/>
    </row>
    <row r="341" spans="1:85">
      <c r="A341" s="661"/>
      <c r="F341" s="663"/>
      <c r="G341" s="663"/>
      <c r="I341" s="663"/>
      <c r="CG341" s="656"/>
    </row>
    <row r="342" spans="1:85">
      <c r="A342" s="661"/>
      <c r="CG342" s="656"/>
    </row>
    <row r="343" spans="1:85">
      <c r="A343" s="673"/>
      <c r="B343" s="674"/>
      <c r="C343" s="674"/>
      <c r="D343" s="674"/>
      <c r="E343" s="674"/>
      <c r="F343" s="674"/>
      <c r="G343" s="674"/>
      <c r="H343" s="674"/>
      <c r="I343" s="674"/>
      <c r="J343" s="674"/>
      <c r="K343" s="674"/>
      <c r="L343" s="674"/>
      <c r="M343" s="67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  <c r="AG343" s="674"/>
      <c r="AH343" s="674"/>
      <c r="AI343" s="674"/>
      <c r="AJ343" s="674"/>
      <c r="AK343" s="674"/>
      <c r="AL343" s="674"/>
      <c r="AM343" s="674"/>
      <c r="AN343" s="674"/>
      <c r="AO343" s="674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/>
      <c r="BF343" s="674"/>
      <c r="BG343" s="674"/>
      <c r="BH343" s="674"/>
      <c r="BI343" s="674"/>
      <c r="BJ343" s="674"/>
      <c r="BK343" s="674"/>
      <c r="BL343" s="674"/>
      <c r="BM343" s="674"/>
      <c r="BN343" s="674"/>
      <c r="BO343" s="674"/>
      <c r="BP343" s="674"/>
      <c r="BQ343" s="674"/>
      <c r="BR343" s="674"/>
      <c r="BS343" s="674"/>
      <c r="BT343" s="674"/>
      <c r="BU343" s="674"/>
      <c r="BV343" s="674"/>
      <c r="BW343" s="674"/>
      <c r="BX343" s="674"/>
      <c r="BY343" s="674"/>
      <c r="BZ343" s="674"/>
      <c r="CA343" s="674"/>
      <c r="CB343" s="674"/>
      <c r="CC343" s="674"/>
      <c r="CD343" s="674"/>
      <c r="CE343" s="674"/>
      <c r="CF343" s="674"/>
      <c r="CG343" s="675"/>
    </row>
    <row r="344" spans="1:85">
      <c r="A344" s="661"/>
    </row>
    <row r="345" spans="1:85">
      <c r="A345" s="661"/>
    </row>
    <row r="346" spans="1:85">
      <c r="A346" s="661"/>
    </row>
    <row r="347" spans="1:85">
      <c r="A347" s="661"/>
    </row>
    <row r="348" spans="1:85">
      <c r="A348" s="661"/>
    </row>
    <row r="349" spans="1:85">
      <c r="A349" s="661"/>
    </row>
    <row r="350" spans="1:85">
      <c r="A350" s="661"/>
    </row>
    <row r="351" spans="1:85">
      <c r="A351" s="661"/>
    </row>
    <row r="352" spans="1:85">
      <c r="A352" s="661"/>
    </row>
    <row r="353" spans="1:1">
      <c r="A353" s="661"/>
    </row>
    <row r="354" spans="1:1">
      <c r="A354" s="661"/>
    </row>
    <row r="355" spans="1:1">
      <c r="A355" s="661"/>
    </row>
    <row r="356" spans="1:1">
      <c r="A356" s="661"/>
    </row>
    <row r="357" spans="1:1">
      <c r="A357" s="661"/>
    </row>
    <row r="358" spans="1:1">
      <c r="A358" s="661"/>
    </row>
    <row r="359" spans="1:1">
      <c r="A359" s="661"/>
    </row>
    <row r="360" spans="1:1">
      <c r="A360" s="661"/>
    </row>
    <row r="361" spans="1:1">
      <c r="A361" s="661"/>
    </row>
    <row r="362" spans="1:1">
      <c r="A362" s="661"/>
    </row>
    <row r="363" spans="1:1">
      <c r="A363" s="661"/>
    </row>
    <row r="364" spans="1:1">
      <c r="A364" s="661"/>
    </row>
    <row r="365" spans="1:1">
      <c r="A365" s="661"/>
    </row>
    <row r="366" spans="1:1">
      <c r="A366" s="661"/>
    </row>
  </sheetData>
  <mergeCells count="147">
    <mergeCell ref="AW196:BB196"/>
    <mergeCell ref="AW197:BB197"/>
    <mergeCell ref="AW198:BB198"/>
    <mergeCell ref="G110:N110"/>
    <mergeCell ref="O110:AA110"/>
    <mergeCell ref="G111:N111"/>
    <mergeCell ref="O111:AA111"/>
    <mergeCell ref="G112:N112"/>
    <mergeCell ref="O112:AA112"/>
    <mergeCell ref="F156:N156"/>
    <mergeCell ref="O156:AU156"/>
    <mergeCell ref="G163:N163"/>
    <mergeCell ref="O163:AA163"/>
    <mergeCell ref="G164:N164"/>
    <mergeCell ref="O164:AA164"/>
    <mergeCell ref="G165:N165"/>
    <mergeCell ref="O165:AA165"/>
    <mergeCell ref="G160:N160"/>
    <mergeCell ref="O160:AA160"/>
    <mergeCell ref="G161:N161"/>
    <mergeCell ref="O161:AA161"/>
    <mergeCell ref="G162:N162"/>
    <mergeCell ref="O162:AA162"/>
    <mergeCell ref="G166:N166"/>
    <mergeCell ref="A1:M1"/>
    <mergeCell ref="F96:N96"/>
    <mergeCell ref="O96:AU96"/>
    <mergeCell ref="F97:N98"/>
    <mergeCell ref="O97:AU97"/>
    <mergeCell ref="O98:AU98"/>
    <mergeCell ref="G116:N116"/>
    <mergeCell ref="O116:AA116"/>
    <mergeCell ref="F155:N155"/>
    <mergeCell ref="O155:AU155"/>
    <mergeCell ref="G113:N113"/>
    <mergeCell ref="O113:AA113"/>
    <mergeCell ref="G114:N114"/>
    <mergeCell ref="O114:AA114"/>
    <mergeCell ref="G115:N115"/>
    <mergeCell ref="O115:AA115"/>
    <mergeCell ref="G117:N117"/>
    <mergeCell ref="O117:AA117"/>
    <mergeCell ref="H185:V186"/>
    <mergeCell ref="W185:AK185"/>
    <mergeCell ref="AL185:AQ185"/>
    <mergeCell ref="AR185:AX185"/>
    <mergeCell ref="W186:AK186"/>
    <mergeCell ref="AL186:AQ186"/>
    <mergeCell ref="AR186:AX186"/>
    <mergeCell ref="O166:AA166"/>
    <mergeCell ref="G167:N167"/>
    <mergeCell ref="O167:AA167"/>
    <mergeCell ref="G168:N168"/>
    <mergeCell ref="O168:AA168"/>
    <mergeCell ref="H183:AK183"/>
    <mergeCell ref="AL183:AX183"/>
    <mergeCell ref="H184:AK184"/>
    <mergeCell ref="AL184:AQ184"/>
    <mergeCell ref="AR184:AX184"/>
    <mergeCell ref="BC193:BI193"/>
    <mergeCell ref="AW192:BI192"/>
    <mergeCell ref="AW194:BB194"/>
    <mergeCell ref="AW195:BB195"/>
    <mergeCell ref="H187:V187"/>
    <mergeCell ref="W187:AK187"/>
    <mergeCell ref="AL187:AQ187"/>
    <mergeCell ref="AR187:AX187"/>
    <mergeCell ref="H188:V188"/>
    <mergeCell ref="W188:AK188"/>
    <mergeCell ref="AL188:AQ188"/>
    <mergeCell ref="AR188:AX188"/>
    <mergeCell ref="AR194:AT194"/>
    <mergeCell ref="AU194:AV194"/>
    <mergeCell ref="F192:AV192"/>
    <mergeCell ref="F193:AI193"/>
    <mergeCell ref="AJ193:AL193"/>
    <mergeCell ref="AM193:AQ193"/>
    <mergeCell ref="AR193:AT193"/>
    <mergeCell ref="AU193:AV193"/>
    <mergeCell ref="AW193:BB193"/>
    <mergeCell ref="AU196:AV196"/>
    <mergeCell ref="BC196:BI196"/>
    <mergeCell ref="F197:T197"/>
    <mergeCell ref="U197:AI197"/>
    <mergeCell ref="AJ197:AL197"/>
    <mergeCell ref="AM197:AQ197"/>
    <mergeCell ref="AR197:AT197"/>
    <mergeCell ref="AU197:AV197"/>
    <mergeCell ref="F194:T196"/>
    <mergeCell ref="U196:AI196"/>
    <mergeCell ref="AJ196:AL196"/>
    <mergeCell ref="AM196:AQ196"/>
    <mergeCell ref="AR196:AT196"/>
    <mergeCell ref="BC197:BI197"/>
    <mergeCell ref="BC194:BI194"/>
    <mergeCell ref="U195:AI195"/>
    <mergeCell ref="AJ195:AL195"/>
    <mergeCell ref="AM195:AQ195"/>
    <mergeCell ref="AR195:AT195"/>
    <mergeCell ref="AU195:AV195"/>
    <mergeCell ref="BC195:BI195"/>
    <mergeCell ref="U194:AI194"/>
    <mergeCell ref="AJ194:AL194"/>
    <mergeCell ref="AM194:AQ194"/>
    <mergeCell ref="F198:T198"/>
    <mergeCell ref="U198:AI198"/>
    <mergeCell ref="AJ198:AL198"/>
    <mergeCell ref="AM198:AQ198"/>
    <mergeCell ref="AR198:AT198"/>
    <mergeCell ref="AU198:AV198"/>
    <mergeCell ref="BC198:BI198"/>
    <mergeCell ref="AF312:BC312"/>
    <mergeCell ref="BD312:CA312"/>
    <mergeCell ref="H313:J313"/>
    <mergeCell ref="K313:U313"/>
    <mergeCell ref="V313:AE316"/>
    <mergeCell ref="AF313:BC316"/>
    <mergeCell ref="BD313:CA316"/>
    <mergeCell ref="H310:J310"/>
    <mergeCell ref="K310:U310"/>
    <mergeCell ref="V310:AE310"/>
    <mergeCell ref="AF310:BC310"/>
    <mergeCell ref="BD310:CA310"/>
    <mergeCell ref="H311:J311"/>
    <mergeCell ref="K311:U311"/>
    <mergeCell ref="V311:AE311"/>
    <mergeCell ref="AF311:BC311"/>
    <mergeCell ref="BD311:CA311"/>
    <mergeCell ref="H314:J314"/>
    <mergeCell ref="K314:U314"/>
    <mergeCell ref="H315:J315"/>
    <mergeCell ref="K315:U315"/>
    <mergeCell ref="H316:J316"/>
    <mergeCell ref="K316:U316"/>
    <mergeCell ref="H312:J312"/>
    <mergeCell ref="K312:U312"/>
    <mergeCell ref="V312:AE312"/>
    <mergeCell ref="F327:N327"/>
    <mergeCell ref="O327:AU327"/>
    <mergeCell ref="F321:N321"/>
    <mergeCell ref="O321:AU321"/>
    <mergeCell ref="F324:N324"/>
    <mergeCell ref="O324:AU324"/>
    <mergeCell ref="F325:N325"/>
    <mergeCell ref="O325:AU325"/>
    <mergeCell ref="F326:N326"/>
    <mergeCell ref="O326:AU326"/>
  </mergeCells>
  <phoneticPr fontId="57"/>
  <dataValidations count="1">
    <dataValidation type="list" allowBlank="1" showInputMessage="1" showErrorMessage="1" sqref="WVZ983252:WWE983273 WMD983252:WMI983273 WCH983252:WCM983273 VSL983252:VSQ983273 VIP983252:VIU983273 UYT983252:UYY983273 UOX983252:UPC983273 UFB983252:UFG983273 TVF983252:TVK983273 TLJ983252:TLO983273 TBN983252:TBS983273 SRR983252:SRW983273 SHV983252:SIA983273 RXZ983252:RYE983273 ROD983252:ROI983273 REH983252:REM983273 QUL983252:QUQ983273 QKP983252:QKU983273 QAT983252:QAY983273 PQX983252:PRC983273 PHB983252:PHG983273 OXF983252:OXK983273 ONJ983252:ONO983273 ODN983252:ODS983273 NTR983252:NTW983273 NJV983252:NKA983273 MZZ983252:NAE983273 MQD983252:MQI983273 MGH983252:MGM983273 LWL983252:LWQ983273 LMP983252:LMU983273 LCT983252:LCY983273 KSX983252:KTC983273 KJB983252:KJG983273 JZF983252:JZK983273 JPJ983252:JPO983273 JFN983252:JFS983273 IVR983252:IVW983273 ILV983252:IMA983273 IBZ983252:ICE983273 HSD983252:HSI983273 HIH983252:HIM983273 GYL983252:GYQ983273 GOP983252:GOU983273 GET983252:GEY983273 FUX983252:FVC983273 FLB983252:FLG983273 FBF983252:FBK983273 ERJ983252:ERO983273 EHN983252:EHS983273 DXR983252:DXW983273 DNV983252:DOA983273 DDZ983252:DEE983273 CUD983252:CUI983273 CKH983252:CKM983273 CAL983252:CAQ983273 BQP983252:BQU983273 BGT983252:BGY983273 AWX983252:AXC983273 ANB983252:ANG983273 ADF983252:ADK983273 TJ983252:TO983273 JN983252:JS983273 J983276:O983297 WVZ917716:WWE917737 WMD917716:WMI917737 WCH917716:WCM917737 VSL917716:VSQ917737 VIP917716:VIU917737 UYT917716:UYY917737 UOX917716:UPC917737 UFB917716:UFG917737 TVF917716:TVK917737 TLJ917716:TLO917737 TBN917716:TBS917737 SRR917716:SRW917737 SHV917716:SIA917737 RXZ917716:RYE917737 ROD917716:ROI917737 REH917716:REM917737 QUL917716:QUQ917737 QKP917716:QKU917737 QAT917716:QAY917737 PQX917716:PRC917737 PHB917716:PHG917737 OXF917716:OXK917737 ONJ917716:ONO917737 ODN917716:ODS917737 NTR917716:NTW917737 NJV917716:NKA917737 MZZ917716:NAE917737 MQD917716:MQI917737 MGH917716:MGM917737 LWL917716:LWQ917737 LMP917716:LMU917737 LCT917716:LCY917737 KSX917716:KTC917737 KJB917716:KJG917737 JZF917716:JZK917737 JPJ917716:JPO917737 JFN917716:JFS917737 IVR917716:IVW917737 ILV917716:IMA917737 IBZ917716:ICE917737 HSD917716:HSI917737 HIH917716:HIM917737 GYL917716:GYQ917737 GOP917716:GOU917737 GET917716:GEY917737 FUX917716:FVC917737 FLB917716:FLG917737 FBF917716:FBK917737 ERJ917716:ERO917737 EHN917716:EHS917737 DXR917716:DXW917737 DNV917716:DOA917737 DDZ917716:DEE917737 CUD917716:CUI917737 CKH917716:CKM917737 CAL917716:CAQ917737 BQP917716:BQU917737 BGT917716:BGY917737 AWX917716:AXC917737 ANB917716:ANG917737 ADF917716:ADK917737 TJ917716:TO917737 JN917716:JS917737 J917740:O917761 WVZ852180:WWE852201 WMD852180:WMI852201 WCH852180:WCM852201 VSL852180:VSQ852201 VIP852180:VIU852201 UYT852180:UYY852201 UOX852180:UPC852201 UFB852180:UFG852201 TVF852180:TVK852201 TLJ852180:TLO852201 TBN852180:TBS852201 SRR852180:SRW852201 SHV852180:SIA852201 RXZ852180:RYE852201 ROD852180:ROI852201 REH852180:REM852201 QUL852180:QUQ852201 QKP852180:QKU852201 QAT852180:QAY852201 PQX852180:PRC852201 PHB852180:PHG852201 OXF852180:OXK852201 ONJ852180:ONO852201 ODN852180:ODS852201 NTR852180:NTW852201 NJV852180:NKA852201 MZZ852180:NAE852201 MQD852180:MQI852201 MGH852180:MGM852201 LWL852180:LWQ852201 LMP852180:LMU852201 LCT852180:LCY852201 KSX852180:KTC852201 KJB852180:KJG852201 JZF852180:JZK852201 JPJ852180:JPO852201 JFN852180:JFS852201 IVR852180:IVW852201 ILV852180:IMA852201 IBZ852180:ICE852201 HSD852180:HSI852201 HIH852180:HIM852201 GYL852180:GYQ852201 GOP852180:GOU852201 GET852180:GEY852201 FUX852180:FVC852201 FLB852180:FLG852201 FBF852180:FBK852201 ERJ852180:ERO852201 EHN852180:EHS852201 DXR852180:DXW852201 DNV852180:DOA852201 DDZ852180:DEE852201 CUD852180:CUI852201 CKH852180:CKM852201 CAL852180:CAQ852201 BQP852180:BQU852201 BGT852180:BGY852201 AWX852180:AXC852201 ANB852180:ANG852201 ADF852180:ADK852201 TJ852180:TO852201 JN852180:JS852201 J852204:O852225 WVZ786644:WWE786665 WMD786644:WMI786665 WCH786644:WCM786665 VSL786644:VSQ786665 VIP786644:VIU786665 UYT786644:UYY786665 UOX786644:UPC786665 UFB786644:UFG786665 TVF786644:TVK786665 TLJ786644:TLO786665 TBN786644:TBS786665 SRR786644:SRW786665 SHV786644:SIA786665 RXZ786644:RYE786665 ROD786644:ROI786665 REH786644:REM786665 QUL786644:QUQ786665 QKP786644:QKU786665 QAT786644:QAY786665 PQX786644:PRC786665 PHB786644:PHG786665 OXF786644:OXK786665 ONJ786644:ONO786665 ODN786644:ODS786665 NTR786644:NTW786665 NJV786644:NKA786665 MZZ786644:NAE786665 MQD786644:MQI786665 MGH786644:MGM786665 LWL786644:LWQ786665 LMP786644:LMU786665 LCT786644:LCY786665 KSX786644:KTC786665 KJB786644:KJG786665 JZF786644:JZK786665 JPJ786644:JPO786665 JFN786644:JFS786665 IVR786644:IVW786665 ILV786644:IMA786665 IBZ786644:ICE786665 HSD786644:HSI786665 HIH786644:HIM786665 GYL786644:GYQ786665 GOP786644:GOU786665 GET786644:GEY786665 FUX786644:FVC786665 FLB786644:FLG786665 FBF786644:FBK786665 ERJ786644:ERO786665 EHN786644:EHS786665 DXR786644:DXW786665 DNV786644:DOA786665 DDZ786644:DEE786665 CUD786644:CUI786665 CKH786644:CKM786665 CAL786644:CAQ786665 BQP786644:BQU786665 BGT786644:BGY786665 AWX786644:AXC786665 ANB786644:ANG786665 ADF786644:ADK786665 TJ786644:TO786665 JN786644:JS786665 J786668:O786689 WVZ721108:WWE721129 WMD721108:WMI721129 WCH721108:WCM721129 VSL721108:VSQ721129 VIP721108:VIU721129 UYT721108:UYY721129 UOX721108:UPC721129 UFB721108:UFG721129 TVF721108:TVK721129 TLJ721108:TLO721129 TBN721108:TBS721129 SRR721108:SRW721129 SHV721108:SIA721129 RXZ721108:RYE721129 ROD721108:ROI721129 REH721108:REM721129 QUL721108:QUQ721129 QKP721108:QKU721129 QAT721108:QAY721129 PQX721108:PRC721129 PHB721108:PHG721129 OXF721108:OXK721129 ONJ721108:ONO721129 ODN721108:ODS721129 NTR721108:NTW721129 NJV721108:NKA721129 MZZ721108:NAE721129 MQD721108:MQI721129 MGH721108:MGM721129 LWL721108:LWQ721129 LMP721108:LMU721129 LCT721108:LCY721129 KSX721108:KTC721129 KJB721108:KJG721129 JZF721108:JZK721129 JPJ721108:JPO721129 JFN721108:JFS721129 IVR721108:IVW721129 ILV721108:IMA721129 IBZ721108:ICE721129 HSD721108:HSI721129 HIH721108:HIM721129 GYL721108:GYQ721129 GOP721108:GOU721129 GET721108:GEY721129 FUX721108:FVC721129 FLB721108:FLG721129 FBF721108:FBK721129 ERJ721108:ERO721129 EHN721108:EHS721129 DXR721108:DXW721129 DNV721108:DOA721129 DDZ721108:DEE721129 CUD721108:CUI721129 CKH721108:CKM721129 CAL721108:CAQ721129 BQP721108:BQU721129 BGT721108:BGY721129 AWX721108:AXC721129 ANB721108:ANG721129 ADF721108:ADK721129 TJ721108:TO721129 JN721108:JS721129 J721132:O721153 WVZ655572:WWE655593 WMD655572:WMI655593 WCH655572:WCM655593 VSL655572:VSQ655593 VIP655572:VIU655593 UYT655572:UYY655593 UOX655572:UPC655593 UFB655572:UFG655593 TVF655572:TVK655593 TLJ655572:TLO655593 TBN655572:TBS655593 SRR655572:SRW655593 SHV655572:SIA655593 RXZ655572:RYE655593 ROD655572:ROI655593 REH655572:REM655593 QUL655572:QUQ655593 QKP655572:QKU655593 QAT655572:QAY655593 PQX655572:PRC655593 PHB655572:PHG655593 OXF655572:OXK655593 ONJ655572:ONO655593 ODN655572:ODS655593 NTR655572:NTW655593 NJV655572:NKA655593 MZZ655572:NAE655593 MQD655572:MQI655593 MGH655572:MGM655593 LWL655572:LWQ655593 LMP655572:LMU655593 LCT655572:LCY655593 KSX655572:KTC655593 KJB655572:KJG655593 JZF655572:JZK655593 JPJ655572:JPO655593 JFN655572:JFS655593 IVR655572:IVW655593 ILV655572:IMA655593 IBZ655572:ICE655593 HSD655572:HSI655593 HIH655572:HIM655593 GYL655572:GYQ655593 GOP655572:GOU655593 GET655572:GEY655593 FUX655572:FVC655593 FLB655572:FLG655593 FBF655572:FBK655593 ERJ655572:ERO655593 EHN655572:EHS655593 DXR655572:DXW655593 DNV655572:DOA655593 DDZ655572:DEE655593 CUD655572:CUI655593 CKH655572:CKM655593 CAL655572:CAQ655593 BQP655572:BQU655593 BGT655572:BGY655593 AWX655572:AXC655593 ANB655572:ANG655593 ADF655572:ADK655593 TJ655572:TO655593 JN655572:JS655593 J655596:O655617 WVZ590036:WWE590057 WMD590036:WMI590057 WCH590036:WCM590057 VSL590036:VSQ590057 VIP590036:VIU590057 UYT590036:UYY590057 UOX590036:UPC590057 UFB590036:UFG590057 TVF590036:TVK590057 TLJ590036:TLO590057 TBN590036:TBS590057 SRR590036:SRW590057 SHV590036:SIA590057 RXZ590036:RYE590057 ROD590036:ROI590057 REH590036:REM590057 QUL590036:QUQ590057 QKP590036:QKU590057 QAT590036:QAY590057 PQX590036:PRC590057 PHB590036:PHG590057 OXF590036:OXK590057 ONJ590036:ONO590057 ODN590036:ODS590057 NTR590036:NTW590057 NJV590036:NKA590057 MZZ590036:NAE590057 MQD590036:MQI590057 MGH590036:MGM590057 LWL590036:LWQ590057 LMP590036:LMU590057 LCT590036:LCY590057 KSX590036:KTC590057 KJB590036:KJG590057 JZF590036:JZK590057 JPJ590036:JPO590057 JFN590036:JFS590057 IVR590036:IVW590057 ILV590036:IMA590057 IBZ590036:ICE590057 HSD590036:HSI590057 HIH590036:HIM590057 GYL590036:GYQ590057 GOP590036:GOU590057 GET590036:GEY590057 FUX590036:FVC590057 FLB590036:FLG590057 FBF590036:FBK590057 ERJ590036:ERO590057 EHN590036:EHS590057 DXR590036:DXW590057 DNV590036:DOA590057 DDZ590036:DEE590057 CUD590036:CUI590057 CKH590036:CKM590057 CAL590036:CAQ590057 BQP590036:BQU590057 BGT590036:BGY590057 AWX590036:AXC590057 ANB590036:ANG590057 ADF590036:ADK590057 TJ590036:TO590057 JN590036:JS590057 J590060:O590081 WVZ524500:WWE524521 WMD524500:WMI524521 WCH524500:WCM524521 VSL524500:VSQ524521 VIP524500:VIU524521 UYT524500:UYY524521 UOX524500:UPC524521 UFB524500:UFG524521 TVF524500:TVK524521 TLJ524500:TLO524521 TBN524500:TBS524521 SRR524500:SRW524521 SHV524500:SIA524521 RXZ524500:RYE524521 ROD524500:ROI524521 REH524500:REM524521 QUL524500:QUQ524521 QKP524500:QKU524521 QAT524500:QAY524521 PQX524500:PRC524521 PHB524500:PHG524521 OXF524500:OXK524521 ONJ524500:ONO524521 ODN524500:ODS524521 NTR524500:NTW524521 NJV524500:NKA524521 MZZ524500:NAE524521 MQD524500:MQI524521 MGH524500:MGM524521 LWL524500:LWQ524521 LMP524500:LMU524521 LCT524500:LCY524521 KSX524500:KTC524521 KJB524500:KJG524521 JZF524500:JZK524521 JPJ524500:JPO524521 JFN524500:JFS524521 IVR524500:IVW524521 ILV524500:IMA524521 IBZ524500:ICE524521 HSD524500:HSI524521 HIH524500:HIM524521 GYL524500:GYQ524521 GOP524500:GOU524521 GET524500:GEY524521 FUX524500:FVC524521 FLB524500:FLG524521 FBF524500:FBK524521 ERJ524500:ERO524521 EHN524500:EHS524521 DXR524500:DXW524521 DNV524500:DOA524521 DDZ524500:DEE524521 CUD524500:CUI524521 CKH524500:CKM524521 CAL524500:CAQ524521 BQP524500:BQU524521 BGT524500:BGY524521 AWX524500:AXC524521 ANB524500:ANG524521 ADF524500:ADK524521 TJ524500:TO524521 JN524500:JS524521 J524524:O524545 WVZ458964:WWE458985 WMD458964:WMI458985 WCH458964:WCM458985 VSL458964:VSQ458985 VIP458964:VIU458985 UYT458964:UYY458985 UOX458964:UPC458985 UFB458964:UFG458985 TVF458964:TVK458985 TLJ458964:TLO458985 TBN458964:TBS458985 SRR458964:SRW458985 SHV458964:SIA458985 RXZ458964:RYE458985 ROD458964:ROI458985 REH458964:REM458985 QUL458964:QUQ458985 QKP458964:QKU458985 QAT458964:QAY458985 PQX458964:PRC458985 PHB458964:PHG458985 OXF458964:OXK458985 ONJ458964:ONO458985 ODN458964:ODS458985 NTR458964:NTW458985 NJV458964:NKA458985 MZZ458964:NAE458985 MQD458964:MQI458985 MGH458964:MGM458985 LWL458964:LWQ458985 LMP458964:LMU458985 LCT458964:LCY458985 KSX458964:KTC458985 KJB458964:KJG458985 JZF458964:JZK458985 JPJ458964:JPO458985 JFN458964:JFS458985 IVR458964:IVW458985 ILV458964:IMA458985 IBZ458964:ICE458985 HSD458964:HSI458985 HIH458964:HIM458985 GYL458964:GYQ458985 GOP458964:GOU458985 GET458964:GEY458985 FUX458964:FVC458985 FLB458964:FLG458985 FBF458964:FBK458985 ERJ458964:ERO458985 EHN458964:EHS458985 DXR458964:DXW458985 DNV458964:DOA458985 DDZ458964:DEE458985 CUD458964:CUI458985 CKH458964:CKM458985 CAL458964:CAQ458985 BQP458964:BQU458985 BGT458964:BGY458985 AWX458964:AXC458985 ANB458964:ANG458985 ADF458964:ADK458985 TJ458964:TO458985 JN458964:JS458985 J458988:O459009 WVZ393428:WWE393449 WMD393428:WMI393449 WCH393428:WCM393449 VSL393428:VSQ393449 VIP393428:VIU393449 UYT393428:UYY393449 UOX393428:UPC393449 UFB393428:UFG393449 TVF393428:TVK393449 TLJ393428:TLO393449 TBN393428:TBS393449 SRR393428:SRW393449 SHV393428:SIA393449 RXZ393428:RYE393449 ROD393428:ROI393449 REH393428:REM393449 QUL393428:QUQ393449 QKP393428:QKU393449 QAT393428:QAY393449 PQX393428:PRC393449 PHB393428:PHG393449 OXF393428:OXK393449 ONJ393428:ONO393449 ODN393428:ODS393449 NTR393428:NTW393449 NJV393428:NKA393449 MZZ393428:NAE393449 MQD393428:MQI393449 MGH393428:MGM393449 LWL393428:LWQ393449 LMP393428:LMU393449 LCT393428:LCY393449 KSX393428:KTC393449 KJB393428:KJG393449 JZF393428:JZK393449 JPJ393428:JPO393449 JFN393428:JFS393449 IVR393428:IVW393449 ILV393428:IMA393449 IBZ393428:ICE393449 HSD393428:HSI393449 HIH393428:HIM393449 GYL393428:GYQ393449 GOP393428:GOU393449 GET393428:GEY393449 FUX393428:FVC393449 FLB393428:FLG393449 FBF393428:FBK393449 ERJ393428:ERO393449 EHN393428:EHS393449 DXR393428:DXW393449 DNV393428:DOA393449 DDZ393428:DEE393449 CUD393428:CUI393449 CKH393428:CKM393449 CAL393428:CAQ393449 BQP393428:BQU393449 BGT393428:BGY393449 AWX393428:AXC393449 ANB393428:ANG393449 ADF393428:ADK393449 TJ393428:TO393449 JN393428:JS393449 J393452:O393473 WVZ327892:WWE327913 WMD327892:WMI327913 WCH327892:WCM327913 VSL327892:VSQ327913 VIP327892:VIU327913 UYT327892:UYY327913 UOX327892:UPC327913 UFB327892:UFG327913 TVF327892:TVK327913 TLJ327892:TLO327913 TBN327892:TBS327913 SRR327892:SRW327913 SHV327892:SIA327913 RXZ327892:RYE327913 ROD327892:ROI327913 REH327892:REM327913 QUL327892:QUQ327913 QKP327892:QKU327913 QAT327892:QAY327913 PQX327892:PRC327913 PHB327892:PHG327913 OXF327892:OXK327913 ONJ327892:ONO327913 ODN327892:ODS327913 NTR327892:NTW327913 NJV327892:NKA327913 MZZ327892:NAE327913 MQD327892:MQI327913 MGH327892:MGM327913 LWL327892:LWQ327913 LMP327892:LMU327913 LCT327892:LCY327913 KSX327892:KTC327913 KJB327892:KJG327913 JZF327892:JZK327913 JPJ327892:JPO327913 JFN327892:JFS327913 IVR327892:IVW327913 ILV327892:IMA327913 IBZ327892:ICE327913 HSD327892:HSI327913 HIH327892:HIM327913 GYL327892:GYQ327913 GOP327892:GOU327913 GET327892:GEY327913 FUX327892:FVC327913 FLB327892:FLG327913 FBF327892:FBK327913 ERJ327892:ERO327913 EHN327892:EHS327913 DXR327892:DXW327913 DNV327892:DOA327913 DDZ327892:DEE327913 CUD327892:CUI327913 CKH327892:CKM327913 CAL327892:CAQ327913 BQP327892:BQU327913 BGT327892:BGY327913 AWX327892:AXC327913 ANB327892:ANG327913 ADF327892:ADK327913 TJ327892:TO327913 JN327892:JS327913 J327916:O327937 WVZ262356:WWE262377 WMD262356:WMI262377 WCH262356:WCM262377 VSL262356:VSQ262377 VIP262356:VIU262377 UYT262356:UYY262377 UOX262356:UPC262377 UFB262356:UFG262377 TVF262356:TVK262377 TLJ262356:TLO262377 TBN262356:TBS262377 SRR262356:SRW262377 SHV262356:SIA262377 RXZ262356:RYE262377 ROD262356:ROI262377 REH262356:REM262377 QUL262356:QUQ262377 QKP262356:QKU262377 QAT262356:QAY262377 PQX262356:PRC262377 PHB262356:PHG262377 OXF262356:OXK262377 ONJ262356:ONO262377 ODN262356:ODS262377 NTR262356:NTW262377 NJV262356:NKA262377 MZZ262356:NAE262377 MQD262356:MQI262377 MGH262356:MGM262377 LWL262356:LWQ262377 LMP262356:LMU262377 LCT262356:LCY262377 KSX262356:KTC262377 KJB262356:KJG262377 JZF262356:JZK262377 JPJ262356:JPO262377 JFN262356:JFS262377 IVR262356:IVW262377 ILV262356:IMA262377 IBZ262356:ICE262377 HSD262356:HSI262377 HIH262356:HIM262377 GYL262356:GYQ262377 GOP262356:GOU262377 GET262356:GEY262377 FUX262356:FVC262377 FLB262356:FLG262377 FBF262356:FBK262377 ERJ262356:ERO262377 EHN262356:EHS262377 DXR262356:DXW262377 DNV262356:DOA262377 DDZ262356:DEE262377 CUD262356:CUI262377 CKH262356:CKM262377 CAL262356:CAQ262377 BQP262356:BQU262377 BGT262356:BGY262377 AWX262356:AXC262377 ANB262356:ANG262377 ADF262356:ADK262377 TJ262356:TO262377 JN262356:JS262377 J262380:O262401 WVZ196820:WWE196841 WMD196820:WMI196841 WCH196820:WCM196841 VSL196820:VSQ196841 VIP196820:VIU196841 UYT196820:UYY196841 UOX196820:UPC196841 UFB196820:UFG196841 TVF196820:TVK196841 TLJ196820:TLO196841 TBN196820:TBS196841 SRR196820:SRW196841 SHV196820:SIA196841 RXZ196820:RYE196841 ROD196820:ROI196841 REH196820:REM196841 QUL196820:QUQ196841 QKP196820:QKU196841 QAT196820:QAY196841 PQX196820:PRC196841 PHB196820:PHG196841 OXF196820:OXK196841 ONJ196820:ONO196841 ODN196820:ODS196841 NTR196820:NTW196841 NJV196820:NKA196841 MZZ196820:NAE196841 MQD196820:MQI196841 MGH196820:MGM196841 LWL196820:LWQ196841 LMP196820:LMU196841 LCT196820:LCY196841 KSX196820:KTC196841 KJB196820:KJG196841 JZF196820:JZK196841 JPJ196820:JPO196841 JFN196820:JFS196841 IVR196820:IVW196841 ILV196820:IMA196841 IBZ196820:ICE196841 HSD196820:HSI196841 HIH196820:HIM196841 GYL196820:GYQ196841 GOP196820:GOU196841 GET196820:GEY196841 FUX196820:FVC196841 FLB196820:FLG196841 FBF196820:FBK196841 ERJ196820:ERO196841 EHN196820:EHS196841 DXR196820:DXW196841 DNV196820:DOA196841 DDZ196820:DEE196841 CUD196820:CUI196841 CKH196820:CKM196841 CAL196820:CAQ196841 BQP196820:BQU196841 BGT196820:BGY196841 AWX196820:AXC196841 ANB196820:ANG196841 ADF196820:ADK196841 TJ196820:TO196841 JN196820:JS196841 J196844:O196865 WVZ131284:WWE131305 WMD131284:WMI131305 WCH131284:WCM131305 VSL131284:VSQ131305 VIP131284:VIU131305 UYT131284:UYY131305 UOX131284:UPC131305 UFB131284:UFG131305 TVF131284:TVK131305 TLJ131284:TLO131305 TBN131284:TBS131305 SRR131284:SRW131305 SHV131284:SIA131305 RXZ131284:RYE131305 ROD131284:ROI131305 REH131284:REM131305 QUL131284:QUQ131305 QKP131284:QKU131305 QAT131284:QAY131305 PQX131284:PRC131305 PHB131284:PHG131305 OXF131284:OXK131305 ONJ131284:ONO131305 ODN131284:ODS131305 NTR131284:NTW131305 NJV131284:NKA131305 MZZ131284:NAE131305 MQD131284:MQI131305 MGH131284:MGM131305 LWL131284:LWQ131305 LMP131284:LMU131305 LCT131284:LCY131305 KSX131284:KTC131305 KJB131284:KJG131305 JZF131284:JZK131305 JPJ131284:JPO131305 JFN131284:JFS131305 IVR131284:IVW131305 ILV131284:IMA131305 IBZ131284:ICE131305 HSD131284:HSI131305 HIH131284:HIM131305 GYL131284:GYQ131305 GOP131284:GOU131305 GET131284:GEY131305 FUX131284:FVC131305 FLB131284:FLG131305 FBF131284:FBK131305 ERJ131284:ERO131305 EHN131284:EHS131305 DXR131284:DXW131305 DNV131284:DOA131305 DDZ131284:DEE131305 CUD131284:CUI131305 CKH131284:CKM131305 CAL131284:CAQ131305 BQP131284:BQU131305 BGT131284:BGY131305 AWX131284:AXC131305 ANB131284:ANG131305 ADF131284:ADK131305 TJ131284:TO131305 JN131284:JS131305 J131308:O131329 WVZ65748:WWE65769 WMD65748:WMI65769 WCH65748:WCM65769 VSL65748:VSQ65769 VIP65748:VIU65769 UYT65748:UYY65769 UOX65748:UPC65769 UFB65748:UFG65769 TVF65748:TVK65769 TLJ65748:TLO65769 TBN65748:TBS65769 SRR65748:SRW65769 SHV65748:SIA65769 RXZ65748:RYE65769 ROD65748:ROI65769 REH65748:REM65769 QUL65748:QUQ65769 QKP65748:QKU65769 QAT65748:QAY65769 PQX65748:PRC65769 PHB65748:PHG65769 OXF65748:OXK65769 ONJ65748:ONO65769 ODN65748:ODS65769 NTR65748:NTW65769 NJV65748:NKA65769 MZZ65748:NAE65769 MQD65748:MQI65769 MGH65748:MGM65769 LWL65748:LWQ65769 LMP65748:LMU65769 LCT65748:LCY65769 KSX65748:KTC65769 KJB65748:KJG65769 JZF65748:JZK65769 JPJ65748:JPO65769 JFN65748:JFS65769 IVR65748:IVW65769 ILV65748:IMA65769 IBZ65748:ICE65769 HSD65748:HSI65769 HIH65748:HIM65769 GYL65748:GYQ65769 GOP65748:GOU65769 GET65748:GEY65769 FUX65748:FVC65769 FLB65748:FLG65769 FBF65748:FBK65769 ERJ65748:ERO65769 EHN65748:EHS65769 DXR65748:DXW65769 DNV65748:DOA65769 DDZ65748:DEE65769 CUD65748:CUI65769 CKH65748:CKM65769 CAL65748:CAQ65769 BQP65748:BQU65769 BGT65748:BGY65769 AWX65748:AXC65769 ANB65748:ANG65769 ADF65748:ADK65769 TJ65748:TO65769 JN65748:JS65769 J65772:O65793 WWN983252:WWU983273 WMR983252:WMY983273 WCV983252:WDC983273 VSZ983252:VTG983273 VJD983252:VJK983273 UZH983252:UZO983273 UPL983252:UPS983273 UFP983252:UFW983273 TVT983252:TWA983273 TLX983252:TME983273 TCB983252:TCI983273 SSF983252:SSM983273 SIJ983252:SIQ983273 RYN983252:RYU983273 ROR983252:ROY983273 REV983252:RFC983273 QUZ983252:QVG983273 QLD983252:QLK983273 QBH983252:QBO983273 PRL983252:PRS983273 PHP983252:PHW983273 OXT983252:OYA983273 ONX983252:OOE983273 OEB983252:OEI983273 NUF983252:NUM983273 NKJ983252:NKQ983273 NAN983252:NAU983273 MQR983252:MQY983273 MGV983252:MHC983273 LWZ983252:LXG983273 LND983252:LNK983273 LDH983252:LDO983273 KTL983252:KTS983273 KJP983252:KJW983273 JZT983252:KAA983273 JPX983252:JQE983273 JGB983252:JGI983273 IWF983252:IWM983273 IMJ983252:IMQ983273 ICN983252:ICU983273 HSR983252:HSY983273 HIV983252:HJC983273 GYZ983252:GZG983273 GPD983252:GPK983273 GFH983252:GFO983273 FVL983252:FVS983273 FLP983252:FLW983273 FBT983252:FCA983273 ERX983252:ESE983273 EIB983252:EII983273 DYF983252:DYM983273 DOJ983252:DOQ983273 DEN983252:DEU983273 CUR983252:CUY983273 CKV983252:CLC983273 CAZ983252:CBG983273 BRD983252:BRK983273 BHH983252:BHO983273 AXL983252:AXS983273 ANP983252:ANW983273 ADT983252:AEA983273 TX983252:UE983273 KB983252:KI983273 X983276:AE983297 WWN917716:WWU917737 WMR917716:WMY917737 WCV917716:WDC917737 VSZ917716:VTG917737 VJD917716:VJK917737 UZH917716:UZO917737 UPL917716:UPS917737 UFP917716:UFW917737 TVT917716:TWA917737 TLX917716:TME917737 TCB917716:TCI917737 SSF917716:SSM917737 SIJ917716:SIQ917737 RYN917716:RYU917737 ROR917716:ROY917737 REV917716:RFC917737 QUZ917716:QVG917737 QLD917716:QLK917737 QBH917716:QBO917737 PRL917716:PRS917737 PHP917716:PHW917737 OXT917716:OYA917737 ONX917716:OOE917737 OEB917716:OEI917737 NUF917716:NUM917737 NKJ917716:NKQ917737 NAN917716:NAU917737 MQR917716:MQY917737 MGV917716:MHC917737 LWZ917716:LXG917737 LND917716:LNK917737 LDH917716:LDO917737 KTL917716:KTS917737 KJP917716:KJW917737 JZT917716:KAA917737 JPX917716:JQE917737 JGB917716:JGI917737 IWF917716:IWM917737 IMJ917716:IMQ917737 ICN917716:ICU917737 HSR917716:HSY917737 HIV917716:HJC917737 GYZ917716:GZG917737 GPD917716:GPK917737 GFH917716:GFO917737 FVL917716:FVS917737 FLP917716:FLW917737 FBT917716:FCA917737 ERX917716:ESE917737 EIB917716:EII917737 DYF917716:DYM917737 DOJ917716:DOQ917737 DEN917716:DEU917737 CUR917716:CUY917737 CKV917716:CLC917737 CAZ917716:CBG917737 BRD917716:BRK917737 BHH917716:BHO917737 AXL917716:AXS917737 ANP917716:ANW917737 ADT917716:AEA917737 TX917716:UE917737 KB917716:KI917737 X917740:AE917761 WWN852180:WWU852201 WMR852180:WMY852201 WCV852180:WDC852201 VSZ852180:VTG852201 VJD852180:VJK852201 UZH852180:UZO852201 UPL852180:UPS852201 UFP852180:UFW852201 TVT852180:TWA852201 TLX852180:TME852201 TCB852180:TCI852201 SSF852180:SSM852201 SIJ852180:SIQ852201 RYN852180:RYU852201 ROR852180:ROY852201 REV852180:RFC852201 QUZ852180:QVG852201 QLD852180:QLK852201 QBH852180:QBO852201 PRL852180:PRS852201 PHP852180:PHW852201 OXT852180:OYA852201 ONX852180:OOE852201 OEB852180:OEI852201 NUF852180:NUM852201 NKJ852180:NKQ852201 NAN852180:NAU852201 MQR852180:MQY852201 MGV852180:MHC852201 LWZ852180:LXG852201 LND852180:LNK852201 LDH852180:LDO852201 KTL852180:KTS852201 KJP852180:KJW852201 JZT852180:KAA852201 JPX852180:JQE852201 JGB852180:JGI852201 IWF852180:IWM852201 IMJ852180:IMQ852201 ICN852180:ICU852201 HSR852180:HSY852201 HIV852180:HJC852201 GYZ852180:GZG852201 GPD852180:GPK852201 GFH852180:GFO852201 FVL852180:FVS852201 FLP852180:FLW852201 FBT852180:FCA852201 ERX852180:ESE852201 EIB852180:EII852201 DYF852180:DYM852201 DOJ852180:DOQ852201 DEN852180:DEU852201 CUR852180:CUY852201 CKV852180:CLC852201 CAZ852180:CBG852201 BRD852180:BRK852201 BHH852180:BHO852201 AXL852180:AXS852201 ANP852180:ANW852201 ADT852180:AEA852201 TX852180:UE852201 KB852180:KI852201 X852204:AE852225 WWN786644:WWU786665 WMR786644:WMY786665 WCV786644:WDC786665 VSZ786644:VTG786665 VJD786644:VJK786665 UZH786644:UZO786665 UPL786644:UPS786665 UFP786644:UFW786665 TVT786644:TWA786665 TLX786644:TME786665 TCB786644:TCI786665 SSF786644:SSM786665 SIJ786644:SIQ786665 RYN786644:RYU786665 ROR786644:ROY786665 REV786644:RFC786665 QUZ786644:QVG786665 QLD786644:QLK786665 QBH786644:QBO786665 PRL786644:PRS786665 PHP786644:PHW786665 OXT786644:OYA786665 ONX786644:OOE786665 OEB786644:OEI786665 NUF786644:NUM786665 NKJ786644:NKQ786665 NAN786644:NAU786665 MQR786644:MQY786665 MGV786644:MHC786665 LWZ786644:LXG786665 LND786644:LNK786665 LDH786644:LDO786665 KTL786644:KTS786665 KJP786644:KJW786665 JZT786644:KAA786665 JPX786644:JQE786665 JGB786644:JGI786665 IWF786644:IWM786665 IMJ786644:IMQ786665 ICN786644:ICU786665 HSR786644:HSY786665 HIV786644:HJC786665 GYZ786644:GZG786665 GPD786644:GPK786665 GFH786644:GFO786665 FVL786644:FVS786665 FLP786644:FLW786665 FBT786644:FCA786665 ERX786644:ESE786665 EIB786644:EII786665 DYF786644:DYM786665 DOJ786644:DOQ786665 DEN786644:DEU786665 CUR786644:CUY786665 CKV786644:CLC786665 CAZ786644:CBG786665 BRD786644:BRK786665 BHH786644:BHO786665 AXL786644:AXS786665 ANP786644:ANW786665 ADT786644:AEA786665 TX786644:UE786665 KB786644:KI786665 X786668:AE786689 WWN721108:WWU721129 WMR721108:WMY721129 WCV721108:WDC721129 VSZ721108:VTG721129 VJD721108:VJK721129 UZH721108:UZO721129 UPL721108:UPS721129 UFP721108:UFW721129 TVT721108:TWA721129 TLX721108:TME721129 TCB721108:TCI721129 SSF721108:SSM721129 SIJ721108:SIQ721129 RYN721108:RYU721129 ROR721108:ROY721129 REV721108:RFC721129 QUZ721108:QVG721129 QLD721108:QLK721129 QBH721108:QBO721129 PRL721108:PRS721129 PHP721108:PHW721129 OXT721108:OYA721129 ONX721108:OOE721129 OEB721108:OEI721129 NUF721108:NUM721129 NKJ721108:NKQ721129 NAN721108:NAU721129 MQR721108:MQY721129 MGV721108:MHC721129 LWZ721108:LXG721129 LND721108:LNK721129 LDH721108:LDO721129 KTL721108:KTS721129 KJP721108:KJW721129 JZT721108:KAA721129 JPX721108:JQE721129 JGB721108:JGI721129 IWF721108:IWM721129 IMJ721108:IMQ721129 ICN721108:ICU721129 HSR721108:HSY721129 HIV721108:HJC721129 GYZ721108:GZG721129 GPD721108:GPK721129 GFH721108:GFO721129 FVL721108:FVS721129 FLP721108:FLW721129 FBT721108:FCA721129 ERX721108:ESE721129 EIB721108:EII721129 DYF721108:DYM721129 DOJ721108:DOQ721129 DEN721108:DEU721129 CUR721108:CUY721129 CKV721108:CLC721129 CAZ721108:CBG721129 BRD721108:BRK721129 BHH721108:BHO721129 AXL721108:AXS721129 ANP721108:ANW721129 ADT721108:AEA721129 TX721108:UE721129 KB721108:KI721129 X721132:AE721153 WWN655572:WWU655593 WMR655572:WMY655593 WCV655572:WDC655593 VSZ655572:VTG655593 VJD655572:VJK655593 UZH655572:UZO655593 UPL655572:UPS655593 UFP655572:UFW655593 TVT655572:TWA655593 TLX655572:TME655593 TCB655572:TCI655593 SSF655572:SSM655593 SIJ655572:SIQ655593 RYN655572:RYU655593 ROR655572:ROY655593 REV655572:RFC655593 QUZ655572:QVG655593 QLD655572:QLK655593 QBH655572:QBO655593 PRL655572:PRS655593 PHP655572:PHW655593 OXT655572:OYA655593 ONX655572:OOE655593 OEB655572:OEI655593 NUF655572:NUM655593 NKJ655572:NKQ655593 NAN655572:NAU655593 MQR655572:MQY655593 MGV655572:MHC655593 LWZ655572:LXG655593 LND655572:LNK655593 LDH655572:LDO655593 KTL655572:KTS655593 KJP655572:KJW655593 JZT655572:KAA655593 JPX655572:JQE655593 JGB655572:JGI655593 IWF655572:IWM655593 IMJ655572:IMQ655593 ICN655572:ICU655593 HSR655572:HSY655593 HIV655572:HJC655593 GYZ655572:GZG655593 GPD655572:GPK655593 GFH655572:GFO655593 FVL655572:FVS655593 FLP655572:FLW655593 FBT655572:FCA655593 ERX655572:ESE655593 EIB655572:EII655593 DYF655572:DYM655593 DOJ655572:DOQ655593 DEN655572:DEU655593 CUR655572:CUY655593 CKV655572:CLC655593 CAZ655572:CBG655593 BRD655572:BRK655593 BHH655572:BHO655593 AXL655572:AXS655593 ANP655572:ANW655593 ADT655572:AEA655593 TX655572:UE655593 KB655572:KI655593 X655596:AE655617 WWN590036:WWU590057 WMR590036:WMY590057 WCV590036:WDC590057 VSZ590036:VTG590057 VJD590036:VJK590057 UZH590036:UZO590057 UPL590036:UPS590057 UFP590036:UFW590057 TVT590036:TWA590057 TLX590036:TME590057 TCB590036:TCI590057 SSF590036:SSM590057 SIJ590036:SIQ590057 RYN590036:RYU590057 ROR590036:ROY590057 REV590036:RFC590057 QUZ590036:QVG590057 QLD590036:QLK590057 QBH590036:QBO590057 PRL590036:PRS590057 PHP590036:PHW590057 OXT590036:OYA590057 ONX590036:OOE590057 OEB590036:OEI590057 NUF590036:NUM590057 NKJ590036:NKQ590057 NAN590036:NAU590057 MQR590036:MQY590057 MGV590036:MHC590057 LWZ590036:LXG590057 LND590036:LNK590057 LDH590036:LDO590057 KTL590036:KTS590057 KJP590036:KJW590057 JZT590036:KAA590057 JPX590036:JQE590057 JGB590036:JGI590057 IWF590036:IWM590057 IMJ590036:IMQ590057 ICN590036:ICU590057 HSR590036:HSY590057 HIV590036:HJC590057 GYZ590036:GZG590057 GPD590036:GPK590057 GFH590036:GFO590057 FVL590036:FVS590057 FLP590036:FLW590057 FBT590036:FCA590057 ERX590036:ESE590057 EIB590036:EII590057 DYF590036:DYM590057 DOJ590036:DOQ590057 DEN590036:DEU590057 CUR590036:CUY590057 CKV590036:CLC590057 CAZ590036:CBG590057 BRD590036:BRK590057 BHH590036:BHO590057 AXL590036:AXS590057 ANP590036:ANW590057 ADT590036:AEA590057 TX590036:UE590057 KB590036:KI590057 X590060:AE590081 WWN524500:WWU524521 WMR524500:WMY524521 WCV524500:WDC524521 VSZ524500:VTG524521 VJD524500:VJK524521 UZH524500:UZO524521 UPL524500:UPS524521 UFP524500:UFW524521 TVT524500:TWA524521 TLX524500:TME524521 TCB524500:TCI524521 SSF524500:SSM524521 SIJ524500:SIQ524521 RYN524500:RYU524521 ROR524500:ROY524521 REV524500:RFC524521 QUZ524500:QVG524521 QLD524500:QLK524521 QBH524500:QBO524521 PRL524500:PRS524521 PHP524500:PHW524521 OXT524500:OYA524521 ONX524500:OOE524521 OEB524500:OEI524521 NUF524500:NUM524521 NKJ524500:NKQ524521 NAN524500:NAU524521 MQR524500:MQY524521 MGV524500:MHC524521 LWZ524500:LXG524521 LND524500:LNK524521 LDH524500:LDO524521 KTL524500:KTS524521 KJP524500:KJW524521 JZT524500:KAA524521 JPX524500:JQE524521 JGB524500:JGI524521 IWF524500:IWM524521 IMJ524500:IMQ524521 ICN524500:ICU524521 HSR524500:HSY524521 HIV524500:HJC524521 GYZ524500:GZG524521 GPD524500:GPK524521 GFH524500:GFO524521 FVL524500:FVS524521 FLP524500:FLW524521 FBT524500:FCA524521 ERX524500:ESE524521 EIB524500:EII524521 DYF524500:DYM524521 DOJ524500:DOQ524521 DEN524500:DEU524521 CUR524500:CUY524521 CKV524500:CLC524521 CAZ524500:CBG524521 BRD524500:BRK524521 BHH524500:BHO524521 AXL524500:AXS524521 ANP524500:ANW524521 ADT524500:AEA524521 TX524500:UE524521 KB524500:KI524521 X524524:AE524545 WWN458964:WWU458985 WMR458964:WMY458985 WCV458964:WDC458985 VSZ458964:VTG458985 VJD458964:VJK458985 UZH458964:UZO458985 UPL458964:UPS458985 UFP458964:UFW458985 TVT458964:TWA458985 TLX458964:TME458985 TCB458964:TCI458985 SSF458964:SSM458985 SIJ458964:SIQ458985 RYN458964:RYU458985 ROR458964:ROY458985 REV458964:RFC458985 QUZ458964:QVG458985 QLD458964:QLK458985 QBH458964:QBO458985 PRL458964:PRS458985 PHP458964:PHW458985 OXT458964:OYA458985 ONX458964:OOE458985 OEB458964:OEI458985 NUF458964:NUM458985 NKJ458964:NKQ458985 NAN458964:NAU458985 MQR458964:MQY458985 MGV458964:MHC458985 LWZ458964:LXG458985 LND458964:LNK458985 LDH458964:LDO458985 KTL458964:KTS458985 KJP458964:KJW458985 JZT458964:KAA458985 JPX458964:JQE458985 JGB458964:JGI458985 IWF458964:IWM458985 IMJ458964:IMQ458985 ICN458964:ICU458985 HSR458964:HSY458985 HIV458964:HJC458985 GYZ458964:GZG458985 GPD458964:GPK458985 GFH458964:GFO458985 FVL458964:FVS458985 FLP458964:FLW458985 FBT458964:FCA458985 ERX458964:ESE458985 EIB458964:EII458985 DYF458964:DYM458985 DOJ458964:DOQ458985 DEN458964:DEU458985 CUR458964:CUY458985 CKV458964:CLC458985 CAZ458964:CBG458985 BRD458964:BRK458985 BHH458964:BHO458985 AXL458964:AXS458985 ANP458964:ANW458985 ADT458964:AEA458985 TX458964:UE458985 KB458964:KI458985 X458988:AE459009 WWN393428:WWU393449 WMR393428:WMY393449 WCV393428:WDC393449 VSZ393428:VTG393449 VJD393428:VJK393449 UZH393428:UZO393449 UPL393428:UPS393449 UFP393428:UFW393449 TVT393428:TWA393449 TLX393428:TME393449 TCB393428:TCI393449 SSF393428:SSM393449 SIJ393428:SIQ393449 RYN393428:RYU393449 ROR393428:ROY393449 REV393428:RFC393449 QUZ393428:QVG393449 QLD393428:QLK393449 QBH393428:QBO393449 PRL393428:PRS393449 PHP393428:PHW393449 OXT393428:OYA393449 ONX393428:OOE393449 OEB393428:OEI393449 NUF393428:NUM393449 NKJ393428:NKQ393449 NAN393428:NAU393449 MQR393428:MQY393449 MGV393428:MHC393449 LWZ393428:LXG393449 LND393428:LNK393449 LDH393428:LDO393449 KTL393428:KTS393449 KJP393428:KJW393449 JZT393428:KAA393449 JPX393428:JQE393449 JGB393428:JGI393449 IWF393428:IWM393449 IMJ393428:IMQ393449 ICN393428:ICU393449 HSR393428:HSY393449 HIV393428:HJC393449 GYZ393428:GZG393449 GPD393428:GPK393449 GFH393428:GFO393449 FVL393428:FVS393449 FLP393428:FLW393449 FBT393428:FCA393449 ERX393428:ESE393449 EIB393428:EII393449 DYF393428:DYM393449 DOJ393428:DOQ393449 DEN393428:DEU393449 CUR393428:CUY393449 CKV393428:CLC393449 CAZ393428:CBG393449 BRD393428:BRK393449 BHH393428:BHO393449 AXL393428:AXS393449 ANP393428:ANW393449 ADT393428:AEA393449 TX393428:UE393449 KB393428:KI393449 X393452:AE393473 WWN327892:WWU327913 WMR327892:WMY327913 WCV327892:WDC327913 VSZ327892:VTG327913 VJD327892:VJK327913 UZH327892:UZO327913 UPL327892:UPS327913 UFP327892:UFW327913 TVT327892:TWA327913 TLX327892:TME327913 TCB327892:TCI327913 SSF327892:SSM327913 SIJ327892:SIQ327913 RYN327892:RYU327913 ROR327892:ROY327913 REV327892:RFC327913 QUZ327892:QVG327913 QLD327892:QLK327913 QBH327892:QBO327913 PRL327892:PRS327913 PHP327892:PHW327913 OXT327892:OYA327913 ONX327892:OOE327913 OEB327892:OEI327913 NUF327892:NUM327913 NKJ327892:NKQ327913 NAN327892:NAU327913 MQR327892:MQY327913 MGV327892:MHC327913 LWZ327892:LXG327913 LND327892:LNK327913 LDH327892:LDO327913 KTL327892:KTS327913 KJP327892:KJW327913 JZT327892:KAA327913 JPX327892:JQE327913 JGB327892:JGI327913 IWF327892:IWM327913 IMJ327892:IMQ327913 ICN327892:ICU327913 HSR327892:HSY327913 HIV327892:HJC327913 GYZ327892:GZG327913 GPD327892:GPK327913 GFH327892:GFO327913 FVL327892:FVS327913 FLP327892:FLW327913 FBT327892:FCA327913 ERX327892:ESE327913 EIB327892:EII327913 DYF327892:DYM327913 DOJ327892:DOQ327913 DEN327892:DEU327913 CUR327892:CUY327913 CKV327892:CLC327913 CAZ327892:CBG327913 BRD327892:BRK327913 BHH327892:BHO327913 AXL327892:AXS327913 ANP327892:ANW327913 ADT327892:AEA327913 TX327892:UE327913 KB327892:KI327913 X327916:AE327937 WWN262356:WWU262377 WMR262356:WMY262377 WCV262356:WDC262377 VSZ262356:VTG262377 VJD262356:VJK262377 UZH262356:UZO262377 UPL262356:UPS262377 UFP262356:UFW262377 TVT262356:TWA262377 TLX262356:TME262377 TCB262356:TCI262377 SSF262356:SSM262377 SIJ262356:SIQ262377 RYN262356:RYU262377 ROR262356:ROY262377 REV262356:RFC262377 QUZ262356:QVG262377 QLD262356:QLK262377 QBH262356:QBO262377 PRL262356:PRS262377 PHP262356:PHW262377 OXT262356:OYA262377 ONX262356:OOE262377 OEB262356:OEI262377 NUF262356:NUM262377 NKJ262356:NKQ262377 NAN262356:NAU262377 MQR262356:MQY262377 MGV262356:MHC262377 LWZ262356:LXG262377 LND262356:LNK262377 LDH262356:LDO262377 KTL262356:KTS262377 KJP262356:KJW262377 JZT262356:KAA262377 JPX262356:JQE262377 JGB262356:JGI262377 IWF262356:IWM262377 IMJ262356:IMQ262377 ICN262356:ICU262377 HSR262356:HSY262377 HIV262356:HJC262377 GYZ262356:GZG262377 GPD262356:GPK262377 GFH262356:GFO262377 FVL262356:FVS262377 FLP262356:FLW262377 FBT262356:FCA262377 ERX262356:ESE262377 EIB262356:EII262377 DYF262356:DYM262377 DOJ262356:DOQ262377 DEN262356:DEU262377 CUR262356:CUY262377 CKV262356:CLC262377 CAZ262356:CBG262377 BRD262356:BRK262377 BHH262356:BHO262377 AXL262356:AXS262377 ANP262356:ANW262377 ADT262356:AEA262377 TX262356:UE262377 KB262356:KI262377 X262380:AE262401 WWN196820:WWU196841 WMR196820:WMY196841 WCV196820:WDC196841 VSZ196820:VTG196841 VJD196820:VJK196841 UZH196820:UZO196841 UPL196820:UPS196841 UFP196820:UFW196841 TVT196820:TWA196841 TLX196820:TME196841 TCB196820:TCI196841 SSF196820:SSM196841 SIJ196820:SIQ196841 RYN196820:RYU196841 ROR196820:ROY196841 REV196820:RFC196841 QUZ196820:QVG196841 QLD196820:QLK196841 QBH196820:QBO196841 PRL196820:PRS196841 PHP196820:PHW196841 OXT196820:OYA196841 ONX196820:OOE196841 OEB196820:OEI196841 NUF196820:NUM196841 NKJ196820:NKQ196841 NAN196820:NAU196841 MQR196820:MQY196841 MGV196820:MHC196841 LWZ196820:LXG196841 LND196820:LNK196841 LDH196820:LDO196841 KTL196820:KTS196841 KJP196820:KJW196841 JZT196820:KAA196841 JPX196820:JQE196841 JGB196820:JGI196841 IWF196820:IWM196841 IMJ196820:IMQ196841 ICN196820:ICU196841 HSR196820:HSY196841 HIV196820:HJC196841 GYZ196820:GZG196841 GPD196820:GPK196841 GFH196820:GFO196841 FVL196820:FVS196841 FLP196820:FLW196841 FBT196820:FCA196841 ERX196820:ESE196841 EIB196820:EII196841 DYF196820:DYM196841 DOJ196820:DOQ196841 DEN196820:DEU196841 CUR196820:CUY196841 CKV196820:CLC196841 CAZ196820:CBG196841 BRD196820:BRK196841 BHH196820:BHO196841 AXL196820:AXS196841 ANP196820:ANW196841 ADT196820:AEA196841 TX196820:UE196841 KB196820:KI196841 X196844:AE196865 WWN131284:WWU131305 WMR131284:WMY131305 WCV131284:WDC131305 VSZ131284:VTG131305 VJD131284:VJK131305 UZH131284:UZO131305 UPL131284:UPS131305 UFP131284:UFW131305 TVT131284:TWA131305 TLX131284:TME131305 TCB131284:TCI131305 SSF131284:SSM131305 SIJ131284:SIQ131305 RYN131284:RYU131305 ROR131284:ROY131305 REV131284:RFC131305 QUZ131284:QVG131305 QLD131284:QLK131305 QBH131284:QBO131305 PRL131284:PRS131305 PHP131284:PHW131305 OXT131284:OYA131305 ONX131284:OOE131305 OEB131284:OEI131305 NUF131284:NUM131305 NKJ131284:NKQ131305 NAN131284:NAU131305 MQR131284:MQY131305 MGV131284:MHC131305 LWZ131284:LXG131305 LND131284:LNK131305 LDH131284:LDO131305 KTL131284:KTS131305 KJP131284:KJW131305 JZT131284:KAA131305 JPX131284:JQE131305 JGB131284:JGI131305 IWF131284:IWM131305 IMJ131284:IMQ131305 ICN131284:ICU131305 HSR131284:HSY131305 HIV131284:HJC131305 GYZ131284:GZG131305 GPD131284:GPK131305 GFH131284:GFO131305 FVL131284:FVS131305 FLP131284:FLW131305 FBT131284:FCA131305 ERX131284:ESE131305 EIB131284:EII131305 DYF131284:DYM131305 DOJ131284:DOQ131305 DEN131284:DEU131305 CUR131284:CUY131305 CKV131284:CLC131305 CAZ131284:CBG131305 BRD131284:BRK131305 BHH131284:BHO131305 AXL131284:AXS131305 ANP131284:ANW131305 ADT131284:AEA131305 TX131284:UE131305 KB131284:KI131305 X131308:AE131329 WWN65748:WWU65769 WMR65748:WMY65769 WCV65748:WDC65769 VSZ65748:VTG65769 VJD65748:VJK65769 UZH65748:UZO65769 UPL65748:UPS65769 UFP65748:UFW65769 TVT65748:TWA65769 TLX65748:TME65769 TCB65748:TCI65769 SSF65748:SSM65769 SIJ65748:SIQ65769 RYN65748:RYU65769 ROR65748:ROY65769 REV65748:RFC65769 QUZ65748:QVG65769 QLD65748:QLK65769 QBH65748:QBO65769 PRL65748:PRS65769 PHP65748:PHW65769 OXT65748:OYA65769 ONX65748:OOE65769 OEB65748:OEI65769 NUF65748:NUM65769 NKJ65748:NKQ65769 NAN65748:NAU65769 MQR65748:MQY65769 MGV65748:MHC65769 LWZ65748:LXG65769 LND65748:LNK65769 LDH65748:LDO65769 KTL65748:KTS65769 KJP65748:KJW65769 JZT65748:KAA65769 JPX65748:JQE65769 JGB65748:JGI65769 IWF65748:IWM65769 IMJ65748:IMQ65769 ICN65748:ICU65769 HSR65748:HSY65769 HIV65748:HJC65769 GYZ65748:GZG65769 GPD65748:GPK65769 GFH65748:GFO65769 FVL65748:FVS65769 FLP65748:FLW65769 FBT65748:FCA65769 ERX65748:ESE65769 EIB65748:EII65769 DYF65748:DYM65769 DOJ65748:DOQ65769 DEN65748:DEU65769 CUR65748:CUY65769 CKV65748:CLC65769 CAZ65748:CBG65769 BRD65748:BRK65769 BHH65748:BHO65769 AXL65748:AXS65769 ANP65748:ANW65769 ADT65748:AEA65769 TX65748:UE65769 KB65748:KI65769 X65772:AE65793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41" min="21" max="85" man="1"/>
    <brk id="286" min="21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37" ht="13.75" customHeight="1">
      <c r="A1" s="966" t="s">
        <v>638</v>
      </c>
      <c r="B1" s="966"/>
      <c r="C1" s="966"/>
      <c r="D1" s="966"/>
      <c r="E1" s="966"/>
      <c r="F1" s="966"/>
      <c r="G1" s="966"/>
      <c r="H1" s="966"/>
      <c r="I1" s="966"/>
      <c r="J1" s="966"/>
      <c r="K1" s="966"/>
      <c r="L1" s="966"/>
      <c r="M1" s="966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37" ht="13.75" customHeight="1">
      <c r="A2" s="962" t="s">
        <v>639</v>
      </c>
      <c r="B2" s="962"/>
      <c r="C2" s="962"/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62"/>
      <c r="V2" s="962"/>
      <c r="W2" s="962"/>
      <c r="X2" s="962"/>
      <c r="Y2" s="962"/>
      <c r="Z2" s="962"/>
      <c r="AA2" s="962"/>
      <c r="AB2" s="962"/>
      <c r="AC2" s="962"/>
      <c r="AD2" s="962"/>
      <c r="AE2" s="962"/>
      <c r="AF2" s="962"/>
      <c r="AG2" s="962"/>
      <c r="AH2" s="962"/>
      <c r="AI2" s="962"/>
      <c r="AJ2" s="962"/>
    </row>
    <row r="3" spans="1:37" ht="13.75" customHeight="1">
      <c r="A3" s="962"/>
      <c r="B3" s="962"/>
      <c r="C3" s="962"/>
      <c r="D3" s="962"/>
      <c r="E3" s="962"/>
      <c r="F3" s="962"/>
      <c r="G3" s="962"/>
      <c r="H3" s="962"/>
      <c r="I3" s="962"/>
      <c r="J3" s="962"/>
      <c r="K3" s="962"/>
      <c r="L3" s="962"/>
      <c r="M3" s="962"/>
      <c r="N3" s="962"/>
      <c r="O3" s="962"/>
      <c r="P3" s="962"/>
      <c r="Q3" s="962"/>
      <c r="R3" s="962"/>
      <c r="S3" s="962"/>
      <c r="T3" s="962"/>
      <c r="U3" s="962"/>
      <c r="V3" s="962"/>
      <c r="W3" s="962"/>
      <c r="X3" s="962"/>
      <c r="Y3" s="962"/>
      <c r="Z3" s="962"/>
      <c r="AA3" s="962"/>
      <c r="AB3" s="962"/>
      <c r="AC3" s="962"/>
      <c r="AD3" s="962"/>
      <c r="AE3" s="962"/>
      <c r="AF3" s="962"/>
      <c r="AG3" s="962"/>
      <c r="AH3" s="962"/>
      <c r="AI3" s="962"/>
      <c r="AJ3" s="962"/>
    </row>
    <row r="4" spans="1:37" ht="13.75" customHeight="1">
      <c r="A4" s="962"/>
      <c r="B4" s="962"/>
      <c r="C4" s="962"/>
      <c r="D4" s="962"/>
      <c r="E4" s="962"/>
      <c r="F4" s="962"/>
      <c r="G4" s="962"/>
      <c r="H4" s="962"/>
      <c r="I4" s="962"/>
      <c r="J4" s="962"/>
      <c r="K4" s="962"/>
      <c r="L4" s="962"/>
      <c r="M4" s="962"/>
      <c r="N4" s="962"/>
      <c r="O4" s="962"/>
      <c r="P4" s="962"/>
      <c r="Q4" s="962"/>
      <c r="R4" s="962"/>
      <c r="S4" s="962"/>
      <c r="T4" s="962"/>
      <c r="U4" s="962"/>
      <c r="V4" s="962"/>
      <c r="W4" s="962"/>
      <c r="X4" s="962"/>
      <c r="Y4" s="962"/>
      <c r="Z4" s="962"/>
      <c r="AA4" s="962"/>
      <c r="AB4" s="962"/>
      <c r="AC4" s="962"/>
      <c r="AD4" s="962"/>
      <c r="AE4" s="962"/>
      <c r="AF4" s="962"/>
      <c r="AG4" s="962"/>
      <c r="AH4" s="962"/>
      <c r="AI4" s="962"/>
      <c r="AJ4" s="962"/>
    </row>
    <row r="5" spans="1:37" ht="13.75" customHeight="1">
      <c r="A5" s="958" t="s">
        <v>640</v>
      </c>
      <c r="B5" s="958"/>
      <c r="C5" s="958"/>
      <c r="D5" s="958"/>
      <c r="E5" s="958"/>
      <c r="F5" s="958"/>
      <c r="G5" s="958"/>
      <c r="H5" s="958"/>
      <c r="I5" s="958"/>
      <c r="J5" s="962" t="s">
        <v>669</v>
      </c>
      <c r="K5" s="962"/>
      <c r="L5" s="962"/>
      <c r="M5" s="962"/>
      <c r="N5" s="962"/>
      <c r="O5" s="962"/>
      <c r="P5" s="962"/>
      <c r="Q5" s="962"/>
      <c r="R5" s="962"/>
      <c r="S5" s="962"/>
      <c r="T5" s="962"/>
      <c r="U5" s="962"/>
      <c r="V5" s="962"/>
      <c r="W5" s="962"/>
      <c r="X5" s="962"/>
      <c r="Y5" s="962"/>
      <c r="Z5" s="962"/>
      <c r="AA5" s="962"/>
      <c r="AB5" s="962"/>
      <c r="AC5" s="962"/>
      <c r="AD5" s="962"/>
      <c r="AE5" s="962"/>
      <c r="AF5" s="962"/>
      <c r="AG5" s="962"/>
      <c r="AH5" s="962"/>
      <c r="AI5" s="962"/>
      <c r="AJ5" s="962"/>
    </row>
    <row r="6" spans="1:37" ht="13.75" customHeight="1">
      <c r="A6" s="958" t="s">
        <v>641</v>
      </c>
      <c r="B6" s="958"/>
      <c r="C6" s="958"/>
      <c r="D6" s="958"/>
      <c r="E6" s="958"/>
      <c r="F6" s="958"/>
      <c r="G6" s="958"/>
      <c r="H6" s="958"/>
      <c r="I6" s="958"/>
      <c r="J6" s="967" t="s">
        <v>642</v>
      </c>
      <c r="K6" s="967"/>
      <c r="L6" s="967"/>
      <c r="M6" s="967"/>
      <c r="N6" s="967"/>
      <c r="O6" s="967"/>
      <c r="P6" s="967"/>
      <c r="Q6" s="967"/>
      <c r="R6" s="967"/>
      <c r="S6" s="967"/>
      <c r="T6" s="967"/>
      <c r="U6" s="967"/>
      <c r="V6" s="967"/>
      <c r="W6" s="967"/>
      <c r="X6" s="967"/>
      <c r="Y6" s="967"/>
      <c r="Z6" s="967"/>
      <c r="AA6" s="967"/>
      <c r="AB6" s="967"/>
      <c r="AC6" s="967"/>
      <c r="AD6" s="958" t="s">
        <v>643</v>
      </c>
      <c r="AE6" s="958"/>
      <c r="AF6" s="958"/>
      <c r="AG6" s="958"/>
      <c r="AH6" s="958"/>
      <c r="AI6" s="958"/>
      <c r="AJ6" s="958"/>
    </row>
    <row r="7" spans="1:37" ht="13.75" customHeight="1">
      <c r="A7" s="958"/>
      <c r="B7" s="958"/>
      <c r="C7" s="958"/>
      <c r="D7" s="958"/>
      <c r="E7" s="958"/>
      <c r="F7" s="958"/>
      <c r="G7" s="958"/>
      <c r="H7" s="958"/>
      <c r="I7" s="958"/>
      <c r="J7" s="967"/>
      <c r="K7" s="967"/>
      <c r="L7" s="967"/>
      <c r="M7" s="967"/>
      <c r="N7" s="967"/>
      <c r="O7" s="967"/>
      <c r="P7" s="967"/>
      <c r="Q7" s="967"/>
      <c r="R7" s="967"/>
      <c r="S7" s="967"/>
      <c r="T7" s="967"/>
      <c r="U7" s="967"/>
      <c r="V7" s="967"/>
      <c r="W7" s="967"/>
      <c r="X7" s="967"/>
      <c r="Y7" s="967"/>
      <c r="Z7" s="967"/>
      <c r="AA7" s="967"/>
      <c r="AB7" s="967"/>
      <c r="AC7" s="967"/>
      <c r="AD7" s="958"/>
      <c r="AE7" s="958"/>
      <c r="AF7" s="958"/>
      <c r="AG7" s="958"/>
      <c r="AH7" s="958"/>
      <c r="AI7" s="958"/>
      <c r="AJ7" s="958"/>
    </row>
    <row r="8" spans="1:37" ht="13.75" customHeight="1">
      <c r="A8" s="697" t="s">
        <v>370</v>
      </c>
      <c r="B8" s="958" t="s">
        <v>371</v>
      </c>
      <c r="C8" s="958"/>
      <c r="D8" s="958"/>
      <c r="E8" s="958"/>
      <c r="F8" s="958"/>
      <c r="G8" s="958"/>
      <c r="H8" s="958"/>
      <c r="I8" s="958"/>
      <c r="J8" s="967"/>
      <c r="K8" s="967"/>
      <c r="L8" s="967"/>
      <c r="M8" s="967"/>
      <c r="N8" s="967"/>
      <c r="O8" s="967"/>
      <c r="P8" s="967"/>
      <c r="Q8" s="967"/>
      <c r="R8" s="967"/>
      <c r="S8" s="967"/>
      <c r="T8" s="967"/>
      <c r="U8" s="967"/>
      <c r="V8" s="967"/>
      <c r="W8" s="967"/>
      <c r="X8" s="967"/>
      <c r="Y8" s="967"/>
      <c r="Z8" s="967"/>
      <c r="AA8" s="967"/>
      <c r="AB8" s="967"/>
      <c r="AC8" s="967"/>
      <c r="AD8" s="958"/>
      <c r="AE8" s="958"/>
      <c r="AF8" s="958"/>
      <c r="AG8" s="958"/>
      <c r="AH8" s="958"/>
      <c r="AI8" s="958"/>
      <c r="AJ8" s="958"/>
    </row>
    <row r="9" spans="1:37" ht="13.75" customHeight="1">
      <c r="A9" s="698"/>
      <c r="B9" s="960" t="s">
        <v>630</v>
      </c>
      <c r="C9" s="960"/>
      <c r="D9" s="960"/>
      <c r="E9" s="960"/>
      <c r="F9" s="960"/>
      <c r="G9" s="960"/>
      <c r="H9" s="960"/>
      <c r="I9" s="960"/>
      <c r="J9" s="958"/>
      <c r="K9" s="958"/>
      <c r="L9" s="958"/>
      <c r="M9" s="958"/>
      <c r="N9" s="958"/>
      <c r="O9" s="958"/>
      <c r="P9" s="958"/>
      <c r="Q9" s="958"/>
      <c r="R9" s="958"/>
      <c r="S9" s="958"/>
      <c r="T9" s="958"/>
      <c r="U9" s="958"/>
      <c r="V9" s="958"/>
      <c r="W9" s="958"/>
      <c r="X9" s="958"/>
      <c r="Y9" s="958"/>
      <c r="Z9" s="958"/>
      <c r="AA9" s="958"/>
      <c r="AB9" s="958"/>
      <c r="AC9" s="958"/>
      <c r="AD9" s="958"/>
      <c r="AE9" s="958"/>
      <c r="AF9" s="958"/>
      <c r="AG9" s="958"/>
      <c r="AH9" s="958"/>
      <c r="AI9" s="958"/>
      <c r="AJ9" s="958"/>
    </row>
    <row r="10" spans="1:37" ht="45" customHeight="1">
      <c r="A10" s="698">
        <v>1</v>
      </c>
      <c r="B10" s="953" t="s">
        <v>670</v>
      </c>
      <c r="C10" s="953"/>
      <c r="D10" s="953"/>
      <c r="E10" s="953"/>
      <c r="F10" s="953"/>
      <c r="G10" s="953"/>
      <c r="H10" s="953"/>
      <c r="I10" s="953"/>
      <c r="J10" s="959" t="s">
        <v>644</v>
      </c>
      <c r="K10" s="954"/>
      <c r="L10" s="954"/>
      <c r="M10" s="954"/>
      <c r="N10" s="954"/>
      <c r="O10" s="954"/>
      <c r="P10" s="954"/>
      <c r="Q10" s="954"/>
      <c r="R10" s="954"/>
      <c r="S10" s="954"/>
      <c r="T10" s="954"/>
      <c r="U10" s="954"/>
      <c r="V10" s="954"/>
      <c r="W10" s="954"/>
      <c r="X10" s="954"/>
      <c r="Y10" s="954"/>
      <c r="Z10" s="954"/>
      <c r="AA10" s="954"/>
      <c r="AB10" s="954"/>
      <c r="AC10" s="954"/>
      <c r="AD10" s="955" t="s">
        <v>645</v>
      </c>
      <c r="AE10" s="956"/>
      <c r="AF10" s="956"/>
      <c r="AG10" s="956"/>
      <c r="AH10" s="956"/>
      <c r="AI10" s="956"/>
      <c r="AJ10" s="957"/>
      <c r="AK10" s="695"/>
    </row>
    <row r="11" spans="1:37" ht="13.75" customHeight="1">
      <c r="A11" s="698">
        <v>2</v>
      </c>
      <c r="B11" s="953" t="s">
        <v>671</v>
      </c>
      <c r="C11" s="953"/>
      <c r="D11" s="953"/>
      <c r="E11" s="953"/>
      <c r="F11" s="953"/>
      <c r="G11" s="953"/>
      <c r="H11" s="953"/>
      <c r="I11" s="953"/>
      <c r="J11" s="954" t="s">
        <v>646</v>
      </c>
      <c r="K11" s="954"/>
      <c r="L11" s="954"/>
      <c r="M11" s="954"/>
      <c r="N11" s="954"/>
      <c r="O11" s="954"/>
      <c r="P11" s="954"/>
      <c r="Q11" s="954"/>
      <c r="R11" s="954"/>
      <c r="S11" s="954"/>
      <c r="T11" s="954"/>
      <c r="U11" s="954"/>
      <c r="V11" s="954"/>
      <c r="W11" s="954"/>
      <c r="X11" s="954"/>
      <c r="Y11" s="954"/>
      <c r="Z11" s="954"/>
      <c r="AA11" s="954"/>
      <c r="AB11" s="954"/>
      <c r="AC11" s="954"/>
      <c r="AD11" s="955"/>
      <c r="AE11" s="956"/>
      <c r="AF11" s="956"/>
      <c r="AG11" s="956"/>
      <c r="AH11" s="956"/>
      <c r="AI11" s="956"/>
      <c r="AJ11" s="957"/>
      <c r="AK11" s="695"/>
    </row>
    <row r="12" spans="1:37" ht="13.75" customHeight="1">
      <c r="A12" s="698">
        <v>3</v>
      </c>
      <c r="B12" s="953" t="s">
        <v>672</v>
      </c>
      <c r="C12" s="953"/>
      <c r="D12" s="953"/>
      <c r="E12" s="953"/>
      <c r="F12" s="953"/>
      <c r="G12" s="953"/>
      <c r="H12" s="953"/>
      <c r="I12" s="953"/>
      <c r="J12" s="954" t="s">
        <v>647</v>
      </c>
      <c r="K12" s="954"/>
      <c r="L12" s="954"/>
      <c r="M12" s="954"/>
      <c r="N12" s="954"/>
      <c r="O12" s="954"/>
      <c r="P12" s="954"/>
      <c r="Q12" s="954"/>
      <c r="R12" s="954"/>
      <c r="S12" s="954"/>
      <c r="T12" s="954"/>
      <c r="U12" s="954"/>
      <c r="V12" s="954"/>
      <c r="W12" s="954"/>
      <c r="X12" s="954"/>
      <c r="Y12" s="954"/>
      <c r="Z12" s="954"/>
      <c r="AA12" s="954"/>
      <c r="AB12" s="954"/>
      <c r="AC12" s="954"/>
      <c r="AD12" s="955"/>
      <c r="AE12" s="956"/>
      <c r="AF12" s="956"/>
      <c r="AG12" s="956"/>
      <c r="AH12" s="956"/>
      <c r="AI12" s="956"/>
      <c r="AJ12" s="957"/>
      <c r="AK12" s="695"/>
    </row>
    <row r="13" spans="1:37" ht="13.75" customHeight="1">
      <c r="A13" s="698">
        <v>4</v>
      </c>
      <c r="B13" s="953" t="s">
        <v>673</v>
      </c>
      <c r="C13" s="953"/>
      <c r="D13" s="953"/>
      <c r="E13" s="953"/>
      <c r="F13" s="953"/>
      <c r="G13" s="953"/>
      <c r="H13" s="953"/>
      <c r="I13" s="953"/>
      <c r="J13" s="954" t="s">
        <v>648</v>
      </c>
      <c r="K13" s="954"/>
      <c r="L13" s="954"/>
      <c r="M13" s="954"/>
      <c r="N13" s="954"/>
      <c r="O13" s="954"/>
      <c r="P13" s="954"/>
      <c r="Q13" s="954"/>
      <c r="R13" s="954"/>
      <c r="S13" s="954"/>
      <c r="T13" s="954"/>
      <c r="U13" s="954"/>
      <c r="V13" s="954"/>
      <c r="W13" s="954"/>
      <c r="X13" s="954"/>
      <c r="Y13" s="954"/>
      <c r="Z13" s="954"/>
      <c r="AA13" s="954"/>
      <c r="AB13" s="954"/>
      <c r="AC13" s="954"/>
      <c r="AD13" s="955" t="s">
        <v>649</v>
      </c>
      <c r="AE13" s="956"/>
      <c r="AF13" s="956"/>
      <c r="AG13" s="956"/>
      <c r="AH13" s="956"/>
      <c r="AI13" s="956"/>
      <c r="AJ13" s="957"/>
      <c r="AK13" s="695"/>
    </row>
    <row r="14" spans="1:37" ht="13.75" customHeight="1">
      <c r="A14" s="698">
        <v>5</v>
      </c>
      <c r="B14" s="953" t="s">
        <v>319</v>
      </c>
      <c r="C14" s="953"/>
      <c r="D14" s="953"/>
      <c r="E14" s="953"/>
      <c r="F14" s="953"/>
      <c r="G14" s="953"/>
      <c r="H14" s="953"/>
      <c r="I14" s="953"/>
      <c r="J14" s="954" t="s">
        <v>650</v>
      </c>
      <c r="K14" s="954"/>
      <c r="L14" s="954"/>
      <c r="M14" s="954"/>
      <c r="N14" s="954"/>
      <c r="O14" s="954"/>
      <c r="P14" s="954"/>
      <c r="Q14" s="954"/>
      <c r="R14" s="954"/>
      <c r="S14" s="954"/>
      <c r="T14" s="954"/>
      <c r="U14" s="954"/>
      <c r="V14" s="954"/>
      <c r="W14" s="954"/>
      <c r="X14" s="954"/>
      <c r="Y14" s="954"/>
      <c r="Z14" s="954"/>
      <c r="AA14" s="954"/>
      <c r="AB14" s="954"/>
      <c r="AC14" s="954"/>
      <c r="AD14" s="955" t="s">
        <v>651</v>
      </c>
      <c r="AE14" s="956"/>
      <c r="AF14" s="956"/>
      <c r="AG14" s="956"/>
      <c r="AH14" s="956"/>
      <c r="AI14" s="956"/>
      <c r="AJ14" s="957"/>
      <c r="AK14" s="695"/>
    </row>
    <row r="15" spans="1:37" ht="27" customHeight="1">
      <c r="A15" s="698">
        <v>6</v>
      </c>
      <c r="B15" s="953" t="s">
        <v>673</v>
      </c>
      <c r="C15" s="953"/>
      <c r="D15" s="953"/>
      <c r="E15" s="953"/>
      <c r="F15" s="953"/>
      <c r="G15" s="953"/>
      <c r="H15" s="953"/>
      <c r="I15" s="953"/>
      <c r="J15" s="954" t="s">
        <v>652</v>
      </c>
      <c r="K15" s="954"/>
      <c r="L15" s="954"/>
      <c r="M15" s="954"/>
      <c r="N15" s="954"/>
      <c r="O15" s="954"/>
      <c r="P15" s="954"/>
      <c r="Q15" s="954"/>
      <c r="R15" s="954"/>
      <c r="S15" s="954"/>
      <c r="T15" s="954"/>
      <c r="U15" s="954"/>
      <c r="V15" s="954"/>
      <c r="W15" s="954"/>
      <c r="X15" s="954"/>
      <c r="Y15" s="954"/>
      <c r="Z15" s="954"/>
      <c r="AA15" s="954"/>
      <c r="AB15" s="954"/>
      <c r="AC15" s="954"/>
      <c r="AD15" s="963" t="s">
        <v>653</v>
      </c>
      <c r="AE15" s="964"/>
      <c r="AF15" s="964"/>
      <c r="AG15" s="964"/>
      <c r="AH15" s="964"/>
      <c r="AI15" s="964"/>
      <c r="AJ15" s="965"/>
      <c r="AK15" s="695"/>
    </row>
    <row r="16" spans="1:37" ht="27.75" customHeight="1">
      <c r="A16" s="698">
        <v>7</v>
      </c>
      <c r="B16" s="953" t="s">
        <v>674</v>
      </c>
      <c r="C16" s="953"/>
      <c r="D16" s="953"/>
      <c r="E16" s="953"/>
      <c r="F16" s="953"/>
      <c r="G16" s="953"/>
      <c r="H16" s="953"/>
      <c r="I16" s="953"/>
      <c r="J16" s="962" t="s">
        <v>305</v>
      </c>
      <c r="K16" s="962"/>
      <c r="L16" s="962"/>
      <c r="M16" s="962"/>
      <c r="N16" s="962"/>
      <c r="O16" s="962"/>
      <c r="P16" s="962"/>
      <c r="Q16" s="962"/>
      <c r="R16" s="962"/>
      <c r="S16" s="962"/>
      <c r="T16" s="962"/>
      <c r="U16" s="962"/>
      <c r="V16" s="962"/>
      <c r="W16" s="962"/>
      <c r="X16" s="962"/>
      <c r="Y16" s="962"/>
      <c r="Z16" s="962"/>
      <c r="AA16" s="962"/>
      <c r="AB16" s="962"/>
      <c r="AC16" s="962"/>
      <c r="AD16" s="963" t="s">
        <v>654</v>
      </c>
      <c r="AE16" s="964"/>
      <c r="AF16" s="964"/>
      <c r="AG16" s="964"/>
      <c r="AH16" s="964"/>
      <c r="AI16" s="964"/>
      <c r="AJ16" s="965"/>
      <c r="AK16" s="695"/>
    </row>
    <row r="17" spans="1:37" ht="13.75" customHeight="1">
      <c r="A17" s="698">
        <v>8</v>
      </c>
      <c r="B17" s="953" t="s">
        <v>675</v>
      </c>
      <c r="C17" s="953"/>
      <c r="D17" s="953"/>
      <c r="E17" s="953"/>
      <c r="F17" s="953"/>
      <c r="G17" s="953"/>
      <c r="H17" s="953"/>
      <c r="I17" s="953"/>
      <c r="J17" s="962" t="s">
        <v>305</v>
      </c>
      <c r="K17" s="962"/>
      <c r="L17" s="962"/>
      <c r="M17" s="962"/>
      <c r="N17" s="962"/>
      <c r="O17" s="962"/>
      <c r="P17" s="962"/>
      <c r="Q17" s="962"/>
      <c r="R17" s="962"/>
      <c r="S17" s="962"/>
      <c r="T17" s="962"/>
      <c r="U17" s="962"/>
      <c r="V17" s="962"/>
      <c r="W17" s="962"/>
      <c r="X17" s="962"/>
      <c r="Y17" s="962"/>
      <c r="Z17" s="962"/>
      <c r="AA17" s="962"/>
      <c r="AB17" s="962"/>
      <c r="AC17" s="962"/>
      <c r="AD17" s="963" t="s">
        <v>655</v>
      </c>
      <c r="AE17" s="964"/>
      <c r="AF17" s="964"/>
      <c r="AG17" s="964"/>
      <c r="AH17" s="964"/>
      <c r="AI17" s="964"/>
      <c r="AJ17" s="965"/>
      <c r="AK17" s="695"/>
    </row>
    <row r="18" spans="1:37" ht="13.75" customHeight="1">
      <c r="A18" s="698">
        <v>9</v>
      </c>
      <c r="B18" s="953" t="s">
        <v>676</v>
      </c>
      <c r="C18" s="953"/>
      <c r="D18" s="953"/>
      <c r="E18" s="953"/>
      <c r="F18" s="953"/>
      <c r="G18" s="953"/>
      <c r="H18" s="953"/>
      <c r="I18" s="953"/>
      <c r="J18" s="962" t="s">
        <v>305</v>
      </c>
      <c r="K18" s="962"/>
      <c r="L18" s="962"/>
      <c r="M18" s="962"/>
      <c r="N18" s="962"/>
      <c r="O18" s="962"/>
      <c r="P18" s="962"/>
      <c r="Q18" s="962"/>
      <c r="R18" s="962"/>
      <c r="S18" s="962"/>
      <c r="T18" s="962"/>
      <c r="U18" s="962"/>
      <c r="V18" s="962"/>
      <c r="W18" s="962"/>
      <c r="X18" s="962"/>
      <c r="Y18" s="962"/>
      <c r="Z18" s="962"/>
      <c r="AA18" s="962"/>
      <c r="AB18" s="962"/>
      <c r="AC18" s="962"/>
      <c r="AD18" s="963" t="s">
        <v>655</v>
      </c>
      <c r="AE18" s="964"/>
      <c r="AF18" s="964"/>
      <c r="AG18" s="964"/>
      <c r="AH18" s="964"/>
      <c r="AI18" s="964"/>
      <c r="AJ18" s="965"/>
      <c r="AK18" s="695"/>
    </row>
    <row r="19" spans="1:37" ht="13.75" customHeight="1">
      <c r="A19" s="698">
        <v>10</v>
      </c>
      <c r="B19" s="953" t="s">
        <v>677</v>
      </c>
      <c r="C19" s="953"/>
      <c r="D19" s="953"/>
      <c r="E19" s="953"/>
      <c r="F19" s="953"/>
      <c r="G19" s="953"/>
      <c r="H19" s="953"/>
      <c r="I19" s="953"/>
      <c r="J19" s="962" t="s">
        <v>305</v>
      </c>
      <c r="K19" s="962"/>
      <c r="L19" s="962"/>
      <c r="M19" s="962"/>
      <c r="N19" s="962"/>
      <c r="O19" s="962"/>
      <c r="P19" s="962"/>
      <c r="Q19" s="962"/>
      <c r="R19" s="962"/>
      <c r="S19" s="962"/>
      <c r="T19" s="962"/>
      <c r="U19" s="962"/>
      <c r="V19" s="962"/>
      <c r="W19" s="962"/>
      <c r="X19" s="962"/>
      <c r="Y19" s="962"/>
      <c r="Z19" s="962"/>
      <c r="AA19" s="962"/>
      <c r="AB19" s="962"/>
      <c r="AC19" s="962"/>
      <c r="AD19" s="963" t="s">
        <v>655</v>
      </c>
      <c r="AE19" s="964"/>
      <c r="AF19" s="964"/>
      <c r="AG19" s="964"/>
      <c r="AH19" s="964"/>
      <c r="AI19" s="964"/>
      <c r="AJ19" s="965"/>
      <c r="AK19" s="695"/>
    </row>
    <row r="20" spans="1:37" ht="13.75" customHeight="1">
      <c r="A20" s="698"/>
      <c r="B20" s="953"/>
      <c r="C20" s="953"/>
      <c r="D20" s="953"/>
      <c r="E20" s="953"/>
      <c r="F20" s="953"/>
      <c r="G20" s="953"/>
      <c r="H20" s="953"/>
      <c r="I20" s="953"/>
      <c r="J20" s="954"/>
      <c r="K20" s="954"/>
      <c r="L20" s="954"/>
      <c r="M20" s="954"/>
      <c r="N20" s="954"/>
      <c r="O20" s="954"/>
      <c r="P20" s="954"/>
      <c r="Q20" s="954"/>
      <c r="R20" s="954"/>
      <c r="S20" s="954"/>
      <c r="T20" s="954"/>
      <c r="U20" s="954"/>
      <c r="V20" s="954"/>
      <c r="W20" s="954"/>
      <c r="X20" s="954"/>
      <c r="Y20" s="954"/>
      <c r="Z20" s="954"/>
      <c r="AA20" s="954"/>
      <c r="AB20" s="954"/>
      <c r="AC20" s="954"/>
      <c r="AD20" s="955"/>
      <c r="AE20" s="956"/>
      <c r="AF20" s="956"/>
      <c r="AG20" s="956"/>
      <c r="AH20" s="956"/>
      <c r="AI20" s="956"/>
      <c r="AJ20" s="957"/>
      <c r="AK20" s="695"/>
    </row>
    <row r="21" spans="1:37" ht="13.75" customHeight="1">
      <c r="A21" s="699"/>
      <c r="B21" s="953"/>
      <c r="C21" s="953"/>
      <c r="D21" s="953"/>
      <c r="E21" s="953"/>
      <c r="F21" s="953"/>
      <c r="G21" s="953"/>
      <c r="H21" s="953"/>
      <c r="I21" s="953"/>
      <c r="J21" s="954"/>
      <c r="K21" s="954"/>
      <c r="L21" s="954"/>
      <c r="M21" s="954"/>
      <c r="N21" s="954"/>
      <c r="O21" s="954"/>
      <c r="P21" s="954"/>
      <c r="Q21" s="954"/>
      <c r="R21" s="954"/>
      <c r="S21" s="954"/>
      <c r="T21" s="954"/>
      <c r="U21" s="954"/>
      <c r="V21" s="954"/>
      <c r="W21" s="954"/>
      <c r="X21" s="954"/>
      <c r="Y21" s="954"/>
      <c r="Z21" s="954"/>
      <c r="AA21" s="954"/>
      <c r="AB21" s="954"/>
      <c r="AC21" s="954"/>
      <c r="AD21" s="955"/>
      <c r="AE21" s="956"/>
      <c r="AF21" s="956"/>
      <c r="AG21" s="956"/>
      <c r="AH21" s="956"/>
      <c r="AI21" s="956"/>
      <c r="AJ21" s="957"/>
      <c r="AK21" s="695"/>
    </row>
    <row r="22" spans="1:37" ht="13.75" customHeight="1">
      <c r="A22" s="698"/>
      <c r="B22" s="960" t="s">
        <v>678</v>
      </c>
      <c r="C22" s="960"/>
      <c r="D22" s="960"/>
      <c r="E22" s="960"/>
      <c r="F22" s="960"/>
      <c r="G22" s="960"/>
      <c r="H22" s="960"/>
      <c r="I22" s="960"/>
      <c r="J22" s="961"/>
      <c r="K22" s="961"/>
      <c r="L22" s="961"/>
      <c r="M22" s="961"/>
      <c r="N22" s="961"/>
      <c r="O22" s="961"/>
      <c r="P22" s="961"/>
      <c r="Q22" s="961"/>
      <c r="R22" s="961"/>
      <c r="S22" s="961"/>
      <c r="T22" s="961"/>
      <c r="U22" s="961"/>
      <c r="V22" s="961"/>
      <c r="W22" s="961"/>
      <c r="X22" s="961"/>
      <c r="Y22" s="961"/>
      <c r="Z22" s="961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695"/>
    </row>
    <row r="23" spans="1:37" ht="13.75" customHeight="1">
      <c r="A23" s="698">
        <v>1</v>
      </c>
      <c r="B23" s="953" t="s">
        <v>374</v>
      </c>
      <c r="C23" s="953"/>
      <c r="D23" s="953"/>
      <c r="E23" s="953"/>
      <c r="F23" s="953"/>
      <c r="G23" s="953"/>
      <c r="H23" s="953"/>
      <c r="I23" s="953"/>
      <c r="J23" s="954" t="s">
        <v>656</v>
      </c>
      <c r="K23" s="954"/>
      <c r="L23" s="954"/>
      <c r="M23" s="954"/>
      <c r="N23" s="954"/>
      <c r="O23" s="954"/>
      <c r="P23" s="954"/>
      <c r="Q23" s="954"/>
      <c r="R23" s="954"/>
      <c r="S23" s="954"/>
      <c r="T23" s="954"/>
      <c r="U23" s="954"/>
      <c r="V23" s="954"/>
      <c r="W23" s="954"/>
      <c r="X23" s="954"/>
      <c r="Y23" s="954"/>
      <c r="Z23" s="954"/>
      <c r="AA23" s="954"/>
      <c r="AB23" s="954"/>
      <c r="AC23" s="954"/>
      <c r="AD23" s="955" t="s">
        <v>657</v>
      </c>
      <c r="AE23" s="956"/>
      <c r="AF23" s="956"/>
      <c r="AG23" s="956"/>
      <c r="AH23" s="956"/>
      <c r="AI23" s="956"/>
      <c r="AJ23" s="957"/>
      <c r="AK23" s="695"/>
    </row>
    <row r="24" spans="1:37" ht="34.5" customHeight="1">
      <c r="A24" s="698">
        <v>2</v>
      </c>
      <c r="B24" s="953" t="s">
        <v>679</v>
      </c>
      <c r="C24" s="953"/>
      <c r="D24" s="953"/>
      <c r="E24" s="953"/>
      <c r="F24" s="953"/>
      <c r="G24" s="953"/>
      <c r="H24" s="953"/>
      <c r="I24" s="953"/>
      <c r="J24" s="954" t="s">
        <v>658</v>
      </c>
      <c r="K24" s="954"/>
      <c r="L24" s="954"/>
      <c r="M24" s="954"/>
      <c r="N24" s="954"/>
      <c r="O24" s="954"/>
      <c r="P24" s="954"/>
      <c r="Q24" s="954"/>
      <c r="R24" s="954"/>
      <c r="S24" s="954"/>
      <c r="T24" s="954"/>
      <c r="U24" s="954"/>
      <c r="V24" s="954"/>
      <c r="W24" s="954"/>
      <c r="X24" s="954"/>
      <c r="Y24" s="954"/>
      <c r="Z24" s="954"/>
      <c r="AA24" s="954"/>
      <c r="AB24" s="954"/>
      <c r="AC24" s="954"/>
      <c r="AD24" s="955" t="s">
        <v>659</v>
      </c>
      <c r="AE24" s="956"/>
      <c r="AF24" s="956"/>
      <c r="AG24" s="956"/>
      <c r="AH24" s="956"/>
      <c r="AI24" s="956"/>
      <c r="AJ24" s="957"/>
      <c r="AK24" s="695"/>
    </row>
    <row r="25" spans="1:37" ht="13.75" customHeight="1">
      <c r="A25" s="698">
        <v>3</v>
      </c>
      <c r="B25" s="953" t="s">
        <v>301</v>
      </c>
      <c r="C25" s="953"/>
      <c r="D25" s="953"/>
      <c r="E25" s="953"/>
      <c r="F25" s="953"/>
      <c r="G25" s="953"/>
      <c r="H25" s="953"/>
      <c r="I25" s="953"/>
      <c r="J25" s="954" t="s">
        <v>660</v>
      </c>
      <c r="K25" s="954"/>
      <c r="L25" s="954"/>
      <c r="M25" s="954"/>
      <c r="N25" s="954"/>
      <c r="O25" s="954"/>
      <c r="P25" s="954"/>
      <c r="Q25" s="954"/>
      <c r="R25" s="954"/>
      <c r="S25" s="954"/>
      <c r="T25" s="954"/>
      <c r="U25" s="954"/>
      <c r="V25" s="954"/>
      <c r="W25" s="954"/>
      <c r="X25" s="954"/>
      <c r="Y25" s="954"/>
      <c r="Z25" s="954"/>
      <c r="AA25" s="954"/>
      <c r="AB25" s="954"/>
      <c r="AC25" s="954"/>
      <c r="AD25" s="955" t="s">
        <v>661</v>
      </c>
      <c r="AE25" s="956"/>
      <c r="AF25" s="956"/>
      <c r="AG25" s="956"/>
      <c r="AH25" s="956"/>
      <c r="AI25" s="956"/>
      <c r="AJ25" s="957"/>
    </row>
    <row r="26" spans="1:37" ht="13.75" customHeight="1">
      <c r="A26" s="698">
        <v>4</v>
      </c>
      <c r="B26" s="953" t="s">
        <v>680</v>
      </c>
      <c r="C26" s="953"/>
      <c r="D26" s="953"/>
      <c r="E26" s="953"/>
      <c r="F26" s="953"/>
      <c r="G26" s="953"/>
      <c r="H26" s="953"/>
      <c r="I26" s="953"/>
      <c r="J26" s="954" t="s">
        <v>662</v>
      </c>
      <c r="K26" s="954"/>
      <c r="L26" s="954"/>
      <c r="M26" s="954"/>
      <c r="N26" s="954"/>
      <c r="O26" s="954"/>
      <c r="P26" s="954"/>
      <c r="Q26" s="954"/>
      <c r="R26" s="954"/>
      <c r="S26" s="954"/>
      <c r="T26" s="954"/>
      <c r="U26" s="954"/>
      <c r="V26" s="954"/>
      <c r="W26" s="954"/>
      <c r="X26" s="954"/>
      <c r="Y26" s="954"/>
      <c r="Z26" s="954"/>
      <c r="AA26" s="954"/>
      <c r="AB26" s="954"/>
      <c r="AC26" s="954"/>
      <c r="AD26" s="955" t="s">
        <v>661</v>
      </c>
      <c r="AE26" s="956"/>
      <c r="AF26" s="956"/>
      <c r="AG26" s="956"/>
      <c r="AH26" s="956"/>
      <c r="AI26" s="956"/>
      <c r="AJ26" s="957"/>
    </row>
    <row r="27" spans="1:37" ht="74.25" customHeight="1">
      <c r="A27" s="698">
        <v>5</v>
      </c>
      <c r="B27" s="953" t="s">
        <v>681</v>
      </c>
      <c r="C27" s="953"/>
      <c r="D27" s="953"/>
      <c r="E27" s="953"/>
      <c r="F27" s="953"/>
      <c r="G27" s="953"/>
      <c r="H27" s="953"/>
      <c r="I27" s="953"/>
      <c r="J27" s="959" t="s">
        <v>663</v>
      </c>
      <c r="K27" s="954"/>
      <c r="L27" s="954"/>
      <c r="M27" s="954"/>
      <c r="N27" s="954"/>
      <c r="O27" s="954"/>
      <c r="P27" s="954"/>
      <c r="Q27" s="954"/>
      <c r="R27" s="954"/>
      <c r="S27" s="954"/>
      <c r="T27" s="954"/>
      <c r="U27" s="954"/>
      <c r="V27" s="954"/>
      <c r="W27" s="954"/>
      <c r="X27" s="954"/>
      <c r="Y27" s="954"/>
      <c r="Z27" s="954"/>
      <c r="AA27" s="954"/>
      <c r="AB27" s="954"/>
      <c r="AC27" s="954"/>
      <c r="AD27" s="955" t="s">
        <v>661</v>
      </c>
      <c r="AE27" s="956"/>
      <c r="AF27" s="956"/>
      <c r="AG27" s="956"/>
      <c r="AH27" s="956"/>
      <c r="AI27" s="956"/>
      <c r="AJ27" s="957"/>
    </row>
    <row r="28" spans="1:37" ht="13.75" customHeight="1">
      <c r="A28" s="698">
        <v>6</v>
      </c>
      <c r="B28" s="953" t="s">
        <v>584</v>
      </c>
      <c r="C28" s="953"/>
      <c r="D28" s="953"/>
      <c r="E28" s="953"/>
      <c r="F28" s="953"/>
      <c r="G28" s="953"/>
      <c r="H28" s="953"/>
      <c r="I28" s="953"/>
      <c r="J28" s="954" t="s">
        <v>664</v>
      </c>
      <c r="K28" s="954"/>
      <c r="L28" s="954"/>
      <c r="M28" s="954"/>
      <c r="N28" s="954"/>
      <c r="O28" s="954"/>
      <c r="P28" s="954"/>
      <c r="Q28" s="954"/>
      <c r="R28" s="954"/>
      <c r="S28" s="954"/>
      <c r="T28" s="954"/>
      <c r="U28" s="954"/>
      <c r="V28" s="954"/>
      <c r="W28" s="954"/>
      <c r="X28" s="954"/>
      <c r="Y28" s="954"/>
      <c r="Z28" s="954"/>
      <c r="AA28" s="954"/>
      <c r="AB28" s="954"/>
      <c r="AC28" s="954"/>
      <c r="AD28" s="955" t="s">
        <v>661</v>
      </c>
      <c r="AE28" s="956"/>
      <c r="AF28" s="956"/>
      <c r="AG28" s="956"/>
      <c r="AH28" s="956"/>
      <c r="AI28" s="956"/>
      <c r="AJ28" s="957"/>
    </row>
    <row r="29" spans="1:37" ht="13.75" customHeight="1">
      <c r="A29" s="698"/>
      <c r="B29" s="953"/>
      <c r="C29" s="953"/>
      <c r="D29" s="953"/>
      <c r="E29" s="953"/>
      <c r="F29" s="953"/>
      <c r="G29" s="953"/>
      <c r="H29" s="953"/>
      <c r="I29" s="953"/>
      <c r="J29" s="954"/>
      <c r="K29" s="954"/>
      <c r="L29" s="954"/>
      <c r="M29" s="954"/>
      <c r="N29" s="954"/>
      <c r="O29" s="954"/>
      <c r="P29" s="954"/>
      <c r="Q29" s="954"/>
      <c r="R29" s="954"/>
      <c r="S29" s="954"/>
      <c r="T29" s="954"/>
      <c r="U29" s="954"/>
      <c r="V29" s="954"/>
      <c r="W29" s="954"/>
      <c r="X29" s="954"/>
      <c r="Y29" s="954"/>
      <c r="Z29" s="954"/>
      <c r="AA29" s="954"/>
      <c r="AB29" s="954"/>
      <c r="AC29" s="954"/>
      <c r="AD29" s="955"/>
      <c r="AE29" s="956"/>
      <c r="AF29" s="956"/>
      <c r="AG29" s="956"/>
      <c r="AH29" s="956"/>
      <c r="AI29" s="956"/>
      <c r="AJ29" s="957"/>
    </row>
    <row r="30" spans="1:37">
      <c r="A30" s="958" t="s">
        <v>22</v>
      </c>
      <c r="B30" s="958"/>
      <c r="C30" s="958"/>
      <c r="D30" s="958"/>
      <c r="E30" s="958"/>
      <c r="F30" s="958"/>
      <c r="G30" s="958"/>
      <c r="H30" s="958"/>
      <c r="I30" s="958"/>
      <c r="J30" s="700"/>
      <c r="K30" s="701"/>
      <c r="L30" s="701"/>
      <c r="M30" s="701"/>
      <c r="N30" s="701"/>
      <c r="O30" s="701"/>
      <c r="P30" s="701"/>
      <c r="Q30" s="701"/>
      <c r="R30" s="701"/>
      <c r="S30" s="701"/>
      <c r="T30" s="702"/>
      <c r="U30" s="702"/>
      <c r="V30" s="702"/>
      <c r="W30" s="702"/>
      <c r="X30" s="702"/>
      <c r="Y30" s="702"/>
      <c r="Z30" s="702"/>
      <c r="AA30" s="702"/>
      <c r="AB30" s="702"/>
      <c r="AC30" s="702"/>
      <c r="AD30" s="702"/>
      <c r="AE30" s="702"/>
      <c r="AF30" s="702"/>
      <c r="AG30" s="702"/>
      <c r="AH30" s="702"/>
      <c r="AI30" s="702"/>
      <c r="AJ30" s="703"/>
    </row>
    <row r="31" spans="1:37">
      <c r="A31" s="704" t="s">
        <v>665</v>
      </c>
      <c r="B31" s="701"/>
      <c r="C31" s="705" t="s">
        <v>666</v>
      </c>
      <c r="D31" s="701"/>
      <c r="E31" s="701"/>
      <c r="F31" s="701"/>
      <c r="G31" s="701"/>
      <c r="H31" s="701"/>
      <c r="I31" s="701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706"/>
    </row>
    <row r="32" spans="1:37">
      <c r="A32" s="707"/>
      <c r="B32" s="705"/>
      <c r="C32" s="705" t="s">
        <v>667</v>
      </c>
      <c r="D32" s="705"/>
      <c r="E32" s="705"/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706"/>
    </row>
    <row r="33" spans="1:36">
      <c r="A33" s="707"/>
      <c r="B33" s="705"/>
      <c r="C33" s="705" t="s">
        <v>668</v>
      </c>
      <c r="D33" s="705"/>
      <c r="E33" s="705"/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695"/>
      <c r="U33" s="695"/>
      <c r="V33" s="695"/>
      <c r="W33" s="695"/>
      <c r="X33" s="695"/>
      <c r="Y33" s="695"/>
      <c r="Z33" s="695"/>
      <c r="AA33" s="695"/>
      <c r="AB33" s="695"/>
      <c r="AC33" s="695"/>
      <c r="AD33" s="695"/>
      <c r="AE33" s="695"/>
      <c r="AF33" s="695"/>
      <c r="AG33" s="695"/>
      <c r="AH33" s="695"/>
      <c r="AI33" s="695"/>
      <c r="AJ33" s="706"/>
    </row>
    <row r="34" spans="1:36">
      <c r="A34" s="707"/>
      <c r="B34" s="705"/>
      <c r="C34" s="705"/>
      <c r="D34" s="705"/>
      <c r="E34" s="705"/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695"/>
      <c r="U34" s="695"/>
      <c r="V34" s="695"/>
      <c r="W34" s="695"/>
      <c r="X34" s="695"/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706"/>
    </row>
    <row r="35" spans="1:36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  <c r="S35" s="709"/>
      <c r="T35" s="710"/>
      <c r="U35" s="710"/>
      <c r="V35" s="710"/>
      <c r="W35" s="710"/>
      <c r="X35" s="710"/>
      <c r="Y35" s="710"/>
      <c r="Z35" s="710"/>
      <c r="AA35" s="710"/>
      <c r="AB35" s="710"/>
      <c r="AC35" s="710"/>
      <c r="AD35" s="710"/>
      <c r="AE35" s="710"/>
      <c r="AF35" s="710"/>
      <c r="AG35" s="710"/>
      <c r="AH35" s="710"/>
      <c r="AI35" s="710"/>
      <c r="AJ35" s="711"/>
    </row>
  </sheetData>
  <mergeCells count="72">
    <mergeCell ref="A1:M1"/>
    <mergeCell ref="A2:AJ4"/>
    <mergeCell ref="A5:I5"/>
    <mergeCell ref="J5:AJ5"/>
    <mergeCell ref="A6:I7"/>
    <mergeCell ref="J6:AC8"/>
    <mergeCell ref="AD6:AJ8"/>
    <mergeCell ref="B8:I8"/>
    <mergeCell ref="B9:I9"/>
    <mergeCell ref="J9:AC9"/>
    <mergeCell ref="AD9:AJ9"/>
    <mergeCell ref="B10:I10"/>
    <mergeCell ref="J10:AC10"/>
    <mergeCell ref="AD10:AJ10"/>
    <mergeCell ref="B11:I11"/>
    <mergeCell ref="J11:AC11"/>
    <mergeCell ref="AD11:AJ11"/>
    <mergeCell ref="B12:I12"/>
    <mergeCell ref="J12:AC12"/>
    <mergeCell ref="AD12:AJ12"/>
    <mergeCell ref="B13:I13"/>
    <mergeCell ref="J13:AC13"/>
    <mergeCell ref="AD13:AJ13"/>
    <mergeCell ref="B14:I14"/>
    <mergeCell ref="J14:AC14"/>
    <mergeCell ref="AD14:AJ14"/>
    <mergeCell ref="B15:I15"/>
    <mergeCell ref="J15:AC15"/>
    <mergeCell ref="AD15:AJ15"/>
    <mergeCell ref="B16:I16"/>
    <mergeCell ref="J16:AC16"/>
    <mergeCell ref="AD16:AJ16"/>
    <mergeCell ref="B17:I17"/>
    <mergeCell ref="J17:AC17"/>
    <mergeCell ref="AD17:AJ17"/>
    <mergeCell ref="B18:I18"/>
    <mergeCell ref="J18:AC18"/>
    <mergeCell ref="AD18:AJ18"/>
    <mergeCell ref="B19:I19"/>
    <mergeCell ref="J19:AC19"/>
    <mergeCell ref="AD19:AJ19"/>
    <mergeCell ref="B20:I20"/>
    <mergeCell ref="J20:AC20"/>
    <mergeCell ref="AD20:AJ20"/>
    <mergeCell ref="B21:I21"/>
    <mergeCell ref="J21:AC21"/>
    <mergeCell ref="AD21:AJ21"/>
    <mergeCell ref="B22:I22"/>
    <mergeCell ref="J22:AC22"/>
    <mergeCell ref="AD22:AJ22"/>
    <mergeCell ref="B23:I23"/>
    <mergeCell ref="J23:AC23"/>
    <mergeCell ref="AD23:AJ23"/>
    <mergeCell ref="B24:I24"/>
    <mergeCell ref="J24:AC24"/>
    <mergeCell ref="AD24:AJ24"/>
    <mergeCell ref="B25:I25"/>
    <mergeCell ref="J25:AC25"/>
    <mergeCell ref="AD25:AJ25"/>
    <mergeCell ref="B26:I26"/>
    <mergeCell ref="J26:AC26"/>
    <mergeCell ref="AD26:AJ26"/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</mergeCells>
  <phoneticPr fontId="57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C8C3ED1E-E5CC-4487-A42A-C5673A97D81B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108" ht="13.75" customHeight="1">
      <c r="A1" s="978" t="s">
        <v>576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108" ht="13.75" customHeight="1">
      <c r="A2" s="979" t="s">
        <v>577</v>
      </c>
      <c r="B2" s="953"/>
      <c r="C2" s="953"/>
      <c r="D2" s="953"/>
      <c r="E2" s="953"/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  <c r="AA2" s="953"/>
      <c r="AB2" s="953"/>
      <c r="AC2" s="953"/>
    </row>
    <row r="3" spans="1:108" ht="13.75" customHeight="1">
      <c r="A3" s="953"/>
      <c r="B3" s="953"/>
      <c r="C3" s="953"/>
      <c r="D3" s="953"/>
      <c r="E3" s="953"/>
      <c r="F3" s="953"/>
      <c r="G3" s="953"/>
      <c r="H3" s="953"/>
      <c r="I3" s="953"/>
      <c r="J3" s="953"/>
      <c r="K3" s="953"/>
      <c r="L3" s="953"/>
      <c r="M3" s="953"/>
      <c r="N3" s="953"/>
      <c r="O3" s="953"/>
      <c r="P3" s="953"/>
      <c r="Q3" s="953"/>
      <c r="R3" s="953"/>
      <c r="S3" s="953"/>
      <c r="T3" s="953"/>
      <c r="U3" s="953"/>
      <c r="V3" s="953"/>
      <c r="W3" s="953"/>
      <c r="X3" s="953"/>
      <c r="Y3" s="953"/>
      <c r="Z3" s="953"/>
      <c r="AA3" s="953"/>
      <c r="AB3" s="953"/>
      <c r="AC3" s="953"/>
    </row>
    <row r="5" spans="1:108">
      <c r="B5" s="696" t="s">
        <v>578</v>
      </c>
    </row>
    <row r="7" spans="1:108">
      <c r="C7" s="696" t="s">
        <v>579</v>
      </c>
    </row>
    <row r="8" spans="1:108">
      <c r="C8" s="696"/>
    </row>
    <row r="9" spans="1:108">
      <c r="D9" s="694" t="s">
        <v>580</v>
      </c>
    </row>
    <row r="10" spans="1:108" ht="15.75" customHeight="1">
      <c r="D10" s="976" t="s">
        <v>581</v>
      </c>
      <c r="E10" s="976"/>
      <c r="F10" s="976"/>
      <c r="G10" s="976"/>
      <c r="H10" s="976"/>
      <c r="I10" s="976"/>
      <c r="J10" s="976"/>
      <c r="K10" s="976" t="s">
        <v>374</v>
      </c>
      <c r="L10" s="976"/>
      <c r="M10" s="976"/>
      <c r="N10" s="976"/>
      <c r="O10" s="976"/>
      <c r="P10" s="976"/>
      <c r="Q10" s="976"/>
      <c r="R10" s="976" t="s">
        <v>582</v>
      </c>
      <c r="S10" s="976"/>
      <c r="T10" s="976"/>
      <c r="U10" s="976"/>
      <c r="V10" s="976"/>
      <c r="W10" s="976"/>
      <c r="X10" s="976"/>
      <c r="Y10" s="976" t="s">
        <v>583</v>
      </c>
      <c r="Z10" s="976"/>
      <c r="AA10" s="976"/>
      <c r="AB10" s="976"/>
      <c r="AC10" s="976"/>
      <c r="AD10" s="976"/>
      <c r="AE10" s="976"/>
      <c r="AF10" s="976" t="s">
        <v>584</v>
      </c>
      <c r="AG10" s="976"/>
      <c r="AH10" s="976"/>
      <c r="AI10" s="976"/>
      <c r="AJ10" s="976"/>
      <c r="AK10" s="976"/>
      <c r="AL10" s="976"/>
      <c r="AM10" s="976" t="s">
        <v>585</v>
      </c>
      <c r="AN10" s="976"/>
      <c r="AO10" s="976"/>
      <c r="AP10" s="976"/>
      <c r="AQ10" s="976"/>
      <c r="AR10" s="976"/>
      <c r="AS10" s="976"/>
      <c r="AT10" s="977" t="s">
        <v>586</v>
      </c>
      <c r="AU10" s="977"/>
      <c r="AV10" s="977"/>
      <c r="AW10" s="977"/>
      <c r="AX10" s="977"/>
      <c r="AY10" s="977"/>
      <c r="AZ10" s="977"/>
      <c r="BA10" s="976" t="s">
        <v>587</v>
      </c>
      <c r="BB10" s="976"/>
      <c r="BC10" s="976"/>
      <c r="BD10" s="976"/>
      <c r="BE10" s="976"/>
      <c r="BF10" s="976"/>
      <c r="BG10" s="976"/>
      <c r="BH10" s="976" t="s">
        <v>588</v>
      </c>
      <c r="BI10" s="976"/>
      <c r="BJ10" s="976"/>
      <c r="BK10" s="976"/>
      <c r="BL10" s="976"/>
      <c r="BM10" s="976"/>
      <c r="BN10" s="976"/>
      <c r="BO10" s="976" t="s">
        <v>589</v>
      </c>
      <c r="BP10" s="976"/>
      <c r="BQ10" s="976"/>
      <c r="BR10" s="976"/>
      <c r="BS10" s="976"/>
      <c r="BT10" s="976"/>
      <c r="BU10" s="976"/>
      <c r="BV10" s="976" t="s">
        <v>590</v>
      </c>
      <c r="BW10" s="976"/>
      <c r="BX10" s="976"/>
      <c r="BY10" s="976"/>
      <c r="BZ10" s="976"/>
      <c r="CA10" s="976"/>
      <c r="CB10" s="976"/>
      <c r="CC10" s="976" t="s">
        <v>591</v>
      </c>
      <c r="CD10" s="976"/>
      <c r="CE10" s="976"/>
      <c r="CF10" s="976"/>
      <c r="CG10" s="976"/>
      <c r="CH10" s="976"/>
      <c r="CI10" s="976"/>
      <c r="CJ10" s="976" t="s">
        <v>592</v>
      </c>
      <c r="CK10" s="976"/>
      <c r="CL10" s="976"/>
      <c r="CM10" s="976"/>
      <c r="CN10" s="976"/>
      <c r="CO10" s="976"/>
      <c r="CP10" s="976"/>
      <c r="CQ10" s="976" t="s">
        <v>593</v>
      </c>
      <c r="CR10" s="976"/>
      <c r="CS10" s="976"/>
      <c r="CT10" s="976"/>
      <c r="CU10" s="976"/>
      <c r="CV10" s="976"/>
      <c r="CW10" s="976"/>
      <c r="CX10" s="976" t="s">
        <v>594</v>
      </c>
      <c r="CY10" s="976"/>
      <c r="CZ10" s="976"/>
      <c r="DA10" s="976"/>
      <c r="DB10" s="976"/>
      <c r="DC10" s="976"/>
      <c r="DD10" s="976"/>
    </row>
    <row r="11" spans="1:108" ht="15.75" customHeight="1">
      <c r="D11" s="968" t="s">
        <v>595</v>
      </c>
      <c r="E11" s="968"/>
      <c r="F11" s="968"/>
      <c r="G11" s="968"/>
      <c r="H11" s="968"/>
      <c r="I11" s="968"/>
      <c r="J11" s="968"/>
      <c r="K11" s="968" t="s">
        <v>596</v>
      </c>
      <c r="L11" s="968"/>
      <c r="M11" s="968"/>
      <c r="N11" s="968"/>
      <c r="O11" s="968"/>
      <c r="P11" s="968"/>
      <c r="Q11" s="968"/>
      <c r="R11" s="968" t="s">
        <v>597</v>
      </c>
      <c r="S11" s="968"/>
      <c r="T11" s="968"/>
      <c r="U11" s="968"/>
      <c r="V11" s="968"/>
      <c r="W11" s="968"/>
      <c r="X11" s="968"/>
      <c r="Y11" s="968" t="s">
        <v>598</v>
      </c>
      <c r="Z11" s="968"/>
      <c r="AA11" s="968"/>
      <c r="AB11" s="968"/>
      <c r="AC11" s="968"/>
      <c r="AD11" s="968"/>
      <c r="AE11" s="968"/>
      <c r="AF11" s="969" t="s">
        <v>599</v>
      </c>
      <c r="AG11" s="968"/>
      <c r="AH11" s="968"/>
      <c r="AI11" s="968"/>
      <c r="AJ11" s="968"/>
      <c r="AK11" s="968"/>
      <c r="AL11" s="968"/>
      <c r="AM11" s="968"/>
      <c r="AN11" s="968"/>
      <c r="AO11" s="968"/>
      <c r="AP11" s="968"/>
      <c r="AQ11" s="968"/>
      <c r="AR11" s="968"/>
      <c r="AS11" s="968"/>
      <c r="AT11" s="970" t="s">
        <v>600</v>
      </c>
      <c r="AU11" s="970"/>
      <c r="AV11" s="970"/>
      <c r="AW11" s="970"/>
      <c r="AX11" s="970"/>
      <c r="AY11" s="970"/>
      <c r="AZ11" s="970"/>
      <c r="BA11" s="968" t="s">
        <v>601</v>
      </c>
      <c r="BB11" s="968"/>
      <c r="BC11" s="968"/>
      <c r="BD11" s="968"/>
      <c r="BE11" s="968"/>
      <c r="BF11" s="968"/>
      <c r="BG11" s="968"/>
      <c r="BH11" s="968" t="s">
        <v>602</v>
      </c>
      <c r="BI11" s="968"/>
      <c r="BJ11" s="968"/>
      <c r="BK11" s="968"/>
      <c r="BL11" s="968"/>
      <c r="BM11" s="968"/>
      <c r="BN11" s="968"/>
      <c r="BO11" s="968" t="s">
        <v>603</v>
      </c>
      <c r="BP11" s="968"/>
      <c r="BQ11" s="968"/>
      <c r="BR11" s="968"/>
      <c r="BS11" s="968"/>
      <c r="BT11" s="968"/>
      <c r="BU11" s="968"/>
      <c r="BV11" s="968" t="s">
        <v>603</v>
      </c>
      <c r="BW11" s="968"/>
      <c r="BX11" s="968"/>
      <c r="BY11" s="968"/>
      <c r="BZ11" s="968"/>
      <c r="CA11" s="968"/>
      <c r="CB11" s="968"/>
      <c r="CC11" s="968" t="s">
        <v>603</v>
      </c>
      <c r="CD11" s="968"/>
      <c r="CE11" s="968"/>
      <c r="CF11" s="968"/>
      <c r="CG11" s="968"/>
      <c r="CH11" s="968"/>
      <c r="CI11" s="968"/>
      <c r="CJ11" s="968" t="s">
        <v>603</v>
      </c>
      <c r="CK11" s="968"/>
      <c r="CL11" s="968"/>
      <c r="CM11" s="968"/>
      <c r="CN11" s="968"/>
      <c r="CO11" s="968"/>
      <c r="CP11" s="968"/>
      <c r="CQ11" s="968" t="s">
        <v>603</v>
      </c>
      <c r="CR11" s="968"/>
      <c r="CS11" s="968"/>
      <c r="CT11" s="968"/>
      <c r="CU11" s="968"/>
      <c r="CV11" s="968"/>
      <c r="CW11" s="968"/>
      <c r="CX11" s="968" t="s">
        <v>603</v>
      </c>
      <c r="CY11" s="968"/>
      <c r="CZ11" s="968"/>
      <c r="DA11" s="968"/>
      <c r="DB11" s="968"/>
      <c r="DC11" s="968"/>
      <c r="DD11" s="968"/>
    </row>
    <row r="12" spans="1:108" ht="15.75" customHeight="1">
      <c r="D12" s="968" t="s">
        <v>595</v>
      </c>
      <c r="E12" s="968"/>
      <c r="F12" s="968"/>
      <c r="G12" s="968"/>
      <c r="H12" s="968"/>
      <c r="I12" s="968"/>
      <c r="J12" s="968"/>
      <c r="K12" s="968" t="s">
        <v>596</v>
      </c>
      <c r="L12" s="968"/>
      <c r="M12" s="968"/>
      <c r="N12" s="968"/>
      <c r="O12" s="968"/>
      <c r="P12" s="968"/>
      <c r="Q12" s="968"/>
      <c r="R12" s="968" t="s">
        <v>597</v>
      </c>
      <c r="S12" s="968"/>
      <c r="T12" s="968"/>
      <c r="U12" s="968"/>
      <c r="V12" s="968"/>
      <c r="W12" s="968"/>
      <c r="X12" s="968"/>
      <c r="Y12" s="968" t="s">
        <v>598</v>
      </c>
      <c r="Z12" s="968"/>
      <c r="AA12" s="968"/>
      <c r="AB12" s="968"/>
      <c r="AC12" s="968"/>
      <c r="AD12" s="968"/>
      <c r="AE12" s="968"/>
      <c r="AF12" s="969" t="s">
        <v>599</v>
      </c>
      <c r="AG12" s="968"/>
      <c r="AH12" s="968"/>
      <c r="AI12" s="968"/>
      <c r="AJ12" s="968"/>
      <c r="AK12" s="968"/>
      <c r="AL12" s="968"/>
      <c r="AM12" s="968" t="s">
        <v>604</v>
      </c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  <c r="BW12" s="968"/>
      <c r="BX12" s="968"/>
      <c r="BY12" s="968"/>
      <c r="BZ12" s="968"/>
      <c r="CA12" s="968"/>
      <c r="CB12" s="968"/>
      <c r="CC12" s="968"/>
      <c r="CD12" s="968"/>
      <c r="CE12" s="968"/>
      <c r="CF12" s="968"/>
      <c r="CG12" s="968"/>
      <c r="CH12" s="968"/>
      <c r="CI12" s="968"/>
      <c r="CJ12" s="968"/>
      <c r="CK12" s="968"/>
      <c r="CL12" s="968"/>
      <c r="CM12" s="968"/>
      <c r="CN12" s="968"/>
      <c r="CO12" s="968"/>
      <c r="CP12" s="968"/>
      <c r="CQ12" s="968"/>
      <c r="CR12" s="968"/>
      <c r="CS12" s="968"/>
      <c r="CT12" s="968"/>
      <c r="CU12" s="968"/>
      <c r="CV12" s="968"/>
      <c r="CW12" s="968"/>
      <c r="CX12" s="968"/>
      <c r="CY12" s="968"/>
      <c r="CZ12" s="968"/>
      <c r="DA12" s="968"/>
      <c r="DB12" s="968"/>
      <c r="DC12" s="968"/>
      <c r="DD12" s="968"/>
    </row>
    <row r="13" spans="1:108" ht="15.75" customHeight="1">
      <c r="D13" s="968" t="s">
        <v>605</v>
      </c>
      <c r="E13" s="968"/>
      <c r="F13" s="968"/>
      <c r="G13" s="968"/>
      <c r="H13" s="968"/>
      <c r="I13" s="968"/>
      <c r="J13" s="968"/>
      <c r="K13" s="968" t="s">
        <v>606</v>
      </c>
      <c r="L13" s="968"/>
      <c r="M13" s="968"/>
      <c r="N13" s="968"/>
      <c r="O13" s="968"/>
      <c r="P13" s="968"/>
      <c r="Q13" s="968"/>
      <c r="R13" s="968" t="s">
        <v>607</v>
      </c>
      <c r="S13" s="968"/>
      <c r="T13" s="968"/>
      <c r="U13" s="968"/>
      <c r="V13" s="968"/>
      <c r="W13" s="968"/>
      <c r="X13" s="968"/>
      <c r="Y13" s="968" t="s">
        <v>608</v>
      </c>
      <c r="Z13" s="968"/>
      <c r="AA13" s="968"/>
      <c r="AB13" s="968"/>
      <c r="AC13" s="968"/>
      <c r="AD13" s="968"/>
      <c r="AE13" s="968"/>
      <c r="AF13" s="974" t="s">
        <v>609</v>
      </c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70" t="s">
        <v>600</v>
      </c>
      <c r="AU13" s="970"/>
      <c r="AV13" s="970"/>
      <c r="AW13" s="970"/>
      <c r="AX13" s="970"/>
      <c r="AY13" s="970"/>
      <c r="AZ13" s="970"/>
      <c r="BA13" s="968" t="s">
        <v>601</v>
      </c>
      <c r="BB13" s="968"/>
      <c r="BC13" s="968"/>
      <c r="BD13" s="968"/>
      <c r="BE13" s="968"/>
      <c r="BF13" s="968"/>
      <c r="BG13" s="968"/>
      <c r="BH13" s="968" t="s">
        <v>610</v>
      </c>
      <c r="BI13" s="968"/>
      <c r="BJ13" s="968"/>
      <c r="BK13" s="968"/>
      <c r="BL13" s="968"/>
      <c r="BM13" s="968"/>
      <c r="BN13" s="968"/>
      <c r="BO13" s="968" t="s">
        <v>610</v>
      </c>
      <c r="BP13" s="968"/>
      <c r="BQ13" s="968"/>
      <c r="BR13" s="968"/>
      <c r="BS13" s="968"/>
      <c r="BT13" s="968"/>
      <c r="BU13" s="968"/>
      <c r="BV13" s="968" t="s">
        <v>603</v>
      </c>
      <c r="BW13" s="968"/>
      <c r="BX13" s="968"/>
      <c r="BY13" s="968"/>
      <c r="BZ13" s="968"/>
      <c r="CA13" s="968"/>
      <c r="CB13" s="968"/>
      <c r="CC13" s="968" t="s">
        <v>603</v>
      </c>
      <c r="CD13" s="968"/>
      <c r="CE13" s="968"/>
      <c r="CF13" s="968"/>
      <c r="CG13" s="968"/>
      <c r="CH13" s="968"/>
      <c r="CI13" s="968"/>
      <c r="CJ13" s="968" t="s">
        <v>611</v>
      </c>
      <c r="CK13" s="968"/>
      <c r="CL13" s="968"/>
      <c r="CM13" s="968"/>
      <c r="CN13" s="968"/>
      <c r="CO13" s="968"/>
      <c r="CP13" s="968"/>
      <c r="CQ13" s="968" t="s">
        <v>603</v>
      </c>
      <c r="CR13" s="968"/>
      <c r="CS13" s="968"/>
      <c r="CT13" s="968"/>
      <c r="CU13" s="968"/>
      <c r="CV13" s="968"/>
      <c r="CW13" s="968"/>
      <c r="CX13" s="968" t="s">
        <v>603</v>
      </c>
      <c r="CY13" s="968"/>
      <c r="CZ13" s="968"/>
      <c r="DA13" s="968"/>
      <c r="DB13" s="968"/>
      <c r="DC13" s="968"/>
      <c r="DD13" s="968"/>
    </row>
    <row r="14" spans="1:108" ht="15.75" customHeight="1">
      <c r="D14" s="968" t="s">
        <v>612</v>
      </c>
      <c r="E14" s="968"/>
      <c r="F14" s="968"/>
      <c r="G14" s="968"/>
      <c r="H14" s="968"/>
      <c r="I14" s="968"/>
      <c r="J14" s="968"/>
      <c r="K14" s="968" t="s">
        <v>613</v>
      </c>
      <c r="L14" s="968"/>
      <c r="M14" s="968"/>
      <c r="N14" s="968"/>
      <c r="O14" s="968"/>
      <c r="P14" s="968"/>
      <c r="Q14" s="968"/>
      <c r="R14" s="968" t="s">
        <v>614</v>
      </c>
      <c r="S14" s="968"/>
      <c r="T14" s="968"/>
      <c r="U14" s="968"/>
      <c r="V14" s="968"/>
      <c r="W14" s="968"/>
      <c r="X14" s="968"/>
      <c r="Y14" s="968" t="s">
        <v>615</v>
      </c>
      <c r="Z14" s="968"/>
      <c r="AA14" s="968"/>
      <c r="AB14" s="968"/>
      <c r="AC14" s="968"/>
      <c r="AD14" s="968"/>
      <c r="AE14" s="968"/>
      <c r="AF14" s="969" t="s">
        <v>305</v>
      </c>
      <c r="AG14" s="968"/>
      <c r="AH14" s="968"/>
      <c r="AI14" s="968"/>
      <c r="AJ14" s="968"/>
      <c r="AK14" s="968"/>
      <c r="AL14" s="968"/>
      <c r="AM14" s="968"/>
      <c r="AN14" s="968"/>
      <c r="AO14" s="968"/>
      <c r="AP14" s="968"/>
      <c r="AQ14" s="968"/>
      <c r="AR14" s="968"/>
      <c r="AS14" s="968"/>
      <c r="AT14" s="970" t="s">
        <v>600</v>
      </c>
      <c r="AU14" s="970"/>
      <c r="AV14" s="970"/>
      <c r="AW14" s="970"/>
      <c r="AX14" s="970"/>
      <c r="AY14" s="970"/>
      <c r="AZ14" s="970"/>
      <c r="BA14" s="968" t="s">
        <v>601</v>
      </c>
      <c r="BB14" s="968"/>
      <c r="BC14" s="968"/>
      <c r="BD14" s="968"/>
      <c r="BE14" s="968"/>
      <c r="BF14" s="968"/>
      <c r="BG14" s="968"/>
      <c r="BH14" s="968" t="s">
        <v>603</v>
      </c>
      <c r="BI14" s="968"/>
      <c r="BJ14" s="968"/>
      <c r="BK14" s="968"/>
      <c r="BL14" s="968"/>
      <c r="BM14" s="968"/>
      <c r="BN14" s="968"/>
      <c r="BO14" s="968" t="s">
        <v>603</v>
      </c>
      <c r="BP14" s="968"/>
      <c r="BQ14" s="968"/>
      <c r="BR14" s="968"/>
      <c r="BS14" s="968"/>
      <c r="BT14" s="968"/>
      <c r="BU14" s="968"/>
      <c r="BV14" s="968" t="s">
        <v>603</v>
      </c>
      <c r="BW14" s="968"/>
      <c r="BX14" s="968"/>
      <c r="BY14" s="968"/>
      <c r="BZ14" s="968"/>
      <c r="CA14" s="968"/>
      <c r="CB14" s="968"/>
      <c r="CC14" s="968" t="s">
        <v>603</v>
      </c>
      <c r="CD14" s="968"/>
      <c r="CE14" s="968"/>
      <c r="CF14" s="968"/>
      <c r="CG14" s="968"/>
      <c r="CH14" s="968"/>
      <c r="CI14" s="968"/>
      <c r="CJ14" s="968" t="s">
        <v>611</v>
      </c>
      <c r="CK14" s="968"/>
      <c r="CL14" s="968"/>
      <c r="CM14" s="968"/>
      <c r="CN14" s="968"/>
      <c r="CO14" s="968"/>
      <c r="CP14" s="968"/>
      <c r="CQ14" s="968" t="s">
        <v>611</v>
      </c>
      <c r="CR14" s="968"/>
      <c r="CS14" s="968"/>
      <c r="CT14" s="968"/>
      <c r="CU14" s="968"/>
      <c r="CV14" s="968"/>
      <c r="CW14" s="968"/>
      <c r="CX14" s="968" t="s">
        <v>611</v>
      </c>
      <c r="CY14" s="968"/>
      <c r="CZ14" s="968"/>
      <c r="DA14" s="968"/>
      <c r="DB14" s="968"/>
      <c r="DC14" s="968"/>
      <c r="DD14" s="968"/>
    </row>
    <row r="15" spans="1:108" ht="15.75" customHeight="1">
      <c r="D15" s="968" t="s">
        <v>616</v>
      </c>
      <c r="E15" s="968"/>
      <c r="F15" s="968"/>
      <c r="G15" s="968"/>
      <c r="H15" s="968"/>
      <c r="I15" s="968"/>
      <c r="J15" s="968"/>
      <c r="K15" s="968" t="s">
        <v>617</v>
      </c>
      <c r="L15" s="968"/>
      <c r="M15" s="968"/>
      <c r="N15" s="968"/>
      <c r="O15" s="968"/>
      <c r="P15" s="968"/>
      <c r="Q15" s="968"/>
      <c r="R15" s="968" t="s">
        <v>618</v>
      </c>
      <c r="S15" s="968"/>
      <c r="T15" s="968"/>
      <c r="U15" s="968"/>
      <c r="V15" s="968"/>
      <c r="W15" s="968"/>
      <c r="X15" s="968"/>
      <c r="Y15" s="971" t="s">
        <v>619</v>
      </c>
      <c r="Z15" s="972"/>
      <c r="AA15" s="972"/>
      <c r="AB15" s="972"/>
      <c r="AC15" s="972"/>
      <c r="AD15" s="972"/>
      <c r="AE15" s="973"/>
      <c r="AF15" s="969" t="s">
        <v>305</v>
      </c>
      <c r="AG15" s="968"/>
      <c r="AH15" s="968"/>
      <c r="AI15" s="968"/>
      <c r="AJ15" s="968"/>
      <c r="AK15" s="968"/>
      <c r="AL15" s="968"/>
      <c r="AM15" s="968"/>
      <c r="AN15" s="968"/>
      <c r="AO15" s="968"/>
      <c r="AP15" s="968"/>
      <c r="AQ15" s="968"/>
      <c r="AR15" s="968"/>
      <c r="AS15" s="968"/>
      <c r="AT15" s="970" t="s">
        <v>600</v>
      </c>
      <c r="AU15" s="970"/>
      <c r="AV15" s="970"/>
      <c r="AW15" s="970"/>
      <c r="AX15" s="970"/>
      <c r="AY15" s="970"/>
      <c r="AZ15" s="970"/>
      <c r="BA15" s="968" t="s">
        <v>601</v>
      </c>
      <c r="BB15" s="968"/>
      <c r="BC15" s="968"/>
      <c r="BD15" s="968"/>
      <c r="BE15" s="968"/>
      <c r="BF15" s="968"/>
      <c r="BG15" s="968"/>
      <c r="BH15" s="968" t="s">
        <v>603</v>
      </c>
      <c r="BI15" s="968"/>
      <c r="BJ15" s="968"/>
      <c r="BK15" s="968"/>
      <c r="BL15" s="968"/>
      <c r="BM15" s="968"/>
      <c r="BN15" s="968"/>
      <c r="BO15" s="968" t="s">
        <v>603</v>
      </c>
      <c r="BP15" s="968"/>
      <c r="BQ15" s="968"/>
      <c r="BR15" s="968"/>
      <c r="BS15" s="968"/>
      <c r="BT15" s="968"/>
      <c r="BU15" s="968"/>
      <c r="BV15" s="968" t="s">
        <v>603</v>
      </c>
      <c r="BW15" s="968"/>
      <c r="BX15" s="968"/>
      <c r="BY15" s="968"/>
      <c r="BZ15" s="968"/>
      <c r="CA15" s="968"/>
      <c r="CB15" s="968"/>
      <c r="CC15" s="968" t="s">
        <v>603</v>
      </c>
      <c r="CD15" s="968"/>
      <c r="CE15" s="968"/>
      <c r="CF15" s="968"/>
      <c r="CG15" s="968"/>
      <c r="CH15" s="968"/>
      <c r="CI15" s="968"/>
      <c r="CJ15" s="968" t="s">
        <v>603</v>
      </c>
      <c r="CK15" s="968"/>
      <c r="CL15" s="968"/>
      <c r="CM15" s="968"/>
      <c r="CN15" s="968"/>
      <c r="CO15" s="968"/>
      <c r="CP15" s="968"/>
      <c r="CQ15" s="968" t="s">
        <v>603</v>
      </c>
      <c r="CR15" s="968"/>
      <c r="CS15" s="968"/>
      <c r="CT15" s="968"/>
      <c r="CU15" s="968"/>
      <c r="CV15" s="968"/>
      <c r="CW15" s="968"/>
      <c r="CX15" s="968" t="s">
        <v>603</v>
      </c>
      <c r="CY15" s="968"/>
      <c r="CZ15" s="968"/>
      <c r="DA15" s="968"/>
      <c r="DB15" s="968"/>
      <c r="DC15" s="968"/>
      <c r="DD15" s="968"/>
    </row>
    <row r="16" spans="1:108">
      <c r="D16" s="969" t="s">
        <v>305</v>
      </c>
      <c r="E16" s="968"/>
      <c r="F16" s="968"/>
      <c r="G16" s="968"/>
      <c r="H16" s="968"/>
      <c r="I16" s="968"/>
      <c r="J16" s="968"/>
      <c r="K16" s="968" t="s">
        <v>620</v>
      </c>
      <c r="L16" s="968"/>
      <c r="M16" s="968"/>
      <c r="N16" s="968"/>
      <c r="O16" s="968"/>
      <c r="P16" s="968"/>
      <c r="Q16" s="968"/>
      <c r="R16" s="969" t="s">
        <v>305</v>
      </c>
      <c r="S16" s="968"/>
      <c r="T16" s="968"/>
      <c r="U16" s="968"/>
      <c r="V16" s="968"/>
      <c r="W16" s="968"/>
      <c r="X16" s="968"/>
      <c r="Y16" s="969" t="s">
        <v>305</v>
      </c>
      <c r="Z16" s="968"/>
      <c r="AA16" s="968"/>
      <c r="AB16" s="968"/>
      <c r="AC16" s="968"/>
      <c r="AD16" s="968"/>
      <c r="AE16" s="968"/>
      <c r="AF16" s="969" t="s">
        <v>305</v>
      </c>
      <c r="AG16" s="968"/>
      <c r="AH16" s="968"/>
      <c r="AI16" s="968"/>
      <c r="AJ16" s="968"/>
      <c r="AK16" s="968"/>
      <c r="AL16" s="968"/>
      <c r="AM16" s="968" t="s">
        <v>621</v>
      </c>
      <c r="AN16" s="968"/>
      <c r="AO16" s="968"/>
      <c r="AP16" s="968"/>
      <c r="AQ16" s="968"/>
      <c r="AR16" s="968"/>
      <c r="AS16" s="968"/>
      <c r="AT16" s="970" t="s">
        <v>600</v>
      </c>
      <c r="AU16" s="970"/>
      <c r="AV16" s="970"/>
      <c r="AW16" s="970"/>
      <c r="AX16" s="970"/>
      <c r="AY16" s="970"/>
      <c r="AZ16" s="970"/>
      <c r="BA16" s="968" t="s">
        <v>601</v>
      </c>
      <c r="BB16" s="968"/>
      <c r="BC16" s="968"/>
      <c r="BD16" s="968"/>
      <c r="BE16" s="968"/>
      <c r="BF16" s="968"/>
      <c r="BG16" s="968"/>
      <c r="BH16" s="968" t="s">
        <v>611</v>
      </c>
      <c r="BI16" s="968"/>
      <c r="BJ16" s="968"/>
      <c r="BK16" s="968"/>
      <c r="BL16" s="968"/>
      <c r="BM16" s="968"/>
      <c r="BN16" s="968"/>
      <c r="BO16" s="968" t="s">
        <v>611</v>
      </c>
      <c r="BP16" s="968"/>
      <c r="BQ16" s="968"/>
      <c r="BR16" s="968"/>
      <c r="BS16" s="968"/>
      <c r="BT16" s="968"/>
      <c r="BU16" s="968"/>
      <c r="BV16" s="968" t="s">
        <v>611</v>
      </c>
      <c r="BW16" s="968"/>
      <c r="BX16" s="968"/>
      <c r="BY16" s="968"/>
      <c r="BZ16" s="968"/>
      <c r="CA16" s="968"/>
      <c r="CB16" s="968"/>
      <c r="CC16" s="968" t="s">
        <v>611</v>
      </c>
      <c r="CD16" s="968"/>
      <c r="CE16" s="968"/>
      <c r="CF16" s="968"/>
      <c r="CG16" s="968"/>
      <c r="CH16" s="968"/>
      <c r="CI16" s="968"/>
      <c r="CJ16" s="968" t="s">
        <v>611</v>
      </c>
      <c r="CK16" s="968"/>
      <c r="CL16" s="968"/>
      <c r="CM16" s="968"/>
      <c r="CN16" s="968"/>
      <c r="CO16" s="968"/>
      <c r="CP16" s="968"/>
      <c r="CQ16" s="968" t="s">
        <v>611</v>
      </c>
      <c r="CR16" s="968"/>
      <c r="CS16" s="968"/>
      <c r="CT16" s="968"/>
      <c r="CU16" s="968"/>
      <c r="CV16" s="968"/>
      <c r="CW16" s="968"/>
      <c r="CX16" s="968" t="s">
        <v>611</v>
      </c>
      <c r="CY16" s="968"/>
      <c r="CZ16" s="968"/>
      <c r="DA16" s="968"/>
      <c r="DB16" s="968"/>
      <c r="DC16" s="968"/>
      <c r="DD16" s="968"/>
    </row>
    <row r="19" spans="2:87">
      <c r="C19" s="696" t="s">
        <v>622</v>
      </c>
    </row>
    <row r="20" spans="2:87">
      <c r="C20" s="696"/>
    </row>
    <row r="21" spans="2:87">
      <c r="D21" s="694" t="s">
        <v>580</v>
      </c>
    </row>
    <row r="22" spans="2:87">
      <c r="D22" s="976" t="s">
        <v>581</v>
      </c>
      <c r="E22" s="976"/>
      <c r="F22" s="976"/>
      <c r="G22" s="976"/>
      <c r="H22" s="976"/>
      <c r="I22" s="976"/>
      <c r="J22" s="976"/>
      <c r="K22" s="975" t="s">
        <v>374</v>
      </c>
      <c r="L22" s="975"/>
      <c r="M22" s="975"/>
      <c r="N22" s="975"/>
      <c r="O22" s="975"/>
      <c r="P22" s="975"/>
      <c r="Q22" s="975"/>
      <c r="R22" s="976" t="s">
        <v>582</v>
      </c>
      <c r="S22" s="976"/>
      <c r="T22" s="976"/>
      <c r="U22" s="976"/>
      <c r="V22" s="976"/>
      <c r="W22" s="976"/>
      <c r="X22" s="976"/>
      <c r="Y22" s="976" t="s">
        <v>583</v>
      </c>
      <c r="Z22" s="976"/>
      <c r="AA22" s="976"/>
      <c r="AB22" s="976"/>
      <c r="AC22" s="976"/>
      <c r="AD22" s="976"/>
      <c r="AE22" s="976"/>
      <c r="AF22" s="976" t="s">
        <v>584</v>
      </c>
      <c r="AG22" s="976"/>
      <c r="AH22" s="976"/>
      <c r="AI22" s="976"/>
      <c r="AJ22" s="976"/>
      <c r="AK22" s="976"/>
      <c r="AL22" s="976"/>
      <c r="AM22" s="975" t="s">
        <v>585</v>
      </c>
      <c r="AN22" s="975"/>
      <c r="AO22" s="975"/>
      <c r="AP22" s="975"/>
      <c r="AQ22" s="975"/>
      <c r="AR22" s="975"/>
      <c r="AS22" s="975"/>
      <c r="AT22" s="977" t="s">
        <v>586</v>
      </c>
      <c r="AU22" s="977"/>
      <c r="AV22" s="977"/>
      <c r="AW22" s="977"/>
      <c r="AX22" s="977"/>
      <c r="AY22" s="977"/>
      <c r="AZ22" s="977"/>
      <c r="BA22" s="975" t="s">
        <v>587</v>
      </c>
      <c r="BB22" s="975"/>
      <c r="BC22" s="975"/>
      <c r="BD22" s="975"/>
      <c r="BE22" s="975"/>
      <c r="BF22" s="975"/>
      <c r="BG22" s="975"/>
      <c r="BH22" s="975" t="s">
        <v>588</v>
      </c>
      <c r="BI22" s="975"/>
      <c r="BJ22" s="975"/>
      <c r="BK22" s="975"/>
      <c r="BL22" s="975"/>
      <c r="BM22" s="975"/>
      <c r="BN22" s="975"/>
      <c r="BO22" s="975" t="s">
        <v>589</v>
      </c>
      <c r="BP22" s="975"/>
      <c r="BQ22" s="975"/>
      <c r="BR22" s="975"/>
      <c r="BS22" s="975"/>
      <c r="BT22" s="975"/>
      <c r="BU22" s="975"/>
      <c r="BV22" s="975" t="s">
        <v>590</v>
      </c>
      <c r="BW22" s="975"/>
      <c r="BX22" s="975"/>
      <c r="BY22" s="975"/>
      <c r="BZ22" s="975"/>
      <c r="CA22" s="975"/>
      <c r="CB22" s="975"/>
      <c r="CC22" s="975" t="s">
        <v>591</v>
      </c>
      <c r="CD22" s="975"/>
      <c r="CE22" s="975"/>
      <c r="CF22" s="975"/>
      <c r="CG22" s="975"/>
      <c r="CH22" s="975"/>
      <c r="CI22" s="975"/>
    </row>
    <row r="23" spans="2:87">
      <c r="D23" s="968" t="s">
        <v>595</v>
      </c>
      <c r="E23" s="968"/>
      <c r="F23" s="968"/>
      <c r="G23" s="968"/>
      <c r="H23" s="968"/>
      <c r="I23" s="968"/>
      <c r="J23" s="968"/>
      <c r="K23" s="968" t="s">
        <v>596</v>
      </c>
      <c r="L23" s="968"/>
      <c r="M23" s="968"/>
      <c r="N23" s="968"/>
      <c r="O23" s="968"/>
      <c r="P23" s="968"/>
      <c r="Q23" s="968"/>
      <c r="R23" s="968" t="s">
        <v>597</v>
      </c>
      <c r="S23" s="968"/>
      <c r="T23" s="968"/>
      <c r="U23" s="968"/>
      <c r="V23" s="968"/>
      <c r="W23" s="968"/>
      <c r="X23" s="968"/>
      <c r="Y23" s="968" t="s">
        <v>598</v>
      </c>
      <c r="Z23" s="968"/>
      <c r="AA23" s="968"/>
      <c r="AB23" s="968"/>
      <c r="AC23" s="968"/>
      <c r="AD23" s="968"/>
      <c r="AE23" s="968"/>
      <c r="AF23" s="969" t="s">
        <v>599</v>
      </c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70" t="s">
        <v>600</v>
      </c>
      <c r="AU23" s="970"/>
      <c r="AV23" s="970"/>
      <c r="AW23" s="970"/>
      <c r="AX23" s="970"/>
      <c r="AY23" s="970"/>
      <c r="AZ23" s="970"/>
      <c r="BA23" s="968" t="s">
        <v>601</v>
      </c>
      <c r="BB23" s="968"/>
      <c r="BC23" s="968"/>
      <c r="BD23" s="968"/>
      <c r="BE23" s="968"/>
      <c r="BF23" s="968"/>
      <c r="BG23" s="968"/>
      <c r="BH23" s="968" t="s">
        <v>603</v>
      </c>
      <c r="BI23" s="968"/>
      <c r="BJ23" s="968"/>
      <c r="BK23" s="968"/>
      <c r="BL23" s="968"/>
      <c r="BM23" s="968"/>
      <c r="BN23" s="968"/>
      <c r="BO23" s="968" t="s">
        <v>603</v>
      </c>
      <c r="BP23" s="968"/>
      <c r="BQ23" s="968"/>
      <c r="BR23" s="968"/>
      <c r="BS23" s="968"/>
      <c r="BT23" s="968"/>
      <c r="BU23" s="968"/>
      <c r="BV23" s="968" t="s">
        <v>603</v>
      </c>
      <c r="BW23" s="968"/>
      <c r="BX23" s="968"/>
      <c r="BY23" s="968"/>
      <c r="BZ23" s="968"/>
      <c r="CA23" s="968"/>
      <c r="CB23" s="968"/>
      <c r="CC23" s="968" t="s">
        <v>603</v>
      </c>
      <c r="CD23" s="968"/>
      <c r="CE23" s="968"/>
      <c r="CF23" s="968"/>
      <c r="CG23" s="968"/>
      <c r="CH23" s="968"/>
      <c r="CI23" s="968"/>
    </row>
    <row r="24" spans="2:87">
      <c r="D24" s="968" t="s">
        <v>595</v>
      </c>
      <c r="E24" s="968"/>
      <c r="F24" s="968"/>
      <c r="G24" s="968"/>
      <c r="H24" s="968"/>
      <c r="I24" s="968"/>
      <c r="J24" s="968"/>
      <c r="K24" s="968" t="s">
        <v>596</v>
      </c>
      <c r="L24" s="968"/>
      <c r="M24" s="968"/>
      <c r="N24" s="968"/>
      <c r="O24" s="968"/>
      <c r="P24" s="968"/>
      <c r="Q24" s="968"/>
      <c r="R24" s="968" t="s">
        <v>597</v>
      </c>
      <c r="S24" s="968"/>
      <c r="T24" s="968"/>
      <c r="U24" s="968"/>
      <c r="V24" s="968"/>
      <c r="W24" s="968"/>
      <c r="X24" s="968"/>
      <c r="Y24" s="968" t="s">
        <v>598</v>
      </c>
      <c r="Z24" s="968"/>
      <c r="AA24" s="968"/>
      <c r="AB24" s="968"/>
      <c r="AC24" s="968"/>
      <c r="AD24" s="968"/>
      <c r="AE24" s="968"/>
      <c r="AF24" s="969" t="s">
        <v>599</v>
      </c>
      <c r="AG24" s="968"/>
      <c r="AH24" s="968"/>
      <c r="AI24" s="968"/>
      <c r="AJ24" s="968"/>
      <c r="AK24" s="968"/>
      <c r="AL24" s="968"/>
      <c r="AM24" s="968" t="s">
        <v>623</v>
      </c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  <c r="BW24" s="968"/>
      <c r="BX24" s="968"/>
      <c r="BY24" s="968"/>
      <c r="BZ24" s="968"/>
      <c r="CA24" s="968"/>
      <c r="CB24" s="968"/>
      <c r="CC24" s="968"/>
      <c r="CD24" s="968"/>
      <c r="CE24" s="968"/>
      <c r="CF24" s="968"/>
      <c r="CG24" s="968"/>
      <c r="CH24" s="968"/>
      <c r="CI24" s="968"/>
    </row>
    <row r="25" spans="2:87">
      <c r="D25" s="968" t="s">
        <v>605</v>
      </c>
      <c r="E25" s="968"/>
      <c r="F25" s="968"/>
      <c r="G25" s="968"/>
      <c r="H25" s="968"/>
      <c r="I25" s="968"/>
      <c r="J25" s="968"/>
      <c r="K25" s="968" t="s">
        <v>606</v>
      </c>
      <c r="L25" s="968"/>
      <c r="M25" s="968"/>
      <c r="N25" s="968"/>
      <c r="O25" s="968"/>
      <c r="P25" s="968"/>
      <c r="Q25" s="968"/>
      <c r="R25" s="968" t="s">
        <v>607</v>
      </c>
      <c r="S25" s="968"/>
      <c r="T25" s="968"/>
      <c r="U25" s="968"/>
      <c r="V25" s="968"/>
      <c r="W25" s="968"/>
      <c r="X25" s="968"/>
      <c r="Y25" s="968" t="s">
        <v>608</v>
      </c>
      <c r="Z25" s="968"/>
      <c r="AA25" s="968"/>
      <c r="AB25" s="968"/>
      <c r="AC25" s="968"/>
      <c r="AD25" s="968"/>
      <c r="AE25" s="968"/>
      <c r="AF25" s="974" t="s">
        <v>609</v>
      </c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70" t="s">
        <v>600</v>
      </c>
      <c r="AU25" s="970"/>
      <c r="AV25" s="970"/>
      <c r="AW25" s="970"/>
      <c r="AX25" s="970"/>
      <c r="AY25" s="970"/>
      <c r="AZ25" s="970"/>
      <c r="BA25" s="968" t="s">
        <v>601</v>
      </c>
      <c r="BB25" s="968"/>
      <c r="BC25" s="968"/>
      <c r="BD25" s="968"/>
      <c r="BE25" s="968"/>
      <c r="BF25" s="968"/>
      <c r="BG25" s="968"/>
      <c r="BH25" s="968" t="s">
        <v>610</v>
      </c>
      <c r="BI25" s="968"/>
      <c r="BJ25" s="968"/>
      <c r="BK25" s="968"/>
      <c r="BL25" s="968"/>
      <c r="BM25" s="968"/>
      <c r="BN25" s="968"/>
      <c r="BO25" s="968" t="s">
        <v>375</v>
      </c>
      <c r="BP25" s="968"/>
      <c r="BQ25" s="968"/>
      <c r="BR25" s="968"/>
      <c r="BS25" s="968"/>
      <c r="BT25" s="968"/>
      <c r="BU25" s="968"/>
      <c r="BV25" s="968" t="s">
        <v>603</v>
      </c>
      <c r="BW25" s="968"/>
      <c r="BX25" s="968"/>
      <c r="BY25" s="968"/>
      <c r="BZ25" s="968"/>
      <c r="CA25" s="968"/>
      <c r="CB25" s="968"/>
      <c r="CC25" s="968" t="s">
        <v>603</v>
      </c>
      <c r="CD25" s="968"/>
      <c r="CE25" s="968"/>
      <c r="CF25" s="968"/>
      <c r="CG25" s="968"/>
      <c r="CH25" s="968"/>
      <c r="CI25" s="968"/>
    </row>
    <row r="26" spans="2:87">
      <c r="D26" s="968" t="s">
        <v>612</v>
      </c>
      <c r="E26" s="968"/>
      <c r="F26" s="968"/>
      <c r="G26" s="968"/>
      <c r="H26" s="968"/>
      <c r="I26" s="968"/>
      <c r="J26" s="968"/>
      <c r="K26" s="968" t="s">
        <v>613</v>
      </c>
      <c r="L26" s="968"/>
      <c r="M26" s="968"/>
      <c r="N26" s="968"/>
      <c r="O26" s="968"/>
      <c r="P26" s="968"/>
      <c r="Q26" s="968"/>
      <c r="R26" s="968" t="s">
        <v>614</v>
      </c>
      <c r="S26" s="968"/>
      <c r="T26" s="968"/>
      <c r="U26" s="968"/>
      <c r="V26" s="968"/>
      <c r="W26" s="968"/>
      <c r="X26" s="968"/>
      <c r="Y26" s="968" t="s">
        <v>615</v>
      </c>
      <c r="Z26" s="968"/>
      <c r="AA26" s="968"/>
      <c r="AB26" s="968"/>
      <c r="AC26" s="968"/>
      <c r="AD26" s="968"/>
      <c r="AE26" s="968"/>
      <c r="AF26" s="969" t="s">
        <v>305</v>
      </c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70" t="s">
        <v>600</v>
      </c>
      <c r="AU26" s="970"/>
      <c r="AV26" s="970"/>
      <c r="AW26" s="970"/>
      <c r="AX26" s="970"/>
      <c r="AY26" s="970"/>
      <c r="AZ26" s="970"/>
      <c r="BA26" s="968" t="s">
        <v>601</v>
      </c>
      <c r="BB26" s="968"/>
      <c r="BC26" s="968"/>
      <c r="BD26" s="968"/>
      <c r="BE26" s="968"/>
      <c r="BF26" s="968"/>
      <c r="BG26" s="968"/>
      <c r="BH26" s="968" t="s">
        <v>603</v>
      </c>
      <c r="BI26" s="968"/>
      <c r="BJ26" s="968"/>
      <c r="BK26" s="968"/>
      <c r="BL26" s="968"/>
      <c r="BM26" s="968"/>
      <c r="BN26" s="968"/>
      <c r="BO26" s="968" t="s">
        <v>603</v>
      </c>
      <c r="BP26" s="968"/>
      <c r="BQ26" s="968"/>
      <c r="BR26" s="968"/>
      <c r="BS26" s="968"/>
      <c r="BT26" s="968"/>
      <c r="BU26" s="968"/>
      <c r="BV26" s="968" t="s">
        <v>603</v>
      </c>
      <c r="BW26" s="968"/>
      <c r="BX26" s="968"/>
      <c r="BY26" s="968"/>
      <c r="BZ26" s="968"/>
      <c r="CA26" s="968"/>
      <c r="CB26" s="968"/>
      <c r="CC26" s="968" t="s">
        <v>603</v>
      </c>
      <c r="CD26" s="968"/>
      <c r="CE26" s="968"/>
      <c r="CF26" s="968"/>
      <c r="CG26" s="968"/>
      <c r="CH26" s="968"/>
      <c r="CI26" s="968"/>
    </row>
    <row r="27" spans="2:87">
      <c r="D27" s="968" t="s">
        <v>616</v>
      </c>
      <c r="E27" s="968"/>
      <c r="F27" s="968"/>
      <c r="G27" s="968"/>
      <c r="H27" s="968"/>
      <c r="I27" s="968"/>
      <c r="J27" s="968"/>
      <c r="K27" s="968" t="s">
        <v>617</v>
      </c>
      <c r="L27" s="968"/>
      <c r="M27" s="968"/>
      <c r="N27" s="968"/>
      <c r="O27" s="968"/>
      <c r="P27" s="968"/>
      <c r="Q27" s="968"/>
      <c r="R27" s="968" t="s">
        <v>618</v>
      </c>
      <c r="S27" s="968"/>
      <c r="T27" s="968"/>
      <c r="U27" s="968"/>
      <c r="V27" s="968"/>
      <c r="W27" s="968"/>
      <c r="X27" s="968"/>
      <c r="Y27" s="971" t="s">
        <v>619</v>
      </c>
      <c r="Z27" s="972"/>
      <c r="AA27" s="972"/>
      <c r="AB27" s="972"/>
      <c r="AC27" s="972"/>
      <c r="AD27" s="972"/>
      <c r="AE27" s="973"/>
      <c r="AF27" s="969" t="s">
        <v>305</v>
      </c>
      <c r="AG27" s="968"/>
      <c r="AH27" s="968"/>
      <c r="AI27" s="968"/>
      <c r="AJ27" s="968"/>
      <c r="AK27" s="968"/>
      <c r="AL27" s="968"/>
      <c r="AM27" s="968"/>
      <c r="AN27" s="968"/>
      <c r="AO27" s="968"/>
      <c r="AP27" s="968"/>
      <c r="AQ27" s="968"/>
      <c r="AR27" s="968"/>
      <c r="AS27" s="968"/>
      <c r="AT27" s="970" t="s">
        <v>600</v>
      </c>
      <c r="AU27" s="970"/>
      <c r="AV27" s="970"/>
      <c r="AW27" s="970"/>
      <c r="AX27" s="970"/>
      <c r="AY27" s="970"/>
      <c r="AZ27" s="970"/>
      <c r="BA27" s="968" t="s">
        <v>601</v>
      </c>
      <c r="BB27" s="968"/>
      <c r="BC27" s="968"/>
      <c r="BD27" s="968"/>
      <c r="BE27" s="968"/>
      <c r="BF27" s="968"/>
      <c r="BG27" s="968"/>
      <c r="BH27" s="968" t="s">
        <v>603</v>
      </c>
      <c r="BI27" s="968"/>
      <c r="BJ27" s="968"/>
      <c r="BK27" s="968"/>
      <c r="BL27" s="968"/>
      <c r="BM27" s="968"/>
      <c r="BN27" s="968"/>
      <c r="BO27" s="968" t="s">
        <v>603</v>
      </c>
      <c r="BP27" s="968"/>
      <c r="BQ27" s="968"/>
      <c r="BR27" s="968"/>
      <c r="BS27" s="968"/>
      <c r="BT27" s="968"/>
      <c r="BU27" s="968"/>
      <c r="BV27" s="968" t="s">
        <v>603</v>
      </c>
      <c r="BW27" s="968"/>
      <c r="BX27" s="968"/>
      <c r="BY27" s="968"/>
      <c r="BZ27" s="968"/>
      <c r="CA27" s="968"/>
      <c r="CB27" s="968"/>
      <c r="CC27" s="968" t="s">
        <v>603</v>
      </c>
      <c r="CD27" s="968"/>
      <c r="CE27" s="968"/>
      <c r="CF27" s="968"/>
      <c r="CG27" s="968"/>
      <c r="CH27" s="968"/>
      <c r="CI27" s="968"/>
    </row>
    <row r="28" spans="2:87">
      <c r="D28" s="969" t="s">
        <v>305</v>
      </c>
      <c r="E28" s="968"/>
      <c r="F28" s="968"/>
      <c r="G28" s="968"/>
      <c r="H28" s="968"/>
      <c r="I28" s="968"/>
      <c r="J28" s="968"/>
      <c r="K28" s="968" t="s">
        <v>620</v>
      </c>
      <c r="L28" s="968"/>
      <c r="M28" s="968"/>
      <c r="N28" s="968"/>
      <c r="O28" s="968"/>
      <c r="P28" s="968"/>
      <c r="Q28" s="968"/>
      <c r="R28" s="969" t="s">
        <v>305</v>
      </c>
      <c r="S28" s="968"/>
      <c r="T28" s="968"/>
      <c r="U28" s="968"/>
      <c r="V28" s="968"/>
      <c r="W28" s="968"/>
      <c r="X28" s="968"/>
      <c r="Y28" s="969" t="s">
        <v>305</v>
      </c>
      <c r="Z28" s="968"/>
      <c r="AA28" s="968"/>
      <c r="AB28" s="968"/>
      <c r="AC28" s="968"/>
      <c r="AD28" s="968"/>
      <c r="AE28" s="968"/>
      <c r="AF28" s="969" t="s">
        <v>305</v>
      </c>
      <c r="AG28" s="968"/>
      <c r="AH28" s="968"/>
      <c r="AI28" s="968"/>
      <c r="AJ28" s="968"/>
      <c r="AK28" s="968"/>
      <c r="AL28" s="968"/>
      <c r="AM28" s="968" t="s">
        <v>621</v>
      </c>
      <c r="AN28" s="968"/>
      <c r="AO28" s="968"/>
      <c r="AP28" s="968"/>
      <c r="AQ28" s="968"/>
      <c r="AR28" s="968"/>
      <c r="AS28" s="968"/>
      <c r="AT28" s="970" t="s">
        <v>600</v>
      </c>
      <c r="AU28" s="970"/>
      <c r="AV28" s="970"/>
      <c r="AW28" s="970"/>
      <c r="AX28" s="970"/>
      <c r="AY28" s="970"/>
      <c r="AZ28" s="970"/>
      <c r="BA28" s="968" t="s">
        <v>601</v>
      </c>
      <c r="BB28" s="968"/>
      <c r="BC28" s="968"/>
      <c r="BD28" s="968"/>
      <c r="BE28" s="968"/>
      <c r="BF28" s="968"/>
      <c r="BG28" s="968"/>
      <c r="BH28" s="968" t="s">
        <v>611</v>
      </c>
      <c r="BI28" s="968"/>
      <c r="BJ28" s="968"/>
      <c r="BK28" s="968"/>
      <c r="BL28" s="968"/>
      <c r="BM28" s="968"/>
      <c r="BN28" s="968"/>
      <c r="BO28" s="968" t="s">
        <v>611</v>
      </c>
      <c r="BP28" s="968"/>
      <c r="BQ28" s="968"/>
      <c r="BR28" s="968"/>
      <c r="BS28" s="968"/>
      <c r="BT28" s="968"/>
      <c r="BU28" s="968"/>
      <c r="BV28" s="968" t="s">
        <v>611</v>
      </c>
      <c r="BW28" s="968"/>
      <c r="BX28" s="968"/>
      <c r="BY28" s="968"/>
      <c r="BZ28" s="968"/>
      <c r="CA28" s="968"/>
      <c r="CB28" s="968"/>
      <c r="CC28" s="968" t="s">
        <v>611</v>
      </c>
      <c r="CD28" s="968"/>
      <c r="CE28" s="968"/>
      <c r="CF28" s="968"/>
      <c r="CG28" s="968"/>
      <c r="CH28" s="968"/>
      <c r="CI28" s="968"/>
    </row>
    <row r="30" spans="2:87">
      <c r="B30" s="694" t="s">
        <v>624</v>
      </c>
      <c r="C30" s="694" t="s">
        <v>625</v>
      </c>
    </row>
    <row r="31" spans="2:87">
      <c r="C31" s="694" t="s">
        <v>626</v>
      </c>
    </row>
    <row r="32" spans="2:87">
      <c r="C32" s="694" t="s">
        <v>627</v>
      </c>
    </row>
    <row r="33" spans="3:3">
      <c r="C33" s="694" t="s">
        <v>628</v>
      </c>
    </row>
  </sheetData>
  <mergeCells count="191"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選択画面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80"/>
      <c r="K38" s="980"/>
      <c r="L38" s="980"/>
      <c r="M38" s="980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80"/>
      <c r="K39" s="980"/>
      <c r="L39" s="980"/>
      <c r="M39" s="980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10">
        <v>5000</v>
      </c>
      <c r="S43" s="1011"/>
      <c r="T43" s="1011"/>
      <c r="U43" s="1012"/>
      <c r="V43" s="999">
        <v>122.5</v>
      </c>
      <c r="W43" s="1008"/>
      <c r="X43" s="1008"/>
      <c r="Y43" s="1009"/>
      <c r="Z43" s="999">
        <v>125</v>
      </c>
      <c r="AA43" s="1008"/>
      <c r="AB43" s="1008"/>
      <c r="AC43" s="1009"/>
      <c r="AD43" s="999">
        <v>124</v>
      </c>
      <c r="AE43" s="1008"/>
      <c r="AF43" s="1008"/>
      <c r="AG43" s="1009"/>
      <c r="AH43" s="999">
        <v>94.52</v>
      </c>
      <c r="AI43" s="1008"/>
      <c r="AJ43" s="1008"/>
      <c r="AK43" s="1008"/>
      <c r="AL43" s="1009"/>
      <c r="AM43" s="999">
        <v>125</v>
      </c>
      <c r="AN43" s="1008"/>
      <c r="AO43" s="1008"/>
      <c r="AP43" s="1009"/>
      <c r="AQ43" s="996">
        <v>10.3</v>
      </c>
      <c r="AR43" s="997"/>
      <c r="AS43" s="998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1010">
        <v>5000</v>
      </c>
      <c r="S44" s="1011"/>
      <c r="T44" s="1011"/>
      <c r="U44" s="1012"/>
      <c r="V44" s="999">
        <v>39</v>
      </c>
      <c r="W44" s="1008"/>
      <c r="X44" s="1008"/>
      <c r="Y44" s="1009"/>
      <c r="Z44" s="999">
        <v>40</v>
      </c>
      <c r="AA44" s="1008"/>
      <c r="AB44" s="1008"/>
      <c r="AC44" s="1009"/>
      <c r="AD44" s="999">
        <v>40</v>
      </c>
      <c r="AE44" s="1008"/>
      <c r="AF44" s="1008"/>
      <c r="AG44" s="1009"/>
      <c r="AH44" s="999">
        <v>36.89</v>
      </c>
      <c r="AI44" s="1008"/>
      <c r="AJ44" s="1008"/>
      <c r="AK44" s="1008"/>
      <c r="AL44" s="1009"/>
      <c r="AM44" s="999">
        <v>41</v>
      </c>
      <c r="AN44" s="1008"/>
      <c r="AO44" s="1008"/>
      <c r="AP44" s="1009"/>
      <c r="AQ44" s="996">
        <v>12.3</v>
      </c>
      <c r="AR44" s="997"/>
      <c r="AS44" s="998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1010">
        <f>R43</f>
        <v>5000</v>
      </c>
      <c r="U58" s="1011"/>
      <c r="V58" s="1011"/>
      <c r="W58" s="1012"/>
      <c r="X58" s="984">
        <f>AH43</f>
        <v>94.52</v>
      </c>
      <c r="Y58" s="985"/>
      <c r="Z58" s="985"/>
      <c r="AA58" s="986"/>
      <c r="AB58" s="984">
        <f>V43</f>
        <v>122.5</v>
      </c>
      <c r="AC58" s="985"/>
      <c r="AD58" s="985"/>
      <c r="AE58" s="985"/>
      <c r="AF58" s="986"/>
      <c r="AG58" s="984">
        <f>Z43</f>
        <v>125</v>
      </c>
      <c r="AH58" s="985"/>
      <c r="AI58" s="985"/>
      <c r="AJ58" s="986"/>
      <c r="AK58" s="984">
        <f>AD43</f>
        <v>124</v>
      </c>
      <c r="AL58" s="985"/>
      <c r="AM58" s="985"/>
      <c r="AN58" s="986"/>
      <c r="AO58" s="990">
        <f>1-X58/AK58</f>
        <v>0.23774193548387101</v>
      </c>
      <c r="AP58" s="991"/>
      <c r="AQ58" s="991"/>
      <c r="AR58" s="992"/>
      <c r="AS58" s="1002">
        <f>(AK58-AG58)/AG58</f>
        <v>-8.0000000000000002E-3</v>
      </c>
      <c r="AT58" s="1003"/>
      <c r="AU58" s="1003"/>
      <c r="AV58" s="1004"/>
      <c r="AW58" s="148"/>
      <c r="AX58" s="150"/>
      <c r="AY58" s="150"/>
      <c r="AZ58" s="162"/>
      <c r="BA58" s="1005">
        <f>1-(AD43/AM43)</f>
        <v>8.0000000000000071E-3</v>
      </c>
      <c r="BB58" s="1006"/>
      <c r="BC58" s="1006"/>
      <c r="BD58" s="1007"/>
      <c r="BE58" s="996">
        <f>AQ43</f>
        <v>10.3</v>
      </c>
      <c r="BF58" s="997"/>
      <c r="BG58" s="998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1010">
        <f>R44</f>
        <v>5000</v>
      </c>
      <c r="U59" s="1011"/>
      <c r="V59" s="1011"/>
      <c r="W59" s="1012"/>
      <c r="X59" s="984">
        <f>AH44</f>
        <v>36.89</v>
      </c>
      <c r="Y59" s="985"/>
      <c r="Z59" s="985"/>
      <c r="AA59" s="986"/>
      <c r="AB59" s="984">
        <f>V44</f>
        <v>39</v>
      </c>
      <c r="AC59" s="985"/>
      <c r="AD59" s="985"/>
      <c r="AE59" s="985"/>
      <c r="AF59" s="986"/>
      <c r="AG59" s="984">
        <f>Z44</f>
        <v>40</v>
      </c>
      <c r="AH59" s="985"/>
      <c r="AI59" s="985"/>
      <c r="AJ59" s="986"/>
      <c r="AK59" s="984">
        <f>AD44</f>
        <v>40</v>
      </c>
      <c r="AL59" s="985"/>
      <c r="AM59" s="985"/>
      <c r="AN59" s="986"/>
      <c r="AO59" s="990">
        <f>1-X59/AK59</f>
        <v>7.7749999999999986E-2</v>
      </c>
      <c r="AP59" s="991"/>
      <c r="AQ59" s="991"/>
      <c r="AR59" s="992"/>
      <c r="AS59" s="1002">
        <f>(AK59-AG59)/AG59</f>
        <v>0</v>
      </c>
      <c r="AT59" s="1003"/>
      <c r="AU59" s="1003"/>
      <c r="AV59" s="1004"/>
      <c r="AW59" s="148"/>
      <c r="AX59" s="150"/>
      <c r="AY59" s="150"/>
      <c r="AZ59" s="162"/>
      <c r="BA59" s="1005">
        <f>1-(AD44/AM44)</f>
        <v>2.4390243902439046E-2</v>
      </c>
      <c r="BB59" s="1006"/>
      <c r="BC59" s="1006"/>
      <c r="BD59" s="1007"/>
      <c r="BE59" s="996">
        <f>AQ44</f>
        <v>12.3</v>
      </c>
      <c r="BF59" s="997"/>
      <c r="BG59" s="998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99"/>
      <c r="Y62" s="1000"/>
      <c r="Z62" s="1000"/>
      <c r="AA62" s="1001"/>
      <c r="AB62" s="1016">
        <f>SUMPRODUCT($T$58:$W$59,$AK$58:$AN$59)</f>
        <v>820000</v>
      </c>
      <c r="AC62" s="1017"/>
      <c r="AD62" s="1017"/>
      <c r="AE62" s="1017"/>
      <c r="AF62" s="1018"/>
      <c r="AG62" s="984">
        <f>SUM($X$58:$AA$59)</f>
        <v>131.41</v>
      </c>
      <c r="AH62" s="985"/>
      <c r="AI62" s="985"/>
      <c r="AJ62" s="986"/>
      <c r="AK62" s="987">
        <f>AB62-SUMPRODUCT($T$58:$W$59,$X$58:$AA$59)</f>
        <v>162950</v>
      </c>
      <c r="AL62" s="988"/>
      <c r="AM62" s="988"/>
      <c r="AN62" s="989"/>
      <c r="AO62" s="990">
        <f>$AK62/$AB62</f>
        <v>0.19871951219512196</v>
      </c>
      <c r="AP62" s="991"/>
      <c r="AQ62" s="991"/>
      <c r="AR62" s="992"/>
      <c r="AS62" s="990">
        <f>AW62/($AB62-AW62)</f>
        <v>-6.0606060606060606E-3</v>
      </c>
      <c r="AT62" s="991"/>
      <c r="AU62" s="991"/>
      <c r="AV62" s="992"/>
      <c r="AW62" s="993">
        <f>$T$58*($AK$58-$AG$58)+$T$59*($AK$59-$AG$59)</f>
        <v>-5000</v>
      </c>
      <c r="AX62" s="994"/>
      <c r="AY62" s="994"/>
      <c r="AZ62" s="995"/>
      <c r="BA62" s="981">
        <f>SUMPRODUCT($T$58:$W$59,$AG$58:$AJ$59)</f>
        <v>825000</v>
      </c>
      <c r="BB62" s="982"/>
      <c r="BC62" s="982"/>
      <c r="BD62" s="983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99"/>
      <c r="Y65" s="1000"/>
      <c r="Z65" s="1000"/>
      <c r="AA65" s="1001"/>
      <c r="AB65" s="1016">
        <f>SUMPRODUCT($T$58:$W$59,$AK$58:$AN$59)</f>
        <v>820000</v>
      </c>
      <c r="AC65" s="1017"/>
      <c r="AD65" s="1017"/>
      <c r="AE65" s="1017"/>
      <c r="AF65" s="1018"/>
      <c r="AG65" s="984">
        <f>SUM($X$58:$AA$59)</f>
        <v>131.41</v>
      </c>
      <c r="AH65" s="985"/>
      <c r="AI65" s="985"/>
      <c r="AJ65" s="986"/>
      <c r="AK65" s="987">
        <f>AB65-SUMPRODUCT($T$58:$W$59,$X$58:$AA$59)</f>
        <v>162950</v>
      </c>
      <c r="AL65" s="988"/>
      <c r="AM65" s="988"/>
      <c r="AN65" s="989"/>
      <c r="AO65" s="990">
        <f>$AK65/$AB65</f>
        <v>0.19871951219512196</v>
      </c>
      <c r="AP65" s="991"/>
      <c r="AQ65" s="991"/>
      <c r="AR65" s="992"/>
      <c r="AS65" s="990">
        <f>AW65/($AB65-AW65)</f>
        <v>-6.0606060606060606E-3</v>
      </c>
      <c r="AT65" s="991"/>
      <c r="AU65" s="991"/>
      <c r="AV65" s="992"/>
      <c r="AW65" s="993">
        <f>$T$58*($AK$58-$AG$58)+$T$59*($AK$59-$AG$59)</f>
        <v>-5000</v>
      </c>
      <c r="AX65" s="994"/>
      <c r="AY65" s="994"/>
      <c r="AZ65" s="995"/>
      <c r="BA65" s="981">
        <f>SUMPRODUCT($T$58:$W$59,$AG$58:$AJ$59)</f>
        <v>825000</v>
      </c>
      <c r="BB65" s="982"/>
      <c r="BC65" s="982"/>
      <c r="BD65" s="983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3"/>
      <c r="K68" s="1014"/>
      <c r="L68" s="1014"/>
      <c r="M68" s="1014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5"/>
      <c r="K70" s="1015"/>
      <c r="L70" s="1015"/>
      <c r="M70" s="101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80"/>
      <c r="K77" s="980"/>
      <c r="L77" s="980"/>
      <c r="M77" s="980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80"/>
      <c r="K78" s="980"/>
      <c r="L78" s="980"/>
      <c r="M78" s="980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9"/>
      <c r="K80" s="1019"/>
      <c r="L80" s="1019"/>
      <c r="M80" s="101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80"/>
      <c r="K86" s="980"/>
      <c r="L86" s="980"/>
      <c r="M86" s="980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80"/>
      <c r="K94" s="980"/>
      <c r="L94" s="980"/>
      <c r="M94" s="980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0"/>
      <c r="K103" s="980"/>
      <c r="L103" s="980"/>
      <c r="M103" s="980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0"/>
      <c r="K104" s="980"/>
      <c r="L104" s="980"/>
      <c r="M104" s="980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1010">
        <v>1000</v>
      </c>
      <c r="S42" s="1011"/>
      <c r="T42" s="1011"/>
      <c r="U42" s="1012"/>
      <c r="V42" s="999">
        <v>980</v>
      </c>
      <c r="W42" s="1008"/>
      <c r="X42" s="1008"/>
      <c r="Y42" s="1009"/>
      <c r="Z42" s="999">
        <v>1610</v>
      </c>
      <c r="AA42" s="1008"/>
      <c r="AB42" s="1008"/>
      <c r="AC42" s="1009"/>
      <c r="AD42" s="999">
        <v>1035</v>
      </c>
      <c r="AE42" s="1008"/>
      <c r="AF42" s="1008"/>
      <c r="AG42" s="1009"/>
      <c r="AH42" s="999">
        <v>510.27</v>
      </c>
      <c r="AI42" s="1008"/>
      <c r="AJ42" s="1008"/>
      <c r="AK42" s="1008"/>
      <c r="AL42" s="1009"/>
      <c r="AM42" s="999">
        <v>796.03</v>
      </c>
      <c r="AN42" s="1008"/>
      <c r="AO42" s="1008"/>
      <c r="AP42" s="1009"/>
      <c r="AQ42" s="999"/>
      <c r="AR42" s="1008"/>
      <c r="AS42" s="1008"/>
      <c r="AT42" s="1009"/>
      <c r="AU42" s="996">
        <v>64.7</v>
      </c>
      <c r="AV42" s="997"/>
      <c r="AW42" s="998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10">
        <v>500</v>
      </c>
      <c r="S43" s="1011"/>
      <c r="T43" s="1011"/>
      <c r="U43" s="1012"/>
      <c r="V43" s="999">
        <v>500</v>
      </c>
      <c r="W43" s="1008"/>
      <c r="X43" s="1008"/>
      <c r="Y43" s="1009"/>
      <c r="Z43" s="999">
        <v>794</v>
      </c>
      <c r="AA43" s="1008"/>
      <c r="AB43" s="1008"/>
      <c r="AC43" s="1009"/>
      <c r="AD43" s="999">
        <v>630</v>
      </c>
      <c r="AE43" s="1008"/>
      <c r="AF43" s="1008"/>
      <c r="AG43" s="1009"/>
      <c r="AH43" s="999">
        <v>247.92</v>
      </c>
      <c r="AI43" s="1008"/>
      <c r="AJ43" s="1008"/>
      <c r="AK43" s="1008"/>
      <c r="AL43" s="1009"/>
      <c r="AM43" s="999">
        <v>483.47</v>
      </c>
      <c r="AN43" s="1008"/>
      <c r="AO43" s="1008"/>
      <c r="AP43" s="1009"/>
      <c r="AQ43" s="999"/>
      <c r="AR43" s="1008"/>
      <c r="AS43" s="1008"/>
      <c r="AT43" s="1009"/>
      <c r="AU43" s="996">
        <v>39.4</v>
      </c>
      <c r="AV43" s="997"/>
      <c r="AW43" s="998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1010">
        <f>R42</f>
        <v>1000</v>
      </c>
      <c r="U57" s="1011"/>
      <c r="V57" s="1011"/>
      <c r="W57" s="1012"/>
      <c r="X57" s="1020">
        <f>AH42</f>
        <v>510.27</v>
      </c>
      <c r="Y57" s="1021"/>
      <c r="Z57" s="1021"/>
      <c r="AA57" s="1022"/>
      <c r="AB57" s="1020">
        <f>V42</f>
        <v>980</v>
      </c>
      <c r="AC57" s="1021"/>
      <c r="AD57" s="1021"/>
      <c r="AE57" s="1021"/>
      <c r="AF57" s="1022"/>
      <c r="AG57" s="1020">
        <f>Z42</f>
        <v>1610</v>
      </c>
      <c r="AH57" s="1021"/>
      <c r="AI57" s="1021"/>
      <c r="AJ57" s="1022"/>
      <c r="AK57" s="1020">
        <f>AD42</f>
        <v>1035</v>
      </c>
      <c r="AL57" s="1021"/>
      <c r="AM57" s="1021"/>
      <c r="AN57" s="1022"/>
      <c r="AO57" s="1005">
        <f>AD42/AM42-1</f>
        <v>0.30020225368390641</v>
      </c>
      <c r="AP57" s="1006"/>
      <c r="AQ57" s="1006"/>
      <c r="AR57" s="1007"/>
      <c r="AS57" s="1002">
        <f>(AK57-AG57)/AG57</f>
        <v>-0.35714285714285715</v>
      </c>
      <c r="AT57" s="1003"/>
      <c r="AU57" s="1003"/>
      <c r="AV57" s="1004"/>
      <c r="AW57" s="148"/>
      <c r="AX57" s="150"/>
      <c r="AY57" s="150"/>
      <c r="AZ57" s="162"/>
      <c r="BA57" s="1005" t="str">
        <f>IFERROR(1-(AD42/AQ42),"")</f>
        <v/>
      </c>
      <c r="BB57" s="1006"/>
      <c r="BC57" s="1006"/>
      <c r="BD57" s="1007"/>
      <c r="BE57" s="996">
        <f>AU42</f>
        <v>64.7</v>
      </c>
      <c r="BF57" s="997"/>
      <c r="BG57" s="998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1010">
        <f>R43</f>
        <v>500</v>
      </c>
      <c r="U58" s="1011"/>
      <c r="V58" s="1011"/>
      <c r="W58" s="1012"/>
      <c r="X58" s="1020">
        <f>AH43</f>
        <v>247.92</v>
      </c>
      <c r="Y58" s="1021"/>
      <c r="Z58" s="1021"/>
      <c r="AA58" s="1022"/>
      <c r="AB58" s="1020">
        <f>V43</f>
        <v>500</v>
      </c>
      <c r="AC58" s="1021"/>
      <c r="AD58" s="1021"/>
      <c r="AE58" s="1021"/>
      <c r="AF58" s="1022"/>
      <c r="AG58" s="1020">
        <f>Z43</f>
        <v>794</v>
      </c>
      <c r="AH58" s="1021"/>
      <c r="AI58" s="1021"/>
      <c r="AJ58" s="1022"/>
      <c r="AK58" s="1020">
        <f>AD43</f>
        <v>630</v>
      </c>
      <c r="AL58" s="1021"/>
      <c r="AM58" s="1021"/>
      <c r="AN58" s="1022"/>
      <c r="AO58" s="1005">
        <f>AD43/AM43-1</f>
        <v>0.3030798188098538</v>
      </c>
      <c r="AP58" s="1006"/>
      <c r="AQ58" s="1006"/>
      <c r="AR58" s="1007"/>
      <c r="AS58" s="1002">
        <f>(AK58-AG58)/AG58</f>
        <v>-0.20654911838790932</v>
      </c>
      <c r="AT58" s="1003"/>
      <c r="AU58" s="1003"/>
      <c r="AV58" s="1004"/>
      <c r="AW58" s="148"/>
      <c r="AX58" s="150"/>
      <c r="AY58" s="150"/>
      <c r="AZ58" s="162"/>
      <c r="BA58" s="1005" t="str">
        <f>IFERROR(1-(AD43/AQ43),"")</f>
        <v/>
      </c>
      <c r="BB58" s="1006"/>
      <c r="BC58" s="1006"/>
      <c r="BD58" s="1007"/>
      <c r="BE58" s="996">
        <f>AU43</f>
        <v>39.4</v>
      </c>
      <c r="BF58" s="997"/>
      <c r="BG58" s="998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99"/>
      <c r="Y61" s="1000"/>
      <c r="Z61" s="1000"/>
      <c r="AA61" s="1001"/>
      <c r="AB61" s="1016">
        <f>SUMPRODUCT($T$57:$W$58,$AK$57:$AN$58)</f>
        <v>1350000</v>
      </c>
      <c r="AC61" s="1017"/>
      <c r="AD61" s="1017"/>
      <c r="AE61" s="1017"/>
      <c r="AF61" s="1018"/>
      <c r="AG61" s="987">
        <f>SUM(AM$42:AP$43)</f>
        <v>1279.5</v>
      </c>
      <c r="AH61" s="988"/>
      <c r="AI61" s="988"/>
      <c r="AJ61" s="989"/>
      <c r="AK61" s="987">
        <f>$AB61-SUMPRODUCT($R$42:$U$43,$AM$42:$AP$43)</f>
        <v>312235</v>
      </c>
      <c r="AL61" s="988"/>
      <c r="AM61" s="988"/>
      <c r="AN61" s="989"/>
      <c r="AO61" s="990">
        <f>$AK61/($AB61-$AK61)</f>
        <v>0.30087254821660009</v>
      </c>
      <c r="AP61" s="991"/>
      <c r="AQ61" s="991"/>
      <c r="AR61" s="992"/>
      <c r="AS61" s="990">
        <f>AW61/($AB61-AW61)</f>
        <v>-0.3273542600896861</v>
      </c>
      <c r="AT61" s="991"/>
      <c r="AU61" s="991"/>
      <c r="AV61" s="992"/>
      <c r="AW61" s="993">
        <f>$T$57*($AK$57-$AG$57)+$T$58*($AK$58-$AG$58)</f>
        <v>-657000</v>
      </c>
      <c r="AX61" s="994"/>
      <c r="AY61" s="994"/>
      <c r="AZ61" s="995"/>
      <c r="BA61" s="981">
        <f>SUMPRODUCT($T$57:$W$58,$AG$57:$AJ$58)</f>
        <v>2007000</v>
      </c>
      <c r="BB61" s="982"/>
      <c r="BC61" s="982"/>
      <c r="BD61" s="983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99"/>
      <c r="Y64" s="1000"/>
      <c r="Z64" s="1000"/>
      <c r="AA64" s="1001"/>
      <c r="AB64" s="1016">
        <f>SUMPRODUCT($T$57:$W$58,$AK$57:$AN$58)</f>
        <v>1350000</v>
      </c>
      <c r="AC64" s="1017"/>
      <c r="AD64" s="1017"/>
      <c r="AE64" s="1017"/>
      <c r="AF64" s="1018"/>
      <c r="AG64" s="987">
        <f>SUM(AM$42:AP$43)</f>
        <v>1279.5</v>
      </c>
      <c r="AH64" s="988"/>
      <c r="AI64" s="988"/>
      <c r="AJ64" s="989"/>
      <c r="AK64" s="987">
        <f>$AB64-SUMPRODUCT($R$42:$U$43,$AM$42:$AP$43)</f>
        <v>312235</v>
      </c>
      <c r="AL64" s="988"/>
      <c r="AM64" s="988"/>
      <c r="AN64" s="989"/>
      <c r="AO64" s="990">
        <f>$AK64/($AB64-$AK64)</f>
        <v>0.30087254821660009</v>
      </c>
      <c r="AP64" s="991"/>
      <c r="AQ64" s="991"/>
      <c r="AR64" s="992"/>
      <c r="AS64" s="990">
        <f>AW64/($AB64-AW64)</f>
        <v>-0.3273542600896861</v>
      </c>
      <c r="AT64" s="991"/>
      <c r="AU64" s="991"/>
      <c r="AV64" s="992"/>
      <c r="AW64" s="993">
        <f>$T$57*($AK$57-$AG$57)+$T$58*($AK$58-$AG$58)</f>
        <v>-657000</v>
      </c>
      <c r="AX64" s="994"/>
      <c r="AY64" s="994"/>
      <c r="AZ64" s="995"/>
      <c r="BA64" s="981">
        <f>SUMPRODUCT($T$57:$W$58,$AG$57:$AJ$58)</f>
        <v>2007000</v>
      </c>
      <c r="BB64" s="982"/>
      <c r="BC64" s="982"/>
      <c r="BD64" s="983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3"/>
      <c r="K68" s="1014"/>
      <c r="L68" s="1014"/>
      <c r="M68" s="1014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5"/>
      <c r="K70" s="1015"/>
      <c r="L70" s="1015"/>
      <c r="M70" s="101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23"/>
      <c r="K77" s="1023"/>
      <c r="L77" s="1023"/>
      <c r="M77" s="1023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80"/>
      <c r="K78" s="980"/>
      <c r="L78" s="980"/>
      <c r="M78" s="980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9"/>
      <c r="K80" s="1019"/>
      <c r="L80" s="1019"/>
      <c r="M80" s="101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80"/>
      <c r="K86" s="980"/>
      <c r="L86" s="980"/>
      <c r="M86" s="980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80"/>
      <c r="K94" s="980"/>
      <c r="L94" s="980"/>
      <c r="M94" s="980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0"/>
      <c r="K103" s="980"/>
      <c r="L103" s="980"/>
      <c r="M103" s="980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0"/>
      <c r="K104" s="980"/>
      <c r="L104" s="980"/>
      <c r="M104" s="980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30">
        <v>110</v>
      </c>
      <c r="I41" s="1000"/>
      <c r="J41" s="1000"/>
      <c r="K41" s="1000"/>
      <c r="L41" s="100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30">
        <v>125</v>
      </c>
      <c r="I42" s="1000"/>
      <c r="J42" s="1000"/>
      <c r="K42" s="1000"/>
      <c r="L42" s="1001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1010">
        <v>70000</v>
      </c>
      <c r="S50" s="1011"/>
      <c r="T50" s="1011"/>
      <c r="U50" s="1012"/>
      <c r="V50" s="148" t="s">
        <v>148</v>
      </c>
      <c r="W50" s="150"/>
      <c r="X50" s="150"/>
      <c r="Y50" s="99" t="s">
        <v>33</v>
      </c>
      <c r="Z50" s="1024">
        <v>6.7299999999999999E-2</v>
      </c>
      <c r="AA50" s="1025"/>
      <c r="AB50" s="1025"/>
      <c r="AC50" s="1026"/>
      <c r="AD50" s="148" t="s">
        <v>148</v>
      </c>
      <c r="AE50" s="150"/>
      <c r="AF50" s="150"/>
      <c r="AG50" s="99" t="s">
        <v>33</v>
      </c>
      <c r="AH50" s="1024">
        <v>0.1211</v>
      </c>
      <c r="AI50" s="1025"/>
      <c r="AJ50" s="1025"/>
      <c r="AK50" s="1026"/>
      <c r="AL50" s="1024"/>
      <c r="AM50" s="1025"/>
      <c r="AN50" s="1025"/>
      <c r="AO50" s="1026"/>
      <c r="AP50" s="1027">
        <v>0.01</v>
      </c>
      <c r="AQ50" s="1028"/>
      <c r="AR50" s="1028"/>
      <c r="AS50" s="1029"/>
      <c r="AT50" s="1024">
        <v>0.13589999999999999</v>
      </c>
      <c r="AU50" s="1025"/>
      <c r="AV50" s="1025"/>
      <c r="AW50" s="1026"/>
      <c r="AX50" s="1024">
        <v>0.151</v>
      </c>
      <c r="AY50" s="1025"/>
      <c r="AZ50" s="1025"/>
      <c r="BA50" s="1026"/>
      <c r="BB50" s="1024">
        <v>0.151</v>
      </c>
      <c r="BC50" s="1025"/>
      <c r="BD50" s="1025"/>
      <c r="BE50" s="1026"/>
      <c r="BF50" s="1024">
        <v>6.1000000000000004E-3</v>
      </c>
      <c r="BG50" s="1025"/>
      <c r="BH50" s="1025"/>
      <c r="BI50" s="1026"/>
      <c r="BJ50" s="1034"/>
      <c r="BK50" s="1035"/>
      <c r="BL50" s="1035"/>
      <c r="BM50" s="1036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10"/>
      <c r="S51" s="1011"/>
      <c r="T51" s="1011"/>
      <c r="U51" s="1012"/>
      <c r="V51" s="148"/>
      <c r="W51" s="150"/>
      <c r="X51" s="150"/>
      <c r="Y51" s="99" t="s">
        <v>33</v>
      </c>
      <c r="Z51" s="999"/>
      <c r="AA51" s="1008"/>
      <c r="AB51" s="1008"/>
      <c r="AC51" s="1009"/>
      <c r="AD51" s="148"/>
      <c r="AE51" s="150"/>
      <c r="AF51" s="150"/>
      <c r="AG51" s="99" t="s">
        <v>33</v>
      </c>
      <c r="AH51" s="999"/>
      <c r="AI51" s="1008"/>
      <c r="AJ51" s="1008"/>
      <c r="AK51" s="1009"/>
      <c r="AL51" s="999"/>
      <c r="AM51" s="1008"/>
      <c r="AN51" s="1008"/>
      <c r="AO51" s="1009"/>
      <c r="AP51" s="999"/>
      <c r="AQ51" s="1008"/>
      <c r="AR51" s="1008"/>
      <c r="AS51" s="1009"/>
      <c r="AT51" s="999"/>
      <c r="AU51" s="1008"/>
      <c r="AV51" s="1008"/>
      <c r="AW51" s="1009"/>
      <c r="AX51" s="999"/>
      <c r="AY51" s="1008"/>
      <c r="AZ51" s="1008"/>
      <c r="BA51" s="1009"/>
      <c r="BB51" s="999"/>
      <c r="BC51" s="1008"/>
      <c r="BD51" s="1008"/>
      <c r="BE51" s="1009"/>
      <c r="BF51" s="999"/>
      <c r="BG51" s="1008"/>
      <c r="BH51" s="1008"/>
      <c r="BI51" s="1009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1010">
        <f>R50</f>
        <v>70000</v>
      </c>
      <c r="U65" s="1011"/>
      <c r="V65" s="1011"/>
      <c r="W65" s="1012"/>
      <c r="X65" s="1040">
        <f>SUM(Z50:AC51)</f>
        <v>6.7299999999999999E-2</v>
      </c>
      <c r="Y65" s="1041"/>
      <c r="Z65" s="1041"/>
      <c r="AA65" s="1042"/>
      <c r="AB65" s="1043">
        <f>BB50</f>
        <v>0.151</v>
      </c>
      <c r="AC65" s="1044"/>
      <c r="AD65" s="1044"/>
      <c r="AE65" s="1044"/>
      <c r="AF65" s="1045"/>
      <c r="AG65" s="1024">
        <f>AL50</f>
        <v>0</v>
      </c>
      <c r="AH65" s="1025"/>
      <c r="AI65" s="1025"/>
      <c r="AJ65" s="1026"/>
      <c r="AK65" s="1024">
        <f>AH50</f>
        <v>0.1211</v>
      </c>
      <c r="AL65" s="1025"/>
      <c r="AM65" s="1025"/>
      <c r="AN65" s="1026"/>
      <c r="AO65" s="1005">
        <f>1-Z50/AT50</f>
        <v>0.50478292862398821</v>
      </c>
      <c r="AP65" s="1006"/>
      <c r="AQ65" s="1006"/>
      <c r="AR65" s="1007"/>
      <c r="AS65" s="1002" t="str">
        <f>IFERROR((AK65-AG65)/AG65,"")</f>
        <v/>
      </c>
      <c r="AT65" s="1003"/>
      <c r="AU65" s="1003"/>
      <c r="AV65" s="1004"/>
      <c r="AW65" s="1024">
        <f>AX50</f>
        <v>0.151</v>
      </c>
      <c r="AX65" s="1025"/>
      <c r="AY65" s="1025"/>
      <c r="AZ65" s="1026"/>
      <c r="BA65" s="1005">
        <f>1-(AH50/AX50)</f>
        <v>0.19801324503311257</v>
      </c>
      <c r="BB65" s="1006"/>
      <c r="BC65" s="1006"/>
      <c r="BD65" s="1007"/>
      <c r="BE65" s="1040">
        <f>BF50</f>
        <v>6.1000000000000004E-3</v>
      </c>
      <c r="BF65" s="1041"/>
      <c r="BG65" s="1042"/>
      <c r="BH65" s="1034"/>
      <c r="BI65" s="1035"/>
      <c r="BJ65" s="1035"/>
      <c r="BK65" s="1036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10"/>
      <c r="U66" s="1011"/>
      <c r="V66" s="1011"/>
      <c r="W66" s="1012"/>
      <c r="X66" s="999"/>
      <c r="Y66" s="1008"/>
      <c r="Z66" s="1008"/>
      <c r="AA66" s="1009"/>
      <c r="AB66" s="1037"/>
      <c r="AC66" s="1038"/>
      <c r="AD66" s="1038"/>
      <c r="AE66" s="1038"/>
      <c r="AF66" s="1039"/>
      <c r="AG66" s="999"/>
      <c r="AH66" s="1008"/>
      <c r="AI66" s="1008"/>
      <c r="AJ66" s="1009"/>
      <c r="AK66" s="999"/>
      <c r="AL66" s="1008"/>
      <c r="AM66" s="1008"/>
      <c r="AN66" s="1009"/>
      <c r="AO66" s="1005"/>
      <c r="AP66" s="1006"/>
      <c r="AQ66" s="1006"/>
      <c r="AR66" s="1007"/>
      <c r="AS66" s="1002"/>
      <c r="AT66" s="1003"/>
      <c r="AU66" s="1003"/>
      <c r="AV66" s="1004"/>
      <c r="AW66" s="999"/>
      <c r="AX66" s="1008"/>
      <c r="AY66" s="1008"/>
      <c r="AZ66" s="1009"/>
      <c r="BA66" s="1005"/>
      <c r="BB66" s="1006"/>
      <c r="BC66" s="1006"/>
      <c r="BD66" s="1007"/>
      <c r="BE66" s="996"/>
      <c r="BF66" s="997"/>
      <c r="BG66" s="998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10">
        <f>SUMPRODUCT($T$65:$W$66,$AK$65:$AN$66)</f>
        <v>8477</v>
      </c>
      <c r="U69" s="1011"/>
      <c r="V69" s="1011"/>
      <c r="W69" s="1012"/>
      <c r="X69" s="987">
        <f>SUMPRODUCT(R46:U47,Z46:AC47)</f>
        <v>0</v>
      </c>
      <c r="Y69" s="988"/>
      <c r="Z69" s="988"/>
      <c r="AA69" s="989"/>
      <c r="AB69" s="252"/>
      <c r="AC69" s="252"/>
      <c r="AD69" s="252"/>
      <c r="AE69" s="252"/>
      <c r="AF69" s="252"/>
      <c r="AG69" s="987">
        <f>$T69-$X69</f>
        <v>8477</v>
      </c>
      <c r="AH69" s="988"/>
      <c r="AI69" s="988"/>
      <c r="AJ69" s="989"/>
      <c r="AK69" s="1031">
        <f>AG69/T69</f>
        <v>1</v>
      </c>
      <c r="AL69" s="1032"/>
      <c r="AM69" s="1032"/>
      <c r="AN69" s="1033"/>
      <c r="AO69" s="990">
        <f>IFERROR(AS69/($T69-AS69),"")</f>
        <v>-0.5</v>
      </c>
      <c r="AP69" s="991"/>
      <c r="AQ69" s="991"/>
      <c r="AR69" s="992"/>
      <c r="AS69" s="993">
        <f>$T$65*($AG$65-$AK$65)+$T$66*($AG$66-$AK$66)</f>
        <v>-8477</v>
      </c>
      <c r="AT69" s="994"/>
      <c r="AU69" s="994"/>
      <c r="AV69" s="995"/>
      <c r="AW69" s="981"/>
      <c r="AX69" s="982"/>
      <c r="AY69" s="982"/>
      <c r="AZ69" s="983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10">
        <f>SUMPRODUCT($T$65:$W$66,$AK$65:$AN$66)</f>
        <v>8477</v>
      </c>
      <c r="U70" s="1011"/>
      <c r="V70" s="1011"/>
      <c r="W70" s="1012"/>
      <c r="X70" s="987">
        <f>SUMPRODUCT(R47:U48,Z47:AC48)</f>
        <v>0</v>
      </c>
      <c r="Y70" s="988"/>
      <c r="Z70" s="988"/>
      <c r="AA70" s="989"/>
      <c r="AB70" s="252"/>
      <c r="AC70" s="252"/>
      <c r="AD70" s="252"/>
      <c r="AE70" s="252"/>
      <c r="AF70" s="252"/>
      <c r="AG70" s="987">
        <f>$T70-$X70</f>
        <v>8477</v>
      </c>
      <c r="AH70" s="988"/>
      <c r="AI70" s="988"/>
      <c r="AJ70" s="989"/>
      <c r="AK70" s="1031">
        <f>AG70/T70</f>
        <v>1</v>
      </c>
      <c r="AL70" s="1032"/>
      <c r="AM70" s="1032"/>
      <c r="AN70" s="1033"/>
      <c r="AO70" s="990">
        <f>IFERROR(AS70/($T70-AS70),"")</f>
        <v>-0.5</v>
      </c>
      <c r="AP70" s="991"/>
      <c r="AQ70" s="991"/>
      <c r="AR70" s="992"/>
      <c r="AS70" s="993">
        <f>$T$65*($AG$65-$AK$65)+$T$66*($AG$66-$AK$66)</f>
        <v>-8477</v>
      </c>
      <c r="AT70" s="994"/>
      <c r="AU70" s="994"/>
      <c r="AV70" s="995"/>
      <c r="AW70" s="981"/>
      <c r="AX70" s="982"/>
      <c r="AY70" s="982"/>
      <c r="AZ70" s="983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10">
        <f>SUMPRODUCT($T$65:$W$66,$AK$65:$AN$66)</f>
        <v>8477</v>
      </c>
      <c r="U73" s="1011"/>
      <c r="V73" s="1011"/>
      <c r="W73" s="1012"/>
      <c r="X73" s="987">
        <f>SUMPRODUCT(R49:U50,Z49:AC50)</f>
        <v>4711</v>
      </c>
      <c r="Y73" s="988"/>
      <c r="Z73" s="988"/>
      <c r="AA73" s="989"/>
      <c r="AB73" s="252"/>
      <c r="AC73" s="252"/>
      <c r="AD73" s="252"/>
      <c r="AE73" s="252"/>
      <c r="AF73" s="252"/>
      <c r="AG73" s="987">
        <f>$T73-$X73</f>
        <v>3766</v>
      </c>
      <c r="AH73" s="988"/>
      <c r="AI73" s="988"/>
      <c r="AJ73" s="989"/>
      <c r="AK73" s="1031">
        <f>AG73/T73</f>
        <v>0.44426094137076794</v>
      </c>
      <c r="AL73" s="1032"/>
      <c r="AM73" s="1032"/>
      <c r="AN73" s="1033"/>
      <c r="AO73" s="990">
        <f>IFERROR(AS73/($T73-AS73),"")</f>
        <v>-0.5</v>
      </c>
      <c r="AP73" s="991"/>
      <c r="AQ73" s="991"/>
      <c r="AR73" s="992"/>
      <c r="AS73" s="993">
        <f>$T$65*($AG$65-$AK$65)+$T$66*($AG$66-$AK$66)</f>
        <v>-8477</v>
      </c>
      <c r="AT73" s="994"/>
      <c r="AU73" s="994"/>
      <c r="AV73" s="995"/>
      <c r="AW73" s="981"/>
      <c r="AX73" s="982"/>
      <c r="AY73" s="982"/>
      <c r="AZ73" s="983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10">
        <f>SUMPRODUCT($T$65:$W$66,$AK$65:$AN$66)</f>
        <v>8477</v>
      </c>
      <c r="U74" s="1011"/>
      <c r="V74" s="1011"/>
      <c r="W74" s="1012"/>
      <c r="X74" s="987">
        <f>SUMPRODUCT(R50:U51,Z50:AC51)</f>
        <v>4711</v>
      </c>
      <c r="Y74" s="988"/>
      <c r="Z74" s="988"/>
      <c r="AA74" s="989"/>
      <c r="AB74" s="252"/>
      <c r="AC74" s="252"/>
      <c r="AD74" s="252"/>
      <c r="AE74" s="252"/>
      <c r="AF74" s="252"/>
      <c r="AG74" s="987">
        <f>$T74-$X74</f>
        <v>3766</v>
      </c>
      <c r="AH74" s="988"/>
      <c r="AI74" s="988"/>
      <c r="AJ74" s="989"/>
      <c r="AK74" s="1031">
        <f>AG74/T74</f>
        <v>0.44426094137076794</v>
      </c>
      <c r="AL74" s="1032"/>
      <c r="AM74" s="1032"/>
      <c r="AN74" s="1033"/>
      <c r="AO74" s="990">
        <f>IFERROR(AS74/($T74-AS74),"")</f>
        <v>-0.5</v>
      </c>
      <c r="AP74" s="991"/>
      <c r="AQ74" s="991"/>
      <c r="AR74" s="992"/>
      <c r="AS74" s="993">
        <f>$T$65*($AG$65-$AK$65)+$T$66*($AG$66-$AK$66)</f>
        <v>-8477</v>
      </c>
      <c r="AT74" s="994"/>
      <c r="AU74" s="994"/>
      <c r="AV74" s="995"/>
      <c r="AW74" s="981"/>
      <c r="AX74" s="982"/>
      <c r="AY74" s="982"/>
      <c r="AZ74" s="983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13"/>
      <c r="K78" s="1014"/>
      <c r="L78" s="1014"/>
      <c r="M78" s="101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15"/>
      <c r="K80" s="1015"/>
      <c r="L80" s="1015"/>
      <c r="M80" s="101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23"/>
      <c r="K87" s="1023"/>
      <c r="L87" s="1023"/>
      <c r="M87" s="1023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80"/>
      <c r="K88" s="980"/>
      <c r="L88" s="980"/>
      <c r="M88" s="980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19"/>
      <c r="K90" s="1019"/>
      <c r="L90" s="1019"/>
      <c r="M90" s="1019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80"/>
      <c r="K96" s="980"/>
      <c r="L96" s="980"/>
      <c r="M96" s="980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80"/>
      <c r="K104" s="980"/>
      <c r="L104" s="980"/>
      <c r="M104" s="980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80"/>
      <c r="K112" s="980"/>
      <c r="L112" s="980"/>
      <c r="M112" s="980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80"/>
      <c r="K113" s="980"/>
      <c r="L113" s="980"/>
      <c r="M113" s="980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80"/>
      <c r="K114" s="980"/>
      <c r="L114" s="980"/>
      <c r="M114" s="980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30">
        <v>110</v>
      </c>
      <c r="I47" s="1000"/>
      <c r="J47" s="1000"/>
      <c r="K47" s="1000"/>
      <c r="L47" s="1001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30">
        <v>125</v>
      </c>
      <c r="I48" s="1000"/>
      <c r="J48" s="1000"/>
      <c r="K48" s="1000"/>
      <c r="L48" s="1001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1010">
        <v>2000000</v>
      </c>
      <c r="S56" s="1011"/>
      <c r="T56" s="1011"/>
      <c r="U56" s="1012"/>
      <c r="V56" s="148" t="s">
        <v>207</v>
      </c>
      <c r="W56" s="150"/>
      <c r="X56" s="150"/>
      <c r="Y56" s="99" t="s">
        <v>33</v>
      </c>
      <c r="Z56" s="999">
        <v>5.29</v>
      </c>
      <c r="AA56" s="1008"/>
      <c r="AB56" s="1008"/>
      <c r="AC56" s="1008"/>
      <c r="AD56" s="1009"/>
      <c r="AE56" s="148" t="s">
        <v>148</v>
      </c>
      <c r="AF56" s="150"/>
      <c r="AG56" s="150"/>
      <c r="AH56" s="99" t="s">
        <v>33</v>
      </c>
      <c r="AI56" s="1024">
        <v>9.2200000000000004E-2</v>
      </c>
      <c r="AJ56" s="1025"/>
      <c r="AK56" s="1025"/>
      <c r="AL56" s="1026"/>
      <c r="AM56" s="1024">
        <v>9.4E-2</v>
      </c>
      <c r="AN56" s="1025"/>
      <c r="AO56" s="1025"/>
      <c r="AP56" s="1026"/>
      <c r="AQ56" s="1027">
        <v>0.01</v>
      </c>
      <c r="AR56" s="1028"/>
      <c r="AS56" s="1028"/>
      <c r="AT56" s="1029"/>
      <c r="AU56" s="1024">
        <v>0.1012</v>
      </c>
      <c r="AV56" s="1025"/>
      <c r="AW56" s="1025"/>
      <c r="AX56" s="1026"/>
      <c r="AY56" s="1024">
        <v>0.11</v>
      </c>
      <c r="AZ56" s="1025"/>
      <c r="BA56" s="1025"/>
      <c r="BB56" s="1026"/>
      <c r="BC56" s="1024">
        <v>0.11</v>
      </c>
      <c r="BD56" s="1025"/>
      <c r="BE56" s="1025"/>
      <c r="BF56" s="1026"/>
      <c r="BG56" s="1040">
        <f>AI56/21</f>
        <v>4.3904761904761903E-3</v>
      </c>
      <c r="BH56" s="1041"/>
      <c r="BI56" s="1042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1010">
        <v>20000</v>
      </c>
      <c r="S57" s="1011"/>
      <c r="T57" s="1011"/>
      <c r="U57" s="1012"/>
      <c r="V57" s="148" t="s">
        <v>207</v>
      </c>
      <c r="W57" s="150"/>
      <c r="X57" s="150"/>
      <c r="Y57" s="99" t="s">
        <v>33</v>
      </c>
      <c r="Z57" s="999">
        <v>11</v>
      </c>
      <c r="AA57" s="1008"/>
      <c r="AB57" s="1008"/>
      <c r="AC57" s="1008"/>
      <c r="AD57" s="1009"/>
      <c r="AE57" s="148" t="s">
        <v>148</v>
      </c>
      <c r="AF57" s="150"/>
      <c r="AG57" s="150"/>
      <c r="AH57" s="99" t="s">
        <v>33</v>
      </c>
      <c r="AI57" s="1024">
        <v>0.12970000000000001</v>
      </c>
      <c r="AJ57" s="1025"/>
      <c r="AK57" s="1025"/>
      <c r="AL57" s="1026"/>
      <c r="AM57" s="1024">
        <v>0.13</v>
      </c>
      <c r="AN57" s="1025"/>
      <c r="AO57" s="1025"/>
      <c r="AP57" s="1026"/>
      <c r="AQ57" s="1027">
        <v>0.01</v>
      </c>
      <c r="AR57" s="1028"/>
      <c r="AS57" s="1028"/>
      <c r="AT57" s="1029"/>
      <c r="AU57" s="1024">
        <v>0.13600000000000001</v>
      </c>
      <c r="AV57" s="1025"/>
      <c r="AW57" s="1025"/>
      <c r="AX57" s="1026"/>
      <c r="AY57" s="1024">
        <v>0.156</v>
      </c>
      <c r="AZ57" s="1025"/>
      <c r="BA57" s="1025"/>
      <c r="BB57" s="1026"/>
      <c r="BC57" s="1024">
        <v>0.156</v>
      </c>
      <c r="BD57" s="1025"/>
      <c r="BE57" s="1025"/>
      <c r="BF57" s="1026"/>
      <c r="BG57" s="1040">
        <f>AI57/21</f>
        <v>6.1761904761904766E-3</v>
      </c>
      <c r="BH57" s="1041"/>
      <c r="BI57" s="1042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62">
        <v>5000</v>
      </c>
      <c r="O64" s="1063"/>
      <c r="P64" s="1063"/>
      <c r="Q64" s="1063"/>
      <c r="R64" s="1063"/>
      <c r="S64" s="1064"/>
      <c r="T64" s="1062">
        <v>5000</v>
      </c>
      <c r="U64" s="1057"/>
      <c r="V64" s="1057"/>
      <c r="W64" s="1057"/>
      <c r="X64" s="1057"/>
      <c r="Y64" s="1058"/>
      <c r="Z64" s="1065">
        <v>10</v>
      </c>
      <c r="AA64" s="1066"/>
      <c r="AB64" s="1066"/>
      <c r="AC64" s="1067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56">
        <v>5000</v>
      </c>
      <c r="O70" s="1057"/>
      <c r="P70" s="1057"/>
      <c r="Q70" s="1057"/>
      <c r="R70" s="1057"/>
      <c r="S70" s="1058"/>
      <c r="T70" s="1056">
        <v>5000</v>
      </c>
      <c r="U70" s="1057"/>
      <c r="V70" s="1057"/>
      <c r="W70" s="1057"/>
      <c r="X70" s="1057"/>
      <c r="Y70" s="1058"/>
      <c r="Z70" s="1059">
        <v>10</v>
      </c>
      <c r="AA70" s="1060"/>
      <c r="AB70" s="1060"/>
      <c r="AC70" s="1061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10">
        <f>R56</f>
        <v>2000000</v>
      </c>
      <c r="Y80" s="1011"/>
      <c r="Z80" s="1011"/>
      <c r="AA80" s="1012"/>
      <c r="AB80" s="1024">
        <f>Z56/111</f>
        <v>4.7657657657657657E-2</v>
      </c>
      <c r="AC80" s="1025"/>
      <c r="AD80" s="1025"/>
      <c r="AE80" s="1026"/>
      <c r="AF80" s="1024">
        <f>BC56</f>
        <v>0.11</v>
      </c>
      <c r="AG80" s="1025"/>
      <c r="AH80" s="1025"/>
      <c r="AI80" s="1025"/>
      <c r="AJ80" s="1026"/>
      <c r="AK80" s="1024">
        <f>AM56</f>
        <v>9.4E-2</v>
      </c>
      <c r="AL80" s="1025"/>
      <c r="AM80" s="1025"/>
      <c r="AN80" s="1026"/>
      <c r="AO80" s="1024">
        <f>AI56</f>
        <v>9.2200000000000004E-2</v>
      </c>
      <c r="AP80" s="1025"/>
      <c r="AQ80" s="1025"/>
      <c r="AR80" s="1026"/>
      <c r="AS80" s="1024">
        <f>AI56/(1-AQ56)</f>
        <v>9.3131313131313134E-2</v>
      </c>
      <c r="AT80" s="1025"/>
      <c r="AU80" s="1025"/>
      <c r="AV80" s="1026"/>
      <c r="AW80" s="1024">
        <f>AO80-(AS80*$K$20)</f>
        <v>8.7543434343434354E-2</v>
      </c>
      <c r="AX80" s="1025"/>
      <c r="AY80" s="1025"/>
      <c r="AZ80" s="1026"/>
      <c r="BA80" s="990">
        <f>1-Z56/111/AW80</f>
        <v>0.4556112858138982</v>
      </c>
      <c r="BB80" s="991"/>
      <c r="BC80" s="991"/>
      <c r="BD80" s="992"/>
      <c r="BE80" s="1002">
        <f>(AI56-AM56)/AM56</f>
        <v>-1.9148936170212724E-2</v>
      </c>
      <c r="BF80" s="1003"/>
      <c r="BG80" s="1003"/>
      <c r="BH80" s="1004"/>
      <c r="BI80" s="1052">
        <f>AU56</f>
        <v>0.1012</v>
      </c>
      <c r="BJ80" s="1053"/>
      <c r="BK80" s="1053"/>
      <c r="BL80" s="1054"/>
      <c r="BM80" s="1005">
        <f>1-AI56/(1-AQ56)/AU56</f>
        <v>7.9730107398091499E-2</v>
      </c>
      <c r="BN80" s="1006"/>
      <c r="BO80" s="1006"/>
      <c r="BP80" s="1007"/>
      <c r="BQ80" s="1005">
        <f>1-(Z56/111+AI56*AQ56+AS80*$K$20)/AU56</f>
        <v>0.47395036250767475</v>
      </c>
      <c r="BR80" s="1006"/>
      <c r="BS80" s="1006"/>
      <c r="BT80" s="1007"/>
      <c r="BU80" s="1040">
        <f>AY56</f>
        <v>0.11</v>
      </c>
      <c r="BV80" s="1041"/>
      <c r="BW80" s="1041"/>
      <c r="BX80" s="1042"/>
      <c r="BY80" s="1005">
        <f>1-AU56/AY56</f>
        <v>8.0000000000000071E-2</v>
      </c>
      <c r="BZ80" s="1006"/>
      <c r="CA80" s="1006"/>
      <c r="CB80" s="1007"/>
      <c r="CC80" s="996">
        <f>BG56</f>
        <v>4.3904761904761903E-3</v>
      </c>
      <c r="CD80" s="997"/>
      <c r="CE80" s="998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10">
        <f>R57</f>
        <v>20000</v>
      </c>
      <c r="Y81" s="1011"/>
      <c r="Z81" s="1011"/>
      <c r="AA81" s="1012"/>
      <c r="AB81" s="1024">
        <f>Z57/111</f>
        <v>9.90990990990991E-2</v>
      </c>
      <c r="AC81" s="1025"/>
      <c r="AD81" s="1025"/>
      <c r="AE81" s="1026"/>
      <c r="AF81" s="1024">
        <f>BC57</f>
        <v>0.156</v>
      </c>
      <c r="AG81" s="1025"/>
      <c r="AH81" s="1025"/>
      <c r="AI81" s="1025"/>
      <c r="AJ81" s="1026"/>
      <c r="AK81" s="1024">
        <f>AM57</f>
        <v>0.13</v>
      </c>
      <c r="AL81" s="1025"/>
      <c r="AM81" s="1025"/>
      <c r="AN81" s="1026"/>
      <c r="AO81" s="1024">
        <f>AI57</f>
        <v>0.12970000000000001</v>
      </c>
      <c r="AP81" s="1025"/>
      <c r="AQ81" s="1025"/>
      <c r="AR81" s="1026"/>
      <c r="AS81" s="1024">
        <f>AI57/(1-AQ57)</f>
        <v>0.13101010101010102</v>
      </c>
      <c r="AT81" s="1025"/>
      <c r="AU81" s="1025"/>
      <c r="AV81" s="1026"/>
      <c r="AW81" s="1024">
        <f>AO81-(AS81*$K$20)</f>
        <v>0.12314949494949495</v>
      </c>
      <c r="AX81" s="1025"/>
      <c r="AY81" s="1025"/>
      <c r="AZ81" s="1026"/>
      <c r="BA81" s="990">
        <f>1-Z57/111/AW81</f>
        <v>0.19529431168401623</v>
      </c>
      <c r="BB81" s="991"/>
      <c r="BC81" s="991"/>
      <c r="BD81" s="992"/>
      <c r="BE81" s="1002">
        <f>(AI57-AM57)/AM57</f>
        <v>-2.3076923076922671E-3</v>
      </c>
      <c r="BF81" s="1003"/>
      <c r="BG81" s="1003"/>
      <c r="BH81" s="1004"/>
      <c r="BI81" s="1052">
        <f>AU57</f>
        <v>0.13600000000000001</v>
      </c>
      <c r="BJ81" s="1053"/>
      <c r="BK81" s="1053"/>
      <c r="BL81" s="1054"/>
      <c r="BM81" s="1005">
        <f>1-AI57/(1-AQ57)/AU57</f>
        <v>3.669043374925729E-2</v>
      </c>
      <c r="BN81" s="1006"/>
      <c r="BO81" s="1006"/>
      <c r="BP81" s="1007"/>
      <c r="BQ81" s="1005">
        <f>1-(Z57/111+AI57*AQ57+AS81*$K$20)/AU57</f>
        <v>0.21362791066467535</v>
      </c>
      <c r="BR81" s="1006"/>
      <c r="BS81" s="1006"/>
      <c r="BT81" s="1007"/>
      <c r="BU81" s="1040">
        <f>AY57</f>
        <v>0.156</v>
      </c>
      <c r="BV81" s="1041"/>
      <c r="BW81" s="1041"/>
      <c r="BX81" s="1042"/>
      <c r="BY81" s="1005">
        <f>1-AU57/AY57</f>
        <v>0.12820512820512819</v>
      </c>
      <c r="BZ81" s="1006"/>
      <c r="CA81" s="1006"/>
      <c r="CB81" s="1007"/>
      <c r="CC81" s="996">
        <f>BG57</f>
        <v>6.1761904761904766E-3</v>
      </c>
      <c r="CD81" s="997"/>
      <c r="CE81" s="998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87">
        <f>SUMPRODUCT(X$80:AA$81,AO$80:AR$81)</f>
        <v>186994</v>
      </c>
      <c r="Y85" s="988"/>
      <c r="Z85" s="988"/>
      <c r="AA85" s="989"/>
      <c r="AB85" s="987">
        <f>SUMPRODUCT(X$80:AA$81,AB$80:AE$81)</f>
        <v>97297.297297297293</v>
      </c>
      <c r="AC85" s="988"/>
      <c r="AD85" s="988"/>
      <c r="AE85" s="989"/>
      <c r="AF85" s="1016">
        <f>X$86-AB$86</f>
        <v>89696.702702702707</v>
      </c>
      <c r="AG85" s="1017"/>
      <c r="AH85" s="1017"/>
      <c r="AI85" s="1017"/>
      <c r="AJ85" s="1018"/>
      <c r="AK85" s="990">
        <f>AF85/X85</f>
        <v>0.4796769024819123</v>
      </c>
      <c r="AL85" s="991"/>
      <c r="AM85" s="991"/>
      <c r="AN85" s="992"/>
      <c r="AO85" s="990">
        <f>AS85/AW85</f>
        <v>-1.8919202518363022E-2</v>
      </c>
      <c r="AP85" s="991"/>
      <c r="AQ85" s="991"/>
      <c r="AR85" s="992"/>
      <c r="AS85" s="1046">
        <f>X$80*(AO$80-AK$80)+X$81*(AO$81-AK$81)</f>
        <v>-3605.9999999999923</v>
      </c>
      <c r="AT85" s="1047"/>
      <c r="AU85" s="1047"/>
      <c r="AV85" s="1048"/>
      <c r="AW85" s="1049">
        <f>SUMPRODUCT(X$80:AA$81,AK$80:AN$81)</f>
        <v>190600</v>
      </c>
      <c r="AX85" s="1050"/>
      <c r="AY85" s="1050"/>
      <c r="AZ85" s="1051"/>
      <c r="BA85" s="987">
        <f>SUMPRODUCT(X$80:AA$81,BI$80:BL$81)</f>
        <v>205120</v>
      </c>
      <c r="BB85" s="988"/>
      <c r="BC85" s="988"/>
      <c r="BD85" s="989"/>
      <c r="BE85" s="1005">
        <f>1-(AB$91+X$80*(AO$80*AQ$56+AS$80*$K$20)+X$81*(AO$81*AQ$57+AS$81*$K$20))/BA$91</f>
        <v>0.47049834871568497</v>
      </c>
      <c r="BF85" s="1006"/>
      <c r="BG85" s="1006"/>
      <c r="BH85" s="1007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87">
        <f>SUMPRODUCT(X$80:AA$81,AO$80:AR$81)</f>
        <v>186994</v>
      </c>
      <c r="Y86" s="988"/>
      <c r="Z86" s="988"/>
      <c r="AA86" s="989"/>
      <c r="AB86" s="987">
        <f>SUMPRODUCT(X$80:AA$81,AB$80:AE$81)</f>
        <v>97297.297297297293</v>
      </c>
      <c r="AC86" s="988"/>
      <c r="AD86" s="988"/>
      <c r="AE86" s="989"/>
      <c r="AF86" s="1016">
        <f>X$86-AB$86</f>
        <v>89696.702702702707</v>
      </c>
      <c r="AG86" s="1017"/>
      <c r="AH86" s="1017"/>
      <c r="AI86" s="1017"/>
      <c r="AJ86" s="1018"/>
      <c r="AK86" s="990">
        <f>AF86/X86</f>
        <v>0.4796769024819123</v>
      </c>
      <c r="AL86" s="991"/>
      <c r="AM86" s="991"/>
      <c r="AN86" s="992"/>
      <c r="AO86" s="990">
        <f>AS86/AW86</f>
        <v>-1.8919202518363022E-2</v>
      </c>
      <c r="AP86" s="991"/>
      <c r="AQ86" s="991"/>
      <c r="AR86" s="992"/>
      <c r="AS86" s="1046">
        <f>X$80*(AO$80-AK$80)+X$81*(AO$81-AK$81)</f>
        <v>-3605.9999999999923</v>
      </c>
      <c r="AT86" s="1047"/>
      <c r="AU86" s="1047"/>
      <c r="AV86" s="1048"/>
      <c r="AW86" s="1049">
        <f>SUMPRODUCT(X$80:AA$81,AK$80:AN$81)</f>
        <v>190600</v>
      </c>
      <c r="AX86" s="1050"/>
      <c r="AY86" s="1050"/>
      <c r="AZ86" s="1051"/>
      <c r="BA86" s="987">
        <f>SUMPRODUCT(X$80:AA$81,BI$80:BL$81)</f>
        <v>205120</v>
      </c>
      <c r="BB86" s="988"/>
      <c r="BC86" s="988"/>
      <c r="BD86" s="989"/>
      <c r="BE86" s="1005">
        <f>1-(AB$91+X$80*(AO$80*AQ$56+AS$80*$K$20)+X$81*(AO$81*AQ$57+AS$81*$K$20))/BA$91</f>
        <v>0.47049834871568497</v>
      </c>
      <c r="BF86" s="1006"/>
      <c r="BG86" s="1006"/>
      <c r="BH86" s="1007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87">
        <f>SUMPRODUCT(X$80:AA$81,AO$80:AR$81)</f>
        <v>186994</v>
      </c>
      <c r="Y90" s="988"/>
      <c r="Z90" s="988"/>
      <c r="AA90" s="989"/>
      <c r="AB90" s="987">
        <f>SUMPRODUCT(X$80:AA$81,AB$80:AE$81)</f>
        <v>97297.297297297293</v>
      </c>
      <c r="AC90" s="988"/>
      <c r="AD90" s="988"/>
      <c r="AE90" s="989"/>
      <c r="AF90" s="1016">
        <f>X$91-AB$91</f>
        <v>89696.702702702707</v>
      </c>
      <c r="AG90" s="1017"/>
      <c r="AH90" s="1017"/>
      <c r="AI90" s="1017"/>
      <c r="AJ90" s="1018"/>
      <c r="AK90" s="990">
        <f>AF90/X90</f>
        <v>0.4796769024819123</v>
      </c>
      <c r="AL90" s="991"/>
      <c r="AM90" s="991"/>
      <c r="AN90" s="992"/>
      <c r="AO90" s="990">
        <f>AS90/AW90</f>
        <v>-1.8919202518363022E-2</v>
      </c>
      <c r="AP90" s="991"/>
      <c r="AQ90" s="991"/>
      <c r="AR90" s="992"/>
      <c r="AS90" s="1046">
        <f>X$80*(AO$80-AK$80)+X$81*(AO$81-AK$81)</f>
        <v>-3605.9999999999923</v>
      </c>
      <c r="AT90" s="1047"/>
      <c r="AU90" s="1047"/>
      <c r="AV90" s="1048"/>
      <c r="AW90" s="1049">
        <f>SUMPRODUCT(X$80:AA$81,AK$80:AN$81)</f>
        <v>190600</v>
      </c>
      <c r="AX90" s="1050"/>
      <c r="AY90" s="1050"/>
      <c r="AZ90" s="1051"/>
      <c r="BA90" s="987">
        <f>SUMPRODUCT(X$80:AA$81,BI$80:BL$81)</f>
        <v>205120</v>
      </c>
      <c r="BB90" s="988"/>
      <c r="BC90" s="988"/>
      <c r="BD90" s="989"/>
      <c r="BE90" s="1005">
        <f>1-(AB$91+X$80*(AO$80*AQ$56+AS$80*$K$20)+X$81*(AO$81*AQ$57+AS$81*$K$20))/BA$91</f>
        <v>0.47049834871568497</v>
      </c>
      <c r="BF90" s="1006"/>
      <c r="BG90" s="1006"/>
      <c r="BH90" s="1007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87">
        <f>SUMPRODUCT(X$80:AA$81,AO$80:AR$81)</f>
        <v>186994</v>
      </c>
      <c r="Y91" s="988"/>
      <c r="Z91" s="988"/>
      <c r="AA91" s="989"/>
      <c r="AB91" s="987">
        <f>SUMPRODUCT(X$80:AA$81,AB$80:AE$81)</f>
        <v>97297.297297297293</v>
      </c>
      <c r="AC91" s="988"/>
      <c r="AD91" s="988"/>
      <c r="AE91" s="989"/>
      <c r="AF91" s="1016">
        <f>X$91-AB$91</f>
        <v>89696.702702702707</v>
      </c>
      <c r="AG91" s="1017"/>
      <c r="AH91" s="1017"/>
      <c r="AI91" s="1017"/>
      <c r="AJ91" s="1018"/>
      <c r="AK91" s="990">
        <f>AF91/X91</f>
        <v>0.4796769024819123</v>
      </c>
      <c r="AL91" s="991"/>
      <c r="AM91" s="991"/>
      <c r="AN91" s="992"/>
      <c r="AO91" s="990">
        <f>AS91/AW91</f>
        <v>-1.8919202518363022E-2</v>
      </c>
      <c r="AP91" s="991"/>
      <c r="AQ91" s="991"/>
      <c r="AR91" s="992"/>
      <c r="AS91" s="1046">
        <f>X$80*(AO$80-AK$80)+X$81*(AO$81-AK$81)</f>
        <v>-3605.9999999999923</v>
      </c>
      <c r="AT91" s="1047"/>
      <c r="AU91" s="1047"/>
      <c r="AV91" s="1048"/>
      <c r="AW91" s="1049">
        <f>SUMPRODUCT(X$80:AA$81,AK$80:AN$81)</f>
        <v>190600</v>
      </c>
      <c r="AX91" s="1050"/>
      <c r="AY91" s="1050"/>
      <c r="AZ91" s="1051"/>
      <c r="BA91" s="987">
        <f>SUMPRODUCT(X$80:AA$81,BI$80:BL$81)</f>
        <v>205120</v>
      </c>
      <c r="BB91" s="988"/>
      <c r="BC91" s="988"/>
      <c r="BD91" s="989"/>
      <c r="BE91" s="1005">
        <f>1-(AB$91+X$80*(AO$80*AQ$56+AS$80*$K$20)+X$81*(AO$81*AQ$57+AS$81*$K$20))/BA$91</f>
        <v>0.47049834871568497</v>
      </c>
      <c r="BF91" s="1006"/>
      <c r="BG91" s="1006"/>
      <c r="BH91" s="1007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13"/>
      <c r="K93" s="1014"/>
      <c r="L93" s="1014"/>
      <c r="M93" s="1014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62">
        <v>5000</v>
      </c>
      <c r="O96" s="1063"/>
      <c r="P96" s="1063"/>
      <c r="Q96" s="1063"/>
      <c r="R96" s="1063"/>
      <c r="S96" s="1064"/>
      <c r="T96" s="1062">
        <v>5000</v>
      </c>
      <c r="U96" s="1057"/>
      <c r="V96" s="1057"/>
      <c r="W96" s="1057"/>
      <c r="X96" s="1057"/>
      <c r="Y96" s="1058"/>
      <c r="Z96" s="1065">
        <v>10</v>
      </c>
      <c r="AA96" s="1066"/>
      <c r="AB96" s="1066"/>
      <c r="AC96" s="1067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62">
        <v>5000</v>
      </c>
      <c r="O97" s="1063"/>
      <c r="P97" s="1063"/>
      <c r="Q97" s="1063"/>
      <c r="R97" s="1063"/>
      <c r="S97" s="1064"/>
      <c r="T97" s="1062">
        <v>5000</v>
      </c>
      <c r="U97" s="1057"/>
      <c r="V97" s="1057"/>
      <c r="W97" s="1057"/>
      <c r="X97" s="1057"/>
      <c r="Y97" s="1058"/>
      <c r="Z97" s="1065"/>
      <c r="AA97" s="1066"/>
      <c r="AB97" s="1066"/>
      <c r="AC97" s="1067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55"/>
      <c r="S98" s="1055"/>
      <c r="T98" s="1055"/>
      <c r="U98" s="1055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56">
        <v>5000</v>
      </c>
      <c r="O101" s="1057"/>
      <c r="P101" s="1057"/>
      <c r="Q101" s="1057"/>
      <c r="R101" s="1057"/>
      <c r="S101" s="1058"/>
      <c r="T101" s="1056">
        <v>5000</v>
      </c>
      <c r="U101" s="1057"/>
      <c r="V101" s="1057"/>
      <c r="W101" s="1057"/>
      <c r="X101" s="1057"/>
      <c r="Y101" s="1058"/>
      <c r="Z101" s="1059">
        <v>10</v>
      </c>
      <c r="AA101" s="1060"/>
      <c r="AB101" s="1060"/>
      <c r="AC101" s="1061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56">
        <v>5000</v>
      </c>
      <c r="O102" s="1057"/>
      <c r="P102" s="1057"/>
      <c r="Q102" s="1057"/>
      <c r="R102" s="1057"/>
      <c r="S102" s="1058"/>
      <c r="T102" s="1056">
        <v>5000</v>
      </c>
      <c r="U102" s="1057"/>
      <c r="V102" s="1057"/>
      <c r="W102" s="1057"/>
      <c r="X102" s="1057"/>
      <c r="Y102" s="1058"/>
      <c r="Z102" s="1059"/>
      <c r="AA102" s="1060"/>
      <c r="AB102" s="1060"/>
      <c r="AC102" s="1061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15"/>
      <c r="K114" s="1015"/>
      <c r="L114" s="1015"/>
      <c r="M114" s="101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80"/>
      <c r="K121" s="980"/>
      <c r="L121" s="980"/>
      <c r="M121" s="980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80"/>
      <c r="K122" s="980"/>
      <c r="L122" s="980"/>
      <c r="M122" s="980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19"/>
      <c r="K124" s="1019"/>
      <c r="L124" s="1019"/>
      <c r="M124" s="1019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80"/>
      <c r="K130" s="980"/>
      <c r="L130" s="980"/>
      <c r="M130" s="980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80"/>
      <c r="K138" s="980"/>
      <c r="L138" s="980"/>
      <c r="M138" s="980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80"/>
      <c r="K146" s="980"/>
      <c r="L146" s="980"/>
      <c r="M146" s="980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80"/>
      <c r="K147" s="980"/>
      <c r="L147" s="980"/>
      <c r="M147" s="980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80"/>
      <c r="K148" s="980"/>
      <c r="L148" s="980"/>
      <c r="M148" s="980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30">
        <v>110</v>
      </c>
      <c r="I42" s="1000"/>
      <c r="J42" s="1000"/>
      <c r="K42" s="1000"/>
      <c r="L42" s="1001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30">
        <v>125</v>
      </c>
      <c r="I43" s="1000"/>
      <c r="J43" s="1000"/>
      <c r="K43" s="1000"/>
      <c r="L43" s="1001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1010">
        <v>200</v>
      </c>
      <c r="S51" s="1011"/>
      <c r="T51" s="1011"/>
      <c r="U51" s="1012"/>
      <c r="V51" s="148" t="s">
        <v>207</v>
      </c>
      <c r="W51" s="150"/>
      <c r="X51" s="150"/>
      <c r="Y51" s="99" t="s">
        <v>33</v>
      </c>
      <c r="Z51" s="999">
        <v>34690.32</v>
      </c>
      <c r="AA51" s="1008"/>
      <c r="AB51" s="1008"/>
      <c r="AC51" s="1008"/>
      <c r="AD51" s="1009"/>
      <c r="AE51" s="999">
        <v>46831.94</v>
      </c>
      <c r="AF51" s="1008"/>
      <c r="AG51" s="1008"/>
      <c r="AH51" s="1008"/>
      <c r="AI51" s="1009"/>
      <c r="AJ51" s="148" t="s">
        <v>148</v>
      </c>
      <c r="AK51" s="150"/>
      <c r="AL51" s="150"/>
      <c r="AM51" s="99" t="s">
        <v>33</v>
      </c>
      <c r="AN51" s="1024">
        <v>547.11950000000002</v>
      </c>
      <c r="AO51" s="1025"/>
      <c r="AP51" s="1025"/>
      <c r="AQ51" s="1026"/>
      <c r="AR51" s="1024">
        <v>560</v>
      </c>
      <c r="AS51" s="1025"/>
      <c r="AT51" s="1025"/>
      <c r="AU51" s="1026"/>
      <c r="AV51" s="1027">
        <v>4.4999999999999998E-2</v>
      </c>
      <c r="AW51" s="1028"/>
      <c r="AX51" s="1028"/>
      <c r="AY51" s="1029"/>
      <c r="AZ51" s="1024">
        <v>674</v>
      </c>
      <c r="BA51" s="1025"/>
      <c r="BB51" s="1025"/>
      <c r="BC51" s="1026"/>
      <c r="BD51" s="1024"/>
      <c r="BE51" s="1025"/>
      <c r="BF51" s="1025"/>
      <c r="BG51" s="1026"/>
      <c r="BH51" s="1024"/>
      <c r="BI51" s="1025"/>
      <c r="BJ51" s="1025"/>
      <c r="BK51" s="1026"/>
      <c r="BL51" s="1040"/>
      <c r="BM51" s="1041"/>
      <c r="BN51" s="1042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1010">
        <v>200</v>
      </c>
      <c r="S52" s="1011"/>
      <c r="T52" s="1011"/>
      <c r="U52" s="1012"/>
      <c r="V52" s="148" t="s">
        <v>207</v>
      </c>
      <c r="W52" s="150"/>
      <c r="X52" s="150"/>
      <c r="Y52" s="99" t="s">
        <v>33</v>
      </c>
      <c r="Z52" s="999">
        <v>11230.49</v>
      </c>
      <c r="AA52" s="1008"/>
      <c r="AB52" s="1008"/>
      <c r="AC52" s="1008"/>
      <c r="AD52" s="1009"/>
      <c r="AE52" s="999">
        <v>15161.17</v>
      </c>
      <c r="AF52" s="1008"/>
      <c r="AG52" s="1008"/>
      <c r="AH52" s="1008"/>
      <c r="AI52" s="1009"/>
      <c r="AJ52" s="148" t="s">
        <v>148</v>
      </c>
      <c r="AK52" s="150"/>
      <c r="AL52" s="150"/>
      <c r="AM52" s="99" t="s">
        <v>33</v>
      </c>
      <c r="AN52" s="1024">
        <v>177.12389999999999</v>
      </c>
      <c r="AO52" s="1025"/>
      <c r="AP52" s="1025"/>
      <c r="AQ52" s="1026"/>
      <c r="AR52" s="1024">
        <v>180</v>
      </c>
      <c r="AS52" s="1025"/>
      <c r="AT52" s="1025"/>
      <c r="AU52" s="1026"/>
      <c r="AV52" s="1027">
        <v>4.4999999999999998E-2</v>
      </c>
      <c r="AW52" s="1028"/>
      <c r="AX52" s="1028"/>
      <c r="AY52" s="1029"/>
      <c r="AZ52" s="1024">
        <v>218.2</v>
      </c>
      <c r="BA52" s="1025"/>
      <c r="BB52" s="1025"/>
      <c r="BC52" s="1026"/>
      <c r="BD52" s="1024"/>
      <c r="BE52" s="1025"/>
      <c r="BF52" s="1025"/>
      <c r="BG52" s="1026"/>
      <c r="BH52" s="1024"/>
      <c r="BI52" s="1025"/>
      <c r="BJ52" s="1025"/>
      <c r="BK52" s="1026"/>
      <c r="BL52" s="1040"/>
      <c r="BM52" s="1041"/>
      <c r="BN52" s="1042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10">
        <f>R51</f>
        <v>200</v>
      </c>
      <c r="Y64" s="1011"/>
      <c r="Z64" s="1011"/>
      <c r="AA64" s="1012"/>
      <c r="AB64" s="1024">
        <f>Z51/H42</f>
        <v>315.36654545454547</v>
      </c>
      <c r="AC64" s="1025"/>
      <c r="AD64" s="1025"/>
      <c r="AE64" s="1026"/>
      <c r="AF64" s="1024">
        <f>BH51</f>
        <v>0</v>
      </c>
      <c r="AG64" s="1025"/>
      <c r="AH64" s="1025"/>
      <c r="AI64" s="1025"/>
      <c r="AJ64" s="1026"/>
      <c r="AK64" s="1024">
        <f>AR51</f>
        <v>560</v>
      </c>
      <c r="AL64" s="1025"/>
      <c r="AM64" s="1025"/>
      <c r="AN64" s="1026"/>
      <c r="AO64" s="1024">
        <f>AN51</f>
        <v>547.11950000000002</v>
      </c>
      <c r="AP64" s="1025"/>
      <c r="AQ64" s="1025"/>
      <c r="AR64" s="1026"/>
      <c r="AS64" s="1024">
        <f>AN51/(1-AV51)</f>
        <v>572.90000000000009</v>
      </c>
      <c r="AT64" s="1025"/>
      <c r="AU64" s="1025"/>
      <c r="AV64" s="1026"/>
      <c r="AW64" s="1024">
        <f>AN51-(AS64*$K$20)</f>
        <v>518.47450000000003</v>
      </c>
      <c r="AX64" s="1025"/>
      <c r="AY64" s="1025"/>
      <c r="AZ64" s="1026"/>
      <c r="BA64" s="990">
        <f>(AO64-AS64*$K$20-AE51/H42)/(AE51/H42)</f>
        <v>0.21780551905387649</v>
      </c>
      <c r="BB64" s="991"/>
      <c r="BC64" s="991"/>
      <c r="BD64" s="992"/>
      <c r="BE64" s="1002">
        <f>(AN51-AR51)/AR51</f>
        <v>-2.3000892857142827E-2</v>
      </c>
      <c r="BF64" s="1003"/>
      <c r="BG64" s="1003"/>
      <c r="BH64" s="1004"/>
      <c r="BI64" s="1052">
        <f>AZ51</f>
        <v>674</v>
      </c>
      <c r="BJ64" s="1053"/>
      <c r="BK64" s="1053"/>
      <c r="BL64" s="1054"/>
      <c r="BM64" s="1005">
        <f>1-AN51/(1-AV51)/AZ51</f>
        <v>0.14999999999999991</v>
      </c>
      <c r="BN64" s="1006"/>
      <c r="BO64" s="1006"/>
      <c r="BP64" s="1007"/>
      <c r="BQ64" s="1005">
        <f>1-(Z51/H42+AN51*AV51+AS64*$K$20)/AZ51</f>
        <v>0.45306836356892366</v>
      </c>
      <c r="BR64" s="1006"/>
      <c r="BS64" s="1006"/>
      <c r="BT64" s="1007"/>
      <c r="BU64" s="1040">
        <f>BD51</f>
        <v>0</v>
      </c>
      <c r="BV64" s="1041"/>
      <c r="BW64" s="1041"/>
      <c r="BX64" s="1042"/>
      <c r="BY64" s="1005" t="str">
        <f>IFERROR(1-AZ51/BD51,"")</f>
        <v/>
      </c>
      <c r="BZ64" s="1006"/>
      <c r="CA64" s="1006"/>
      <c r="CB64" s="1007"/>
      <c r="CC64" s="996">
        <f>BL51</f>
        <v>0</v>
      </c>
      <c r="CD64" s="997"/>
      <c r="CE64" s="998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10">
        <f>R52</f>
        <v>200</v>
      </c>
      <c r="Y65" s="1011"/>
      <c r="Z65" s="1011"/>
      <c r="AA65" s="1012"/>
      <c r="AB65" s="1024">
        <f>Z52/H42</f>
        <v>102.09536363636363</v>
      </c>
      <c r="AC65" s="1025"/>
      <c r="AD65" s="1025"/>
      <c r="AE65" s="1026"/>
      <c r="AF65" s="1024">
        <f>BH52</f>
        <v>0</v>
      </c>
      <c r="AG65" s="1025"/>
      <c r="AH65" s="1025"/>
      <c r="AI65" s="1025"/>
      <c r="AJ65" s="1026"/>
      <c r="AK65" s="1024">
        <f>AR52</f>
        <v>180</v>
      </c>
      <c r="AL65" s="1025"/>
      <c r="AM65" s="1025"/>
      <c r="AN65" s="1026"/>
      <c r="AO65" s="1024">
        <f>AN52</f>
        <v>177.12389999999999</v>
      </c>
      <c r="AP65" s="1025"/>
      <c r="AQ65" s="1025"/>
      <c r="AR65" s="1026"/>
      <c r="AS65" s="1024">
        <f>AN52/(1-AV52)</f>
        <v>185.47005235602094</v>
      </c>
      <c r="AT65" s="1025"/>
      <c r="AU65" s="1025"/>
      <c r="AV65" s="1026"/>
      <c r="AW65" s="1024">
        <f>AN52-(AS65*$K$20)</f>
        <v>167.85039738219893</v>
      </c>
      <c r="AX65" s="1025"/>
      <c r="AY65" s="1025"/>
      <c r="AZ65" s="1026"/>
      <c r="BA65" s="990">
        <f>(AO65-AS65*$K$20-AE52/H42)/(AE52/H42)</f>
        <v>0.21781786709349499</v>
      </c>
      <c r="BB65" s="991"/>
      <c r="BC65" s="991"/>
      <c r="BD65" s="992"/>
      <c r="BE65" s="1002">
        <f>(AN52-AR52)/AR52</f>
        <v>-1.5978333333333379E-2</v>
      </c>
      <c r="BF65" s="1003"/>
      <c r="BG65" s="1003"/>
      <c r="BH65" s="1004"/>
      <c r="BI65" s="1052">
        <f>AZ52</f>
        <v>218.2</v>
      </c>
      <c r="BJ65" s="1053"/>
      <c r="BK65" s="1053"/>
      <c r="BL65" s="1054"/>
      <c r="BM65" s="1005">
        <f>1-AN52/(1-AV52)/AZ52</f>
        <v>0.14999976005489934</v>
      </c>
      <c r="BN65" s="1006"/>
      <c r="BO65" s="1006"/>
      <c r="BP65" s="1007"/>
      <c r="BQ65" s="1005">
        <f>1-(Z52/H42+AN52*AV52+AS65*$K$20)/AZ52</f>
        <v>0.45307313586542308</v>
      </c>
      <c r="BR65" s="1006"/>
      <c r="BS65" s="1006"/>
      <c r="BT65" s="1007"/>
      <c r="BU65" s="1040">
        <f>BD52</f>
        <v>0</v>
      </c>
      <c r="BV65" s="1041"/>
      <c r="BW65" s="1041"/>
      <c r="BX65" s="1042"/>
      <c r="BY65" s="1005" t="str">
        <f>IFERROR(1-AZ52/BD52,"")</f>
        <v/>
      </c>
      <c r="BZ65" s="1006"/>
      <c r="CA65" s="1006"/>
      <c r="CB65" s="1007"/>
      <c r="CC65" s="996">
        <f>BL52</f>
        <v>0</v>
      </c>
      <c r="CD65" s="997"/>
      <c r="CE65" s="998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99">
        <f>SUMPRODUCT(X$64:AA$65,AO$64:AR$65)</f>
        <v>144848.68</v>
      </c>
      <c r="Y69" s="1008"/>
      <c r="Z69" s="1008"/>
      <c r="AA69" s="1009"/>
      <c r="AB69" s="999">
        <f>SUMPRODUCT(R$51:R$52,AE$51:AE$52)/H42</f>
        <v>112714.74545454545</v>
      </c>
      <c r="AC69" s="1008"/>
      <c r="AD69" s="1008"/>
      <c r="AE69" s="1009"/>
      <c r="AF69" s="1016">
        <f>X69-AB69</f>
        <v>32133.93454545454</v>
      </c>
      <c r="AG69" s="1017"/>
      <c r="AH69" s="1017"/>
      <c r="AI69" s="1017"/>
      <c r="AJ69" s="1018"/>
      <c r="AK69" s="1069">
        <f>AF69/AB69</f>
        <v>0.2850907786365291</v>
      </c>
      <c r="AL69" s="1070"/>
      <c r="AM69" s="1070"/>
      <c r="AN69" s="1071"/>
      <c r="AO69" s="990">
        <f>AS69/(X69-AS69)</f>
        <v>-2.1292702702702691E-2</v>
      </c>
      <c r="AP69" s="991"/>
      <c r="AQ69" s="991"/>
      <c r="AR69" s="992"/>
      <c r="AS69" s="1072">
        <f>X$64*(AO$64-AK$64)+X$65*(AO$65-AK$65)</f>
        <v>-3151.3199999999983</v>
      </c>
      <c r="AT69" s="1073"/>
      <c r="AU69" s="1073"/>
      <c r="AV69" s="1074"/>
      <c r="AW69" s="1075">
        <f>SUMPRODUCT(X$64:AA$65,AK$64:AN$65)</f>
        <v>148000</v>
      </c>
      <c r="AX69" s="1076"/>
      <c r="AY69" s="1076"/>
      <c r="AZ69" s="1077"/>
      <c r="BA69" s="999">
        <f>SUMPRODUCT(X$64:AA$65,BI$64:BL$65)</f>
        <v>178440</v>
      </c>
      <c r="BB69" s="1008"/>
      <c r="BC69" s="1008"/>
      <c r="BD69" s="1009"/>
      <c r="BE69" s="1005">
        <f>1-(SUMPRODUCT(R$51:R$52,Z$51:Z$52)/107+(AN$51*AV$51+AN$51/(1-AV$51)*$K$20)*R$51+(AN$52*AV$52+AN$52/(1-AV$52)*$K$20)*R$52)/BA$75</f>
        <v>0.43995079106037671</v>
      </c>
      <c r="BF69" s="1006"/>
      <c r="BG69" s="1006"/>
      <c r="BH69" s="1007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87">
        <f>SUMPRODUCT(X$64:AA$65,AO$64:AR$65)*H42</f>
        <v>15933354.799999999</v>
      </c>
      <c r="Y70" s="988"/>
      <c r="Z70" s="988"/>
      <c r="AA70" s="989"/>
      <c r="AB70" s="987">
        <f>SUMPRODUCT(R$51:R$52,AE$51:AE$52)</f>
        <v>12398622</v>
      </c>
      <c r="AC70" s="988"/>
      <c r="AD70" s="988"/>
      <c r="AE70" s="989"/>
      <c r="AF70" s="1016">
        <f>X70-AB70</f>
        <v>3534732.7999999989</v>
      </c>
      <c r="AG70" s="1017"/>
      <c r="AH70" s="1017"/>
      <c r="AI70" s="1017"/>
      <c r="AJ70" s="1018"/>
      <c r="AK70" s="1069">
        <f>AF70/AB70</f>
        <v>0.28509077863652904</v>
      </c>
      <c r="AL70" s="1070"/>
      <c r="AM70" s="1070"/>
      <c r="AN70" s="1071"/>
      <c r="AO70" s="990">
        <f>AS70/(X70-AS70)</f>
        <v>-1.9774221377452075E-4</v>
      </c>
      <c r="AP70" s="991"/>
      <c r="AQ70" s="991"/>
      <c r="AR70" s="992"/>
      <c r="AS70" s="1046">
        <f>X$64*(AO$64-AK$64)+X$65*(AO$65-AK$65)</f>
        <v>-3151.3199999999983</v>
      </c>
      <c r="AT70" s="1047"/>
      <c r="AU70" s="1047"/>
      <c r="AV70" s="1048"/>
      <c r="AW70" s="1049">
        <f>SUMPRODUCT(X$64:AA$65,AK$64:AN$65)</f>
        <v>148000</v>
      </c>
      <c r="AX70" s="1050"/>
      <c r="AY70" s="1050"/>
      <c r="AZ70" s="1051"/>
      <c r="BA70" s="987">
        <f>SUMPRODUCT(X$64:AA$65,BI$64:BL$65)</f>
        <v>178440</v>
      </c>
      <c r="BB70" s="988"/>
      <c r="BC70" s="988"/>
      <c r="BD70" s="989"/>
      <c r="BE70" s="1005">
        <f>1-(SUMPRODUCT(R$51:R$52,Z$51:Z$52)/107+(AN$51*AV$51+AN$51/(1-AV$51)*$K$20)*R$51+(AN$52*AV$52+AN$52/(1-AV$52)*$K$20)*R$52)/BA$75</f>
        <v>0.43995079106037671</v>
      </c>
      <c r="BF70" s="1006"/>
      <c r="BG70" s="1006"/>
      <c r="BH70" s="1007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99">
        <f>SUMPRODUCT(X$64:AA$65,AO$64:AR$65)</f>
        <v>144848.68</v>
      </c>
      <c r="Y74" s="1008"/>
      <c r="Z74" s="1008"/>
      <c r="AA74" s="1009"/>
      <c r="AB74" s="999">
        <f>SUMPRODUCT(R$51:R$52,AE$51:AE$52)/107</f>
        <v>115874.97196261682</v>
      </c>
      <c r="AC74" s="1008"/>
      <c r="AD74" s="1008"/>
      <c r="AE74" s="1009"/>
      <c r="AF74" s="1016">
        <f>X74-AB74</f>
        <v>28973.70803738317</v>
      </c>
      <c r="AG74" s="1017"/>
      <c r="AH74" s="1017"/>
      <c r="AI74" s="1017"/>
      <c r="AJ74" s="1018"/>
      <c r="AK74" s="1069">
        <f>AF74/AB74</f>
        <v>0.25004284831007828</v>
      </c>
      <c r="AL74" s="1070"/>
      <c r="AM74" s="1070"/>
      <c r="AN74" s="1071"/>
      <c r="AO74" s="990">
        <f>AS74/(X74-AS74)</f>
        <v>-2.1292702702702691E-2</v>
      </c>
      <c r="AP74" s="991"/>
      <c r="AQ74" s="991"/>
      <c r="AR74" s="992"/>
      <c r="AS74" s="1072">
        <f>X$64*(AO$64-AK$64)+X$65*(AO$65-AK$65)</f>
        <v>-3151.3199999999983</v>
      </c>
      <c r="AT74" s="1073"/>
      <c r="AU74" s="1073"/>
      <c r="AV74" s="1074"/>
      <c r="AW74" s="1075">
        <f>SUMPRODUCT(X$64:AA$65,AK$64:AN$65)</f>
        <v>148000</v>
      </c>
      <c r="AX74" s="1076"/>
      <c r="AY74" s="1076"/>
      <c r="AZ74" s="1077"/>
      <c r="BA74" s="999">
        <f>SUMPRODUCT(X$64:AA$65,BI$64:BL$65)</f>
        <v>178440</v>
      </c>
      <c r="BB74" s="1008"/>
      <c r="BC74" s="1008"/>
      <c r="BD74" s="1009"/>
      <c r="BE74" s="1005">
        <f>1-(SUMPRODUCT(R$51:R$52,Z$51:Z$52)/107+(AN$51*AV$51+AN$51/(1-AV$51)*$K$20)*R$51+(AN$52*AV$52+AN$52/(1-AV$52)*$K$20)*R$52)/BA$75</f>
        <v>0.43995079106037671</v>
      </c>
      <c r="BF74" s="1006"/>
      <c r="BG74" s="1006"/>
      <c r="BH74" s="1007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87">
        <f>SUMPRODUCT(X$64:AA$65,AO$64:AR$65)</f>
        <v>144848.68</v>
      </c>
      <c r="Y75" s="988"/>
      <c r="Z75" s="988"/>
      <c r="AA75" s="989"/>
      <c r="AB75" s="987">
        <f>SUMPRODUCT(R$51:R$52,AE$51:AE$52)/107</f>
        <v>115874.97196261682</v>
      </c>
      <c r="AC75" s="988"/>
      <c r="AD75" s="988"/>
      <c r="AE75" s="989"/>
      <c r="AF75" s="1016">
        <f>X75-AB75</f>
        <v>28973.70803738317</v>
      </c>
      <c r="AG75" s="1017"/>
      <c r="AH75" s="1017"/>
      <c r="AI75" s="1017"/>
      <c r="AJ75" s="1018"/>
      <c r="AK75" s="1069">
        <f>AF75/AB75</f>
        <v>0.25004284831007828</v>
      </c>
      <c r="AL75" s="1070"/>
      <c r="AM75" s="1070"/>
      <c r="AN75" s="1071"/>
      <c r="AO75" s="990">
        <f>AS75/(X75-AS75)</f>
        <v>-2.1292702702702691E-2</v>
      </c>
      <c r="AP75" s="991"/>
      <c r="AQ75" s="991"/>
      <c r="AR75" s="992"/>
      <c r="AS75" s="1046">
        <f>X$64*(AO$64-AK$64)+X$65*(AO$65-AK$65)</f>
        <v>-3151.3199999999983</v>
      </c>
      <c r="AT75" s="1047"/>
      <c r="AU75" s="1047"/>
      <c r="AV75" s="1048"/>
      <c r="AW75" s="1049">
        <f>SUMPRODUCT(X$64:AA$65,AK$64:AN$65)</f>
        <v>148000</v>
      </c>
      <c r="AX75" s="1050"/>
      <c r="AY75" s="1050"/>
      <c r="AZ75" s="1051"/>
      <c r="BA75" s="987">
        <f>SUMPRODUCT(X$64:AA$65,BI$64:BL$65)</f>
        <v>178440</v>
      </c>
      <c r="BB75" s="988"/>
      <c r="BC75" s="988"/>
      <c r="BD75" s="989"/>
      <c r="BE75" s="1005">
        <f>1-(SUMPRODUCT(R$51:R$52,Z$51:Z$52)/107+(AN$51*AV$51+AN$51/(1-AV$51)*$K$20)*R$51+(AN$52*AV$52+AN$52/(1-AV$52)*$K$20)*R$52)/BA$75</f>
        <v>0.43995079106037671</v>
      </c>
      <c r="BF75" s="1006"/>
      <c r="BG75" s="1006"/>
      <c r="BH75" s="1007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79"/>
      <c r="BE76" s="1080"/>
      <c r="BF76" s="1080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13"/>
      <c r="K77" s="1014"/>
      <c r="L77" s="1014"/>
      <c r="M77" s="1014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15"/>
      <c r="K81" s="1015"/>
      <c r="L81" s="1015"/>
      <c r="M81" s="101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78"/>
      <c r="BL81" s="1078"/>
      <c r="BM81" s="1078"/>
      <c r="BN81" s="1078"/>
      <c r="BO81" s="1078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68"/>
      <c r="BF82" s="1068"/>
      <c r="BG82" s="1068"/>
      <c r="BH82" s="1068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80"/>
      <c r="K88" s="980"/>
      <c r="L88" s="980"/>
      <c r="M88" s="980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80"/>
      <c r="K89" s="980"/>
      <c r="L89" s="980"/>
      <c r="M89" s="980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19"/>
      <c r="K91" s="1019"/>
      <c r="L91" s="1019"/>
      <c r="M91" s="1019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80"/>
      <c r="K97" s="980"/>
      <c r="L97" s="980"/>
      <c r="M97" s="980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80"/>
      <c r="K105" s="980"/>
      <c r="L105" s="980"/>
      <c r="M105" s="980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80"/>
      <c r="K114" s="980"/>
      <c r="L114" s="980"/>
      <c r="M114" s="980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80"/>
      <c r="K115" s="980"/>
      <c r="L115" s="980"/>
      <c r="M115" s="980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46162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表紙画面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r1.2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5" t="str">
        <f ca="1">"画面レイアウト"&amp;"("&amp;MID(CELL("filename"),FIND("]",CELL("filename"))+1,LEN(CELL("filename")))&amp;")"</f>
        <v>画面レイアウト(表紙)</v>
      </c>
      <c r="B5" s="796"/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96"/>
      <c r="P5" s="796"/>
      <c r="Q5" s="796"/>
      <c r="R5" s="796"/>
      <c r="S5" s="796"/>
      <c r="T5" s="796"/>
      <c r="U5" s="796"/>
      <c r="V5" s="796"/>
      <c r="W5" s="796"/>
      <c r="X5" s="796"/>
      <c r="Y5" s="796"/>
      <c r="Z5" s="796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7"/>
      <c r="BB5" s="787" t="s">
        <v>24</v>
      </c>
      <c r="BC5" s="788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30">
        <v>110</v>
      </c>
      <c r="I42" s="1000"/>
      <c r="J42" s="1000"/>
      <c r="K42" s="1000"/>
      <c r="L42" s="1001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30">
        <v>125</v>
      </c>
      <c r="I43" s="1000"/>
      <c r="J43" s="1000"/>
      <c r="K43" s="1000"/>
      <c r="L43" s="1001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1010">
        <v>70000</v>
      </c>
      <c r="S51" s="1011"/>
      <c r="T51" s="1011"/>
      <c r="U51" s="1012"/>
      <c r="V51" s="148" t="s">
        <v>148</v>
      </c>
      <c r="W51" s="150"/>
      <c r="X51" s="150"/>
      <c r="Y51" s="99" t="s">
        <v>33</v>
      </c>
      <c r="Z51" s="1024">
        <v>6.7299999999999999E-2</v>
      </c>
      <c r="AA51" s="1025"/>
      <c r="AB51" s="1025"/>
      <c r="AC51" s="1025"/>
      <c r="AD51" s="1026"/>
      <c r="AE51" s="148" t="s">
        <v>148</v>
      </c>
      <c r="AF51" s="150"/>
      <c r="AG51" s="150"/>
      <c r="AH51" s="99" t="s">
        <v>33</v>
      </c>
      <c r="AI51" s="1024">
        <v>0.1211</v>
      </c>
      <c r="AJ51" s="1025"/>
      <c r="AK51" s="1025"/>
      <c r="AL51" s="1026"/>
      <c r="AM51" s="1024">
        <v>0.12</v>
      </c>
      <c r="AN51" s="1025"/>
      <c r="AO51" s="1025"/>
      <c r="AP51" s="1026"/>
      <c r="AQ51" s="1027">
        <v>0.01</v>
      </c>
      <c r="AR51" s="1028"/>
      <c r="AS51" s="1028"/>
      <c r="AT51" s="1029"/>
      <c r="AU51" s="1024">
        <v>0.13589999999999999</v>
      </c>
      <c r="AV51" s="1025"/>
      <c r="AW51" s="1025"/>
      <c r="AX51" s="1026"/>
      <c r="AY51" s="1024">
        <v>0.151</v>
      </c>
      <c r="AZ51" s="1025"/>
      <c r="BA51" s="1025"/>
      <c r="BB51" s="1026"/>
      <c r="BC51" s="1024">
        <v>0.151</v>
      </c>
      <c r="BD51" s="1025"/>
      <c r="BE51" s="1025"/>
      <c r="BF51" s="1026"/>
      <c r="BG51" s="1040">
        <v>6.1000000000000004E-3</v>
      </c>
      <c r="BH51" s="1041"/>
      <c r="BI51" s="1042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10"/>
      <c r="S52" s="1011"/>
      <c r="T52" s="1011"/>
      <c r="U52" s="1012"/>
      <c r="V52" s="148"/>
      <c r="W52" s="150"/>
      <c r="X52" s="150"/>
      <c r="Y52" s="99" t="s">
        <v>33</v>
      </c>
      <c r="Z52" s="999"/>
      <c r="AA52" s="1008"/>
      <c r="AB52" s="1008"/>
      <c r="AC52" s="1008"/>
      <c r="AD52" s="1009"/>
      <c r="AE52" s="148"/>
      <c r="AF52" s="150"/>
      <c r="AG52" s="150"/>
      <c r="AH52" s="99" t="s">
        <v>33</v>
      </c>
      <c r="AI52" s="1024"/>
      <c r="AJ52" s="1025"/>
      <c r="AK52" s="1025"/>
      <c r="AL52" s="1026"/>
      <c r="AM52" s="1024"/>
      <c r="AN52" s="1025"/>
      <c r="AO52" s="1025"/>
      <c r="AP52" s="1026"/>
      <c r="AQ52" s="1027"/>
      <c r="AR52" s="1028"/>
      <c r="AS52" s="1028"/>
      <c r="AT52" s="1029"/>
      <c r="AU52" s="1024"/>
      <c r="AV52" s="1025"/>
      <c r="AW52" s="1025"/>
      <c r="AX52" s="1026"/>
      <c r="AY52" s="1024"/>
      <c r="AZ52" s="1025"/>
      <c r="BA52" s="1025"/>
      <c r="BB52" s="1026"/>
      <c r="BC52" s="1024"/>
      <c r="BD52" s="1025"/>
      <c r="BE52" s="1025"/>
      <c r="BF52" s="1026"/>
      <c r="BG52" s="1040"/>
      <c r="BH52" s="1041"/>
      <c r="BI52" s="1042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84">
        <f>1-(0.0673/0.1359)</f>
        <v>0.50478292862398821</v>
      </c>
      <c r="BN58" s="1084"/>
      <c r="BO58" s="1084"/>
      <c r="BP58" s="1084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10">
        <f>R51</f>
        <v>70000</v>
      </c>
      <c r="Y64" s="1011"/>
      <c r="Z64" s="1011"/>
      <c r="AA64" s="1012"/>
      <c r="AB64" s="1024">
        <f>Z51</f>
        <v>6.7299999999999999E-2</v>
      </c>
      <c r="AC64" s="1025"/>
      <c r="AD64" s="1025"/>
      <c r="AE64" s="1026"/>
      <c r="AF64" s="1024">
        <f>BC51</f>
        <v>0.151</v>
      </c>
      <c r="AG64" s="1025"/>
      <c r="AH64" s="1025"/>
      <c r="AI64" s="1025"/>
      <c r="AJ64" s="1026"/>
      <c r="AK64" s="1024">
        <f>AM51</f>
        <v>0.12</v>
      </c>
      <c r="AL64" s="1025"/>
      <c r="AM64" s="1025"/>
      <c r="AN64" s="1026"/>
      <c r="AO64" s="1024">
        <f>AI51</f>
        <v>0.1211</v>
      </c>
      <c r="AP64" s="1025"/>
      <c r="AQ64" s="1025"/>
      <c r="AR64" s="1026"/>
      <c r="AS64" s="1024">
        <f>AI51/(1-AQ51)</f>
        <v>0.12232323232323232</v>
      </c>
      <c r="AT64" s="1025"/>
      <c r="AU64" s="1025"/>
      <c r="AV64" s="1026"/>
      <c r="AW64" s="1024">
        <f>AO64-(AS64*$K$20)</f>
        <v>0.11498383838383838</v>
      </c>
      <c r="AX64" s="1025"/>
      <c r="AY64" s="1025"/>
      <c r="AZ64" s="1026"/>
      <c r="BA64" s="1002">
        <f>IFERROR((AI51-AM51)/AM51,"")</f>
        <v>9.1666666666666979E-3</v>
      </c>
      <c r="BB64" s="1003"/>
      <c r="BC64" s="1003"/>
      <c r="BD64" s="1004"/>
      <c r="BE64" s="1052">
        <f>AU51</f>
        <v>0.13589999999999999</v>
      </c>
      <c r="BF64" s="1053"/>
      <c r="BG64" s="1053"/>
      <c r="BH64" s="1054"/>
      <c r="BI64" s="1005">
        <f>1-AI51/(1-AQ51)/AU51</f>
        <v>9.990263191146187E-2</v>
      </c>
      <c r="BJ64" s="1006"/>
      <c r="BK64" s="1006"/>
      <c r="BL64" s="1007"/>
      <c r="BM64" s="1005">
        <f>1-AB64/BE64</f>
        <v>0.50478292862398821</v>
      </c>
      <c r="BN64" s="1006"/>
      <c r="BO64" s="1006"/>
      <c r="BP64" s="1007"/>
      <c r="BQ64" s="1040">
        <f>AY51</f>
        <v>0.151</v>
      </c>
      <c r="BR64" s="1041"/>
      <c r="BS64" s="1041"/>
      <c r="BT64" s="1042"/>
      <c r="BU64" s="1005">
        <f>1-AU51/AY51</f>
        <v>9.9999999999999978E-2</v>
      </c>
      <c r="BV64" s="1006"/>
      <c r="BW64" s="1006"/>
      <c r="BX64" s="1007"/>
      <c r="BY64" s="1024">
        <f>BG51</f>
        <v>6.1000000000000004E-3</v>
      </c>
      <c r="BZ64" s="1025"/>
      <c r="CA64" s="1026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99">
        <f>SUMPRODUCT(X$64:AA$64,BE$64:BH$64)</f>
        <v>9513</v>
      </c>
      <c r="Y67" s="1008"/>
      <c r="Z67" s="1008"/>
      <c r="AA67" s="1009"/>
      <c r="AB67" s="999">
        <f>SUMPRODUCT(X$64:AA$64,AB$64:AE$64)</f>
        <v>4711</v>
      </c>
      <c r="AC67" s="1008"/>
      <c r="AD67" s="1008"/>
      <c r="AE67" s="1009"/>
      <c r="AF67" s="999">
        <f>X67-AB67</f>
        <v>4802</v>
      </c>
      <c r="AG67" s="1008"/>
      <c r="AH67" s="1008"/>
      <c r="AI67" s="1008"/>
      <c r="AJ67" s="1009"/>
      <c r="AK67" s="990">
        <f>AF67/X67</f>
        <v>0.50478292862398821</v>
      </c>
      <c r="AL67" s="991"/>
      <c r="AM67" s="991"/>
      <c r="AN67" s="992"/>
      <c r="AO67" s="990">
        <f>IFERROR(AS67/(X67-AS67),"")</f>
        <v>0.13249999999999998</v>
      </c>
      <c r="AP67" s="991"/>
      <c r="AQ67" s="991"/>
      <c r="AR67" s="992"/>
      <c r="AS67" s="1081">
        <f>X$64*(BE$64-AK$64)</f>
        <v>1112.9999999999998</v>
      </c>
      <c r="AT67" s="1082"/>
      <c r="AU67" s="1082"/>
      <c r="AV67" s="1083"/>
      <c r="AW67" s="1049"/>
      <c r="AX67" s="1050"/>
      <c r="AY67" s="1050"/>
      <c r="AZ67" s="1051"/>
      <c r="BA67" s="987"/>
      <c r="BB67" s="988"/>
      <c r="BC67" s="988"/>
      <c r="BD67" s="989"/>
      <c r="BE67" s="1005"/>
      <c r="BF67" s="1006"/>
      <c r="BG67" s="1006"/>
      <c r="BH67" s="1007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87">
        <f>SUMPRODUCT(X$64:AA$64,BE$64:BH$64)</f>
        <v>9513</v>
      </c>
      <c r="Y68" s="988"/>
      <c r="Z68" s="988"/>
      <c r="AA68" s="989"/>
      <c r="AB68" s="987">
        <f>SUMPRODUCT(X$64:AA$64,AB$64:AE$64)</f>
        <v>4711</v>
      </c>
      <c r="AC68" s="988"/>
      <c r="AD68" s="988"/>
      <c r="AE68" s="989"/>
      <c r="AF68" s="987">
        <f>X68-AB68</f>
        <v>4802</v>
      </c>
      <c r="AG68" s="988"/>
      <c r="AH68" s="988"/>
      <c r="AI68" s="988"/>
      <c r="AJ68" s="989"/>
      <c r="AK68" s="990">
        <f>AF68/X68</f>
        <v>0.50478292862398821</v>
      </c>
      <c r="AL68" s="991"/>
      <c r="AM68" s="991"/>
      <c r="AN68" s="992"/>
      <c r="AO68" s="990">
        <f>IFERROR(AS68/(X68-AS68),"")</f>
        <v>0.13249999999999998</v>
      </c>
      <c r="AP68" s="991"/>
      <c r="AQ68" s="991"/>
      <c r="AR68" s="992"/>
      <c r="AS68" s="1046">
        <f>X$64*(BE$64-AK$64)</f>
        <v>1112.9999999999998</v>
      </c>
      <c r="AT68" s="1047"/>
      <c r="AU68" s="1047"/>
      <c r="AV68" s="1048"/>
      <c r="AW68" s="1049"/>
      <c r="AX68" s="1050"/>
      <c r="AY68" s="1050"/>
      <c r="AZ68" s="1051"/>
      <c r="BA68" s="987"/>
      <c r="BB68" s="988"/>
      <c r="BC68" s="988"/>
      <c r="BD68" s="989"/>
      <c r="BE68" s="1005"/>
      <c r="BF68" s="1006"/>
      <c r="BG68" s="1006"/>
      <c r="BH68" s="1007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99">
        <f>SUMPRODUCT(X$64:AA$64,BE$64:BH$64)</f>
        <v>9513</v>
      </c>
      <c r="Y71" s="1008"/>
      <c r="Z71" s="1008"/>
      <c r="AA71" s="1009"/>
      <c r="AB71" s="999">
        <f>SUMPRODUCT(X$64:AA$64,AB$64:AE$64)</f>
        <v>4711</v>
      </c>
      <c r="AC71" s="1008"/>
      <c r="AD71" s="1008"/>
      <c r="AE71" s="1009"/>
      <c r="AF71" s="999">
        <f>X71-AB71</f>
        <v>4802</v>
      </c>
      <c r="AG71" s="1008"/>
      <c r="AH71" s="1008"/>
      <c r="AI71" s="1008"/>
      <c r="AJ71" s="1009"/>
      <c r="AK71" s="990">
        <f>AF71/X71</f>
        <v>0.50478292862398821</v>
      </c>
      <c r="AL71" s="991"/>
      <c r="AM71" s="991"/>
      <c r="AN71" s="992"/>
      <c r="AO71" s="990">
        <f>IFERROR(AS71/(X71-AS71),"")</f>
        <v>0.13249999999999998</v>
      </c>
      <c r="AP71" s="991"/>
      <c r="AQ71" s="991"/>
      <c r="AR71" s="992"/>
      <c r="AS71" s="1081">
        <f>X$64*(BE$64-AK$64)</f>
        <v>1112.9999999999998</v>
      </c>
      <c r="AT71" s="1082"/>
      <c r="AU71" s="1082"/>
      <c r="AV71" s="1083"/>
      <c r="AW71" s="1049"/>
      <c r="AX71" s="1050"/>
      <c r="AY71" s="1050"/>
      <c r="AZ71" s="1051"/>
      <c r="BA71" s="987"/>
      <c r="BB71" s="988"/>
      <c r="BC71" s="988"/>
      <c r="BD71" s="989"/>
      <c r="BE71" s="1005"/>
      <c r="BF71" s="1006"/>
      <c r="BG71" s="1006"/>
      <c r="BH71" s="1007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87">
        <f>SUMPRODUCT(X$64:AA$64,BE$64:BH$64)</f>
        <v>9513</v>
      </c>
      <c r="Y72" s="988"/>
      <c r="Z72" s="988"/>
      <c r="AA72" s="989"/>
      <c r="AB72" s="987">
        <f>SUMPRODUCT(X$64:AA$64,AB$64:AE$64)</f>
        <v>4711</v>
      </c>
      <c r="AC72" s="988"/>
      <c r="AD72" s="988"/>
      <c r="AE72" s="989"/>
      <c r="AF72" s="987">
        <f>X72-AB72</f>
        <v>4802</v>
      </c>
      <c r="AG72" s="988"/>
      <c r="AH72" s="988"/>
      <c r="AI72" s="988"/>
      <c r="AJ72" s="989"/>
      <c r="AK72" s="990">
        <f>AF72/X72</f>
        <v>0.50478292862398821</v>
      </c>
      <c r="AL72" s="991"/>
      <c r="AM72" s="991"/>
      <c r="AN72" s="992"/>
      <c r="AO72" s="990">
        <f>IFERROR(AS72/(X72-AS72),"")</f>
        <v>0.13249999999999998</v>
      </c>
      <c r="AP72" s="991"/>
      <c r="AQ72" s="991"/>
      <c r="AR72" s="992"/>
      <c r="AS72" s="1046">
        <f>X$64*(BE$64-AK$64)</f>
        <v>1112.9999999999998</v>
      </c>
      <c r="AT72" s="1047"/>
      <c r="AU72" s="1047"/>
      <c r="AV72" s="1048"/>
      <c r="AW72" s="1049"/>
      <c r="AX72" s="1050"/>
      <c r="AY72" s="1050"/>
      <c r="AZ72" s="1051"/>
      <c r="BA72" s="987"/>
      <c r="BB72" s="988"/>
      <c r="BC72" s="988"/>
      <c r="BD72" s="989"/>
      <c r="BE72" s="1005"/>
      <c r="BF72" s="1006"/>
      <c r="BG72" s="1006"/>
      <c r="BH72" s="1007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79"/>
      <c r="BE73" s="1080"/>
      <c r="BF73" s="1080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15"/>
      <c r="K77" s="1015"/>
      <c r="L77" s="1015"/>
      <c r="M77" s="101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80"/>
      <c r="K84" s="980"/>
      <c r="L84" s="980"/>
      <c r="M84" s="980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80"/>
      <c r="K85" s="980"/>
      <c r="L85" s="980"/>
      <c r="M85" s="980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19"/>
      <c r="K87" s="1019"/>
      <c r="L87" s="1019"/>
      <c r="M87" s="1019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80"/>
      <c r="K93" s="980"/>
      <c r="L93" s="980"/>
      <c r="M93" s="980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80"/>
      <c r="K101" s="980"/>
      <c r="L101" s="980"/>
      <c r="M101" s="980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80"/>
      <c r="K110" s="980"/>
      <c r="L110" s="980"/>
      <c r="M110" s="980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80"/>
      <c r="K111" s="980"/>
      <c r="L111" s="980"/>
      <c r="M111" s="980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2026-05-26T04:35:23Z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