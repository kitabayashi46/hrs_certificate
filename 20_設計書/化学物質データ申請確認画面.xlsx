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20_設計書\"/>
    </mc:Choice>
  </mc:AlternateContent>
  <xr:revisionPtr revIDLastSave="0" documentId="13_ncr:1_{C1972398-8C4F-4883-AE35-2950AE99D581}" xr6:coauthVersionLast="47" xr6:coauthVersionMax="47" xr10:uidLastSave="{00000000-0000-0000-0000-000000000000}"/>
  <bookViews>
    <workbookView xWindow="2580" yWindow="0" windowWidth="18615" windowHeight="15585" tabRatio="859" activeTab="4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処理詳細" sheetId="74" r:id="rId5"/>
    <sheet name="出力編集仕様" sheetId="76" r:id="rId6"/>
    <sheet name="ダウンロードCSVファイルについて" sheetId="75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化学物質データ申請確認画面!$A$1:$BC$81</definedName>
    <definedName name="_xlnm.Print_Area" localSheetId="3">画面項目!$A$1:$CA$28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出力編集仕様!$A$1:$FJ$28</definedName>
    <definedName name="_xlnm.Print_Area" localSheetId="4">処理詳細!$A$1:$CH$260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画面遷移new_1" localSheetId="6" hidden="1">{"'画面仕様'!$C$22:$BY$40","'画面仕様'!$C$28:$BY$39"}</definedName>
    <definedName name="画面遷移new_1" localSheetId="5" hidden="1">{"'画面仕様'!$C$22:$BY$40","'画面仕様'!$C$28:$BY$39"}</definedName>
    <definedName name="画面遷移new_1" localSheetId="4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67" l="1"/>
  <c r="AA3" i="67"/>
  <c r="M3" i="67"/>
  <c r="A3" i="67"/>
  <c r="AZ2" i="67"/>
  <c r="M2" i="67"/>
  <c r="AV1" i="67"/>
  <c r="AN1" i="67"/>
  <c r="AA1" i="67"/>
  <c r="M1" i="67"/>
  <c r="BM58" i="66"/>
  <c r="AN2" i="67"/>
  <c r="AV3" i="67"/>
  <c r="AV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V3" i="65"/>
  <c r="AV3" i="66"/>
  <c r="AV2" i="65"/>
  <c r="AV2" i="66"/>
  <c r="AN2" i="65"/>
  <c r="AN2" i="66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V3" i="64"/>
  <c r="AN2" i="64"/>
  <c r="AV2" i="63"/>
  <c r="AV2" i="59"/>
  <c r="AV2" i="64"/>
  <c r="AV2" i="61"/>
  <c r="AV3" i="59"/>
  <c r="AN2" i="61"/>
  <c r="AN2" i="59"/>
  <c r="AV3" i="61"/>
  <c r="AN2" i="63"/>
  <c r="AV3" i="63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3" i="16"/>
  <c r="AV2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67858B71-2687-4CE5-8C4C-92FA0CD9720D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17CA0F34-1279-4A93-9F48-C9F28889DCF1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<sst xmlns="http://schemas.openxmlformats.org/spreadsheetml/2006/main" count="2157" uniqueCount="633">
  <si>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</si>
  <si>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</si>
  <si>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</si>
  <si>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</si>
  <si>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</si>
  <si>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</si>
  <si>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</si>
  <si>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</si>
  <si>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</si>
  <si>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</si>
  <si>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</si>
  <si>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</si>
  <si>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</si>
  <si>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</si>
  <si>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</si>
  <si>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</si>
  <si>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</si>
  <si>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</si>
  <si>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</si>
  <si>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</si>
  <si>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</si>
  <si>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</si>
  <si>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</si>
  <si>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</si>
  <si>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</si>
  <si>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</si>
  <si>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</si>
  <si>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</si>
  <si>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</si>
  <si>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/>
  </si>
  <si>
    <t>IMWF-53</t>
    <phoneticPr fontId="51"/>
  </si>
  <si>
    <t>No</t>
    <phoneticPr fontId="57"/>
  </si>
  <si>
    <t>▼</t>
    <phoneticPr fontId="57"/>
  </si>
  <si>
    <t>品名</t>
    <rPh sb="0" eb="1">
      <t>ヒンメイ</t>
    </rPh>
    <phoneticPr fontId="57"/>
  </si>
  <si>
    <t>○</t>
    <phoneticPr fontId="57"/>
  </si>
  <si>
    <t>◎</t>
    <phoneticPr fontId="57"/>
  </si>
  <si>
    <t>▲</t>
    <phoneticPr fontId="57"/>
  </si>
  <si>
    <t>ファイル名</t>
    <rPh sb="4" eb="5">
      <t>メイ</t>
    </rPh>
    <phoneticPr fontId="57"/>
  </si>
  <si>
    <t>得意先コード</t>
    <rPh sb="0" eb="3">
      <t>トクイサキ</t>
    </rPh>
    <phoneticPr fontId="57"/>
  </si>
  <si>
    <t>サイズ</t>
    <phoneticPr fontId="57"/>
  </si>
  <si>
    <t>102 KB</t>
    <phoneticPr fontId="57"/>
  </si>
  <si>
    <t>得意先</t>
    <rPh sb="0" eb="3">
      <t>トクイサキ</t>
    </rPh>
    <phoneticPr fontId="61"/>
  </si>
  <si>
    <t>　</t>
    <phoneticPr fontId="57"/>
  </si>
  <si>
    <t>クリア</t>
    <phoneticPr fontId="57"/>
  </si>
  <si>
    <t>ファイル001.xlsx</t>
    <phoneticPr fontId="57"/>
  </si>
  <si>
    <t>CD-1234567</t>
    <phoneticPr fontId="57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</si>
  <si>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7"/>
  </si>
  <si>
    <t>過去の申請から内容コピー</t>
    <rPh sb="0" eb="2">
      <t>カコ</t>
    </rPh>
    <rPh sb="3" eb="5">
      <t>シンセイ</t>
    </rPh>
    <rPh sb="7" eb="9">
      <t>ナイヨウ</t>
    </rPh>
    <phoneticPr fontId="57"/>
  </si>
  <si>
    <t>起票日</t>
    <rPh sb="0" eb="3">
      <t>キヒョウビ</t>
    </rPh>
    <phoneticPr fontId="57"/>
  </si>
  <si>
    <t>所属</t>
    <rPh sb="0" eb="2">
      <t>ショゾク</t>
    </rPh>
    <phoneticPr fontId="57"/>
  </si>
  <si>
    <t>社員番号</t>
    <rPh sb="0" eb="2">
      <t>シャイン</t>
    </rPh>
    <rPh sb="2" eb="4">
      <t>バンゴウ</t>
    </rPh>
    <phoneticPr fontId="57"/>
  </si>
  <si>
    <t>2022/09/29</t>
    <phoneticPr fontId="57"/>
  </si>
  <si>
    <t>：</t>
    <phoneticPr fontId="57"/>
  </si>
  <si>
    <t>ヒロセ電機株式会社/管理本部/ＩＴ統括部/情報システム企画課</t>
    <phoneticPr fontId="57"/>
  </si>
  <si>
    <t>hirose</t>
    <phoneticPr fontId="57"/>
  </si>
  <si>
    <t>氏名　：</t>
    <rPh sb="0" eb="2">
      <t>シメイ</t>
    </rPh>
    <phoneticPr fontId="57"/>
  </si>
  <si>
    <t>システム担当者</t>
    <rPh sb="4" eb="7">
      <t>タントウシャ</t>
    </rPh>
    <phoneticPr fontId="57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</si>
  <si>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</si>
  <si>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7"/>
  </si>
  <si>
    <t>客先担当者名</t>
    <rPh sb="0" eb="2">
      <t>キャクサキ</t>
    </rPh>
    <rPh sb="2" eb="6">
      <t>タントウシャメイ</t>
    </rPh>
    <phoneticPr fontId="57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</si>
  <si>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7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</si>
  <si>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7"/>
  </si>
  <si>
    <t>申請価格入力</t>
    <rPh sb="0" eb="2">
      <t>シンセイ</t>
    </rPh>
    <rPh sb="2" eb="4">
      <t>カカク</t>
    </rPh>
    <rPh sb="4" eb="6">
      <t>ニュウリョク</t>
    </rPh>
    <phoneticPr fontId="57"/>
  </si>
  <si>
    <t>CL</t>
    <phoneticPr fontId="61"/>
  </si>
  <si>
    <t>得意先要求価格</t>
    <rPh sb="0" eb="3">
      <t>トクイサキ</t>
    </rPh>
    <rPh sb="3" eb="5">
      <t>ヨウキュウ</t>
    </rPh>
    <rPh sb="5" eb="7">
      <t>カカク</t>
    </rPh>
    <phoneticPr fontId="61"/>
  </si>
  <si>
    <t>申請価格</t>
    <rPh sb="0" eb="2">
      <t>シンセイ</t>
    </rPh>
    <rPh sb="2" eb="4">
      <t>カカク</t>
    </rPh>
    <phoneticPr fontId="61"/>
  </si>
  <si>
    <t>原計タイプ</t>
    <rPh sb="0" eb="2">
      <t>ゲンケイ</t>
    </rPh>
    <phoneticPr fontId="61"/>
  </si>
  <si>
    <t>従来価格</t>
    <rPh sb="0" eb="2">
      <t>ジュウライ</t>
    </rPh>
    <rPh sb="2" eb="4">
      <t>カカク</t>
    </rPh>
    <phoneticPr fontId="61"/>
  </si>
  <si>
    <t>備考</t>
    <rPh sb="0" eb="2">
      <t>ビコウ</t>
    </rPh>
    <phoneticPr fontId="61"/>
  </si>
  <si>
    <t>2022/9/29</t>
    <phoneticPr fontId="57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</si>
  <si>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</si>
  <si>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通貨：JPY</t>
    <rPh sb="0" eb="2">
      <t>ツウカ</t>
    </rPh>
    <phoneticPr fontId="57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</si>
  <si>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7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</si>
  <si>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1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</si>
  <si>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1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</si>
  <si>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1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</si>
  <si>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7"/>
  </si>
  <si>
    <t>承認者確認用</t>
    <rPh sb="0" eb="3">
      <t>ショウニンシャ</t>
    </rPh>
    <rPh sb="3" eb="6">
      <t>カクニンヨウ</t>
    </rPh>
    <phoneticPr fontId="57"/>
  </si>
  <si>
    <t>数量pcs/月</t>
    <rPh sb="0" eb="2">
      <t>スウリョウ</t>
    </rPh>
    <rPh sb="6" eb="7">
      <t>ツキ</t>
    </rPh>
    <phoneticPr fontId="61"/>
  </si>
  <si>
    <t>コスト</t>
    <phoneticPr fontId="61"/>
  </si>
  <si>
    <t>貢献率</t>
    <rPh sb="0" eb="2">
      <t>コウケン</t>
    </rPh>
    <rPh sb="2" eb="3">
      <t>リツ</t>
    </rPh>
    <phoneticPr fontId="57"/>
  </si>
  <si>
    <t>値引き率</t>
    <rPh sb="0" eb="2">
      <t>ネビ</t>
    </rPh>
    <rPh sb="3" eb="4">
      <t>リツ</t>
    </rPh>
    <phoneticPr fontId="61"/>
  </si>
  <si>
    <t>代理店売価</t>
    <rPh sb="0" eb="3">
      <t>ダイリテン</t>
    </rPh>
    <rPh sb="3" eb="5">
      <t>バイカ</t>
    </rPh>
    <phoneticPr fontId="61"/>
  </si>
  <si>
    <t>代理店粗利率</t>
    <rPh sb="0" eb="3">
      <t>ダイリテン</t>
    </rPh>
    <rPh sb="3" eb="6">
      <t>アラリリツ</t>
    </rPh>
    <phoneticPr fontId="61"/>
  </si>
  <si>
    <t>ピン@</t>
    <phoneticPr fontId="61"/>
  </si>
  <si>
    <t>競合名</t>
    <rPh sb="0" eb="3">
      <t>キョウゴウメイ</t>
    </rPh>
    <phoneticPr fontId="61"/>
  </si>
  <si>
    <t>得意先要求</t>
    <rPh sb="0" eb="3">
      <t>トクイサキ</t>
    </rPh>
    <rPh sb="3" eb="5">
      <t>ヨウキュウ</t>
    </rPh>
    <phoneticPr fontId="61"/>
  </si>
  <si>
    <t>価格</t>
    <rPh sb="0" eb="1">
      <t>カカク</t>
    </rPh>
    <phoneticPr fontId="57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</si>
  <si>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1"/>
  </si>
  <si>
    <t>1130511471</t>
    <phoneticPr fontId="57"/>
  </si>
  <si>
    <t>RP17-13RA-12SD(71)</t>
    <phoneticPr fontId="57"/>
  </si>
  <si>
    <t>R</t>
    <phoneticPr fontId="57"/>
  </si>
  <si>
    <t>PPM原計</t>
    <rPh sb="2" eb="4">
      <t>ゲンケイ</t>
    </rPh>
    <phoneticPr fontId="57"/>
  </si>
  <si>
    <t>1135042200</t>
    <phoneticPr fontId="57"/>
  </si>
  <si>
    <t>RP34-8R-3PDL</t>
    <phoneticPr fontId="57"/>
  </si>
  <si>
    <t>SMK</t>
    <phoneticPr fontId="57"/>
  </si>
  <si>
    <t>中国</t>
    <rPh sb="0" eb="1">
      <t>チュウゴク</t>
    </rPh>
    <phoneticPr fontId="57"/>
  </si>
  <si>
    <t>売上</t>
    <rPh sb="0" eb="2">
      <t>ウリアゲ</t>
    </rPh>
    <phoneticPr fontId="61"/>
  </si>
  <si>
    <t>貢献額</t>
    <rPh sb="0" eb="2">
      <t>コウケン</t>
    </rPh>
    <rPh sb="2" eb="3">
      <t>ガク</t>
    </rPh>
    <phoneticPr fontId="61"/>
  </si>
  <si>
    <t>値引き額</t>
    <rPh sb="0" eb="2">
      <t>ネビ</t>
    </rPh>
    <rPh sb="3" eb="4">
      <t>ガク</t>
    </rPh>
    <phoneticPr fontId="61"/>
  </si>
  <si>
    <t>値引き前売上</t>
    <rPh sb="0" eb="2">
      <t>ネビ</t>
    </rPh>
    <rPh sb="3" eb="4">
      <t>マエ</t>
    </rPh>
    <rPh sb="4" eb="6">
      <t>ウリアゲ</t>
    </rPh>
    <phoneticPr fontId="61"/>
  </si>
  <si>
    <t>売上</t>
    <rPh sb="0" eb="2">
      <t>ウリアゲ</t>
    </rPh>
    <phoneticPr fontId="57"/>
  </si>
  <si>
    <t>申請内容</t>
    <rPh sb="0" eb="2">
      <t>シンセイ</t>
    </rPh>
    <rPh sb="2" eb="4">
      <t>ナイヨウ</t>
    </rPh>
    <phoneticPr fontId="57"/>
  </si>
  <si>
    <t>起票区分</t>
    <rPh sb="0" eb="2">
      <t>キヒョウ</t>
    </rPh>
    <rPh sb="2" eb="4">
      <t>クブン</t>
    </rPh>
    <phoneticPr fontId="57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</si>
  <si>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1"/>
  </si>
  <si>
    <t>口銭率</t>
    <rPh sb="0" eb="2">
      <t>コウセン</t>
    </rPh>
    <rPh sb="2" eb="3">
      <t>リツ</t>
    </rPh>
    <phoneticPr fontId="57"/>
  </si>
  <si>
    <t>☑ 口銭申請有り</t>
    <rPh sb="2" eb="4">
      <t>コウセン</t>
    </rPh>
    <rPh sb="4" eb="6">
      <t>シンセイ</t>
    </rPh>
    <rPh sb="6" eb="7">
      <t>アリ</t>
    </rPh>
    <phoneticPr fontId="57"/>
  </si>
  <si>
    <t>プロジェクト情報</t>
    <rPh sb="6" eb="8">
      <t>ジョウホウ</t>
    </rPh>
    <phoneticPr fontId="57"/>
  </si>
  <si>
    <t>工事金額</t>
    <rPh sb="0" eb="4">
      <t>コウジキンガク</t>
    </rPh>
    <phoneticPr fontId="57"/>
  </si>
  <si>
    <t>万円/月</t>
    <rPh sb="0" eb="2">
      <t>マンエン</t>
    </rPh>
    <rPh sb="3" eb="4">
      <t>ツキ</t>
    </rPh>
    <phoneticPr fontId="57"/>
  </si>
  <si>
    <t>MFC PJ番号</t>
    <rPh sb="6" eb="8">
      <t>バンゴウ</t>
    </rPh>
    <phoneticPr fontId="57"/>
  </si>
  <si>
    <t>ヵ月</t>
    <rPh sb="1" eb="2">
      <t>ゲツ</t>
    </rPh>
    <phoneticPr fontId="57"/>
  </si>
  <si>
    <t>総工事金額</t>
    <rPh sb="0" eb="5">
      <t>ソウコウジキンガク</t>
    </rPh>
    <phoneticPr fontId="57"/>
  </si>
  <si>
    <t>万円</t>
    <rPh sb="0" eb="2">
      <t>マンエン</t>
    </rPh>
    <phoneticPr fontId="57"/>
  </si>
  <si>
    <t>MFC OPPORTUNITY番号</t>
    <rPh sb="15" eb="17">
      <t>バンゴウ</t>
    </rPh>
    <phoneticPr fontId="57"/>
  </si>
  <si>
    <t>機種A</t>
    <rPh sb="0" eb="2">
      <t>キシュ</t>
    </rPh>
    <phoneticPr fontId="57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</si>
  <si>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7"/>
  </si>
  <si>
    <t>競合名</t>
    <rPh sb="0" eb="3">
      <t>キョウゴウメイ</t>
    </rPh>
    <phoneticPr fontId="57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</si>
  <si>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7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</si>
  <si>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7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</si>
  <si>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7"/>
  </si>
  <si>
    <t>大分類A</t>
    <rPh sb="0" eb="3">
      <t>ダイブンルイ</t>
    </rPh>
    <phoneticPr fontId="57"/>
  </si>
  <si>
    <t>中分類B</t>
    <rPh sb="0" eb="3">
      <t>チュウブンルイ</t>
    </rPh>
    <phoneticPr fontId="57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</si>
  <si>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7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</si>
  <si>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7"/>
  </si>
  <si>
    <t>値引補填工事</t>
    <rPh sb="0" eb="2">
      <t>ネビ</t>
    </rPh>
    <rPh sb="2" eb="4">
      <t>ホテン</t>
    </rPh>
    <rPh sb="4" eb="6">
      <t>コウジ</t>
    </rPh>
    <phoneticPr fontId="57"/>
  </si>
  <si>
    <t>備考欄</t>
    <rPh sb="0" eb="3">
      <t>ビコウラン</t>
    </rPh>
    <phoneticPr fontId="57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</si>
  <si>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</si>
  <si>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/月</t>
    <rPh sb="1" eb="2">
      <t>ゲツ</t>
    </rPh>
    <phoneticPr fontId="57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</si>
  <si>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7"/>
  </si>
  <si>
    <t>添付書類</t>
    <rPh sb="0" eb="2">
      <t>テンプ</t>
    </rPh>
    <rPh sb="2" eb="4">
      <t>ショルイ</t>
    </rPh>
    <phoneticPr fontId="57"/>
  </si>
  <si>
    <t>一般品</t>
    <rPh sb="0" eb="3">
      <t>イッパンヒン</t>
    </rPh>
    <phoneticPr fontId="57"/>
  </si>
  <si>
    <t>円販売</t>
    <rPh sb="0" eb="3">
      <t>エンハンバイ</t>
    </rPh>
    <phoneticPr fontId="57"/>
  </si>
  <si>
    <t>外貨販売</t>
    <rPh sb="0" eb="2">
      <t>ガイカ</t>
    </rPh>
    <rPh sb="2" eb="4">
      <t>ハンバイ</t>
    </rPh>
    <phoneticPr fontId="57"/>
  </si>
  <si>
    <t>1250103874</t>
    <phoneticPr fontId="57"/>
  </si>
  <si>
    <t>1250109471</t>
    <phoneticPr fontId="57"/>
  </si>
  <si>
    <t>HR25-9TP-16P(74)</t>
    <phoneticPr fontId="57"/>
  </si>
  <si>
    <t>HR25-9TR-16S(71)</t>
    <phoneticPr fontId="57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</si>
  <si>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</si>
  <si>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サンウー</t>
    <phoneticPr fontId="57"/>
  </si>
  <si>
    <t>総原価利益率</t>
    <rPh sb="0" eb="3">
      <t>ソウゲンカ</t>
    </rPh>
    <rPh sb="3" eb="6">
      <t>リエキリツ</t>
    </rPh>
    <phoneticPr fontId="57"/>
  </si>
  <si>
    <t>総原価利益額</t>
    <rPh sb="0" eb="3">
      <t>ソウゲンカ</t>
    </rPh>
    <rPh sb="3" eb="5">
      <t>リエキ</t>
    </rPh>
    <rPh sb="5" eb="6">
      <t>ガク</t>
    </rPh>
    <phoneticPr fontId="61"/>
  </si>
  <si>
    <t>総原価利益率</t>
    <rPh sb="0" eb="3">
      <t>ソウゲンカ</t>
    </rPh>
    <rPh sb="3" eb="5">
      <t>リエキ</t>
    </rPh>
    <rPh sb="5" eb="6">
      <t>リツ</t>
    </rPh>
    <phoneticPr fontId="57"/>
  </si>
  <si>
    <t>技術原計</t>
    <rPh sb="0" eb="2">
      <t>ギジュツ</t>
    </rPh>
    <rPh sb="2" eb="4">
      <t>ゲンケイ</t>
    </rPh>
    <phoneticPr fontId="57"/>
  </si>
  <si>
    <t>総原価合計</t>
    <rPh sb="0" eb="3">
      <t>ソウゲンカ</t>
    </rPh>
    <rPh sb="3" eb="5">
      <t>ゴウケイ</t>
    </rPh>
    <phoneticPr fontId="61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</si>
  <si>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</si>
  <si>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コリア術原計</t>
    <rPh sb="2" eb="3">
      <t>ジュツ</t>
    </rPh>
    <rPh sb="3" eb="5">
      <t>ゲンケイ</t>
    </rPh>
    <phoneticPr fontId="57"/>
  </si>
  <si>
    <t>USD</t>
    <phoneticPr fontId="57"/>
  </si>
  <si>
    <t>コリア原計</t>
    <rPh sb="2" eb="4">
      <t>ゲンケイ</t>
    </rPh>
    <phoneticPr fontId="57"/>
  </si>
  <si>
    <t>純原価</t>
    <rPh sb="0" eb="1">
      <t>ジュン</t>
    </rPh>
    <rPh sb="1" eb="3">
      <t>ゲンカ</t>
    </rPh>
    <phoneticPr fontId="61"/>
  </si>
  <si>
    <t>申請通貨</t>
    <rPh sb="0" eb="2">
      <t>シンセイ</t>
    </rPh>
    <rPh sb="2" eb="4">
      <t>ツウカ</t>
    </rPh>
    <phoneticPr fontId="61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</si>
  <si>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1"/>
  </si>
  <si>
    <t>物流コスト率%</t>
    <rPh sb="0" eb="2">
      <t>ブツリュウ</t>
    </rPh>
    <rPh sb="5" eb="6">
      <t>リツ</t>
    </rPh>
    <phoneticPr fontId="61"/>
  </si>
  <si>
    <t>販社売価</t>
    <rPh sb="0" eb="2">
      <t>ハンシャ</t>
    </rPh>
    <rPh sb="2" eb="4">
      <t>バイカ</t>
    </rPh>
    <phoneticPr fontId="57"/>
  </si>
  <si>
    <t>(外貨)</t>
    <rPh sb="0" eb="2">
      <t>ガイカ</t>
    </rPh>
    <phoneticPr fontId="57"/>
  </si>
  <si>
    <t>ピン@FOB</t>
    <phoneticPr fontId="61"/>
  </si>
  <si>
    <t>価格基準</t>
    <rPh sb="0" eb="1">
      <t>カカク</t>
    </rPh>
    <rPh sb="2" eb="4">
      <t>キジュン</t>
    </rPh>
    <phoneticPr fontId="57"/>
  </si>
  <si>
    <t>4800215830</t>
    <phoneticPr fontId="57"/>
  </si>
  <si>
    <t>TF38-20S-0.5SV(830)</t>
    <phoneticPr fontId="57"/>
  </si>
  <si>
    <t>KFH</t>
    <phoneticPr fontId="57"/>
  </si>
  <si>
    <t>総連結利益率</t>
    <rPh sb="0" eb="3">
      <t>ソウレンケツ</t>
    </rPh>
    <rPh sb="3" eb="6">
      <t>リエキリツ</t>
    </rPh>
    <phoneticPr fontId="57"/>
  </si>
  <si>
    <t>FOB価格</t>
    <rPh sb="3" eb="5">
      <t>カカク</t>
    </rPh>
    <phoneticPr fontId="61"/>
  </si>
  <si>
    <t>連結粗利額</t>
    <rPh sb="0" eb="1">
      <t>レンケツ</t>
    </rPh>
    <rPh sb="1" eb="3">
      <t>アラリ</t>
    </rPh>
    <rPh sb="3" eb="4">
      <t>ガク</t>
    </rPh>
    <phoneticPr fontId="57"/>
  </si>
  <si>
    <t>連結粗利率</t>
    <rPh sb="0" eb="1">
      <t>レンケツ</t>
    </rPh>
    <rPh sb="1" eb="3">
      <t>アラリ</t>
    </rPh>
    <rPh sb="3" eb="4">
      <t>リツ</t>
    </rPh>
    <phoneticPr fontId="57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</si>
  <si>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7"/>
  </si>
  <si>
    <t>販売単価上申書</t>
    <rPh sb="0" eb="2">
      <t>ハンバイ</t>
    </rPh>
    <rPh sb="2" eb="4">
      <t>タンカ</t>
    </rPh>
    <rPh sb="4" eb="7">
      <t>ジョウシンショ</t>
    </rPh>
    <phoneticPr fontId="57"/>
  </si>
  <si>
    <t>Step ２： 一般品またはカスタムのいずれかを選択してください</t>
    <rPh sb="8" eb="11">
      <t>イッパンヒン</t>
    </rPh>
    <rPh sb="24" eb="26">
      <t>センタク</t>
    </rPh>
    <phoneticPr fontId="57"/>
  </si>
  <si>
    <t>カスタム</t>
    <phoneticPr fontId="57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</si>
  <si>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7"/>
  </si>
  <si>
    <t>◎ 単価上申書</t>
    <rPh sb="2" eb="4">
      <t>タンカ</t>
    </rPh>
    <rPh sb="4" eb="6">
      <t>ジョウシン</t>
    </rPh>
    <rPh sb="6" eb="7">
      <t>ショ</t>
    </rPh>
    <phoneticPr fontId="57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</si>
  <si>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7"/>
  </si>
  <si>
    <t>カスタム品申請情報</t>
    <rPh sb="4" eb="5">
      <t>ヒン</t>
    </rPh>
    <rPh sb="5" eb="7">
      <t>シンセイ</t>
    </rPh>
    <rPh sb="7" eb="9">
      <t>ジョウホウ</t>
    </rPh>
    <phoneticPr fontId="57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</si>
  <si>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7"/>
  </si>
  <si>
    <t>金型</t>
    <rPh sb="0" eb="2">
      <t>カナガタ</t>
    </rPh>
    <phoneticPr fontId="57"/>
  </si>
  <si>
    <t>有償or無償</t>
    <rPh sb="0" eb="2">
      <t>ユウショウ</t>
    </rPh>
    <rPh sb="4" eb="6">
      <t>ムショウ</t>
    </rPh>
    <phoneticPr fontId="61"/>
  </si>
  <si>
    <t>個品名称</t>
    <rPh sb="0" eb="1">
      <t>コヒン</t>
    </rPh>
    <rPh sb="1" eb="3">
      <t>メイショウ</t>
    </rPh>
    <phoneticPr fontId="57"/>
  </si>
  <si>
    <t>個品実費価格</t>
    <rPh sb="0" eb="2">
      <t>コヒン</t>
    </rPh>
    <rPh sb="2" eb="4">
      <t>ジッピ</t>
    </rPh>
    <rPh sb="4" eb="6">
      <t>カカク</t>
    </rPh>
    <phoneticPr fontId="61"/>
  </si>
  <si>
    <t>個品販売価格</t>
    <rPh sb="0" eb="2">
      <t>コヒン</t>
    </rPh>
    <rPh sb="2" eb="4">
      <t>ハンバイ</t>
    </rPh>
    <rPh sb="4" eb="6">
      <t>カカク</t>
    </rPh>
    <phoneticPr fontId="61"/>
  </si>
  <si>
    <t>倍率</t>
    <rPh sb="0" eb="2">
      <t>バイリツ</t>
    </rPh>
    <phoneticPr fontId="61"/>
  </si>
  <si>
    <t>有償</t>
    <rPh sb="0" eb="1">
      <t>ユウショウ</t>
    </rPh>
    <phoneticPr fontId="57"/>
  </si>
  <si>
    <t>治工具</t>
    <rPh sb="0" eb="3">
      <t>チコウグ</t>
    </rPh>
    <phoneticPr fontId="57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</si>
  <si>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1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</si>
  <si>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7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</si>
  <si>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1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</si>
  <si>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1"/>
  </si>
  <si>
    <t>治工具名称</t>
    <phoneticPr fontId="57"/>
  </si>
  <si>
    <t>治工具実費価格</t>
    <rPh sb="3" eb="5">
      <t>ジッピ</t>
    </rPh>
    <rPh sb="5" eb="7">
      <t>カカク</t>
    </rPh>
    <phoneticPr fontId="61"/>
  </si>
  <si>
    <t>治工具販売価格</t>
    <rPh sb="3" eb="5">
      <t>ハンバイ</t>
    </rPh>
    <rPh sb="5" eb="7">
      <t>カカク</t>
    </rPh>
    <phoneticPr fontId="61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</si>
  <si>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</si>
  <si>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1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</si>
  <si>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1"/>
  </si>
  <si>
    <t>個品A</t>
    <rPh sb="0" eb="1">
      <t>コヒン</t>
    </rPh>
    <phoneticPr fontId="57"/>
  </si>
  <si>
    <t>償却数量</t>
    <rPh sb="0" eb="2">
      <t>ショウキャク</t>
    </rPh>
    <rPh sb="2" eb="4">
      <t>スウリョウ</t>
    </rPh>
    <phoneticPr fontId="57"/>
  </si>
  <si>
    <t>一個当たりの償却金額</t>
    <rPh sb="0" eb="3">
      <t>イッコア</t>
    </rPh>
    <rPh sb="6" eb="8">
      <t>ショウキャク</t>
    </rPh>
    <rPh sb="8" eb="10">
      <t>キンガク</t>
    </rPh>
    <phoneticPr fontId="57"/>
  </si>
  <si>
    <t>未償却リスク</t>
    <rPh sb="0" eb="1">
      <t>ミ</t>
    </rPh>
    <rPh sb="1" eb="3">
      <t>ショウキャク</t>
    </rPh>
    <phoneticPr fontId="57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</si>
  <si>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7"/>
  </si>
  <si>
    <t>物流コスト率</t>
    <rPh sb="0" eb="2">
      <t>ブツリュウ</t>
    </rPh>
    <rPh sb="5" eb="6">
      <t>リツ</t>
    </rPh>
    <phoneticPr fontId="61"/>
  </si>
  <si>
    <t>(%)</t>
    <phoneticPr fontId="57"/>
  </si>
  <si>
    <t>販社売価</t>
    <rPh sb="0" eb="2">
      <t>ハンシャ</t>
    </rPh>
    <rPh sb="2" eb="4">
      <t>バイカ</t>
    </rPh>
    <phoneticPr fontId="61"/>
  </si>
  <si>
    <t>要求価格</t>
    <rPh sb="0" eb="1">
      <t>ヨウキュウ</t>
    </rPh>
    <rPh sb="1" eb="3">
      <t>カカク</t>
    </rPh>
    <phoneticPr fontId="57"/>
  </si>
  <si>
    <t>価格基準</t>
    <rPh sb="0" eb="1">
      <t>カカク</t>
    </rPh>
    <rPh sb="1" eb="3">
      <t>キジュン</t>
    </rPh>
    <phoneticPr fontId="57"/>
  </si>
  <si>
    <t>5802922450</t>
    <phoneticPr fontId="57"/>
  </si>
  <si>
    <t>5801232050</t>
    <phoneticPr fontId="57"/>
  </si>
  <si>
    <t>FH35C-21S-0.3SHW(50)</t>
    <phoneticPr fontId="57"/>
  </si>
  <si>
    <t>FH34SRJ-30S-0.5SH(50)</t>
    <phoneticPr fontId="57"/>
  </si>
  <si>
    <t>FH</t>
    <phoneticPr fontId="57"/>
  </si>
  <si>
    <t>JPY</t>
    <phoneticPr fontId="57"/>
  </si>
  <si>
    <t>JAE</t>
    <phoneticPr fontId="57"/>
  </si>
  <si>
    <t>TE</t>
    <phoneticPr fontId="57"/>
  </si>
  <si>
    <t>従来FOB価格</t>
    <rPh sb="0" eb="2">
      <t>ジュウライ</t>
    </rPh>
    <rPh sb="5" eb="7">
      <t>カカク</t>
    </rPh>
    <phoneticPr fontId="61"/>
  </si>
  <si>
    <t>CIF価格</t>
    <rPh sb="3" eb="5">
      <t>カカク</t>
    </rPh>
    <phoneticPr fontId="61"/>
  </si>
  <si>
    <t>国内収益性</t>
    <rPh sb="0" eb="2">
      <t>コクナイ</t>
    </rPh>
    <rPh sb="2" eb="5">
      <t>シュウエキセイ</t>
    </rPh>
    <phoneticPr fontId="57"/>
  </si>
  <si>
    <t>FOB値引き率</t>
    <rPh sb="3" eb="5">
      <t>ネビ</t>
    </rPh>
    <rPh sb="6" eb="7">
      <t>リツ</t>
    </rPh>
    <phoneticPr fontId="61"/>
  </si>
  <si>
    <t>販社粗利率</t>
    <rPh sb="0" eb="2">
      <t>ハンシャ</t>
    </rPh>
    <rPh sb="2" eb="5">
      <t>アラリリツ</t>
    </rPh>
    <phoneticPr fontId="61"/>
  </si>
  <si>
    <t>連結収益性</t>
    <rPh sb="0" eb="2">
      <t>レンケツ</t>
    </rPh>
    <rPh sb="2" eb="5">
      <t>シュウエキセイ</t>
    </rPh>
    <phoneticPr fontId="61"/>
  </si>
  <si>
    <t>売上(国内)</t>
    <rPh sb="0" eb="2">
      <t>ウリアゲ</t>
    </rPh>
    <rPh sb="3" eb="5">
      <t>コクナイ</t>
    </rPh>
    <phoneticPr fontId="57"/>
  </si>
  <si>
    <t>直接コスト合計</t>
    <rPh sb="0" eb="2">
      <t>チョクセツ</t>
    </rPh>
    <rPh sb="5" eb="7">
      <t>ゴウケイ</t>
    </rPh>
    <phoneticPr fontId="61"/>
  </si>
  <si>
    <t>貢献額</t>
    <rPh sb="0" eb="3">
      <t>コウケンガク</t>
    </rPh>
    <phoneticPr fontId="61"/>
  </si>
  <si>
    <t>国内収益性</t>
    <rPh sb="0" eb="2">
      <t>コクナイ</t>
    </rPh>
    <rPh sb="2" eb="5">
      <t>シュウエキセイ</t>
    </rPh>
    <phoneticPr fontId="61"/>
  </si>
  <si>
    <t>値引き率(FOB)</t>
    <rPh sb="0" eb="2">
      <t>ネビ</t>
    </rPh>
    <rPh sb="3" eb="4">
      <t>リツ</t>
    </rPh>
    <phoneticPr fontId="57"/>
  </si>
  <si>
    <t>値引き額(FOB)</t>
    <rPh sb="0" eb="2">
      <t>ネビ</t>
    </rPh>
    <rPh sb="3" eb="4">
      <t>ガク</t>
    </rPh>
    <phoneticPr fontId="57"/>
  </si>
  <si>
    <t>売上(連結)</t>
    <rPh sb="0" eb="1">
      <t>ウリアゲ</t>
    </rPh>
    <rPh sb="2" eb="4">
      <t>レンケツ</t>
    </rPh>
    <phoneticPr fontId="57"/>
  </si>
  <si>
    <t>連結収益性</t>
    <rPh sb="0" eb="1">
      <t>レンケツ</t>
    </rPh>
    <rPh sb="1" eb="4">
      <t>シュウエキセイ</t>
    </rPh>
    <phoneticPr fontId="57"/>
  </si>
  <si>
    <t>総原価</t>
    <rPh sb="0" eb="3">
      <t>ソウゲンカ</t>
    </rPh>
    <phoneticPr fontId="61"/>
  </si>
  <si>
    <t>8311308000</t>
    <phoneticPr fontId="57"/>
  </si>
  <si>
    <t>8311309000</t>
    <phoneticPr fontId="57"/>
  </si>
  <si>
    <t>BF4MC-(375161-01)</t>
    <phoneticPr fontId="57"/>
  </si>
  <si>
    <t>BF4MC-(375168-01)</t>
    <phoneticPr fontId="57"/>
  </si>
  <si>
    <t>OPT</t>
    <phoneticPr fontId="57"/>
  </si>
  <si>
    <t>総原価利益率</t>
    <rPh sb="0" eb="3">
      <t>ソウゲンカ</t>
    </rPh>
    <rPh sb="3" eb="6">
      <t>リエキリツ</t>
    </rPh>
    <phoneticPr fontId="61"/>
  </si>
  <si>
    <t>(国内)</t>
    <phoneticPr fontId="57"/>
  </si>
  <si>
    <t>(粗利)</t>
    <rPh sb="0" eb="2">
      <t>アラリ</t>
    </rPh>
    <phoneticPr fontId="57"/>
  </si>
  <si>
    <t>(国内)</t>
    <rPh sb="1" eb="3">
      <t>コクナイ</t>
    </rPh>
    <phoneticPr fontId="57"/>
  </si>
  <si>
    <t>純原価合計</t>
    <rPh sb="0" eb="1">
      <t>ジュン</t>
    </rPh>
    <rPh sb="1" eb="3">
      <t>ゲンカ</t>
    </rPh>
    <rPh sb="3" eb="5">
      <t>ゴウケイ</t>
    </rPh>
    <phoneticPr fontId="61"/>
  </si>
  <si>
    <t>連結粗利額</t>
    <rPh sb="0" eb="2">
      <t>レンケツ</t>
    </rPh>
    <rPh sb="2" eb="5">
      <t>アラリガク</t>
    </rPh>
    <phoneticPr fontId="61"/>
  </si>
  <si>
    <t>連結粗利率</t>
    <rPh sb="0" eb="2">
      <t>レンケツ</t>
    </rPh>
    <rPh sb="2" eb="5">
      <t>アラリリツ</t>
    </rPh>
    <phoneticPr fontId="61"/>
  </si>
  <si>
    <t>値引き率</t>
    <rPh sb="0" eb="2">
      <t>ネビ</t>
    </rPh>
    <rPh sb="3" eb="4">
      <t>リツ</t>
    </rPh>
    <phoneticPr fontId="57"/>
  </si>
  <si>
    <t>値引き額</t>
    <rPh sb="0" eb="2">
      <t>ネビ</t>
    </rPh>
    <rPh sb="3" eb="4">
      <t>ガク</t>
    </rPh>
    <phoneticPr fontId="57"/>
  </si>
  <si>
    <t>売上(連結)</t>
    <rPh sb="0" eb="2">
      <t>ウリアゲ</t>
    </rPh>
    <rPh sb="3" eb="5">
      <t>レンケツ</t>
    </rPh>
    <phoneticPr fontId="57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</si>
  <si>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7"/>
  </si>
  <si>
    <t>10347008</t>
    <phoneticPr fontId="57"/>
  </si>
  <si>
    <t>関　博一</t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</si>
  <si>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</si>
  <si>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</si>
  <si>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10637000</t>
    <phoneticPr fontId="57"/>
  </si>
  <si>
    <t>古川　福待</t>
    <phoneticPr fontId="57"/>
  </si>
  <si>
    <t>承認者設定</t>
    <rPh sb="0" eb="3">
      <t>ショウニンシャ</t>
    </rPh>
    <rPh sb="3" eb="5">
      <t>セッテイ</t>
    </rPh>
    <phoneticPr fontId="57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</si>
  <si>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7"/>
  </si>
  <si>
    <t>確認者設定</t>
    <rPh sb="0" eb="3">
      <t>カクニンシャ</t>
    </rPh>
    <rPh sb="3" eb="5">
      <t>セッテイ</t>
    </rPh>
    <phoneticPr fontId="57"/>
  </si>
  <si>
    <t>確認者一覧</t>
    <rPh sb="0" eb="3">
      <t>カクニンシャ</t>
    </rPh>
    <rPh sb="3" eb="5">
      <t>イチラン</t>
    </rPh>
    <phoneticPr fontId="57"/>
  </si>
  <si>
    <t>部門</t>
    <rPh sb="0" eb="2">
      <t>ブモン</t>
    </rPh>
    <phoneticPr fontId="57"/>
  </si>
  <si>
    <t>確認者名</t>
    <rPh sb="0" eb="4">
      <t>カクニンシャメイ</t>
    </rPh>
    <phoneticPr fontId="57"/>
  </si>
  <si>
    <t>ヒロセ電機株式会社/管理本部/ＩＴ統括部</t>
    <phoneticPr fontId="57"/>
  </si>
  <si>
    <t>部長</t>
    <rPh sb="0" eb="2">
      <t>ブチョウ</t>
    </rPh>
    <phoneticPr fontId="57"/>
  </si>
  <si>
    <t>志村 亜里沙</t>
    <rPh sb="0" eb="1">
      <t>シムラ</t>
    </rPh>
    <rPh sb="2" eb="5">
      <t>アリサ</t>
    </rPh>
    <phoneticPr fontId="57"/>
  </si>
  <si>
    <t>出水 瞳</t>
    <rPh sb="0" eb="1">
      <t>デミズ</t>
    </rPh>
    <rPh sb="2" eb="3">
      <t>ヒトミ</t>
    </rPh>
    <phoneticPr fontId="57"/>
  </si>
  <si>
    <t>松澤 朱海</t>
    <rPh sb="0" eb="1">
      <t>マツザワ</t>
    </rPh>
    <rPh sb="2" eb="3">
      <t>シュ</t>
    </rPh>
    <rPh sb="3" eb="4">
      <t>ウミ</t>
    </rPh>
    <phoneticPr fontId="57"/>
  </si>
  <si>
    <t>コスト合計</t>
    <rPh sb="3" eb="5">
      <t>ゴウケイ</t>
    </rPh>
    <phoneticPr fontId="61"/>
  </si>
  <si>
    <t>形</t>
    <rPh sb="0" eb="1">
      <t>カタ</t>
    </rPh>
    <phoneticPr fontId="61"/>
  </si>
  <si>
    <t>無償</t>
    <rPh sb="0" eb="1">
      <t>ムショウ</t>
    </rPh>
    <phoneticPr fontId="57"/>
  </si>
  <si>
    <t>通貨</t>
    <rPh sb="0" eb="2">
      <t>ツウカ</t>
    </rPh>
    <phoneticPr fontId="61"/>
  </si>
  <si>
    <t>EUR</t>
    <phoneticPr fontId="57"/>
  </si>
  <si>
    <t>精算通貨</t>
    <rPh sb="0" eb="2">
      <t>セイサン</t>
    </rPh>
    <rPh sb="2" eb="4">
      <t>ツウカ</t>
    </rPh>
    <phoneticPr fontId="57"/>
  </si>
  <si>
    <t>SFDC工事番号</t>
    <rPh sb="4" eb="6">
      <t>コウジ</t>
    </rPh>
    <rPh sb="6" eb="8">
      <t>バンゴウ</t>
    </rPh>
    <phoneticPr fontId="57"/>
  </si>
  <si>
    <t>円/月</t>
    <rPh sb="0" eb="1">
      <t>エン</t>
    </rPh>
    <rPh sb="2" eb="3">
      <t>ツキ</t>
    </rPh>
    <phoneticPr fontId="57"/>
  </si>
  <si>
    <t>海外販社</t>
    <rPh sb="0" eb="2">
      <t>カイガイ</t>
    </rPh>
    <rPh sb="2" eb="4">
      <t>ハンシャ</t>
    </rPh>
    <phoneticPr fontId="57"/>
  </si>
  <si>
    <t>レップ社名</t>
    <rPh sb="3" eb="4">
      <t>シャ</t>
    </rPh>
    <rPh sb="4" eb="5">
      <t>メイ</t>
    </rPh>
    <phoneticPr fontId="57"/>
  </si>
  <si>
    <t>量産時期</t>
    <rPh sb="0" eb="2">
      <t>リョウサン</t>
    </rPh>
    <rPh sb="2" eb="4">
      <t>ジキ</t>
    </rPh>
    <phoneticPr fontId="57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</si>
  <si>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7"/>
  </si>
  <si>
    <t>生産セット台数</t>
    <rPh sb="0" eb="2">
      <t>セイサン</t>
    </rPh>
    <rPh sb="5" eb="7">
      <t>ダイスウ</t>
    </rPh>
    <phoneticPr fontId="57"/>
  </si>
  <si>
    <t>プロジェクトピーク金額</t>
    <rPh sb="9" eb="11">
      <t>キンガク</t>
    </rPh>
    <phoneticPr fontId="57"/>
  </si>
  <si>
    <t>大分類</t>
    <rPh sb="0" eb="3">
      <t>ダイブンルイ</t>
    </rPh>
    <phoneticPr fontId="57"/>
  </si>
  <si>
    <t>中分類</t>
    <rPh sb="0" eb="3">
      <t>チュウブンルイ</t>
    </rPh>
    <phoneticPr fontId="57"/>
  </si>
  <si>
    <t>技術原計</t>
    <rPh sb="0" eb="1">
      <t>ギジュツ</t>
    </rPh>
    <rPh sb="1" eb="3">
      <t>ゲンケイ</t>
    </rPh>
    <phoneticPr fontId="57"/>
  </si>
  <si>
    <t>レート</t>
    <phoneticPr fontId="57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</si>
  <si>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7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</si>
  <si>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1"/>
  </si>
  <si>
    <t>総合計</t>
    <rPh sb="0" eb="3">
      <t>ソウゴウケイ</t>
    </rPh>
    <phoneticPr fontId="57"/>
  </si>
  <si>
    <t>形</t>
    <rPh sb="0" eb="1">
      <t>カタ</t>
    </rPh>
    <phoneticPr fontId="57"/>
  </si>
  <si>
    <t>形小計</t>
    <rPh sb="0" eb="1">
      <t>カタ</t>
    </rPh>
    <rPh sb="1" eb="3">
      <t>ショウケイ</t>
    </rPh>
    <phoneticPr fontId="57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</si>
  <si>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</si>
  <si>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有</t>
    <rPh sb="0" eb="1">
      <t>ア</t>
    </rPh>
    <phoneticPr fontId="57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</si>
  <si>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</si>
  <si>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7"/>
  </si>
  <si>
    <t>SA-PR123456</t>
    <phoneticPr fontId="57"/>
  </si>
  <si>
    <t>案件番号：</t>
    <phoneticPr fontId="57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</si>
  <si>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7"/>
  </si>
  <si>
    <t>コメント</t>
    <phoneticPr fontId="57"/>
  </si>
  <si>
    <t>コメント入力</t>
    <rPh sb="3" eb="5">
      <t>ニュウリョク</t>
    </rPh>
    <phoneticPr fontId="57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</si>
  <si>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7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</si>
  <si>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1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</si>
  <si>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1"/>
  </si>
  <si>
    <t>表示通貨</t>
    <rPh sb="0" eb="1">
      <t>ヒョウジ</t>
    </rPh>
    <rPh sb="1" eb="3">
      <t>ツウカ</t>
    </rPh>
    <phoneticPr fontId="57"/>
  </si>
  <si>
    <t>表示通貨</t>
    <rPh sb="0" eb="2">
      <t>ヒョウジ</t>
    </rPh>
    <rPh sb="2" eb="4">
      <t>ツウカ</t>
    </rPh>
    <phoneticPr fontId="57"/>
  </si>
  <si>
    <t>表示通貨</t>
    <rPh sb="0" eb="4">
      <t>ヒョウジツウカ</t>
    </rPh>
    <phoneticPr fontId="57"/>
  </si>
  <si>
    <t>r.1.1</t>
    <phoneticPr fontId="57"/>
  </si>
  <si>
    <t>古竹</t>
    <rPh sb="0" eb="2">
      <t>フルタケ</t>
    </rPh>
    <phoneticPr fontId="51"/>
  </si>
  <si>
    <t>-</t>
    <phoneticPr fontId="57"/>
  </si>
  <si>
    <t>機能仕様</t>
    <rPh sb="0" eb="4">
      <t>キノウシヨウ</t>
    </rPh>
    <phoneticPr fontId="57"/>
  </si>
  <si>
    <t>製品名</t>
    <rPh sb="0" eb="3">
      <t>セイヒンメイ</t>
    </rPh>
    <phoneticPr fontId="61"/>
  </si>
  <si>
    <t>-</t>
    <phoneticPr fontId="6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</si>
  <si>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</si>
  <si>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</si>
  <si>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</si>
  <si>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</si>
  <si>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</si>
  <si>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</si>
  <si>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</si>
  <si>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</si>
  <si>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</si>
  <si>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パンくずリストエリア</t>
  </si>
  <si>
    <t>1.1</t>
  </si>
  <si>
    <t>パンくずリスト</t>
  </si>
  <si>
    <t>-</t>
  </si>
  <si>
    <t>エンドユーザー</t>
    <phoneticPr fontId="61"/>
  </si>
  <si>
    <t>提出先企業名</t>
    <phoneticPr fontId="61"/>
  </si>
  <si>
    <t>2</t>
  </si>
  <si>
    <t>申請確認エリア</t>
    <rPh sb="0" eb="2">
      <t>シンセイ</t>
    </rPh>
    <rPh sb="2" eb="4">
      <t>カクニン</t>
    </rPh>
    <phoneticPr fontId="61"/>
  </si>
  <si>
    <t>2.1</t>
    <phoneticPr fontId="61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</si>
  <si>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1"/>
  </si>
  <si>
    <t>申請確認画面で表示された製品数
※重複、製品データ該当なしの件数も含む</t>
    <phoneticPr fontId="61"/>
  </si>
  <si>
    <t>2.2</t>
    <phoneticPr fontId="61"/>
  </si>
  <si>
    <t>申請に対するチェック結果の説明</t>
    <phoneticPr fontId="61"/>
  </si>
  <si>
    <t>2.3</t>
  </si>
  <si>
    <t>2.4</t>
  </si>
  <si>
    <t>申請画面からフォーム送信される「エンドユーザー」パラメータの値</t>
    <phoneticPr fontId="61"/>
  </si>
  <si>
    <t>2.5</t>
  </si>
  <si>
    <t>CSVダウンロードボタン</t>
    <phoneticPr fontId="61"/>
  </si>
  <si>
    <t>2.6</t>
    <phoneticPr fontId="61"/>
  </si>
  <si>
    <t>申請チェックボックス</t>
    <phoneticPr fontId="61"/>
  </si>
  <si>
    <t>申請可否の情報</t>
    <rPh sb="0" eb="2">
      <t>シンセイ</t>
    </rPh>
    <rPh sb="2" eb="4">
      <t>カヒ</t>
    </rPh>
    <rPh sb="5" eb="7">
      <t>ジョウホウ</t>
    </rPh>
    <phoneticPr fontId="61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</si>
  <si>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1"/>
  </si>
  <si>
    <t>2.7</t>
    <phoneticPr fontId="61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</si>
  <si>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1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</si>
  <si>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1"/>
  </si>
  <si>
    <t>2.8</t>
    <phoneticPr fontId="61"/>
  </si>
  <si>
    <t>CL（製品番号）</t>
    <phoneticPr fontId="61"/>
  </si>
  <si>
    <t>申請画面からフォーム送信される「製品名/CL-No」の配列パラメータの値、または、「環境証明書申請製品情報」の「CLコード」の値</t>
    <phoneticPr fontId="61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</si>
  <si>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1"/>
  </si>
  <si>
    <t>2.9</t>
    <phoneticPr fontId="61"/>
  </si>
  <si>
    <t>2.10</t>
    <phoneticPr fontId="61"/>
  </si>
  <si>
    <t>2.11</t>
    <phoneticPr fontId="61"/>
  </si>
  <si>
    <t>申請された証明書種類</t>
    <phoneticPr fontId="61"/>
  </si>
  <si>
    <t>申請画面からフォーム送信される「化学物質データ選択」配列パラメータの値</t>
    <phoneticPr fontId="61"/>
  </si>
  <si>
    <t>製品毎の申請可否チェック結果</t>
    <phoneticPr fontId="61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</si>
  <si>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1"/>
  </si>
  <si>
    <t>戻る</t>
    <phoneticPr fontId="61"/>
  </si>
  <si>
    <t>申請</t>
    <phoneticPr fontId="61"/>
  </si>
  <si>
    <t>いいえボタン</t>
    <phoneticPr fontId="61"/>
  </si>
  <si>
    <t>はいボタン</t>
    <phoneticPr fontId="61"/>
  </si>
  <si>
    <t>申請製品数</t>
    <phoneticPr fontId="61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</si>
  <si>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1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</si>
  <si>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1"/>
  </si>
  <si>
    <t>No</t>
    <phoneticPr fontId="61"/>
  </si>
  <si>
    <t>修飾子</t>
    <rPh sb="0" eb="3">
      <t>シュウショクシ</t>
    </rPh>
    <phoneticPr fontId="61"/>
  </si>
  <si>
    <t>clCode</t>
    <phoneticPr fontId="61"/>
  </si>
  <si>
    <t>partNo</t>
    <phoneticPr fontId="61"/>
  </si>
  <si>
    <t>CLコード</t>
    <phoneticPr fontId="61"/>
  </si>
  <si>
    <t>Non-compliant</t>
    <phoneticPr fontId="61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</si>
  <si>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7"/>
  </si>
  <si>
    <t xml:space="preserve"> A社</t>
    <rPh sb="2" eb="3">
      <t>シャ</t>
    </rPh>
    <phoneticPr fontId="57"/>
  </si>
  <si>
    <t>CL</t>
    <phoneticPr fontId="57"/>
  </si>
  <si>
    <t>SDS</t>
    <phoneticPr fontId="57"/>
  </si>
  <si>
    <t>☑</t>
    <phoneticPr fontId="57"/>
  </si>
  <si>
    <t>NameA</t>
    <phoneticPr fontId="57"/>
  </si>
  <si>
    <t>NameB</t>
    <phoneticPr fontId="57"/>
  </si>
  <si>
    <t>NameC</t>
    <phoneticPr fontId="57"/>
  </si>
  <si>
    <t>NameD</t>
    <phoneticPr fontId="57"/>
  </si>
  <si>
    <t>NameF</t>
    <phoneticPr fontId="57"/>
  </si>
  <si>
    <t>CL0123-
4567-8-90</t>
    <phoneticPr fontId="57"/>
  </si>
  <si>
    <t>CL0123-
4567-8-91</t>
    <phoneticPr fontId="57"/>
  </si>
  <si>
    <t>CL0123-
4567-8-92</t>
    <phoneticPr fontId="57"/>
  </si>
  <si>
    <t>CL0123-
4567-8-93</t>
    <phoneticPr fontId="57"/>
  </si>
  <si>
    <t>CL0123-
4567-8-95</t>
    <phoneticPr fontId="57"/>
  </si>
  <si>
    <t>CL0123-
4567-8-96</t>
    <phoneticPr fontId="57"/>
  </si>
  <si>
    <t>YES</t>
    <phoneticPr fontId="57"/>
  </si>
  <si>
    <t>Non-complia
nt</t>
    <phoneticPr fontId="57"/>
  </si>
  <si>
    <t>Request</t>
    <phoneticPr fontId="57"/>
  </si>
  <si>
    <t>申請確認ダイアログ</t>
    <rPh sb="0" eb="4">
      <t>シンセイカクニン</t>
    </rPh>
    <phoneticPr fontId="57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</si>
  <si>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7"/>
  </si>
  <si>
    <t>(○○　件)</t>
    <rPh sb="4" eb="5">
      <t>ケン</t>
    </rPh>
    <phoneticPr fontId="57"/>
  </si>
  <si>
    <t>1. パンくずリストエリア</t>
  </si>
  <si>
    <t>1.1　パンくずリスト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</si>
  <si>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7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</si>
  <si>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7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</si>
  <si>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7"/>
  </si>
  <si>
    <t>Application confirmation dialog</t>
    <phoneticPr fontId="57"/>
  </si>
  <si>
    <t>(○○　Items)</t>
    <phoneticPr fontId="57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</si>
  <si>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7"/>
  </si>
  <si>
    <t>化学物質データ/Chemical substance data</t>
    <rPh sb="0" eb="2">
      <t>カガクブッシツ</t>
    </rPh>
    <phoneticPr fontId="57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</si>
  <si>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</si>
  <si>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3"/>
  </si>
  <si>
    <t>古竹</t>
    <rPh sb="0" eb="2">
      <t>フルタケ</t>
    </rPh>
    <phoneticPr fontId="13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</si>
  <si>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3"/>
  </si>
  <si>
    <t>Items</t>
    <phoneticPr fontId="57"/>
  </si>
  <si>
    <t>日本語</t>
    <rPh sb="0" eb="3">
      <t>ニホンゴ</t>
    </rPh>
    <phoneticPr fontId="57"/>
  </si>
  <si>
    <t>English</t>
    <phoneticPr fontId="57"/>
  </si>
  <si>
    <t>Non-compliant</t>
    <phoneticPr fontId="57"/>
  </si>
  <si>
    <t>We can't submit the certificate for non-compliant.</t>
    <phoneticPr fontId="57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</si>
  <si>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7"/>
  </si>
  <si>
    <t>Please contact to Hirose sales or request on the environment data base.</t>
    <phoneticPr fontId="57"/>
  </si>
  <si>
    <t>グレー背景
Gray background</t>
    <phoneticPr fontId="57"/>
  </si>
  <si>
    <t>重複した製品</t>
    <phoneticPr fontId="57"/>
  </si>
  <si>
    <t>Duplicate products</t>
    <phoneticPr fontId="57"/>
  </si>
  <si>
    <t>赤背景
Red background</t>
    <phoneticPr fontId="57"/>
  </si>
  <si>
    <t>システムに製品の該当なし</t>
    <phoneticPr fontId="57"/>
  </si>
  <si>
    <t>Products are not registered in the system.</t>
    <phoneticPr fontId="57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</si>
  <si>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7"/>
  </si>
  <si>
    <t>高精度分析データ(ICP)
Analysis Data(ICP)</t>
    <phoneticPr fontId="57"/>
  </si>
  <si>
    <t>chemSHERPA</t>
    <phoneticPr fontId="57"/>
  </si>
  <si>
    <t>Do you want to apply?</t>
    <phoneticPr fontId="57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</si>
  <si>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7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</si>
  <si>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7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</si>
  <si>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7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</si>
  <si>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7"/>
  </si>
  <si>
    <t>化学物質データ申請確認</t>
    <phoneticPr fontId="51"/>
  </si>
  <si>
    <t>化学物質データ申請</t>
    <phoneticPr fontId="51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</si>
  <si>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1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</si>
  <si>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1"/>
  </si>
  <si>
    <t>処理詳細</t>
    <rPh sb="0" eb="2">
      <t>ショリ</t>
    </rPh>
    <rPh sb="2" eb="4">
      <t>ショウサイ</t>
    </rPh>
    <phoneticPr fontId="13"/>
  </si>
  <si>
    <t>※以下のフロー図を参照する</t>
    <rPh sb="1" eb="3">
      <t>イカ</t>
    </rPh>
    <rPh sb="7" eb="8">
      <t>ズ</t>
    </rPh>
    <rPh sb="9" eb="11">
      <t>サンショウ</t>
    </rPh>
    <phoneticPr fontId="61"/>
  </si>
  <si>
    <t>申請画面からのHTTPパラメータで製品名/CLコードリスト取得</t>
    <rPh sb="17" eb="20">
      <t>セイヒンメイ</t>
    </rPh>
    <phoneticPr fontId="61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</si>
  <si>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1"/>
  </si>
  <si>
    <t>抽出条件（OR）</t>
    <rPh sb="0" eb="2">
      <t>チュウシュツ</t>
    </rPh>
    <rPh sb="2" eb="4">
      <t>ジョウケン</t>
    </rPh>
    <phoneticPr fontId="61"/>
  </si>
  <si>
    <t>※1　入力値の形式がHRS-No（数字11桁）の場合はCLコードの形式（CL9999-9999-9-99）に変換</t>
    <phoneticPr fontId="61"/>
  </si>
  <si>
    <t>※2　入力値に以下の全角記号が含まれる場合は半角に変換</t>
    <rPh sb="7" eb="9">
      <t>イカ</t>
    </rPh>
    <rPh sb="12" eb="14">
      <t>キゴウ</t>
    </rPh>
    <phoneticPr fontId="61"/>
  </si>
  <si>
    <t>－　→　-</t>
  </si>
  <si>
    <t>（　→　(</t>
  </si>
  <si>
    <t>）　→　)</t>
  </si>
  <si>
    <t>＋　→　+</t>
  </si>
  <si>
    <t>＊　→　*</t>
  </si>
  <si>
    <t>／　→　/</t>
  </si>
  <si>
    <t>項目名</t>
    <rPh sb="0" eb="2">
      <t>コウモク</t>
    </rPh>
    <rPh sb="2" eb="3">
      <t>メイ</t>
    </rPh>
    <phoneticPr fontId="61"/>
  </si>
  <si>
    <t>hrsNo</t>
    <phoneticPr fontId="61"/>
  </si>
  <si>
    <t>HRS No</t>
    <phoneticPr fontId="61"/>
  </si>
  <si>
    <t>製品名</t>
    <phoneticPr fontId="61"/>
  </si>
  <si>
    <t>available</t>
    <phoneticPr fontId="61"/>
  </si>
  <si>
    <t>申請可能</t>
    <phoneticPr fontId="61"/>
  </si>
  <si>
    <t>request</t>
    <phoneticPr fontId="61"/>
  </si>
  <si>
    <t>Request</t>
    <phoneticPr fontId="61"/>
  </si>
  <si>
    <t>nonCompliant</t>
    <phoneticPr fontId="61"/>
  </si>
  <si>
    <t>製品名/CLコードの重複チェック</t>
    <rPh sb="0" eb="3">
      <t>セイヒンメイ</t>
    </rPh>
    <rPh sb="10" eb="12">
      <t>チョウフク</t>
    </rPh>
    <phoneticPr fontId="13"/>
  </si>
  <si>
    <t>：</t>
    <phoneticPr fontId="61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</si>
  <si>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1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</si>
  <si>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1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</si>
  <si>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1"/>
  </si>
  <si>
    <t>代理店権限</t>
    <rPh sb="0" eb="3">
      <t>ダイリテン</t>
    </rPh>
    <rPh sb="3" eb="5">
      <t>ケンゲン</t>
    </rPh>
    <phoneticPr fontId="61"/>
  </si>
  <si>
    <t>すべての証明書が（Non-compliant ）申請不可</t>
    <phoneticPr fontId="61"/>
  </si>
  <si>
    <t>なにもしない</t>
    <phoneticPr fontId="61"/>
  </si>
  <si>
    <t>証明書は１件以上申請可能
※「YES : 申請可能」または「Request : 問い合わせ可否はシステムで判断できない」）</t>
    <phoneticPr fontId="61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</si>
  <si>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1"/>
  </si>
  <si>
    <t>製品が重複する</t>
    <phoneticPr fontId="61"/>
  </si>
  <si>
    <t>背景色</t>
    <phoneticPr fontId="61"/>
  </si>
  <si>
    <t>文字列</t>
    <rPh sb="0" eb="3">
      <t>モジレツ</t>
    </rPh>
    <phoneticPr fontId="61"/>
  </si>
  <si>
    <t>チェックボックス</t>
    <phoneticPr fontId="61"/>
  </si>
  <si>
    <t>パターン</t>
    <phoneticPr fontId="61"/>
  </si>
  <si>
    <t>灰色</t>
    <phoneticPr fontId="61"/>
  </si>
  <si>
    <t>表示しない</t>
    <phoneticPr fontId="61"/>
  </si>
  <si>
    <t>①</t>
    <phoneticPr fontId="61"/>
  </si>
  <si>
    <t>申請可能（YES）の証明書がない
※「Non-compliant : 申請不可」または「Request : 問い合わせ可否はシステムで判断できない」）</t>
    <phoneticPr fontId="61"/>
  </si>
  <si>
    <t>なし</t>
    <phoneticPr fontId="61"/>
  </si>
  <si>
    <t>②</t>
    <phoneticPr fontId="61"/>
  </si>
  <si>
    <t>証明書は１件以上申請可能
※「YES : 申請可能」</t>
    <phoneticPr fontId="61"/>
  </si>
  <si>
    <t>表示</t>
    <phoneticPr fontId="61"/>
  </si>
  <si>
    <t>③</t>
    <phoneticPr fontId="61"/>
  </si>
  <si>
    <t>赤</t>
    <phoneticPr fontId="61"/>
  </si>
  <si>
    <t>空白</t>
    <rPh sb="0" eb="2">
      <t>クウハク</t>
    </rPh>
    <phoneticPr fontId="61"/>
  </si>
  <si>
    <t>④</t>
    <phoneticPr fontId="61"/>
  </si>
  <si>
    <t>⑤</t>
    <phoneticPr fontId="61"/>
  </si>
  <si>
    <t>※「ダウンロードCSVファイルについて」のシートを参照する</t>
    <rPh sb="25" eb="27">
      <t>サンショウ</t>
    </rPh>
    <phoneticPr fontId="61"/>
  </si>
  <si>
    <t>※別ブック「SERP110_帳票定義書_環境証明書申請製品一覧.xlsx」を参照</t>
    <phoneticPr fontId="61"/>
  </si>
  <si>
    <t>◆CSVヘッダーのファイル出力例と導出元</t>
    <phoneticPr fontId="61"/>
  </si>
  <si>
    <t>項目</t>
    <rPh sb="0" eb="2">
      <t>コウモク</t>
    </rPh>
    <phoneticPr fontId="61"/>
  </si>
  <si>
    <t>◆CSV本文のファイル出力例と導出元</t>
    <rPh sb="4" eb="6">
      <t>ホンブン</t>
    </rPh>
    <phoneticPr fontId="61"/>
  </si>
  <si>
    <t>申請データをinsertする処理</t>
    <phoneticPr fontId="61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</si>
  <si>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1"/>
  </si>
  <si>
    <t>環境証明書申請完了お知らせメール送信</t>
  </si>
  <si>
    <t>「SEML030　環境証明書申請完了お知らせメール」を送信する。</t>
    <phoneticPr fontId="61"/>
  </si>
  <si>
    <t>非適合の為、提出できません。</t>
    <phoneticPr fontId="57"/>
  </si>
  <si>
    <t>申請確認ダイアログをクローズして、申請処理は実行しない。</t>
    <phoneticPr fontId="57"/>
  </si>
  <si>
    <t>フォーマット
(Format)</t>
    <phoneticPr fontId="13"/>
  </si>
  <si>
    <t>導出元
(Source)</t>
    <rPh sb="0" eb="3">
      <t>ドウシュツモト</t>
    </rPh>
    <phoneticPr fontId="13"/>
  </si>
  <si>
    <t>申請画面のHTTPパラメータ</t>
    <rPh sb="0" eb="4">
      <t>シンセイガメン</t>
    </rPh>
    <phoneticPr fontId="57"/>
  </si>
  <si>
    <t>申請画面からフォーム送信される「提出先企業名」パラメータの値</t>
    <phoneticPr fontId="61"/>
  </si>
  <si>
    <t>処理項目：項番1参照</t>
    <phoneticPr fontId="57"/>
  </si>
  <si>
    <t>ダウンロードCSV</t>
    <phoneticPr fontId="13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</si>
  <si>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1"/>
  </si>
  <si>
    <t>◆出力項目について</t>
    <rPh sb="1" eb="3">
      <t>シュツリョク</t>
    </rPh>
    <rPh sb="3" eb="5">
      <t>コウモク</t>
    </rPh>
    <phoneticPr fontId="61"/>
  </si>
  <si>
    <t>■RoHS、ハロゲンフリー、成分表、JAMP、SDS、chemSHERPA、SVHC調査報告書を申請する場合</t>
    <phoneticPr fontId="61"/>
  </si>
  <si>
    <t>例：</t>
    <rPh sb="0" eb="1">
      <t>レイ</t>
    </rPh>
    <phoneticPr fontId="61"/>
  </si>
  <si>
    <t>CL check</t>
  </si>
  <si>
    <t>Name of company to be submitted</t>
    <phoneticPr fontId="61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</si>
  <si>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</si>
  <si>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</si>
  <si>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</si>
  <si>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</si>
  <si>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</si>
  <si>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</si>
  <si>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</si>
  <si>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1"/>
  </si>
  <si>
    <t>NameA</t>
    <phoneticPr fontId="61"/>
  </si>
  <si>
    <t>CL0123-4567-8-90</t>
  </si>
  <si>
    <t>B社</t>
    <rPh sb="1" eb="2">
      <t>シャ</t>
    </rPh>
    <phoneticPr fontId="61"/>
  </si>
  <si>
    <t>A社</t>
  </si>
  <si>
    <t>YES</t>
    <phoneticPr fontId="61"/>
  </si>
  <si>
    <t>YES</t>
  </si>
  <si>
    <t>重複</t>
    <phoneticPr fontId="61"/>
  </si>
  <si>
    <t>NameB</t>
    <phoneticPr fontId="61"/>
  </si>
  <si>
    <t>CL0123-4567-8-91</t>
  </si>
  <si>
    <t>Non-compliant</t>
  </si>
  <si>
    <t>Request</t>
  </si>
  <si>
    <t>NameC</t>
    <phoneticPr fontId="61"/>
  </si>
  <si>
    <t>CL0123-4567-8-92</t>
  </si>
  <si>
    <t>NameE</t>
    <phoneticPr fontId="61"/>
  </si>
  <si>
    <t>CL0123-4567-8-94</t>
    <phoneticPr fontId="61"/>
  </si>
  <si>
    <t>CL0123-4567-8-96</t>
    <phoneticPr fontId="61"/>
  </si>
  <si>
    <t>該当なし</t>
  </si>
  <si>
    <t>■RoHS、ハロゲンフリー、成分表、JAMPを申請する場合</t>
    <phoneticPr fontId="61"/>
  </si>
  <si>
    <t>重複</t>
  </si>
  <si>
    <t>※</t>
    <phoneticPr fontId="61"/>
  </si>
  <si>
    <t>②画面でチェックボックスを選択してないデータ、重複したデータまたはNon-compliantのデータもすべて出力される。</t>
    <phoneticPr fontId="61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</si>
  <si>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1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</si>
  <si>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1"/>
  </si>
  <si>
    <t>テーブル</t>
    <phoneticPr fontId="61"/>
  </si>
  <si>
    <t>申請製品情報マスタに存在する</t>
  </si>
  <si>
    <t>申請製品情報マスタに存在しない</t>
  </si>
  <si>
    <t>version</t>
    <phoneticPr fontId="61"/>
  </si>
  <si>
    <t>バージョン</t>
    <phoneticPr fontId="61"/>
  </si>
  <si>
    <t>出力編集仕様</t>
    <rPh sb="0" eb="2">
      <t>シュツリョク</t>
    </rPh>
    <rPh sb="2" eb="4">
      <t>ヘンシュウ</t>
    </rPh>
    <rPh sb="4" eb="6">
      <t>シヨウ</t>
    </rPh>
    <phoneticPr fontId="13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</si>
  <si>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1"/>
  </si>
  <si>
    <t>タイプ</t>
    <phoneticPr fontId="13"/>
  </si>
  <si>
    <t>説明</t>
    <rPh sb="0" eb="2">
      <t>セツメイ</t>
    </rPh>
    <phoneticPr fontId="13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</si>
  <si>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1"/>
  </si>
  <si>
    <t>備考</t>
    <phoneticPr fontId="61"/>
  </si>
  <si>
    <t>暦年と5桁の追番の間にハイフン（例：2018-00001）
※追番はhybrisのGeneratorの機構で生成する値（hrsChemicalSubstanceAppNoSeq）</t>
    <rPh sb="16" eb="17">
      <t>レイ</t>
    </rPh>
    <phoneticPr fontId="61"/>
  </si>
  <si>
    <t>画面項目の2.8毎に処理</t>
    <rPh sb="8" eb="9">
      <t>ゴト</t>
    </rPh>
    <rPh sb="10" eb="12">
      <t>ショリ</t>
    </rPh>
    <phoneticPr fontId="61"/>
  </si>
  <si>
    <t>ログインユーザのHrsCustomer.uid</t>
    <phoneticPr fontId="61"/>
  </si>
  <si>
    <t>システムの日付</t>
    <rPh sb="5" eb="7">
      <t>ヒヅケ</t>
    </rPh>
    <phoneticPr fontId="61"/>
  </si>
  <si>
    <t>画面項目の2.3</t>
    <rPh sb="0" eb="2">
      <t>ガメン</t>
    </rPh>
    <rPh sb="2" eb="4">
      <t>コウモク</t>
    </rPh>
    <phoneticPr fontId="61"/>
  </si>
  <si>
    <t>画面.エンドユーザ</t>
    <phoneticPr fontId="61"/>
  </si>
  <si>
    <t>画面項目の2.4</t>
    <phoneticPr fontId="61"/>
  </si>
  <si>
    <t>未処理（ChemicalSubstanceStatus.unprocessed）</t>
    <rPh sb="0" eb="1">
      <t>ミ</t>
    </rPh>
    <rPh sb="1" eb="3">
      <t>ショリ</t>
    </rPh>
    <phoneticPr fontId="61"/>
  </si>
  <si>
    <t>申請ファイル取り込みバッチで更新できる</t>
    <rPh sb="14" eb="16">
      <t>コウシン</t>
    </rPh>
    <phoneticPr fontId="61"/>
  </si>
  <si>
    <t>申請ファイル取り込みバッチで更新する</t>
    <rPh sb="14" eb="16">
      <t>コウシン</t>
    </rPh>
    <phoneticPr fontId="61"/>
  </si>
  <si>
    <t>同上</t>
    <rPh sb="0" eb="2">
      <t>ドウジョウ</t>
    </rPh>
    <phoneticPr fontId="61"/>
  </si>
  <si>
    <t>※1</t>
    <phoneticPr fontId="61"/>
  </si>
  <si>
    <t>登録対象の言語は画面で選択可能な7言語（英語、日本語、韓国語、中国語、フランス語、ドイツ語、ロシア語）</t>
    <phoneticPr fontId="61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</si>
  <si>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1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</si>
  <si>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1"/>
  </si>
  <si>
    <t>証明書申請テーブル, 証明書申請入力テーブル</t>
    <rPh sb="0" eb="5">
      <t>ショウメイショシンセイ</t>
    </rPh>
    <rPh sb="11" eb="18">
      <t>ショウメイショシンセイニュウリョク</t>
    </rPh>
    <phoneticPr fontId="61"/>
  </si>
  <si>
    <t>受付番号</t>
    <rPh sb="0" eb="4">
      <t>ウケツケバンゴウ</t>
    </rPh>
    <phoneticPr fontId="61"/>
  </si>
  <si>
    <t>ステータス</t>
    <phoneticPr fontId="61"/>
  </si>
  <si>
    <t>ファイルサイズ</t>
    <phoneticPr fontId="61"/>
  </si>
  <si>
    <t>１－１．画面初期表示について</t>
    <rPh sb="4" eb="6">
      <t>ガメン</t>
    </rPh>
    <rPh sb="6" eb="8">
      <t>ショキ</t>
    </rPh>
    <rPh sb="8" eb="10">
      <t>ヒョウジ</t>
    </rPh>
    <phoneticPr fontId="13"/>
  </si>
  <si>
    <t>１－１－１．</t>
    <phoneticPr fontId="61"/>
  </si>
  <si>
    <t>１－１－２．</t>
  </si>
  <si>
    <t>■１－１－２－１．申請製品情報マスタ（HrsChemicalSubstanceProduct）</t>
  </si>
  <si>
    <t>■１－１－２－２．取得した製品照明書の情報と画面表示のマッピング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3"/>
  </si>
  <si>
    <t>１－１－３．</t>
  </si>
  <si>
    <t>・１－１－２．で環境証明書申請製品情報を取得できた場合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1"/>
  </si>
  <si>
    <t>・１－１－２．で環境証明書申請製品情報を取得できなかった場合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1"/>
  </si>
  <si>
    <t>１－１－７．申請可能チェック結果取得</t>
  </si>
  <si>
    <t>■１－１－７－１．判断結果より処理について</t>
    <rPh sb="9" eb="11">
      <t>ハンダン</t>
    </rPh>
    <rPh sb="11" eb="13">
      <t>ケッカ</t>
    </rPh>
    <rPh sb="15" eb="17">
      <t>ショリ</t>
    </rPh>
    <phoneticPr fontId="13"/>
  </si>
  <si>
    <t>１－１－４．CLコードより一致する製品証明書の情報を取得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1"/>
  </si>
  <si>
    <t>１－１－６．申請可能チェック結果OK</t>
  </si>
  <si>
    <t>１－１－６．申請可能チェック結果NG</t>
    <rPh sb="6" eb="8">
      <t>シンセイ</t>
    </rPh>
    <rPh sb="8" eb="10">
      <t>カノウ</t>
    </rPh>
    <rPh sb="14" eb="16">
      <t>ケッカ</t>
    </rPh>
    <phoneticPr fontId="61"/>
  </si>
  <si>
    <t>■１－１－７－２．製品証明書情報取得処理よりエラーハンドリングフォーマット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3"/>
  </si>
  <si>
    <t>※対応するデータ情報の取得について、「２－１－２．製品名/CLコードより証明書の情報取得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1"/>
  </si>
  <si>
    <t>２－１．CSVダウンロードについて</t>
    <phoneticPr fontId="57"/>
  </si>
  <si>
    <t>■２－１－１ダウンロードCSVファイルのフォーマット</t>
    <phoneticPr fontId="57"/>
  </si>
  <si>
    <t>■２－１－２データ情報取得</t>
    <rPh sb="9" eb="11">
      <t>ジョウホウ</t>
    </rPh>
    <rPh sb="11" eb="13">
      <t>シュトク</t>
    </rPh>
    <phoneticPr fontId="61"/>
  </si>
  <si>
    <t>■２－１－３取得した製品証明書の情報とダウンロードCSV項目のマッピング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3"/>
  </si>
  <si>
    <t>■２－１－４取得した製品マスターの情報と画面表示のマッピング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3"/>
  </si>
  <si>
    <t>３－１．申請について</t>
    <rPh sb="4" eb="6">
      <t>シンセイ</t>
    </rPh>
    <phoneticPr fontId="13"/>
  </si>
  <si>
    <t>３－１－１．</t>
    <phoneticPr fontId="61"/>
  </si>
  <si>
    <t>送信トリガー</t>
    <rPh sb="0" eb="2">
      <t>ソウシン</t>
    </rPh>
    <phoneticPr fontId="61"/>
  </si>
  <si>
    <t>申請確認ダイアログで「はい」ボタン押下時</t>
    <rPh sb="0" eb="4">
      <t>シンセイカクニン</t>
    </rPh>
    <rPh sb="17" eb="20">
      <t>オウカジ</t>
    </rPh>
    <phoneticPr fontId="61"/>
  </si>
  <si>
    <t>4－1－1．</t>
    <phoneticPr fontId="61"/>
  </si>
  <si>
    <t>①送信トリガー</t>
    <rPh sb="1" eb="3">
      <t>ソウシン</t>
    </rPh>
    <phoneticPr fontId="57"/>
  </si>
  <si>
    <t>②メールヘッダー定義</t>
    <rPh sb="8" eb="10">
      <t>テイギ</t>
    </rPh>
    <phoneticPr fontId="57"/>
  </si>
  <si>
    <t>設定内容</t>
    <rPh sb="0" eb="4">
      <t>セッテイナイヨウ</t>
    </rPh>
    <phoneticPr fontId="61"/>
  </si>
  <si>
    <t>From</t>
    <phoneticPr fontId="61"/>
  </si>
  <si>
    <t>To</t>
    <phoneticPr fontId="61"/>
  </si>
  <si>
    <t>GM_no-reply@hirose.com</t>
    <phoneticPr fontId="61"/>
  </si>
  <si>
    <t>user@mail.com</t>
    <phoneticPr fontId="61"/>
  </si>
  <si>
    <t>既存項目の「AIS」は本改修で削除</t>
    <rPh sb="0" eb="4">
      <t>キソンコウモク</t>
    </rPh>
    <rPh sb="11" eb="14">
      <t>ホンカイシュウ</t>
    </rPh>
    <rPh sb="15" eb="17">
      <t>サクジョ</t>
    </rPh>
    <phoneticPr fontId="57"/>
  </si>
  <si>
    <t>0</t>
    <phoneticPr fontId="57"/>
  </si>
  <si>
    <t>共通ヘッダー</t>
    <rPh sb="0" eb="2">
      <t>キョウツウ</t>
    </rPh>
    <phoneticPr fontId="57"/>
  </si>
  <si>
    <t>0.1</t>
    <phoneticPr fontId="57"/>
  </si>
  <si>
    <t>ヒロセ電機ロゴ</t>
    <rPh sb="3" eb="5">
      <t>デンキ</t>
    </rPh>
    <phoneticPr fontId="57"/>
  </si>
  <si>
    <t>2.申請確認エリア</t>
    <rPh sb="2" eb="6">
      <t>シンセイカクニン</t>
    </rPh>
    <phoneticPr fontId="57"/>
  </si>
  <si>
    <t xml:space="preserve">   申請内容に不備があった場合のエラーメッセージは</t>
    <rPh sb="3" eb="7">
      <t>シンセイナイヨウ</t>
    </rPh>
    <rPh sb="8" eb="10">
      <t>フビ</t>
    </rPh>
    <rPh sb="14" eb="16">
      <t>バアイ</t>
    </rPh>
    <phoneticPr fontId="57"/>
  </si>
  <si>
    <t xml:space="preserve">   ポップアップで表示</t>
    <rPh sb="10" eb="12">
      <t>ヒョウジ</t>
    </rPh>
    <phoneticPr fontId="57"/>
  </si>
  <si>
    <t>「化学物質データ申請確認画面」シート、「処理詳細」シート</t>
    <rPh sb="20" eb="24">
      <t>ショリショウサイ</t>
    </rPh>
    <phoneticPr fontId="51"/>
  </si>
  <si>
    <t>・エラーメッセージエリアを削除
・共通ヘッダーを追加
・処理詳細のフロー図で不要個所をグレーアウト</t>
    <rPh sb="13" eb="15">
      <t>サクジョ</t>
    </rPh>
    <rPh sb="17" eb="19">
      <t>キョウツウ</t>
    </rPh>
    <rPh sb="24" eb="26">
      <t>ツイカ</t>
    </rPh>
    <rPh sb="28" eb="32">
      <t>ショリショウサイ</t>
    </rPh>
    <rPh sb="36" eb="37">
      <t>ズ</t>
    </rPh>
    <rPh sb="38" eb="42">
      <t>フヨウカショ</t>
    </rPh>
    <phoneticPr fontId="51"/>
  </si>
  <si>
    <t>「化学物質データ画面」～「化学物質データ申請完了画面」共通
ロゴを押下するとヒロセ電機HPトップページに遷移する。</t>
    <rPh sb="1" eb="3">
      <t>カガク</t>
    </rPh>
    <rPh sb="3" eb="5">
      <t>ブッシツ</t>
    </rPh>
    <rPh sb="8" eb="10">
      <t>ガメン</t>
    </rPh>
    <rPh sb="13" eb="15">
      <t>カガク</t>
    </rPh>
    <rPh sb="15" eb="17">
      <t>ブッシツ</t>
    </rPh>
    <rPh sb="20" eb="22">
      <t>シンセイ</t>
    </rPh>
    <rPh sb="22" eb="24">
      <t>カンリョウ</t>
    </rPh>
    <rPh sb="24" eb="26">
      <t>ガメン</t>
    </rPh>
    <rPh sb="27" eb="29">
      <t>キョウツウ</t>
    </rPh>
    <rPh sb="33" eb="35">
      <t>オウカ</t>
    </rPh>
    <rPh sb="41" eb="43">
      <t>デンキ</t>
    </rPh>
    <rPh sb="52" eb="54">
      <t>センイ</t>
    </rPh>
    <phoneticPr fontId="57"/>
  </si>
  <si>
    <t>dr1.0</t>
  </si>
  <si>
    <t>dr1.1</t>
  </si>
  <si>
    <t>dr1.2</t>
  </si>
  <si>
    <t>dr1.3</t>
  </si>
  <si>
    <t>dr1.4</t>
    <phoneticPr fontId="51"/>
  </si>
  <si>
    <t>「化学物質データ申請確認画面」シート</t>
  </si>
  <si>
    <t>「画面項目」シート</t>
    <phoneticPr fontId="51"/>
  </si>
  <si>
    <t>申請可能製品情報マスタ 製品名</t>
    <rPh sb="0" eb="2">
      <t>シンセイ</t>
    </rPh>
    <rPh sb="2" eb="4">
      <t>カノウ</t>
    </rPh>
    <rPh sb="4" eb="6">
      <t>セイヒン</t>
    </rPh>
    <rPh sb="6" eb="8">
      <t>ジョウホウ</t>
    </rPh>
    <rPh sb="12" eb="15">
      <t>セイヒンメイ</t>
    </rPh>
    <phoneticPr fontId="57"/>
  </si>
  <si>
    <t>申請可能製品情報マスタ CLコード</t>
    <rPh sb="0" eb="2">
      <t>シンセイ</t>
    </rPh>
    <rPh sb="2" eb="4">
      <t>カノウ</t>
    </rPh>
    <rPh sb="4" eb="6">
      <t>セイヒン</t>
    </rPh>
    <rPh sb="6" eb="8">
      <t>ジョウホウ</t>
    </rPh>
    <phoneticPr fontId="57"/>
  </si>
  <si>
    <t>・HRSロゴとパンくずリストのリンクを押下した際の遷移先を修正
・テーブル情報変更に伴い修正</t>
    <rPh sb="37" eb="41">
      <t>ジョウホウヘンコウ</t>
    </rPh>
    <phoneticPr fontId="13"/>
  </si>
  <si>
    <t>新環境証明書システム</t>
    <rPh sb="0" eb="6">
      <t>シンカンキョウショウメイショ</t>
    </rPh>
    <phoneticPr fontId="14"/>
  </si>
  <si>
    <t>新環境証明書システム移行</t>
    <rPh sb="0" eb="6">
      <t>シンカンキョウショウメイショ</t>
    </rPh>
    <rPh sb="10" eb="12">
      <t>イコウ</t>
    </rPh>
    <phoneticPr fontId="51"/>
  </si>
  <si>
    <t>2.12</t>
  </si>
  <si>
    <t>2.13</t>
  </si>
  <si>
    <t>2.14</t>
  </si>
  <si>
    <t>2.15</t>
  </si>
  <si>
    <t>申請テーブル</t>
    <rPh sb="0" eb="2">
      <t>シンセイ</t>
    </rPh>
    <phoneticPr fontId="61"/>
  </si>
  <si>
    <t>申請可能製品情報マスタ CLコード=入力リスト.製品名/CLコード　※1</t>
    <rPh sb="0" eb="2">
      <t>シンセイ</t>
    </rPh>
    <rPh sb="2" eb="4">
      <t>カノウ</t>
    </rPh>
    <rPh sb="4" eb="6">
      <t>セイヒン</t>
    </rPh>
    <rPh sb="6" eb="8">
      <t>ジョウホウ</t>
    </rPh>
    <rPh sb="18" eb="20">
      <t>ニュウリョク</t>
    </rPh>
    <rPh sb="24" eb="27">
      <t>セイヒンメイ</t>
    </rPh>
    <phoneticPr fontId="61"/>
  </si>
  <si>
    <t>申請可能製品情報マスタ 製品名=入力リスト.製品名/CLコード　※2</t>
    <rPh sb="0" eb="2">
      <t>シンセイ</t>
    </rPh>
    <rPh sb="2" eb="4">
      <t>カノウ</t>
    </rPh>
    <rPh sb="4" eb="6">
      <t>セイヒン</t>
    </rPh>
    <rPh sb="6" eb="8">
      <t>ジョウホウ</t>
    </rPh>
    <rPh sb="12" eb="15">
      <t>セイヒンメイ</t>
    </rPh>
    <rPh sb="16" eb="18">
      <t>ニュウリョク</t>
    </rPh>
    <rPh sb="22" eb="25">
      <t>セイヒンメイ</t>
    </rPh>
    <phoneticPr fontId="61"/>
  </si>
  <si>
    <t>CLが重複する</t>
    <phoneticPr fontId="61"/>
  </si>
  <si>
    <t>※対応するデータ情報の取得について、「２－１－５．製品名/CLコードより申請可能製品情報マスター情報取得 」を参照する</t>
    <rPh sb="1" eb="3">
      <t>タイオウ</t>
    </rPh>
    <rPh sb="8" eb="10">
      <t>ジョウホウ</t>
    </rPh>
    <rPh sb="11" eb="13">
      <t>シュトク</t>
    </rPh>
    <rPh sb="36" eb="40">
      <t>シンセイカノウ</t>
    </rPh>
    <rPh sb="40" eb="44">
      <t>セイヒンジョウホウ</t>
    </rPh>
    <rPh sb="55" eb="57">
      <t>サンショウ</t>
    </rPh>
    <phoneticPr fontId="61"/>
  </si>
  <si>
    <t>&lt;HRS:20XX-000XXX&gt;  Chemical substance data application completion/化学物質データ申請完了</t>
    <rPh sb="66" eb="68">
      <t>カガク</t>
    </rPh>
    <rPh sb="68" eb="70">
      <t>ブッシツ</t>
    </rPh>
    <rPh sb="73" eb="75">
      <t>シンセイ</t>
    </rPh>
    <rPh sb="75" eb="77">
      <t>カンリョウ</t>
    </rPh>
    <phoneticPr fontId="61"/>
  </si>
  <si>
    <t>dr1.5</t>
    <phoneticPr fontId="51"/>
  </si>
  <si>
    <t>「化学物質データ申請確認画面」シート、「画面項目」シート、「処理詳細」シート</t>
    <rPh sb="30" eb="34">
      <t>ショリショウサイ</t>
    </rPh>
    <phoneticPr fontId="51"/>
  </si>
  <si>
    <t>課題リストの回答をもとに修正</t>
    <rPh sb="0" eb="2">
      <t>カダイ</t>
    </rPh>
    <rPh sb="6" eb="8">
      <t>カイトウ</t>
    </rPh>
    <rPh sb="12" eb="14">
      <t>シュウセイ</t>
    </rPh>
    <phoneticPr fontId="51"/>
  </si>
  <si>
    <t>エンドユーザ名</t>
    <rPh sb="6" eb="7">
      <t>メイ</t>
    </rPh>
    <phoneticPr fontId="61"/>
  </si>
  <si>
    <t>申請日時</t>
    <rPh sb="0" eb="4">
      <t>シンセイニチジ</t>
    </rPh>
    <phoneticPr fontId="61"/>
  </si>
  <si>
    <t>申請者アカウントID</t>
    <rPh sb="0" eb="3">
      <t>シンセイシャ</t>
    </rPh>
    <phoneticPr fontId="61"/>
  </si>
  <si>
    <t>有効期限</t>
    <rPh sb="0" eb="2">
      <t>ユウコウ</t>
    </rPh>
    <rPh sb="2" eb="4">
      <t>キゲン</t>
    </rPh>
    <phoneticPr fontId="61"/>
  </si>
  <si>
    <t>画面.提出先企業名</t>
    <phoneticPr fontId="61"/>
  </si>
  <si>
    <t>フォルダ数</t>
    <rPh sb="4" eb="5">
      <t>スウ</t>
    </rPh>
    <phoneticPr fontId="61"/>
  </si>
  <si>
    <t>ファイル数</t>
    <rPh sb="4" eb="5">
      <t>スウ</t>
    </rPh>
    <phoneticPr fontId="61"/>
  </si>
  <si>
    <t>ホーム画面: ホーム (リンクなし)</t>
    <phoneticPr fontId="57"/>
  </si>
  <si>
    <r>
      <t xml:space="preserve">■区分値（証明書単位）のセット仕様	
・YES : 申請可能
・Non-compliant : 申請不可
・Request : 別途問合せしてください、の意味
</t>
    </r>
    <r>
      <rPr>
        <strike/>
        <sz val="10"/>
        <color rgb="FFFF0000"/>
        <rFont val="Meiryo UI"/>
        <family val="3"/>
        <charset val="128"/>
      </rPr>
      <t>・Contact：既存の問い合わせルートでの申請に促す</t>
    </r>
    <r>
      <rPr>
        <sz val="10"/>
        <color rgb="FFFF0000"/>
        <rFont val="Meiryo UI"/>
        <family val="3"/>
        <charset val="128"/>
      </rPr>
      <t xml:space="preserve">	この区分値がない</t>
    </r>
    <r>
      <rPr>
        <sz val="10"/>
        <rFont val="Meiryo UI"/>
        <family val="3"/>
        <charset val="128"/>
      </rPr>
      <t xml:space="preserve">					
■行（製品単位）のセット仕様：							
「処理詳細」シートの「■A－１－７－２．製品証明書情報取得処理よりエラーハンドリングフォーマット」を参照</t>
    </r>
    <rPh sb="110" eb="113">
      <t>クブンチ</t>
    </rPh>
    <phoneticPr fontId="61"/>
  </si>
  <si>
    <t>Request/Non-compliant</t>
    <phoneticPr fontId="61"/>
  </si>
  <si>
    <t>YES/Request/Non-compliant</t>
    <phoneticPr fontId="61"/>
  </si>
  <si>
    <t>①該当するCSVの内容は画面で表示されるCL製品一覧の項目＋証明書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3">
      <t>ショウメイショ</t>
    </rPh>
    <phoneticPr fontId="6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</si>
</sst>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3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sz val="7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sz val="11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strike/>
      <sz val="10"/>
      <color rgb="FFFF0000"/>
      <name val="Meiryo UI"/>
      <family val="3"/>
      <charset val="128"/>
    </font>
    <font>
      <strike/>
      <sz val="11"/>
      <name val="Meiryo UI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0" fillId="0" borderId="0"/>
    <xf numFmtId="0" fontId="6" fillId="0" borderId="0">
      <alignment vertical="center"/>
    </xf>
    <xf numFmtId="0" fontId="63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048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21" fillId="10" borderId="6" xfId="49" applyFont="1" applyFill="1" applyBorder="1" applyAlignment="1">
      <alignment horizontal="right" vertical="center"/>
    </xf>
    <xf numFmtId="0" fontId="53" fillId="14" borderId="6" xfId="49" applyFont="1" applyFill="1" applyBorder="1" applyAlignment="1">
      <alignment horizontal="right" vertical="center"/>
    </xf>
    <xf numFmtId="0" fontId="55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4" fillId="14" borderId="8" xfId="0" applyFont="1" applyFill="1" applyBorder="1">
      <alignment vertical="center"/>
    </xf>
    <xf numFmtId="49" fontId="21" fillId="10" borderId="15" xfId="0" applyNumberFormat="1" applyFont="1" applyFill="1" applyBorder="1" applyAlignment="1">
      <alignment horizontal="center" vertical="center"/>
    </xf>
    <xf numFmtId="0" fontId="54" fillId="14" borderId="0" xfId="0" applyFont="1" applyFill="1">
      <alignment vertical="center"/>
    </xf>
    <xf numFmtId="49" fontId="21" fillId="10" borderId="6" xfId="0" applyNumberFormat="1" applyFont="1" applyFill="1" applyBorder="1" applyAlignment="1">
      <alignment horizontal="left" vertical="center"/>
    </xf>
    <xf numFmtId="0" fontId="59" fillId="14" borderId="0" xfId="161" applyFont="1" applyFill="1">
      <alignment vertical="center"/>
    </xf>
    <xf numFmtId="0" fontId="54" fillId="14" borderId="0" xfId="161" applyFont="1" applyFill="1">
      <alignment vertical="center"/>
    </xf>
    <xf numFmtId="0" fontId="54" fillId="14" borderId="6" xfId="161" applyFont="1" applyFill="1" applyBorder="1">
      <alignment vertical="center"/>
    </xf>
    <xf numFmtId="0" fontId="54" fillId="14" borderId="11" xfId="161" applyFont="1" applyFill="1" applyBorder="1">
      <alignment vertical="center"/>
    </xf>
    <xf numFmtId="0" fontId="21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8" fillId="18" borderId="2" xfId="161" applyFont="1" applyFill="1" applyBorder="1">
      <alignment vertical="center"/>
    </xf>
    <xf numFmtId="0" fontId="54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4" fillId="14" borderId="12" xfId="0" applyFont="1" applyFill="1" applyBorder="1">
      <alignment vertical="center"/>
    </xf>
    <xf numFmtId="0" fontId="21" fillId="10" borderId="22" xfId="46" applyFont="1" applyFill="1" applyBorder="1" applyAlignment="1">
      <alignment horizontal="centerContinuous"/>
    </xf>
    <xf numFmtId="0" fontId="54" fillId="14" borderId="0" xfId="161" applyFont="1" applyFill="1" applyAlignment="1">
      <alignment horizontal="left" vertical="center"/>
    </xf>
    <xf numFmtId="0" fontId="21" fillId="10" borderId="20" xfId="46" applyFont="1" applyFill="1" applyBorder="1" applyAlignment="1">
      <alignment horizontal="centerContinuous"/>
    </xf>
    <xf numFmtId="0" fontId="55" fillId="14" borderId="0" xfId="161" applyFont="1" applyFill="1">
      <alignment vertical="center"/>
    </xf>
    <xf numFmtId="0" fontId="54" fillId="14" borderId="0" xfId="161" applyFont="1" applyFill="1" applyAlignment="1">
      <alignment horizontal="center" vertical="center"/>
    </xf>
    <xf numFmtId="0" fontId="59" fillId="14" borderId="6" xfId="161" quotePrefix="1" applyFont="1" applyFill="1" applyBorder="1">
      <alignment vertical="center"/>
    </xf>
    <xf numFmtId="0" fontId="59" fillId="14" borderId="11" xfId="161" applyFont="1" applyFill="1" applyBorder="1">
      <alignment vertical="center"/>
    </xf>
    <xf numFmtId="0" fontId="69" fillId="18" borderId="10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68" fillId="18" borderId="2" xfId="161" applyFont="1" applyFill="1" applyBorder="1">
      <alignment vertical="center"/>
    </xf>
    <xf numFmtId="0" fontId="58" fillId="18" borderId="2" xfId="161" applyFont="1" applyFill="1" applyBorder="1" applyAlignment="1">
      <alignment horizontal="centerContinuous" vertical="center"/>
    </xf>
    <xf numFmtId="0" fontId="58" fillId="18" borderId="17" xfId="161" applyFont="1" applyFill="1" applyBorder="1" applyAlignment="1">
      <alignment horizontal="centerContinuous" vertical="center"/>
    </xf>
    <xf numFmtId="0" fontId="54" fillId="14" borderId="8" xfId="161" applyFont="1" applyFill="1" applyBorder="1">
      <alignment vertical="center"/>
    </xf>
    <xf numFmtId="0" fontId="54" fillId="14" borderId="12" xfId="161" applyFont="1" applyFill="1" applyBorder="1">
      <alignment vertical="center"/>
    </xf>
    <xf numFmtId="0" fontId="54" fillId="19" borderId="10" xfId="161" quotePrefix="1" applyFont="1" applyFill="1" applyBorder="1">
      <alignment vertical="center"/>
    </xf>
    <xf numFmtId="0" fontId="54" fillId="19" borderId="2" xfId="161" applyFont="1" applyFill="1" applyBorder="1">
      <alignment vertical="center"/>
    </xf>
    <xf numFmtId="0" fontId="54" fillId="19" borderId="2" xfId="161" applyFont="1" applyFill="1" applyBorder="1" applyAlignment="1">
      <alignment horizontal="center" vertical="center"/>
    </xf>
    <xf numFmtId="0" fontId="54" fillId="19" borderId="2" xfId="0" applyFont="1" applyFill="1" applyBorder="1">
      <alignment vertical="center"/>
    </xf>
    <xf numFmtId="0" fontId="54" fillId="0" borderId="10" xfId="161" quotePrefix="1" applyFont="1" applyBorder="1">
      <alignment vertical="center"/>
    </xf>
    <xf numFmtId="0" fontId="54" fillId="0" borderId="2" xfId="161" applyFont="1" applyBorder="1">
      <alignment vertical="center"/>
    </xf>
    <xf numFmtId="0" fontId="54" fillId="0" borderId="2" xfId="161" applyFont="1" applyBorder="1" applyAlignment="1">
      <alignment horizontal="center" vertical="center"/>
    </xf>
    <xf numFmtId="0" fontId="54" fillId="0" borderId="2" xfId="0" applyFont="1" applyBorder="1">
      <alignment vertical="center"/>
    </xf>
    <xf numFmtId="0" fontId="54" fillId="0" borderId="0" xfId="161" quotePrefix="1" applyFont="1">
      <alignment vertical="center"/>
    </xf>
    <xf numFmtId="0" fontId="54" fillId="0" borderId="0" xfId="161" applyFont="1">
      <alignment vertical="center"/>
    </xf>
    <xf numFmtId="0" fontId="54" fillId="0" borderId="0" xfId="161" applyFont="1" applyAlignment="1">
      <alignment horizontal="center" vertical="center"/>
    </xf>
    <xf numFmtId="0" fontId="54" fillId="0" borderId="0" xfId="0" applyFont="1">
      <alignment vertical="center"/>
    </xf>
    <xf numFmtId="0" fontId="54" fillId="19" borderId="17" xfId="0" applyFont="1" applyFill="1" applyBorder="1">
      <alignment vertical="center"/>
    </xf>
    <xf numFmtId="0" fontId="54" fillId="0" borderId="8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4" fillId="0" borderId="0" xfId="161" applyFont="1" applyAlignment="1">
      <alignment horizontal="left" vertical="center"/>
    </xf>
    <xf numFmtId="0" fontId="54" fillId="0" borderId="17" xfId="0" applyFont="1" applyBorder="1">
      <alignment vertical="center"/>
    </xf>
    <xf numFmtId="0" fontId="55" fillId="0" borderId="0" xfId="161" applyFont="1" applyAlignment="1">
      <alignment horizontal="centerContinuous" vertical="center"/>
    </xf>
    <xf numFmtId="0" fontId="54" fillId="14" borderId="28" xfId="0" applyFont="1" applyFill="1" applyBorder="1">
      <alignment vertical="center"/>
    </xf>
    <xf numFmtId="0" fontId="54" fillId="14" borderId="31" xfId="0" applyFont="1" applyFill="1" applyBorder="1">
      <alignment vertical="center"/>
    </xf>
    <xf numFmtId="0" fontId="54" fillId="0" borderId="12" xfId="0" applyFont="1" applyBorder="1">
      <alignment vertical="center"/>
    </xf>
    <xf numFmtId="0" fontId="55" fillId="0" borderId="0" xfId="161" applyFont="1">
      <alignment vertical="center"/>
    </xf>
    <xf numFmtId="0" fontId="54" fillId="14" borderId="0" xfId="0" applyFont="1" applyFill="1" applyAlignment="1">
      <alignment horizontal="center" vertical="center"/>
    </xf>
    <xf numFmtId="0" fontId="21" fillId="10" borderId="19" xfId="46" applyFont="1" applyFill="1" applyBorder="1" applyAlignment="1">
      <alignment horizontal="centerContinuous"/>
    </xf>
    <xf numFmtId="0" fontId="21" fillId="10" borderId="16" xfId="46" applyFont="1" applyFill="1" applyBorder="1" applyAlignment="1">
      <alignment horizontal="centerContinuous"/>
    </xf>
    <xf numFmtId="0" fontId="21" fillId="10" borderId="21" xfId="46" applyFont="1" applyFill="1" applyBorder="1" applyAlignment="1">
      <alignment horizontal="centerContinuous"/>
    </xf>
    <xf numFmtId="0" fontId="58" fillId="14" borderId="11" xfId="161" quotePrefix="1" applyFont="1" applyFill="1" applyBorder="1" applyAlignment="1">
      <alignment horizontal="centerContinuous" vertical="center"/>
    </xf>
    <xf numFmtId="0" fontId="54" fillId="14" borderId="0" xfId="0" applyFont="1" applyFill="1" applyAlignment="1">
      <alignment vertical="center" wrapText="1"/>
    </xf>
    <xf numFmtId="0" fontId="55" fillId="14" borderId="0" xfId="161" applyFont="1" applyFill="1" applyAlignment="1">
      <alignment horizontal="center" vertical="center"/>
    </xf>
    <xf numFmtId="0" fontId="55" fillId="0" borderId="0" xfId="161" applyFont="1" applyAlignment="1">
      <alignment horizontal="left" vertical="center"/>
    </xf>
    <xf numFmtId="0" fontId="55" fillId="0" borderId="0" xfId="0" applyFont="1">
      <alignment vertical="center"/>
    </xf>
    <xf numFmtId="0" fontId="55" fillId="0" borderId="0" xfId="161" applyFont="1" applyAlignment="1">
      <alignment horizontal="center" vertical="center"/>
    </xf>
    <xf numFmtId="0" fontId="55" fillId="14" borderId="8" xfId="0" applyFont="1" applyFill="1" applyBorder="1">
      <alignment vertical="center"/>
    </xf>
    <xf numFmtId="0" fontId="55" fillId="0" borderId="8" xfId="161" applyFont="1" applyBorder="1">
      <alignment vertical="center"/>
    </xf>
    <xf numFmtId="0" fontId="55" fillId="0" borderId="8" xfId="0" applyFont="1" applyBorder="1">
      <alignment vertical="center"/>
    </xf>
    <xf numFmtId="0" fontId="55" fillId="0" borderId="8" xfId="161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4" fillId="0" borderId="0" xfId="161" quotePrefix="1" applyFont="1" applyAlignment="1">
      <alignment horizontal="centerContinuous" vertical="center"/>
    </xf>
    <xf numFmtId="0" fontId="59" fillId="14" borderId="2" xfId="161" applyFont="1" applyFill="1" applyBorder="1">
      <alignment vertical="center"/>
    </xf>
    <xf numFmtId="0" fontId="59" fillId="14" borderId="8" xfId="161" applyFont="1" applyFill="1" applyBorder="1">
      <alignment vertical="center"/>
    </xf>
    <xf numFmtId="0" fontId="54" fillId="0" borderId="6" xfId="0" applyFont="1" applyBorder="1">
      <alignment vertical="center"/>
    </xf>
    <xf numFmtId="0" fontId="54" fillId="14" borderId="2" xfId="161" applyFont="1" applyFill="1" applyBorder="1">
      <alignment vertical="center"/>
    </xf>
    <xf numFmtId="0" fontId="54" fillId="14" borderId="2" xfId="161" applyFont="1" applyFill="1" applyBorder="1" applyAlignment="1">
      <alignment horizontal="center" vertical="center"/>
    </xf>
    <xf numFmtId="0" fontId="54" fillId="14" borderId="17" xfId="0" applyFont="1" applyFill="1" applyBorder="1">
      <alignment vertical="center"/>
    </xf>
    <xf numFmtId="0" fontId="54" fillId="14" borderId="10" xfId="0" applyFont="1" applyFill="1" applyBorder="1">
      <alignment vertical="center"/>
    </xf>
    <xf numFmtId="0" fontId="55" fillId="14" borderId="3" xfId="161" applyFont="1" applyFill="1" applyBorder="1" applyAlignment="1">
      <alignment horizontal="center" vertical="center"/>
    </xf>
    <xf numFmtId="0" fontId="54" fillId="0" borderId="8" xfId="161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12" xfId="161" quotePrefix="1" applyFont="1" applyBorder="1">
      <alignment vertical="center"/>
    </xf>
    <xf numFmtId="0" fontId="54" fillId="0" borderId="12" xfId="161" applyFont="1" applyBorder="1">
      <alignment vertical="center"/>
    </xf>
    <xf numFmtId="0" fontId="54" fillId="0" borderId="12" xfId="161" applyFont="1" applyBorder="1" applyAlignment="1">
      <alignment horizontal="center" vertical="center"/>
    </xf>
    <xf numFmtId="0" fontId="54" fillId="0" borderId="8" xfId="161" quotePrefix="1" applyFont="1" applyBorder="1">
      <alignment vertical="center"/>
    </xf>
    <xf numFmtId="0" fontId="62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4" fillId="0" borderId="0" xfId="161" applyFont="1">
      <alignment vertical="center"/>
    </xf>
    <xf numFmtId="0" fontId="74" fillId="0" borderId="0" xfId="0" applyFont="1">
      <alignment vertical="center"/>
    </xf>
    <xf numFmtId="0" fontId="74" fillId="14" borderId="0" xfId="0" applyFont="1" applyFill="1">
      <alignment vertical="center"/>
    </xf>
    <xf numFmtId="0" fontId="55" fillId="14" borderId="12" xfId="161" applyFont="1" applyFill="1" applyBorder="1">
      <alignment vertical="center"/>
    </xf>
    <xf numFmtId="0" fontId="21" fillId="10" borderId="18" xfId="46" applyFont="1" applyFill="1" applyBorder="1" applyAlignment="1">
      <alignment horizontal="centerContinuous"/>
    </xf>
    <xf numFmtId="0" fontId="54" fillId="14" borderId="0" xfId="0" applyFont="1" applyFill="1" applyAlignment="1">
      <alignment horizontal="left" vertical="center"/>
    </xf>
    <xf numFmtId="0" fontId="62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2" fillId="0" borderId="10" xfId="161" quotePrefix="1" applyFont="1" applyBorder="1">
      <alignment vertical="center"/>
    </xf>
    <xf numFmtId="0" fontId="62" fillId="0" borderId="2" xfId="161" quotePrefix="1" applyFont="1" applyBorder="1">
      <alignment vertical="center"/>
    </xf>
    <xf numFmtId="0" fontId="54" fillId="0" borderId="0" xfId="161" quotePrefix="1" applyFont="1" applyAlignment="1">
      <alignment horizontal="left" vertical="center"/>
    </xf>
    <xf numFmtId="0" fontId="54" fillId="0" borderId="25" xfId="161" applyFont="1" applyBorder="1" applyAlignment="1">
      <alignment horizontal="center" vertical="center"/>
    </xf>
    <xf numFmtId="0" fontId="54" fillId="0" borderId="2" xfId="161" quotePrefix="1" applyFont="1" applyBorder="1">
      <alignment vertical="center"/>
    </xf>
    <xf numFmtId="14" fontId="54" fillId="0" borderId="10" xfId="161" quotePrefix="1" applyNumberFormat="1" applyFont="1" applyBorder="1">
      <alignment vertical="center"/>
    </xf>
    <xf numFmtId="0" fontId="54" fillId="0" borderId="0" xfId="0" applyFont="1" applyAlignment="1">
      <alignment vertical="center" wrapText="1"/>
    </xf>
    <xf numFmtId="0" fontId="54" fillId="0" borderId="0" xfId="0" applyFont="1" applyAlignment="1">
      <alignment horizontal="center" vertical="center"/>
    </xf>
    <xf numFmtId="0" fontId="55" fillId="0" borderId="0" xfId="161" quotePrefix="1" applyFont="1">
      <alignment vertical="center"/>
    </xf>
    <xf numFmtId="0" fontId="55" fillId="0" borderId="2" xfId="161" applyFont="1" applyBorder="1">
      <alignment vertical="center"/>
    </xf>
    <xf numFmtId="0" fontId="59" fillId="14" borderId="6" xfId="180" quotePrefix="1" applyFont="1" applyFill="1" applyBorder="1">
      <alignment vertical="center"/>
    </xf>
    <xf numFmtId="0" fontId="54" fillId="14" borderId="0" xfId="180" applyFont="1" applyFill="1">
      <alignment vertical="center"/>
    </xf>
    <xf numFmtId="0" fontId="55" fillId="19" borderId="2" xfId="180" applyFont="1" applyFill="1" applyBorder="1" applyAlignment="1">
      <alignment horizontal="centerContinuous" vertical="center"/>
    </xf>
    <xf numFmtId="0" fontId="62" fillId="19" borderId="2" xfId="180" applyFont="1" applyFill="1" applyBorder="1" applyAlignment="1">
      <alignment horizontal="centerContinuous" vertical="center"/>
    </xf>
    <xf numFmtId="0" fontId="55" fillId="19" borderId="10" xfId="180" applyFont="1" applyFill="1" applyBorder="1" applyAlignment="1">
      <alignment horizontal="centerContinuous" vertical="center"/>
    </xf>
    <xf numFmtId="0" fontId="54" fillId="19" borderId="2" xfId="180" applyFont="1" applyFill="1" applyBorder="1" applyAlignment="1">
      <alignment horizontal="centerContinuous" vertical="center"/>
    </xf>
    <xf numFmtId="0" fontId="54" fillId="0" borderId="0" xfId="180" applyFont="1">
      <alignment vertical="center"/>
    </xf>
    <xf numFmtId="0" fontId="66" fillId="14" borderId="0" xfId="180" applyFont="1" applyFill="1">
      <alignment vertical="center"/>
    </xf>
    <xf numFmtId="0" fontId="78" fillId="14" borderId="2" xfId="180" quotePrefix="1" applyFont="1" applyFill="1" applyBorder="1">
      <alignment vertical="center"/>
    </xf>
    <xf numFmtId="0" fontId="54" fillId="14" borderId="10" xfId="180" applyFont="1" applyFill="1" applyBorder="1" applyAlignment="1">
      <alignment horizontal="centerContinuous" vertical="center"/>
    </xf>
    <xf numFmtId="0" fontId="54" fillId="14" borderId="2" xfId="180" applyFont="1" applyFill="1" applyBorder="1" applyAlignment="1">
      <alignment horizontal="centerContinuous" vertical="center"/>
    </xf>
    <xf numFmtId="0" fontId="75" fillId="14" borderId="10" xfId="180" applyFont="1" applyFill="1" applyBorder="1" applyAlignment="1">
      <alignment horizontal="center" vertical="center"/>
    </xf>
    <xf numFmtId="0" fontId="54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9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5" fillId="14" borderId="2" xfId="180" applyFont="1" applyFill="1" applyBorder="1" applyAlignment="1">
      <alignment horizontal="centerContinuous" vertical="center"/>
    </xf>
    <xf numFmtId="0" fontId="54" fillId="14" borderId="0" xfId="180" applyFont="1" applyFill="1" applyAlignment="1">
      <alignment horizontal="center" vertical="center"/>
    </xf>
    <xf numFmtId="0" fontId="54" fillId="14" borderId="0" xfId="180" quotePrefix="1" applyFont="1" applyFill="1">
      <alignment vertical="center"/>
    </xf>
    <xf numFmtId="14" fontId="62" fillId="0" borderId="10" xfId="161" quotePrefix="1" applyNumberFormat="1" applyFont="1" applyBorder="1" applyAlignment="1">
      <alignment horizontal="centerContinuous" vertical="center"/>
    </xf>
    <xf numFmtId="14" fontId="62" fillId="0" borderId="2" xfId="161" quotePrefix="1" applyNumberFormat="1" applyFont="1" applyBorder="1" applyAlignment="1">
      <alignment horizontal="centerContinuous" vertical="center"/>
    </xf>
    <xf numFmtId="0" fontId="62" fillId="0" borderId="2" xfId="161" quotePrefix="1" applyFont="1" applyBorder="1" applyAlignment="1">
      <alignment horizontal="centerContinuous" vertical="center"/>
    </xf>
    <xf numFmtId="0" fontId="62" fillId="0" borderId="17" xfId="161" quotePrefix="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1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9" fillId="14" borderId="14" xfId="161" applyFont="1" applyFill="1" applyBorder="1">
      <alignment vertical="center"/>
    </xf>
    <xf numFmtId="0" fontId="80" fillId="0" borderId="0" xfId="0" applyFont="1">
      <alignment vertical="center"/>
    </xf>
    <xf numFmtId="0" fontId="21" fillId="10" borderId="26" xfId="46" applyFont="1" applyFill="1" applyBorder="1" applyAlignment="1">
      <alignment horizontal="centerContinuous"/>
    </xf>
    <xf numFmtId="0" fontId="54" fillId="0" borderId="23" xfId="161" applyFont="1" applyBorder="1" applyAlignment="1">
      <alignment horizontal="center" vertical="center"/>
    </xf>
    <xf numFmtId="0" fontId="64" fillId="0" borderId="2" xfId="161" applyFont="1" applyBorder="1" applyAlignment="1">
      <alignment horizontal="centerContinuous" vertical="center"/>
    </xf>
    <xf numFmtId="0" fontId="64" fillId="0" borderId="17" xfId="161" applyFont="1" applyBorder="1" applyAlignment="1">
      <alignment horizontal="centerContinuous" vertical="center"/>
    </xf>
    <xf numFmtId="0" fontId="70" fillId="0" borderId="15" xfId="161" applyFont="1" applyBorder="1" applyAlignment="1">
      <alignment horizontal="left" vertical="center"/>
    </xf>
    <xf numFmtId="0" fontId="70" fillId="0" borderId="12" xfId="161" applyFont="1" applyBorder="1" applyAlignment="1">
      <alignment horizontal="left" vertical="center"/>
    </xf>
    <xf numFmtId="0" fontId="70" fillId="0" borderId="12" xfId="0" applyFont="1" applyBorder="1">
      <alignment vertical="center"/>
    </xf>
    <xf numFmtId="0" fontId="70" fillId="0" borderId="12" xfId="161" applyFont="1" applyBorder="1" applyAlignment="1">
      <alignment horizontal="center" vertical="center"/>
    </xf>
    <xf numFmtId="0" fontId="70" fillId="0" borderId="12" xfId="161" applyFont="1" applyBorder="1">
      <alignment vertical="center"/>
    </xf>
    <xf numFmtId="0" fontId="70" fillId="0" borderId="12" xfId="0" applyFont="1" applyBorder="1" applyAlignment="1">
      <alignment horizontal="center" vertical="center"/>
    </xf>
    <xf numFmtId="0" fontId="70" fillId="0" borderId="7" xfId="161" applyFont="1" applyBorder="1" applyAlignment="1">
      <alignment horizontal="left" vertical="center"/>
    </xf>
    <xf numFmtId="0" fontId="70" fillId="0" borderId="8" xfId="161" applyFont="1" applyBorder="1" applyAlignment="1">
      <alignment horizontal="left" vertical="center"/>
    </xf>
    <xf numFmtId="0" fontId="70" fillId="0" borderId="8" xfId="0" applyFont="1" applyBorder="1">
      <alignment vertical="center"/>
    </xf>
    <xf numFmtId="0" fontId="70" fillId="0" borderId="8" xfId="161" applyFont="1" applyBorder="1" applyAlignment="1">
      <alignment horizontal="center" vertical="center"/>
    </xf>
    <xf numFmtId="0" fontId="70" fillId="0" borderId="8" xfId="161" applyFont="1" applyBorder="1">
      <alignment vertical="center"/>
    </xf>
    <xf numFmtId="0" fontId="70" fillId="0" borderId="8" xfId="0" applyFont="1" applyBorder="1" applyAlignment="1">
      <alignment horizontal="center" vertical="center"/>
    </xf>
    <xf numFmtId="0" fontId="21" fillId="10" borderId="0" xfId="46" applyFont="1" applyFill="1" applyAlignment="1">
      <alignment horizontal="centerContinuous"/>
    </xf>
    <xf numFmtId="0" fontId="59" fillId="19" borderId="10" xfId="180" applyFont="1" applyFill="1" applyBorder="1">
      <alignment vertical="center"/>
    </xf>
    <xf numFmtId="0" fontId="59" fillId="19" borderId="2" xfId="180" applyFont="1" applyFill="1" applyBorder="1">
      <alignment vertical="center"/>
    </xf>
    <xf numFmtId="0" fontId="54" fillId="19" borderId="2" xfId="180" applyFont="1" applyFill="1" applyBorder="1">
      <alignment vertical="center"/>
    </xf>
    <xf numFmtId="0" fontId="54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4" fillId="19" borderId="2" xfId="180" quotePrefix="1" applyFont="1" applyFill="1" applyBorder="1">
      <alignment vertical="center"/>
    </xf>
    <xf numFmtId="0" fontId="66" fillId="19" borderId="2" xfId="161" applyFont="1" applyFill="1" applyBorder="1">
      <alignment vertical="center"/>
    </xf>
    <xf numFmtId="0" fontId="54" fillId="19" borderId="2" xfId="0" applyFont="1" applyFill="1" applyBorder="1" applyAlignment="1">
      <alignment vertical="center" wrapText="1"/>
    </xf>
    <xf numFmtId="0" fontId="54" fillId="19" borderId="2" xfId="161" quotePrefix="1" applyFont="1" applyFill="1" applyBorder="1">
      <alignment vertical="center"/>
    </xf>
    <xf numFmtId="0" fontId="59" fillId="19" borderId="17" xfId="180" applyFont="1" applyFill="1" applyBorder="1">
      <alignment vertical="center"/>
    </xf>
    <xf numFmtId="0" fontId="21" fillId="0" borderId="2" xfId="0" applyFont="1" applyBorder="1" applyAlignment="1">
      <alignment horizontal="center" vertical="top"/>
    </xf>
    <xf numFmtId="0" fontId="21" fillId="22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center" vertical="top"/>
    </xf>
    <xf numFmtId="0" fontId="54" fillId="0" borderId="15" xfId="0" applyFont="1" applyBorder="1">
      <alignment vertical="center"/>
    </xf>
    <xf numFmtId="0" fontId="82" fillId="0" borderId="0" xfId="161" applyFont="1">
      <alignment vertical="center"/>
    </xf>
    <xf numFmtId="0" fontId="82" fillId="0" borderId="0" xfId="0" applyFont="1">
      <alignment vertical="center"/>
    </xf>
    <xf numFmtId="0" fontId="82" fillId="0" borderId="0" xfId="161" applyFont="1" applyAlignment="1">
      <alignment horizontal="center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70" fillId="0" borderId="0" xfId="161" applyFont="1" applyAlignment="1">
      <alignment horizontal="center" vertical="center"/>
    </xf>
    <xf numFmtId="0" fontId="70" fillId="0" borderId="0" xfId="161" applyFont="1">
      <alignment vertical="center"/>
    </xf>
    <xf numFmtId="0" fontId="70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71" fillId="0" borderId="0" xfId="161" applyFont="1" applyAlignment="1">
      <alignment horizontal="left" vertical="center"/>
    </xf>
    <xf numFmtId="0" fontId="71" fillId="0" borderId="0" xfId="0" applyFont="1">
      <alignment vertical="center"/>
    </xf>
    <xf numFmtId="0" fontId="54" fillId="14" borderId="6" xfId="161" quotePrefix="1" applyFont="1" applyFill="1" applyBorder="1">
      <alignment vertical="center"/>
    </xf>
    <xf numFmtId="0" fontId="80" fillId="14" borderId="6" xfId="161" quotePrefix="1" applyFont="1" applyFill="1" applyBorder="1">
      <alignment vertical="center"/>
    </xf>
    <xf numFmtId="0" fontId="80" fillId="14" borderId="0" xfId="161" applyFont="1" applyFill="1">
      <alignment vertical="center"/>
    </xf>
    <xf numFmtId="0" fontId="77" fillId="14" borderId="0" xfId="0" applyFont="1" applyFill="1">
      <alignment vertical="center"/>
    </xf>
    <xf numFmtId="0" fontId="55" fillId="24" borderId="15" xfId="161" applyFont="1" applyFill="1" applyBorder="1" applyAlignment="1">
      <alignment horizontal="centerContinuous" vertical="center"/>
    </xf>
    <xf numFmtId="0" fontId="55" fillId="24" borderId="12" xfId="161" applyFont="1" applyFill="1" applyBorder="1" applyAlignment="1">
      <alignment horizontal="centerContinuous" vertical="center"/>
    </xf>
    <xf numFmtId="0" fontId="55" fillId="24" borderId="13" xfId="161" applyFont="1" applyFill="1" applyBorder="1" applyAlignment="1">
      <alignment horizontal="centerContinuous" vertical="center"/>
    </xf>
    <xf numFmtId="0" fontId="55" fillId="24" borderId="15" xfId="161" quotePrefix="1" applyFont="1" applyFill="1" applyBorder="1" applyAlignment="1">
      <alignment horizontal="centerContinuous" vertical="center"/>
    </xf>
    <xf numFmtId="0" fontId="55" fillId="24" borderId="12" xfId="161" quotePrefix="1" applyFont="1" applyFill="1" applyBorder="1" applyAlignment="1">
      <alignment horizontal="centerContinuous" vertical="center"/>
    </xf>
    <xf numFmtId="0" fontId="62" fillId="24" borderId="15" xfId="161" applyFont="1" applyFill="1" applyBorder="1" applyAlignment="1">
      <alignment horizontal="centerContinuous" vertical="center"/>
    </xf>
    <xf numFmtId="0" fontId="62" fillId="24" borderId="12" xfId="161" applyFont="1" applyFill="1" applyBorder="1" applyAlignment="1">
      <alignment horizontal="centerContinuous" vertical="center"/>
    </xf>
    <xf numFmtId="0" fontId="62" fillId="24" borderId="13" xfId="161" applyFont="1" applyFill="1" applyBorder="1" applyAlignment="1">
      <alignment horizontal="centerContinuous" vertical="center"/>
    </xf>
    <xf numFmtId="0" fontId="55" fillId="24" borderId="7" xfId="161" quotePrefix="1" applyFont="1" applyFill="1" applyBorder="1" applyAlignment="1">
      <alignment horizontal="centerContinuous" vertical="center"/>
    </xf>
    <xf numFmtId="0" fontId="55" fillId="24" borderId="8" xfId="161" applyFont="1" applyFill="1" applyBorder="1" applyAlignment="1">
      <alignment horizontal="centerContinuous" vertical="center"/>
    </xf>
    <xf numFmtId="0" fontId="55" fillId="24" borderId="14" xfId="161" applyFont="1" applyFill="1" applyBorder="1" applyAlignment="1">
      <alignment horizontal="centerContinuous" vertical="center"/>
    </xf>
    <xf numFmtId="0" fontId="55" fillId="24" borderId="8" xfId="161" quotePrefix="1" applyFont="1" applyFill="1" applyBorder="1" applyAlignment="1">
      <alignment horizontal="centerContinuous" vertical="center"/>
    </xf>
    <xf numFmtId="0" fontId="62" fillId="24" borderId="7" xfId="161" quotePrefix="1" applyFont="1" applyFill="1" applyBorder="1" applyAlignment="1">
      <alignment horizontal="centerContinuous" vertical="center"/>
    </xf>
    <xf numFmtId="0" fontId="62" fillId="24" borderId="8" xfId="161" quotePrefix="1" applyFont="1" applyFill="1" applyBorder="1" applyAlignment="1">
      <alignment horizontal="centerContinuous" vertical="center"/>
    </xf>
    <xf numFmtId="0" fontId="62" fillId="24" borderId="8" xfId="161" applyFont="1" applyFill="1" applyBorder="1" applyAlignment="1">
      <alignment horizontal="centerContinuous" vertical="center"/>
    </xf>
    <xf numFmtId="0" fontId="62" fillId="24" borderId="14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left" vertical="center"/>
    </xf>
    <xf numFmtId="0" fontId="62" fillId="0" borderId="2" xfId="161" quotePrefix="1" applyFont="1" applyBorder="1" applyAlignment="1">
      <alignment horizontal="left" vertical="center"/>
    </xf>
    <xf numFmtId="0" fontId="54" fillId="25" borderId="2" xfId="161" quotePrefix="1" applyFont="1" applyFill="1" applyBorder="1">
      <alignment vertical="center"/>
    </xf>
    <xf numFmtId="0" fontId="54" fillId="25" borderId="2" xfId="161" applyFont="1" applyFill="1" applyBorder="1">
      <alignment vertical="center"/>
    </xf>
    <xf numFmtId="0" fontId="55" fillId="25" borderId="2" xfId="0" applyFont="1" applyFill="1" applyBorder="1">
      <alignment vertical="center"/>
    </xf>
    <xf numFmtId="0" fontId="54" fillId="25" borderId="2" xfId="0" quotePrefix="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4" fillId="25" borderId="2" xfId="0" applyFont="1" applyFill="1" applyBorder="1" applyAlignment="1">
      <alignment horizontal="center" vertical="center"/>
    </xf>
    <xf numFmtId="0" fontId="54" fillId="25" borderId="2" xfId="0" applyFont="1" applyFill="1" applyBorder="1" applyAlignment="1">
      <alignment horizontal="left" vertical="center"/>
    </xf>
    <xf numFmtId="0" fontId="54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80" fillId="25" borderId="2" xfId="0" applyFont="1" applyFill="1" applyBorder="1">
      <alignment vertical="center"/>
    </xf>
    <xf numFmtId="0" fontId="81" fillId="14" borderId="0" xfId="0" applyFont="1" applyFill="1">
      <alignment vertical="center"/>
    </xf>
    <xf numFmtId="0" fontId="55" fillId="21" borderId="15" xfId="161" applyFont="1" applyFill="1" applyBorder="1" applyAlignment="1">
      <alignment horizontal="centerContinuous" vertical="center"/>
    </xf>
    <xf numFmtId="0" fontId="55" fillId="21" borderId="12" xfId="161" applyFont="1" applyFill="1" applyBorder="1" applyAlignment="1">
      <alignment horizontal="centerContinuous" vertical="center"/>
    </xf>
    <xf numFmtId="0" fontId="55" fillId="21" borderId="13" xfId="161" applyFont="1" applyFill="1" applyBorder="1" applyAlignment="1">
      <alignment horizontal="centerContinuous" vertical="center"/>
    </xf>
    <xf numFmtId="0" fontId="55" fillId="21" borderId="15" xfId="161" quotePrefix="1" applyFont="1" applyFill="1" applyBorder="1" applyAlignment="1">
      <alignment horizontal="centerContinuous" vertical="center"/>
    </xf>
    <xf numFmtId="0" fontId="55" fillId="21" borderId="12" xfId="161" quotePrefix="1" applyFont="1" applyFill="1" applyBorder="1" applyAlignment="1">
      <alignment horizontal="centerContinuous" vertical="center"/>
    </xf>
    <xf numFmtId="0" fontId="62" fillId="21" borderId="15" xfId="161" applyFont="1" applyFill="1" applyBorder="1" applyAlignment="1">
      <alignment horizontal="centerContinuous" vertical="center"/>
    </xf>
    <xf numFmtId="0" fontId="62" fillId="21" borderId="12" xfId="161" applyFont="1" applyFill="1" applyBorder="1" applyAlignment="1">
      <alignment horizontal="centerContinuous" vertical="center"/>
    </xf>
    <xf numFmtId="0" fontId="62" fillId="21" borderId="13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centerContinuous" vertical="center"/>
    </xf>
    <xf numFmtId="0" fontId="55" fillId="26" borderId="15" xfId="161" applyFont="1" applyFill="1" applyBorder="1" applyAlignment="1">
      <alignment horizontal="centerContinuous" vertical="center"/>
    </xf>
    <xf numFmtId="0" fontId="55" fillId="26" borderId="12" xfId="161" applyFont="1" applyFill="1" applyBorder="1" applyAlignment="1">
      <alignment horizontal="centerContinuous" vertical="center"/>
    </xf>
    <xf numFmtId="0" fontId="55" fillId="26" borderId="13" xfId="161" applyFont="1" applyFill="1" applyBorder="1" applyAlignment="1">
      <alignment horizontal="centerContinuous" vertical="center"/>
    </xf>
    <xf numFmtId="0" fontId="55" fillId="26" borderId="15" xfId="161" quotePrefix="1" applyFont="1" applyFill="1" applyBorder="1" applyAlignment="1">
      <alignment horizontal="centerContinuous" vertical="center"/>
    </xf>
    <xf numFmtId="0" fontId="55" fillId="26" borderId="12" xfId="161" quotePrefix="1" applyFont="1" applyFill="1" applyBorder="1" applyAlignment="1">
      <alignment horizontal="centerContinuous" vertical="center"/>
    </xf>
    <xf numFmtId="0" fontId="62" fillId="26" borderId="15" xfId="161" applyFont="1" applyFill="1" applyBorder="1" applyAlignment="1">
      <alignment horizontal="centerContinuous" vertical="center"/>
    </xf>
    <xf numFmtId="0" fontId="62" fillId="26" borderId="12" xfId="161" applyFont="1" applyFill="1" applyBorder="1" applyAlignment="1">
      <alignment horizontal="centerContinuous" vertical="center"/>
    </xf>
    <xf numFmtId="0" fontId="62" fillId="26" borderId="13" xfId="161" applyFont="1" applyFill="1" applyBorder="1" applyAlignment="1">
      <alignment horizontal="centerContinuous" vertical="center"/>
    </xf>
    <xf numFmtId="0" fontId="62" fillId="26" borderId="12" xfId="161" quotePrefix="1" applyFont="1" applyFill="1" applyBorder="1" applyAlignment="1">
      <alignment horizontal="centerContinuous" vertical="center"/>
    </xf>
    <xf numFmtId="183" fontId="62" fillId="0" borderId="2" xfId="161" quotePrefix="1" applyNumberFormat="1" applyFont="1" applyBorder="1" applyAlignment="1">
      <alignment horizontal="right" vertical="center"/>
    </xf>
    <xf numFmtId="0" fontId="62" fillId="26" borderId="15" xfId="161" quotePrefix="1" applyFont="1" applyFill="1" applyBorder="1" applyAlignment="1">
      <alignment horizontal="centerContinuous" vertical="center"/>
    </xf>
    <xf numFmtId="0" fontId="89" fillId="0" borderId="0" xfId="0" applyFont="1">
      <alignment vertical="center"/>
    </xf>
    <xf numFmtId="0" fontId="74" fillId="14" borderId="8" xfId="0" applyFont="1" applyFill="1" applyBorder="1">
      <alignment vertical="center"/>
    </xf>
    <xf numFmtId="0" fontId="54" fillId="14" borderId="6" xfId="180" applyFont="1" applyFill="1" applyBorder="1">
      <alignment vertical="center"/>
    </xf>
    <xf numFmtId="0" fontId="54" fillId="14" borderId="2" xfId="180" quotePrefix="1" applyFont="1" applyFill="1" applyBorder="1">
      <alignment vertical="center"/>
    </xf>
    <xf numFmtId="0" fontId="54" fillId="14" borderId="2" xfId="180" applyFont="1" applyFill="1" applyBorder="1">
      <alignment vertical="center"/>
    </xf>
    <xf numFmtId="0" fontId="54" fillId="14" borderId="2" xfId="180" applyFont="1" applyFill="1" applyBorder="1" applyAlignment="1">
      <alignment horizontal="center" vertical="center"/>
    </xf>
    <xf numFmtId="0" fontId="55" fillId="14" borderId="3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65" fillId="14" borderId="3" xfId="180" applyFont="1" applyFill="1" applyBorder="1" applyAlignment="1">
      <alignment horizontal="center" vertical="center"/>
    </xf>
    <xf numFmtId="0" fontId="54" fillId="0" borderId="28" xfId="0" applyFont="1" applyBorder="1">
      <alignment vertical="center"/>
    </xf>
    <xf numFmtId="0" fontId="54" fillId="14" borderId="28" xfId="161" applyFont="1" applyFill="1" applyBorder="1">
      <alignment vertical="center"/>
    </xf>
    <xf numFmtId="0" fontId="54" fillId="14" borderId="29" xfId="161" applyFont="1" applyFill="1" applyBorder="1">
      <alignment vertical="center"/>
    </xf>
    <xf numFmtId="0" fontId="55" fillId="14" borderId="33" xfId="161" applyFont="1" applyFill="1" applyBorder="1">
      <alignment vertical="center"/>
    </xf>
    <xf numFmtId="0" fontId="54" fillId="14" borderId="34" xfId="161" applyFont="1" applyFill="1" applyBorder="1">
      <alignment vertical="center"/>
    </xf>
    <xf numFmtId="0" fontId="55" fillId="14" borderId="30" xfId="161" applyFont="1" applyFill="1" applyBorder="1">
      <alignment vertical="center"/>
    </xf>
    <xf numFmtId="0" fontId="54" fillId="14" borderId="31" xfId="161" applyFont="1" applyFill="1" applyBorder="1">
      <alignment vertical="center"/>
    </xf>
    <xf numFmtId="0" fontId="54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5" fillId="0" borderId="31" xfId="161" applyFont="1" applyBorder="1">
      <alignment vertical="center"/>
    </xf>
    <xf numFmtId="0" fontId="54" fillId="0" borderId="31" xfId="161" applyFont="1" applyBorder="1">
      <alignment vertical="center"/>
    </xf>
    <xf numFmtId="0" fontId="54" fillId="0" borderId="31" xfId="0" applyFont="1" applyBorder="1" applyAlignment="1">
      <alignment vertical="center" wrapText="1"/>
    </xf>
    <xf numFmtId="0" fontId="54" fillId="0" borderId="31" xfId="161" quotePrefix="1" applyFont="1" applyBorder="1">
      <alignment vertical="center"/>
    </xf>
    <xf numFmtId="0" fontId="54" fillId="0" borderId="31" xfId="161" applyFont="1" applyBorder="1" applyAlignment="1">
      <alignment horizontal="center" vertical="center"/>
    </xf>
    <xf numFmtId="0" fontId="54" fillId="14" borderId="32" xfId="161" applyFont="1" applyFill="1" applyBorder="1">
      <alignment vertical="center"/>
    </xf>
    <xf numFmtId="0" fontId="54" fillId="0" borderId="28" xfId="161" quotePrefix="1" applyFont="1" applyBorder="1">
      <alignment vertical="center"/>
    </xf>
    <xf numFmtId="0" fontId="54" fillId="0" borderId="28" xfId="161" applyFont="1" applyBorder="1">
      <alignment vertical="center"/>
    </xf>
    <xf numFmtId="0" fontId="54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4" fillId="14" borderId="33" xfId="0" applyFont="1" applyFill="1" applyBorder="1">
      <alignment vertical="center"/>
    </xf>
    <xf numFmtId="0" fontId="54" fillId="0" borderId="34" xfId="161" applyFont="1" applyBorder="1">
      <alignment vertical="center"/>
    </xf>
    <xf numFmtId="0" fontId="65" fillId="0" borderId="33" xfId="180" applyFont="1" applyBorder="1" applyAlignment="1">
      <alignment vertical="top"/>
    </xf>
    <xf numFmtId="0" fontId="54" fillId="0" borderId="0" xfId="180" applyFont="1" applyAlignment="1">
      <alignment vertical="top"/>
    </xf>
    <xf numFmtId="0" fontId="54" fillId="14" borderId="34" xfId="180" applyFont="1" applyFill="1" applyBorder="1">
      <alignment vertical="center"/>
    </xf>
    <xf numFmtId="0" fontId="54" fillId="14" borderId="33" xfId="161" applyFont="1" applyFill="1" applyBorder="1" applyAlignment="1">
      <alignment horizontal="left" vertical="center"/>
    </xf>
    <xf numFmtId="0" fontId="54" fillId="14" borderId="30" xfId="161" applyFont="1" applyFill="1" applyBorder="1" applyAlignment="1">
      <alignment horizontal="left" vertical="center"/>
    </xf>
    <xf numFmtId="0" fontId="54" fillId="14" borderId="31" xfId="161" applyFont="1" applyFill="1" applyBorder="1" applyAlignment="1">
      <alignment horizontal="left" vertical="center"/>
    </xf>
    <xf numFmtId="0" fontId="70" fillId="0" borderId="31" xfId="161" applyFont="1" applyBorder="1" applyAlignment="1">
      <alignment horizontal="left" vertical="center"/>
    </xf>
    <xf numFmtId="0" fontId="70" fillId="0" borderId="31" xfId="0" applyFont="1" applyBorder="1">
      <alignment vertical="center"/>
    </xf>
    <xf numFmtId="0" fontId="70" fillId="0" borderId="31" xfId="161" applyFont="1" applyBorder="1" applyAlignment="1">
      <alignment horizontal="center" vertical="center"/>
    </xf>
    <xf numFmtId="0" fontId="70" fillId="0" borderId="31" xfId="161" applyFont="1" applyBorder="1">
      <alignment vertical="center"/>
    </xf>
    <xf numFmtId="0" fontId="70" fillId="0" borderId="31" xfId="0" applyFont="1" applyBorder="1" applyAlignment="1">
      <alignment horizontal="center" vertical="center"/>
    </xf>
    <xf numFmtId="0" fontId="54" fillId="0" borderId="32" xfId="161" applyFont="1" applyBorder="1">
      <alignment vertical="center"/>
    </xf>
    <xf numFmtId="0" fontId="77" fillId="14" borderId="27" xfId="0" applyFont="1" applyFill="1" applyBorder="1">
      <alignment vertical="center"/>
    </xf>
    <xf numFmtId="0" fontId="54" fillId="0" borderId="28" xfId="161" quotePrefix="1" applyFont="1" applyBorder="1" applyAlignment="1">
      <alignment horizontal="left" vertical="center"/>
    </xf>
    <xf numFmtId="0" fontId="54" fillId="0" borderId="28" xfId="161" applyFont="1" applyBorder="1" applyAlignment="1">
      <alignment horizontal="left" vertical="center"/>
    </xf>
    <xf numFmtId="0" fontId="55" fillId="0" borderId="15" xfId="161" applyFont="1" applyBorder="1">
      <alignment vertical="center"/>
    </xf>
    <xf numFmtId="0" fontId="81" fillId="14" borderId="28" xfId="0" applyFont="1" applyFill="1" applyBorder="1">
      <alignment vertical="center"/>
    </xf>
    <xf numFmtId="0" fontId="59" fillId="14" borderId="28" xfId="161" applyFont="1" applyFill="1" applyBorder="1">
      <alignment vertical="center"/>
    </xf>
    <xf numFmtId="0" fontId="21" fillId="10" borderId="28" xfId="46" applyFont="1" applyFill="1" applyBorder="1" applyAlignment="1">
      <alignment horizontal="centerContinuous"/>
    </xf>
    <xf numFmtId="0" fontId="21" fillId="10" borderId="29" xfId="46" applyFont="1" applyFill="1" applyBorder="1" applyAlignment="1">
      <alignment horizontal="centerContinuous"/>
    </xf>
    <xf numFmtId="0" fontId="62" fillId="19" borderId="35" xfId="161" applyFont="1" applyFill="1" applyBorder="1" applyAlignment="1">
      <alignment horizontal="center" vertical="center"/>
    </xf>
    <xf numFmtId="0" fontId="62" fillId="24" borderId="36" xfId="161" applyFont="1" applyFill="1" applyBorder="1" applyAlignment="1">
      <alignment horizontal="centerContinuous" vertical="center"/>
    </xf>
    <xf numFmtId="0" fontId="55" fillId="19" borderId="37" xfId="161" applyFont="1" applyFill="1" applyBorder="1" applyAlignment="1">
      <alignment horizontal="centerContinuous" vertical="center"/>
    </xf>
    <xf numFmtId="0" fontId="62" fillId="24" borderId="38" xfId="161" quotePrefix="1" applyFont="1" applyFill="1" applyBorder="1" applyAlignment="1">
      <alignment horizontal="centerContinuous" vertical="center"/>
    </xf>
    <xf numFmtId="0" fontId="54" fillId="19" borderId="39" xfId="161" quotePrefix="1" applyFont="1" applyFill="1" applyBorder="1" applyAlignment="1">
      <alignment horizontal="center" vertical="center"/>
    </xf>
    <xf numFmtId="14" fontId="62" fillId="0" borderId="40" xfId="161" quotePrefix="1" applyNumberFormat="1" applyFont="1" applyBorder="1" applyAlignment="1">
      <alignment horizontal="centerContinuous" vertical="center"/>
    </xf>
    <xf numFmtId="0" fontId="65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4" fillId="0" borderId="33" xfId="0" applyFont="1" applyBorder="1">
      <alignment vertical="center"/>
    </xf>
    <xf numFmtId="0" fontId="86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7" fillId="14" borderId="30" xfId="0" applyFont="1" applyFill="1" applyBorder="1">
      <alignment vertical="center"/>
    </xf>
    <xf numFmtId="0" fontId="54" fillId="0" borderId="31" xfId="161" quotePrefix="1" applyFont="1" applyBorder="1" applyAlignment="1">
      <alignment horizontal="left" vertical="center"/>
    </xf>
    <xf numFmtId="0" fontId="54" fillId="0" borderId="31" xfId="161" applyFont="1" applyBorder="1" applyAlignment="1">
      <alignment horizontal="left" vertical="center"/>
    </xf>
    <xf numFmtId="0" fontId="81" fillId="14" borderId="31" xfId="0" applyFont="1" applyFill="1" applyBorder="1">
      <alignment vertical="center"/>
    </xf>
    <xf numFmtId="0" fontId="59" fillId="14" borderId="31" xfId="161" applyFont="1" applyFill="1" applyBorder="1">
      <alignment vertical="center"/>
    </xf>
    <xf numFmtId="0" fontId="21" fillId="10" borderId="31" xfId="46" applyFont="1" applyFill="1" applyBorder="1" applyAlignment="1">
      <alignment horizontal="centerContinuous"/>
    </xf>
    <xf numFmtId="0" fontId="21" fillId="10" borderId="32" xfId="46" applyFont="1" applyFill="1" applyBorder="1" applyAlignment="1">
      <alignment horizontal="centerContinuous"/>
    </xf>
    <xf numFmtId="0" fontId="55" fillId="0" borderId="8" xfId="161" quotePrefix="1" applyFont="1" applyBorder="1">
      <alignment vertical="center"/>
    </xf>
    <xf numFmtId="0" fontId="59" fillId="14" borderId="12" xfId="161" applyFont="1" applyFill="1" applyBorder="1">
      <alignment vertical="center"/>
    </xf>
    <xf numFmtId="0" fontId="21" fillId="10" borderId="12" xfId="46" applyFont="1" applyFill="1" applyBorder="1" applyAlignment="1">
      <alignment horizontal="centerContinuous"/>
    </xf>
    <xf numFmtId="0" fontId="21" fillId="10" borderId="36" xfId="46" applyFont="1" applyFill="1" applyBorder="1" applyAlignment="1">
      <alignment horizontal="centerContinuous"/>
    </xf>
    <xf numFmtId="0" fontId="21" fillId="10" borderId="34" xfId="46" applyFont="1" applyFill="1" applyBorder="1" applyAlignment="1">
      <alignment horizontal="centerContinuous"/>
    </xf>
    <xf numFmtId="0" fontId="21" fillId="10" borderId="8" xfId="46" applyFont="1" applyFill="1" applyBorder="1" applyAlignment="1">
      <alignment horizontal="centerContinuous"/>
    </xf>
    <xf numFmtId="0" fontId="21" fillId="10" borderId="38" xfId="46" applyFont="1" applyFill="1" applyBorder="1" applyAlignment="1">
      <alignment horizontal="centerContinuous"/>
    </xf>
    <xf numFmtId="0" fontId="21" fillId="10" borderId="2" xfId="46" applyFont="1" applyFill="1" applyBorder="1" applyAlignment="1">
      <alignment horizontal="centerContinuous"/>
    </xf>
    <xf numFmtId="0" fontId="62" fillId="26" borderId="10" xfId="161" applyFont="1" applyFill="1" applyBorder="1" applyAlignment="1">
      <alignment horizontal="centerContinuous" vertical="center"/>
    </xf>
    <xf numFmtId="0" fontId="54" fillId="0" borderId="0" xfId="161" quotePrefix="1" applyFont="1" applyAlignment="1">
      <alignment horizontal="center" vertical="center"/>
    </xf>
    <xf numFmtId="0" fontId="75" fillId="0" borderId="0" xfId="0" applyFont="1">
      <alignment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0" fontId="21" fillId="10" borderId="16" xfId="46" applyFont="1" applyFill="1" applyBorder="1" applyAlignment="1">
      <alignment horizontal="center"/>
    </xf>
    <xf numFmtId="0" fontId="21" fillId="10" borderId="9" xfId="46" applyFont="1" applyFill="1" applyBorder="1" applyAlignment="1">
      <alignment horizontal="center"/>
    </xf>
    <xf numFmtId="0" fontId="77" fillId="14" borderId="33" xfId="0" applyFont="1" applyFill="1" applyBorder="1">
      <alignment vertical="center"/>
    </xf>
    <xf numFmtId="0" fontId="21" fillId="10" borderId="40" xfId="46" applyFont="1" applyFill="1" applyBorder="1" applyAlignment="1">
      <alignment horizontal="centerContinuous"/>
    </xf>
    <xf numFmtId="0" fontId="55" fillId="0" borderId="33" xfId="161" applyFont="1" applyBorder="1">
      <alignment vertical="center"/>
    </xf>
    <xf numFmtId="0" fontId="77" fillId="0" borderId="33" xfId="0" applyFont="1" applyBorder="1">
      <alignment vertical="center"/>
    </xf>
    <xf numFmtId="0" fontId="62" fillId="0" borderId="33" xfId="161" applyFont="1" applyBorder="1" applyAlignment="1">
      <alignment horizontal="center" vertical="center"/>
    </xf>
    <xf numFmtId="0" fontId="54" fillId="0" borderId="33" xfId="161" quotePrefix="1" applyFont="1" applyBorder="1" applyAlignment="1">
      <alignment horizontal="center" vertical="center"/>
    </xf>
    <xf numFmtId="0" fontId="21" fillId="10" borderId="42" xfId="46" applyFont="1" applyFill="1" applyBorder="1" applyAlignment="1">
      <alignment horizontal="centerContinuous"/>
    </xf>
    <xf numFmtId="0" fontId="21" fillId="10" borderId="43" xfId="46" applyFont="1" applyFill="1" applyBorder="1" applyAlignment="1">
      <alignment horizontal="centerContinuous"/>
    </xf>
    <xf numFmtId="0" fontId="21" fillId="10" borderId="11" xfId="46" applyFont="1" applyFill="1" applyBorder="1" applyAlignment="1">
      <alignment horizontal="centerContinuous"/>
    </xf>
    <xf numFmtId="0" fontId="76" fillId="14" borderId="0" xfId="180" applyFont="1" applyFill="1">
      <alignment vertical="center"/>
    </xf>
    <xf numFmtId="0" fontId="54" fillId="0" borderId="34" xfId="0" applyFont="1" applyBorder="1">
      <alignment vertical="center"/>
    </xf>
    <xf numFmtId="0" fontId="66" fillId="19" borderId="41" xfId="180" applyFont="1" applyFill="1" applyBorder="1" applyAlignment="1">
      <alignment horizontal="centerContinuous" vertical="center"/>
    </xf>
    <xf numFmtId="0" fontId="78" fillId="14" borderId="41" xfId="180" quotePrefix="1" applyFont="1" applyFill="1" applyBorder="1">
      <alignment vertical="center"/>
    </xf>
    <xf numFmtId="14" fontId="54" fillId="14" borderId="2" xfId="180" applyNumberFormat="1" applyFont="1" applyFill="1" applyBorder="1" applyAlignment="1">
      <alignment horizontal="centerContinuous" vertical="center"/>
    </xf>
    <xf numFmtId="0" fontId="54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4" fillId="14" borderId="44" xfId="161" applyFont="1" applyFill="1" applyBorder="1">
      <alignment vertical="center"/>
    </xf>
    <xf numFmtId="185" fontId="62" fillId="0" borderId="0" xfId="161" quotePrefix="1" applyNumberFormat="1" applyFont="1" applyAlignment="1">
      <alignment horizontal="right" vertical="center"/>
    </xf>
    <xf numFmtId="0" fontId="21" fillId="10" borderId="21" xfId="46" applyFont="1" applyFill="1" applyBorder="1" applyAlignment="1">
      <alignment horizontal="center"/>
    </xf>
    <xf numFmtId="0" fontId="21" fillId="10" borderId="22" xfId="46" applyFont="1" applyFill="1" applyBorder="1" applyAlignment="1">
      <alignment horizontal="center"/>
    </xf>
    <xf numFmtId="0" fontId="62" fillId="21" borderId="10" xfId="161" applyFont="1" applyFill="1" applyBorder="1" applyAlignment="1">
      <alignment horizontal="centerContinuous" vertical="center"/>
    </xf>
    <xf numFmtId="0" fontId="62" fillId="26" borderId="10" xfId="161" quotePrefix="1" applyFont="1" applyFill="1" applyBorder="1" applyAlignment="1">
      <alignment horizontal="centerContinuous" vertical="center"/>
    </xf>
    <xf numFmtId="0" fontId="79" fillId="14" borderId="0" xfId="161" applyFont="1" applyFill="1">
      <alignment vertical="center"/>
    </xf>
    <xf numFmtId="14" fontId="54" fillId="0" borderId="0" xfId="161" quotePrefix="1" applyNumberFormat="1" applyFont="1">
      <alignment vertical="center"/>
    </xf>
    <xf numFmtId="0" fontId="65" fillId="0" borderId="0" xfId="180" applyFont="1" applyAlignment="1">
      <alignment vertical="top"/>
    </xf>
    <xf numFmtId="0" fontId="55" fillId="14" borderId="0" xfId="180" applyFont="1" applyFill="1" applyAlignment="1">
      <alignment horizontal="center" vertical="center"/>
    </xf>
    <xf numFmtId="0" fontId="65" fillId="14" borderId="0" xfId="180" applyFont="1" applyFill="1" applyAlignment="1">
      <alignment horizontal="center" vertical="center"/>
    </xf>
    <xf numFmtId="0" fontId="70" fillId="0" borderId="28" xfId="161" applyFont="1" applyBorder="1" applyAlignment="1">
      <alignment horizontal="left" vertical="center"/>
    </xf>
    <xf numFmtId="0" fontId="70" fillId="0" borderId="28" xfId="0" applyFont="1" applyBorder="1">
      <alignment vertical="center"/>
    </xf>
    <xf numFmtId="0" fontId="70" fillId="0" borderId="28" xfId="161" applyFont="1" applyBorder="1" applyAlignment="1">
      <alignment horizontal="center" vertical="center"/>
    </xf>
    <xf numFmtId="0" fontId="70" fillId="0" borderId="28" xfId="161" applyFont="1" applyBorder="1">
      <alignment vertical="center"/>
    </xf>
    <xf numFmtId="0" fontId="70" fillId="0" borderId="28" xfId="0" applyFont="1" applyBorder="1" applyAlignment="1">
      <alignment horizontal="center" vertical="center"/>
    </xf>
    <xf numFmtId="0" fontId="77" fillId="27" borderId="27" xfId="0" applyFont="1" applyFill="1" applyBorder="1">
      <alignment vertical="center"/>
    </xf>
    <xf numFmtId="0" fontId="54" fillId="27" borderId="28" xfId="0" applyFont="1" applyFill="1" applyBorder="1">
      <alignment vertical="center"/>
    </xf>
    <xf numFmtId="0" fontId="54" fillId="27" borderId="28" xfId="161" quotePrefix="1" applyFont="1" applyFill="1" applyBorder="1" applyAlignment="1">
      <alignment horizontal="left" vertical="center"/>
    </xf>
    <xf numFmtId="0" fontId="54" fillId="27" borderId="28" xfId="161" quotePrefix="1" applyFont="1" applyFill="1" applyBorder="1">
      <alignment vertical="center"/>
    </xf>
    <xf numFmtId="0" fontId="54" fillId="27" borderId="28" xfId="161" applyFont="1" applyFill="1" applyBorder="1">
      <alignment vertical="center"/>
    </xf>
    <xf numFmtId="0" fontId="54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4" fillId="27" borderId="28" xfId="161" applyFont="1" applyFill="1" applyBorder="1" applyAlignment="1">
      <alignment horizontal="center" vertical="center"/>
    </xf>
    <xf numFmtId="0" fontId="55" fillId="27" borderId="33" xfId="161" applyFont="1" applyFill="1" applyBorder="1">
      <alignment vertical="center"/>
    </xf>
    <xf numFmtId="0" fontId="54" fillId="27" borderId="0" xfId="0" applyFont="1" applyFill="1">
      <alignment vertical="center"/>
    </xf>
    <xf numFmtId="0" fontId="54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4" fillId="27" borderId="0" xfId="161" applyFont="1" applyFill="1" applyAlignment="1">
      <alignment horizontal="center" vertical="center"/>
    </xf>
    <xf numFmtId="0" fontId="54" fillId="27" borderId="0" xfId="161" applyFont="1" applyFill="1">
      <alignment vertical="center"/>
    </xf>
    <xf numFmtId="0" fontId="54" fillId="27" borderId="0" xfId="161" quotePrefix="1" applyFont="1" applyFill="1">
      <alignment vertical="center"/>
    </xf>
    <xf numFmtId="0" fontId="54" fillId="27" borderId="30" xfId="161" applyFont="1" applyFill="1" applyBorder="1" applyAlignment="1">
      <alignment horizontal="left" vertical="center"/>
    </xf>
    <xf numFmtId="0" fontId="54" fillId="27" borderId="31" xfId="161" applyFont="1" applyFill="1" applyBorder="1" applyAlignment="1">
      <alignment horizontal="left" vertical="center"/>
    </xf>
    <xf numFmtId="0" fontId="70" fillId="27" borderId="31" xfId="161" applyFont="1" applyFill="1" applyBorder="1" applyAlignment="1">
      <alignment horizontal="left" vertical="center"/>
    </xf>
    <xf numFmtId="0" fontId="70" fillId="27" borderId="31" xfId="0" applyFont="1" applyFill="1" applyBorder="1">
      <alignment vertical="center"/>
    </xf>
    <xf numFmtId="0" fontId="70" fillId="27" borderId="31" xfId="161" applyFont="1" applyFill="1" applyBorder="1" applyAlignment="1">
      <alignment horizontal="center" vertical="center"/>
    </xf>
    <xf numFmtId="0" fontId="70" fillId="27" borderId="31" xfId="161" applyFont="1" applyFill="1" applyBorder="1">
      <alignment vertical="center"/>
    </xf>
    <xf numFmtId="0" fontId="70" fillId="27" borderId="31" xfId="0" applyFont="1" applyFill="1" applyBorder="1" applyAlignment="1">
      <alignment horizontal="center" vertical="center"/>
    </xf>
    <xf numFmtId="0" fontId="54" fillId="27" borderId="31" xfId="161" applyFont="1" applyFill="1" applyBorder="1" applyAlignment="1">
      <alignment horizontal="center" vertical="center"/>
    </xf>
    <xf numFmtId="0" fontId="54" fillId="14" borderId="10" xfId="161" quotePrefix="1" applyFont="1" applyFill="1" applyBorder="1">
      <alignment vertical="center"/>
    </xf>
    <xf numFmtId="0" fontId="90" fillId="14" borderId="33" xfId="161" applyFont="1" applyFill="1" applyBorder="1">
      <alignment vertical="center"/>
    </xf>
    <xf numFmtId="0" fontId="86" fillId="0" borderId="33" xfId="161" quotePrefix="1" applyFont="1" applyBorder="1" applyAlignment="1">
      <alignment horizontal="left" vertical="center"/>
    </xf>
    <xf numFmtId="0" fontId="54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5" fillId="0" borderId="12" xfId="0" applyFont="1" applyBorder="1">
      <alignment vertical="center"/>
    </xf>
    <xf numFmtId="0" fontId="54" fillId="0" borderId="12" xfId="0" quotePrefix="1" applyFont="1" applyBorder="1">
      <alignment vertical="center"/>
    </xf>
    <xf numFmtId="0" fontId="54" fillId="0" borderId="12" xfId="0" applyFont="1" applyBorder="1" applyAlignment="1">
      <alignment horizontal="center" vertical="center"/>
    </xf>
    <xf numFmtId="0" fontId="54" fillId="0" borderId="12" xfId="0" applyFont="1" applyBorder="1" applyAlignment="1">
      <alignment horizontal="left" vertical="center"/>
    </xf>
    <xf numFmtId="0" fontId="62" fillId="19" borderId="45" xfId="161" applyFont="1" applyFill="1" applyBorder="1" applyAlignment="1">
      <alignment horizontal="center" vertical="center"/>
    </xf>
    <xf numFmtId="0" fontId="55" fillId="28" borderId="46" xfId="161" applyFont="1" applyFill="1" applyBorder="1" applyAlignment="1">
      <alignment horizontal="centerContinuous" vertical="center"/>
    </xf>
    <xf numFmtId="0" fontId="55" fillId="28" borderId="28" xfId="161" applyFont="1" applyFill="1" applyBorder="1" applyAlignment="1">
      <alignment horizontal="centerContinuous" vertical="center"/>
    </xf>
    <xf numFmtId="0" fontId="55" fillId="28" borderId="42" xfId="161" applyFont="1" applyFill="1" applyBorder="1" applyAlignment="1">
      <alignment horizontal="centerContinuous" vertical="center"/>
    </xf>
    <xf numFmtId="0" fontId="55" fillId="28" borderId="46" xfId="161" quotePrefix="1" applyFont="1" applyFill="1" applyBorder="1" applyAlignment="1">
      <alignment horizontal="centerContinuous" vertical="center"/>
    </xf>
    <xf numFmtId="0" fontId="55" fillId="28" borderId="28" xfId="161" quotePrefix="1" applyFont="1" applyFill="1" applyBorder="1" applyAlignment="1">
      <alignment horizontal="centerContinuous" vertical="center"/>
    </xf>
    <xf numFmtId="0" fontId="62" fillId="28" borderId="46" xfId="161" applyFont="1" applyFill="1" applyBorder="1" applyAlignment="1">
      <alignment horizontal="centerContinuous" vertical="center"/>
    </xf>
    <xf numFmtId="0" fontId="62" fillId="28" borderId="28" xfId="161" applyFont="1" applyFill="1" applyBorder="1" applyAlignment="1">
      <alignment horizontal="centerContinuous" vertical="center"/>
    </xf>
    <xf numFmtId="0" fontId="62" fillId="28" borderId="42" xfId="161" applyFont="1" applyFill="1" applyBorder="1" applyAlignment="1">
      <alignment horizontal="centerContinuous" vertical="center"/>
    </xf>
    <xf numFmtId="0" fontId="55" fillId="20" borderId="46" xfId="161" applyFont="1" applyFill="1" applyBorder="1" applyAlignment="1">
      <alignment horizontal="centerContinuous" vertical="center"/>
    </xf>
    <xf numFmtId="0" fontId="55" fillId="20" borderId="28" xfId="161" applyFont="1" applyFill="1" applyBorder="1" applyAlignment="1">
      <alignment horizontal="centerContinuous" vertical="center"/>
    </xf>
    <xf numFmtId="0" fontId="55" fillId="20" borderId="42" xfId="161" applyFont="1" applyFill="1" applyBorder="1" applyAlignment="1">
      <alignment horizontal="centerContinuous" vertical="center"/>
    </xf>
    <xf numFmtId="0" fontId="55" fillId="20" borderId="46" xfId="161" quotePrefix="1" applyFont="1" applyFill="1" applyBorder="1" applyAlignment="1">
      <alignment horizontal="centerContinuous" vertical="center"/>
    </xf>
    <xf numFmtId="0" fontId="55" fillId="20" borderId="28" xfId="161" quotePrefix="1" applyFont="1" applyFill="1" applyBorder="1" applyAlignment="1">
      <alignment horizontal="centerContinuous" vertical="center"/>
    </xf>
    <xf numFmtId="0" fontId="62" fillId="20" borderId="46" xfId="161" applyFont="1" applyFill="1" applyBorder="1" applyAlignment="1">
      <alignment horizontal="centerContinuous" vertical="center"/>
    </xf>
    <xf numFmtId="0" fontId="62" fillId="20" borderId="28" xfId="161" applyFont="1" applyFill="1" applyBorder="1" applyAlignment="1">
      <alignment horizontal="centerContinuous" vertical="center"/>
    </xf>
    <xf numFmtId="0" fontId="62" fillId="20" borderId="42" xfId="161" applyFont="1" applyFill="1" applyBorder="1" applyAlignment="1">
      <alignment horizontal="centerContinuous" vertical="center"/>
    </xf>
    <xf numFmtId="0" fontId="54" fillId="19" borderId="35" xfId="161" quotePrefix="1" applyFont="1" applyFill="1" applyBorder="1" applyAlignment="1">
      <alignment horizontal="center" vertical="center"/>
    </xf>
    <xf numFmtId="0" fontId="62" fillId="0" borderId="15" xfId="161" quotePrefix="1" applyFont="1" applyBorder="1" applyAlignment="1">
      <alignment horizontal="centerContinuous" vertical="center"/>
    </xf>
    <xf numFmtId="0" fontId="64" fillId="0" borderId="12" xfId="161" applyFont="1" applyBorder="1" applyAlignment="1">
      <alignment horizontal="centerContinuous" vertical="center"/>
    </xf>
    <xf numFmtId="0" fontId="64" fillId="0" borderId="13" xfId="161" applyFont="1" applyBorder="1" applyAlignment="1">
      <alignment horizontal="centerContinuous" vertical="center"/>
    </xf>
    <xf numFmtId="14" fontId="62" fillId="0" borderId="28" xfId="161" quotePrefix="1" applyNumberFormat="1" applyFont="1" applyBorder="1" applyAlignment="1">
      <alignment horizontal="centerContinuous" vertical="center"/>
    </xf>
    <xf numFmtId="0" fontId="62" fillId="0" borderId="28" xfId="161" quotePrefix="1" applyFont="1" applyBorder="1" applyAlignment="1">
      <alignment horizontal="centerContinuous" vertical="center"/>
    </xf>
    <xf numFmtId="0" fontId="64" fillId="0" borderId="28" xfId="161" applyFont="1" applyBorder="1" applyAlignment="1">
      <alignment horizontal="centerContinuous" vertical="center"/>
    </xf>
    <xf numFmtId="0" fontId="55" fillId="0" borderId="28" xfId="161" applyFont="1" applyBorder="1" applyAlignment="1">
      <alignment horizontal="center" vertical="center"/>
    </xf>
    <xf numFmtId="14" fontId="62" fillId="0" borderId="47" xfId="161" quotePrefix="1" applyNumberFormat="1" applyFont="1" applyBorder="1" applyAlignment="1">
      <alignment horizontal="centerContinuous" vertical="center"/>
    </xf>
    <xf numFmtId="14" fontId="62" fillId="0" borderId="48" xfId="161" quotePrefix="1" applyNumberFormat="1" applyFont="1" applyBorder="1" applyAlignment="1">
      <alignment horizontal="centerContinuous" vertical="center"/>
    </xf>
    <xf numFmtId="0" fontId="55" fillId="14" borderId="49" xfId="161" applyFont="1" applyFill="1" applyBorder="1" applyAlignment="1">
      <alignment horizontal="centerContinuous" vertical="center"/>
    </xf>
    <xf numFmtId="0" fontId="54" fillId="0" borderId="27" xfId="161" quotePrefix="1" applyFont="1" applyBorder="1" applyAlignment="1">
      <alignment horizontal="center" vertical="center"/>
    </xf>
    <xf numFmtId="0" fontId="62" fillId="19" borderId="23" xfId="161" applyFont="1" applyFill="1" applyBorder="1" applyAlignment="1">
      <alignment horizontal="center" vertical="center"/>
    </xf>
    <xf numFmtId="0" fontId="55" fillId="28" borderId="15" xfId="161" applyFont="1" applyFill="1" applyBorder="1" applyAlignment="1">
      <alignment horizontal="centerContinuous" vertical="center"/>
    </xf>
    <xf numFmtId="0" fontId="55" fillId="28" borderId="12" xfId="161" applyFont="1" applyFill="1" applyBorder="1" applyAlignment="1">
      <alignment horizontal="centerContinuous" vertical="center"/>
    </xf>
    <xf numFmtId="0" fontId="55" fillId="28" borderId="13" xfId="161" applyFont="1" applyFill="1" applyBorder="1" applyAlignment="1">
      <alignment horizontal="centerContinuous" vertical="center"/>
    </xf>
    <xf numFmtId="0" fontId="55" fillId="28" borderId="15" xfId="161" quotePrefix="1" applyFont="1" applyFill="1" applyBorder="1" applyAlignment="1">
      <alignment horizontal="centerContinuous" vertical="center"/>
    </xf>
    <xf numFmtId="0" fontId="55" fillId="28" borderId="12" xfId="161" quotePrefix="1" applyFont="1" applyFill="1" applyBorder="1" applyAlignment="1">
      <alignment horizontal="centerContinuous" vertical="center"/>
    </xf>
    <xf numFmtId="0" fontId="62" fillId="28" borderId="15" xfId="161" applyFont="1" applyFill="1" applyBorder="1" applyAlignment="1">
      <alignment horizontal="centerContinuous" vertical="center"/>
    </xf>
    <xf numFmtId="0" fontId="62" fillId="28" borderId="12" xfId="161" applyFont="1" applyFill="1" applyBorder="1" applyAlignment="1">
      <alignment horizontal="centerContinuous" vertical="center"/>
    </xf>
    <xf numFmtId="0" fontId="62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4" fillId="19" borderId="3" xfId="161" quotePrefix="1" applyFont="1" applyFill="1" applyBorder="1" applyAlignment="1">
      <alignment horizontal="center" vertical="center"/>
    </xf>
    <xf numFmtId="0" fontId="54" fillId="0" borderId="11" xfId="0" applyFont="1" applyBorder="1">
      <alignment vertical="center"/>
    </xf>
    <xf numFmtId="0" fontId="86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5" fillId="20" borderId="12" xfId="161" applyFont="1" applyFill="1" applyBorder="1" applyAlignment="1">
      <alignment horizontal="centerContinuous" vertical="center"/>
    </xf>
    <xf numFmtId="0" fontId="55" fillId="20" borderId="13" xfId="161" applyFont="1" applyFill="1" applyBorder="1" applyAlignment="1">
      <alignment horizontal="centerContinuous" vertical="center"/>
    </xf>
    <xf numFmtId="0" fontId="55" fillId="20" borderId="15" xfId="161" quotePrefix="1" applyFont="1" applyFill="1" applyBorder="1" applyAlignment="1">
      <alignment horizontal="centerContinuous" vertical="center"/>
    </xf>
    <xf numFmtId="0" fontId="55" fillId="20" borderId="12" xfId="161" quotePrefix="1" applyFont="1" applyFill="1" applyBorder="1" applyAlignment="1">
      <alignment horizontal="centerContinuous" vertical="center"/>
    </xf>
    <xf numFmtId="0" fontId="55" fillId="20" borderId="15" xfId="161" applyFont="1" applyFill="1" applyBorder="1" applyAlignment="1">
      <alignment horizontal="centerContinuous" vertical="center"/>
    </xf>
    <xf numFmtId="0" fontId="62" fillId="20" borderId="15" xfId="161" applyFont="1" applyFill="1" applyBorder="1" applyAlignment="1">
      <alignment horizontal="centerContinuous" vertical="center"/>
    </xf>
    <xf numFmtId="0" fontId="62" fillId="20" borderId="12" xfId="161" applyFont="1" applyFill="1" applyBorder="1" applyAlignment="1">
      <alignment horizontal="centerContinuous" vertical="center"/>
    </xf>
    <xf numFmtId="0" fontId="62" fillId="20" borderId="13" xfId="161" applyFont="1" applyFill="1" applyBorder="1" applyAlignment="1">
      <alignment horizontal="centerContinuous" vertical="center"/>
    </xf>
    <xf numFmtId="0" fontId="54" fillId="0" borderId="7" xfId="0" applyFont="1" applyBorder="1">
      <alignment vertical="center"/>
    </xf>
    <xf numFmtId="0" fontId="54" fillId="0" borderId="8" xfId="0" applyFont="1" applyBorder="1" applyAlignment="1">
      <alignment vertical="center" wrapText="1"/>
    </xf>
    <xf numFmtId="0" fontId="74" fillId="0" borderId="8" xfId="0" applyFont="1" applyBorder="1">
      <alignment vertical="center"/>
    </xf>
    <xf numFmtId="9" fontId="54" fillId="0" borderId="2" xfId="161" applyNumberFormat="1" applyFont="1" applyBorder="1">
      <alignment vertical="center"/>
    </xf>
    <xf numFmtId="0" fontId="62" fillId="26" borderId="7" xfId="161" quotePrefix="1" applyFont="1" applyFill="1" applyBorder="1" applyAlignment="1">
      <alignment horizontal="centerContinuous" vertical="center"/>
    </xf>
    <xf numFmtId="0" fontId="62" fillId="26" borderId="8" xfId="161" applyFont="1" applyFill="1" applyBorder="1" applyAlignment="1">
      <alignment horizontal="centerContinuous" vertical="center"/>
    </xf>
    <xf numFmtId="0" fontId="62" fillId="26" borderId="14" xfId="161" applyFont="1" applyFill="1" applyBorder="1" applyAlignment="1">
      <alignment horizontal="centerContinuous" vertical="center"/>
    </xf>
    <xf numFmtId="0" fontId="62" fillId="26" borderId="8" xfId="161" quotePrefix="1" applyFont="1" applyFill="1" applyBorder="1" applyAlignment="1">
      <alignment horizontal="centerContinuous" vertical="center"/>
    </xf>
    <xf numFmtId="0" fontId="62" fillId="19" borderId="37" xfId="161" applyFont="1" applyFill="1" applyBorder="1" applyAlignment="1">
      <alignment horizontal="center" vertical="center"/>
    </xf>
    <xf numFmtId="0" fontId="55" fillId="26" borderId="7" xfId="161" applyFont="1" applyFill="1" applyBorder="1" applyAlignment="1">
      <alignment horizontal="centerContinuous" vertical="center"/>
    </xf>
    <xf numFmtId="0" fontId="55" fillId="26" borderId="8" xfId="161" applyFont="1" applyFill="1" applyBorder="1" applyAlignment="1">
      <alignment horizontal="centerContinuous" vertical="center"/>
    </xf>
    <xf numFmtId="0" fontId="55" fillId="26" borderId="14" xfId="161" applyFont="1" applyFill="1" applyBorder="1" applyAlignment="1">
      <alignment horizontal="centerContinuous" vertical="center"/>
    </xf>
    <xf numFmtId="0" fontId="55" fillId="26" borderId="7" xfId="161" quotePrefix="1" applyFont="1" applyFill="1" applyBorder="1" applyAlignment="1">
      <alignment horizontal="centerContinuous" vertical="center"/>
    </xf>
    <xf numFmtId="0" fontId="55" fillId="26" borderId="8" xfId="161" quotePrefix="1" applyFont="1" applyFill="1" applyBorder="1" applyAlignment="1">
      <alignment horizontal="centerContinuous" vertical="center"/>
    </xf>
    <xf numFmtId="0" fontId="62" fillId="26" borderId="7" xfId="161" applyFont="1" applyFill="1" applyBorder="1" applyAlignment="1">
      <alignment horizontal="centerContinuous" vertical="center"/>
    </xf>
    <xf numFmtId="0" fontId="54" fillId="14" borderId="10" xfId="0" quotePrefix="1" applyFont="1" applyFill="1" applyBorder="1">
      <alignment vertical="center"/>
    </xf>
    <xf numFmtId="0" fontId="54" fillId="29" borderId="10" xfId="0" quotePrefix="1" applyFont="1" applyFill="1" applyBorder="1">
      <alignment vertical="center"/>
    </xf>
    <xf numFmtId="0" fontId="54" fillId="29" borderId="2" xfId="180" quotePrefix="1" applyFont="1" applyFill="1" applyBorder="1">
      <alignment vertical="center"/>
    </xf>
    <xf numFmtId="0" fontId="54" fillId="29" borderId="2" xfId="180" applyFont="1" applyFill="1" applyBorder="1">
      <alignment vertical="center"/>
    </xf>
    <xf numFmtId="0" fontId="54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4" fillId="29" borderId="17" xfId="180" applyFont="1" applyFill="1" applyBorder="1" applyAlignment="1">
      <alignment horizontal="center" vertical="center"/>
    </xf>
    <xf numFmtId="0" fontId="91" fillId="25" borderId="41" xfId="161" quotePrefix="1" applyFont="1" applyFill="1" applyBorder="1" applyAlignment="1">
      <alignment horizontal="left" vertical="center"/>
    </xf>
    <xf numFmtId="0" fontId="77" fillId="14" borderId="28" xfId="0" applyFont="1" applyFill="1" applyBorder="1">
      <alignment vertical="center"/>
    </xf>
    <xf numFmtId="185" fontId="62" fillId="0" borderId="0" xfId="161" quotePrefix="1" applyNumberFormat="1" applyFont="1">
      <alignment vertical="center"/>
    </xf>
    <xf numFmtId="0" fontId="92" fillId="0" borderId="0" xfId="0" applyFont="1">
      <alignment vertical="center"/>
    </xf>
    <xf numFmtId="0" fontId="54" fillId="29" borderId="2" xfId="0" applyFont="1" applyFill="1" applyBorder="1">
      <alignment vertical="center"/>
    </xf>
    <xf numFmtId="0" fontId="66" fillId="29" borderId="2" xfId="180" applyFont="1" applyFill="1" applyBorder="1">
      <alignment vertical="center"/>
    </xf>
    <xf numFmtId="0" fontId="54" fillId="29" borderId="2" xfId="0" applyFont="1" applyFill="1" applyBorder="1" applyAlignment="1">
      <alignment vertical="center" wrapText="1"/>
    </xf>
    <xf numFmtId="0" fontId="54" fillId="29" borderId="17" xfId="0" applyFont="1" applyFill="1" applyBorder="1">
      <alignment vertical="center"/>
    </xf>
    <xf numFmtId="0" fontId="54" fillId="0" borderId="24" xfId="180" applyFont="1" applyBorder="1">
      <alignment vertical="center"/>
    </xf>
    <xf numFmtId="0" fontId="54" fillId="29" borderId="2" xfId="180" applyFont="1" applyFill="1" applyBorder="1" applyAlignment="1">
      <alignment horizontal="left" vertical="center"/>
    </xf>
    <xf numFmtId="0" fontId="55" fillId="14" borderId="41" xfId="180" quotePrefix="1" applyFont="1" applyFill="1" applyBorder="1">
      <alignment vertical="center"/>
    </xf>
    <xf numFmtId="0" fontId="54" fillId="14" borderId="10" xfId="180" quotePrefix="1" applyFont="1" applyFill="1" applyBorder="1" applyAlignment="1">
      <alignment horizontal="left" vertical="center"/>
    </xf>
    <xf numFmtId="0" fontId="54" fillId="0" borderId="33" xfId="161" applyFont="1" applyBorder="1">
      <alignment vertical="center"/>
    </xf>
    <xf numFmtId="0" fontId="93" fillId="0" borderId="0" xfId="0" applyFont="1">
      <alignment vertical="center"/>
    </xf>
    <xf numFmtId="0" fontId="80" fillId="14" borderId="44" xfId="161" quotePrefix="1" applyFont="1" applyFill="1" applyBorder="1">
      <alignment vertical="center"/>
    </xf>
    <xf numFmtId="0" fontId="54" fillId="14" borderId="50" xfId="161" applyFont="1" applyFill="1" applyBorder="1">
      <alignment vertical="center"/>
    </xf>
    <xf numFmtId="0" fontId="54" fillId="14" borderId="11" xfId="0" applyFont="1" applyFill="1" applyBorder="1">
      <alignment vertical="center"/>
    </xf>
    <xf numFmtId="0" fontId="65" fillId="0" borderId="28" xfId="0" applyFont="1" applyBorder="1">
      <alignment vertical="center"/>
    </xf>
    <xf numFmtId="0" fontId="54" fillId="14" borderId="8" xfId="180" quotePrefix="1" applyFont="1" applyFill="1" applyBorder="1">
      <alignment vertical="center"/>
    </xf>
    <xf numFmtId="0" fontId="54" fillId="14" borderId="8" xfId="180" applyFont="1" applyFill="1" applyBorder="1">
      <alignment vertical="center"/>
    </xf>
    <xf numFmtId="0" fontId="54" fillId="14" borderId="8" xfId="180" applyFont="1" applyFill="1" applyBorder="1" applyAlignment="1">
      <alignment horizontal="center" vertical="center"/>
    </xf>
    <xf numFmtId="0" fontId="54" fillId="14" borderId="25" xfId="180" applyFont="1" applyFill="1" applyBorder="1" applyAlignment="1">
      <alignment horizontal="center" vertical="center"/>
    </xf>
    <xf numFmtId="0" fontId="55" fillId="0" borderId="33" xfId="180" applyFont="1" applyBorder="1" applyAlignment="1">
      <alignment vertical="top"/>
    </xf>
    <xf numFmtId="0" fontId="55" fillId="14" borderId="17" xfId="180" applyFont="1" applyFill="1" applyBorder="1" applyAlignment="1">
      <alignment horizontal="center" vertical="center"/>
    </xf>
    <xf numFmtId="0" fontId="65" fillId="14" borderId="8" xfId="180" applyFont="1" applyFill="1" applyBorder="1" applyAlignment="1">
      <alignment horizontal="center" vertical="center"/>
    </xf>
    <xf numFmtId="0" fontId="94" fillId="24" borderId="8" xfId="161" quotePrefix="1" applyFont="1" applyFill="1" applyBorder="1" applyAlignment="1">
      <alignment horizontal="centerContinuous" vertical="center"/>
    </xf>
    <xf numFmtId="0" fontId="54" fillId="14" borderId="51" xfId="0" applyFont="1" applyFill="1" applyBorder="1">
      <alignment vertical="center"/>
    </xf>
    <xf numFmtId="0" fontId="55" fillId="30" borderId="15" xfId="161" applyFont="1" applyFill="1" applyBorder="1" applyAlignment="1">
      <alignment horizontal="centerContinuous" vertical="center"/>
    </xf>
    <xf numFmtId="0" fontId="55" fillId="30" borderId="12" xfId="161" applyFont="1" applyFill="1" applyBorder="1" applyAlignment="1">
      <alignment horizontal="centerContinuous" vertical="center"/>
    </xf>
    <xf numFmtId="0" fontId="55" fillId="30" borderId="15" xfId="161" quotePrefix="1" applyFont="1" applyFill="1" applyBorder="1" applyAlignment="1">
      <alignment horizontal="centerContinuous" vertical="center"/>
    </xf>
    <xf numFmtId="0" fontId="55" fillId="30" borderId="13" xfId="161" applyFont="1" applyFill="1" applyBorder="1" applyAlignment="1">
      <alignment horizontal="centerContinuous" vertical="center"/>
    </xf>
    <xf numFmtId="0" fontId="55" fillId="30" borderId="12" xfId="161" quotePrefix="1" applyFont="1" applyFill="1" applyBorder="1" applyAlignment="1">
      <alignment horizontal="centerContinuous" vertical="center"/>
    </xf>
    <xf numFmtId="0" fontId="62" fillId="30" borderId="15" xfId="161" applyFont="1" applyFill="1" applyBorder="1" applyAlignment="1">
      <alignment horizontal="centerContinuous" vertical="center"/>
    </xf>
    <xf numFmtId="0" fontId="62" fillId="30" borderId="12" xfId="161" applyFont="1" applyFill="1" applyBorder="1" applyAlignment="1">
      <alignment horizontal="centerContinuous" vertical="center"/>
    </xf>
    <xf numFmtId="0" fontId="62" fillId="30" borderId="13" xfId="161" applyFont="1" applyFill="1" applyBorder="1" applyAlignment="1">
      <alignment horizontal="centerContinuous" vertical="center"/>
    </xf>
    <xf numFmtId="0" fontId="62" fillId="30" borderId="10" xfId="161" applyFont="1" applyFill="1" applyBorder="1" applyAlignment="1">
      <alignment horizontal="centerContinuous" vertical="center"/>
    </xf>
    <xf numFmtId="0" fontId="62" fillId="30" borderId="15" xfId="161" quotePrefix="1" applyFont="1" applyFill="1" applyBorder="1" applyAlignment="1">
      <alignment horizontal="centerContinuous" vertical="center"/>
    </xf>
    <xf numFmtId="0" fontId="95" fillId="0" borderId="0" xfId="0" applyFont="1">
      <alignment vertical="center"/>
    </xf>
    <xf numFmtId="0" fontId="62" fillId="30" borderId="12" xfId="161" quotePrefix="1" applyFont="1" applyFill="1" applyBorder="1" applyAlignment="1">
      <alignment horizontal="centerContinuous" vertical="center"/>
    </xf>
    <xf numFmtId="0" fontId="62" fillId="30" borderId="10" xfId="161" quotePrefix="1" applyFont="1" applyFill="1" applyBorder="1" applyAlignment="1">
      <alignment horizontal="centerContinuous" vertical="center"/>
    </xf>
    <xf numFmtId="0" fontId="54" fillId="14" borderId="6" xfId="0" applyFont="1" applyFill="1" applyBorder="1">
      <alignment vertical="center"/>
    </xf>
    <xf numFmtId="0" fontId="65" fillId="0" borderId="10" xfId="161" quotePrefix="1" applyFont="1" applyBorder="1">
      <alignment vertical="center"/>
    </xf>
    <xf numFmtId="0" fontId="55" fillId="30" borderId="7" xfId="161" applyFont="1" applyFill="1" applyBorder="1" applyAlignment="1">
      <alignment horizontal="centerContinuous" vertical="center"/>
    </xf>
    <xf numFmtId="0" fontId="55" fillId="30" borderId="8" xfId="161" applyFont="1" applyFill="1" applyBorder="1" applyAlignment="1">
      <alignment horizontal="centerContinuous" vertical="center"/>
    </xf>
    <xf numFmtId="0" fontId="55" fillId="30" borderId="14" xfId="161" applyFont="1" applyFill="1" applyBorder="1" applyAlignment="1">
      <alignment horizontal="centerContinuous" vertical="center"/>
    </xf>
    <xf numFmtId="0" fontId="55" fillId="30" borderId="7" xfId="161" quotePrefix="1" applyFont="1" applyFill="1" applyBorder="1" applyAlignment="1">
      <alignment horizontal="centerContinuous" vertical="center"/>
    </xf>
    <xf numFmtId="0" fontId="55" fillId="30" borderId="8" xfId="161" quotePrefix="1" applyFont="1" applyFill="1" applyBorder="1" applyAlignment="1">
      <alignment horizontal="centerContinuous" vertical="center"/>
    </xf>
    <xf numFmtId="0" fontId="62" fillId="30" borderId="7" xfId="161" applyFont="1" applyFill="1" applyBorder="1" applyAlignment="1">
      <alignment horizontal="centerContinuous" vertical="center"/>
    </xf>
    <xf numFmtId="0" fontId="62" fillId="30" borderId="8" xfId="161" applyFont="1" applyFill="1" applyBorder="1" applyAlignment="1">
      <alignment horizontal="centerContinuous" vertical="center"/>
    </xf>
    <xf numFmtId="0" fontId="62" fillId="30" borderId="14" xfId="161" applyFont="1" applyFill="1" applyBorder="1" applyAlignment="1">
      <alignment horizontal="centerContinuous" vertical="center"/>
    </xf>
    <xf numFmtId="0" fontId="62" fillId="30" borderId="7" xfId="161" quotePrefix="1" applyFont="1" applyFill="1" applyBorder="1" applyAlignment="1">
      <alignment horizontal="centerContinuous" vertical="center"/>
    </xf>
    <xf numFmtId="0" fontId="62" fillId="30" borderId="8" xfId="161" quotePrefix="1" applyFont="1" applyFill="1" applyBorder="1" applyAlignment="1">
      <alignment horizontal="centerContinuous" vertical="center"/>
    </xf>
    <xf numFmtId="0" fontId="65" fillId="14" borderId="33" xfId="161" applyFont="1" applyFill="1" applyBorder="1">
      <alignment vertical="center"/>
    </xf>
    <xf numFmtId="0" fontId="62" fillId="24" borderId="15" xfId="161" quotePrefix="1" applyFont="1" applyFill="1" applyBorder="1" applyAlignment="1">
      <alignment horizontal="centerContinuous" vertical="center"/>
    </xf>
    <xf numFmtId="0" fontId="54" fillId="0" borderId="10" xfId="0" quotePrefix="1" applyFont="1" applyBorder="1">
      <alignment vertical="center"/>
    </xf>
    <xf numFmtId="0" fontId="54" fillId="0" borderId="2" xfId="180" quotePrefix="1" applyFont="1" applyBorder="1">
      <alignment vertical="center"/>
    </xf>
    <xf numFmtId="0" fontId="54" fillId="0" borderId="2" xfId="180" applyFont="1" applyBorder="1">
      <alignment vertical="center"/>
    </xf>
    <xf numFmtId="0" fontId="54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6" fillId="0" borderId="2" xfId="180" applyFont="1" applyBorder="1">
      <alignment vertical="center"/>
    </xf>
    <xf numFmtId="0" fontId="54" fillId="0" borderId="2" xfId="0" applyFont="1" applyBorder="1" applyAlignment="1">
      <alignment vertical="center" wrapText="1"/>
    </xf>
    <xf numFmtId="0" fontId="97" fillId="10" borderId="16" xfId="46" applyFont="1" applyFill="1" applyBorder="1" applyAlignment="1">
      <alignment horizontal="centerContinuous"/>
    </xf>
    <xf numFmtId="0" fontId="97" fillId="10" borderId="9" xfId="46" applyFont="1" applyFill="1" applyBorder="1" applyAlignment="1">
      <alignment horizontal="centerContinuous"/>
    </xf>
    <xf numFmtId="0" fontId="98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7" fillId="10" borderId="6" xfId="49" applyFont="1" applyFill="1" applyBorder="1" applyAlignment="1">
      <alignment horizontal="right" vertical="center"/>
    </xf>
    <xf numFmtId="0" fontId="98" fillId="14" borderId="6" xfId="161" quotePrefix="1" applyFont="1" applyFill="1" applyBorder="1">
      <alignment vertical="center"/>
    </xf>
    <xf numFmtId="0" fontId="98" fillId="14" borderId="0" xfId="161" applyFont="1" applyFill="1">
      <alignment vertical="center"/>
    </xf>
    <xf numFmtId="0" fontId="98" fillId="14" borderId="11" xfId="161" applyFont="1" applyFill="1" applyBorder="1">
      <alignment vertical="center"/>
    </xf>
    <xf numFmtId="0" fontId="98" fillId="0" borderId="0" xfId="161" applyFont="1">
      <alignment vertical="center"/>
    </xf>
    <xf numFmtId="0" fontId="98" fillId="0" borderId="0" xfId="161" quotePrefix="1" applyFont="1">
      <alignment vertical="center"/>
    </xf>
    <xf numFmtId="0" fontId="98" fillId="0" borderId="0" xfId="161" applyFont="1" applyAlignment="1">
      <alignment horizontal="center" vertical="center"/>
    </xf>
    <xf numFmtId="0" fontId="98" fillId="0" borderId="0" xfId="0" applyFont="1">
      <alignment vertical="center"/>
    </xf>
    <xf numFmtId="0" fontId="96" fillId="14" borderId="6" xfId="161" quotePrefix="1" applyFont="1" applyFill="1" applyBorder="1">
      <alignment vertical="center"/>
    </xf>
    <xf numFmtId="0" fontId="98" fillId="0" borderId="0" xfId="161" quotePrefix="1" applyFont="1" applyAlignment="1">
      <alignment horizontal="left" vertical="center"/>
    </xf>
    <xf numFmtId="0" fontId="98" fillId="0" borderId="0" xfId="161" applyFont="1" applyAlignment="1">
      <alignment horizontal="left" vertical="center"/>
    </xf>
    <xf numFmtId="0" fontId="97" fillId="10" borderId="16" xfId="46" applyFont="1" applyFill="1" applyBorder="1" applyAlignment="1">
      <alignment horizontal="center"/>
    </xf>
    <xf numFmtId="0" fontId="97" fillId="10" borderId="9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97" fillId="10" borderId="7" xfId="49" applyFont="1" applyFill="1" applyBorder="1" applyAlignment="1">
      <alignment horizontal="right" vertical="center"/>
    </xf>
    <xf numFmtId="0" fontId="97" fillId="10" borderId="21" xfId="46" applyFont="1" applyFill="1" applyBorder="1" applyAlignment="1">
      <alignment horizontal="center"/>
    </xf>
    <xf numFmtId="0" fontId="97" fillId="10" borderId="22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102" fillId="0" borderId="52" xfId="161" quotePrefix="1" applyFont="1" applyBorder="1">
      <alignment vertical="center"/>
    </xf>
    <xf numFmtId="0" fontId="97" fillId="0" borderId="52" xfId="161" applyFont="1" applyBorder="1">
      <alignment vertical="center"/>
    </xf>
    <xf numFmtId="0" fontId="98" fillId="0" borderId="52" xfId="161" applyFont="1" applyBorder="1">
      <alignment vertical="center"/>
    </xf>
    <xf numFmtId="0" fontId="98" fillId="0" borderId="52" xfId="161" quotePrefix="1" applyFont="1" applyBorder="1">
      <alignment vertical="center"/>
    </xf>
    <xf numFmtId="0" fontId="98" fillId="0" borderId="52" xfId="161" applyFont="1" applyBorder="1" applyAlignment="1">
      <alignment horizontal="center" vertical="center"/>
    </xf>
    <xf numFmtId="0" fontId="98" fillId="0" borderId="52" xfId="0" applyFont="1" applyBorder="1">
      <alignment vertical="center"/>
    </xf>
    <xf numFmtId="0" fontId="98" fillId="0" borderId="52" xfId="0" applyFont="1" applyBorder="1" applyAlignment="1">
      <alignment vertical="center" wrapText="1"/>
    </xf>
    <xf numFmtId="0" fontId="97" fillId="0" borderId="0" xfId="161" applyFont="1">
      <alignment vertical="center"/>
    </xf>
    <xf numFmtId="0" fontId="97" fillId="0" borderId="6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11" xfId="161" applyFont="1" applyBorder="1">
      <alignment vertical="center"/>
    </xf>
    <xf numFmtId="0" fontId="101" fillId="0" borderId="0" xfId="161" applyFont="1">
      <alignment vertical="center"/>
    </xf>
    <xf numFmtId="0" fontId="97" fillId="0" borderId="0" xfId="161" applyFont="1" applyAlignment="1">
      <alignment horizontal="center" vertical="center"/>
    </xf>
    <xf numFmtId="0" fontId="103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97" fillId="0" borderId="6" xfId="161" applyFont="1" applyBorder="1">
      <alignment vertical="center"/>
    </xf>
    <xf numFmtId="0" fontId="97" fillId="0" borderId="0" xfId="161" quotePrefix="1" applyFont="1" applyAlignment="1">
      <alignment horizontal="center" vertical="center"/>
    </xf>
    <xf numFmtId="0" fontId="100" fillId="0" borderId="0" xfId="0" applyFont="1">
      <alignment vertical="center"/>
    </xf>
    <xf numFmtId="0" fontId="97" fillId="0" borderId="0" xfId="0" applyFont="1" applyAlignment="1">
      <alignment horizontal="left" vertical="center"/>
    </xf>
    <xf numFmtId="0" fontId="97" fillId="0" borderId="14" xfId="161" applyFont="1" applyBorder="1">
      <alignment vertical="center"/>
    </xf>
    <xf numFmtId="0" fontId="104" fillId="14" borderId="0" xfId="0" applyFont="1" applyFill="1">
      <alignment vertical="center"/>
    </xf>
    <xf numFmtId="0" fontId="104" fillId="14" borderId="0" xfId="161" applyFont="1" applyFill="1">
      <alignment vertical="center"/>
    </xf>
    <xf numFmtId="0" fontId="104" fillId="14" borderId="0" xfId="0" applyFont="1" applyFill="1" applyAlignment="1">
      <alignment horizontal="left" vertical="center"/>
    </xf>
    <xf numFmtId="0" fontId="104" fillId="14" borderId="0" xfId="161" applyFont="1" applyFill="1" applyAlignment="1">
      <alignment horizontal="left" vertical="center"/>
    </xf>
    <xf numFmtId="0" fontId="104" fillId="14" borderId="0" xfId="161" applyFont="1" applyFill="1" applyAlignment="1">
      <alignment horizontal="center" vertical="center"/>
    </xf>
    <xf numFmtId="0" fontId="104" fillId="14" borderId="0" xfId="0" applyFont="1" applyFill="1" applyAlignment="1">
      <alignment horizontal="center" vertical="center"/>
    </xf>
    <xf numFmtId="0" fontId="104" fillId="19" borderId="0" xfId="0" applyFont="1" applyFill="1">
      <alignment vertical="center"/>
    </xf>
    <xf numFmtId="0" fontId="104" fillId="19" borderId="0" xfId="161" applyFont="1" applyFill="1">
      <alignment vertical="center"/>
    </xf>
    <xf numFmtId="0" fontId="104" fillId="19" borderId="0" xfId="161" applyFont="1" applyFill="1" applyAlignment="1">
      <alignment horizontal="center" vertical="center"/>
    </xf>
    <xf numFmtId="0" fontId="104" fillId="19" borderId="0" xfId="161" applyFont="1" applyFill="1" applyAlignment="1">
      <alignment horizontal="left" vertical="center"/>
    </xf>
    <xf numFmtId="0" fontId="97" fillId="19" borderId="6" xfId="161" quotePrefix="1" applyFont="1" applyFill="1" applyBorder="1">
      <alignment vertical="center"/>
    </xf>
    <xf numFmtId="0" fontId="100" fillId="19" borderId="0" xfId="0" applyFont="1" applyFill="1">
      <alignment vertical="center"/>
    </xf>
    <xf numFmtId="0" fontId="97" fillId="19" borderId="0" xfId="0" applyFont="1" applyFill="1">
      <alignment vertical="center"/>
    </xf>
    <xf numFmtId="0" fontId="104" fillId="19" borderId="0" xfId="0" applyFont="1" applyFill="1" applyAlignment="1">
      <alignment horizontal="center" vertical="center"/>
    </xf>
    <xf numFmtId="0" fontId="97" fillId="19" borderId="11" xfId="161" applyFont="1" applyFill="1" applyBorder="1">
      <alignment vertical="center"/>
    </xf>
    <xf numFmtId="0" fontId="97" fillId="19" borderId="0" xfId="161" quotePrefix="1" applyFont="1" applyFill="1">
      <alignment vertical="center"/>
    </xf>
    <xf numFmtId="0" fontId="75" fillId="14" borderId="0" xfId="0" applyFont="1" applyFill="1">
      <alignment vertical="center"/>
    </xf>
    <xf numFmtId="0" fontId="109" fillId="14" borderId="0" xfId="0" applyFont="1" applyFill="1">
      <alignment vertical="center"/>
    </xf>
    <xf numFmtId="0" fontId="100" fillId="31" borderId="0" xfId="0" applyFont="1" applyFill="1" applyAlignment="1">
      <alignment horizontal="left" vertical="center"/>
    </xf>
    <xf numFmtId="0" fontId="100" fillId="14" borderId="0" xfId="0" applyFont="1" applyFill="1">
      <alignment vertical="center"/>
    </xf>
    <xf numFmtId="0" fontId="97" fillId="0" borderId="8" xfId="161" applyFont="1" applyBorder="1">
      <alignment vertical="center"/>
    </xf>
    <xf numFmtId="0" fontId="101" fillId="0" borderId="8" xfId="0" applyFont="1" applyBorder="1">
      <alignment vertical="center"/>
    </xf>
    <xf numFmtId="0" fontId="101" fillId="0" borderId="8" xfId="0" applyFont="1" applyBorder="1" applyAlignment="1">
      <alignment vertical="center" wrapText="1"/>
    </xf>
    <xf numFmtId="0" fontId="97" fillId="0" borderId="12" xfId="161" applyFont="1" applyBorder="1">
      <alignment vertical="center"/>
    </xf>
    <xf numFmtId="0" fontId="97" fillId="10" borderId="53" xfId="46" applyFont="1" applyFill="1" applyBorder="1" applyAlignment="1">
      <alignment horizontal="center"/>
    </xf>
    <xf numFmtId="0" fontId="101" fillId="31" borderId="0" xfId="185" applyFont="1" applyFill="1">
      <alignment vertical="center"/>
    </xf>
    <xf numFmtId="0" fontId="101" fillId="14" borderId="0" xfId="185" applyFont="1" applyFill="1">
      <alignment vertical="center"/>
    </xf>
    <xf numFmtId="0" fontId="101" fillId="0" borderId="0" xfId="185" applyFont="1">
      <alignment vertical="center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8" fillId="0" borderId="70" xfId="161" applyFont="1" applyBorder="1" applyAlignment="1">
      <alignment horizontal="center" vertical="center"/>
    </xf>
    <xf numFmtId="0" fontId="98" fillId="0" borderId="70" xfId="161" applyFont="1" applyBorder="1">
      <alignment vertical="center"/>
    </xf>
    <xf numFmtId="0" fontId="98" fillId="0" borderId="70" xfId="0" applyFont="1" applyBorder="1">
      <alignment vertical="center"/>
    </xf>
    <xf numFmtId="0" fontId="98" fillId="14" borderId="70" xfId="161" applyFont="1" applyFill="1" applyBorder="1">
      <alignment vertical="center"/>
    </xf>
    <xf numFmtId="0" fontId="98" fillId="14" borderId="69" xfId="161" applyFont="1" applyFill="1" applyBorder="1">
      <alignment vertical="center"/>
    </xf>
    <xf numFmtId="0" fontId="97" fillId="0" borderId="71" xfId="161" applyFont="1" applyBorder="1">
      <alignment vertical="center"/>
    </xf>
    <xf numFmtId="0" fontId="97" fillId="0" borderId="7" xfId="161" applyFont="1" applyBorder="1">
      <alignment vertical="center"/>
    </xf>
    <xf numFmtId="0" fontId="97" fillId="0" borderId="65" xfId="0" applyFont="1" applyBorder="1">
      <alignment vertical="center"/>
    </xf>
    <xf numFmtId="0" fontId="97" fillId="0" borderId="65" xfId="0" applyFont="1" applyBorder="1" applyAlignment="1">
      <alignment vertical="center" wrapText="1"/>
    </xf>
    <xf numFmtId="0" fontId="107" fillId="14" borderId="65" xfId="0" applyFont="1" applyFill="1" applyBorder="1">
      <alignment vertical="center"/>
    </xf>
    <xf numFmtId="0" fontId="97" fillId="0" borderId="65" xfId="161" applyFont="1" applyBorder="1">
      <alignment vertical="center"/>
    </xf>
    <xf numFmtId="0" fontId="112" fillId="0" borderId="0" xfId="0" applyFont="1">
      <alignment vertical="center"/>
    </xf>
    <xf numFmtId="0" fontId="97" fillId="36" borderId="0" xfId="161" quotePrefix="1" applyFont="1" applyFill="1">
      <alignment vertical="center"/>
    </xf>
    <xf numFmtId="0" fontId="97" fillId="36" borderId="0" xfId="0" applyFont="1" applyFill="1">
      <alignment vertical="center"/>
    </xf>
    <xf numFmtId="0" fontId="104" fillId="36" borderId="0" xfId="0" applyFont="1" applyFill="1">
      <alignment vertical="center"/>
    </xf>
    <xf numFmtId="0" fontId="104" fillId="36" borderId="0" xfId="161" applyFont="1" applyFill="1" applyAlignment="1">
      <alignment horizontal="left" vertical="center"/>
    </xf>
    <xf numFmtId="0" fontId="104" fillId="36" borderId="0" xfId="161" applyFont="1" applyFill="1" applyAlignment="1">
      <alignment horizontal="center" vertical="center"/>
    </xf>
    <xf numFmtId="0" fontId="104" fillId="36" borderId="0" xfId="0" applyFont="1" applyFill="1" applyAlignment="1">
      <alignment horizontal="centerContinuous" vertical="center"/>
    </xf>
    <xf numFmtId="0" fontId="113" fillId="36" borderId="0" xfId="0" applyFont="1" applyFill="1" applyAlignment="1">
      <alignment horizontal="centerContinuous" vertical="center"/>
    </xf>
    <xf numFmtId="185" fontId="104" fillId="36" borderId="0" xfId="161" quotePrefix="1" applyNumberFormat="1" applyFont="1" applyFill="1">
      <alignment vertical="center"/>
    </xf>
    <xf numFmtId="0" fontId="97" fillId="0" borderId="12" xfId="161" quotePrefix="1" applyFont="1" applyBorder="1">
      <alignment vertical="center"/>
    </xf>
    <xf numFmtId="0" fontId="97" fillId="0" borderId="12" xfId="161" quotePrefix="1" applyFont="1" applyBorder="1" applyAlignment="1">
      <alignment horizontal="center" vertical="center"/>
    </xf>
    <xf numFmtId="0" fontId="100" fillId="0" borderId="12" xfId="0" applyFont="1" applyBorder="1">
      <alignment vertical="center"/>
    </xf>
    <xf numFmtId="0" fontId="97" fillId="0" borderId="12" xfId="0" applyFont="1" applyBorder="1">
      <alignment vertical="center"/>
    </xf>
    <xf numFmtId="0" fontId="104" fillId="14" borderId="12" xfId="0" applyFont="1" applyFill="1" applyBorder="1">
      <alignment vertical="center"/>
    </xf>
    <xf numFmtId="0" fontId="104" fillId="14" borderId="12" xfId="161" applyFont="1" applyFill="1" applyBorder="1" applyAlignment="1">
      <alignment horizontal="left" vertical="center"/>
    </xf>
    <xf numFmtId="0" fontId="104" fillId="14" borderId="12" xfId="161" applyFont="1" applyFill="1" applyBorder="1" applyAlignment="1">
      <alignment horizontal="center" vertical="center"/>
    </xf>
    <xf numFmtId="0" fontId="104" fillId="14" borderId="12" xfId="161" applyFont="1" applyFill="1" applyBorder="1">
      <alignment vertical="center"/>
    </xf>
    <xf numFmtId="0" fontId="104" fillId="14" borderId="12" xfId="0" applyFont="1" applyFill="1" applyBorder="1" applyAlignment="1">
      <alignment horizontal="center" vertical="center"/>
    </xf>
    <xf numFmtId="0" fontId="97" fillId="0" borderId="8" xfId="161" quotePrefix="1" applyFont="1" applyBorder="1">
      <alignment vertical="center"/>
    </xf>
    <xf numFmtId="0" fontId="97" fillId="0" borderId="8" xfId="161" quotePrefix="1" applyFont="1" applyBorder="1" applyAlignment="1">
      <alignment horizontal="center" vertical="center"/>
    </xf>
    <xf numFmtId="0" fontId="100" fillId="0" borderId="8" xfId="0" applyFont="1" applyBorder="1">
      <alignment vertical="center"/>
    </xf>
    <xf numFmtId="0" fontId="97" fillId="0" borderId="8" xfId="0" applyFont="1" applyBorder="1">
      <alignment vertical="center"/>
    </xf>
    <xf numFmtId="0" fontId="104" fillId="14" borderId="8" xfId="0" applyFont="1" applyFill="1" applyBorder="1">
      <alignment vertical="center"/>
    </xf>
    <xf numFmtId="185" fontId="104" fillId="14" borderId="8" xfId="161" quotePrefix="1" applyNumberFormat="1" applyFont="1" applyFill="1" applyBorder="1">
      <alignment vertical="center"/>
    </xf>
    <xf numFmtId="0" fontId="104" fillId="14" borderId="8" xfId="161" applyFont="1" applyFill="1" applyBorder="1" applyAlignment="1">
      <alignment horizontal="left" vertical="center"/>
    </xf>
    <xf numFmtId="0" fontId="104" fillId="14" borderId="8" xfId="161" applyFont="1" applyFill="1" applyBorder="1" applyAlignment="1">
      <alignment horizontal="center" vertical="center"/>
    </xf>
    <xf numFmtId="0" fontId="104" fillId="14" borderId="8" xfId="161" applyFont="1" applyFill="1" applyBorder="1">
      <alignment vertical="center"/>
    </xf>
    <xf numFmtId="0" fontId="104" fillId="14" borderId="8" xfId="0" applyFont="1" applyFill="1" applyBorder="1" applyAlignment="1">
      <alignment horizontal="center" vertical="center"/>
    </xf>
    <xf numFmtId="0" fontId="102" fillId="0" borderId="52" xfId="161" quotePrefix="1" applyFont="1" applyBorder="1" applyAlignment="1">
      <alignment horizontal="center" vertical="center"/>
    </xf>
    <xf numFmtId="185" fontId="104" fillId="14" borderId="0" xfId="161" quotePrefix="1" applyNumberFormat="1" applyFont="1" applyFill="1">
      <alignment vertical="center"/>
    </xf>
    <xf numFmtId="0" fontId="110" fillId="0" borderId="0" xfId="186" applyFont="1">
      <alignment vertical="center"/>
    </xf>
    <xf numFmtId="0" fontId="101" fillId="0" borderId="11" xfId="186" applyFont="1" applyBorder="1">
      <alignment vertical="center"/>
    </xf>
    <xf numFmtId="0" fontId="101" fillId="0" borderId="0" xfId="186" applyFont="1">
      <alignment vertical="center"/>
    </xf>
    <xf numFmtId="0" fontId="101" fillId="0" borderId="15" xfId="186" applyFont="1" applyBorder="1">
      <alignment vertical="center"/>
    </xf>
    <xf numFmtId="0" fontId="101" fillId="0" borderId="12" xfId="186" applyFont="1" applyBorder="1">
      <alignment vertical="center"/>
    </xf>
    <xf numFmtId="0" fontId="101" fillId="0" borderId="13" xfId="186" applyFont="1" applyBorder="1">
      <alignment vertical="center"/>
    </xf>
    <xf numFmtId="0" fontId="101" fillId="0" borderId="6" xfId="186" applyFont="1" applyBorder="1">
      <alignment vertical="center"/>
    </xf>
    <xf numFmtId="0" fontId="110" fillId="0" borderId="0" xfId="187" applyFont="1">
      <alignment vertical="center"/>
    </xf>
    <xf numFmtId="0" fontId="101" fillId="0" borderId="0" xfId="187" applyFont="1">
      <alignment vertical="center"/>
    </xf>
    <xf numFmtId="0" fontId="101" fillId="14" borderId="0" xfId="186" applyFont="1" applyFill="1" applyAlignment="1">
      <alignment horizontal="left" vertical="center"/>
    </xf>
    <xf numFmtId="0" fontId="101" fillId="14" borderId="0" xfId="187" applyFont="1" applyFill="1">
      <alignment vertical="center"/>
    </xf>
    <xf numFmtId="0" fontId="101" fillId="34" borderId="3" xfId="186" applyFont="1" applyFill="1" applyBorder="1" applyAlignment="1">
      <alignment vertical="center" shrinkToFit="1"/>
    </xf>
    <xf numFmtId="0" fontId="101" fillId="0" borderId="3" xfId="186" applyFont="1" applyBorder="1" applyAlignment="1">
      <alignment vertical="center" shrinkToFit="1"/>
    </xf>
    <xf numFmtId="0" fontId="117" fillId="0" borderId="0" xfId="186" applyFont="1" applyAlignment="1">
      <alignment horizontal="left" vertical="center"/>
    </xf>
    <xf numFmtId="0" fontId="118" fillId="0" borderId="0" xfId="186" applyFont="1" applyAlignment="1">
      <alignment horizontal="left" vertical="center"/>
    </xf>
    <xf numFmtId="0" fontId="101" fillId="0" borderId="0" xfId="186" applyFont="1" applyAlignment="1">
      <alignment vertical="center" shrinkToFit="1"/>
    </xf>
    <xf numFmtId="0" fontId="101" fillId="0" borderId="0" xfId="186" applyFont="1" applyAlignment="1">
      <alignment horizontal="left" vertical="center"/>
    </xf>
    <xf numFmtId="0" fontId="101" fillId="31" borderId="0" xfId="184" applyFont="1" applyFill="1">
      <alignment vertical="center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1" fillId="0" borderId="0" xfId="184" applyFont="1">
      <alignment vertical="center"/>
    </xf>
    <xf numFmtId="0" fontId="100" fillId="0" borderId="62" xfId="0" applyFont="1" applyBorder="1">
      <alignment vertical="center"/>
    </xf>
    <xf numFmtId="0" fontId="100" fillId="0" borderId="63" xfId="0" applyFont="1" applyBorder="1">
      <alignment vertical="center"/>
    </xf>
    <xf numFmtId="0" fontId="100" fillId="31" borderId="63" xfId="0" applyFont="1" applyFill="1" applyBorder="1" applyAlignment="1">
      <alignment horizontal="left" vertical="center"/>
    </xf>
    <xf numFmtId="0" fontId="109" fillId="14" borderId="63" xfId="0" applyFont="1" applyFill="1" applyBorder="1">
      <alignment vertical="center"/>
    </xf>
    <xf numFmtId="0" fontId="109" fillId="14" borderId="64" xfId="0" applyFont="1" applyFill="1" applyBorder="1">
      <alignment vertical="center"/>
    </xf>
    <xf numFmtId="0" fontId="100" fillId="31" borderId="6" xfId="0" applyFont="1" applyFill="1" applyBorder="1" applyAlignment="1">
      <alignment horizontal="left" vertical="center"/>
    </xf>
    <xf numFmtId="0" fontId="109" fillId="14" borderId="11" xfId="0" applyFont="1" applyFill="1" applyBorder="1">
      <alignment vertical="center"/>
    </xf>
    <xf numFmtId="0" fontId="100" fillId="0" borderId="6" xfId="0" applyFont="1" applyBorder="1">
      <alignment vertical="center"/>
    </xf>
    <xf numFmtId="0" fontId="100" fillId="31" borderId="0" xfId="0" applyFont="1" applyFill="1">
      <alignment vertical="center"/>
    </xf>
    <xf numFmtId="0" fontId="109" fillId="14" borderId="6" xfId="0" applyFont="1" applyFill="1" applyBorder="1">
      <alignment vertical="center"/>
    </xf>
    <xf numFmtId="0" fontId="100" fillId="14" borderId="84" xfId="0" applyFont="1" applyFill="1" applyBorder="1">
      <alignment vertical="center"/>
    </xf>
    <xf numFmtId="0" fontId="100" fillId="0" borderId="65" xfId="0" applyFont="1" applyBorder="1">
      <alignment vertical="center"/>
    </xf>
    <xf numFmtId="0" fontId="109" fillId="14" borderId="65" xfId="0" applyFont="1" applyFill="1" applyBorder="1">
      <alignment vertical="center"/>
    </xf>
    <xf numFmtId="0" fontId="109" fillId="14" borderId="66" xfId="0" applyFont="1" applyFill="1" applyBorder="1">
      <alignment vertical="center"/>
    </xf>
    <xf numFmtId="0" fontId="101" fillId="0" borderId="0" xfId="188" applyFont="1">
      <alignment vertical="center"/>
    </xf>
    <xf numFmtId="0" fontId="97" fillId="0" borderId="0" xfId="188" applyFont="1">
      <alignment vertical="center"/>
    </xf>
    <xf numFmtId="0" fontId="110" fillId="0" borderId="0" xfId="188" applyFont="1">
      <alignment vertical="center"/>
    </xf>
    <xf numFmtId="0" fontId="97" fillId="34" borderId="3" xfId="188" applyFont="1" applyFill="1" applyBorder="1" applyAlignment="1">
      <alignment vertical="center" shrinkToFit="1"/>
    </xf>
    <xf numFmtId="0" fontId="97" fillId="0" borderId="3" xfId="188" applyFont="1" applyBorder="1" applyAlignment="1">
      <alignment vertical="center" shrinkToFit="1"/>
    </xf>
    <xf numFmtId="0" fontId="97" fillId="0" borderId="15" xfId="188" applyFont="1" applyBorder="1" applyAlignment="1">
      <alignment horizontal="left" vertical="center"/>
    </xf>
    <xf numFmtId="0" fontId="97" fillId="0" borderId="12" xfId="188" applyFont="1" applyBorder="1" applyAlignment="1">
      <alignment horizontal="left" vertical="center"/>
    </xf>
    <xf numFmtId="0" fontId="97" fillId="0" borderId="12" xfId="188" applyFont="1" applyBorder="1">
      <alignment vertical="center"/>
    </xf>
    <xf numFmtId="0" fontId="97" fillId="0" borderId="13" xfId="188" applyFont="1" applyBorder="1">
      <alignment vertical="center"/>
    </xf>
    <xf numFmtId="0" fontId="97" fillId="0" borderId="15" xfId="188" applyFont="1" applyBorder="1">
      <alignment vertical="center"/>
    </xf>
    <xf numFmtId="0" fontId="97" fillId="0" borderId="0" xfId="188" applyFont="1" applyAlignment="1">
      <alignment horizontal="left" vertical="center"/>
    </xf>
    <xf numFmtId="0" fontId="97" fillId="0" borderId="11" xfId="188" applyFont="1" applyBorder="1">
      <alignment vertical="center"/>
    </xf>
    <xf numFmtId="0" fontId="97" fillId="0" borderId="6" xfId="188" applyFont="1" applyBorder="1">
      <alignment vertical="center"/>
    </xf>
    <xf numFmtId="0" fontId="97" fillId="0" borderId="84" xfId="188" applyFont="1" applyBorder="1">
      <alignment vertical="center"/>
    </xf>
    <xf numFmtId="0" fontId="97" fillId="0" borderId="65" xfId="188" applyFont="1" applyBorder="1" applyAlignment="1">
      <alignment horizontal="left" vertical="center"/>
    </xf>
    <xf numFmtId="0" fontId="97" fillId="0" borderId="65" xfId="188" applyFont="1" applyBorder="1">
      <alignment vertical="center"/>
    </xf>
    <xf numFmtId="0" fontId="97" fillId="0" borderId="66" xfId="188" applyFont="1" applyBorder="1">
      <alignment vertical="center"/>
    </xf>
    <xf numFmtId="0" fontId="122" fillId="14" borderId="0" xfId="186" applyFont="1" applyFill="1" applyAlignment="1">
      <alignment horizontal="left" vertical="center"/>
    </xf>
    <xf numFmtId="0" fontId="21" fillId="0" borderId="0" xfId="48" applyFont="1" applyAlignment="1">
      <alignment horizontal="center" vertical="center" wrapText="1"/>
    </xf>
    <xf numFmtId="0" fontId="21" fillId="0" borderId="0" xfId="48" applyFont="1" applyAlignment="1">
      <alignment horizontal="center" vertical="center"/>
    </xf>
    <xf numFmtId="14" fontId="83" fillId="14" borderId="0" xfId="48" applyNumberFormat="1" applyFont="1" applyFill="1" applyAlignment="1">
      <alignment horizontal="center" vertical="center"/>
    </xf>
    <xf numFmtId="0" fontId="83" fillId="14" borderId="0" xfId="48" applyFont="1" applyFill="1" applyAlignment="1">
      <alignment horizontal="center" vertical="center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center" vertical="center"/>
    </xf>
    <xf numFmtId="0" fontId="21" fillId="0" borderId="3" xfId="48" applyFont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5" fillId="16" borderId="3" xfId="50" applyFill="1" applyBorder="1" applyAlignment="1">
      <alignment horizontal="left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54" fillId="14" borderId="15" xfId="0" applyFont="1" applyFill="1" applyBorder="1" applyAlignment="1">
      <alignment vertical="center" wrapText="1"/>
    </xf>
    <xf numFmtId="0" fontId="54" fillId="14" borderId="12" xfId="0" applyFont="1" applyFill="1" applyBorder="1" applyAlignment="1">
      <alignment vertical="center" wrapText="1"/>
    </xf>
    <xf numFmtId="0" fontId="54" fillId="14" borderId="13" xfId="0" applyFont="1" applyFill="1" applyBorder="1" applyAlignment="1">
      <alignment vertical="center" wrapText="1"/>
    </xf>
    <xf numFmtId="0" fontId="54" fillId="14" borderId="7" xfId="0" applyFont="1" applyFill="1" applyBorder="1" applyAlignment="1">
      <alignment vertical="center" wrapText="1"/>
    </xf>
    <xf numFmtId="0" fontId="54" fillId="14" borderId="8" xfId="0" applyFont="1" applyFill="1" applyBorder="1" applyAlignment="1">
      <alignment vertical="center" wrapText="1"/>
    </xf>
    <xf numFmtId="0" fontId="54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4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6" fillId="17" borderId="8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vertical="center" wrapText="1"/>
    </xf>
    <xf numFmtId="0" fontId="54" fillId="0" borderId="15" xfId="0" applyFont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0" fontId="54" fillId="0" borderId="3" xfId="0" applyFont="1" applyBorder="1">
      <alignment vertical="center"/>
    </xf>
    <xf numFmtId="0" fontId="54" fillId="0" borderId="3" xfId="0" applyFont="1" applyBorder="1" applyAlignment="1">
      <alignment vertical="center" wrapText="1"/>
    </xf>
    <xf numFmtId="0" fontId="54" fillId="0" borderId="23" xfId="0" applyFont="1" applyBorder="1">
      <alignment vertical="center"/>
    </xf>
    <xf numFmtId="0" fontId="54" fillId="0" borderId="10" xfId="0" applyFont="1" applyBorder="1" applyAlignment="1">
      <alignment vertical="center" wrapText="1"/>
    </xf>
    <xf numFmtId="0" fontId="54" fillId="0" borderId="2" xfId="0" applyFont="1" applyBorder="1">
      <alignment vertical="center"/>
    </xf>
    <xf numFmtId="0" fontId="54" fillId="0" borderId="17" xfId="0" applyFont="1" applyBorder="1">
      <alignment vertical="center"/>
    </xf>
    <xf numFmtId="0" fontId="0" fillId="0" borderId="3" xfId="0" applyBorder="1">
      <alignment vertical="center"/>
    </xf>
    <xf numFmtId="14" fontId="54" fillId="0" borderId="3" xfId="0" applyNumberFormat="1" applyFont="1" applyBorder="1" applyAlignment="1">
      <alignment horizontal="center"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4" fillId="0" borderId="23" xfId="0" applyNumberFormat="1" applyFont="1" applyBorder="1" applyAlignment="1">
      <alignment horizontal="center" vertical="center"/>
    </xf>
    <xf numFmtId="185" fontId="104" fillId="14" borderId="0" xfId="161" quotePrefix="1" applyNumberFormat="1" applyFont="1" applyFill="1" applyAlignment="1">
      <alignment horizontal="right" vertical="center"/>
    </xf>
    <xf numFmtId="0" fontId="106" fillId="0" borderId="73" xfId="0" applyFont="1" applyBorder="1" applyAlignment="1">
      <alignment horizontal="left" vertical="center"/>
    </xf>
    <xf numFmtId="0" fontId="106" fillId="0" borderId="80" xfId="0" applyFont="1" applyBorder="1" applyAlignment="1">
      <alignment horizontal="left" vertical="center"/>
    </xf>
    <xf numFmtId="0" fontId="106" fillId="0" borderId="75" xfId="0" applyFont="1" applyBorder="1" applyAlignment="1">
      <alignment horizontal="left" vertical="center"/>
    </xf>
    <xf numFmtId="0" fontId="106" fillId="0" borderId="79" xfId="0" applyFont="1" applyBorder="1" applyAlignment="1">
      <alignment horizontal="left" vertical="center"/>
    </xf>
    <xf numFmtId="0" fontId="106" fillId="0" borderId="82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0" fontId="106" fillId="0" borderId="83" xfId="0" applyFont="1" applyBorder="1" applyAlignment="1">
      <alignment horizontal="left" vertical="center"/>
    </xf>
    <xf numFmtId="0" fontId="106" fillId="0" borderId="78" xfId="0" applyFont="1" applyBorder="1" applyAlignment="1">
      <alignment horizontal="left" vertical="center"/>
    </xf>
    <xf numFmtId="0" fontId="106" fillId="0" borderId="81" xfId="0" applyFont="1" applyBorder="1" applyAlignment="1">
      <alignment horizontal="left" vertical="center"/>
    </xf>
    <xf numFmtId="0" fontId="106" fillId="0" borderId="77" xfId="0" applyFont="1" applyBorder="1" applyAlignment="1">
      <alignment horizontal="left" vertical="center"/>
    </xf>
    <xf numFmtId="185" fontId="104" fillId="36" borderId="0" xfId="161" quotePrefix="1" applyNumberFormat="1" applyFont="1" applyFill="1" applyAlignment="1">
      <alignment horizontal="right" vertical="center"/>
    </xf>
    <xf numFmtId="0" fontId="106" fillId="0" borderId="73" xfId="0" applyFont="1" applyBorder="1" applyAlignment="1">
      <alignment horizontal="left" vertical="center" wrapText="1"/>
    </xf>
    <xf numFmtId="185" fontId="104" fillId="14" borderId="12" xfId="161" quotePrefix="1" applyNumberFormat="1" applyFont="1" applyFill="1" applyBorder="1" applyAlignment="1">
      <alignment horizontal="right" vertical="center"/>
    </xf>
    <xf numFmtId="0" fontId="104" fillId="14" borderId="3" xfId="0" applyFont="1" applyFill="1" applyBorder="1" applyAlignment="1">
      <alignment horizontal="center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115" fillId="36" borderId="74" xfId="0" applyFont="1" applyFill="1" applyBorder="1" applyAlignment="1">
      <alignment horizontal="left" vertical="center" wrapText="1"/>
    </xf>
    <xf numFmtId="0" fontId="115" fillId="36" borderId="76" xfId="0" applyFont="1" applyFill="1" applyBorder="1" applyAlignment="1">
      <alignment horizontal="left" vertical="center" wrapText="1"/>
    </xf>
    <xf numFmtId="0" fontId="113" fillId="36" borderId="74" xfId="0" applyFont="1" applyFill="1" applyBorder="1" applyAlignment="1">
      <alignment horizontal="left" vertical="center" wrapText="1"/>
    </xf>
    <xf numFmtId="0" fontId="113" fillId="36" borderId="76" xfId="0" applyFont="1" applyFill="1" applyBorder="1" applyAlignment="1">
      <alignment horizontal="left" vertical="center" wrapText="1"/>
    </xf>
    <xf numFmtId="0" fontId="97" fillId="36" borderId="74" xfId="161" applyFont="1" applyFill="1" applyBorder="1" applyAlignment="1">
      <alignment horizontal="center" vertical="center"/>
    </xf>
    <xf numFmtId="0" fontId="97" fillId="36" borderId="76" xfId="161" applyFont="1" applyFill="1" applyBorder="1" applyAlignment="1">
      <alignment horizontal="center" vertical="center"/>
    </xf>
    <xf numFmtId="0" fontId="114" fillId="0" borderId="73" xfId="0" applyFont="1" applyBorder="1" applyAlignment="1">
      <alignment horizontal="center" vertical="center"/>
    </xf>
    <xf numFmtId="0" fontId="116" fillId="14" borderId="72" xfId="0" applyFont="1" applyFill="1" applyBorder="1" applyAlignment="1">
      <alignment horizontal="center" vertical="center" wrapText="1"/>
    </xf>
    <xf numFmtId="0" fontId="116" fillId="14" borderId="72" xfId="0" applyFont="1" applyFill="1" applyBorder="1" applyAlignment="1">
      <alignment horizontal="center" vertical="center"/>
    </xf>
    <xf numFmtId="0" fontId="116" fillId="14" borderId="0" xfId="0" applyFont="1" applyFill="1" applyAlignment="1">
      <alignment horizontal="center" vertical="center"/>
    </xf>
    <xf numFmtId="0" fontId="101" fillId="19" borderId="0" xfId="161" applyFont="1" applyFill="1" applyAlignment="1">
      <alignment horizontal="left" vertical="center" wrapText="1"/>
    </xf>
    <xf numFmtId="0" fontId="101" fillId="19" borderId="0" xfId="161" applyFont="1" applyFill="1" applyAlignment="1">
      <alignment horizontal="left" vertical="center"/>
    </xf>
    <xf numFmtId="0" fontId="113" fillId="19" borderId="74" xfId="161" applyFont="1" applyFill="1" applyBorder="1" applyAlignment="1">
      <alignment horizontal="left" vertical="center" wrapText="1"/>
    </xf>
    <xf numFmtId="0" fontId="113" fillId="19" borderId="74" xfId="161" applyFont="1" applyFill="1" applyBorder="1" applyAlignment="1">
      <alignment horizontal="left" vertical="center"/>
    </xf>
    <xf numFmtId="0" fontId="113" fillId="19" borderId="76" xfId="161" applyFont="1" applyFill="1" applyBorder="1" applyAlignment="1">
      <alignment horizontal="left" vertical="center" wrapText="1"/>
    </xf>
    <xf numFmtId="0" fontId="113" fillId="19" borderId="76" xfId="161" applyFont="1" applyFill="1" applyBorder="1" applyAlignment="1">
      <alignment horizontal="left" vertical="center"/>
    </xf>
    <xf numFmtId="0" fontId="97" fillId="19" borderId="10" xfId="161" applyFont="1" applyFill="1" applyBorder="1" applyAlignment="1">
      <alignment horizontal="left" vertical="center"/>
    </xf>
    <xf numFmtId="0" fontId="97" fillId="19" borderId="2" xfId="161" applyFont="1" applyFill="1" applyBorder="1" applyAlignment="1">
      <alignment horizontal="left" vertical="center"/>
    </xf>
    <xf numFmtId="0" fontId="97" fillId="19" borderId="17" xfId="161" applyFont="1" applyFill="1" applyBorder="1" applyAlignment="1">
      <alignment horizontal="left" vertical="center"/>
    </xf>
    <xf numFmtId="0" fontId="97" fillId="0" borderId="10" xfId="161" applyFont="1" applyBorder="1" applyAlignment="1">
      <alignment horizontal="left" vertical="center" wrapText="1"/>
    </xf>
    <xf numFmtId="0" fontId="97" fillId="0" borderId="2" xfId="161" applyFont="1" applyBorder="1" applyAlignment="1">
      <alignment horizontal="left" vertical="center" wrapText="1"/>
    </xf>
    <xf numFmtId="0" fontId="97" fillId="0" borderId="17" xfId="161" applyFont="1" applyBorder="1" applyAlignment="1">
      <alignment horizontal="left" vertical="center" wrapText="1"/>
    </xf>
    <xf numFmtId="0" fontId="97" fillId="0" borderId="10" xfId="161" applyFont="1" applyBorder="1" applyAlignment="1">
      <alignment horizontal="left" vertical="center"/>
    </xf>
    <xf numFmtId="0" fontId="97" fillId="0" borderId="2" xfId="161" applyFont="1" applyBorder="1" applyAlignment="1">
      <alignment horizontal="left" vertical="center"/>
    </xf>
    <xf numFmtId="0" fontId="97" fillId="0" borderId="17" xfId="161" applyFont="1" applyBorder="1" applyAlignment="1">
      <alignment horizontal="left" vertical="center"/>
    </xf>
    <xf numFmtId="0" fontId="22" fillId="0" borderId="3" xfId="48" applyFont="1" applyBorder="1" applyAlignment="1">
      <alignment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109" fillId="35" borderId="62" xfId="0" applyFont="1" applyFill="1" applyBorder="1" applyAlignment="1">
      <alignment horizontal="center" vertical="center"/>
    </xf>
    <xf numFmtId="0" fontId="109" fillId="35" borderId="63" xfId="0" applyFont="1" applyFill="1" applyBorder="1" applyAlignment="1">
      <alignment horizontal="center" vertical="center"/>
    </xf>
    <xf numFmtId="0" fontId="109" fillId="35" borderId="64" xfId="0" applyFont="1" applyFill="1" applyBorder="1" applyAlignment="1">
      <alignment horizontal="center" vertical="center"/>
    </xf>
    <xf numFmtId="185" fontId="104" fillId="19" borderId="0" xfId="161" quotePrefix="1" applyNumberFormat="1" applyFont="1" applyFill="1" applyAlignment="1">
      <alignment horizontal="right" vertical="center"/>
    </xf>
    <xf numFmtId="0" fontId="106" fillId="36" borderId="0" xfId="0" applyFont="1" applyFill="1" applyAlignment="1">
      <alignment horizontal="center" vertical="center"/>
    </xf>
    <xf numFmtId="0" fontId="104" fillId="36" borderId="3" xfId="161" applyFont="1" applyFill="1" applyBorder="1" applyAlignment="1">
      <alignment horizontal="center" vertical="center" wrapText="1"/>
    </xf>
    <xf numFmtId="49" fontId="97" fillId="0" borderId="10" xfId="45" applyNumberFormat="1" applyFont="1" applyBorder="1" applyAlignment="1">
      <alignment horizontal="left" vertical="center" wrapText="1"/>
    </xf>
    <xf numFmtId="49" fontId="97" fillId="0" borderId="54" xfId="45" applyNumberFormat="1" applyFont="1" applyBorder="1" applyAlignment="1">
      <alignment horizontal="left" vertical="center" wrapText="1"/>
    </xf>
    <xf numFmtId="0" fontId="97" fillId="0" borderId="59" xfId="185" applyFont="1" applyBorder="1" applyAlignment="1" applyProtection="1">
      <alignment vertical="center" wrapText="1"/>
      <protection locked="0"/>
    </xf>
    <xf numFmtId="0" fontId="97" fillId="0" borderId="60" xfId="185" applyFont="1" applyBorder="1" applyAlignment="1" applyProtection="1">
      <alignment vertical="center" wrapText="1"/>
      <protection locked="0"/>
    </xf>
    <xf numFmtId="0" fontId="97" fillId="0" borderId="61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>
      <alignment horizontal="left"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7" fillId="0" borderId="58" xfId="185" applyFont="1" applyBorder="1" applyAlignment="1" applyProtection="1">
      <alignment horizontal="left" vertical="center" wrapText="1"/>
      <protection locked="0"/>
    </xf>
    <xf numFmtId="0" fontId="97" fillId="0" borderId="2" xfId="185" applyFont="1" applyBorder="1" applyAlignment="1" applyProtection="1">
      <alignment horizontal="left" vertical="center" wrapText="1"/>
      <protection locked="0"/>
    </xf>
    <xf numFmtId="0" fontId="97" fillId="0" borderId="58" xfId="45" applyFont="1" applyBorder="1" applyAlignment="1" applyProtection="1">
      <alignment horizontal="center" vertical="center" wrapText="1"/>
      <protection locked="0"/>
    </xf>
    <xf numFmtId="0" fontId="97" fillId="0" borderId="2" xfId="45" applyFont="1" applyBorder="1" applyAlignment="1" applyProtection="1">
      <alignment horizontal="center" vertical="center" wrapText="1"/>
      <protection locked="0"/>
    </xf>
    <xf numFmtId="0" fontId="97" fillId="0" borderId="54" xfId="45" applyFont="1" applyBorder="1" applyAlignment="1" applyProtection="1">
      <alignment horizontal="center" vertical="center" wrapText="1"/>
      <protection locked="0"/>
    </xf>
    <xf numFmtId="0" fontId="97" fillId="0" borderId="17" xfId="45" applyFont="1" applyBorder="1" applyAlignment="1" applyProtection="1">
      <alignment horizontal="center" vertical="center" wrapText="1"/>
      <protection locked="0"/>
    </xf>
    <xf numFmtId="0" fontId="97" fillId="0" borderId="10" xfId="185" applyFont="1" applyBorder="1" applyAlignment="1">
      <alignment horizontal="left" vertical="center" wrapText="1"/>
    </xf>
    <xf numFmtId="0" fontId="97" fillId="0" borderId="58" xfId="185" applyFont="1" applyBorder="1" applyAlignment="1">
      <alignment horizontal="center" vertical="center" wrapText="1"/>
    </xf>
    <xf numFmtId="0" fontId="97" fillId="0" borderId="2" xfId="185" applyFont="1" applyBorder="1" applyAlignment="1">
      <alignment horizontal="center" vertical="center" wrapText="1"/>
    </xf>
    <xf numFmtId="0" fontId="97" fillId="0" borderId="17" xfId="185" applyFont="1" applyBorder="1" applyAlignment="1">
      <alignment horizontal="center" vertical="center" wrapText="1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97" fillId="0" borderId="58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 applyProtection="1">
      <alignment vertical="center" wrapText="1"/>
      <protection locked="0"/>
    </xf>
    <xf numFmtId="0" fontId="97" fillId="0" borderId="54" xfId="185" applyFont="1" applyBorder="1" applyAlignment="1" applyProtection="1">
      <alignment vertical="center" wrapText="1"/>
      <protection locked="0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 applyProtection="1">
      <alignment horizontal="left" vertical="center" wrapText="1"/>
      <protection locked="0"/>
    </xf>
    <xf numFmtId="0" fontId="97" fillId="0" borderId="2" xfId="184" applyFont="1" applyBorder="1" applyAlignment="1" applyProtection="1">
      <alignment horizontal="left" vertical="center" wrapText="1"/>
      <protection locked="0"/>
    </xf>
    <xf numFmtId="0" fontId="97" fillId="0" borderId="10" xfId="185" applyFont="1" applyBorder="1" applyAlignment="1">
      <alignment horizontal="left" vertical="top" wrapText="1"/>
    </xf>
    <xf numFmtId="0" fontId="97" fillId="0" borderId="2" xfId="185" applyFont="1" applyBorder="1" applyAlignment="1">
      <alignment horizontal="left" vertical="top" wrapText="1"/>
    </xf>
    <xf numFmtId="0" fontId="97" fillId="0" borderId="17" xfId="185" applyFont="1" applyBorder="1" applyAlignment="1">
      <alignment horizontal="left" vertical="top" wrapText="1"/>
    </xf>
    <xf numFmtId="0" fontId="97" fillId="0" borderId="10" xfId="45" applyFont="1" applyBorder="1" applyAlignment="1">
      <alignment horizontal="left" vertical="center" wrapText="1"/>
    </xf>
    <xf numFmtId="0" fontId="97" fillId="0" borderId="2" xfId="45" applyFont="1" applyBorder="1" applyAlignment="1">
      <alignment horizontal="left" vertical="center" wrapText="1"/>
    </xf>
    <xf numFmtId="0" fontId="97" fillId="0" borderId="17" xfId="45" applyFont="1" applyBorder="1" applyAlignment="1">
      <alignment horizontal="left" vertical="center" wrapText="1"/>
    </xf>
    <xf numFmtId="0" fontId="97" fillId="0" borderId="59" xfId="45" applyFont="1" applyBorder="1" applyAlignment="1" applyProtection="1">
      <alignment vertical="center" wrapText="1"/>
      <protection locked="0"/>
    </xf>
    <xf numFmtId="0" fontId="97" fillId="0" borderId="60" xfId="45" applyFont="1" applyBorder="1" applyAlignment="1" applyProtection="1">
      <alignment vertical="center" wrapText="1"/>
      <protection locked="0"/>
    </xf>
    <xf numFmtId="0" fontId="97" fillId="0" borderId="67" xfId="45" applyFont="1" applyBorder="1" applyAlignment="1" applyProtection="1">
      <alignment vertical="center" wrapText="1"/>
      <protection locked="0"/>
    </xf>
    <xf numFmtId="0" fontId="97" fillId="0" borderId="68" xfId="45" applyFont="1" applyBorder="1" applyAlignment="1" applyProtection="1">
      <alignment horizontal="left" vertical="center" wrapText="1"/>
      <protection locked="0"/>
    </xf>
    <xf numFmtId="0" fontId="103" fillId="33" borderId="23" xfId="185" applyFont="1" applyFill="1" applyBorder="1" applyAlignment="1">
      <alignment horizontal="center" vertical="center"/>
    </xf>
    <xf numFmtId="0" fontId="103" fillId="34" borderId="3" xfId="185" applyFont="1" applyFill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/>
    </xf>
    <xf numFmtId="0" fontId="103" fillId="34" borderId="3" xfId="185" applyFont="1" applyFill="1" applyBorder="1" applyAlignment="1" applyProtection="1">
      <alignment horizontal="center" vertical="center" wrapText="1"/>
      <protection locked="0"/>
    </xf>
    <xf numFmtId="0" fontId="103" fillId="32" borderId="3" xfId="185" applyFont="1" applyFill="1" applyBorder="1" applyAlignment="1">
      <alignment horizontal="center" vertical="center" wrapText="1"/>
    </xf>
    <xf numFmtId="0" fontId="103" fillId="32" borderId="3" xfId="185" applyFont="1" applyFill="1" applyBorder="1" applyAlignment="1">
      <alignment horizontal="center" vertical="center"/>
    </xf>
    <xf numFmtId="0" fontId="103" fillId="32" borderId="62" xfId="185" applyFont="1" applyFill="1" applyBorder="1" applyAlignment="1">
      <alignment horizontal="center" vertical="center" wrapText="1"/>
    </xf>
    <xf numFmtId="0" fontId="103" fillId="32" borderId="63" xfId="185" applyFont="1" applyFill="1" applyBorder="1" applyAlignment="1">
      <alignment horizontal="center" vertical="center" wrapText="1"/>
    </xf>
    <xf numFmtId="0" fontId="103" fillId="32" borderId="64" xfId="185" applyFont="1" applyFill="1" applyBorder="1" applyAlignment="1">
      <alignment horizontal="center" vertical="center" wrapText="1"/>
    </xf>
    <xf numFmtId="0" fontId="103" fillId="32" borderId="84" xfId="185" applyFont="1" applyFill="1" applyBorder="1" applyAlignment="1">
      <alignment horizontal="center" vertical="center" wrapText="1"/>
    </xf>
    <xf numFmtId="0" fontId="103" fillId="32" borderId="65" xfId="185" applyFont="1" applyFill="1" applyBorder="1" applyAlignment="1">
      <alignment horizontal="center" vertical="center" wrapText="1"/>
    </xf>
    <xf numFmtId="0" fontId="103" fillId="32" borderId="66" xfId="185" applyFont="1" applyFill="1" applyBorder="1" applyAlignment="1">
      <alignment horizontal="center" vertical="center" wrapText="1"/>
    </xf>
    <xf numFmtId="0" fontId="103" fillId="32" borderId="62" xfId="184" applyFont="1" applyFill="1" applyBorder="1" applyAlignment="1">
      <alignment horizontal="center" vertical="center" wrapText="1"/>
    </xf>
    <xf numFmtId="0" fontId="103" fillId="32" borderId="63" xfId="184" applyFont="1" applyFill="1" applyBorder="1" applyAlignment="1">
      <alignment horizontal="center" vertical="center" wrapText="1"/>
    </xf>
    <xf numFmtId="0" fontId="103" fillId="32" borderId="7" xfId="184" applyFont="1" applyFill="1" applyBorder="1" applyAlignment="1">
      <alignment horizontal="center" vertical="center" wrapText="1"/>
    </xf>
    <xf numFmtId="0" fontId="103" fillId="32" borderId="65" xfId="184" applyFont="1" applyFill="1" applyBorder="1" applyAlignment="1">
      <alignment horizontal="center" vertical="center" wrapText="1"/>
    </xf>
    <xf numFmtId="0" fontId="97" fillId="0" borderId="10" xfId="184" applyFont="1" applyBorder="1" applyAlignment="1">
      <alignment horizontal="left" vertical="center" wrapText="1"/>
    </xf>
    <xf numFmtId="0" fontId="97" fillId="0" borderId="17" xfId="184" applyFont="1" applyBorder="1" applyAlignment="1">
      <alignment horizontal="left" vertical="center" wrapText="1"/>
    </xf>
    <xf numFmtId="0" fontId="97" fillId="0" borderId="0" xfId="184" applyFont="1" applyAlignment="1" applyProtection="1">
      <alignment horizontal="left" vertical="center" wrapText="1"/>
      <protection locked="0"/>
    </xf>
    <xf numFmtId="0" fontId="97" fillId="0" borderId="63" xfId="184" applyFont="1" applyBorder="1" applyAlignment="1" applyProtection="1">
      <alignment horizontal="left" vertical="center" wrapText="1"/>
      <protection locked="0"/>
    </xf>
    <xf numFmtId="0" fontId="97" fillId="0" borderId="55" xfId="184" applyFont="1" applyBorder="1" applyAlignment="1" applyProtection="1">
      <alignment vertical="center" wrapText="1"/>
      <protection locked="0"/>
    </xf>
    <xf numFmtId="0" fontId="97" fillId="0" borderId="56" xfId="184" applyFont="1" applyBorder="1" applyAlignment="1" applyProtection="1">
      <alignment vertical="center" wrapText="1"/>
      <protection locked="0"/>
    </xf>
    <xf numFmtId="0" fontId="97" fillId="0" borderId="57" xfId="184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 applyProtection="1">
      <alignment vertical="center" wrapText="1"/>
      <protection locked="0"/>
    </xf>
    <xf numFmtId="0" fontId="97" fillId="0" borderId="2" xfId="184" applyFont="1" applyBorder="1" applyAlignment="1" applyProtection="1">
      <alignment vertical="center" wrapText="1"/>
      <protection locked="0"/>
    </xf>
    <xf numFmtId="0" fontId="97" fillId="0" borderId="54" xfId="184" applyFont="1" applyBorder="1" applyAlignment="1" applyProtection="1">
      <alignment vertical="center" wrapText="1"/>
      <protection locked="0"/>
    </xf>
    <xf numFmtId="0" fontId="101" fillId="34" borderId="10" xfId="186" applyFont="1" applyFill="1" applyBorder="1" applyAlignment="1">
      <alignment horizontal="center" vertical="center"/>
    </xf>
    <xf numFmtId="0" fontId="101" fillId="34" borderId="2" xfId="186" applyFont="1" applyFill="1" applyBorder="1" applyAlignment="1">
      <alignment horizontal="center" vertical="center"/>
    </xf>
    <xf numFmtId="0" fontId="101" fillId="34" borderId="17" xfId="186" applyFont="1" applyFill="1" applyBorder="1" applyAlignment="1">
      <alignment horizontal="center" vertical="center"/>
    </xf>
    <xf numFmtId="0" fontId="101" fillId="0" borderId="10" xfId="186" applyFont="1" applyBorder="1" applyAlignment="1">
      <alignment horizontal="left" vertical="center"/>
    </xf>
    <xf numFmtId="0" fontId="101" fillId="0" borderId="2" xfId="186" applyFont="1" applyBorder="1" applyAlignment="1">
      <alignment horizontal="left" vertical="center"/>
    </xf>
    <xf numFmtId="0" fontId="101" fillId="0" borderId="17" xfId="186" applyFont="1" applyBorder="1" applyAlignment="1">
      <alignment horizontal="left" vertical="center"/>
    </xf>
    <xf numFmtId="0" fontId="110" fillId="33" borderId="23" xfId="186" applyFont="1" applyFill="1" applyBorder="1" applyAlignment="1">
      <alignment horizontal="center" vertical="center"/>
    </xf>
    <xf numFmtId="0" fontId="101" fillId="34" borderId="10" xfId="186" applyFont="1" applyFill="1" applyBorder="1" applyAlignment="1">
      <alignment horizontal="left" vertical="center"/>
    </xf>
    <xf numFmtId="0" fontId="101" fillId="34" borderId="2" xfId="186" applyFont="1" applyFill="1" applyBorder="1" applyAlignment="1">
      <alignment horizontal="left" vertical="center"/>
    </xf>
    <xf numFmtId="0" fontId="101" fillId="34" borderId="17" xfId="186" applyFont="1" applyFill="1" applyBorder="1" applyAlignment="1">
      <alignment horizontal="left" vertical="center"/>
    </xf>
    <xf numFmtId="0" fontId="101" fillId="0" borderId="15" xfId="186" applyFont="1" applyBorder="1" applyAlignment="1">
      <alignment horizontal="left" vertical="center"/>
    </xf>
    <xf numFmtId="0" fontId="101" fillId="0" borderId="12" xfId="186" applyFont="1" applyBorder="1" applyAlignment="1">
      <alignment horizontal="left" vertical="center"/>
    </xf>
    <xf numFmtId="0" fontId="101" fillId="0" borderId="13" xfId="186" applyFont="1" applyBorder="1" applyAlignment="1">
      <alignment horizontal="left" vertical="center"/>
    </xf>
    <xf numFmtId="0" fontId="101" fillId="14" borderId="15" xfId="186" applyFont="1" applyFill="1" applyBorder="1" applyAlignment="1">
      <alignment horizontal="left" vertical="center"/>
    </xf>
    <xf numFmtId="0" fontId="101" fillId="14" borderId="12" xfId="186" applyFont="1" applyFill="1" applyBorder="1" applyAlignment="1">
      <alignment horizontal="left" vertical="center"/>
    </xf>
    <xf numFmtId="0" fontId="101" fillId="14" borderId="13" xfId="186" applyFont="1" applyFill="1" applyBorder="1" applyAlignment="1">
      <alignment horizontal="left" vertical="center"/>
    </xf>
    <xf numFmtId="0" fontId="101" fillId="14" borderId="7" xfId="186" applyFont="1" applyFill="1" applyBorder="1" applyAlignment="1">
      <alignment horizontal="left" vertical="center"/>
    </xf>
    <xf numFmtId="0" fontId="101" fillId="14" borderId="8" xfId="186" applyFont="1" applyFill="1" applyBorder="1" applyAlignment="1">
      <alignment horizontal="left" vertical="center"/>
    </xf>
    <xf numFmtId="0" fontId="101" fillId="14" borderId="14" xfId="186" applyFont="1" applyFill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 wrapText="1"/>
    </xf>
    <xf numFmtId="0" fontId="101" fillId="14" borderId="2" xfId="186" applyFont="1" applyFill="1" applyBorder="1" applyAlignment="1">
      <alignment horizontal="left" vertical="center" wrapText="1"/>
    </xf>
    <xf numFmtId="0" fontId="101" fillId="14" borderId="17" xfId="186" applyFont="1" applyFill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 wrapText="1"/>
    </xf>
    <xf numFmtId="0" fontId="101" fillId="0" borderId="2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left" vertical="center" wrapText="1"/>
    </xf>
    <xf numFmtId="0" fontId="101" fillId="0" borderId="3" xfId="187" applyFont="1" applyBorder="1" applyAlignment="1">
      <alignment horizontal="left" vertical="center"/>
    </xf>
    <xf numFmtId="0" fontId="101" fillId="0" borderId="3" xfId="186" applyFont="1" applyBorder="1" applyAlignment="1">
      <alignment horizontal="left" vertical="center"/>
    </xf>
    <xf numFmtId="0" fontId="101" fillId="0" borderId="3" xfId="186" applyFont="1" applyBorder="1" applyAlignment="1">
      <alignment horizontal="left" vertical="center" wrapText="1"/>
    </xf>
    <xf numFmtId="0" fontId="101" fillId="37" borderId="10" xfId="186" applyFont="1" applyFill="1" applyBorder="1" applyAlignment="1">
      <alignment horizontal="center" vertical="center"/>
    </xf>
    <xf numFmtId="0" fontId="101" fillId="37" borderId="2" xfId="186" applyFont="1" applyFill="1" applyBorder="1" applyAlignment="1">
      <alignment horizontal="center" vertical="center"/>
    </xf>
    <xf numFmtId="0" fontId="101" fillId="37" borderId="17" xfId="186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center" vertical="center"/>
    </xf>
    <xf numFmtId="0" fontId="101" fillId="37" borderId="3" xfId="187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left" vertical="center" wrapText="1"/>
    </xf>
    <xf numFmtId="0" fontId="101" fillId="37" borderId="3" xfId="186" applyFont="1" applyFill="1" applyBorder="1" applyAlignment="1">
      <alignment horizontal="center" vertical="center"/>
    </xf>
    <xf numFmtId="0" fontId="101" fillId="37" borderId="3" xfId="187" applyFont="1" applyFill="1" applyBorder="1">
      <alignment vertical="center"/>
    </xf>
    <xf numFmtId="0" fontId="101" fillId="37" borderId="3" xfId="186" applyFont="1" applyFill="1" applyBorder="1" applyAlignment="1">
      <alignment horizontal="center" vertical="center" wrapText="1"/>
    </xf>
    <xf numFmtId="0" fontId="101" fillId="0" borderId="10" xfId="186" applyFont="1" applyBorder="1" applyAlignment="1">
      <alignment horizontal="center" vertical="center"/>
    </xf>
    <xf numFmtId="0" fontId="101" fillId="0" borderId="17" xfId="186" applyFont="1" applyBorder="1" applyAlignment="1">
      <alignment horizontal="center" vertical="center"/>
    </xf>
    <xf numFmtId="0" fontId="101" fillId="0" borderId="3" xfId="187" applyFont="1" applyBorder="1" applyAlignment="1">
      <alignment horizontal="center" vertical="center"/>
    </xf>
    <xf numFmtId="0" fontId="101" fillId="0" borderId="3" xfId="187" applyFont="1" applyBorder="1" applyAlignment="1">
      <alignment vertical="center" wrapText="1"/>
    </xf>
    <xf numFmtId="0" fontId="101" fillId="0" borderId="3" xfId="186" applyFont="1" applyBorder="1" applyAlignment="1">
      <alignment horizontal="center" vertical="center"/>
    </xf>
    <xf numFmtId="0" fontId="101" fillId="0" borderId="10" xfId="187" applyFont="1" applyBorder="1" applyAlignment="1">
      <alignment horizontal="center" vertical="center"/>
    </xf>
    <xf numFmtId="0" fontId="101" fillId="0" borderId="2" xfId="187" applyFont="1" applyBorder="1" applyAlignment="1">
      <alignment horizontal="center" vertical="center"/>
    </xf>
    <xf numFmtId="0" fontId="101" fillId="0" borderId="17" xfId="187" applyFont="1" applyBorder="1" applyAlignment="1">
      <alignment horizontal="center" vertical="center"/>
    </xf>
    <xf numFmtId="0" fontId="103" fillId="33" borderId="2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 wrapText="1"/>
    </xf>
    <xf numFmtId="0" fontId="100" fillId="34" borderId="3" xfId="188" applyFont="1" applyFill="1" applyBorder="1">
      <alignment vertical="center"/>
    </xf>
    <xf numFmtId="0" fontId="97" fillId="0" borderId="3" xfId="188" applyFont="1" applyBorder="1">
      <alignment vertical="center"/>
    </xf>
    <xf numFmtId="0" fontId="97" fillId="0" borderId="3" xfId="188" applyFont="1" applyBorder="1" applyAlignment="1">
      <alignment horizontal="left" vertical="center" wrapText="1"/>
    </xf>
    <xf numFmtId="0" fontId="97" fillId="0" borderId="3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/>
    </xf>
    <xf numFmtId="0" fontId="97" fillId="0" borderId="2" xfId="188" applyFont="1" applyBorder="1" applyAlignment="1">
      <alignment horizontal="left" vertical="center"/>
    </xf>
    <xf numFmtId="0" fontId="97" fillId="0" borderId="17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 wrapText="1"/>
    </xf>
    <xf numFmtId="0" fontId="97" fillId="0" borderId="2" xfId="188" applyFont="1" applyBorder="1" applyAlignment="1">
      <alignment horizontal="left" vertical="center" wrapText="1"/>
    </xf>
    <xf numFmtId="0" fontId="97" fillId="0" borderId="17" xfId="188" applyFont="1" applyBorder="1" applyAlignment="1">
      <alignment horizontal="left" vertical="center" wrapText="1"/>
    </xf>
    <xf numFmtId="0" fontId="103" fillId="33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vertical="center" wrapText="1"/>
    </xf>
    <xf numFmtId="0" fontId="101" fillId="35" borderId="3" xfId="188" applyFont="1" applyFill="1" applyBorder="1" applyAlignment="1">
      <alignment horizontal="center" vertical="center" shrinkToFit="1"/>
    </xf>
    <xf numFmtId="0" fontId="101" fillId="0" borderId="3" xfId="188" applyFont="1" applyBorder="1" applyAlignment="1">
      <alignment horizontal="center" vertical="center"/>
    </xf>
    <xf numFmtId="0" fontId="119" fillId="0" borderId="3" xfId="188" applyFont="1" applyBorder="1" applyAlignment="1">
      <alignment horizontal="center" vertical="center"/>
    </xf>
    <xf numFmtId="0" fontId="119" fillId="35" borderId="3" xfId="188" applyFont="1" applyFill="1" applyBorder="1" applyAlignment="1">
      <alignment horizontal="center" vertical="center" shrinkToFit="1"/>
    </xf>
    <xf numFmtId="0" fontId="101" fillId="35" borderId="3" xfId="188" applyFont="1" applyFill="1" applyBorder="1" applyAlignment="1">
      <alignment horizontal="center" vertical="center"/>
    </xf>
    <xf numFmtId="0" fontId="101" fillId="0" borderId="3" xfId="188" quotePrefix="1" applyFont="1" applyBorder="1" applyAlignment="1">
      <alignment horizontal="center" vertical="center"/>
    </xf>
    <xf numFmtId="185" fontId="62" fillId="0" borderId="0" xfId="161" quotePrefix="1" applyNumberFormat="1" applyFont="1" applyAlignment="1">
      <alignment horizontal="right" vertical="center"/>
    </xf>
    <xf numFmtId="179" fontId="62" fillId="0" borderId="10" xfId="161" quotePrefix="1" applyNumberFormat="1" applyFont="1" applyBorder="1" applyAlignment="1">
      <alignment horizontal="right" vertical="center"/>
    </xf>
    <xf numFmtId="0" fontId="62" fillId="0" borderId="2" xfId="161" quotePrefix="1" applyFont="1" applyBorder="1" applyAlignment="1">
      <alignment horizontal="right" vertical="center"/>
    </xf>
    <xf numFmtId="0" fontId="62" fillId="0" borderId="17" xfId="161" quotePrefix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center" vertical="center"/>
    </xf>
    <xf numFmtId="183" fontId="62" fillId="0" borderId="2" xfId="161" quotePrefix="1" applyNumberFormat="1" applyFont="1" applyBorder="1" applyAlignment="1">
      <alignment horizontal="center" vertical="center"/>
    </xf>
    <xf numFmtId="183" fontId="62" fillId="0" borderId="17" xfId="161" quotePrefix="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center" vertical="center"/>
    </xf>
    <xf numFmtId="184" fontId="62" fillId="0" borderId="2" xfId="161" quotePrefix="1" applyNumberFormat="1" applyFont="1" applyBorder="1" applyAlignment="1">
      <alignment horizontal="center" vertical="center"/>
    </xf>
    <xf numFmtId="184" fontId="62" fillId="0" borderId="17" xfId="161" quotePrefix="1" applyNumberFormat="1" applyFont="1" applyBorder="1" applyAlignment="1">
      <alignment horizontal="center" vertical="center"/>
    </xf>
    <xf numFmtId="191" fontId="62" fillId="0" borderId="10" xfId="161" quotePrefix="1" applyNumberFormat="1" applyFont="1" applyBorder="1" applyAlignment="1">
      <alignment horizontal="right" vertical="center"/>
    </xf>
    <xf numFmtId="191" fontId="62" fillId="0" borderId="2" xfId="161" quotePrefix="1" applyNumberFormat="1" applyFont="1" applyBorder="1" applyAlignment="1">
      <alignment horizontal="right" vertical="center"/>
    </xf>
    <xf numFmtId="191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right" vertical="center"/>
    </xf>
    <xf numFmtId="182" fontId="62" fillId="0" borderId="2" xfId="161" quotePrefix="1" applyNumberFormat="1" applyFont="1" applyBorder="1" applyAlignment="1">
      <alignment horizontal="right" vertical="center"/>
    </xf>
    <xf numFmtId="182" fontId="62" fillId="0" borderId="17" xfId="161" quotePrefix="1" applyNumberFormat="1" applyFont="1" applyBorder="1" applyAlignment="1">
      <alignment horizontal="right" vertical="center"/>
    </xf>
    <xf numFmtId="185" fontId="62" fillId="0" borderId="10" xfId="161" quotePrefix="1" applyNumberFormat="1" applyFont="1" applyBorder="1" applyAlignment="1">
      <alignment horizontal="right" vertical="center"/>
    </xf>
    <xf numFmtId="185" fontId="62" fillId="0" borderId="2" xfId="161" quotePrefix="1" applyNumberFormat="1" applyFont="1" applyBorder="1" applyAlignment="1">
      <alignment horizontal="right" vertical="center"/>
    </xf>
    <xf numFmtId="185" fontId="62" fillId="0" borderId="17" xfId="161" quotePrefix="1" applyNumberFormat="1" applyFont="1" applyBorder="1" applyAlignment="1">
      <alignment horizontal="right"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183" fontId="62" fillId="0" borderId="0" xfId="161" quotePrefix="1" applyNumberFormat="1" applyFont="1" applyAlignment="1">
      <alignment horizontal="right" vertical="center"/>
    </xf>
    <xf numFmtId="185" fontId="62" fillId="0" borderId="31" xfId="161" quotePrefix="1" applyNumberFormat="1" applyFont="1" applyBorder="1" applyAlignment="1">
      <alignment horizontal="right" vertical="center"/>
    </xf>
    <xf numFmtId="179" fontId="62" fillId="0" borderId="2" xfId="161" quotePrefix="1" applyNumberFormat="1" applyFont="1" applyBorder="1" applyAlignment="1">
      <alignment horizontal="right" vertical="center"/>
    </xf>
    <xf numFmtId="179" fontId="62" fillId="0" borderId="17" xfId="161" quotePrefix="1" applyNumberFormat="1" applyFont="1" applyBorder="1" applyAlignment="1">
      <alignment horizontal="right" vertical="center"/>
    </xf>
    <xf numFmtId="180" fontId="62" fillId="0" borderId="10" xfId="161" quotePrefix="1" applyNumberFormat="1" applyFont="1" applyBorder="1" applyAlignment="1">
      <alignment horizontal="right" vertical="center"/>
    </xf>
    <xf numFmtId="180" fontId="62" fillId="0" borderId="2" xfId="161" quotePrefix="1" applyNumberFormat="1" applyFont="1" applyBorder="1" applyAlignment="1">
      <alignment horizontal="right" vertical="center"/>
    </xf>
    <xf numFmtId="180" fontId="62" fillId="0" borderId="17" xfId="161" quotePrefix="1" applyNumberFormat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right" vertical="center"/>
    </xf>
    <xf numFmtId="183" fontId="62" fillId="0" borderId="2" xfId="161" quotePrefix="1" applyNumberFormat="1" applyFont="1" applyBorder="1" applyAlignment="1">
      <alignment horizontal="right" vertical="center"/>
    </xf>
    <xf numFmtId="183" fontId="62" fillId="0" borderId="17" xfId="161" quotePrefix="1" applyNumberFormat="1" applyFont="1" applyBorder="1" applyAlignment="1">
      <alignment horizontal="right" vertical="center"/>
    </xf>
    <xf numFmtId="185" fontId="62" fillId="0" borderId="10" xfId="161" applyNumberFormat="1" applyFont="1" applyBorder="1" applyAlignment="1">
      <alignment horizontal="center" vertical="center"/>
    </xf>
    <xf numFmtId="185" fontId="62" fillId="0" borderId="2" xfId="161" applyNumberFormat="1" applyFont="1" applyBorder="1" applyAlignment="1">
      <alignment horizontal="center" vertical="center"/>
    </xf>
    <xf numFmtId="185" fontId="62" fillId="0" borderId="17" xfId="161" applyNumberFormat="1" applyFont="1" applyBorder="1" applyAlignment="1">
      <alignment horizontal="center" vertical="center"/>
    </xf>
    <xf numFmtId="184" fontId="62" fillId="0" borderId="10" xfId="161" applyNumberFormat="1" applyFont="1" applyBorder="1" applyAlignment="1">
      <alignment horizontal="center" vertical="center"/>
    </xf>
    <xf numFmtId="184" fontId="62" fillId="0" borderId="2" xfId="161" applyNumberFormat="1" applyFont="1" applyBorder="1" applyAlignment="1">
      <alignment horizontal="center" vertical="center"/>
    </xf>
    <xf numFmtId="184" fontId="62" fillId="0" borderId="17" xfId="16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right" vertical="center"/>
    </xf>
    <xf numFmtId="184" fontId="62" fillId="0" borderId="2" xfId="161" quotePrefix="1" applyNumberFormat="1" applyFont="1" applyBorder="1" applyAlignment="1">
      <alignment horizontal="right" vertical="center"/>
    </xf>
    <xf numFmtId="184" fontId="62" fillId="0" borderId="17" xfId="161" quotePrefix="1" applyNumberFormat="1" applyFont="1" applyBorder="1" applyAlignment="1">
      <alignment horizontal="right" vertical="center"/>
    </xf>
    <xf numFmtId="185" fontId="62" fillId="0" borderId="0" xfId="161" applyNumberFormat="1" applyFont="1" applyAlignment="1">
      <alignment horizontal="right" vertical="center"/>
    </xf>
    <xf numFmtId="3" fontId="62" fillId="0" borderId="10" xfId="161" quotePrefix="1" applyNumberFormat="1" applyFont="1" applyBorder="1" applyAlignment="1">
      <alignment horizontal="right" vertical="center"/>
    </xf>
    <xf numFmtId="3" fontId="62" fillId="0" borderId="2" xfId="161" quotePrefix="1" applyNumberFormat="1" applyFont="1" applyBorder="1" applyAlignment="1">
      <alignment horizontal="right" vertical="center"/>
    </xf>
    <xf numFmtId="3" fontId="62" fillId="0" borderId="17" xfId="161" quotePrefix="1" applyNumberFormat="1" applyFont="1" applyBorder="1" applyAlignment="1">
      <alignment horizontal="right" vertical="center"/>
    </xf>
    <xf numFmtId="9" fontId="62" fillId="0" borderId="10" xfId="161" quotePrefix="1" applyNumberFormat="1" applyFont="1" applyBorder="1" applyAlignment="1">
      <alignment horizontal="right" vertical="center"/>
    </xf>
    <xf numFmtId="9" fontId="62" fillId="0" borderId="2" xfId="161" quotePrefix="1" applyNumberFormat="1" applyFont="1" applyBorder="1" applyAlignment="1">
      <alignment horizontal="right" vertical="center"/>
    </xf>
    <xf numFmtId="9" fontId="62" fillId="0" borderId="17" xfId="161" quotePrefix="1" applyNumberFormat="1" applyFont="1" applyBorder="1" applyAlignment="1">
      <alignment horizontal="right" vertical="center"/>
    </xf>
    <xf numFmtId="49" fontId="62" fillId="0" borderId="10" xfId="161" quotePrefix="1" applyNumberFormat="1" applyFont="1" applyBorder="1" applyAlignment="1">
      <alignment horizontal="center" vertical="center"/>
    </xf>
    <xf numFmtId="49" fontId="62" fillId="0" borderId="2" xfId="161" quotePrefix="1" applyNumberFormat="1" applyFont="1" applyBorder="1" applyAlignment="1">
      <alignment horizontal="center" vertical="center"/>
    </xf>
    <xf numFmtId="49" fontId="62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right" vertical="center"/>
    </xf>
    <xf numFmtId="181" fontId="62" fillId="0" borderId="2" xfId="161" quotePrefix="1" applyNumberFormat="1" applyFont="1" applyBorder="1" applyAlignment="1">
      <alignment horizontal="right" vertical="center"/>
    </xf>
    <xf numFmtId="181" fontId="62" fillId="0" borderId="17" xfId="161" quotePrefix="1" applyNumberFormat="1" applyFont="1" applyBorder="1" applyAlignment="1">
      <alignment horizontal="right" vertical="center"/>
    </xf>
    <xf numFmtId="186" fontId="62" fillId="0" borderId="10" xfId="161" quotePrefix="1" applyNumberFormat="1" applyFont="1" applyBorder="1" applyAlignment="1">
      <alignment horizontal="right" vertical="center"/>
    </xf>
    <xf numFmtId="186" fontId="62" fillId="0" borderId="2" xfId="161" quotePrefix="1" applyNumberFormat="1" applyFont="1" applyBorder="1" applyAlignment="1">
      <alignment horizontal="right" vertical="center"/>
    </xf>
    <xf numFmtId="186" fontId="62" fillId="0" borderId="17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/>
    </xf>
    <xf numFmtId="187" fontId="62" fillId="0" borderId="2" xfId="161" quotePrefix="1" applyNumberFormat="1" applyFont="1" applyBorder="1" applyAlignment="1">
      <alignment horizontal="right" vertical="center"/>
    </xf>
    <xf numFmtId="187" fontId="62" fillId="0" borderId="17" xfId="161" quotePrefix="1" applyNumberFormat="1" applyFont="1" applyBorder="1" applyAlignment="1">
      <alignment horizontal="right" vertical="center"/>
    </xf>
    <xf numFmtId="188" fontId="62" fillId="0" borderId="10" xfId="161" quotePrefix="1" applyNumberFormat="1" applyFont="1" applyBorder="1" applyAlignment="1">
      <alignment horizontal="right" vertical="center"/>
    </xf>
    <xf numFmtId="188" fontId="62" fillId="0" borderId="2" xfId="161" quotePrefix="1" applyNumberFormat="1" applyFont="1" applyBorder="1" applyAlignment="1">
      <alignment horizontal="right" vertical="center"/>
    </xf>
    <xf numFmtId="188" fontId="62" fillId="0" borderId="17" xfId="161" quotePrefix="1" applyNumberFormat="1" applyFont="1" applyBorder="1" applyAlignment="1">
      <alignment horizontal="right" vertical="center"/>
    </xf>
    <xf numFmtId="10" fontId="62" fillId="0" borderId="10" xfId="161" quotePrefix="1" applyNumberFormat="1" applyFont="1" applyBorder="1" applyAlignment="1">
      <alignment horizontal="right" vertical="center"/>
    </xf>
    <xf numFmtId="10" fontId="62" fillId="0" borderId="2" xfId="161" quotePrefix="1" applyNumberFormat="1" applyFont="1" applyBorder="1" applyAlignment="1">
      <alignment horizontal="right" vertical="center"/>
    </xf>
    <xf numFmtId="10" fontId="62" fillId="0" borderId="17" xfId="161" quotePrefix="1" applyNumberFormat="1" applyFont="1" applyBorder="1" applyAlignment="1">
      <alignment horizontal="right" vertical="center"/>
    </xf>
    <xf numFmtId="0" fontId="62" fillId="0" borderId="10" xfId="161" quotePrefix="1" applyFont="1" applyBorder="1" applyAlignment="1">
      <alignment horizontal="right" vertical="center"/>
    </xf>
    <xf numFmtId="189" fontId="62" fillId="21" borderId="10" xfId="161" quotePrefix="1" applyNumberFormat="1" applyFont="1" applyFill="1" applyBorder="1" applyAlignment="1">
      <alignment horizontal="right" vertical="center"/>
    </xf>
    <xf numFmtId="189" fontId="62" fillId="21" borderId="2" xfId="161" quotePrefix="1" applyNumberFormat="1" applyFont="1" applyFill="1" applyBorder="1" applyAlignment="1">
      <alignment horizontal="right" vertical="center"/>
    </xf>
    <xf numFmtId="189" fontId="62" fillId="21" borderId="17" xfId="161" quotePrefix="1" applyNumberFormat="1" applyFont="1" applyFill="1" applyBorder="1" applyAlignment="1">
      <alignment horizontal="right" vertical="center"/>
    </xf>
    <xf numFmtId="182" fontId="62" fillId="21" borderId="10" xfId="161" quotePrefix="1" applyNumberFormat="1" applyFont="1" applyFill="1" applyBorder="1" applyAlignment="1">
      <alignment horizontal="right" vertical="center"/>
    </xf>
    <xf numFmtId="182" fontId="62" fillId="21" borderId="2" xfId="161" quotePrefix="1" applyNumberFormat="1" applyFont="1" applyFill="1" applyBorder="1" applyAlignment="1">
      <alignment horizontal="right" vertical="center"/>
    </xf>
    <xf numFmtId="182" fontId="62" fillId="21" borderId="17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2" fontId="62" fillId="24" borderId="10" xfId="161" quotePrefix="1" applyNumberFormat="1" applyFont="1" applyFill="1" applyBorder="1" applyAlignment="1">
      <alignment horizontal="right" vertical="center"/>
    </xf>
    <xf numFmtId="189" fontId="62" fillId="24" borderId="10" xfId="161" quotePrefix="1" applyNumberFormat="1" applyFont="1" applyFill="1" applyBorder="1" applyAlignment="1">
      <alignment horizontal="right" vertical="center"/>
    </xf>
    <xf numFmtId="189" fontId="62" fillId="24" borderId="2" xfId="161" quotePrefix="1" applyNumberFormat="1" applyFont="1" applyFill="1" applyBorder="1" applyAlignment="1">
      <alignment horizontal="right" vertical="center"/>
    </xf>
    <xf numFmtId="189" fontId="62" fillId="24" borderId="17" xfId="161" quotePrefix="1" applyNumberFormat="1" applyFont="1" applyFill="1" applyBorder="1" applyAlignment="1">
      <alignment horizontal="right" vertical="center"/>
    </xf>
    <xf numFmtId="185" fontId="62" fillId="0" borderId="10" xfId="161" applyNumberFormat="1" applyFont="1" applyBorder="1" applyAlignment="1">
      <alignment horizontal="right" vertical="center"/>
    </xf>
    <xf numFmtId="185" fontId="62" fillId="0" borderId="2" xfId="161" applyNumberFormat="1" applyFont="1" applyBorder="1" applyAlignment="1">
      <alignment horizontal="right" vertical="center"/>
    </xf>
    <xf numFmtId="185" fontId="62" fillId="0" borderId="17" xfId="16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center" vertical="center"/>
    </xf>
    <xf numFmtId="182" fontId="62" fillId="0" borderId="2" xfId="161" quotePrefix="1" applyNumberFormat="1" applyFont="1" applyBorder="1" applyAlignment="1">
      <alignment horizontal="center" vertical="center"/>
    </xf>
    <xf numFmtId="182" fontId="62" fillId="0" borderId="17" xfId="161" quotePrefix="1" applyNumberFormat="1" applyFont="1" applyBorder="1" applyAlignment="1">
      <alignment horizontal="center" vertical="center"/>
    </xf>
    <xf numFmtId="182" fontId="62" fillId="0" borderId="28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 indent="1"/>
    </xf>
    <xf numFmtId="187" fontId="62" fillId="0" borderId="2" xfId="161" quotePrefix="1" applyNumberFormat="1" applyFont="1" applyBorder="1" applyAlignment="1">
      <alignment horizontal="right" vertical="center" indent="1"/>
    </xf>
    <xf numFmtId="187" fontId="62" fillId="0" borderId="17" xfId="161" quotePrefix="1" applyNumberFormat="1" applyFont="1" applyBorder="1" applyAlignment="1">
      <alignment horizontal="right" vertical="center" indent="1"/>
    </xf>
    <xf numFmtId="0" fontId="54" fillId="14" borderId="0" xfId="0" applyFont="1" applyFill="1" applyAlignment="1">
      <alignment horizontal="center" vertical="center"/>
    </xf>
    <xf numFmtId="190" fontId="54" fillId="14" borderId="15" xfId="0" applyNumberFormat="1" applyFont="1" applyFill="1" applyBorder="1" applyAlignment="1">
      <alignment horizontal="center" vertical="center"/>
    </xf>
    <xf numFmtId="190" fontId="54" fillId="14" borderId="12" xfId="0" applyNumberFormat="1" applyFont="1" applyFill="1" applyBorder="1" applyAlignment="1">
      <alignment horizontal="center" vertical="center"/>
    </xf>
    <xf numFmtId="184" fontId="88" fillId="0" borderId="10" xfId="161" quotePrefix="1" applyNumberFormat="1" applyFont="1" applyBorder="1" applyAlignment="1">
      <alignment horizontal="center" vertical="center"/>
    </xf>
    <xf numFmtId="184" fontId="88" fillId="0" borderId="2" xfId="161" quotePrefix="1" applyNumberFormat="1" applyFont="1" applyBorder="1" applyAlignment="1">
      <alignment horizontal="center" vertical="center"/>
    </xf>
    <xf numFmtId="184" fontId="88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center" vertical="center"/>
    </xf>
    <xf numFmtId="181" fontId="62" fillId="0" borderId="2" xfId="161" quotePrefix="1" applyNumberFormat="1" applyFont="1" applyBorder="1" applyAlignment="1">
      <alignment horizontal="center" vertical="center"/>
    </xf>
    <xf numFmtId="181" fontId="62" fillId="0" borderId="17" xfId="161" quotePrefix="1" applyNumberFormat="1" applyFont="1" applyBorder="1" applyAlignment="1">
      <alignment horizontal="center" vertical="center"/>
    </xf>
    <xf numFmtId="179" fontId="62" fillId="0" borderId="10" xfId="161" applyNumberFormat="1" applyFont="1" applyBorder="1" applyAlignment="1">
      <alignment horizontal="right" vertical="center"/>
    </xf>
    <xf numFmtId="179" fontId="62" fillId="0" borderId="2" xfId="161" applyNumberFormat="1" applyFont="1" applyBorder="1" applyAlignment="1">
      <alignment horizontal="right" vertical="center"/>
    </xf>
    <xf numFmtId="179" fontId="62" fillId="0" borderId="17" xfId="161" applyNumberFormat="1" applyFont="1" applyBorder="1" applyAlignment="1">
      <alignment horizontal="right" vertical="center"/>
    </xf>
    <xf numFmtId="182" fontId="54" fillId="14" borderId="0" xfId="0" applyNumberFormat="1" applyFont="1" applyFill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179" fontId="62" fillId="0" borderId="10" xfId="161" quotePrefix="1" applyNumberFormat="1" applyFont="1" applyBorder="1" applyAlignment="1">
      <alignment horizontal="center" vertical="center"/>
    </xf>
    <xf numFmtId="179" fontId="62" fillId="0" borderId="2" xfId="161" quotePrefix="1" applyNumberFormat="1" applyFont="1" applyBorder="1" applyAlignment="1">
      <alignment horizontal="center" vertical="center"/>
    </xf>
    <xf numFmtId="179" fontId="62" fillId="0" borderId="17" xfId="161" quotePrefix="1" applyNumberFormat="1" applyFont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13" xfId="188" xr:uid="{9915FE7C-E506-4304-9226-062139A56CDD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184149</xdr:rowOff>
    </xdr:from>
    <xdr:to>
      <xdr:col>2</xdr:col>
      <xdr:colOff>15876</xdr:colOff>
      <xdr:row>9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14700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7</xdr:row>
      <xdr:rowOff>53975</xdr:rowOff>
    </xdr:from>
    <xdr:to>
      <xdr:col>17</xdr:col>
      <xdr:colOff>47625</xdr:colOff>
      <xdr:row>8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10</xdr:row>
      <xdr:rowOff>95250</xdr:rowOff>
    </xdr:from>
    <xdr:to>
      <xdr:col>11</xdr:col>
      <xdr:colOff>1</xdr:colOff>
      <xdr:row>12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19050</xdr:colOff>
      <xdr:row>53</xdr:row>
      <xdr:rowOff>0</xdr:rowOff>
    </xdr:from>
    <xdr:to>
      <xdr:col>33</xdr:col>
      <xdr:colOff>47625</xdr:colOff>
      <xdr:row>56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42950" y="9877425"/>
          <a:ext cx="5276850" cy="504825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32</xdr:row>
      <xdr:rowOff>0</xdr:rowOff>
    </xdr:from>
    <xdr:to>
      <xdr:col>6</xdr:col>
      <xdr:colOff>1395</xdr:colOff>
      <xdr:row>56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32</xdr:row>
      <xdr:rowOff>0</xdr:rowOff>
    </xdr:from>
    <xdr:to>
      <xdr:col>8</xdr:col>
      <xdr:colOff>161924</xdr:colOff>
      <xdr:row>56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32</xdr:row>
      <xdr:rowOff>0</xdr:rowOff>
    </xdr:from>
    <xdr:to>
      <xdr:col>11</xdr:col>
      <xdr:colOff>158750</xdr:colOff>
      <xdr:row>56</xdr:row>
      <xdr:rowOff>28575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305550"/>
          <a:ext cx="520700" cy="40862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32</xdr:row>
      <xdr:rowOff>19050</xdr:rowOff>
    </xdr:from>
    <xdr:to>
      <xdr:col>33</xdr:col>
      <xdr:colOff>1</xdr:colOff>
      <xdr:row>34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</xdr:colOff>
      <xdr:row>35</xdr:row>
      <xdr:rowOff>1</xdr:rowOff>
    </xdr:from>
    <xdr:to>
      <xdr:col>33</xdr:col>
      <xdr:colOff>6351</xdr:colOff>
      <xdr:row>52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161924</xdr:colOff>
      <xdr:row>24</xdr:row>
      <xdr:rowOff>85725</xdr:rowOff>
    </xdr:from>
    <xdr:to>
      <xdr:col>44</xdr:col>
      <xdr:colOff>38100</xdr:colOff>
      <xdr:row>26</xdr:row>
      <xdr:rowOff>130175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7038974" y="4686300"/>
          <a:ext cx="962026" cy="368300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11</xdr:row>
      <xdr:rowOff>139700</xdr:rowOff>
    </xdr:from>
    <xdr:to>
      <xdr:col>21</xdr:col>
      <xdr:colOff>101601</xdr:colOff>
      <xdr:row>13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24</xdr:row>
      <xdr:rowOff>47625</xdr:rowOff>
    </xdr:from>
    <xdr:to>
      <xdr:col>3</xdr:col>
      <xdr:colOff>142875</xdr:colOff>
      <xdr:row>25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28</xdr:row>
      <xdr:rowOff>38100</xdr:rowOff>
    </xdr:from>
    <xdr:to>
      <xdr:col>3</xdr:col>
      <xdr:colOff>142875</xdr:colOff>
      <xdr:row>29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30</xdr:row>
      <xdr:rowOff>38100</xdr:rowOff>
    </xdr:from>
    <xdr:to>
      <xdr:col>5</xdr:col>
      <xdr:colOff>123825</xdr:colOff>
      <xdr:row>31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30</xdr:row>
      <xdr:rowOff>38100</xdr:rowOff>
    </xdr:from>
    <xdr:to>
      <xdr:col>8</xdr:col>
      <xdr:colOff>66675</xdr:colOff>
      <xdr:row>31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30</xdr:row>
      <xdr:rowOff>28575</xdr:rowOff>
    </xdr:from>
    <xdr:to>
      <xdr:col>11</xdr:col>
      <xdr:colOff>66675</xdr:colOff>
      <xdr:row>31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28</xdr:col>
      <xdr:colOff>34925</xdr:colOff>
      <xdr:row>30</xdr:row>
      <xdr:rowOff>15875</xdr:rowOff>
    </xdr:from>
    <xdr:to>
      <xdr:col>30</xdr:col>
      <xdr:colOff>53975</xdr:colOff>
      <xdr:row>31</xdr:row>
      <xdr:rowOff>104775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5102225" y="599757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33</xdr:col>
      <xdr:colOff>22224</xdr:colOff>
      <xdr:row>37</xdr:row>
      <xdr:rowOff>44450</xdr:rowOff>
    </xdr:from>
    <xdr:to>
      <xdr:col>35</xdr:col>
      <xdr:colOff>130175</xdr:colOff>
      <xdr:row>38</xdr:row>
      <xdr:rowOff>133350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5994399" y="7331075"/>
          <a:ext cx="469901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28574</xdr:colOff>
      <xdr:row>57</xdr:row>
      <xdr:rowOff>152400</xdr:rowOff>
    </xdr:from>
    <xdr:to>
      <xdr:col>12</xdr:col>
      <xdr:colOff>139700</xdr:colOff>
      <xdr:row>59</xdr:row>
      <xdr:rowOff>76200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1838324" y="106775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57150</xdr:colOff>
      <xdr:row>58</xdr:row>
      <xdr:rowOff>0</xdr:rowOff>
    </xdr:from>
    <xdr:to>
      <xdr:col>24</xdr:col>
      <xdr:colOff>168276</xdr:colOff>
      <xdr:row>59</xdr:row>
      <xdr:rowOff>82550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038600" y="1068705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9525</xdr:colOff>
      <xdr:row>76</xdr:row>
      <xdr:rowOff>9525</xdr:rowOff>
    </xdr:from>
    <xdr:to>
      <xdr:col>4</xdr:col>
      <xdr:colOff>123826</xdr:colOff>
      <xdr:row>77</xdr:row>
      <xdr:rowOff>101600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371475" y="13611225"/>
          <a:ext cx="476251" cy="2540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57</xdr:row>
      <xdr:rowOff>85725</xdr:rowOff>
    </xdr:from>
    <xdr:to>
      <xdr:col>32</xdr:col>
      <xdr:colOff>222</xdr:colOff>
      <xdr:row>60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57</xdr:row>
      <xdr:rowOff>101600</xdr:rowOff>
    </xdr:from>
    <xdr:to>
      <xdr:col>21</xdr:col>
      <xdr:colOff>27124</xdr:colOff>
      <xdr:row>60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9</xdr:col>
      <xdr:colOff>47625</xdr:colOff>
      <xdr:row>76</xdr:row>
      <xdr:rowOff>92075</xdr:rowOff>
    </xdr:from>
    <xdr:to>
      <xdr:col>11</xdr:col>
      <xdr:colOff>158751</xdr:colOff>
      <xdr:row>78</xdr:row>
      <xdr:rowOff>19050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1676400" y="13693775"/>
          <a:ext cx="473076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142875</xdr:colOff>
      <xdr:row>66</xdr:row>
      <xdr:rowOff>47625</xdr:rowOff>
    </xdr:from>
    <xdr:to>
      <xdr:col>20</xdr:col>
      <xdr:colOff>73026</xdr:colOff>
      <xdr:row>67</xdr:row>
      <xdr:rowOff>133350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3219450" y="120300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73</xdr:row>
      <xdr:rowOff>28576</xdr:rowOff>
    </xdr:from>
    <xdr:to>
      <xdr:col>10</xdr:col>
      <xdr:colOff>76201</xdr:colOff>
      <xdr:row>75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73</xdr:row>
      <xdr:rowOff>25400</xdr:rowOff>
    </xdr:from>
    <xdr:to>
      <xdr:col>15</xdr:col>
      <xdr:colOff>171450</xdr:colOff>
      <xdr:row>75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65</xdr:row>
      <xdr:rowOff>76201</xdr:rowOff>
    </xdr:from>
    <xdr:to>
      <xdr:col>16</xdr:col>
      <xdr:colOff>130176</xdr:colOff>
      <xdr:row>66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19050</xdr:colOff>
      <xdr:row>35</xdr:row>
      <xdr:rowOff>0</xdr:rowOff>
    </xdr:from>
    <xdr:to>
      <xdr:col>33</xdr:col>
      <xdr:colOff>0</xdr:colOff>
      <xdr:row>38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32</xdr:col>
      <xdr:colOff>123825</xdr:colOff>
      <xdr:row>55</xdr:row>
      <xdr:rowOff>101600</xdr:rowOff>
    </xdr:from>
    <xdr:to>
      <xdr:col>40</xdr:col>
      <xdr:colOff>172757</xdr:colOff>
      <xdr:row>59</xdr:row>
      <xdr:rowOff>63500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5915025" y="10302875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16</xdr:row>
      <xdr:rowOff>46878</xdr:rowOff>
    </xdr:from>
    <xdr:to>
      <xdr:col>34</xdr:col>
      <xdr:colOff>30070</xdr:colOff>
      <xdr:row>17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</xdr:colOff>
      <xdr:row>35</xdr:row>
      <xdr:rowOff>1</xdr:rowOff>
    </xdr:from>
    <xdr:to>
      <xdr:col>33</xdr:col>
      <xdr:colOff>6351</xdr:colOff>
      <xdr:row>52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95250</xdr:colOff>
      <xdr:row>23</xdr:row>
      <xdr:rowOff>53975</xdr:rowOff>
    </xdr:from>
    <xdr:to>
      <xdr:col>39</xdr:col>
      <xdr:colOff>114300</xdr:colOff>
      <xdr:row>24</xdr:row>
      <xdr:rowOff>139700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DE0EE3F6-6F20-466F-96A4-4DF1DA4DE34F}"/>
            </a:ext>
          </a:extLst>
        </xdr:cNvPr>
        <xdr:cNvSpPr/>
      </xdr:nvSpPr>
      <xdr:spPr>
        <a:xfrm>
          <a:off x="6791325" y="44926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0</xdr:rowOff>
    </xdr:from>
    <xdr:to>
      <xdr:col>20</xdr:col>
      <xdr:colOff>7083</xdr:colOff>
      <xdr:row>7</xdr:row>
      <xdr:rowOff>9525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B4F568AC-C0B4-4917-9B12-E81464AF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5" y="876300"/>
          <a:ext cx="3445608" cy="419100"/>
        </a:xfrm>
        <a:prstGeom prst="rect">
          <a:avLst/>
        </a:prstGeom>
      </xdr:spPr>
    </xdr:pic>
    <xdr:clientData/>
  </xdr:twoCellAnchor>
  <xdr:twoCellAnchor>
    <xdr:from>
      <xdr:col>20</xdr:col>
      <xdr:colOff>3174</xdr:colOff>
      <xdr:row>6</xdr:row>
      <xdr:rowOff>7470</xdr:rowOff>
    </xdr:from>
    <xdr:to>
      <xdr:col>52</xdr:col>
      <xdr:colOff>17317</xdr:colOff>
      <xdr:row>7</xdr:row>
      <xdr:rowOff>19050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FC3F3209-BE43-4A48-A5AD-0F042EAB4803}"/>
            </a:ext>
          </a:extLst>
        </xdr:cNvPr>
        <xdr:cNvSpPr/>
      </xdr:nvSpPr>
      <xdr:spPr>
        <a:xfrm>
          <a:off x="3622674" y="883770"/>
          <a:ext cx="5805343" cy="421155"/>
        </a:xfrm>
        <a:prstGeom prst="rect">
          <a:avLst/>
        </a:prstGeom>
        <a:solidFill>
          <a:schemeClr val="bg1">
            <a:lumMod val="95000"/>
          </a:schemeClr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28575</xdr:colOff>
      <xdr:row>6</xdr:row>
      <xdr:rowOff>19050</xdr:rowOff>
    </xdr:from>
    <xdr:to>
      <xdr:col>9</xdr:col>
      <xdr:colOff>57151</xdr:colOff>
      <xdr:row>6</xdr:row>
      <xdr:rowOff>273051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9F4BB978-D00B-4C35-BEE4-7D77DAEFF619}"/>
            </a:ext>
          </a:extLst>
        </xdr:cNvPr>
        <xdr:cNvSpPr/>
      </xdr:nvSpPr>
      <xdr:spPr>
        <a:xfrm>
          <a:off x="1295400" y="895350"/>
          <a:ext cx="390526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0.1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65756</xdr:rowOff>
    </xdr:from>
    <xdr:to>
      <xdr:col>37</xdr:col>
      <xdr:colOff>134471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3472344"/>
          <a:ext cx="1489481" cy="713053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申請可能製品情報マスタ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する？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122368</xdr:colOff>
      <xdr:row>43</xdr:row>
      <xdr:rowOff>88252</xdr:rowOff>
    </xdr:from>
    <xdr:to>
      <xdr:col>15</xdr:col>
      <xdr:colOff>161738</xdr:colOff>
      <xdr:row>47</xdr:row>
      <xdr:rowOff>8031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cxnSpLocks/>
          <a:stCxn id="3" idx="2"/>
          <a:endCxn id="98" idx="0"/>
        </xdr:cNvCxnSpPr>
      </xdr:nvCxnSpPr>
      <xdr:spPr>
        <a:xfrm>
          <a:off x="2979868" y="8257340"/>
          <a:ext cx="39370" cy="12532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61</xdr:row>
      <xdr:rowOff>56028</xdr:rowOff>
    </xdr:from>
    <xdr:to>
      <xdr:col>16</xdr:col>
      <xdr:colOff>47999</xdr:colOff>
      <xdr:row>62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3219848" y="12326469"/>
          <a:ext cx="234739" cy="280311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１－１－３．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28576</xdr:colOff>
      <xdr:row>212</xdr:row>
      <xdr:rowOff>95851</xdr:rowOff>
    </xdr:from>
    <xdr:to>
      <xdr:col>23</xdr:col>
      <xdr:colOff>95509</xdr:colOff>
      <xdr:row>216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203</xdr:row>
      <xdr:rowOff>26220</xdr:rowOff>
    </xdr:from>
    <xdr:to>
      <xdr:col>15</xdr:col>
      <xdr:colOff>157293</xdr:colOff>
      <xdr:row>208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216</xdr:row>
      <xdr:rowOff>43802</xdr:rowOff>
    </xdr:from>
    <xdr:to>
      <xdr:col>15</xdr:col>
      <xdr:colOff>166818</xdr:colOff>
      <xdr:row>220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201</xdr:row>
      <xdr:rowOff>115707</xdr:rowOff>
    </xdr:from>
    <xdr:to>
      <xdr:col>23</xdr:col>
      <xdr:colOff>85822</xdr:colOff>
      <xdr:row>203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225</xdr:row>
      <xdr:rowOff>44503</xdr:rowOff>
    </xdr:from>
    <xdr:to>
      <xdr:col>15</xdr:col>
      <xdr:colOff>77307</xdr:colOff>
      <xdr:row>226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193</xdr:row>
      <xdr:rowOff>74245</xdr:rowOff>
    </xdr:from>
    <xdr:to>
      <xdr:col>23</xdr:col>
      <xdr:colOff>66772</xdr:colOff>
      <xdr:row>194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194</xdr:row>
      <xdr:rowOff>173017</xdr:rowOff>
    </xdr:from>
    <xdr:to>
      <xdr:col>15</xdr:col>
      <xdr:colOff>142875</xdr:colOff>
      <xdr:row>196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199</xdr:row>
      <xdr:rowOff>123826</xdr:rowOff>
    </xdr:from>
    <xdr:to>
      <xdr:col>15</xdr:col>
      <xdr:colOff>200024</xdr:colOff>
      <xdr:row>222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191</xdr:row>
      <xdr:rowOff>0</xdr:rowOff>
    </xdr:from>
    <xdr:to>
      <xdr:col>16</xdr:col>
      <xdr:colOff>13037</xdr:colOff>
      <xdr:row>191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191</xdr:row>
      <xdr:rowOff>176687</xdr:rowOff>
    </xdr:from>
    <xdr:to>
      <xdr:col>15</xdr:col>
      <xdr:colOff>138574</xdr:colOff>
      <xdr:row>193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237</xdr:row>
      <xdr:rowOff>38100</xdr:rowOff>
    </xdr:from>
    <xdr:to>
      <xdr:col>16</xdr:col>
      <xdr:colOff>105016</xdr:colOff>
      <xdr:row>238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3267286" y="47360541"/>
          <a:ext cx="244318" cy="261818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196</xdr:row>
      <xdr:rowOff>104774</xdr:rowOff>
    </xdr:from>
    <xdr:to>
      <xdr:col>19</xdr:col>
      <xdr:colOff>142875</xdr:colOff>
      <xdr:row>198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198</xdr:row>
      <xdr:rowOff>104775</xdr:rowOff>
    </xdr:from>
    <xdr:to>
      <xdr:col>15</xdr:col>
      <xdr:colOff>157293</xdr:colOff>
      <xdr:row>201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209</xdr:row>
      <xdr:rowOff>111945</xdr:rowOff>
    </xdr:from>
    <xdr:to>
      <xdr:col>15</xdr:col>
      <xdr:colOff>166818</xdr:colOff>
      <xdr:row>212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214</xdr:row>
      <xdr:rowOff>69827</xdr:rowOff>
    </xdr:from>
    <xdr:to>
      <xdr:col>28</xdr:col>
      <xdr:colOff>129001</xdr:colOff>
      <xdr:row>237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123825</xdr:colOff>
      <xdr:row>205</xdr:row>
      <xdr:rowOff>133350</xdr:rowOff>
    </xdr:from>
    <xdr:to>
      <xdr:col>25</xdr:col>
      <xdr:colOff>95250</xdr:colOff>
      <xdr:row>217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208</xdr:row>
      <xdr:rowOff>1407</xdr:rowOff>
    </xdr:from>
    <xdr:to>
      <xdr:col>23</xdr:col>
      <xdr:colOff>85822</xdr:colOff>
      <xdr:row>209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3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155705</xdr:colOff>
      <xdr:row>224</xdr:row>
      <xdr:rowOff>85077</xdr:rowOff>
    </xdr:from>
    <xdr:to>
      <xdr:col>16</xdr:col>
      <xdr:colOff>16062</xdr:colOff>
      <xdr:row>227</xdr:row>
      <xdr:rowOff>50799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13205" y="43956106"/>
          <a:ext cx="508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177800</xdr:colOff>
      <xdr:row>227</xdr:row>
      <xdr:rowOff>50799</xdr:rowOff>
    </xdr:from>
    <xdr:to>
      <xdr:col>20</xdr:col>
      <xdr:colOff>44824</xdr:colOff>
      <xdr:row>229</xdr:row>
      <xdr:rowOff>44450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3300" y="44493328"/>
          <a:ext cx="1581524" cy="37465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180976</xdr:colOff>
      <xdr:row>229</xdr:row>
      <xdr:rowOff>44450</xdr:rowOff>
    </xdr:from>
    <xdr:to>
      <xdr:col>16</xdr:col>
      <xdr:colOff>16062</xdr:colOff>
      <xdr:row>231</xdr:row>
      <xdr:rowOff>134471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 flipH="1">
          <a:off x="3038476" y="44867979"/>
          <a:ext cx="25586" cy="471021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220</xdr:row>
      <xdr:rowOff>142875</xdr:rowOff>
    </xdr:from>
    <xdr:to>
      <xdr:col>23</xdr:col>
      <xdr:colOff>95509</xdr:colOff>
      <xdr:row>224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212</xdr:row>
      <xdr:rowOff>177853</xdr:rowOff>
    </xdr:from>
    <xdr:to>
      <xdr:col>28</xdr:col>
      <xdr:colOff>10632</xdr:colOff>
      <xdr:row>214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210</xdr:row>
      <xdr:rowOff>85725</xdr:rowOff>
    </xdr:from>
    <xdr:to>
      <xdr:col>7</xdr:col>
      <xdr:colOff>50877</xdr:colOff>
      <xdr:row>211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237</xdr:row>
      <xdr:rowOff>0</xdr:rowOff>
    </xdr:from>
    <xdr:to>
      <xdr:col>29</xdr:col>
      <xdr:colOff>44691</xdr:colOff>
      <xdr:row>238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971639" y="47322441"/>
          <a:ext cx="247493" cy="261818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235</xdr:row>
      <xdr:rowOff>9525</xdr:rowOff>
    </xdr:from>
    <xdr:to>
      <xdr:col>37</xdr:col>
      <xdr:colOff>161926</xdr:colOff>
      <xdr:row>238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232</xdr:row>
      <xdr:rowOff>0</xdr:rowOff>
    </xdr:from>
    <xdr:to>
      <xdr:col>10</xdr:col>
      <xdr:colOff>95250</xdr:colOff>
      <xdr:row>234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231</xdr:row>
      <xdr:rowOff>134471</xdr:rowOff>
    </xdr:from>
    <xdr:to>
      <xdr:col>18</xdr:col>
      <xdr:colOff>152401</xdr:colOff>
      <xdr:row>234</xdr:row>
      <xdr:rowOff>122056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45339000"/>
          <a:ext cx="1085850" cy="559085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3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164</xdr:colOff>
      <xdr:row>231</xdr:row>
      <xdr:rowOff>112059</xdr:rowOff>
    </xdr:from>
    <xdr:to>
      <xdr:col>26</xdr:col>
      <xdr:colOff>123825</xdr:colOff>
      <xdr:row>234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45316588"/>
          <a:ext cx="1266661" cy="573741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3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174707</xdr:colOff>
      <xdr:row>229</xdr:row>
      <xdr:rowOff>44451</xdr:rowOff>
    </xdr:from>
    <xdr:to>
      <xdr:col>16</xdr:col>
      <xdr:colOff>16062</xdr:colOff>
      <xdr:row>232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22610" y="44353577"/>
          <a:ext cx="527050" cy="15558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16062</xdr:colOff>
      <xdr:row>229</xdr:row>
      <xdr:rowOff>44449</xdr:rowOff>
    </xdr:from>
    <xdr:to>
      <xdr:col>23</xdr:col>
      <xdr:colOff>60407</xdr:colOff>
      <xdr:row>231</xdr:row>
      <xdr:rowOff>112058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528680" y="44403360"/>
          <a:ext cx="448609" cy="137784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180976</xdr:colOff>
      <xdr:row>234</xdr:row>
      <xdr:rowOff>122056</xdr:rowOff>
    </xdr:from>
    <xdr:to>
      <xdr:col>15</xdr:col>
      <xdr:colOff>182976</xdr:colOff>
      <xdr:row>237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38476" y="45898085"/>
          <a:ext cx="2000" cy="48754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234</xdr:row>
      <xdr:rowOff>131927</xdr:rowOff>
    </xdr:from>
    <xdr:to>
      <xdr:col>15</xdr:col>
      <xdr:colOff>195677</xdr:colOff>
      <xdr:row>237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182976</xdr:colOff>
      <xdr:row>234</xdr:row>
      <xdr:rowOff>114301</xdr:rowOff>
    </xdr:from>
    <xdr:to>
      <xdr:col>23</xdr:col>
      <xdr:colOff>61995</xdr:colOff>
      <xdr:row>237</xdr:row>
      <xdr:rowOff>38101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4336" y="45436470"/>
          <a:ext cx="495300" cy="1403019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157</xdr:row>
      <xdr:rowOff>9526</xdr:rowOff>
    </xdr:from>
    <xdr:to>
      <xdr:col>34</xdr:col>
      <xdr:colOff>193862</xdr:colOff>
      <xdr:row>180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申請可能製品情報マスタ</a:t>
          </a:r>
        </a:p>
      </xdr:txBody>
    </xdr:sp>
    <xdr:clientData/>
  </xdr:twoCellAnchor>
  <xdr:twoCellAnchor>
    <xdr:from>
      <xdr:col>15</xdr:col>
      <xdr:colOff>165605</xdr:colOff>
      <xdr:row>164</xdr:row>
      <xdr:rowOff>68912</xdr:rowOff>
    </xdr:from>
    <xdr:to>
      <xdr:col>23</xdr:col>
      <xdr:colOff>96152</xdr:colOff>
      <xdr:row>165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168</xdr:row>
      <xdr:rowOff>70812</xdr:rowOff>
    </xdr:from>
    <xdr:to>
      <xdr:col>29</xdr:col>
      <xdr:colOff>65666</xdr:colOff>
      <xdr:row>168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173</xdr:row>
      <xdr:rowOff>58973</xdr:rowOff>
    </xdr:from>
    <xdr:to>
      <xdr:col>33</xdr:col>
      <xdr:colOff>36972</xdr:colOff>
      <xdr:row>176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170</xdr:row>
      <xdr:rowOff>4</xdr:rowOff>
    </xdr:from>
    <xdr:to>
      <xdr:col>29</xdr:col>
      <xdr:colOff>67382</xdr:colOff>
      <xdr:row>173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168</xdr:row>
      <xdr:rowOff>70811</xdr:rowOff>
    </xdr:from>
    <xdr:to>
      <xdr:col>32</xdr:col>
      <xdr:colOff>25767</xdr:colOff>
      <xdr:row>170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173</xdr:row>
      <xdr:rowOff>70180</xdr:rowOff>
    </xdr:from>
    <xdr:to>
      <xdr:col>23</xdr:col>
      <xdr:colOff>126624</xdr:colOff>
      <xdr:row>176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170</xdr:row>
      <xdr:rowOff>22416</xdr:rowOff>
    </xdr:from>
    <xdr:to>
      <xdr:col>19</xdr:col>
      <xdr:colOff>177731</xdr:colOff>
      <xdr:row>173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168</xdr:row>
      <xdr:rowOff>93223</xdr:rowOff>
    </xdr:from>
    <xdr:to>
      <xdr:col>22</xdr:col>
      <xdr:colOff>137831</xdr:colOff>
      <xdr:row>170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173</xdr:row>
      <xdr:rowOff>92589</xdr:rowOff>
    </xdr:from>
    <xdr:to>
      <xdr:col>14</xdr:col>
      <xdr:colOff>59392</xdr:colOff>
      <xdr:row>176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170</xdr:row>
      <xdr:rowOff>33622</xdr:rowOff>
    </xdr:from>
    <xdr:to>
      <xdr:col>10</xdr:col>
      <xdr:colOff>157450</xdr:colOff>
      <xdr:row>173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168</xdr:row>
      <xdr:rowOff>104429</xdr:rowOff>
    </xdr:from>
    <xdr:to>
      <xdr:col>13</xdr:col>
      <xdr:colOff>115421</xdr:colOff>
      <xdr:row>170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165</xdr:row>
      <xdr:rowOff>193638</xdr:rowOff>
    </xdr:from>
    <xdr:to>
      <xdr:col>19</xdr:col>
      <xdr:colOff>185688</xdr:colOff>
      <xdr:row>168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167</xdr:row>
      <xdr:rowOff>172835</xdr:rowOff>
    </xdr:from>
    <xdr:to>
      <xdr:col>33</xdr:col>
      <xdr:colOff>25776</xdr:colOff>
      <xdr:row>170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172</xdr:row>
      <xdr:rowOff>134470</xdr:rowOff>
    </xdr:from>
    <xdr:to>
      <xdr:col>33</xdr:col>
      <xdr:colOff>111888</xdr:colOff>
      <xdr:row>177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170</xdr:row>
      <xdr:rowOff>168090</xdr:rowOff>
    </xdr:from>
    <xdr:to>
      <xdr:col>10</xdr:col>
      <xdr:colOff>80692</xdr:colOff>
      <xdr:row>173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170</xdr:row>
      <xdr:rowOff>123268</xdr:rowOff>
    </xdr:from>
    <xdr:to>
      <xdr:col>19</xdr:col>
      <xdr:colOff>69484</xdr:colOff>
      <xdr:row>173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170</xdr:row>
      <xdr:rowOff>22415</xdr:rowOff>
    </xdr:from>
    <xdr:to>
      <xdr:col>29</xdr:col>
      <xdr:colOff>13449</xdr:colOff>
      <xdr:row>172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156</xdr:row>
      <xdr:rowOff>112060</xdr:rowOff>
    </xdr:from>
    <xdr:to>
      <xdr:col>48</xdr:col>
      <xdr:colOff>123265</xdr:colOff>
      <xdr:row>180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164</xdr:row>
      <xdr:rowOff>76795</xdr:rowOff>
    </xdr:from>
    <xdr:to>
      <xdr:col>44</xdr:col>
      <xdr:colOff>95465</xdr:colOff>
      <xdr:row>165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173</xdr:row>
      <xdr:rowOff>36430</xdr:rowOff>
    </xdr:from>
    <xdr:to>
      <xdr:col>45</xdr:col>
      <xdr:colOff>10395</xdr:colOff>
      <xdr:row>176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168</xdr:row>
      <xdr:rowOff>4878</xdr:rowOff>
    </xdr:from>
    <xdr:to>
      <xdr:col>45</xdr:col>
      <xdr:colOff>23124</xdr:colOff>
      <xdr:row>170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168</xdr:row>
      <xdr:rowOff>146466</xdr:rowOff>
    </xdr:from>
    <xdr:to>
      <xdr:col>38</xdr:col>
      <xdr:colOff>11207</xdr:colOff>
      <xdr:row>170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174</xdr:row>
      <xdr:rowOff>20048</xdr:rowOff>
    </xdr:from>
    <xdr:to>
      <xdr:col>37</xdr:col>
      <xdr:colOff>139797</xdr:colOff>
      <xdr:row>175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201705</xdr:colOff>
      <xdr:row>47</xdr:row>
      <xdr:rowOff>11206</xdr:rowOff>
    </xdr:from>
    <xdr:to>
      <xdr:col>25</xdr:col>
      <xdr:colOff>134470</xdr:colOff>
      <xdr:row>51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100853</xdr:colOff>
      <xdr:row>48</xdr:row>
      <xdr:rowOff>11206</xdr:rowOff>
    </xdr:from>
    <xdr:to>
      <xdr:col>23</xdr:col>
      <xdr:colOff>138789</xdr:colOff>
      <xdr:row>50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122996</xdr:colOff>
      <xdr:row>50</xdr:row>
      <xdr:rowOff>151454</xdr:rowOff>
    </xdr:from>
    <xdr:to>
      <xdr:col>15</xdr:col>
      <xdr:colOff>127327</xdr:colOff>
      <xdr:row>54</xdr:row>
      <xdr:rowOff>74521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cxnSpLocks/>
          <a:stCxn id="103" idx="2"/>
          <a:endCxn id="114" idx="0"/>
        </xdr:cNvCxnSpPr>
      </xdr:nvCxnSpPr>
      <xdr:spPr>
        <a:xfrm>
          <a:off x="2980496" y="10225542"/>
          <a:ext cx="4331" cy="106606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57</xdr:row>
      <xdr:rowOff>190500</xdr:rowOff>
    </xdr:from>
    <xdr:to>
      <xdr:col>20</xdr:col>
      <xdr:colOff>6118</xdr:colOff>
      <xdr:row>59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54</xdr:row>
      <xdr:rowOff>74521</xdr:rowOff>
    </xdr:from>
    <xdr:to>
      <xdr:col>20</xdr:col>
      <xdr:colOff>4949</xdr:colOff>
      <xdr:row>56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56</xdr:row>
      <xdr:rowOff>74523</xdr:rowOff>
    </xdr:from>
    <xdr:to>
      <xdr:col>15</xdr:col>
      <xdr:colOff>138114</xdr:colOff>
      <xdr:row>57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59</xdr:row>
      <xdr:rowOff>190501</xdr:rowOff>
    </xdr:from>
    <xdr:to>
      <xdr:col>15</xdr:col>
      <xdr:colOff>143542</xdr:colOff>
      <xdr:row>61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93</xdr:row>
      <xdr:rowOff>9526</xdr:rowOff>
    </xdr:from>
    <xdr:to>
      <xdr:col>35</xdr:col>
      <xdr:colOff>33617</xdr:colOff>
      <xdr:row>116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申請可能製品情報マスタ</a:t>
          </a:r>
        </a:p>
      </xdr:txBody>
    </xdr:sp>
    <xdr:clientData/>
  </xdr:twoCellAnchor>
  <xdr:twoCellAnchor>
    <xdr:from>
      <xdr:col>16</xdr:col>
      <xdr:colOff>5360</xdr:colOff>
      <xdr:row>100</xdr:row>
      <xdr:rowOff>68912</xdr:rowOff>
    </xdr:from>
    <xdr:to>
      <xdr:col>23</xdr:col>
      <xdr:colOff>148819</xdr:colOff>
      <xdr:row>101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104</xdr:row>
      <xdr:rowOff>70812</xdr:rowOff>
    </xdr:from>
    <xdr:to>
      <xdr:col>29</xdr:col>
      <xdr:colOff>118333</xdr:colOff>
      <xdr:row>104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109</xdr:row>
      <xdr:rowOff>58973</xdr:rowOff>
    </xdr:from>
    <xdr:to>
      <xdr:col>33</xdr:col>
      <xdr:colOff>89639</xdr:colOff>
      <xdr:row>112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106</xdr:row>
      <xdr:rowOff>4</xdr:rowOff>
    </xdr:from>
    <xdr:to>
      <xdr:col>29</xdr:col>
      <xdr:colOff>120049</xdr:colOff>
      <xdr:row>109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104</xdr:row>
      <xdr:rowOff>70811</xdr:rowOff>
    </xdr:from>
    <xdr:to>
      <xdr:col>32</xdr:col>
      <xdr:colOff>78434</xdr:colOff>
      <xdr:row>106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109</xdr:row>
      <xdr:rowOff>70180</xdr:rowOff>
    </xdr:from>
    <xdr:to>
      <xdr:col>23</xdr:col>
      <xdr:colOff>179291</xdr:colOff>
      <xdr:row>112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106</xdr:row>
      <xdr:rowOff>22416</xdr:rowOff>
    </xdr:from>
    <xdr:to>
      <xdr:col>20</xdr:col>
      <xdr:colOff>17487</xdr:colOff>
      <xdr:row>109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104</xdr:row>
      <xdr:rowOff>93223</xdr:rowOff>
    </xdr:from>
    <xdr:to>
      <xdr:col>22</xdr:col>
      <xdr:colOff>190498</xdr:colOff>
      <xdr:row>106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109</xdr:row>
      <xdr:rowOff>92589</xdr:rowOff>
    </xdr:from>
    <xdr:to>
      <xdr:col>14</xdr:col>
      <xdr:colOff>112059</xdr:colOff>
      <xdr:row>112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106</xdr:row>
      <xdr:rowOff>33622</xdr:rowOff>
    </xdr:from>
    <xdr:to>
      <xdr:col>10</xdr:col>
      <xdr:colOff>210117</xdr:colOff>
      <xdr:row>109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104</xdr:row>
      <xdr:rowOff>104429</xdr:rowOff>
    </xdr:from>
    <xdr:to>
      <xdr:col>13</xdr:col>
      <xdr:colOff>168088</xdr:colOff>
      <xdr:row>106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101</xdr:row>
      <xdr:rowOff>193638</xdr:rowOff>
    </xdr:from>
    <xdr:to>
      <xdr:col>20</xdr:col>
      <xdr:colOff>25444</xdr:colOff>
      <xdr:row>104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100</xdr:row>
      <xdr:rowOff>20739</xdr:rowOff>
    </xdr:from>
    <xdr:to>
      <xdr:col>25</xdr:col>
      <xdr:colOff>162413</xdr:colOff>
      <xdr:row>101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103</xdr:row>
      <xdr:rowOff>172836</xdr:rowOff>
    </xdr:from>
    <xdr:to>
      <xdr:col>33</xdr:col>
      <xdr:colOff>78443</xdr:colOff>
      <xdr:row>106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108</xdr:row>
      <xdr:rowOff>134470</xdr:rowOff>
    </xdr:from>
    <xdr:to>
      <xdr:col>33</xdr:col>
      <xdr:colOff>164555</xdr:colOff>
      <xdr:row>113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106</xdr:row>
      <xdr:rowOff>168090</xdr:rowOff>
    </xdr:from>
    <xdr:to>
      <xdr:col>10</xdr:col>
      <xdr:colOff>133359</xdr:colOff>
      <xdr:row>109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106</xdr:row>
      <xdr:rowOff>123268</xdr:rowOff>
    </xdr:from>
    <xdr:to>
      <xdr:col>19</xdr:col>
      <xdr:colOff>122151</xdr:colOff>
      <xdr:row>109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106</xdr:row>
      <xdr:rowOff>22415</xdr:rowOff>
    </xdr:from>
    <xdr:to>
      <xdr:col>29</xdr:col>
      <xdr:colOff>66116</xdr:colOff>
      <xdr:row>108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93</xdr:row>
      <xdr:rowOff>11206</xdr:rowOff>
    </xdr:from>
    <xdr:to>
      <xdr:col>54</xdr:col>
      <xdr:colOff>190499</xdr:colOff>
      <xdr:row>116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100</xdr:row>
      <xdr:rowOff>37982</xdr:rowOff>
    </xdr:from>
    <xdr:to>
      <xdr:col>49</xdr:col>
      <xdr:colOff>2941</xdr:colOff>
      <xdr:row>101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109</xdr:row>
      <xdr:rowOff>23122</xdr:rowOff>
    </xdr:from>
    <xdr:to>
      <xdr:col>49</xdr:col>
      <xdr:colOff>73806</xdr:colOff>
      <xdr:row>112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103</xdr:row>
      <xdr:rowOff>182768</xdr:rowOff>
    </xdr:from>
    <xdr:to>
      <xdr:col>49</xdr:col>
      <xdr:colOff>71280</xdr:colOff>
      <xdr:row>106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100</xdr:row>
      <xdr:rowOff>47954</xdr:rowOff>
    </xdr:from>
    <xdr:to>
      <xdr:col>39</xdr:col>
      <xdr:colOff>134471</xdr:colOff>
      <xdr:row>101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104</xdr:row>
      <xdr:rowOff>153635</xdr:rowOff>
    </xdr:from>
    <xdr:to>
      <xdr:col>39</xdr:col>
      <xdr:colOff>67235</xdr:colOff>
      <xdr:row>106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110</xdr:row>
      <xdr:rowOff>40000</xdr:rowOff>
    </xdr:from>
    <xdr:to>
      <xdr:col>39</xdr:col>
      <xdr:colOff>156882</xdr:colOff>
      <xdr:row>111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95</xdr:row>
      <xdr:rowOff>147354</xdr:rowOff>
    </xdr:from>
    <xdr:to>
      <xdr:col>23</xdr:col>
      <xdr:colOff>160025</xdr:colOff>
      <xdr:row>97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95</xdr:row>
      <xdr:rowOff>112059</xdr:rowOff>
    </xdr:from>
    <xdr:to>
      <xdr:col>25</xdr:col>
      <xdr:colOff>161880</xdr:colOff>
      <xdr:row>97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95</xdr:row>
      <xdr:rowOff>179294</xdr:rowOff>
    </xdr:from>
    <xdr:to>
      <xdr:col>49</xdr:col>
      <xdr:colOff>12801</xdr:colOff>
      <xdr:row>97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96</xdr:row>
      <xdr:rowOff>0</xdr:rowOff>
    </xdr:from>
    <xdr:to>
      <xdr:col>39</xdr:col>
      <xdr:colOff>134470</xdr:colOff>
      <xdr:row>97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184655</xdr:colOff>
      <xdr:row>159</xdr:row>
      <xdr:rowOff>124943</xdr:rowOff>
    </xdr:from>
    <xdr:to>
      <xdr:col>23</xdr:col>
      <xdr:colOff>115202</xdr:colOff>
      <xdr:row>161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159</xdr:row>
      <xdr:rowOff>89648</xdr:rowOff>
    </xdr:from>
    <xdr:to>
      <xdr:col>25</xdr:col>
      <xdr:colOff>117057</xdr:colOff>
      <xdr:row>161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159</xdr:row>
      <xdr:rowOff>145677</xdr:rowOff>
    </xdr:from>
    <xdr:to>
      <xdr:col>44</xdr:col>
      <xdr:colOff>86923</xdr:colOff>
      <xdr:row>161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159</xdr:row>
      <xdr:rowOff>179295</xdr:rowOff>
    </xdr:from>
    <xdr:to>
      <xdr:col>37</xdr:col>
      <xdr:colOff>110937</xdr:colOff>
      <xdr:row>161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164</xdr:row>
      <xdr:rowOff>20739</xdr:rowOff>
    </xdr:from>
    <xdr:to>
      <xdr:col>25</xdr:col>
      <xdr:colOff>109746</xdr:colOff>
      <xdr:row>165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164</xdr:row>
      <xdr:rowOff>98152</xdr:rowOff>
    </xdr:from>
    <xdr:to>
      <xdr:col>37</xdr:col>
      <xdr:colOff>133697</xdr:colOff>
      <xdr:row>165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view="pageBreakPreview" zoomScaleNormal="80" zoomScaleSheetLayoutView="100" workbookViewId="0"/>
  </sheetViews>
  <sheetFormatPr defaultColWidth="8" defaultRowHeight="13.5"/>
  <cols>
    <col min="1" max="1" width="8.875" style="1" customWidth="1"/>
    <col min="2" max="8" width="14.375" style="1" customWidth="1"/>
    <col min="9" max="9" width="13.625" style="1" customWidth="1"/>
    <col min="10" max="10" width="3.375" style="1" customWidth="1"/>
    <col min="11" max="11" width="23.75" style="1" customWidth="1"/>
    <col min="12" max="12" width="10" style="1" customWidth="1"/>
    <col min="13" max="13" width="23.375" style="1" customWidth="1"/>
    <col min="14" max="14" width="9.125" style="1" customWidth="1"/>
    <col min="15" max="15" width="19.875" style="1" customWidth="1"/>
    <col min="16" max="16" width="6.75" style="1" customWidth="1"/>
    <col min="17" max="17" width="7.375" style="1" customWidth="1"/>
    <col min="18" max="18" width="6.75" style="1" customWidth="1"/>
    <col min="19" max="19" width="11" style="1" customWidth="1"/>
    <col min="20" max="20" width="9.875" style="1" customWidth="1"/>
    <col min="21" max="21" width="8" style="1" customWidth="1"/>
    <col min="22" max="22" width="11.6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0" t="str">
        <f ca="1">TEXT(変更来歴!AT2,"yyyy年 mm月 dd日") &amp; " " &amp; 変更来歴!AT3</f>
        <v>2026年 06月 17日 dr1.5</v>
      </c>
      <c r="C22" s="711"/>
      <c r="D22" s="711"/>
      <c r="E22" s="711"/>
      <c r="F22" s="711"/>
      <c r="G22" s="711"/>
      <c r="H22" s="711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2" t="s">
        <v>28</v>
      </c>
      <c r="D28" s="712"/>
      <c r="E28" s="712"/>
      <c r="F28" s="712" t="s">
        <v>0</v>
      </c>
      <c r="G28" s="712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3"/>
      <c r="D33" s="713"/>
      <c r="E33" s="713"/>
      <c r="F33" s="713"/>
      <c r="G33" s="713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08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09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08"/>
    </row>
    <row r="43" spans="3:20" s="8" customFormat="1" ht="14.25" customHeight="1">
      <c r="K43" s="17"/>
      <c r="L43" s="12"/>
      <c r="N43" s="12"/>
      <c r="R43" s="14"/>
      <c r="S43" s="19"/>
      <c r="T43" s="708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08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08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08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08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08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09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08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09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08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09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08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09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08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09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08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09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08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09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08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09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08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09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08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09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08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09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08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09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08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09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08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09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08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09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08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09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08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09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08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09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.5"/>
  <cols>
    <col min="1" max="64" width="2.625" customWidth="1"/>
  </cols>
  <sheetData>
    <row r="1" spans="1:53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">
        <v>6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">
        <v>416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">
        <v>296</v>
      </c>
      <c r="AO1" s="716"/>
      <c r="AP1" s="716"/>
      <c r="AQ1" s="714" t="s">
        <v>9</v>
      </c>
      <c r="AR1" s="714"/>
      <c r="AS1" s="714"/>
      <c r="AT1" s="717">
        <f>AL7</f>
        <v>46125</v>
      </c>
      <c r="AU1" s="717"/>
      <c r="AV1" s="717"/>
      <c r="AW1" s="717"/>
      <c r="AX1" s="721" t="s">
        <v>10</v>
      </c>
      <c r="AY1" s="722"/>
      <c r="AZ1" s="722"/>
      <c r="BA1" s="723"/>
    </row>
    <row r="2" spans="1:53">
      <c r="A2" s="724" t="s">
        <v>606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726" t="s">
        <v>607</v>
      </c>
      <c r="N2" s="727"/>
      <c r="O2" s="727"/>
      <c r="P2" s="727"/>
      <c r="Q2" s="727"/>
      <c r="R2" s="727"/>
      <c r="S2" s="727"/>
      <c r="T2" s="727"/>
      <c r="U2" s="727"/>
      <c r="V2" s="727"/>
      <c r="W2" s="728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">
        <v>296</v>
      </c>
      <c r="AO2" s="716"/>
      <c r="AP2" s="716"/>
      <c r="AQ2" s="714" t="s">
        <v>13</v>
      </c>
      <c r="AR2" s="714"/>
      <c r="AS2" s="714"/>
      <c r="AT2" s="717">
        <v>46190</v>
      </c>
      <c r="AU2" s="717"/>
      <c r="AV2" s="717"/>
      <c r="AW2" s="717"/>
      <c r="AX2" s="729" t="s">
        <v>30</v>
      </c>
      <c r="AY2" s="730"/>
      <c r="AZ2" s="730"/>
      <c r="BA2" s="731"/>
    </row>
    <row r="3" spans="1:53" ht="12" customHeight="1">
      <c r="A3" s="735" t="s">
        <v>26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/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">
        <v>415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14" t="s">
        <v>15</v>
      </c>
      <c r="AR3" s="714"/>
      <c r="AS3" s="714"/>
      <c r="AT3" s="715" t="str">
        <f ca="1">INDIRECT("A" &amp; COUNTA(A7:A39) + 6)</f>
        <v>dr1.5</v>
      </c>
      <c r="AU3" s="715"/>
      <c r="AV3" s="715"/>
      <c r="AW3" s="715"/>
      <c r="AX3" s="732"/>
      <c r="AY3" s="733"/>
      <c r="AZ3" s="733"/>
      <c r="BA3" s="734"/>
    </row>
    <row r="4" spans="1:53" ht="5.85" customHeight="1"/>
    <row r="5" spans="1:53" ht="14.25">
      <c r="A5" s="739" t="s">
        <v>25</v>
      </c>
      <c r="B5" s="739"/>
      <c r="C5" s="739"/>
      <c r="D5" s="739"/>
      <c r="E5" s="739"/>
      <c r="F5" s="739"/>
      <c r="G5" s="739"/>
      <c r="H5" s="739"/>
      <c r="I5" s="739"/>
      <c r="J5" s="739"/>
      <c r="K5" s="739"/>
      <c r="L5" s="739"/>
      <c r="M5" s="739"/>
      <c r="N5" s="739"/>
      <c r="O5" s="739"/>
      <c r="P5" s="739"/>
      <c r="Q5" s="739"/>
      <c r="R5" s="739"/>
      <c r="S5" s="739"/>
      <c r="T5" s="739"/>
      <c r="U5" s="739"/>
      <c r="V5" s="739"/>
      <c r="W5" s="739"/>
      <c r="X5" s="739"/>
      <c r="Y5" s="739"/>
      <c r="Z5" s="739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</row>
    <row r="6" spans="1:53">
      <c r="A6" s="718" t="s">
        <v>24</v>
      </c>
      <c r="B6" s="719"/>
      <c r="C6" s="720" t="s">
        <v>17</v>
      </c>
      <c r="D6" s="720"/>
      <c r="E6" s="720"/>
      <c r="F6" s="720"/>
      <c r="G6" s="720"/>
      <c r="H6" s="720"/>
      <c r="I6" s="720"/>
      <c r="J6" s="720"/>
      <c r="K6" s="720"/>
      <c r="L6" s="720"/>
      <c r="M6" s="720"/>
      <c r="N6" s="720"/>
      <c r="O6" s="720"/>
      <c r="P6" s="720"/>
      <c r="Q6" s="720" t="s">
        <v>18</v>
      </c>
      <c r="R6" s="720"/>
      <c r="S6" s="720"/>
      <c r="T6" s="720"/>
      <c r="U6" s="720"/>
      <c r="V6" s="720"/>
      <c r="W6" s="720"/>
      <c r="X6" s="720"/>
      <c r="Y6" s="720"/>
      <c r="Z6" s="720"/>
      <c r="AA6" s="720"/>
      <c r="AB6" s="720"/>
      <c r="AC6" s="720"/>
      <c r="AD6" s="720"/>
      <c r="AE6" s="720"/>
      <c r="AF6" s="720"/>
      <c r="AG6" s="720"/>
      <c r="AH6" s="720"/>
      <c r="AI6" s="720"/>
      <c r="AJ6" s="720"/>
      <c r="AK6" s="720"/>
      <c r="AL6" s="720" t="s">
        <v>19</v>
      </c>
      <c r="AM6" s="720"/>
      <c r="AN6" s="720"/>
      <c r="AO6" s="720"/>
      <c r="AP6" s="720" t="s">
        <v>20</v>
      </c>
      <c r="AQ6" s="720"/>
      <c r="AR6" s="720"/>
      <c r="AS6" s="720" t="s">
        <v>21</v>
      </c>
      <c r="AT6" s="720"/>
      <c r="AU6" s="720"/>
      <c r="AV6" s="720" t="s">
        <v>22</v>
      </c>
      <c r="AW6" s="720"/>
      <c r="AX6" s="720"/>
      <c r="AY6" s="720"/>
      <c r="AZ6" s="720"/>
      <c r="BA6" s="720"/>
    </row>
    <row r="7" spans="1:53">
      <c r="A7" s="743" t="s">
        <v>596</v>
      </c>
      <c r="B7" s="743"/>
      <c r="C7" s="746" t="s">
        <v>23</v>
      </c>
      <c r="D7" s="746"/>
      <c r="E7" s="746"/>
      <c r="F7" s="746"/>
      <c r="G7" s="746"/>
      <c r="H7" s="746"/>
      <c r="I7" s="746"/>
      <c r="J7" s="746"/>
      <c r="K7" s="746"/>
      <c r="L7" s="746"/>
      <c r="M7" s="746"/>
      <c r="N7" s="746"/>
      <c r="O7" s="746"/>
      <c r="P7" s="746"/>
      <c r="Q7" s="746"/>
      <c r="R7" s="746"/>
      <c r="S7" s="746"/>
      <c r="T7" s="746"/>
      <c r="U7" s="746"/>
      <c r="V7" s="746"/>
      <c r="W7" s="746"/>
      <c r="X7" s="746"/>
      <c r="Y7" s="746"/>
      <c r="Z7" s="746"/>
      <c r="AA7" s="746"/>
      <c r="AB7" s="746"/>
      <c r="AC7" s="746"/>
      <c r="AD7" s="746"/>
      <c r="AE7" s="746"/>
      <c r="AF7" s="746"/>
      <c r="AG7" s="746"/>
      <c r="AH7" s="746"/>
      <c r="AI7" s="746"/>
      <c r="AJ7" s="746"/>
      <c r="AK7" s="746"/>
      <c r="AL7" s="754">
        <v>46125</v>
      </c>
      <c r="AM7" s="755"/>
      <c r="AN7" s="755"/>
      <c r="AO7" s="755"/>
      <c r="AP7" s="746" t="s">
        <v>296</v>
      </c>
      <c r="AQ7" s="746"/>
      <c r="AR7" s="746"/>
      <c r="AS7" s="746"/>
      <c r="AT7" s="746"/>
      <c r="AU7" s="746"/>
      <c r="AV7" s="746"/>
      <c r="AW7" s="746"/>
      <c r="AX7" s="746"/>
      <c r="AY7" s="746"/>
      <c r="AZ7" s="746"/>
      <c r="BA7" s="746"/>
    </row>
    <row r="8" spans="1:53">
      <c r="A8" s="741" t="s">
        <v>597</v>
      </c>
      <c r="B8" s="742"/>
      <c r="C8" s="747" t="s">
        <v>601</v>
      </c>
      <c r="D8" s="747"/>
      <c r="E8" s="747"/>
      <c r="F8" s="747"/>
      <c r="G8" s="747"/>
      <c r="H8" s="747"/>
      <c r="I8" s="747"/>
      <c r="J8" s="747"/>
      <c r="K8" s="747"/>
      <c r="L8" s="747"/>
      <c r="M8" s="747"/>
      <c r="N8" s="747"/>
      <c r="O8" s="747"/>
      <c r="P8" s="747"/>
      <c r="Q8" s="749" t="s">
        <v>393</v>
      </c>
      <c r="R8" s="750"/>
      <c r="S8" s="750"/>
      <c r="T8" s="750"/>
      <c r="U8" s="750"/>
      <c r="V8" s="750"/>
      <c r="W8" s="750"/>
      <c r="X8" s="750"/>
      <c r="Y8" s="750"/>
      <c r="Z8" s="750"/>
      <c r="AA8" s="750"/>
      <c r="AB8" s="750"/>
      <c r="AC8" s="750"/>
      <c r="AD8" s="750"/>
      <c r="AE8" s="750"/>
      <c r="AF8" s="750"/>
      <c r="AG8" s="750"/>
      <c r="AH8" s="750"/>
      <c r="AI8" s="750"/>
      <c r="AJ8" s="750"/>
      <c r="AK8" s="751"/>
      <c r="AL8" s="756">
        <v>46134</v>
      </c>
      <c r="AM8" s="757"/>
      <c r="AN8" s="757"/>
      <c r="AO8" s="758"/>
      <c r="AP8" s="746" t="s">
        <v>392</v>
      </c>
      <c r="AQ8" s="746"/>
      <c r="AR8" s="746"/>
      <c r="AS8" s="746"/>
      <c r="AT8" s="746"/>
      <c r="AU8" s="746"/>
      <c r="AV8" s="746"/>
      <c r="AW8" s="746"/>
      <c r="AX8" s="746"/>
      <c r="AY8" s="746"/>
      <c r="AZ8" s="746"/>
      <c r="BA8" s="746"/>
    </row>
    <row r="9" spans="1:53">
      <c r="A9" s="741" t="s">
        <v>598</v>
      </c>
      <c r="B9" s="742"/>
      <c r="C9" s="746" t="s">
        <v>601</v>
      </c>
      <c r="D9" s="746"/>
      <c r="E9" s="746"/>
      <c r="F9" s="746"/>
      <c r="G9" s="746"/>
      <c r="H9" s="746"/>
      <c r="I9" s="746"/>
      <c r="J9" s="746"/>
      <c r="K9" s="746"/>
      <c r="L9" s="746"/>
      <c r="M9" s="746"/>
      <c r="N9" s="746"/>
      <c r="O9" s="746"/>
      <c r="P9" s="746"/>
      <c r="Q9" s="749" t="s">
        <v>417</v>
      </c>
      <c r="R9" s="750"/>
      <c r="S9" s="750"/>
      <c r="T9" s="750"/>
      <c r="U9" s="750"/>
      <c r="V9" s="750"/>
      <c r="W9" s="750"/>
      <c r="X9" s="750"/>
      <c r="Y9" s="750"/>
      <c r="Z9" s="750"/>
      <c r="AA9" s="750"/>
      <c r="AB9" s="750"/>
      <c r="AC9" s="750"/>
      <c r="AD9" s="750"/>
      <c r="AE9" s="750"/>
      <c r="AF9" s="750"/>
      <c r="AG9" s="750"/>
      <c r="AH9" s="750"/>
      <c r="AI9" s="750"/>
      <c r="AJ9" s="750"/>
      <c r="AK9" s="751"/>
      <c r="AL9" s="756">
        <v>46162</v>
      </c>
      <c r="AM9" s="757"/>
      <c r="AN9" s="757"/>
      <c r="AO9" s="758"/>
      <c r="AP9" s="746" t="s">
        <v>392</v>
      </c>
      <c r="AQ9" s="746"/>
      <c r="AR9" s="746"/>
      <c r="AS9" s="746"/>
      <c r="AT9" s="746"/>
      <c r="AU9" s="746"/>
      <c r="AV9" s="746"/>
      <c r="AW9" s="746"/>
      <c r="AX9" s="746"/>
      <c r="AY9" s="746"/>
      <c r="AZ9" s="746"/>
      <c r="BA9" s="746"/>
    </row>
    <row r="10" spans="1:53" ht="36" customHeight="1">
      <c r="A10" s="741" t="s">
        <v>599</v>
      </c>
      <c r="B10" s="742"/>
      <c r="C10" s="747" t="s">
        <v>593</v>
      </c>
      <c r="D10" s="747"/>
      <c r="E10" s="747"/>
      <c r="F10" s="747"/>
      <c r="G10" s="747"/>
      <c r="H10" s="747"/>
      <c r="I10" s="747"/>
      <c r="J10" s="747"/>
      <c r="K10" s="747"/>
      <c r="L10" s="747"/>
      <c r="M10" s="747"/>
      <c r="N10" s="747"/>
      <c r="O10" s="747"/>
      <c r="P10" s="747"/>
      <c r="Q10" s="747" t="s">
        <v>594</v>
      </c>
      <c r="R10" s="746"/>
      <c r="S10" s="746"/>
      <c r="T10" s="746"/>
      <c r="U10" s="746"/>
      <c r="V10" s="746"/>
      <c r="W10" s="746"/>
      <c r="X10" s="746"/>
      <c r="Y10" s="746"/>
      <c r="Z10" s="746"/>
      <c r="AA10" s="746"/>
      <c r="AB10" s="746"/>
      <c r="AC10" s="746"/>
      <c r="AD10" s="746"/>
      <c r="AE10" s="746"/>
      <c r="AF10" s="746"/>
      <c r="AG10" s="746"/>
      <c r="AH10" s="746"/>
      <c r="AI10" s="746"/>
      <c r="AJ10" s="746"/>
      <c r="AK10" s="746"/>
      <c r="AL10" s="753">
        <v>46177</v>
      </c>
      <c r="AM10" s="743"/>
      <c r="AN10" s="743"/>
      <c r="AO10" s="743"/>
      <c r="AP10" s="746" t="s">
        <v>392</v>
      </c>
      <c r="AQ10" s="746"/>
      <c r="AR10" s="746"/>
      <c r="AS10" s="746"/>
      <c r="AT10" s="746"/>
      <c r="AU10" s="746"/>
      <c r="AV10" s="746"/>
      <c r="AW10" s="746"/>
      <c r="AX10" s="746"/>
      <c r="AY10" s="746"/>
      <c r="AZ10" s="746"/>
      <c r="BA10" s="746"/>
    </row>
    <row r="11" spans="1:53" ht="24.6" customHeight="1">
      <c r="A11" s="741" t="s">
        <v>600</v>
      </c>
      <c r="B11" s="742"/>
      <c r="C11" s="747" t="s">
        <v>602</v>
      </c>
      <c r="D11" s="747"/>
      <c r="E11" s="747"/>
      <c r="F11" s="747"/>
      <c r="G11" s="747"/>
      <c r="H11" s="747"/>
      <c r="I11" s="747"/>
      <c r="J11" s="747"/>
      <c r="K11" s="747"/>
      <c r="L11" s="747"/>
      <c r="M11" s="747"/>
      <c r="N11" s="747"/>
      <c r="O11" s="747"/>
      <c r="P11" s="747"/>
      <c r="Q11" s="747" t="s">
        <v>605</v>
      </c>
      <c r="R11" s="746"/>
      <c r="S11" s="746"/>
      <c r="T11" s="746"/>
      <c r="U11" s="746"/>
      <c r="V11" s="746"/>
      <c r="W11" s="746"/>
      <c r="X11" s="746"/>
      <c r="Y11" s="746"/>
      <c r="Z11" s="746"/>
      <c r="AA11" s="746"/>
      <c r="AB11" s="746"/>
      <c r="AC11" s="746"/>
      <c r="AD11" s="746"/>
      <c r="AE11" s="746"/>
      <c r="AF11" s="746"/>
      <c r="AG11" s="746"/>
      <c r="AH11" s="746"/>
      <c r="AI11" s="746"/>
      <c r="AJ11" s="746"/>
      <c r="AK11" s="746"/>
      <c r="AL11" s="753">
        <v>46184</v>
      </c>
      <c r="AM11" s="743"/>
      <c r="AN11" s="743"/>
      <c r="AO11" s="743"/>
      <c r="AP11" s="746" t="s">
        <v>392</v>
      </c>
      <c r="AQ11" s="746"/>
      <c r="AR11" s="746"/>
      <c r="AS11" s="746"/>
      <c r="AT11" s="746"/>
      <c r="AU11" s="746"/>
      <c r="AV11" s="746"/>
      <c r="AW11" s="746"/>
      <c r="AX11" s="746"/>
      <c r="AY11" s="746"/>
      <c r="AZ11" s="746"/>
      <c r="BA11" s="746"/>
    </row>
    <row r="12" spans="1:53" ht="24.6" customHeight="1">
      <c r="A12" s="741" t="s">
        <v>618</v>
      </c>
      <c r="B12" s="742"/>
      <c r="C12" s="747" t="s">
        <v>619</v>
      </c>
      <c r="D12" s="747"/>
      <c r="E12" s="747"/>
      <c r="F12" s="747"/>
      <c r="G12" s="747"/>
      <c r="H12" s="747"/>
      <c r="I12" s="747"/>
      <c r="J12" s="747"/>
      <c r="K12" s="747"/>
      <c r="L12" s="747"/>
      <c r="M12" s="747"/>
      <c r="N12" s="747"/>
      <c r="O12" s="747"/>
      <c r="P12" s="747"/>
      <c r="Q12" s="746" t="s">
        <v>620</v>
      </c>
      <c r="R12" s="746"/>
      <c r="S12" s="746"/>
      <c r="T12" s="746"/>
      <c r="U12" s="746"/>
      <c r="V12" s="746"/>
      <c r="W12" s="746"/>
      <c r="X12" s="746"/>
      <c r="Y12" s="746"/>
      <c r="Z12" s="746"/>
      <c r="AA12" s="746"/>
      <c r="AB12" s="746"/>
      <c r="AC12" s="746"/>
      <c r="AD12" s="746"/>
      <c r="AE12" s="746"/>
      <c r="AF12" s="746"/>
      <c r="AG12" s="746"/>
      <c r="AH12" s="746"/>
      <c r="AI12" s="746"/>
      <c r="AJ12" s="746"/>
      <c r="AK12" s="746"/>
      <c r="AL12" s="753">
        <v>46190</v>
      </c>
      <c r="AM12" s="743"/>
      <c r="AN12" s="743"/>
      <c r="AO12" s="743"/>
      <c r="AP12" s="746" t="s">
        <v>392</v>
      </c>
      <c r="AQ12" s="746"/>
      <c r="AR12" s="746"/>
      <c r="AS12" s="746"/>
      <c r="AT12" s="746"/>
      <c r="AU12" s="746"/>
      <c r="AV12" s="746"/>
      <c r="AW12" s="746"/>
      <c r="AX12" s="746"/>
      <c r="AY12" s="746"/>
      <c r="AZ12" s="746"/>
      <c r="BA12" s="746"/>
    </row>
    <row r="13" spans="1:53">
      <c r="A13" s="745"/>
      <c r="B13" s="745"/>
      <c r="C13" s="748"/>
      <c r="D13" s="748"/>
      <c r="E13" s="748"/>
      <c r="F13" s="748"/>
      <c r="G13" s="748"/>
      <c r="H13" s="748"/>
      <c r="I13" s="748"/>
      <c r="J13" s="748"/>
      <c r="K13" s="748"/>
      <c r="L13" s="748"/>
      <c r="M13" s="748"/>
      <c r="N13" s="748"/>
      <c r="O13" s="748"/>
      <c r="P13" s="748"/>
      <c r="Q13" s="747"/>
      <c r="R13" s="746"/>
      <c r="S13" s="746"/>
      <c r="T13" s="746"/>
      <c r="U13" s="746"/>
      <c r="V13" s="746"/>
      <c r="W13" s="746"/>
      <c r="X13" s="746"/>
      <c r="Y13" s="746"/>
      <c r="Z13" s="746"/>
      <c r="AA13" s="746"/>
      <c r="AB13" s="746"/>
      <c r="AC13" s="746"/>
      <c r="AD13" s="746"/>
      <c r="AE13" s="746"/>
      <c r="AF13" s="746"/>
      <c r="AG13" s="746"/>
      <c r="AH13" s="746"/>
      <c r="AI13" s="746"/>
      <c r="AJ13" s="746"/>
      <c r="AK13" s="746"/>
      <c r="AL13" s="759"/>
      <c r="AM13" s="745"/>
      <c r="AN13" s="745"/>
      <c r="AO13" s="745"/>
      <c r="AP13" s="746"/>
      <c r="AQ13" s="746"/>
      <c r="AR13" s="746"/>
      <c r="AS13" s="748"/>
      <c r="AT13" s="748"/>
      <c r="AU13" s="748"/>
      <c r="AV13" s="748"/>
      <c r="AW13" s="748"/>
      <c r="AX13" s="748"/>
      <c r="AY13" s="748"/>
      <c r="AZ13" s="748"/>
      <c r="BA13" s="748"/>
    </row>
    <row r="14" spans="1:53">
      <c r="A14" s="743"/>
      <c r="B14" s="743"/>
      <c r="C14" s="746"/>
      <c r="D14" s="746"/>
      <c r="E14" s="746"/>
      <c r="F14" s="746"/>
      <c r="G14" s="746"/>
      <c r="H14" s="746"/>
      <c r="I14" s="746"/>
      <c r="J14" s="746"/>
      <c r="K14" s="746"/>
      <c r="L14" s="746"/>
      <c r="M14" s="746"/>
      <c r="N14" s="746"/>
      <c r="O14" s="746"/>
      <c r="P14" s="746"/>
      <c r="Q14" s="747"/>
      <c r="R14" s="746"/>
      <c r="S14" s="746"/>
      <c r="T14" s="746"/>
      <c r="U14" s="746"/>
      <c r="V14" s="746"/>
      <c r="W14" s="746"/>
      <c r="X14" s="746"/>
      <c r="Y14" s="746"/>
      <c r="Z14" s="746"/>
      <c r="AA14" s="746"/>
      <c r="AB14" s="746"/>
      <c r="AC14" s="746"/>
      <c r="AD14" s="746"/>
      <c r="AE14" s="746"/>
      <c r="AF14" s="746"/>
      <c r="AG14" s="746"/>
      <c r="AH14" s="746"/>
      <c r="AI14" s="746"/>
      <c r="AJ14" s="746"/>
      <c r="AK14" s="746"/>
      <c r="AL14" s="753"/>
      <c r="AM14" s="743"/>
      <c r="AN14" s="743"/>
      <c r="AO14" s="743"/>
      <c r="AP14" s="746"/>
      <c r="AQ14" s="746"/>
      <c r="AR14" s="746"/>
      <c r="AS14" s="746"/>
      <c r="AT14" s="746"/>
      <c r="AU14" s="746"/>
      <c r="AV14" s="746"/>
      <c r="AW14" s="746"/>
      <c r="AX14" s="746"/>
      <c r="AY14" s="746"/>
      <c r="AZ14" s="746"/>
      <c r="BA14" s="746"/>
    </row>
    <row r="15" spans="1:53">
      <c r="A15" s="743"/>
      <c r="B15" s="743"/>
      <c r="C15" s="746"/>
      <c r="D15" s="746"/>
      <c r="E15" s="746"/>
      <c r="F15" s="746"/>
      <c r="G15" s="746"/>
      <c r="H15" s="746"/>
      <c r="I15" s="746"/>
      <c r="J15" s="746"/>
      <c r="K15" s="746"/>
      <c r="L15" s="746"/>
      <c r="M15" s="746"/>
      <c r="N15" s="746"/>
      <c r="O15" s="746"/>
      <c r="P15" s="746"/>
      <c r="Q15" s="747"/>
      <c r="R15" s="746"/>
      <c r="S15" s="746"/>
      <c r="T15" s="746"/>
      <c r="U15" s="746"/>
      <c r="V15" s="746"/>
      <c r="W15" s="746"/>
      <c r="X15" s="746"/>
      <c r="Y15" s="746"/>
      <c r="Z15" s="746"/>
      <c r="AA15" s="746"/>
      <c r="AB15" s="746"/>
      <c r="AC15" s="746"/>
      <c r="AD15" s="746"/>
      <c r="AE15" s="746"/>
      <c r="AF15" s="746"/>
      <c r="AG15" s="746"/>
      <c r="AH15" s="746"/>
      <c r="AI15" s="746"/>
      <c r="AJ15" s="746"/>
      <c r="AK15" s="746"/>
      <c r="AL15" s="753"/>
      <c r="AM15" s="743"/>
      <c r="AN15" s="743"/>
      <c r="AO15" s="743"/>
      <c r="AP15" s="746"/>
      <c r="AQ15" s="746"/>
      <c r="AR15" s="746"/>
      <c r="AS15" s="746"/>
      <c r="AT15" s="746"/>
      <c r="AU15" s="746"/>
      <c r="AV15" s="746"/>
      <c r="AW15" s="746"/>
      <c r="AX15" s="746"/>
      <c r="AY15" s="746"/>
      <c r="AZ15" s="746"/>
      <c r="BA15" s="746"/>
    </row>
    <row r="16" spans="1:53">
      <c r="A16" s="743"/>
      <c r="B16" s="743"/>
      <c r="C16" s="746"/>
      <c r="D16" s="746"/>
      <c r="E16" s="746"/>
      <c r="F16" s="746"/>
      <c r="G16" s="746"/>
      <c r="H16" s="746"/>
      <c r="I16" s="746"/>
      <c r="J16" s="746"/>
      <c r="K16" s="746"/>
      <c r="L16" s="746"/>
      <c r="M16" s="746"/>
      <c r="N16" s="746"/>
      <c r="O16" s="746"/>
      <c r="P16" s="746"/>
      <c r="Q16" s="747"/>
      <c r="R16" s="746"/>
      <c r="S16" s="746"/>
      <c r="T16" s="746"/>
      <c r="U16" s="746"/>
      <c r="V16" s="746"/>
      <c r="W16" s="746"/>
      <c r="X16" s="746"/>
      <c r="Y16" s="746"/>
      <c r="Z16" s="746"/>
      <c r="AA16" s="746"/>
      <c r="AB16" s="746"/>
      <c r="AC16" s="746"/>
      <c r="AD16" s="746"/>
      <c r="AE16" s="746"/>
      <c r="AF16" s="746"/>
      <c r="AG16" s="746"/>
      <c r="AH16" s="746"/>
      <c r="AI16" s="746"/>
      <c r="AJ16" s="746"/>
      <c r="AK16" s="746"/>
      <c r="AL16" s="753"/>
      <c r="AM16" s="743"/>
      <c r="AN16" s="743"/>
      <c r="AO16" s="743"/>
      <c r="AP16" s="746"/>
      <c r="AQ16" s="746"/>
      <c r="AR16" s="746"/>
      <c r="AS16" s="746"/>
      <c r="AT16" s="746"/>
      <c r="AU16" s="746"/>
      <c r="AV16" s="746"/>
      <c r="AW16" s="746"/>
      <c r="AX16" s="746"/>
      <c r="AY16" s="746"/>
      <c r="AZ16" s="746"/>
      <c r="BA16" s="746"/>
    </row>
    <row r="17" spans="1:53">
      <c r="A17" s="744"/>
      <c r="B17" s="744"/>
      <c r="C17" s="746"/>
      <c r="D17" s="746"/>
      <c r="E17" s="746"/>
      <c r="F17" s="746"/>
      <c r="G17" s="746"/>
      <c r="H17" s="746"/>
      <c r="I17" s="746"/>
      <c r="J17" s="746"/>
      <c r="K17" s="746"/>
      <c r="L17" s="746"/>
      <c r="M17" s="746"/>
      <c r="N17" s="746"/>
      <c r="O17" s="746"/>
      <c r="P17" s="746"/>
      <c r="Q17" s="746"/>
      <c r="R17" s="752"/>
      <c r="S17" s="752"/>
      <c r="T17" s="752"/>
      <c r="U17" s="752"/>
      <c r="V17" s="752"/>
      <c r="W17" s="752"/>
      <c r="X17" s="752"/>
      <c r="Y17" s="752"/>
      <c r="Z17" s="752"/>
      <c r="AA17" s="752"/>
      <c r="AB17" s="752"/>
      <c r="AC17" s="752"/>
      <c r="AD17" s="752"/>
      <c r="AE17" s="752"/>
      <c r="AF17" s="752"/>
      <c r="AG17" s="752"/>
      <c r="AH17" s="752"/>
      <c r="AI17" s="752"/>
      <c r="AJ17" s="752"/>
      <c r="AK17" s="752"/>
      <c r="AL17" s="753"/>
      <c r="AM17" s="743"/>
      <c r="AN17" s="743"/>
      <c r="AO17" s="743"/>
      <c r="AP17" s="746"/>
      <c r="AQ17" s="752"/>
      <c r="AR17" s="752"/>
      <c r="AS17" s="752"/>
      <c r="AT17" s="752"/>
      <c r="AU17" s="752"/>
      <c r="AV17" s="752"/>
      <c r="AW17" s="752"/>
      <c r="AX17" s="752"/>
      <c r="AY17" s="752"/>
      <c r="AZ17" s="752"/>
      <c r="BA17" s="752"/>
    </row>
    <row r="18" spans="1:53">
      <c r="A18" s="744"/>
      <c r="B18" s="744"/>
      <c r="C18" s="746"/>
      <c r="D18" s="746"/>
      <c r="E18" s="746"/>
      <c r="F18" s="746"/>
      <c r="G18" s="746"/>
      <c r="H18" s="746"/>
      <c r="I18" s="746"/>
      <c r="J18" s="746"/>
      <c r="K18" s="746"/>
      <c r="L18" s="746"/>
      <c r="M18" s="746"/>
      <c r="N18" s="746"/>
      <c r="O18" s="746"/>
      <c r="P18" s="746"/>
      <c r="Q18" s="746"/>
      <c r="R18" s="752"/>
      <c r="S18" s="752"/>
      <c r="T18" s="752"/>
      <c r="U18" s="752"/>
      <c r="V18" s="752"/>
      <c r="W18" s="752"/>
      <c r="X18" s="752"/>
      <c r="Y18" s="752"/>
      <c r="Z18" s="752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3"/>
      <c r="AM18" s="743"/>
      <c r="AN18" s="743"/>
      <c r="AO18" s="743"/>
      <c r="AP18" s="746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</row>
    <row r="19" spans="1:53">
      <c r="A19" s="743"/>
      <c r="B19" s="743"/>
      <c r="C19" s="746"/>
      <c r="D19" s="746"/>
      <c r="E19" s="746"/>
      <c r="F19" s="746"/>
      <c r="G19" s="746"/>
      <c r="H19" s="746"/>
      <c r="I19" s="746"/>
      <c r="J19" s="746"/>
      <c r="K19" s="746"/>
      <c r="L19" s="746"/>
      <c r="M19" s="746"/>
      <c r="N19" s="746"/>
      <c r="O19" s="746"/>
      <c r="P19" s="746"/>
      <c r="Q19" s="746"/>
      <c r="R19" s="746"/>
      <c r="S19" s="746"/>
      <c r="T19" s="746"/>
      <c r="U19" s="746"/>
      <c r="V19" s="746"/>
      <c r="W19" s="746"/>
      <c r="X19" s="746"/>
      <c r="Y19" s="746"/>
      <c r="Z19" s="746"/>
      <c r="AA19" s="746"/>
      <c r="AB19" s="746"/>
      <c r="AC19" s="746"/>
      <c r="AD19" s="746"/>
      <c r="AE19" s="746"/>
      <c r="AF19" s="746"/>
      <c r="AG19" s="746"/>
      <c r="AH19" s="746"/>
      <c r="AI19" s="746"/>
      <c r="AJ19" s="746"/>
      <c r="AK19" s="746"/>
      <c r="AL19" s="753"/>
      <c r="AM19" s="753"/>
      <c r="AN19" s="753"/>
      <c r="AO19" s="753"/>
      <c r="AP19" s="746"/>
      <c r="AQ19" s="746"/>
      <c r="AR19" s="746"/>
      <c r="AS19" s="746"/>
      <c r="AT19" s="746"/>
      <c r="AU19" s="746"/>
      <c r="AV19" s="746"/>
      <c r="AW19" s="746"/>
      <c r="AX19" s="746"/>
      <c r="AY19" s="746"/>
      <c r="AZ19" s="746"/>
      <c r="BA19" s="746"/>
    </row>
    <row r="20" spans="1:53">
      <c r="A20" s="743"/>
      <c r="B20" s="743"/>
      <c r="C20" s="746"/>
      <c r="D20" s="746"/>
      <c r="E20" s="746"/>
      <c r="F20" s="746"/>
      <c r="G20" s="746"/>
      <c r="H20" s="746"/>
      <c r="I20" s="746"/>
      <c r="J20" s="746"/>
      <c r="K20" s="746"/>
      <c r="L20" s="746"/>
      <c r="M20" s="746"/>
      <c r="N20" s="746"/>
      <c r="O20" s="746"/>
      <c r="P20" s="746"/>
      <c r="Q20" s="746"/>
      <c r="R20" s="746"/>
      <c r="S20" s="746"/>
      <c r="T20" s="746"/>
      <c r="U20" s="746"/>
      <c r="V20" s="746"/>
      <c r="W20" s="746"/>
      <c r="X20" s="746"/>
      <c r="Y20" s="746"/>
      <c r="Z20" s="746"/>
      <c r="AA20" s="746"/>
      <c r="AB20" s="746"/>
      <c r="AC20" s="746"/>
      <c r="AD20" s="746"/>
      <c r="AE20" s="746"/>
      <c r="AF20" s="746"/>
      <c r="AG20" s="746"/>
      <c r="AH20" s="746"/>
      <c r="AI20" s="746"/>
      <c r="AJ20" s="746"/>
      <c r="AK20" s="746"/>
      <c r="AL20" s="753"/>
      <c r="AM20" s="753"/>
      <c r="AN20" s="753"/>
      <c r="AO20" s="753"/>
      <c r="AP20" s="746"/>
      <c r="AQ20" s="746"/>
      <c r="AR20" s="746"/>
      <c r="AS20" s="746"/>
      <c r="AT20" s="746"/>
      <c r="AU20" s="746"/>
      <c r="AV20" s="746"/>
      <c r="AW20" s="746"/>
      <c r="AX20" s="746"/>
      <c r="AY20" s="746"/>
      <c r="AZ20" s="746"/>
      <c r="BA20" s="746"/>
    </row>
    <row r="21" spans="1:53" ht="13.5" customHeight="1">
      <c r="A21" s="743"/>
      <c r="B21" s="743"/>
      <c r="C21" s="746"/>
      <c r="D21" s="746"/>
      <c r="E21" s="746"/>
      <c r="F21" s="746"/>
      <c r="G21" s="746"/>
      <c r="H21" s="746"/>
      <c r="I21" s="746"/>
      <c r="J21" s="746"/>
      <c r="K21" s="746"/>
      <c r="L21" s="746"/>
      <c r="M21" s="746"/>
      <c r="N21" s="746"/>
      <c r="O21" s="746"/>
      <c r="P21" s="746"/>
      <c r="Q21" s="746"/>
      <c r="R21" s="752"/>
      <c r="S21" s="752"/>
      <c r="T21" s="752"/>
      <c r="U21" s="752"/>
      <c r="V21" s="752"/>
      <c r="W21" s="752"/>
      <c r="X21" s="752"/>
      <c r="Y21" s="752"/>
      <c r="Z21" s="752"/>
      <c r="AA21" s="752"/>
      <c r="AB21" s="752"/>
      <c r="AC21" s="752"/>
      <c r="AD21" s="752"/>
      <c r="AE21" s="752"/>
      <c r="AF21" s="752"/>
      <c r="AG21" s="752"/>
      <c r="AH21" s="752"/>
      <c r="AI21" s="752"/>
      <c r="AJ21" s="752"/>
      <c r="AK21" s="752"/>
      <c r="AL21" s="753"/>
      <c r="AM21" s="753"/>
      <c r="AN21" s="753"/>
      <c r="AO21" s="753"/>
      <c r="AP21" s="746"/>
      <c r="AQ21" s="746"/>
      <c r="AR21" s="746"/>
      <c r="AS21" s="746"/>
      <c r="AT21" s="746"/>
      <c r="AU21" s="746"/>
      <c r="AV21" s="746"/>
      <c r="AW21" s="746"/>
      <c r="AX21" s="746"/>
      <c r="AY21" s="746"/>
      <c r="AZ21" s="746"/>
      <c r="BA21" s="746"/>
    </row>
    <row r="22" spans="1:53">
      <c r="A22" s="743"/>
      <c r="B22" s="743"/>
      <c r="C22" s="746"/>
      <c r="D22" s="746"/>
      <c r="E22" s="746"/>
      <c r="F22" s="746"/>
      <c r="G22" s="746"/>
      <c r="H22" s="746"/>
      <c r="I22" s="746"/>
      <c r="J22" s="746"/>
      <c r="K22" s="746"/>
      <c r="L22" s="746"/>
      <c r="M22" s="746"/>
      <c r="N22" s="746"/>
      <c r="O22" s="746"/>
      <c r="P22" s="746"/>
      <c r="Q22" s="746"/>
      <c r="R22" s="746"/>
      <c r="S22" s="746"/>
      <c r="T22" s="746"/>
      <c r="U22" s="746"/>
      <c r="V22" s="746"/>
      <c r="W22" s="746"/>
      <c r="X22" s="746"/>
      <c r="Y22" s="746"/>
      <c r="Z22" s="746"/>
      <c r="AA22" s="746"/>
      <c r="AB22" s="746"/>
      <c r="AC22" s="746"/>
      <c r="AD22" s="746"/>
      <c r="AE22" s="746"/>
      <c r="AF22" s="746"/>
      <c r="AG22" s="746"/>
      <c r="AH22" s="746"/>
      <c r="AI22" s="746"/>
      <c r="AJ22" s="746"/>
      <c r="AK22" s="746"/>
      <c r="AL22" s="753"/>
      <c r="AM22" s="753"/>
      <c r="AN22" s="753"/>
      <c r="AO22" s="753"/>
      <c r="AP22" s="746"/>
      <c r="AQ22" s="746"/>
      <c r="AR22" s="746"/>
      <c r="AS22" s="746"/>
      <c r="AT22" s="746"/>
      <c r="AU22" s="746"/>
      <c r="AV22" s="746"/>
      <c r="AW22" s="746"/>
      <c r="AX22" s="746"/>
      <c r="AY22" s="746"/>
      <c r="AZ22" s="746"/>
      <c r="BA22" s="746"/>
    </row>
    <row r="23" spans="1:53">
      <c r="A23" s="743"/>
      <c r="B23" s="743"/>
      <c r="C23" s="746"/>
      <c r="D23" s="746"/>
      <c r="E23" s="746"/>
      <c r="F23" s="746"/>
      <c r="G23" s="746"/>
      <c r="H23" s="746"/>
      <c r="I23" s="746"/>
      <c r="J23" s="746"/>
      <c r="K23" s="746"/>
      <c r="L23" s="746"/>
      <c r="M23" s="746"/>
      <c r="N23" s="746"/>
      <c r="O23" s="746"/>
      <c r="P23" s="746"/>
      <c r="Q23" s="746"/>
      <c r="R23" s="752"/>
      <c r="S23" s="752"/>
      <c r="T23" s="752"/>
      <c r="U23" s="752"/>
      <c r="V23" s="752"/>
      <c r="W23" s="752"/>
      <c r="X23" s="752"/>
      <c r="Y23" s="752"/>
      <c r="Z23" s="752"/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3"/>
      <c r="AM23" s="753"/>
      <c r="AN23" s="753"/>
      <c r="AO23" s="753"/>
      <c r="AP23" s="746"/>
      <c r="AQ23" s="746"/>
      <c r="AR23" s="746"/>
      <c r="AS23" s="746"/>
      <c r="AT23" s="746"/>
      <c r="AU23" s="746"/>
      <c r="AV23" s="746"/>
      <c r="AW23" s="746"/>
      <c r="AX23" s="746"/>
      <c r="AY23" s="746"/>
      <c r="AZ23" s="746"/>
      <c r="BA23" s="746"/>
    </row>
    <row r="24" spans="1:53">
      <c r="A24" s="743"/>
      <c r="B24" s="743"/>
      <c r="C24" s="746"/>
      <c r="D24" s="746"/>
      <c r="E24" s="746"/>
      <c r="F24" s="746"/>
      <c r="G24" s="746"/>
      <c r="H24" s="746"/>
      <c r="I24" s="746"/>
      <c r="J24" s="746"/>
      <c r="K24" s="746"/>
      <c r="L24" s="746"/>
      <c r="M24" s="746"/>
      <c r="N24" s="746"/>
      <c r="O24" s="746"/>
      <c r="P24" s="746"/>
      <c r="Q24" s="746"/>
      <c r="R24" s="746"/>
      <c r="S24" s="746"/>
      <c r="T24" s="746"/>
      <c r="U24" s="746"/>
      <c r="V24" s="746"/>
      <c r="W24" s="746"/>
      <c r="X24" s="746"/>
      <c r="Y24" s="746"/>
      <c r="Z24" s="746"/>
      <c r="AA24" s="746"/>
      <c r="AB24" s="746"/>
      <c r="AC24" s="746"/>
      <c r="AD24" s="746"/>
      <c r="AE24" s="746"/>
      <c r="AF24" s="746"/>
      <c r="AG24" s="746"/>
      <c r="AH24" s="746"/>
      <c r="AI24" s="746"/>
      <c r="AJ24" s="746"/>
      <c r="AK24" s="746"/>
      <c r="AL24" s="753"/>
      <c r="AM24" s="753"/>
      <c r="AN24" s="753"/>
      <c r="AO24" s="753"/>
      <c r="AP24" s="746"/>
      <c r="AQ24" s="746"/>
      <c r="AR24" s="746"/>
      <c r="AS24" s="746"/>
      <c r="AT24" s="746"/>
      <c r="AU24" s="746"/>
      <c r="AV24" s="746"/>
      <c r="AW24" s="746"/>
      <c r="AX24" s="746"/>
      <c r="AY24" s="746"/>
      <c r="AZ24" s="746"/>
      <c r="BA24" s="746"/>
    </row>
    <row r="25" spans="1:53">
      <c r="A25" s="743"/>
      <c r="B25" s="743"/>
      <c r="C25" s="746"/>
      <c r="D25" s="746"/>
      <c r="E25" s="746"/>
      <c r="F25" s="746"/>
      <c r="G25" s="746"/>
      <c r="H25" s="746"/>
      <c r="I25" s="746"/>
      <c r="J25" s="746"/>
      <c r="K25" s="746"/>
      <c r="L25" s="746"/>
      <c r="M25" s="746"/>
      <c r="N25" s="746"/>
      <c r="O25" s="746"/>
      <c r="P25" s="746"/>
      <c r="Q25" s="746"/>
      <c r="R25" s="746"/>
      <c r="S25" s="746"/>
      <c r="T25" s="746"/>
      <c r="U25" s="746"/>
      <c r="V25" s="746"/>
      <c r="W25" s="746"/>
      <c r="X25" s="746"/>
      <c r="Y25" s="746"/>
      <c r="Z25" s="746"/>
      <c r="AA25" s="746"/>
      <c r="AB25" s="746"/>
      <c r="AC25" s="746"/>
      <c r="AD25" s="746"/>
      <c r="AE25" s="746"/>
      <c r="AF25" s="746"/>
      <c r="AG25" s="746"/>
      <c r="AH25" s="746"/>
      <c r="AI25" s="746"/>
      <c r="AJ25" s="746"/>
      <c r="AK25" s="746"/>
      <c r="AL25" s="753"/>
      <c r="AM25" s="743"/>
      <c r="AN25" s="743"/>
      <c r="AO25" s="743"/>
      <c r="AP25" s="746"/>
      <c r="AQ25" s="746"/>
      <c r="AR25" s="746"/>
      <c r="AS25" s="746"/>
      <c r="AT25" s="746"/>
      <c r="AU25" s="746"/>
      <c r="AV25" s="746"/>
      <c r="AW25" s="746"/>
      <c r="AX25" s="746"/>
      <c r="AY25" s="746"/>
      <c r="AZ25" s="746"/>
      <c r="BA25" s="746"/>
    </row>
    <row r="26" spans="1:53">
      <c r="A26" s="743"/>
      <c r="B26" s="743"/>
      <c r="C26" s="746"/>
      <c r="D26" s="746"/>
      <c r="E26" s="746"/>
      <c r="F26" s="746"/>
      <c r="G26" s="746"/>
      <c r="H26" s="746"/>
      <c r="I26" s="746"/>
      <c r="J26" s="746"/>
      <c r="K26" s="746"/>
      <c r="L26" s="746"/>
      <c r="M26" s="746"/>
      <c r="N26" s="746"/>
      <c r="O26" s="746"/>
      <c r="P26" s="746"/>
      <c r="Q26" s="746"/>
      <c r="R26" s="746"/>
      <c r="S26" s="746"/>
      <c r="T26" s="746"/>
      <c r="U26" s="746"/>
      <c r="V26" s="746"/>
      <c r="W26" s="746"/>
      <c r="X26" s="746"/>
      <c r="Y26" s="746"/>
      <c r="Z26" s="746"/>
      <c r="AA26" s="746"/>
      <c r="AB26" s="746"/>
      <c r="AC26" s="746"/>
      <c r="AD26" s="746"/>
      <c r="AE26" s="746"/>
      <c r="AF26" s="746"/>
      <c r="AG26" s="746"/>
      <c r="AH26" s="746"/>
      <c r="AI26" s="746"/>
      <c r="AJ26" s="746"/>
      <c r="AK26" s="746"/>
      <c r="AL26" s="753"/>
      <c r="AM26" s="743"/>
      <c r="AN26" s="743"/>
      <c r="AO26" s="743"/>
      <c r="AP26" s="746"/>
      <c r="AQ26" s="746"/>
      <c r="AR26" s="746"/>
      <c r="AS26" s="746"/>
      <c r="AT26" s="746"/>
      <c r="AU26" s="746"/>
      <c r="AV26" s="746"/>
      <c r="AW26" s="746"/>
      <c r="AX26" s="746"/>
      <c r="AY26" s="746"/>
      <c r="AZ26" s="746"/>
      <c r="BA26" s="746"/>
    </row>
    <row r="27" spans="1:53">
      <c r="A27" s="743"/>
      <c r="B27" s="743"/>
      <c r="C27" s="746"/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46"/>
      <c r="V27" s="746"/>
      <c r="W27" s="746"/>
      <c r="X27" s="746"/>
      <c r="Y27" s="746"/>
      <c r="Z27" s="746"/>
      <c r="AA27" s="746"/>
      <c r="AB27" s="746"/>
      <c r="AC27" s="746"/>
      <c r="AD27" s="746"/>
      <c r="AE27" s="746"/>
      <c r="AF27" s="746"/>
      <c r="AG27" s="746"/>
      <c r="AH27" s="746"/>
      <c r="AI27" s="746"/>
      <c r="AJ27" s="746"/>
      <c r="AK27" s="746"/>
      <c r="AL27" s="753"/>
      <c r="AM27" s="743"/>
      <c r="AN27" s="743"/>
      <c r="AO27" s="743"/>
      <c r="AP27" s="746"/>
      <c r="AQ27" s="746"/>
      <c r="AR27" s="746"/>
      <c r="AS27" s="746"/>
      <c r="AT27" s="746"/>
      <c r="AU27" s="746"/>
      <c r="AV27" s="746"/>
      <c r="AW27" s="746"/>
      <c r="AX27" s="746"/>
      <c r="AY27" s="746"/>
      <c r="AZ27" s="746"/>
      <c r="BA27" s="746"/>
    </row>
    <row r="28" spans="1:53">
      <c r="A28" s="743"/>
      <c r="B28" s="743"/>
      <c r="C28" s="746"/>
      <c r="D28" s="746"/>
      <c r="E28" s="746"/>
      <c r="F28" s="746"/>
      <c r="G28" s="746"/>
      <c r="H28" s="746"/>
      <c r="I28" s="746"/>
      <c r="J28" s="746"/>
      <c r="K28" s="746"/>
      <c r="L28" s="746"/>
      <c r="M28" s="746"/>
      <c r="N28" s="746"/>
      <c r="O28" s="746"/>
      <c r="P28" s="746"/>
      <c r="Q28" s="746"/>
      <c r="R28" s="746"/>
      <c r="S28" s="746"/>
      <c r="T28" s="746"/>
      <c r="U28" s="746"/>
      <c r="V28" s="746"/>
      <c r="W28" s="746"/>
      <c r="X28" s="746"/>
      <c r="Y28" s="746"/>
      <c r="Z28" s="746"/>
      <c r="AA28" s="746"/>
      <c r="AB28" s="746"/>
      <c r="AC28" s="746"/>
      <c r="AD28" s="746"/>
      <c r="AE28" s="746"/>
      <c r="AF28" s="746"/>
      <c r="AG28" s="746"/>
      <c r="AH28" s="746"/>
      <c r="AI28" s="746"/>
      <c r="AJ28" s="746"/>
      <c r="AK28" s="746"/>
      <c r="AL28" s="753"/>
      <c r="AM28" s="743"/>
      <c r="AN28" s="743"/>
      <c r="AO28" s="743"/>
      <c r="AP28" s="746"/>
      <c r="AQ28" s="746"/>
      <c r="AR28" s="746"/>
      <c r="AS28" s="746"/>
      <c r="AT28" s="746"/>
      <c r="AU28" s="746"/>
      <c r="AV28" s="746"/>
      <c r="AW28" s="746"/>
      <c r="AX28" s="746"/>
      <c r="AY28" s="746"/>
      <c r="AZ28" s="746"/>
      <c r="BA28" s="746"/>
    </row>
    <row r="29" spans="1:53">
      <c r="A29" s="743"/>
      <c r="B29" s="743"/>
      <c r="C29" s="746"/>
      <c r="D29" s="746"/>
      <c r="E29" s="746"/>
      <c r="F29" s="746"/>
      <c r="G29" s="746"/>
      <c r="H29" s="746"/>
      <c r="I29" s="746"/>
      <c r="J29" s="746"/>
      <c r="K29" s="746"/>
      <c r="L29" s="746"/>
      <c r="M29" s="746"/>
      <c r="N29" s="746"/>
      <c r="O29" s="746"/>
      <c r="P29" s="746"/>
      <c r="Q29" s="746"/>
      <c r="R29" s="746"/>
      <c r="S29" s="746"/>
      <c r="T29" s="746"/>
      <c r="U29" s="746"/>
      <c r="V29" s="746"/>
      <c r="W29" s="746"/>
      <c r="X29" s="746"/>
      <c r="Y29" s="746"/>
      <c r="Z29" s="746"/>
      <c r="AA29" s="746"/>
      <c r="AB29" s="746"/>
      <c r="AC29" s="746"/>
      <c r="AD29" s="746"/>
      <c r="AE29" s="746"/>
      <c r="AF29" s="746"/>
      <c r="AG29" s="746"/>
      <c r="AH29" s="746"/>
      <c r="AI29" s="746"/>
      <c r="AJ29" s="746"/>
      <c r="AK29" s="746"/>
      <c r="AL29" s="753"/>
      <c r="AM29" s="743"/>
      <c r="AN29" s="743"/>
      <c r="AO29" s="743"/>
      <c r="AP29" s="746"/>
      <c r="AQ29" s="746"/>
      <c r="AR29" s="746"/>
      <c r="AS29" s="746"/>
      <c r="AT29" s="746"/>
      <c r="AU29" s="746"/>
      <c r="AV29" s="746"/>
      <c r="AW29" s="746"/>
      <c r="AX29" s="746"/>
      <c r="AY29" s="746"/>
      <c r="AZ29" s="746"/>
      <c r="BA29" s="746"/>
    </row>
    <row r="30" spans="1:53">
      <c r="A30" s="743"/>
      <c r="B30" s="743"/>
      <c r="C30" s="746"/>
      <c r="D30" s="746"/>
      <c r="E30" s="746"/>
      <c r="F30" s="746"/>
      <c r="G30" s="746"/>
      <c r="H30" s="746"/>
      <c r="I30" s="746"/>
      <c r="J30" s="746"/>
      <c r="K30" s="746"/>
      <c r="L30" s="746"/>
      <c r="M30" s="746"/>
      <c r="N30" s="746"/>
      <c r="O30" s="746"/>
      <c r="P30" s="746"/>
      <c r="Q30" s="746"/>
      <c r="R30" s="746"/>
      <c r="S30" s="746"/>
      <c r="T30" s="746"/>
      <c r="U30" s="746"/>
      <c r="V30" s="746"/>
      <c r="W30" s="746"/>
      <c r="X30" s="746"/>
      <c r="Y30" s="746"/>
      <c r="Z30" s="746"/>
      <c r="AA30" s="746"/>
      <c r="AB30" s="746"/>
      <c r="AC30" s="746"/>
      <c r="AD30" s="746"/>
      <c r="AE30" s="746"/>
      <c r="AF30" s="746"/>
      <c r="AG30" s="746"/>
      <c r="AH30" s="746"/>
      <c r="AI30" s="746"/>
      <c r="AJ30" s="746"/>
      <c r="AK30" s="746"/>
      <c r="AL30" s="743"/>
      <c r="AM30" s="743"/>
      <c r="AN30" s="743"/>
      <c r="AO30" s="743"/>
      <c r="AP30" s="746"/>
      <c r="AQ30" s="746"/>
      <c r="AR30" s="746"/>
      <c r="AS30" s="746"/>
      <c r="AT30" s="746"/>
      <c r="AU30" s="746"/>
      <c r="AV30" s="746"/>
      <c r="AW30" s="746"/>
      <c r="AX30" s="746"/>
      <c r="AY30" s="746"/>
      <c r="AZ30" s="746"/>
      <c r="BA30" s="746"/>
    </row>
    <row r="31" spans="1:53">
      <c r="A31" s="743"/>
      <c r="B31" s="743"/>
      <c r="C31" s="746"/>
      <c r="D31" s="746"/>
      <c r="E31" s="746"/>
      <c r="F31" s="746"/>
      <c r="G31" s="746"/>
      <c r="H31" s="746"/>
      <c r="I31" s="746"/>
      <c r="J31" s="746"/>
      <c r="K31" s="746"/>
      <c r="L31" s="746"/>
      <c r="M31" s="746"/>
      <c r="N31" s="746"/>
      <c r="O31" s="746"/>
      <c r="P31" s="746"/>
      <c r="Q31" s="746"/>
      <c r="R31" s="746"/>
      <c r="S31" s="746"/>
      <c r="T31" s="746"/>
      <c r="U31" s="746"/>
      <c r="V31" s="746"/>
      <c r="W31" s="746"/>
      <c r="X31" s="746"/>
      <c r="Y31" s="746"/>
      <c r="Z31" s="746"/>
      <c r="AA31" s="746"/>
      <c r="AB31" s="746"/>
      <c r="AC31" s="746"/>
      <c r="AD31" s="746"/>
      <c r="AE31" s="746"/>
      <c r="AF31" s="746"/>
      <c r="AG31" s="746"/>
      <c r="AH31" s="746"/>
      <c r="AI31" s="746"/>
      <c r="AJ31" s="746"/>
      <c r="AK31" s="746"/>
      <c r="AL31" s="743"/>
      <c r="AM31" s="743"/>
      <c r="AN31" s="743"/>
      <c r="AO31" s="743"/>
      <c r="AP31" s="746"/>
      <c r="AQ31" s="746"/>
      <c r="AR31" s="746"/>
      <c r="AS31" s="746"/>
      <c r="AT31" s="746"/>
      <c r="AU31" s="746"/>
      <c r="AV31" s="746"/>
      <c r="AW31" s="746"/>
      <c r="AX31" s="746"/>
      <c r="AY31" s="746"/>
      <c r="AZ31" s="746"/>
      <c r="BA31" s="746"/>
    </row>
    <row r="32" spans="1:53">
      <c r="A32" s="743"/>
      <c r="B32" s="743"/>
      <c r="C32" s="746"/>
      <c r="D32" s="746"/>
      <c r="E32" s="746"/>
      <c r="F32" s="746"/>
      <c r="G32" s="746"/>
      <c r="H32" s="746"/>
      <c r="I32" s="746"/>
      <c r="J32" s="746"/>
      <c r="K32" s="746"/>
      <c r="L32" s="746"/>
      <c r="M32" s="746"/>
      <c r="N32" s="746"/>
      <c r="O32" s="746"/>
      <c r="P32" s="746"/>
      <c r="Q32" s="746"/>
      <c r="R32" s="746"/>
      <c r="S32" s="746"/>
      <c r="T32" s="746"/>
      <c r="U32" s="746"/>
      <c r="V32" s="746"/>
      <c r="W32" s="746"/>
      <c r="X32" s="746"/>
      <c r="Y32" s="746"/>
      <c r="Z32" s="746"/>
      <c r="AA32" s="746"/>
      <c r="AB32" s="746"/>
      <c r="AC32" s="746"/>
      <c r="AD32" s="746"/>
      <c r="AE32" s="746"/>
      <c r="AF32" s="746"/>
      <c r="AG32" s="746"/>
      <c r="AH32" s="746"/>
      <c r="AI32" s="746"/>
      <c r="AJ32" s="746"/>
      <c r="AK32" s="746"/>
      <c r="AL32" s="743"/>
      <c r="AM32" s="743"/>
      <c r="AN32" s="743"/>
      <c r="AO32" s="743"/>
      <c r="AP32" s="746"/>
      <c r="AQ32" s="746"/>
      <c r="AR32" s="746"/>
      <c r="AS32" s="746"/>
      <c r="AT32" s="746"/>
      <c r="AU32" s="746"/>
      <c r="AV32" s="746"/>
      <c r="AW32" s="746"/>
      <c r="AX32" s="746"/>
      <c r="AY32" s="746"/>
      <c r="AZ32" s="746"/>
      <c r="BA32" s="746"/>
    </row>
    <row r="33" spans="1:53">
      <c r="A33" s="743"/>
      <c r="B33" s="743"/>
      <c r="C33" s="746"/>
      <c r="D33" s="746"/>
      <c r="E33" s="746"/>
      <c r="F33" s="746"/>
      <c r="G33" s="746"/>
      <c r="H33" s="746"/>
      <c r="I33" s="746"/>
      <c r="J33" s="746"/>
      <c r="K33" s="746"/>
      <c r="L33" s="746"/>
      <c r="M33" s="746"/>
      <c r="N33" s="746"/>
      <c r="O33" s="746"/>
      <c r="P33" s="746"/>
      <c r="Q33" s="746"/>
      <c r="R33" s="746"/>
      <c r="S33" s="746"/>
      <c r="T33" s="746"/>
      <c r="U33" s="746"/>
      <c r="V33" s="746"/>
      <c r="W33" s="746"/>
      <c r="X33" s="746"/>
      <c r="Y33" s="746"/>
      <c r="Z33" s="746"/>
      <c r="AA33" s="746"/>
      <c r="AB33" s="746"/>
      <c r="AC33" s="746"/>
      <c r="AD33" s="746"/>
      <c r="AE33" s="746"/>
      <c r="AF33" s="746"/>
      <c r="AG33" s="746"/>
      <c r="AH33" s="746"/>
      <c r="AI33" s="746"/>
      <c r="AJ33" s="746"/>
      <c r="AK33" s="746"/>
      <c r="AL33" s="743"/>
      <c r="AM33" s="743"/>
      <c r="AN33" s="743"/>
      <c r="AO33" s="743"/>
      <c r="AP33" s="746"/>
      <c r="AQ33" s="746"/>
      <c r="AR33" s="746"/>
      <c r="AS33" s="746"/>
      <c r="AT33" s="746"/>
      <c r="AU33" s="746"/>
      <c r="AV33" s="746"/>
      <c r="AW33" s="746"/>
      <c r="AX33" s="746"/>
      <c r="AY33" s="746"/>
      <c r="AZ33" s="746"/>
      <c r="BA33" s="746"/>
    </row>
    <row r="34" spans="1:53">
      <c r="A34" s="743"/>
      <c r="B34" s="743"/>
      <c r="C34" s="746"/>
      <c r="D34" s="746"/>
      <c r="E34" s="746"/>
      <c r="F34" s="746"/>
      <c r="G34" s="746"/>
      <c r="H34" s="746"/>
      <c r="I34" s="746"/>
      <c r="J34" s="746"/>
      <c r="K34" s="746"/>
      <c r="L34" s="746"/>
      <c r="M34" s="746"/>
      <c r="N34" s="746"/>
      <c r="O34" s="746"/>
      <c r="P34" s="746"/>
      <c r="Q34" s="746"/>
      <c r="R34" s="746"/>
      <c r="S34" s="746"/>
      <c r="T34" s="746"/>
      <c r="U34" s="746"/>
      <c r="V34" s="746"/>
      <c r="W34" s="746"/>
      <c r="X34" s="746"/>
      <c r="Y34" s="746"/>
      <c r="Z34" s="746"/>
      <c r="AA34" s="746"/>
      <c r="AB34" s="746"/>
      <c r="AC34" s="746"/>
      <c r="AD34" s="746"/>
      <c r="AE34" s="746"/>
      <c r="AF34" s="746"/>
      <c r="AG34" s="746"/>
      <c r="AH34" s="746"/>
      <c r="AI34" s="746"/>
      <c r="AJ34" s="746"/>
      <c r="AK34" s="746"/>
      <c r="AL34" s="743"/>
      <c r="AM34" s="743"/>
      <c r="AN34" s="743"/>
      <c r="AO34" s="743"/>
      <c r="AP34" s="746"/>
      <c r="AQ34" s="746"/>
      <c r="AR34" s="746"/>
      <c r="AS34" s="746"/>
      <c r="AT34" s="746"/>
      <c r="AU34" s="746"/>
      <c r="AV34" s="746"/>
      <c r="AW34" s="746"/>
      <c r="AX34" s="746"/>
      <c r="AY34" s="746"/>
      <c r="AZ34" s="746"/>
      <c r="BA34" s="746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45"/>
  <sheetViews>
    <sheetView showGridLines="0" topLeftCell="A5" zoomScaleNormal="100" zoomScaleSheetLayoutView="100" workbookViewId="0">
      <pane ySplit="2" topLeftCell="A37" activePane="bottomLeft" state="frozen"/>
      <selection activeCell="A5" sqref="A5"/>
      <selection pane="bottomLeft" activeCell="E71" sqref="E71:S71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595" customWidth="1"/>
    <col min="129" max="16384" width="9" style="35"/>
  </cols>
  <sheetData>
    <row r="1" spans="1:72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72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72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化学物質データ申請確認画面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72" ht="5.85" customHeight="1"/>
    <row r="5" spans="1:72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32.1" customHeight="1">
      <c r="A7" s="540"/>
      <c r="B7" s="566"/>
      <c r="C7" s="575"/>
      <c r="D7" s="576"/>
      <c r="E7" s="568"/>
      <c r="F7" s="568"/>
      <c r="G7" s="568"/>
      <c r="H7" s="579"/>
      <c r="I7" s="579"/>
      <c r="J7" s="760"/>
      <c r="K7" s="760"/>
      <c r="L7" s="760"/>
      <c r="M7" s="760"/>
      <c r="N7" s="582"/>
      <c r="O7" s="583"/>
      <c r="P7" s="582"/>
      <c r="Q7" s="579"/>
      <c r="R7" s="579"/>
      <c r="S7" s="579"/>
      <c r="T7" s="580"/>
      <c r="U7" s="580"/>
      <c r="V7" s="580"/>
      <c r="W7" s="580"/>
      <c r="X7" s="580"/>
      <c r="Y7" s="583"/>
      <c r="Z7" s="580"/>
      <c r="AA7" s="579"/>
      <c r="AB7" s="583"/>
      <c r="AC7" s="580"/>
      <c r="AD7" s="579"/>
      <c r="AE7" s="583"/>
      <c r="AF7" s="579"/>
      <c r="AG7" s="579"/>
      <c r="AH7" s="583"/>
      <c r="AI7" s="579"/>
      <c r="AJ7" s="579"/>
      <c r="AK7" s="584"/>
      <c r="AL7" s="579"/>
      <c r="AM7" s="579"/>
      <c r="AN7" s="579"/>
      <c r="AO7" s="579"/>
      <c r="AP7" s="579"/>
      <c r="AQ7" s="579"/>
      <c r="AR7" s="579"/>
      <c r="AS7" s="579"/>
      <c r="AT7" s="568"/>
      <c r="AU7" s="568"/>
      <c r="AV7" s="568"/>
      <c r="AW7" s="568"/>
      <c r="AX7" s="568"/>
      <c r="AY7" s="568"/>
      <c r="AZ7" s="569"/>
      <c r="BA7" s="569"/>
      <c r="BB7" s="551"/>
      <c r="BC7" s="552"/>
      <c r="BD7" s="538"/>
      <c r="BE7" s="596"/>
      <c r="BF7" s="596"/>
      <c r="BG7" s="596"/>
      <c r="BH7" s="598"/>
      <c r="BI7" s="596"/>
      <c r="BJ7" s="596"/>
      <c r="BK7" s="596"/>
      <c r="BL7" s="596"/>
      <c r="BM7" s="596"/>
      <c r="BN7" s="596"/>
      <c r="BO7" s="596"/>
      <c r="BP7" s="596"/>
      <c r="BQ7" s="596"/>
      <c r="BR7" s="596"/>
      <c r="BS7" s="596"/>
      <c r="BT7" s="596"/>
    </row>
    <row r="8" spans="1:72" ht="21" customHeight="1">
      <c r="A8" s="540"/>
      <c r="B8" s="589"/>
      <c r="C8" s="594" t="s">
        <v>359</v>
      </c>
      <c r="D8" s="590"/>
      <c r="E8" s="591"/>
      <c r="F8" s="591"/>
      <c r="G8" s="591"/>
      <c r="H8" s="585"/>
      <c r="I8" s="585"/>
      <c r="J8" s="809"/>
      <c r="K8" s="809"/>
      <c r="L8" s="809"/>
      <c r="M8" s="809"/>
      <c r="N8" s="588"/>
      <c r="O8" s="587"/>
      <c r="P8" s="588"/>
      <c r="Q8" s="585"/>
      <c r="R8" s="585"/>
      <c r="S8" s="585"/>
      <c r="T8" s="586"/>
      <c r="U8" s="586"/>
      <c r="V8" s="586"/>
      <c r="W8" s="586"/>
      <c r="X8" s="586"/>
      <c r="Y8" s="587"/>
      <c r="Z8" s="586"/>
      <c r="AA8" s="585"/>
      <c r="AB8" s="587"/>
      <c r="AC8" s="586"/>
      <c r="AD8" s="585"/>
      <c r="AE8" s="587"/>
      <c r="AF8" s="585"/>
      <c r="AG8" s="585"/>
      <c r="AH8" s="587"/>
      <c r="AI8" s="585"/>
      <c r="AJ8" s="585"/>
      <c r="AK8" s="592"/>
      <c r="AL8" s="585"/>
      <c r="AM8" s="585"/>
      <c r="AN8" s="585"/>
      <c r="AO8" s="585"/>
      <c r="AP8" s="585"/>
      <c r="AQ8" s="585"/>
      <c r="AR8" s="585"/>
      <c r="AS8" s="585"/>
      <c r="AT8" s="591"/>
      <c r="AU8" s="591"/>
      <c r="AV8" s="591"/>
      <c r="AW8" s="591"/>
      <c r="AX8" s="591"/>
      <c r="AY8" s="591"/>
      <c r="AZ8" s="593"/>
      <c r="BA8" s="569"/>
      <c r="BB8" s="551"/>
      <c r="BC8" s="552"/>
      <c r="BD8" s="538"/>
      <c r="BE8" s="576"/>
      <c r="BF8" s="806" t="s">
        <v>298</v>
      </c>
      <c r="BG8" s="807"/>
      <c r="BH8" s="808"/>
      <c r="BI8" s="596"/>
      <c r="BJ8" s="596"/>
      <c r="BK8" s="596"/>
      <c r="BL8" s="596"/>
      <c r="BM8" s="597"/>
      <c r="BN8" s="597"/>
      <c r="BO8" s="597"/>
      <c r="BP8" s="597"/>
      <c r="BQ8" s="597"/>
      <c r="BR8" s="597"/>
      <c r="BS8" s="596"/>
      <c r="BT8" s="596"/>
    </row>
    <row r="9" spans="1:72" ht="12.6" customHeight="1">
      <c r="A9" s="540"/>
      <c r="B9" s="566"/>
      <c r="C9" s="575"/>
      <c r="D9" s="576"/>
      <c r="E9" s="568"/>
      <c r="F9" s="568"/>
      <c r="G9" s="568"/>
      <c r="H9" s="579"/>
      <c r="I9" s="579"/>
      <c r="J9" s="579"/>
      <c r="K9" s="579"/>
      <c r="L9" s="579"/>
      <c r="M9" s="579"/>
      <c r="N9" s="579"/>
      <c r="O9" s="579"/>
      <c r="P9" s="579"/>
      <c r="Q9" s="579"/>
      <c r="R9" s="579"/>
      <c r="S9" s="579"/>
      <c r="T9" s="579"/>
      <c r="U9" s="579"/>
      <c r="V9" s="579"/>
      <c r="W9" s="579"/>
      <c r="X9" s="579"/>
      <c r="Y9" s="579"/>
      <c r="Z9" s="579"/>
      <c r="AA9" s="579"/>
      <c r="AB9" s="579"/>
      <c r="AC9" s="579"/>
      <c r="AD9" s="579"/>
      <c r="AE9" s="579"/>
      <c r="AF9" s="579"/>
      <c r="AG9" s="579"/>
      <c r="AH9" s="579"/>
      <c r="AI9" s="579"/>
      <c r="AJ9" s="579"/>
      <c r="AK9" s="579"/>
      <c r="AL9" s="579"/>
      <c r="AM9" s="579"/>
      <c r="AN9" s="579"/>
      <c r="AO9" s="579"/>
      <c r="AP9" s="579"/>
      <c r="AQ9" s="579"/>
      <c r="AR9" s="579"/>
      <c r="AS9" s="581"/>
      <c r="AT9" s="577"/>
      <c r="AU9" s="577"/>
      <c r="AV9" s="577"/>
      <c r="AW9" s="577"/>
      <c r="AX9" s="577"/>
      <c r="AY9" s="577"/>
      <c r="AZ9" s="569"/>
      <c r="BA9" s="569"/>
      <c r="BB9" s="551"/>
      <c r="BC9" s="552"/>
      <c r="BD9" s="538"/>
      <c r="BE9" s="596"/>
      <c r="BF9" s="676" t="s">
        <v>381</v>
      </c>
      <c r="BG9" s="677"/>
      <c r="BH9" s="678"/>
      <c r="BI9" s="678"/>
      <c r="BJ9" s="678"/>
      <c r="BK9" s="678"/>
      <c r="BL9" s="678"/>
      <c r="BM9" s="679"/>
      <c r="BN9" s="679"/>
      <c r="BO9" s="679"/>
      <c r="BP9" s="679"/>
      <c r="BQ9" s="679"/>
      <c r="BR9" s="679"/>
      <c r="BS9" s="679"/>
      <c r="BT9" s="680"/>
    </row>
    <row r="10" spans="1:72" ht="24" customHeight="1">
      <c r="A10" s="540"/>
      <c r="B10" s="619"/>
      <c r="C10" s="559"/>
      <c r="D10" s="559"/>
      <c r="E10" s="559"/>
      <c r="F10" s="559"/>
      <c r="G10" s="559"/>
      <c r="H10" s="559"/>
      <c r="I10" s="559"/>
      <c r="J10" s="559"/>
      <c r="K10" s="559"/>
      <c r="L10" s="559"/>
      <c r="M10" s="559"/>
      <c r="N10" s="559"/>
      <c r="O10" s="559"/>
      <c r="P10" s="559"/>
      <c r="Q10" s="559"/>
      <c r="R10" s="559"/>
      <c r="S10" s="559"/>
      <c r="T10" s="560"/>
      <c r="U10" s="560"/>
      <c r="V10" s="560"/>
      <c r="W10" s="653" t="s">
        <v>389</v>
      </c>
      <c r="X10" s="558"/>
      <c r="Y10" s="558"/>
      <c r="Z10" s="560"/>
      <c r="AA10" s="560"/>
      <c r="AB10" s="562"/>
      <c r="AC10" s="560"/>
      <c r="AD10" s="563"/>
      <c r="AE10" s="563"/>
      <c r="AF10" s="563"/>
      <c r="AG10" s="563"/>
      <c r="AH10" s="563"/>
      <c r="AI10" s="559"/>
      <c r="AJ10" s="560"/>
      <c r="AK10" s="560"/>
      <c r="AL10" s="560"/>
      <c r="AM10" s="560"/>
      <c r="AN10" s="564"/>
      <c r="AO10" s="561"/>
      <c r="AP10" s="561"/>
      <c r="AQ10" s="560"/>
      <c r="AR10" s="560"/>
      <c r="AS10" s="560"/>
      <c r="AT10" s="614"/>
      <c r="AU10" s="615"/>
      <c r="AV10" s="616"/>
      <c r="AW10" s="616"/>
      <c r="AX10" s="616"/>
      <c r="AY10" s="617"/>
      <c r="AZ10" s="618"/>
      <c r="BA10" s="543"/>
      <c r="BB10" s="536"/>
      <c r="BC10" s="537"/>
      <c r="BD10" s="538"/>
      <c r="BE10" s="576"/>
      <c r="BF10" s="681"/>
      <c r="BG10" s="576" t="s">
        <v>382</v>
      </c>
      <c r="BH10" s="576"/>
      <c r="BI10" s="576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682"/>
    </row>
    <row r="11" spans="1:72" ht="12" customHeight="1">
      <c r="A11" s="540"/>
      <c r="B11" s="548"/>
      <c r="C11" s="785" t="s">
        <v>388</v>
      </c>
      <c r="D11" s="786"/>
      <c r="E11" s="786"/>
      <c r="F11" s="786"/>
      <c r="G11" s="786"/>
      <c r="H11" s="786"/>
      <c r="I11" s="786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683"/>
      <c r="BG11" s="576"/>
      <c r="BH11" s="576" t="s">
        <v>390</v>
      </c>
      <c r="BI11" s="684"/>
      <c r="BJ11" s="597"/>
      <c r="BK11" s="597"/>
      <c r="BL11" s="597"/>
      <c r="BM11" s="596"/>
      <c r="BN11" s="596"/>
      <c r="BO11" s="596"/>
      <c r="BP11" s="596"/>
      <c r="BQ11" s="596"/>
      <c r="BR11" s="596"/>
      <c r="BS11" s="596"/>
      <c r="BT11" s="682"/>
    </row>
    <row r="12" spans="1:72" ht="12.6" customHeight="1">
      <c r="A12" s="540"/>
      <c r="B12" s="541"/>
      <c r="C12" s="787"/>
      <c r="D12" s="787"/>
      <c r="E12" s="787"/>
      <c r="F12" s="787"/>
      <c r="G12" s="787"/>
      <c r="H12" s="787"/>
      <c r="I12" s="787"/>
      <c r="J12" s="544"/>
      <c r="K12" s="545"/>
      <c r="L12" s="544"/>
      <c r="M12" s="550"/>
      <c r="N12" s="550"/>
      <c r="O12" s="547"/>
      <c r="P12" s="550"/>
      <c r="Q12" s="547"/>
      <c r="R12" s="550"/>
      <c r="S12" s="539"/>
      <c r="T12" s="538"/>
      <c r="U12" s="538"/>
      <c r="V12" s="538"/>
      <c r="W12" s="538"/>
      <c r="X12" s="538"/>
      <c r="Y12" s="549"/>
      <c r="Z12" s="545"/>
      <c r="AA12" s="544"/>
      <c r="AB12" s="545"/>
      <c r="AC12" s="544"/>
      <c r="AD12" s="550"/>
      <c r="AE12" s="550"/>
      <c r="AF12" s="547"/>
      <c r="AG12" s="550"/>
      <c r="AH12" s="550"/>
      <c r="AI12" s="546"/>
      <c r="AJ12" s="550"/>
      <c r="AK12" s="547"/>
      <c r="AL12" s="538"/>
      <c r="AM12" s="538"/>
      <c r="AN12" s="538"/>
      <c r="AO12" s="538"/>
      <c r="AP12" s="538"/>
      <c r="AQ12" s="538"/>
      <c r="AR12" s="538"/>
      <c r="AS12" s="544"/>
      <c r="AT12" s="546"/>
      <c r="AU12" s="544"/>
      <c r="AV12" s="547"/>
      <c r="AW12" s="547"/>
      <c r="AX12" s="547"/>
      <c r="AY12" s="542"/>
      <c r="AZ12" s="543"/>
      <c r="BA12" s="543"/>
      <c r="BB12" s="536"/>
      <c r="BC12" s="537"/>
      <c r="BD12" s="538"/>
      <c r="BE12" s="596"/>
      <c r="BF12" s="683"/>
      <c r="BG12" s="576"/>
      <c r="BH12" s="576" t="s">
        <v>391</v>
      </c>
      <c r="BI12" s="684"/>
      <c r="BJ12" s="576"/>
      <c r="BK12" s="597"/>
      <c r="BL12" s="597"/>
      <c r="BM12" s="596"/>
      <c r="BN12" s="596"/>
      <c r="BO12" s="596"/>
      <c r="BP12" s="596"/>
      <c r="BQ12" s="596"/>
      <c r="BR12" s="596"/>
      <c r="BS12" s="596"/>
      <c r="BT12" s="682"/>
    </row>
    <row r="13" spans="1:72" ht="12.6" customHeight="1">
      <c r="A13" s="540"/>
      <c r="B13" s="566"/>
      <c r="C13" s="572"/>
      <c r="D13" s="568"/>
      <c r="E13" s="568"/>
      <c r="F13" s="565"/>
      <c r="G13" s="565"/>
      <c r="H13" s="579"/>
      <c r="I13" s="579"/>
      <c r="J13" s="579"/>
      <c r="K13" s="579"/>
      <c r="L13" s="579"/>
      <c r="M13" s="579"/>
      <c r="N13" s="579"/>
      <c r="O13" s="579"/>
      <c r="P13" s="579"/>
      <c r="Q13" s="579"/>
      <c r="R13" s="579"/>
      <c r="S13" s="579"/>
      <c r="T13" s="579"/>
      <c r="U13" s="579"/>
      <c r="V13" s="579"/>
      <c r="W13" s="579"/>
      <c r="X13" s="579"/>
      <c r="Y13" s="579"/>
      <c r="Z13" s="579"/>
      <c r="AA13" s="579"/>
      <c r="AB13" s="579"/>
      <c r="AC13" s="579"/>
      <c r="AD13" s="579"/>
      <c r="AE13" s="579"/>
      <c r="AF13" s="579"/>
      <c r="AG13" s="579"/>
      <c r="AH13" s="579"/>
      <c r="AI13" s="579"/>
      <c r="AJ13" s="579"/>
      <c r="AK13" s="579"/>
      <c r="AL13" s="579"/>
      <c r="AM13" s="579"/>
      <c r="AN13" s="579"/>
      <c r="AO13" s="579"/>
      <c r="AP13" s="579"/>
      <c r="AQ13" s="579"/>
      <c r="AR13" s="579"/>
      <c r="AS13" s="580"/>
      <c r="AT13" s="571"/>
      <c r="AU13" s="565"/>
      <c r="AV13" s="568"/>
      <c r="AW13" s="568"/>
      <c r="AX13" s="568"/>
      <c r="AY13" s="565"/>
      <c r="AZ13" s="569"/>
      <c r="BA13" s="569"/>
      <c r="BB13" s="536"/>
      <c r="BC13" s="537"/>
      <c r="BD13" s="538"/>
      <c r="BE13" s="596"/>
      <c r="BF13" s="685"/>
      <c r="BG13" s="596"/>
      <c r="BH13" s="598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682"/>
    </row>
    <row r="14" spans="1:72" ht="12.6" customHeight="1">
      <c r="A14" s="540"/>
      <c r="B14" s="566"/>
      <c r="C14" s="788" t="s">
        <v>407</v>
      </c>
      <c r="D14" s="789"/>
      <c r="E14" s="789"/>
      <c r="F14" s="789"/>
      <c r="G14" s="789"/>
      <c r="H14" s="789"/>
      <c r="I14" s="789"/>
      <c r="J14" s="789"/>
      <c r="K14" s="789"/>
      <c r="L14" s="789"/>
      <c r="M14" s="789"/>
      <c r="N14" s="789"/>
      <c r="O14" s="789"/>
      <c r="P14" s="789"/>
      <c r="Q14" s="789"/>
      <c r="R14" s="789"/>
      <c r="S14" s="789"/>
      <c r="T14" s="789"/>
      <c r="U14" s="789"/>
      <c r="V14" s="789"/>
      <c r="W14" s="789"/>
      <c r="X14" s="789"/>
      <c r="Y14" s="789"/>
      <c r="Z14" s="789"/>
      <c r="AA14" s="789"/>
      <c r="AB14" s="789"/>
      <c r="AC14" s="789"/>
      <c r="AD14" s="789"/>
      <c r="AE14" s="789"/>
      <c r="AF14" s="789"/>
      <c r="AG14" s="789"/>
      <c r="AH14" s="789"/>
      <c r="AI14" s="789"/>
      <c r="AJ14" s="789"/>
      <c r="AK14" s="789"/>
      <c r="AL14" s="789"/>
      <c r="AM14" s="789"/>
      <c r="AN14" s="789"/>
      <c r="AO14" s="789"/>
      <c r="AP14" s="789"/>
      <c r="AQ14" s="789"/>
      <c r="AR14" s="789"/>
      <c r="AS14" s="789"/>
      <c r="AT14" s="789"/>
      <c r="AU14" s="789"/>
      <c r="AV14" s="789"/>
      <c r="AW14" s="789"/>
      <c r="AX14" s="789"/>
      <c r="AY14" s="789"/>
      <c r="AZ14" s="569"/>
      <c r="BA14" s="569"/>
      <c r="BB14" s="536"/>
      <c r="BC14" s="537"/>
      <c r="BD14" s="538"/>
      <c r="BE14" s="598"/>
      <c r="BF14" s="683" t="s">
        <v>590</v>
      </c>
      <c r="BG14" s="596"/>
      <c r="BH14" s="59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682"/>
    </row>
    <row r="15" spans="1:72" ht="12.6" customHeight="1">
      <c r="A15" s="540"/>
      <c r="B15" s="566"/>
      <c r="C15" s="789"/>
      <c r="D15" s="789"/>
      <c r="E15" s="789"/>
      <c r="F15" s="789"/>
      <c r="G15" s="789"/>
      <c r="H15" s="789"/>
      <c r="I15" s="789"/>
      <c r="J15" s="789"/>
      <c r="K15" s="789"/>
      <c r="L15" s="789"/>
      <c r="M15" s="789"/>
      <c r="N15" s="789"/>
      <c r="O15" s="789"/>
      <c r="P15" s="789"/>
      <c r="Q15" s="789"/>
      <c r="R15" s="789"/>
      <c r="S15" s="789"/>
      <c r="T15" s="789"/>
      <c r="U15" s="789"/>
      <c r="V15" s="789"/>
      <c r="W15" s="789"/>
      <c r="X15" s="789"/>
      <c r="Y15" s="789"/>
      <c r="Z15" s="789"/>
      <c r="AA15" s="789"/>
      <c r="AB15" s="789"/>
      <c r="AC15" s="789"/>
      <c r="AD15" s="789"/>
      <c r="AE15" s="789"/>
      <c r="AF15" s="789"/>
      <c r="AG15" s="789"/>
      <c r="AH15" s="789"/>
      <c r="AI15" s="789"/>
      <c r="AJ15" s="789"/>
      <c r="AK15" s="789"/>
      <c r="AL15" s="789"/>
      <c r="AM15" s="789"/>
      <c r="AN15" s="789"/>
      <c r="AO15" s="789"/>
      <c r="AP15" s="789"/>
      <c r="AQ15" s="789"/>
      <c r="AR15" s="789"/>
      <c r="AS15" s="789"/>
      <c r="AT15" s="789"/>
      <c r="AU15" s="789"/>
      <c r="AV15" s="789"/>
      <c r="AW15" s="789"/>
      <c r="AX15" s="789"/>
      <c r="AY15" s="789"/>
      <c r="AZ15" s="569"/>
      <c r="BA15" s="569"/>
      <c r="BB15" s="536"/>
      <c r="BC15" s="537"/>
      <c r="BD15" s="538"/>
      <c r="BE15" s="596"/>
      <c r="BF15" s="685" t="s">
        <v>591</v>
      </c>
      <c r="BG15" s="576"/>
      <c r="BH15" s="576"/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682"/>
    </row>
    <row r="16" spans="1:72" ht="12.6" customHeight="1">
      <c r="A16" s="540"/>
      <c r="B16" s="566"/>
      <c r="C16" s="789"/>
      <c r="D16" s="789"/>
      <c r="E16" s="789"/>
      <c r="F16" s="789"/>
      <c r="G16" s="789"/>
      <c r="H16" s="789"/>
      <c r="I16" s="789"/>
      <c r="J16" s="789"/>
      <c r="K16" s="789"/>
      <c r="L16" s="789"/>
      <c r="M16" s="789"/>
      <c r="N16" s="789"/>
      <c r="O16" s="789"/>
      <c r="P16" s="789"/>
      <c r="Q16" s="789"/>
      <c r="R16" s="789"/>
      <c r="S16" s="789"/>
      <c r="T16" s="789"/>
      <c r="U16" s="789"/>
      <c r="V16" s="789"/>
      <c r="W16" s="789"/>
      <c r="X16" s="789"/>
      <c r="Y16" s="789"/>
      <c r="Z16" s="789"/>
      <c r="AA16" s="789"/>
      <c r="AB16" s="789"/>
      <c r="AC16" s="789"/>
      <c r="AD16" s="789"/>
      <c r="AE16" s="789"/>
      <c r="AF16" s="789"/>
      <c r="AG16" s="789"/>
      <c r="AH16" s="789"/>
      <c r="AI16" s="789"/>
      <c r="AJ16" s="789"/>
      <c r="AK16" s="789"/>
      <c r="AL16" s="789"/>
      <c r="AM16" s="789"/>
      <c r="AN16" s="789"/>
      <c r="AO16" s="789"/>
      <c r="AP16" s="789"/>
      <c r="AQ16" s="789"/>
      <c r="AR16" s="789"/>
      <c r="AS16" s="789"/>
      <c r="AT16" s="789"/>
      <c r="AU16" s="789"/>
      <c r="AV16" s="789"/>
      <c r="AW16" s="789"/>
      <c r="AX16" s="789"/>
      <c r="AY16" s="789"/>
      <c r="AZ16" s="569"/>
      <c r="BA16" s="569"/>
      <c r="BB16" s="536"/>
      <c r="BC16" s="537"/>
      <c r="BD16" s="538"/>
      <c r="BE16" s="596"/>
      <c r="BF16" s="685" t="s">
        <v>592</v>
      </c>
      <c r="BG16" s="576"/>
      <c r="BH16" s="576"/>
      <c r="BI16" s="596"/>
      <c r="BJ16" s="596"/>
      <c r="BK16" s="596"/>
      <c r="BL16" s="596"/>
      <c r="BM16" s="596"/>
      <c r="BN16" s="596"/>
      <c r="BO16" s="596"/>
      <c r="BP16" s="596"/>
      <c r="BQ16" s="596"/>
      <c r="BR16" s="596"/>
      <c r="BS16" s="596"/>
      <c r="BT16" s="682"/>
    </row>
    <row r="17" spans="1:72" ht="12.6" customHeight="1">
      <c r="A17" s="540"/>
      <c r="B17" s="566"/>
      <c r="C17" s="572"/>
      <c r="D17" s="568"/>
      <c r="E17" s="568"/>
      <c r="F17" s="565"/>
      <c r="G17" s="565"/>
      <c r="H17" s="579"/>
      <c r="I17" s="579"/>
      <c r="J17" s="579"/>
      <c r="K17" s="579"/>
      <c r="L17" s="579"/>
      <c r="M17" s="579"/>
      <c r="N17" s="579"/>
      <c r="O17" s="579"/>
      <c r="P17" s="579"/>
      <c r="Q17" s="579"/>
      <c r="R17" s="579"/>
      <c r="S17" s="579"/>
      <c r="T17" s="579"/>
      <c r="U17" s="579"/>
      <c r="V17" s="579"/>
      <c r="W17" s="579"/>
      <c r="X17" s="579"/>
      <c r="Y17" s="579"/>
      <c r="Z17" s="579"/>
      <c r="AA17" s="579"/>
      <c r="AB17" s="579"/>
      <c r="AC17" s="579"/>
      <c r="AD17" s="579"/>
      <c r="AE17" s="579"/>
      <c r="AF17" s="579"/>
      <c r="AG17" s="579"/>
      <c r="AH17" s="579"/>
      <c r="AI17" s="579"/>
      <c r="AJ17" s="579"/>
      <c r="AK17" s="579"/>
      <c r="AL17" s="579"/>
      <c r="AM17" s="579"/>
      <c r="AN17" s="579"/>
      <c r="AO17" s="579"/>
      <c r="AP17" s="579"/>
      <c r="AQ17" s="579"/>
      <c r="AR17" s="579"/>
      <c r="AS17" s="580"/>
      <c r="AT17" s="571"/>
      <c r="AU17" s="565"/>
      <c r="AV17" s="568"/>
      <c r="AW17" s="568"/>
      <c r="AX17" s="568"/>
      <c r="AY17" s="565"/>
      <c r="AZ17" s="569"/>
      <c r="BA17" s="569"/>
      <c r="BB17" s="536"/>
      <c r="BC17" s="537"/>
      <c r="BD17" s="538"/>
      <c r="BE17" s="596"/>
      <c r="BF17" s="686"/>
      <c r="BG17" s="687"/>
      <c r="BH17" s="687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9"/>
    </row>
    <row r="18" spans="1:72" ht="12.6" customHeight="1">
      <c r="A18" s="540"/>
      <c r="B18" s="566"/>
      <c r="C18" s="565"/>
      <c r="D18" s="568"/>
      <c r="E18" s="794" t="s">
        <v>394</v>
      </c>
      <c r="F18" s="795"/>
      <c r="G18" s="795"/>
      <c r="H18" s="795"/>
      <c r="I18" s="795"/>
      <c r="J18" s="795"/>
      <c r="K18" s="795"/>
      <c r="L18" s="795"/>
      <c r="M18" s="795"/>
      <c r="N18" s="795"/>
      <c r="O18" s="796"/>
      <c r="P18" s="794" t="s">
        <v>395</v>
      </c>
      <c r="Q18" s="795"/>
      <c r="R18" s="795"/>
      <c r="S18" s="795"/>
      <c r="T18" s="795"/>
      <c r="U18" s="795"/>
      <c r="V18" s="795"/>
      <c r="W18" s="795"/>
      <c r="X18" s="795"/>
      <c r="Y18" s="795"/>
      <c r="Z18" s="795"/>
      <c r="AA18" s="796"/>
      <c r="AB18" s="794" t="s">
        <v>396</v>
      </c>
      <c r="AC18" s="795"/>
      <c r="AD18" s="795"/>
      <c r="AE18" s="795"/>
      <c r="AF18" s="795"/>
      <c r="AG18" s="795"/>
      <c r="AH18" s="795"/>
      <c r="AI18" s="795"/>
      <c r="AJ18" s="795"/>
      <c r="AK18" s="795"/>
      <c r="AL18" s="795"/>
      <c r="AM18" s="795"/>
      <c r="AN18" s="795"/>
      <c r="AO18" s="795"/>
      <c r="AP18" s="795"/>
      <c r="AQ18" s="795"/>
      <c r="AR18" s="795"/>
      <c r="AS18" s="795"/>
      <c r="AT18" s="795"/>
      <c r="AU18" s="795"/>
      <c r="AV18" s="795"/>
      <c r="AW18" s="796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21" customHeight="1">
      <c r="A19" s="540"/>
      <c r="B19" s="566"/>
      <c r="C19" s="565"/>
      <c r="D19" s="565"/>
      <c r="E19" s="800" t="s">
        <v>397</v>
      </c>
      <c r="F19" s="801"/>
      <c r="G19" s="801"/>
      <c r="H19" s="801"/>
      <c r="I19" s="801"/>
      <c r="J19" s="801"/>
      <c r="K19" s="801"/>
      <c r="L19" s="801"/>
      <c r="M19" s="801"/>
      <c r="N19" s="801"/>
      <c r="O19" s="802"/>
      <c r="P19" s="800" t="s">
        <v>478</v>
      </c>
      <c r="Q19" s="801"/>
      <c r="R19" s="801"/>
      <c r="S19" s="801"/>
      <c r="T19" s="801"/>
      <c r="U19" s="801"/>
      <c r="V19" s="801"/>
      <c r="W19" s="801"/>
      <c r="X19" s="801"/>
      <c r="Y19" s="801"/>
      <c r="Z19" s="801"/>
      <c r="AA19" s="802"/>
      <c r="AB19" s="800" t="s">
        <v>398</v>
      </c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2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/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33.6" customHeight="1">
      <c r="A20" s="540"/>
      <c r="B20" s="566"/>
      <c r="C20" s="565"/>
      <c r="D20" s="565"/>
      <c r="E20" s="800" t="s">
        <v>377</v>
      </c>
      <c r="F20" s="801"/>
      <c r="G20" s="801"/>
      <c r="H20" s="801"/>
      <c r="I20" s="801"/>
      <c r="J20" s="801"/>
      <c r="K20" s="801"/>
      <c r="L20" s="801"/>
      <c r="M20" s="801"/>
      <c r="N20" s="801"/>
      <c r="O20" s="802"/>
      <c r="P20" s="797" t="s">
        <v>399</v>
      </c>
      <c r="Q20" s="798"/>
      <c r="R20" s="798"/>
      <c r="S20" s="798"/>
      <c r="T20" s="798"/>
      <c r="U20" s="798"/>
      <c r="V20" s="798"/>
      <c r="W20" s="798"/>
      <c r="X20" s="798"/>
      <c r="Y20" s="798"/>
      <c r="Z20" s="798"/>
      <c r="AA20" s="799"/>
      <c r="AB20" s="797" t="s">
        <v>400</v>
      </c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9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7.6" customHeight="1">
      <c r="A21" s="540"/>
      <c r="B21" s="566"/>
      <c r="C21" s="565"/>
      <c r="D21" s="565"/>
      <c r="E21" s="797" t="s">
        <v>401</v>
      </c>
      <c r="F21" s="798"/>
      <c r="G21" s="798"/>
      <c r="H21" s="798"/>
      <c r="I21" s="798"/>
      <c r="J21" s="798"/>
      <c r="K21" s="798"/>
      <c r="L21" s="798"/>
      <c r="M21" s="798"/>
      <c r="N21" s="798"/>
      <c r="O21" s="799"/>
      <c r="P21" s="800" t="s">
        <v>402</v>
      </c>
      <c r="Q21" s="801"/>
      <c r="R21" s="801"/>
      <c r="S21" s="801"/>
      <c r="T21" s="801"/>
      <c r="U21" s="801"/>
      <c r="V21" s="801"/>
      <c r="W21" s="801"/>
      <c r="X21" s="801"/>
      <c r="Y21" s="801"/>
      <c r="Z21" s="801"/>
      <c r="AA21" s="802"/>
      <c r="AB21" s="800" t="s">
        <v>403</v>
      </c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2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/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26.1" customHeight="1">
      <c r="A22" s="540"/>
      <c r="B22" s="566"/>
      <c r="C22" s="565"/>
      <c r="D22" s="565"/>
      <c r="E22" s="797" t="s">
        <v>404</v>
      </c>
      <c r="F22" s="798"/>
      <c r="G22" s="798"/>
      <c r="H22" s="798"/>
      <c r="I22" s="798"/>
      <c r="J22" s="798"/>
      <c r="K22" s="798"/>
      <c r="L22" s="798"/>
      <c r="M22" s="798"/>
      <c r="N22" s="798"/>
      <c r="O22" s="799"/>
      <c r="P22" s="800" t="s">
        <v>405</v>
      </c>
      <c r="Q22" s="801"/>
      <c r="R22" s="801"/>
      <c r="S22" s="801"/>
      <c r="T22" s="801"/>
      <c r="U22" s="801"/>
      <c r="V22" s="801"/>
      <c r="W22" s="801"/>
      <c r="X22" s="801"/>
      <c r="Y22" s="801"/>
      <c r="Z22" s="801"/>
      <c r="AA22" s="802"/>
      <c r="AB22" s="800" t="s">
        <v>406</v>
      </c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2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/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6" customHeight="1">
      <c r="A23" s="540"/>
      <c r="B23" s="566"/>
      <c r="C23" s="565"/>
      <c r="D23" s="565"/>
      <c r="E23" s="571"/>
      <c r="F23" s="567"/>
      <c r="G23" s="565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80"/>
      <c r="AT23" s="571"/>
      <c r="AU23" s="565"/>
      <c r="AV23" s="568"/>
      <c r="AW23" s="568"/>
      <c r="AX23" s="568"/>
      <c r="AY23" s="565"/>
      <c r="AZ23" s="569"/>
      <c r="BA23" s="569"/>
      <c r="BB23" s="536"/>
      <c r="BC23" s="537"/>
      <c r="BD23" s="538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6" customHeight="1">
      <c r="A24" s="540"/>
      <c r="B24" s="566"/>
      <c r="C24" s="570"/>
      <c r="D24" s="565"/>
      <c r="E24" s="565"/>
      <c r="F24" s="565"/>
      <c r="G24" s="565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0"/>
      <c r="AT24" s="571"/>
      <c r="AU24" s="565"/>
      <c r="AV24" s="568"/>
      <c r="AW24" s="568"/>
      <c r="AX24" s="568"/>
      <c r="AY24" s="565"/>
      <c r="AZ24" s="569"/>
      <c r="BA24" s="569"/>
      <c r="BB24" s="536"/>
      <c r="BC24" s="537"/>
      <c r="BD24" s="538"/>
      <c r="BE24" s="596"/>
      <c r="BF24" s="596"/>
      <c r="BG24" s="596"/>
      <c r="BH24" s="598"/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6" customHeight="1">
      <c r="A25" s="540"/>
      <c r="B25" s="566"/>
      <c r="C25" s="575"/>
      <c r="D25" s="576"/>
      <c r="E25" s="568"/>
      <c r="F25" s="568"/>
      <c r="G25" s="568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1"/>
      <c r="AT25" s="577"/>
      <c r="AU25" s="577"/>
      <c r="AV25" s="577"/>
      <c r="AW25" s="577"/>
      <c r="AX25" s="577"/>
      <c r="AY25" s="577"/>
      <c r="AZ25" s="569"/>
      <c r="BA25" s="569"/>
      <c r="BB25" s="551"/>
      <c r="BC25" s="552"/>
      <c r="BD25" s="538"/>
      <c r="BE25" s="596"/>
      <c r="BF25" s="596"/>
      <c r="BG25" s="596"/>
      <c r="BH25" s="598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6" customHeight="1">
      <c r="A26" s="540"/>
      <c r="B26" s="566"/>
      <c r="C26" s="565"/>
      <c r="D26" s="565"/>
      <c r="E26" s="811" t="s">
        <v>383</v>
      </c>
      <c r="F26" s="811"/>
      <c r="G26" s="811"/>
      <c r="H26" s="811"/>
      <c r="I26" s="811"/>
      <c r="J26" s="811"/>
      <c r="K26" s="811"/>
      <c r="L26" s="811"/>
      <c r="M26" s="811"/>
      <c r="N26" s="811"/>
      <c r="O26" s="811"/>
      <c r="P26" s="811"/>
      <c r="Q26" s="811"/>
      <c r="R26" s="774">
        <v>123456</v>
      </c>
      <c r="S26" s="774"/>
      <c r="T26" s="774"/>
      <c r="U26" s="774"/>
      <c r="V26" s="774"/>
      <c r="W26" s="774"/>
      <c r="X26" s="774"/>
      <c r="Y26" s="774"/>
      <c r="Z26" s="774"/>
      <c r="AA26" s="774"/>
      <c r="AB26" s="774"/>
      <c r="AC26" s="774"/>
      <c r="AD26" s="774"/>
      <c r="AE26" s="774"/>
      <c r="AF26" s="774"/>
      <c r="AG26" s="774"/>
      <c r="AH26" s="774"/>
      <c r="AI26" s="774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9"/>
      <c r="BE26" s="596"/>
      <c r="BF26" s="596"/>
      <c r="BG26" s="596"/>
      <c r="BH26" s="596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6" customHeight="1">
      <c r="A27" s="540"/>
      <c r="B27" s="566"/>
      <c r="C27" s="575"/>
      <c r="D27" s="576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774"/>
      <c r="S27" s="774"/>
      <c r="T27" s="774"/>
      <c r="U27" s="774"/>
      <c r="V27" s="774"/>
      <c r="W27" s="774"/>
      <c r="X27" s="774"/>
      <c r="Y27" s="774"/>
      <c r="Z27" s="774"/>
      <c r="AA27" s="774"/>
      <c r="AB27" s="774"/>
      <c r="AC27" s="774"/>
      <c r="AD27" s="774"/>
      <c r="AE27" s="774"/>
      <c r="AF27" s="774"/>
      <c r="AG27" s="774"/>
      <c r="AH27" s="774"/>
      <c r="AI27" s="774"/>
      <c r="AJ27" s="579"/>
      <c r="AK27" s="579"/>
      <c r="AL27" s="579"/>
      <c r="AM27" s="579"/>
      <c r="AN27" s="579"/>
      <c r="AO27" s="579"/>
      <c r="AP27" s="579"/>
      <c r="AQ27" s="579"/>
      <c r="AR27" s="579"/>
      <c r="AS27" s="579"/>
      <c r="AT27" s="573"/>
      <c r="AU27" s="568"/>
      <c r="AV27" s="568"/>
      <c r="AW27" s="568"/>
      <c r="AX27" s="568"/>
      <c r="AY27" s="568"/>
      <c r="AZ27" s="569"/>
      <c r="BA27" s="569"/>
      <c r="BB27" s="551"/>
      <c r="BC27" s="552"/>
      <c r="BD27" s="538"/>
      <c r="BE27" s="596"/>
      <c r="BF27" s="596"/>
      <c r="BG27" s="596"/>
      <c r="BH27" s="598"/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6" customHeight="1">
      <c r="A28" s="540"/>
      <c r="B28" s="566"/>
      <c r="C28" s="575"/>
      <c r="D28" s="576"/>
      <c r="E28" s="811"/>
      <c r="F28" s="811"/>
      <c r="G28" s="811"/>
      <c r="H28" s="811"/>
      <c r="I28" s="811"/>
      <c r="J28" s="811"/>
      <c r="K28" s="811"/>
      <c r="L28" s="811"/>
      <c r="M28" s="811"/>
      <c r="N28" s="811"/>
      <c r="O28" s="811"/>
      <c r="P28" s="811"/>
      <c r="Q28" s="811"/>
      <c r="R28" s="774"/>
      <c r="S28" s="774"/>
      <c r="T28" s="774"/>
      <c r="U28" s="774"/>
      <c r="V28" s="774"/>
      <c r="W28" s="774"/>
      <c r="X28" s="774"/>
      <c r="Y28" s="774"/>
      <c r="Z28" s="774"/>
      <c r="AA28" s="774"/>
      <c r="AB28" s="774"/>
      <c r="AC28" s="774"/>
      <c r="AD28" s="774"/>
      <c r="AE28" s="774"/>
      <c r="AF28" s="774"/>
      <c r="AG28" s="774"/>
      <c r="AH28" s="774"/>
      <c r="AI28" s="774"/>
      <c r="AJ28" s="579"/>
      <c r="AK28" s="579"/>
      <c r="AL28" s="579"/>
      <c r="AM28" s="579"/>
      <c r="AN28" s="579"/>
      <c r="AO28" s="579"/>
      <c r="AP28" s="579"/>
      <c r="AQ28" s="579"/>
      <c r="AR28" s="579"/>
      <c r="AS28" s="579"/>
      <c r="AT28" s="573"/>
      <c r="AU28" s="568"/>
      <c r="AV28" s="568"/>
      <c r="AW28" s="568"/>
      <c r="AX28" s="568"/>
      <c r="AY28" s="568"/>
      <c r="AZ28" s="569"/>
      <c r="BA28" s="569"/>
      <c r="BB28" s="551"/>
      <c r="BC28" s="552"/>
      <c r="BD28" s="538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6" customHeight="1">
      <c r="A29" s="540"/>
      <c r="B29" s="566"/>
      <c r="C29" s="575"/>
      <c r="D29" s="576"/>
      <c r="E29" s="811" t="s">
        <v>384</v>
      </c>
      <c r="F29" s="811"/>
      <c r="G29" s="811"/>
      <c r="H29" s="811"/>
      <c r="I29" s="811"/>
      <c r="J29" s="811"/>
      <c r="K29" s="811"/>
      <c r="L29" s="811"/>
      <c r="M29" s="811"/>
      <c r="N29" s="811"/>
      <c r="O29" s="811"/>
      <c r="P29" s="811"/>
      <c r="Q29" s="811"/>
      <c r="R29" s="774" t="s">
        <v>360</v>
      </c>
      <c r="S29" s="774"/>
      <c r="T29" s="774"/>
      <c r="U29" s="774"/>
      <c r="V29" s="774"/>
      <c r="W29" s="774"/>
      <c r="X29" s="774"/>
      <c r="Y29" s="774"/>
      <c r="Z29" s="774"/>
      <c r="AA29" s="774"/>
      <c r="AB29" s="774"/>
      <c r="AC29" s="774"/>
      <c r="AD29" s="774"/>
      <c r="AE29" s="774"/>
      <c r="AF29" s="774"/>
      <c r="AG29" s="774"/>
      <c r="AH29" s="774"/>
      <c r="AI29" s="774"/>
      <c r="AJ29" s="579"/>
      <c r="AK29" s="579"/>
      <c r="AL29" s="579"/>
      <c r="AM29" s="579"/>
      <c r="AN29" s="579"/>
      <c r="AO29" s="579"/>
      <c r="AP29" s="579"/>
      <c r="AQ29" s="579"/>
      <c r="AR29" s="579"/>
      <c r="AS29" s="581"/>
      <c r="AT29" s="577"/>
      <c r="AU29" s="577"/>
      <c r="AV29" s="577"/>
      <c r="AW29" s="577"/>
      <c r="AX29" s="577"/>
      <c r="AY29" s="577"/>
      <c r="AZ29" s="569"/>
      <c r="BA29" s="569"/>
      <c r="BB29" s="551"/>
      <c r="BC29" s="552"/>
      <c r="BD29" s="538"/>
      <c r="BE29" s="596"/>
      <c r="BF29" s="596"/>
      <c r="BG29" s="596"/>
      <c r="BH29" s="598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6" customHeight="1">
      <c r="A30" s="540"/>
      <c r="B30" s="566"/>
      <c r="C30" s="565"/>
      <c r="D30" s="565"/>
      <c r="E30" s="811"/>
      <c r="F30" s="811"/>
      <c r="G30" s="811"/>
      <c r="H30" s="811"/>
      <c r="I30" s="811"/>
      <c r="J30" s="811"/>
      <c r="K30" s="811"/>
      <c r="L30" s="811"/>
      <c r="M30" s="811"/>
      <c r="N30" s="811"/>
      <c r="O30" s="811"/>
      <c r="P30" s="811"/>
      <c r="Q30" s="811"/>
      <c r="R30" s="774"/>
      <c r="S30" s="774"/>
      <c r="T30" s="774"/>
      <c r="U30" s="774"/>
      <c r="V30" s="774"/>
      <c r="W30" s="774"/>
      <c r="X30" s="774"/>
      <c r="Y30" s="774"/>
      <c r="Z30" s="774"/>
      <c r="AA30" s="774"/>
      <c r="AB30" s="774"/>
      <c r="AC30" s="774"/>
      <c r="AD30" s="774"/>
      <c r="AE30" s="774"/>
      <c r="AF30" s="774"/>
      <c r="AG30" s="774"/>
      <c r="AH30" s="774"/>
      <c r="AI30" s="774"/>
      <c r="AJ30" s="579"/>
      <c r="AK30" s="579"/>
      <c r="AL30" s="579"/>
      <c r="AM30" s="579"/>
      <c r="AN30" s="579"/>
      <c r="AO30" s="579"/>
      <c r="AP30" s="579"/>
      <c r="AQ30" s="579"/>
      <c r="AR30" s="579"/>
      <c r="AS30" s="580"/>
      <c r="AT30" s="571"/>
      <c r="AU30" s="565"/>
      <c r="AV30" s="568"/>
      <c r="AW30" s="568"/>
      <c r="AX30" s="568"/>
      <c r="AY30" s="565"/>
      <c r="AZ30" s="569"/>
      <c r="BA30" s="569"/>
      <c r="BB30" s="536"/>
      <c r="BC30" s="537"/>
      <c r="BD30" s="539"/>
      <c r="BE30" s="596"/>
      <c r="BF30" s="596"/>
      <c r="BG30" s="596"/>
      <c r="BH30" s="598"/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6" customHeight="1">
      <c r="A31" s="540"/>
      <c r="B31" s="566"/>
      <c r="C31" s="575"/>
      <c r="D31" s="576"/>
      <c r="E31" s="568"/>
      <c r="F31" s="568"/>
      <c r="G31" s="568"/>
      <c r="H31" s="579"/>
      <c r="I31" s="579"/>
      <c r="J31" s="579"/>
      <c r="K31" s="579"/>
      <c r="L31" s="579"/>
      <c r="M31" s="579"/>
      <c r="N31" s="5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79"/>
      <c r="AT31" s="573"/>
      <c r="AU31" s="568"/>
      <c r="AV31" s="568"/>
      <c r="AW31" s="568"/>
      <c r="AX31" s="568"/>
      <c r="AY31" s="568"/>
      <c r="AZ31" s="569"/>
      <c r="BA31" s="569"/>
      <c r="BB31" s="551"/>
      <c r="BC31" s="552"/>
      <c r="BD31" s="538"/>
      <c r="BE31" s="596"/>
      <c r="BF31" s="596"/>
      <c r="BG31" s="596"/>
      <c r="BH31" s="596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6" customHeight="1">
      <c r="A32" s="540"/>
      <c r="B32" s="566"/>
      <c r="C32" s="575"/>
      <c r="D32" s="576"/>
      <c r="E32" s="568"/>
      <c r="F32" s="568"/>
      <c r="G32" s="568"/>
      <c r="H32" s="579"/>
      <c r="I32" s="579"/>
      <c r="J32" s="579"/>
      <c r="K32" s="579"/>
      <c r="L32" s="579"/>
      <c r="M32" s="579"/>
      <c r="N32" s="579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0"/>
      <c r="AT32" s="571"/>
      <c r="AU32" s="565"/>
      <c r="AV32" s="577"/>
      <c r="AW32" s="577"/>
      <c r="AX32" s="577"/>
      <c r="AY32" s="577"/>
      <c r="AZ32" s="569"/>
      <c r="BA32" s="569"/>
      <c r="BB32" s="551"/>
      <c r="BC32" s="552"/>
      <c r="BD32" s="538"/>
      <c r="BE32" s="596"/>
      <c r="BF32" s="596"/>
      <c r="BG32" s="596"/>
      <c r="BH32" s="598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128" ht="17.45" customHeight="1">
      <c r="A33" s="540"/>
      <c r="B33" s="566"/>
      <c r="C33" s="565"/>
      <c r="D33" s="565"/>
      <c r="E33" s="782"/>
      <c r="F33" s="782"/>
      <c r="G33" s="790" t="s">
        <v>385</v>
      </c>
      <c r="H33" s="791"/>
      <c r="I33" s="791"/>
      <c r="J33" s="791" t="s">
        <v>361</v>
      </c>
      <c r="K33" s="791"/>
      <c r="L33" s="791"/>
      <c r="M33" s="780" t="s">
        <v>411</v>
      </c>
      <c r="N33" s="780"/>
      <c r="O33" s="780"/>
      <c r="P33" s="780" t="s">
        <v>412</v>
      </c>
      <c r="Q33" s="780"/>
      <c r="R33" s="780"/>
      <c r="S33" s="780" t="s">
        <v>413</v>
      </c>
      <c r="T33" s="780"/>
      <c r="U33" s="780"/>
      <c r="V33" s="778" t="s">
        <v>408</v>
      </c>
      <c r="W33" s="778"/>
      <c r="X33" s="778"/>
      <c r="Y33" s="778" t="s">
        <v>362</v>
      </c>
      <c r="Z33" s="778"/>
      <c r="AA33" s="778"/>
      <c r="AB33" s="778" t="s">
        <v>409</v>
      </c>
      <c r="AC33" s="778"/>
      <c r="AD33" s="778"/>
      <c r="AE33" s="778" t="s">
        <v>414</v>
      </c>
      <c r="AF33" s="778"/>
      <c r="AG33" s="778"/>
      <c r="AH33" s="579"/>
      <c r="AI33" s="579"/>
      <c r="AJ33" s="580"/>
      <c r="AK33" s="565"/>
      <c r="AM33" s="568"/>
      <c r="AN33" s="568"/>
      <c r="AO33" s="568"/>
      <c r="AP33" s="579"/>
      <c r="AQ33" s="579"/>
      <c r="AR33" s="579"/>
      <c r="AS33" s="579"/>
      <c r="AT33" s="573"/>
      <c r="AU33" s="568"/>
      <c r="AV33" s="596"/>
      <c r="AW33" s="596"/>
      <c r="AX33" s="596"/>
      <c r="AY33" s="598"/>
      <c r="AZ33" s="569"/>
      <c r="BA33" s="569"/>
      <c r="BB33" s="536"/>
      <c r="BC33" s="537"/>
      <c r="BD33" s="596"/>
      <c r="BE33" s="596"/>
      <c r="BF33" s="596"/>
      <c r="BG33" s="596"/>
      <c r="BH33" s="596"/>
      <c r="BI33" s="596"/>
      <c r="BJ33" s="596"/>
      <c r="BK33" s="596"/>
      <c r="DP33" s="35"/>
      <c r="DQ33" s="35"/>
      <c r="DR33" s="35"/>
      <c r="DS33" s="35"/>
      <c r="DT33" s="35"/>
      <c r="DU33" s="35"/>
      <c r="DV33" s="35"/>
      <c r="DW33" s="35"/>
      <c r="DX33" s="35"/>
    </row>
    <row r="34" spans="1:128" ht="17.45" customHeight="1">
      <c r="A34" s="540"/>
      <c r="B34" s="566"/>
      <c r="C34" s="575"/>
      <c r="D34" s="576"/>
      <c r="E34" s="783"/>
      <c r="F34" s="783"/>
      <c r="G34" s="792"/>
      <c r="H34" s="793"/>
      <c r="I34" s="793"/>
      <c r="J34" s="793"/>
      <c r="K34" s="793"/>
      <c r="L34" s="793"/>
      <c r="M34" s="781"/>
      <c r="N34" s="781"/>
      <c r="O34" s="781"/>
      <c r="P34" s="781"/>
      <c r="Q34" s="781"/>
      <c r="R34" s="781"/>
      <c r="S34" s="781"/>
      <c r="T34" s="781"/>
      <c r="U34" s="781"/>
      <c r="V34" s="779"/>
      <c r="W34" s="779"/>
      <c r="X34" s="779"/>
      <c r="Y34" s="779"/>
      <c r="Z34" s="779"/>
      <c r="AA34" s="779"/>
      <c r="AB34" s="779"/>
      <c r="AC34" s="779"/>
      <c r="AD34" s="779"/>
      <c r="AE34" s="779"/>
      <c r="AF34" s="779"/>
      <c r="AG34" s="779"/>
      <c r="AH34" s="579"/>
      <c r="AI34" s="579"/>
      <c r="AJ34" s="579"/>
      <c r="AK34" s="573"/>
      <c r="AL34" s="568"/>
      <c r="AM34" s="568"/>
      <c r="AN34" s="568"/>
      <c r="AO34" s="568"/>
      <c r="AP34" s="579"/>
      <c r="AQ34" s="579"/>
      <c r="AR34" s="579"/>
      <c r="AS34" s="580"/>
      <c r="AT34" s="571"/>
      <c r="AU34" s="565"/>
      <c r="AV34" s="596"/>
      <c r="AW34" s="596"/>
      <c r="AX34" s="596"/>
      <c r="AY34" s="596"/>
      <c r="AZ34" s="569"/>
      <c r="BA34" s="569"/>
      <c r="BB34" s="551"/>
      <c r="BC34" s="552"/>
      <c r="BD34" s="596"/>
      <c r="BE34" s="596"/>
      <c r="BF34" s="596"/>
      <c r="BG34" s="596"/>
      <c r="BH34" s="596"/>
      <c r="BI34" s="596"/>
      <c r="BJ34" s="596"/>
      <c r="BK34" s="596"/>
      <c r="DP34" s="35"/>
      <c r="DQ34" s="35"/>
      <c r="DR34" s="35"/>
      <c r="DS34" s="35"/>
      <c r="DT34" s="35"/>
      <c r="DU34" s="35"/>
      <c r="DV34" s="35"/>
      <c r="DW34" s="35"/>
      <c r="DX34" s="35"/>
    </row>
    <row r="35" spans="1:128" ht="17.45" customHeight="1">
      <c r="A35" s="540"/>
      <c r="B35" s="566"/>
      <c r="C35" s="575"/>
      <c r="D35" s="576"/>
      <c r="E35" s="783"/>
      <c r="F35" s="783"/>
      <c r="G35" s="793"/>
      <c r="H35" s="793"/>
      <c r="I35" s="793"/>
      <c r="J35" s="793"/>
      <c r="K35" s="793"/>
      <c r="L35" s="793"/>
      <c r="M35" s="781"/>
      <c r="N35" s="781"/>
      <c r="O35" s="781"/>
      <c r="P35" s="781"/>
      <c r="Q35" s="781"/>
      <c r="R35" s="781"/>
      <c r="S35" s="781"/>
      <c r="T35" s="781"/>
      <c r="U35" s="781"/>
      <c r="V35" s="779"/>
      <c r="W35" s="779"/>
      <c r="X35" s="779"/>
      <c r="Y35" s="779"/>
      <c r="Z35" s="779"/>
      <c r="AA35" s="779"/>
      <c r="AB35" s="779"/>
      <c r="AC35" s="779"/>
      <c r="AD35" s="779"/>
      <c r="AE35" s="779"/>
      <c r="AF35" s="779"/>
      <c r="AG35" s="779"/>
      <c r="AH35" s="579"/>
      <c r="AI35" s="579"/>
      <c r="AJ35" s="579"/>
      <c r="AK35" s="573"/>
      <c r="AL35" s="568"/>
      <c r="AM35" s="568"/>
      <c r="AN35" s="568"/>
      <c r="AO35" s="568"/>
      <c r="AP35" s="579"/>
      <c r="AQ35" s="579"/>
      <c r="AR35" s="579"/>
      <c r="AS35" s="579"/>
      <c r="AT35" s="573"/>
      <c r="AU35" s="568"/>
      <c r="AV35" s="596"/>
      <c r="AW35" s="596"/>
      <c r="AX35" s="596"/>
      <c r="AY35" s="598"/>
      <c r="AZ35" s="569"/>
      <c r="BA35" s="569"/>
      <c r="BB35" s="551"/>
      <c r="BC35" s="552"/>
      <c r="BD35" s="596"/>
      <c r="BE35" s="596"/>
      <c r="BF35" s="596"/>
      <c r="BG35" s="596"/>
      <c r="BH35" s="596"/>
      <c r="BI35" s="596"/>
      <c r="BJ35" s="596"/>
      <c r="BK35" s="596"/>
      <c r="DP35" s="35"/>
      <c r="DQ35" s="35"/>
      <c r="DR35" s="35"/>
      <c r="DS35" s="35"/>
      <c r="DT35" s="35"/>
      <c r="DU35" s="35"/>
      <c r="DV35" s="35"/>
      <c r="DW35" s="35"/>
      <c r="DX35" s="35"/>
    </row>
    <row r="36" spans="1:128" ht="12.6" customHeight="1">
      <c r="A36" s="540"/>
      <c r="B36" s="566"/>
      <c r="C36" s="575"/>
      <c r="D36" s="576"/>
      <c r="E36" s="784" t="s">
        <v>363</v>
      </c>
      <c r="F36" s="784"/>
      <c r="G36" s="761" t="s">
        <v>364</v>
      </c>
      <c r="H36" s="761"/>
      <c r="I36" s="761"/>
      <c r="J36" s="772" t="s">
        <v>369</v>
      </c>
      <c r="K36" s="761"/>
      <c r="L36" s="761"/>
      <c r="M36" s="762" t="s">
        <v>375</v>
      </c>
      <c r="N36" s="763"/>
      <c r="O36" s="764"/>
      <c r="P36" s="762" t="s">
        <v>375</v>
      </c>
      <c r="Q36" s="763"/>
      <c r="R36" s="764"/>
      <c r="S36" s="762" t="s">
        <v>375</v>
      </c>
      <c r="T36" s="763"/>
      <c r="U36" s="764"/>
      <c r="V36" s="762" t="s">
        <v>375</v>
      </c>
      <c r="W36" s="763"/>
      <c r="X36" s="764"/>
      <c r="Y36" s="762" t="s">
        <v>375</v>
      </c>
      <c r="Z36" s="763"/>
      <c r="AA36" s="764"/>
      <c r="AB36" s="762" t="s">
        <v>375</v>
      </c>
      <c r="AC36" s="763"/>
      <c r="AD36" s="764"/>
      <c r="AE36" s="762" t="s">
        <v>375</v>
      </c>
      <c r="AF36" s="763"/>
      <c r="AG36" s="764"/>
      <c r="AH36" s="579"/>
      <c r="AI36" s="579"/>
      <c r="AJ36" s="581"/>
      <c r="AK36" s="577"/>
      <c r="AL36" s="577"/>
      <c r="AM36" s="577"/>
      <c r="AN36" s="577"/>
      <c r="AO36" s="577"/>
      <c r="AP36" s="579"/>
      <c r="AQ36" s="579"/>
      <c r="AR36" s="579"/>
      <c r="AS36" s="580"/>
      <c r="AT36" s="571"/>
      <c r="AU36" s="565"/>
      <c r="AV36" s="596"/>
      <c r="AW36" s="596"/>
      <c r="AX36" s="596"/>
      <c r="AY36" s="598"/>
      <c r="AZ36" s="569"/>
      <c r="BA36" s="569"/>
      <c r="BB36" s="551"/>
      <c r="BC36" s="552"/>
      <c r="BD36" s="596"/>
      <c r="BE36" s="596"/>
      <c r="BF36" s="596"/>
      <c r="BG36" s="596"/>
      <c r="BH36" s="596"/>
      <c r="BI36" s="596"/>
      <c r="BJ36" s="596"/>
      <c r="BK36" s="596"/>
      <c r="DP36" s="35"/>
      <c r="DQ36" s="35"/>
      <c r="DR36" s="35"/>
      <c r="DS36" s="35"/>
      <c r="DT36" s="35"/>
      <c r="DU36" s="35"/>
      <c r="DV36" s="35"/>
      <c r="DW36" s="35"/>
      <c r="DX36" s="35"/>
    </row>
    <row r="37" spans="1:128" ht="12.6" customHeight="1">
      <c r="A37" s="540"/>
      <c r="B37" s="566"/>
      <c r="C37" s="565"/>
      <c r="D37" s="565"/>
      <c r="E37" s="784"/>
      <c r="F37" s="784"/>
      <c r="G37" s="761"/>
      <c r="H37" s="761"/>
      <c r="I37" s="761"/>
      <c r="J37" s="772"/>
      <c r="K37" s="761"/>
      <c r="L37" s="761"/>
      <c r="M37" s="765"/>
      <c r="N37" s="766"/>
      <c r="O37" s="767"/>
      <c r="P37" s="765"/>
      <c r="Q37" s="766"/>
      <c r="R37" s="767"/>
      <c r="S37" s="765"/>
      <c r="T37" s="766"/>
      <c r="U37" s="767"/>
      <c r="V37" s="765"/>
      <c r="W37" s="766"/>
      <c r="X37" s="767"/>
      <c r="Y37" s="765"/>
      <c r="Z37" s="766"/>
      <c r="AA37" s="767"/>
      <c r="AB37" s="765"/>
      <c r="AC37" s="766"/>
      <c r="AD37" s="767"/>
      <c r="AE37" s="765"/>
      <c r="AF37" s="766"/>
      <c r="AG37" s="767"/>
      <c r="AH37" s="579"/>
      <c r="AI37" s="579"/>
      <c r="AJ37" s="580"/>
      <c r="AK37" s="571"/>
      <c r="AL37" s="565"/>
      <c r="AM37" s="568"/>
      <c r="AN37" s="568"/>
      <c r="AO37" s="568"/>
      <c r="AP37" s="579"/>
      <c r="AQ37" s="579"/>
      <c r="AR37" s="579"/>
      <c r="AS37" s="579"/>
      <c r="AT37" s="573"/>
      <c r="AU37" s="568"/>
      <c r="AV37" s="596"/>
      <c r="AW37" s="596"/>
      <c r="AX37" s="596"/>
      <c r="AY37" s="596"/>
      <c r="AZ37" s="569"/>
      <c r="BA37" s="569"/>
      <c r="BB37" s="536"/>
      <c r="BC37" s="537"/>
      <c r="BD37" s="596"/>
      <c r="BE37" s="596"/>
      <c r="BF37" s="596"/>
      <c r="BG37" s="596"/>
      <c r="BH37" s="596"/>
      <c r="BI37" s="596"/>
      <c r="BJ37" s="596"/>
      <c r="BK37" s="596"/>
      <c r="DP37" s="35"/>
      <c r="DQ37" s="35"/>
      <c r="DR37" s="35"/>
      <c r="DS37" s="35"/>
      <c r="DT37" s="35"/>
      <c r="DU37" s="35"/>
      <c r="DV37" s="35"/>
      <c r="DW37" s="35"/>
      <c r="DX37" s="35"/>
    </row>
    <row r="38" spans="1:128" ht="12.6" customHeight="1">
      <c r="A38" s="540"/>
      <c r="B38" s="566"/>
      <c r="C38" s="565"/>
      <c r="D38" s="565"/>
      <c r="E38" s="784"/>
      <c r="F38" s="784"/>
      <c r="G38" s="761"/>
      <c r="H38" s="761"/>
      <c r="I38" s="761"/>
      <c r="J38" s="761"/>
      <c r="K38" s="761"/>
      <c r="L38" s="761"/>
      <c r="M38" s="768"/>
      <c r="N38" s="769"/>
      <c r="O38" s="770"/>
      <c r="P38" s="768"/>
      <c r="Q38" s="769"/>
      <c r="R38" s="770"/>
      <c r="S38" s="768"/>
      <c r="T38" s="769"/>
      <c r="U38" s="770"/>
      <c r="V38" s="768"/>
      <c r="W38" s="769"/>
      <c r="X38" s="770"/>
      <c r="Y38" s="768"/>
      <c r="Z38" s="769"/>
      <c r="AA38" s="770"/>
      <c r="AB38" s="768"/>
      <c r="AC38" s="769"/>
      <c r="AD38" s="770"/>
      <c r="AE38" s="768"/>
      <c r="AF38" s="769"/>
      <c r="AG38" s="770"/>
      <c r="AH38" s="579"/>
      <c r="AI38" s="579"/>
      <c r="AJ38" s="580"/>
      <c r="AK38" s="571"/>
      <c r="AL38" s="565"/>
      <c r="AM38" s="568"/>
      <c r="AN38" s="568"/>
      <c r="AO38" s="568"/>
      <c r="AP38" s="579"/>
      <c r="AQ38" s="579"/>
      <c r="AR38" s="579"/>
      <c r="AS38" s="580"/>
      <c r="AT38" s="571"/>
      <c r="AU38" s="565"/>
      <c r="AV38" s="596"/>
      <c r="AW38" s="596"/>
      <c r="AX38" s="596"/>
      <c r="AY38" s="598"/>
      <c r="AZ38" s="569"/>
      <c r="BA38" s="569"/>
      <c r="BB38" s="536"/>
      <c r="BC38" s="537"/>
      <c r="BD38" s="596"/>
      <c r="BE38" s="596"/>
      <c r="BF38" s="596"/>
      <c r="BG38" s="596"/>
      <c r="BH38" s="596"/>
      <c r="BI38" s="596"/>
      <c r="BJ38" s="596"/>
      <c r="BK38" s="596"/>
      <c r="DP38" s="35"/>
      <c r="DQ38" s="35"/>
      <c r="DR38" s="35"/>
      <c r="DS38" s="35"/>
      <c r="DT38" s="35"/>
      <c r="DU38" s="35"/>
      <c r="DV38" s="35"/>
      <c r="DW38" s="35"/>
      <c r="DX38" s="35"/>
    </row>
    <row r="39" spans="1:128" ht="12.6" customHeight="1">
      <c r="A39" s="540"/>
      <c r="B39" s="566"/>
      <c r="C39" s="575"/>
      <c r="D39" s="576"/>
      <c r="E39" s="784"/>
      <c r="F39" s="784"/>
      <c r="G39" s="761" t="s">
        <v>364</v>
      </c>
      <c r="H39" s="761"/>
      <c r="I39" s="761"/>
      <c r="J39" s="772" t="s">
        <v>369</v>
      </c>
      <c r="K39" s="761"/>
      <c r="L39" s="761"/>
      <c r="M39" s="762" t="s">
        <v>375</v>
      </c>
      <c r="N39" s="763"/>
      <c r="O39" s="764"/>
      <c r="P39" s="762" t="s">
        <v>375</v>
      </c>
      <c r="Q39" s="763"/>
      <c r="R39" s="764"/>
      <c r="S39" s="762" t="s">
        <v>375</v>
      </c>
      <c r="T39" s="763"/>
      <c r="U39" s="764"/>
      <c r="V39" s="762" t="s">
        <v>375</v>
      </c>
      <c r="W39" s="763"/>
      <c r="X39" s="764"/>
      <c r="Y39" s="762" t="s">
        <v>375</v>
      </c>
      <c r="Z39" s="763"/>
      <c r="AA39" s="764"/>
      <c r="AB39" s="762" t="s">
        <v>375</v>
      </c>
      <c r="AC39" s="763"/>
      <c r="AD39" s="764"/>
      <c r="AE39" s="762" t="s">
        <v>375</v>
      </c>
      <c r="AF39" s="763"/>
      <c r="AG39" s="764"/>
      <c r="AH39" s="579"/>
      <c r="AI39" s="579"/>
      <c r="AJ39" s="579"/>
      <c r="AK39" s="573"/>
      <c r="AL39" s="568"/>
      <c r="AM39" s="568"/>
      <c r="AN39" s="568"/>
      <c r="AO39" s="568"/>
      <c r="AP39" s="579"/>
      <c r="AQ39" s="579"/>
      <c r="AR39" s="579"/>
      <c r="AS39" s="579"/>
      <c r="AT39" s="573"/>
      <c r="AU39" s="568"/>
      <c r="AV39" s="596"/>
      <c r="AW39" s="596"/>
      <c r="AX39" s="596"/>
      <c r="AY39" s="598"/>
      <c r="AZ39" s="569"/>
      <c r="BA39" s="569"/>
      <c r="BB39" s="551"/>
      <c r="BC39" s="552"/>
      <c r="BD39" s="596"/>
      <c r="BE39" s="596"/>
      <c r="BF39" s="596"/>
      <c r="BG39" s="596"/>
      <c r="BH39" s="596"/>
      <c r="BI39" s="596"/>
      <c r="BJ39" s="596"/>
      <c r="BK39" s="596"/>
      <c r="DP39" s="35"/>
      <c r="DQ39" s="35"/>
      <c r="DR39" s="35"/>
      <c r="DS39" s="35"/>
      <c r="DT39" s="35"/>
      <c r="DU39" s="35"/>
      <c r="DV39" s="35"/>
      <c r="DW39" s="35"/>
      <c r="DX39" s="35"/>
    </row>
    <row r="40" spans="1:128" ht="12.6" customHeight="1">
      <c r="A40" s="540"/>
      <c r="B40" s="566"/>
      <c r="C40" s="575"/>
      <c r="D40" s="576"/>
      <c r="E40" s="784"/>
      <c r="F40" s="784"/>
      <c r="G40" s="761"/>
      <c r="H40" s="761"/>
      <c r="I40" s="761"/>
      <c r="J40" s="772"/>
      <c r="K40" s="761"/>
      <c r="L40" s="761"/>
      <c r="M40" s="765"/>
      <c r="N40" s="766"/>
      <c r="O40" s="767"/>
      <c r="P40" s="765"/>
      <c r="Q40" s="766"/>
      <c r="R40" s="767"/>
      <c r="S40" s="765"/>
      <c r="T40" s="766"/>
      <c r="U40" s="767"/>
      <c r="V40" s="765"/>
      <c r="W40" s="766"/>
      <c r="X40" s="767"/>
      <c r="Y40" s="765"/>
      <c r="Z40" s="766"/>
      <c r="AA40" s="767"/>
      <c r="AB40" s="765"/>
      <c r="AC40" s="766"/>
      <c r="AD40" s="767"/>
      <c r="AE40" s="765"/>
      <c r="AF40" s="766"/>
      <c r="AG40" s="767"/>
      <c r="AH40" s="579"/>
      <c r="AI40" s="579"/>
      <c r="AJ40" s="581"/>
      <c r="AK40" s="577"/>
      <c r="AL40" s="577"/>
      <c r="AM40" s="577"/>
      <c r="AN40" s="577"/>
      <c r="AO40" s="577"/>
      <c r="AP40" s="579"/>
      <c r="AQ40" s="579"/>
      <c r="AR40" s="579"/>
      <c r="AS40" s="580"/>
      <c r="AT40" s="571"/>
      <c r="AU40" s="565"/>
      <c r="AV40" s="596"/>
      <c r="AW40" s="596"/>
      <c r="AX40" s="596"/>
      <c r="AY40" s="598"/>
      <c r="AZ40" s="569"/>
      <c r="BA40" s="569"/>
      <c r="BB40" s="551"/>
      <c r="BC40" s="552"/>
      <c r="BD40" s="596"/>
      <c r="BE40" s="596"/>
      <c r="BF40" s="596"/>
      <c r="BG40" s="596"/>
      <c r="BH40" s="596"/>
      <c r="BI40" s="596"/>
      <c r="BJ40" s="596"/>
      <c r="BK40" s="596"/>
      <c r="DP40" s="35"/>
      <c r="DQ40" s="35"/>
      <c r="DR40" s="35"/>
      <c r="DS40" s="35"/>
      <c r="DT40" s="35"/>
      <c r="DU40" s="35"/>
      <c r="DV40" s="35"/>
      <c r="DW40" s="35"/>
      <c r="DX40" s="35"/>
    </row>
    <row r="41" spans="1:128" ht="12.6" customHeight="1">
      <c r="A41" s="540"/>
      <c r="B41" s="566"/>
      <c r="C41" s="575"/>
      <c r="D41" s="576"/>
      <c r="E41" s="784"/>
      <c r="F41" s="784"/>
      <c r="G41" s="761"/>
      <c r="H41" s="761"/>
      <c r="I41" s="761"/>
      <c r="J41" s="761"/>
      <c r="K41" s="761"/>
      <c r="L41" s="761"/>
      <c r="M41" s="768"/>
      <c r="N41" s="769"/>
      <c r="O41" s="770"/>
      <c r="P41" s="768"/>
      <c r="Q41" s="769"/>
      <c r="R41" s="770"/>
      <c r="S41" s="768"/>
      <c r="T41" s="769"/>
      <c r="U41" s="770"/>
      <c r="V41" s="768"/>
      <c r="W41" s="769"/>
      <c r="X41" s="770"/>
      <c r="Y41" s="768"/>
      <c r="Z41" s="769"/>
      <c r="AA41" s="770"/>
      <c r="AB41" s="768"/>
      <c r="AC41" s="769"/>
      <c r="AD41" s="770"/>
      <c r="AE41" s="768"/>
      <c r="AF41" s="769"/>
      <c r="AG41" s="770"/>
      <c r="AH41" s="579"/>
      <c r="AI41" s="579"/>
      <c r="AJ41" s="581"/>
      <c r="AK41" s="577"/>
      <c r="AL41" s="577"/>
      <c r="AM41" s="577"/>
      <c r="AN41" s="577"/>
      <c r="AO41" s="577"/>
      <c r="AP41" s="579"/>
      <c r="AQ41" s="579"/>
      <c r="AR41" s="579"/>
      <c r="AS41" s="579"/>
      <c r="AT41" s="573"/>
      <c r="AU41" s="568"/>
      <c r="AV41" s="596"/>
      <c r="AW41" s="596"/>
      <c r="AX41" s="596"/>
      <c r="AY41" s="596"/>
      <c r="AZ41" s="569"/>
      <c r="BA41" s="569"/>
      <c r="BB41" s="551"/>
      <c r="BC41" s="552"/>
      <c r="BD41" s="596"/>
      <c r="BE41" s="596"/>
      <c r="BF41" s="596"/>
      <c r="BG41" s="596"/>
      <c r="BH41" s="596"/>
      <c r="BI41" s="596"/>
      <c r="BJ41" s="596"/>
      <c r="BK41" s="596"/>
      <c r="DP41" s="35"/>
      <c r="DQ41" s="35"/>
      <c r="DR41" s="35"/>
      <c r="DS41" s="35"/>
      <c r="DT41" s="35"/>
      <c r="DU41" s="35"/>
      <c r="DV41" s="35"/>
      <c r="DW41" s="35"/>
      <c r="DX41" s="35"/>
    </row>
    <row r="42" spans="1:128" ht="12.6" customHeight="1">
      <c r="A42" s="540"/>
      <c r="B42" s="566"/>
      <c r="C42" s="575"/>
      <c r="D42" s="576"/>
      <c r="E42" s="784" t="s">
        <v>363</v>
      </c>
      <c r="F42" s="784"/>
      <c r="G42" s="761" t="s">
        <v>365</v>
      </c>
      <c r="H42" s="761"/>
      <c r="I42" s="761"/>
      <c r="J42" s="772" t="s">
        <v>370</v>
      </c>
      <c r="K42" s="761"/>
      <c r="L42" s="761"/>
      <c r="M42" s="772" t="s">
        <v>376</v>
      </c>
      <c r="N42" s="761"/>
      <c r="O42" s="761"/>
      <c r="P42" s="772" t="s">
        <v>376</v>
      </c>
      <c r="Q42" s="761"/>
      <c r="R42" s="761"/>
      <c r="S42" s="762" t="s">
        <v>375</v>
      </c>
      <c r="T42" s="763"/>
      <c r="U42" s="764"/>
      <c r="V42" s="762" t="s">
        <v>375</v>
      </c>
      <c r="W42" s="763"/>
      <c r="X42" s="764"/>
      <c r="Y42" s="761" t="s">
        <v>377</v>
      </c>
      <c r="Z42" s="761"/>
      <c r="AA42" s="761"/>
      <c r="AB42" s="762" t="s">
        <v>375</v>
      </c>
      <c r="AC42" s="763"/>
      <c r="AD42" s="764"/>
      <c r="AE42" s="762" t="s">
        <v>375</v>
      </c>
      <c r="AF42" s="763"/>
      <c r="AG42" s="764"/>
      <c r="AH42" s="579"/>
      <c r="AI42" s="579"/>
      <c r="AJ42" s="581"/>
      <c r="AK42" s="577"/>
      <c r="AL42" s="577"/>
      <c r="AM42" s="577"/>
      <c r="AN42" s="577"/>
      <c r="AO42" s="577"/>
      <c r="AP42" s="579"/>
      <c r="AQ42" s="579"/>
      <c r="AR42" s="579"/>
      <c r="AS42" s="580"/>
      <c r="AT42" s="571"/>
      <c r="AU42" s="565"/>
      <c r="AV42" s="596"/>
      <c r="AW42" s="596"/>
      <c r="AX42" s="596"/>
      <c r="AY42" s="598"/>
      <c r="AZ42" s="569"/>
      <c r="BA42" s="569"/>
      <c r="BB42" s="551"/>
      <c r="BC42" s="552"/>
      <c r="BD42" s="596"/>
      <c r="BE42" s="596"/>
      <c r="BF42" s="596"/>
      <c r="BG42" s="596"/>
      <c r="BH42" s="596"/>
      <c r="BI42" s="596"/>
      <c r="BJ42" s="596"/>
      <c r="BK42" s="596"/>
      <c r="DP42" s="35"/>
      <c r="DQ42" s="35"/>
      <c r="DR42" s="35"/>
      <c r="DS42" s="35"/>
      <c r="DT42" s="35"/>
      <c r="DU42" s="35"/>
      <c r="DV42" s="35"/>
      <c r="DW42" s="35"/>
      <c r="DX42" s="35"/>
    </row>
    <row r="43" spans="1:128" ht="12.6" customHeight="1">
      <c r="A43" s="540"/>
      <c r="B43" s="566"/>
      <c r="C43" s="565"/>
      <c r="D43" s="565"/>
      <c r="E43" s="784"/>
      <c r="F43" s="784"/>
      <c r="G43" s="761"/>
      <c r="H43" s="761"/>
      <c r="I43" s="761"/>
      <c r="J43" s="772"/>
      <c r="K43" s="761"/>
      <c r="L43" s="761"/>
      <c r="M43" s="772"/>
      <c r="N43" s="761"/>
      <c r="O43" s="761"/>
      <c r="P43" s="772"/>
      <c r="Q43" s="761"/>
      <c r="R43" s="761"/>
      <c r="S43" s="765"/>
      <c r="T43" s="766"/>
      <c r="U43" s="767"/>
      <c r="V43" s="765"/>
      <c r="W43" s="766"/>
      <c r="X43" s="767"/>
      <c r="Y43" s="761"/>
      <c r="Z43" s="761"/>
      <c r="AA43" s="761"/>
      <c r="AB43" s="765"/>
      <c r="AC43" s="766"/>
      <c r="AD43" s="767"/>
      <c r="AE43" s="765"/>
      <c r="AF43" s="766"/>
      <c r="AG43" s="767"/>
      <c r="AH43" s="579"/>
      <c r="AI43" s="579"/>
      <c r="AJ43" s="580"/>
      <c r="AK43" s="571"/>
      <c r="AL43" s="565"/>
      <c r="AM43" s="568"/>
      <c r="AN43" s="568"/>
      <c r="AO43" s="568"/>
      <c r="AP43" s="579"/>
      <c r="AQ43" s="579"/>
      <c r="AR43" s="579"/>
      <c r="AS43" s="579"/>
      <c r="AT43" s="573"/>
      <c r="AU43" s="568"/>
      <c r="AV43" s="596"/>
      <c r="AW43" s="596"/>
      <c r="AX43" s="596"/>
      <c r="AY43" s="598"/>
      <c r="AZ43" s="569"/>
      <c r="BA43" s="569"/>
      <c r="BB43" s="536"/>
      <c r="BC43" s="537"/>
      <c r="BD43" s="596"/>
      <c r="BE43" s="596"/>
      <c r="BF43" s="596"/>
      <c r="BG43" s="596"/>
      <c r="BH43" s="596"/>
      <c r="BI43" s="596"/>
      <c r="BJ43" s="596"/>
      <c r="BK43" s="596"/>
      <c r="DP43" s="35"/>
      <c r="DQ43" s="35"/>
      <c r="DR43" s="35"/>
      <c r="DS43" s="35"/>
      <c r="DT43" s="35"/>
      <c r="DU43" s="35"/>
      <c r="DV43" s="35"/>
      <c r="DW43" s="35"/>
      <c r="DX43" s="35"/>
    </row>
    <row r="44" spans="1:128" ht="12.6" customHeight="1">
      <c r="A44" s="540"/>
      <c r="B44" s="566"/>
      <c r="C44" s="565"/>
      <c r="D44" s="565"/>
      <c r="E44" s="784"/>
      <c r="F44" s="784"/>
      <c r="G44" s="761"/>
      <c r="H44" s="761"/>
      <c r="I44" s="761"/>
      <c r="J44" s="761"/>
      <c r="K44" s="761"/>
      <c r="L44" s="761"/>
      <c r="M44" s="761"/>
      <c r="N44" s="761"/>
      <c r="O44" s="761"/>
      <c r="P44" s="761"/>
      <c r="Q44" s="761"/>
      <c r="R44" s="761"/>
      <c r="S44" s="768"/>
      <c r="T44" s="769"/>
      <c r="U44" s="770"/>
      <c r="V44" s="768"/>
      <c r="W44" s="769"/>
      <c r="X44" s="770"/>
      <c r="Y44" s="761"/>
      <c r="Z44" s="761"/>
      <c r="AA44" s="761"/>
      <c r="AB44" s="768"/>
      <c r="AC44" s="769"/>
      <c r="AD44" s="770"/>
      <c r="AE44" s="768"/>
      <c r="AF44" s="769"/>
      <c r="AG44" s="770"/>
      <c r="AH44" s="579"/>
      <c r="AI44" s="579"/>
      <c r="AJ44" s="580"/>
      <c r="AK44" s="571"/>
      <c r="AL44" s="565"/>
      <c r="AM44" s="568"/>
      <c r="AN44" s="568"/>
      <c r="AO44" s="568"/>
      <c r="AP44" s="579"/>
      <c r="AQ44" s="579"/>
      <c r="AR44" s="579"/>
      <c r="AS44" s="580"/>
      <c r="AT44" s="571"/>
      <c r="AU44" s="565"/>
      <c r="AV44" s="596"/>
      <c r="AW44" s="596"/>
      <c r="AX44" s="596"/>
      <c r="AY44" s="598"/>
      <c r="AZ44" s="569"/>
      <c r="BA44" s="569"/>
      <c r="BB44" s="536"/>
      <c r="BC44" s="537"/>
      <c r="BD44" s="596"/>
      <c r="BE44" s="596"/>
      <c r="BF44" s="596"/>
      <c r="BG44" s="596"/>
      <c r="BH44" s="596"/>
      <c r="BI44" s="596"/>
      <c r="BJ44" s="596"/>
      <c r="BK44" s="596"/>
      <c r="DP44" s="35"/>
      <c r="DQ44" s="35"/>
      <c r="DR44" s="35"/>
      <c r="DS44" s="35"/>
      <c r="DT44" s="35"/>
      <c r="DU44" s="35"/>
      <c r="DV44" s="35"/>
      <c r="DW44" s="35"/>
      <c r="DX44" s="35"/>
    </row>
    <row r="45" spans="1:128" ht="12.6" customHeight="1">
      <c r="A45" s="540"/>
      <c r="B45" s="566"/>
      <c r="C45" s="575"/>
      <c r="D45" s="576"/>
      <c r="E45" s="784" t="s">
        <v>363</v>
      </c>
      <c r="F45" s="784"/>
      <c r="G45" s="761" t="s">
        <v>366</v>
      </c>
      <c r="H45" s="761"/>
      <c r="I45" s="761"/>
      <c r="J45" s="772" t="s">
        <v>371</v>
      </c>
      <c r="K45" s="761"/>
      <c r="L45" s="761"/>
      <c r="M45" s="772" t="s">
        <v>376</v>
      </c>
      <c r="N45" s="761"/>
      <c r="O45" s="761"/>
      <c r="P45" s="761" t="s">
        <v>375</v>
      </c>
      <c r="Q45" s="761"/>
      <c r="R45" s="761"/>
      <c r="S45" s="761" t="s">
        <v>375</v>
      </c>
      <c r="T45" s="761"/>
      <c r="U45" s="761"/>
      <c r="V45" s="761" t="s">
        <v>375</v>
      </c>
      <c r="W45" s="761"/>
      <c r="X45" s="761"/>
      <c r="Y45" s="761" t="s">
        <v>377</v>
      </c>
      <c r="Z45" s="761"/>
      <c r="AA45" s="761"/>
      <c r="AB45" s="761" t="s">
        <v>377</v>
      </c>
      <c r="AC45" s="761"/>
      <c r="AD45" s="761"/>
      <c r="AE45" s="761" t="s">
        <v>377</v>
      </c>
      <c r="AF45" s="761"/>
      <c r="AG45" s="761"/>
      <c r="AH45" s="579"/>
      <c r="AI45" s="579"/>
      <c r="AJ45" s="579"/>
      <c r="AK45" s="573"/>
      <c r="AL45" s="568"/>
      <c r="AM45" s="568"/>
      <c r="AN45" s="568"/>
      <c r="AO45" s="568"/>
      <c r="AP45" s="579"/>
      <c r="AQ45" s="579"/>
      <c r="AR45" s="579"/>
      <c r="AS45" s="579"/>
      <c r="AT45" s="573"/>
      <c r="AU45" s="568"/>
      <c r="AV45" s="596"/>
      <c r="AW45" s="596"/>
      <c r="AX45" s="596"/>
      <c r="AY45" s="596"/>
      <c r="AZ45" s="569"/>
      <c r="BA45" s="569"/>
      <c r="BB45" s="551"/>
      <c r="BC45" s="552"/>
      <c r="BD45" s="596"/>
      <c r="BE45" s="596"/>
      <c r="BF45" s="596"/>
      <c r="BG45" s="596"/>
      <c r="BH45" s="596"/>
      <c r="BI45" s="596"/>
      <c r="BJ45" s="596"/>
      <c r="BK45" s="596"/>
      <c r="DP45" s="35"/>
      <c r="DQ45" s="35"/>
      <c r="DR45" s="35"/>
      <c r="DS45" s="35"/>
      <c r="DT45" s="35"/>
      <c r="DU45" s="35"/>
      <c r="DV45" s="35"/>
      <c r="DW45" s="35"/>
      <c r="DX45" s="35"/>
    </row>
    <row r="46" spans="1:128" ht="12.6" customHeight="1">
      <c r="A46" s="540"/>
      <c r="B46" s="566"/>
      <c r="C46" s="575"/>
      <c r="D46" s="576"/>
      <c r="E46" s="784"/>
      <c r="F46" s="784"/>
      <c r="G46" s="761"/>
      <c r="H46" s="761"/>
      <c r="I46" s="761"/>
      <c r="J46" s="772"/>
      <c r="K46" s="761"/>
      <c r="L46" s="761"/>
      <c r="M46" s="772"/>
      <c r="N46" s="761"/>
      <c r="O46" s="761"/>
      <c r="P46" s="761"/>
      <c r="Q46" s="761"/>
      <c r="R46" s="761"/>
      <c r="S46" s="761"/>
      <c r="T46" s="761"/>
      <c r="U46" s="761"/>
      <c r="V46" s="761"/>
      <c r="W46" s="761"/>
      <c r="X46" s="761"/>
      <c r="Y46" s="761"/>
      <c r="Z46" s="761"/>
      <c r="AA46" s="761"/>
      <c r="AB46" s="761"/>
      <c r="AC46" s="761"/>
      <c r="AD46" s="761"/>
      <c r="AE46" s="761"/>
      <c r="AF46" s="761"/>
      <c r="AG46" s="761"/>
      <c r="AH46" s="579"/>
      <c r="AI46" s="579"/>
      <c r="AJ46" s="581"/>
      <c r="AK46" s="577"/>
      <c r="AL46" s="577"/>
      <c r="AM46" s="577"/>
      <c r="AN46" s="577"/>
      <c r="AO46" s="577"/>
      <c r="AP46" s="579"/>
      <c r="AQ46" s="579"/>
      <c r="AR46" s="579"/>
      <c r="AS46" s="580"/>
      <c r="AT46" s="571"/>
      <c r="AU46" s="565"/>
      <c r="AV46" s="596"/>
      <c r="AW46" s="596"/>
      <c r="AX46" s="596"/>
      <c r="AY46" s="598"/>
      <c r="AZ46" s="569"/>
      <c r="BA46" s="569"/>
      <c r="BB46" s="551"/>
      <c r="BC46" s="552"/>
      <c r="BD46" s="596"/>
      <c r="BE46" s="596"/>
      <c r="BF46" s="596"/>
      <c r="BG46" s="596"/>
      <c r="BH46" s="596"/>
      <c r="BI46" s="596"/>
      <c r="BJ46" s="596"/>
      <c r="BK46" s="596"/>
      <c r="DP46" s="35"/>
      <c r="DQ46" s="35"/>
      <c r="DR46" s="35"/>
      <c r="DS46" s="35"/>
      <c r="DT46" s="35"/>
      <c r="DU46" s="35"/>
      <c r="DV46" s="35"/>
      <c r="DW46" s="35"/>
      <c r="DX46" s="35"/>
    </row>
    <row r="47" spans="1:128" ht="12.6" customHeight="1">
      <c r="A47" s="540"/>
      <c r="B47" s="566"/>
      <c r="C47" s="575"/>
      <c r="D47" s="576"/>
      <c r="E47" s="784"/>
      <c r="F47" s="784"/>
      <c r="G47" s="761"/>
      <c r="H47" s="761"/>
      <c r="I47" s="761"/>
      <c r="J47" s="761"/>
      <c r="K47" s="761"/>
      <c r="L47" s="761"/>
      <c r="M47" s="761"/>
      <c r="N47" s="761"/>
      <c r="O47" s="761"/>
      <c r="P47" s="761"/>
      <c r="Q47" s="761"/>
      <c r="R47" s="761"/>
      <c r="S47" s="761"/>
      <c r="T47" s="761"/>
      <c r="U47" s="761"/>
      <c r="V47" s="761"/>
      <c r="W47" s="761"/>
      <c r="X47" s="761"/>
      <c r="Y47" s="761"/>
      <c r="Z47" s="761"/>
      <c r="AA47" s="761"/>
      <c r="AB47" s="761"/>
      <c r="AC47" s="761"/>
      <c r="AD47" s="761"/>
      <c r="AE47" s="761"/>
      <c r="AF47" s="761"/>
      <c r="AG47" s="761"/>
      <c r="AH47" s="579"/>
      <c r="AI47" s="579"/>
      <c r="AJ47" s="581"/>
      <c r="AK47" s="577"/>
      <c r="AL47" s="577"/>
      <c r="AM47" s="577"/>
      <c r="AN47" s="577"/>
      <c r="AO47" s="577"/>
      <c r="AP47" s="579"/>
      <c r="AQ47" s="579"/>
      <c r="AR47" s="579"/>
      <c r="AS47" s="579"/>
      <c r="AT47" s="573"/>
      <c r="AU47" s="568"/>
      <c r="AV47" s="596"/>
      <c r="AW47" s="596"/>
      <c r="AX47" s="596"/>
      <c r="AY47" s="598"/>
      <c r="AZ47" s="569"/>
      <c r="BA47" s="569"/>
      <c r="BB47" s="551"/>
      <c r="BC47" s="552"/>
      <c r="BD47" s="596"/>
      <c r="BE47" s="596"/>
      <c r="BF47" s="596"/>
      <c r="BG47" s="596"/>
      <c r="BH47" s="596"/>
      <c r="BI47" s="596"/>
      <c r="BJ47" s="596"/>
      <c r="BK47" s="596"/>
      <c r="DP47" s="35"/>
      <c r="DQ47" s="35"/>
      <c r="DR47" s="35"/>
      <c r="DS47" s="35"/>
      <c r="DT47" s="35"/>
      <c r="DU47" s="35"/>
      <c r="DV47" s="35"/>
      <c r="DW47" s="35"/>
      <c r="DX47" s="35"/>
    </row>
    <row r="48" spans="1:128" ht="12.6" customHeight="1">
      <c r="A48" s="540"/>
      <c r="B48" s="566"/>
      <c r="C48" s="575"/>
      <c r="D48" s="576"/>
      <c r="E48" s="784" t="s">
        <v>363</v>
      </c>
      <c r="F48" s="784"/>
      <c r="G48" s="761" t="s">
        <v>367</v>
      </c>
      <c r="H48" s="761"/>
      <c r="I48" s="761"/>
      <c r="J48" s="772" t="s">
        <v>372</v>
      </c>
      <c r="K48" s="761"/>
      <c r="L48" s="761"/>
      <c r="M48" s="761" t="s">
        <v>375</v>
      </c>
      <c r="N48" s="761"/>
      <c r="O48" s="761"/>
      <c r="P48" s="772" t="s">
        <v>376</v>
      </c>
      <c r="Q48" s="761"/>
      <c r="R48" s="761"/>
      <c r="S48" s="761" t="s">
        <v>375</v>
      </c>
      <c r="T48" s="761"/>
      <c r="U48" s="761"/>
      <c r="V48" s="761" t="s">
        <v>375</v>
      </c>
      <c r="W48" s="761"/>
      <c r="X48" s="761"/>
      <c r="Y48" s="761" t="s">
        <v>375</v>
      </c>
      <c r="Z48" s="761"/>
      <c r="AA48" s="761"/>
      <c r="AB48" s="761" t="s">
        <v>375</v>
      </c>
      <c r="AC48" s="761"/>
      <c r="AD48" s="761"/>
      <c r="AE48" s="761" t="s">
        <v>375</v>
      </c>
      <c r="AF48" s="761"/>
      <c r="AG48" s="761"/>
      <c r="AH48" s="579"/>
      <c r="AI48" s="579"/>
      <c r="AJ48" s="581"/>
      <c r="AK48" s="577"/>
      <c r="AL48" s="577"/>
      <c r="AM48" s="577"/>
      <c r="AN48" s="577"/>
      <c r="AO48" s="577"/>
      <c r="AP48" s="579"/>
      <c r="AQ48" s="579"/>
      <c r="AR48" s="579"/>
      <c r="AS48" s="580"/>
      <c r="AT48" s="571"/>
      <c r="AU48" s="565"/>
      <c r="AV48" s="596"/>
      <c r="AW48" s="596"/>
      <c r="AX48" s="596"/>
      <c r="AY48" s="598"/>
      <c r="AZ48" s="569"/>
      <c r="BA48" s="569"/>
      <c r="BB48" s="551"/>
      <c r="BC48" s="552"/>
      <c r="BD48" s="596"/>
      <c r="BE48" s="596"/>
      <c r="BF48" s="596"/>
      <c r="BG48" s="596"/>
      <c r="BH48" s="596"/>
      <c r="BI48" s="596"/>
      <c r="BJ48" s="596"/>
      <c r="BK48" s="596"/>
      <c r="DP48" s="35"/>
      <c r="DQ48" s="35"/>
      <c r="DR48" s="35"/>
      <c r="DS48" s="35"/>
      <c r="DT48" s="35"/>
      <c r="DU48" s="35"/>
      <c r="DV48" s="35"/>
      <c r="DW48" s="35"/>
      <c r="DX48" s="35"/>
    </row>
    <row r="49" spans="1:128" ht="12.6" customHeight="1">
      <c r="A49" s="540"/>
      <c r="B49" s="566"/>
      <c r="C49" s="575"/>
      <c r="D49" s="576"/>
      <c r="E49" s="784"/>
      <c r="F49" s="784"/>
      <c r="G49" s="761"/>
      <c r="H49" s="761"/>
      <c r="I49" s="761"/>
      <c r="J49" s="772"/>
      <c r="K49" s="761"/>
      <c r="L49" s="761"/>
      <c r="M49" s="761"/>
      <c r="N49" s="761"/>
      <c r="O49" s="761"/>
      <c r="P49" s="772"/>
      <c r="Q49" s="761"/>
      <c r="R49" s="761"/>
      <c r="S49" s="761"/>
      <c r="T49" s="761"/>
      <c r="U49" s="761"/>
      <c r="V49" s="761"/>
      <c r="W49" s="761"/>
      <c r="X49" s="761"/>
      <c r="Y49" s="761"/>
      <c r="Z49" s="761"/>
      <c r="AA49" s="761"/>
      <c r="AB49" s="761"/>
      <c r="AC49" s="761"/>
      <c r="AD49" s="761"/>
      <c r="AE49" s="761"/>
      <c r="AF49" s="761"/>
      <c r="AG49" s="761"/>
      <c r="AH49" s="579"/>
      <c r="AI49" s="579"/>
      <c r="AJ49" s="581"/>
      <c r="AK49" s="577"/>
      <c r="AL49" s="577"/>
      <c r="AM49" s="577"/>
      <c r="AN49" s="577"/>
      <c r="AO49" s="577"/>
      <c r="AP49" s="579"/>
      <c r="AQ49" s="579"/>
      <c r="AR49" s="579"/>
      <c r="AS49" s="579"/>
      <c r="AT49" s="573"/>
      <c r="AU49" s="568"/>
      <c r="AV49" s="596"/>
      <c r="AW49" s="596"/>
      <c r="AX49" s="596"/>
      <c r="AY49" s="596"/>
      <c r="AZ49" s="569"/>
      <c r="BA49" s="569"/>
      <c r="BB49" s="551"/>
      <c r="BC49" s="552"/>
      <c r="BD49" s="596"/>
      <c r="BE49" s="596"/>
      <c r="BF49" s="596"/>
      <c r="BG49" s="596"/>
      <c r="BH49" s="596"/>
      <c r="BI49" s="596"/>
      <c r="BJ49" s="596"/>
      <c r="BK49" s="596"/>
      <c r="DP49" s="35"/>
      <c r="DQ49" s="35"/>
      <c r="DR49" s="35"/>
      <c r="DS49" s="35"/>
      <c r="DT49" s="35"/>
      <c r="DU49" s="35"/>
      <c r="DV49" s="35"/>
      <c r="DW49" s="35"/>
      <c r="DX49" s="35"/>
    </row>
    <row r="50" spans="1:128" ht="12.6" customHeight="1">
      <c r="A50" s="540"/>
      <c r="B50" s="566"/>
      <c r="C50" s="565"/>
      <c r="D50" s="565"/>
      <c r="E50" s="784"/>
      <c r="F50" s="784"/>
      <c r="G50" s="761"/>
      <c r="H50" s="761"/>
      <c r="I50" s="761"/>
      <c r="J50" s="761"/>
      <c r="K50" s="761"/>
      <c r="L50" s="761"/>
      <c r="M50" s="761"/>
      <c r="N50" s="761"/>
      <c r="O50" s="761"/>
      <c r="P50" s="761"/>
      <c r="Q50" s="761"/>
      <c r="R50" s="761"/>
      <c r="S50" s="761"/>
      <c r="T50" s="761"/>
      <c r="U50" s="761"/>
      <c r="V50" s="761"/>
      <c r="W50" s="761"/>
      <c r="X50" s="761"/>
      <c r="Y50" s="761"/>
      <c r="Z50" s="761"/>
      <c r="AA50" s="761"/>
      <c r="AB50" s="761"/>
      <c r="AC50" s="761"/>
      <c r="AD50" s="761"/>
      <c r="AE50" s="761"/>
      <c r="AF50" s="761"/>
      <c r="AG50" s="761"/>
      <c r="AH50" s="579"/>
      <c r="AI50" s="579"/>
      <c r="AJ50" s="580"/>
      <c r="AK50" s="571"/>
      <c r="AL50" s="565"/>
      <c r="AM50" s="568"/>
      <c r="AN50" s="568"/>
      <c r="AO50" s="568"/>
      <c r="AP50" s="579"/>
      <c r="AQ50" s="579"/>
      <c r="AR50" s="579"/>
      <c r="AS50" s="580"/>
      <c r="AT50" s="571"/>
      <c r="AU50" s="565"/>
      <c r="AV50" s="596"/>
      <c r="AW50" s="596"/>
      <c r="AX50" s="596"/>
      <c r="AY50" s="598"/>
      <c r="AZ50" s="569"/>
      <c r="BA50" s="569"/>
      <c r="BB50" s="536"/>
      <c r="BC50" s="537"/>
      <c r="BD50" s="596"/>
      <c r="BE50" s="596"/>
      <c r="BF50" s="596"/>
      <c r="BG50" s="596"/>
      <c r="BH50" s="596"/>
      <c r="BI50" s="596"/>
      <c r="BJ50" s="596"/>
      <c r="BK50" s="596"/>
      <c r="DP50" s="35"/>
      <c r="DQ50" s="35"/>
      <c r="DR50" s="35"/>
      <c r="DS50" s="35"/>
      <c r="DT50" s="35"/>
      <c r="DU50" s="35"/>
      <c r="DV50" s="35"/>
      <c r="DW50" s="35"/>
      <c r="DX50" s="35"/>
    </row>
    <row r="51" spans="1:128" ht="12.6" customHeight="1">
      <c r="A51" s="540"/>
      <c r="B51" s="566"/>
      <c r="C51" s="575"/>
      <c r="D51" s="576"/>
      <c r="E51" s="784"/>
      <c r="F51" s="784"/>
      <c r="G51" s="761" t="s">
        <v>368</v>
      </c>
      <c r="H51" s="761"/>
      <c r="I51" s="761"/>
      <c r="J51" s="772" t="s">
        <v>373</v>
      </c>
      <c r="K51" s="761"/>
      <c r="L51" s="761"/>
      <c r="M51" s="761" t="s">
        <v>377</v>
      </c>
      <c r="N51" s="761"/>
      <c r="O51" s="761"/>
      <c r="P51" s="761" t="s">
        <v>377</v>
      </c>
      <c r="Q51" s="761"/>
      <c r="R51" s="761"/>
      <c r="S51" s="761" t="s">
        <v>377</v>
      </c>
      <c r="T51" s="761"/>
      <c r="U51" s="761"/>
      <c r="V51" s="761" t="s">
        <v>377</v>
      </c>
      <c r="W51" s="761"/>
      <c r="X51" s="761"/>
      <c r="Y51" s="761" t="s">
        <v>377</v>
      </c>
      <c r="Z51" s="761"/>
      <c r="AA51" s="761"/>
      <c r="AB51" s="761" t="s">
        <v>377</v>
      </c>
      <c r="AC51" s="761"/>
      <c r="AD51" s="761"/>
      <c r="AE51" s="761" t="s">
        <v>377</v>
      </c>
      <c r="AF51" s="761"/>
      <c r="AG51" s="761"/>
      <c r="AH51" s="579"/>
      <c r="AI51" s="579"/>
      <c r="AJ51" s="581"/>
      <c r="AK51" s="577"/>
      <c r="AL51" s="577"/>
      <c r="AM51" s="577"/>
      <c r="AN51" s="577"/>
      <c r="AO51" s="577"/>
      <c r="AP51" s="579"/>
      <c r="AQ51" s="579"/>
      <c r="AR51" s="579"/>
      <c r="AS51" s="579"/>
      <c r="AT51" s="573"/>
      <c r="AU51" s="568"/>
      <c r="AV51" s="596"/>
      <c r="AW51" s="596"/>
      <c r="AX51" s="596"/>
      <c r="AY51" s="598"/>
      <c r="AZ51" s="569"/>
      <c r="BA51" s="569"/>
      <c r="BB51" s="551"/>
      <c r="BC51" s="552"/>
      <c r="BD51" s="596"/>
      <c r="BE51" s="596"/>
      <c r="BF51" s="596"/>
      <c r="BG51" s="596"/>
      <c r="BH51" s="596"/>
      <c r="BI51" s="596"/>
      <c r="BJ51" s="596"/>
      <c r="BK51" s="596"/>
      <c r="DP51" s="35"/>
      <c r="DQ51" s="35"/>
      <c r="DR51" s="35"/>
      <c r="DS51" s="35"/>
      <c r="DT51" s="35"/>
      <c r="DU51" s="35"/>
      <c r="DV51" s="35"/>
      <c r="DW51" s="35"/>
      <c r="DX51" s="35"/>
    </row>
    <row r="52" spans="1:128" ht="12.6" customHeight="1">
      <c r="A52" s="540"/>
      <c r="B52" s="566"/>
      <c r="C52" s="565"/>
      <c r="D52" s="565"/>
      <c r="E52" s="784"/>
      <c r="F52" s="784"/>
      <c r="G52" s="761"/>
      <c r="H52" s="761"/>
      <c r="I52" s="761"/>
      <c r="J52" s="772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61"/>
      <c r="V52" s="761"/>
      <c r="W52" s="761"/>
      <c r="X52" s="761"/>
      <c r="Y52" s="761"/>
      <c r="Z52" s="761"/>
      <c r="AA52" s="761"/>
      <c r="AB52" s="761"/>
      <c r="AC52" s="761"/>
      <c r="AD52" s="761"/>
      <c r="AE52" s="761"/>
      <c r="AF52" s="761"/>
      <c r="AG52" s="761"/>
      <c r="AH52" s="579"/>
      <c r="AI52" s="579"/>
      <c r="AJ52" s="580"/>
      <c r="AK52" s="571"/>
      <c r="AL52" s="565"/>
      <c r="AM52" s="568"/>
      <c r="AN52" s="568"/>
      <c r="AO52" s="568"/>
      <c r="AP52" s="579"/>
      <c r="AQ52" s="579"/>
      <c r="AR52" s="579"/>
      <c r="AS52" s="580"/>
      <c r="AT52" s="571"/>
      <c r="AU52" s="565"/>
      <c r="AV52" s="596"/>
      <c r="AW52" s="596"/>
      <c r="AX52" s="596"/>
      <c r="AY52" s="598"/>
      <c r="AZ52" s="569"/>
      <c r="BA52" s="569"/>
      <c r="BB52" s="536"/>
      <c r="BC52" s="537"/>
      <c r="BD52" s="596"/>
      <c r="BE52" s="596"/>
      <c r="BF52" s="596"/>
      <c r="BG52" s="596"/>
      <c r="BH52" s="596"/>
      <c r="BI52" s="596"/>
      <c r="BJ52" s="596"/>
      <c r="BK52" s="596"/>
      <c r="DP52" s="35"/>
      <c r="DQ52" s="35"/>
      <c r="DR52" s="35"/>
      <c r="DS52" s="35"/>
      <c r="DT52" s="35"/>
      <c r="DU52" s="35"/>
      <c r="DV52" s="35"/>
      <c r="DW52" s="35"/>
      <c r="DX52" s="35"/>
    </row>
    <row r="53" spans="1:128" ht="12.6" customHeight="1">
      <c r="A53" s="540"/>
      <c r="B53" s="566"/>
      <c r="C53" s="565"/>
      <c r="D53" s="565"/>
      <c r="E53" s="784"/>
      <c r="F53" s="784"/>
      <c r="G53" s="761"/>
      <c r="H53" s="761"/>
      <c r="I53" s="761"/>
      <c r="J53" s="761"/>
      <c r="K53" s="761"/>
      <c r="L53" s="761"/>
      <c r="M53" s="761"/>
      <c r="N53" s="761"/>
      <c r="O53" s="761"/>
      <c r="P53" s="761"/>
      <c r="Q53" s="761"/>
      <c r="R53" s="761"/>
      <c r="S53" s="761"/>
      <c r="T53" s="761"/>
      <c r="U53" s="761"/>
      <c r="V53" s="761"/>
      <c r="W53" s="761"/>
      <c r="X53" s="761"/>
      <c r="Y53" s="761"/>
      <c r="Z53" s="761"/>
      <c r="AA53" s="761"/>
      <c r="AB53" s="761"/>
      <c r="AC53" s="761"/>
      <c r="AD53" s="761"/>
      <c r="AE53" s="761"/>
      <c r="AF53" s="761"/>
      <c r="AG53" s="761"/>
      <c r="AH53" s="579"/>
      <c r="AI53" s="579"/>
      <c r="AJ53" s="580"/>
      <c r="AK53" s="571"/>
      <c r="AL53" s="565"/>
      <c r="AM53" s="568"/>
      <c r="AN53" s="568"/>
      <c r="AO53" s="568"/>
      <c r="AP53" s="579"/>
      <c r="AQ53" s="579"/>
      <c r="AR53" s="579"/>
      <c r="AS53" s="579"/>
      <c r="AT53" s="573"/>
      <c r="AU53" s="568"/>
      <c r="AV53" s="596"/>
      <c r="AW53" s="596"/>
      <c r="AX53" s="596"/>
      <c r="AY53" s="598"/>
      <c r="AZ53" s="569"/>
      <c r="BA53" s="569"/>
      <c r="BB53" s="536"/>
      <c r="BC53" s="537"/>
      <c r="BD53" s="596"/>
      <c r="BE53" s="596"/>
      <c r="BF53" s="596"/>
      <c r="BG53" s="596"/>
      <c r="BH53" s="596"/>
      <c r="BI53" s="596"/>
      <c r="BJ53" s="596"/>
      <c r="BK53" s="596"/>
      <c r="DP53" s="35"/>
      <c r="DQ53" s="35"/>
      <c r="DR53" s="35"/>
      <c r="DS53" s="35"/>
      <c r="DT53" s="35"/>
      <c r="DU53" s="35"/>
      <c r="DV53" s="35"/>
      <c r="DW53" s="35"/>
      <c r="DX53" s="35"/>
    </row>
    <row r="54" spans="1:128" ht="12.6" customHeight="1">
      <c r="A54" s="540"/>
      <c r="B54" s="566"/>
      <c r="C54" s="575"/>
      <c r="D54" s="576"/>
      <c r="E54" s="784"/>
      <c r="F54" s="784"/>
      <c r="G54" s="761" t="s">
        <v>297</v>
      </c>
      <c r="H54" s="761"/>
      <c r="I54" s="761"/>
      <c r="J54" s="772" t="s">
        <v>374</v>
      </c>
      <c r="K54" s="761"/>
      <c r="L54" s="761"/>
      <c r="M54" s="761" t="s">
        <v>297</v>
      </c>
      <c r="N54" s="761"/>
      <c r="O54" s="761"/>
      <c r="P54" s="761" t="s">
        <v>297</v>
      </c>
      <c r="Q54" s="761"/>
      <c r="R54" s="761"/>
      <c r="S54" s="761" t="s">
        <v>297</v>
      </c>
      <c r="T54" s="761"/>
      <c r="U54" s="761"/>
      <c r="V54" s="761"/>
      <c r="W54" s="761"/>
      <c r="X54" s="761"/>
      <c r="Y54" s="761"/>
      <c r="Z54" s="761"/>
      <c r="AA54" s="761"/>
      <c r="AB54" s="761"/>
      <c r="AC54" s="761"/>
      <c r="AD54" s="761"/>
      <c r="AE54" s="761"/>
      <c r="AF54" s="761"/>
      <c r="AG54" s="761"/>
      <c r="AH54" s="579"/>
      <c r="AI54" s="579"/>
      <c r="AJ54" s="579"/>
      <c r="AK54" s="573"/>
      <c r="AL54" s="568"/>
      <c r="AM54" s="568"/>
      <c r="AN54" s="568"/>
      <c r="AO54" s="568"/>
      <c r="AP54" s="579"/>
      <c r="AQ54" s="579"/>
      <c r="AR54" s="579"/>
      <c r="AS54" s="580"/>
      <c r="AT54" s="571"/>
      <c r="AU54" s="565"/>
      <c r="AV54" s="596"/>
      <c r="AW54" s="596"/>
      <c r="AX54" s="596"/>
      <c r="AY54" s="598"/>
      <c r="AZ54" s="569"/>
      <c r="BA54" s="569"/>
      <c r="BB54" s="551"/>
      <c r="BC54" s="552"/>
      <c r="BD54" s="596"/>
      <c r="BE54" s="596"/>
      <c r="BF54" s="596"/>
      <c r="BG54" s="596"/>
      <c r="BH54" s="596"/>
      <c r="BI54" s="596"/>
      <c r="BJ54" s="596"/>
      <c r="BK54" s="596"/>
      <c r="DP54" s="35"/>
      <c r="DQ54" s="35"/>
      <c r="DR54" s="35"/>
      <c r="DS54" s="35"/>
      <c r="DT54" s="35"/>
      <c r="DU54" s="35"/>
      <c r="DV54" s="35"/>
      <c r="DW54" s="35"/>
      <c r="DX54" s="35"/>
    </row>
    <row r="55" spans="1:128" ht="12.6" customHeight="1">
      <c r="A55" s="540"/>
      <c r="B55" s="566"/>
      <c r="C55" s="575"/>
      <c r="D55" s="576"/>
      <c r="E55" s="784"/>
      <c r="F55" s="784"/>
      <c r="G55" s="761"/>
      <c r="H55" s="761"/>
      <c r="I55" s="761"/>
      <c r="J55" s="772"/>
      <c r="K55" s="761"/>
      <c r="L55" s="761"/>
      <c r="M55" s="761"/>
      <c r="N55" s="761"/>
      <c r="O55" s="761"/>
      <c r="P55" s="761"/>
      <c r="Q55" s="761"/>
      <c r="R55" s="761"/>
      <c r="S55" s="761"/>
      <c r="T55" s="761"/>
      <c r="U55" s="761"/>
      <c r="V55" s="761"/>
      <c r="W55" s="761"/>
      <c r="X55" s="761"/>
      <c r="Y55" s="761"/>
      <c r="Z55" s="761"/>
      <c r="AA55" s="761"/>
      <c r="AB55" s="761"/>
      <c r="AC55" s="761"/>
      <c r="AD55" s="761"/>
      <c r="AE55" s="761"/>
      <c r="AF55" s="761"/>
      <c r="AG55" s="761"/>
      <c r="AH55" s="579"/>
      <c r="AI55" s="579"/>
      <c r="AJ55" s="581"/>
      <c r="AK55" s="577"/>
      <c r="AL55" s="577"/>
      <c r="AM55" s="577"/>
      <c r="AN55" s="577"/>
      <c r="AO55" s="577"/>
      <c r="AP55" s="579"/>
      <c r="AQ55" s="579"/>
      <c r="AR55" s="579"/>
      <c r="AS55" s="579"/>
      <c r="AT55" s="573"/>
      <c r="AU55" s="568"/>
      <c r="AV55" s="596"/>
      <c r="AW55" s="596"/>
      <c r="AX55" s="596"/>
      <c r="AY55" s="598"/>
      <c r="AZ55" s="569"/>
      <c r="BA55" s="569"/>
      <c r="BB55" s="551"/>
      <c r="BC55" s="552"/>
      <c r="BD55" s="596"/>
      <c r="BE55" s="596"/>
      <c r="BF55" s="596"/>
      <c r="BG55" s="596"/>
      <c r="BH55" s="596"/>
      <c r="BI55" s="596"/>
      <c r="BJ55" s="596"/>
      <c r="BK55" s="596"/>
      <c r="DP55" s="35"/>
      <c r="DQ55" s="35"/>
      <c r="DR55" s="35"/>
      <c r="DS55" s="35"/>
      <c r="DT55" s="35"/>
      <c r="DU55" s="35"/>
      <c r="DV55" s="35"/>
      <c r="DW55" s="35"/>
      <c r="DX55" s="35"/>
    </row>
    <row r="56" spans="1:128" ht="12.6" customHeight="1">
      <c r="A56" s="540"/>
      <c r="B56" s="566"/>
      <c r="C56" s="575"/>
      <c r="D56" s="576"/>
      <c r="E56" s="784"/>
      <c r="F56" s="784"/>
      <c r="G56" s="761"/>
      <c r="H56" s="761"/>
      <c r="I56" s="761"/>
      <c r="J56" s="761"/>
      <c r="K56" s="761"/>
      <c r="L56" s="761"/>
      <c r="M56" s="761"/>
      <c r="N56" s="761"/>
      <c r="O56" s="761"/>
      <c r="P56" s="761"/>
      <c r="Q56" s="761"/>
      <c r="R56" s="761"/>
      <c r="S56" s="761"/>
      <c r="T56" s="761"/>
      <c r="U56" s="761"/>
      <c r="V56" s="761"/>
      <c r="W56" s="761"/>
      <c r="X56" s="761"/>
      <c r="Y56" s="761"/>
      <c r="Z56" s="761"/>
      <c r="AA56" s="761"/>
      <c r="AB56" s="761"/>
      <c r="AC56" s="761"/>
      <c r="AD56" s="761"/>
      <c r="AE56" s="761"/>
      <c r="AF56" s="761"/>
      <c r="AG56" s="761"/>
      <c r="AH56" s="579"/>
      <c r="AI56" s="579"/>
      <c r="AJ56" s="581"/>
      <c r="AK56" s="577"/>
      <c r="AL56" s="577"/>
      <c r="AM56" s="577"/>
      <c r="AN56" s="577"/>
      <c r="AO56" s="577"/>
      <c r="AP56" s="579"/>
      <c r="AQ56" s="579"/>
      <c r="AR56" s="579"/>
      <c r="AS56" s="580"/>
      <c r="AT56" s="571"/>
      <c r="AU56" s="565"/>
      <c r="AV56" s="596"/>
      <c r="AW56" s="596"/>
      <c r="AX56" s="596"/>
      <c r="AY56" s="598"/>
      <c r="AZ56" s="569"/>
      <c r="BA56" s="569"/>
      <c r="BB56" s="551"/>
      <c r="BC56" s="552"/>
      <c r="BD56" s="596"/>
      <c r="BE56" s="596"/>
      <c r="BF56" s="596"/>
      <c r="BG56" s="596"/>
      <c r="BH56" s="596"/>
      <c r="BI56" s="596"/>
      <c r="BJ56" s="596"/>
      <c r="BK56" s="596"/>
      <c r="DP56" s="35"/>
      <c r="DQ56" s="35"/>
      <c r="DR56" s="35"/>
      <c r="DS56" s="35"/>
      <c r="DT56" s="35"/>
      <c r="DU56" s="35"/>
      <c r="DV56" s="35"/>
      <c r="DW56" s="35"/>
      <c r="DX56" s="35"/>
    </row>
    <row r="57" spans="1:128" ht="12.6" customHeight="1">
      <c r="A57" s="540"/>
      <c r="B57" s="566"/>
      <c r="C57" s="565"/>
      <c r="D57" s="565"/>
      <c r="E57" s="565"/>
      <c r="F57" s="565"/>
      <c r="G57" s="565"/>
      <c r="H57" s="579"/>
      <c r="I57" s="579"/>
      <c r="J57" s="579"/>
      <c r="K57" s="579"/>
      <c r="L57" s="579"/>
      <c r="M57" s="579"/>
      <c r="N57" s="579"/>
      <c r="O57" s="579"/>
      <c r="P57" s="579"/>
      <c r="Q57" s="579"/>
      <c r="R57" s="579"/>
      <c r="S57" s="579"/>
      <c r="T57" s="579"/>
      <c r="U57" s="579"/>
      <c r="V57" s="579"/>
      <c r="W57" s="579"/>
      <c r="X57" s="579"/>
      <c r="Y57" s="579"/>
      <c r="Z57" s="579"/>
      <c r="AA57" s="579"/>
      <c r="AB57" s="579"/>
      <c r="AC57" s="579"/>
      <c r="AD57" s="579"/>
      <c r="AE57" s="579"/>
      <c r="AF57" s="579"/>
      <c r="AG57" s="579"/>
      <c r="AH57" s="579"/>
      <c r="AI57" s="579"/>
      <c r="AJ57" s="579"/>
      <c r="AK57" s="579"/>
      <c r="AL57" s="579"/>
      <c r="AM57" s="579"/>
      <c r="AN57" s="579"/>
      <c r="AO57" s="579"/>
      <c r="AP57" s="579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8"/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128" ht="12.6" customHeight="1">
      <c r="A58" s="540"/>
      <c r="B58" s="566"/>
      <c r="C58" s="575"/>
      <c r="D58" s="576"/>
      <c r="E58" s="568"/>
      <c r="F58" s="568"/>
      <c r="G58" s="568"/>
      <c r="H58" s="579"/>
      <c r="I58" s="579"/>
      <c r="J58" s="579"/>
      <c r="K58" s="579"/>
      <c r="L58" s="579"/>
      <c r="M58" s="579"/>
      <c r="N58" s="579"/>
      <c r="O58" s="579"/>
      <c r="P58" s="579"/>
      <c r="Q58" s="579"/>
      <c r="R58" s="579"/>
      <c r="S58" s="579"/>
      <c r="T58" s="579"/>
      <c r="U58" s="579"/>
      <c r="V58" s="579"/>
      <c r="W58" s="579"/>
      <c r="X58" s="579"/>
      <c r="Y58" s="579"/>
      <c r="Z58" s="579"/>
      <c r="AA58" s="579"/>
      <c r="AB58" s="579"/>
      <c r="AC58" s="579"/>
      <c r="AD58" s="579"/>
      <c r="AE58" s="579"/>
      <c r="AF58" s="579"/>
      <c r="AG58" s="579"/>
      <c r="AH58" s="579"/>
      <c r="AI58" s="579"/>
      <c r="AJ58" s="579"/>
      <c r="AK58" s="579"/>
      <c r="AL58" s="579"/>
      <c r="AM58" s="579"/>
      <c r="AN58" s="579"/>
      <c r="AO58" s="579"/>
      <c r="AP58" s="579"/>
      <c r="AQ58" s="579"/>
      <c r="AR58" s="579"/>
      <c r="AS58" s="579"/>
      <c r="AT58" s="573"/>
      <c r="AU58" s="568"/>
      <c r="AV58" s="568"/>
      <c r="AW58" s="568"/>
      <c r="AX58" s="568"/>
      <c r="AY58" s="568"/>
      <c r="AZ58" s="569"/>
      <c r="BA58" s="569"/>
      <c r="BB58" s="551"/>
      <c r="BC58" s="552"/>
      <c r="BD58" s="538"/>
      <c r="BE58" s="596"/>
      <c r="BF58" s="596"/>
      <c r="BG58" s="596"/>
      <c r="BH58" s="598"/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128" ht="12.6" customHeight="1">
      <c r="A59" s="540"/>
      <c r="B59" s="566"/>
      <c r="C59" s="575"/>
      <c r="D59" s="576"/>
      <c r="E59" s="568"/>
      <c r="F59" s="568"/>
      <c r="G59" s="568"/>
      <c r="H59" s="579"/>
      <c r="I59" s="579"/>
      <c r="J59" s="579"/>
      <c r="K59" s="579"/>
      <c r="L59" s="579"/>
      <c r="M59" s="579"/>
      <c r="N59" s="579"/>
      <c r="O59" s="579"/>
      <c r="P59" s="579"/>
      <c r="Q59" s="579"/>
      <c r="R59" s="579"/>
      <c r="S59" s="579"/>
      <c r="T59" s="579"/>
      <c r="U59" s="579"/>
      <c r="V59" s="579"/>
      <c r="W59" s="579"/>
      <c r="X59" s="579"/>
      <c r="Y59" s="579"/>
      <c r="Z59" s="579"/>
      <c r="AA59" s="579"/>
      <c r="AB59" s="579"/>
      <c r="AC59" s="579"/>
      <c r="AD59" s="579"/>
      <c r="AE59" s="579"/>
      <c r="AF59" s="579"/>
      <c r="AG59" s="579"/>
      <c r="AH59" s="579"/>
      <c r="AI59" s="579"/>
      <c r="AJ59" s="579"/>
      <c r="AK59" s="579"/>
      <c r="AL59" s="579"/>
      <c r="AM59" s="579"/>
      <c r="AN59" s="579"/>
      <c r="AO59" s="579"/>
      <c r="AP59" s="579"/>
      <c r="AQ59" s="579"/>
      <c r="AR59" s="579"/>
      <c r="AS59" s="581"/>
      <c r="AT59" s="577"/>
      <c r="AU59" s="577"/>
      <c r="AV59" s="577"/>
      <c r="AW59" s="577"/>
      <c r="AX59" s="577"/>
      <c r="AY59" s="577"/>
      <c r="AZ59" s="569"/>
      <c r="BA59" s="569"/>
      <c r="BB59" s="551"/>
      <c r="BC59" s="552"/>
      <c r="BD59" s="538"/>
      <c r="BE59" s="596"/>
      <c r="BF59" s="596"/>
      <c r="BG59" s="596"/>
      <c r="BH59" s="598"/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128" ht="12.6" customHeight="1">
      <c r="A60" s="540"/>
      <c r="B60" s="566"/>
      <c r="C60" s="575"/>
      <c r="D60" s="576"/>
      <c r="E60" s="568"/>
      <c r="F60" s="568"/>
      <c r="G60" s="568"/>
      <c r="H60" s="579"/>
      <c r="I60" s="579"/>
      <c r="J60" s="760"/>
      <c r="K60" s="760"/>
      <c r="L60" s="760"/>
      <c r="M60" s="760"/>
      <c r="N60" s="582"/>
      <c r="O60" s="583"/>
      <c r="P60" s="582"/>
      <c r="Q60" s="579"/>
      <c r="R60" s="579"/>
      <c r="S60" s="579"/>
      <c r="T60" s="580"/>
      <c r="U60" s="580"/>
      <c r="V60" s="580"/>
      <c r="W60" s="580"/>
      <c r="X60" s="580"/>
      <c r="Y60" s="583"/>
      <c r="Z60" s="580"/>
      <c r="AA60" s="579"/>
      <c r="AB60" s="583"/>
      <c r="AC60" s="580"/>
      <c r="AD60" s="579"/>
      <c r="AE60" s="583"/>
      <c r="AF60" s="579"/>
      <c r="AG60" s="579"/>
      <c r="AH60" s="583"/>
      <c r="AI60" s="579"/>
      <c r="AJ60" s="579"/>
      <c r="AK60" s="584"/>
      <c r="AL60" s="579"/>
      <c r="AM60" s="579"/>
      <c r="AN60" s="579"/>
      <c r="AO60" s="579"/>
      <c r="AP60" s="579"/>
      <c r="AQ60" s="579"/>
      <c r="AR60" s="579"/>
      <c r="AS60" s="579"/>
      <c r="AT60" s="568"/>
      <c r="AU60" s="568"/>
      <c r="AV60" s="568"/>
      <c r="AW60" s="568"/>
      <c r="AX60" s="568"/>
      <c r="AY60" s="568"/>
      <c r="AZ60" s="569"/>
      <c r="BA60" s="569"/>
      <c r="BB60" s="551"/>
      <c r="BC60" s="552"/>
      <c r="BD60" s="538"/>
      <c r="BE60" s="596"/>
      <c r="BF60" s="596"/>
      <c r="BG60" s="596"/>
      <c r="BH60" s="598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128" ht="12.6" customHeight="1">
      <c r="A61" s="540"/>
      <c r="B61" s="566"/>
      <c r="C61" s="575"/>
      <c r="D61" s="576"/>
      <c r="E61" s="568"/>
      <c r="F61" s="568"/>
      <c r="G61" s="568"/>
      <c r="H61" s="579"/>
      <c r="I61" s="579"/>
      <c r="J61" s="579"/>
      <c r="K61" s="579"/>
      <c r="L61" s="579"/>
      <c r="M61" s="579"/>
      <c r="N61" s="579"/>
      <c r="O61" s="579"/>
      <c r="P61" s="579"/>
      <c r="Q61" s="579"/>
      <c r="R61" s="579"/>
      <c r="S61" s="579"/>
      <c r="T61" s="579"/>
      <c r="U61" s="579"/>
      <c r="V61" s="579"/>
      <c r="W61" s="579"/>
      <c r="X61" s="579"/>
      <c r="Y61" s="579"/>
      <c r="Z61" s="579"/>
      <c r="AA61" s="579"/>
      <c r="AB61" s="579"/>
      <c r="AC61" s="579"/>
      <c r="AD61" s="579"/>
      <c r="AE61" s="579"/>
      <c r="AF61" s="579"/>
      <c r="AG61" s="579"/>
      <c r="AH61" s="579"/>
      <c r="AI61" s="579"/>
      <c r="AJ61" s="579"/>
      <c r="AK61" s="579"/>
      <c r="AL61" s="579"/>
      <c r="AM61" s="579"/>
      <c r="AN61" s="579"/>
      <c r="AO61" s="579"/>
      <c r="AP61" s="579"/>
      <c r="AQ61" s="579"/>
      <c r="AR61" s="579"/>
      <c r="AS61" s="579"/>
      <c r="AT61" s="573"/>
      <c r="AU61" s="568"/>
      <c r="AV61" s="568"/>
      <c r="AW61" s="568"/>
      <c r="AX61" s="568"/>
      <c r="AY61" s="568"/>
      <c r="AZ61" s="569"/>
      <c r="BA61" s="569"/>
      <c r="BB61" s="551"/>
      <c r="BC61" s="552"/>
      <c r="BD61" s="538"/>
      <c r="BE61" s="596"/>
      <c r="BF61" s="596"/>
      <c r="BG61" s="596"/>
      <c r="BH61" s="598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128" ht="12.6" customHeight="1">
      <c r="A62" s="540"/>
      <c r="B62" s="566"/>
      <c r="C62" s="575"/>
      <c r="D62" s="576"/>
      <c r="E62" s="568"/>
      <c r="F62" s="568"/>
      <c r="G62" s="568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1"/>
      <c r="AT62" s="577"/>
      <c r="AU62" s="577"/>
      <c r="AV62" s="577"/>
      <c r="AW62" s="577"/>
      <c r="AX62" s="577"/>
      <c r="AY62" s="577"/>
      <c r="AZ62" s="569"/>
      <c r="BA62" s="569"/>
      <c r="BB62" s="551"/>
      <c r="BC62" s="552"/>
      <c r="BD62" s="538"/>
      <c r="BE62" s="596"/>
      <c r="BF62" s="596"/>
      <c r="BG62" s="596"/>
      <c r="BH62" s="598"/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128" ht="12.6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760"/>
      <c r="K63" s="760"/>
      <c r="L63" s="760"/>
      <c r="M63" s="760"/>
      <c r="N63" s="582"/>
      <c r="O63" s="583"/>
      <c r="P63" s="582"/>
      <c r="Q63" s="579"/>
      <c r="R63" s="579"/>
      <c r="S63" s="579"/>
      <c r="T63" s="580"/>
      <c r="U63" s="580"/>
      <c r="V63" s="580"/>
      <c r="W63" s="580"/>
      <c r="X63" s="580"/>
      <c r="Y63" s="583"/>
      <c r="Z63" s="580"/>
      <c r="AA63" s="579"/>
      <c r="AB63" s="583"/>
      <c r="AC63" s="580"/>
      <c r="AD63" s="579"/>
      <c r="AE63" s="583"/>
      <c r="AF63" s="579"/>
      <c r="AG63" s="579"/>
      <c r="AH63" s="583"/>
      <c r="AI63" s="579"/>
      <c r="AJ63" s="579"/>
      <c r="AK63" s="584"/>
      <c r="AL63" s="579"/>
      <c r="AM63" s="579"/>
      <c r="AN63" s="579"/>
      <c r="AO63" s="579"/>
      <c r="AP63" s="579"/>
      <c r="AQ63" s="579"/>
      <c r="AR63" s="579"/>
      <c r="AS63" s="579"/>
      <c r="AT63" s="568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8"/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128" ht="12.6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8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6" customHeight="1">
      <c r="A65" s="540"/>
      <c r="B65" s="566"/>
      <c r="C65" s="575"/>
      <c r="D65" s="576"/>
      <c r="E65" s="625" t="s">
        <v>378</v>
      </c>
      <c r="F65" s="568"/>
      <c r="G65" s="568"/>
      <c r="H65" s="579"/>
      <c r="I65" s="579"/>
      <c r="J65" s="579"/>
      <c r="K65" s="579"/>
      <c r="L65" s="579"/>
      <c r="M65" s="579"/>
      <c r="N65" s="579"/>
      <c r="O65" s="579"/>
      <c r="P65" s="579"/>
      <c r="Q65" s="579"/>
      <c r="R65" s="579"/>
      <c r="S65" s="579"/>
      <c r="T65" s="579"/>
      <c r="U65" s="579"/>
      <c r="V65" s="579"/>
      <c r="W65" s="579"/>
      <c r="X65" s="579"/>
      <c r="Y65" s="579"/>
      <c r="Z65" s="579"/>
      <c r="AA65" s="579"/>
      <c r="AB65" s="579"/>
      <c r="AC65" s="579"/>
      <c r="AD65" s="579"/>
      <c r="AE65" s="579"/>
      <c r="AF65" s="579"/>
      <c r="AG65" s="579"/>
      <c r="AH65" s="579"/>
      <c r="AI65" s="579"/>
      <c r="AJ65" s="579"/>
      <c r="AK65" s="579"/>
      <c r="AL65" s="579"/>
      <c r="AM65" s="579"/>
      <c r="AN65" s="579"/>
      <c r="AO65" s="579"/>
      <c r="AP65" s="579"/>
      <c r="AQ65" s="579"/>
      <c r="AR65" s="579"/>
      <c r="AS65" s="579"/>
      <c r="AT65" s="573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/>
      <c r="BH65" s="598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6" customHeight="1">
      <c r="A66" s="540"/>
      <c r="B66" s="566"/>
      <c r="C66" s="575"/>
      <c r="D66" s="576"/>
      <c r="E66" s="568" t="s">
        <v>386</v>
      </c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81"/>
      <c r="AT66" s="577"/>
      <c r="AU66" s="577"/>
      <c r="AV66" s="577"/>
      <c r="AW66" s="577"/>
      <c r="AX66" s="577"/>
      <c r="AY66" s="577"/>
      <c r="AZ66" s="569"/>
      <c r="BA66" s="569"/>
      <c r="BB66" s="551"/>
      <c r="BC66" s="552"/>
      <c r="BD66" s="538"/>
      <c r="BE66" s="596"/>
      <c r="BF66" s="596"/>
      <c r="BG66" s="596"/>
      <c r="BH66" s="598"/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7"/>
      <c r="BT66" s="596"/>
    </row>
    <row r="67" spans="1:72" ht="12.6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760"/>
      <c r="K67" s="760"/>
      <c r="L67" s="760"/>
      <c r="M67" s="760"/>
      <c r="N67" s="582"/>
      <c r="O67" s="583"/>
      <c r="P67" s="582"/>
      <c r="Q67" s="579"/>
      <c r="R67" s="579"/>
      <c r="S67" s="579"/>
      <c r="T67" s="580"/>
      <c r="U67" s="580"/>
      <c r="V67" s="580"/>
      <c r="W67" s="580"/>
      <c r="X67" s="580"/>
      <c r="Y67" s="583"/>
      <c r="Z67" s="580"/>
      <c r="AA67" s="579"/>
      <c r="AB67" s="583"/>
      <c r="AC67" s="580"/>
      <c r="AD67" s="579"/>
      <c r="AE67" s="583"/>
      <c r="AF67" s="579"/>
      <c r="AG67" s="579"/>
      <c r="AH67" s="583"/>
      <c r="AI67" s="579"/>
      <c r="AJ67" s="579"/>
      <c r="AK67" s="584"/>
      <c r="AL67" s="579"/>
      <c r="AM67" s="579"/>
      <c r="AN67" s="579"/>
      <c r="AO67" s="579"/>
      <c r="AP67" s="579"/>
      <c r="AQ67" s="579"/>
      <c r="AR67" s="579"/>
      <c r="AS67" s="579"/>
      <c r="AT67" s="568"/>
      <c r="AU67" s="568"/>
      <c r="AV67" s="568"/>
      <c r="AW67" s="568"/>
      <c r="AX67" s="568"/>
      <c r="AY67" s="568"/>
      <c r="AZ67" s="569"/>
      <c r="BA67" s="569"/>
      <c r="BB67" s="551"/>
      <c r="BC67" s="552"/>
      <c r="BD67" s="538"/>
      <c r="BE67" s="596"/>
      <c r="BF67" s="596"/>
      <c r="BG67" s="596"/>
      <c r="BH67" s="598"/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7"/>
      <c r="BT67" s="596"/>
    </row>
    <row r="68" spans="1:72" ht="12.6" customHeight="1">
      <c r="A68" s="540"/>
      <c r="B68" s="566"/>
      <c r="C68" s="567"/>
      <c r="D68" s="567"/>
      <c r="E68" s="626"/>
      <c r="F68" s="626"/>
      <c r="G68" s="626"/>
      <c r="H68" s="626"/>
      <c r="I68" s="626"/>
      <c r="J68" s="626"/>
      <c r="K68" s="626"/>
      <c r="L68" s="626"/>
      <c r="M68" s="626"/>
      <c r="N68" s="626"/>
      <c r="O68" s="626"/>
      <c r="P68" s="626"/>
      <c r="Q68" s="626"/>
      <c r="R68" s="626"/>
      <c r="S68" s="626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9"/>
      <c r="BA68" s="569"/>
      <c r="BB68" s="551"/>
      <c r="BC68" s="552"/>
      <c r="BD68" s="538"/>
      <c r="BE68" s="596"/>
      <c r="BF68" s="596"/>
      <c r="BG68" s="596"/>
      <c r="BH68" s="598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7"/>
      <c r="BT68" s="596"/>
    </row>
    <row r="69" spans="1:72" ht="12.6" customHeight="1">
      <c r="A69" s="540"/>
      <c r="B69" s="566"/>
      <c r="C69" s="575"/>
      <c r="D69" s="576"/>
      <c r="E69" s="627"/>
      <c r="F69" s="627"/>
      <c r="G69" s="632" t="s">
        <v>379</v>
      </c>
      <c r="H69" s="631"/>
      <c r="I69" s="631"/>
      <c r="J69" s="631"/>
      <c r="K69" s="631"/>
      <c r="L69" s="631"/>
      <c r="M69" s="631"/>
      <c r="N69" s="631"/>
      <c r="O69" s="631"/>
      <c r="P69" s="631"/>
      <c r="Q69" s="628"/>
      <c r="R69" s="628"/>
      <c r="S69" s="628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79"/>
      <c r="AT69" s="573"/>
      <c r="AU69" s="568"/>
      <c r="AV69" s="568"/>
      <c r="AW69" s="568"/>
      <c r="AX69" s="568"/>
      <c r="AY69" s="568"/>
      <c r="AZ69" s="569"/>
      <c r="BA69" s="569"/>
      <c r="BB69" s="551"/>
      <c r="BC69" s="552"/>
      <c r="BD69" s="538"/>
      <c r="BE69" s="596"/>
      <c r="BF69" s="596"/>
      <c r="BG69" s="596"/>
      <c r="BH69" s="596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7"/>
      <c r="BT69" s="596"/>
    </row>
    <row r="70" spans="1:72" ht="12.6" customHeight="1">
      <c r="A70" s="540"/>
      <c r="B70" s="566"/>
      <c r="C70" s="575"/>
      <c r="D70" s="576"/>
      <c r="E70" s="627"/>
      <c r="F70" s="627"/>
      <c r="G70" s="627"/>
      <c r="H70" s="628"/>
      <c r="I70" s="628"/>
      <c r="J70" s="631" t="s">
        <v>380</v>
      </c>
      <c r="K70" s="631"/>
      <c r="L70" s="631"/>
      <c r="M70" s="631"/>
      <c r="N70" s="628"/>
      <c r="O70" s="628"/>
      <c r="P70" s="628"/>
      <c r="Q70" s="628"/>
      <c r="R70" s="628"/>
      <c r="S70" s="628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81"/>
      <c r="AT70" s="577"/>
      <c r="AU70" s="577"/>
      <c r="AV70" s="577"/>
      <c r="AW70" s="577"/>
      <c r="AX70" s="577"/>
      <c r="AY70" s="577"/>
      <c r="AZ70" s="569"/>
      <c r="BA70" s="569"/>
      <c r="BB70" s="551"/>
      <c r="BC70" s="552"/>
      <c r="BD70" s="538"/>
      <c r="BE70" s="596"/>
      <c r="BF70" s="596"/>
      <c r="BG70" s="596"/>
      <c r="BH70" s="596"/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6" customHeight="1">
      <c r="A71" s="540"/>
      <c r="B71" s="566"/>
      <c r="C71" s="575"/>
      <c r="D71" s="576"/>
      <c r="E71" s="810" t="s">
        <v>410</v>
      </c>
      <c r="F71" s="810"/>
      <c r="G71" s="810"/>
      <c r="H71" s="810"/>
      <c r="I71" s="810"/>
      <c r="J71" s="810"/>
      <c r="K71" s="810"/>
      <c r="L71" s="810"/>
      <c r="M71" s="810"/>
      <c r="N71" s="810"/>
      <c r="O71" s="810"/>
      <c r="P71" s="810"/>
      <c r="Q71" s="810"/>
      <c r="R71" s="810"/>
      <c r="S71" s="810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79"/>
      <c r="AT71" s="573"/>
      <c r="AU71" s="568"/>
      <c r="AV71" s="568"/>
      <c r="AW71" s="568"/>
      <c r="AX71" s="568"/>
      <c r="AY71" s="568"/>
      <c r="AZ71" s="569"/>
      <c r="BA71" s="569"/>
      <c r="BB71" s="551"/>
      <c r="BC71" s="552"/>
      <c r="BD71" s="538"/>
      <c r="BE71" s="596"/>
      <c r="BF71" s="596"/>
      <c r="BG71" s="596"/>
      <c r="BH71" s="596"/>
      <c r="BI71" s="596"/>
      <c r="BJ71" s="596"/>
      <c r="BK71" s="596"/>
      <c r="BL71" s="596"/>
      <c r="BM71" s="597"/>
      <c r="BN71" s="597"/>
      <c r="BO71" s="597"/>
      <c r="BP71" s="597"/>
      <c r="BQ71" s="597"/>
      <c r="BR71" s="597"/>
      <c r="BS71" s="596"/>
      <c r="BT71" s="596"/>
    </row>
    <row r="72" spans="1:72" ht="12.6" customHeight="1">
      <c r="A72" s="540"/>
      <c r="B72" s="566"/>
      <c r="C72" s="575"/>
      <c r="D72" s="576"/>
      <c r="E72" s="627"/>
      <c r="F72" s="627"/>
      <c r="G72" s="627"/>
      <c r="H72" s="628"/>
      <c r="I72" s="628"/>
      <c r="J72" s="631" t="s">
        <v>387</v>
      </c>
      <c r="K72" s="631"/>
      <c r="L72" s="631"/>
      <c r="M72" s="631"/>
      <c r="N72" s="628"/>
      <c r="O72" s="628"/>
      <c r="P72" s="628"/>
      <c r="Q72" s="628"/>
      <c r="R72" s="628"/>
      <c r="S72" s="628"/>
      <c r="T72" s="579"/>
      <c r="U72" s="579"/>
      <c r="V72" s="579"/>
      <c r="W72" s="579"/>
      <c r="X72" s="579"/>
      <c r="Y72" s="579"/>
      <c r="Z72" s="579"/>
      <c r="AA72" s="579"/>
      <c r="AB72" s="579"/>
      <c r="AC72" s="579"/>
      <c r="AD72" s="579"/>
      <c r="AE72" s="579"/>
      <c r="AF72" s="579"/>
      <c r="AG72" s="579"/>
      <c r="AH72" s="579"/>
      <c r="AI72" s="579"/>
      <c r="AJ72" s="579"/>
      <c r="AK72" s="579"/>
      <c r="AL72" s="579"/>
      <c r="AM72" s="579"/>
      <c r="AN72" s="579"/>
      <c r="AO72" s="579"/>
      <c r="AP72" s="579"/>
      <c r="AQ72" s="579"/>
      <c r="AR72" s="579"/>
      <c r="AS72" s="581"/>
      <c r="AT72" s="577"/>
      <c r="AU72" s="577"/>
      <c r="AV72" s="577"/>
      <c r="AW72" s="577"/>
      <c r="AX72" s="577"/>
      <c r="AY72" s="577"/>
      <c r="AZ72" s="569"/>
      <c r="BA72" s="569"/>
      <c r="BB72" s="551"/>
      <c r="BC72" s="552"/>
      <c r="BD72" s="538"/>
      <c r="BE72" s="596"/>
      <c r="BF72" s="596"/>
      <c r="BG72" s="596"/>
      <c r="BH72" s="598"/>
      <c r="BI72" s="596"/>
      <c r="BJ72" s="596"/>
      <c r="BK72" s="596"/>
      <c r="BL72" s="596"/>
      <c r="BM72" s="597"/>
      <c r="BN72" s="597"/>
      <c r="BO72" s="597"/>
      <c r="BP72" s="597"/>
      <c r="BQ72" s="597"/>
      <c r="BR72" s="597"/>
      <c r="BS72" s="596"/>
      <c r="BT72" s="596"/>
    </row>
    <row r="73" spans="1:72" ht="12.6" customHeight="1">
      <c r="A73" s="540"/>
      <c r="B73" s="566"/>
      <c r="C73" s="575"/>
      <c r="D73" s="576"/>
      <c r="E73" s="627"/>
      <c r="F73" s="627"/>
      <c r="G73" s="627"/>
      <c r="H73" s="628"/>
      <c r="I73" s="628"/>
      <c r="J73" s="633"/>
      <c r="K73" s="633"/>
      <c r="L73" s="633"/>
      <c r="M73" s="633"/>
      <c r="N73" s="629"/>
      <c r="O73" s="630"/>
      <c r="P73" s="629"/>
      <c r="Q73" s="628"/>
      <c r="R73" s="628"/>
      <c r="S73" s="628"/>
      <c r="T73" s="580"/>
      <c r="U73" s="580"/>
      <c r="V73" s="580"/>
      <c r="W73" s="580"/>
      <c r="X73" s="580"/>
      <c r="Y73" s="583"/>
      <c r="Z73" s="580"/>
      <c r="AA73" s="579"/>
      <c r="AB73" s="583"/>
      <c r="AC73" s="580"/>
      <c r="AD73" s="579"/>
      <c r="AE73" s="583"/>
      <c r="AF73" s="579"/>
      <c r="AG73" s="579"/>
      <c r="AH73" s="583"/>
      <c r="AI73" s="579"/>
      <c r="AJ73" s="579"/>
      <c r="AK73" s="584"/>
      <c r="AL73" s="579"/>
      <c r="AM73" s="579"/>
      <c r="AN73" s="579"/>
      <c r="AO73" s="579"/>
      <c r="AP73" s="579"/>
      <c r="AQ73" s="579"/>
      <c r="AR73" s="579"/>
      <c r="AS73" s="579"/>
      <c r="AT73" s="568"/>
      <c r="AU73" s="568"/>
      <c r="AV73" s="568"/>
      <c r="AW73" s="568"/>
      <c r="AX73" s="568"/>
      <c r="AY73" s="568"/>
      <c r="AZ73" s="569"/>
      <c r="BA73" s="569"/>
      <c r="BB73" s="551"/>
      <c r="BC73" s="552"/>
      <c r="BD73" s="538"/>
      <c r="BE73" s="596"/>
      <c r="BF73" s="596"/>
      <c r="BG73" s="596"/>
      <c r="BH73" s="598"/>
      <c r="BI73" s="596"/>
      <c r="BJ73" s="596"/>
      <c r="BK73" s="596"/>
      <c r="BL73" s="596"/>
      <c r="BM73" s="597"/>
      <c r="BN73" s="597"/>
      <c r="BO73" s="597"/>
      <c r="BP73" s="597"/>
      <c r="BQ73" s="597"/>
      <c r="BR73" s="597"/>
      <c r="BS73" s="596"/>
      <c r="BT73" s="596"/>
    </row>
    <row r="74" spans="1:72" ht="12.6" customHeight="1">
      <c r="A74" s="540"/>
      <c r="B74" s="566"/>
      <c r="C74" s="575"/>
      <c r="D74" s="576"/>
      <c r="E74" s="627"/>
      <c r="F74" s="627"/>
      <c r="G74" s="627"/>
      <c r="H74" s="628"/>
      <c r="I74" s="628"/>
      <c r="J74" s="771"/>
      <c r="K74" s="771"/>
      <c r="L74" s="771"/>
      <c r="M74" s="771"/>
      <c r="N74" s="629"/>
      <c r="O74" s="630"/>
      <c r="P74" s="629"/>
      <c r="Q74" s="628"/>
      <c r="R74" s="628"/>
      <c r="S74" s="628"/>
      <c r="T74" s="580"/>
      <c r="U74" s="580"/>
      <c r="V74" s="580"/>
      <c r="W74" s="580"/>
      <c r="X74" s="580"/>
      <c r="Y74" s="583"/>
      <c r="Z74" s="580"/>
      <c r="AA74" s="579"/>
      <c r="AB74" s="583"/>
      <c r="AC74" s="580"/>
      <c r="AD74" s="579"/>
      <c r="AE74" s="583"/>
      <c r="AF74" s="579"/>
      <c r="AG74" s="579"/>
      <c r="AH74" s="583"/>
      <c r="AI74" s="579"/>
      <c r="AJ74" s="579"/>
      <c r="AK74" s="584"/>
      <c r="AL74" s="579"/>
      <c r="AM74" s="579"/>
      <c r="AN74" s="579"/>
      <c r="AO74" s="579"/>
      <c r="AP74" s="579"/>
      <c r="AQ74" s="579"/>
      <c r="AR74" s="579"/>
      <c r="AS74" s="579"/>
      <c r="AT74" s="568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6"/>
      <c r="BT74" s="596"/>
    </row>
    <row r="75" spans="1:72" ht="12.6" customHeight="1">
      <c r="A75" s="540"/>
      <c r="B75" s="566"/>
      <c r="C75" s="567"/>
      <c r="D75" s="567"/>
      <c r="E75" s="626"/>
      <c r="F75" s="626"/>
      <c r="G75" s="626"/>
      <c r="H75" s="626"/>
      <c r="I75" s="626"/>
      <c r="J75" s="626"/>
      <c r="K75" s="626"/>
      <c r="L75" s="626"/>
      <c r="M75" s="626"/>
      <c r="N75" s="626"/>
      <c r="O75" s="626"/>
      <c r="P75" s="626"/>
      <c r="Q75" s="626"/>
      <c r="R75" s="626"/>
      <c r="S75" s="626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9"/>
      <c r="BA75" s="569"/>
      <c r="BB75" s="551"/>
      <c r="BC75" s="552"/>
      <c r="BD75" s="538"/>
      <c r="BE75" s="596"/>
      <c r="BF75" s="596"/>
      <c r="BG75" s="596"/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6" customHeight="1">
      <c r="A76" s="540"/>
      <c r="B76" s="566"/>
      <c r="C76" s="575"/>
      <c r="D76" s="576"/>
      <c r="E76" s="626"/>
      <c r="F76" s="626"/>
      <c r="G76" s="626"/>
      <c r="H76" s="626"/>
      <c r="I76" s="626"/>
      <c r="J76" s="626"/>
      <c r="K76" s="626"/>
      <c r="L76" s="626"/>
      <c r="M76" s="626"/>
      <c r="N76" s="626"/>
      <c r="O76" s="626"/>
      <c r="P76" s="626"/>
      <c r="Q76" s="626"/>
      <c r="R76" s="626"/>
      <c r="S76" s="626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8"/>
      <c r="BI76" s="596"/>
      <c r="BJ76" s="596"/>
      <c r="BK76" s="596"/>
      <c r="BL76" s="596"/>
      <c r="BM76" s="596"/>
      <c r="BN76" s="596"/>
      <c r="BO76" s="596"/>
      <c r="BP76" s="596"/>
      <c r="BQ76" s="596"/>
      <c r="BR76" s="596"/>
      <c r="BS76" s="596"/>
      <c r="BT76" s="596"/>
    </row>
    <row r="77" spans="1:72" ht="12.6" customHeight="1">
      <c r="A77" s="540"/>
      <c r="B77" s="566"/>
      <c r="C77" s="575"/>
      <c r="D77" s="576"/>
      <c r="E77" s="568"/>
      <c r="F77" s="568"/>
      <c r="G77" s="568"/>
      <c r="H77" s="579"/>
      <c r="I77" s="579"/>
      <c r="J77" s="579"/>
      <c r="K77" s="579"/>
      <c r="L77" s="579"/>
      <c r="M77" s="579"/>
      <c r="N77" s="579"/>
      <c r="O77" s="579"/>
      <c r="P77" s="579"/>
      <c r="Q77" s="579"/>
      <c r="R77" s="579"/>
      <c r="S77" s="579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6"/>
      <c r="BI77" s="596"/>
      <c r="BJ77" s="596"/>
      <c r="BK77" s="596"/>
      <c r="BL77" s="596"/>
      <c r="BM77" s="596"/>
      <c r="BN77" s="596"/>
      <c r="BO77" s="596"/>
      <c r="BP77" s="596"/>
      <c r="BQ77" s="596"/>
      <c r="BR77" s="596"/>
      <c r="BS77" s="596"/>
      <c r="BT77" s="596"/>
    </row>
    <row r="78" spans="1:72" ht="12.6" customHeight="1">
      <c r="A78" s="540"/>
      <c r="B78" s="566"/>
      <c r="C78" s="575"/>
      <c r="D78" s="576"/>
      <c r="E78" s="568"/>
      <c r="F78" s="568"/>
      <c r="G78" s="568"/>
      <c r="H78" s="579"/>
      <c r="I78" s="579"/>
      <c r="J78" s="760"/>
      <c r="K78" s="760"/>
      <c r="L78" s="760"/>
      <c r="M78" s="760"/>
      <c r="N78" s="582"/>
      <c r="O78" s="583"/>
      <c r="P78" s="582"/>
      <c r="Q78" s="579"/>
      <c r="R78" s="579"/>
      <c r="S78" s="579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6"/>
      <c r="BI78" s="596"/>
      <c r="BJ78" s="596"/>
      <c r="BK78" s="596"/>
      <c r="BL78" s="596"/>
      <c r="BM78" s="596"/>
      <c r="BN78" s="596"/>
      <c r="BO78" s="596"/>
      <c r="BP78" s="596"/>
      <c r="BQ78" s="596"/>
      <c r="BR78" s="596"/>
      <c r="BS78" s="596"/>
      <c r="BT78" s="596"/>
    </row>
    <row r="79" spans="1:72" ht="12.6" customHeight="1">
      <c r="A79" s="540"/>
      <c r="B79" s="566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9"/>
      <c r="BA79" s="569"/>
      <c r="BB79" s="551"/>
      <c r="BC79" s="552"/>
      <c r="BD79" s="538"/>
      <c r="BE79" s="596"/>
      <c r="BF79" s="596"/>
      <c r="BG79" s="596"/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6" customHeight="1">
      <c r="A80" s="540"/>
      <c r="B80" s="574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36"/>
      <c r="BC80" s="537"/>
      <c r="BD80" s="538"/>
      <c r="BE80" s="596"/>
      <c r="BF80" s="596"/>
      <c r="BG80" s="596"/>
      <c r="BH80" s="596"/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4.25">
      <c r="A81" s="540"/>
      <c r="B81" s="620"/>
      <c r="C81" s="621"/>
      <c r="D81" s="621"/>
      <c r="E81" s="621"/>
      <c r="F81" s="621"/>
      <c r="G81" s="621"/>
      <c r="H81" s="621"/>
      <c r="I81" s="621"/>
      <c r="J81" s="621"/>
      <c r="K81" s="621"/>
      <c r="L81" s="621"/>
      <c r="M81" s="621"/>
      <c r="N81" s="621"/>
      <c r="O81" s="621"/>
      <c r="P81" s="621"/>
      <c r="Q81" s="621"/>
      <c r="R81" s="621"/>
      <c r="S81" s="622"/>
      <c r="T81" s="622"/>
      <c r="U81" s="622"/>
      <c r="V81" s="622"/>
      <c r="W81" s="621"/>
      <c r="X81" s="621"/>
      <c r="Y81" s="622"/>
      <c r="Z81" s="623"/>
      <c r="AA81" s="621"/>
      <c r="AB81" s="621"/>
      <c r="AC81" s="621"/>
      <c r="AD81" s="622"/>
      <c r="AE81" s="622"/>
      <c r="AF81" s="622"/>
      <c r="AG81" s="622"/>
      <c r="AH81" s="622"/>
      <c r="AI81" s="622"/>
      <c r="AJ81" s="622"/>
      <c r="AK81" s="622"/>
      <c r="AL81" s="622"/>
      <c r="AM81" s="622"/>
      <c r="AN81" s="622"/>
      <c r="AO81" s="622"/>
      <c r="AP81" s="622"/>
      <c r="AQ81" s="622"/>
      <c r="AR81" s="622"/>
      <c r="AS81" s="622"/>
      <c r="AT81" s="622"/>
      <c r="AU81" s="622"/>
      <c r="AV81" s="622"/>
      <c r="AW81" s="622"/>
      <c r="AX81" s="622"/>
      <c r="AY81" s="624"/>
      <c r="AZ81" s="578"/>
      <c r="BA81" s="569"/>
      <c r="BB81" s="551"/>
      <c r="BC81" s="552"/>
      <c r="BD81" s="553"/>
      <c r="BE81" s="596"/>
      <c r="BF81" s="596"/>
      <c r="BG81" s="596"/>
      <c r="BH81" s="596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5.75">
      <c r="A82" s="554"/>
      <c r="B82" s="599"/>
      <c r="C82" s="600"/>
      <c r="D82" s="600"/>
      <c r="E82" s="600"/>
      <c r="F82" s="600"/>
      <c r="G82" s="600"/>
      <c r="H82" s="600"/>
      <c r="I82" s="600"/>
      <c r="J82" s="600"/>
      <c r="K82" s="600"/>
      <c r="L82" s="600"/>
      <c r="M82" s="600"/>
      <c r="N82" s="600"/>
      <c r="O82" s="600"/>
      <c r="P82" s="600"/>
      <c r="Q82" s="600"/>
      <c r="R82" s="600"/>
      <c r="S82" s="601"/>
      <c r="T82" s="601"/>
      <c r="U82" s="601"/>
      <c r="V82" s="601"/>
      <c r="W82" s="600"/>
      <c r="X82" s="600"/>
      <c r="Y82" s="601"/>
      <c r="Z82" s="601"/>
      <c r="AA82" s="600"/>
      <c r="AB82" s="600"/>
      <c r="AC82" s="600"/>
      <c r="AD82" s="601"/>
      <c r="AE82" s="601"/>
      <c r="AF82" s="601"/>
      <c r="AG82" s="601"/>
      <c r="AH82" s="601"/>
      <c r="AI82" s="601"/>
      <c r="AJ82" s="601"/>
      <c r="AK82" s="601"/>
      <c r="AL82" s="601"/>
      <c r="AM82" s="601"/>
      <c r="AN82" s="601"/>
      <c r="AO82" s="601"/>
      <c r="AP82" s="601"/>
      <c r="AQ82" s="601"/>
      <c r="AR82" s="601"/>
      <c r="AS82" s="601"/>
      <c r="AT82" s="601"/>
      <c r="AU82" s="601"/>
      <c r="AV82" s="601"/>
      <c r="AW82" s="601"/>
      <c r="AX82" s="601"/>
      <c r="AY82" s="599"/>
      <c r="AZ82" s="599"/>
      <c r="BA82" s="578"/>
      <c r="BB82" s="603"/>
      <c r="BC82" s="552"/>
      <c r="BD82" s="553"/>
      <c r="BE82" s="596"/>
      <c r="BF82" s="596"/>
      <c r="BG82" s="596"/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6" customHeight="1">
      <c r="A83" s="540"/>
      <c r="B83" s="634"/>
      <c r="C83" s="635"/>
      <c r="D83" s="636"/>
      <c r="E83" s="637"/>
      <c r="F83" s="637"/>
      <c r="G83" s="637"/>
      <c r="H83" s="638"/>
      <c r="I83" s="638"/>
      <c r="J83" s="773"/>
      <c r="K83" s="773"/>
      <c r="L83" s="773"/>
      <c r="M83" s="773"/>
      <c r="N83" s="639"/>
      <c r="O83" s="640"/>
      <c r="P83" s="639"/>
      <c r="Q83" s="638"/>
      <c r="R83" s="638"/>
      <c r="S83" s="638"/>
      <c r="T83" s="641"/>
      <c r="U83" s="641"/>
      <c r="V83" s="641"/>
      <c r="W83" s="641"/>
      <c r="X83" s="641"/>
      <c r="Y83" s="640"/>
      <c r="Z83" s="641"/>
      <c r="AA83" s="638"/>
      <c r="AB83" s="640"/>
      <c r="AC83" s="641"/>
      <c r="AD83" s="638"/>
      <c r="AE83" s="640"/>
      <c r="AF83" s="638"/>
      <c r="AG83" s="638"/>
      <c r="AH83" s="640"/>
      <c r="AI83" s="638"/>
      <c r="AJ83" s="638"/>
      <c r="AK83" s="642"/>
      <c r="AL83" s="638"/>
      <c r="AM83" s="638"/>
      <c r="AN83" s="638"/>
      <c r="AO83" s="638"/>
      <c r="AP83" s="638"/>
      <c r="AQ83" s="638"/>
      <c r="AR83" s="638"/>
      <c r="AS83" s="638"/>
      <c r="AT83" s="637"/>
      <c r="AU83" s="637"/>
      <c r="AV83" s="637"/>
      <c r="AW83" s="637"/>
      <c r="AX83" s="637"/>
      <c r="AY83" s="637"/>
      <c r="AZ83" s="602"/>
      <c r="BA83" s="569"/>
      <c r="BB83" s="551"/>
      <c r="BC83" s="552"/>
      <c r="BD83" s="538"/>
      <c r="BE83" s="596"/>
      <c r="BF83" s="596"/>
      <c r="BG83" s="596"/>
      <c r="BH83" s="596"/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6" customHeight="1">
      <c r="A84" s="540"/>
      <c r="B84" s="567"/>
      <c r="C84" s="575"/>
      <c r="D84" s="576"/>
      <c r="E84" s="568"/>
      <c r="F84" s="568"/>
      <c r="G84" s="568"/>
      <c r="H84" s="579"/>
      <c r="I84" s="579"/>
      <c r="J84" s="760"/>
      <c r="K84" s="760"/>
      <c r="L84" s="760"/>
      <c r="M84" s="760"/>
      <c r="N84" s="582"/>
      <c r="O84" s="583"/>
      <c r="P84" s="582"/>
      <c r="Q84" s="579"/>
      <c r="R84" s="579"/>
      <c r="S84" s="579"/>
      <c r="T84" s="580"/>
      <c r="U84" s="580"/>
      <c r="V84" s="580"/>
      <c r="W84" s="580"/>
      <c r="X84" s="580"/>
      <c r="Y84" s="583"/>
      <c r="Z84" s="580"/>
      <c r="AA84" s="579"/>
      <c r="AB84" s="583"/>
      <c r="AC84" s="580"/>
      <c r="AD84" s="579"/>
      <c r="AE84" s="583"/>
      <c r="AF84" s="579"/>
      <c r="AG84" s="579"/>
      <c r="AH84" s="583"/>
      <c r="AI84" s="579"/>
      <c r="AJ84" s="579"/>
      <c r="AK84" s="584"/>
      <c r="AL84" s="579"/>
      <c r="AM84" s="579"/>
      <c r="AN84" s="579"/>
      <c r="AO84" s="579"/>
      <c r="AP84" s="579"/>
      <c r="AQ84" s="579"/>
      <c r="AR84" s="579"/>
      <c r="AS84" s="579"/>
      <c r="AT84" s="568"/>
      <c r="AU84" s="568"/>
      <c r="AV84" s="568"/>
      <c r="AW84" s="568"/>
      <c r="AX84" s="568"/>
      <c r="AY84" s="568"/>
      <c r="AZ84" s="565"/>
      <c r="BA84" s="569"/>
      <c r="BB84" s="551"/>
      <c r="BC84" s="552"/>
      <c r="BD84" s="538"/>
      <c r="BE84" s="596"/>
      <c r="BF84" s="596"/>
      <c r="BG84" s="596"/>
      <c r="BH84" s="596"/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6" customHeight="1">
      <c r="A85" s="540"/>
      <c r="B85" s="567"/>
      <c r="C85" s="575"/>
      <c r="D85" s="576"/>
      <c r="E85" s="568"/>
      <c r="F85" s="568"/>
      <c r="G85" s="568"/>
      <c r="H85" s="579"/>
      <c r="I85" s="579"/>
      <c r="J85" s="760"/>
      <c r="K85" s="760"/>
      <c r="L85" s="760"/>
      <c r="M85" s="760"/>
      <c r="N85" s="582"/>
      <c r="O85" s="583"/>
      <c r="P85" s="582"/>
      <c r="Q85" s="579"/>
      <c r="R85" s="579"/>
      <c r="S85" s="579"/>
      <c r="T85" s="580"/>
      <c r="U85" s="580"/>
      <c r="V85" s="580"/>
      <c r="W85" s="580"/>
      <c r="X85" s="580"/>
      <c r="Y85" s="583"/>
      <c r="Z85" s="580"/>
      <c r="AA85" s="579"/>
      <c r="AB85" s="583"/>
      <c r="AC85" s="580"/>
      <c r="AD85" s="579"/>
      <c r="AE85" s="583"/>
      <c r="AF85" s="579"/>
      <c r="AG85" s="579"/>
      <c r="AH85" s="583"/>
      <c r="AI85" s="579"/>
      <c r="AJ85" s="579"/>
      <c r="AK85" s="584"/>
      <c r="AL85" s="579"/>
      <c r="AM85" s="579"/>
      <c r="AN85" s="579"/>
      <c r="AO85" s="579"/>
      <c r="AP85" s="579"/>
      <c r="AQ85" s="579"/>
      <c r="AR85" s="579"/>
      <c r="AS85" s="579"/>
      <c r="AT85" s="568"/>
      <c r="AU85" s="568"/>
      <c r="AV85" s="568"/>
      <c r="AW85" s="568"/>
      <c r="AX85" s="568"/>
      <c r="AY85" s="568"/>
      <c r="AZ85" s="565"/>
      <c r="BA85" s="569"/>
      <c r="BB85" s="551"/>
      <c r="BC85" s="552"/>
      <c r="BD85" s="538"/>
      <c r="BE85" s="596"/>
      <c r="BF85" s="596"/>
      <c r="BG85" s="596"/>
      <c r="BH85" s="596"/>
      <c r="BI85" s="596"/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2.6" customHeight="1">
      <c r="A86" s="540"/>
      <c r="B86" s="567"/>
      <c r="C86" s="575"/>
      <c r="D86" s="576"/>
      <c r="E86" s="568"/>
      <c r="F86" s="568"/>
      <c r="G86" s="568"/>
      <c r="H86" s="579"/>
      <c r="I86" s="579"/>
      <c r="J86" s="760"/>
      <c r="K86" s="760"/>
      <c r="L86" s="760"/>
      <c r="M86" s="760"/>
      <c r="N86" s="582"/>
      <c r="O86" s="583"/>
      <c r="P86" s="582"/>
      <c r="Q86" s="579"/>
      <c r="R86" s="579"/>
      <c r="S86" s="579"/>
      <c r="T86" s="580"/>
      <c r="U86" s="580"/>
      <c r="V86" s="580"/>
      <c r="W86" s="580"/>
      <c r="X86" s="580"/>
      <c r="Y86" s="583"/>
      <c r="Z86" s="580"/>
      <c r="AA86" s="579"/>
      <c r="AB86" s="583"/>
      <c r="AC86" s="580"/>
      <c r="AD86" s="579"/>
      <c r="AE86" s="583"/>
      <c r="AF86" s="579"/>
      <c r="AG86" s="579"/>
      <c r="AH86" s="583"/>
      <c r="AI86" s="579"/>
      <c r="AJ86" s="579"/>
      <c r="AK86" s="584"/>
      <c r="AL86" s="579"/>
      <c r="AM86" s="579"/>
      <c r="AN86" s="579"/>
      <c r="AO86" s="579"/>
      <c r="AP86" s="579"/>
      <c r="AQ86" s="579"/>
      <c r="AR86" s="579"/>
      <c r="AS86" s="579"/>
      <c r="AT86" s="568"/>
      <c r="AU86" s="568"/>
      <c r="AV86" s="568"/>
      <c r="AW86" s="568"/>
      <c r="AX86" s="568"/>
      <c r="AY86" s="568"/>
      <c r="AZ86" s="565"/>
      <c r="BA86" s="569"/>
      <c r="BB86" s="551"/>
      <c r="BC86" s="552"/>
      <c r="BD86" s="538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2.6" customHeight="1">
      <c r="A87" s="540"/>
      <c r="B87" s="567"/>
      <c r="C87" s="575"/>
      <c r="D87" s="576"/>
      <c r="E87" s="568"/>
      <c r="F87" s="568"/>
      <c r="G87" s="568"/>
      <c r="H87" s="579"/>
      <c r="I87" s="579"/>
      <c r="J87" s="760"/>
      <c r="K87" s="760"/>
      <c r="L87" s="760"/>
      <c r="M87" s="760"/>
      <c r="N87" s="582"/>
      <c r="O87" s="583"/>
      <c r="P87" s="582"/>
      <c r="Q87" s="579"/>
      <c r="R87" s="579"/>
      <c r="S87" s="579"/>
      <c r="T87" s="580"/>
      <c r="U87" s="580"/>
      <c r="V87" s="580"/>
      <c r="W87" s="580"/>
      <c r="X87" s="580"/>
      <c r="Y87" s="583"/>
      <c r="Z87" s="580"/>
      <c r="AA87" s="579"/>
      <c r="AB87" s="583"/>
      <c r="AC87" s="580"/>
      <c r="AD87" s="579"/>
      <c r="AE87" s="583"/>
      <c r="AF87" s="579"/>
      <c r="AG87" s="579"/>
      <c r="AH87" s="583"/>
      <c r="AI87" s="579"/>
      <c r="AJ87" s="579"/>
      <c r="AK87" s="584"/>
      <c r="AL87" s="579"/>
      <c r="AM87" s="579"/>
      <c r="AN87" s="579"/>
      <c r="AO87" s="579"/>
      <c r="AP87" s="579"/>
      <c r="AQ87" s="579"/>
      <c r="AR87" s="579"/>
      <c r="AS87" s="579"/>
      <c r="AT87" s="568"/>
      <c r="AU87" s="568"/>
      <c r="AV87" s="568"/>
      <c r="AW87" s="568"/>
      <c r="AX87" s="568"/>
      <c r="AY87" s="568"/>
      <c r="AZ87" s="565"/>
      <c r="BA87" s="569"/>
      <c r="BB87" s="551"/>
      <c r="BC87" s="552"/>
      <c r="BD87" s="538"/>
      <c r="BE87" s="596"/>
      <c r="BF87" s="596"/>
      <c r="BG87" s="596"/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6" customHeight="1">
      <c r="A88" s="540"/>
      <c r="B88" s="567"/>
      <c r="C88" s="575"/>
      <c r="D88" s="576"/>
      <c r="E88" s="568"/>
      <c r="F88" s="568"/>
      <c r="G88" s="568"/>
      <c r="H88" s="579"/>
      <c r="I88" s="579"/>
      <c r="J88" s="760"/>
      <c r="K88" s="760"/>
      <c r="L88" s="760"/>
      <c r="M88" s="760"/>
      <c r="N88" s="582"/>
      <c r="O88" s="583"/>
      <c r="P88" s="582"/>
      <c r="Q88" s="579"/>
      <c r="R88" s="579"/>
      <c r="S88" s="579"/>
      <c r="T88" s="580"/>
      <c r="U88" s="580"/>
      <c r="V88" s="580"/>
      <c r="W88" s="580"/>
      <c r="X88" s="580"/>
      <c r="Y88" s="583"/>
      <c r="Z88" s="580"/>
      <c r="AA88" s="579"/>
      <c r="AB88" s="583"/>
      <c r="AC88" s="580"/>
      <c r="AD88" s="579"/>
      <c r="AE88" s="583"/>
      <c r="AF88" s="579"/>
      <c r="AG88" s="579"/>
      <c r="AH88" s="583"/>
      <c r="AI88" s="579"/>
      <c r="AJ88" s="579"/>
      <c r="AK88" s="584"/>
      <c r="AL88" s="579"/>
      <c r="AM88" s="579"/>
      <c r="AN88" s="579"/>
      <c r="AO88" s="579"/>
      <c r="AP88" s="579"/>
      <c r="AQ88" s="579"/>
      <c r="AR88" s="579"/>
      <c r="AS88" s="579"/>
      <c r="AT88" s="568"/>
      <c r="AU88" s="568"/>
      <c r="AV88" s="568"/>
      <c r="AW88" s="568"/>
      <c r="AX88" s="568"/>
      <c r="AY88" s="568"/>
      <c r="AZ88" s="565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6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60"/>
      <c r="K89" s="760"/>
      <c r="L89" s="760"/>
      <c r="M89" s="760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6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60"/>
      <c r="K90" s="760"/>
      <c r="L90" s="760"/>
      <c r="M90" s="760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6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60"/>
      <c r="K91" s="760"/>
      <c r="L91" s="760"/>
      <c r="M91" s="760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6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60"/>
      <c r="K92" s="760"/>
      <c r="L92" s="760"/>
      <c r="M92" s="760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6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60"/>
      <c r="K93" s="760"/>
      <c r="L93" s="760"/>
      <c r="M93" s="760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/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6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60"/>
      <c r="K94" s="760"/>
      <c r="L94" s="760"/>
      <c r="M94" s="760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6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60"/>
      <c r="K95" s="760"/>
      <c r="L95" s="760"/>
      <c r="M95" s="760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6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60"/>
      <c r="K96" s="760"/>
      <c r="L96" s="760"/>
      <c r="M96" s="760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6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60"/>
      <c r="K97" s="760"/>
      <c r="L97" s="760"/>
      <c r="M97" s="760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6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60"/>
      <c r="K98" s="760"/>
      <c r="L98" s="760"/>
      <c r="M98" s="760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6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60"/>
      <c r="K99" s="760"/>
      <c r="L99" s="760"/>
      <c r="M99" s="760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6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60"/>
      <c r="K100" s="760"/>
      <c r="L100" s="760"/>
      <c r="M100" s="760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6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60"/>
      <c r="K101" s="760"/>
      <c r="L101" s="760"/>
      <c r="M101" s="760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/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6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60"/>
      <c r="K102" s="760"/>
      <c r="L102" s="760"/>
      <c r="M102" s="760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6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60"/>
      <c r="K103" s="760"/>
      <c r="L103" s="760"/>
      <c r="M103" s="760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6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60"/>
      <c r="K104" s="760"/>
      <c r="L104" s="760"/>
      <c r="M104" s="760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6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60"/>
      <c r="K105" s="760"/>
      <c r="L105" s="760"/>
      <c r="M105" s="760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/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6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60"/>
      <c r="K106" s="760"/>
      <c r="L106" s="760"/>
      <c r="M106" s="760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/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6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60"/>
      <c r="K107" s="760"/>
      <c r="L107" s="760"/>
      <c r="M107" s="760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/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6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60"/>
      <c r="K108" s="760"/>
      <c r="L108" s="760"/>
      <c r="M108" s="760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6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654"/>
      <c r="K109" s="654"/>
      <c r="L109" s="654"/>
      <c r="M109" s="654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6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654"/>
      <c r="K110" s="654"/>
      <c r="L110" s="654"/>
      <c r="M110" s="654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6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654"/>
      <c r="K111" s="654"/>
      <c r="L111" s="654"/>
      <c r="M111" s="654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6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654"/>
      <c r="K112" s="654"/>
      <c r="L112" s="654"/>
      <c r="M112" s="654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6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654"/>
      <c r="K113" s="654"/>
      <c r="L113" s="654"/>
      <c r="M113" s="654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4.25">
      <c r="A114" s="540"/>
      <c r="B114" s="567"/>
      <c r="C114" s="575"/>
      <c r="D114" s="576"/>
      <c r="E114" s="568"/>
      <c r="F114" s="568"/>
      <c r="G114" s="568"/>
      <c r="H114" s="579"/>
      <c r="I114" s="579"/>
      <c r="J114" s="654"/>
      <c r="K114" s="654"/>
      <c r="L114" s="654"/>
      <c r="M114" s="654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53"/>
      <c r="BE114" s="596"/>
      <c r="BF114" s="596"/>
      <c r="BG114" s="596"/>
      <c r="BH114" s="596"/>
      <c r="BI114" s="596"/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4.25">
      <c r="A115" s="540"/>
      <c r="B115" s="567"/>
      <c r="C115" s="575"/>
      <c r="D115" s="576"/>
      <c r="E115" s="568"/>
      <c r="F115" s="568"/>
      <c r="G115" s="568"/>
      <c r="H115" s="579"/>
      <c r="I115" s="579"/>
      <c r="J115" s="654"/>
      <c r="K115" s="654"/>
      <c r="L115" s="654"/>
      <c r="M115" s="654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53"/>
      <c r="BE115" s="596"/>
      <c r="BF115" s="596"/>
      <c r="BG115" s="596"/>
      <c r="BH115" s="596"/>
      <c r="BI115" s="596"/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4.25">
      <c r="A116" s="540"/>
      <c r="B116" s="567"/>
      <c r="C116" s="575"/>
      <c r="D116" s="576"/>
      <c r="E116" s="568"/>
      <c r="F116" s="568"/>
      <c r="G116" s="568"/>
      <c r="H116" s="579"/>
      <c r="I116" s="579"/>
      <c r="J116" s="654"/>
      <c r="K116" s="654"/>
      <c r="L116" s="654"/>
      <c r="M116" s="654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53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4.25">
      <c r="A117" s="540"/>
      <c r="B117" s="567"/>
      <c r="C117" s="575"/>
      <c r="D117" s="576"/>
      <c r="E117" s="568"/>
      <c r="F117" s="568"/>
      <c r="G117" s="568"/>
      <c r="H117" s="579"/>
      <c r="I117" s="579"/>
      <c r="J117" s="654"/>
      <c r="K117" s="654"/>
      <c r="L117" s="654"/>
      <c r="M117" s="654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53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4.25">
      <c r="A118" s="554"/>
      <c r="B118" s="643"/>
      <c r="C118" s="644"/>
      <c r="D118" s="645"/>
      <c r="E118" s="646"/>
      <c r="F118" s="646"/>
      <c r="G118" s="646"/>
      <c r="H118" s="647"/>
      <c r="I118" s="647"/>
      <c r="J118" s="648"/>
      <c r="K118" s="648"/>
      <c r="L118" s="648"/>
      <c r="M118" s="648"/>
      <c r="N118" s="649"/>
      <c r="O118" s="650"/>
      <c r="P118" s="649"/>
      <c r="Q118" s="647"/>
      <c r="R118" s="647"/>
      <c r="S118" s="647"/>
      <c r="T118" s="651"/>
      <c r="U118" s="651"/>
      <c r="V118" s="651"/>
      <c r="W118" s="651"/>
      <c r="X118" s="651"/>
      <c r="Y118" s="650"/>
      <c r="Z118" s="651"/>
      <c r="AA118" s="647"/>
      <c r="AB118" s="650"/>
      <c r="AC118" s="651"/>
      <c r="AD118" s="647"/>
      <c r="AE118" s="650"/>
      <c r="AF118" s="647"/>
      <c r="AG118" s="647"/>
      <c r="AH118" s="650"/>
      <c r="AI118" s="647"/>
      <c r="AJ118" s="647"/>
      <c r="AK118" s="652"/>
      <c r="AL118" s="647"/>
      <c r="AM118" s="647"/>
      <c r="AN118" s="647"/>
      <c r="AO118" s="647"/>
      <c r="AP118" s="647"/>
      <c r="AQ118" s="647"/>
      <c r="AR118" s="647"/>
      <c r="AS118" s="647"/>
      <c r="AT118" s="646"/>
      <c r="AU118" s="646"/>
      <c r="AV118" s="646"/>
      <c r="AW118" s="646"/>
      <c r="AX118" s="646"/>
      <c r="AY118" s="646"/>
      <c r="AZ118" s="599"/>
      <c r="BA118" s="578"/>
      <c r="BB118" s="555"/>
      <c r="BC118" s="556"/>
      <c r="BD118" s="553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5.75">
      <c r="A119" s="539"/>
      <c r="B119" s="539"/>
      <c r="C119" s="539"/>
      <c r="D119" s="539"/>
      <c r="E119" s="539"/>
      <c r="F119" s="539"/>
      <c r="G119" s="539"/>
      <c r="H119" s="539"/>
      <c r="I119" s="539"/>
      <c r="J119" s="539"/>
      <c r="K119" s="539"/>
      <c r="L119" s="539"/>
      <c r="M119" s="539"/>
      <c r="N119" s="539"/>
      <c r="O119" s="539"/>
      <c r="P119" s="539"/>
      <c r="Q119" s="539"/>
      <c r="R119" s="539"/>
      <c r="S119" s="557"/>
      <c r="T119" s="557"/>
      <c r="U119" s="557"/>
      <c r="V119" s="557"/>
      <c r="W119" s="539"/>
      <c r="X119" s="539"/>
      <c r="Y119" s="557"/>
      <c r="Z119" s="557"/>
      <c r="AA119" s="539"/>
      <c r="AB119" s="539"/>
      <c r="AC119" s="539"/>
      <c r="AD119" s="557"/>
      <c r="AE119" s="557"/>
      <c r="AF119" s="557"/>
      <c r="AG119" s="557"/>
      <c r="AH119" s="557"/>
      <c r="AI119" s="557"/>
      <c r="AJ119" s="557"/>
      <c r="AK119" s="557"/>
      <c r="AL119" s="557"/>
      <c r="AM119" s="557"/>
      <c r="AN119" s="557"/>
      <c r="AO119" s="557"/>
      <c r="AP119" s="557"/>
      <c r="AQ119" s="557"/>
      <c r="AR119" s="557"/>
      <c r="AS119" s="557"/>
      <c r="AT119" s="557"/>
      <c r="AU119" s="557"/>
      <c r="AV119" s="557"/>
      <c r="AW119" s="557"/>
      <c r="AX119" s="557"/>
      <c r="AY119" s="557"/>
      <c r="AZ119" s="557"/>
      <c r="BA119" s="557"/>
      <c r="BB119" s="557"/>
      <c r="BC119" s="557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5.75">
      <c r="A120" s="539"/>
      <c r="B120" s="539"/>
      <c r="C120" s="539"/>
      <c r="D120" s="539"/>
      <c r="E120" s="539"/>
      <c r="F120" s="539"/>
      <c r="G120" s="539"/>
      <c r="H120" s="539"/>
      <c r="I120" s="539"/>
      <c r="J120" s="539"/>
      <c r="K120" s="539"/>
      <c r="L120" s="539"/>
      <c r="M120" s="539"/>
      <c r="N120" s="539"/>
      <c r="O120" s="539"/>
      <c r="P120" s="539"/>
      <c r="Q120" s="539"/>
      <c r="R120" s="539"/>
      <c r="S120" s="557"/>
      <c r="T120" s="557"/>
      <c r="U120" s="557"/>
      <c r="V120" s="557"/>
      <c r="W120" s="539"/>
      <c r="X120" s="539"/>
      <c r="Y120" s="557"/>
      <c r="Z120" s="557"/>
      <c r="AA120" s="539"/>
      <c r="AB120" s="539"/>
      <c r="AC120" s="539"/>
      <c r="AD120" s="557"/>
      <c r="AE120" s="557"/>
      <c r="AF120" s="557"/>
      <c r="AG120" s="557"/>
      <c r="AH120" s="557"/>
      <c r="AI120" s="557"/>
      <c r="AJ120" s="557"/>
      <c r="AK120" s="557"/>
      <c r="AL120" s="557"/>
      <c r="AM120" s="557"/>
      <c r="AN120" s="557"/>
      <c r="AO120" s="557"/>
      <c r="AP120" s="557"/>
      <c r="AQ120" s="557"/>
      <c r="AR120" s="557"/>
      <c r="AS120" s="557"/>
      <c r="AT120" s="557"/>
      <c r="AU120" s="557"/>
      <c r="AV120" s="557"/>
      <c r="AW120" s="557"/>
      <c r="AX120" s="557"/>
      <c r="AY120" s="557"/>
      <c r="AZ120" s="557"/>
      <c r="BA120" s="557"/>
      <c r="BB120" s="557"/>
      <c r="BC120" s="557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5.75">
      <c r="A121" s="539"/>
      <c r="B121" s="539"/>
      <c r="C121" s="539"/>
      <c r="D121" s="539"/>
      <c r="E121" s="539"/>
      <c r="F121" s="539"/>
      <c r="G121" s="539"/>
      <c r="H121" s="539"/>
      <c r="I121" s="539"/>
      <c r="J121" s="539"/>
      <c r="K121" s="539"/>
      <c r="L121" s="539"/>
      <c r="M121" s="539"/>
      <c r="N121" s="539"/>
      <c r="O121" s="539"/>
      <c r="P121" s="539"/>
      <c r="Q121" s="539"/>
      <c r="R121" s="539"/>
      <c r="S121" s="557"/>
      <c r="T121" s="557"/>
      <c r="U121" s="557"/>
      <c r="V121" s="557"/>
      <c r="W121" s="539"/>
      <c r="X121" s="539"/>
      <c r="Y121" s="557"/>
      <c r="Z121" s="557"/>
      <c r="AA121" s="539"/>
      <c r="AB121" s="539"/>
      <c r="AC121" s="539"/>
      <c r="AD121" s="557"/>
      <c r="AE121" s="557"/>
      <c r="AF121" s="557"/>
      <c r="AG121" s="557"/>
      <c r="AH121" s="557"/>
      <c r="AI121" s="557"/>
      <c r="AJ121" s="557"/>
      <c r="AK121" s="557"/>
      <c r="AL121" s="557"/>
      <c r="AM121" s="557"/>
      <c r="AN121" s="557"/>
      <c r="AO121" s="557"/>
      <c r="AP121" s="557"/>
      <c r="AQ121" s="557"/>
      <c r="AR121" s="557"/>
      <c r="AS121" s="557"/>
      <c r="AT121" s="557"/>
      <c r="AU121" s="557"/>
      <c r="AV121" s="557"/>
      <c r="AW121" s="557"/>
      <c r="AX121" s="557"/>
      <c r="AY121" s="557"/>
      <c r="AZ121" s="557"/>
      <c r="BA121" s="557"/>
      <c r="BB121" s="557"/>
      <c r="BC121" s="557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5.75">
      <c r="A122" s="539"/>
      <c r="B122" s="539"/>
      <c r="C122" s="539"/>
      <c r="D122" s="539"/>
      <c r="E122" s="539"/>
      <c r="F122" s="539"/>
      <c r="G122" s="539"/>
      <c r="H122" s="539"/>
      <c r="I122" s="539"/>
      <c r="J122" s="539"/>
      <c r="K122" s="539"/>
      <c r="L122" s="539"/>
      <c r="M122" s="539"/>
      <c r="N122" s="539"/>
      <c r="O122" s="539"/>
      <c r="P122" s="539"/>
      <c r="Q122" s="539"/>
      <c r="R122" s="539"/>
      <c r="S122" s="557"/>
      <c r="T122" s="557"/>
      <c r="U122" s="557"/>
      <c r="V122" s="557"/>
      <c r="W122" s="539"/>
      <c r="X122" s="539"/>
      <c r="Y122" s="557"/>
      <c r="Z122" s="557"/>
      <c r="AA122" s="539"/>
      <c r="AB122" s="539"/>
      <c r="AC122" s="539"/>
      <c r="AD122" s="557"/>
      <c r="AE122" s="557"/>
      <c r="AF122" s="557"/>
      <c r="AG122" s="557"/>
      <c r="AH122" s="557"/>
      <c r="AI122" s="557"/>
      <c r="AJ122" s="557"/>
      <c r="AK122" s="557"/>
      <c r="AL122" s="557"/>
      <c r="AM122" s="557"/>
      <c r="AN122" s="557"/>
      <c r="AO122" s="557"/>
      <c r="AP122" s="557"/>
      <c r="AQ122" s="557"/>
      <c r="AR122" s="557"/>
      <c r="AS122" s="557"/>
      <c r="AT122" s="557"/>
      <c r="AU122" s="557"/>
      <c r="AV122" s="557"/>
      <c r="AW122" s="557"/>
      <c r="AX122" s="557"/>
      <c r="AY122" s="557"/>
      <c r="AZ122" s="557"/>
      <c r="BA122" s="557"/>
      <c r="BB122" s="557"/>
      <c r="BC122" s="557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5.75">
      <c r="A123" s="539"/>
      <c r="B123" s="539"/>
      <c r="C123" s="539"/>
      <c r="D123" s="539"/>
      <c r="E123" s="539"/>
      <c r="F123" s="539"/>
      <c r="G123" s="539"/>
      <c r="H123" s="539"/>
      <c r="I123" s="539"/>
      <c r="J123" s="539"/>
      <c r="K123" s="539"/>
      <c r="L123" s="539"/>
      <c r="M123" s="539"/>
      <c r="N123" s="539"/>
      <c r="O123" s="539"/>
      <c r="P123" s="539"/>
      <c r="Q123" s="539"/>
      <c r="R123" s="539"/>
      <c r="S123" s="557"/>
      <c r="T123" s="557"/>
      <c r="U123" s="557"/>
      <c r="V123" s="557"/>
      <c r="W123" s="539"/>
      <c r="X123" s="539"/>
      <c r="Y123" s="557"/>
      <c r="Z123" s="557"/>
      <c r="AA123" s="539"/>
      <c r="AB123" s="539"/>
      <c r="AC123" s="539"/>
      <c r="AD123" s="557"/>
      <c r="AE123" s="557"/>
      <c r="AF123" s="557"/>
      <c r="AG123" s="557"/>
      <c r="AH123" s="557"/>
      <c r="AI123" s="557"/>
      <c r="AJ123" s="557"/>
      <c r="AK123" s="557"/>
      <c r="AL123" s="557"/>
      <c r="AM123" s="557"/>
      <c r="AN123" s="557"/>
      <c r="AO123" s="557"/>
      <c r="AP123" s="557"/>
      <c r="AQ123" s="557"/>
      <c r="AR123" s="557"/>
      <c r="AS123" s="557"/>
      <c r="AT123" s="557"/>
      <c r="AU123" s="557"/>
      <c r="AV123" s="557"/>
      <c r="AW123" s="557"/>
      <c r="AX123" s="557"/>
      <c r="AY123" s="557"/>
      <c r="AZ123" s="557"/>
      <c r="BA123" s="557"/>
      <c r="BB123" s="557"/>
      <c r="BC123" s="557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.7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.7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.7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.7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.7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.7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.7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.7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.7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.7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.7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.7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.7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.7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.7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</row>
    <row r="139" spans="1:72" ht="15.7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</row>
    <row r="140" spans="1:72" ht="15.7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</row>
    <row r="141" spans="1:72" ht="15.7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</row>
    <row r="142" spans="1:72" ht="15.7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</row>
    <row r="143" spans="1:72" ht="15.7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.7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.7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.7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  <c r="BE146" s="596"/>
      <c r="BF146" s="596"/>
      <c r="BG146" s="596"/>
      <c r="BH146" s="596"/>
      <c r="BI146" s="596"/>
      <c r="BJ146" s="596"/>
      <c r="BK146" s="596"/>
      <c r="BL146" s="596"/>
      <c r="BM146" s="596"/>
      <c r="BN146" s="596"/>
      <c r="BO146" s="596"/>
      <c r="BP146" s="596"/>
      <c r="BQ146" s="596"/>
      <c r="BR146" s="596"/>
      <c r="BS146" s="596"/>
      <c r="BT146" s="596"/>
    </row>
    <row r="147" spans="1:72" ht="15.7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  <c r="BE147" s="596"/>
      <c r="BF147" s="596"/>
      <c r="BG147" s="596"/>
      <c r="BH147" s="596"/>
      <c r="BI147" s="596"/>
      <c r="BJ147" s="596"/>
      <c r="BK147" s="596"/>
      <c r="BL147" s="596"/>
      <c r="BM147" s="596"/>
      <c r="BN147" s="596"/>
      <c r="BO147" s="596"/>
      <c r="BP147" s="596"/>
      <c r="BQ147" s="596"/>
      <c r="BR147" s="596"/>
      <c r="BS147" s="596"/>
      <c r="BT147" s="596"/>
    </row>
    <row r="148" spans="1:72" ht="15.7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  <c r="BE148" s="596"/>
      <c r="BF148" s="596"/>
      <c r="BG148" s="596"/>
      <c r="BH148" s="596"/>
      <c r="BI148" s="596"/>
      <c r="BJ148" s="596"/>
      <c r="BK148" s="596"/>
      <c r="BL148" s="596"/>
      <c r="BM148" s="596"/>
      <c r="BN148" s="596"/>
      <c r="BO148" s="596"/>
      <c r="BP148" s="596"/>
      <c r="BQ148" s="596"/>
      <c r="BR148" s="596"/>
      <c r="BS148" s="596"/>
      <c r="BT148" s="596"/>
    </row>
    <row r="149" spans="1:72" ht="15.7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  <c r="BE149" s="596"/>
      <c r="BF149" s="596"/>
      <c r="BG149" s="596"/>
      <c r="BH149" s="596"/>
      <c r="BI149" s="596"/>
      <c r="BJ149" s="596"/>
      <c r="BK149" s="596"/>
      <c r="BL149" s="596"/>
      <c r="BM149" s="596"/>
      <c r="BN149" s="596"/>
      <c r="BO149" s="596"/>
      <c r="BP149" s="596"/>
      <c r="BQ149" s="596"/>
      <c r="BR149" s="596"/>
      <c r="BS149" s="596"/>
      <c r="BT149" s="596"/>
    </row>
    <row r="150" spans="1:72" ht="15.7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  <c r="BE150" s="596"/>
      <c r="BF150" s="596"/>
      <c r="BG150" s="596"/>
      <c r="BH150" s="596"/>
      <c r="BI150" s="596"/>
      <c r="BJ150" s="596"/>
      <c r="BK150" s="596"/>
      <c r="BL150" s="596"/>
      <c r="BM150" s="596"/>
      <c r="BN150" s="596"/>
      <c r="BO150" s="596"/>
      <c r="BP150" s="596"/>
      <c r="BQ150" s="596"/>
      <c r="BR150" s="596"/>
      <c r="BS150" s="596"/>
      <c r="BT150" s="596"/>
    </row>
    <row r="151" spans="1:72" ht="15.7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.7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.7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.7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.7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.7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.7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.7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.7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.7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.7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.7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.7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.7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.7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.7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.7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.7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.7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.7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.7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.7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.7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.7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.7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.7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.7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.7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.7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.7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.7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.7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.7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/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.7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.7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.7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.7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.7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.7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.7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.7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.7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.7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.7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.7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.7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.7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.7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.7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.7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.7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.7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.7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.7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.7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.7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.7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.7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.7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.7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.7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.7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.7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.7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.7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.7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.7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.7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.7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.7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.7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.7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.7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.7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.7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.7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.7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.7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.7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.7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.7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.7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.7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.7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.7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.7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.7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.7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.7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.7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.7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.7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.7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.7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.7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</sheetData>
  <mergeCells count="163">
    <mergeCell ref="E71:S71"/>
    <mergeCell ref="AB18:AW18"/>
    <mergeCell ref="E19:O19"/>
    <mergeCell ref="P19:AA19"/>
    <mergeCell ref="AB19:AW19"/>
    <mergeCell ref="E20:O20"/>
    <mergeCell ref="P20:AA20"/>
    <mergeCell ref="AB20:AW20"/>
    <mergeCell ref="E21:O21"/>
    <mergeCell ref="P21:AA21"/>
    <mergeCell ref="AB21:AW21"/>
    <mergeCell ref="E39:F41"/>
    <mergeCell ref="E36:F38"/>
    <mergeCell ref="AE36:AG38"/>
    <mergeCell ref="AE39:AG41"/>
    <mergeCell ref="AE42:AG44"/>
    <mergeCell ref="AE45:AG47"/>
    <mergeCell ref="AE48:AG50"/>
    <mergeCell ref="P36:R38"/>
    <mergeCell ref="P39:R41"/>
    <mergeCell ref="J33:L35"/>
    <mergeCell ref="E26:Q28"/>
    <mergeCell ref="E29:Q30"/>
    <mergeCell ref="R26:AI28"/>
    <mergeCell ref="BB5:BC5"/>
    <mergeCell ref="AV2:AY2"/>
    <mergeCell ref="AZ2:BC3"/>
    <mergeCell ref="A3:H3"/>
    <mergeCell ref="I3:L3"/>
    <mergeCell ref="M3:W3"/>
    <mergeCell ref="X3:Z3"/>
    <mergeCell ref="BF8:BH8"/>
    <mergeCell ref="AB22:AW22"/>
    <mergeCell ref="AA3:AR3"/>
    <mergeCell ref="AS3:AU3"/>
    <mergeCell ref="AV3:AY3"/>
    <mergeCell ref="J8:M8"/>
    <mergeCell ref="J7:M7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78:M78"/>
    <mergeCell ref="A5:BA5"/>
    <mergeCell ref="Y33:AA35"/>
    <mergeCell ref="AB33:AD35"/>
    <mergeCell ref="AE33:AG35"/>
    <mergeCell ref="M33:O35"/>
    <mergeCell ref="P33:R35"/>
    <mergeCell ref="S33:U35"/>
    <mergeCell ref="V33:X35"/>
    <mergeCell ref="E33:F35"/>
    <mergeCell ref="E54:F56"/>
    <mergeCell ref="E42:F44"/>
    <mergeCell ref="E45:F47"/>
    <mergeCell ref="E48:F50"/>
    <mergeCell ref="E51:F53"/>
    <mergeCell ref="G45:I47"/>
    <mergeCell ref="G48:I50"/>
    <mergeCell ref="C11:I12"/>
    <mergeCell ref="C14:AY16"/>
    <mergeCell ref="G33:I35"/>
    <mergeCell ref="E18:O18"/>
    <mergeCell ref="P18:AA18"/>
    <mergeCell ref="E22:O22"/>
    <mergeCell ref="P22:AA22"/>
    <mergeCell ref="R29:AI30"/>
    <mergeCell ref="J36:L38"/>
    <mergeCell ref="G36:I38"/>
    <mergeCell ref="G51:I53"/>
    <mergeCell ref="G54:I56"/>
    <mergeCell ref="J39:L41"/>
    <mergeCell ref="J42:L44"/>
    <mergeCell ref="J45:L47"/>
    <mergeCell ref="G39:I41"/>
    <mergeCell ref="G42:I44"/>
    <mergeCell ref="J48:L50"/>
    <mergeCell ref="J51:L53"/>
    <mergeCell ref="J54:L56"/>
    <mergeCell ref="M45:O47"/>
    <mergeCell ref="M48:O50"/>
    <mergeCell ref="Y39:AA41"/>
    <mergeCell ref="Y42:AA44"/>
    <mergeCell ref="Y45:AA47"/>
    <mergeCell ref="Y48:AA50"/>
    <mergeCell ref="AB36:AD38"/>
    <mergeCell ref="AB39:AD41"/>
    <mergeCell ref="AB42:AD44"/>
    <mergeCell ref="AB45:AD47"/>
    <mergeCell ref="AB48:AD50"/>
    <mergeCell ref="AB51:AD53"/>
    <mergeCell ref="S51:U53"/>
    <mergeCell ref="AB54:AD56"/>
    <mergeCell ref="V36:X38"/>
    <mergeCell ref="V39:X41"/>
    <mergeCell ref="V42:X44"/>
    <mergeCell ref="V45:X47"/>
    <mergeCell ref="V48:X50"/>
    <mergeCell ref="Y36:AA38"/>
    <mergeCell ref="J60:M60"/>
    <mergeCell ref="Y51:AA53"/>
    <mergeCell ref="M51:O53"/>
    <mergeCell ref="V54:X56"/>
    <mergeCell ref="S54:U56"/>
    <mergeCell ref="P51:R53"/>
    <mergeCell ref="Y54:AA56"/>
    <mergeCell ref="M54:O56"/>
    <mergeCell ref="P54:R56"/>
    <mergeCell ref="J85:M85"/>
    <mergeCell ref="J86:M86"/>
    <mergeCell ref="J87:M87"/>
    <mergeCell ref="J88:M88"/>
    <mergeCell ref="J89:M89"/>
    <mergeCell ref="V51:X53"/>
    <mergeCell ref="AE54:AG56"/>
    <mergeCell ref="S36:U38"/>
    <mergeCell ref="S39:U41"/>
    <mergeCell ref="S42:U44"/>
    <mergeCell ref="J74:M74"/>
    <mergeCell ref="J63:M63"/>
    <mergeCell ref="J67:M67"/>
    <mergeCell ref="S45:U47"/>
    <mergeCell ref="S48:U50"/>
    <mergeCell ref="P42:R44"/>
    <mergeCell ref="P45:R47"/>
    <mergeCell ref="P48:R50"/>
    <mergeCell ref="J83:M83"/>
    <mergeCell ref="J84:M84"/>
    <mergeCell ref="M36:O38"/>
    <mergeCell ref="M39:O41"/>
    <mergeCell ref="M42:O44"/>
    <mergeCell ref="AE51:AG53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J105:M105"/>
    <mergeCell ref="J106:M106"/>
    <mergeCell ref="J107:M107"/>
    <mergeCell ref="J108:M108"/>
    <mergeCell ref="J100:M100"/>
    <mergeCell ref="J101:M101"/>
    <mergeCell ref="J102:M102"/>
    <mergeCell ref="J103:M103"/>
    <mergeCell ref="J104:M104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BZ29"/>
  <sheetViews>
    <sheetView showGridLines="0" topLeftCell="A16" zoomScale="85" zoomScaleNormal="85" zoomScaleSheetLayoutView="90" workbookViewId="0">
      <selection activeCell="AR19" sqref="AR19:BZ19"/>
    </sheetView>
  </sheetViews>
  <sheetFormatPr defaultColWidth="2.5" defaultRowHeight="15.75"/>
  <cols>
    <col min="1" max="10" width="2.5" style="606" customWidth="1"/>
    <col min="11" max="16" width="3.25" style="606" customWidth="1"/>
    <col min="17" max="27" width="2.5" style="606"/>
    <col min="28" max="43" width="2.5" style="675"/>
    <col min="44" max="52" width="2.5" style="606"/>
    <col min="53" max="53" width="2.5" style="606" customWidth="1"/>
    <col min="54" max="239" width="2.5" style="606"/>
    <col min="240" max="240" width="4" style="606" customWidth="1"/>
    <col min="241" max="272" width="2.5" style="606"/>
    <col min="273" max="273" width="2.5" style="606" customWidth="1"/>
    <col min="274" max="495" width="2.5" style="606"/>
    <col min="496" max="496" width="4" style="606" customWidth="1"/>
    <col min="497" max="528" width="2.5" style="606"/>
    <col min="529" max="529" width="2.5" style="606" customWidth="1"/>
    <col min="530" max="751" width="2.5" style="606"/>
    <col min="752" max="752" width="4" style="606" customWidth="1"/>
    <col min="753" max="784" width="2.5" style="606"/>
    <col min="785" max="785" width="2.5" style="606" customWidth="1"/>
    <col min="786" max="1007" width="2.5" style="606"/>
    <col min="1008" max="1008" width="4" style="606" customWidth="1"/>
    <col min="1009" max="1040" width="2.5" style="606"/>
    <col min="1041" max="1041" width="2.5" style="606" customWidth="1"/>
    <col min="1042" max="1263" width="2.5" style="606"/>
    <col min="1264" max="1264" width="4" style="606" customWidth="1"/>
    <col min="1265" max="1296" width="2.5" style="606"/>
    <col min="1297" max="1297" width="2.5" style="606" customWidth="1"/>
    <col min="1298" max="1519" width="2.5" style="606"/>
    <col min="1520" max="1520" width="4" style="606" customWidth="1"/>
    <col min="1521" max="1552" width="2.5" style="606"/>
    <col min="1553" max="1553" width="2.5" style="606" customWidth="1"/>
    <col min="1554" max="1775" width="2.5" style="606"/>
    <col min="1776" max="1776" width="4" style="606" customWidth="1"/>
    <col min="1777" max="1808" width="2.5" style="606"/>
    <col min="1809" max="1809" width="2.5" style="606" customWidth="1"/>
    <col min="1810" max="2031" width="2.5" style="606"/>
    <col min="2032" max="2032" width="4" style="606" customWidth="1"/>
    <col min="2033" max="2064" width="2.5" style="606"/>
    <col min="2065" max="2065" width="2.5" style="606" customWidth="1"/>
    <col min="2066" max="2287" width="2.5" style="606"/>
    <col min="2288" max="2288" width="4" style="606" customWidth="1"/>
    <col min="2289" max="2320" width="2.5" style="606"/>
    <col min="2321" max="2321" width="2.5" style="606" customWidth="1"/>
    <col min="2322" max="2543" width="2.5" style="606"/>
    <col min="2544" max="2544" width="4" style="606" customWidth="1"/>
    <col min="2545" max="2576" width="2.5" style="606"/>
    <col min="2577" max="2577" width="2.5" style="606" customWidth="1"/>
    <col min="2578" max="2799" width="2.5" style="606"/>
    <col min="2800" max="2800" width="4" style="606" customWidth="1"/>
    <col min="2801" max="2832" width="2.5" style="606"/>
    <col min="2833" max="2833" width="2.5" style="606" customWidth="1"/>
    <col min="2834" max="3055" width="2.5" style="606"/>
    <col min="3056" max="3056" width="4" style="606" customWidth="1"/>
    <col min="3057" max="3088" width="2.5" style="606"/>
    <col min="3089" max="3089" width="2.5" style="606" customWidth="1"/>
    <col min="3090" max="3311" width="2.5" style="606"/>
    <col min="3312" max="3312" width="4" style="606" customWidth="1"/>
    <col min="3313" max="3344" width="2.5" style="606"/>
    <col min="3345" max="3345" width="2.5" style="606" customWidth="1"/>
    <col min="3346" max="3567" width="2.5" style="606"/>
    <col min="3568" max="3568" width="4" style="606" customWidth="1"/>
    <col min="3569" max="3600" width="2.5" style="606"/>
    <col min="3601" max="3601" width="2.5" style="606" customWidth="1"/>
    <col min="3602" max="3823" width="2.5" style="606"/>
    <col min="3824" max="3824" width="4" style="606" customWidth="1"/>
    <col min="3825" max="3856" width="2.5" style="606"/>
    <col min="3857" max="3857" width="2.5" style="606" customWidth="1"/>
    <col min="3858" max="4079" width="2.5" style="606"/>
    <col min="4080" max="4080" width="4" style="606" customWidth="1"/>
    <col min="4081" max="4112" width="2.5" style="606"/>
    <col min="4113" max="4113" width="2.5" style="606" customWidth="1"/>
    <col min="4114" max="4335" width="2.5" style="606"/>
    <col min="4336" max="4336" width="4" style="606" customWidth="1"/>
    <col min="4337" max="4368" width="2.5" style="606"/>
    <col min="4369" max="4369" width="2.5" style="606" customWidth="1"/>
    <col min="4370" max="4591" width="2.5" style="606"/>
    <col min="4592" max="4592" width="4" style="606" customWidth="1"/>
    <col min="4593" max="4624" width="2.5" style="606"/>
    <col min="4625" max="4625" width="2.5" style="606" customWidth="1"/>
    <col min="4626" max="4847" width="2.5" style="606"/>
    <col min="4848" max="4848" width="4" style="606" customWidth="1"/>
    <col min="4849" max="4880" width="2.5" style="606"/>
    <col min="4881" max="4881" width="2.5" style="606" customWidth="1"/>
    <col min="4882" max="5103" width="2.5" style="606"/>
    <col min="5104" max="5104" width="4" style="606" customWidth="1"/>
    <col min="5105" max="5136" width="2.5" style="606"/>
    <col min="5137" max="5137" width="2.5" style="606" customWidth="1"/>
    <col min="5138" max="5359" width="2.5" style="606"/>
    <col min="5360" max="5360" width="4" style="606" customWidth="1"/>
    <col min="5361" max="5392" width="2.5" style="606"/>
    <col min="5393" max="5393" width="2.5" style="606" customWidth="1"/>
    <col min="5394" max="5615" width="2.5" style="606"/>
    <col min="5616" max="5616" width="4" style="606" customWidth="1"/>
    <col min="5617" max="5648" width="2.5" style="606"/>
    <col min="5649" max="5649" width="2.5" style="606" customWidth="1"/>
    <col min="5650" max="5871" width="2.5" style="606"/>
    <col min="5872" max="5872" width="4" style="606" customWidth="1"/>
    <col min="5873" max="5904" width="2.5" style="606"/>
    <col min="5905" max="5905" width="2.5" style="606" customWidth="1"/>
    <col min="5906" max="6127" width="2.5" style="606"/>
    <col min="6128" max="6128" width="4" style="606" customWidth="1"/>
    <col min="6129" max="6160" width="2.5" style="606"/>
    <col min="6161" max="6161" width="2.5" style="606" customWidth="1"/>
    <col min="6162" max="6383" width="2.5" style="606"/>
    <col min="6384" max="6384" width="4" style="606" customWidth="1"/>
    <col min="6385" max="6416" width="2.5" style="606"/>
    <col min="6417" max="6417" width="2.5" style="606" customWidth="1"/>
    <col min="6418" max="6639" width="2.5" style="606"/>
    <col min="6640" max="6640" width="4" style="606" customWidth="1"/>
    <col min="6641" max="6672" width="2.5" style="606"/>
    <col min="6673" max="6673" width="2.5" style="606" customWidth="1"/>
    <col min="6674" max="6895" width="2.5" style="606"/>
    <col min="6896" max="6896" width="4" style="606" customWidth="1"/>
    <col min="6897" max="6928" width="2.5" style="606"/>
    <col min="6929" max="6929" width="2.5" style="606" customWidth="1"/>
    <col min="6930" max="7151" width="2.5" style="606"/>
    <col min="7152" max="7152" width="4" style="606" customWidth="1"/>
    <col min="7153" max="7184" width="2.5" style="606"/>
    <col min="7185" max="7185" width="2.5" style="606" customWidth="1"/>
    <col min="7186" max="7407" width="2.5" style="606"/>
    <col min="7408" max="7408" width="4" style="606" customWidth="1"/>
    <col min="7409" max="7440" width="2.5" style="606"/>
    <col min="7441" max="7441" width="2.5" style="606" customWidth="1"/>
    <col min="7442" max="7663" width="2.5" style="606"/>
    <col min="7664" max="7664" width="4" style="606" customWidth="1"/>
    <col min="7665" max="7696" width="2.5" style="606"/>
    <col min="7697" max="7697" width="2.5" style="606" customWidth="1"/>
    <col min="7698" max="7919" width="2.5" style="606"/>
    <col min="7920" max="7920" width="4" style="606" customWidth="1"/>
    <col min="7921" max="7952" width="2.5" style="606"/>
    <col min="7953" max="7953" width="2.5" style="606" customWidth="1"/>
    <col min="7954" max="8175" width="2.5" style="606"/>
    <col min="8176" max="8176" width="4" style="606" customWidth="1"/>
    <col min="8177" max="8208" width="2.5" style="606"/>
    <col min="8209" max="8209" width="2.5" style="606" customWidth="1"/>
    <col min="8210" max="8431" width="2.5" style="606"/>
    <col min="8432" max="8432" width="4" style="606" customWidth="1"/>
    <col min="8433" max="8464" width="2.5" style="606"/>
    <col min="8465" max="8465" width="2.5" style="606" customWidth="1"/>
    <col min="8466" max="8687" width="2.5" style="606"/>
    <col min="8688" max="8688" width="4" style="606" customWidth="1"/>
    <col min="8689" max="8720" width="2.5" style="606"/>
    <col min="8721" max="8721" width="2.5" style="606" customWidth="1"/>
    <col min="8722" max="8943" width="2.5" style="606"/>
    <col min="8944" max="8944" width="4" style="606" customWidth="1"/>
    <col min="8945" max="8976" width="2.5" style="606"/>
    <col min="8977" max="8977" width="2.5" style="606" customWidth="1"/>
    <col min="8978" max="9199" width="2.5" style="606"/>
    <col min="9200" max="9200" width="4" style="606" customWidth="1"/>
    <col min="9201" max="9232" width="2.5" style="606"/>
    <col min="9233" max="9233" width="2.5" style="606" customWidth="1"/>
    <col min="9234" max="9455" width="2.5" style="606"/>
    <col min="9456" max="9456" width="4" style="606" customWidth="1"/>
    <col min="9457" max="9488" width="2.5" style="606"/>
    <col min="9489" max="9489" width="2.5" style="606" customWidth="1"/>
    <col min="9490" max="9711" width="2.5" style="606"/>
    <col min="9712" max="9712" width="4" style="606" customWidth="1"/>
    <col min="9713" max="9744" width="2.5" style="606"/>
    <col min="9745" max="9745" width="2.5" style="606" customWidth="1"/>
    <col min="9746" max="9967" width="2.5" style="606"/>
    <col min="9968" max="9968" width="4" style="606" customWidth="1"/>
    <col min="9969" max="10000" width="2.5" style="606"/>
    <col min="10001" max="10001" width="2.5" style="606" customWidth="1"/>
    <col min="10002" max="10223" width="2.5" style="606"/>
    <col min="10224" max="10224" width="4" style="606" customWidth="1"/>
    <col min="10225" max="10256" width="2.5" style="606"/>
    <col min="10257" max="10257" width="2.5" style="606" customWidth="1"/>
    <col min="10258" max="10479" width="2.5" style="606"/>
    <col min="10480" max="10480" width="4" style="606" customWidth="1"/>
    <col min="10481" max="10512" width="2.5" style="606"/>
    <col min="10513" max="10513" width="2.5" style="606" customWidth="1"/>
    <col min="10514" max="10735" width="2.5" style="606"/>
    <col min="10736" max="10736" width="4" style="606" customWidth="1"/>
    <col min="10737" max="10768" width="2.5" style="606"/>
    <col min="10769" max="10769" width="2.5" style="606" customWidth="1"/>
    <col min="10770" max="10991" width="2.5" style="606"/>
    <col min="10992" max="10992" width="4" style="606" customWidth="1"/>
    <col min="10993" max="11024" width="2.5" style="606"/>
    <col min="11025" max="11025" width="2.5" style="606" customWidth="1"/>
    <col min="11026" max="11247" width="2.5" style="606"/>
    <col min="11248" max="11248" width="4" style="606" customWidth="1"/>
    <col min="11249" max="11280" width="2.5" style="606"/>
    <col min="11281" max="11281" width="2.5" style="606" customWidth="1"/>
    <col min="11282" max="11503" width="2.5" style="606"/>
    <col min="11504" max="11504" width="4" style="606" customWidth="1"/>
    <col min="11505" max="11536" width="2.5" style="606"/>
    <col min="11537" max="11537" width="2.5" style="606" customWidth="1"/>
    <col min="11538" max="11759" width="2.5" style="606"/>
    <col min="11760" max="11760" width="4" style="606" customWidth="1"/>
    <col min="11761" max="11792" width="2.5" style="606"/>
    <col min="11793" max="11793" width="2.5" style="606" customWidth="1"/>
    <col min="11794" max="12015" width="2.5" style="606"/>
    <col min="12016" max="12016" width="4" style="606" customWidth="1"/>
    <col min="12017" max="12048" width="2.5" style="606"/>
    <col min="12049" max="12049" width="2.5" style="606" customWidth="1"/>
    <col min="12050" max="12271" width="2.5" style="606"/>
    <col min="12272" max="12272" width="4" style="606" customWidth="1"/>
    <col min="12273" max="12304" width="2.5" style="606"/>
    <col min="12305" max="12305" width="2.5" style="606" customWidth="1"/>
    <col min="12306" max="12527" width="2.5" style="606"/>
    <col min="12528" max="12528" width="4" style="606" customWidth="1"/>
    <col min="12529" max="12560" width="2.5" style="606"/>
    <col min="12561" max="12561" width="2.5" style="606" customWidth="1"/>
    <col min="12562" max="12783" width="2.5" style="606"/>
    <col min="12784" max="12784" width="4" style="606" customWidth="1"/>
    <col min="12785" max="12816" width="2.5" style="606"/>
    <col min="12817" max="12817" width="2.5" style="606" customWidth="1"/>
    <col min="12818" max="13039" width="2.5" style="606"/>
    <col min="13040" max="13040" width="4" style="606" customWidth="1"/>
    <col min="13041" max="13072" width="2.5" style="606"/>
    <col min="13073" max="13073" width="2.5" style="606" customWidth="1"/>
    <col min="13074" max="13295" width="2.5" style="606"/>
    <col min="13296" max="13296" width="4" style="606" customWidth="1"/>
    <col min="13297" max="13328" width="2.5" style="606"/>
    <col min="13329" max="13329" width="2.5" style="606" customWidth="1"/>
    <col min="13330" max="13551" width="2.5" style="606"/>
    <col min="13552" max="13552" width="4" style="606" customWidth="1"/>
    <col min="13553" max="13584" width="2.5" style="606"/>
    <col min="13585" max="13585" width="2.5" style="606" customWidth="1"/>
    <col min="13586" max="13807" width="2.5" style="606"/>
    <col min="13808" max="13808" width="4" style="606" customWidth="1"/>
    <col min="13809" max="13840" width="2.5" style="606"/>
    <col min="13841" max="13841" width="2.5" style="606" customWidth="1"/>
    <col min="13842" max="14063" width="2.5" style="606"/>
    <col min="14064" max="14064" width="4" style="606" customWidth="1"/>
    <col min="14065" max="14096" width="2.5" style="606"/>
    <col min="14097" max="14097" width="2.5" style="606" customWidth="1"/>
    <col min="14098" max="14319" width="2.5" style="606"/>
    <col min="14320" max="14320" width="4" style="606" customWidth="1"/>
    <col min="14321" max="14352" width="2.5" style="606"/>
    <col min="14353" max="14353" width="2.5" style="606" customWidth="1"/>
    <col min="14354" max="14575" width="2.5" style="606"/>
    <col min="14576" max="14576" width="4" style="606" customWidth="1"/>
    <col min="14577" max="14608" width="2.5" style="606"/>
    <col min="14609" max="14609" width="2.5" style="606" customWidth="1"/>
    <col min="14610" max="14831" width="2.5" style="606"/>
    <col min="14832" max="14832" width="4" style="606" customWidth="1"/>
    <col min="14833" max="14864" width="2.5" style="606"/>
    <col min="14865" max="14865" width="2.5" style="606" customWidth="1"/>
    <col min="14866" max="15087" width="2.5" style="606"/>
    <col min="15088" max="15088" width="4" style="606" customWidth="1"/>
    <col min="15089" max="15120" width="2.5" style="606"/>
    <col min="15121" max="15121" width="2.5" style="606" customWidth="1"/>
    <col min="15122" max="15343" width="2.5" style="606"/>
    <col min="15344" max="15344" width="4" style="606" customWidth="1"/>
    <col min="15345" max="15376" width="2.5" style="606"/>
    <col min="15377" max="15377" width="2.5" style="606" customWidth="1"/>
    <col min="15378" max="15599" width="2.5" style="606"/>
    <col min="15600" max="15600" width="4" style="606" customWidth="1"/>
    <col min="15601" max="15632" width="2.5" style="606"/>
    <col min="15633" max="15633" width="2.5" style="606" customWidth="1"/>
    <col min="15634" max="15855" width="2.5" style="606"/>
    <col min="15856" max="15856" width="4" style="606" customWidth="1"/>
    <col min="15857" max="15888" width="2.5" style="606"/>
    <col min="15889" max="15889" width="2.5" style="606" customWidth="1"/>
    <col min="15890" max="16111" width="2.5" style="606"/>
    <col min="16112" max="16112" width="4" style="606" customWidth="1"/>
    <col min="16113" max="16144" width="2.5" style="606"/>
    <col min="16145" max="16145" width="2.5" style="606" customWidth="1"/>
    <col min="16146" max="16384" width="2.5" style="606"/>
  </cols>
  <sheetData>
    <row r="1" spans="1:78" ht="12.75" customHeight="1">
      <c r="A1" s="850" t="s">
        <v>301</v>
      </c>
      <c r="B1" s="850"/>
      <c r="C1" s="850"/>
      <c r="D1" s="850"/>
      <c r="E1" s="850"/>
      <c r="F1" s="850"/>
      <c r="G1" s="850"/>
      <c r="H1" s="850"/>
      <c r="I1" s="850"/>
      <c r="J1" s="604"/>
      <c r="K1" s="604"/>
      <c r="L1" s="604"/>
      <c r="M1" s="604"/>
      <c r="N1" s="604"/>
      <c r="O1" s="604"/>
      <c r="P1" s="604"/>
      <c r="Q1" s="604"/>
      <c r="R1" s="604"/>
      <c r="S1" s="604"/>
      <c r="T1" s="604"/>
      <c r="U1" s="604"/>
      <c r="V1" s="604"/>
      <c r="W1" s="604"/>
      <c r="X1" s="604"/>
      <c r="Y1" s="604"/>
      <c r="Z1" s="604"/>
      <c r="AA1" s="604"/>
      <c r="AB1" s="672"/>
      <c r="AC1" s="672"/>
      <c r="AD1" s="672"/>
      <c r="AE1" s="672"/>
      <c r="AF1" s="672"/>
      <c r="AG1" s="672"/>
      <c r="AH1" s="672"/>
      <c r="AI1" s="672"/>
      <c r="AJ1" s="672"/>
      <c r="AK1" s="672"/>
      <c r="AL1" s="672"/>
      <c r="AM1" s="672"/>
      <c r="AN1" s="672"/>
      <c r="AO1" s="672"/>
      <c r="AP1" s="672"/>
      <c r="AQ1" s="672"/>
      <c r="AR1" s="604"/>
      <c r="AS1" s="604"/>
      <c r="AT1" s="604"/>
      <c r="AU1" s="604"/>
      <c r="AV1" s="604"/>
      <c r="AW1" s="604"/>
      <c r="AX1" s="604"/>
      <c r="AY1" s="604"/>
      <c r="AZ1" s="604"/>
      <c r="BA1" s="604"/>
      <c r="BB1" s="604"/>
      <c r="BC1" s="604"/>
      <c r="BD1" s="604"/>
      <c r="BE1" s="604"/>
      <c r="BF1" s="604"/>
      <c r="BG1" s="604"/>
      <c r="BH1" s="604"/>
      <c r="BI1" s="604"/>
      <c r="BJ1" s="604"/>
      <c r="BK1" s="604"/>
      <c r="BL1" s="604"/>
      <c r="BM1" s="604"/>
      <c r="BN1" s="604"/>
      <c r="BO1" s="604"/>
      <c r="BP1" s="604"/>
      <c r="BQ1" s="604"/>
      <c r="BR1" s="604"/>
      <c r="BS1" s="604"/>
      <c r="BT1" s="604"/>
      <c r="BU1" s="604"/>
      <c r="BV1" s="604"/>
      <c r="BW1" s="604"/>
      <c r="BX1" s="604"/>
      <c r="BY1" s="605"/>
      <c r="BZ1" s="605"/>
    </row>
    <row r="2" spans="1:78" ht="12.75" customHeight="1">
      <c r="A2" s="851" t="s">
        <v>302</v>
      </c>
      <c r="B2" s="851"/>
      <c r="C2" s="851"/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2"/>
      <c r="R2" s="852"/>
      <c r="S2" s="852"/>
      <c r="T2" s="852"/>
      <c r="U2" s="852"/>
      <c r="V2" s="852"/>
      <c r="W2" s="852"/>
      <c r="X2" s="852"/>
      <c r="Y2" s="852"/>
      <c r="Z2" s="852"/>
      <c r="AA2" s="852"/>
      <c r="AB2" s="852"/>
      <c r="AC2" s="852"/>
      <c r="AD2" s="852"/>
      <c r="AE2" s="852"/>
      <c r="AF2" s="852"/>
      <c r="AG2" s="852"/>
      <c r="AH2" s="852"/>
      <c r="AI2" s="852"/>
      <c r="AJ2" s="852"/>
      <c r="AK2" s="852"/>
      <c r="AL2" s="852"/>
      <c r="AM2" s="852"/>
      <c r="AN2" s="852"/>
      <c r="AO2" s="852"/>
      <c r="AP2" s="852"/>
      <c r="AQ2" s="852"/>
      <c r="AR2" s="852"/>
      <c r="AS2" s="852"/>
      <c r="AT2" s="852"/>
      <c r="AU2" s="852"/>
      <c r="AV2" s="852"/>
      <c r="AW2" s="852"/>
      <c r="AX2" s="852"/>
      <c r="AY2" s="852"/>
      <c r="AZ2" s="852"/>
      <c r="BA2" s="852"/>
      <c r="BB2" s="852"/>
      <c r="BC2" s="852"/>
      <c r="BD2" s="852"/>
      <c r="BE2" s="852"/>
      <c r="BF2" s="852"/>
      <c r="BG2" s="852"/>
      <c r="BH2" s="852"/>
      <c r="BI2" s="852"/>
      <c r="BJ2" s="852"/>
      <c r="BK2" s="852"/>
      <c r="BL2" s="852"/>
      <c r="BM2" s="852"/>
      <c r="BN2" s="852"/>
      <c r="BO2" s="852"/>
      <c r="BP2" s="852"/>
      <c r="BQ2" s="852"/>
      <c r="BR2" s="852"/>
      <c r="BS2" s="852"/>
      <c r="BT2" s="852"/>
      <c r="BU2" s="852"/>
      <c r="BV2" s="852"/>
      <c r="BW2" s="852"/>
      <c r="BX2" s="852"/>
      <c r="BY2" s="852"/>
      <c r="BZ2" s="852"/>
    </row>
    <row r="3" spans="1:78" ht="27.75" customHeight="1">
      <c r="A3" s="854" t="s">
        <v>303</v>
      </c>
      <c r="B3" s="855"/>
      <c r="C3" s="855" t="s">
        <v>304</v>
      </c>
      <c r="D3" s="855"/>
      <c r="E3" s="855"/>
      <c r="F3" s="855"/>
      <c r="G3" s="855"/>
      <c r="H3" s="855"/>
      <c r="I3" s="855"/>
      <c r="J3" s="855"/>
      <c r="K3" s="855"/>
      <c r="L3" s="855"/>
      <c r="M3" s="855"/>
      <c r="N3" s="855"/>
      <c r="O3" s="855"/>
      <c r="P3" s="855"/>
      <c r="Q3" s="856" t="s">
        <v>305</v>
      </c>
      <c r="R3" s="857"/>
      <c r="S3" s="857"/>
      <c r="T3" s="857"/>
      <c r="U3" s="857"/>
      <c r="V3" s="857"/>
      <c r="W3" s="857"/>
      <c r="X3" s="857"/>
      <c r="Y3" s="857"/>
      <c r="Z3" s="857"/>
      <c r="AA3" s="858"/>
      <c r="AB3" s="862" t="s">
        <v>480</v>
      </c>
      <c r="AC3" s="863"/>
      <c r="AD3" s="863"/>
      <c r="AE3" s="863"/>
      <c r="AF3" s="863"/>
      <c r="AG3" s="863"/>
      <c r="AH3" s="863"/>
      <c r="AI3" s="862" t="s">
        <v>481</v>
      </c>
      <c r="AJ3" s="863"/>
      <c r="AK3" s="863"/>
      <c r="AL3" s="863"/>
      <c r="AM3" s="863"/>
      <c r="AN3" s="863"/>
      <c r="AO3" s="863"/>
      <c r="AP3" s="863"/>
      <c r="AQ3" s="863"/>
      <c r="AR3" s="854" t="s">
        <v>306</v>
      </c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  <c r="BX3" s="854"/>
      <c r="BY3" s="854"/>
      <c r="BZ3" s="854"/>
    </row>
    <row r="4" spans="1:78" ht="27.75" customHeight="1">
      <c r="A4" s="855"/>
      <c r="B4" s="855"/>
      <c r="C4" s="853" t="s">
        <v>307</v>
      </c>
      <c r="D4" s="853"/>
      <c r="E4" s="853"/>
      <c r="F4" s="853"/>
      <c r="G4" s="853"/>
      <c r="H4" s="853"/>
      <c r="I4" s="853"/>
      <c r="J4" s="853" t="s">
        <v>308</v>
      </c>
      <c r="K4" s="853"/>
      <c r="L4" s="853"/>
      <c r="M4" s="853"/>
      <c r="N4" s="853"/>
      <c r="O4" s="853"/>
      <c r="P4" s="853"/>
      <c r="Q4" s="859"/>
      <c r="R4" s="860"/>
      <c r="S4" s="860"/>
      <c r="T4" s="860"/>
      <c r="U4" s="860"/>
      <c r="V4" s="860"/>
      <c r="W4" s="860"/>
      <c r="X4" s="860"/>
      <c r="Y4" s="860"/>
      <c r="Z4" s="860"/>
      <c r="AA4" s="861"/>
      <c r="AB4" s="864"/>
      <c r="AC4" s="865"/>
      <c r="AD4" s="865"/>
      <c r="AE4" s="865"/>
      <c r="AF4" s="865"/>
      <c r="AG4" s="865"/>
      <c r="AH4" s="865"/>
      <c r="AI4" s="864"/>
      <c r="AJ4" s="865"/>
      <c r="AK4" s="865"/>
      <c r="AL4" s="865"/>
      <c r="AM4" s="865"/>
      <c r="AN4" s="865"/>
      <c r="AO4" s="865"/>
      <c r="AP4" s="865"/>
      <c r="AQ4" s="865"/>
      <c r="AR4" s="854"/>
      <c r="AS4" s="854"/>
      <c r="AT4" s="854"/>
      <c r="AU4" s="854"/>
      <c r="AV4" s="854"/>
      <c r="AW4" s="854"/>
      <c r="AX4" s="854"/>
      <c r="AY4" s="854"/>
      <c r="AZ4" s="854"/>
      <c r="BA4" s="854"/>
      <c r="BB4" s="854"/>
      <c r="BC4" s="854"/>
      <c r="BD4" s="854"/>
      <c r="BE4" s="854"/>
      <c r="BF4" s="854"/>
      <c r="BG4" s="854"/>
      <c r="BH4" s="854"/>
      <c r="BI4" s="854"/>
      <c r="BJ4" s="854"/>
      <c r="BK4" s="854"/>
      <c r="BL4" s="854"/>
      <c r="BM4" s="854"/>
      <c r="BN4" s="854"/>
      <c r="BO4" s="854"/>
      <c r="BP4" s="854"/>
      <c r="BQ4" s="854"/>
      <c r="BR4" s="854"/>
      <c r="BS4" s="854"/>
      <c r="BT4" s="854"/>
      <c r="BU4" s="854"/>
      <c r="BV4" s="854"/>
      <c r="BW4" s="854"/>
      <c r="BX4" s="854"/>
      <c r="BY4" s="854"/>
      <c r="BZ4" s="854"/>
    </row>
    <row r="5" spans="1:78" ht="15" customHeight="1">
      <c r="A5" s="812" t="s">
        <v>586</v>
      </c>
      <c r="B5" s="813"/>
      <c r="C5" s="870" t="s">
        <v>587</v>
      </c>
      <c r="D5" s="871"/>
      <c r="E5" s="871"/>
      <c r="F5" s="871"/>
      <c r="G5" s="871"/>
      <c r="H5" s="871"/>
      <c r="I5" s="872"/>
      <c r="J5" s="873"/>
      <c r="K5" s="874"/>
      <c r="L5" s="874"/>
      <c r="M5" s="874"/>
      <c r="N5" s="874"/>
      <c r="O5" s="874"/>
      <c r="P5" s="875"/>
      <c r="Q5" s="817"/>
      <c r="R5" s="818"/>
      <c r="S5" s="818"/>
      <c r="T5" s="818"/>
      <c r="U5" s="818"/>
      <c r="V5" s="818"/>
      <c r="W5" s="818"/>
      <c r="X5" s="818"/>
      <c r="Y5" s="818"/>
      <c r="Z5" s="818"/>
      <c r="AA5" s="819"/>
      <c r="AB5" s="830"/>
      <c r="AC5" s="831"/>
      <c r="AD5" s="831"/>
      <c r="AE5" s="831"/>
      <c r="AF5" s="831"/>
      <c r="AG5" s="831"/>
      <c r="AH5" s="831"/>
      <c r="AI5" s="830"/>
      <c r="AJ5" s="831"/>
      <c r="AK5" s="831"/>
      <c r="AL5" s="831"/>
      <c r="AM5" s="831"/>
      <c r="AN5" s="831"/>
      <c r="AO5" s="831"/>
      <c r="AP5" s="831"/>
      <c r="AQ5" s="831"/>
      <c r="AR5" s="826"/>
      <c r="AS5" s="818"/>
      <c r="AT5" s="818"/>
      <c r="AU5" s="818"/>
      <c r="AV5" s="818"/>
      <c r="AW5" s="818"/>
      <c r="AX5" s="818"/>
      <c r="AY5" s="818"/>
      <c r="AZ5" s="818"/>
      <c r="BA5" s="818"/>
      <c r="BB5" s="818"/>
      <c r="BC5" s="818"/>
      <c r="BD5" s="818"/>
      <c r="BE5" s="818"/>
      <c r="BF5" s="818"/>
      <c r="BG5" s="818"/>
      <c r="BH5" s="818"/>
      <c r="BI5" s="818"/>
      <c r="BJ5" s="818"/>
      <c r="BK5" s="818"/>
      <c r="BL5" s="818"/>
      <c r="BM5" s="818"/>
      <c r="BN5" s="818"/>
      <c r="BO5" s="818"/>
      <c r="BP5" s="818"/>
      <c r="BQ5" s="818"/>
      <c r="BR5" s="818"/>
      <c r="BS5" s="818"/>
      <c r="BT5" s="818"/>
      <c r="BU5" s="818"/>
      <c r="BV5" s="818"/>
      <c r="BW5" s="818"/>
      <c r="BX5" s="818"/>
      <c r="BY5" s="818"/>
      <c r="BZ5" s="819"/>
    </row>
    <row r="6" spans="1:78" ht="25.5" customHeight="1">
      <c r="A6" s="812" t="s">
        <v>588</v>
      </c>
      <c r="B6" s="813"/>
      <c r="C6" s="870"/>
      <c r="D6" s="871"/>
      <c r="E6" s="871"/>
      <c r="F6" s="871"/>
      <c r="G6" s="871"/>
      <c r="H6" s="871"/>
      <c r="I6" s="872"/>
      <c r="J6" s="873" t="s">
        <v>589</v>
      </c>
      <c r="K6" s="874"/>
      <c r="L6" s="874"/>
      <c r="M6" s="874"/>
      <c r="N6" s="874"/>
      <c r="O6" s="874"/>
      <c r="P6" s="875"/>
      <c r="Q6" s="817" t="s">
        <v>300</v>
      </c>
      <c r="R6" s="818"/>
      <c r="S6" s="818"/>
      <c r="T6" s="818"/>
      <c r="U6" s="818"/>
      <c r="V6" s="818"/>
      <c r="W6" s="818"/>
      <c r="X6" s="818"/>
      <c r="Y6" s="818"/>
      <c r="Z6" s="818"/>
      <c r="AA6" s="819"/>
      <c r="AB6" s="830"/>
      <c r="AC6" s="831"/>
      <c r="AD6" s="831"/>
      <c r="AE6" s="831"/>
      <c r="AF6" s="831"/>
      <c r="AG6" s="831"/>
      <c r="AH6" s="831"/>
      <c r="AI6" s="830"/>
      <c r="AJ6" s="831"/>
      <c r="AK6" s="831"/>
      <c r="AL6" s="831"/>
      <c r="AM6" s="831"/>
      <c r="AN6" s="831"/>
      <c r="AO6" s="831"/>
      <c r="AP6" s="831"/>
      <c r="AQ6" s="831"/>
      <c r="AR6" s="866" t="s">
        <v>595</v>
      </c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  <c r="BX6" s="831"/>
      <c r="BY6" s="831"/>
      <c r="BZ6" s="867"/>
    </row>
    <row r="7" spans="1:78">
      <c r="A7" s="812" t="s">
        <v>309</v>
      </c>
      <c r="B7" s="813"/>
      <c r="C7" s="835" t="s">
        <v>310</v>
      </c>
      <c r="D7" s="836"/>
      <c r="E7" s="836"/>
      <c r="F7" s="836"/>
      <c r="G7" s="836"/>
      <c r="H7" s="836"/>
      <c r="I7" s="837"/>
      <c r="J7" s="832"/>
      <c r="K7" s="833"/>
      <c r="L7" s="833"/>
      <c r="M7" s="833"/>
      <c r="N7" s="833"/>
      <c r="O7" s="833"/>
      <c r="P7" s="834"/>
      <c r="Q7" s="817"/>
      <c r="R7" s="818"/>
      <c r="S7" s="818"/>
      <c r="T7" s="818"/>
      <c r="U7" s="818"/>
      <c r="V7" s="818"/>
      <c r="W7" s="818"/>
      <c r="X7" s="818"/>
      <c r="Y7" s="818"/>
      <c r="Z7" s="818"/>
      <c r="AA7" s="819"/>
      <c r="AB7" s="830"/>
      <c r="AC7" s="831"/>
      <c r="AD7" s="831"/>
      <c r="AE7" s="831"/>
      <c r="AF7" s="831"/>
      <c r="AG7" s="831"/>
      <c r="AH7" s="831"/>
      <c r="AI7" s="830"/>
      <c r="AJ7" s="831"/>
      <c r="AK7" s="831"/>
      <c r="AL7" s="831"/>
      <c r="AM7" s="831"/>
      <c r="AN7" s="831"/>
      <c r="AO7" s="831"/>
      <c r="AP7" s="831"/>
      <c r="AQ7" s="831"/>
      <c r="AR7" s="866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  <c r="BX7" s="831"/>
      <c r="BY7" s="831"/>
      <c r="BZ7" s="867"/>
    </row>
    <row r="8" spans="1:78">
      <c r="A8" s="812" t="s">
        <v>311</v>
      </c>
      <c r="B8" s="813"/>
      <c r="C8" s="835"/>
      <c r="D8" s="836"/>
      <c r="E8" s="836"/>
      <c r="F8" s="836"/>
      <c r="G8" s="836"/>
      <c r="H8" s="836"/>
      <c r="I8" s="837"/>
      <c r="J8" s="832" t="s">
        <v>312</v>
      </c>
      <c r="K8" s="833"/>
      <c r="L8" s="833"/>
      <c r="M8" s="833"/>
      <c r="N8" s="833"/>
      <c r="O8" s="833"/>
      <c r="P8" s="834"/>
      <c r="Q8" s="817" t="s">
        <v>300</v>
      </c>
      <c r="R8" s="818"/>
      <c r="S8" s="818"/>
      <c r="T8" s="818"/>
      <c r="U8" s="818"/>
      <c r="V8" s="818"/>
      <c r="W8" s="818"/>
      <c r="X8" s="818"/>
      <c r="Y8" s="818"/>
      <c r="Z8" s="818"/>
      <c r="AA8" s="819"/>
      <c r="AB8" s="830"/>
      <c r="AC8" s="831"/>
      <c r="AD8" s="831"/>
      <c r="AE8" s="831"/>
      <c r="AF8" s="831"/>
      <c r="AG8" s="831"/>
      <c r="AH8" s="831"/>
      <c r="AI8" s="830"/>
      <c r="AJ8" s="831"/>
      <c r="AK8" s="831"/>
      <c r="AL8" s="831"/>
      <c r="AM8" s="831"/>
      <c r="AN8" s="831"/>
      <c r="AO8" s="831"/>
      <c r="AP8" s="831"/>
      <c r="AQ8" s="831"/>
      <c r="AR8" s="866" t="s">
        <v>628</v>
      </c>
      <c r="AS8" s="831"/>
      <c r="AT8" s="831"/>
      <c r="AU8" s="831"/>
      <c r="AV8" s="831"/>
      <c r="AW8" s="831"/>
      <c r="AX8" s="831"/>
      <c r="AY8" s="831"/>
      <c r="AZ8" s="831"/>
      <c r="BA8" s="831"/>
      <c r="BB8" s="831"/>
      <c r="BC8" s="831"/>
      <c r="BD8" s="831"/>
      <c r="BE8" s="831"/>
      <c r="BF8" s="831"/>
      <c r="BG8" s="831"/>
      <c r="BH8" s="831"/>
      <c r="BI8" s="831"/>
      <c r="BJ8" s="831"/>
      <c r="BK8" s="831"/>
      <c r="BL8" s="831"/>
      <c r="BM8" s="831"/>
      <c r="BN8" s="831"/>
      <c r="BO8" s="831"/>
      <c r="BP8" s="831"/>
      <c r="BQ8" s="831"/>
      <c r="BR8" s="831"/>
      <c r="BS8" s="831"/>
      <c r="BT8" s="831"/>
      <c r="BU8" s="831"/>
      <c r="BV8" s="831"/>
      <c r="BW8" s="831"/>
      <c r="BX8" s="831"/>
      <c r="BY8" s="831"/>
      <c r="BZ8" s="867"/>
    </row>
    <row r="9" spans="1:78" ht="15.75" customHeight="1">
      <c r="A9" s="812" t="s">
        <v>316</v>
      </c>
      <c r="B9" s="813"/>
      <c r="C9" s="846" t="s">
        <v>317</v>
      </c>
      <c r="D9" s="847"/>
      <c r="E9" s="847"/>
      <c r="F9" s="847"/>
      <c r="G9" s="847"/>
      <c r="H9" s="847"/>
      <c r="I9" s="848"/>
      <c r="J9" s="849"/>
      <c r="K9" s="849"/>
      <c r="L9" s="849"/>
      <c r="M9" s="849"/>
      <c r="N9" s="849"/>
      <c r="O9" s="849"/>
      <c r="P9" s="849"/>
      <c r="Q9" s="817" t="s">
        <v>313</v>
      </c>
      <c r="R9" s="818"/>
      <c r="S9" s="818"/>
      <c r="T9" s="818"/>
      <c r="U9" s="818"/>
      <c r="V9" s="818"/>
      <c r="W9" s="818"/>
      <c r="X9" s="818"/>
      <c r="Y9" s="818"/>
      <c r="Z9" s="818"/>
      <c r="AA9" s="819"/>
      <c r="AB9" s="830"/>
      <c r="AC9" s="831"/>
      <c r="AD9" s="831"/>
      <c r="AE9" s="831"/>
      <c r="AF9" s="831"/>
      <c r="AG9" s="831"/>
      <c r="AH9" s="831"/>
      <c r="AI9" s="830"/>
      <c r="AJ9" s="831"/>
      <c r="AK9" s="831"/>
      <c r="AL9" s="831"/>
      <c r="AM9" s="831"/>
      <c r="AN9" s="831"/>
      <c r="AO9" s="831"/>
      <c r="AP9" s="831"/>
      <c r="AQ9" s="831"/>
      <c r="AR9" s="843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  <c r="BX9" s="844"/>
      <c r="BY9" s="844"/>
      <c r="BZ9" s="845"/>
    </row>
    <row r="10" spans="1:78" ht="44.45" customHeight="1">
      <c r="A10" s="812" t="s">
        <v>318</v>
      </c>
      <c r="B10" s="813"/>
      <c r="C10" s="607"/>
      <c r="D10" s="608"/>
      <c r="E10" s="608"/>
      <c r="F10" s="608"/>
      <c r="G10" s="608"/>
      <c r="H10" s="608"/>
      <c r="I10" s="609"/>
      <c r="J10" s="814" t="s">
        <v>319</v>
      </c>
      <c r="K10" s="815"/>
      <c r="L10" s="815"/>
      <c r="M10" s="815"/>
      <c r="N10" s="815"/>
      <c r="O10" s="815"/>
      <c r="P10" s="816"/>
      <c r="Q10" s="822" t="s">
        <v>320</v>
      </c>
      <c r="R10" s="823"/>
      <c r="S10" s="823"/>
      <c r="T10" s="823"/>
      <c r="U10" s="823"/>
      <c r="V10" s="823"/>
      <c r="W10" s="823"/>
      <c r="X10" s="823"/>
      <c r="Y10" s="823"/>
      <c r="Z10" s="823"/>
      <c r="AA10" s="825"/>
      <c r="AB10" s="838"/>
      <c r="AC10" s="839"/>
      <c r="AD10" s="839"/>
      <c r="AE10" s="839"/>
      <c r="AF10" s="839"/>
      <c r="AG10" s="839"/>
      <c r="AH10" s="839"/>
      <c r="AI10" s="838" t="s">
        <v>482</v>
      </c>
      <c r="AJ10" s="839"/>
      <c r="AK10" s="839"/>
      <c r="AL10" s="839"/>
      <c r="AM10" s="839"/>
      <c r="AN10" s="839"/>
      <c r="AO10" s="839"/>
      <c r="AP10" s="839"/>
      <c r="AQ10" s="839"/>
      <c r="AR10" s="826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  <c r="BX10" s="818"/>
      <c r="BY10" s="818"/>
      <c r="BZ10" s="819"/>
    </row>
    <row r="11" spans="1:78" ht="31.7" customHeight="1">
      <c r="A11" s="812" t="s">
        <v>321</v>
      </c>
      <c r="B11" s="813"/>
      <c r="C11" s="607"/>
      <c r="D11" s="608"/>
      <c r="E11" s="608"/>
      <c r="F11" s="608"/>
      <c r="G11" s="608"/>
      <c r="H11" s="608"/>
      <c r="I11" s="609"/>
      <c r="J11" s="814" t="s">
        <v>322</v>
      </c>
      <c r="K11" s="815"/>
      <c r="L11" s="815"/>
      <c r="M11" s="815"/>
      <c r="N11" s="815"/>
      <c r="O11" s="815"/>
      <c r="P11" s="816"/>
      <c r="Q11" s="822" t="s">
        <v>300</v>
      </c>
      <c r="R11" s="823"/>
      <c r="S11" s="823"/>
      <c r="T11" s="823"/>
      <c r="U11" s="823"/>
      <c r="V11" s="823"/>
      <c r="W11" s="823"/>
      <c r="X11" s="823"/>
      <c r="Y11" s="823"/>
      <c r="Z11" s="823"/>
      <c r="AA11" s="825"/>
      <c r="AB11" s="838"/>
      <c r="AC11" s="839"/>
      <c r="AD11" s="839"/>
      <c r="AE11" s="839"/>
      <c r="AF11" s="839"/>
      <c r="AG11" s="839"/>
      <c r="AH11" s="839"/>
      <c r="AI11" s="838"/>
      <c r="AJ11" s="839"/>
      <c r="AK11" s="839"/>
      <c r="AL11" s="839"/>
      <c r="AM11" s="839"/>
      <c r="AN11" s="839"/>
      <c r="AO11" s="839"/>
      <c r="AP11" s="839"/>
      <c r="AQ11" s="839"/>
      <c r="AR11" s="612"/>
      <c r="AS11" s="610"/>
      <c r="AT11" s="610"/>
      <c r="AU11" s="610"/>
      <c r="AV11" s="610"/>
      <c r="AW11" s="610"/>
      <c r="AX11" s="610"/>
      <c r="AY11" s="610"/>
      <c r="AZ11" s="610"/>
      <c r="BA11" s="610"/>
      <c r="BB11" s="610"/>
      <c r="BC11" s="610"/>
      <c r="BD11" s="610"/>
      <c r="BE11" s="610"/>
      <c r="BF11" s="610"/>
      <c r="BG11" s="610"/>
      <c r="BH11" s="610"/>
      <c r="BI11" s="610"/>
      <c r="BJ11" s="610"/>
      <c r="BK11" s="610"/>
      <c r="BL11" s="610"/>
      <c r="BM11" s="610"/>
      <c r="BN11" s="610"/>
      <c r="BO11" s="610"/>
      <c r="BP11" s="610"/>
      <c r="BQ11" s="610"/>
      <c r="BR11" s="610"/>
      <c r="BS11" s="610"/>
      <c r="BT11" s="610"/>
      <c r="BU11" s="610"/>
      <c r="BV11" s="610"/>
      <c r="BW11" s="610"/>
      <c r="BX11" s="610"/>
      <c r="BY11" s="610"/>
      <c r="BZ11" s="613"/>
    </row>
    <row r="12" spans="1:78" ht="33.75" customHeight="1">
      <c r="A12" s="812" t="s">
        <v>323</v>
      </c>
      <c r="B12" s="813"/>
      <c r="C12" s="607"/>
      <c r="D12" s="608"/>
      <c r="E12" s="608"/>
      <c r="F12" s="608"/>
      <c r="G12" s="608"/>
      <c r="H12" s="608"/>
      <c r="I12" s="609"/>
      <c r="J12" s="814" t="s">
        <v>315</v>
      </c>
      <c r="K12" s="815"/>
      <c r="L12" s="815"/>
      <c r="M12" s="815"/>
      <c r="N12" s="815"/>
      <c r="O12" s="815"/>
      <c r="P12" s="816"/>
      <c r="Q12" s="822" t="s">
        <v>483</v>
      </c>
      <c r="R12" s="823"/>
      <c r="S12" s="823"/>
      <c r="T12" s="823"/>
      <c r="U12" s="823"/>
      <c r="V12" s="823"/>
      <c r="W12" s="823"/>
      <c r="X12" s="823"/>
      <c r="Y12" s="823"/>
      <c r="Z12" s="823"/>
      <c r="AA12" s="825"/>
      <c r="AB12" s="830"/>
      <c r="AC12" s="831"/>
      <c r="AD12" s="831"/>
      <c r="AE12" s="831"/>
      <c r="AF12" s="831"/>
      <c r="AG12" s="831"/>
      <c r="AH12" s="831"/>
      <c r="AI12" s="838" t="s">
        <v>482</v>
      </c>
      <c r="AJ12" s="839"/>
      <c r="AK12" s="839"/>
      <c r="AL12" s="839"/>
      <c r="AM12" s="839"/>
      <c r="AN12" s="839"/>
      <c r="AO12" s="839"/>
      <c r="AP12" s="839"/>
      <c r="AQ12" s="839"/>
      <c r="AR12" s="612"/>
      <c r="AS12" s="610"/>
      <c r="AT12" s="610"/>
      <c r="AU12" s="610"/>
      <c r="AV12" s="610"/>
      <c r="AW12" s="610"/>
      <c r="AX12" s="610"/>
      <c r="AY12" s="610"/>
      <c r="AZ12" s="610"/>
      <c r="BA12" s="610"/>
      <c r="BB12" s="610"/>
      <c r="BC12" s="610"/>
      <c r="BD12" s="610"/>
      <c r="BE12" s="610"/>
      <c r="BF12" s="610"/>
      <c r="BG12" s="610"/>
      <c r="BH12" s="610"/>
      <c r="BI12" s="610"/>
      <c r="BJ12" s="610"/>
      <c r="BK12" s="610"/>
      <c r="BL12" s="610"/>
      <c r="BM12" s="610"/>
      <c r="BN12" s="610"/>
      <c r="BO12" s="610"/>
      <c r="BP12" s="610"/>
      <c r="BQ12" s="610"/>
      <c r="BR12" s="610"/>
      <c r="BS12" s="610"/>
      <c r="BT12" s="610"/>
      <c r="BU12" s="610"/>
      <c r="BV12" s="610"/>
      <c r="BW12" s="610"/>
      <c r="BX12" s="610"/>
      <c r="BY12" s="610"/>
      <c r="BZ12" s="613"/>
    </row>
    <row r="13" spans="1:78" ht="35.450000000000003" customHeight="1">
      <c r="A13" s="812" t="s">
        <v>324</v>
      </c>
      <c r="B13" s="813"/>
      <c r="C13" s="607"/>
      <c r="D13" s="608"/>
      <c r="E13" s="608"/>
      <c r="F13" s="608"/>
      <c r="G13" s="608"/>
      <c r="H13" s="608"/>
      <c r="I13" s="609"/>
      <c r="J13" s="814" t="s">
        <v>314</v>
      </c>
      <c r="K13" s="815"/>
      <c r="L13" s="815"/>
      <c r="M13" s="815"/>
      <c r="N13" s="815"/>
      <c r="O13" s="815"/>
      <c r="P13" s="816"/>
      <c r="Q13" s="822" t="s">
        <v>325</v>
      </c>
      <c r="R13" s="823"/>
      <c r="S13" s="823"/>
      <c r="T13" s="823"/>
      <c r="U13" s="823"/>
      <c r="V13" s="823"/>
      <c r="W13" s="823"/>
      <c r="X13" s="823"/>
      <c r="Y13" s="823"/>
      <c r="Z13" s="823"/>
      <c r="AA13" s="825"/>
      <c r="AB13" s="838"/>
      <c r="AC13" s="839"/>
      <c r="AD13" s="839"/>
      <c r="AE13" s="839"/>
      <c r="AF13" s="839"/>
      <c r="AG13" s="839"/>
      <c r="AH13" s="839"/>
      <c r="AI13" s="838" t="s">
        <v>482</v>
      </c>
      <c r="AJ13" s="839"/>
      <c r="AK13" s="839"/>
      <c r="AL13" s="839"/>
      <c r="AM13" s="839"/>
      <c r="AN13" s="839"/>
      <c r="AO13" s="839"/>
      <c r="AP13" s="839"/>
      <c r="AQ13" s="839"/>
      <c r="AR13" s="612"/>
      <c r="AS13" s="610"/>
      <c r="AT13" s="610"/>
      <c r="AU13" s="610"/>
      <c r="AV13" s="610"/>
      <c r="AW13" s="610"/>
      <c r="AX13" s="610"/>
      <c r="AY13" s="610"/>
      <c r="AZ13" s="610"/>
      <c r="BA13" s="610"/>
      <c r="BB13" s="610"/>
      <c r="BC13" s="610"/>
      <c r="BD13" s="610"/>
      <c r="BE13" s="610"/>
      <c r="BF13" s="610"/>
      <c r="BG13" s="610"/>
      <c r="BH13" s="610"/>
      <c r="BI13" s="610"/>
      <c r="BJ13" s="610"/>
      <c r="BK13" s="610"/>
      <c r="BL13" s="610"/>
      <c r="BM13" s="610"/>
      <c r="BN13" s="610"/>
      <c r="BO13" s="610"/>
      <c r="BP13" s="610"/>
      <c r="BQ13" s="610"/>
      <c r="BR13" s="610"/>
      <c r="BS13" s="610"/>
      <c r="BT13" s="610"/>
      <c r="BU13" s="610"/>
      <c r="BV13" s="610"/>
      <c r="BW13" s="610"/>
      <c r="BX13" s="610"/>
      <c r="BY13" s="610"/>
      <c r="BZ13" s="613"/>
    </row>
    <row r="14" spans="1:78">
      <c r="A14" s="812" t="s">
        <v>326</v>
      </c>
      <c r="B14" s="813"/>
      <c r="C14" s="607"/>
      <c r="D14" s="608"/>
      <c r="E14" s="608"/>
      <c r="F14" s="608"/>
      <c r="G14" s="608"/>
      <c r="H14" s="608"/>
      <c r="I14" s="609"/>
      <c r="J14" s="814" t="s">
        <v>327</v>
      </c>
      <c r="K14" s="815"/>
      <c r="L14" s="815"/>
      <c r="M14" s="815"/>
      <c r="N14" s="815"/>
      <c r="O14" s="815"/>
      <c r="P14" s="816"/>
      <c r="Q14" s="822" t="s">
        <v>313</v>
      </c>
      <c r="R14" s="823"/>
      <c r="S14" s="823"/>
      <c r="T14" s="823"/>
      <c r="U14" s="823"/>
      <c r="V14" s="823"/>
      <c r="W14" s="823"/>
      <c r="X14" s="823"/>
      <c r="Y14" s="823"/>
      <c r="Z14" s="823"/>
      <c r="AA14" s="825"/>
      <c r="AB14" s="838"/>
      <c r="AC14" s="839"/>
      <c r="AD14" s="839"/>
      <c r="AE14" s="839"/>
      <c r="AF14" s="839"/>
      <c r="AG14" s="839"/>
      <c r="AH14" s="839"/>
      <c r="AI14" s="838"/>
      <c r="AJ14" s="839"/>
      <c r="AK14" s="839"/>
      <c r="AL14" s="839"/>
      <c r="AM14" s="839"/>
      <c r="AN14" s="839"/>
      <c r="AO14" s="839"/>
      <c r="AP14" s="839"/>
      <c r="AQ14" s="839"/>
      <c r="AR14" s="612"/>
      <c r="AS14" s="610"/>
      <c r="AT14" s="610"/>
      <c r="AU14" s="610"/>
      <c r="AV14" s="610"/>
      <c r="AW14" s="610"/>
      <c r="AX14" s="610"/>
      <c r="AY14" s="610"/>
      <c r="AZ14" s="610"/>
      <c r="BA14" s="610"/>
      <c r="BB14" s="610"/>
      <c r="BC14" s="610"/>
      <c r="BD14" s="610"/>
      <c r="BE14" s="610"/>
      <c r="BF14" s="610"/>
      <c r="BG14" s="610"/>
      <c r="BH14" s="610"/>
      <c r="BI14" s="610"/>
      <c r="BJ14" s="610"/>
      <c r="BK14" s="610"/>
      <c r="BL14" s="610"/>
      <c r="BM14" s="610"/>
      <c r="BN14" s="610"/>
      <c r="BO14" s="610"/>
      <c r="BP14" s="610"/>
      <c r="BQ14" s="610"/>
      <c r="BR14" s="610"/>
      <c r="BS14" s="610"/>
      <c r="BT14" s="610"/>
      <c r="BU14" s="610"/>
      <c r="BV14" s="610"/>
      <c r="BW14" s="610"/>
      <c r="BX14" s="610"/>
      <c r="BY14" s="610"/>
      <c r="BZ14" s="613"/>
    </row>
    <row r="15" spans="1:78" ht="30" customHeight="1">
      <c r="A15" s="812" t="s">
        <v>328</v>
      </c>
      <c r="B15" s="813"/>
      <c r="C15" s="607"/>
      <c r="D15" s="608"/>
      <c r="E15" s="608"/>
      <c r="F15" s="608"/>
      <c r="G15" s="608"/>
      <c r="H15" s="608"/>
      <c r="I15" s="609"/>
      <c r="J15" s="814" t="s">
        <v>329</v>
      </c>
      <c r="K15" s="815"/>
      <c r="L15" s="815"/>
      <c r="M15" s="815"/>
      <c r="N15" s="815"/>
      <c r="O15" s="815"/>
      <c r="P15" s="816"/>
      <c r="Q15" s="822" t="s">
        <v>330</v>
      </c>
      <c r="R15" s="823"/>
      <c r="S15" s="823"/>
      <c r="T15" s="823"/>
      <c r="U15" s="823"/>
      <c r="V15" s="823"/>
      <c r="W15" s="823"/>
      <c r="X15" s="823"/>
      <c r="Y15" s="823"/>
      <c r="Z15" s="823"/>
      <c r="AA15" s="825"/>
      <c r="AB15" s="830"/>
      <c r="AC15" s="831"/>
      <c r="AD15" s="831"/>
      <c r="AE15" s="831"/>
      <c r="AF15" s="831"/>
      <c r="AG15" s="831"/>
      <c r="AH15" s="831"/>
      <c r="AI15" s="830" t="s">
        <v>484</v>
      </c>
      <c r="AJ15" s="831"/>
      <c r="AK15" s="831"/>
      <c r="AL15" s="831"/>
      <c r="AM15" s="831"/>
      <c r="AN15" s="831"/>
      <c r="AO15" s="831"/>
      <c r="AP15" s="831"/>
      <c r="AQ15" s="831"/>
      <c r="AR15" s="826" t="s">
        <v>331</v>
      </c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  <c r="BX15" s="818"/>
      <c r="BY15" s="818"/>
      <c r="BZ15" s="819"/>
    </row>
    <row r="16" spans="1:78" ht="246.6" customHeight="1">
      <c r="A16" s="812" t="s">
        <v>332</v>
      </c>
      <c r="B16" s="813"/>
      <c r="C16" s="607"/>
      <c r="D16" s="608"/>
      <c r="E16" s="608"/>
      <c r="F16" s="608"/>
      <c r="G16" s="608"/>
      <c r="H16" s="608"/>
      <c r="I16" s="609"/>
      <c r="J16" s="814" t="s">
        <v>299</v>
      </c>
      <c r="K16" s="815"/>
      <c r="L16" s="815"/>
      <c r="M16" s="815"/>
      <c r="N16" s="815"/>
      <c r="O16" s="815"/>
      <c r="P16" s="816"/>
      <c r="Q16" s="822" t="s">
        <v>333</v>
      </c>
      <c r="R16" s="823"/>
      <c r="S16" s="823"/>
      <c r="T16" s="823"/>
      <c r="U16" s="823"/>
      <c r="V16" s="823"/>
      <c r="W16" s="823"/>
      <c r="X16" s="823"/>
      <c r="Y16" s="823"/>
      <c r="Z16" s="823"/>
      <c r="AA16" s="825"/>
      <c r="AB16" s="830"/>
      <c r="AC16" s="831"/>
      <c r="AD16" s="831"/>
      <c r="AE16" s="831"/>
      <c r="AF16" s="831"/>
      <c r="AG16" s="831"/>
      <c r="AH16" s="831"/>
      <c r="AI16" s="830" t="s">
        <v>603</v>
      </c>
      <c r="AJ16" s="831"/>
      <c r="AK16" s="831"/>
      <c r="AL16" s="831"/>
      <c r="AM16" s="831"/>
      <c r="AN16" s="831"/>
      <c r="AO16" s="831"/>
      <c r="AP16" s="831"/>
      <c r="AQ16" s="831"/>
      <c r="AR16" s="840" t="s">
        <v>334</v>
      </c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  <c r="BW16" s="841"/>
      <c r="BX16" s="841"/>
      <c r="BY16" s="841"/>
      <c r="BZ16" s="842"/>
    </row>
    <row r="17" spans="1:78" ht="72.599999999999994" customHeight="1">
      <c r="A17" s="812" t="s">
        <v>335</v>
      </c>
      <c r="B17" s="813"/>
      <c r="C17" s="607"/>
      <c r="D17" s="608"/>
      <c r="E17" s="608"/>
      <c r="F17" s="608"/>
      <c r="G17" s="608"/>
      <c r="H17" s="608"/>
      <c r="I17" s="609"/>
      <c r="J17" s="814" t="s">
        <v>336</v>
      </c>
      <c r="K17" s="815"/>
      <c r="L17" s="815"/>
      <c r="M17" s="815"/>
      <c r="N17" s="815"/>
      <c r="O17" s="815"/>
      <c r="P17" s="816"/>
      <c r="Q17" s="822" t="s">
        <v>337</v>
      </c>
      <c r="R17" s="823"/>
      <c r="S17" s="823"/>
      <c r="T17" s="823"/>
      <c r="U17" s="823"/>
      <c r="V17" s="823"/>
      <c r="W17" s="823"/>
      <c r="X17" s="823"/>
      <c r="Y17" s="823"/>
      <c r="Z17" s="823"/>
      <c r="AA17" s="825"/>
      <c r="AB17" s="673"/>
      <c r="AC17" s="674"/>
      <c r="AD17" s="674"/>
      <c r="AE17" s="674"/>
      <c r="AF17" s="674"/>
      <c r="AG17" s="674"/>
      <c r="AH17" s="674"/>
      <c r="AI17" s="830" t="s">
        <v>604</v>
      </c>
      <c r="AJ17" s="831"/>
      <c r="AK17" s="831"/>
      <c r="AL17" s="831"/>
      <c r="AM17" s="831"/>
      <c r="AN17" s="831"/>
      <c r="AO17" s="831"/>
      <c r="AP17" s="831"/>
      <c r="AQ17" s="831"/>
      <c r="AR17" s="840" t="s">
        <v>338</v>
      </c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  <c r="BW17" s="841"/>
      <c r="BX17" s="841"/>
      <c r="BY17" s="841"/>
      <c r="BZ17" s="842"/>
    </row>
    <row r="18" spans="1:78" ht="46.5" customHeight="1">
      <c r="A18" s="812" t="s">
        <v>339</v>
      </c>
      <c r="B18" s="813"/>
      <c r="C18" s="835"/>
      <c r="D18" s="836"/>
      <c r="E18" s="836"/>
      <c r="F18" s="836"/>
      <c r="G18" s="836"/>
      <c r="H18" s="836"/>
      <c r="I18" s="837"/>
      <c r="J18" s="814" t="s">
        <v>342</v>
      </c>
      <c r="K18" s="815"/>
      <c r="L18" s="815"/>
      <c r="M18" s="815"/>
      <c r="N18" s="815"/>
      <c r="O18" s="815"/>
      <c r="P18" s="816"/>
      <c r="Q18" s="827" t="s">
        <v>343</v>
      </c>
      <c r="R18" s="828"/>
      <c r="S18" s="828"/>
      <c r="T18" s="828"/>
      <c r="U18" s="828"/>
      <c r="V18" s="828"/>
      <c r="W18" s="828"/>
      <c r="X18" s="828"/>
      <c r="Y18" s="828"/>
      <c r="Z18" s="828"/>
      <c r="AA18" s="829"/>
      <c r="AB18" s="673"/>
      <c r="AC18" s="674"/>
      <c r="AD18" s="674"/>
      <c r="AE18" s="674"/>
      <c r="AF18" s="674"/>
      <c r="AG18" s="674"/>
      <c r="AH18" s="674"/>
      <c r="AI18" s="838" t="s">
        <v>482</v>
      </c>
      <c r="AJ18" s="839"/>
      <c r="AK18" s="839"/>
      <c r="AL18" s="839"/>
      <c r="AM18" s="839"/>
      <c r="AN18" s="839"/>
      <c r="AO18" s="839"/>
      <c r="AP18" s="839"/>
      <c r="AQ18" s="839"/>
      <c r="AR18" s="826" t="s">
        <v>585</v>
      </c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  <c r="BX18" s="818"/>
      <c r="BY18" s="818"/>
      <c r="BZ18" s="819"/>
    </row>
    <row r="19" spans="1:78" ht="105" customHeight="1">
      <c r="A19" s="812" t="s">
        <v>340</v>
      </c>
      <c r="B19" s="813"/>
      <c r="C19" s="832"/>
      <c r="D19" s="833"/>
      <c r="E19" s="833"/>
      <c r="F19" s="833"/>
      <c r="G19" s="833"/>
      <c r="H19" s="833"/>
      <c r="I19" s="834"/>
      <c r="J19" s="814" t="s">
        <v>344</v>
      </c>
      <c r="K19" s="815"/>
      <c r="L19" s="815"/>
      <c r="M19" s="815"/>
      <c r="N19" s="815"/>
      <c r="O19" s="815"/>
      <c r="P19" s="816"/>
      <c r="Q19" s="827" t="s">
        <v>345</v>
      </c>
      <c r="R19" s="828"/>
      <c r="S19" s="828"/>
      <c r="T19" s="828"/>
      <c r="U19" s="828"/>
      <c r="V19" s="828"/>
      <c r="W19" s="828"/>
      <c r="X19" s="828"/>
      <c r="Y19" s="828"/>
      <c r="Z19" s="828"/>
      <c r="AA19" s="829"/>
      <c r="AB19" s="830"/>
      <c r="AC19" s="831"/>
      <c r="AD19" s="831"/>
      <c r="AE19" s="831"/>
      <c r="AF19" s="831"/>
      <c r="AG19" s="831"/>
      <c r="AH19" s="831"/>
      <c r="AI19" s="830"/>
      <c r="AJ19" s="831"/>
      <c r="AK19" s="831"/>
      <c r="AL19" s="831"/>
      <c r="AM19" s="831"/>
      <c r="AN19" s="831"/>
      <c r="AO19" s="831"/>
      <c r="AP19" s="831"/>
      <c r="AQ19" s="831"/>
      <c r="AR19" s="826" t="s">
        <v>629</v>
      </c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  <c r="BX19" s="818"/>
      <c r="BY19" s="818"/>
      <c r="BZ19" s="819"/>
    </row>
    <row r="20" spans="1:78" ht="15.75" customHeight="1">
      <c r="A20" s="812" t="s">
        <v>341</v>
      </c>
      <c r="B20" s="813"/>
      <c r="C20" s="814"/>
      <c r="D20" s="815"/>
      <c r="E20" s="815"/>
      <c r="F20" s="815"/>
      <c r="G20" s="815"/>
      <c r="H20" s="815"/>
      <c r="I20" s="816"/>
      <c r="J20" s="814" t="s">
        <v>346</v>
      </c>
      <c r="K20" s="815"/>
      <c r="L20" s="815"/>
      <c r="M20" s="815"/>
      <c r="N20" s="815"/>
      <c r="O20" s="815"/>
      <c r="P20" s="816"/>
      <c r="Q20" s="827" t="s">
        <v>313</v>
      </c>
      <c r="R20" s="828"/>
      <c r="S20" s="828"/>
      <c r="T20" s="828"/>
      <c r="U20" s="828"/>
      <c r="V20" s="828"/>
      <c r="W20" s="828"/>
      <c r="X20" s="828"/>
      <c r="Y20" s="828"/>
      <c r="Z20" s="828"/>
      <c r="AA20" s="829"/>
      <c r="AB20" s="830"/>
      <c r="AC20" s="831"/>
      <c r="AD20" s="831"/>
      <c r="AE20" s="831"/>
      <c r="AF20" s="831"/>
      <c r="AG20" s="831"/>
      <c r="AH20" s="831"/>
      <c r="AI20" s="830"/>
      <c r="AJ20" s="831"/>
      <c r="AK20" s="831"/>
      <c r="AL20" s="831"/>
      <c r="AM20" s="831"/>
      <c r="AN20" s="831"/>
      <c r="AO20" s="831"/>
      <c r="AP20" s="831"/>
      <c r="AQ20" s="831"/>
      <c r="AR20" s="826"/>
      <c r="AS20" s="818"/>
      <c r="AT20" s="818"/>
      <c r="AU20" s="818"/>
      <c r="AV20" s="818"/>
      <c r="AW20" s="818"/>
      <c r="AX20" s="818"/>
      <c r="AY20" s="818"/>
      <c r="AZ20" s="818"/>
      <c r="BA20" s="818"/>
      <c r="BB20" s="818"/>
      <c r="BC20" s="818"/>
      <c r="BD20" s="818"/>
      <c r="BE20" s="818"/>
      <c r="BF20" s="818"/>
      <c r="BG20" s="818"/>
      <c r="BH20" s="818"/>
      <c r="BI20" s="818"/>
      <c r="BJ20" s="818"/>
      <c r="BK20" s="818"/>
      <c r="BL20" s="818"/>
      <c r="BM20" s="818"/>
      <c r="BN20" s="818"/>
      <c r="BO20" s="818"/>
      <c r="BP20" s="818"/>
      <c r="BQ20" s="818"/>
      <c r="BR20" s="818"/>
      <c r="BS20" s="818"/>
      <c r="BT20" s="818"/>
      <c r="BU20" s="818"/>
      <c r="BV20" s="818"/>
      <c r="BW20" s="818"/>
      <c r="BX20" s="818"/>
      <c r="BY20" s="818"/>
      <c r="BZ20" s="819"/>
    </row>
    <row r="21" spans="1:78" ht="60.6" customHeight="1">
      <c r="A21" s="812" t="s">
        <v>608</v>
      </c>
      <c r="B21" s="813"/>
      <c r="C21" s="814"/>
      <c r="D21" s="815"/>
      <c r="E21" s="815"/>
      <c r="F21" s="815"/>
      <c r="G21" s="815"/>
      <c r="H21" s="815"/>
      <c r="I21" s="816"/>
      <c r="J21" s="814" t="s">
        <v>347</v>
      </c>
      <c r="K21" s="815"/>
      <c r="L21" s="815"/>
      <c r="M21" s="815"/>
      <c r="N21" s="815"/>
      <c r="O21" s="815"/>
      <c r="P21" s="816"/>
      <c r="Q21" s="827" t="s">
        <v>313</v>
      </c>
      <c r="R21" s="828"/>
      <c r="S21" s="828"/>
      <c r="T21" s="828"/>
      <c r="U21" s="828"/>
      <c r="V21" s="828"/>
      <c r="W21" s="828"/>
      <c r="X21" s="828"/>
      <c r="Y21" s="828"/>
      <c r="Z21" s="828"/>
      <c r="AA21" s="829"/>
      <c r="AB21" s="830"/>
      <c r="AC21" s="831"/>
      <c r="AD21" s="831"/>
      <c r="AE21" s="831"/>
      <c r="AF21" s="831"/>
      <c r="AG21" s="831"/>
      <c r="AH21" s="831"/>
      <c r="AI21" s="830"/>
      <c r="AJ21" s="831"/>
      <c r="AK21" s="831"/>
      <c r="AL21" s="831"/>
      <c r="AM21" s="831"/>
      <c r="AN21" s="831"/>
      <c r="AO21" s="831"/>
      <c r="AP21" s="831"/>
      <c r="AQ21" s="831"/>
      <c r="AR21" s="826" t="s">
        <v>418</v>
      </c>
      <c r="AS21" s="818"/>
      <c r="AT21" s="818"/>
      <c r="AU21" s="818"/>
      <c r="AV21" s="818"/>
      <c r="AW21" s="818"/>
      <c r="AX21" s="818"/>
      <c r="AY21" s="818"/>
      <c r="AZ21" s="818"/>
      <c r="BA21" s="818"/>
      <c r="BB21" s="818"/>
      <c r="BC21" s="818"/>
      <c r="BD21" s="818"/>
      <c r="BE21" s="818"/>
      <c r="BF21" s="818"/>
      <c r="BG21" s="818"/>
      <c r="BH21" s="818"/>
      <c r="BI21" s="818"/>
      <c r="BJ21" s="818"/>
      <c r="BK21" s="818"/>
      <c r="BL21" s="818"/>
      <c r="BM21" s="818"/>
      <c r="BN21" s="818"/>
      <c r="BO21" s="818"/>
      <c r="BP21" s="818"/>
      <c r="BQ21" s="818"/>
      <c r="BR21" s="818"/>
      <c r="BS21" s="818"/>
      <c r="BT21" s="818"/>
      <c r="BU21" s="818"/>
      <c r="BV21" s="818"/>
      <c r="BW21" s="818"/>
      <c r="BX21" s="818"/>
      <c r="BY21" s="818"/>
      <c r="BZ21" s="819"/>
    </row>
    <row r="22" spans="1:78">
      <c r="A22" s="812" t="s">
        <v>609</v>
      </c>
      <c r="B22" s="813"/>
      <c r="C22" s="607"/>
      <c r="D22" s="608"/>
      <c r="E22" s="608"/>
      <c r="F22" s="608"/>
      <c r="G22" s="608"/>
      <c r="H22" s="608"/>
      <c r="I22" s="609"/>
      <c r="J22" s="814" t="s">
        <v>348</v>
      </c>
      <c r="K22" s="815"/>
      <c r="L22" s="815"/>
      <c r="M22" s="815"/>
      <c r="N22" s="815"/>
      <c r="O22" s="815"/>
      <c r="P22" s="816"/>
      <c r="Q22" s="822" t="s">
        <v>300</v>
      </c>
      <c r="R22" s="823"/>
      <c r="S22" s="823"/>
      <c r="T22" s="823"/>
      <c r="U22" s="823"/>
      <c r="V22" s="823"/>
      <c r="W22" s="823"/>
      <c r="X22" s="823"/>
      <c r="Y22" s="823"/>
      <c r="Z22" s="823"/>
      <c r="AA22" s="824"/>
      <c r="AB22" s="830"/>
      <c r="AC22" s="831"/>
      <c r="AD22" s="831"/>
      <c r="AE22" s="831"/>
      <c r="AF22" s="831"/>
      <c r="AG22" s="831"/>
      <c r="AH22" s="831"/>
      <c r="AI22" s="830"/>
      <c r="AJ22" s="831"/>
      <c r="AK22" s="831"/>
      <c r="AL22" s="831"/>
      <c r="AM22" s="831"/>
      <c r="AN22" s="831"/>
      <c r="AO22" s="831"/>
      <c r="AP22" s="831"/>
      <c r="AQ22" s="831"/>
      <c r="AR22" s="817" t="s">
        <v>479</v>
      </c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  <c r="BX22" s="818"/>
      <c r="BY22" s="818"/>
      <c r="BZ22" s="819"/>
    </row>
    <row r="23" spans="1:78" ht="71.45" customHeight="1">
      <c r="A23" s="812" t="s">
        <v>610</v>
      </c>
      <c r="B23" s="813"/>
      <c r="C23" s="607"/>
      <c r="D23" s="608"/>
      <c r="E23" s="608"/>
      <c r="F23" s="608"/>
      <c r="G23" s="608"/>
      <c r="H23" s="608"/>
      <c r="I23" s="609"/>
      <c r="J23" s="814" t="s">
        <v>349</v>
      </c>
      <c r="K23" s="815"/>
      <c r="L23" s="815"/>
      <c r="M23" s="815"/>
      <c r="N23" s="815"/>
      <c r="O23" s="815"/>
      <c r="P23" s="816"/>
      <c r="Q23" s="822" t="s">
        <v>300</v>
      </c>
      <c r="R23" s="823"/>
      <c r="S23" s="823"/>
      <c r="T23" s="823"/>
      <c r="U23" s="823"/>
      <c r="V23" s="823"/>
      <c r="W23" s="823"/>
      <c r="X23" s="823"/>
      <c r="Y23" s="823"/>
      <c r="Z23" s="823"/>
      <c r="AA23" s="824"/>
      <c r="AB23" s="838"/>
      <c r="AC23" s="839"/>
      <c r="AD23" s="839"/>
      <c r="AE23" s="839"/>
      <c r="AF23" s="839"/>
      <c r="AG23" s="839"/>
      <c r="AH23" s="839"/>
      <c r="AI23" s="838"/>
      <c r="AJ23" s="839"/>
      <c r="AK23" s="839"/>
      <c r="AL23" s="839"/>
      <c r="AM23" s="839"/>
      <c r="AN23" s="839"/>
      <c r="AO23" s="839"/>
      <c r="AP23" s="839"/>
      <c r="AQ23" s="839"/>
      <c r="AR23" s="817" t="s">
        <v>352</v>
      </c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  <c r="BX23" s="818"/>
      <c r="BY23" s="818"/>
      <c r="BZ23" s="819"/>
    </row>
    <row r="24" spans="1:78">
      <c r="A24" s="812" t="s">
        <v>611</v>
      </c>
      <c r="B24" s="813"/>
      <c r="C24" s="607"/>
      <c r="D24" s="608"/>
      <c r="E24" s="608"/>
      <c r="F24" s="608"/>
      <c r="G24" s="608"/>
      <c r="H24" s="608"/>
      <c r="I24" s="609"/>
      <c r="J24" s="814" t="s">
        <v>350</v>
      </c>
      <c r="K24" s="815"/>
      <c r="L24" s="815"/>
      <c r="M24" s="815"/>
      <c r="N24" s="815"/>
      <c r="O24" s="815"/>
      <c r="P24" s="816"/>
      <c r="Q24" s="822" t="s">
        <v>300</v>
      </c>
      <c r="R24" s="823"/>
      <c r="S24" s="823"/>
      <c r="T24" s="823"/>
      <c r="U24" s="823"/>
      <c r="V24" s="823"/>
      <c r="W24" s="823"/>
      <c r="X24" s="823"/>
      <c r="Y24" s="823"/>
      <c r="Z24" s="823"/>
      <c r="AA24" s="825"/>
      <c r="AB24" s="838"/>
      <c r="AC24" s="839"/>
      <c r="AD24" s="839"/>
      <c r="AE24" s="839"/>
      <c r="AF24" s="839"/>
      <c r="AG24" s="839"/>
      <c r="AH24" s="839"/>
      <c r="AI24" s="838"/>
      <c r="AJ24" s="839"/>
      <c r="AK24" s="839"/>
      <c r="AL24" s="839"/>
      <c r="AM24" s="839"/>
      <c r="AN24" s="839"/>
      <c r="AO24" s="839"/>
      <c r="AP24" s="839"/>
      <c r="AQ24" s="839"/>
      <c r="AR24" s="826" t="s">
        <v>351</v>
      </c>
      <c r="AS24" s="818"/>
      <c r="AT24" s="818"/>
      <c r="AU24" s="818"/>
      <c r="AV24" s="818"/>
      <c r="AW24" s="818"/>
      <c r="AX24" s="818"/>
      <c r="AY24" s="818"/>
      <c r="AZ24" s="818"/>
      <c r="BA24" s="818"/>
      <c r="BB24" s="818"/>
      <c r="BC24" s="818"/>
      <c r="BD24" s="818"/>
      <c r="BE24" s="818"/>
      <c r="BF24" s="818"/>
      <c r="BG24" s="818"/>
      <c r="BH24" s="818"/>
      <c r="BI24" s="818"/>
      <c r="BJ24" s="818"/>
      <c r="BK24" s="818"/>
      <c r="BL24" s="818"/>
      <c r="BM24" s="818"/>
      <c r="BN24" s="818"/>
      <c r="BO24" s="818"/>
      <c r="BP24" s="818"/>
      <c r="BQ24" s="818"/>
      <c r="BR24" s="818"/>
      <c r="BS24" s="818"/>
      <c r="BT24" s="818"/>
      <c r="BU24" s="818"/>
      <c r="BV24" s="818"/>
      <c r="BW24" s="818"/>
      <c r="BX24" s="818"/>
      <c r="BY24" s="818"/>
      <c r="BZ24" s="819"/>
    </row>
    <row r="25" spans="1:78" ht="36" customHeight="1">
      <c r="A25" s="812"/>
      <c r="B25" s="813"/>
      <c r="C25" s="607"/>
      <c r="D25" s="608"/>
      <c r="E25" s="608"/>
      <c r="F25" s="608"/>
      <c r="G25" s="608"/>
      <c r="H25" s="608"/>
      <c r="I25" s="609"/>
      <c r="J25" s="814"/>
      <c r="K25" s="815"/>
      <c r="L25" s="815"/>
      <c r="M25" s="815"/>
      <c r="N25" s="815"/>
      <c r="O25" s="815"/>
      <c r="P25" s="816"/>
      <c r="Q25" s="822" t="s">
        <v>300</v>
      </c>
      <c r="R25" s="823"/>
      <c r="S25" s="823"/>
      <c r="T25" s="823"/>
      <c r="U25" s="823"/>
      <c r="V25" s="823"/>
      <c r="W25" s="823"/>
      <c r="X25" s="823"/>
      <c r="Y25" s="823"/>
      <c r="Z25" s="823"/>
      <c r="AA25" s="824"/>
      <c r="AB25" s="838"/>
      <c r="AC25" s="839"/>
      <c r="AD25" s="839"/>
      <c r="AE25" s="839"/>
      <c r="AF25" s="839"/>
      <c r="AG25" s="839"/>
      <c r="AH25" s="839"/>
      <c r="AI25" s="838"/>
      <c r="AJ25" s="839"/>
      <c r="AK25" s="839"/>
      <c r="AL25" s="839"/>
      <c r="AM25" s="839"/>
      <c r="AN25" s="839"/>
      <c r="AO25" s="839"/>
      <c r="AP25" s="839"/>
      <c r="AQ25" s="839"/>
      <c r="AR25" s="817"/>
      <c r="AS25" s="818"/>
      <c r="AT25" s="818"/>
      <c r="AU25" s="818"/>
      <c r="AV25" s="818"/>
      <c r="AW25" s="818"/>
      <c r="AX25" s="818"/>
      <c r="AY25" s="818"/>
      <c r="AZ25" s="818"/>
      <c r="BA25" s="818"/>
      <c r="BB25" s="818"/>
      <c r="BC25" s="818"/>
      <c r="BD25" s="818"/>
      <c r="BE25" s="818"/>
      <c r="BF25" s="818"/>
      <c r="BG25" s="818"/>
      <c r="BH25" s="818"/>
      <c r="BI25" s="818"/>
      <c r="BJ25" s="818"/>
      <c r="BK25" s="818"/>
      <c r="BL25" s="818"/>
      <c r="BM25" s="818"/>
      <c r="BN25" s="818"/>
      <c r="BO25" s="818"/>
      <c r="BP25" s="818"/>
      <c r="BQ25" s="818"/>
      <c r="BR25" s="818"/>
      <c r="BS25" s="818"/>
      <c r="BT25" s="818"/>
      <c r="BU25" s="818"/>
      <c r="BV25" s="818"/>
      <c r="BW25" s="818"/>
      <c r="BX25" s="818"/>
      <c r="BY25" s="818"/>
      <c r="BZ25" s="819"/>
    </row>
    <row r="26" spans="1:78" ht="36" customHeight="1">
      <c r="A26" s="812"/>
      <c r="B26" s="813"/>
      <c r="C26" s="607"/>
      <c r="D26" s="608"/>
      <c r="E26" s="608"/>
      <c r="F26" s="608"/>
      <c r="G26" s="608"/>
      <c r="H26" s="608"/>
      <c r="I26" s="609"/>
      <c r="J26" s="814"/>
      <c r="K26" s="815"/>
      <c r="L26" s="815"/>
      <c r="M26" s="815"/>
      <c r="N26" s="815"/>
      <c r="O26" s="815"/>
      <c r="P26" s="816"/>
      <c r="Q26" s="820"/>
      <c r="R26" s="821"/>
      <c r="S26" s="821"/>
      <c r="T26" s="821"/>
      <c r="U26" s="821"/>
      <c r="V26" s="821"/>
      <c r="W26" s="821"/>
      <c r="X26" s="821"/>
      <c r="Y26" s="821"/>
      <c r="Z26" s="821"/>
      <c r="AA26" s="611"/>
      <c r="AB26" s="838"/>
      <c r="AC26" s="839"/>
      <c r="AD26" s="839"/>
      <c r="AE26" s="839"/>
      <c r="AF26" s="839"/>
      <c r="AG26" s="839"/>
      <c r="AH26" s="839"/>
      <c r="AI26" s="838"/>
      <c r="AJ26" s="839"/>
      <c r="AK26" s="839"/>
      <c r="AL26" s="839"/>
      <c r="AM26" s="839"/>
      <c r="AN26" s="839"/>
      <c r="AO26" s="839"/>
      <c r="AP26" s="839"/>
      <c r="AQ26" s="839"/>
      <c r="AR26" s="817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  <c r="BX26" s="818"/>
      <c r="BY26" s="818"/>
      <c r="BZ26" s="819"/>
    </row>
    <row r="27" spans="1:78">
      <c r="A27" s="604"/>
      <c r="B27" s="604"/>
      <c r="C27" s="604"/>
      <c r="D27" s="604"/>
      <c r="E27" s="604"/>
      <c r="F27" s="604"/>
      <c r="G27" s="604"/>
      <c r="H27" s="604"/>
      <c r="I27" s="604"/>
      <c r="J27" s="604"/>
      <c r="K27" s="604"/>
      <c r="L27" s="604"/>
      <c r="M27" s="604"/>
      <c r="N27" s="604"/>
      <c r="O27" s="604"/>
      <c r="P27" s="604"/>
      <c r="Q27" s="604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869"/>
      <c r="AC27" s="869"/>
      <c r="AD27" s="869"/>
      <c r="AE27" s="869"/>
      <c r="AF27" s="869"/>
      <c r="AG27" s="869"/>
      <c r="AH27" s="869"/>
      <c r="AI27" s="869"/>
      <c r="AJ27" s="869"/>
      <c r="AK27" s="869"/>
      <c r="AL27" s="869"/>
      <c r="AM27" s="869"/>
      <c r="AN27" s="869"/>
      <c r="AO27" s="869"/>
      <c r="AP27" s="869"/>
      <c r="AQ27" s="869"/>
      <c r="AR27" s="604"/>
      <c r="AS27" s="604"/>
      <c r="AT27" s="604"/>
      <c r="AU27" s="604"/>
      <c r="AV27" s="604"/>
      <c r="AW27" s="604"/>
      <c r="AX27" s="604"/>
      <c r="AY27" s="604"/>
      <c r="AZ27" s="604"/>
      <c r="BA27" s="604"/>
      <c r="BB27" s="604"/>
      <c r="BC27" s="604"/>
      <c r="BD27" s="604"/>
      <c r="BE27" s="604"/>
      <c r="BF27" s="604"/>
      <c r="BG27" s="604"/>
      <c r="BH27" s="604"/>
      <c r="BI27" s="604"/>
      <c r="BJ27" s="604"/>
      <c r="BK27" s="604"/>
      <c r="BL27" s="604"/>
      <c r="BM27" s="604"/>
      <c r="BN27" s="604"/>
      <c r="BO27" s="604"/>
      <c r="BP27" s="604"/>
      <c r="BQ27" s="604"/>
      <c r="BR27" s="604"/>
      <c r="BS27" s="604"/>
      <c r="BT27" s="604"/>
      <c r="BU27" s="604"/>
      <c r="BV27" s="604"/>
      <c r="BW27" s="604"/>
      <c r="BX27" s="604"/>
      <c r="BY27" s="604"/>
      <c r="BZ27" s="604"/>
    </row>
    <row r="28" spans="1:78">
      <c r="AB28" s="868"/>
      <c r="AC28" s="868"/>
      <c r="AD28" s="868"/>
      <c r="AE28" s="868"/>
      <c r="AF28" s="868"/>
      <c r="AG28" s="868"/>
      <c r="AH28" s="868"/>
      <c r="AI28" s="868"/>
      <c r="AJ28" s="868"/>
      <c r="AK28" s="868"/>
      <c r="AL28" s="868"/>
      <c r="AM28" s="868"/>
      <c r="AN28" s="868"/>
      <c r="AO28" s="868"/>
      <c r="AP28" s="868"/>
      <c r="AQ28" s="868"/>
    </row>
    <row r="29" spans="1:78"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</row>
  </sheetData>
  <mergeCells count="150">
    <mergeCell ref="A5:B5"/>
    <mergeCell ref="C5:I5"/>
    <mergeCell ref="J5:P5"/>
    <mergeCell ref="Q5:AA5"/>
    <mergeCell ref="AB5:AH5"/>
    <mergeCell ref="AI5:AQ5"/>
    <mergeCell ref="AR5:BZ5"/>
    <mergeCell ref="A6:B6"/>
    <mergeCell ref="C6:I6"/>
    <mergeCell ref="J6:P6"/>
    <mergeCell ref="Q6:AA6"/>
    <mergeCell ref="AB6:AH6"/>
    <mergeCell ref="AI6:AQ6"/>
    <mergeCell ref="AR6:BZ6"/>
    <mergeCell ref="AB28:AH28"/>
    <mergeCell ref="AI28:AQ28"/>
    <mergeCell ref="AB23:AH23"/>
    <mergeCell ref="AI23:AQ23"/>
    <mergeCell ref="AB24:AH24"/>
    <mergeCell ref="AI24:AQ24"/>
    <mergeCell ref="AB25:AH25"/>
    <mergeCell ref="AI25:AQ25"/>
    <mergeCell ref="AB26:AH26"/>
    <mergeCell ref="AI26:AQ26"/>
    <mergeCell ref="AB27:AH27"/>
    <mergeCell ref="AI27:AQ27"/>
    <mergeCell ref="Q7:AA7"/>
    <mergeCell ref="AR7:BZ7"/>
    <mergeCell ref="A7:B7"/>
    <mergeCell ref="C7:I7"/>
    <mergeCell ref="J7:P7"/>
    <mergeCell ref="AB7:AH7"/>
    <mergeCell ref="AI7:AQ7"/>
    <mergeCell ref="AR8:BZ8"/>
    <mergeCell ref="Q8:AA8"/>
    <mergeCell ref="A8:B8"/>
    <mergeCell ref="C8:I8"/>
    <mergeCell ref="J8:P8"/>
    <mergeCell ref="AB8:AH8"/>
    <mergeCell ref="AI8:AQ8"/>
    <mergeCell ref="A1:I1"/>
    <mergeCell ref="A2:P2"/>
    <mergeCell ref="Q2:BZ2"/>
    <mergeCell ref="C4:I4"/>
    <mergeCell ref="J4:P4"/>
    <mergeCell ref="AR3:BZ4"/>
    <mergeCell ref="A3:B4"/>
    <mergeCell ref="C3:P3"/>
    <mergeCell ref="Q3:AA4"/>
    <mergeCell ref="AB3:AH4"/>
    <mergeCell ref="AI3:AQ4"/>
    <mergeCell ref="Q9:AA9"/>
    <mergeCell ref="AR9:BZ9"/>
    <mergeCell ref="A9:B9"/>
    <mergeCell ref="C9:I9"/>
    <mergeCell ref="J9:P9"/>
    <mergeCell ref="AB9:AH9"/>
    <mergeCell ref="AI9:AQ9"/>
    <mergeCell ref="Q10:AA10"/>
    <mergeCell ref="AR10:BZ10"/>
    <mergeCell ref="A10:B10"/>
    <mergeCell ref="J10:P10"/>
    <mergeCell ref="AB10:AH10"/>
    <mergeCell ref="AI10:AQ10"/>
    <mergeCell ref="Q12:AA12"/>
    <mergeCell ref="Q11:AA11"/>
    <mergeCell ref="A12:B12"/>
    <mergeCell ref="J12:P12"/>
    <mergeCell ref="A11:B11"/>
    <mergeCell ref="J11:P11"/>
    <mergeCell ref="AB11:AH11"/>
    <mergeCell ref="AI11:AQ11"/>
    <mergeCell ref="AB12:AH12"/>
    <mergeCell ref="AI12:AQ12"/>
    <mergeCell ref="Q13:AA13"/>
    <mergeCell ref="A13:B13"/>
    <mergeCell ref="J13:P13"/>
    <mergeCell ref="AB13:AH13"/>
    <mergeCell ref="AI13:AQ13"/>
    <mergeCell ref="Q14:AA14"/>
    <mergeCell ref="A14:B14"/>
    <mergeCell ref="J14:P14"/>
    <mergeCell ref="AB14:AH14"/>
    <mergeCell ref="AI14:AQ14"/>
    <mergeCell ref="Q18:AA18"/>
    <mergeCell ref="AR18:BZ18"/>
    <mergeCell ref="A18:B18"/>
    <mergeCell ref="C18:I18"/>
    <mergeCell ref="J18:P18"/>
    <mergeCell ref="AI18:AQ18"/>
    <mergeCell ref="Q15:AA15"/>
    <mergeCell ref="AR15:BZ15"/>
    <mergeCell ref="A15:B15"/>
    <mergeCell ref="J15:P15"/>
    <mergeCell ref="AB15:AH15"/>
    <mergeCell ref="AI15:AQ15"/>
    <mergeCell ref="Q17:AA17"/>
    <mergeCell ref="AR17:BZ17"/>
    <mergeCell ref="AR16:BZ16"/>
    <mergeCell ref="A17:B17"/>
    <mergeCell ref="J17:P17"/>
    <mergeCell ref="A16:B16"/>
    <mergeCell ref="J16:P16"/>
    <mergeCell ref="Q16:AA16"/>
    <mergeCell ref="AB16:AH16"/>
    <mergeCell ref="AI16:AQ16"/>
    <mergeCell ref="AI17:AQ17"/>
    <mergeCell ref="AR19:BZ19"/>
    <mergeCell ref="Q19:AA19"/>
    <mergeCell ref="A19:B19"/>
    <mergeCell ref="C19:I19"/>
    <mergeCell ref="J19:P19"/>
    <mergeCell ref="AB19:AH19"/>
    <mergeCell ref="AI19:AQ19"/>
    <mergeCell ref="Q20:AA20"/>
    <mergeCell ref="AR20:BZ20"/>
    <mergeCell ref="A20:B20"/>
    <mergeCell ref="C20:I20"/>
    <mergeCell ref="J20:P20"/>
    <mergeCell ref="AB20:AH20"/>
    <mergeCell ref="AI20:AQ20"/>
    <mergeCell ref="AR21:BZ21"/>
    <mergeCell ref="Q21:AA21"/>
    <mergeCell ref="A21:B21"/>
    <mergeCell ref="C21:I21"/>
    <mergeCell ref="J21:P21"/>
    <mergeCell ref="AB21:AH21"/>
    <mergeCell ref="AI21:AQ21"/>
    <mergeCell ref="Q22:AA22"/>
    <mergeCell ref="A22:B22"/>
    <mergeCell ref="J22:P22"/>
    <mergeCell ref="AB22:AH22"/>
    <mergeCell ref="AI22:AQ22"/>
    <mergeCell ref="A24:B24"/>
    <mergeCell ref="J24:P24"/>
    <mergeCell ref="A23:B23"/>
    <mergeCell ref="J23:P23"/>
    <mergeCell ref="AR22:BZ22"/>
    <mergeCell ref="AR23:BZ23"/>
    <mergeCell ref="AR25:BZ25"/>
    <mergeCell ref="AR26:BZ26"/>
    <mergeCell ref="A26:B26"/>
    <mergeCell ref="J26:P26"/>
    <mergeCell ref="Q26:Z26"/>
    <mergeCell ref="A25:B25"/>
    <mergeCell ref="J25:P25"/>
    <mergeCell ref="Q25:AA25"/>
    <mergeCell ref="Q24:AA24"/>
    <mergeCell ref="AR24:BZ24"/>
    <mergeCell ref="Q23:AA23"/>
  </mergeCells>
  <phoneticPr fontId="57"/>
  <conditionalFormatting sqref="Q5:Q26 AR5:AR26 AB5:AB28 AI5:AI28">
    <cfRule type="expression" dxfId="39" priority="5" stopIfTrue="1">
      <formula>FIND("○",#REF!)</formula>
    </cfRule>
  </conditionalFormatting>
  <dataValidations count="4">
    <dataValidation type="list" allowBlank="1" showInputMessage="1" showErrorMessage="1" sqref="U65542:X65542 IM65542:IP65542 SI65542:SL65542 ACE65542:ACH65542 AMA65542:AMD65542 AVW65542:AVZ65542 BFS65542:BFV65542 BPO65542:BPR65542 BZK65542:BZN65542 CJG65542:CJJ65542 CTC65542:CTF65542 DCY65542:DDB65542 DMU65542:DMX65542 DWQ65542:DWT65542 EGM65542:EGP65542 EQI65542:EQL65542 FAE65542:FAH65542 FKA65542:FKD65542 FTW65542:FTZ65542 GDS65542:GDV65542 GNO65542:GNR65542 GXK65542:GXN65542 HHG65542:HHJ65542 HRC65542:HRF65542 IAY65542:IBB65542 IKU65542:IKX65542 IUQ65542:IUT65542 JEM65542:JEP65542 JOI65542:JOL65542 JYE65542:JYH65542 KIA65542:KID65542 KRW65542:KRZ65542 LBS65542:LBV65542 LLO65542:LLR65542 LVK65542:LVN65542 MFG65542:MFJ65542 MPC65542:MPF65542 MYY65542:MZB65542 NIU65542:NIX65542 NSQ65542:NST65542 OCM65542:OCP65542 OMI65542:OML65542 OWE65542:OWH65542 PGA65542:PGD65542 PPW65542:PPZ65542 PZS65542:PZV65542 QJO65542:QJR65542 QTK65542:QTN65542 RDG65542:RDJ65542 RNC65542:RNF65542 RWY65542:RXB65542 SGU65542:SGX65542 SQQ65542:SQT65542 TAM65542:TAP65542 TKI65542:TKL65542 TUE65542:TUH65542 UEA65542:UED65542 UNW65542:UNZ65542 UXS65542:UXV65542 VHO65542:VHR65542 VRK65542:VRN65542 WBG65542:WBJ65542 WLC65542:WLF65542 WUY65542:WVB65542 U131078:X131078 IM131078:IP131078 SI131078:SL131078 ACE131078:ACH131078 AMA131078:AMD131078 AVW131078:AVZ131078 BFS131078:BFV131078 BPO131078:BPR131078 BZK131078:BZN131078 CJG131078:CJJ131078 CTC131078:CTF131078 DCY131078:DDB131078 DMU131078:DMX131078 DWQ131078:DWT131078 EGM131078:EGP131078 EQI131078:EQL131078 FAE131078:FAH131078 FKA131078:FKD131078 FTW131078:FTZ131078 GDS131078:GDV131078 GNO131078:GNR131078 GXK131078:GXN131078 HHG131078:HHJ131078 HRC131078:HRF131078 IAY131078:IBB131078 IKU131078:IKX131078 IUQ131078:IUT131078 JEM131078:JEP131078 JOI131078:JOL131078 JYE131078:JYH131078 KIA131078:KID131078 KRW131078:KRZ131078 LBS131078:LBV131078 LLO131078:LLR131078 LVK131078:LVN131078 MFG131078:MFJ131078 MPC131078:MPF131078 MYY131078:MZB131078 NIU131078:NIX131078 NSQ131078:NST131078 OCM131078:OCP131078 OMI131078:OML131078 OWE131078:OWH131078 PGA131078:PGD131078 PPW131078:PPZ131078 PZS131078:PZV131078 QJO131078:QJR131078 QTK131078:QTN131078 RDG131078:RDJ131078 RNC131078:RNF131078 RWY131078:RXB131078 SGU131078:SGX131078 SQQ131078:SQT131078 TAM131078:TAP131078 TKI131078:TKL131078 TUE131078:TUH131078 UEA131078:UED131078 UNW131078:UNZ131078 UXS131078:UXV131078 VHO131078:VHR131078 VRK131078:VRN131078 WBG131078:WBJ131078 WLC131078:WLF131078 WUY131078:WVB131078 U196614:X196614 IM196614:IP196614 SI196614:SL196614 ACE196614:ACH196614 AMA196614:AMD196614 AVW196614:AVZ196614 BFS196614:BFV196614 BPO196614:BPR196614 BZK196614:BZN196614 CJG196614:CJJ196614 CTC196614:CTF196614 DCY196614:DDB196614 DMU196614:DMX196614 DWQ196614:DWT196614 EGM196614:EGP196614 EQI196614:EQL196614 FAE196614:FAH196614 FKA196614:FKD196614 FTW196614:FTZ196614 GDS196614:GDV196614 GNO196614:GNR196614 GXK196614:GXN196614 HHG196614:HHJ196614 HRC196614:HRF196614 IAY196614:IBB196614 IKU196614:IKX196614 IUQ196614:IUT196614 JEM196614:JEP196614 JOI196614:JOL196614 JYE196614:JYH196614 KIA196614:KID196614 KRW196614:KRZ196614 LBS196614:LBV196614 LLO196614:LLR196614 LVK196614:LVN196614 MFG196614:MFJ196614 MPC196614:MPF196614 MYY196614:MZB196614 NIU196614:NIX196614 NSQ196614:NST196614 OCM196614:OCP196614 OMI196614:OML196614 OWE196614:OWH196614 PGA196614:PGD196614 PPW196614:PPZ196614 PZS196614:PZV196614 QJO196614:QJR196614 QTK196614:QTN196614 RDG196614:RDJ196614 RNC196614:RNF196614 RWY196614:RXB196614 SGU196614:SGX196614 SQQ196614:SQT196614 TAM196614:TAP196614 TKI196614:TKL196614 TUE196614:TUH196614 UEA196614:UED196614 UNW196614:UNZ196614 UXS196614:UXV196614 VHO196614:VHR196614 VRK196614:VRN196614 WBG196614:WBJ196614 WLC196614:WLF196614 WUY196614:WVB196614 U262150:X262150 IM262150:IP262150 SI262150:SL262150 ACE262150:ACH262150 AMA262150:AMD262150 AVW262150:AVZ262150 BFS262150:BFV262150 BPO262150:BPR262150 BZK262150:BZN262150 CJG262150:CJJ262150 CTC262150:CTF262150 DCY262150:DDB262150 DMU262150:DMX262150 DWQ262150:DWT262150 EGM262150:EGP262150 EQI262150:EQL262150 FAE262150:FAH262150 FKA262150:FKD262150 FTW262150:FTZ262150 GDS262150:GDV262150 GNO262150:GNR262150 GXK262150:GXN262150 HHG262150:HHJ262150 HRC262150:HRF262150 IAY262150:IBB262150 IKU262150:IKX262150 IUQ262150:IUT262150 JEM262150:JEP262150 JOI262150:JOL262150 JYE262150:JYH262150 KIA262150:KID262150 KRW262150:KRZ262150 LBS262150:LBV262150 LLO262150:LLR262150 LVK262150:LVN262150 MFG262150:MFJ262150 MPC262150:MPF262150 MYY262150:MZB262150 NIU262150:NIX262150 NSQ262150:NST262150 OCM262150:OCP262150 OMI262150:OML262150 OWE262150:OWH262150 PGA262150:PGD262150 PPW262150:PPZ262150 PZS262150:PZV262150 QJO262150:QJR262150 QTK262150:QTN262150 RDG262150:RDJ262150 RNC262150:RNF262150 RWY262150:RXB262150 SGU262150:SGX262150 SQQ262150:SQT262150 TAM262150:TAP262150 TKI262150:TKL262150 TUE262150:TUH262150 UEA262150:UED262150 UNW262150:UNZ262150 UXS262150:UXV262150 VHO262150:VHR262150 VRK262150:VRN262150 WBG262150:WBJ262150 WLC262150:WLF262150 WUY262150:WVB262150 U327686:X327686 IM327686:IP327686 SI327686:SL327686 ACE327686:ACH327686 AMA327686:AMD327686 AVW327686:AVZ327686 BFS327686:BFV327686 BPO327686:BPR327686 BZK327686:BZN327686 CJG327686:CJJ327686 CTC327686:CTF327686 DCY327686:DDB327686 DMU327686:DMX327686 DWQ327686:DWT327686 EGM327686:EGP327686 EQI327686:EQL327686 FAE327686:FAH327686 FKA327686:FKD327686 FTW327686:FTZ327686 GDS327686:GDV327686 GNO327686:GNR327686 GXK327686:GXN327686 HHG327686:HHJ327686 HRC327686:HRF327686 IAY327686:IBB327686 IKU327686:IKX327686 IUQ327686:IUT327686 JEM327686:JEP327686 JOI327686:JOL327686 JYE327686:JYH327686 KIA327686:KID327686 KRW327686:KRZ327686 LBS327686:LBV327686 LLO327686:LLR327686 LVK327686:LVN327686 MFG327686:MFJ327686 MPC327686:MPF327686 MYY327686:MZB327686 NIU327686:NIX327686 NSQ327686:NST327686 OCM327686:OCP327686 OMI327686:OML327686 OWE327686:OWH327686 PGA327686:PGD327686 PPW327686:PPZ327686 PZS327686:PZV327686 QJO327686:QJR327686 QTK327686:QTN327686 RDG327686:RDJ327686 RNC327686:RNF327686 RWY327686:RXB327686 SGU327686:SGX327686 SQQ327686:SQT327686 TAM327686:TAP327686 TKI327686:TKL327686 TUE327686:TUH327686 UEA327686:UED327686 UNW327686:UNZ327686 UXS327686:UXV327686 VHO327686:VHR327686 VRK327686:VRN327686 WBG327686:WBJ327686 WLC327686:WLF327686 WUY327686:WVB327686 U393222:X393222 IM393222:IP393222 SI393222:SL393222 ACE393222:ACH393222 AMA393222:AMD393222 AVW393222:AVZ393222 BFS393222:BFV393222 BPO393222:BPR393222 BZK393222:BZN393222 CJG393222:CJJ393222 CTC393222:CTF393222 DCY393222:DDB393222 DMU393222:DMX393222 DWQ393222:DWT393222 EGM393222:EGP393222 EQI393222:EQL393222 FAE393222:FAH393222 FKA393222:FKD393222 FTW393222:FTZ393222 GDS393222:GDV393222 GNO393222:GNR393222 GXK393222:GXN393222 HHG393222:HHJ393222 HRC393222:HRF393222 IAY393222:IBB393222 IKU393222:IKX393222 IUQ393222:IUT393222 JEM393222:JEP393222 JOI393222:JOL393222 JYE393222:JYH393222 KIA393222:KID393222 KRW393222:KRZ393222 LBS393222:LBV393222 LLO393222:LLR393222 LVK393222:LVN393222 MFG393222:MFJ393222 MPC393222:MPF393222 MYY393222:MZB393222 NIU393222:NIX393222 NSQ393222:NST393222 OCM393222:OCP393222 OMI393222:OML393222 OWE393222:OWH393222 PGA393222:PGD393222 PPW393222:PPZ393222 PZS393222:PZV393222 QJO393222:QJR393222 QTK393222:QTN393222 RDG393222:RDJ393222 RNC393222:RNF393222 RWY393222:RXB393222 SGU393222:SGX393222 SQQ393222:SQT393222 TAM393222:TAP393222 TKI393222:TKL393222 TUE393222:TUH393222 UEA393222:UED393222 UNW393222:UNZ393222 UXS393222:UXV393222 VHO393222:VHR393222 VRK393222:VRN393222 WBG393222:WBJ393222 WLC393222:WLF393222 WUY393222:WVB393222 U458758:X458758 IM458758:IP458758 SI458758:SL458758 ACE458758:ACH458758 AMA458758:AMD458758 AVW458758:AVZ458758 BFS458758:BFV458758 BPO458758:BPR458758 BZK458758:BZN458758 CJG458758:CJJ458758 CTC458758:CTF458758 DCY458758:DDB458758 DMU458758:DMX458758 DWQ458758:DWT458758 EGM458758:EGP458758 EQI458758:EQL458758 FAE458758:FAH458758 FKA458758:FKD458758 FTW458758:FTZ458758 GDS458758:GDV458758 GNO458758:GNR458758 GXK458758:GXN458758 HHG458758:HHJ458758 HRC458758:HRF458758 IAY458758:IBB458758 IKU458758:IKX458758 IUQ458758:IUT458758 JEM458758:JEP458758 JOI458758:JOL458758 JYE458758:JYH458758 KIA458758:KID458758 KRW458758:KRZ458758 LBS458758:LBV458758 LLO458758:LLR458758 LVK458758:LVN458758 MFG458758:MFJ458758 MPC458758:MPF458758 MYY458758:MZB458758 NIU458758:NIX458758 NSQ458758:NST458758 OCM458758:OCP458758 OMI458758:OML458758 OWE458758:OWH458758 PGA458758:PGD458758 PPW458758:PPZ458758 PZS458758:PZV458758 QJO458758:QJR458758 QTK458758:QTN458758 RDG458758:RDJ458758 RNC458758:RNF458758 RWY458758:RXB458758 SGU458758:SGX458758 SQQ458758:SQT458758 TAM458758:TAP458758 TKI458758:TKL458758 TUE458758:TUH458758 UEA458758:UED458758 UNW458758:UNZ458758 UXS458758:UXV458758 VHO458758:VHR458758 VRK458758:VRN458758 WBG458758:WBJ458758 WLC458758:WLF458758 WUY458758:WVB458758 U524294:X524294 IM524294:IP524294 SI524294:SL524294 ACE524294:ACH524294 AMA524294:AMD524294 AVW524294:AVZ524294 BFS524294:BFV524294 BPO524294:BPR524294 BZK524294:BZN524294 CJG524294:CJJ524294 CTC524294:CTF524294 DCY524294:DDB524294 DMU524294:DMX524294 DWQ524294:DWT524294 EGM524294:EGP524294 EQI524294:EQL524294 FAE524294:FAH524294 FKA524294:FKD524294 FTW524294:FTZ524294 GDS524294:GDV524294 GNO524294:GNR524294 GXK524294:GXN524294 HHG524294:HHJ524294 HRC524294:HRF524294 IAY524294:IBB524294 IKU524294:IKX524294 IUQ524294:IUT524294 JEM524294:JEP524294 JOI524294:JOL524294 JYE524294:JYH524294 KIA524294:KID524294 KRW524294:KRZ524294 LBS524294:LBV524294 LLO524294:LLR524294 LVK524294:LVN524294 MFG524294:MFJ524294 MPC524294:MPF524294 MYY524294:MZB524294 NIU524294:NIX524294 NSQ524294:NST524294 OCM524294:OCP524294 OMI524294:OML524294 OWE524294:OWH524294 PGA524294:PGD524294 PPW524294:PPZ524294 PZS524294:PZV524294 QJO524294:QJR524294 QTK524294:QTN524294 RDG524294:RDJ524294 RNC524294:RNF524294 RWY524294:RXB524294 SGU524294:SGX524294 SQQ524294:SQT524294 TAM524294:TAP524294 TKI524294:TKL524294 TUE524294:TUH524294 UEA524294:UED524294 UNW524294:UNZ524294 UXS524294:UXV524294 VHO524294:VHR524294 VRK524294:VRN524294 WBG524294:WBJ524294 WLC524294:WLF524294 WUY524294:WVB524294 U589830:X589830 IM589830:IP589830 SI589830:SL589830 ACE589830:ACH589830 AMA589830:AMD589830 AVW589830:AVZ589830 BFS589830:BFV589830 BPO589830:BPR589830 BZK589830:BZN589830 CJG589830:CJJ589830 CTC589830:CTF589830 DCY589830:DDB589830 DMU589830:DMX589830 DWQ589830:DWT589830 EGM589830:EGP589830 EQI589830:EQL589830 FAE589830:FAH589830 FKA589830:FKD589830 FTW589830:FTZ589830 GDS589830:GDV589830 GNO589830:GNR589830 GXK589830:GXN589830 HHG589830:HHJ589830 HRC589830:HRF589830 IAY589830:IBB589830 IKU589830:IKX589830 IUQ589830:IUT589830 JEM589830:JEP589830 JOI589830:JOL589830 JYE589830:JYH589830 KIA589830:KID589830 KRW589830:KRZ589830 LBS589830:LBV589830 LLO589830:LLR589830 LVK589830:LVN589830 MFG589830:MFJ589830 MPC589830:MPF589830 MYY589830:MZB589830 NIU589830:NIX589830 NSQ589830:NST589830 OCM589830:OCP589830 OMI589830:OML589830 OWE589830:OWH589830 PGA589830:PGD589830 PPW589830:PPZ589830 PZS589830:PZV589830 QJO589830:QJR589830 QTK589830:QTN589830 RDG589830:RDJ589830 RNC589830:RNF589830 RWY589830:RXB589830 SGU589830:SGX589830 SQQ589830:SQT589830 TAM589830:TAP589830 TKI589830:TKL589830 TUE589830:TUH589830 UEA589830:UED589830 UNW589830:UNZ589830 UXS589830:UXV589830 VHO589830:VHR589830 VRK589830:VRN589830 WBG589830:WBJ589830 WLC589830:WLF589830 WUY589830:WVB589830 U655366:X655366 IM655366:IP655366 SI655366:SL655366 ACE655366:ACH655366 AMA655366:AMD655366 AVW655366:AVZ655366 BFS655366:BFV655366 BPO655366:BPR655366 BZK655366:BZN655366 CJG655366:CJJ655366 CTC655366:CTF655366 DCY655366:DDB655366 DMU655366:DMX655366 DWQ655366:DWT655366 EGM655366:EGP655366 EQI655366:EQL655366 FAE655366:FAH655366 FKA655366:FKD655366 FTW655366:FTZ655366 GDS655366:GDV655366 GNO655366:GNR655366 GXK655366:GXN655366 HHG655366:HHJ655366 HRC655366:HRF655366 IAY655366:IBB655366 IKU655366:IKX655366 IUQ655366:IUT655366 JEM655366:JEP655366 JOI655366:JOL655366 JYE655366:JYH655366 KIA655366:KID655366 KRW655366:KRZ655366 LBS655366:LBV655366 LLO655366:LLR655366 LVK655366:LVN655366 MFG655366:MFJ655366 MPC655366:MPF655366 MYY655366:MZB655366 NIU655366:NIX655366 NSQ655366:NST655366 OCM655366:OCP655366 OMI655366:OML655366 OWE655366:OWH655366 PGA655366:PGD655366 PPW655366:PPZ655366 PZS655366:PZV655366 QJO655366:QJR655366 QTK655366:QTN655366 RDG655366:RDJ655366 RNC655366:RNF655366 RWY655366:RXB655366 SGU655366:SGX655366 SQQ655366:SQT655366 TAM655366:TAP655366 TKI655366:TKL655366 TUE655366:TUH655366 UEA655366:UED655366 UNW655366:UNZ655366 UXS655366:UXV655366 VHO655366:VHR655366 VRK655366:VRN655366 WBG655366:WBJ655366 WLC655366:WLF655366 WUY655366:WVB655366 U720902:X720902 IM720902:IP720902 SI720902:SL720902 ACE720902:ACH720902 AMA720902:AMD720902 AVW720902:AVZ720902 BFS720902:BFV720902 BPO720902:BPR720902 BZK720902:BZN720902 CJG720902:CJJ720902 CTC720902:CTF720902 DCY720902:DDB720902 DMU720902:DMX720902 DWQ720902:DWT720902 EGM720902:EGP720902 EQI720902:EQL720902 FAE720902:FAH720902 FKA720902:FKD720902 FTW720902:FTZ720902 GDS720902:GDV720902 GNO720902:GNR720902 GXK720902:GXN720902 HHG720902:HHJ720902 HRC720902:HRF720902 IAY720902:IBB720902 IKU720902:IKX720902 IUQ720902:IUT720902 JEM720902:JEP720902 JOI720902:JOL720902 JYE720902:JYH720902 KIA720902:KID720902 KRW720902:KRZ720902 LBS720902:LBV720902 LLO720902:LLR720902 LVK720902:LVN720902 MFG720902:MFJ720902 MPC720902:MPF720902 MYY720902:MZB720902 NIU720902:NIX720902 NSQ720902:NST720902 OCM720902:OCP720902 OMI720902:OML720902 OWE720902:OWH720902 PGA720902:PGD720902 PPW720902:PPZ720902 PZS720902:PZV720902 QJO720902:QJR720902 QTK720902:QTN720902 RDG720902:RDJ720902 RNC720902:RNF720902 RWY720902:RXB720902 SGU720902:SGX720902 SQQ720902:SQT720902 TAM720902:TAP720902 TKI720902:TKL720902 TUE720902:TUH720902 UEA720902:UED720902 UNW720902:UNZ720902 UXS720902:UXV720902 VHO720902:VHR720902 VRK720902:VRN720902 WBG720902:WBJ720902 WLC720902:WLF720902 WUY720902:WVB720902 U786438:X786438 IM786438:IP786438 SI786438:SL786438 ACE786438:ACH786438 AMA786438:AMD786438 AVW786438:AVZ786438 BFS786438:BFV786438 BPO786438:BPR786438 BZK786438:BZN786438 CJG786438:CJJ786438 CTC786438:CTF786438 DCY786438:DDB786438 DMU786438:DMX786438 DWQ786438:DWT786438 EGM786438:EGP786438 EQI786438:EQL786438 FAE786438:FAH786438 FKA786438:FKD786438 FTW786438:FTZ786438 GDS786438:GDV786438 GNO786438:GNR786438 GXK786438:GXN786438 HHG786438:HHJ786438 HRC786438:HRF786438 IAY786438:IBB786438 IKU786438:IKX786438 IUQ786438:IUT786438 JEM786438:JEP786438 JOI786438:JOL786438 JYE786438:JYH786438 KIA786438:KID786438 KRW786438:KRZ786438 LBS786438:LBV786438 LLO786438:LLR786438 LVK786438:LVN786438 MFG786438:MFJ786438 MPC786438:MPF786438 MYY786438:MZB786438 NIU786438:NIX786438 NSQ786438:NST786438 OCM786438:OCP786438 OMI786438:OML786438 OWE786438:OWH786438 PGA786438:PGD786438 PPW786438:PPZ786438 PZS786438:PZV786438 QJO786438:QJR786438 QTK786438:QTN786438 RDG786438:RDJ786438 RNC786438:RNF786438 RWY786438:RXB786438 SGU786438:SGX786438 SQQ786438:SQT786438 TAM786438:TAP786438 TKI786438:TKL786438 TUE786438:TUH786438 UEA786438:UED786438 UNW786438:UNZ786438 UXS786438:UXV786438 VHO786438:VHR786438 VRK786438:VRN786438 WBG786438:WBJ786438 WLC786438:WLF786438 WUY786438:WVB786438 U851974:X851974 IM851974:IP851974 SI851974:SL851974 ACE851974:ACH851974 AMA851974:AMD851974 AVW851974:AVZ851974 BFS851974:BFV851974 BPO851974:BPR851974 BZK851974:BZN851974 CJG851974:CJJ851974 CTC851974:CTF851974 DCY851974:DDB851974 DMU851974:DMX851974 DWQ851974:DWT851974 EGM851974:EGP851974 EQI851974:EQL851974 FAE851974:FAH851974 FKA851974:FKD851974 FTW851974:FTZ851974 GDS851974:GDV851974 GNO851974:GNR851974 GXK851974:GXN851974 HHG851974:HHJ851974 HRC851974:HRF851974 IAY851974:IBB851974 IKU851974:IKX851974 IUQ851974:IUT851974 JEM851974:JEP851974 JOI851974:JOL851974 JYE851974:JYH851974 KIA851974:KID851974 KRW851974:KRZ851974 LBS851974:LBV851974 LLO851974:LLR851974 LVK851974:LVN851974 MFG851974:MFJ851974 MPC851974:MPF851974 MYY851974:MZB851974 NIU851974:NIX851974 NSQ851974:NST851974 OCM851974:OCP851974 OMI851974:OML851974 OWE851974:OWH851974 PGA851974:PGD851974 PPW851974:PPZ851974 PZS851974:PZV851974 QJO851974:QJR851974 QTK851974:QTN851974 RDG851974:RDJ851974 RNC851974:RNF851974 RWY851974:RXB851974 SGU851974:SGX851974 SQQ851974:SQT851974 TAM851974:TAP851974 TKI851974:TKL851974 TUE851974:TUH851974 UEA851974:UED851974 UNW851974:UNZ851974 UXS851974:UXV851974 VHO851974:VHR851974 VRK851974:VRN851974 WBG851974:WBJ851974 WLC851974:WLF851974 WUY851974:WVB851974 U917510:X917510 IM917510:IP917510 SI917510:SL917510 ACE917510:ACH917510 AMA917510:AMD917510 AVW917510:AVZ917510 BFS917510:BFV917510 BPO917510:BPR917510 BZK917510:BZN917510 CJG917510:CJJ917510 CTC917510:CTF917510 DCY917510:DDB917510 DMU917510:DMX917510 DWQ917510:DWT917510 EGM917510:EGP917510 EQI917510:EQL917510 FAE917510:FAH917510 FKA917510:FKD917510 FTW917510:FTZ917510 GDS917510:GDV917510 GNO917510:GNR917510 GXK917510:GXN917510 HHG917510:HHJ917510 HRC917510:HRF917510 IAY917510:IBB917510 IKU917510:IKX917510 IUQ917510:IUT917510 JEM917510:JEP917510 JOI917510:JOL917510 JYE917510:JYH917510 KIA917510:KID917510 KRW917510:KRZ917510 LBS917510:LBV917510 LLO917510:LLR917510 LVK917510:LVN917510 MFG917510:MFJ917510 MPC917510:MPF917510 MYY917510:MZB917510 NIU917510:NIX917510 NSQ917510:NST917510 OCM917510:OCP917510 OMI917510:OML917510 OWE917510:OWH917510 PGA917510:PGD917510 PPW917510:PPZ917510 PZS917510:PZV917510 QJO917510:QJR917510 QTK917510:QTN917510 RDG917510:RDJ917510 RNC917510:RNF917510 RWY917510:RXB917510 SGU917510:SGX917510 SQQ917510:SQT917510 TAM917510:TAP917510 TKI917510:TKL917510 TUE917510:TUH917510 UEA917510:UED917510 UNW917510:UNZ917510 UXS917510:UXV917510 VHO917510:VHR917510 VRK917510:VRN917510 WBG917510:WBJ917510 WLC917510:WLF917510 WUY917510:WVB917510 U983046:X983046 IM983046:IP983046 SI983046:SL983046 ACE983046:ACH983046 AMA983046:AMD983046 AVW983046:AVZ983046 BFS983046:BFV983046 BPO983046:BPR983046 BZK983046:BZN983046 CJG983046:CJJ983046 CTC983046:CTF983046 DCY983046:DDB983046 DMU983046:DMX983046 DWQ983046:DWT983046 EGM983046:EGP983046 EQI983046:EQL983046 FAE983046:FAH983046 FKA983046:FKD983046 FTW983046:FTZ983046 GDS983046:GDV983046 GNO983046:GNR983046 GXK983046:GXN983046 HHG983046:HHJ983046 HRC983046:HRF983046 IAY983046:IBB983046 IKU983046:IKX983046 IUQ983046:IUT983046 JEM983046:JEP983046 JOI983046:JOL983046 JYE983046:JYH983046 KIA983046:KID983046 KRW983046:KRZ983046 LBS983046:LBV983046 LLO983046:LLR983046 LVK983046:LVN983046 MFG983046:MFJ983046 MPC983046:MPF983046 MYY983046:MZB983046 NIU983046:NIX983046 NSQ983046:NST983046 OCM983046:OCP983046 OMI983046:OML983046 OWE983046:OWH983046 PGA983046:PGD983046 PPW983046:PPZ983046 PZS983046:PZV983046 QJO983046:QJR983046 QTK983046:QTN983046 RDG983046:RDJ983046 RNC983046:RNF983046 RWY983046:RXB983046 SGU983046:SGX983046 SQQ983046:SQT983046 TAM983046:TAP983046 TKI983046:TKL983046 TUE983046:TUH983046 UEA983046:UED983046 UNW983046:UNZ983046 UXS983046:UXV983046 VHO983046:VHR983046 VRK983046:VRN983046 WBG983046:WBJ983046 WLC983046:WLF983046 WUY983046:WVB983046 IH983045:IK983045 SD983045:SG983045 ABZ983045:ACC983045 ALV983045:ALY983045 AVR983045:AVU983045 BFN983045:BFQ983045 BPJ983045:BPM983045 BZF983045:BZI983045 CJB983045:CJE983045 CSX983045:CTA983045 DCT983045:DCW983045 DMP983045:DMS983045 DWL983045:DWO983045 EGH983045:EGK983045 EQD983045:EQG983045 EZZ983045:FAC983045 FJV983045:FJY983045 FTR983045:FTU983045 GDN983045:GDQ983045 GNJ983045:GNM983045 GXF983045:GXI983045 HHB983045:HHE983045 HQX983045:HRA983045 IAT983045:IAW983045 IKP983045:IKS983045 IUL983045:IUO983045 JEH983045:JEK983045 JOD983045:JOG983045 JXZ983045:JYC983045 KHV983045:KHY983045 KRR983045:KRU983045 LBN983045:LBQ983045 LLJ983045:LLM983045 LVF983045:LVI983045 MFB983045:MFE983045 MOX983045:MPA983045 MYT983045:MYW983045 NIP983045:NIS983045 NSL983045:NSO983045 OCH983045:OCK983045 OMD983045:OMG983045 OVZ983045:OWC983045 PFV983045:PFY983045 PPR983045:PPU983045 PZN983045:PZQ983045 QJJ983045:QJM983045 QTF983045:QTI983045 RDB983045:RDE983045 RMX983045:RNA983045 RWT983045:RWW983045 SGP983045:SGS983045 SQL983045:SQO983045 TAH983045:TAK983045 TKD983045:TKG983045 TTZ983045:TUC983045 UDV983045:UDY983045 UNR983045:UNU983045 UXN983045:UXQ983045 VHJ983045:VHM983045 VRF983045:VRI983045 WBB983045:WBE983045 WKX983045:WLA983045 WUT983045:WUW983045 IH65541:IK65541 SD65541:SG65541 ABZ65541:ACC65541 ALV65541:ALY65541 AVR65541:AVU65541 BFN65541:BFQ65541 BPJ65541:BPM65541 BZF65541:BZI65541 CJB65541:CJE65541 CSX65541:CTA65541 DCT65541:DCW65541 DMP65541:DMS65541 DWL65541:DWO65541 EGH65541:EGK65541 EQD65541:EQG65541 EZZ65541:FAC65541 FJV65541:FJY65541 FTR65541:FTU65541 GDN65541:GDQ65541 GNJ65541:GNM65541 GXF65541:GXI65541 HHB65541:HHE65541 HQX65541:HRA65541 IAT65541:IAW65541 IKP65541:IKS65541 IUL65541:IUO65541 JEH65541:JEK65541 JOD65541:JOG65541 JXZ65541:JYC65541 KHV65541:KHY65541 KRR65541:KRU65541 LBN65541:LBQ65541 LLJ65541:LLM65541 LVF65541:LVI65541 MFB65541:MFE65541 MOX65541:MPA65541 MYT65541:MYW65541 NIP65541:NIS65541 NSL65541:NSO65541 OCH65541:OCK65541 OMD65541:OMG65541 OVZ65541:OWC65541 PFV65541:PFY65541 PPR65541:PPU65541 PZN65541:PZQ65541 QJJ65541:QJM65541 QTF65541:QTI65541 RDB65541:RDE65541 RMX65541:RNA65541 RWT65541:RWW65541 SGP65541:SGS65541 SQL65541:SQO65541 TAH65541:TAK65541 TKD65541:TKG65541 TTZ65541:TUC65541 UDV65541:UDY65541 UNR65541:UNU65541 UXN65541:UXQ65541 VHJ65541:VHM65541 VRF65541:VRI65541 WBB65541:WBE65541 WKX65541:WLA65541 WUT65541:WUW65541 IH131077:IK131077 SD131077:SG131077 ABZ131077:ACC131077 ALV131077:ALY131077 AVR131077:AVU131077 BFN131077:BFQ131077 BPJ131077:BPM131077 BZF131077:BZI131077 CJB131077:CJE131077 CSX131077:CTA131077 DCT131077:DCW131077 DMP131077:DMS131077 DWL131077:DWO131077 EGH131077:EGK131077 EQD131077:EQG131077 EZZ131077:FAC131077 FJV131077:FJY131077 FTR131077:FTU131077 GDN131077:GDQ131077 GNJ131077:GNM131077 GXF131077:GXI131077 HHB131077:HHE131077 HQX131077:HRA131077 IAT131077:IAW131077 IKP131077:IKS131077 IUL131077:IUO131077 JEH131077:JEK131077 JOD131077:JOG131077 JXZ131077:JYC131077 KHV131077:KHY131077 KRR131077:KRU131077 LBN131077:LBQ131077 LLJ131077:LLM131077 LVF131077:LVI131077 MFB131077:MFE131077 MOX131077:MPA131077 MYT131077:MYW131077 NIP131077:NIS131077 NSL131077:NSO131077 OCH131077:OCK131077 OMD131077:OMG131077 OVZ131077:OWC131077 PFV131077:PFY131077 PPR131077:PPU131077 PZN131077:PZQ131077 QJJ131077:QJM131077 QTF131077:QTI131077 RDB131077:RDE131077 RMX131077:RNA131077 RWT131077:RWW131077 SGP131077:SGS131077 SQL131077:SQO131077 TAH131077:TAK131077 TKD131077:TKG131077 TTZ131077:TUC131077 UDV131077:UDY131077 UNR131077:UNU131077 UXN131077:UXQ131077 VHJ131077:VHM131077 VRF131077:VRI131077 WBB131077:WBE131077 WKX131077:WLA131077 WUT131077:WUW131077 IH196613:IK196613 SD196613:SG196613 ABZ196613:ACC196613 ALV196613:ALY196613 AVR196613:AVU196613 BFN196613:BFQ196613 BPJ196613:BPM196613 BZF196613:BZI196613 CJB196613:CJE196613 CSX196613:CTA196613 DCT196613:DCW196613 DMP196613:DMS196613 DWL196613:DWO196613 EGH196613:EGK196613 EQD196613:EQG196613 EZZ196613:FAC196613 FJV196613:FJY196613 FTR196613:FTU196613 GDN196613:GDQ196613 GNJ196613:GNM196613 GXF196613:GXI196613 HHB196613:HHE196613 HQX196613:HRA196613 IAT196613:IAW196613 IKP196613:IKS196613 IUL196613:IUO196613 JEH196613:JEK196613 JOD196613:JOG196613 JXZ196613:JYC196613 KHV196613:KHY196613 KRR196613:KRU196613 LBN196613:LBQ196613 LLJ196613:LLM196613 LVF196613:LVI196613 MFB196613:MFE196613 MOX196613:MPA196613 MYT196613:MYW196613 NIP196613:NIS196613 NSL196613:NSO196613 OCH196613:OCK196613 OMD196613:OMG196613 OVZ196613:OWC196613 PFV196613:PFY196613 PPR196613:PPU196613 PZN196613:PZQ196613 QJJ196613:QJM196613 QTF196613:QTI196613 RDB196613:RDE196613 RMX196613:RNA196613 RWT196613:RWW196613 SGP196613:SGS196613 SQL196613:SQO196613 TAH196613:TAK196613 TKD196613:TKG196613 TTZ196613:TUC196613 UDV196613:UDY196613 UNR196613:UNU196613 UXN196613:UXQ196613 VHJ196613:VHM196613 VRF196613:VRI196613 WBB196613:WBE196613 WKX196613:WLA196613 WUT196613:WUW196613 IH262149:IK262149 SD262149:SG262149 ABZ262149:ACC262149 ALV262149:ALY262149 AVR262149:AVU262149 BFN262149:BFQ262149 BPJ262149:BPM262149 BZF262149:BZI262149 CJB262149:CJE262149 CSX262149:CTA262149 DCT262149:DCW262149 DMP262149:DMS262149 DWL262149:DWO262149 EGH262149:EGK262149 EQD262149:EQG262149 EZZ262149:FAC262149 FJV262149:FJY262149 FTR262149:FTU262149 GDN262149:GDQ262149 GNJ262149:GNM262149 GXF262149:GXI262149 HHB262149:HHE262149 HQX262149:HRA262149 IAT262149:IAW262149 IKP262149:IKS262149 IUL262149:IUO262149 JEH262149:JEK262149 JOD262149:JOG262149 JXZ262149:JYC262149 KHV262149:KHY262149 KRR262149:KRU262149 LBN262149:LBQ262149 LLJ262149:LLM262149 LVF262149:LVI262149 MFB262149:MFE262149 MOX262149:MPA262149 MYT262149:MYW262149 NIP262149:NIS262149 NSL262149:NSO262149 OCH262149:OCK262149 OMD262149:OMG262149 OVZ262149:OWC262149 PFV262149:PFY262149 PPR262149:PPU262149 PZN262149:PZQ262149 QJJ262149:QJM262149 QTF262149:QTI262149 RDB262149:RDE262149 RMX262149:RNA262149 RWT262149:RWW262149 SGP262149:SGS262149 SQL262149:SQO262149 TAH262149:TAK262149 TKD262149:TKG262149 TTZ262149:TUC262149 UDV262149:UDY262149 UNR262149:UNU262149 UXN262149:UXQ262149 VHJ262149:VHM262149 VRF262149:VRI262149 WBB262149:WBE262149 WKX262149:WLA262149 WUT262149:WUW262149 IH327685:IK327685 SD327685:SG327685 ABZ327685:ACC327685 ALV327685:ALY327685 AVR327685:AVU327685 BFN327685:BFQ327685 BPJ327685:BPM327685 BZF327685:BZI327685 CJB327685:CJE327685 CSX327685:CTA327685 DCT327685:DCW327685 DMP327685:DMS327685 DWL327685:DWO327685 EGH327685:EGK327685 EQD327685:EQG327685 EZZ327685:FAC327685 FJV327685:FJY327685 FTR327685:FTU327685 GDN327685:GDQ327685 GNJ327685:GNM327685 GXF327685:GXI327685 HHB327685:HHE327685 HQX327685:HRA327685 IAT327685:IAW327685 IKP327685:IKS327685 IUL327685:IUO327685 JEH327685:JEK327685 JOD327685:JOG327685 JXZ327685:JYC327685 KHV327685:KHY327685 KRR327685:KRU327685 LBN327685:LBQ327685 LLJ327685:LLM327685 LVF327685:LVI327685 MFB327685:MFE327685 MOX327685:MPA327685 MYT327685:MYW327685 NIP327685:NIS327685 NSL327685:NSO327685 OCH327685:OCK327685 OMD327685:OMG327685 OVZ327685:OWC327685 PFV327685:PFY327685 PPR327685:PPU327685 PZN327685:PZQ327685 QJJ327685:QJM327685 QTF327685:QTI327685 RDB327685:RDE327685 RMX327685:RNA327685 RWT327685:RWW327685 SGP327685:SGS327685 SQL327685:SQO327685 TAH327685:TAK327685 TKD327685:TKG327685 TTZ327685:TUC327685 UDV327685:UDY327685 UNR327685:UNU327685 UXN327685:UXQ327685 VHJ327685:VHM327685 VRF327685:VRI327685 WBB327685:WBE327685 WKX327685:WLA327685 WUT327685:WUW327685 IH393221:IK393221 SD393221:SG393221 ABZ393221:ACC393221 ALV393221:ALY393221 AVR393221:AVU393221 BFN393221:BFQ393221 BPJ393221:BPM393221 BZF393221:BZI393221 CJB393221:CJE393221 CSX393221:CTA393221 DCT393221:DCW393221 DMP393221:DMS393221 DWL393221:DWO393221 EGH393221:EGK393221 EQD393221:EQG393221 EZZ393221:FAC393221 FJV393221:FJY393221 FTR393221:FTU393221 GDN393221:GDQ393221 GNJ393221:GNM393221 GXF393221:GXI393221 HHB393221:HHE393221 HQX393221:HRA393221 IAT393221:IAW393221 IKP393221:IKS393221 IUL393221:IUO393221 JEH393221:JEK393221 JOD393221:JOG393221 JXZ393221:JYC393221 KHV393221:KHY393221 KRR393221:KRU393221 LBN393221:LBQ393221 LLJ393221:LLM393221 LVF393221:LVI393221 MFB393221:MFE393221 MOX393221:MPA393221 MYT393221:MYW393221 NIP393221:NIS393221 NSL393221:NSO393221 OCH393221:OCK393221 OMD393221:OMG393221 OVZ393221:OWC393221 PFV393221:PFY393221 PPR393221:PPU393221 PZN393221:PZQ393221 QJJ393221:QJM393221 QTF393221:QTI393221 RDB393221:RDE393221 RMX393221:RNA393221 RWT393221:RWW393221 SGP393221:SGS393221 SQL393221:SQO393221 TAH393221:TAK393221 TKD393221:TKG393221 TTZ393221:TUC393221 UDV393221:UDY393221 UNR393221:UNU393221 UXN393221:UXQ393221 VHJ393221:VHM393221 VRF393221:VRI393221 WBB393221:WBE393221 WKX393221:WLA393221 WUT393221:WUW393221 IH458757:IK458757 SD458757:SG458757 ABZ458757:ACC458757 ALV458757:ALY458757 AVR458757:AVU458757 BFN458757:BFQ458757 BPJ458757:BPM458757 BZF458757:BZI458757 CJB458757:CJE458757 CSX458757:CTA458757 DCT458757:DCW458757 DMP458757:DMS458757 DWL458757:DWO458757 EGH458757:EGK458757 EQD458757:EQG458757 EZZ458757:FAC458757 FJV458757:FJY458757 FTR458757:FTU458757 GDN458757:GDQ458757 GNJ458757:GNM458757 GXF458757:GXI458757 HHB458757:HHE458757 HQX458757:HRA458757 IAT458757:IAW458757 IKP458757:IKS458757 IUL458757:IUO458757 JEH458757:JEK458757 JOD458757:JOG458757 JXZ458757:JYC458757 KHV458757:KHY458757 KRR458757:KRU458757 LBN458757:LBQ458757 LLJ458757:LLM458757 LVF458757:LVI458757 MFB458757:MFE458757 MOX458757:MPA458757 MYT458757:MYW458757 NIP458757:NIS458757 NSL458757:NSO458757 OCH458757:OCK458757 OMD458757:OMG458757 OVZ458757:OWC458757 PFV458757:PFY458757 PPR458757:PPU458757 PZN458757:PZQ458757 QJJ458757:QJM458757 QTF458757:QTI458757 RDB458757:RDE458757 RMX458757:RNA458757 RWT458757:RWW458757 SGP458757:SGS458757 SQL458757:SQO458757 TAH458757:TAK458757 TKD458757:TKG458757 TTZ458757:TUC458757 UDV458757:UDY458757 UNR458757:UNU458757 UXN458757:UXQ458757 VHJ458757:VHM458757 VRF458757:VRI458757 WBB458757:WBE458757 WKX458757:WLA458757 WUT458757:WUW458757 IH524293:IK524293 SD524293:SG524293 ABZ524293:ACC524293 ALV524293:ALY524293 AVR524293:AVU524293 BFN524293:BFQ524293 BPJ524293:BPM524293 BZF524293:BZI524293 CJB524293:CJE524293 CSX524293:CTA524293 DCT524293:DCW524293 DMP524293:DMS524293 DWL524293:DWO524293 EGH524293:EGK524293 EQD524293:EQG524293 EZZ524293:FAC524293 FJV524293:FJY524293 FTR524293:FTU524293 GDN524293:GDQ524293 GNJ524293:GNM524293 GXF524293:GXI524293 HHB524293:HHE524293 HQX524293:HRA524293 IAT524293:IAW524293 IKP524293:IKS524293 IUL524293:IUO524293 JEH524293:JEK524293 JOD524293:JOG524293 JXZ524293:JYC524293 KHV524293:KHY524293 KRR524293:KRU524293 LBN524293:LBQ524293 LLJ524293:LLM524293 LVF524293:LVI524293 MFB524293:MFE524293 MOX524293:MPA524293 MYT524293:MYW524293 NIP524293:NIS524293 NSL524293:NSO524293 OCH524293:OCK524293 OMD524293:OMG524293 OVZ524293:OWC524293 PFV524293:PFY524293 PPR524293:PPU524293 PZN524293:PZQ524293 QJJ524293:QJM524293 QTF524293:QTI524293 RDB524293:RDE524293 RMX524293:RNA524293 RWT524293:RWW524293 SGP524293:SGS524293 SQL524293:SQO524293 TAH524293:TAK524293 TKD524293:TKG524293 TTZ524293:TUC524293 UDV524293:UDY524293 UNR524293:UNU524293 UXN524293:UXQ524293 VHJ524293:VHM524293 VRF524293:VRI524293 WBB524293:WBE524293 WKX524293:WLA524293 WUT524293:WUW524293 IH589829:IK589829 SD589829:SG589829 ABZ589829:ACC589829 ALV589829:ALY589829 AVR589829:AVU589829 BFN589829:BFQ589829 BPJ589829:BPM589829 BZF589829:BZI589829 CJB589829:CJE589829 CSX589829:CTA589829 DCT589829:DCW589829 DMP589829:DMS589829 DWL589829:DWO589829 EGH589829:EGK589829 EQD589829:EQG589829 EZZ589829:FAC589829 FJV589829:FJY589829 FTR589829:FTU589829 GDN589829:GDQ589829 GNJ589829:GNM589829 GXF589829:GXI589829 HHB589829:HHE589829 HQX589829:HRA589829 IAT589829:IAW589829 IKP589829:IKS589829 IUL589829:IUO589829 JEH589829:JEK589829 JOD589829:JOG589829 JXZ589829:JYC589829 KHV589829:KHY589829 KRR589829:KRU589829 LBN589829:LBQ589829 LLJ589829:LLM589829 LVF589829:LVI589829 MFB589829:MFE589829 MOX589829:MPA589829 MYT589829:MYW589829 NIP589829:NIS589829 NSL589829:NSO589829 OCH589829:OCK589829 OMD589829:OMG589829 OVZ589829:OWC589829 PFV589829:PFY589829 PPR589829:PPU589829 PZN589829:PZQ589829 QJJ589829:QJM589829 QTF589829:QTI589829 RDB589829:RDE589829 RMX589829:RNA589829 RWT589829:RWW589829 SGP589829:SGS589829 SQL589829:SQO589829 TAH589829:TAK589829 TKD589829:TKG589829 TTZ589829:TUC589829 UDV589829:UDY589829 UNR589829:UNU589829 UXN589829:UXQ589829 VHJ589829:VHM589829 VRF589829:VRI589829 WBB589829:WBE589829 WKX589829:WLA589829 WUT589829:WUW589829 IH655365:IK655365 SD655365:SG655365 ABZ655365:ACC655365 ALV655365:ALY655365 AVR655365:AVU655365 BFN655365:BFQ655365 BPJ655365:BPM655365 BZF655365:BZI655365 CJB655365:CJE655365 CSX655365:CTA655365 DCT655365:DCW655365 DMP655365:DMS655365 DWL655365:DWO655365 EGH655365:EGK655365 EQD655365:EQG655365 EZZ655365:FAC655365 FJV655365:FJY655365 FTR655365:FTU655365 GDN655365:GDQ655365 GNJ655365:GNM655365 GXF655365:GXI655365 HHB655365:HHE655365 HQX655365:HRA655365 IAT655365:IAW655365 IKP655365:IKS655365 IUL655365:IUO655365 JEH655365:JEK655365 JOD655365:JOG655365 JXZ655365:JYC655365 KHV655365:KHY655365 KRR655365:KRU655365 LBN655365:LBQ655365 LLJ655365:LLM655365 LVF655365:LVI655365 MFB655365:MFE655365 MOX655365:MPA655365 MYT655365:MYW655365 NIP655365:NIS655365 NSL655365:NSO655365 OCH655365:OCK655365 OMD655365:OMG655365 OVZ655365:OWC655365 PFV655365:PFY655365 PPR655365:PPU655365 PZN655365:PZQ655365 QJJ655365:QJM655365 QTF655365:QTI655365 RDB655365:RDE655365 RMX655365:RNA655365 RWT655365:RWW655365 SGP655365:SGS655365 SQL655365:SQO655365 TAH655365:TAK655365 TKD655365:TKG655365 TTZ655365:TUC655365 UDV655365:UDY655365 UNR655365:UNU655365 UXN655365:UXQ655365 VHJ655365:VHM655365 VRF655365:VRI655365 WBB655365:WBE655365 WKX655365:WLA655365 WUT655365:WUW655365 IH720901:IK720901 SD720901:SG720901 ABZ720901:ACC720901 ALV720901:ALY720901 AVR720901:AVU720901 BFN720901:BFQ720901 BPJ720901:BPM720901 BZF720901:BZI720901 CJB720901:CJE720901 CSX720901:CTA720901 DCT720901:DCW720901 DMP720901:DMS720901 DWL720901:DWO720901 EGH720901:EGK720901 EQD720901:EQG720901 EZZ720901:FAC720901 FJV720901:FJY720901 FTR720901:FTU720901 GDN720901:GDQ720901 GNJ720901:GNM720901 GXF720901:GXI720901 HHB720901:HHE720901 HQX720901:HRA720901 IAT720901:IAW720901 IKP720901:IKS720901 IUL720901:IUO720901 JEH720901:JEK720901 JOD720901:JOG720901 JXZ720901:JYC720901 KHV720901:KHY720901 KRR720901:KRU720901 LBN720901:LBQ720901 LLJ720901:LLM720901 LVF720901:LVI720901 MFB720901:MFE720901 MOX720901:MPA720901 MYT720901:MYW720901 NIP720901:NIS720901 NSL720901:NSO720901 OCH720901:OCK720901 OMD720901:OMG720901 OVZ720901:OWC720901 PFV720901:PFY720901 PPR720901:PPU720901 PZN720901:PZQ720901 QJJ720901:QJM720901 QTF720901:QTI720901 RDB720901:RDE720901 RMX720901:RNA720901 RWT720901:RWW720901 SGP720901:SGS720901 SQL720901:SQO720901 TAH720901:TAK720901 TKD720901:TKG720901 TTZ720901:TUC720901 UDV720901:UDY720901 UNR720901:UNU720901 UXN720901:UXQ720901 VHJ720901:VHM720901 VRF720901:VRI720901 WBB720901:WBE720901 WKX720901:WLA720901 WUT720901:WUW720901 IH786437:IK786437 SD786437:SG786437 ABZ786437:ACC786437 ALV786437:ALY786437 AVR786437:AVU786437 BFN786437:BFQ786437 BPJ786437:BPM786437 BZF786437:BZI786437 CJB786437:CJE786437 CSX786437:CTA786437 DCT786437:DCW786437 DMP786437:DMS786437 DWL786437:DWO786437 EGH786437:EGK786437 EQD786437:EQG786437 EZZ786437:FAC786437 FJV786437:FJY786437 FTR786437:FTU786437 GDN786437:GDQ786437 GNJ786437:GNM786437 GXF786437:GXI786437 HHB786437:HHE786437 HQX786437:HRA786437 IAT786437:IAW786437 IKP786437:IKS786437 IUL786437:IUO786437 JEH786437:JEK786437 JOD786437:JOG786437 JXZ786437:JYC786437 KHV786437:KHY786437 KRR786437:KRU786437 LBN786437:LBQ786437 LLJ786437:LLM786437 LVF786437:LVI786437 MFB786437:MFE786437 MOX786437:MPA786437 MYT786437:MYW786437 NIP786437:NIS786437 NSL786437:NSO786437 OCH786437:OCK786437 OMD786437:OMG786437 OVZ786437:OWC786437 PFV786437:PFY786437 PPR786437:PPU786437 PZN786437:PZQ786437 QJJ786437:QJM786437 QTF786437:QTI786437 RDB786437:RDE786437 RMX786437:RNA786437 RWT786437:RWW786437 SGP786437:SGS786437 SQL786437:SQO786437 TAH786437:TAK786437 TKD786437:TKG786437 TTZ786437:TUC786437 UDV786437:UDY786437 UNR786437:UNU786437 UXN786437:UXQ786437 VHJ786437:VHM786437 VRF786437:VRI786437 WBB786437:WBE786437 WKX786437:WLA786437 WUT786437:WUW786437 IH851973:IK851973 SD851973:SG851973 ABZ851973:ACC851973 ALV851973:ALY851973 AVR851973:AVU851973 BFN851973:BFQ851973 BPJ851973:BPM851973 BZF851973:BZI851973 CJB851973:CJE851973 CSX851973:CTA851973 DCT851973:DCW851973 DMP851973:DMS851973 DWL851973:DWO851973 EGH851973:EGK851973 EQD851973:EQG851973 EZZ851973:FAC851973 FJV851973:FJY851973 FTR851973:FTU851973 GDN851973:GDQ851973 GNJ851973:GNM851973 GXF851973:GXI851973 HHB851973:HHE851973 HQX851973:HRA851973 IAT851973:IAW851973 IKP851973:IKS851973 IUL851973:IUO851973 JEH851973:JEK851973 JOD851973:JOG851973 JXZ851973:JYC851973 KHV851973:KHY851973 KRR851973:KRU851973 LBN851973:LBQ851973 LLJ851973:LLM851973 LVF851973:LVI851973 MFB851973:MFE851973 MOX851973:MPA851973 MYT851973:MYW851973 NIP851973:NIS851973 NSL851973:NSO851973 OCH851973:OCK851973 OMD851973:OMG851973 OVZ851973:OWC851973 PFV851973:PFY851973 PPR851973:PPU851973 PZN851973:PZQ851973 QJJ851973:QJM851973 QTF851973:QTI851973 RDB851973:RDE851973 RMX851973:RNA851973 RWT851973:RWW851973 SGP851973:SGS851973 SQL851973:SQO851973 TAH851973:TAK851973 TKD851973:TKG851973 TTZ851973:TUC851973 UDV851973:UDY851973 UNR851973:UNU851973 UXN851973:UXQ851973 VHJ851973:VHM851973 VRF851973:VRI851973 WBB851973:WBE851973 WKX851973:WLA851973 WUT851973:WUW851973 IH917509:IK917509 SD917509:SG917509 ABZ917509:ACC917509 ALV917509:ALY917509 AVR917509:AVU917509 BFN917509:BFQ917509 BPJ917509:BPM917509 BZF917509:BZI917509 CJB917509:CJE917509 CSX917509:CTA917509 DCT917509:DCW917509 DMP917509:DMS917509 DWL917509:DWO917509 EGH917509:EGK917509 EQD917509:EQG917509 EZZ917509:FAC917509 FJV917509:FJY917509 FTR917509:FTU917509 GDN917509:GDQ917509 GNJ917509:GNM917509 GXF917509:GXI917509 HHB917509:HHE917509 HQX917509:HRA917509 IAT917509:IAW917509 IKP917509:IKS917509 IUL917509:IUO917509 JEH917509:JEK917509 JOD917509:JOG917509 JXZ917509:JYC917509 KHV917509:KHY917509 KRR917509:KRU917509 LBN917509:LBQ917509 LLJ917509:LLM917509 LVF917509:LVI917509 MFB917509:MFE917509 MOX917509:MPA917509 MYT917509:MYW917509 NIP917509:NIS917509 NSL917509:NSO917509 OCH917509:OCK917509 OMD917509:OMG917509 OVZ917509:OWC917509 PFV917509:PFY917509 PPR917509:PPU917509 PZN917509:PZQ917509 QJJ917509:QJM917509 QTF917509:QTI917509 RDB917509:RDE917509 RMX917509:RNA917509 RWT917509:RWW917509 SGP917509:SGS917509 SQL917509:SQO917509 TAH917509:TAK917509 TKD917509:TKG917509 TTZ917509:TUC917509 UDV917509:UDY917509 UNR917509:UNU917509 UXN917509:UXQ917509 VHJ917509:VHM917509 VRF917509:VRI917509 WBB917509:WBE917509 WKX917509:WLA917509 WUT917509:WUW917509 Q917509:S917509 Q851973:S851973 Q786437:S786437 Q720901:S720901 Q655365:S655365 Q589829:S589829 Q524293:S524293 Q458757:S458757 Q393221:S393221 Q327685:S327685 Q262149:S262149 Q196613:S196613 Q131077:S131077 Q65541:S65541 Q983045:S983045 AF131079:AH131079 AF196615:AH196615 AF262151:AH262151 AF327687:AH327687 AF393223:AH393223 AF458759:AH458759 AF524295:AH524295 AF589831:AH589831 AF655367:AH655367 AF720903:AH720903 AF786439:AH786439 AF851975:AH851975 AF917511:AH917511 AF983047:AH983047 AB983046:AD983046 AB917510:AD917510 AB851974:AD851974 AB786438:AD786438 AB720902:AD720902 AB655366:AD655366 AB589830:AD589830 AB524294:AD524294 AB458758:AD458758 AB393222:AD393222 AB327686:AD327686 AB262150:AD262150 AB196614:AD196614 AB131078:AD131078 AB65542:AD65542 AF65543:AH65543 AO131079:AQ131079 AO196615:AQ196615 AO262151:AQ262151 AO327687:AQ327687 AO393223:AQ393223 AO458759:AQ458759 AO524295:AQ524295 AO589831:AQ589831 AO655367:AQ655367 AO720903:AQ720903 AO786439:AQ786439 AO851975:AQ851975 AO917511:AQ917511 AO983047:AQ983047 AI917510:AK917510 AI851974:AK851974 AI786438:AK786438 AI720902:AK720902 AI655366:AK655366 AI589830:AK589830 AI524294:AK524294 AI458758:AK458758 AI393222:AK393222 AI327686:AK327686 AI262150:AK262150 AI196614:AK196614 AI131078:AK131078 AI65542:AK65542 AO65543:AQ65543 AI983046:AK983046 AL131079:AM131079 AL196615:AM196615 AL262151:AM262151 AL327687:AM327687 AL393223:AM393223 AL458759:AM458759 AL524295:AM524295 AL589831:AM589831 AL655367:AM655367 AL720903:AM720903 AL786439:AM786439 AL851975:AM851975 AL917511:AM917511 AL983047:AM983047 AL65543:AM65543" xr:uid="{87090E45-91C1-418E-8188-C4A72504E6B6}">
      <formula1>"○, ○（オンライン処理設計書なし）"</formula1>
    </dataValidation>
    <dataValidation type="list" allowBlank="1" showInputMessage="1" showErrorMessage="1" sqref="V65548:Y65551 IN65548:IQ65551 SJ65548:SM65551 ACF65548:ACI65551 AMB65548:AME65551 AVX65548:AWA65551 BFT65548:BFW65551 BPP65548:BPS65551 BZL65548:BZO65551 CJH65548:CJK65551 CTD65548:CTG65551 DCZ65548:DDC65551 DMV65548:DMY65551 DWR65548:DWU65551 EGN65548:EGQ65551 EQJ65548:EQM65551 FAF65548:FAI65551 FKB65548:FKE65551 FTX65548:FUA65551 GDT65548:GDW65551 GNP65548:GNS65551 GXL65548:GXO65551 HHH65548:HHK65551 HRD65548:HRG65551 IAZ65548:IBC65551 IKV65548:IKY65551 IUR65548:IUU65551 JEN65548:JEQ65551 JOJ65548:JOM65551 JYF65548:JYI65551 KIB65548:KIE65551 KRX65548:KSA65551 LBT65548:LBW65551 LLP65548:LLS65551 LVL65548:LVO65551 MFH65548:MFK65551 MPD65548:MPG65551 MYZ65548:MZC65551 NIV65548:NIY65551 NSR65548:NSU65551 OCN65548:OCQ65551 OMJ65548:OMM65551 OWF65548:OWI65551 PGB65548:PGE65551 PPX65548:PQA65551 PZT65548:PZW65551 QJP65548:QJS65551 QTL65548:QTO65551 RDH65548:RDK65551 RND65548:RNG65551 RWZ65548:RXC65551 SGV65548:SGY65551 SQR65548:SQU65551 TAN65548:TAQ65551 TKJ65548:TKM65551 TUF65548:TUI65551 UEB65548:UEE65551 UNX65548:UOA65551 UXT65548:UXW65551 VHP65548:VHS65551 VRL65548:VRO65551 WBH65548:WBK65551 WLD65548:WLG65551 WUZ65548:WVC65551 V131084:Y131087 IN131084:IQ131087 SJ131084:SM131087 ACF131084:ACI131087 AMB131084:AME131087 AVX131084:AWA131087 BFT131084:BFW131087 BPP131084:BPS131087 BZL131084:BZO131087 CJH131084:CJK131087 CTD131084:CTG131087 DCZ131084:DDC131087 DMV131084:DMY131087 DWR131084:DWU131087 EGN131084:EGQ131087 EQJ131084:EQM131087 FAF131084:FAI131087 FKB131084:FKE131087 FTX131084:FUA131087 GDT131084:GDW131087 GNP131084:GNS131087 GXL131084:GXO131087 HHH131084:HHK131087 HRD131084:HRG131087 IAZ131084:IBC131087 IKV131084:IKY131087 IUR131084:IUU131087 JEN131084:JEQ131087 JOJ131084:JOM131087 JYF131084:JYI131087 KIB131084:KIE131087 KRX131084:KSA131087 LBT131084:LBW131087 LLP131084:LLS131087 LVL131084:LVO131087 MFH131084:MFK131087 MPD131084:MPG131087 MYZ131084:MZC131087 NIV131084:NIY131087 NSR131084:NSU131087 OCN131084:OCQ131087 OMJ131084:OMM131087 OWF131084:OWI131087 PGB131084:PGE131087 PPX131084:PQA131087 PZT131084:PZW131087 QJP131084:QJS131087 QTL131084:QTO131087 RDH131084:RDK131087 RND131084:RNG131087 RWZ131084:RXC131087 SGV131084:SGY131087 SQR131084:SQU131087 TAN131084:TAQ131087 TKJ131084:TKM131087 TUF131084:TUI131087 UEB131084:UEE131087 UNX131084:UOA131087 UXT131084:UXW131087 VHP131084:VHS131087 VRL131084:VRO131087 WBH131084:WBK131087 WLD131084:WLG131087 WUZ131084:WVC131087 V196620:Y196623 IN196620:IQ196623 SJ196620:SM196623 ACF196620:ACI196623 AMB196620:AME196623 AVX196620:AWA196623 BFT196620:BFW196623 BPP196620:BPS196623 BZL196620:BZO196623 CJH196620:CJK196623 CTD196620:CTG196623 DCZ196620:DDC196623 DMV196620:DMY196623 DWR196620:DWU196623 EGN196620:EGQ196623 EQJ196620:EQM196623 FAF196620:FAI196623 FKB196620:FKE196623 FTX196620:FUA196623 GDT196620:GDW196623 GNP196620:GNS196623 GXL196620:GXO196623 HHH196620:HHK196623 HRD196620:HRG196623 IAZ196620:IBC196623 IKV196620:IKY196623 IUR196620:IUU196623 JEN196620:JEQ196623 JOJ196620:JOM196623 JYF196620:JYI196623 KIB196620:KIE196623 KRX196620:KSA196623 LBT196620:LBW196623 LLP196620:LLS196623 LVL196620:LVO196623 MFH196620:MFK196623 MPD196620:MPG196623 MYZ196620:MZC196623 NIV196620:NIY196623 NSR196620:NSU196623 OCN196620:OCQ196623 OMJ196620:OMM196623 OWF196620:OWI196623 PGB196620:PGE196623 PPX196620:PQA196623 PZT196620:PZW196623 QJP196620:QJS196623 QTL196620:QTO196623 RDH196620:RDK196623 RND196620:RNG196623 RWZ196620:RXC196623 SGV196620:SGY196623 SQR196620:SQU196623 TAN196620:TAQ196623 TKJ196620:TKM196623 TUF196620:TUI196623 UEB196620:UEE196623 UNX196620:UOA196623 UXT196620:UXW196623 VHP196620:VHS196623 VRL196620:VRO196623 WBH196620:WBK196623 WLD196620:WLG196623 WUZ196620:WVC196623 V262156:Y262159 IN262156:IQ262159 SJ262156:SM262159 ACF262156:ACI262159 AMB262156:AME262159 AVX262156:AWA262159 BFT262156:BFW262159 BPP262156:BPS262159 BZL262156:BZO262159 CJH262156:CJK262159 CTD262156:CTG262159 DCZ262156:DDC262159 DMV262156:DMY262159 DWR262156:DWU262159 EGN262156:EGQ262159 EQJ262156:EQM262159 FAF262156:FAI262159 FKB262156:FKE262159 FTX262156:FUA262159 GDT262156:GDW262159 GNP262156:GNS262159 GXL262156:GXO262159 HHH262156:HHK262159 HRD262156:HRG262159 IAZ262156:IBC262159 IKV262156:IKY262159 IUR262156:IUU262159 JEN262156:JEQ262159 JOJ262156:JOM262159 JYF262156:JYI262159 KIB262156:KIE262159 KRX262156:KSA262159 LBT262156:LBW262159 LLP262156:LLS262159 LVL262156:LVO262159 MFH262156:MFK262159 MPD262156:MPG262159 MYZ262156:MZC262159 NIV262156:NIY262159 NSR262156:NSU262159 OCN262156:OCQ262159 OMJ262156:OMM262159 OWF262156:OWI262159 PGB262156:PGE262159 PPX262156:PQA262159 PZT262156:PZW262159 QJP262156:QJS262159 QTL262156:QTO262159 RDH262156:RDK262159 RND262156:RNG262159 RWZ262156:RXC262159 SGV262156:SGY262159 SQR262156:SQU262159 TAN262156:TAQ262159 TKJ262156:TKM262159 TUF262156:TUI262159 UEB262156:UEE262159 UNX262156:UOA262159 UXT262156:UXW262159 VHP262156:VHS262159 VRL262156:VRO262159 WBH262156:WBK262159 WLD262156:WLG262159 WUZ262156:WVC262159 V327692:Y327695 IN327692:IQ327695 SJ327692:SM327695 ACF327692:ACI327695 AMB327692:AME327695 AVX327692:AWA327695 BFT327692:BFW327695 BPP327692:BPS327695 BZL327692:BZO327695 CJH327692:CJK327695 CTD327692:CTG327695 DCZ327692:DDC327695 DMV327692:DMY327695 DWR327692:DWU327695 EGN327692:EGQ327695 EQJ327692:EQM327695 FAF327692:FAI327695 FKB327692:FKE327695 FTX327692:FUA327695 GDT327692:GDW327695 GNP327692:GNS327695 GXL327692:GXO327695 HHH327692:HHK327695 HRD327692:HRG327695 IAZ327692:IBC327695 IKV327692:IKY327695 IUR327692:IUU327695 JEN327692:JEQ327695 JOJ327692:JOM327695 JYF327692:JYI327695 KIB327692:KIE327695 KRX327692:KSA327695 LBT327692:LBW327695 LLP327692:LLS327695 LVL327692:LVO327695 MFH327692:MFK327695 MPD327692:MPG327695 MYZ327692:MZC327695 NIV327692:NIY327695 NSR327692:NSU327695 OCN327692:OCQ327695 OMJ327692:OMM327695 OWF327692:OWI327695 PGB327692:PGE327695 PPX327692:PQA327695 PZT327692:PZW327695 QJP327692:QJS327695 QTL327692:QTO327695 RDH327692:RDK327695 RND327692:RNG327695 RWZ327692:RXC327695 SGV327692:SGY327695 SQR327692:SQU327695 TAN327692:TAQ327695 TKJ327692:TKM327695 TUF327692:TUI327695 UEB327692:UEE327695 UNX327692:UOA327695 UXT327692:UXW327695 VHP327692:VHS327695 VRL327692:VRO327695 WBH327692:WBK327695 WLD327692:WLG327695 WUZ327692:WVC327695 V393228:Y393231 IN393228:IQ393231 SJ393228:SM393231 ACF393228:ACI393231 AMB393228:AME393231 AVX393228:AWA393231 BFT393228:BFW393231 BPP393228:BPS393231 BZL393228:BZO393231 CJH393228:CJK393231 CTD393228:CTG393231 DCZ393228:DDC393231 DMV393228:DMY393231 DWR393228:DWU393231 EGN393228:EGQ393231 EQJ393228:EQM393231 FAF393228:FAI393231 FKB393228:FKE393231 FTX393228:FUA393231 GDT393228:GDW393231 GNP393228:GNS393231 GXL393228:GXO393231 HHH393228:HHK393231 HRD393228:HRG393231 IAZ393228:IBC393231 IKV393228:IKY393231 IUR393228:IUU393231 JEN393228:JEQ393231 JOJ393228:JOM393231 JYF393228:JYI393231 KIB393228:KIE393231 KRX393228:KSA393231 LBT393228:LBW393231 LLP393228:LLS393231 LVL393228:LVO393231 MFH393228:MFK393231 MPD393228:MPG393231 MYZ393228:MZC393231 NIV393228:NIY393231 NSR393228:NSU393231 OCN393228:OCQ393231 OMJ393228:OMM393231 OWF393228:OWI393231 PGB393228:PGE393231 PPX393228:PQA393231 PZT393228:PZW393231 QJP393228:QJS393231 QTL393228:QTO393231 RDH393228:RDK393231 RND393228:RNG393231 RWZ393228:RXC393231 SGV393228:SGY393231 SQR393228:SQU393231 TAN393228:TAQ393231 TKJ393228:TKM393231 TUF393228:TUI393231 UEB393228:UEE393231 UNX393228:UOA393231 UXT393228:UXW393231 VHP393228:VHS393231 VRL393228:VRO393231 WBH393228:WBK393231 WLD393228:WLG393231 WUZ393228:WVC393231 V458764:Y458767 IN458764:IQ458767 SJ458764:SM458767 ACF458764:ACI458767 AMB458764:AME458767 AVX458764:AWA458767 BFT458764:BFW458767 BPP458764:BPS458767 BZL458764:BZO458767 CJH458764:CJK458767 CTD458764:CTG458767 DCZ458764:DDC458767 DMV458764:DMY458767 DWR458764:DWU458767 EGN458764:EGQ458767 EQJ458764:EQM458767 FAF458764:FAI458767 FKB458764:FKE458767 FTX458764:FUA458767 GDT458764:GDW458767 GNP458764:GNS458767 GXL458764:GXO458767 HHH458764:HHK458767 HRD458764:HRG458767 IAZ458764:IBC458767 IKV458764:IKY458767 IUR458764:IUU458767 JEN458764:JEQ458767 JOJ458764:JOM458767 JYF458764:JYI458767 KIB458764:KIE458767 KRX458764:KSA458767 LBT458764:LBW458767 LLP458764:LLS458767 LVL458764:LVO458767 MFH458764:MFK458767 MPD458764:MPG458767 MYZ458764:MZC458767 NIV458764:NIY458767 NSR458764:NSU458767 OCN458764:OCQ458767 OMJ458764:OMM458767 OWF458764:OWI458767 PGB458764:PGE458767 PPX458764:PQA458767 PZT458764:PZW458767 QJP458764:QJS458767 QTL458764:QTO458767 RDH458764:RDK458767 RND458764:RNG458767 RWZ458764:RXC458767 SGV458764:SGY458767 SQR458764:SQU458767 TAN458764:TAQ458767 TKJ458764:TKM458767 TUF458764:TUI458767 UEB458764:UEE458767 UNX458764:UOA458767 UXT458764:UXW458767 VHP458764:VHS458767 VRL458764:VRO458767 WBH458764:WBK458767 WLD458764:WLG458767 WUZ458764:WVC458767 V524300:Y524303 IN524300:IQ524303 SJ524300:SM524303 ACF524300:ACI524303 AMB524300:AME524303 AVX524300:AWA524303 BFT524300:BFW524303 BPP524300:BPS524303 BZL524300:BZO524303 CJH524300:CJK524303 CTD524300:CTG524303 DCZ524300:DDC524303 DMV524300:DMY524303 DWR524300:DWU524303 EGN524300:EGQ524303 EQJ524300:EQM524303 FAF524300:FAI524303 FKB524300:FKE524303 FTX524300:FUA524303 GDT524300:GDW524303 GNP524300:GNS524303 GXL524300:GXO524303 HHH524300:HHK524303 HRD524300:HRG524303 IAZ524300:IBC524303 IKV524300:IKY524303 IUR524300:IUU524303 JEN524300:JEQ524303 JOJ524300:JOM524303 JYF524300:JYI524303 KIB524300:KIE524303 KRX524300:KSA524303 LBT524300:LBW524303 LLP524300:LLS524303 LVL524300:LVO524303 MFH524300:MFK524303 MPD524300:MPG524303 MYZ524300:MZC524303 NIV524300:NIY524303 NSR524300:NSU524303 OCN524300:OCQ524303 OMJ524300:OMM524303 OWF524300:OWI524303 PGB524300:PGE524303 PPX524300:PQA524303 PZT524300:PZW524303 QJP524300:QJS524303 QTL524300:QTO524303 RDH524300:RDK524303 RND524300:RNG524303 RWZ524300:RXC524303 SGV524300:SGY524303 SQR524300:SQU524303 TAN524300:TAQ524303 TKJ524300:TKM524303 TUF524300:TUI524303 UEB524300:UEE524303 UNX524300:UOA524303 UXT524300:UXW524303 VHP524300:VHS524303 VRL524300:VRO524303 WBH524300:WBK524303 WLD524300:WLG524303 WUZ524300:WVC524303 V589836:Y589839 IN589836:IQ589839 SJ589836:SM589839 ACF589836:ACI589839 AMB589836:AME589839 AVX589836:AWA589839 BFT589836:BFW589839 BPP589836:BPS589839 BZL589836:BZO589839 CJH589836:CJK589839 CTD589836:CTG589839 DCZ589836:DDC589839 DMV589836:DMY589839 DWR589836:DWU589839 EGN589836:EGQ589839 EQJ589836:EQM589839 FAF589836:FAI589839 FKB589836:FKE589839 FTX589836:FUA589839 GDT589836:GDW589839 GNP589836:GNS589839 GXL589836:GXO589839 HHH589836:HHK589839 HRD589836:HRG589839 IAZ589836:IBC589839 IKV589836:IKY589839 IUR589836:IUU589839 JEN589836:JEQ589839 JOJ589836:JOM589839 JYF589836:JYI589839 KIB589836:KIE589839 KRX589836:KSA589839 LBT589836:LBW589839 LLP589836:LLS589839 LVL589836:LVO589839 MFH589836:MFK589839 MPD589836:MPG589839 MYZ589836:MZC589839 NIV589836:NIY589839 NSR589836:NSU589839 OCN589836:OCQ589839 OMJ589836:OMM589839 OWF589836:OWI589839 PGB589836:PGE589839 PPX589836:PQA589839 PZT589836:PZW589839 QJP589836:QJS589839 QTL589836:QTO589839 RDH589836:RDK589839 RND589836:RNG589839 RWZ589836:RXC589839 SGV589836:SGY589839 SQR589836:SQU589839 TAN589836:TAQ589839 TKJ589836:TKM589839 TUF589836:TUI589839 UEB589836:UEE589839 UNX589836:UOA589839 UXT589836:UXW589839 VHP589836:VHS589839 VRL589836:VRO589839 WBH589836:WBK589839 WLD589836:WLG589839 WUZ589836:WVC589839 V655372:Y655375 IN655372:IQ655375 SJ655372:SM655375 ACF655372:ACI655375 AMB655372:AME655375 AVX655372:AWA655375 BFT655372:BFW655375 BPP655372:BPS655375 BZL655372:BZO655375 CJH655372:CJK655375 CTD655372:CTG655375 DCZ655372:DDC655375 DMV655372:DMY655375 DWR655372:DWU655375 EGN655372:EGQ655375 EQJ655372:EQM655375 FAF655372:FAI655375 FKB655372:FKE655375 FTX655372:FUA655375 GDT655372:GDW655375 GNP655372:GNS655375 GXL655372:GXO655375 HHH655372:HHK655375 HRD655372:HRG655375 IAZ655372:IBC655375 IKV655372:IKY655375 IUR655372:IUU655375 JEN655372:JEQ655375 JOJ655372:JOM655375 JYF655372:JYI655375 KIB655372:KIE655375 KRX655372:KSA655375 LBT655372:LBW655375 LLP655372:LLS655375 LVL655372:LVO655375 MFH655372:MFK655375 MPD655372:MPG655375 MYZ655372:MZC655375 NIV655372:NIY655375 NSR655372:NSU655375 OCN655372:OCQ655375 OMJ655372:OMM655375 OWF655372:OWI655375 PGB655372:PGE655375 PPX655372:PQA655375 PZT655372:PZW655375 QJP655372:QJS655375 QTL655372:QTO655375 RDH655372:RDK655375 RND655372:RNG655375 RWZ655372:RXC655375 SGV655372:SGY655375 SQR655372:SQU655375 TAN655372:TAQ655375 TKJ655372:TKM655375 TUF655372:TUI655375 UEB655372:UEE655375 UNX655372:UOA655375 UXT655372:UXW655375 VHP655372:VHS655375 VRL655372:VRO655375 WBH655372:WBK655375 WLD655372:WLG655375 WUZ655372:WVC655375 V720908:Y720911 IN720908:IQ720911 SJ720908:SM720911 ACF720908:ACI720911 AMB720908:AME720911 AVX720908:AWA720911 BFT720908:BFW720911 BPP720908:BPS720911 BZL720908:BZO720911 CJH720908:CJK720911 CTD720908:CTG720911 DCZ720908:DDC720911 DMV720908:DMY720911 DWR720908:DWU720911 EGN720908:EGQ720911 EQJ720908:EQM720911 FAF720908:FAI720911 FKB720908:FKE720911 FTX720908:FUA720911 GDT720908:GDW720911 GNP720908:GNS720911 GXL720908:GXO720911 HHH720908:HHK720911 HRD720908:HRG720911 IAZ720908:IBC720911 IKV720908:IKY720911 IUR720908:IUU720911 JEN720908:JEQ720911 JOJ720908:JOM720911 JYF720908:JYI720911 KIB720908:KIE720911 KRX720908:KSA720911 LBT720908:LBW720911 LLP720908:LLS720911 LVL720908:LVO720911 MFH720908:MFK720911 MPD720908:MPG720911 MYZ720908:MZC720911 NIV720908:NIY720911 NSR720908:NSU720911 OCN720908:OCQ720911 OMJ720908:OMM720911 OWF720908:OWI720911 PGB720908:PGE720911 PPX720908:PQA720911 PZT720908:PZW720911 QJP720908:QJS720911 QTL720908:QTO720911 RDH720908:RDK720911 RND720908:RNG720911 RWZ720908:RXC720911 SGV720908:SGY720911 SQR720908:SQU720911 TAN720908:TAQ720911 TKJ720908:TKM720911 TUF720908:TUI720911 UEB720908:UEE720911 UNX720908:UOA720911 UXT720908:UXW720911 VHP720908:VHS720911 VRL720908:VRO720911 WBH720908:WBK720911 WLD720908:WLG720911 WUZ720908:WVC720911 V786444:Y786447 IN786444:IQ786447 SJ786444:SM786447 ACF786444:ACI786447 AMB786444:AME786447 AVX786444:AWA786447 BFT786444:BFW786447 BPP786444:BPS786447 BZL786444:BZO786447 CJH786444:CJK786447 CTD786444:CTG786447 DCZ786444:DDC786447 DMV786444:DMY786447 DWR786444:DWU786447 EGN786444:EGQ786447 EQJ786444:EQM786447 FAF786444:FAI786447 FKB786444:FKE786447 FTX786444:FUA786447 GDT786444:GDW786447 GNP786444:GNS786447 GXL786444:GXO786447 HHH786444:HHK786447 HRD786444:HRG786447 IAZ786444:IBC786447 IKV786444:IKY786447 IUR786444:IUU786447 JEN786444:JEQ786447 JOJ786444:JOM786447 JYF786444:JYI786447 KIB786444:KIE786447 KRX786444:KSA786447 LBT786444:LBW786447 LLP786444:LLS786447 LVL786444:LVO786447 MFH786444:MFK786447 MPD786444:MPG786447 MYZ786444:MZC786447 NIV786444:NIY786447 NSR786444:NSU786447 OCN786444:OCQ786447 OMJ786444:OMM786447 OWF786444:OWI786447 PGB786444:PGE786447 PPX786444:PQA786447 PZT786444:PZW786447 QJP786444:QJS786447 QTL786444:QTO786447 RDH786444:RDK786447 RND786444:RNG786447 RWZ786444:RXC786447 SGV786444:SGY786447 SQR786444:SQU786447 TAN786444:TAQ786447 TKJ786444:TKM786447 TUF786444:TUI786447 UEB786444:UEE786447 UNX786444:UOA786447 UXT786444:UXW786447 VHP786444:VHS786447 VRL786444:VRO786447 WBH786444:WBK786447 WLD786444:WLG786447 WUZ786444:WVC786447 V851980:Y851983 IN851980:IQ851983 SJ851980:SM851983 ACF851980:ACI851983 AMB851980:AME851983 AVX851980:AWA851983 BFT851980:BFW851983 BPP851980:BPS851983 BZL851980:BZO851983 CJH851980:CJK851983 CTD851980:CTG851983 DCZ851980:DDC851983 DMV851980:DMY851983 DWR851980:DWU851983 EGN851980:EGQ851983 EQJ851980:EQM851983 FAF851980:FAI851983 FKB851980:FKE851983 FTX851980:FUA851983 GDT851980:GDW851983 GNP851980:GNS851983 GXL851980:GXO851983 HHH851980:HHK851983 HRD851980:HRG851983 IAZ851980:IBC851983 IKV851980:IKY851983 IUR851980:IUU851983 JEN851980:JEQ851983 JOJ851980:JOM851983 JYF851980:JYI851983 KIB851980:KIE851983 KRX851980:KSA851983 LBT851980:LBW851983 LLP851980:LLS851983 LVL851980:LVO851983 MFH851980:MFK851983 MPD851980:MPG851983 MYZ851980:MZC851983 NIV851980:NIY851983 NSR851980:NSU851983 OCN851980:OCQ851983 OMJ851980:OMM851983 OWF851980:OWI851983 PGB851980:PGE851983 PPX851980:PQA851983 PZT851980:PZW851983 QJP851980:QJS851983 QTL851980:QTO851983 RDH851980:RDK851983 RND851980:RNG851983 RWZ851980:RXC851983 SGV851980:SGY851983 SQR851980:SQU851983 TAN851980:TAQ851983 TKJ851980:TKM851983 TUF851980:TUI851983 UEB851980:UEE851983 UNX851980:UOA851983 UXT851980:UXW851983 VHP851980:VHS851983 VRL851980:VRO851983 WBH851980:WBK851983 WLD851980:WLG851983 WUZ851980:WVC851983 V917516:Y917519 IN917516:IQ917519 SJ917516:SM917519 ACF917516:ACI917519 AMB917516:AME917519 AVX917516:AWA917519 BFT917516:BFW917519 BPP917516:BPS917519 BZL917516:BZO917519 CJH917516:CJK917519 CTD917516:CTG917519 DCZ917516:DDC917519 DMV917516:DMY917519 DWR917516:DWU917519 EGN917516:EGQ917519 EQJ917516:EQM917519 FAF917516:FAI917519 FKB917516:FKE917519 FTX917516:FUA917519 GDT917516:GDW917519 GNP917516:GNS917519 GXL917516:GXO917519 HHH917516:HHK917519 HRD917516:HRG917519 IAZ917516:IBC917519 IKV917516:IKY917519 IUR917516:IUU917519 JEN917516:JEQ917519 JOJ917516:JOM917519 JYF917516:JYI917519 KIB917516:KIE917519 KRX917516:KSA917519 LBT917516:LBW917519 LLP917516:LLS917519 LVL917516:LVO917519 MFH917516:MFK917519 MPD917516:MPG917519 MYZ917516:MZC917519 NIV917516:NIY917519 NSR917516:NSU917519 OCN917516:OCQ917519 OMJ917516:OMM917519 OWF917516:OWI917519 PGB917516:PGE917519 PPX917516:PQA917519 PZT917516:PZW917519 QJP917516:QJS917519 QTL917516:QTO917519 RDH917516:RDK917519 RND917516:RNG917519 RWZ917516:RXC917519 SGV917516:SGY917519 SQR917516:SQU917519 TAN917516:TAQ917519 TKJ917516:TKM917519 TUF917516:TUI917519 UEB917516:UEE917519 UNX917516:UOA917519 UXT917516:UXW917519 VHP917516:VHS917519 VRL917516:VRO917519 WBH917516:WBK917519 WLD917516:WLG917519 WUZ917516:WVC917519 V983052:Y983055 IN983052:IQ983055 SJ983052:SM983055 ACF983052:ACI983055 AMB983052:AME983055 AVX983052:AWA983055 BFT983052:BFW983055 BPP983052:BPS983055 BZL983052:BZO983055 CJH983052:CJK983055 CTD983052:CTG983055 DCZ983052:DDC983055 DMV983052:DMY983055 DWR983052:DWU983055 EGN983052:EGQ983055 EQJ983052:EQM983055 FAF983052:FAI983055 FKB983052:FKE983055 FTX983052:FUA983055 GDT983052:GDW983055 GNP983052:GNS983055 GXL983052:GXO983055 HHH983052:HHK983055 HRD983052:HRG983055 IAZ983052:IBC983055 IKV983052:IKY983055 IUR983052:IUU983055 JEN983052:JEQ983055 JOJ983052:JOM983055 JYF983052:JYI983055 KIB983052:KIE983055 KRX983052:KSA983055 LBT983052:LBW983055 LLP983052:LLS983055 LVL983052:LVO983055 MFH983052:MFK983055 MPD983052:MPG983055 MYZ983052:MZC983055 NIV983052:NIY983055 NSR983052:NSU983055 OCN983052:OCQ983055 OMJ983052:OMM983055 OWF983052:OWI983055 PGB983052:PGE983055 PPX983052:PQA983055 PZT983052:PZW983055 QJP983052:QJS983055 QTL983052:QTO983055 RDH983052:RDK983055 RND983052:RNG983055 RWZ983052:RXC983055 SGV983052:SGY983055 SQR983052:SQU983055 TAN983052:TAQ983055 TKJ983052:TKM983055 TUF983052:TUI983055 UEB983052:UEE983055 UNX983052:UOA983055 UXT983052:UXW983055 VHP983052:VHS983055 VRL983052:VRO983055 WBH983052:WBK983055 WLD983052:WLG983055 WUZ983052:WVC983055 Q65542:T65542 II65542:IL65542 SE65542:SH65542 ACA65542:ACD65542 ALW65542:ALZ65542 AVS65542:AVV65542 BFO65542:BFR65542 BPK65542:BPN65542 BZG65542:BZJ65542 CJC65542:CJF65542 CSY65542:CTB65542 DCU65542:DCX65542 DMQ65542:DMT65542 DWM65542:DWP65542 EGI65542:EGL65542 EQE65542:EQH65542 FAA65542:FAD65542 FJW65542:FJZ65542 FTS65542:FTV65542 GDO65542:GDR65542 GNK65542:GNN65542 GXG65542:GXJ65542 HHC65542:HHF65542 HQY65542:HRB65542 IAU65542:IAX65542 IKQ65542:IKT65542 IUM65542:IUP65542 JEI65542:JEL65542 JOE65542:JOH65542 JYA65542:JYD65542 KHW65542:KHZ65542 KRS65542:KRV65542 LBO65542:LBR65542 LLK65542:LLN65542 LVG65542:LVJ65542 MFC65542:MFF65542 MOY65542:MPB65542 MYU65542:MYX65542 NIQ65542:NIT65542 NSM65542:NSP65542 OCI65542:OCL65542 OME65542:OMH65542 OWA65542:OWD65542 PFW65542:PFZ65542 PPS65542:PPV65542 PZO65542:PZR65542 QJK65542:QJN65542 QTG65542:QTJ65542 RDC65542:RDF65542 RMY65542:RNB65542 RWU65542:RWX65542 SGQ65542:SGT65542 SQM65542:SQP65542 TAI65542:TAL65542 TKE65542:TKH65542 TUA65542:TUD65542 UDW65542:UDZ65542 UNS65542:UNV65542 UXO65542:UXR65542 VHK65542:VHN65542 VRG65542:VRJ65542 WBC65542:WBF65542 WKY65542:WLB65542 WUU65542:WUX65542 Q131078:T131078 II131078:IL131078 SE131078:SH131078 ACA131078:ACD131078 ALW131078:ALZ131078 AVS131078:AVV131078 BFO131078:BFR131078 BPK131078:BPN131078 BZG131078:BZJ131078 CJC131078:CJF131078 CSY131078:CTB131078 DCU131078:DCX131078 DMQ131078:DMT131078 DWM131078:DWP131078 EGI131078:EGL131078 EQE131078:EQH131078 FAA131078:FAD131078 FJW131078:FJZ131078 FTS131078:FTV131078 GDO131078:GDR131078 GNK131078:GNN131078 GXG131078:GXJ131078 HHC131078:HHF131078 HQY131078:HRB131078 IAU131078:IAX131078 IKQ131078:IKT131078 IUM131078:IUP131078 JEI131078:JEL131078 JOE131078:JOH131078 JYA131078:JYD131078 KHW131078:KHZ131078 KRS131078:KRV131078 LBO131078:LBR131078 LLK131078:LLN131078 LVG131078:LVJ131078 MFC131078:MFF131078 MOY131078:MPB131078 MYU131078:MYX131078 NIQ131078:NIT131078 NSM131078:NSP131078 OCI131078:OCL131078 OME131078:OMH131078 OWA131078:OWD131078 PFW131078:PFZ131078 PPS131078:PPV131078 PZO131078:PZR131078 QJK131078:QJN131078 QTG131078:QTJ131078 RDC131078:RDF131078 RMY131078:RNB131078 RWU131078:RWX131078 SGQ131078:SGT131078 SQM131078:SQP131078 TAI131078:TAL131078 TKE131078:TKH131078 TUA131078:TUD131078 UDW131078:UDZ131078 UNS131078:UNV131078 UXO131078:UXR131078 VHK131078:VHN131078 VRG131078:VRJ131078 WBC131078:WBF131078 WKY131078:WLB131078 WUU131078:WUX131078 Q196614:T196614 II196614:IL196614 SE196614:SH196614 ACA196614:ACD196614 ALW196614:ALZ196614 AVS196614:AVV196614 BFO196614:BFR196614 BPK196614:BPN196614 BZG196614:BZJ196614 CJC196614:CJF196614 CSY196614:CTB196614 DCU196614:DCX196614 DMQ196614:DMT196614 DWM196614:DWP196614 EGI196614:EGL196614 EQE196614:EQH196614 FAA196614:FAD196614 FJW196614:FJZ196614 FTS196614:FTV196614 GDO196614:GDR196614 GNK196614:GNN196614 GXG196614:GXJ196614 HHC196614:HHF196614 HQY196614:HRB196614 IAU196614:IAX196614 IKQ196614:IKT196614 IUM196614:IUP196614 JEI196614:JEL196614 JOE196614:JOH196614 JYA196614:JYD196614 KHW196614:KHZ196614 KRS196614:KRV196614 LBO196614:LBR196614 LLK196614:LLN196614 LVG196614:LVJ196614 MFC196614:MFF196614 MOY196614:MPB196614 MYU196614:MYX196614 NIQ196614:NIT196614 NSM196614:NSP196614 OCI196614:OCL196614 OME196614:OMH196614 OWA196614:OWD196614 PFW196614:PFZ196614 PPS196614:PPV196614 PZO196614:PZR196614 QJK196614:QJN196614 QTG196614:QTJ196614 RDC196614:RDF196614 RMY196614:RNB196614 RWU196614:RWX196614 SGQ196614:SGT196614 SQM196614:SQP196614 TAI196614:TAL196614 TKE196614:TKH196614 TUA196614:TUD196614 UDW196614:UDZ196614 UNS196614:UNV196614 UXO196614:UXR196614 VHK196614:VHN196614 VRG196614:VRJ196614 WBC196614:WBF196614 WKY196614:WLB196614 WUU196614:WUX196614 Q262150:T262150 II262150:IL262150 SE262150:SH262150 ACA262150:ACD262150 ALW262150:ALZ262150 AVS262150:AVV262150 BFO262150:BFR262150 BPK262150:BPN262150 BZG262150:BZJ262150 CJC262150:CJF262150 CSY262150:CTB262150 DCU262150:DCX262150 DMQ262150:DMT262150 DWM262150:DWP262150 EGI262150:EGL262150 EQE262150:EQH262150 FAA262150:FAD262150 FJW262150:FJZ262150 FTS262150:FTV262150 GDO262150:GDR262150 GNK262150:GNN262150 GXG262150:GXJ262150 HHC262150:HHF262150 HQY262150:HRB262150 IAU262150:IAX262150 IKQ262150:IKT262150 IUM262150:IUP262150 JEI262150:JEL262150 JOE262150:JOH262150 JYA262150:JYD262150 KHW262150:KHZ262150 KRS262150:KRV262150 LBO262150:LBR262150 LLK262150:LLN262150 LVG262150:LVJ262150 MFC262150:MFF262150 MOY262150:MPB262150 MYU262150:MYX262150 NIQ262150:NIT262150 NSM262150:NSP262150 OCI262150:OCL262150 OME262150:OMH262150 OWA262150:OWD262150 PFW262150:PFZ262150 PPS262150:PPV262150 PZO262150:PZR262150 QJK262150:QJN262150 QTG262150:QTJ262150 RDC262150:RDF262150 RMY262150:RNB262150 RWU262150:RWX262150 SGQ262150:SGT262150 SQM262150:SQP262150 TAI262150:TAL262150 TKE262150:TKH262150 TUA262150:TUD262150 UDW262150:UDZ262150 UNS262150:UNV262150 UXO262150:UXR262150 VHK262150:VHN262150 VRG262150:VRJ262150 WBC262150:WBF262150 WKY262150:WLB262150 WUU262150:WUX262150 Q327686:T327686 II327686:IL327686 SE327686:SH327686 ACA327686:ACD327686 ALW327686:ALZ327686 AVS327686:AVV327686 BFO327686:BFR327686 BPK327686:BPN327686 BZG327686:BZJ327686 CJC327686:CJF327686 CSY327686:CTB327686 DCU327686:DCX327686 DMQ327686:DMT327686 DWM327686:DWP327686 EGI327686:EGL327686 EQE327686:EQH327686 FAA327686:FAD327686 FJW327686:FJZ327686 FTS327686:FTV327686 GDO327686:GDR327686 GNK327686:GNN327686 GXG327686:GXJ327686 HHC327686:HHF327686 HQY327686:HRB327686 IAU327686:IAX327686 IKQ327686:IKT327686 IUM327686:IUP327686 JEI327686:JEL327686 JOE327686:JOH327686 JYA327686:JYD327686 KHW327686:KHZ327686 KRS327686:KRV327686 LBO327686:LBR327686 LLK327686:LLN327686 LVG327686:LVJ327686 MFC327686:MFF327686 MOY327686:MPB327686 MYU327686:MYX327686 NIQ327686:NIT327686 NSM327686:NSP327686 OCI327686:OCL327686 OME327686:OMH327686 OWA327686:OWD327686 PFW327686:PFZ327686 PPS327686:PPV327686 PZO327686:PZR327686 QJK327686:QJN327686 QTG327686:QTJ327686 RDC327686:RDF327686 RMY327686:RNB327686 RWU327686:RWX327686 SGQ327686:SGT327686 SQM327686:SQP327686 TAI327686:TAL327686 TKE327686:TKH327686 TUA327686:TUD327686 UDW327686:UDZ327686 UNS327686:UNV327686 UXO327686:UXR327686 VHK327686:VHN327686 VRG327686:VRJ327686 WBC327686:WBF327686 WKY327686:WLB327686 WUU327686:WUX327686 Q393222:T393222 II393222:IL393222 SE393222:SH393222 ACA393222:ACD393222 ALW393222:ALZ393222 AVS393222:AVV393222 BFO393222:BFR393222 BPK393222:BPN393222 BZG393222:BZJ393222 CJC393222:CJF393222 CSY393222:CTB393222 DCU393222:DCX393222 DMQ393222:DMT393222 DWM393222:DWP393222 EGI393222:EGL393222 EQE393222:EQH393222 FAA393222:FAD393222 FJW393222:FJZ393222 FTS393222:FTV393222 GDO393222:GDR393222 GNK393222:GNN393222 GXG393222:GXJ393222 HHC393222:HHF393222 HQY393222:HRB393222 IAU393222:IAX393222 IKQ393222:IKT393222 IUM393222:IUP393222 JEI393222:JEL393222 JOE393222:JOH393222 JYA393222:JYD393222 KHW393222:KHZ393222 KRS393222:KRV393222 LBO393222:LBR393222 LLK393222:LLN393222 LVG393222:LVJ393222 MFC393222:MFF393222 MOY393222:MPB393222 MYU393222:MYX393222 NIQ393222:NIT393222 NSM393222:NSP393222 OCI393222:OCL393222 OME393222:OMH393222 OWA393222:OWD393222 PFW393222:PFZ393222 PPS393222:PPV393222 PZO393222:PZR393222 QJK393222:QJN393222 QTG393222:QTJ393222 RDC393222:RDF393222 RMY393222:RNB393222 RWU393222:RWX393222 SGQ393222:SGT393222 SQM393222:SQP393222 TAI393222:TAL393222 TKE393222:TKH393222 TUA393222:TUD393222 UDW393222:UDZ393222 UNS393222:UNV393222 UXO393222:UXR393222 VHK393222:VHN393222 VRG393222:VRJ393222 WBC393222:WBF393222 WKY393222:WLB393222 WUU393222:WUX393222 Q458758:T458758 II458758:IL458758 SE458758:SH458758 ACA458758:ACD458758 ALW458758:ALZ458758 AVS458758:AVV458758 BFO458758:BFR458758 BPK458758:BPN458758 BZG458758:BZJ458758 CJC458758:CJF458758 CSY458758:CTB458758 DCU458758:DCX458758 DMQ458758:DMT458758 DWM458758:DWP458758 EGI458758:EGL458758 EQE458758:EQH458758 FAA458758:FAD458758 FJW458758:FJZ458758 FTS458758:FTV458758 GDO458758:GDR458758 GNK458758:GNN458758 GXG458758:GXJ458758 HHC458758:HHF458758 HQY458758:HRB458758 IAU458758:IAX458758 IKQ458758:IKT458758 IUM458758:IUP458758 JEI458758:JEL458758 JOE458758:JOH458758 JYA458758:JYD458758 KHW458758:KHZ458758 KRS458758:KRV458758 LBO458758:LBR458758 LLK458758:LLN458758 LVG458758:LVJ458758 MFC458758:MFF458758 MOY458758:MPB458758 MYU458758:MYX458758 NIQ458758:NIT458758 NSM458758:NSP458758 OCI458758:OCL458758 OME458758:OMH458758 OWA458758:OWD458758 PFW458758:PFZ458758 PPS458758:PPV458758 PZO458758:PZR458758 QJK458758:QJN458758 QTG458758:QTJ458758 RDC458758:RDF458758 RMY458758:RNB458758 RWU458758:RWX458758 SGQ458758:SGT458758 SQM458758:SQP458758 TAI458758:TAL458758 TKE458758:TKH458758 TUA458758:TUD458758 UDW458758:UDZ458758 UNS458758:UNV458758 UXO458758:UXR458758 VHK458758:VHN458758 VRG458758:VRJ458758 WBC458758:WBF458758 WKY458758:WLB458758 WUU458758:WUX458758 Q524294:T524294 II524294:IL524294 SE524294:SH524294 ACA524294:ACD524294 ALW524294:ALZ524294 AVS524294:AVV524294 BFO524294:BFR524294 BPK524294:BPN524294 BZG524294:BZJ524294 CJC524294:CJF524294 CSY524294:CTB524294 DCU524294:DCX524294 DMQ524294:DMT524294 DWM524294:DWP524294 EGI524294:EGL524294 EQE524294:EQH524294 FAA524294:FAD524294 FJW524294:FJZ524294 FTS524294:FTV524294 GDO524294:GDR524294 GNK524294:GNN524294 GXG524294:GXJ524294 HHC524294:HHF524294 HQY524294:HRB524294 IAU524294:IAX524294 IKQ524294:IKT524294 IUM524294:IUP524294 JEI524294:JEL524294 JOE524294:JOH524294 JYA524294:JYD524294 KHW524294:KHZ524294 KRS524294:KRV524294 LBO524294:LBR524294 LLK524294:LLN524294 LVG524294:LVJ524294 MFC524294:MFF524294 MOY524294:MPB524294 MYU524294:MYX524294 NIQ524294:NIT524294 NSM524294:NSP524294 OCI524294:OCL524294 OME524294:OMH524294 OWA524294:OWD524294 PFW524294:PFZ524294 PPS524294:PPV524294 PZO524294:PZR524294 QJK524294:QJN524294 QTG524294:QTJ524294 RDC524294:RDF524294 RMY524294:RNB524294 RWU524294:RWX524294 SGQ524294:SGT524294 SQM524294:SQP524294 TAI524294:TAL524294 TKE524294:TKH524294 TUA524294:TUD524294 UDW524294:UDZ524294 UNS524294:UNV524294 UXO524294:UXR524294 VHK524294:VHN524294 VRG524294:VRJ524294 WBC524294:WBF524294 WKY524294:WLB524294 WUU524294:WUX524294 Q589830:T589830 II589830:IL589830 SE589830:SH589830 ACA589830:ACD589830 ALW589830:ALZ589830 AVS589830:AVV589830 BFO589830:BFR589830 BPK589830:BPN589830 BZG589830:BZJ589830 CJC589830:CJF589830 CSY589830:CTB589830 DCU589830:DCX589830 DMQ589830:DMT589830 DWM589830:DWP589830 EGI589830:EGL589830 EQE589830:EQH589830 FAA589830:FAD589830 FJW589830:FJZ589830 FTS589830:FTV589830 GDO589830:GDR589830 GNK589830:GNN589830 GXG589830:GXJ589830 HHC589830:HHF589830 HQY589830:HRB589830 IAU589830:IAX589830 IKQ589830:IKT589830 IUM589830:IUP589830 JEI589830:JEL589830 JOE589830:JOH589830 JYA589830:JYD589830 KHW589830:KHZ589830 KRS589830:KRV589830 LBO589830:LBR589830 LLK589830:LLN589830 LVG589830:LVJ589830 MFC589830:MFF589830 MOY589830:MPB589830 MYU589830:MYX589830 NIQ589830:NIT589830 NSM589830:NSP589830 OCI589830:OCL589830 OME589830:OMH589830 OWA589830:OWD589830 PFW589830:PFZ589830 PPS589830:PPV589830 PZO589830:PZR589830 QJK589830:QJN589830 QTG589830:QTJ589830 RDC589830:RDF589830 RMY589830:RNB589830 RWU589830:RWX589830 SGQ589830:SGT589830 SQM589830:SQP589830 TAI589830:TAL589830 TKE589830:TKH589830 TUA589830:TUD589830 UDW589830:UDZ589830 UNS589830:UNV589830 UXO589830:UXR589830 VHK589830:VHN589830 VRG589830:VRJ589830 WBC589830:WBF589830 WKY589830:WLB589830 WUU589830:WUX589830 Q655366:T655366 II655366:IL655366 SE655366:SH655366 ACA655366:ACD655366 ALW655366:ALZ655366 AVS655366:AVV655366 BFO655366:BFR655366 BPK655366:BPN655366 BZG655366:BZJ655366 CJC655366:CJF655366 CSY655366:CTB655366 DCU655366:DCX655366 DMQ655366:DMT655366 DWM655366:DWP655366 EGI655366:EGL655366 EQE655366:EQH655366 FAA655366:FAD655366 FJW655366:FJZ655366 FTS655366:FTV655366 GDO655366:GDR655366 GNK655366:GNN655366 GXG655366:GXJ655366 HHC655366:HHF655366 HQY655366:HRB655366 IAU655366:IAX655366 IKQ655366:IKT655366 IUM655366:IUP655366 JEI655366:JEL655366 JOE655366:JOH655366 JYA655366:JYD655366 KHW655366:KHZ655366 KRS655366:KRV655366 LBO655366:LBR655366 LLK655366:LLN655366 LVG655366:LVJ655366 MFC655366:MFF655366 MOY655366:MPB655366 MYU655366:MYX655366 NIQ655366:NIT655366 NSM655366:NSP655366 OCI655366:OCL655366 OME655366:OMH655366 OWA655366:OWD655366 PFW655366:PFZ655366 PPS655366:PPV655366 PZO655366:PZR655366 QJK655366:QJN655366 QTG655366:QTJ655366 RDC655366:RDF655366 RMY655366:RNB655366 RWU655366:RWX655366 SGQ655366:SGT655366 SQM655366:SQP655366 TAI655366:TAL655366 TKE655366:TKH655366 TUA655366:TUD655366 UDW655366:UDZ655366 UNS655366:UNV655366 UXO655366:UXR655366 VHK655366:VHN655366 VRG655366:VRJ655366 WBC655366:WBF655366 WKY655366:WLB655366 WUU655366:WUX655366 Q720902:T720902 II720902:IL720902 SE720902:SH720902 ACA720902:ACD720902 ALW720902:ALZ720902 AVS720902:AVV720902 BFO720902:BFR720902 BPK720902:BPN720902 BZG720902:BZJ720902 CJC720902:CJF720902 CSY720902:CTB720902 DCU720902:DCX720902 DMQ720902:DMT720902 DWM720902:DWP720902 EGI720902:EGL720902 EQE720902:EQH720902 FAA720902:FAD720902 FJW720902:FJZ720902 FTS720902:FTV720902 GDO720902:GDR720902 GNK720902:GNN720902 GXG720902:GXJ720902 HHC720902:HHF720902 HQY720902:HRB720902 IAU720902:IAX720902 IKQ720902:IKT720902 IUM720902:IUP720902 JEI720902:JEL720902 JOE720902:JOH720902 JYA720902:JYD720902 KHW720902:KHZ720902 KRS720902:KRV720902 LBO720902:LBR720902 LLK720902:LLN720902 LVG720902:LVJ720902 MFC720902:MFF720902 MOY720902:MPB720902 MYU720902:MYX720902 NIQ720902:NIT720902 NSM720902:NSP720902 OCI720902:OCL720902 OME720902:OMH720902 OWA720902:OWD720902 PFW720902:PFZ720902 PPS720902:PPV720902 PZO720902:PZR720902 QJK720902:QJN720902 QTG720902:QTJ720902 RDC720902:RDF720902 RMY720902:RNB720902 RWU720902:RWX720902 SGQ720902:SGT720902 SQM720902:SQP720902 TAI720902:TAL720902 TKE720902:TKH720902 TUA720902:TUD720902 UDW720902:UDZ720902 UNS720902:UNV720902 UXO720902:UXR720902 VHK720902:VHN720902 VRG720902:VRJ720902 WBC720902:WBF720902 WKY720902:WLB720902 WUU720902:WUX720902 Q786438:T786438 II786438:IL786438 SE786438:SH786438 ACA786438:ACD786438 ALW786438:ALZ786438 AVS786438:AVV786438 BFO786438:BFR786438 BPK786438:BPN786438 BZG786438:BZJ786438 CJC786438:CJF786438 CSY786438:CTB786438 DCU786438:DCX786438 DMQ786438:DMT786438 DWM786438:DWP786438 EGI786438:EGL786438 EQE786438:EQH786438 FAA786438:FAD786438 FJW786438:FJZ786438 FTS786438:FTV786438 GDO786438:GDR786438 GNK786438:GNN786438 GXG786438:GXJ786438 HHC786438:HHF786438 HQY786438:HRB786438 IAU786438:IAX786438 IKQ786438:IKT786438 IUM786438:IUP786438 JEI786438:JEL786438 JOE786438:JOH786438 JYA786438:JYD786438 KHW786438:KHZ786438 KRS786438:KRV786438 LBO786438:LBR786438 LLK786438:LLN786438 LVG786438:LVJ786438 MFC786438:MFF786438 MOY786438:MPB786438 MYU786438:MYX786438 NIQ786438:NIT786438 NSM786438:NSP786438 OCI786438:OCL786438 OME786438:OMH786438 OWA786438:OWD786438 PFW786438:PFZ786438 PPS786438:PPV786438 PZO786438:PZR786438 QJK786438:QJN786438 QTG786438:QTJ786438 RDC786438:RDF786438 RMY786438:RNB786438 RWU786438:RWX786438 SGQ786438:SGT786438 SQM786438:SQP786438 TAI786438:TAL786438 TKE786438:TKH786438 TUA786438:TUD786438 UDW786438:UDZ786438 UNS786438:UNV786438 UXO786438:UXR786438 VHK786438:VHN786438 VRG786438:VRJ786438 WBC786438:WBF786438 WKY786438:WLB786438 WUU786438:WUX786438 Q851974:T851974 II851974:IL851974 SE851974:SH851974 ACA851974:ACD851974 ALW851974:ALZ851974 AVS851974:AVV851974 BFO851974:BFR851974 BPK851974:BPN851974 BZG851974:BZJ851974 CJC851974:CJF851974 CSY851974:CTB851974 DCU851974:DCX851974 DMQ851974:DMT851974 DWM851974:DWP851974 EGI851974:EGL851974 EQE851974:EQH851974 FAA851974:FAD851974 FJW851974:FJZ851974 FTS851974:FTV851974 GDO851974:GDR851974 GNK851974:GNN851974 GXG851974:GXJ851974 HHC851974:HHF851974 HQY851974:HRB851974 IAU851974:IAX851974 IKQ851974:IKT851974 IUM851974:IUP851974 JEI851974:JEL851974 JOE851974:JOH851974 JYA851974:JYD851974 KHW851974:KHZ851974 KRS851974:KRV851974 LBO851974:LBR851974 LLK851974:LLN851974 LVG851974:LVJ851974 MFC851974:MFF851974 MOY851974:MPB851974 MYU851974:MYX851974 NIQ851974:NIT851974 NSM851974:NSP851974 OCI851974:OCL851974 OME851974:OMH851974 OWA851974:OWD851974 PFW851974:PFZ851974 PPS851974:PPV851974 PZO851974:PZR851974 QJK851974:QJN851974 QTG851974:QTJ851974 RDC851974:RDF851974 RMY851974:RNB851974 RWU851974:RWX851974 SGQ851974:SGT851974 SQM851974:SQP851974 TAI851974:TAL851974 TKE851974:TKH851974 TUA851974:TUD851974 UDW851974:UDZ851974 UNS851974:UNV851974 UXO851974:UXR851974 VHK851974:VHN851974 VRG851974:VRJ851974 WBC851974:WBF851974 WKY851974:WLB851974 WUU851974:WUX851974 Q917510:T917510 II917510:IL917510 SE917510:SH917510 ACA917510:ACD917510 ALW917510:ALZ917510 AVS917510:AVV917510 BFO917510:BFR917510 BPK917510:BPN917510 BZG917510:BZJ917510 CJC917510:CJF917510 CSY917510:CTB917510 DCU917510:DCX917510 DMQ917510:DMT917510 DWM917510:DWP917510 EGI917510:EGL917510 EQE917510:EQH917510 FAA917510:FAD917510 FJW917510:FJZ917510 FTS917510:FTV917510 GDO917510:GDR917510 GNK917510:GNN917510 GXG917510:GXJ917510 HHC917510:HHF917510 HQY917510:HRB917510 IAU917510:IAX917510 IKQ917510:IKT917510 IUM917510:IUP917510 JEI917510:JEL917510 JOE917510:JOH917510 JYA917510:JYD917510 KHW917510:KHZ917510 KRS917510:KRV917510 LBO917510:LBR917510 LLK917510:LLN917510 LVG917510:LVJ917510 MFC917510:MFF917510 MOY917510:MPB917510 MYU917510:MYX917510 NIQ917510:NIT917510 NSM917510:NSP917510 OCI917510:OCL917510 OME917510:OMH917510 OWA917510:OWD917510 PFW917510:PFZ917510 PPS917510:PPV917510 PZO917510:PZR917510 QJK917510:QJN917510 QTG917510:QTJ917510 RDC917510:RDF917510 RMY917510:RNB917510 RWU917510:RWX917510 SGQ917510:SGT917510 SQM917510:SQP917510 TAI917510:TAL917510 TKE917510:TKH917510 TUA917510:TUD917510 UDW917510:UDZ917510 UNS917510:UNV917510 UXO917510:UXR917510 VHK917510:VHN917510 VRG917510:VRJ917510 WBC917510:WBF917510 WKY917510:WLB917510 WUU917510:WUX917510 Q983046:T983046 II983046:IL983046 SE983046:SH983046 ACA983046:ACD983046 ALW983046:ALZ983046 AVS983046:AVV983046 BFO983046:BFR983046 BPK983046:BPN983046 BZG983046:BZJ983046 CJC983046:CJF983046 CSY983046:CTB983046 DCU983046:DCX983046 DMQ983046:DMT983046 DWM983046:DWP983046 EGI983046:EGL983046 EQE983046:EQH983046 FAA983046:FAD983046 FJW983046:FJZ983046 FTS983046:FTV983046 GDO983046:GDR983046 GNK983046:GNN983046 GXG983046:GXJ983046 HHC983046:HHF983046 HQY983046:HRB983046 IAU983046:IAX983046 IKQ983046:IKT983046 IUM983046:IUP983046 JEI983046:JEL983046 JOE983046:JOH983046 JYA983046:JYD983046 KHW983046:KHZ983046 KRS983046:KRV983046 LBO983046:LBR983046 LLK983046:LLN983046 LVG983046:LVJ983046 MFC983046:MFF983046 MOY983046:MPB983046 MYU983046:MYX983046 NIQ983046:NIT983046 NSM983046:NSP983046 OCI983046:OCL983046 OME983046:OMH983046 OWA983046:OWD983046 PFW983046:PFZ983046 PPS983046:PPV983046 PZO983046:PZR983046 QJK983046:QJN983046 QTG983046:QTJ983046 RDC983046:RDF983046 RMY983046:RNB983046 RWU983046:RWX983046 SGQ983046:SGT983046 SQM983046:SQP983046 TAI983046:TAL983046 TKE983046:TKH983046 TUA983046:TUD983046 UDW983046:UDZ983046 UNS983046:UNV983046 UXO983046:UXR983046 VHK983046:VHN983046 VRG983046:VRJ983046 WBC983046:WBF983046 WKY983046:WLB983046 WUU983046:WUX983046 ID983045:IG983045 RZ983045:SC983045 ABV983045:ABY983045 ALR983045:ALU983045 AVN983045:AVQ983045 BFJ983045:BFM983045 BPF983045:BPI983045 BZB983045:BZE983045 CIX983045:CJA983045 CST983045:CSW983045 DCP983045:DCS983045 DML983045:DMO983045 DWH983045:DWK983045 EGD983045:EGG983045 EPZ983045:EQC983045 EZV983045:EZY983045 FJR983045:FJU983045 FTN983045:FTQ983045 GDJ983045:GDM983045 GNF983045:GNI983045 GXB983045:GXE983045 HGX983045:HHA983045 HQT983045:HQW983045 IAP983045:IAS983045 IKL983045:IKO983045 IUH983045:IUK983045 JED983045:JEG983045 JNZ983045:JOC983045 JXV983045:JXY983045 KHR983045:KHU983045 KRN983045:KRQ983045 LBJ983045:LBM983045 LLF983045:LLI983045 LVB983045:LVE983045 MEX983045:MFA983045 MOT983045:MOW983045 MYP983045:MYS983045 NIL983045:NIO983045 NSH983045:NSK983045 OCD983045:OCG983045 OLZ983045:OMC983045 OVV983045:OVY983045 PFR983045:PFU983045 PPN983045:PPQ983045 PZJ983045:PZM983045 QJF983045:QJI983045 QTB983045:QTE983045 RCX983045:RDA983045 RMT983045:RMW983045 RWP983045:RWS983045 SGL983045:SGO983045 SQH983045:SQK983045 TAD983045:TAG983045 TJZ983045:TKC983045 TTV983045:TTY983045 UDR983045:UDU983045 UNN983045:UNQ983045 UXJ983045:UXM983045 VHF983045:VHI983045 VRB983045:VRE983045 WAX983045:WBA983045 WKT983045:WKW983045 WUP983045:WUS983045 ID65541:IG65541 RZ65541:SC65541 ABV65541:ABY65541 ALR65541:ALU65541 AVN65541:AVQ65541 BFJ65541:BFM65541 BPF65541:BPI65541 BZB65541:BZE65541 CIX65541:CJA65541 CST65541:CSW65541 DCP65541:DCS65541 DML65541:DMO65541 DWH65541:DWK65541 EGD65541:EGG65541 EPZ65541:EQC65541 EZV65541:EZY65541 FJR65541:FJU65541 FTN65541:FTQ65541 GDJ65541:GDM65541 GNF65541:GNI65541 GXB65541:GXE65541 HGX65541:HHA65541 HQT65541:HQW65541 IAP65541:IAS65541 IKL65541:IKO65541 IUH65541:IUK65541 JED65541:JEG65541 JNZ65541:JOC65541 JXV65541:JXY65541 KHR65541:KHU65541 KRN65541:KRQ65541 LBJ65541:LBM65541 LLF65541:LLI65541 LVB65541:LVE65541 MEX65541:MFA65541 MOT65541:MOW65541 MYP65541:MYS65541 NIL65541:NIO65541 NSH65541:NSK65541 OCD65541:OCG65541 OLZ65541:OMC65541 OVV65541:OVY65541 PFR65541:PFU65541 PPN65541:PPQ65541 PZJ65541:PZM65541 QJF65541:QJI65541 QTB65541:QTE65541 RCX65541:RDA65541 RMT65541:RMW65541 RWP65541:RWS65541 SGL65541:SGO65541 SQH65541:SQK65541 TAD65541:TAG65541 TJZ65541:TKC65541 TTV65541:TTY65541 UDR65541:UDU65541 UNN65541:UNQ65541 UXJ65541:UXM65541 VHF65541:VHI65541 VRB65541:VRE65541 WAX65541:WBA65541 WKT65541:WKW65541 WUP65541:WUS65541 ID131077:IG131077 RZ131077:SC131077 ABV131077:ABY131077 ALR131077:ALU131077 AVN131077:AVQ131077 BFJ131077:BFM131077 BPF131077:BPI131077 BZB131077:BZE131077 CIX131077:CJA131077 CST131077:CSW131077 DCP131077:DCS131077 DML131077:DMO131077 DWH131077:DWK131077 EGD131077:EGG131077 EPZ131077:EQC131077 EZV131077:EZY131077 FJR131077:FJU131077 FTN131077:FTQ131077 GDJ131077:GDM131077 GNF131077:GNI131077 GXB131077:GXE131077 HGX131077:HHA131077 HQT131077:HQW131077 IAP131077:IAS131077 IKL131077:IKO131077 IUH131077:IUK131077 JED131077:JEG131077 JNZ131077:JOC131077 JXV131077:JXY131077 KHR131077:KHU131077 KRN131077:KRQ131077 LBJ131077:LBM131077 LLF131077:LLI131077 LVB131077:LVE131077 MEX131077:MFA131077 MOT131077:MOW131077 MYP131077:MYS131077 NIL131077:NIO131077 NSH131077:NSK131077 OCD131077:OCG131077 OLZ131077:OMC131077 OVV131077:OVY131077 PFR131077:PFU131077 PPN131077:PPQ131077 PZJ131077:PZM131077 QJF131077:QJI131077 QTB131077:QTE131077 RCX131077:RDA131077 RMT131077:RMW131077 RWP131077:RWS131077 SGL131077:SGO131077 SQH131077:SQK131077 TAD131077:TAG131077 TJZ131077:TKC131077 TTV131077:TTY131077 UDR131077:UDU131077 UNN131077:UNQ131077 UXJ131077:UXM131077 VHF131077:VHI131077 VRB131077:VRE131077 WAX131077:WBA131077 WKT131077:WKW131077 WUP131077:WUS131077 ID196613:IG196613 RZ196613:SC196613 ABV196613:ABY196613 ALR196613:ALU196613 AVN196613:AVQ196613 BFJ196613:BFM196613 BPF196613:BPI196613 BZB196613:BZE196613 CIX196613:CJA196613 CST196613:CSW196613 DCP196613:DCS196613 DML196613:DMO196613 DWH196613:DWK196613 EGD196613:EGG196613 EPZ196613:EQC196613 EZV196613:EZY196613 FJR196613:FJU196613 FTN196613:FTQ196613 GDJ196613:GDM196613 GNF196613:GNI196613 GXB196613:GXE196613 HGX196613:HHA196613 HQT196613:HQW196613 IAP196613:IAS196613 IKL196613:IKO196613 IUH196613:IUK196613 JED196613:JEG196613 JNZ196613:JOC196613 JXV196613:JXY196613 KHR196613:KHU196613 KRN196613:KRQ196613 LBJ196613:LBM196613 LLF196613:LLI196613 LVB196613:LVE196613 MEX196613:MFA196613 MOT196613:MOW196613 MYP196613:MYS196613 NIL196613:NIO196613 NSH196613:NSK196613 OCD196613:OCG196613 OLZ196613:OMC196613 OVV196613:OVY196613 PFR196613:PFU196613 PPN196613:PPQ196613 PZJ196613:PZM196613 QJF196613:QJI196613 QTB196613:QTE196613 RCX196613:RDA196613 RMT196613:RMW196613 RWP196613:RWS196613 SGL196613:SGO196613 SQH196613:SQK196613 TAD196613:TAG196613 TJZ196613:TKC196613 TTV196613:TTY196613 UDR196613:UDU196613 UNN196613:UNQ196613 UXJ196613:UXM196613 VHF196613:VHI196613 VRB196613:VRE196613 WAX196613:WBA196613 WKT196613:WKW196613 WUP196613:WUS196613 ID262149:IG262149 RZ262149:SC262149 ABV262149:ABY262149 ALR262149:ALU262149 AVN262149:AVQ262149 BFJ262149:BFM262149 BPF262149:BPI262149 BZB262149:BZE262149 CIX262149:CJA262149 CST262149:CSW262149 DCP262149:DCS262149 DML262149:DMO262149 DWH262149:DWK262149 EGD262149:EGG262149 EPZ262149:EQC262149 EZV262149:EZY262149 FJR262149:FJU262149 FTN262149:FTQ262149 GDJ262149:GDM262149 GNF262149:GNI262149 GXB262149:GXE262149 HGX262149:HHA262149 HQT262149:HQW262149 IAP262149:IAS262149 IKL262149:IKO262149 IUH262149:IUK262149 JED262149:JEG262149 JNZ262149:JOC262149 JXV262149:JXY262149 KHR262149:KHU262149 KRN262149:KRQ262149 LBJ262149:LBM262149 LLF262149:LLI262149 LVB262149:LVE262149 MEX262149:MFA262149 MOT262149:MOW262149 MYP262149:MYS262149 NIL262149:NIO262149 NSH262149:NSK262149 OCD262149:OCG262149 OLZ262149:OMC262149 OVV262149:OVY262149 PFR262149:PFU262149 PPN262149:PPQ262149 PZJ262149:PZM262149 QJF262149:QJI262149 QTB262149:QTE262149 RCX262149:RDA262149 RMT262149:RMW262149 RWP262149:RWS262149 SGL262149:SGO262149 SQH262149:SQK262149 TAD262149:TAG262149 TJZ262149:TKC262149 TTV262149:TTY262149 UDR262149:UDU262149 UNN262149:UNQ262149 UXJ262149:UXM262149 VHF262149:VHI262149 VRB262149:VRE262149 WAX262149:WBA262149 WKT262149:WKW262149 WUP262149:WUS262149 ID327685:IG327685 RZ327685:SC327685 ABV327685:ABY327685 ALR327685:ALU327685 AVN327685:AVQ327685 BFJ327685:BFM327685 BPF327685:BPI327685 BZB327685:BZE327685 CIX327685:CJA327685 CST327685:CSW327685 DCP327685:DCS327685 DML327685:DMO327685 DWH327685:DWK327685 EGD327685:EGG327685 EPZ327685:EQC327685 EZV327685:EZY327685 FJR327685:FJU327685 FTN327685:FTQ327685 GDJ327685:GDM327685 GNF327685:GNI327685 GXB327685:GXE327685 HGX327685:HHA327685 HQT327685:HQW327685 IAP327685:IAS327685 IKL327685:IKO327685 IUH327685:IUK327685 JED327685:JEG327685 JNZ327685:JOC327685 JXV327685:JXY327685 KHR327685:KHU327685 KRN327685:KRQ327685 LBJ327685:LBM327685 LLF327685:LLI327685 LVB327685:LVE327685 MEX327685:MFA327685 MOT327685:MOW327685 MYP327685:MYS327685 NIL327685:NIO327685 NSH327685:NSK327685 OCD327685:OCG327685 OLZ327685:OMC327685 OVV327685:OVY327685 PFR327685:PFU327685 PPN327685:PPQ327685 PZJ327685:PZM327685 QJF327685:QJI327685 QTB327685:QTE327685 RCX327685:RDA327685 RMT327685:RMW327685 RWP327685:RWS327685 SGL327685:SGO327685 SQH327685:SQK327685 TAD327685:TAG327685 TJZ327685:TKC327685 TTV327685:TTY327685 UDR327685:UDU327685 UNN327685:UNQ327685 UXJ327685:UXM327685 VHF327685:VHI327685 VRB327685:VRE327685 WAX327685:WBA327685 WKT327685:WKW327685 WUP327685:WUS327685 ID393221:IG393221 RZ393221:SC393221 ABV393221:ABY393221 ALR393221:ALU393221 AVN393221:AVQ393221 BFJ393221:BFM393221 BPF393221:BPI393221 BZB393221:BZE393221 CIX393221:CJA393221 CST393221:CSW393221 DCP393221:DCS393221 DML393221:DMO393221 DWH393221:DWK393221 EGD393221:EGG393221 EPZ393221:EQC393221 EZV393221:EZY393221 FJR393221:FJU393221 FTN393221:FTQ393221 GDJ393221:GDM393221 GNF393221:GNI393221 GXB393221:GXE393221 HGX393221:HHA393221 HQT393221:HQW393221 IAP393221:IAS393221 IKL393221:IKO393221 IUH393221:IUK393221 JED393221:JEG393221 JNZ393221:JOC393221 JXV393221:JXY393221 KHR393221:KHU393221 KRN393221:KRQ393221 LBJ393221:LBM393221 LLF393221:LLI393221 LVB393221:LVE393221 MEX393221:MFA393221 MOT393221:MOW393221 MYP393221:MYS393221 NIL393221:NIO393221 NSH393221:NSK393221 OCD393221:OCG393221 OLZ393221:OMC393221 OVV393221:OVY393221 PFR393221:PFU393221 PPN393221:PPQ393221 PZJ393221:PZM393221 QJF393221:QJI393221 QTB393221:QTE393221 RCX393221:RDA393221 RMT393221:RMW393221 RWP393221:RWS393221 SGL393221:SGO393221 SQH393221:SQK393221 TAD393221:TAG393221 TJZ393221:TKC393221 TTV393221:TTY393221 UDR393221:UDU393221 UNN393221:UNQ393221 UXJ393221:UXM393221 VHF393221:VHI393221 VRB393221:VRE393221 WAX393221:WBA393221 WKT393221:WKW393221 WUP393221:WUS393221 ID458757:IG458757 RZ458757:SC458757 ABV458757:ABY458757 ALR458757:ALU458757 AVN458757:AVQ458757 BFJ458757:BFM458757 BPF458757:BPI458757 BZB458757:BZE458757 CIX458757:CJA458757 CST458757:CSW458757 DCP458757:DCS458757 DML458757:DMO458757 DWH458757:DWK458757 EGD458757:EGG458757 EPZ458757:EQC458757 EZV458757:EZY458757 FJR458757:FJU458757 FTN458757:FTQ458757 GDJ458757:GDM458757 GNF458757:GNI458757 GXB458757:GXE458757 HGX458757:HHA458757 HQT458757:HQW458757 IAP458757:IAS458757 IKL458757:IKO458757 IUH458757:IUK458757 JED458757:JEG458757 JNZ458757:JOC458757 JXV458757:JXY458757 KHR458757:KHU458757 KRN458757:KRQ458757 LBJ458757:LBM458757 LLF458757:LLI458757 LVB458757:LVE458757 MEX458757:MFA458757 MOT458757:MOW458757 MYP458757:MYS458757 NIL458757:NIO458757 NSH458757:NSK458757 OCD458757:OCG458757 OLZ458757:OMC458757 OVV458757:OVY458757 PFR458757:PFU458757 PPN458757:PPQ458757 PZJ458757:PZM458757 QJF458757:QJI458757 QTB458757:QTE458757 RCX458757:RDA458757 RMT458757:RMW458757 RWP458757:RWS458757 SGL458757:SGO458757 SQH458757:SQK458757 TAD458757:TAG458757 TJZ458757:TKC458757 TTV458757:TTY458757 UDR458757:UDU458757 UNN458757:UNQ458757 UXJ458757:UXM458757 VHF458757:VHI458757 VRB458757:VRE458757 WAX458757:WBA458757 WKT458757:WKW458757 WUP458757:WUS458757 ID524293:IG524293 RZ524293:SC524293 ABV524293:ABY524293 ALR524293:ALU524293 AVN524293:AVQ524293 BFJ524293:BFM524293 BPF524293:BPI524293 BZB524293:BZE524293 CIX524293:CJA524293 CST524293:CSW524293 DCP524293:DCS524293 DML524293:DMO524293 DWH524293:DWK524293 EGD524293:EGG524293 EPZ524293:EQC524293 EZV524293:EZY524293 FJR524293:FJU524293 FTN524293:FTQ524293 GDJ524293:GDM524293 GNF524293:GNI524293 GXB524293:GXE524293 HGX524293:HHA524293 HQT524293:HQW524293 IAP524293:IAS524293 IKL524293:IKO524293 IUH524293:IUK524293 JED524293:JEG524293 JNZ524293:JOC524293 JXV524293:JXY524293 KHR524293:KHU524293 KRN524293:KRQ524293 LBJ524293:LBM524293 LLF524293:LLI524293 LVB524293:LVE524293 MEX524293:MFA524293 MOT524293:MOW524293 MYP524293:MYS524293 NIL524293:NIO524293 NSH524293:NSK524293 OCD524293:OCG524293 OLZ524293:OMC524293 OVV524293:OVY524293 PFR524293:PFU524293 PPN524293:PPQ524293 PZJ524293:PZM524293 QJF524293:QJI524293 QTB524293:QTE524293 RCX524293:RDA524293 RMT524293:RMW524293 RWP524293:RWS524293 SGL524293:SGO524293 SQH524293:SQK524293 TAD524293:TAG524293 TJZ524293:TKC524293 TTV524293:TTY524293 UDR524293:UDU524293 UNN524293:UNQ524293 UXJ524293:UXM524293 VHF524293:VHI524293 VRB524293:VRE524293 WAX524293:WBA524293 WKT524293:WKW524293 WUP524293:WUS524293 ID589829:IG589829 RZ589829:SC589829 ABV589829:ABY589829 ALR589829:ALU589829 AVN589829:AVQ589829 BFJ589829:BFM589829 BPF589829:BPI589829 BZB589829:BZE589829 CIX589829:CJA589829 CST589829:CSW589829 DCP589829:DCS589829 DML589829:DMO589829 DWH589829:DWK589829 EGD589829:EGG589829 EPZ589829:EQC589829 EZV589829:EZY589829 FJR589829:FJU589829 FTN589829:FTQ589829 GDJ589829:GDM589829 GNF589829:GNI589829 GXB589829:GXE589829 HGX589829:HHA589829 HQT589829:HQW589829 IAP589829:IAS589829 IKL589829:IKO589829 IUH589829:IUK589829 JED589829:JEG589829 JNZ589829:JOC589829 JXV589829:JXY589829 KHR589829:KHU589829 KRN589829:KRQ589829 LBJ589829:LBM589829 LLF589829:LLI589829 LVB589829:LVE589829 MEX589829:MFA589829 MOT589829:MOW589829 MYP589829:MYS589829 NIL589829:NIO589829 NSH589829:NSK589829 OCD589829:OCG589829 OLZ589829:OMC589829 OVV589829:OVY589829 PFR589829:PFU589829 PPN589829:PPQ589829 PZJ589829:PZM589829 QJF589829:QJI589829 QTB589829:QTE589829 RCX589829:RDA589829 RMT589829:RMW589829 RWP589829:RWS589829 SGL589829:SGO589829 SQH589829:SQK589829 TAD589829:TAG589829 TJZ589829:TKC589829 TTV589829:TTY589829 UDR589829:UDU589829 UNN589829:UNQ589829 UXJ589829:UXM589829 VHF589829:VHI589829 VRB589829:VRE589829 WAX589829:WBA589829 WKT589829:WKW589829 WUP589829:WUS589829 ID655365:IG655365 RZ655365:SC655365 ABV655365:ABY655365 ALR655365:ALU655365 AVN655365:AVQ655365 BFJ655365:BFM655365 BPF655365:BPI655365 BZB655365:BZE655365 CIX655365:CJA655365 CST655365:CSW655365 DCP655365:DCS655365 DML655365:DMO655365 DWH655365:DWK655365 EGD655365:EGG655365 EPZ655365:EQC655365 EZV655365:EZY655365 FJR655365:FJU655365 FTN655365:FTQ655365 GDJ655365:GDM655365 GNF655365:GNI655365 GXB655365:GXE655365 HGX655365:HHA655365 HQT655365:HQW655365 IAP655365:IAS655365 IKL655365:IKO655365 IUH655365:IUK655365 JED655365:JEG655365 JNZ655365:JOC655365 JXV655365:JXY655365 KHR655365:KHU655365 KRN655365:KRQ655365 LBJ655365:LBM655365 LLF655365:LLI655365 LVB655365:LVE655365 MEX655365:MFA655365 MOT655365:MOW655365 MYP655365:MYS655365 NIL655365:NIO655365 NSH655365:NSK655365 OCD655365:OCG655365 OLZ655365:OMC655365 OVV655365:OVY655365 PFR655365:PFU655365 PPN655365:PPQ655365 PZJ655365:PZM655365 QJF655365:QJI655365 QTB655365:QTE655365 RCX655365:RDA655365 RMT655365:RMW655365 RWP655365:RWS655365 SGL655365:SGO655365 SQH655365:SQK655365 TAD655365:TAG655365 TJZ655365:TKC655365 TTV655365:TTY655365 UDR655365:UDU655365 UNN655365:UNQ655365 UXJ655365:UXM655365 VHF655365:VHI655365 VRB655365:VRE655365 WAX655365:WBA655365 WKT655365:WKW655365 WUP655365:WUS655365 ID720901:IG720901 RZ720901:SC720901 ABV720901:ABY720901 ALR720901:ALU720901 AVN720901:AVQ720901 BFJ720901:BFM720901 BPF720901:BPI720901 BZB720901:BZE720901 CIX720901:CJA720901 CST720901:CSW720901 DCP720901:DCS720901 DML720901:DMO720901 DWH720901:DWK720901 EGD720901:EGG720901 EPZ720901:EQC720901 EZV720901:EZY720901 FJR720901:FJU720901 FTN720901:FTQ720901 GDJ720901:GDM720901 GNF720901:GNI720901 GXB720901:GXE720901 HGX720901:HHA720901 HQT720901:HQW720901 IAP720901:IAS720901 IKL720901:IKO720901 IUH720901:IUK720901 JED720901:JEG720901 JNZ720901:JOC720901 JXV720901:JXY720901 KHR720901:KHU720901 KRN720901:KRQ720901 LBJ720901:LBM720901 LLF720901:LLI720901 LVB720901:LVE720901 MEX720901:MFA720901 MOT720901:MOW720901 MYP720901:MYS720901 NIL720901:NIO720901 NSH720901:NSK720901 OCD720901:OCG720901 OLZ720901:OMC720901 OVV720901:OVY720901 PFR720901:PFU720901 PPN720901:PPQ720901 PZJ720901:PZM720901 QJF720901:QJI720901 QTB720901:QTE720901 RCX720901:RDA720901 RMT720901:RMW720901 RWP720901:RWS720901 SGL720901:SGO720901 SQH720901:SQK720901 TAD720901:TAG720901 TJZ720901:TKC720901 TTV720901:TTY720901 UDR720901:UDU720901 UNN720901:UNQ720901 UXJ720901:UXM720901 VHF720901:VHI720901 VRB720901:VRE720901 WAX720901:WBA720901 WKT720901:WKW720901 WUP720901:WUS720901 ID786437:IG786437 RZ786437:SC786437 ABV786437:ABY786437 ALR786437:ALU786437 AVN786437:AVQ786437 BFJ786437:BFM786437 BPF786437:BPI786437 BZB786437:BZE786437 CIX786437:CJA786437 CST786437:CSW786437 DCP786437:DCS786437 DML786437:DMO786437 DWH786437:DWK786437 EGD786437:EGG786437 EPZ786437:EQC786437 EZV786437:EZY786437 FJR786437:FJU786437 FTN786437:FTQ786437 GDJ786437:GDM786437 GNF786437:GNI786437 GXB786437:GXE786437 HGX786437:HHA786437 HQT786437:HQW786437 IAP786437:IAS786437 IKL786437:IKO786437 IUH786437:IUK786437 JED786437:JEG786437 JNZ786437:JOC786437 JXV786437:JXY786437 KHR786437:KHU786437 KRN786437:KRQ786437 LBJ786437:LBM786437 LLF786437:LLI786437 LVB786437:LVE786437 MEX786437:MFA786437 MOT786437:MOW786437 MYP786437:MYS786437 NIL786437:NIO786437 NSH786437:NSK786437 OCD786437:OCG786437 OLZ786437:OMC786437 OVV786437:OVY786437 PFR786437:PFU786437 PPN786437:PPQ786437 PZJ786437:PZM786437 QJF786437:QJI786437 QTB786437:QTE786437 RCX786437:RDA786437 RMT786437:RMW786437 RWP786437:RWS786437 SGL786437:SGO786437 SQH786437:SQK786437 TAD786437:TAG786437 TJZ786437:TKC786437 TTV786437:TTY786437 UDR786437:UDU786437 UNN786437:UNQ786437 UXJ786437:UXM786437 VHF786437:VHI786437 VRB786437:VRE786437 WAX786437:WBA786437 WKT786437:WKW786437 WUP786437:WUS786437 ID851973:IG851973 RZ851973:SC851973 ABV851973:ABY851973 ALR851973:ALU851973 AVN851973:AVQ851973 BFJ851973:BFM851973 BPF851973:BPI851973 BZB851973:BZE851973 CIX851973:CJA851973 CST851973:CSW851973 DCP851973:DCS851973 DML851973:DMO851973 DWH851973:DWK851973 EGD851973:EGG851973 EPZ851973:EQC851973 EZV851973:EZY851973 FJR851973:FJU851973 FTN851973:FTQ851973 GDJ851973:GDM851973 GNF851973:GNI851973 GXB851973:GXE851973 HGX851973:HHA851973 HQT851973:HQW851973 IAP851973:IAS851973 IKL851973:IKO851973 IUH851973:IUK851973 JED851973:JEG851973 JNZ851973:JOC851973 JXV851973:JXY851973 KHR851973:KHU851973 KRN851973:KRQ851973 LBJ851973:LBM851973 LLF851973:LLI851973 LVB851973:LVE851973 MEX851973:MFA851973 MOT851973:MOW851973 MYP851973:MYS851973 NIL851973:NIO851973 NSH851973:NSK851973 OCD851973:OCG851973 OLZ851973:OMC851973 OVV851973:OVY851973 PFR851973:PFU851973 PPN851973:PPQ851973 PZJ851973:PZM851973 QJF851973:QJI851973 QTB851973:QTE851973 RCX851973:RDA851973 RMT851973:RMW851973 RWP851973:RWS851973 SGL851973:SGO851973 SQH851973:SQK851973 TAD851973:TAG851973 TJZ851973:TKC851973 TTV851973:TTY851973 UDR851973:UDU851973 UNN851973:UNQ851973 UXJ851973:UXM851973 VHF851973:VHI851973 VRB851973:VRE851973 WAX851973:WBA851973 WKT851973:WKW851973 WUP851973:WUS851973 ID917509:IG917509 RZ917509:SC917509 ABV917509:ABY917509 ALR917509:ALU917509 AVN917509:AVQ917509 BFJ917509:BFM917509 BPF917509:BPI917509 BZB917509:BZE917509 CIX917509:CJA917509 CST917509:CSW917509 DCP917509:DCS917509 DML917509:DMO917509 DWH917509:DWK917509 EGD917509:EGG917509 EPZ917509:EQC917509 EZV917509:EZY917509 FJR917509:FJU917509 FTN917509:FTQ917509 GDJ917509:GDM917509 GNF917509:GNI917509 GXB917509:GXE917509 HGX917509:HHA917509 HQT917509:HQW917509 IAP917509:IAS917509 IKL917509:IKO917509 IUH917509:IUK917509 JED917509:JEG917509 JNZ917509:JOC917509 JXV917509:JXY917509 KHR917509:KHU917509 KRN917509:KRQ917509 LBJ917509:LBM917509 LLF917509:LLI917509 LVB917509:LVE917509 MEX917509:MFA917509 MOT917509:MOW917509 MYP917509:MYS917509 NIL917509:NIO917509 NSH917509:NSK917509 OCD917509:OCG917509 OLZ917509:OMC917509 OVV917509:OVY917509 PFR917509:PFU917509 PPN917509:PPQ917509 PZJ917509:PZM917509 QJF917509:QJI917509 QTB917509:QTE917509 RCX917509:RDA917509 RMT917509:RMW917509 RWP917509:RWS917509 SGL917509:SGO917509 SQH917509:SQK917509 TAD917509:TAG917509 TJZ917509:TKC917509 TTV917509:TTY917509 UDR917509:UDU917509 UNN917509:UNQ917509 UXJ917509:UXM917509 VHF917509:VHI917509 VRB917509:VRE917509 WAX917509:WBA917509 WKT917509:WKW917509 WUP917509:WUS917509 AG65549:AH65552 AG131085:AH131088 AG196621:AH196624 AG262157:AH262160 AG327693:AH327696 AG393229:AH393232 AG458765:AH458768 AG524301:AH524304 AG589837:AH589840 AG655373:AH655376 AG720909:AH720912 AG786445:AH786448 AG851981:AH851984 AG917517:AH917520 AG983053:AH983056 AB983047:AE983047 AB65543:AE65543 AB131079:AE131079 AB196615:AE196615 AB262151:AE262151 AB327687:AE327687 AB393223:AE393223 AB458759:AE458759 AB524295:AE524295 AB589831:AE589831 AB655367:AE655367 AB720903:AE720903 AB786439:AE786439 AB851975:AE851975 AB917511:AE917511 AP65549:AQ65552 AP131085:AQ131088 AP196621:AQ196624 AP262157:AQ262160 AP327693:AQ327696 AP393229:AQ393232 AP458765:AQ458768 AP524301:AQ524304 AP589837:AQ589840 AP655373:AQ655376 AP720909:AQ720912 AP786445:AQ786448 AP851981:AQ851984 AP917517:AQ917520 AP983053:AQ983056 AN65543 AN131079 AN196615 AN262151 AN327687 AN393223 AN458759 AN524295 AN589831 AN655367 AN720903 AN786439 AN851975 AN917511 AI917511:AK917511 AI851975:AK851975 AI786439:AK786439 AI720903:AK720903 AI655367:AK655367 AI589831:AK589831 AI524295:AK524295 AI458759:AK458759 AI393223:AK393223 AI327687:AK327687 AI262151:AK262151 AI196615:AK196615 AI131079:AK131079 AI65543:AK65543 AI983047:AK983047 AN983047 AM65549:AM65552 AM131085:AM131088 AM196621:AM196624 AM262157:AM262160 AM327693:AM327696 AM393229:AM393232 AM458765:AM458768 AM524301:AM524304 AM589837:AM589840 AM655373:AM655376 AM720909:AM720912 AM786445:AM786448 AM851981:AM851984 AM917517:AM917520 AM983053:AM983056" xr:uid="{1F41FD54-6119-4DAF-A90D-E246A62C70A7}">
      <formula1>"○"</formula1>
    </dataValidation>
    <dataValidation type="list" allowBlank="1" showInputMessage="1" showErrorMessage="1" sqref="VQH982998:VQV983035 VGL982998:VGZ983035 UWP982998:UXD983035 UMT982998:UNH983035 UCX982998:UDL983035 TTB982998:TTP983035 TJF982998:TJT983035 SZJ982998:SZX983035 SPN982998:SQB983035 SFR982998:SGF983035 RVV982998:RWJ983035 RLZ982998:RMN983035 RCD982998:RCR983035 QSH982998:QSV983035 QIL982998:QIZ983035 PYP982998:PZD983035 POT982998:PPH983035 PEX982998:PFL983035 OVB982998:OVP983035 OLF982998:OLT983035 OBJ982998:OBX983035 NRN982998:NSB983035 NHR982998:NIF983035 MXV982998:MYJ983035 MNZ982998:MON983035 MED982998:MER983035 LUH982998:LUV983035 LKL982998:LKZ983035 LAP982998:LBD983035 KQT982998:KRH983035 KGX982998:KHL983035 JXB982998:JXP983035 JNF982998:JNT983035 JDJ982998:JDX983035 ITN982998:IUB983035 IJR982998:IKF983035 HZV982998:IAJ983035 HPZ982998:HQN983035 HGD982998:HGR983035 GWH982998:GWV983035 GML982998:GMZ983035 GCP982998:GDD983035 FST982998:FTH983035 FIX982998:FJL983035 EZB982998:EZP983035 EPF982998:EPT983035 EFJ982998:EFX983035 DVN982998:DWB983035 DLR982998:DMF983035 DBV982998:DCJ983035 CRZ982998:CSN983035 CID982998:CIR983035 BYH982998:BYV983035 BOL982998:BOZ983035 BEP982998:BFD983035 AUT982998:AVH983035 AKX982998:ALL983035 ABB982998:ABP983035 RF982998:RT983035 HJ982998:HX983035 WTV917462:WUJ917499 WJZ917462:WKN917499 WAD917462:WAR917499 VQH917462:VQV917499 VGL917462:VGZ917499 UWP917462:UXD917499 UMT917462:UNH917499 UCX917462:UDL917499 TTB917462:TTP917499 TJF917462:TJT917499 SZJ917462:SZX917499 SPN917462:SQB917499 SFR917462:SGF917499 RVV917462:RWJ917499 RLZ917462:RMN917499 RCD917462:RCR917499 QSH917462:QSV917499 QIL917462:QIZ917499 PYP917462:PZD917499 POT917462:PPH917499 PEX917462:PFL917499 OVB917462:OVP917499 OLF917462:OLT917499 OBJ917462:OBX917499 NRN917462:NSB917499 NHR917462:NIF917499 MXV917462:MYJ917499 MNZ917462:MON917499 MED917462:MER917499 LUH917462:LUV917499 LKL917462:LKZ917499 LAP917462:LBD917499 KQT917462:KRH917499 KGX917462:KHL917499 JXB917462:JXP917499 JNF917462:JNT917499 JDJ917462:JDX917499 ITN917462:IUB917499 IJR917462:IKF917499 HZV917462:IAJ917499 HPZ917462:HQN917499 HGD917462:HGR917499 GWH917462:GWV917499 GML917462:GMZ917499 GCP917462:GDD917499 FST917462:FTH917499 FIX917462:FJL917499 EZB917462:EZP917499 EPF917462:EPT917499 EFJ917462:EFX917499 DVN917462:DWB917499 DLR917462:DMF917499 DBV917462:DCJ917499 CRZ917462:CSN917499 CID917462:CIR917499 BYH917462:BYV917499 BOL917462:BOZ917499 BEP917462:BFD917499 AUT917462:AVH917499 AKX917462:ALL917499 ABB917462:ABP917499 RF917462:RT917499 HJ917462:HX917499 WTV851926:WUJ851963 WJZ851926:WKN851963 WAD851926:WAR851963 VQH851926:VQV851963 VGL851926:VGZ851963 UWP851926:UXD851963 UMT851926:UNH851963 UCX851926:UDL851963 TTB851926:TTP851963 TJF851926:TJT851963 SZJ851926:SZX851963 SPN851926:SQB851963 SFR851926:SGF851963 RVV851926:RWJ851963 RLZ851926:RMN851963 RCD851926:RCR851963 QSH851926:QSV851963 QIL851926:QIZ851963 PYP851926:PZD851963 POT851926:PPH851963 PEX851926:PFL851963 OVB851926:OVP851963 OLF851926:OLT851963 OBJ851926:OBX851963 NRN851926:NSB851963 NHR851926:NIF851963 MXV851926:MYJ851963 MNZ851926:MON851963 MED851926:MER851963 LUH851926:LUV851963 LKL851926:LKZ851963 LAP851926:LBD851963 KQT851926:KRH851963 KGX851926:KHL851963 JXB851926:JXP851963 JNF851926:JNT851963 JDJ851926:JDX851963 ITN851926:IUB851963 IJR851926:IKF851963 HZV851926:IAJ851963 HPZ851926:HQN851963 HGD851926:HGR851963 GWH851926:GWV851963 GML851926:GMZ851963 GCP851926:GDD851963 FST851926:FTH851963 FIX851926:FJL851963 EZB851926:EZP851963 EPF851926:EPT851963 EFJ851926:EFX851963 DVN851926:DWB851963 DLR851926:DMF851963 DBV851926:DCJ851963 CRZ851926:CSN851963 CID851926:CIR851963 BYH851926:BYV851963 BOL851926:BOZ851963 BEP851926:BFD851963 AUT851926:AVH851963 AKX851926:ALL851963 ABB851926:ABP851963 RF851926:RT851963 HJ851926:HX851963 WTV786390:WUJ786427 WJZ786390:WKN786427 WAD786390:WAR786427 VQH786390:VQV786427 VGL786390:VGZ786427 UWP786390:UXD786427 UMT786390:UNH786427 UCX786390:UDL786427 TTB786390:TTP786427 TJF786390:TJT786427 SZJ786390:SZX786427 SPN786390:SQB786427 SFR786390:SGF786427 RVV786390:RWJ786427 RLZ786390:RMN786427 RCD786390:RCR786427 QSH786390:QSV786427 QIL786390:QIZ786427 PYP786390:PZD786427 POT786390:PPH786427 PEX786390:PFL786427 OVB786390:OVP786427 OLF786390:OLT786427 OBJ786390:OBX786427 NRN786390:NSB786427 NHR786390:NIF786427 MXV786390:MYJ786427 MNZ786390:MON786427 MED786390:MER786427 LUH786390:LUV786427 LKL786390:LKZ786427 LAP786390:LBD786427 KQT786390:KRH786427 KGX786390:KHL786427 JXB786390:JXP786427 JNF786390:JNT786427 JDJ786390:JDX786427 ITN786390:IUB786427 IJR786390:IKF786427 HZV786390:IAJ786427 HPZ786390:HQN786427 HGD786390:HGR786427 GWH786390:GWV786427 GML786390:GMZ786427 GCP786390:GDD786427 FST786390:FTH786427 FIX786390:FJL786427 EZB786390:EZP786427 EPF786390:EPT786427 EFJ786390:EFX786427 DVN786390:DWB786427 DLR786390:DMF786427 DBV786390:DCJ786427 CRZ786390:CSN786427 CID786390:CIR786427 BYH786390:BYV786427 BOL786390:BOZ786427 BEP786390:BFD786427 AUT786390:AVH786427 AKX786390:ALL786427 ABB786390:ABP786427 RF786390:RT786427 HJ786390:HX786427 WTV720854:WUJ720891 WJZ720854:WKN720891 WAD720854:WAR720891 VQH720854:VQV720891 VGL720854:VGZ720891 UWP720854:UXD720891 UMT720854:UNH720891 UCX720854:UDL720891 TTB720854:TTP720891 TJF720854:TJT720891 SZJ720854:SZX720891 SPN720854:SQB720891 SFR720854:SGF720891 RVV720854:RWJ720891 RLZ720854:RMN720891 RCD720854:RCR720891 QSH720854:QSV720891 QIL720854:QIZ720891 PYP720854:PZD720891 POT720854:PPH720891 PEX720854:PFL720891 OVB720854:OVP720891 OLF720854:OLT720891 OBJ720854:OBX720891 NRN720854:NSB720891 NHR720854:NIF720891 MXV720854:MYJ720891 MNZ720854:MON720891 MED720854:MER720891 LUH720854:LUV720891 LKL720854:LKZ720891 LAP720854:LBD720891 KQT720854:KRH720891 KGX720854:KHL720891 JXB720854:JXP720891 JNF720854:JNT720891 JDJ720854:JDX720891 ITN720854:IUB720891 IJR720854:IKF720891 HZV720854:IAJ720891 HPZ720854:HQN720891 HGD720854:HGR720891 GWH720854:GWV720891 GML720854:GMZ720891 GCP720854:GDD720891 FST720854:FTH720891 FIX720854:FJL720891 EZB720854:EZP720891 EPF720854:EPT720891 EFJ720854:EFX720891 DVN720854:DWB720891 DLR720854:DMF720891 DBV720854:DCJ720891 CRZ720854:CSN720891 CID720854:CIR720891 BYH720854:BYV720891 BOL720854:BOZ720891 BEP720854:BFD720891 AUT720854:AVH720891 AKX720854:ALL720891 ABB720854:ABP720891 RF720854:RT720891 HJ720854:HX720891 WTV655318:WUJ655355 WJZ655318:WKN655355 WAD655318:WAR655355 VQH655318:VQV655355 VGL655318:VGZ655355 UWP655318:UXD655355 UMT655318:UNH655355 UCX655318:UDL655355 TTB655318:TTP655355 TJF655318:TJT655355 SZJ655318:SZX655355 SPN655318:SQB655355 SFR655318:SGF655355 RVV655318:RWJ655355 RLZ655318:RMN655355 RCD655318:RCR655355 QSH655318:QSV655355 QIL655318:QIZ655355 PYP655318:PZD655355 POT655318:PPH655355 PEX655318:PFL655355 OVB655318:OVP655355 OLF655318:OLT655355 OBJ655318:OBX655355 NRN655318:NSB655355 NHR655318:NIF655355 MXV655318:MYJ655355 MNZ655318:MON655355 MED655318:MER655355 LUH655318:LUV655355 LKL655318:LKZ655355 LAP655318:LBD655355 KQT655318:KRH655355 KGX655318:KHL655355 JXB655318:JXP655355 JNF655318:JNT655355 JDJ655318:JDX655355 ITN655318:IUB655355 IJR655318:IKF655355 HZV655318:IAJ655355 HPZ655318:HQN655355 HGD655318:HGR655355 GWH655318:GWV655355 GML655318:GMZ655355 GCP655318:GDD655355 FST655318:FTH655355 FIX655318:FJL655355 EZB655318:EZP655355 EPF655318:EPT655355 EFJ655318:EFX655355 DVN655318:DWB655355 DLR655318:DMF655355 DBV655318:DCJ655355 CRZ655318:CSN655355 CID655318:CIR655355 BYH655318:BYV655355 BOL655318:BOZ655355 BEP655318:BFD655355 AUT655318:AVH655355 AKX655318:ALL655355 ABB655318:ABP655355 RF655318:RT655355 HJ655318:HX655355 WTV589782:WUJ589819 WJZ589782:WKN589819 WAD589782:WAR589819 VQH589782:VQV589819 VGL589782:VGZ589819 UWP589782:UXD589819 UMT589782:UNH589819 UCX589782:UDL589819 TTB589782:TTP589819 TJF589782:TJT589819 SZJ589782:SZX589819 SPN589782:SQB589819 SFR589782:SGF589819 RVV589782:RWJ589819 RLZ589782:RMN589819 RCD589782:RCR589819 QSH589782:QSV589819 QIL589782:QIZ589819 PYP589782:PZD589819 POT589782:PPH589819 PEX589782:PFL589819 OVB589782:OVP589819 OLF589782:OLT589819 OBJ589782:OBX589819 NRN589782:NSB589819 NHR589782:NIF589819 MXV589782:MYJ589819 MNZ589782:MON589819 MED589782:MER589819 LUH589782:LUV589819 LKL589782:LKZ589819 LAP589782:LBD589819 KQT589782:KRH589819 KGX589782:KHL589819 JXB589782:JXP589819 JNF589782:JNT589819 JDJ589782:JDX589819 ITN589782:IUB589819 IJR589782:IKF589819 HZV589782:IAJ589819 HPZ589782:HQN589819 HGD589782:HGR589819 GWH589782:GWV589819 GML589782:GMZ589819 GCP589782:GDD589819 FST589782:FTH589819 FIX589782:FJL589819 EZB589782:EZP589819 EPF589782:EPT589819 EFJ589782:EFX589819 DVN589782:DWB589819 DLR589782:DMF589819 DBV589782:DCJ589819 CRZ589782:CSN589819 CID589782:CIR589819 BYH589782:BYV589819 BOL589782:BOZ589819 BEP589782:BFD589819 AUT589782:AVH589819 AKX589782:ALL589819 ABB589782:ABP589819 RF589782:RT589819 HJ589782:HX589819 WTV524246:WUJ524283 WJZ524246:WKN524283 WAD524246:WAR524283 VQH524246:VQV524283 VGL524246:VGZ524283 UWP524246:UXD524283 UMT524246:UNH524283 UCX524246:UDL524283 TTB524246:TTP524283 TJF524246:TJT524283 SZJ524246:SZX524283 SPN524246:SQB524283 SFR524246:SGF524283 RVV524246:RWJ524283 RLZ524246:RMN524283 RCD524246:RCR524283 QSH524246:QSV524283 QIL524246:QIZ524283 PYP524246:PZD524283 POT524246:PPH524283 PEX524246:PFL524283 OVB524246:OVP524283 OLF524246:OLT524283 OBJ524246:OBX524283 NRN524246:NSB524283 NHR524246:NIF524283 MXV524246:MYJ524283 MNZ524246:MON524283 MED524246:MER524283 LUH524246:LUV524283 LKL524246:LKZ524283 LAP524246:LBD524283 KQT524246:KRH524283 KGX524246:KHL524283 JXB524246:JXP524283 JNF524246:JNT524283 JDJ524246:JDX524283 ITN524246:IUB524283 IJR524246:IKF524283 HZV524246:IAJ524283 HPZ524246:HQN524283 HGD524246:HGR524283 GWH524246:GWV524283 GML524246:GMZ524283 GCP524246:GDD524283 FST524246:FTH524283 FIX524246:FJL524283 EZB524246:EZP524283 EPF524246:EPT524283 EFJ524246:EFX524283 DVN524246:DWB524283 DLR524246:DMF524283 DBV524246:DCJ524283 CRZ524246:CSN524283 CID524246:CIR524283 BYH524246:BYV524283 BOL524246:BOZ524283 BEP524246:BFD524283 AUT524246:AVH524283 AKX524246:ALL524283 ABB524246:ABP524283 RF524246:RT524283 HJ524246:HX524283 WTV458710:WUJ458747 WJZ458710:WKN458747 WAD458710:WAR458747 VQH458710:VQV458747 VGL458710:VGZ458747 UWP458710:UXD458747 UMT458710:UNH458747 UCX458710:UDL458747 TTB458710:TTP458747 TJF458710:TJT458747 SZJ458710:SZX458747 SPN458710:SQB458747 SFR458710:SGF458747 RVV458710:RWJ458747 RLZ458710:RMN458747 RCD458710:RCR458747 QSH458710:QSV458747 QIL458710:QIZ458747 PYP458710:PZD458747 POT458710:PPH458747 PEX458710:PFL458747 OVB458710:OVP458747 OLF458710:OLT458747 OBJ458710:OBX458747 NRN458710:NSB458747 NHR458710:NIF458747 MXV458710:MYJ458747 MNZ458710:MON458747 MED458710:MER458747 LUH458710:LUV458747 LKL458710:LKZ458747 LAP458710:LBD458747 KQT458710:KRH458747 KGX458710:KHL458747 JXB458710:JXP458747 JNF458710:JNT458747 JDJ458710:JDX458747 ITN458710:IUB458747 IJR458710:IKF458747 HZV458710:IAJ458747 HPZ458710:HQN458747 HGD458710:HGR458747 GWH458710:GWV458747 GML458710:GMZ458747 GCP458710:GDD458747 FST458710:FTH458747 FIX458710:FJL458747 EZB458710:EZP458747 EPF458710:EPT458747 EFJ458710:EFX458747 DVN458710:DWB458747 DLR458710:DMF458747 DBV458710:DCJ458747 CRZ458710:CSN458747 CID458710:CIR458747 BYH458710:BYV458747 BOL458710:BOZ458747 BEP458710:BFD458747 AUT458710:AVH458747 AKX458710:ALL458747 ABB458710:ABP458747 RF458710:RT458747 HJ458710:HX458747 WTV393174:WUJ393211 WJZ393174:WKN393211 WAD393174:WAR393211 VQH393174:VQV393211 VGL393174:VGZ393211 UWP393174:UXD393211 UMT393174:UNH393211 UCX393174:UDL393211 TTB393174:TTP393211 TJF393174:TJT393211 SZJ393174:SZX393211 SPN393174:SQB393211 SFR393174:SGF393211 RVV393174:RWJ393211 RLZ393174:RMN393211 RCD393174:RCR393211 QSH393174:QSV393211 QIL393174:QIZ393211 PYP393174:PZD393211 POT393174:PPH393211 PEX393174:PFL393211 OVB393174:OVP393211 OLF393174:OLT393211 OBJ393174:OBX393211 NRN393174:NSB393211 NHR393174:NIF393211 MXV393174:MYJ393211 MNZ393174:MON393211 MED393174:MER393211 LUH393174:LUV393211 LKL393174:LKZ393211 LAP393174:LBD393211 KQT393174:KRH393211 KGX393174:KHL393211 JXB393174:JXP393211 JNF393174:JNT393211 JDJ393174:JDX393211 ITN393174:IUB393211 IJR393174:IKF393211 HZV393174:IAJ393211 HPZ393174:HQN393211 HGD393174:HGR393211 GWH393174:GWV393211 GML393174:GMZ393211 GCP393174:GDD393211 FST393174:FTH393211 FIX393174:FJL393211 EZB393174:EZP393211 EPF393174:EPT393211 EFJ393174:EFX393211 DVN393174:DWB393211 DLR393174:DMF393211 DBV393174:DCJ393211 CRZ393174:CSN393211 CID393174:CIR393211 BYH393174:BYV393211 BOL393174:BOZ393211 BEP393174:BFD393211 AUT393174:AVH393211 AKX393174:ALL393211 ABB393174:ABP393211 RF393174:RT393211 HJ393174:HX393211 WTV327638:WUJ327675 WJZ327638:WKN327675 WAD327638:WAR327675 VQH327638:VQV327675 VGL327638:VGZ327675 UWP327638:UXD327675 UMT327638:UNH327675 UCX327638:UDL327675 TTB327638:TTP327675 TJF327638:TJT327675 SZJ327638:SZX327675 SPN327638:SQB327675 SFR327638:SGF327675 RVV327638:RWJ327675 RLZ327638:RMN327675 RCD327638:RCR327675 QSH327638:QSV327675 QIL327638:QIZ327675 PYP327638:PZD327675 POT327638:PPH327675 PEX327638:PFL327675 OVB327638:OVP327675 OLF327638:OLT327675 OBJ327638:OBX327675 NRN327638:NSB327675 NHR327638:NIF327675 MXV327638:MYJ327675 MNZ327638:MON327675 MED327638:MER327675 LUH327638:LUV327675 LKL327638:LKZ327675 LAP327638:LBD327675 KQT327638:KRH327675 KGX327638:KHL327675 JXB327638:JXP327675 JNF327638:JNT327675 JDJ327638:JDX327675 ITN327638:IUB327675 IJR327638:IKF327675 HZV327638:IAJ327675 HPZ327638:HQN327675 HGD327638:HGR327675 GWH327638:GWV327675 GML327638:GMZ327675 GCP327638:GDD327675 FST327638:FTH327675 FIX327638:FJL327675 EZB327638:EZP327675 EPF327638:EPT327675 EFJ327638:EFX327675 DVN327638:DWB327675 DLR327638:DMF327675 DBV327638:DCJ327675 CRZ327638:CSN327675 CID327638:CIR327675 BYH327638:BYV327675 BOL327638:BOZ327675 BEP327638:BFD327675 AUT327638:AVH327675 AKX327638:ALL327675 ABB327638:ABP327675 RF327638:RT327675 HJ327638:HX327675 WTV262102:WUJ262139 WJZ262102:WKN262139 WAD262102:WAR262139 VQH262102:VQV262139 VGL262102:VGZ262139 UWP262102:UXD262139 UMT262102:UNH262139 UCX262102:UDL262139 TTB262102:TTP262139 TJF262102:TJT262139 SZJ262102:SZX262139 SPN262102:SQB262139 SFR262102:SGF262139 RVV262102:RWJ262139 RLZ262102:RMN262139 RCD262102:RCR262139 QSH262102:QSV262139 QIL262102:QIZ262139 PYP262102:PZD262139 POT262102:PPH262139 PEX262102:PFL262139 OVB262102:OVP262139 OLF262102:OLT262139 OBJ262102:OBX262139 NRN262102:NSB262139 NHR262102:NIF262139 MXV262102:MYJ262139 MNZ262102:MON262139 MED262102:MER262139 LUH262102:LUV262139 LKL262102:LKZ262139 LAP262102:LBD262139 KQT262102:KRH262139 KGX262102:KHL262139 JXB262102:JXP262139 JNF262102:JNT262139 JDJ262102:JDX262139 ITN262102:IUB262139 IJR262102:IKF262139 HZV262102:IAJ262139 HPZ262102:HQN262139 HGD262102:HGR262139 GWH262102:GWV262139 GML262102:GMZ262139 GCP262102:GDD262139 FST262102:FTH262139 FIX262102:FJL262139 EZB262102:EZP262139 EPF262102:EPT262139 EFJ262102:EFX262139 DVN262102:DWB262139 DLR262102:DMF262139 DBV262102:DCJ262139 CRZ262102:CSN262139 CID262102:CIR262139 BYH262102:BYV262139 BOL262102:BOZ262139 BEP262102:BFD262139 AUT262102:AVH262139 AKX262102:ALL262139 ABB262102:ABP262139 RF262102:RT262139 HJ262102:HX262139 WTV196566:WUJ196603 WJZ196566:WKN196603 WAD196566:WAR196603 VQH196566:VQV196603 VGL196566:VGZ196603 UWP196566:UXD196603 UMT196566:UNH196603 UCX196566:UDL196603 TTB196566:TTP196603 TJF196566:TJT196603 SZJ196566:SZX196603 SPN196566:SQB196603 SFR196566:SGF196603 RVV196566:RWJ196603 RLZ196566:RMN196603 RCD196566:RCR196603 QSH196566:QSV196603 QIL196566:QIZ196603 PYP196566:PZD196603 POT196566:PPH196603 PEX196566:PFL196603 OVB196566:OVP196603 OLF196566:OLT196603 OBJ196566:OBX196603 NRN196566:NSB196603 NHR196566:NIF196603 MXV196566:MYJ196603 MNZ196566:MON196603 MED196566:MER196603 LUH196566:LUV196603 LKL196566:LKZ196603 LAP196566:LBD196603 KQT196566:KRH196603 KGX196566:KHL196603 JXB196566:JXP196603 JNF196566:JNT196603 JDJ196566:JDX196603 ITN196566:IUB196603 IJR196566:IKF196603 HZV196566:IAJ196603 HPZ196566:HQN196603 HGD196566:HGR196603 GWH196566:GWV196603 GML196566:GMZ196603 GCP196566:GDD196603 FST196566:FTH196603 FIX196566:FJL196603 EZB196566:EZP196603 EPF196566:EPT196603 EFJ196566:EFX196603 DVN196566:DWB196603 DLR196566:DMF196603 DBV196566:DCJ196603 CRZ196566:CSN196603 CID196566:CIR196603 BYH196566:BYV196603 BOL196566:BOZ196603 BEP196566:BFD196603 AUT196566:AVH196603 AKX196566:ALL196603 ABB196566:ABP196603 RF196566:RT196603 HJ196566:HX196603 WTV131030:WUJ131067 WJZ131030:WKN131067 WAD131030:WAR131067 VQH131030:VQV131067 VGL131030:VGZ131067 UWP131030:UXD131067 UMT131030:UNH131067 UCX131030:UDL131067 TTB131030:TTP131067 TJF131030:TJT131067 SZJ131030:SZX131067 SPN131030:SQB131067 SFR131030:SGF131067 RVV131030:RWJ131067 RLZ131030:RMN131067 RCD131030:RCR131067 QSH131030:QSV131067 QIL131030:QIZ131067 PYP131030:PZD131067 POT131030:PPH131067 PEX131030:PFL131067 OVB131030:OVP131067 OLF131030:OLT131067 OBJ131030:OBX131067 NRN131030:NSB131067 NHR131030:NIF131067 MXV131030:MYJ131067 MNZ131030:MON131067 MED131030:MER131067 LUH131030:LUV131067 LKL131030:LKZ131067 LAP131030:LBD131067 KQT131030:KRH131067 KGX131030:KHL131067 JXB131030:JXP131067 JNF131030:JNT131067 JDJ131030:JDX131067 ITN131030:IUB131067 IJR131030:IKF131067 HZV131030:IAJ131067 HPZ131030:HQN131067 HGD131030:HGR131067 GWH131030:GWV131067 GML131030:GMZ131067 GCP131030:GDD131067 FST131030:FTH131067 FIX131030:FJL131067 EZB131030:EZP131067 EPF131030:EPT131067 EFJ131030:EFX131067 DVN131030:DWB131067 DLR131030:DMF131067 DBV131030:DCJ131067 CRZ131030:CSN131067 CID131030:CIR131067 BYH131030:BYV131067 BOL131030:BOZ131067 BEP131030:BFD131067 AUT131030:AVH131067 AKX131030:ALL131067 ABB131030:ABP131067 RF131030:RT131067 HJ131030:HX131067 WTV65494:WUJ65531 WJZ65494:WKN65531 WAD65494:WAR65531 VQH65494:VQV65531 VGL65494:VGZ65531 UWP65494:UXD65531 UMT65494:UNH65531 UCX65494:UDL65531 TTB65494:TTP65531 TJF65494:TJT65531 SZJ65494:SZX65531 SPN65494:SQB65531 SFR65494:SGF65531 RVV65494:RWJ65531 RLZ65494:RMN65531 RCD65494:RCR65531 QSH65494:QSV65531 QIL65494:QIZ65531 PYP65494:PZD65531 POT65494:PPH65531 PEX65494:PFL65531 OVB65494:OVP65531 OLF65494:OLT65531 OBJ65494:OBX65531 NRN65494:NSB65531 NHR65494:NIF65531 MXV65494:MYJ65531 MNZ65494:MON65531 MED65494:MER65531 LUH65494:LUV65531 LKL65494:LKZ65531 LAP65494:LBD65531 KQT65494:KRH65531 KGX65494:KHL65531 JXB65494:JXP65531 JNF65494:JNT65531 JDJ65494:JDX65531 ITN65494:IUB65531 IJR65494:IKF65531 HZV65494:IAJ65531 HPZ65494:HQN65531 HGD65494:HGR65531 GWH65494:GWV65531 GML65494:GMZ65531 GCP65494:GDD65531 FST65494:FTH65531 FIX65494:FJL65531 EZB65494:EZP65531 EPF65494:EPT65531 EFJ65494:EFX65531 DVN65494:DWB65531 DLR65494:DMF65531 DBV65494:DCJ65531 CRZ65494:CSN65531 CID65494:CIR65531 BYH65494:BYV65531 BOL65494:BOZ65531 BEP65494:BFD65531 AUT65494:AVH65531 AKX65494:ALL65531 ABB65494:ABP65531 RF65494:RT65531 HJ65494:HX65531 WJZ982998:WKN983035 WAD982998:WAR983035 WTV982998:WUJ983035 WJZ5:WKN26 WTV5:WUJ26 HJ5:HX26 RF5:RT26 ABB5:ABP26 AKX5:ALL26 AUT5:AVH26 BEP5:BFD26 BOL5:BOZ26 BYH5:BYV26 CID5:CIR26 CRZ5:CSN26 DBV5:DCJ26 DLR5:DMF26 DVN5:DWB26 EFJ5:EFX26 EPF5:EPT26 EZB5:EZP26 FIX5:FJL26 FST5:FTH26 GCP5:GDD26 GML5:GMZ26 GWH5:GWV26 HGD5:HGR26 HPZ5:HQN26 HZV5:IAJ26 IJR5:IKF26 ITN5:IUB26 JDJ5:JDX26 JNF5:JNT26 JXB5:JXP26 KGX5:KHL26 KQT5:KRH26 LAP5:LBD26 LKL5:LKZ26 LUH5:LUV26 MED5:MER26 MNZ5:MON26 MXV5:MYJ26 NHR5:NIF26 NRN5:NSB26 OBJ5:OBX26 OLF5:OLT26 OVB5:OVP26 PEX5:PFL26 POT5:PPH26 PYP5:PZD26 QIL5:QIZ26 QSH5:QSV26 RCD5:RCR26 RLZ5:RMN26 RVV5:RWJ26 SFR5:SGF26 SPN5:SQB26 SZJ5:SZX26 TJF5:TJT26 TTB5:TTP26 UCX5:UDL26 UMT5:UNH26 UWP5:UXD26 VGL5:VGZ26 VQH5:VQV26 WAD5:WAR26" xr:uid="{F9FA6065-A332-4F40-AADA-5EB35076845A}">
      <formula1>#REF!</formula1>
    </dataValidation>
    <dataValidation type="list" allowBlank="1" showInputMessage="1" showErrorMessage="1" sqref="HX983039:IE983044 RT983039:SA983044 ABP983039:ABW983044 ALL983039:ALS983044 AVH983039:AVO983044 BFD983039:BFK983044 BOZ983039:BPG983044 BYV983039:BZC983044 CIR983039:CIY983044 CSN983039:CSU983044 DCJ983039:DCQ983044 DMF983039:DMM983044 DWB983039:DWI983044 EFX983039:EGE983044 EPT983039:EQA983044 EZP983039:EZW983044 FJL983039:FJS983044 FTH983039:FTO983044 GDD983039:GDK983044 GMZ983039:GNG983044 GWV983039:GXC983044 HGR983039:HGY983044 HQN983039:HQU983044 IAJ983039:IAQ983044 IKF983039:IKM983044 IUB983039:IUI983044 JDX983039:JEE983044 JNT983039:JOA983044 JXP983039:JXW983044 KHL983039:KHS983044 KRH983039:KRO983044 LBD983039:LBK983044 LKZ983039:LLG983044 LUV983039:LVC983044 MER983039:MEY983044 MON983039:MOU983044 MYJ983039:MYQ983044 NIF983039:NIM983044 NSB983039:NSI983044 OBX983039:OCE983044 OLT983039:OMA983044 OVP983039:OVW983044 PFL983039:PFS983044 PPH983039:PPO983044 PZD983039:PZK983044 QIZ983039:QJG983044 QSV983039:QTC983044 RCR983039:RCY983044 RMN983039:RMU983044 RWJ983039:RWQ983044 SGF983039:SGM983044 SQB983039:SQI983044 SZX983039:TAE983044 TJT983039:TKA983044 TTP983039:TTW983044 UDL983039:UDS983044 UNH983039:UNO983044 UXD983039:UXK983044 VGZ983039:VHG983044 VQV983039:VRC983044 WAR983039:WAY983044 WKN983039:WKU983044 WUJ983039:WUQ983044 HX65535:IE65540 RT65535:SA65540 ABP65535:ABW65540 ALL65535:ALS65540 AVH65535:AVO65540 BFD65535:BFK65540 BOZ65535:BPG65540 BYV65535:BZC65540 CIR65535:CIY65540 CSN65535:CSU65540 DCJ65535:DCQ65540 DMF65535:DMM65540 DWB65535:DWI65540 EFX65535:EGE65540 EPT65535:EQA65540 EZP65535:EZW65540 FJL65535:FJS65540 FTH65535:FTO65540 GDD65535:GDK65540 GMZ65535:GNG65540 GWV65535:GXC65540 HGR65535:HGY65540 HQN65535:HQU65540 IAJ65535:IAQ65540 IKF65535:IKM65540 IUB65535:IUI65540 JDX65535:JEE65540 JNT65535:JOA65540 JXP65535:JXW65540 KHL65535:KHS65540 KRH65535:KRO65540 LBD65535:LBK65540 LKZ65535:LLG65540 LUV65535:LVC65540 MER65535:MEY65540 MON65535:MOU65540 MYJ65535:MYQ65540 NIF65535:NIM65540 NSB65535:NSI65540 OBX65535:OCE65540 OLT65535:OMA65540 OVP65535:OVW65540 PFL65535:PFS65540 PPH65535:PPO65540 PZD65535:PZK65540 QIZ65535:QJG65540 QSV65535:QTC65540 RCR65535:RCY65540 RMN65535:RMU65540 RWJ65535:RWQ65540 SGF65535:SGM65540 SQB65535:SQI65540 SZX65535:TAE65540 TJT65535:TKA65540 TTP65535:TTW65540 UDL65535:UDS65540 UNH65535:UNO65540 UXD65535:UXK65540 VGZ65535:VHG65540 VQV65535:VRC65540 WAR65535:WAY65540 WKN65535:WKU65540 WUJ65535:WUQ65540 HX131071:IE131076 RT131071:SA131076 ABP131071:ABW131076 ALL131071:ALS131076 AVH131071:AVO131076 BFD131071:BFK131076 BOZ131071:BPG131076 BYV131071:BZC131076 CIR131071:CIY131076 CSN131071:CSU131076 DCJ131071:DCQ131076 DMF131071:DMM131076 DWB131071:DWI131076 EFX131071:EGE131076 EPT131071:EQA131076 EZP131071:EZW131076 FJL131071:FJS131076 FTH131071:FTO131076 GDD131071:GDK131076 GMZ131071:GNG131076 GWV131071:GXC131076 HGR131071:HGY131076 HQN131071:HQU131076 IAJ131071:IAQ131076 IKF131071:IKM131076 IUB131071:IUI131076 JDX131071:JEE131076 JNT131071:JOA131076 JXP131071:JXW131076 KHL131071:KHS131076 KRH131071:KRO131076 LBD131071:LBK131076 LKZ131071:LLG131076 LUV131071:LVC131076 MER131071:MEY131076 MON131071:MOU131076 MYJ131071:MYQ131076 NIF131071:NIM131076 NSB131071:NSI131076 OBX131071:OCE131076 OLT131071:OMA131076 OVP131071:OVW131076 PFL131071:PFS131076 PPH131071:PPO131076 PZD131071:PZK131076 QIZ131071:QJG131076 QSV131071:QTC131076 RCR131071:RCY131076 RMN131071:RMU131076 RWJ131071:RWQ131076 SGF131071:SGM131076 SQB131071:SQI131076 SZX131071:TAE131076 TJT131071:TKA131076 TTP131071:TTW131076 UDL131071:UDS131076 UNH131071:UNO131076 UXD131071:UXK131076 VGZ131071:VHG131076 VQV131071:VRC131076 WAR131071:WAY131076 WKN131071:WKU131076 WUJ131071:WUQ131076 HX196607:IE196612 RT196607:SA196612 ABP196607:ABW196612 ALL196607:ALS196612 AVH196607:AVO196612 BFD196607:BFK196612 BOZ196607:BPG196612 BYV196607:BZC196612 CIR196607:CIY196612 CSN196607:CSU196612 DCJ196607:DCQ196612 DMF196607:DMM196612 DWB196607:DWI196612 EFX196607:EGE196612 EPT196607:EQA196612 EZP196607:EZW196612 FJL196607:FJS196612 FTH196607:FTO196612 GDD196607:GDK196612 GMZ196607:GNG196612 GWV196607:GXC196612 HGR196607:HGY196612 HQN196607:HQU196612 IAJ196607:IAQ196612 IKF196607:IKM196612 IUB196607:IUI196612 JDX196607:JEE196612 JNT196607:JOA196612 JXP196607:JXW196612 KHL196607:KHS196612 KRH196607:KRO196612 LBD196607:LBK196612 LKZ196607:LLG196612 LUV196607:LVC196612 MER196607:MEY196612 MON196607:MOU196612 MYJ196607:MYQ196612 NIF196607:NIM196612 NSB196607:NSI196612 OBX196607:OCE196612 OLT196607:OMA196612 OVP196607:OVW196612 PFL196607:PFS196612 PPH196607:PPO196612 PZD196607:PZK196612 QIZ196607:QJG196612 QSV196607:QTC196612 RCR196607:RCY196612 RMN196607:RMU196612 RWJ196607:RWQ196612 SGF196607:SGM196612 SQB196607:SQI196612 SZX196607:TAE196612 TJT196607:TKA196612 TTP196607:TTW196612 UDL196607:UDS196612 UNH196607:UNO196612 UXD196607:UXK196612 VGZ196607:VHG196612 VQV196607:VRC196612 WAR196607:WAY196612 WKN196607:WKU196612 WUJ196607:WUQ196612 HX262143:IE262148 RT262143:SA262148 ABP262143:ABW262148 ALL262143:ALS262148 AVH262143:AVO262148 BFD262143:BFK262148 BOZ262143:BPG262148 BYV262143:BZC262148 CIR262143:CIY262148 CSN262143:CSU262148 DCJ262143:DCQ262148 DMF262143:DMM262148 DWB262143:DWI262148 EFX262143:EGE262148 EPT262143:EQA262148 EZP262143:EZW262148 FJL262143:FJS262148 FTH262143:FTO262148 GDD262143:GDK262148 GMZ262143:GNG262148 GWV262143:GXC262148 HGR262143:HGY262148 HQN262143:HQU262148 IAJ262143:IAQ262148 IKF262143:IKM262148 IUB262143:IUI262148 JDX262143:JEE262148 JNT262143:JOA262148 JXP262143:JXW262148 KHL262143:KHS262148 KRH262143:KRO262148 LBD262143:LBK262148 LKZ262143:LLG262148 LUV262143:LVC262148 MER262143:MEY262148 MON262143:MOU262148 MYJ262143:MYQ262148 NIF262143:NIM262148 NSB262143:NSI262148 OBX262143:OCE262148 OLT262143:OMA262148 OVP262143:OVW262148 PFL262143:PFS262148 PPH262143:PPO262148 PZD262143:PZK262148 QIZ262143:QJG262148 QSV262143:QTC262148 RCR262143:RCY262148 RMN262143:RMU262148 RWJ262143:RWQ262148 SGF262143:SGM262148 SQB262143:SQI262148 SZX262143:TAE262148 TJT262143:TKA262148 TTP262143:TTW262148 UDL262143:UDS262148 UNH262143:UNO262148 UXD262143:UXK262148 VGZ262143:VHG262148 VQV262143:VRC262148 WAR262143:WAY262148 WKN262143:WKU262148 WUJ262143:WUQ262148 HX327679:IE327684 RT327679:SA327684 ABP327679:ABW327684 ALL327679:ALS327684 AVH327679:AVO327684 BFD327679:BFK327684 BOZ327679:BPG327684 BYV327679:BZC327684 CIR327679:CIY327684 CSN327679:CSU327684 DCJ327679:DCQ327684 DMF327679:DMM327684 DWB327679:DWI327684 EFX327679:EGE327684 EPT327679:EQA327684 EZP327679:EZW327684 FJL327679:FJS327684 FTH327679:FTO327684 GDD327679:GDK327684 GMZ327679:GNG327684 GWV327679:GXC327684 HGR327679:HGY327684 HQN327679:HQU327684 IAJ327679:IAQ327684 IKF327679:IKM327684 IUB327679:IUI327684 JDX327679:JEE327684 JNT327679:JOA327684 JXP327679:JXW327684 KHL327679:KHS327684 KRH327679:KRO327684 LBD327679:LBK327684 LKZ327679:LLG327684 LUV327679:LVC327684 MER327679:MEY327684 MON327679:MOU327684 MYJ327679:MYQ327684 NIF327679:NIM327684 NSB327679:NSI327684 OBX327679:OCE327684 OLT327679:OMA327684 OVP327679:OVW327684 PFL327679:PFS327684 PPH327679:PPO327684 PZD327679:PZK327684 QIZ327679:QJG327684 QSV327679:QTC327684 RCR327679:RCY327684 RMN327679:RMU327684 RWJ327679:RWQ327684 SGF327679:SGM327684 SQB327679:SQI327684 SZX327679:TAE327684 TJT327679:TKA327684 TTP327679:TTW327684 UDL327679:UDS327684 UNH327679:UNO327684 UXD327679:UXK327684 VGZ327679:VHG327684 VQV327679:VRC327684 WAR327679:WAY327684 WKN327679:WKU327684 WUJ327679:WUQ327684 HX393215:IE393220 RT393215:SA393220 ABP393215:ABW393220 ALL393215:ALS393220 AVH393215:AVO393220 BFD393215:BFK393220 BOZ393215:BPG393220 BYV393215:BZC393220 CIR393215:CIY393220 CSN393215:CSU393220 DCJ393215:DCQ393220 DMF393215:DMM393220 DWB393215:DWI393220 EFX393215:EGE393220 EPT393215:EQA393220 EZP393215:EZW393220 FJL393215:FJS393220 FTH393215:FTO393220 GDD393215:GDK393220 GMZ393215:GNG393220 GWV393215:GXC393220 HGR393215:HGY393220 HQN393215:HQU393220 IAJ393215:IAQ393220 IKF393215:IKM393220 IUB393215:IUI393220 JDX393215:JEE393220 JNT393215:JOA393220 JXP393215:JXW393220 KHL393215:KHS393220 KRH393215:KRO393220 LBD393215:LBK393220 LKZ393215:LLG393220 LUV393215:LVC393220 MER393215:MEY393220 MON393215:MOU393220 MYJ393215:MYQ393220 NIF393215:NIM393220 NSB393215:NSI393220 OBX393215:OCE393220 OLT393215:OMA393220 OVP393215:OVW393220 PFL393215:PFS393220 PPH393215:PPO393220 PZD393215:PZK393220 QIZ393215:QJG393220 QSV393215:QTC393220 RCR393215:RCY393220 RMN393215:RMU393220 RWJ393215:RWQ393220 SGF393215:SGM393220 SQB393215:SQI393220 SZX393215:TAE393220 TJT393215:TKA393220 TTP393215:TTW393220 UDL393215:UDS393220 UNH393215:UNO393220 UXD393215:UXK393220 VGZ393215:VHG393220 VQV393215:VRC393220 WAR393215:WAY393220 WKN393215:WKU393220 WUJ393215:WUQ393220 HX458751:IE458756 RT458751:SA458756 ABP458751:ABW458756 ALL458751:ALS458756 AVH458751:AVO458756 BFD458751:BFK458756 BOZ458751:BPG458756 BYV458751:BZC458756 CIR458751:CIY458756 CSN458751:CSU458756 DCJ458751:DCQ458756 DMF458751:DMM458756 DWB458751:DWI458756 EFX458751:EGE458756 EPT458751:EQA458756 EZP458751:EZW458756 FJL458751:FJS458756 FTH458751:FTO458756 GDD458751:GDK458756 GMZ458751:GNG458756 GWV458751:GXC458756 HGR458751:HGY458756 HQN458751:HQU458756 IAJ458751:IAQ458756 IKF458751:IKM458756 IUB458751:IUI458756 JDX458751:JEE458756 JNT458751:JOA458756 JXP458751:JXW458756 KHL458751:KHS458756 KRH458751:KRO458756 LBD458751:LBK458756 LKZ458751:LLG458756 LUV458751:LVC458756 MER458751:MEY458756 MON458751:MOU458756 MYJ458751:MYQ458756 NIF458751:NIM458756 NSB458751:NSI458756 OBX458751:OCE458756 OLT458751:OMA458756 OVP458751:OVW458756 PFL458751:PFS458756 PPH458751:PPO458756 PZD458751:PZK458756 QIZ458751:QJG458756 QSV458751:QTC458756 RCR458751:RCY458756 RMN458751:RMU458756 RWJ458751:RWQ458756 SGF458751:SGM458756 SQB458751:SQI458756 SZX458751:TAE458756 TJT458751:TKA458756 TTP458751:TTW458756 UDL458751:UDS458756 UNH458751:UNO458756 UXD458751:UXK458756 VGZ458751:VHG458756 VQV458751:VRC458756 WAR458751:WAY458756 WKN458751:WKU458756 WUJ458751:WUQ458756 HX524287:IE524292 RT524287:SA524292 ABP524287:ABW524292 ALL524287:ALS524292 AVH524287:AVO524292 BFD524287:BFK524292 BOZ524287:BPG524292 BYV524287:BZC524292 CIR524287:CIY524292 CSN524287:CSU524292 DCJ524287:DCQ524292 DMF524287:DMM524292 DWB524287:DWI524292 EFX524287:EGE524292 EPT524287:EQA524292 EZP524287:EZW524292 FJL524287:FJS524292 FTH524287:FTO524292 GDD524287:GDK524292 GMZ524287:GNG524292 GWV524287:GXC524292 HGR524287:HGY524292 HQN524287:HQU524292 IAJ524287:IAQ524292 IKF524287:IKM524292 IUB524287:IUI524292 JDX524287:JEE524292 JNT524287:JOA524292 JXP524287:JXW524292 KHL524287:KHS524292 KRH524287:KRO524292 LBD524287:LBK524292 LKZ524287:LLG524292 LUV524287:LVC524292 MER524287:MEY524292 MON524287:MOU524292 MYJ524287:MYQ524292 NIF524287:NIM524292 NSB524287:NSI524292 OBX524287:OCE524292 OLT524287:OMA524292 OVP524287:OVW524292 PFL524287:PFS524292 PPH524287:PPO524292 PZD524287:PZK524292 QIZ524287:QJG524292 QSV524287:QTC524292 RCR524287:RCY524292 RMN524287:RMU524292 RWJ524287:RWQ524292 SGF524287:SGM524292 SQB524287:SQI524292 SZX524287:TAE524292 TJT524287:TKA524292 TTP524287:TTW524292 UDL524287:UDS524292 UNH524287:UNO524292 UXD524287:UXK524292 VGZ524287:VHG524292 VQV524287:VRC524292 WAR524287:WAY524292 WKN524287:WKU524292 WUJ524287:WUQ524292 HX589823:IE589828 RT589823:SA589828 ABP589823:ABW589828 ALL589823:ALS589828 AVH589823:AVO589828 BFD589823:BFK589828 BOZ589823:BPG589828 BYV589823:BZC589828 CIR589823:CIY589828 CSN589823:CSU589828 DCJ589823:DCQ589828 DMF589823:DMM589828 DWB589823:DWI589828 EFX589823:EGE589828 EPT589823:EQA589828 EZP589823:EZW589828 FJL589823:FJS589828 FTH589823:FTO589828 GDD589823:GDK589828 GMZ589823:GNG589828 GWV589823:GXC589828 HGR589823:HGY589828 HQN589823:HQU589828 IAJ589823:IAQ589828 IKF589823:IKM589828 IUB589823:IUI589828 JDX589823:JEE589828 JNT589823:JOA589828 JXP589823:JXW589828 KHL589823:KHS589828 KRH589823:KRO589828 LBD589823:LBK589828 LKZ589823:LLG589828 LUV589823:LVC589828 MER589823:MEY589828 MON589823:MOU589828 MYJ589823:MYQ589828 NIF589823:NIM589828 NSB589823:NSI589828 OBX589823:OCE589828 OLT589823:OMA589828 OVP589823:OVW589828 PFL589823:PFS589828 PPH589823:PPO589828 PZD589823:PZK589828 QIZ589823:QJG589828 QSV589823:QTC589828 RCR589823:RCY589828 RMN589823:RMU589828 RWJ589823:RWQ589828 SGF589823:SGM589828 SQB589823:SQI589828 SZX589823:TAE589828 TJT589823:TKA589828 TTP589823:TTW589828 UDL589823:UDS589828 UNH589823:UNO589828 UXD589823:UXK589828 VGZ589823:VHG589828 VQV589823:VRC589828 WAR589823:WAY589828 WKN589823:WKU589828 WUJ589823:WUQ589828 HX655359:IE655364 RT655359:SA655364 ABP655359:ABW655364 ALL655359:ALS655364 AVH655359:AVO655364 BFD655359:BFK655364 BOZ655359:BPG655364 BYV655359:BZC655364 CIR655359:CIY655364 CSN655359:CSU655364 DCJ655359:DCQ655364 DMF655359:DMM655364 DWB655359:DWI655364 EFX655359:EGE655364 EPT655359:EQA655364 EZP655359:EZW655364 FJL655359:FJS655364 FTH655359:FTO655364 GDD655359:GDK655364 GMZ655359:GNG655364 GWV655359:GXC655364 HGR655359:HGY655364 HQN655359:HQU655364 IAJ655359:IAQ655364 IKF655359:IKM655364 IUB655359:IUI655364 JDX655359:JEE655364 JNT655359:JOA655364 JXP655359:JXW655364 KHL655359:KHS655364 KRH655359:KRO655364 LBD655359:LBK655364 LKZ655359:LLG655364 LUV655359:LVC655364 MER655359:MEY655364 MON655359:MOU655364 MYJ655359:MYQ655364 NIF655359:NIM655364 NSB655359:NSI655364 OBX655359:OCE655364 OLT655359:OMA655364 OVP655359:OVW655364 PFL655359:PFS655364 PPH655359:PPO655364 PZD655359:PZK655364 QIZ655359:QJG655364 QSV655359:QTC655364 RCR655359:RCY655364 RMN655359:RMU655364 RWJ655359:RWQ655364 SGF655359:SGM655364 SQB655359:SQI655364 SZX655359:TAE655364 TJT655359:TKA655364 TTP655359:TTW655364 UDL655359:UDS655364 UNH655359:UNO655364 UXD655359:UXK655364 VGZ655359:VHG655364 VQV655359:VRC655364 WAR655359:WAY655364 WKN655359:WKU655364 WUJ655359:WUQ655364 HX720895:IE720900 RT720895:SA720900 ABP720895:ABW720900 ALL720895:ALS720900 AVH720895:AVO720900 BFD720895:BFK720900 BOZ720895:BPG720900 BYV720895:BZC720900 CIR720895:CIY720900 CSN720895:CSU720900 DCJ720895:DCQ720900 DMF720895:DMM720900 DWB720895:DWI720900 EFX720895:EGE720900 EPT720895:EQA720900 EZP720895:EZW720900 FJL720895:FJS720900 FTH720895:FTO720900 GDD720895:GDK720900 GMZ720895:GNG720900 GWV720895:GXC720900 HGR720895:HGY720900 HQN720895:HQU720900 IAJ720895:IAQ720900 IKF720895:IKM720900 IUB720895:IUI720900 JDX720895:JEE720900 JNT720895:JOA720900 JXP720895:JXW720900 KHL720895:KHS720900 KRH720895:KRO720900 LBD720895:LBK720900 LKZ720895:LLG720900 LUV720895:LVC720900 MER720895:MEY720900 MON720895:MOU720900 MYJ720895:MYQ720900 NIF720895:NIM720900 NSB720895:NSI720900 OBX720895:OCE720900 OLT720895:OMA720900 OVP720895:OVW720900 PFL720895:PFS720900 PPH720895:PPO720900 PZD720895:PZK720900 QIZ720895:QJG720900 QSV720895:QTC720900 RCR720895:RCY720900 RMN720895:RMU720900 RWJ720895:RWQ720900 SGF720895:SGM720900 SQB720895:SQI720900 SZX720895:TAE720900 TJT720895:TKA720900 TTP720895:TTW720900 UDL720895:UDS720900 UNH720895:UNO720900 UXD720895:UXK720900 VGZ720895:VHG720900 VQV720895:VRC720900 WAR720895:WAY720900 WKN720895:WKU720900 WUJ720895:WUQ720900 HX786431:IE786436 RT786431:SA786436 ABP786431:ABW786436 ALL786431:ALS786436 AVH786431:AVO786436 BFD786431:BFK786436 BOZ786431:BPG786436 BYV786431:BZC786436 CIR786431:CIY786436 CSN786431:CSU786436 DCJ786431:DCQ786436 DMF786431:DMM786436 DWB786431:DWI786436 EFX786431:EGE786436 EPT786431:EQA786436 EZP786431:EZW786436 FJL786431:FJS786436 FTH786431:FTO786436 GDD786431:GDK786436 GMZ786431:GNG786436 GWV786431:GXC786436 HGR786431:HGY786436 HQN786431:HQU786436 IAJ786431:IAQ786436 IKF786431:IKM786436 IUB786431:IUI786436 JDX786431:JEE786436 JNT786431:JOA786436 JXP786431:JXW786436 KHL786431:KHS786436 KRH786431:KRO786436 LBD786431:LBK786436 LKZ786431:LLG786436 LUV786431:LVC786436 MER786431:MEY786436 MON786431:MOU786436 MYJ786431:MYQ786436 NIF786431:NIM786436 NSB786431:NSI786436 OBX786431:OCE786436 OLT786431:OMA786436 OVP786431:OVW786436 PFL786431:PFS786436 PPH786431:PPO786436 PZD786431:PZK786436 QIZ786431:QJG786436 QSV786431:QTC786436 RCR786431:RCY786436 RMN786431:RMU786436 RWJ786431:RWQ786436 SGF786431:SGM786436 SQB786431:SQI786436 SZX786431:TAE786436 TJT786431:TKA786436 TTP786431:TTW786436 UDL786431:UDS786436 UNH786431:UNO786436 UXD786431:UXK786436 VGZ786431:VHG786436 VQV786431:VRC786436 WAR786431:WAY786436 WKN786431:WKU786436 WUJ786431:WUQ786436 HX851967:IE851972 RT851967:SA851972 ABP851967:ABW851972 ALL851967:ALS851972 AVH851967:AVO851972 BFD851967:BFK851972 BOZ851967:BPG851972 BYV851967:BZC851972 CIR851967:CIY851972 CSN851967:CSU851972 DCJ851967:DCQ851972 DMF851967:DMM851972 DWB851967:DWI851972 EFX851967:EGE851972 EPT851967:EQA851972 EZP851967:EZW851972 FJL851967:FJS851972 FTH851967:FTO851972 GDD851967:GDK851972 GMZ851967:GNG851972 GWV851967:GXC851972 HGR851967:HGY851972 HQN851967:HQU851972 IAJ851967:IAQ851972 IKF851967:IKM851972 IUB851967:IUI851972 JDX851967:JEE851972 JNT851967:JOA851972 JXP851967:JXW851972 KHL851967:KHS851972 KRH851967:KRO851972 LBD851967:LBK851972 LKZ851967:LLG851972 LUV851967:LVC851972 MER851967:MEY851972 MON851967:MOU851972 MYJ851967:MYQ851972 NIF851967:NIM851972 NSB851967:NSI851972 OBX851967:OCE851972 OLT851967:OMA851972 OVP851967:OVW851972 PFL851967:PFS851972 PPH851967:PPO851972 PZD851967:PZK851972 QIZ851967:QJG851972 QSV851967:QTC851972 RCR851967:RCY851972 RMN851967:RMU851972 RWJ851967:RWQ851972 SGF851967:SGM851972 SQB851967:SQI851972 SZX851967:TAE851972 TJT851967:TKA851972 TTP851967:TTW851972 UDL851967:UDS851972 UNH851967:UNO851972 UXD851967:UXK851972 VGZ851967:VHG851972 VQV851967:VRC851972 WAR851967:WAY851972 WKN851967:WKU851972 WUJ851967:WUQ851972 HX917503:IE917508 RT917503:SA917508 ABP917503:ABW917508 ALL917503:ALS917508 AVH917503:AVO917508 BFD917503:BFK917508 BOZ917503:BPG917508 BYV917503:BZC917508 CIR917503:CIY917508 CSN917503:CSU917508 DCJ917503:DCQ917508 DMF917503:DMM917508 DWB917503:DWI917508 EFX917503:EGE917508 EPT917503:EQA917508 EZP917503:EZW917508 FJL917503:FJS917508 FTH917503:FTO917508 GDD917503:GDK917508 GMZ917503:GNG917508 GWV917503:GXC917508 HGR917503:HGY917508 HQN917503:HQU917508 IAJ917503:IAQ917508 IKF917503:IKM917508 IUB917503:IUI917508 JDX917503:JEE917508 JNT917503:JOA917508 JXP917503:JXW917508 KHL917503:KHS917508 KRH917503:KRO917508 LBD917503:LBK917508 LKZ917503:LLG917508 LUV917503:LVC917508 MER917503:MEY917508 MON917503:MOU917508 MYJ917503:MYQ917508 NIF917503:NIM917508 NSB917503:NSI917508 OBX917503:OCE917508 OLT917503:OMA917508 OVP917503:OVW917508 PFL917503:PFS917508 PPH917503:PPO917508 PZD917503:PZK917508 QIZ917503:QJG917508 QSV917503:QTC917508 RCR917503:RCY917508 RMN917503:RMU917508 RWJ917503:RWQ917508 SGF917503:SGM917508 SQB917503:SQI917508 SZX917503:TAE917508 TJT917503:TKA917508 TTP917503:TTW917508 UDL917503:UDS917508 UNH917503:UNO917508 UXD917503:UXK917508 VGZ917503:VHG917508 VQV917503:VRC917508 WAR917503:WAY917508 WKN917503:WKU917508 WUJ917503:WUQ917508" xr:uid="{845E1607-DDA4-4DAB-99EB-EF8F27A27D4E}">
      <formula1>"サーバ,クライアント"</formula1>
    </dataValidation>
  </dataValidations>
  <pageMargins left="0.7" right="0.7" top="0.75" bottom="0.75" header="0.3" footer="0.3"/>
  <pageSetup paperSize="9" scale="66" fitToHeight="0" orientation="landscape" r:id="rId1"/>
  <ignoredErrors>
    <ignoredError sqref="A5:B17 A18:B24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G282"/>
  <sheetViews>
    <sheetView showGridLines="0" tabSelected="1" topLeftCell="A198" zoomScale="85" zoomScaleNormal="85" zoomScaleSheetLayoutView="85" workbookViewId="0">
      <selection activeCell="F258" sqref="F258"/>
    </sheetView>
  </sheetViews>
  <sheetFormatPr defaultColWidth="2.5" defaultRowHeight="15.75"/>
  <cols>
    <col min="1" max="46" width="2.75" style="657" customWidth="1"/>
    <col min="47" max="48" width="3.25" style="657" customWidth="1"/>
    <col min="49" max="86" width="2.75" style="657" customWidth="1"/>
    <col min="87" max="16384" width="2.5" style="657"/>
  </cols>
  <sheetData>
    <row r="1" spans="1:85" ht="13.7" customHeight="1">
      <c r="A1" s="882" t="s">
        <v>419</v>
      </c>
      <c r="B1" s="882"/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CG1" s="656"/>
    </row>
    <row r="2" spans="1:85">
      <c r="A2" s="658"/>
      <c r="B2" s="659"/>
      <c r="C2" s="659"/>
      <c r="D2" s="659"/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59"/>
      <c r="AD2" s="659"/>
      <c r="AE2" s="659"/>
      <c r="AF2" s="659"/>
      <c r="AG2" s="659"/>
      <c r="AH2" s="659"/>
      <c r="AI2" s="659"/>
      <c r="AJ2" s="659"/>
      <c r="AK2" s="659"/>
      <c r="AL2" s="659"/>
      <c r="AM2" s="659"/>
      <c r="AN2" s="659"/>
      <c r="AO2" s="659"/>
      <c r="AP2" s="659"/>
      <c r="AQ2" s="659"/>
      <c r="AR2" s="659"/>
      <c r="AS2" s="659"/>
      <c r="AT2" s="659"/>
      <c r="AU2" s="659"/>
      <c r="AV2" s="659"/>
      <c r="AW2" s="659"/>
      <c r="AX2" s="659"/>
      <c r="AY2" s="659"/>
      <c r="AZ2" s="659"/>
      <c r="BA2" s="659"/>
      <c r="BB2" s="659"/>
      <c r="BC2" s="659"/>
      <c r="BD2" s="659"/>
      <c r="BE2" s="659"/>
      <c r="BF2" s="659"/>
      <c r="BG2" s="659"/>
      <c r="BH2" s="659"/>
      <c r="BI2" s="659"/>
      <c r="BJ2" s="659"/>
      <c r="BK2" s="659"/>
      <c r="BL2" s="659"/>
      <c r="BM2" s="659"/>
      <c r="BN2" s="659"/>
      <c r="BO2" s="659"/>
      <c r="BP2" s="659"/>
      <c r="BQ2" s="659"/>
      <c r="BR2" s="659"/>
      <c r="BS2" s="659"/>
      <c r="BT2" s="659"/>
      <c r="BU2" s="659"/>
      <c r="BV2" s="659"/>
      <c r="BW2" s="659"/>
      <c r="BX2" s="659"/>
      <c r="BY2" s="659"/>
      <c r="BZ2" s="659"/>
      <c r="CA2" s="659"/>
      <c r="CB2" s="659"/>
      <c r="CC2" s="659"/>
      <c r="CD2" s="659"/>
      <c r="CE2" s="659"/>
      <c r="CF2" s="659"/>
      <c r="CG2" s="660"/>
    </row>
    <row r="3" spans="1:85">
      <c r="A3" s="661"/>
      <c r="B3" s="662" t="s">
        <v>553</v>
      </c>
      <c r="CG3" s="656"/>
    </row>
    <row r="4" spans="1:85">
      <c r="A4" s="661"/>
      <c r="CG4" s="656"/>
    </row>
    <row r="5" spans="1:85">
      <c r="A5" s="661"/>
      <c r="E5" s="663" t="s">
        <v>420</v>
      </c>
      <c r="F5" s="663"/>
      <c r="G5" s="663"/>
      <c r="H5" s="663"/>
      <c r="J5" s="663"/>
      <c r="K5" s="663"/>
      <c r="L5" s="663"/>
      <c r="M5" s="663"/>
      <c r="N5" s="663"/>
      <c r="O5" s="663"/>
      <c r="P5" s="663"/>
      <c r="Q5" s="663"/>
      <c r="R5" s="663"/>
      <c r="S5" s="663"/>
      <c r="T5" s="663"/>
      <c r="U5" s="663"/>
      <c r="V5" s="663"/>
      <c r="W5" s="663"/>
      <c r="X5" s="663"/>
      <c r="Y5" s="663"/>
      <c r="Z5" s="663"/>
      <c r="AA5" s="663"/>
      <c r="AB5" s="663"/>
      <c r="AC5" s="663"/>
      <c r="AD5" s="663"/>
      <c r="AE5" s="663"/>
      <c r="AF5" s="663"/>
      <c r="AG5" s="663"/>
      <c r="AH5" s="663"/>
      <c r="AI5" s="663"/>
      <c r="AJ5" s="663"/>
      <c r="AK5" s="663"/>
      <c r="AL5" s="663"/>
      <c r="AM5" s="663"/>
      <c r="AN5" s="663"/>
      <c r="AO5" s="663"/>
      <c r="AP5" s="663"/>
      <c r="AQ5" s="663"/>
      <c r="AR5" s="663"/>
      <c r="AS5" s="663"/>
      <c r="AT5" s="663"/>
      <c r="AU5" s="663"/>
      <c r="CG5" s="656"/>
    </row>
    <row r="6" spans="1:85">
      <c r="A6" s="661"/>
      <c r="E6" s="663"/>
      <c r="F6" s="663"/>
      <c r="G6" s="663"/>
      <c r="H6" s="663"/>
      <c r="I6" s="663"/>
      <c r="J6" s="663"/>
      <c r="K6" s="663"/>
      <c r="L6" s="663"/>
      <c r="M6" s="663"/>
      <c r="N6" s="663"/>
      <c r="O6" s="663"/>
      <c r="P6" s="663"/>
      <c r="Q6" s="663"/>
      <c r="R6" s="663"/>
      <c r="S6" s="663"/>
      <c r="T6" s="663"/>
      <c r="U6" s="663"/>
      <c r="V6" s="663"/>
      <c r="W6" s="663"/>
      <c r="X6" s="663"/>
      <c r="Y6" s="663"/>
      <c r="Z6" s="663"/>
      <c r="AA6" s="663"/>
      <c r="AB6" s="663"/>
      <c r="AC6" s="663"/>
      <c r="AD6" s="663"/>
      <c r="AE6" s="663"/>
      <c r="AF6" s="663"/>
      <c r="AG6" s="663"/>
      <c r="AH6" s="663"/>
      <c r="AI6" s="663"/>
      <c r="AJ6" s="663"/>
      <c r="AK6" s="663"/>
      <c r="AL6" s="663"/>
      <c r="AM6" s="663"/>
      <c r="AN6" s="663"/>
      <c r="AO6" s="663"/>
      <c r="AP6" s="663"/>
      <c r="AQ6" s="663"/>
      <c r="AR6" s="663"/>
      <c r="AS6" s="663"/>
      <c r="AT6" s="663"/>
      <c r="AU6" s="663"/>
      <c r="CG6" s="656"/>
    </row>
    <row r="7" spans="1:85">
      <c r="A7" s="661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  <c r="X7" s="663"/>
      <c r="Y7" s="663"/>
      <c r="Z7" s="663"/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CG7" s="656"/>
    </row>
    <row r="8" spans="1:85">
      <c r="A8" s="661"/>
      <c r="E8" s="663"/>
      <c r="F8" s="663"/>
      <c r="G8" s="663"/>
      <c r="H8" s="663"/>
      <c r="I8" s="663"/>
      <c r="J8" s="663"/>
      <c r="K8" s="663"/>
      <c r="L8" s="663"/>
      <c r="M8" s="663"/>
      <c r="N8" s="663"/>
      <c r="O8" s="663"/>
      <c r="P8" s="663"/>
      <c r="Q8" s="663"/>
      <c r="R8" s="663"/>
      <c r="S8" s="663"/>
      <c r="T8" s="663"/>
      <c r="U8" s="663"/>
      <c r="V8" s="663"/>
      <c r="W8" s="663"/>
      <c r="X8" s="663"/>
      <c r="Y8" s="663"/>
      <c r="Z8" s="663"/>
      <c r="AA8" s="663"/>
      <c r="AB8" s="663"/>
      <c r="AC8" s="663"/>
      <c r="AD8" s="663"/>
      <c r="AE8" s="663"/>
      <c r="AF8" s="663"/>
      <c r="AG8" s="663"/>
      <c r="AH8" s="663"/>
      <c r="AI8" s="663"/>
      <c r="AJ8" s="663"/>
      <c r="AK8" s="663"/>
      <c r="AL8" s="663"/>
      <c r="AM8" s="663"/>
      <c r="AN8" s="663"/>
      <c r="AO8" s="663"/>
      <c r="AP8" s="663"/>
      <c r="AQ8" s="663"/>
      <c r="AR8" s="663"/>
      <c r="AS8" s="663"/>
      <c r="AT8" s="663"/>
      <c r="AU8" s="663"/>
      <c r="CG8" s="656"/>
    </row>
    <row r="9" spans="1:85">
      <c r="A9" s="661"/>
      <c r="E9" s="663"/>
      <c r="F9" s="663"/>
      <c r="G9" s="663"/>
      <c r="H9" s="663"/>
      <c r="I9" s="663"/>
      <c r="J9" s="663"/>
      <c r="K9" s="663"/>
      <c r="L9" s="663"/>
      <c r="M9" s="663"/>
      <c r="N9" s="663"/>
      <c r="O9" s="663"/>
      <c r="P9" s="663"/>
      <c r="Q9" s="663"/>
      <c r="R9" s="663"/>
      <c r="S9" s="663"/>
      <c r="T9" s="663"/>
      <c r="U9" s="663"/>
      <c r="V9" s="663"/>
      <c r="W9" s="663"/>
      <c r="X9" s="663"/>
      <c r="Y9" s="663"/>
      <c r="Z9" s="663"/>
      <c r="AA9" s="663"/>
      <c r="AB9" s="663"/>
      <c r="AC9" s="663"/>
      <c r="AD9" s="663"/>
      <c r="AE9" s="663"/>
      <c r="AF9" s="663"/>
      <c r="AG9" s="663"/>
      <c r="AH9" s="663"/>
      <c r="AI9" s="663"/>
      <c r="AJ9" s="663"/>
      <c r="AK9" s="663"/>
      <c r="AL9" s="663"/>
      <c r="AM9" s="663"/>
      <c r="AN9" s="663"/>
      <c r="AO9" s="663"/>
      <c r="AP9" s="663"/>
      <c r="AQ9" s="663"/>
      <c r="AR9" s="663"/>
      <c r="AS9" s="663"/>
      <c r="AT9" s="663"/>
      <c r="AU9" s="663"/>
      <c r="CG9" s="656"/>
    </row>
    <row r="10" spans="1:85">
      <c r="A10" s="661"/>
      <c r="E10" s="663"/>
      <c r="F10" s="663"/>
      <c r="G10" s="663"/>
      <c r="H10" s="663"/>
      <c r="I10" s="663"/>
      <c r="J10" s="663"/>
      <c r="K10" s="663"/>
      <c r="L10" s="663"/>
      <c r="M10" s="663"/>
      <c r="N10" s="663"/>
      <c r="O10" s="663"/>
      <c r="P10" s="663"/>
      <c r="Q10" s="663"/>
      <c r="R10" s="663"/>
      <c r="S10" s="663"/>
      <c r="T10" s="663"/>
      <c r="U10" s="663"/>
      <c r="V10" s="663"/>
      <c r="W10" s="663"/>
      <c r="X10" s="663"/>
      <c r="Y10" s="663"/>
      <c r="Z10" s="663"/>
      <c r="AA10" s="663"/>
      <c r="AB10" s="663"/>
      <c r="AC10" s="663"/>
      <c r="AD10" s="663"/>
      <c r="AE10" s="663"/>
      <c r="AF10" s="663"/>
      <c r="AG10" s="663"/>
      <c r="AH10" s="663"/>
      <c r="AI10" s="663"/>
      <c r="AJ10" s="663"/>
      <c r="AK10" s="663"/>
      <c r="AL10" s="663"/>
      <c r="AM10" s="663"/>
      <c r="AN10" s="663"/>
      <c r="AO10" s="663"/>
      <c r="AP10" s="663"/>
      <c r="AQ10" s="663"/>
      <c r="AR10" s="663"/>
      <c r="AS10" s="663"/>
      <c r="AT10" s="663"/>
      <c r="AU10" s="663"/>
      <c r="CG10" s="656"/>
    </row>
    <row r="11" spans="1:85">
      <c r="A11" s="661"/>
      <c r="E11" s="663"/>
      <c r="F11" s="663"/>
      <c r="G11" s="663"/>
      <c r="H11" s="663"/>
      <c r="I11" s="663"/>
      <c r="J11" s="663"/>
      <c r="K11" s="663"/>
      <c r="L11" s="663"/>
      <c r="M11" s="663"/>
      <c r="N11" s="663"/>
      <c r="O11" s="663"/>
      <c r="P11" s="663"/>
      <c r="Q11" s="663"/>
      <c r="R11" s="663"/>
      <c r="S11" s="663"/>
      <c r="T11" s="663"/>
      <c r="U11" s="663"/>
      <c r="V11" s="663"/>
      <c r="W11" s="663"/>
      <c r="X11" s="663"/>
      <c r="Y11" s="663"/>
      <c r="Z11" s="663"/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CG11" s="656"/>
    </row>
    <row r="12" spans="1:85">
      <c r="A12" s="661"/>
      <c r="E12" s="663"/>
      <c r="F12" s="663"/>
      <c r="G12" s="663"/>
      <c r="H12" s="663"/>
      <c r="I12" s="663"/>
      <c r="J12" s="663"/>
      <c r="K12" s="663"/>
      <c r="L12" s="663"/>
      <c r="M12" s="663"/>
      <c r="N12" s="663"/>
      <c r="O12" s="663"/>
      <c r="P12" s="663"/>
      <c r="Q12" s="663"/>
      <c r="R12" s="663"/>
      <c r="S12" s="663"/>
      <c r="T12" s="663"/>
      <c r="U12" s="663"/>
      <c r="V12" s="663"/>
      <c r="W12" s="663"/>
      <c r="X12" s="663"/>
      <c r="Y12" s="663"/>
      <c r="Z12" s="663"/>
      <c r="AA12" s="663"/>
      <c r="AB12" s="663"/>
      <c r="AC12" s="663"/>
      <c r="AD12" s="663"/>
      <c r="AE12" s="663"/>
      <c r="AF12" s="663"/>
      <c r="AG12" s="663"/>
      <c r="AH12" s="663"/>
      <c r="AI12" s="663"/>
      <c r="AJ12" s="663"/>
      <c r="AK12" s="663"/>
      <c r="AL12" s="663"/>
      <c r="AM12" s="663"/>
      <c r="AN12" s="663"/>
      <c r="AO12" s="663"/>
      <c r="AP12" s="663"/>
      <c r="AQ12" s="663"/>
      <c r="AR12" s="663"/>
      <c r="AS12" s="663"/>
      <c r="AT12" s="663"/>
      <c r="AU12" s="663"/>
      <c r="CG12" s="656"/>
    </row>
    <row r="13" spans="1:85">
      <c r="A13" s="661"/>
      <c r="E13" s="663"/>
      <c r="F13" s="663"/>
      <c r="G13" s="663"/>
      <c r="H13" s="663"/>
      <c r="I13" s="663"/>
      <c r="J13" s="663"/>
      <c r="K13" s="663"/>
      <c r="L13" s="663"/>
      <c r="M13" s="663"/>
      <c r="N13" s="663"/>
      <c r="O13" s="663"/>
      <c r="P13" s="663"/>
      <c r="Q13" s="663"/>
      <c r="R13" s="663"/>
      <c r="S13" s="663"/>
      <c r="T13" s="663"/>
      <c r="U13" s="663"/>
      <c r="V13" s="663"/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3"/>
      <c r="AL13" s="663"/>
      <c r="AM13" s="663"/>
      <c r="AN13" s="663"/>
      <c r="AO13" s="663"/>
      <c r="AP13" s="663"/>
      <c r="AQ13" s="663"/>
      <c r="AR13" s="663"/>
      <c r="AS13" s="663"/>
      <c r="AT13" s="663"/>
      <c r="AU13" s="663"/>
      <c r="CG13" s="656"/>
    </row>
    <row r="14" spans="1:85">
      <c r="A14" s="661"/>
      <c r="E14" s="663"/>
      <c r="F14" s="663"/>
      <c r="G14" s="663"/>
      <c r="H14" s="663"/>
      <c r="I14" s="663"/>
      <c r="J14" s="663"/>
      <c r="K14" s="663"/>
      <c r="L14" s="663"/>
      <c r="M14" s="663"/>
      <c r="N14" s="663"/>
      <c r="O14" s="663"/>
      <c r="P14" s="663"/>
      <c r="Q14" s="663"/>
      <c r="R14" s="663"/>
      <c r="S14" s="663"/>
      <c r="T14" s="663"/>
      <c r="U14" s="663"/>
      <c r="V14" s="663"/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  <c r="AT14" s="663"/>
      <c r="AU14" s="663"/>
      <c r="CG14" s="656"/>
    </row>
    <row r="15" spans="1:85">
      <c r="A15" s="661"/>
      <c r="E15" s="663"/>
      <c r="F15" s="663"/>
      <c r="G15" s="663"/>
      <c r="H15" s="663"/>
      <c r="I15" s="663"/>
      <c r="J15" s="663"/>
      <c r="K15" s="663"/>
      <c r="L15" s="663"/>
      <c r="M15" s="663"/>
      <c r="N15" s="663"/>
      <c r="O15" s="663"/>
      <c r="P15" s="663"/>
      <c r="Q15" s="663"/>
      <c r="R15" s="663"/>
      <c r="S15" s="663"/>
      <c r="T15" s="663"/>
      <c r="U15" s="663"/>
      <c r="V15" s="663"/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CG15" s="656"/>
    </row>
    <row r="16" spans="1:85">
      <c r="A16" s="661"/>
      <c r="E16" s="663"/>
      <c r="F16" s="663"/>
      <c r="G16" s="663"/>
      <c r="H16" s="663"/>
      <c r="I16" s="663"/>
      <c r="J16" s="663"/>
      <c r="K16" s="663"/>
      <c r="L16" s="663"/>
      <c r="M16" s="663"/>
      <c r="N16" s="663"/>
      <c r="O16" s="663"/>
      <c r="P16" s="663"/>
      <c r="Q16" s="663"/>
      <c r="R16" s="663"/>
      <c r="S16" s="663"/>
      <c r="T16" s="663"/>
      <c r="U16" s="663"/>
      <c r="V16" s="663"/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3"/>
      <c r="AH16" s="663"/>
      <c r="AI16" s="663"/>
      <c r="AJ16" s="663"/>
      <c r="AK16" s="663"/>
      <c r="AL16" s="663"/>
      <c r="AM16" s="663"/>
      <c r="AN16" s="663"/>
      <c r="AO16" s="663"/>
      <c r="AP16" s="663"/>
      <c r="AQ16" s="663"/>
      <c r="AR16" s="663"/>
      <c r="AS16" s="663"/>
      <c r="AT16" s="663"/>
      <c r="AU16" s="663"/>
      <c r="CG16" s="656"/>
    </row>
    <row r="17" spans="1:85">
      <c r="A17" s="661"/>
      <c r="E17" s="663"/>
      <c r="F17" s="663"/>
      <c r="G17" s="663"/>
      <c r="H17" s="663"/>
      <c r="I17" s="663"/>
      <c r="J17" s="663"/>
      <c r="K17" s="663"/>
      <c r="L17" s="663"/>
      <c r="M17" s="663"/>
      <c r="N17" s="663"/>
      <c r="O17" s="663"/>
      <c r="P17" s="663"/>
      <c r="Q17" s="663"/>
      <c r="R17" s="663"/>
      <c r="S17" s="663"/>
      <c r="T17" s="663"/>
      <c r="U17" s="663"/>
      <c r="V17" s="663"/>
      <c r="W17" s="663"/>
      <c r="X17" s="663"/>
      <c r="Y17" s="663"/>
      <c r="Z17" s="663"/>
      <c r="AA17" s="663"/>
      <c r="AB17" s="663"/>
      <c r="AC17" s="663"/>
      <c r="AD17" s="663"/>
      <c r="AE17" s="663"/>
      <c r="AF17" s="663"/>
      <c r="AG17" s="663"/>
      <c r="AH17" s="663"/>
      <c r="AI17" s="663"/>
      <c r="AJ17" s="663"/>
      <c r="AK17" s="663"/>
      <c r="AL17" s="663"/>
      <c r="AM17" s="663"/>
      <c r="AN17" s="663"/>
      <c r="AO17" s="663"/>
      <c r="AP17" s="663"/>
      <c r="AQ17" s="663"/>
      <c r="AR17" s="663"/>
      <c r="AS17" s="663"/>
      <c r="AT17" s="663"/>
      <c r="AU17" s="663"/>
      <c r="CG17" s="656"/>
    </row>
    <row r="18" spans="1:85">
      <c r="A18" s="661"/>
      <c r="E18" s="663"/>
      <c r="F18" s="663"/>
      <c r="G18" s="663"/>
      <c r="H18" s="663"/>
      <c r="I18" s="663"/>
      <c r="J18" s="663"/>
      <c r="K18" s="663"/>
      <c r="L18" s="663"/>
      <c r="M18" s="663"/>
      <c r="N18" s="663"/>
      <c r="O18" s="663"/>
      <c r="P18" s="663"/>
      <c r="Q18" s="663"/>
      <c r="R18" s="663"/>
      <c r="S18" s="663"/>
      <c r="T18" s="663"/>
      <c r="U18" s="663"/>
      <c r="V18" s="663"/>
      <c r="W18" s="663"/>
      <c r="X18" s="663"/>
      <c r="Y18" s="663"/>
      <c r="Z18" s="663"/>
      <c r="AA18" s="663"/>
      <c r="AB18" s="663"/>
      <c r="AC18" s="663"/>
      <c r="AD18" s="663"/>
      <c r="AE18" s="663"/>
      <c r="AF18" s="663"/>
      <c r="AG18" s="663"/>
      <c r="AH18" s="663"/>
      <c r="AI18" s="663"/>
      <c r="AJ18" s="663"/>
      <c r="AK18" s="663"/>
      <c r="AL18" s="663"/>
      <c r="AM18" s="663"/>
      <c r="AN18" s="663"/>
      <c r="AO18" s="663"/>
      <c r="AP18" s="663"/>
      <c r="AQ18" s="663"/>
      <c r="AR18" s="663"/>
      <c r="AS18" s="663"/>
      <c r="AT18" s="663"/>
      <c r="AU18" s="663"/>
      <c r="CG18" s="656"/>
    </row>
    <row r="19" spans="1:85">
      <c r="A19" s="661"/>
      <c r="E19" s="663"/>
      <c r="F19" s="663"/>
      <c r="G19" s="663"/>
      <c r="H19" s="663"/>
      <c r="I19" s="663"/>
      <c r="J19" s="663"/>
      <c r="K19" s="663"/>
      <c r="L19" s="663"/>
      <c r="M19" s="663"/>
      <c r="N19" s="663"/>
      <c r="O19" s="663"/>
      <c r="P19" s="663"/>
      <c r="Q19" s="663"/>
      <c r="R19" s="663"/>
      <c r="S19" s="663"/>
      <c r="T19" s="663"/>
      <c r="U19" s="663"/>
      <c r="V19" s="663"/>
      <c r="W19" s="663"/>
      <c r="X19" s="663"/>
      <c r="Y19" s="663"/>
      <c r="Z19" s="663"/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CG19" s="656"/>
    </row>
    <row r="20" spans="1:85">
      <c r="A20" s="661"/>
      <c r="E20" s="663"/>
      <c r="F20" s="663"/>
      <c r="G20" s="663"/>
      <c r="H20" s="663"/>
      <c r="I20" s="663"/>
      <c r="J20" s="663"/>
      <c r="K20" s="663"/>
      <c r="L20" s="663"/>
      <c r="M20" s="663"/>
      <c r="N20" s="663"/>
      <c r="O20" s="663"/>
      <c r="P20" s="663"/>
      <c r="Q20" s="663"/>
      <c r="R20" s="663"/>
      <c r="S20" s="663"/>
      <c r="T20" s="663"/>
      <c r="U20" s="663"/>
      <c r="V20" s="663"/>
      <c r="W20" s="663"/>
      <c r="X20" s="663"/>
      <c r="Y20" s="663"/>
      <c r="Z20" s="663"/>
      <c r="AA20" s="663"/>
      <c r="AB20" s="663"/>
      <c r="AC20" s="663"/>
      <c r="AD20" s="663"/>
      <c r="AE20" s="663"/>
      <c r="AF20" s="663"/>
      <c r="AG20" s="663"/>
      <c r="AH20" s="663"/>
      <c r="AI20" s="663"/>
      <c r="AJ20" s="663"/>
      <c r="AK20" s="663"/>
      <c r="AL20" s="663"/>
      <c r="AM20" s="663"/>
      <c r="AN20" s="663"/>
      <c r="AO20" s="663"/>
      <c r="AP20" s="663"/>
      <c r="AQ20" s="663"/>
      <c r="AR20" s="663"/>
      <c r="AS20" s="663"/>
      <c r="AT20" s="663"/>
      <c r="AU20" s="663"/>
      <c r="CG20" s="656"/>
    </row>
    <row r="21" spans="1:85">
      <c r="A21" s="661"/>
      <c r="E21" s="663"/>
      <c r="F21" s="663"/>
      <c r="G21" s="663"/>
      <c r="H21" s="663"/>
      <c r="I21" s="663"/>
      <c r="J21" s="663"/>
      <c r="K21" s="663"/>
      <c r="L21" s="663"/>
      <c r="M21" s="663"/>
      <c r="N21" s="663"/>
      <c r="O21" s="663"/>
      <c r="P21" s="663"/>
      <c r="Q21" s="663"/>
      <c r="R21" s="663"/>
      <c r="S21" s="663"/>
      <c r="T21" s="663"/>
      <c r="U21" s="663"/>
      <c r="V21" s="663"/>
      <c r="W21" s="663"/>
      <c r="X21" s="663"/>
      <c r="Y21" s="663"/>
      <c r="Z21" s="663"/>
      <c r="AA21" s="663"/>
      <c r="AB21" s="663"/>
      <c r="AC21" s="663"/>
      <c r="AD21" s="663"/>
      <c r="AE21" s="663"/>
      <c r="AF21" s="663"/>
      <c r="AG21" s="663"/>
      <c r="AH21" s="663"/>
      <c r="AI21" s="663"/>
      <c r="AJ21" s="663"/>
      <c r="AK21" s="663"/>
      <c r="AL21" s="663"/>
      <c r="AM21" s="663"/>
      <c r="AN21" s="663"/>
      <c r="AO21" s="663"/>
      <c r="AP21" s="663"/>
      <c r="AQ21" s="663"/>
      <c r="AR21" s="663"/>
      <c r="AS21" s="663"/>
      <c r="AT21" s="663"/>
      <c r="AU21" s="663"/>
      <c r="CG21" s="656"/>
    </row>
    <row r="22" spans="1:85">
      <c r="A22" s="661"/>
      <c r="E22" s="663"/>
      <c r="F22" s="663"/>
      <c r="G22" s="663"/>
      <c r="H22" s="663"/>
      <c r="I22" s="663"/>
      <c r="J22" s="663"/>
      <c r="K22" s="663"/>
      <c r="L22" s="663"/>
      <c r="M22" s="663"/>
      <c r="N22" s="663"/>
      <c r="O22" s="663"/>
      <c r="P22" s="663"/>
      <c r="Q22" s="663"/>
      <c r="R22" s="663"/>
      <c r="S22" s="663"/>
      <c r="T22" s="663"/>
      <c r="U22" s="663"/>
      <c r="V22" s="663"/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3"/>
      <c r="AH22" s="663"/>
      <c r="AI22" s="663"/>
      <c r="AJ22" s="663"/>
      <c r="AK22" s="663"/>
      <c r="AL22" s="663"/>
      <c r="AM22" s="663"/>
      <c r="AN22" s="663"/>
      <c r="AO22" s="663"/>
      <c r="AP22" s="663"/>
      <c r="AQ22" s="663"/>
      <c r="AR22" s="663"/>
      <c r="AS22" s="663"/>
      <c r="AT22" s="663"/>
      <c r="AU22" s="663"/>
      <c r="CG22" s="656"/>
    </row>
    <row r="23" spans="1:85">
      <c r="A23" s="661"/>
      <c r="E23" s="663"/>
      <c r="F23" s="663"/>
      <c r="G23" s="663"/>
      <c r="H23" s="663"/>
      <c r="I23" s="663"/>
      <c r="J23" s="663"/>
      <c r="K23" s="663"/>
      <c r="L23" s="663"/>
      <c r="M23" s="663"/>
      <c r="N23" s="663"/>
      <c r="O23" s="663"/>
      <c r="P23" s="663"/>
      <c r="Q23" s="663"/>
      <c r="R23" s="663"/>
      <c r="S23" s="663"/>
      <c r="T23" s="663"/>
      <c r="U23" s="663"/>
      <c r="V23" s="663"/>
      <c r="W23" s="663"/>
      <c r="X23" s="663"/>
      <c r="Y23" s="663"/>
      <c r="Z23" s="663"/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CG23" s="656"/>
    </row>
    <row r="24" spans="1:85">
      <c r="A24" s="661"/>
      <c r="E24" s="663"/>
      <c r="F24" s="663"/>
      <c r="G24" s="663"/>
      <c r="H24" s="663"/>
      <c r="I24" s="663"/>
      <c r="J24" s="663"/>
      <c r="K24" s="663"/>
      <c r="L24" s="663"/>
      <c r="M24" s="663"/>
      <c r="N24" s="663"/>
      <c r="O24" s="663"/>
      <c r="P24" s="663"/>
      <c r="Q24" s="663"/>
      <c r="R24" s="663"/>
      <c r="S24" s="663"/>
      <c r="T24" s="663"/>
      <c r="U24" s="663"/>
      <c r="V24" s="663"/>
      <c r="W24" s="663"/>
      <c r="X24" s="663"/>
      <c r="Y24" s="663"/>
      <c r="Z24" s="663"/>
      <c r="AA24" s="663"/>
      <c r="AB24" s="663"/>
      <c r="AC24" s="663"/>
      <c r="AD24" s="663"/>
      <c r="AE24" s="663"/>
      <c r="AF24" s="663"/>
      <c r="AG24" s="663"/>
      <c r="AH24" s="663"/>
      <c r="AI24" s="663"/>
      <c r="AJ24" s="663"/>
      <c r="AK24" s="663"/>
      <c r="AL24" s="663"/>
      <c r="AM24" s="663"/>
      <c r="AN24" s="663"/>
      <c r="AO24" s="663"/>
      <c r="AP24" s="663"/>
      <c r="AQ24" s="663"/>
      <c r="AR24" s="663"/>
      <c r="AS24" s="663"/>
      <c r="AT24" s="663"/>
      <c r="AU24" s="663"/>
      <c r="CG24" s="656"/>
    </row>
    <row r="25" spans="1:85">
      <c r="A25" s="661"/>
      <c r="E25" s="663"/>
      <c r="F25" s="663"/>
      <c r="G25" s="663"/>
      <c r="H25" s="663"/>
      <c r="I25" s="663"/>
      <c r="J25" s="663"/>
      <c r="K25" s="663"/>
      <c r="L25" s="663"/>
      <c r="M25" s="663"/>
      <c r="N25" s="663"/>
      <c r="O25" s="663"/>
      <c r="P25" s="663"/>
      <c r="Q25" s="663"/>
      <c r="R25" s="663"/>
      <c r="S25" s="663"/>
      <c r="T25" s="663"/>
      <c r="U25" s="663"/>
      <c r="V25" s="663"/>
      <c r="W25" s="663"/>
      <c r="X25" s="663"/>
      <c r="Y25" s="663"/>
      <c r="Z25" s="663"/>
      <c r="AA25" s="663"/>
      <c r="AB25" s="663"/>
      <c r="AC25" s="663"/>
      <c r="AD25" s="663"/>
      <c r="AE25" s="663"/>
      <c r="AF25" s="663"/>
      <c r="AG25" s="663"/>
      <c r="AH25" s="663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CG25" s="656"/>
    </row>
    <row r="26" spans="1:85">
      <c r="A26" s="661"/>
      <c r="E26" s="663"/>
      <c r="F26" s="663"/>
      <c r="G26" s="663"/>
      <c r="H26" s="663"/>
      <c r="I26" s="663"/>
      <c r="J26" s="663"/>
      <c r="K26" s="663"/>
      <c r="L26" s="663"/>
      <c r="M26" s="663"/>
      <c r="N26" s="663"/>
      <c r="O26" s="663"/>
      <c r="P26" s="663"/>
      <c r="Q26" s="663"/>
      <c r="R26" s="663"/>
      <c r="S26" s="663"/>
      <c r="T26" s="663"/>
      <c r="U26" s="663"/>
      <c r="V26" s="663"/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3"/>
      <c r="AI26" s="663"/>
      <c r="AJ26" s="663"/>
      <c r="AK26" s="663"/>
      <c r="AL26" s="663"/>
      <c r="AM26" s="663"/>
      <c r="AN26" s="663"/>
      <c r="AO26" s="663"/>
      <c r="AP26" s="663"/>
      <c r="AQ26" s="663"/>
      <c r="AR26" s="663"/>
      <c r="AS26" s="663"/>
      <c r="AT26" s="663"/>
      <c r="AU26" s="663"/>
      <c r="CG26" s="656"/>
    </row>
    <row r="27" spans="1:85">
      <c r="A27" s="661"/>
      <c r="E27" s="663"/>
      <c r="F27" s="663"/>
      <c r="G27" s="663"/>
      <c r="H27" s="663"/>
      <c r="I27" s="663"/>
      <c r="J27" s="663"/>
      <c r="K27" s="663"/>
      <c r="L27" s="663"/>
      <c r="M27" s="663"/>
      <c r="N27" s="663"/>
      <c r="O27" s="663"/>
      <c r="P27" s="663"/>
      <c r="Q27" s="663"/>
      <c r="R27" s="663"/>
      <c r="S27" s="663"/>
      <c r="T27" s="663"/>
      <c r="U27" s="663"/>
      <c r="V27" s="663"/>
      <c r="W27" s="663"/>
      <c r="X27" s="663"/>
      <c r="Y27" s="663"/>
      <c r="Z27" s="663"/>
      <c r="AA27" s="663"/>
      <c r="AB27" s="663"/>
      <c r="AC27" s="663"/>
      <c r="AD27" s="663"/>
      <c r="AE27" s="663"/>
      <c r="AF27" s="663"/>
      <c r="AG27" s="663"/>
      <c r="AH27" s="663"/>
      <c r="AI27" s="663"/>
      <c r="AJ27" s="663"/>
      <c r="AK27" s="663"/>
      <c r="AL27" s="663"/>
      <c r="AM27" s="663"/>
      <c r="AN27" s="663"/>
      <c r="AO27" s="663"/>
      <c r="AP27" s="663"/>
      <c r="AQ27" s="663"/>
      <c r="AR27" s="663"/>
      <c r="AS27" s="663"/>
      <c r="AT27" s="663"/>
      <c r="AU27" s="663"/>
      <c r="CG27" s="656"/>
    </row>
    <row r="28" spans="1:85">
      <c r="A28" s="661"/>
      <c r="E28" s="663"/>
      <c r="F28" s="663"/>
      <c r="G28" s="663"/>
      <c r="H28" s="663"/>
      <c r="I28" s="663"/>
      <c r="J28" s="663"/>
      <c r="K28" s="663"/>
      <c r="L28" s="663"/>
      <c r="M28" s="663"/>
      <c r="N28" s="663"/>
      <c r="O28" s="663"/>
      <c r="P28" s="663"/>
      <c r="Q28" s="663"/>
      <c r="R28" s="663"/>
      <c r="S28" s="663"/>
      <c r="T28" s="663"/>
      <c r="U28" s="663"/>
      <c r="V28" s="663"/>
      <c r="W28" s="663"/>
      <c r="X28" s="663"/>
      <c r="Y28" s="663"/>
      <c r="Z28" s="663"/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CG28" s="656"/>
    </row>
    <row r="29" spans="1:85">
      <c r="A29" s="661"/>
      <c r="E29" s="663"/>
      <c r="F29" s="663"/>
      <c r="G29" s="663"/>
      <c r="H29" s="663"/>
      <c r="I29" s="663"/>
      <c r="J29" s="663"/>
      <c r="K29" s="663"/>
      <c r="L29" s="663"/>
      <c r="M29" s="663"/>
      <c r="N29" s="663"/>
      <c r="O29" s="663"/>
      <c r="P29" s="663"/>
      <c r="Q29" s="663"/>
      <c r="R29" s="663"/>
      <c r="S29" s="663"/>
      <c r="T29" s="663"/>
      <c r="U29" s="663"/>
      <c r="V29" s="663"/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3"/>
      <c r="AM29" s="663"/>
      <c r="AN29" s="663"/>
      <c r="AO29" s="663"/>
      <c r="AP29" s="663"/>
      <c r="AQ29" s="663"/>
      <c r="AR29" s="663"/>
      <c r="AS29" s="663"/>
      <c r="AT29" s="663"/>
      <c r="AU29" s="663"/>
      <c r="CG29" s="656"/>
    </row>
    <row r="30" spans="1:85">
      <c r="A30" s="661"/>
      <c r="E30" s="663"/>
      <c r="F30" s="663"/>
      <c r="G30" s="663"/>
      <c r="H30" s="663"/>
      <c r="I30" s="663"/>
      <c r="J30" s="663"/>
      <c r="K30" s="663"/>
      <c r="L30" s="663"/>
      <c r="M30" s="663"/>
      <c r="N30" s="663"/>
      <c r="O30" s="663"/>
      <c r="P30" s="663"/>
      <c r="Q30" s="663"/>
      <c r="R30" s="663"/>
      <c r="S30" s="663"/>
      <c r="T30" s="663"/>
      <c r="U30" s="663"/>
      <c r="V30" s="663"/>
      <c r="W30" s="663"/>
      <c r="X30" s="663"/>
      <c r="Y30" s="663"/>
      <c r="Z30" s="663"/>
      <c r="AA30" s="663"/>
      <c r="AB30" s="663"/>
      <c r="AC30" s="663"/>
      <c r="AD30" s="663"/>
      <c r="AE30" s="663"/>
      <c r="AF30" s="663"/>
      <c r="AG30" s="663"/>
      <c r="AH30" s="663"/>
      <c r="AI30" s="663"/>
      <c r="AJ30" s="663"/>
      <c r="AK30" s="663"/>
      <c r="AL30" s="663"/>
      <c r="AM30" s="663"/>
      <c r="AN30" s="663"/>
      <c r="AO30" s="663"/>
      <c r="AP30" s="663"/>
      <c r="AQ30" s="663"/>
      <c r="AR30" s="663"/>
      <c r="AS30" s="663"/>
      <c r="AT30" s="663"/>
      <c r="AU30" s="663"/>
      <c r="CG30" s="656"/>
    </row>
    <row r="31" spans="1:85">
      <c r="A31" s="661"/>
      <c r="E31" s="663"/>
      <c r="F31" s="663"/>
      <c r="G31" s="663"/>
      <c r="H31" s="663"/>
      <c r="I31" s="663"/>
      <c r="J31" s="663"/>
      <c r="K31" s="663"/>
      <c r="L31" s="663"/>
      <c r="M31" s="663"/>
      <c r="N31" s="663"/>
      <c r="O31" s="663"/>
      <c r="P31" s="663"/>
      <c r="Q31" s="663"/>
      <c r="R31" s="663"/>
      <c r="S31" s="663"/>
      <c r="T31" s="663"/>
      <c r="U31" s="663"/>
      <c r="V31" s="663"/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3"/>
      <c r="AL31" s="663"/>
      <c r="AM31" s="663"/>
      <c r="AN31" s="663"/>
      <c r="AO31" s="663"/>
      <c r="AP31" s="663"/>
      <c r="AQ31" s="663"/>
      <c r="AR31" s="663"/>
      <c r="AS31" s="663"/>
      <c r="AT31" s="663"/>
      <c r="AU31" s="663"/>
      <c r="CG31" s="656"/>
    </row>
    <row r="32" spans="1:85">
      <c r="A32" s="661"/>
      <c r="E32" s="663"/>
      <c r="F32" s="663"/>
      <c r="G32" s="663"/>
      <c r="H32" s="663"/>
      <c r="I32" s="663"/>
      <c r="J32" s="663"/>
      <c r="K32" s="663"/>
      <c r="L32" s="663"/>
      <c r="M32" s="663"/>
      <c r="N32" s="663"/>
      <c r="O32" s="663"/>
      <c r="P32" s="663"/>
      <c r="Q32" s="663"/>
      <c r="R32" s="663"/>
      <c r="S32" s="663"/>
      <c r="T32" s="663"/>
      <c r="U32" s="663"/>
      <c r="V32" s="663"/>
      <c r="W32" s="663"/>
      <c r="X32" s="663"/>
      <c r="Y32" s="663"/>
      <c r="Z32" s="663"/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CG32" s="656"/>
    </row>
    <row r="33" spans="1:85">
      <c r="A33" s="661"/>
      <c r="E33" s="663"/>
      <c r="F33" s="663"/>
      <c r="G33" s="663"/>
      <c r="H33" s="663"/>
      <c r="I33" s="663"/>
      <c r="J33" s="663"/>
      <c r="K33" s="663"/>
      <c r="L33" s="663"/>
      <c r="M33" s="663"/>
      <c r="N33" s="663"/>
      <c r="O33" s="663"/>
      <c r="P33" s="663"/>
      <c r="Q33" s="663"/>
      <c r="R33" s="663"/>
      <c r="S33" s="663"/>
      <c r="T33" s="663"/>
      <c r="U33" s="663"/>
      <c r="V33" s="663"/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3"/>
      <c r="AL33" s="663"/>
      <c r="AM33" s="663"/>
      <c r="AN33" s="663"/>
      <c r="AO33" s="663"/>
      <c r="AP33" s="663"/>
      <c r="AQ33" s="663"/>
      <c r="AR33" s="663"/>
      <c r="AS33" s="663"/>
      <c r="AT33" s="663"/>
      <c r="AU33" s="663"/>
      <c r="CG33" s="656"/>
    </row>
    <row r="34" spans="1:85">
      <c r="A34" s="661"/>
      <c r="E34" s="663"/>
      <c r="F34" s="663"/>
      <c r="G34" s="663"/>
      <c r="H34" s="663"/>
      <c r="I34" s="663"/>
      <c r="J34" s="663"/>
      <c r="K34" s="663"/>
      <c r="L34" s="663"/>
      <c r="M34" s="663"/>
      <c r="N34" s="663"/>
      <c r="O34" s="663"/>
      <c r="P34" s="663"/>
      <c r="Q34" s="663"/>
      <c r="R34" s="663"/>
      <c r="S34" s="663"/>
      <c r="T34" s="663"/>
      <c r="U34" s="663"/>
      <c r="V34" s="663"/>
      <c r="W34" s="663"/>
      <c r="X34" s="663"/>
      <c r="Y34" s="663"/>
      <c r="Z34" s="663"/>
      <c r="AA34" s="663"/>
      <c r="AB34" s="663"/>
      <c r="AC34" s="663"/>
      <c r="AD34" s="663"/>
      <c r="AE34" s="663"/>
      <c r="AF34" s="663"/>
      <c r="AG34" s="663"/>
      <c r="AH34" s="663"/>
      <c r="AI34" s="663"/>
      <c r="AJ34" s="663"/>
      <c r="AK34" s="663"/>
      <c r="AL34" s="663"/>
      <c r="AM34" s="663"/>
      <c r="AN34" s="663"/>
      <c r="AO34" s="663"/>
      <c r="AP34" s="663"/>
      <c r="AQ34" s="663"/>
      <c r="AR34" s="663"/>
      <c r="AS34" s="663"/>
      <c r="AT34" s="663"/>
      <c r="AU34" s="663"/>
      <c r="CG34" s="656"/>
    </row>
    <row r="35" spans="1:85">
      <c r="A35" s="661"/>
      <c r="E35" s="663"/>
      <c r="F35" s="663"/>
      <c r="G35" s="663"/>
      <c r="H35" s="663"/>
      <c r="I35" s="663"/>
      <c r="J35" s="663"/>
      <c r="K35" s="663"/>
      <c r="L35" s="663"/>
      <c r="M35" s="663"/>
      <c r="N35" s="663"/>
      <c r="O35" s="663"/>
      <c r="P35" s="663"/>
      <c r="Q35" s="663"/>
      <c r="R35" s="663"/>
      <c r="S35" s="663"/>
      <c r="T35" s="663"/>
      <c r="U35" s="663"/>
      <c r="V35" s="663"/>
      <c r="W35" s="663"/>
      <c r="X35" s="663"/>
      <c r="Y35" s="663"/>
      <c r="Z35" s="663"/>
      <c r="AA35" s="663"/>
      <c r="AB35" s="663"/>
      <c r="AC35" s="663"/>
      <c r="AD35" s="663"/>
      <c r="AE35" s="663"/>
      <c r="AF35" s="663"/>
      <c r="AG35" s="663"/>
      <c r="AH35" s="663"/>
      <c r="AI35" s="663"/>
      <c r="AJ35" s="663"/>
      <c r="AK35" s="663"/>
      <c r="AL35" s="663"/>
      <c r="AM35" s="663"/>
      <c r="AN35" s="663"/>
      <c r="AO35" s="663"/>
      <c r="AP35" s="663"/>
      <c r="AQ35" s="663"/>
      <c r="AR35" s="663"/>
      <c r="AS35" s="663"/>
      <c r="AT35" s="663"/>
      <c r="AU35" s="663"/>
      <c r="CG35" s="656"/>
    </row>
    <row r="36" spans="1:85">
      <c r="A36" s="661"/>
      <c r="E36" s="663"/>
      <c r="F36" s="663"/>
      <c r="G36" s="663"/>
      <c r="H36" s="663"/>
      <c r="I36" s="663"/>
      <c r="J36" s="663"/>
      <c r="K36" s="663"/>
      <c r="L36" s="663"/>
      <c r="M36" s="663"/>
      <c r="N36" s="663"/>
      <c r="O36" s="663"/>
      <c r="P36" s="663"/>
      <c r="Q36" s="663"/>
      <c r="R36" s="663"/>
      <c r="S36" s="663"/>
      <c r="T36" s="663"/>
      <c r="U36" s="663"/>
      <c r="V36" s="663"/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CG36" s="656"/>
    </row>
    <row r="37" spans="1:85">
      <c r="A37" s="661"/>
      <c r="E37" s="663"/>
      <c r="F37" s="663"/>
      <c r="G37" s="663"/>
      <c r="H37" s="663"/>
      <c r="I37" s="663"/>
      <c r="J37" s="663"/>
      <c r="K37" s="663"/>
      <c r="L37" s="663"/>
      <c r="M37" s="663"/>
      <c r="N37" s="663"/>
      <c r="O37" s="663"/>
      <c r="P37" s="663"/>
      <c r="Q37" s="663"/>
      <c r="R37" s="663"/>
      <c r="S37" s="663"/>
      <c r="T37" s="663"/>
      <c r="U37" s="663"/>
      <c r="V37" s="663"/>
      <c r="W37" s="663"/>
      <c r="X37" s="663"/>
      <c r="Y37" s="663"/>
      <c r="Z37" s="663"/>
      <c r="AA37" s="663"/>
      <c r="AB37" s="663"/>
      <c r="AC37" s="663"/>
      <c r="AD37" s="663"/>
      <c r="AE37" s="663"/>
      <c r="AF37" s="663"/>
      <c r="AG37" s="663"/>
      <c r="AH37" s="663"/>
      <c r="AI37" s="663"/>
      <c r="AJ37" s="663"/>
      <c r="AK37" s="663"/>
      <c r="AL37" s="663"/>
      <c r="AM37" s="663"/>
      <c r="AN37" s="663"/>
      <c r="AO37" s="663"/>
      <c r="AP37" s="663"/>
      <c r="AQ37" s="663"/>
      <c r="AR37" s="663"/>
      <c r="AS37" s="663"/>
      <c r="AT37" s="663"/>
      <c r="AU37" s="663"/>
      <c r="CG37" s="656"/>
    </row>
    <row r="38" spans="1:85">
      <c r="A38" s="661"/>
      <c r="E38" s="663"/>
      <c r="F38" s="663"/>
      <c r="G38" s="663"/>
      <c r="H38" s="663"/>
      <c r="I38" s="663"/>
      <c r="J38" s="663"/>
      <c r="K38" s="663"/>
      <c r="L38" s="663"/>
      <c r="M38" s="663"/>
      <c r="N38" s="663"/>
      <c r="O38" s="663"/>
      <c r="P38" s="663"/>
      <c r="Q38" s="663"/>
      <c r="R38" s="663"/>
      <c r="S38" s="663"/>
      <c r="T38" s="663"/>
      <c r="U38" s="663"/>
      <c r="V38" s="663"/>
      <c r="W38" s="663"/>
      <c r="X38" s="663"/>
      <c r="Y38" s="663"/>
      <c r="Z38" s="663"/>
      <c r="AA38" s="663"/>
      <c r="AB38" s="663"/>
      <c r="AC38" s="663"/>
      <c r="AD38" s="663"/>
      <c r="AE38" s="663"/>
      <c r="AF38" s="663"/>
      <c r="AG38" s="663"/>
      <c r="AH38" s="663"/>
      <c r="AI38" s="663"/>
      <c r="AJ38" s="663"/>
      <c r="AK38" s="663"/>
      <c r="AL38" s="663"/>
      <c r="AM38" s="663"/>
      <c r="AN38" s="663"/>
      <c r="AO38" s="663"/>
      <c r="AP38" s="663"/>
      <c r="AQ38" s="663"/>
      <c r="AR38" s="663"/>
      <c r="AS38" s="663"/>
      <c r="AT38" s="663"/>
      <c r="AU38" s="663"/>
      <c r="CG38" s="656"/>
    </row>
    <row r="39" spans="1:85">
      <c r="A39" s="661"/>
      <c r="E39" s="663"/>
      <c r="F39" s="663"/>
      <c r="G39" s="663"/>
      <c r="H39" s="663"/>
      <c r="I39" s="663"/>
      <c r="J39" s="663"/>
      <c r="K39" s="663"/>
      <c r="L39" s="663"/>
      <c r="M39" s="663"/>
      <c r="N39" s="663"/>
      <c r="O39" s="663"/>
      <c r="P39" s="663"/>
      <c r="Q39" s="663"/>
      <c r="R39" s="663"/>
      <c r="S39" s="663"/>
      <c r="T39" s="663"/>
      <c r="U39" s="663"/>
      <c r="V39" s="663"/>
      <c r="W39" s="663"/>
      <c r="X39" s="663"/>
      <c r="Y39" s="663"/>
      <c r="Z39" s="663"/>
      <c r="AA39" s="663"/>
      <c r="AB39" s="663"/>
      <c r="AC39" s="663"/>
      <c r="AD39" s="663"/>
      <c r="AE39" s="663"/>
      <c r="AF39" s="663"/>
      <c r="AG39" s="663"/>
      <c r="AH39" s="663"/>
      <c r="AI39" s="663"/>
      <c r="AJ39" s="663"/>
      <c r="AK39" s="663"/>
      <c r="AL39" s="663"/>
      <c r="AM39" s="663"/>
      <c r="AN39" s="663"/>
      <c r="AO39" s="663"/>
      <c r="AP39" s="663"/>
      <c r="AQ39" s="663"/>
      <c r="AR39" s="663"/>
      <c r="AS39" s="663"/>
      <c r="AT39" s="663"/>
      <c r="AU39" s="663"/>
      <c r="CG39" s="656"/>
    </row>
    <row r="40" spans="1:85">
      <c r="A40" s="661"/>
      <c r="E40" s="663"/>
      <c r="F40" s="663"/>
      <c r="G40" s="663"/>
      <c r="H40" s="663"/>
      <c r="I40" s="663"/>
      <c r="J40" s="663"/>
      <c r="K40" s="663"/>
      <c r="L40" s="663"/>
      <c r="M40" s="663"/>
      <c r="N40" s="663"/>
      <c r="O40" s="663"/>
      <c r="P40" s="663"/>
      <c r="Q40" s="663"/>
      <c r="R40" s="663"/>
      <c r="S40" s="663"/>
      <c r="T40" s="663"/>
      <c r="U40" s="663"/>
      <c r="V40" s="663"/>
      <c r="W40" s="663"/>
      <c r="X40" s="663"/>
      <c r="Y40" s="663"/>
      <c r="Z40" s="663"/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CG40" s="656"/>
    </row>
    <row r="41" spans="1:85">
      <c r="A41" s="661"/>
      <c r="E41" s="663"/>
      <c r="F41" s="663"/>
      <c r="G41" s="663"/>
      <c r="H41" s="663"/>
      <c r="I41" s="663"/>
      <c r="J41" s="663"/>
      <c r="K41" s="663"/>
      <c r="L41" s="663"/>
      <c r="M41" s="663"/>
      <c r="N41" s="663"/>
      <c r="O41" s="663"/>
      <c r="P41" s="663"/>
      <c r="Q41" s="663"/>
      <c r="R41" s="663"/>
      <c r="S41" s="663"/>
      <c r="T41" s="663"/>
      <c r="U41" s="663"/>
      <c r="V41" s="663"/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3"/>
      <c r="AK41" s="663"/>
      <c r="AL41" s="663"/>
      <c r="AM41" s="663"/>
      <c r="AN41" s="663"/>
      <c r="AO41" s="663"/>
      <c r="AP41" s="663"/>
      <c r="AQ41" s="663"/>
      <c r="AR41" s="663"/>
      <c r="AS41" s="663"/>
      <c r="AT41" s="663"/>
      <c r="AU41" s="663"/>
      <c r="CG41" s="656"/>
    </row>
    <row r="42" spans="1:85">
      <c r="A42" s="661"/>
      <c r="E42" s="663"/>
      <c r="F42" s="663"/>
      <c r="G42" s="663"/>
      <c r="H42" s="663"/>
      <c r="I42" s="663"/>
      <c r="J42" s="663"/>
      <c r="K42" s="663"/>
      <c r="L42" s="663"/>
      <c r="M42" s="663"/>
      <c r="N42" s="663"/>
      <c r="O42" s="663"/>
      <c r="P42" s="663"/>
      <c r="Q42" s="663"/>
      <c r="R42" s="663"/>
      <c r="S42" s="663"/>
      <c r="T42" s="663"/>
      <c r="U42" s="663"/>
      <c r="V42" s="663"/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3"/>
      <c r="AL42" s="663"/>
      <c r="AM42" s="663"/>
      <c r="AN42" s="663"/>
      <c r="AO42" s="663"/>
      <c r="AP42" s="663"/>
      <c r="AQ42" s="663"/>
      <c r="AR42" s="663"/>
      <c r="AS42" s="663"/>
      <c r="AT42" s="663"/>
      <c r="AU42" s="663"/>
      <c r="CG42" s="656"/>
    </row>
    <row r="43" spans="1:85">
      <c r="A43" s="661"/>
      <c r="E43" s="663"/>
      <c r="F43" s="663"/>
      <c r="G43" s="663"/>
      <c r="H43" s="663"/>
      <c r="I43" s="663"/>
      <c r="J43" s="663"/>
      <c r="K43" s="663"/>
      <c r="L43" s="663"/>
      <c r="M43" s="663"/>
      <c r="N43" s="663"/>
      <c r="O43" s="663"/>
      <c r="P43" s="663"/>
      <c r="Q43" s="663"/>
      <c r="R43" s="663"/>
      <c r="S43" s="663"/>
      <c r="T43" s="663"/>
      <c r="U43" s="663"/>
      <c r="V43" s="663"/>
      <c r="W43" s="663"/>
      <c r="X43" s="663"/>
      <c r="Y43" s="663"/>
      <c r="Z43" s="663"/>
      <c r="AA43" s="663"/>
      <c r="AB43" s="663"/>
      <c r="AC43" s="663"/>
      <c r="AD43" s="663"/>
      <c r="AE43" s="663"/>
      <c r="AF43" s="663"/>
      <c r="AG43" s="663"/>
      <c r="AH43" s="663"/>
      <c r="AI43" s="663"/>
      <c r="AJ43" s="663"/>
      <c r="AK43" s="663"/>
      <c r="AL43" s="663"/>
      <c r="AM43" s="663"/>
      <c r="AN43" s="663"/>
      <c r="AO43" s="663"/>
      <c r="AP43" s="663"/>
      <c r="AQ43" s="663"/>
      <c r="AR43" s="663"/>
      <c r="AS43" s="663"/>
      <c r="AT43" s="663"/>
      <c r="AU43" s="663"/>
      <c r="CG43" s="656"/>
    </row>
    <row r="44" spans="1:85">
      <c r="A44" s="661"/>
      <c r="E44" s="663"/>
      <c r="F44" s="663"/>
      <c r="G44" s="663"/>
      <c r="H44" s="663"/>
      <c r="I44" s="663"/>
      <c r="J44" s="663"/>
      <c r="K44" s="663"/>
      <c r="L44" s="663"/>
      <c r="M44" s="663"/>
      <c r="N44" s="663"/>
      <c r="O44" s="663"/>
      <c r="P44" s="663"/>
      <c r="Q44" s="663"/>
      <c r="R44" s="663"/>
      <c r="S44" s="663"/>
      <c r="T44" s="663"/>
      <c r="U44" s="663"/>
      <c r="V44" s="663"/>
      <c r="W44" s="663"/>
      <c r="X44" s="663"/>
      <c r="Y44" s="663"/>
      <c r="Z44" s="663"/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CG44" s="656"/>
    </row>
    <row r="45" spans="1:85">
      <c r="A45" s="661"/>
      <c r="E45" s="663"/>
      <c r="F45" s="663"/>
      <c r="G45" s="663"/>
      <c r="H45" s="663"/>
      <c r="I45" s="663"/>
      <c r="J45" s="663"/>
      <c r="K45" s="663"/>
      <c r="L45" s="663"/>
      <c r="M45" s="663"/>
      <c r="N45" s="663"/>
      <c r="O45" s="663"/>
      <c r="P45" s="663"/>
      <c r="Q45" s="663"/>
      <c r="R45" s="663"/>
      <c r="S45" s="663"/>
      <c r="T45" s="663"/>
      <c r="U45" s="663"/>
      <c r="V45" s="663"/>
      <c r="W45" s="663"/>
      <c r="X45" s="663"/>
      <c r="Y45" s="663"/>
      <c r="Z45" s="663"/>
      <c r="AA45" s="663"/>
      <c r="AB45" s="663"/>
      <c r="AC45" s="663"/>
      <c r="AD45" s="663"/>
      <c r="AE45" s="663"/>
      <c r="AF45" s="663"/>
      <c r="AG45" s="663"/>
      <c r="AH45" s="663"/>
      <c r="AI45" s="663"/>
      <c r="AJ45" s="663"/>
      <c r="AK45" s="663"/>
      <c r="AL45" s="663"/>
      <c r="AM45" s="663"/>
      <c r="AN45" s="663"/>
      <c r="AO45" s="663"/>
      <c r="AP45" s="663"/>
      <c r="AQ45" s="663"/>
      <c r="AR45" s="663"/>
      <c r="AS45" s="663"/>
      <c r="AT45" s="663"/>
      <c r="AU45" s="663"/>
      <c r="CG45" s="656"/>
    </row>
    <row r="46" spans="1:85">
      <c r="A46" s="661"/>
      <c r="E46" s="663"/>
      <c r="F46" s="663"/>
      <c r="G46" s="663"/>
      <c r="H46" s="663"/>
      <c r="I46" s="663"/>
      <c r="J46" s="663"/>
      <c r="K46" s="663"/>
      <c r="L46" s="663"/>
      <c r="M46" s="663"/>
      <c r="N46" s="663"/>
      <c r="O46" s="663"/>
      <c r="P46" s="663"/>
      <c r="Q46" s="663"/>
      <c r="R46" s="663"/>
      <c r="S46" s="663"/>
      <c r="T46" s="663"/>
      <c r="U46" s="663"/>
      <c r="V46" s="663"/>
      <c r="W46" s="663"/>
      <c r="X46" s="663"/>
      <c r="Y46" s="663"/>
      <c r="Z46" s="663"/>
      <c r="AA46" s="663"/>
      <c r="AB46" s="663"/>
      <c r="AC46" s="663"/>
      <c r="AD46" s="663"/>
      <c r="AE46" s="663"/>
      <c r="AF46" s="663"/>
      <c r="AG46" s="663"/>
      <c r="AH46" s="663"/>
      <c r="AI46" s="663"/>
      <c r="AJ46" s="663"/>
      <c r="AK46" s="663"/>
      <c r="AL46" s="663"/>
      <c r="AM46" s="663"/>
      <c r="AN46" s="663"/>
      <c r="AO46" s="663"/>
      <c r="AP46" s="663"/>
      <c r="AQ46" s="663"/>
      <c r="AR46" s="663"/>
      <c r="AS46" s="663"/>
      <c r="AT46" s="663"/>
      <c r="AU46" s="663"/>
      <c r="CG46" s="656"/>
    </row>
    <row r="47" spans="1:85">
      <c r="A47" s="661"/>
      <c r="E47" s="663"/>
      <c r="F47" s="663"/>
      <c r="G47" s="663"/>
      <c r="H47" s="663"/>
      <c r="I47" s="663"/>
      <c r="J47" s="663"/>
      <c r="K47" s="663"/>
      <c r="L47" s="663"/>
      <c r="M47" s="663"/>
      <c r="N47" s="663"/>
      <c r="O47" s="663"/>
      <c r="P47" s="663"/>
      <c r="Q47" s="663"/>
      <c r="R47" s="663"/>
      <c r="S47" s="663"/>
      <c r="T47" s="663"/>
      <c r="U47" s="663"/>
      <c r="V47" s="663"/>
      <c r="W47" s="663"/>
      <c r="X47" s="663"/>
      <c r="Y47" s="663"/>
      <c r="Z47" s="663"/>
      <c r="AA47" s="663"/>
      <c r="AB47" s="663"/>
      <c r="AC47" s="663"/>
      <c r="AD47" s="663"/>
      <c r="AE47" s="663"/>
      <c r="AF47" s="663"/>
      <c r="AG47" s="663"/>
      <c r="AH47" s="663"/>
      <c r="AI47" s="663"/>
      <c r="AJ47" s="663"/>
      <c r="AK47" s="663"/>
      <c r="AL47" s="663"/>
      <c r="AM47" s="663"/>
      <c r="AN47" s="663"/>
      <c r="AO47" s="663"/>
      <c r="AP47" s="663"/>
      <c r="AQ47" s="663"/>
      <c r="AR47" s="663"/>
      <c r="AS47" s="663"/>
      <c r="AT47" s="663"/>
      <c r="AU47" s="663"/>
      <c r="CG47" s="656"/>
    </row>
    <row r="48" spans="1:85">
      <c r="A48" s="661"/>
      <c r="E48" s="663"/>
      <c r="F48" s="663"/>
      <c r="G48" s="663"/>
      <c r="H48" s="663"/>
      <c r="I48" s="663"/>
      <c r="J48" s="663"/>
      <c r="K48" s="663"/>
      <c r="L48" s="663"/>
      <c r="M48" s="663"/>
      <c r="N48" s="663"/>
      <c r="O48" s="663"/>
      <c r="P48" s="663"/>
      <c r="Q48" s="663"/>
      <c r="R48" s="663"/>
      <c r="S48" s="663"/>
      <c r="T48" s="663"/>
      <c r="U48" s="663"/>
      <c r="V48" s="663"/>
      <c r="W48" s="663"/>
      <c r="X48" s="663"/>
      <c r="Y48" s="663"/>
      <c r="Z48" s="663"/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CG48" s="656"/>
    </row>
    <row r="49" spans="1:85">
      <c r="A49" s="661"/>
      <c r="E49" s="663"/>
      <c r="F49" s="663"/>
      <c r="G49" s="663"/>
      <c r="H49" s="663"/>
      <c r="I49" s="663"/>
      <c r="J49" s="663"/>
      <c r="K49" s="663"/>
      <c r="L49" s="663"/>
      <c r="M49" s="663"/>
      <c r="N49" s="663"/>
      <c r="O49" s="663"/>
      <c r="P49" s="663"/>
      <c r="Q49" s="663"/>
      <c r="R49" s="663"/>
      <c r="S49" s="663"/>
      <c r="T49" s="663"/>
      <c r="U49" s="663"/>
      <c r="V49" s="663"/>
      <c r="W49" s="663"/>
      <c r="X49" s="663"/>
      <c r="Y49" s="663"/>
      <c r="Z49" s="663"/>
      <c r="AA49" s="663"/>
      <c r="AB49" s="663"/>
      <c r="AC49" s="663"/>
      <c r="AD49" s="663"/>
      <c r="AE49" s="663"/>
      <c r="AF49" s="663"/>
      <c r="AG49" s="663"/>
      <c r="AH49" s="663"/>
      <c r="AI49" s="663"/>
      <c r="AJ49" s="663"/>
      <c r="AK49" s="663"/>
      <c r="AL49" s="663"/>
      <c r="AM49" s="663"/>
      <c r="AN49" s="663"/>
      <c r="AO49" s="663"/>
      <c r="AP49" s="663"/>
      <c r="AQ49" s="663"/>
      <c r="AR49" s="663"/>
      <c r="AS49" s="663"/>
      <c r="AT49" s="663"/>
      <c r="AU49" s="663"/>
      <c r="CG49" s="656"/>
    </row>
    <row r="50" spans="1:85">
      <c r="A50" s="661"/>
      <c r="E50" s="663"/>
      <c r="F50" s="663"/>
      <c r="G50" s="663"/>
      <c r="H50" s="663"/>
      <c r="I50" s="663"/>
      <c r="J50" s="663"/>
      <c r="K50" s="663"/>
      <c r="L50" s="663"/>
      <c r="M50" s="663"/>
      <c r="N50" s="663"/>
      <c r="O50" s="663"/>
      <c r="P50" s="663"/>
      <c r="Q50" s="663"/>
      <c r="R50" s="663"/>
      <c r="S50" s="663"/>
      <c r="T50" s="663"/>
      <c r="U50" s="663"/>
      <c r="V50" s="663"/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3"/>
      <c r="AL50" s="663"/>
      <c r="AM50" s="663"/>
      <c r="AN50" s="663"/>
      <c r="AO50" s="663"/>
      <c r="AP50" s="663"/>
      <c r="AQ50" s="663"/>
      <c r="AR50" s="663"/>
      <c r="AS50" s="663"/>
      <c r="AT50" s="663"/>
      <c r="AU50" s="663"/>
      <c r="CG50" s="656"/>
    </row>
    <row r="51" spans="1:85">
      <c r="A51" s="661"/>
      <c r="E51" s="663"/>
      <c r="F51" s="663"/>
      <c r="G51" s="663"/>
      <c r="H51" s="663"/>
      <c r="I51" s="663"/>
      <c r="J51" s="663"/>
      <c r="K51" s="663"/>
      <c r="L51" s="663"/>
      <c r="M51" s="663"/>
      <c r="N51" s="663"/>
      <c r="O51" s="663"/>
      <c r="P51" s="663"/>
      <c r="Q51" s="663"/>
      <c r="R51" s="663"/>
      <c r="S51" s="663"/>
      <c r="T51" s="663"/>
      <c r="U51" s="663"/>
      <c r="V51" s="663"/>
      <c r="W51" s="663"/>
      <c r="X51" s="663"/>
      <c r="Y51" s="663"/>
      <c r="Z51" s="663"/>
      <c r="AA51" s="663"/>
      <c r="AB51" s="663"/>
      <c r="AC51" s="663"/>
      <c r="AD51" s="663"/>
      <c r="AE51" s="663"/>
      <c r="AF51" s="663"/>
      <c r="AG51" s="663"/>
      <c r="AH51" s="663"/>
      <c r="AI51" s="663"/>
      <c r="AJ51" s="663"/>
      <c r="AK51" s="663"/>
      <c r="AL51" s="663"/>
      <c r="AM51" s="663"/>
      <c r="AN51" s="663"/>
      <c r="AO51" s="663"/>
      <c r="AP51" s="663"/>
      <c r="AQ51" s="663"/>
      <c r="AR51" s="663"/>
      <c r="AS51" s="663"/>
      <c r="AT51" s="663"/>
      <c r="AU51" s="663"/>
      <c r="CG51" s="656"/>
    </row>
    <row r="52" spans="1:85">
      <c r="A52" s="661"/>
      <c r="E52" s="663"/>
      <c r="F52" s="663"/>
      <c r="G52" s="663"/>
      <c r="H52" s="663"/>
      <c r="I52" s="663"/>
      <c r="J52" s="663"/>
      <c r="K52" s="663"/>
      <c r="L52" s="663"/>
      <c r="M52" s="663"/>
      <c r="N52" s="663"/>
      <c r="O52" s="663"/>
      <c r="P52" s="663"/>
      <c r="Q52" s="663"/>
      <c r="R52" s="663"/>
      <c r="S52" s="663"/>
      <c r="T52" s="663"/>
      <c r="U52" s="663"/>
      <c r="V52" s="663"/>
      <c r="W52" s="663"/>
      <c r="X52" s="663"/>
      <c r="Y52" s="663"/>
      <c r="Z52" s="663"/>
      <c r="AA52" s="663"/>
      <c r="AB52" s="663"/>
      <c r="AC52" s="663"/>
      <c r="AD52" s="663"/>
      <c r="AE52" s="663"/>
      <c r="AF52" s="663"/>
      <c r="AG52" s="663"/>
      <c r="AH52" s="663"/>
      <c r="AI52" s="663"/>
      <c r="AJ52" s="663"/>
      <c r="AK52" s="663"/>
      <c r="AL52" s="663"/>
      <c r="AM52" s="663"/>
      <c r="AN52" s="663"/>
      <c r="AO52" s="663"/>
      <c r="AP52" s="663"/>
      <c r="AQ52" s="663"/>
      <c r="AR52" s="663"/>
      <c r="AS52" s="663"/>
      <c r="AT52" s="663"/>
      <c r="AU52" s="663"/>
      <c r="CG52" s="656"/>
    </row>
    <row r="53" spans="1:85">
      <c r="A53" s="661"/>
      <c r="E53" s="663"/>
      <c r="F53" s="663"/>
      <c r="G53" s="663"/>
      <c r="H53" s="663"/>
      <c r="I53" s="663"/>
      <c r="J53" s="663"/>
      <c r="K53" s="663"/>
      <c r="L53" s="663"/>
      <c r="M53" s="663"/>
      <c r="N53" s="663"/>
      <c r="O53" s="663"/>
      <c r="P53" s="663"/>
      <c r="Q53" s="663"/>
      <c r="R53" s="663"/>
      <c r="S53" s="663"/>
      <c r="T53" s="663"/>
      <c r="U53" s="663"/>
      <c r="V53" s="663"/>
      <c r="W53" s="663"/>
      <c r="X53" s="663"/>
      <c r="Y53" s="663"/>
      <c r="Z53" s="663"/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CG53" s="656"/>
    </row>
    <row r="54" spans="1:85">
      <c r="A54" s="661"/>
      <c r="E54" s="663"/>
      <c r="F54" s="663"/>
      <c r="G54" s="663"/>
      <c r="H54" s="663"/>
      <c r="I54" s="663"/>
      <c r="J54" s="663"/>
      <c r="K54" s="663"/>
      <c r="L54" s="663"/>
      <c r="M54" s="663"/>
      <c r="N54" s="663"/>
      <c r="O54" s="663"/>
      <c r="P54" s="663"/>
      <c r="Q54" s="663"/>
      <c r="R54" s="663"/>
      <c r="S54" s="663"/>
      <c r="T54" s="663"/>
      <c r="U54" s="663"/>
      <c r="V54" s="663"/>
      <c r="W54" s="663"/>
      <c r="X54" s="663"/>
      <c r="Y54" s="663"/>
      <c r="Z54" s="663"/>
      <c r="AA54" s="663"/>
      <c r="AB54" s="663"/>
      <c r="AC54" s="663"/>
      <c r="AD54" s="663"/>
      <c r="AE54" s="663"/>
      <c r="AF54" s="663"/>
      <c r="AG54" s="663"/>
      <c r="AH54" s="663"/>
      <c r="AI54" s="663"/>
      <c r="AJ54" s="663"/>
      <c r="AK54" s="663"/>
      <c r="AL54" s="663"/>
      <c r="AM54" s="663"/>
      <c r="AN54" s="663"/>
      <c r="AO54" s="663"/>
      <c r="AP54" s="663"/>
      <c r="AQ54" s="663"/>
      <c r="AR54" s="663"/>
      <c r="AS54" s="663"/>
      <c r="AT54" s="663"/>
      <c r="AU54" s="663"/>
      <c r="CG54" s="656"/>
    </row>
    <row r="55" spans="1:85">
      <c r="A55" s="661"/>
      <c r="E55" s="663"/>
      <c r="F55" s="663"/>
      <c r="G55" s="663"/>
      <c r="H55" s="663"/>
      <c r="I55" s="663"/>
      <c r="J55" s="663"/>
      <c r="K55" s="663"/>
      <c r="L55" s="663"/>
      <c r="M55" s="663"/>
      <c r="N55" s="663"/>
      <c r="O55" s="663"/>
      <c r="P55" s="663"/>
      <c r="Q55" s="663"/>
      <c r="R55" s="663"/>
      <c r="S55" s="663"/>
      <c r="T55" s="663"/>
      <c r="U55" s="663"/>
      <c r="V55" s="663"/>
      <c r="W55" s="663"/>
      <c r="X55" s="663"/>
      <c r="Y55" s="663"/>
      <c r="Z55" s="663"/>
      <c r="AA55" s="663"/>
      <c r="AB55" s="663"/>
      <c r="AC55" s="663"/>
      <c r="AD55" s="663"/>
      <c r="AE55" s="663"/>
      <c r="AF55" s="663"/>
      <c r="AG55" s="663"/>
      <c r="AH55" s="663"/>
      <c r="AI55" s="663"/>
      <c r="AJ55" s="663"/>
      <c r="AK55" s="663"/>
      <c r="AL55" s="663"/>
      <c r="AM55" s="663"/>
      <c r="AN55" s="663"/>
      <c r="AO55" s="663"/>
      <c r="AP55" s="663"/>
      <c r="AQ55" s="663"/>
      <c r="AR55" s="663"/>
      <c r="AS55" s="663"/>
      <c r="AT55" s="663"/>
      <c r="AU55" s="663"/>
      <c r="CG55" s="656"/>
    </row>
    <row r="56" spans="1:85">
      <c r="A56" s="661"/>
      <c r="E56" s="663"/>
      <c r="F56" s="663"/>
      <c r="G56" s="663"/>
      <c r="H56" s="663"/>
      <c r="I56" s="663"/>
      <c r="J56" s="663"/>
      <c r="K56" s="663"/>
      <c r="L56" s="663"/>
      <c r="M56" s="663"/>
      <c r="N56" s="663"/>
      <c r="O56" s="663"/>
      <c r="P56" s="663"/>
      <c r="Q56" s="663"/>
      <c r="R56" s="663"/>
      <c r="S56" s="663"/>
      <c r="T56" s="663"/>
      <c r="U56" s="663"/>
      <c r="V56" s="663"/>
      <c r="W56" s="663"/>
      <c r="X56" s="663"/>
      <c r="Y56" s="663"/>
      <c r="Z56" s="663"/>
      <c r="AA56" s="663"/>
      <c r="AB56" s="663"/>
      <c r="AC56" s="663"/>
      <c r="AD56" s="663"/>
      <c r="AE56" s="663"/>
      <c r="AF56" s="663"/>
      <c r="AG56" s="663"/>
      <c r="AH56" s="663"/>
      <c r="AI56" s="663"/>
      <c r="AJ56" s="663"/>
      <c r="AK56" s="663"/>
      <c r="AL56" s="663"/>
      <c r="AM56" s="663"/>
      <c r="AN56" s="663"/>
      <c r="AO56" s="663"/>
      <c r="AP56" s="663"/>
      <c r="AQ56" s="663"/>
      <c r="AR56" s="663"/>
      <c r="AS56" s="663"/>
      <c r="AT56" s="663"/>
      <c r="AU56" s="663"/>
      <c r="CG56" s="656"/>
    </row>
    <row r="57" spans="1:85">
      <c r="A57" s="661"/>
      <c r="E57" s="663"/>
      <c r="F57" s="663"/>
      <c r="G57" s="663"/>
      <c r="H57" s="663"/>
      <c r="I57" s="663"/>
      <c r="J57" s="663"/>
      <c r="K57" s="663"/>
      <c r="L57" s="663"/>
      <c r="M57" s="663"/>
      <c r="N57" s="663"/>
      <c r="O57" s="663"/>
      <c r="P57" s="663"/>
      <c r="Q57" s="663"/>
      <c r="R57" s="663"/>
      <c r="S57" s="663"/>
      <c r="T57" s="663"/>
      <c r="U57" s="663"/>
      <c r="V57" s="663"/>
      <c r="W57" s="663"/>
      <c r="X57" s="663"/>
      <c r="Y57" s="663"/>
      <c r="Z57" s="663"/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CG57" s="656"/>
    </row>
    <row r="58" spans="1:85">
      <c r="A58" s="661"/>
      <c r="E58" s="663"/>
      <c r="F58" s="663"/>
      <c r="G58" s="663"/>
      <c r="H58" s="663"/>
      <c r="I58" s="663"/>
      <c r="J58" s="663"/>
      <c r="K58" s="663"/>
      <c r="L58" s="663"/>
      <c r="M58" s="663"/>
      <c r="N58" s="663"/>
      <c r="O58" s="663"/>
      <c r="P58" s="663"/>
      <c r="Q58" s="663"/>
      <c r="R58" s="663"/>
      <c r="S58" s="663"/>
      <c r="T58" s="663"/>
      <c r="U58" s="663"/>
      <c r="V58" s="663"/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3"/>
      <c r="AH58" s="663"/>
      <c r="AI58" s="663"/>
      <c r="AJ58" s="663"/>
      <c r="AK58" s="663"/>
      <c r="AL58" s="663"/>
      <c r="AM58" s="663"/>
      <c r="AN58" s="663"/>
      <c r="AO58" s="663"/>
      <c r="AP58" s="663"/>
      <c r="AQ58" s="663"/>
      <c r="AR58" s="663"/>
      <c r="AS58" s="663"/>
      <c r="AT58" s="663"/>
      <c r="AU58" s="663"/>
      <c r="CG58" s="656"/>
    </row>
    <row r="59" spans="1:85">
      <c r="A59" s="661"/>
      <c r="E59" s="663"/>
      <c r="F59" s="663"/>
      <c r="G59" s="663"/>
      <c r="H59" s="663"/>
      <c r="I59" s="663"/>
      <c r="J59" s="663"/>
      <c r="K59" s="663"/>
      <c r="L59" s="663"/>
      <c r="M59" s="663"/>
      <c r="N59" s="663"/>
      <c r="O59" s="663"/>
      <c r="P59" s="663"/>
      <c r="Q59" s="663"/>
      <c r="R59" s="663"/>
      <c r="S59" s="663"/>
      <c r="T59" s="663"/>
      <c r="U59" s="663"/>
      <c r="V59" s="663"/>
      <c r="W59" s="663"/>
      <c r="X59" s="663"/>
      <c r="Y59" s="663"/>
      <c r="Z59" s="663"/>
      <c r="AA59" s="663"/>
      <c r="AB59" s="663"/>
      <c r="AC59" s="663"/>
      <c r="AD59" s="663"/>
      <c r="AE59" s="663"/>
      <c r="AF59" s="663"/>
      <c r="AG59" s="663"/>
      <c r="AH59" s="663"/>
      <c r="AI59" s="663"/>
      <c r="AJ59" s="663"/>
      <c r="AK59" s="663"/>
      <c r="AL59" s="663"/>
      <c r="AM59" s="663"/>
      <c r="AN59" s="663"/>
      <c r="AO59" s="663"/>
      <c r="AP59" s="663"/>
      <c r="AQ59" s="663"/>
      <c r="AR59" s="663"/>
      <c r="AS59" s="663"/>
      <c r="AT59" s="663"/>
      <c r="AU59" s="663"/>
      <c r="CG59" s="656"/>
    </row>
    <row r="60" spans="1:85">
      <c r="A60" s="661"/>
      <c r="E60" s="663"/>
      <c r="F60" s="663"/>
      <c r="G60" s="663"/>
      <c r="H60" s="663"/>
      <c r="I60" s="663"/>
      <c r="J60" s="663"/>
      <c r="K60" s="663"/>
      <c r="L60" s="663"/>
      <c r="M60" s="663"/>
      <c r="N60" s="663"/>
      <c r="O60" s="663"/>
      <c r="P60" s="663"/>
      <c r="Q60" s="663"/>
      <c r="R60" s="663"/>
      <c r="S60" s="663"/>
      <c r="T60" s="663"/>
      <c r="U60" s="663"/>
      <c r="V60" s="663"/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3"/>
      <c r="AJ60" s="663"/>
      <c r="AK60" s="663"/>
      <c r="AL60" s="663"/>
      <c r="AM60" s="663"/>
      <c r="AN60" s="663"/>
      <c r="AO60" s="663"/>
      <c r="AP60" s="663"/>
      <c r="AQ60" s="663"/>
      <c r="AR60" s="663"/>
      <c r="AS60" s="663"/>
      <c r="AT60" s="663"/>
      <c r="AU60" s="663"/>
      <c r="CG60" s="656"/>
    </row>
    <row r="61" spans="1:85">
      <c r="A61" s="661"/>
      <c r="E61" s="663"/>
      <c r="F61" s="663"/>
      <c r="G61" s="663"/>
      <c r="H61" s="663"/>
      <c r="I61" s="663"/>
      <c r="J61" s="663"/>
      <c r="K61" s="663"/>
      <c r="L61" s="663"/>
      <c r="M61" s="663"/>
      <c r="N61" s="663"/>
      <c r="O61" s="663"/>
      <c r="P61" s="663"/>
      <c r="Q61" s="663"/>
      <c r="R61" s="663"/>
      <c r="S61" s="663"/>
      <c r="T61" s="663"/>
      <c r="U61" s="663"/>
      <c r="V61" s="663"/>
      <c r="W61" s="663"/>
      <c r="X61" s="663"/>
      <c r="Y61" s="663"/>
      <c r="Z61" s="663"/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CG61" s="656"/>
    </row>
    <row r="62" spans="1:85">
      <c r="A62" s="661"/>
      <c r="E62" s="663"/>
      <c r="F62" s="663"/>
      <c r="G62" s="663"/>
      <c r="H62" s="663"/>
      <c r="I62" s="663"/>
      <c r="J62" s="663"/>
      <c r="K62" s="663"/>
      <c r="L62" s="663"/>
      <c r="M62" s="663"/>
      <c r="N62" s="663"/>
      <c r="O62" s="663"/>
      <c r="P62" s="663"/>
      <c r="Q62" s="663"/>
      <c r="R62" s="663"/>
      <c r="S62" s="663"/>
      <c r="T62" s="663"/>
      <c r="U62" s="663"/>
      <c r="V62" s="663"/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3"/>
      <c r="AI62" s="663"/>
      <c r="AJ62" s="663"/>
      <c r="AK62" s="663"/>
      <c r="AL62" s="663"/>
      <c r="AM62" s="663"/>
      <c r="AN62" s="663"/>
      <c r="AO62" s="663"/>
      <c r="AP62" s="663"/>
      <c r="AQ62" s="663"/>
      <c r="AR62" s="663"/>
      <c r="AS62" s="663"/>
      <c r="AT62" s="663"/>
      <c r="AU62" s="663"/>
      <c r="CG62" s="656"/>
    </row>
    <row r="63" spans="1:85">
      <c r="A63" s="661"/>
      <c r="E63" s="663"/>
      <c r="F63" s="663"/>
      <c r="G63" s="663"/>
      <c r="H63" s="663"/>
      <c r="I63" s="663"/>
      <c r="J63" s="663"/>
      <c r="K63" s="663"/>
      <c r="L63" s="663"/>
      <c r="M63" s="663"/>
      <c r="N63" s="663"/>
      <c r="O63" s="663"/>
      <c r="P63" s="663"/>
      <c r="Q63" s="663"/>
      <c r="R63" s="663"/>
      <c r="S63" s="663"/>
      <c r="T63" s="663"/>
      <c r="U63" s="663"/>
      <c r="V63" s="663"/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3"/>
      <c r="AJ63" s="663"/>
      <c r="AK63" s="663"/>
      <c r="AL63" s="663"/>
      <c r="AM63" s="663"/>
      <c r="AN63" s="663"/>
      <c r="AO63" s="663"/>
      <c r="AP63" s="663"/>
      <c r="AQ63" s="663"/>
      <c r="AR63" s="663"/>
      <c r="AS63" s="663"/>
      <c r="AT63" s="663"/>
      <c r="AU63" s="663"/>
      <c r="CG63" s="656"/>
    </row>
    <row r="64" spans="1:85">
      <c r="A64" s="661"/>
      <c r="E64" s="663"/>
      <c r="F64" s="663"/>
      <c r="G64" s="663"/>
      <c r="H64" s="663"/>
      <c r="I64" s="663"/>
      <c r="J64" s="663"/>
      <c r="K64" s="663"/>
      <c r="L64" s="663"/>
      <c r="M64" s="663"/>
      <c r="N64" s="663"/>
      <c r="O64" s="663"/>
      <c r="P64" s="663"/>
      <c r="Q64" s="663"/>
      <c r="R64" s="663"/>
      <c r="S64" s="663"/>
      <c r="T64" s="663"/>
      <c r="U64" s="663"/>
      <c r="V64" s="663"/>
      <c r="W64" s="663"/>
      <c r="X64" s="663"/>
      <c r="Y64" s="663"/>
      <c r="Z64" s="663"/>
      <c r="AA64" s="663"/>
      <c r="AB64" s="663"/>
      <c r="AC64" s="663"/>
      <c r="AD64" s="663"/>
      <c r="AE64" s="663"/>
      <c r="AF64" s="663"/>
      <c r="AG64" s="663"/>
      <c r="AH64" s="663"/>
      <c r="AI64" s="663"/>
      <c r="AJ64" s="663"/>
      <c r="AK64" s="663"/>
      <c r="AL64" s="663"/>
      <c r="AM64" s="663"/>
      <c r="AN64" s="663"/>
      <c r="AO64" s="663"/>
      <c r="AP64" s="663"/>
      <c r="AQ64" s="663"/>
      <c r="AR64" s="663"/>
      <c r="AS64" s="663"/>
      <c r="AT64" s="663"/>
      <c r="AU64" s="663"/>
      <c r="CG64" s="656"/>
    </row>
    <row r="65" spans="1:85">
      <c r="A65" s="661"/>
      <c r="E65" s="657" t="s">
        <v>554</v>
      </c>
      <c r="I65" s="657" t="s">
        <v>421</v>
      </c>
      <c r="CG65" s="656"/>
    </row>
    <row r="66" spans="1:85">
      <c r="A66" s="661"/>
      <c r="CG66" s="656"/>
    </row>
    <row r="67" spans="1:85">
      <c r="A67" s="661"/>
      <c r="E67" s="657" t="s">
        <v>555</v>
      </c>
      <c r="F67" s="663"/>
      <c r="G67" s="663"/>
      <c r="I67" s="663" t="s">
        <v>422</v>
      </c>
      <c r="CG67" s="656"/>
    </row>
    <row r="68" spans="1:85">
      <c r="A68" s="661"/>
      <c r="E68" s="663"/>
      <c r="F68" s="663"/>
      <c r="G68" s="663"/>
      <c r="H68" s="663"/>
      <c r="I68" s="663"/>
      <c r="J68" s="663"/>
      <c r="K68" s="663"/>
      <c r="L68" s="663"/>
      <c r="M68" s="663"/>
      <c r="N68" s="663"/>
      <c r="O68" s="663"/>
      <c r="P68" s="663"/>
      <c r="Q68" s="663"/>
      <c r="R68" s="663"/>
      <c r="S68" s="663"/>
      <c r="T68" s="663"/>
      <c r="U68" s="663"/>
      <c r="V68" s="663"/>
      <c r="W68" s="663"/>
      <c r="X68" s="663"/>
      <c r="Y68" s="663"/>
      <c r="Z68" s="663"/>
      <c r="AA68" s="663"/>
      <c r="AB68" s="663"/>
      <c r="AC68" s="663"/>
      <c r="AD68" s="663"/>
      <c r="AE68" s="663"/>
      <c r="AF68" s="663"/>
      <c r="AG68" s="663"/>
      <c r="AH68" s="663"/>
      <c r="AI68" s="663"/>
      <c r="AJ68" s="663"/>
      <c r="AK68" s="663"/>
      <c r="AL68" s="663"/>
      <c r="AM68" s="663"/>
      <c r="AN68" s="663"/>
      <c r="AO68" s="663"/>
      <c r="AP68" s="663"/>
      <c r="AQ68" s="663"/>
      <c r="AR68" s="663"/>
      <c r="AS68" s="663"/>
      <c r="AT68" s="663"/>
      <c r="AU68" s="663"/>
      <c r="CG68" s="656"/>
    </row>
    <row r="69" spans="1:85">
      <c r="A69" s="661"/>
      <c r="E69" s="663"/>
      <c r="F69" s="883" t="s">
        <v>523</v>
      </c>
      <c r="G69" s="884"/>
      <c r="H69" s="884"/>
      <c r="I69" s="884"/>
      <c r="J69" s="884"/>
      <c r="K69" s="884"/>
      <c r="L69" s="884"/>
      <c r="M69" s="884"/>
      <c r="N69" s="885"/>
      <c r="O69" s="886" t="s">
        <v>612</v>
      </c>
      <c r="P69" s="887"/>
      <c r="Q69" s="887"/>
      <c r="R69" s="887"/>
      <c r="S69" s="887"/>
      <c r="T69" s="887"/>
      <c r="U69" s="887"/>
      <c r="V69" s="887"/>
      <c r="W69" s="887"/>
      <c r="X69" s="887"/>
      <c r="Y69" s="887"/>
      <c r="Z69" s="887"/>
      <c r="AA69" s="887"/>
      <c r="AB69" s="887"/>
      <c r="AC69" s="887"/>
      <c r="AD69" s="887"/>
      <c r="AE69" s="887"/>
      <c r="AF69" s="887"/>
      <c r="AG69" s="887"/>
      <c r="AH69" s="887"/>
      <c r="AI69" s="887"/>
      <c r="AJ69" s="887"/>
      <c r="AK69" s="887"/>
      <c r="AL69" s="887"/>
      <c r="AM69" s="887"/>
      <c r="AN69" s="887"/>
      <c r="AO69" s="887"/>
      <c r="AP69" s="887"/>
      <c r="AQ69" s="887"/>
      <c r="AR69" s="887"/>
      <c r="AS69" s="887"/>
      <c r="AT69" s="887"/>
      <c r="AU69" s="888"/>
      <c r="CG69" s="656"/>
    </row>
    <row r="70" spans="1:85">
      <c r="A70" s="661"/>
      <c r="E70" s="663"/>
      <c r="F70" s="889" t="s">
        <v>423</v>
      </c>
      <c r="G70" s="890"/>
      <c r="H70" s="890"/>
      <c r="I70" s="890"/>
      <c r="J70" s="890"/>
      <c r="K70" s="890"/>
      <c r="L70" s="890"/>
      <c r="M70" s="890"/>
      <c r="N70" s="891"/>
      <c r="O70" s="895" t="s">
        <v>613</v>
      </c>
      <c r="P70" s="896"/>
      <c r="Q70" s="896"/>
      <c r="R70" s="896"/>
      <c r="S70" s="896"/>
      <c r="T70" s="896"/>
      <c r="U70" s="896"/>
      <c r="V70" s="896"/>
      <c r="W70" s="896"/>
      <c r="X70" s="896"/>
      <c r="Y70" s="896"/>
      <c r="Z70" s="896"/>
      <c r="AA70" s="896"/>
      <c r="AB70" s="896"/>
      <c r="AC70" s="896"/>
      <c r="AD70" s="896"/>
      <c r="AE70" s="896"/>
      <c r="AF70" s="896"/>
      <c r="AG70" s="896"/>
      <c r="AH70" s="896"/>
      <c r="AI70" s="896"/>
      <c r="AJ70" s="896"/>
      <c r="AK70" s="896"/>
      <c r="AL70" s="896"/>
      <c r="AM70" s="896"/>
      <c r="AN70" s="896"/>
      <c r="AO70" s="896"/>
      <c r="AP70" s="896"/>
      <c r="AQ70" s="896"/>
      <c r="AR70" s="896"/>
      <c r="AS70" s="896"/>
      <c r="AT70" s="896"/>
      <c r="AU70" s="897"/>
      <c r="CG70" s="656"/>
    </row>
    <row r="71" spans="1:85">
      <c r="A71" s="661"/>
      <c r="E71" s="663"/>
      <c r="F71" s="892"/>
      <c r="G71" s="893"/>
      <c r="H71" s="893"/>
      <c r="I71" s="893"/>
      <c r="J71" s="893"/>
      <c r="K71" s="893"/>
      <c r="L71" s="893"/>
      <c r="M71" s="893"/>
      <c r="N71" s="894"/>
      <c r="O71" s="895" t="s">
        <v>614</v>
      </c>
      <c r="P71" s="896"/>
      <c r="Q71" s="896"/>
      <c r="R71" s="896"/>
      <c r="S71" s="896"/>
      <c r="T71" s="896"/>
      <c r="U71" s="896"/>
      <c r="V71" s="896"/>
      <c r="W71" s="896"/>
      <c r="X71" s="896"/>
      <c r="Y71" s="896"/>
      <c r="Z71" s="896"/>
      <c r="AA71" s="896"/>
      <c r="AB71" s="896"/>
      <c r="AC71" s="896"/>
      <c r="AD71" s="896"/>
      <c r="AE71" s="896"/>
      <c r="AF71" s="896"/>
      <c r="AG71" s="896"/>
      <c r="AH71" s="896"/>
      <c r="AI71" s="896"/>
      <c r="AJ71" s="896"/>
      <c r="AK71" s="896"/>
      <c r="AL71" s="896"/>
      <c r="AM71" s="896"/>
      <c r="AN71" s="896"/>
      <c r="AO71" s="896"/>
      <c r="AP71" s="896"/>
      <c r="AQ71" s="896"/>
      <c r="AR71" s="896"/>
      <c r="AS71" s="896"/>
      <c r="AT71" s="896"/>
      <c r="AU71" s="897"/>
      <c r="CG71" s="656"/>
    </row>
    <row r="72" spans="1:85">
      <c r="A72" s="661"/>
      <c r="E72" s="663"/>
      <c r="F72" s="664" t="s">
        <v>424</v>
      </c>
      <c r="G72" s="664"/>
      <c r="H72" s="664"/>
      <c r="I72" s="664"/>
      <c r="J72" s="664"/>
      <c r="K72" s="664"/>
      <c r="L72" s="664"/>
      <c r="M72" s="664"/>
      <c r="N72" s="664"/>
      <c r="O72" s="665"/>
      <c r="P72" s="665"/>
      <c r="Q72" s="665"/>
      <c r="R72" s="665"/>
      <c r="S72" s="665"/>
      <c r="T72" s="665"/>
      <c r="U72" s="665"/>
      <c r="V72" s="665"/>
      <c r="W72" s="665"/>
      <c r="X72" s="665"/>
      <c r="Y72" s="665"/>
      <c r="Z72" s="66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CG72" s="656"/>
    </row>
    <row r="73" spans="1:85">
      <c r="A73" s="661"/>
      <c r="E73" s="663"/>
      <c r="F73" s="707" t="s">
        <v>425</v>
      </c>
      <c r="G73" s="707"/>
      <c r="H73" s="707"/>
      <c r="I73" s="707"/>
      <c r="J73" s="707"/>
      <c r="K73" s="707"/>
      <c r="L73" s="707"/>
      <c r="M73" s="707"/>
      <c r="N73" s="664"/>
      <c r="O73" s="665"/>
      <c r="P73" s="665"/>
      <c r="Q73" s="665"/>
      <c r="R73" s="665"/>
      <c r="S73" s="665"/>
      <c r="T73" s="665"/>
      <c r="U73" s="665"/>
      <c r="V73" s="665"/>
      <c r="W73" s="665"/>
      <c r="X73" s="665"/>
      <c r="Y73" s="665"/>
      <c r="Z73" s="665"/>
      <c r="AA73" s="665"/>
      <c r="AB73" s="665"/>
      <c r="AC73" s="665"/>
      <c r="AD73" s="665"/>
      <c r="AE73" s="665"/>
      <c r="AF73" s="665"/>
      <c r="AG73" s="665"/>
      <c r="AH73" s="665"/>
      <c r="AI73" s="665"/>
      <c r="AJ73" s="665"/>
      <c r="AK73" s="665"/>
      <c r="AL73" s="665"/>
      <c r="AM73" s="665"/>
      <c r="AN73" s="665"/>
      <c r="AO73" s="665"/>
      <c r="AP73" s="665"/>
      <c r="AQ73" s="665"/>
      <c r="AR73" s="665"/>
      <c r="AS73" s="665"/>
      <c r="AT73" s="665"/>
      <c r="AU73" s="665"/>
      <c r="CG73" s="656"/>
    </row>
    <row r="74" spans="1:85">
      <c r="A74" s="661"/>
      <c r="E74" s="663"/>
      <c r="F74" s="707"/>
      <c r="G74" s="707"/>
      <c r="H74" s="707" t="s">
        <v>426</v>
      </c>
      <c r="I74" s="707"/>
      <c r="J74" s="707"/>
      <c r="K74" s="707"/>
      <c r="L74" s="707"/>
      <c r="M74" s="707"/>
      <c r="N74" s="664"/>
      <c r="O74" s="665"/>
      <c r="P74" s="665"/>
      <c r="Q74" s="665"/>
      <c r="R74" s="665"/>
      <c r="S74" s="665"/>
      <c r="T74" s="665"/>
      <c r="U74" s="665"/>
      <c r="V74" s="665"/>
      <c r="W74" s="665"/>
      <c r="X74" s="665"/>
      <c r="Y74" s="665"/>
      <c r="Z74" s="665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CG74" s="656"/>
    </row>
    <row r="75" spans="1:85">
      <c r="A75" s="661"/>
      <c r="E75" s="663"/>
      <c r="F75" s="707"/>
      <c r="G75" s="707"/>
      <c r="H75" s="707" t="s">
        <v>427</v>
      </c>
      <c r="I75" s="707"/>
      <c r="J75" s="707"/>
      <c r="K75" s="707"/>
      <c r="L75" s="707"/>
      <c r="M75" s="707"/>
      <c r="N75" s="664"/>
      <c r="O75" s="665"/>
      <c r="P75" s="665"/>
      <c r="Q75" s="665"/>
      <c r="R75" s="665"/>
      <c r="S75" s="665"/>
      <c r="T75" s="665"/>
      <c r="U75" s="665"/>
      <c r="V75" s="665"/>
      <c r="W75" s="665"/>
      <c r="X75" s="665"/>
      <c r="Y75" s="665"/>
      <c r="Z75" s="665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CG75" s="656"/>
    </row>
    <row r="76" spans="1:85">
      <c r="A76" s="661"/>
      <c r="E76" s="663"/>
      <c r="F76" s="707"/>
      <c r="G76" s="707"/>
      <c r="H76" s="707" t="s">
        <v>428</v>
      </c>
      <c r="I76" s="707"/>
      <c r="J76" s="707"/>
      <c r="K76" s="707"/>
      <c r="L76" s="707"/>
      <c r="M76" s="707"/>
      <c r="N76" s="664"/>
      <c r="O76" s="665"/>
      <c r="P76" s="665"/>
      <c r="Q76" s="665"/>
      <c r="R76" s="665"/>
      <c r="S76" s="665"/>
      <c r="T76" s="665"/>
      <c r="U76" s="665"/>
      <c r="V76" s="665"/>
      <c r="W76" s="665"/>
      <c r="X76" s="665"/>
      <c r="Y76" s="665"/>
      <c r="Z76" s="665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CG76" s="656"/>
    </row>
    <row r="77" spans="1:85">
      <c r="A77" s="661"/>
      <c r="E77" s="663"/>
      <c r="F77" s="707"/>
      <c r="G77" s="707"/>
      <c r="H77" s="707" t="s">
        <v>429</v>
      </c>
      <c r="I77" s="707"/>
      <c r="J77" s="707"/>
      <c r="K77" s="707"/>
      <c r="L77" s="707"/>
      <c r="M77" s="707"/>
      <c r="N77" s="664"/>
      <c r="O77" s="665"/>
      <c r="P77" s="665"/>
      <c r="Q77" s="665"/>
      <c r="R77" s="665"/>
      <c r="S77" s="665"/>
      <c r="T77" s="665"/>
      <c r="U77" s="665"/>
      <c r="V77" s="665"/>
      <c r="W77" s="665"/>
      <c r="X77" s="665"/>
      <c r="Y77" s="665"/>
      <c r="Z77" s="665"/>
      <c r="AA77" s="665"/>
      <c r="AB77" s="665"/>
      <c r="AC77" s="665"/>
      <c r="AD77" s="665"/>
      <c r="AE77" s="665"/>
      <c r="AF77" s="665"/>
      <c r="AG77" s="665"/>
      <c r="AH77" s="665"/>
      <c r="AI77" s="665"/>
      <c r="AJ77" s="665"/>
      <c r="AK77" s="665"/>
      <c r="AL77" s="665"/>
      <c r="AM77" s="665"/>
      <c r="AN77" s="665"/>
      <c r="AO77" s="665"/>
      <c r="AP77" s="665"/>
      <c r="AQ77" s="665"/>
      <c r="AR77" s="665"/>
      <c r="AS77" s="665"/>
      <c r="AT77" s="665"/>
      <c r="AU77" s="665"/>
      <c r="CG77" s="656"/>
    </row>
    <row r="78" spans="1:85">
      <c r="A78" s="661"/>
      <c r="E78" s="663"/>
      <c r="F78" s="707"/>
      <c r="G78" s="707"/>
      <c r="H78" s="707" t="s">
        <v>430</v>
      </c>
      <c r="I78" s="707"/>
      <c r="J78" s="707"/>
      <c r="K78" s="707"/>
      <c r="L78" s="707"/>
      <c r="M78" s="707"/>
      <c r="N78" s="664"/>
      <c r="O78" s="665"/>
      <c r="P78" s="665"/>
      <c r="Q78" s="665"/>
      <c r="R78" s="665"/>
      <c r="S78" s="665"/>
      <c r="T78" s="665"/>
      <c r="U78" s="665"/>
      <c r="V78" s="665"/>
      <c r="W78" s="665"/>
      <c r="X78" s="665"/>
      <c r="Y78" s="665"/>
      <c r="Z78" s="665"/>
      <c r="AA78" s="665"/>
      <c r="AB78" s="665"/>
      <c r="AC78" s="665"/>
      <c r="AD78" s="665"/>
      <c r="AE78" s="665"/>
      <c r="AF78" s="665"/>
      <c r="AG78" s="665"/>
      <c r="AH78" s="665"/>
      <c r="AI78" s="665"/>
      <c r="AJ78" s="665"/>
      <c r="AK78" s="665"/>
      <c r="AL78" s="665"/>
      <c r="AM78" s="665"/>
      <c r="AN78" s="665"/>
      <c r="AO78" s="665"/>
      <c r="AP78" s="665"/>
      <c r="AQ78" s="665"/>
      <c r="AR78" s="665"/>
      <c r="AS78" s="665"/>
      <c r="AT78" s="665"/>
      <c r="AU78" s="665"/>
      <c r="CG78" s="656"/>
    </row>
    <row r="79" spans="1:85">
      <c r="A79" s="661"/>
      <c r="E79" s="663"/>
      <c r="F79" s="707"/>
      <c r="G79" s="707"/>
      <c r="H79" s="707" t="s">
        <v>431</v>
      </c>
      <c r="I79" s="707"/>
      <c r="J79" s="707"/>
      <c r="K79" s="707"/>
      <c r="L79" s="707"/>
      <c r="M79" s="707"/>
      <c r="N79" s="664"/>
      <c r="O79" s="665"/>
      <c r="P79" s="665"/>
      <c r="Q79" s="665"/>
      <c r="R79" s="665"/>
      <c r="S79" s="665"/>
      <c r="T79" s="665"/>
      <c r="U79" s="665"/>
      <c r="V79" s="665"/>
      <c r="W79" s="665"/>
      <c r="X79" s="665"/>
      <c r="Y79" s="665"/>
      <c r="Z79" s="665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CG79" s="656"/>
    </row>
    <row r="80" spans="1:85">
      <c r="A80" s="661"/>
      <c r="E80" s="663"/>
      <c r="F80" s="664"/>
      <c r="G80" s="664"/>
      <c r="H80" s="664"/>
      <c r="I80" s="664"/>
      <c r="J80" s="664"/>
      <c r="K80" s="664"/>
      <c r="L80" s="664"/>
      <c r="M80" s="664"/>
      <c r="N80" s="664"/>
      <c r="O80" s="665"/>
      <c r="P80" s="665"/>
      <c r="Q80" s="665"/>
      <c r="R80" s="665"/>
      <c r="S80" s="665"/>
      <c r="T80" s="665"/>
      <c r="U80" s="665"/>
      <c r="V80" s="665"/>
      <c r="W80" s="665"/>
      <c r="X80" s="665"/>
      <c r="Y80" s="665"/>
      <c r="Z80" s="665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CG80" s="656"/>
    </row>
    <row r="81" spans="1:85">
      <c r="A81" s="661"/>
      <c r="E81" s="663"/>
      <c r="F81" s="663" t="s">
        <v>556</v>
      </c>
      <c r="G81" s="663"/>
      <c r="H81" s="663"/>
      <c r="I81" s="663"/>
      <c r="J81" s="663"/>
      <c r="K81" s="663"/>
      <c r="L81" s="663"/>
      <c r="M81" s="663"/>
      <c r="N81" s="663"/>
      <c r="O81" s="663"/>
      <c r="P81" s="663"/>
      <c r="Q81" s="663"/>
      <c r="R81" s="663"/>
      <c r="S81" s="663"/>
      <c r="T81" s="663"/>
      <c r="U81" s="663"/>
      <c r="V81" s="663"/>
      <c r="W81" s="663"/>
      <c r="X81" s="663"/>
      <c r="Y81" s="663"/>
      <c r="Z81" s="663"/>
      <c r="AA81" s="663"/>
      <c r="AB81" s="663"/>
      <c r="AC81" s="663"/>
      <c r="AD81" s="663"/>
      <c r="AE81" s="663"/>
      <c r="AF81" s="663"/>
      <c r="AG81" s="663"/>
      <c r="AH81" s="663"/>
      <c r="AI81" s="663"/>
      <c r="AJ81" s="663"/>
      <c r="AK81" s="663"/>
      <c r="AL81" s="663"/>
      <c r="AM81" s="663"/>
      <c r="AN81" s="663"/>
      <c r="AO81" s="663"/>
      <c r="AP81" s="663"/>
      <c r="AQ81" s="663"/>
      <c r="AR81" s="663"/>
      <c r="AS81" s="663"/>
      <c r="AT81" s="663"/>
      <c r="AU81" s="663"/>
      <c r="CG81" s="656"/>
    </row>
    <row r="82" spans="1:85">
      <c r="A82" s="661"/>
      <c r="E82" s="663"/>
      <c r="F82" s="663"/>
      <c r="G82" s="663"/>
      <c r="H82" s="663"/>
      <c r="I82" s="663"/>
      <c r="J82" s="663"/>
      <c r="K82" s="663"/>
      <c r="L82" s="663"/>
      <c r="M82" s="663"/>
      <c r="N82" s="663"/>
      <c r="O82" s="663"/>
      <c r="P82" s="663"/>
      <c r="Q82" s="663"/>
      <c r="R82" s="663"/>
      <c r="S82" s="663"/>
      <c r="T82" s="663"/>
      <c r="U82" s="663"/>
      <c r="V82" s="663"/>
      <c r="W82" s="663"/>
      <c r="X82" s="663"/>
      <c r="Y82" s="663"/>
      <c r="Z82" s="663"/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CG82" s="656"/>
    </row>
    <row r="83" spans="1:85">
      <c r="A83" s="661"/>
      <c r="E83" s="663"/>
      <c r="F83" s="666" t="s">
        <v>353</v>
      </c>
      <c r="G83" s="876" t="s">
        <v>354</v>
      </c>
      <c r="H83" s="877"/>
      <c r="I83" s="877"/>
      <c r="J83" s="877"/>
      <c r="K83" s="877"/>
      <c r="L83" s="877"/>
      <c r="M83" s="877"/>
      <c r="N83" s="878"/>
      <c r="O83" s="876" t="s">
        <v>432</v>
      </c>
      <c r="P83" s="877"/>
      <c r="Q83" s="877"/>
      <c r="R83" s="877"/>
      <c r="S83" s="877"/>
      <c r="T83" s="877"/>
      <c r="U83" s="877"/>
      <c r="V83" s="877"/>
      <c r="W83" s="877"/>
      <c r="X83" s="877"/>
      <c r="Y83" s="877"/>
      <c r="Z83" s="877"/>
      <c r="AA83" s="878"/>
      <c r="AB83" s="663"/>
      <c r="AC83" s="663"/>
      <c r="AD83" s="663"/>
      <c r="AE83" s="663"/>
      <c r="AF83" s="663"/>
      <c r="AG83" s="663"/>
      <c r="AH83" s="663"/>
      <c r="AI83" s="663"/>
      <c r="AJ83" s="663"/>
      <c r="AK83" s="663"/>
      <c r="AL83" s="663"/>
      <c r="AM83" s="663"/>
      <c r="AN83" s="663"/>
      <c r="AO83" s="663"/>
      <c r="AP83" s="663"/>
      <c r="AQ83" s="663"/>
      <c r="AR83" s="663"/>
      <c r="AU83" s="663"/>
      <c r="AW83" s="663"/>
      <c r="CG83" s="656"/>
    </row>
    <row r="84" spans="1:85">
      <c r="A84" s="661"/>
      <c r="E84" s="663"/>
      <c r="F84" s="667">
        <v>1</v>
      </c>
      <c r="G84" s="879" t="s">
        <v>355</v>
      </c>
      <c r="H84" s="880"/>
      <c r="I84" s="880"/>
      <c r="J84" s="880"/>
      <c r="K84" s="880"/>
      <c r="L84" s="880"/>
      <c r="M84" s="880"/>
      <c r="N84" s="881"/>
      <c r="O84" s="879" t="s">
        <v>357</v>
      </c>
      <c r="P84" s="880"/>
      <c r="Q84" s="880"/>
      <c r="R84" s="880"/>
      <c r="S84" s="880"/>
      <c r="T84" s="880"/>
      <c r="U84" s="880"/>
      <c r="V84" s="880"/>
      <c r="W84" s="880"/>
      <c r="X84" s="880"/>
      <c r="Y84" s="880"/>
      <c r="Z84" s="880"/>
      <c r="AA84" s="881"/>
      <c r="AB84" s="663"/>
      <c r="AC84" s="663"/>
      <c r="AD84" s="663"/>
      <c r="AE84" s="663"/>
      <c r="AF84" s="663"/>
      <c r="AG84" s="663"/>
      <c r="AH84" s="663"/>
      <c r="AI84" s="663"/>
      <c r="AJ84" s="663"/>
      <c r="AK84" s="663"/>
      <c r="AL84" s="663"/>
      <c r="AM84" s="663"/>
      <c r="AN84" s="663"/>
      <c r="AO84" s="663"/>
      <c r="AP84" s="663"/>
      <c r="AQ84" s="663"/>
      <c r="AR84" s="663"/>
      <c r="AS84" s="663"/>
      <c r="AT84" s="663"/>
      <c r="AU84" s="663"/>
      <c r="BB84" s="668"/>
      <c r="CG84" s="656"/>
    </row>
    <row r="85" spans="1:85">
      <c r="A85" s="661"/>
      <c r="E85" s="663"/>
      <c r="F85" s="667">
        <v>2</v>
      </c>
      <c r="G85" s="879" t="s">
        <v>433</v>
      </c>
      <c r="H85" s="880"/>
      <c r="I85" s="880"/>
      <c r="J85" s="880"/>
      <c r="K85" s="880"/>
      <c r="L85" s="880"/>
      <c r="M85" s="880"/>
      <c r="N85" s="881"/>
      <c r="O85" s="879" t="s">
        <v>434</v>
      </c>
      <c r="P85" s="880"/>
      <c r="Q85" s="880"/>
      <c r="R85" s="880"/>
      <c r="S85" s="880"/>
      <c r="T85" s="880"/>
      <c r="U85" s="880"/>
      <c r="V85" s="880"/>
      <c r="W85" s="880"/>
      <c r="X85" s="880"/>
      <c r="Y85" s="880"/>
      <c r="Z85" s="880"/>
      <c r="AA85" s="881"/>
      <c r="AB85" s="663"/>
      <c r="AC85" s="663"/>
      <c r="AD85" s="663"/>
      <c r="AE85" s="663"/>
      <c r="AF85" s="663"/>
      <c r="AG85" s="663"/>
      <c r="AH85" s="663"/>
      <c r="AI85" s="663"/>
      <c r="AJ85" s="663"/>
      <c r="AK85" s="663"/>
      <c r="AL85" s="663"/>
      <c r="AM85" s="663"/>
      <c r="AN85" s="663"/>
      <c r="AO85" s="663"/>
      <c r="AP85" s="663"/>
      <c r="AQ85" s="663"/>
      <c r="AR85" s="663"/>
      <c r="AS85" s="663"/>
      <c r="AT85" s="663"/>
      <c r="AU85" s="663"/>
      <c r="BB85" s="668"/>
      <c r="CG85" s="656"/>
    </row>
    <row r="86" spans="1:85" ht="15.75" customHeight="1">
      <c r="A86" s="661"/>
      <c r="E86" s="663"/>
      <c r="F86" s="667">
        <v>3</v>
      </c>
      <c r="G86" s="879" t="s">
        <v>356</v>
      </c>
      <c r="H86" s="880"/>
      <c r="I86" s="880"/>
      <c r="J86" s="880"/>
      <c r="K86" s="880"/>
      <c r="L86" s="880"/>
      <c r="M86" s="880"/>
      <c r="N86" s="881"/>
      <c r="O86" s="898" t="s">
        <v>435</v>
      </c>
      <c r="P86" s="899"/>
      <c r="Q86" s="899"/>
      <c r="R86" s="899"/>
      <c r="S86" s="899"/>
      <c r="T86" s="899"/>
      <c r="U86" s="899"/>
      <c r="V86" s="899"/>
      <c r="W86" s="899"/>
      <c r="X86" s="899"/>
      <c r="Y86" s="899"/>
      <c r="Z86" s="899"/>
      <c r="AA86" s="900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BB86" s="669"/>
      <c r="CG86" s="656"/>
    </row>
    <row r="87" spans="1:85" ht="15.75" customHeight="1">
      <c r="A87" s="661"/>
      <c r="E87" s="663"/>
      <c r="F87" s="667">
        <v>4</v>
      </c>
      <c r="G87" s="879" t="s">
        <v>436</v>
      </c>
      <c r="H87" s="880"/>
      <c r="I87" s="880"/>
      <c r="J87" s="880"/>
      <c r="K87" s="880"/>
      <c r="L87" s="880"/>
      <c r="M87" s="880"/>
      <c r="N87" s="881"/>
      <c r="O87" s="898" t="s">
        <v>437</v>
      </c>
      <c r="P87" s="899"/>
      <c r="Q87" s="899"/>
      <c r="R87" s="899"/>
      <c r="S87" s="899"/>
      <c r="T87" s="899"/>
      <c r="U87" s="899"/>
      <c r="V87" s="899"/>
      <c r="W87" s="899"/>
      <c r="X87" s="899"/>
      <c r="Y87" s="899"/>
      <c r="Z87" s="899"/>
      <c r="AA87" s="900"/>
      <c r="AB87" s="663"/>
      <c r="AC87" s="663"/>
      <c r="AD87" s="663"/>
      <c r="AE87" s="663"/>
      <c r="AF87" s="663"/>
      <c r="AG87" s="663"/>
      <c r="AH87" s="663"/>
      <c r="AI87" s="663"/>
      <c r="AJ87" s="663"/>
      <c r="AK87" s="663"/>
      <c r="AL87" s="663"/>
      <c r="AM87" s="663"/>
      <c r="AN87" s="663"/>
      <c r="AO87" s="663"/>
      <c r="AP87" s="663"/>
      <c r="AQ87" s="663"/>
      <c r="AR87" s="663"/>
      <c r="AS87" s="663"/>
      <c r="AT87" s="663"/>
      <c r="AU87" s="663"/>
      <c r="CG87" s="656"/>
    </row>
    <row r="88" spans="1:85">
      <c r="A88" s="661"/>
      <c r="E88" s="663"/>
      <c r="F88" s="667">
        <v>5</v>
      </c>
      <c r="G88" s="879" t="s">
        <v>438</v>
      </c>
      <c r="H88" s="880"/>
      <c r="I88" s="880"/>
      <c r="J88" s="880"/>
      <c r="K88" s="880"/>
      <c r="L88" s="880"/>
      <c r="M88" s="880"/>
      <c r="N88" s="881"/>
      <c r="O88" s="898" t="s">
        <v>439</v>
      </c>
      <c r="P88" s="899"/>
      <c r="Q88" s="899"/>
      <c r="R88" s="899"/>
      <c r="S88" s="899"/>
      <c r="T88" s="899"/>
      <c r="U88" s="899"/>
      <c r="V88" s="899"/>
      <c r="W88" s="899"/>
      <c r="X88" s="899"/>
      <c r="Y88" s="899"/>
      <c r="Z88" s="899"/>
      <c r="AA88" s="900"/>
      <c r="AB88" s="663"/>
      <c r="AC88" s="663"/>
      <c r="AD88" s="663"/>
      <c r="AE88" s="663"/>
      <c r="AF88" s="663"/>
      <c r="AG88" s="663"/>
      <c r="AH88" s="663"/>
      <c r="AI88" s="663"/>
      <c r="AJ88" s="663"/>
      <c r="AK88" s="663"/>
      <c r="AL88" s="663"/>
      <c r="AM88" s="663"/>
      <c r="AN88" s="663"/>
      <c r="AO88" s="663"/>
      <c r="AP88" s="663"/>
      <c r="AQ88" s="663"/>
      <c r="AR88" s="663"/>
      <c r="AS88" s="663"/>
      <c r="AT88" s="663"/>
      <c r="AU88" s="663"/>
      <c r="CG88" s="656"/>
    </row>
    <row r="89" spans="1:85">
      <c r="A89" s="661"/>
      <c r="F89" s="667">
        <v>6</v>
      </c>
      <c r="G89" s="879" t="s">
        <v>440</v>
      </c>
      <c r="H89" s="880"/>
      <c r="I89" s="880"/>
      <c r="J89" s="880"/>
      <c r="K89" s="880"/>
      <c r="L89" s="880"/>
      <c r="M89" s="880"/>
      <c r="N89" s="881"/>
      <c r="O89" s="898" t="s">
        <v>358</v>
      </c>
      <c r="P89" s="899"/>
      <c r="Q89" s="899"/>
      <c r="R89" s="899"/>
      <c r="S89" s="899"/>
      <c r="T89" s="899"/>
      <c r="U89" s="899"/>
      <c r="V89" s="899"/>
      <c r="W89" s="899"/>
      <c r="X89" s="899"/>
      <c r="Y89" s="899"/>
      <c r="Z89" s="899"/>
      <c r="AA89" s="900"/>
      <c r="CG89" s="656"/>
    </row>
    <row r="90" spans="1:85">
      <c r="A90" s="661"/>
      <c r="F90" s="667">
        <v>7</v>
      </c>
      <c r="G90" s="879" t="s">
        <v>526</v>
      </c>
      <c r="H90" s="880"/>
      <c r="I90" s="880"/>
      <c r="J90" s="880"/>
      <c r="K90" s="880"/>
      <c r="L90" s="880"/>
      <c r="M90" s="880"/>
      <c r="N90" s="881"/>
      <c r="O90" s="898" t="s">
        <v>527</v>
      </c>
      <c r="P90" s="899"/>
      <c r="Q90" s="899"/>
      <c r="R90" s="899"/>
      <c r="S90" s="899"/>
      <c r="T90" s="899"/>
      <c r="U90" s="899"/>
      <c r="V90" s="899"/>
      <c r="W90" s="899"/>
      <c r="X90" s="899"/>
      <c r="Y90" s="899"/>
      <c r="Z90" s="899"/>
      <c r="AA90" s="900"/>
      <c r="CG90" s="656"/>
    </row>
    <row r="91" spans="1:85">
      <c r="A91" s="661"/>
      <c r="F91" s="670"/>
      <c r="G91" s="671"/>
      <c r="H91" s="671"/>
      <c r="I91" s="671"/>
      <c r="J91" s="671"/>
      <c r="K91" s="671"/>
      <c r="L91" s="671"/>
      <c r="M91" s="671"/>
      <c r="N91" s="671"/>
      <c r="O91" s="671"/>
      <c r="P91" s="671"/>
      <c r="Q91" s="671"/>
      <c r="R91" s="671"/>
      <c r="S91" s="671"/>
      <c r="T91" s="671"/>
      <c r="U91" s="671"/>
      <c r="V91" s="671"/>
      <c r="W91" s="671"/>
      <c r="X91" s="671"/>
      <c r="Y91" s="671"/>
      <c r="Z91" s="671"/>
      <c r="AA91" s="671"/>
      <c r="CG91" s="656"/>
    </row>
    <row r="92" spans="1:85">
      <c r="A92" s="661"/>
      <c r="F92" s="663" t="s">
        <v>557</v>
      </c>
      <c r="G92" s="663"/>
      <c r="J92" s="663"/>
      <c r="K92" s="663"/>
      <c r="L92" s="663"/>
      <c r="M92" s="663"/>
      <c r="N92" s="663"/>
      <c r="O92" s="663"/>
      <c r="P92" s="663"/>
      <c r="Q92" s="663"/>
      <c r="R92" s="663"/>
      <c r="S92" s="663"/>
      <c r="T92" s="663"/>
      <c r="U92" s="663"/>
      <c r="V92" s="663"/>
      <c r="W92" s="663"/>
      <c r="X92" s="663"/>
      <c r="Y92" s="663"/>
      <c r="Z92" s="663"/>
      <c r="AA92" s="663"/>
      <c r="AB92" s="663"/>
      <c r="AC92" s="663"/>
      <c r="AD92" s="663"/>
      <c r="AE92" s="663"/>
      <c r="AF92" s="663"/>
      <c r="AG92" s="663"/>
      <c r="AH92" s="663"/>
      <c r="AI92" s="663"/>
      <c r="AJ92" s="663"/>
      <c r="AK92" s="663"/>
      <c r="AL92" s="663"/>
      <c r="AM92" s="663"/>
      <c r="AN92" s="663"/>
      <c r="AO92" s="663"/>
      <c r="AP92" s="663"/>
      <c r="AQ92" s="663"/>
      <c r="AR92" s="663"/>
      <c r="AS92" s="663"/>
      <c r="AT92" s="663"/>
      <c r="AU92" s="663"/>
      <c r="CG92" s="656"/>
    </row>
    <row r="93" spans="1:85">
      <c r="A93" s="661"/>
      <c r="F93" s="663"/>
      <c r="G93" s="663"/>
      <c r="J93" s="663"/>
      <c r="K93" s="663"/>
      <c r="L93" s="663"/>
      <c r="M93" s="663"/>
      <c r="N93" s="663"/>
      <c r="O93" s="663"/>
      <c r="P93" s="663"/>
      <c r="Q93" s="663"/>
      <c r="R93" s="663"/>
      <c r="S93" s="663"/>
      <c r="T93" s="663"/>
      <c r="U93" s="663"/>
      <c r="V93" s="663"/>
      <c r="W93" s="663"/>
      <c r="X93" s="663"/>
      <c r="Y93" s="663"/>
      <c r="Z93" s="663"/>
      <c r="AA93" s="663"/>
      <c r="AB93" s="663"/>
      <c r="AC93" s="663"/>
      <c r="AD93" s="663"/>
      <c r="AE93" s="663"/>
      <c r="AF93" s="663"/>
      <c r="AG93" s="663"/>
      <c r="AH93" s="663"/>
      <c r="AI93" s="663"/>
      <c r="AJ93" s="663"/>
      <c r="AK93" s="663"/>
      <c r="AL93" s="663"/>
      <c r="AM93" s="663"/>
      <c r="AN93" s="663"/>
      <c r="AO93" s="663"/>
      <c r="AP93" s="663"/>
      <c r="AQ93" s="663"/>
      <c r="AR93" s="663"/>
      <c r="AS93" s="663"/>
      <c r="AT93" s="663"/>
      <c r="AU93" s="663"/>
      <c r="CG93" s="656"/>
    </row>
    <row r="94" spans="1:85">
      <c r="A94" s="661"/>
      <c r="F94" s="663"/>
      <c r="G94" s="663"/>
      <c r="J94" s="663"/>
      <c r="K94" s="663"/>
      <c r="L94" s="663"/>
      <c r="M94" s="663"/>
      <c r="N94" s="663"/>
      <c r="O94" s="663"/>
      <c r="P94" s="663"/>
      <c r="Q94" s="663"/>
      <c r="R94" s="663"/>
      <c r="S94" s="663"/>
      <c r="T94" s="663"/>
      <c r="U94" s="663"/>
      <c r="V94" s="663"/>
      <c r="W94" s="663"/>
      <c r="X94" s="663"/>
      <c r="Y94" s="663"/>
      <c r="Z94" s="663"/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CG94" s="656"/>
    </row>
    <row r="95" spans="1:85">
      <c r="A95" s="661"/>
      <c r="E95" s="663"/>
      <c r="F95" s="663"/>
      <c r="AC95" s="663"/>
      <c r="AD95" s="663"/>
      <c r="AE95" s="663"/>
      <c r="AF95" s="663"/>
      <c r="AG95" s="663"/>
      <c r="AH95" s="663"/>
      <c r="AI95" s="663"/>
      <c r="AJ95" s="663"/>
      <c r="AK95" s="663"/>
      <c r="AL95" s="663"/>
      <c r="AM95" s="663"/>
      <c r="AN95" s="663"/>
      <c r="AO95" s="663"/>
      <c r="AP95" s="663"/>
      <c r="AQ95" s="663"/>
      <c r="AR95" s="663"/>
      <c r="AS95" s="663"/>
      <c r="AT95" s="663"/>
      <c r="AU95" s="663"/>
      <c r="CG95" s="656"/>
    </row>
    <row r="96" spans="1:85">
      <c r="A96" s="661"/>
      <c r="E96" s="663"/>
      <c r="F96" s="663"/>
      <c r="AC96" s="663"/>
      <c r="AD96" s="663"/>
      <c r="AE96" s="663"/>
      <c r="AF96" s="663"/>
      <c r="AG96" s="663"/>
      <c r="AH96" s="663"/>
      <c r="AI96" s="663"/>
      <c r="AJ96" s="663"/>
      <c r="AK96" s="663"/>
      <c r="AL96" s="663"/>
      <c r="AM96" s="663"/>
      <c r="AN96" s="663"/>
      <c r="AO96" s="663"/>
      <c r="AP96" s="663"/>
      <c r="AQ96" s="663"/>
      <c r="AR96" s="663"/>
      <c r="AS96" s="663"/>
      <c r="AT96" s="663"/>
      <c r="AU96" s="663"/>
      <c r="CG96" s="656"/>
    </row>
    <row r="97" spans="1:85">
      <c r="A97" s="661"/>
      <c r="E97" s="663"/>
      <c r="F97" s="663"/>
      <c r="AC97" s="663"/>
      <c r="AD97" s="663"/>
      <c r="AE97" s="663"/>
      <c r="AF97" s="663"/>
      <c r="AG97" s="663"/>
      <c r="AH97" s="663"/>
      <c r="AI97" s="663"/>
      <c r="AJ97" s="663"/>
      <c r="AK97" s="663"/>
      <c r="AL97" s="663"/>
      <c r="AM97" s="663"/>
      <c r="AN97" s="663"/>
      <c r="AO97" s="663"/>
      <c r="AP97" s="663"/>
      <c r="AQ97" s="663"/>
      <c r="AR97" s="663"/>
      <c r="AS97" s="663"/>
      <c r="AT97" s="663"/>
      <c r="AU97" s="663"/>
      <c r="CG97" s="656"/>
    </row>
    <row r="98" spans="1:85">
      <c r="A98" s="661"/>
      <c r="E98" s="663"/>
      <c r="F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CG98" s="656"/>
    </row>
    <row r="99" spans="1:85">
      <c r="A99" s="661"/>
      <c r="E99" s="663"/>
      <c r="F99" s="663"/>
      <c r="AC99" s="663"/>
      <c r="AD99" s="663"/>
      <c r="AE99" s="663"/>
      <c r="AF99" s="663"/>
      <c r="AG99" s="663"/>
      <c r="AH99" s="663"/>
      <c r="AI99" s="663"/>
      <c r="AJ99" s="663"/>
      <c r="AK99" s="663"/>
      <c r="AL99" s="663"/>
      <c r="AM99" s="663"/>
      <c r="AN99" s="663"/>
      <c r="AO99" s="663"/>
      <c r="AP99" s="663"/>
      <c r="AQ99" s="663"/>
      <c r="AR99" s="663"/>
      <c r="AS99" s="663"/>
      <c r="AT99" s="663"/>
      <c r="AU99" s="663"/>
      <c r="CG99" s="656"/>
    </row>
    <row r="100" spans="1:85">
      <c r="A100" s="661"/>
      <c r="E100" s="663"/>
      <c r="F100" s="663"/>
      <c r="AC100" s="663"/>
      <c r="AD100" s="663"/>
      <c r="AE100" s="663"/>
      <c r="AF100" s="663"/>
      <c r="AG100" s="663"/>
      <c r="AH100" s="663"/>
      <c r="AI100" s="663"/>
      <c r="AJ100" s="663"/>
      <c r="AK100" s="663"/>
      <c r="AL100" s="663"/>
      <c r="AM100" s="663"/>
      <c r="AN100" s="663"/>
      <c r="AO100" s="663"/>
      <c r="AP100" s="663"/>
      <c r="AQ100" s="663"/>
      <c r="AR100" s="663"/>
      <c r="AS100" s="663"/>
      <c r="AT100" s="663"/>
      <c r="AU100" s="663"/>
      <c r="CG100" s="656"/>
    </row>
    <row r="101" spans="1:85">
      <c r="A101" s="661"/>
      <c r="E101" s="663"/>
      <c r="F101" s="663"/>
      <c r="AC101" s="663"/>
      <c r="AD101" s="663"/>
      <c r="AE101" s="663"/>
      <c r="AF101" s="663"/>
      <c r="AG101" s="663"/>
      <c r="AH101" s="663"/>
      <c r="AI101" s="663"/>
      <c r="AJ101" s="663"/>
      <c r="AK101" s="663"/>
      <c r="AL101" s="663"/>
      <c r="AM101" s="663"/>
      <c r="AN101" s="663"/>
      <c r="AO101" s="663"/>
      <c r="AP101" s="663"/>
      <c r="AQ101" s="663"/>
      <c r="AR101" s="663"/>
      <c r="AS101" s="663"/>
      <c r="AT101" s="663"/>
      <c r="AU101" s="663"/>
      <c r="CG101" s="656"/>
    </row>
    <row r="102" spans="1:85">
      <c r="A102" s="661"/>
      <c r="CG102" s="656"/>
    </row>
    <row r="103" spans="1:85">
      <c r="A103" s="661"/>
      <c r="CG103" s="656"/>
    </row>
    <row r="104" spans="1:85">
      <c r="A104" s="661"/>
      <c r="CG104" s="656"/>
    </row>
    <row r="105" spans="1:85">
      <c r="A105" s="661"/>
      <c r="CG105" s="656"/>
    </row>
    <row r="106" spans="1:85">
      <c r="A106" s="661"/>
      <c r="CG106" s="656"/>
    </row>
    <row r="107" spans="1:85">
      <c r="A107" s="661"/>
      <c r="CG107" s="656"/>
    </row>
    <row r="108" spans="1:85">
      <c r="A108" s="661"/>
      <c r="CG108" s="656"/>
    </row>
    <row r="109" spans="1:85">
      <c r="A109" s="661"/>
      <c r="F109" s="670"/>
      <c r="G109" s="671"/>
      <c r="H109" s="671"/>
      <c r="I109" s="671"/>
      <c r="J109" s="671"/>
      <c r="K109" s="671"/>
      <c r="L109" s="671"/>
      <c r="M109" s="671"/>
      <c r="N109" s="671"/>
      <c r="O109" s="671"/>
      <c r="P109" s="671"/>
      <c r="Q109" s="671"/>
      <c r="R109" s="671"/>
      <c r="S109" s="671"/>
      <c r="T109" s="671"/>
      <c r="U109" s="671"/>
      <c r="V109" s="671"/>
      <c r="W109" s="671"/>
      <c r="X109" s="671"/>
      <c r="Y109" s="671"/>
      <c r="Z109" s="671"/>
      <c r="AA109" s="671"/>
      <c r="CG109" s="656"/>
    </row>
    <row r="110" spans="1:85">
      <c r="A110" s="661"/>
      <c r="F110" s="670"/>
      <c r="G110" s="671"/>
      <c r="H110" s="671"/>
      <c r="I110" s="671"/>
      <c r="J110" s="671"/>
      <c r="K110" s="671"/>
      <c r="L110" s="671"/>
      <c r="M110" s="671"/>
      <c r="N110" s="671"/>
      <c r="O110" s="671"/>
      <c r="P110" s="671"/>
      <c r="Q110" s="671"/>
      <c r="R110" s="671"/>
      <c r="S110" s="671"/>
      <c r="T110" s="671"/>
      <c r="U110" s="671"/>
      <c r="V110" s="671"/>
      <c r="W110" s="671"/>
      <c r="X110" s="671"/>
      <c r="Y110" s="671"/>
      <c r="Z110" s="671"/>
      <c r="AA110" s="671"/>
      <c r="CG110" s="656"/>
    </row>
    <row r="111" spans="1:85">
      <c r="A111" s="661"/>
      <c r="F111" s="670"/>
      <c r="G111" s="671"/>
      <c r="H111" s="671"/>
      <c r="I111" s="671"/>
      <c r="J111" s="671"/>
      <c r="K111" s="671"/>
      <c r="L111" s="671"/>
      <c r="M111" s="671"/>
      <c r="N111" s="671"/>
      <c r="O111" s="671"/>
      <c r="P111" s="671"/>
      <c r="Q111" s="671"/>
      <c r="R111" s="671"/>
      <c r="S111" s="671"/>
      <c r="T111" s="671"/>
      <c r="U111" s="671"/>
      <c r="V111" s="671"/>
      <c r="W111" s="671"/>
      <c r="X111" s="671"/>
      <c r="Y111" s="671"/>
      <c r="Z111" s="671"/>
      <c r="AA111" s="671"/>
      <c r="CG111" s="656"/>
    </row>
    <row r="112" spans="1:85">
      <c r="A112" s="661"/>
      <c r="F112" s="670"/>
      <c r="G112" s="671"/>
      <c r="H112" s="671"/>
      <c r="I112" s="671"/>
      <c r="J112" s="671"/>
      <c r="K112" s="671"/>
      <c r="L112" s="671"/>
      <c r="M112" s="671"/>
      <c r="N112" s="671"/>
      <c r="O112" s="671"/>
      <c r="P112" s="671"/>
      <c r="Q112" s="671"/>
      <c r="R112" s="671"/>
      <c r="S112" s="671"/>
      <c r="T112" s="671"/>
      <c r="U112" s="671"/>
      <c r="V112" s="671"/>
      <c r="W112" s="671"/>
      <c r="X112" s="671"/>
      <c r="Y112" s="671"/>
      <c r="Z112" s="671"/>
      <c r="AA112" s="671"/>
      <c r="CG112" s="656"/>
    </row>
    <row r="113" spans="1:85">
      <c r="A113" s="661"/>
      <c r="CG113" s="656"/>
    </row>
    <row r="114" spans="1:85">
      <c r="A114" s="661"/>
      <c r="CG114" s="656"/>
    </row>
    <row r="115" spans="1:85">
      <c r="A115" s="661"/>
      <c r="CG115" s="656"/>
    </row>
    <row r="116" spans="1:85">
      <c r="A116" s="661"/>
      <c r="CG116" s="656"/>
    </row>
    <row r="117" spans="1:85">
      <c r="A117" s="661"/>
      <c r="CG117" s="656"/>
    </row>
    <row r="118" spans="1:85" ht="16.5" customHeight="1">
      <c r="A118" s="661"/>
      <c r="CG118" s="656"/>
    </row>
    <row r="119" spans="1:85">
      <c r="A119" s="661"/>
      <c r="E119" s="657" t="s">
        <v>558</v>
      </c>
      <c r="F119" s="663"/>
      <c r="G119" s="663"/>
      <c r="I119" s="663" t="s">
        <v>441</v>
      </c>
      <c r="CG119" s="656"/>
    </row>
    <row r="120" spans="1:85">
      <c r="A120" s="661"/>
      <c r="F120" s="663"/>
      <c r="G120" s="663"/>
      <c r="I120" s="663"/>
      <c r="CG120" s="656"/>
    </row>
    <row r="121" spans="1:85">
      <c r="A121" s="661"/>
      <c r="F121" s="663" t="s">
        <v>559</v>
      </c>
      <c r="G121" s="663"/>
      <c r="I121" s="663"/>
      <c r="Y121" s="657" t="s">
        <v>442</v>
      </c>
      <c r="Z121" s="657" t="s">
        <v>443</v>
      </c>
      <c r="CG121" s="656"/>
    </row>
    <row r="122" spans="1:85">
      <c r="A122" s="661"/>
      <c r="F122" s="663" t="s">
        <v>560</v>
      </c>
      <c r="G122" s="663"/>
      <c r="I122" s="663"/>
      <c r="Y122" s="657" t="s">
        <v>442</v>
      </c>
      <c r="Z122" s="657" t="s">
        <v>444</v>
      </c>
      <c r="CG122" s="656"/>
    </row>
    <row r="123" spans="1:85">
      <c r="A123" s="661"/>
      <c r="F123" s="663"/>
      <c r="G123" s="663"/>
      <c r="I123" s="663"/>
      <c r="CG123" s="656"/>
    </row>
    <row r="124" spans="1:85">
      <c r="A124" s="661"/>
      <c r="F124" s="663"/>
      <c r="G124" s="663"/>
      <c r="I124" s="663"/>
      <c r="CG124" s="656"/>
    </row>
    <row r="125" spans="1:85">
      <c r="A125" s="661"/>
      <c r="E125" s="657" t="s">
        <v>561</v>
      </c>
      <c r="CG125" s="656"/>
    </row>
    <row r="126" spans="1:85" hidden="1">
      <c r="A126" s="661"/>
      <c r="F126" s="663" t="s">
        <v>562</v>
      </c>
      <c r="CG126" s="656"/>
    </row>
    <row r="127" spans="1:85" ht="16.5" hidden="1" customHeight="1">
      <c r="A127" s="661"/>
      <c r="D127" s="655"/>
      <c r="F127" s="663"/>
      <c r="CG127" s="656"/>
    </row>
    <row r="128" spans="1:85" ht="16.5" hidden="1" customHeight="1">
      <c r="A128" s="661"/>
      <c r="H128" s="904" t="s">
        <v>445</v>
      </c>
      <c r="I128" s="905"/>
      <c r="J128" s="905"/>
      <c r="K128" s="905"/>
      <c r="L128" s="905"/>
      <c r="M128" s="905"/>
      <c r="N128" s="905"/>
      <c r="O128" s="905"/>
      <c r="P128" s="905"/>
      <c r="Q128" s="905"/>
      <c r="R128" s="905"/>
      <c r="S128" s="905"/>
      <c r="T128" s="905"/>
      <c r="U128" s="905"/>
      <c r="V128" s="905"/>
      <c r="W128" s="905"/>
      <c r="X128" s="905"/>
      <c r="Y128" s="905"/>
      <c r="Z128" s="905"/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6"/>
      <c r="AL128" s="907" t="s">
        <v>446</v>
      </c>
      <c r="AM128" s="907"/>
      <c r="AN128" s="907"/>
      <c r="AO128" s="907"/>
      <c r="AP128" s="907"/>
      <c r="AQ128" s="907"/>
      <c r="AR128" s="907"/>
      <c r="AS128" s="907"/>
      <c r="AT128" s="907"/>
      <c r="AU128" s="907"/>
      <c r="AV128" s="907"/>
      <c r="AW128" s="907"/>
      <c r="AX128" s="907"/>
      <c r="CG128" s="656"/>
    </row>
    <row r="129" spans="1:85" ht="33.75" hidden="1" customHeight="1">
      <c r="A129" s="661"/>
      <c r="H129" s="908" t="s">
        <v>563</v>
      </c>
      <c r="I129" s="908"/>
      <c r="J129" s="908"/>
      <c r="K129" s="908"/>
      <c r="L129" s="908"/>
      <c r="M129" s="908"/>
      <c r="N129" s="908"/>
      <c r="O129" s="908"/>
      <c r="P129" s="908"/>
      <c r="Q129" s="908"/>
      <c r="R129" s="908"/>
      <c r="S129" s="908"/>
      <c r="T129" s="908"/>
      <c r="U129" s="908"/>
      <c r="V129" s="908"/>
      <c r="W129" s="908"/>
      <c r="X129" s="908"/>
      <c r="Y129" s="908"/>
      <c r="Z129" s="908"/>
      <c r="AA129" s="908"/>
      <c r="AB129" s="908"/>
      <c r="AC129" s="908"/>
      <c r="AD129" s="908"/>
      <c r="AE129" s="908"/>
      <c r="AF129" s="908"/>
      <c r="AG129" s="908"/>
      <c r="AH129" s="908"/>
      <c r="AI129" s="908"/>
      <c r="AJ129" s="908"/>
      <c r="AK129" s="908"/>
      <c r="AL129" s="909" t="s">
        <v>564</v>
      </c>
      <c r="AM129" s="909"/>
      <c r="AN129" s="909"/>
      <c r="AO129" s="909"/>
      <c r="AP129" s="909"/>
      <c r="AQ129" s="909"/>
      <c r="AR129" s="909" t="s">
        <v>565</v>
      </c>
      <c r="AS129" s="909"/>
      <c r="AT129" s="909"/>
      <c r="AU129" s="909"/>
      <c r="AV129" s="909"/>
      <c r="AW129" s="909"/>
      <c r="AX129" s="909"/>
      <c r="CG129" s="656"/>
    </row>
    <row r="130" spans="1:85" ht="16.5" hidden="1" customHeight="1">
      <c r="A130" s="661"/>
      <c r="H130" s="901" t="s">
        <v>524</v>
      </c>
      <c r="I130" s="901"/>
      <c r="J130" s="901"/>
      <c r="K130" s="901"/>
      <c r="L130" s="901"/>
      <c r="M130" s="901"/>
      <c r="N130" s="901"/>
      <c r="O130" s="901"/>
      <c r="P130" s="901"/>
      <c r="Q130" s="901"/>
      <c r="R130" s="901"/>
      <c r="S130" s="901"/>
      <c r="T130" s="901"/>
      <c r="U130" s="901"/>
      <c r="V130" s="901"/>
      <c r="W130" s="902" t="s">
        <v>447</v>
      </c>
      <c r="X130" s="902"/>
      <c r="Y130" s="902"/>
      <c r="Z130" s="902"/>
      <c r="AA130" s="902"/>
      <c r="AB130" s="902"/>
      <c r="AC130" s="902"/>
      <c r="AD130" s="902"/>
      <c r="AE130" s="902"/>
      <c r="AF130" s="902"/>
      <c r="AG130" s="902"/>
      <c r="AH130" s="902"/>
      <c r="AI130" s="902"/>
      <c r="AJ130" s="902"/>
      <c r="AK130" s="902"/>
      <c r="AL130" s="902" t="s">
        <v>448</v>
      </c>
      <c r="AM130" s="902"/>
      <c r="AN130" s="902"/>
      <c r="AO130" s="902"/>
      <c r="AP130" s="902"/>
      <c r="AQ130" s="902"/>
      <c r="AR130" s="902" t="s">
        <v>448</v>
      </c>
      <c r="AS130" s="902"/>
      <c r="AT130" s="902"/>
      <c r="AU130" s="902"/>
      <c r="AV130" s="902"/>
      <c r="AW130" s="902"/>
      <c r="AX130" s="902"/>
      <c r="CG130" s="656"/>
    </row>
    <row r="131" spans="1:85" ht="49.7" hidden="1" customHeight="1">
      <c r="A131" s="661"/>
      <c r="H131" s="901"/>
      <c r="I131" s="901"/>
      <c r="J131" s="901"/>
      <c r="K131" s="901"/>
      <c r="L131" s="901"/>
      <c r="M131" s="901"/>
      <c r="N131" s="901"/>
      <c r="O131" s="901"/>
      <c r="P131" s="901"/>
      <c r="Q131" s="901"/>
      <c r="R131" s="901"/>
      <c r="S131" s="901"/>
      <c r="T131" s="901"/>
      <c r="U131" s="901"/>
      <c r="V131" s="901"/>
      <c r="W131" s="903" t="s">
        <v>449</v>
      </c>
      <c r="X131" s="903"/>
      <c r="Y131" s="903"/>
      <c r="Z131" s="903"/>
      <c r="AA131" s="903"/>
      <c r="AB131" s="903"/>
      <c r="AC131" s="903"/>
      <c r="AD131" s="903"/>
      <c r="AE131" s="903"/>
      <c r="AF131" s="903"/>
      <c r="AG131" s="903"/>
      <c r="AH131" s="903"/>
      <c r="AI131" s="903"/>
      <c r="AJ131" s="903"/>
      <c r="AK131" s="903"/>
      <c r="AL131" s="902" t="s">
        <v>448</v>
      </c>
      <c r="AM131" s="902"/>
      <c r="AN131" s="902"/>
      <c r="AO131" s="902"/>
      <c r="AP131" s="902"/>
      <c r="AQ131" s="902"/>
      <c r="AR131" s="903" t="s">
        <v>450</v>
      </c>
      <c r="AS131" s="903"/>
      <c r="AT131" s="903"/>
      <c r="AU131" s="903"/>
      <c r="AV131" s="903"/>
      <c r="AW131" s="903"/>
      <c r="AX131" s="903"/>
      <c r="CG131" s="656"/>
    </row>
    <row r="132" spans="1:85" ht="16.5" hidden="1" customHeight="1">
      <c r="A132" s="661"/>
      <c r="H132" s="901" t="s">
        <v>525</v>
      </c>
      <c r="I132" s="901"/>
      <c r="J132" s="901"/>
      <c r="K132" s="901"/>
      <c r="L132" s="901"/>
      <c r="M132" s="901"/>
      <c r="N132" s="901"/>
      <c r="O132" s="901"/>
      <c r="P132" s="901"/>
      <c r="Q132" s="901"/>
      <c r="R132" s="901"/>
      <c r="S132" s="901"/>
      <c r="T132" s="901"/>
      <c r="U132" s="901"/>
      <c r="V132" s="901"/>
      <c r="W132" s="902"/>
      <c r="X132" s="902"/>
      <c r="Y132" s="902"/>
      <c r="Z132" s="902"/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 t="s">
        <v>448</v>
      </c>
      <c r="AM132" s="902"/>
      <c r="AN132" s="902"/>
      <c r="AO132" s="902"/>
      <c r="AP132" s="902"/>
      <c r="AQ132" s="902"/>
      <c r="AR132" s="902" t="s">
        <v>448</v>
      </c>
      <c r="AS132" s="902"/>
      <c r="AT132" s="902"/>
      <c r="AU132" s="902"/>
      <c r="AV132" s="902"/>
      <c r="AW132" s="902"/>
      <c r="AX132" s="902"/>
      <c r="CG132" s="656"/>
    </row>
    <row r="133" spans="1:85" ht="16.5" hidden="1" customHeight="1">
      <c r="A133" s="661"/>
      <c r="H133" s="901" t="s">
        <v>451</v>
      </c>
      <c r="I133" s="901"/>
      <c r="J133" s="901"/>
      <c r="K133" s="901"/>
      <c r="L133" s="901"/>
      <c r="M133" s="901"/>
      <c r="N133" s="901"/>
      <c r="O133" s="901"/>
      <c r="P133" s="901"/>
      <c r="Q133" s="901"/>
      <c r="R133" s="901"/>
      <c r="S133" s="901"/>
      <c r="T133" s="901"/>
      <c r="U133" s="901"/>
      <c r="V133" s="901"/>
      <c r="W133" s="902"/>
      <c r="X133" s="902"/>
      <c r="Y133" s="902"/>
      <c r="Z133" s="902"/>
      <c r="AA133" s="902"/>
      <c r="AB133" s="902"/>
      <c r="AC133" s="902"/>
      <c r="AD133" s="902"/>
      <c r="AE133" s="902"/>
      <c r="AF133" s="902"/>
      <c r="AG133" s="902"/>
      <c r="AH133" s="902"/>
      <c r="AI133" s="902"/>
      <c r="AJ133" s="902"/>
      <c r="AK133" s="902"/>
      <c r="AL133" s="902" t="s">
        <v>448</v>
      </c>
      <c r="AM133" s="902"/>
      <c r="AN133" s="902"/>
      <c r="AO133" s="902"/>
      <c r="AP133" s="902"/>
      <c r="AQ133" s="902"/>
      <c r="AR133" s="902" t="s">
        <v>448</v>
      </c>
      <c r="AS133" s="902"/>
      <c r="AT133" s="902"/>
      <c r="AU133" s="902"/>
      <c r="AV133" s="902"/>
      <c r="AW133" s="902"/>
      <c r="AX133" s="902"/>
      <c r="CG133" s="656"/>
    </row>
    <row r="134" spans="1:85" ht="16.5" hidden="1" customHeight="1">
      <c r="A134" s="661"/>
      <c r="CG134" s="656"/>
    </row>
    <row r="135" spans="1:85" ht="16.5" customHeight="1">
      <c r="A135" s="661"/>
      <c r="D135" s="655"/>
      <c r="F135" s="663" t="s">
        <v>566</v>
      </c>
      <c r="CG135" s="656"/>
    </row>
    <row r="136" spans="1:85" ht="16.5" customHeight="1">
      <c r="A136" s="661"/>
      <c r="D136" s="655"/>
      <c r="F136" s="663"/>
      <c r="CG136" s="656"/>
    </row>
    <row r="137" spans="1:85" ht="16.5" customHeight="1">
      <c r="A137" s="661"/>
      <c r="F137" s="910" t="s">
        <v>445</v>
      </c>
      <c r="G137" s="910"/>
      <c r="H137" s="910"/>
      <c r="I137" s="910"/>
      <c r="J137" s="910"/>
      <c r="K137" s="910"/>
      <c r="L137" s="910"/>
      <c r="M137" s="910"/>
      <c r="N137" s="910"/>
      <c r="O137" s="910"/>
      <c r="P137" s="910"/>
      <c r="Q137" s="910"/>
      <c r="R137" s="910"/>
      <c r="S137" s="910"/>
      <c r="T137" s="910"/>
      <c r="U137" s="910"/>
      <c r="V137" s="910"/>
      <c r="W137" s="910"/>
      <c r="X137" s="910"/>
      <c r="Y137" s="910"/>
      <c r="Z137" s="91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CG137" s="656"/>
    </row>
    <row r="138" spans="1:85" ht="47.1" customHeight="1">
      <c r="A138" s="661"/>
      <c r="F138" s="908" t="s">
        <v>563</v>
      </c>
      <c r="G138" s="908"/>
      <c r="H138" s="908"/>
      <c r="I138" s="908"/>
      <c r="J138" s="908"/>
      <c r="K138" s="908"/>
      <c r="L138" s="908"/>
      <c r="M138" s="908"/>
      <c r="N138" s="908"/>
      <c r="O138" s="908"/>
      <c r="P138" s="908"/>
      <c r="Q138" s="908"/>
      <c r="R138" s="908"/>
      <c r="S138" s="908"/>
      <c r="T138" s="908"/>
      <c r="U138" s="908"/>
      <c r="V138" s="908"/>
      <c r="W138" s="908"/>
      <c r="X138" s="908"/>
      <c r="Y138" s="908"/>
      <c r="Z138" s="908"/>
      <c r="AA138" s="908"/>
      <c r="AB138" s="908"/>
      <c r="AC138" s="908"/>
      <c r="AD138" s="908"/>
      <c r="AE138" s="908"/>
      <c r="AF138" s="908"/>
      <c r="AG138" s="908"/>
      <c r="AH138" s="908"/>
      <c r="AI138" s="908"/>
      <c r="AJ138" s="908" t="s">
        <v>452</v>
      </c>
      <c r="AK138" s="908"/>
      <c r="AL138" s="908"/>
      <c r="AM138" s="911" t="s">
        <v>453</v>
      </c>
      <c r="AN138" s="911"/>
      <c r="AO138" s="911"/>
      <c r="AP138" s="911"/>
      <c r="AQ138" s="911"/>
      <c r="AR138" s="912" t="s">
        <v>454</v>
      </c>
      <c r="AS138" s="912"/>
      <c r="AT138" s="912"/>
      <c r="AU138" s="908" t="s">
        <v>455</v>
      </c>
      <c r="AV138" s="908"/>
      <c r="CG138" s="656"/>
    </row>
    <row r="139" spans="1:85" ht="16.5" customHeight="1">
      <c r="A139" s="661"/>
      <c r="F139" s="901" t="s">
        <v>524</v>
      </c>
      <c r="G139" s="901"/>
      <c r="H139" s="901"/>
      <c r="I139" s="901"/>
      <c r="J139" s="901"/>
      <c r="K139" s="901"/>
      <c r="L139" s="901"/>
      <c r="M139" s="901"/>
      <c r="N139" s="901"/>
      <c r="O139" s="901"/>
      <c r="P139" s="901"/>
      <c r="Q139" s="901"/>
      <c r="R139" s="901"/>
      <c r="S139" s="901"/>
      <c r="T139" s="901"/>
      <c r="U139" s="902" t="s">
        <v>447</v>
      </c>
      <c r="V139" s="902"/>
      <c r="W139" s="902"/>
      <c r="X139" s="902"/>
      <c r="Y139" s="902"/>
      <c r="Z139" s="902"/>
      <c r="AA139" s="902"/>
      <c r="AB139" s="902"/>
      <c r="AC139" s="902"/>
      <c r="AD139" s="902"/>
      <c r="AE139" s="902"/>
      <c r="AF139" s="902"/>
      <c r="AG139" s="902"/>
      <c r="AH139" s="902"/>
      <c r="AI139" s="902"/>
      <c r="AJ139" s="918" t="s">
        <v>456</v>
      </c>
      <c r="AK139" s="919"/>
      <c r="AL139" s="920"/>
      <c r="AM139" s="916" t="s">
        <v>358</v>
      </c>
      <c r="AN139" s="916"/>
      <c r="AO139" s="916"/>
      <c r="AP139" s="916"/>
      <c r="AQ139" s="916"/>
      <c r="AR139" s="917" t="s">
        <v>457</v>
      </c>
      <c r="AS139" s="917"/>
      <c r="AT139" s="917"/>
      <c r="AU139" s="917" t="s">
        <v>458</v>
      </c>
      <c r="AV139" s="917"/>
      <c r="CG139" s="656"/>
    </row>
    <row r="140" spans="1:85" ht="49.7" customHeight="1">
      <c r="A140" s="661"/>
      <c r="F140" s="901"/>
      <c r="G140" s="901"/>
      <c r="H140" s="901"/>
      <c r="I140" s="901"/>
      <c r="J140" s="901"/>
      <c r="K140" s="901"/>
      <c r="L140" s="901"/>
      <c r="M140" s="901"/>
      <c r="N140" s="901"/>
      <c r="O140" s="901"/>
      <c r="P140" s="901"/>
      <c r="Q140" s="901"/>
      <c r="R140" s="901"/>
      <c r="S140" s="901"/>
      <c r="T140" s="901"/>
      <c r="U140" s="903" t="s">
        <v>459</v>
      </c>
      <c r="V140" s="903"/>
      <c r="W140" s="903"/>
      <c r="X140" s="903"/>
      <c r="Y140" s="903"/>
      <c r="Z140" s="903"/>
      <c r="AA140" s="903"/>
      <c r="AB140" s="903"/>
      <c r="AC140" s="903"/>
      <c r="AD140" s="903"/>
      <c r="AE140" s="903"/>
      <c r="AF140" s="903"/>
      <c r="AG140" s="903"/>
      <c r="AH140" s="903"/>
      <c r="AI140" s="903"/>
      <c r="AJ140" s="915" t="s">
        <v>460</v>
      </c>
      <c r="AK140" s="915"/>
      <c r="AL140" s="915"/>
      <c r="AM140" s="916" t="s">
        <v>630</v>
      </c>
      <c r="AN140" s="916"/>
      <c r="AO140" s="916"/>
      <c r="AP140" s="916"/>
      <c r="AQ140" s="916"/>
      <c r="AR140" s="917" t="s">
        <v>457</v>
      </c>
      <c r="AS140" s="917"/>
      <c r="AT140" s="917"/>
      <c r="AU140" s="917" t="s">
        <v>461</v>
      </c>
      <c r="AV140" s="917"/>
      <c r="CG140" s="656"/>
    </row>
    <row r="141" spans="1:85" ht="49.7" customHeight="1">
      <c r="A141" s="661"/>
      <c r="F141" s="901"/>
      <c r="G141" s="901"/>
      <c r="H141" s="901"/>
      <c r="I141" s="901"/>
      <c r="J141" s="901"/>
      <c r="K141" s="901"/>
      <c r="L141" s="901"/>
      <c r="M141" s="901"/>
      <c r="N141" s="901"/>
      <c r="O141" s="901"/>
      <c r="P141" s="901"/>
      <c r="Q141" s="901"/>
      <c r="R141" s="901"/>
      <c r="S141" s="901"/>
      <c r="T141" s="901"/>
      <c r="U141" s="903" t="s">
        <v>462</v>
      </c>
      <c r="V141" s="903"/>
      <c r="W141" s="903"/>
      <c r="X141" s="903"/>
      <c r="Y141" s="903"/>
      <c r="Z141" s="903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15" t="s">
        <v>460</v>
      </c>
      <c r="AK141" s="915"/>
      <c r="AL141" s="915"/>
      <c r="AM141" s="916" t="s">
        <v>631</v>
      </c>
      <c r="AN141" s="916"/>
      <c r="AO141" s="916"/>
      <c r="AP141" s="916"/>
      <c r="AQ141" s="916"/>
      <c r="AR141" s="917" t="s">
        <v>463</v>
      </c>
      <c r="AS141" s="917"/>
      <c r="AT141" s="917"/>
      <c r="AU141" s="913" t="s">
        <v>464</v>
      </c>
      <c r="AV141" s="914"/>
      <c r="CG141" s="656"/>
    </row>
    <row r="142" spans="1:85" ht="16.5" customHeight="1">
      <c r="A142" s="661"/>
      <c r="F142" s="901" t="s">
        <v>525</v>
      </c>
      <c r="G142" s="901"/>
      <c r="H142" s="901"/>
      <c r="I142" s="901"/>
      <c r="J142" s="901"/>
      <c r="K142" s="901"/>
      <c r="L142" s="901"/>
      <c r="M142" s="901"/>
      <c r="N142" s="901"/>
      <c r="O142" s="901"/>
      <c r="P142" s="901"/>
      <c r="Q142" s="901"/>
      <c r="R142" s="901"/>
      <c r="S142" s="901"/>
      <c r="T142" s="901"/>
      <c r="U142" s="902"/>
      <c r="V142" s="902"/>
      <c r="W142" s="902"/>
      <c r="X142" s="902"/>
      <c r="Y142" s="902"/>
      <c r="Z142" s="902"/>
      <c r="AA142" s="902"/>
      <c r="AB142" s="902"/>
      <c r="AC142" s="902"/>
      <c r="AD142" s="902"/>
      <c r="AE142" s="902"/>
      <c r="AF142" s="902"/>
      <c r="AG142" s="902"/>
      <c r="AH142" s="902"/>
      <c r="AI142" s="902"/>
      <c r="AJ142" s="915" t="s">
        <v>465</v>
      </c>
      <c r="AK142" s="915"/>
      <c r="AL142" s="915"/>
      <c r="AM142" s="916" t="s">
        <v>466</v>
      </c>
      <c r="AN142" s="916"/>
      <c r="AO142" s="916"/>
      <c r="AP142" s="916"/>
      <c r="AQ142" s="916"/>
      <c r="AR142" s="917" t="s">
        <v>457</v>
      </c>
      <c r="AS142" s="917"/>
      <c r="AT142" s="917"/>
      <c r="AU142" s="913" t="s">
        <v>467</v>
      </c>
      <c r="AV142" s="914"/>
      <c r="CG142" s="656"/>
    </row>
    <row r="143" spans="1:85" ht="16.5" customHeight="1">
      <c r="A143" s="661"/>
      <c r="F143" s="901" t="s">
        <v>615</v>
      </c>
      <c r="G143" s="901"/>
      <c r="H143" s="901"/>
      <c r="I143" s="901"/>
      <c r="J143" s="901"/>
      <c r="K143" s="901"/>
      <c r="L143" s="901"/>
      <c r="M143" s="901"/>
      <c r="N143" s="901"/>
      <c r="O143" s="901"/>
      <c r="P143" s="901"/>
      <c r="Q143" s="901"/>
      <c r="R143" s="901"/>
      <c r="S143" s="901"/>
      <c r="T143" s="901"/>
      <c r="U143" s="902"/>
      <c r="V143" s="902"/>
      <c r="W143" s="902"/>
      <c r="X143" s="902"/>
      <c r="Y143" s="902"/>
      <c r="Z143" s="902"/>
      <c r="AA143" s="902"/>
      <c r="AB143" s="902"/>
      <c r="AC143" s="902"/>
      <c r="AD143" s="902"/>
      <c r="AE143" s="902"/>
      <c r="AF143" s="902"/>
      <c r="AG143" s="902"/>
      <c r="AH143" s="902"/>
      <c r="AI143" s="902"/>
      <c r="AJ143" s="915" t="s">
        <v>456</v>
      </c>
      <c r="AK143" s="915"/>
      <c r="AL143" s="915"/>
      <c r="AM143" s="916" t="s">
        <v>466</v>
      </c>
      <c r="AN143" s="916"/>
      <c r="AO143" s="916"/>
      <c r="AP143" s="916"/>
      <c r="AQ143" s="916"/>
      <c r="AR143" s="917" t="s">
        <v>457</v>
      </c>
      <c r="AS143" s="917"/>
      <c r="AT143" s="917"/>
      <c r="AU143" s="917" t="s">
        <v>468</v>
      </c>
      <c r="AV143" s="917"/>
      <c r="CG143" s="656"/>
    </row>
    <row r="144" spans="1:85" ht="16.5" customHeight="1">
      <c r="A144" s="661"/>
      <c r="CG144" s="656"/>
    </row>
    <row r="145" spans="1:85">
      <c r="A145" s="661"/>
      <c r="B145" s="662" t="s">
        <v>568</v>
      </c>
      <c r="CG145" s="656"/>
    </row>
    <row r="146" spans="1:85">
      <c r="A146" s="661"/>
      <c r="B146" s="662"/>
      <c r="CG146" s="656"/>
    </row>
    <row r="147" spans="1:85">
      <c r="A147" s="661"/>
      <c r="E147" s="663" t="s">
        <v>569</v>
      </c>
      <c r="CG147" s="656"/>
    </row>
    <row r="148" spans="1:85">
      <c r="A148" s="661"/>
      <c r="E148" s="663"/>
      <c r="CG148" s="656"/>
    </row>
    <row r="149" spans="1:85">
      <c r="A149" s="661"/>
      <c r="F149" s="657" t="s">
        <v>469</v>
      </c>
      <c r="CG149" s="656"/>
    </row>
    <row r="150" spans="1:85">
      <c r="A150" s="661"/>
      <c r="E150" s="663"/>
      <c r="CG150" s="656"/>
    </row>
    <row r="151" spans="1:85">
      <c r="A151" s="661"/>
      <c r="B151" s="662"/>
      <c r="E151" s="657" t="s">
        <v>570</v>
      </c>
      <c r="CG151" s="656"/>
    </row>
    <row r="152" spans="1:85">
      <c r="A152" s="661"/>
      <c r="B152" s="662"/>
      <c r="F152" s="657" t="s">
        <v>567</v>
      </c>
      <c r="CG152" s="656"/>
    </row>
    <row r="153" spans="1:85">
      <c r="A153" s="661"/>
      <c r="B153" s="662"/>
      <c r="F153" s="657" t="s">
        <v>616</v>
      </c>
      <c r="CG153" s="656"/>
    </row>
    <row r="154" spans="1:85">
      <c r="A154" s="661"/>
      <c r="B154" s="662"/>
      <c r="CG154" s="656"/>
    </row>
    <row r="155" spans="1:85">
      <c r="A155" s="661"/>
      <c r="B155" s="662"/>
      <c r="CG155" s="656"/>
    </row>
    <row r="156" spans="1:85">
      <c r="A156" s="661"/>
      <c r="B156" s="662"/>
      <c r="E156" s="663" t="s">
        <v>571</v>
      </c>
      <c r="CG156" s="656"/>
    </row>
    <row r="157" spans="1:85">
      <c r="A157" s="661"/>
      <c r="F157" s="663"/>
      <c r="G157" s="663"/>
      <c r="J157" s="663"/>
      <c r="K157" s="663"/>
      <c r="L157" s="663"/>
      <c r="M157" s="663"/>
      <c r="N157" s="663"/>
      <c r="O157" s="663"/>
      <c r="P157" s="663"/>
      <c r="Q157" s="663"/>
      <c r="R157" s="663"/>
      <c r="S157" s="663"/>
      <c r="T157" s="663"/>
      <c r="U157" s="663"/>
      <c r="V157" s="663"/>
      <c r="W157" s="663"/>
      <c r="X157" s="663"/>
      <c r="Y157" s="663"/>
      <c r="Z157" s="663"/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CG157" s="656"/>
    </row>
    <row r="158" spans="1:85">
      <c r="A158" s="661"/>
      <c r="F158" s="663"/>
      <c r="G158" s="663"/>
      <c r="J158" s="663"/>
      <c r="K158" s="663"/>
      <c r="L158" s="663"/>
      <c r="M158" s="663"/>
      <c r="N158" s="663"/>
      <c r="O158" s="663"/>
      <c r="P158" s="663"/>
      <c r="Q158" s="663"/>
      <c r="R158" s="663"/>
      <c r="S158" s="663"/>
      <c r="T158" s="663"/>
      <c r="U158" s="663"/>
      <c r="V158" s="663"/>
      <c r="W158" s="663"/>
      <c r="X158" s="663"/>
      <c r="Y158" s="663"/>
      <c r="Z158" s="663"/>
      <c r="AA158" s="663"/>
      <c r="AB158" s="663"/>
      <c r="AC158" s="663"/>
      <c r="AD158" s="663"/>
      <c r="AE158" s="663"/>
      <c r="AF158" s="663"/>
      <c r="AG158" s="663"/>
      <c r="AH158" s="663"/>
      <c r="AI158" s="663"/>
      <c r="AJ158" s="663"/>
      <c r="AK158" s="663"/>
      <c r="AL158" s="663"/>
      <c r="AM158" s="663"/>
      <c r="AN158" s="663"/>
      <c r="AO158" s="663"/>
      <c r="AP158" s="663"/>
      <c r="AQ158" s="663"/>
      <c r="AR158" s="663"/>
      <c r="AS158" s="663"/>
      <c r="AT158" s="663"/>
      <c r="AU158" s="663"/>
      <c r="CG158" s="656"/>
    </row>
    <row r="159" spans="1:85">
      <c r="A159" s="661"/>
      <c r="E159" s="663"/>
      <c r="F159" s="663"/>
      <c r="AC159" s="663"/>
      <c r="AD159" s="663"/>
      <c r="AE159" s="663"/>
      <c r="AF159" s="663"/>
      <c r="AG159" s="663"/>
      <c r="AH159" s="663"/>
      <c r="AI159" s="663"/>
      <c r="AJ159" s="663"/>
      <c r="AK159" s="663"/>
      <c r="AL159" s="663"/>
      <c r="AM159" s="663"/>
      <c r="AN159" s="663"/>
      <c r="AO159" s="663"/>
      <c r="AP159" s="663"/>
      <c r="AQ159" s="663"/>
      <c r="AR159" s="663"/>
      <c r="AS159" s="663"/>
      <c r="AT159" s="663"/>
      <c r="AU159" s="663"/>
      <c r="CG159" s="656"/>
    </row>
    <row r="160" spans="1:85">
      <c r="A160" s="661"/>
      <c r="E160" s="663"/>
      <c r="F160" s="663"/>
      <c r="AC160" s="663"/>
      <c r="AD160" s="663"/>
      <c r="AE160" s="663"/>
      <c r="AF160" s="663"/>
      <c r="AG160" s="663"/>
      <c r="AH160" s="663"/>
      <c r="AI160" s="663"/>
      <c r="AJ160" s="663"/>
      <c r="AK160" s="663"/>
      <c r="AL160" s="663"/>
      <c r="AM160" s="663"/>
      <c r="AN160" s="663"/>
      <c r="AO160" s="663"/>
      <c r="AP160" s="663"/>
      <c r="AQ160" s="663"/>
      <c r="AR160" s="663"/>
      <c r="AS160" s="663"/>
      <c r="AT160" s="663"/>
      <c r="AU160" s="663"/>
      <c r="CG160" s="656"/>
    </row>
    <row r="161" spans="1:85">
      <c r="A161" s="661"/>
      <c r="E161" s="663"/>
      <c r="F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CG161" s="656"/>
    </row>
    <row r="162" spans="1:85">
      <c r="A162" s="661"/>
      <c r="E162" s="663"/>
      <c r="F162" s="663"/>
      <c r="AC162" s="663"/>
      <c r="AD162" s="663"/>
      <c r="AE162" s="663"/>
      <c r="AF162" s="663"/>
      <c r="AG162" s="663"/>
      <c r="AH162" s="663"/>
      <c r="AI162" s="663"/>
      <c r="AJ162" s="663"/>
      <c r="AK162" s="663"/>
      <c r="AL162" s="663"/>
      <c r="AM162" s="663"/>
      <c r="AN162" s="663"/>
      <c r="AO162" s="663"/>
      <c r="AP162" s="663"/>
      <c r="AQ162" s="663"/>
      <c r="AR162" s="663"/>
      <c r="AS162" s="663"/>
      <c r="AT162" s="663"/>
      <c r="AU162" s="663"/>
      <c r="CG162" s="656"/>
    </row>
    <row r="163" spans="1:85">
      <c r="A163" s="661"/>
      <c r="E163" s="663"/>
      <c r="F163" s="663"/>
      <c r="AC163" s="663"/>
      <c r="AD163" s="663"/>
      <c r="AE163" s="663"/>
      <c r="AF163" s="663"/>
      <c r="AG163" s="663"/>
      <c r="AH163" s="663"/>
      <c r="AI163" s="663"/>
      <c r="AJ163" s="663"/>
      <c r="AK163" s="663"/>
      <c r="AL163" s="663"/>
      <c r="AM163" s="663"/>
      <c r="AN163" s="663"/>
      <c r="AO163" s="663"/>
      <c r="AP163" s="663"/>
      <c r="AQ163" s="663"/>
      <c r="AR163" s="663"/>
      <c r="AS163" s="663"/>
      <c r="AT163" s="663"/>
      <c r="AU163" s="663"/>
      <c r="CG163" s="656"/>
    </row>
    <row r="164" spans="1:85">
      <c r="A164" s="661"/>
      <c r="E164" s="663"/>
      <c r="F164" s="663"/>
      <c r="AC164" s="663"/>
      <c r="AD164" s="663"/>
      <c r="AE164" s="663"/>
      <c r="AF164" s="663"/>
      <c r="AG164" s="663"/>
      <c r="AH164" s="663"/>
      <c r="AI164" s="663"/>
      <c r="AJ164" s="663"/>
      <c r="AK164" s="663"/>
      <c r="AL164" s="663"/>
      <c r="AM164" s="663"/>
      <c r="AN164" s="663"/>
      <c r="AO164" s="663"/>
      <c r="AP164" s="663"/>
      <c r="AQ164" s="663"/>
      <c r="AR164" s="663"/>
      <c r="AS164" s="663"/>
      <c r="AT164" s="663"/>
      <c r="AU164" s="663"/>
      <c r="CG164" s="656"/>
    </row>
    <row r="165" spans="1:85">
      <c r="A165" s="661"/>
      <c r="E165" s="663"/>
      <c r="F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CG165" s="656"/>
    </row>
    <row r="166" spans="1:85">
      <c r="A166" s="661"/>
      <c r="CG166" s="656"/>
    </row>
    <row r="167" spans="1:85">
      <c r="A167" s="661"/>
      <c r="CG167" s="656"/>
    </row>
    <row r="168" spans="1:85">
      <c r="A168" s="661"/>
      <c r="CG168" s="656"/>
    </row>
    <row r="169" spans="1:85">
      <c r="A169" s="661"/>
      <c r="CG169" s="656"/>
    </row>
    <row r="170" spans="1:85">
      <c r="A170" s="661"/>
      <c r="CG170" s="656"/>
    </row>
    <row r="171" spans="1:85">
      <c r="A171" s="661"/>
      <c r="CG171" s="656"/>
    </row>
    <row r="172" spans="1:85">
      <c r="A172" s="661"/>
      <c r="CG172" s="656"/>
    </row>
    <row r="173" spans="1:85">
      <c r="A173" s="661"/>
      <c r="F173" s="670"/>
      <c r="G173" s="671"/>
      <c r="H173" s="671"/>
      <c r="I173" s="671"/>
      <c r="J173" s="671"/>
      <c r="K173" s="671"/>
      <c r="L173" s="671"/>
      <c r="M173" s="671"/>
      <c r="N173" s="671"/>
      <c r="O173" s="671"/>
      <c r="P173" s="671"/>
      <c r="Q173" s="671"/>
      <c r="R173" s="671"/>
      <c r="S173" s="671"/>
      <c r="T173" s="671"/>
      <c r="U173" s="671"/>
      <c r="V173" s="671"/>
      <c r="W173" s="671"/>
      <c r="X173" s="671"/>
      <c r="Y173" s="671"/>
      <c r="Z173" s="671"/>
      <c r="AA173" s="671"/>
      <c r="CG173" s="656"/>
    </row>
    <row r="174" spans="1:85">
      <c r="A174" s="661"/>
      <c r="F174" s="670"/>
      <c r="G174" s="671"/>
      <c r="H174" s="671"/>
      <c r="I174" s="671"/>
      <c r="J174" s="671"/>
      <c r="K174" s="671"/>
      <c r="L174" s="671"/>
      <c r="M174" s="671"/>
      <c r="N174" s="671"/>
      <c r="O174" s="671"/>
      <c r="P174" s="671"/>
      <c r="Q174" s="671"/>
      <c r="R174" s="671"/>
      <c r="S174" s="671"/>
      <c r="T174" s="671"/>
      <c r="U174" s="671"/>
      <c r="V174" s="671"/>
      <c r="W174" s="671"/>
      <c r="X174" s="671"/>
      <c r="Y174" s="671"/>
      <c r="Z174" s="671"/>
      <c r="AA174" s="671"/>
      <c r="CG174" s="656"/>
    </row>
    <row r="175" spans="1:85">
      <c r="A175" s="661"/>
      <c r="F175" s="670"/>
      <c r="G175" s="671"/>
      <c r="H175" s="671"/>
      <c r="I175" s="671"/>
      <c r="J175" s="671"/>
      <c r="K175" s="671"/>
      <c r="L175" s="671"/>
      <c r="M175" s="671"/>
      <c r="N175" s="671"/>
      <c r="O175" s="671"/>
      <c r="P175" s="671"/>
      <c r="Q175" s="671"/>
      <c r="R175" s="671"/>
      <c r="S175" s="671"/>
      <c r="T175" s="671"/>
      <c r="U175" s="671"/>
      <c r="V175" s="671"/>
      <c r="W175" s="671"/>
      <c r="X175" s="671"/>
      <c r="Y175" s="671"/>
      <c r="Z175" s="671"/>
      <c r="AA175" s="671"/>
      <c r="CG175" s="656"/>
    </row>
    <row r="176" spans="1:85">
      <c r="A176" s="661"/>
      <c r="F176" s="670"/>
      <c r="G176" s="671"/>
      <c r="H176" s="671"/>
      <c r="I176" s="671"/>
      <c r="J176" s="671"/>
      <c r="K176" s="671"/>
      <c r="L176" s="671"/>
      <c r="M176" s="671"/>
      <c r="N176" s="671"/>
      <c r="O176" s="671"/>
      <c r="P176" s="671"/>
      <c r="Q176" s="671"/>
      <c r="R176" s="671"/>
      <c r="S176" s="671"/>
      <c r="T176" s="671"/>
      <c r="U176" s="671"/>
      <c r="V176" s="671"/>
      <c r="W176" s="671"/>
      <c r="X176" s="671"/>
      <c r="Y176" s="671"/>
      <c r="Z176" s="671"/>
      <c r="AA176" s="671"/>
      <c r="CG176" s="656"/>
    </row>
    <row r="177" spans="1:85">
      <c r="A177" s="661"/>
      <c r="CG177" s="656"/>
    </row>
    <row r="178" spans="1:85">
      <c r="A178" s="661"/>
      <c r="CG178" s="656"/>
    </row>
    <row r="179" spans="1:85">
      <c r="A179" s="661"/>
      <c r="CG179" s="656"/>
    </row>
    <row r="180" spans="1:85">
      <c r="A180" s="661"/>
      <c r="CG180" s="656"/>
    </row>
    <row r="181" spans="1:85">
      <c r="A181" s="661"/>
      <c r="CG181" s="656"/>
    </row>
    <row r="182" spans="1:85">
      <c r="A182" s="661"/>
      <c r="CG182" s="656"/>
    </row>
    <row r="183" spans="1:85" ht="16.5" customHeight="1">
      <c r="A183" s="661"/>
      <c r="E183" s="663" t="s">
        <v>572</v>
      </c>
      <c r="CG183" s="656"/>
    </row>
    <row r="184" spans="1:85" ht="16.5" customHeight="1">
      <c r="A184" s="661"/>
      <c r="CG184" s="656"/>
    </row>
    <row r="185" spans="1:85" ht="16.5" customHeight="1">
      <c r="A185" s="661"/>
      <c r="F185" s="657" t="s">
        <v>470</v>
      </c>
      <c r="CG185" s="656"/>
    </row>
    <row r="186" spans="1:85">
      <c r="A186" s="661"/>
      <c r="G186" s="657" t="s">
        <v>471</v>
      </c>
      <c r="CG186" s="656"/>
    </row>
    <row r="187" spans="1:85">
      <c r="A187" s="661"/>
      <c r="G187" s="657" t="s">
        <v>473</v>
      </c>
      <c r="CG187" s="656"/>
    </row>
    <row r="188" spans="1:85">
      <c r="A188" s="661"/>
      <c r="CG188" s="656"/>
    </row>
    <row r="189" spans="1:85">
      <c r="A189" s="661"/>
      <c r="B189" s="662" t="s">
        <v>573</v>
      </c>
      <c r="CG189" s="656"/>
    </row>
    <row r="190" spans="1:85">
      <c r="A190" s="661"/>
      <c r="CG190" s="656"/>
    </row>
    <row r="191" spans="1:85">
      <c r="A191" s="661"/>
      <c r="E191" s="663" t="s">
        <v>420</v>
      </c>
      <c r="CG191" s="656"/>
    </row>
    <row r="192" spans="1:85">
      <c r="A192" s="661"/>
      <c r="E192" s="663"/>
      <c r="F192" s="663"/>
      <c r="G192" s="663"/>
      <c r="H192" s="663"/>
      <c r="I192" s="663"/>
      <c r="J192" s="663"/>
      <c r="K192" s="663"/>
      <c r="L192" s="663"/>
      <c r="M192" s="663"/>
      <c r="N192" s="663"/>
      <c r="O192" s="663"/>
      <c r="P192" s="663"/>
      <c r="Q192" s="663"/>
      <c r="R192" s="663"/>
      <c r="S192" s="663"/>
      <c r="T192" s="663"/>
      <c r="U192" s="663"/>
      <c r="V192" s="663"/>
      <c r="W192" s="663"/>
      <c r="X192" s="663"/>
      <c r="Y192" s="663"/>
      <c r="Z192" s="663"/>
      <c r="AA192" s="663"/>
      <c r="AB192" s="663"/>
      <c r="AC192" s="663"/>
      <c r="AD192" s="663"/>
      <c r="AE192" s="663"/>
      <c r="AF192" s="663"/>
      <c r="AG192" s="663"/>
      <c r="AH192" s="663"/>
      <c r="AI192" s="663"/>
      <c r="AJ192" s="663"/>
      <c r="AK192" s="663"/>
      <c r="AL192" s="663"/>
      <c r="AM192" s="663"/>
      <c r="AN192" s="663"/>
      <c r="AO192" s="663"/>
      <c r="AP192" s="663"/>
      <c r="AQ192" s="663"/>
      <c r="AR192" s="663"/>
      <c r="AS192" s="663"/>
      <c r="AT192" s="663"/>
      <c r="AU192" s="663"/>
      <c r="CG192" s="656"/>
    </row>
    <row r="193" spans="1:85">
      <c r="A193" s="661"/>
      <c r="E193" s="663"/>
      <c r="F193" s="663"/>
      <c r="G193" s="663"/>
      <c r="H193" s="663"/>
      <c r="I193" s="663"/>
      <c r="J193" s="663"/>
      <c r="K193" s="663"/>
      <c r="L193" s="663"/>
      <c r="M193" s="663"/>
      <c r="N193" s="663"/>
      <c r="O193" s="663"/>
      <c r="P193" s="663"/>
      <c r="Q193" s="663"/>
      <c r="R193" s="663"/>
      <c r="S193" s="663"/>
      <c r="T193" s="663"/>
      <c r="U193" s="663"/>
      <c r="V193" s="663"/>
      <c r="W193" s="663"/>
      <c r="X193" s="663"/>
      <c r="Y193" s="663"/>
      <c r="Z193" s="663"/>
      <c r="AA193" s="663"/>
      <c r="AB193" s="663"/>
      <c r="AC193" s="663"/>
      <c r="AD193" s="663"/>
      <c r="AE193" s="663"/>
      <c r="AF193" s="663"/>
      <c r="AG193" s="663"/>
      <c r="AH193" s="663"/>
      <c r="AI193" s="663"/>
      <c r="AJ193" s="663"/>
      <c r="AK193" s="663"/>
      <c r="AL193" s="663"/>
      <c r="AM193" s="663"/>
      <c r="AN193" s="663"/>
      <c r="AO193" s="663"/>
      <c r="AP193" s="663"/>
      <c r="AQ193" s="663"/>
      <c r="AR193" s="663"/>
      <c r="AS193" s="663"/>
      <c r="AT193" s="663"/>
      <c r="AU193" s="663"/>
      <c r="CG193" s="656"/>
    </row>
    <row r="194" spans="1:85">
      <c r="A194" s="661"/>
      <c r="E194" s="663"/>
      <c r="F194" s="663"/>
      <c r="G194" s="663"/>
      <c r="H194" s="663"/>
      <c r="I194" s="663"/>
      <c r="J194" s="663"/>
      <c r="K194" s="663"/>
      <c r="L194" s="663"/>
      <c r="M194" s="663"/>
      <c r="N194" s="663"/>
      <c r="O194" s="663"/>
      <c r="P194" s="663"/>
      <c r="Q194" s="663"/>
      <c r="R194" s="663"/>
      <c r="S194" s="663"/>
      <c r="T194" s="663"/>
      <c r="U194" s="663"/>
      <c r="V194" s="663"/>
      <c r="W194" s="663"/>
      <c r="X194" s="663"/>
      <c r="Y194" s="663"/>
      <c r="Z194" s="663"/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CG194" s="656"/>
    </row>
    <row r="195" spans="1:85">
      <c r="A195" s="661"/>
      <c r="E195" s="663"/>
      <c r="F195" s="663"/>
      <c r="G195" s="663"/>
      <c r="H195" s="663"/>
      <c r="I195" s="663"/>
      <c r="J195" s="663"/>
      <c r="K195" s="663"/>
      <c r="L195" s="663"/>
      <c r="M195" s="663"/>
      <c r="N195" s="663"/>
      <c r="O195" s="663"/>
      <c r="P195" s="663"/>
      <c r="Q195" s="663"/>
      <c r="R195" s="663"/>
      <c r="S195" s="663"/>
      <c r="T195" s="663"/>
      <c r="U195" s="663"/>
      <c r="V195" s="663"/>
      <c r="W195" s="663"/>
      <c r="X195" s="663"/>
      <c r="Y195" s="663"/>
      <c r="Z195" s="663"/>
      <c r="AA195" s="663"/>
      <c r="AB195" s="663"/>
      <c r="AC195" s="663"/>
      <c r="AD195" s="663"/>
      <c r="AE195" s="663"/>
      <c r="AF195" s="663"/>
      <c r="AG195" s="663"/>
      <c r="AH195" s="663"/>
      <c r="AI195" s="663"/>
      <c r="AJ195" s="663"/>
      <c r="AK195" s="663"/>
      <c r="AL195" s="663"/>
      <c r="AM195" s="663"/>
      <c r="AN195" s="663"/>
      <c r="AO195" s="663"/>
      <c r="AP195" s="663"/>
      <c r="AQ195" s="663"/>
      <c r="AR195" s="663"/>
      <c r="AS195" s="663"/>
      <c r="AT195" s="663"/>
      <c r="AU195" s="663"/>
      <c r="CG195" s="656"/>
    </row>
    <row r="196" spans="1:85">
      <c r="A196" s="661"/>
      <c r="E196" s="663"/>
      <c r="F196" s="663"/>
      <c r="G196" s="663"/>
      <c r="H196" s="663"/>
      <c r="I196" s="663"/>
      <c r="J196" s="663"/>
      <c r="K196" s="663"/>
      <c r="L196" s="663"/>
      <c r="M196" s="663"/>
      <c r="N196" s="663"/>
      <c r="O196" s="663"/>
      <c r="P196" s="663"/>
      <c r="Q196" s="663"/>
      <c r="R196" s="663"/>
      <c r="S196" s="663"/>
      <c r="T196" s="663"/>
      <c r="U196" s="663"/>
      <c r="V196" s="663"/>
      <c r="W196" s="663"/>
      <c r="X196" s="663"/>
      <c r="Y196" s="663"/>
      <c r="Z196" s="663"/>
      <c r="AA196" s="663"/>
      <c r="AB196" s="663"/>
      <c r="AC196" s="663"/>
      <c r="AD196" s="663"/>
      <c r="AE196" s="663"/>
      <c r="AF196" s="663"/>
      <c r="AG196" s="663"/>
      <c r="AH196" s="663"/>
      <c r="AI196" s="663"/>
      <c r="AJ196" s="663"/>
      <c r="AK196" s="663"/>
      <c r="AL196" s="663"/>
      <c r="AM196" s="663"/>
      <c r="AN196" s="663"/>
      <c r="AO196" s="663"/>
      <c r="AP196" s="663"/>
      <c r="AQ196" s="663"/>
      <c r="AR196" s="663"/>
      <c r="AS196" s="663"/>
      <c r="AT196" s="663"/>
      <c r="AU196" s="663"/>
      <c r="CG196" s="656"/>
    </row>
    <row r="197" spans="1:85">
      <c r="A197" s="661"/>
      <c r="E197" s="663"/>
      <c r="F197" s="663"/>
      <c r="G197" s="663"/>
      <c r="H197" s="663"/>
      <c r="I197" s="663"/>
      <c r="J197" s="663"/>
      <c r="K197" s="663"/>
      <c r="L197" s="663"/>
      <c r="M197" s="663"/>
      <c r="N197" s="663"/>
      <c r="O197" s="663"/>
      <c r="P197" s="663"/>
      <c r="Q197" s="663"/>
      <c r="R197" s="663"/>
      <c r="S197" s="663"/>
      <c r="T197" s="663"/>
      <c r="U197" s="663"/>
      <c r="V197" s="663"/>
      <c r="W197" s="663"/>
      <c r="X197" s="663"/>
      <c r="Y197" s="663"/>
      <c r="Z197" s="663"/>
      <c r="AA197" s="663"/>
      <c r="AB197" s="663"/>
      <c r="AC197" s="663"/>
      <c r="AD197" s="663"/>
      <c r="AE197" s="663"/>
      <c r="AF197" s="663"/>
      <c r="AG197" s="663"/>
      <c r="AH197" s="663"/>
      <c r="AI197" s="663"/>
      <c r="AJ197" s="663"/>
      <c r="AK197" s="663"/>
      <c r="AL197" s="663"/>
      <c r="AM197" s="663"/>
      <c r="AN197" s="663"/>
      <c r="AO197" s="663"/>
      <c r="AP197" s="663"/>
      <c r="AQ197" s="663"/>
      <c r="AR197" s="663"/>
      <c r="AS197" s="663"/>
      <c r="AT197" s="663"/>
      <c r="AU197" s="663"/>
      <c r="CG197" s="656"/>
    </row>
    <row r="198" spans="1:85">
      <c r="A198" s="661"/>
      <c r="E198" s="663"/>
      <c r="F198" s="663"/>
      <c r="G198" s="663"/>
      <c r="H198" s="663"/>
      <c r="I198" s="663"/>
      <c r="J198" s="663"/>
      <c r="K198" s="663"/>
      <c r="L198" s="663"/>
      <c r="M198" s="663"/>
      <c r="N198" s="663"/>
      <c r="O198" s="663"/>
      <c r="P198" s="663"/>
      <c r="Q198" s="663"/>
      <c r="R198" s="663"/>
      <c r="S198" s="663"/>
      <c r="T198" s="663"/>
      <c r="U198" s="663"/>
      <c r="V198" s="663"/>
      <c r="W198" s="663"/>
      <c r="X198" s="663"/>
      <c r="Y198" s="663"/>
      <c r="Z198" s="663"/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CG198" s="656"/>
    </row>
    <row r="199" spans="1:85">
      <c r="A199" s="661"/>
      <c r="E199" s="663"/>
      <c r="F199" s="663"/>
      <c r="G199" s="663"/>
      <c r="H199" s="663"/>
      <c r="I199" s="663"/>
      <c r="J199" s="663"/>
      <c r="K199" s="663"/>
      <c r="L199" s="663"/>
      <c r="M199" s="663"/>
      <c r="N199" s="663"/>
      <c r="O199" s="663"/>
      <c r="P199" s="663"/>
      <c r="Q199" s="663"/>
      <c r="R199" s="663"/>
      <c r="S199" s="663"/>
      <c r="T199" s="663"/>
      <c r="U199" s="663"/>
      <c r="V199" s="663"/>
      <c r="W199" s="663"/>
      <c r="X199" s="663"/>
      <c r="Y199" s="663"/>
      <c r="Z199" s="663"/>
      <c r="AA199" s="663"/>
      <c r="AB199" s="663"/>
      <c r="AC199" s="663"/>
      <c r="AD199" s="663"/>
      <c r="AE199" s="663"/>
      <c r="AF199" s="663"/>
      <c r="AG199" s="663"/>
      <c r="AH199" s="663"/>
      <c r="AI199" s="663"/>
      <c r="AJ199" s="663"/>
      <c r="AK199" s="663"/>
      <c r="AL199" s="663"/>
      <c r="AM199" s="663"/>
      <c r="AN199" s="663"/>
      <c r="AO199" s="663"/>
      <c r="AP199" s="663"/>
      <c r="AQ199" s="663"/>
      <c r="AR199" s="663"/>
      <c r="AS199" s="663"/>
      <c r="AT199" s="663"/>
      <c r="AU199" s="663"/>
      <c r="CG199" s="656"/>
    </row>
    <row r="200" spans="1:85">
      <c r="A200" s="661"/>
      <c r="E200" s="663"/>
      <c r="F200" s="663"/>
      <c r="G200" s="663"/>
      <c r="H200" s="663"/>
      <c r="I200" s="663"/>
      <c r="J200" s="663"/>
      <c r="K200" s="663"/>
      <c r="L200" s="663"/>
      <c r="M200" s="663"/>
      <c r="N200" s="663"/>
      <c r="O200" s="663"/>
      <c r="P200" s="663"/>
      <c r="Q200" s="663"/>
      <c r="R200" s="663"/>
      <c r="S200" s="663"/>
      <c r="T200" s="663"/>
      <c r="U200" s="663"/>
      <c r="V200" s="663"/>
      <c r="W200" s="663"/>
      <c r="X200" s="663"/>
      <c r="Y200" s="663"/>
      <c r="Z200" s="663"/>
      <c r="AA200" s="663"/>
      <c r="AB200" s="663"/>
      <c r="AC200" s="663"/>
      <c r="AD200" s="663"/>
      <c r="AE200" s="663"/>
      <c r="AF200" s="663"/>
      <c r="AG200" s="663"/>
      <c r="AH200" s="663"/>
      <c r="AI200" s="663"/>
      <c r="AJ200" s="663"/>
      <c r="AK200" s="663"/>
      <c r="AL200" s="663"/>
      <c r="AM200" s="663"/>
      <c r="AN200" s="663"/>
      <c r="AO200" s="663"/>
      <c r="AP200" s="663"/>
      <c r="AQ200" s="663"/>
      <c r="AR200" s="663"/>
      <c r="AS200" s="663"/>
      <c r="AT200" s="663"/>
      <c r="AU200" s="663"/>
      <c r="CG200" s="656"/>
    </row>
    <row r="201" spans="1:85">
      <c r="A201" s="661"/>
      <c r="E201" s="663"/>
      <c r="F201" s="663"/>
      <c r="G201" s="663"/>
      <c r="H201" s="663"/>
      <c r="I201" s="663"/>
      <c r="J201" s="663"/>
      <c r="K201" s="663"/>
      <c r="L201" s="663"/>
      <c r="M201" s="663"/>
      <c r="N201" s="663"/>
      <c r="O201" s="663"/>
      <c r="P201" s="663"/>
      <c r="Q201" s="663"/>
      <c r="R201" s="663"/>
      <c r="S201" s="663"/>
      <c r="T201" s="663"/>
      <c r="U201" s="663"/>
      <c r="V201" s="663"/>
      <c r="W201" s="663"/>
      <c r="X201" s="663"/>
      <c r="Y201" s="663"/>
      <c r="Z201" s="663"/>
      <c r="AA201" s="663"/>
      <c r="AB201" s="663"/>
      <c r="AC201" s="663"/>
      <c r="AD201" s="663"/>
      <c r="AE201" s="663"/>
      <c r="AF201" s="663"/>
      <c r="AG201" s="663"/>
      <c r="AH201" s="663"/>
      <c r="AI201" s="663"/>
      <c r="AJ201" s="663"/>
      <c r="AK201" s="663"/>
      <c r="AL201" s="663"/>
      <c r="AM201" s="663"/>
      <c r="AN201" s="663"/>
      <c r="AO201" s="663"/>
      <c r="AP201" s="663"/>
      <c r="AQ201" s="663"/>
      <c r="AR201" s="663"/>
      <c r="AS201" s="663"/>
      <c r="AT201" s="663"/>
      <c r="AU201" s="663"/>
      <c r="CG201" s="656"/>
    </row>
    <row r="202" spans="1:85">
      <c r="A202" s="661"/>
      <c r="E202" s="663"/>
      <c r="F202" s="663"/>
      <c r="G202" s="663"/>
      <c r="H202" s="663"/>
      <c r="I202" s="663"/>
      <c r="J202" s="663"/>
      <c r="K202" s="663"/>
      <c r="L202" s="663"/>
      <c r="M202" s="663"/>
      <c r="N202" s="663"/>
      <c r="O202" s="663"/>
      <c r="P202" s="663"/>
      <c r="Q202" s="663"/>
      <c r="R202" s="663"/>
      <c r="S202" s="663"/>
      <c r="T202" s="663"/>
      <c r="U202" s="663"/>
      <c r="V202" s="663"/>
      <c r="W202" s="663"/>
      <c r="X202" s="663"/>
      <c r="Y202" s="663"/>
      <c r="Z202" s="663"/>
      <c r="AA202" s="663"/>
      <c r="AB202" s="663"/>
      <c r="AC202" s="663"/>
      <c r="AD202" s="663"/>
      <c r="AE202" s="663"/>
      <c r="AF202" s="663"/>
      <c r="AG202" s="663"/>
      <c r="AH202" s="663"/>
      <c r="AI202" s="663"/>
      <c r="AJ202" s="663"/>
      <c r="AK202" s="663"/>
      <c r="AL202" s="663"/>
      <c r="AM202" s="663"/>
      <c r="AN202" s="663"/>
      <c r="AO202" s="663"/>
      <c r="AP202" s="663"/>
      <c r="AQ202" s="663"/>
      <c r="AR202" s="663"/>
      <c r="AS202" s="663"/>
      <c r="AT202" s="663"/>
      <c r="AU202" s="663"/>
      <c r="CG202" s="656"/>
    </row>
    <row r="203" spans="1:85">
      <c r="A203" s="661"/>
      <c r="E203" s="663"/>
      <c r="F203" s="663"/>
      <c r="G203" s="663"/>
      <c r="H203" s="663"/>
      <c r="I203" s="663"/>
      <c r="J203" s="663"/>
      <c r="K203" s="663"/>
      <c r="L203" s="663"/>
      <c r="M203" s="663"/>
      <c r="N203" s="663"/>
      <c r="O203" s="663"/>
      <c r="P203" s="663"/>
      <c r="Q203" s="663"/>
      <c r="R203" s="663"/>
      <c r="S203" s="663"/>
      <c r="T203" s="663"/>
      <c r="U203" s="663"/>
      <c r="V203" s="663"/>
      <c r="W203" s="663"/>
      <c r="X203" s="663"/>
      <c r="Y203" s="663"/>
      <c r="Z203" s="663"/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CG203" s="656"/>
    </row>
    <row r="204" spans="1:85">
      <c r="A204" s="661"/>
      <c r="E204" s="663"/>
      <c r="F204" s="663"/>
      <c r="G204" s="663"/>
      <c r="H204" s="663"/>
      <c r="I204" s="663"/>
      <c r="J204" s="663"/>
      <c r="K204" s="663"/>
      <c r="L204" s="663"/>
      <c r="M204" s="663"/>
      <c r="N204" s="663"/>
      <c r="O204" s="663"/>
      <c r="P204" s="663"/>
      <c r="Q204" s="663"/>
      <c r="R204" s="663"/>
      <c r="S204" s="663"/>
      <c r="T204" s="663"/>
      <c r="U204" s="663"/>
      <c r="V204" s="663"/>
      <c r="W204" s="663"/>
      <c r="X204" s="663"/>
      <c r="Y204" s="663"/>
      <c r="Z204" s="663"/>
      <c r="AA204" s="663"/>
      <c r="AB204" s="663"/>
      <c r="AC204" s="663"/>
      <c r="AD204" s="663"/>
      <c r="AE204" s="663"/>
      <c r="AF204" s="663"/>
      <c r="AG204" s="663"/>
      <c r="AH204" s="663"/>
      <c r="AI204" s="663"/>
      <c r="AJ204" s="663"/>
      <c r="AK204" s="663"/>
      <c r="AL204" s="663"/>
      <c r="AM204" s="663"/>
      <c r="AN204" s="663"/>
      <c r="AO204" s="663"/>
      <c r="AP204" s="663"/>
      <c r="AQ204" s="663"/>
      <c r="AR204" s="663"/>
      <c r="AS204" s="663"/>
      <c r="AT204" s="663"/>
      <c r="AU204" s="663"/>
      <c r="CG204" s="656"/>
    </row>
    <row r="205" spans="1:85">
      <c r="A205" s="661"/>
      <c r="E205" s="663"/>
      <c r="F205" s="663"/>
      <c r="G205" s="663"/>
      <c r="H205" s="663"/>
      <c r="I205" s="663"/>
      <c r="J205" s="663"/>
      <c r="K205" s="663"/>
      <c r="L205" s="663"/>
      <c r="M205" s="663"/>
      <c r="N205" s="663"/>
      <c r="O205" s="663"/>
      <c r="P205" s="663"/>
      <c r="Q205" s="663"/>
      <c r="R205" s="663"/>
      <c r="S205" s="663"/>
      <c r="T205" s="663"/>
      <c r="U205" s="663"/>
      <c r="V205" s="663"/>
      <c r="W205" s="663"/>
      <c r="X205" s="663"/>
      <c r="Y205" s="663"/>
      <c r="Z205" s="663"/>
      <c r="AA205" s="663"/>
      <c r="AB205" s="663"/>
      <c r="AC205" s="663"/>
      <c r="AD205" s="663"/>
      <c r="AE205" s="663"/>
      <c r="AF205" s="663"/>
      <c r="AG205" s="663"/>
      <c r="AH205" s="663"/>
      <c r="AI205" s="663"/>
      <c r="AJ205" s="663"/>
      <c r="AK205" s="663"/>
      <c r="AL205" s="663"/>
      <c r="AM205" s="663"/>
      <c r="AN205" s="663"/>
      <c r="AO205" s="663"/>
      <c r="AP205" s="663"/>
      <c r="AQ205" s="663"/>
      <c r="AR205" s="663"/>
      <c r="AS205" s="663"/>
      <c r="AT205" s="663"/>
      <c r="AU205" s="663"/>
      <c r="CG205" s="656"/>
    </row>
    <row r="206" spans="1:85">
      <c r="A206" s="661"/>
      <c r="E206" s="663"/>
      <c r="F206" s="663"/>
      <c r="G206" s="663"/>
      <c r="H206" s="663"/>
      <c r="I206" s="663"/>
      <c r="J206" s="663"/>
      <c r="K206" s="663"/>
      <c r="L206" s="663"/>
      <c r="M206" s="663"/>
      <c r="N206" s="663"/>
      <c r="O206" s="663"/>
      <c r="P206" s="663"/>
      <c r="Q206" s="663"/>
      <c r="R206" s="663"/>
      <c r="S206" s="663"/>
      <c r="T206" s="663"/>
      <c r="U206" s="663"/>
      <c r="V206" s="663"/>
      <c r="W206" s="663"/>
      <c r="X206" s="663"/>
      <c r="Y206" s="663"/>
      <c r="Z206" s="663"/>
      <c r="AA206" s="663"/>
      <c r="AB206" s="663"/>
      <c r="AC206" s="663"/>
      <c r="AD206" s="663"/>
      <c r="AE206" s="663"/>
      <c r="AF206" s="663"/>
      <c r="AG206" s="663"/>
      <c r="AH206" s="663"/>
      <c r="AI206" s="663"/>
      <c r="AJ206" s="663"/>
      <c r="AK206" s="663"/>
      <c r="AL206" s="663"/>
      <c r="AM206" s="663"/>
      <c r="AN206" s="663"/>
      <c r="AO206" s="663"/>
      <c r="AP206" s="663"/>
      <c r="AQ206" s="663"/>
      <c r="AR206" s="663"/>
      <c r="AS206" s="663"/>
      <c r="AT206" s="663"/>
      <c r="AU206" s="663"/>
      <c r="CG206" s="656"/>
    </row>
    <row r="207" spans="1:85">
      <c r="A207" s="661"/>
      <c r="E207" s="663"/>
      <c r="F207" s="663"/>
      <c r="G207" s="663"/>
      <c r="H207" s="663"/>
      <c r="I207" s="663"/>
      <c r="J207" s="663"/>
      <c r="K207" s="663"/>
      <c r="L207" s="663"/>
      <c r="M207" s="663"/>
      <c r="N207" s="663"/>
      <c r="O207" s="663"/>
      <c r="P207" s="663"/>
      <c r="Q207" s="663"/>
      <c r="R207" s="663"/>
      <c r="S207" s="663"/>
      <c r="T207" s="663"/>
      <c r="U207" s="663"/>
      <c r="V207" s="663"/>
      <c r="W207" s="663"/>
      <c r="X207" s="663"/>
      <c r="Y207" s="663"/>
      <c r="Z207" s="663"/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CG207" s="656"/>
    </row>
    <row r="208" spans="1:85">
      <c r="A208" s="661"/>
      <c r="E208" s="663"/>
      <c r="F208" s="663"/>
      <c r="G208" s="663"/>
      <c r="H208" s="663"/>
      <c r="I208" s="663"/>
      <c r="J208" s="663"/>
      <c r="K208" s="663"/>
      <c r="L208" s="663"/>
      <c r="M208" s="663"/>
      <c r="N208" s="663"/>
      <c r="O208" s="663"/>
      <c r="P208" s="663"/>
      <c r="Q208" s="663"/>
      <c r="R208" s="663"/>
      <c r="S208" s="663"/>
      <c r="T208" s="663"/>
      <c r="U208" s="663"/>
      <c r="V208" s="663"/>
      <c r="W208" s="663"/>
      <c r="X208" s="663"/>
      <c r="Y208" s="663"/>
      <c r="Z208" s="663"/>
      <c r="AA208" s="663"/>
      <c r="AB208" s="663"/>
      <c r="AC208" s="663"/>
      <c r="AD208" s="663"/>
      <c r="AE208" s="663"/>
      <c r="AF208" s="663"/>
      <c r="AG208" s="663"/>
      <c r="AH208" s="663"/>
      <c r="AI208" s="663"/>
      <c r="AJ208" s="663"/>
      <c r="AK208" s="663"/>
      <c r="AL208" s="663"/>
      <c r="AM208" s="663"/>
      <c r="AN208" s="663"/>
      <c r="AO208" s="663"/>
      <c r="AP208" s="663"/>
      <c r="AQ208" s="663"/>
      <c r="AR208" s="663"/>
      <c r="AS208" s="663"/>
      <c r="AT208" s="663"/>
      <c r="AU208" s="663"/>
      <c r="CG208" s="656"/>
    </row>
    <row r="209" spans="1:85">
      <c r="A209" s="661"/>
      <c r="E209" s="663"/>
      <c r="F209" s="663"/>
      <c r="G209" s="663"/>
      <c r="H209" s="663"/>
      <c r="I209" s="663"/>
      <c r="J209" s="663"/>
      <c r="K209" s="663"/>
      <c r="L209" s="663"/>
      <c r="M209" s="663"/>
      <c r="N209" s="663"/>
      <c r="O209" s="663"/>
      <c r="P209" s="663"/>
      <c r="Q209" s="663"/>
      <c r="R209" s="663"/>
      <c r="S209" s="663"/>
      <c r="T209" s="663"/>
      <c r="U209" s="663"/>
      <c r="V209" s="663"/>
      <c r="W209" s="663"/>
      <c r="X209" s="663"/>
      <c r="Y209" s="663"/>
      <c r="Z209" s="663"/>
      <c r="AA209" s="663"/>
      <c r="AB209" s="663"/>
      <c r="AC209" s="663"/>
      <c r="AD209" s="663"/>
      <c r="AE209" s="663"/>
      <c r="AF209" s="663"/>
      <c r="AG209" s="663"/>
      <c r="AH209" s="663"/>
      <c r="AI209" s="663"/>
      <c r="AJ209" s="663"/>
      <c r="AK209" s="663"/>
      <c r="AL209" s="663"/>
      <c r="AM209" s="663"/>
      <c r="AN209" s="663"/>
      <c r="AO209" s="663"/>
      <c r="AP209" s="663"/>
      <c r="AQ209" s="663"/>
      <c r="AR209" s="663"/>
      <c r="AS209" s="663"/>
      <c r="AT209" s="663"/>
      <c r="AU209" s="663"/>
      <c r="CG209" s="656"/>
    </row>
    <row r="210" spans="1:85">
      <c r="A210" s="661"/>
      <c r="E210" s="663"/>
      <c r="F210" s="663"/>
      <c r="G210" s="663"/>
      <c r="H210" s="663"/>
      <c r="I210" s="663"/>
      <c r="J210" s="663"/>
      <c r="K210" s="663"/>
      <c r="L210" s="663"/>
      <c r="M210" s="663"/>
      <c r="N210" s="663"/>
      <c r="O210" s="663"/>
      <c r="P210" s="663"/>
      <c r="Q210" s="663"/>
      <c r="R210" s="663"/>
      <c r="S210" s="663"/>
      <c r="T210" s="663"/>
      <c r="U210" s="663"/>
      <c r="V210" s="663"/>
      <c r="W210" s="663"/>
      <c r="X210" s="663"/>
      <c r="Y210" s="663"/>
      <c r="Z210" s="663"/>
      <c r="AA210" s="663"/>
      <c r="AB210" s="663"/>
      <c r="AC210" s="663"/>
      <c r="AD210" s="663"/>
      <c r="AE210" s="663"/>
      <c r="AF210" s="663"/>
      <c r="AG210" s="663"/>
      <c r="AH210" s="663"/>
      <c r="AI210" s="663"/>
      <c r="AJ210" s="663"/>
      <c r="AK210" s="663"/>
      <c r="AL210" s="663"/>
      <c r="AM210" s="663"/>
      <c r="AN210" s="663"/>
      <c r="AO210" s="663"/>
      <c r="AP210" s="663"/>
      <c r="AQ210" s="663"/>
      <c r="AR210" s="663"/>
      <c r="AS210" s="663"/>
      <c r="AT210" s="663"/>
      <c r="AU210" s="663"/>
      <c r="CG210" s="656"/>
    </row>
    <row r="211" spans="1:85">
      <c r="A211" s="661"/>
      <c r="E211" s="663"/>
      <c r="F211" s="663"/>
      <c r="G211" s="663"/>
      <c r="H211" s="663"/>
      <c r="I211" s="663"/>
      <c r="J211" s="663"/>
      <c r="K211" s="663"/>
      <c r="L211" s="663"/>
      <c r="M211" s="663"/>
      <c r="N211" s="663"/>
      <c r="O211" s="663"/>
      <c r="P211" s="663"/>
      <c r="Q211" s="663"/>
      <c r="R211" s="663"/>
      <c r="S211" s="663"/>
      <c r="T211" s="663"/>
      <c r="U211" s="663"/>
      <c r="V211" s="663"/>
      <c r="W211" s="663"/>
      <c r="X211" s="663"/>
      <c r="Y211" s="663"/>
      <c r="Z211" s="663"/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CG211" s="656"/>
    </row>
    <row r="212" spans="1:85">
      <c r="A212" s="661"/>
      <c r="E212" s="663"/>
      <c r="F212" s="663"/>
      <c r="G212" s="663"/>
      <c r="H212" s="663"/>
      <c r="I212" s="663"/>
      <c r="J212" s="663"/>
      <c r="K212" s="663"/>
      <c r="L212" s="663"/>
      <c r="M212" s="663"/>
      <c r="N212" s="663"/>
      <c r="O212" s="663"/>
      <c r="P212" s="663"/>
      <c r="Q212" s="663"/>
      <c r="R212" s="663"/>
      <c r="S212" s="663"/>
      <c r="T212" s="663"/>
      <c r="U212" s="663"/>
      <c r="V212" s="663"/>
      <c r="W212" s="663"/>
      <c r="X212" s="663"/>
      <c r="Y212" s="663"/>
      <c r="Z212" s="663"/>
      <c r="AA212" s="663"/>
      <c r="AB212" s="663"/>
      <c r="AC212" s="663"/>
      <c r="AD212" s="663"/>
      <c r="AE212" s="663"/>
      <c r="AF212" s="663"/>
      <c r="AG212" s="663"/>
      <c r="AH212" s="663"/>
      <c r="AI212" s="663"/>
      <c r="AJ212" s="663"/>
      <c r="AK212" s="663"/>
      <c r="AL212" s="663"/>
      <c r="AM212" s="663"/>
      <c r="AN212" s="663"/>
      <c r="AO212" s="663"/>
      <c r="AP212" s="663"/>
      <c r="AQ212" s="663"/>
      <c r="AR212" s="663"/>
      <c r="AS212" s="663"/>
      <c r="AT212" s="663"/>
      <c r="AU212" s="663"/>
      <c r="CG212" s="656"/>
    </row>
    <row r="213" spans="1:85">
      <c r="A213" s="661"/>
      <c r="E213" s="663"/>
      <c r="F213" s="663"/>
      <c r="G213" s="663"/>
      <c r="H213" s="663"/>
      <c r="I213" s="663"/>
      <c r="J213" s="663"/>
      <c r="K213" s="663"/>
      <c r="L213" s="663"/>
      <c r="M213" s="663"/>
      <c r="N213" s="663"/>
      <c r="O213" s="663"/>
      <c r="P213" s="663"/>
      <c r="Q213" s="663"/>
      <c r="R213" s="663"/>
      <c r="S213" s="663"/>
      <c r="T213" s="663"/>
      <c r="U213" s="663"/>
      <c r="V213" s="663"/>
      <c r="W213" s="663"/>
      <c r="X213" s="663"/>
      <c r="Y213" s="663"/>
      <c r="Z213" s="663"/>
      <c r="AA213" s="663"/>
      <c r="AB213" s="663"/>
      <c r="AC213" s="663"/>
      <c r="AD213" s="663"/>
      <c r="AE213" s="663"/>
      <c r="AF213" s="663"/>
      <c r="AG213" s="663"/>
      <c r="AH213" s="663"/>
      <c r="AI213" s="663"/>
      <c r="AJ213" s="663"/>
      <c r="AK213" s="663"/>
      <c r="AL213" s="663"/>
      <c r="AM213" s="663"/>
      <c r="AN213" s="663"/>
      <c r="AO213" s="663"/>
      <c r="AP213" s="663"/>
      <c r="AQ213" s="663"/>
      <c r="AR213" s="663"/>
      <c r="AS213" s="663"/>
      <c r="AT213" s="663"/>
      <c r="AU213" s="663"/>
      <c r="CG213" s="656"/>
    </row>
    <row r="214" spans="1:85">
      <c r="A214" s="661"/>
      <c r="E214" s="663"/>
      <c r="F214" s="663"/>
      <c r="G214" s="663"/>
      <c r="H214" s="663"/>
      <c r="I214" s="663"/>
      <c r="J214" s="663"/>
      <c r="K214" s="663"/>
      <c r="L214" s="663"/>
      <c r="M214" s="663"/>
      <c r="N214" s="663"/>
      <c r="O214" s="663"/>
      <c r="P214" s="663"/>
      <c r="Q214" s="663"/>
      <c r="R214" s="663"/>
      <c r="S214" s="663"/>
      <c r="T214" s="663"/>
      <c r="U214" s="663"/>
      <c r="V214" s="663"/>
      <c r="W214" s="663"/>
      <c r="X214" s="663"/>
      <c r="Y214" s="663"/>
      <c r="Z214" s="663"/>
      <c r="AA214" s="663"/>
      <c r="AB214" s="663"/>
      <c r="AC214" s="663"/>
      <c r="AD214" s="663"/>
      <c r="AE214" s="663"/>
      <c r="AF214" s="663"/>
      <c r="AG214" s="663"/>
      <c r="AH214" s="663"/>
      <c r="AI214" s="663"/>
      <c r="AJ214" s="663"/>
      <c r="AK214" s="663"/>
      <c r="AL214" s="663"/>
      <c r="AM214" s="663"/>
      <c r="AN214" s="663"/>
      <c r="AO214" s="663"/>
      <c r="AP214" s="663"/>
      <c r="AQ214" s="663"/>
      <c r="AR214" s="663"/>
      <c r="AS214" s="663"/>
      <c r="AT214" s="663"/>
      <c r="AU214" s="663"/>
      <c r="CG214" s="656"/>
    </row>
    <row r="215" spans="1:85">
      <c r="A215" s="661"/>
      <c r="E215" s="663"/>
      <c r="F215" s="663"/>
      <c r="G215" s="663"/>
      <c r="H215" s="663"/>
      <c r="I215" s="663"/>
      <c r="J215" s="663"/>
      <c r="K215" s="663"/>
      <c r="L215" s="663"/>
      <c r="M215" s="663"/>
      <c r="N215" s="663"/>
      <c r="O215" s="663"/>
      <c r="P215" s="663"/>
      <c r="Q215" s="663"/>
      <c r="R215" s="663"/>
      <c r="S215" s="663"/>
      <c r="T215" s="663"/>
      <c r="U215" s="663"/>
      <c r="V215" s="663"/>
      <c r="W215" s="663"/>
      <c r="X215" s="663"/>
      <c r="Y215" s="663"/>
      <c r="Z215" s="663"/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CG215" s="656"/>
    </row>
    <row r="216" spans="1:85">
      <c r="A216" s="661"/>
      <c r="E216" s="663"/>
      <c r="F216" s="663"/>
      <c r="G216" s="663"/>
      <c r="H216" s="663"/>
      <c r="I216" s="663"/>
      <c r="J216" s="663"/>
      <c r="K216" s="663"/>
      <c r="L216" s="663"/>
      <c r="M216" s="663"/>
      <c r="N216" s="663"/>
      <c r="O216" s="663"/>
      <c r="P216" s="663"/>
      <c r="Q216" s="663"/>
      <c r="R216" s="663"/>
      <c r="S216" s="663"/>
      <c r="T216" s="663"/>
      <c r="U216" s="663"/>
      <c r="V216" s="663"/>
      <c r="W216" s="663"/>
      <c r="X216" s="663"/>
      <c r="Y216" s="663"/>
      <c r="Z216" s="663"/>
      <c r="AA216" s="663"/>
      <c r="AB216" s="663"/>
      <c r="AC216" s="663"/>
      <c r="AD216" s="663"/>
      <c r="AE216" s="663"/>
      <c r="AF216" s="663"/>
      <c r="AG216" s="663"/>
      <c r="AH216" s="663"/>
      <c r="AI216" s="663"/>
      <c r="AJ216" s="663"/>
      <c r="AK216" s="663"/>
      <c r="AL216" s="663"/>
      <c r="AM216" s="663"/>
      <c r="AN216" s="663"/>
      <c r="AO216" s="663"/>
      <c r="AP216" s="663"/>
      <c r="AQ216" s="663"/>
      <c r="AR216" s="663"/>
      <c r="AS216" s="663"/>
      <c r="AT216" s="663"/>
      <c r="AU216" s="663"/>
      <c r="CG216" s="656"/>
    </row>
    <row r="217" spans="1:85">
      <c r="A217" s="661"/>
      <c r="E217" s="663"/>
      <c r="F217" s="663"/>
      <c r="G217" s="663"/>
      <c r="H217" s="663"/>
      <c r="I217" s="663"/>
      <c r="J217" s="663"/>
      <c r="K217" s="663"/>
      <c r="L217" s="663"/>
      <c r="M217" s="663"/>
      <c r="N217" s="663"/>
      <c r="O217" s="663"/>
      <c r="P217" s="663"/>
      <c r="Q217" s="663"/>
      <c r="R217" s="663"/>
      <c r="S217" s="663"/>
      <c r="T217" s="663"/>
      <c r="U217" s="663"/>
      <c r="V217" s="663"/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3"/>
      <c r="AI217" s="663"/>
      <c r="AJ217" s="663"/>
      <c r="AK217" s="663"/>
      <c r="AL217" s="663"/>
      <c r="AM217" s="663"/>
      <c r="AN217" s="663"/>
      <c r="AO217" s="663"/>
      <c r="AP217" s="663"/>
      <c r="AQ217" s="663"/>
      <c r="AR217" s="663"/>
      <c r="AS217" s="663"/>
      <c r="AT217" s="663"/>
      <c r="AU217" s="663"/>
      <c r="CG217" s="656"/>
    </row>
    <row r="218" spans="1:85">
      <c r="A218" s="661"/>
      <c r="E218" s="663"/>
      <c r="F218" s="663"/>
      <c r="G218" s="663"/>
      <c r="H218" s="663"/>
      <c r="I218" s="663"/>
      <c r="J218" s="663"/>
      <c r="K218" s="663"/>
      <c r="L218" s="663"/>
      <c r="M218" s="663"/>
      <c r="N218" s="663"/>
      <c r="O218" s="663"/>
      <c r="P218" s="663"/>
      <c r="Q218" s="663"/>
      <c r="R218" s="663"/>
      <c r="S218" s="663"/>
      <c r="T218" s="663"/>
      <c r="U218" s="663"/>
      <c r="V218" s="663"/>
      <c r="W218" s="663"/>
      <c r="X218" s="663"/>
      <c r="Y218" s="663"/>
      <c r="Z218" s="663"/>
      <c r="AA218" s="663"/>
      <c r="AB218" s="663"/>
      <c r="AC218" s="663"/>
      <c r="AD218" s="663"/>
      <c r="AE218" s="663"/>
      <c r="AF218" s="663"/>
      <c r="AG218" s="663"/>
      <c r="AH218" s="663"/>
      <c r="AI218" s="663"/>
      <c r="AJ218" s="663"/>
      <c r="AK218" s="663"/>
      <c r="AL218" s="663"/>
      <c r="AM218" s="663"/>
      <c r="AN218" s="663"/>
      <c r="AO218" s="663"/>
      <c r="AP218" s="663"/>
      <c r="AQ218" s="663"/>
      <c r="AR218" s="663"/>
      <c r="AS218" s="663"/>
      <c r="AT218" s="663"/>
      <c r="AU218" s="663"/>
      <c r="CG218" s="656"/>
    </row>
    <row r="219" spans="1:85">
      <c r="A219" s="661"/>
      <c r="E219" s="663"/>
      <c r="F219" s="663"/>
      <c r="G219" s="663"/>
      <c r="H219" s="663"/>
      <c r="I219" s="663"/>
      <c r="J219" s="663"/>
      <c r="K219" s="663"/>
      <c r="L219" s="663"/>
      <c r="M219" s="663"/>
      <c r="N219" s="663"/>
      <c r="O219" s="663"/>
      <c r="P219" s="663"/>
      <c r="Q219" s="663"/>
      <c r="R219" s="663"/>
      <c r="S219" s="663"/>
      <c r="T219" s="663"/>
      <c r="U219" s="663"/>
      <c r="V219" s="663"/>
      <c r="W219" s="663"/>
      <c r="X219" s="663"/>
      <c r="Y219" s="663"/>
      <c r="Z219" s="663"/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CG219" s="656"/>
    </row>
    <row r="220" spans="1:85">
      <c r="A220" s="661"/>
      <c r="E220" s="663"/>
      <c r="F220" s="663"/>
      <c r="G220" s="663"/>
      <c r="H220" s="663"/>
      <c r="I220" s="663"/>
      <c r="J220" s="663"/>
      <c r="K220" s="663"/>
      <c r="L220" s="663"/>
      <c r="M220" s="663"/>
      <c r="N220" s="663"/>
      <c r="O220" s="663"/>
      <c r="P220" s="663"/>
      <c r="Q220" s="663"/>
      <c r="R220" s="663"/>
      <c r="S220" s="663"/>
      <c r="T220" s="663"/>
      <c r="U220" s="663"/>
      <c r="V220" s="663"/>
      <c r="W220" s="663"/>
      <c r="X220" s="663"/>
      <c r="Y220" s="663"/>
      <c r="Z220" s="663"/>
      <c r="AA220" s="663"/>
      <c r="AB220" s="663"/>
      <c r="AC220" s="663"/>
      <c r="AD220" s="663"/>
      <c r="AE220" s="663"/>
      <c r="AF220" s="663"/>
      <c r="AG220" s="663"/>
      <c r="AH220" s="663"/>
      <c r="AI220" s="663"/>
      <c r="AJ220" s="663"/>
      <c r="AK220" s="663"/>
      <c r="AL220" s="663"/>
      <c r="AM220" s="663"/>
      <c r="AN220" s="663"/>
      <c r="AO220" s="663"/>
      <c r="AP220" s="663"/>
      <c r="AQ220" s="663"/>
      <c r="AR220" s="663"/>
      <c r="AS220" s="663"/>
      <c r="AT220" s="663"/>
      <c r="AU220" s="663"/>
      <c r="CG220" s="656"/>
    </row>
    <row r="221" spans="1:85">
      <c r="A221" s="661"/>
      <c r="E221" s="663"/>
      <c r="F221" s="663"/>
      <c r="G221" s="663"/>
      <c r="H221" s="663"/>
      <c r="I221" s="663"/>
      <c r="J221" s="663"/>
      <c r="K221" s="663"/>
      <c r="L221" s="663"/>
      <c r="M221" s="663"/>
      <c r="N221" s="663"/>
      <c r="O221" s="663"/>
      <c r="P221" s="663"/>
      <c r="Q221" s="663"/>
      <c r="R221" s="663"/>
      <c r="S221" s="663"/>
      <c r="T221" s="663"/>
      <c r="U221" s="663"/>
      <c r="V221" s="663"/>
      <c r="W221" s="663"/>
      <c r="X221" s="663"/>
      <c r="Y221" s="663"/>
      <c r="Z221" s="663"/>
      <c r="AA221" s="663"/>
      <c r="AB221" s="663"/>
      <c r="AC221" s="663"/>
      <c r="AD221" s="663"/>
      <c r="AE221" s="663"/>
      <c r="AF221" s="663"/>
      <c r="AG221" s="663"/>
      <c r="AH221" s="663"/>
      <c r="AI221" s="663"/>
      <c r="AJ221" s="663"/>
      <c r="AK221" s="663"/>
      <c r="AL221" s="663"/>
      <c r="AM221" s="663"/>
      <c r="AN221" s="663"/>
      <c r="AO221" s="663"/>
      <c r="AP221" s="663"/>
      <c r="AQ221" s="663"/>
      <c r="AR221" s="663"/>
      <c r="AS221" s="663"/>
      <c r="AT221" s="663"/>
      <c r="AU221" s="663"/>
      <c r="CG221" s="656"/>
    </row>
    <row r="222" spans="1:85">
      <c r="A222" s="661"/>
      <c r="E222" s="663"/>
      <c r="F222" s="663"/>
      <c r="G222" s="663"/>
      <c r="H222" s="663"/>
      <c r="I222" s="663"/>
      <c r="J222" s="663"/>
      <c r="K222" s="663"/>
      <c r="L222" s="663"/>
      <c r="M222" s="663"/>
      <c r="N222" s="663"/>
      <c r="O222" s="663"/>
      <c r="P222" s="663"/>
      <c r="Q222" s="663"/>
      <c r="R222" s="663"/>
      <c r="S222" s="663"/>
      <c r="T222" s="663"/>
      <c r="U222" s="663"/>
      <c r="V222" s="663"/>
      <c r="W222" s="663"/>
      <c r="X222" s="663"/>
      <c r="Y222" s="663"/>
      <c r="Z222" s="663"/>
      <c r="AA222" s="663"/>
      <c r="AB222" s="663"/>
      <c r="AC222" s="663"/>
      <c r="AD222" s="663"/>
      <c r="AE222" s="663"/>
      <c r="AF222" s="663"/>
      <c r="AG222" s="663"/>
      <c r="AH222" s="663"/>
      <c r="AI222" s="663"/>
      <c r="AJ222" s="663"/>
      <c r="AK222" s="663"/>
      <c r="AL222" s="663"/>
      <c r="AM222" s="663"/>
      <c r="AN222" s="663"/>
      <c r="AO222" s="663"/>
      <c r="AP222" s="663"/>
      <c r="AQ222" s="663"/>
      <c r="AR222" s="663"/>
      <c r="AS222" s="663"/>
      <c r="AT222" s="663"/>
      <c r="AU222" s="663"/>
      <c r="CG222" s="656"/>
    </row>
    <row r="223" spans="1:85">
      <c r="A223" s="661"/>
      <c r="E223" s="663"/>
      <c r="F223" s="663"/>
      <c r="G223" s="663"/>
      <c r="H223" s="663"/>
      <c r="I223" s="663"/>
      <c r="J223" s="663"/>
      <c r="K223" s="663"/>
      <c r="L223" s="663"/>
      <c r="M223" s="663"/>
      <c r="N223" s="663"/>
      <c r="O223" s="663"/>
      <c r="P223" s="663"/>
      <c r="Q223" s="663"/>
      <c r="R223" s="663"/>
      <c r="S223" s="663"/>
      <c r="T223" s="663"/>
      <c r="U223" s="663"/>
      <c r="V223" s="663"/>
      <c r="W223" s="663"/>
      <c r="X223" s="663"/>
      <c r="Y223" s="663"/>
      <c r="Z223" s="663"/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CG223" s="656"/>
    </row>
    <row r="224" spans="1:85">
      <c r="A224" s="661"/>
      <c r="E224" s="663"/>
      <c r="F224" s="663"/>
      <c r="G224" s="663"/>
      <c r="H224" s="663"/>
      <c r="I224" s="663"/>
      <c r="J224" s="663"/>
      <c r="K224" s="663"/>
      <c r="L224" s="663"/>
      <c r="M224" s="663"/>
      <c r="N224" s="663"/>
      <c r="O224" s="663"/>
      <c r="P224" s="663"/>
      <c r="Q224" s="663"/>
      <c r="R224" s="663"/>
      <c r="S224" s="663"/>
      <c r="T224" s="663"/>
      <c r="U224" s="663"/>
      <c r="V224" s="663"/>
      <c r="W224" s="663"/>
      <c r="X224" s="663"/>
      <c r="Y224" s="663"/>
      <c r="Z224" s="663"/>
      <c r="AA224" s="663"/>
      <c r="AB224" s="663"/>
      <c r="AC224" s="663"/>
      <c r="AD224" s="663"/>
      <c r="AE224" s="663"/>
      <c r="AF224" s="663"/>
      <c r="AG224" s="663"/>
      <c r="AH224" s="663"/>
      <c r="AI224" s="663"/>
      <c r="AJ224" s="663"/>
      <c r="AK224" s="663"/>
      <c r="AL224" s="663"/>
      <c r="AM224" s="663"/>
      <c r="AN224" s="663"/>
      <c r="AO224" s="663"/>
      <c r="AP224" s="663"/>
      <c r="AQ224" s="663"/>
      <c r="AR224" s="663"/>
      <c r="AS224" s="663"/>
      <c r="AT224" s="663"/>
      <c r="AU224" s="663"/>
      <c r="CG224" s="656"/>
    </row>
    <row r="225" spans="1:85">
      <c r="A225" s="661"/>
      <c r="E225" s="663"/>
      <c r="F225" s="663"/>
      <c r="G225" s="663"/>
      <c r="H225" s="663"/>
      <c r="I225" s="663"/>
      <c r="J225" s="663"/>
      <c r="K225" s="663"/>
      <c r="L225" s="663"/>
      <c r="M225" s="663"/>
      <c r="N225" s="663"/>
      <c r="O225" s="663"/>
      <c r="P225" s="663"/>
      <c r="Q225" s="663"/>
      <c r="R225" s="663"/>
      <c r="S225" s="663"/>
      <c r="T225" s="663"/>
      <c r="U225" s="663"/>
      <c r="V225" s="663"/>
      <c r="W225" s="663"/>
      <c r="X225" s="663"/>
      <c r="Y225" s="663"/>
      <c r="Z225" s="663"/>
      <c r="AA225" s="663"/>
      <c r="AB225" s="663"/>
      <c r="AC225" s="663"/>
      <c r="AD225" s="663"/>
      <c r="AE225" s="663"/>
      <c r="AF225" s="663"/>
      <c r="AG225" s="663"/>
      <c r="AH225" s="663"/>
      <c r="AI225" s="663"/>
      <c r="AJ225" s="663"/>
      <c r="AK225" s="663"/>
      <c r="AL225" s="663"/>
      <c r="AM225" s="663"/>
      <c r="AN225" s="663"/>
      <c r="AO225" s="663"/>
      <c r="AP225" s="663"/>
      <c r="AQ225" s="663"/>
      <c r="AR225" s="663"/>
      <c r="AS225" s="663"/>
      <c r="AT225" s="663"/>
      <c r="AU225" s="663"/>
      <c r="CG225" s="656"/>
    </row>
    <row r="226" spans="1:85">
      <c r="A226" s="661"/>
      <c r="E226" s="663"/>
      <c r="F226" s="663"/>
      <c r="G226" s="663"/>
      <c r="H226" s="663"/>
      <c r="I226" s="663"/>
      <c r="J226" s="663"/>
      <c r="K226" s="663"/>
      <c r="L226" s="663"/>
      <c r="M226" s="663"/>
      <c r="N226" s="663"/>
      <c r="O226" s="663"/>
      <c r="P226" s="663"/>
      <c r="Q226" s="663"/>
      <c r="R226" s="663"/>
      <c r="S226" s="663"/>
      <c r="T226" s="663"/>
      <c r="U226" s="663"/>
      <c r="V226" s="663"/>
      <c r="W226" s="663"/>
      <c r="X226" s="663"/>
      <c r="Y226" s="663"/>
      <c r="Z226" s="663"/>
      <c r="AA226" s="663"/>
      <c r="AB226" s="663"/>
      <c r="AC226" s="663"/>
      <c r="AD226" s="663"/>
      <c r="AE226" s="663"/>
      <c r="AF226" s="663"/>
      <c r="AG226" s="663"/>
      <c r="AH226" s="663"/>
      <c r="AI226" s="663"/>
      <c r="AJ226" s="663"/>
      <c r="AK226" s="663"/>
      <c r="AL226" s="663"/>
      <c r="AM226" s="663"/>
      <c r="AN226" s="663"/>
      <c r="AO226" s="663"/>
      <c r="AP226" s="663"/>
      <c r="AQ226" s="663"/>
      <c r="AR226" s="663"/>
      <c r="AS226" s="663"/>
      <c r="AT226" s="663"/>
      <c r="AU226" s="663"/>
      <c r="CG226" s="656"/>
    </row>
    <row r="227" spans="1:85">
      <c r="A227" s="661"/>
      <c r="E227" s="663"/>
      <c r="CG227" s="656"/>
    </row>
    <row r="228" spans="1:85">
      <c r="A228" s="661"/>
      <c r="E228" s="663"/>
      <c r="CG228" s="656"/>
    </row>
    <row r="229" spans="1:85">
      <c r="A229" s="661"/>
      <c r="E229" s="663"/>
      <c r="CG229" s="656"/>
    </row>
    <row r="230" spans="1:85">
      <c r="A230" s="661"/>
      <c r="E230" s="663"/>
      <c r="CG230" s="656"/>
    </row>
    <row r="231" spans="1:85">
      <c r="A231" s="661"/>
      <c r="E231" s="663"/>
      <c r="CG231" s="656"/>
    </row>
    <row r="232" spans="1:85">
      <c r="A232" s="661"/>
      <c r="E232" s="663"/>
      <c r="CG232" s="656"/>
    </row>
    <row r="233" spans="1:85">
      <c r="A233" s="661"/>
      <c r="E233" s="663"/>
      <c r="CG233" s="656"/>
    </row>
    <row r="234" spans="1:85">
      <c r="A234" s="661"/>
      <c r="E234" s="663"/>
      <c r="CG234" s="656"/>
    </row>
    <row r="235" spans="1:85">
      <c r="A235" s="661"/>
      <c r="E235" s="663"/>
      <c r="CG235" s="656"/>
    </row>
    <row r="236" spans="1:85">
      <c r="A236" s="661"/>
      <c r="E236" s="663"/>
      <c r="CG236" s="656"/>
    </row>
    <row r="237" spans="1:85">
      <c r="A237" s="661"/>
      <c r="E237" s="663"/>
      <c r="CG237" s="656"/>
    </row>
    <row r="238" spans="1:85">
      <c r="A238" s="661"/>
      <c r="E238" s="663"/>
      <c r="CG238" s="656"/>
    </row>
    <row r="239" spans="1:85">
      <c r="A239" s="661"/>
      <c r="E239" s="663"/>
      <c r="CG239" s="656"/>
    </row>
    <row r="240" spans="1:85">
      <c r="A240" s="661"/>
      <c r="E240" s="663"/>
      <c r="CG240" s="656"/>
    </row>
    <row r="241" spans="1:85">
      <c r="A241" s="661"/>
      <c r="E241" s="657" t="s">
        <v>574</v>
      </c>
      <c r="I241" s="657" t="s">
        <v>474</v>
      </c>
      <c r="CG241" s="656"/>
    </row>
    <row r="242" spans="1:85">
      <c r="A242" s="661"/>
      <c r="CG242" s="656"/>
    </row>
    <row r="243" spans="1:85">
      <c r="A243" s="661"/>
      <c r="F243" s="657" t="s">
        <v>475</v>
      </c>
      <c r="CG243" s="656"/>
    </row>
    <row r="244" spans="1:85">
      <c r="A244" s="661"/>
      <c r="CG244" s="656"/>
    </row>
    <row r="245" spans="1:85">
      <c r="A245" s="661"/>
      <c r="CG245" s="656"/>
    </row>
    <row r="246" spans="1:85">
      <c r="A246" s="661"/>
      <c r="E246" s="657" t="s">
        <v>577</v>
      </c>
      <c r="I246" s="657" t="s">
        <v>476</v>
      </c>
      <c r="CG246" s="656"/>
    </row>
    <row r="247" spans="1:85">
      <c r="A247" s="661"/>
      <c r="F247" s="663" t="s">
        <v>578</v>
      </c>
      <c r="G247" s="663"/>
      <c r="I247" s="663"/>
      <c r="CG247" s="656"/>
    </row>
    <row r="248" spans="1:85">
      <c r="A248" s="661"/>
      <c r="F248" s="883" t="s">
        <v>575</v>
      </c>
      <c r="G248" s="884"/>
      <c r="H248" s="884"/>
      <c r="I248" s="884"/>
      <c r="J248" s="884"/>
      <c r="K248" s="884"/>
      <c r="L248" s="884"/>
      <c r="M248" s="884"/>
      <c r="N248" s="885"/>
      <c r="O248" s="879" t="s">
        <v>576</v>
      </c>
      <c r="P248" s="880"/>
      <c r="Q248" s="880"/>
      <c r="R248" s="880"/>
      <c r="S248" s="880"/>
      <c r="T248" s="880"/>
      <c r="U248" s="880"/>
      <c r="V248" s="880"/>
      <c r="W248" s="880"/>
      <c r="X248" s="880"/>
      <c r="Y248" s="880"/>
      <c r="Z248" s="880"/>
      <c r="AA248" s="880"/>
      <c r="AB248" s="880"/>
      <c r="AC248" s="880"/>
      <c r="AD248" s="880"/>
      <c r="AE248" s="880"/>
      <c r="AF248" s="880"/>
      <c r="AG248" s="880"/>
      <c r="AH248" s="880"/>
      <c r="AI248" s="880"/>
      <c r="AJ248" s="880"/>
      <c r="AK248" s="880"/>
      <c r="AL248" s="880"/>
      <c r="AM248" s="880"/>
      <c r="AN248" s="880"/>
      <c r="AO248" s="880"/>
      <c r="AP248" s="880"/>
      <c r="AQ248" s="880"/>
      <c r="AR248" s="880"/>
      <c r="AS248" s="880"/>
      <c r="AT248" s="880"/>
      <c r="AU248" s="881"/>
      <c r="CG248" s="656"/>
    </row>
    <row r="249" spans="1:85">
      <c r="A249" s="661"/>
      <c r="CG249" s="656"/>
    </row>
    <row r="250" spans="1:85">
      <c r="A250" s="661"/>
      <c r="F250" s="663" t="s">
        <v>579</v>
      </c>
      <c r="G250" s="663"/>
      <c r="I250" s="663"/>
      <c r="CG250" s="656"/>
    </row>
    <row r="251" spans="1:85">
      <c r="A251" s="661"/>
      <c r="F251" s="883" t="s">
        <v>472</v>
      </c>
      <c r="G251" s="884"/>
      <c r="H251" s="884"/>
      <c r="I251" s="884"/>
      <c r="J251" s="884"/>
      <c r="K251" s="884"/>
      <c r="L251" s="884"/>
      <c r="M251" s="884"/>
      <c r="N251" s="885"/>
      <c r="O251" s="879" t="s">
        <v>580</v>
      </c>
      <c r="P251" s="880"/>
      <c r="Q251" s="880"/>
      <c r="R251" s="880"/>
      <c r="S251" s="880"/>
      <c r="T251" s="880"/>
      <c r="U251" s="880"/>
      <c r="V251" s="880"/>
      <c r="W251" s="880"/>
      <c r="X251" s="880"/>
      <c r="Y251" s="880"/>
      <c r="Z251" s="880"/>
      <c r="AA251" s="880"/>
      <c r="AB251" s="880"/>
      <c r="AC251" s="880"/>
      <c r="AD251" s="880"/>
      <c r="AE251" s="880"/>
      <c r="AF251" s="880"/>
      <c r="AG251" s="880"/>
      <c r="AH251" s="880"/>
      <c r="AI251" s="880"/>
      <c r="AJ251" s="880"/>
      <c r="AK251" s="880"/>
      <c r="AL251" s="880"/>
      <c r="AM251" s="880"/>
      <c r="AN251" s="880"/>
      <c r="AO251" s="880"/>
      <c r="AP251" s="880"/>
      <c r="AQ251" s="880"/>
      <c r="AR251" s="880"/>
      <c r="AS251" s="880"/>
      <c r="AT251" s="880"/>
      <c r="AU251" s="881"/>
      <c r="CG251" s="656"/>
    </row>
    <row r="252" spans="1:85">
      <c r="A252" s="661"/>
      <c r="F252" s="883" t="s">
        <v>581</v>
      </c>
      <c r="G252" s="884"/>
      <c r="H252" s="884"/>
      <c r="I252" s="884"/>
      <c r="J252" s="884"/>
      <c r="K252" s="884"/>
      <c r="L252" s="884"/>
      <c r="M252" s="884"/>
      <c r="N252" s="885"/>
      <c r="O252" s="879" t="s">
        <v>583</v>
      </c>
      <c r="P252" s="880"/>
      <c r="Q252" s="880"/>
      <c r="R252" s="880"/>
      <c r="S252" s="880"/>
      <c r="T252" s="880"/>
      <c r="U252" s="880"/>
      <c r="V252" s="880"/>
      <c r="W252" s="880"/>
      <c r="X252" s="880"/>
      <c r="Y252" s="880"/>
      <c r="Z252" s="880"/>
      <c r="AA252" s="880"/>
      <c r="AB252" s="880"/>
      <c r="AC252" s="880"/>
      <c r="AD252" s="880"/>
      <c r="AE252" s="880"/>
      <c r="AF252" s="880"/>
      <c r="AG252" s="880"/>
      <c r="AH252" s="880"/>
      <c r="AI252" s="880"/>
      <c r="AJ252" s="880"/>
      <c r="AK252" s="880"/>
      <c r="AL252" s="880"/>
      <c r="AM252" s="880"/>
      <c r="AN252" s="880"/>
      <c r="AO252" s="880"/>
      <c r="AP252" s="880"/>
      <c r="AQ252" s="880"/>
      <c r="AR252" s="880"/>
      <c r="AS252" s="880"/>
      <c r="AT252" s="880"/>
      <c r="AU252" s="881"/>
      <c r="CG252" s="656"/>
    </row>
    <row r="253" spans="1:85">
      <c r="A253" s="661"/>
      <c r="F253" s="883" t="s">
        <v>582</v>
      </c>
      <c r="G253" s="884"/>
      <c r="H253" s="884"/>
      <c r="I253" s="884"/>
      <c r="J253" s="884"/>
      <c r="K253" s="884"/>
      <c r="L253" s="884"/>
      <c r="M253" s="884"/>
      <c r="N253" s="885"/>
      <c r="O253" s="879" t="s">
        <v>584</v>
      </c>
      <c r="P253" s="880"/>
      <c r="Q253" s="880"/>
      <c r="R253" s="880"/>
      <c r="S253" s="880"/>
      <c r="T253" s="880"/>
      <c r="U253" s="880"/>
      <c r="V253" s="880"/>
      <c r="W253" s="880"/>
      <c r="X253" s="880"/>
      <c r="Y253" s="880"/>
      <c r="Z253" s="880"/>
      <c r="AA253" s="880"/>
      <c r="AB253" s="880"/>
      <c r="AC253" s="880"/>
      <c r="AD253" s="880"/>
      <c r="AE253" s="880"/>
      <c r="AF253" s="880"/>
      <c r="AG253" s="880"/>
      <c r="AH253" s="880"/>
      <c r="AI253" s="880"/>
      <c r="AJ253" s="880"/>
      <c r="AK253" s="880"/>
      <c r="AL253" s="880"/>
      <c r="AM253" s="880"/>
      <c r="AN253" s="880"/>
      <c r="AO253" s="880"/>
      <c r="AP253" s="880"/>
      <c r="AQ253" s="880"/>
      <c r="AR253" s="880"/>
      <c r="AS253" s="880"/>
      <c r="AT253" s="880"/>
      <c r="AU253" s="881"/>
      <c r="CG253" s="656"/>
    </row>
    <row r="254" spans="1:85">
      <c r="A254" s="661"/>
      <c r="F254" s="883" t="s">
        <v>575</v>
      </c>
      <c r="G254" s="884"/>
      <c r="H254" s="884"/>
      <c r="I254" s="884"/>
      <c r="J254" s="884"/>
      <c r="K254" s="884"/>
      <c r="L254" s="884"/>
      <c r="M254" s="884"/>
      <c r="N254" s="885"/>
      <c r="O254" s="879" t="s">
        <v>617</v>
      </c>
      <c r="P254" s="880"/>
      <c r="Q254" s="880"/>
      <c r="R254" s="880"/>
      <c r="S254" s="880"/>
      <c r="T254" s="880"/>
      <c r="U254" s="880"/>
      <c r="V254" s="880"/>
      <c r="W254" s="880"/>
      <c r="X254" s="880"/>
      <c r="Y254" s="880"/>
      <c r="Z254" s="880"/>
      <c r="AA254" s="880"/>
      <c r="AB254" s="880"/>
      <c r="AC254" s="880"/>
      <c r="AD254" s="880"/>
      <c r="AE254" s="880"/>
      <c r="AF254" s="880"/>
      <c r="AG254" s="880"/>
      <c r="AH254" s="880"/>
      <c r="AI254" s="880"/>
      <c r="AJ254" s="880"/>
      <c r="AK254" s="880"/>
      <c r="AL254" s="880"/>
      <c r="AM254" s="880"/>
      <c r="AN254" s="880"/>
      <c r="AO254" s="880"/>
      <c r="AP254" s="880"/>
      <c r="AQ254" s="880"/>
      <c r="AR254" s="880"/>
      <c r="AS254" s="880"/>
      <c r="AT254" s="880"/>
      <c r="AU254" s="881"/>
      <c r="CG254" s="656"/>
    </row>
    <row r="255" spans="1:85">
      <c r="A255" s="661"/>
      <c r="CG255" s="656"/>
    </row>
    <row r="256" spans="1:85">
      <c r="A256" s="661"/>
      <c r="CG256" s="656"/>
    </row>
    <row r="257" spans="1:85">
      <c r="A257" s="661"/>
      <c r="F257" s="657" t="s">
        <v>477</v>
      </c>
      <c r="CG257" s="656"/>
    </row>
    <row r="258" spans="1:85">
      <c r="A258" s="661"/>
      <c r="CG258" s="656"/>
    </row>
    <row r="259" spans="1:85">
      <c r="A259" s="661"/>
      <c r="F259" s="663"/>
      <c r="G259" s="663"/>
      <c r="I259" s="663"/>
      <c r="CG259" s="656"/>
    </row>
    <row r="260" spans="1:85">
      <c r="A260" s="661"/>
    </row>
    <row r="261" spans="1:85">
      <c r="A261" s="661"/>
    </row>
    <row r="262" spans="1:85">
      <c r="A262" s="661"/>
    </row>
    <row r="263" spans="1:85">
      <c r="A263" s="661"/>
    </row>
    <row r="264" spans="1:85">
      <c r="A264" s="661"/>
    </row>
    <row r="265" spans="1:85">
      <c r="A265" s="661"/>
    </row>
    <row r="266" spans="1:85">
      <c r="A266" s="661"/>
    </row>
    <row r="267" spans="1:85">
      <c r="A267" s="661"/>
    </row>
    <row r="268" spans="1:85">
      <c r="A268" s="661"/>
    </row>
    <row r="269" spans="1:85">
      <c r="A269" s="661"/>
    </row>
    <row r="270" spans="1:85">
      <c r="A270" s="661"/>
    </row>
    <row r="271" spans="1:85">
      <c r="A271" s="661"/>
    </row>
    <row r="272" spans="1:85">
      <c r="A272" s="661"/>
    </row>
    <row r="273" spans="1:1">
      <c r="A273" s="661"/>
    </row>
    <row r="274" spans="1:1">
      <c r="A274" s="661"/>
    </row>
    <row r="275" spans="1:1">
      <c r="A275" s="661"/>
    </row>
    <row r="276" spans="1:1">
      <c r="A276" s="661"/>
    </row>
    <row r="277" spans="1:1">
      <c r="A277" s="661"/>
    </row>
    <row r="278" spans="1:1">
      <c r="A278" s="661"/>
    </row>
    <row r="279" spans="1:1">
      <c r="A279" s="661"/>
    </row>
    <row r="280" spans="1:1">
      <c r="A280" s="661"/>
    </row>
    <row r="281" spans="1:1">
      <c r="A281" s="661"/>
    </row>
    <row r="282" spans="1:1">
      <c r="A282" s="661"/>
    </row>
  </sheetData>
  <mergeCells count="86">
    <mergeCell ref="F254:N254"/>
    <mergeCell ref="O254:AU254"/>
    <mergeCell ref="F248:N248"/>
    <mergeCell ref="O248:AU248"/>
    <mergeCell ref="F251:N251"/>
    <mergeCell ref="O251:AU251"/>
    <mergeCell ref="F252:N252"/>
    <mergeCell ref="O252:AU252"/>
    <mergeCell ref="F253:N253"/>
    <mergeCell ref="O253:AU253"/>
    <mergeCell ref="AU143:AV143"/>
    <mergeCell ref="AU141:AV141"/>
    <mergeCell ref="F142:T142"/>
    <mergeCell ref="U142:AI142"/>
    <mergeCell ref="AJ142:AL142"/>
    <mergeCell ref="AM142:AQ142"/>
    <mergeCell ref="AR142:AT142"/>
    <mergeCell ref="F143:T143"/>
    <mergeCell ref="U143:AI143"/>
    <mergeCell ref="AJ143:AL143"/>
    <mergeCell ref="AM143:AQ143"/>
    <mergeCell ref="AR143:AT143"/>
    <mergeCell ref="AU142:AV142"/>
    <mergeCell ref="F139:T141"/>
    <mergeCell ref="U141:AI141"/>
    <mergeCell ref="AJ141:AL141"/>
    <mergeCell ref="AM141:AQ141"/>
    <mergeCell ref="AR141:AT141"/>
    <mergeCell ref="U140:AI140"/>
    <mergeCell ref="AJ140:AL140"/>
    <mergeCell ref="AM140:AQ140"/>
    <mergeCell ref="AR140:AT140"/>
    <mergeCell ref="AR139:AT139"/>
    <mergeCell ref="AU139:AV139"/>
    <mergeCell ref="AU140:AV140"/>
    <mergeCell ref="U139:AI139"/>
    <mergeCell ref="AJ139:AL139"/>
    <mergeCell ref="AM139:AQ139"/>
    <mergeCell ref="F137:AV137"/>
    <mergeCell ref="F138:AI138"/>
    <mergeCell ref="AJ138:AL138"/>
    <mergeCell ref="AM138:AQ138"/>
    <mergeCell ref="AR138:AT138"/>
    <mergeCell ref="AU138:AV138"/>
    <mergeCell ref="H132:V132"/>
    <mergeCell ref="W132:AK132"/>
    <mergeCell ref="AL132:AQ132"/>
    <mergeCell ref="AR132:AX132"/>
    <mergeCell ref="H133:V133"/>
    <mergeCell ref="W133:AK133"/>
    <mergeCell ref="AL133:AQ133"/>
    <mergeCell ref="AR133:AX133"/>
    <mergeCell ref="AR130:AX130"/>
    <mergeCell ref="W131:AK131"/>
    <mergeCell ref="AL131:AQ131"/>
    <mergeCell ref="AR131:AX131"/>
    <mergeCell ref="H128:AK128"/>
    <mergeCell ref="AL128:AX128"/>
    <mergeCell ref="H129:AK129"/>
    <mergeCell ref="AL129:AQ129"/>
    <mergeCell ref="AR129:AX129"/>
    <mergeCell ref="G90:N90"/>
    <mergeCell ref="O90:AA90"/>
    <mergeCell ref="H130:V131"/>
    <mergeCell ref="W130:AK130"/>
    <mergeCell ref="AL130:AQ130"/>
    <mergeCell ref="G89:N89"/>
    <mergeCell ref="O89:AA89"/>
    <mergeCell ref="G86:N86"/>
    <mergeCell ref="O86:AA86"/>
    <mergeCell ref="G87:N87"/>
    <mergeCell ref="O87:AA87"/>
    <mergeCell ref="G88:N88"/>
    <mergeCell ref="O88:AA88"/>
    <mergeCell ref="A1:M1"/>
    <mergeCell ref="F69:N69"/>
    <mergeCell ref="O69:AU69"/>
    <mergeCell ref="F70:N71"/>
    <mergeCell ref="O70:AU70"/>
    <mergeCell ref="O71:AU71"/>
    <mergeCell ref="G83:N83"/>
    <mergeCell ref="O83:AA83"/>
    <mergeCell ref="G84:N84"/>
    <mergeCell ref="O84:AA84"/>
    <mergeCell ref="G85:N85"/>
    <mergeCell ref="O85:AA85"/>
  </mergeCells>
  <phoneticPr fontId="57"/>
  <dataValidations count="1">
    <dataValidation type="list" allowBlank="1" showInputMessage="1" showErrorMessage="1" sqref="WVZ983168:WWE983189 WMD983168:WMI983189 WCH983168:WCM983189 VSL983168:VSQ983189 VIP983168:VIU983189 UYT983168:UYY983189 UOX983168:UPC983189 UFB983168:UFG983189 TVF983168:TVK983189 TLJ983168:TLO983189 TBN983168:TBS983189 SRR983168:SRW983189 SHV983168:SIA983189 RXZ983168:RYE983189 ROD983168:ROI983189 REH983168:REM983189 QUL983168:QUQ983189 QKP983168:QKU983189 QAT983168:QAY983189 PQX983168:PRC983189 PHB983168:PHG983189 OXF983168:OXK983189 ONJ983168:ONO983189 ODN983168:ODS983189 NTR983168:NTW983189 NJV983168:NKA983189 MZZ983168:NAE983189 MQD983168:MQI983189 MGH983168:MGM983189 LWL983168:LWQ983189 LMP983168:LMU983189 LCT983168:LCY983189 KSX983168:KTC983189 KJB983168:KJG983189 JZF983168:JZK983189 JPJ983168:JPO983189 JFN983168:JFS983189 IVR983168:IVW983189 ILV983168:IMA983189 IBZ983168:ICE983189 HSD983168:HSI983189 HIH983168:HIM983189 GYL983168:GYQ983189 GOP983168:GOU983189 GET983168:GEY983189 FUX983168:FVC983189 FLB983168:FLG983189 FBF983168:FBK983189 ERJ983168:ERO983189 EHN983168:EHS983189 DXR983168:DXW983189 DNV983168:DOA983189 DDZ983168:DEE983189 CUD983168:CUI983189 CKH983168:CKM983189 CAL983168:CAQ983189 BQP983168:BQU983189 BGT983168:BGY983189 AWX983168:AXC983189 ANB983168:ANG983189 ADF983168:ADK983189 TJ983168:TO983189 JN983168:JS983189 J983192:O983213 WVZ917632:WWE917653 WMD917632:WMI917653 WCH917632:WCM917653 VSL917632:VSQ917653 VIP917632:VIU917653 UYT917632:UYY917653 UOX917632:UPC917653 UFB917632:UFG917653 TVF917632:TVK917653 TLJ917632:TLO917653 TBN917632:TBS917653 SRR917632:SRW917653 SHV917632:SIA917653 RXZ917632:RYE917653 ROD917632:ROI917653 REH917632:REM917653 QUL917632:QUQ917653 QKP917632:QKU917653 QAT917632:QAY917653 PQX917632:PRC917653 PHB917632:PHG917653 OXF917632:OXK917653 ONJ917632:ONO917653 ODN917632:ODS917653 NTR917632:NTW917653 NJV917632:NKA917653 MZZ917632:NAE917653 MQD917632:MQI917653 MGH917632:MGM917653 LWL917632:LWQ917653 LMP917632:LMU917653 LCT917632:LCY917653 KSX917632:KTC917653 KJB917632:KJG917653 JZF917632:JZK917653 JPJ917632:JPO917653 JFN917632:JFS917653 IVR917632:IVW917653 ILV917632:IMA917653 IBZ917632:ICE917653 HSD917632:HSI917653 HIH917632:HIM917653 GYL917632:GYQ917653 GOP917632:GOU917653 GET917632:GEY917653 FUX917632:FVC917653 FLB917632:FLG917653 FBF917632:FBK917653 ERJ917632:ERO917653 EHN917632:EHS917653 DXR917632:DXW917653 DNV917632:DOA917653 DDZ917632:DEE917653 CUD917632:CUI917653 CKH917632:CKM917653 CAL917632:CAQ917653 BQP917632:BQU917653 BGT917632:BGY917653 AWX917632:AXC917653 ANB917632:ANG917653 ADF917632:ADK917653 TJ917632:TO917653 JN917632:JS917653 J917656:O917677 WVZ852096:WWE852117 WMD852096:WMI852117 WCH852096:WCM852117 VSL852096:VSQ852117 VIP852096:VIU852117 UYT852096:UYY852117 UOX852096:UPC852117 UFB852096:UFG852117 TVF852096:TVK852117 TLJ852096:TLO852117 TBN852096:TBS852117 SRR852096:SRW852117 SHV852096:SIA852117 RXZ852096:RYE852117 ROD852096:ROI852117 REH852096:REM852117 QUL852096:QUQ852117 QKP852096:QKU852117 QAT852096:QAY852117 PQX852096:PRC852117 PHB852096:PHG852117 OXF852096:OXK852117 ONJ852096:ONO852117 ODN852096:ODS852117 NTR852096:NTW852117 NJV852096:NKA852117 MZZ852096:NAE852117 MQD852096:MQI852117 MGH852096:MGM852117 LWL852096:LWQ852117 LMP852096:LMU852117 LCT852096:LCY852117 KSX852096:KTC852117 KJB852096:KJG852117 JZF852096:JZK852117 JPJ852096:JPO852117 JFN852096:JFS852117 IVR852096:IVW852117 ILV852096:IMA852117 IBZ852096:ICE852117 HSD852096:HSI852117 HIH852096:HIM852117 GYL852096:GYQ852117 GOP852096:GOU852117 GET852096:GEY852117 FUX852096:FVC852117 FLB852096:FLG852117 FBF852096:FBK852117 ERJ852096:ERO852117 EHN852096:EHS852117 DXR852096:DXW852117 DNV852096:DOA852117 DDZ852096:DEE852117 CUD852096:CUI852117 CKH852096:CKM852117 CAL852096:CAQ852117 BQP852096:BQU852117 BGT852096:BGY852117 AWX852096:AXC852117 ANB852096:ANG852117 ADF852096:ADK852117 TJ852096:TO852117 JN852096:JS852117 J852120:O852141 WVZ786560:WWE786581 WMD786560:WMI786581 WCH786560:WCM786581 VSL786560:VSQ786581 VIP786560:VIU786581 UYT786560:UYY786581 UOX786560:UPC786581 UFB786560:UFG786581 TVF786560:TVK786581 TLJ786560:TLO786581 TBN786560:TBS786581 SRR786560:SRW786581 SHV786560:SIA786581 RXZ786560:RYE786581 ROD786560:ROI786581 REH786560:REM786581 QUL786560:QUQ786581 QKP786560:QKU786581 QAT786560:QAY786581 PQX786560:PRC786581 PHB786560:PHG786581 OXF786560:OXK786581 ONJ786560:ONO786581 ODN786560:ODS786581 NTR786560:NTW786581 NJV786560:NKA786581 MZZ786560:NAE786581 MQD786560:MQI786581 MGH786560:MGM786581 LWL786560:LWQ786581 LMP786560:LMU786581 LCT786560:LCY786581 KSX786560:KTC786581 KJB786560:KJG786581 JZF786560:JZK786581 JPJ786560:JPO786581 JFN786560:JFS786581 IVR786560:IVW786581 ILV786560:IMA786581 IBZ786560:ICE786581 HSD786560:HSI786581 HIH786560:HIM786581 GYL786560:GYQ786581 GOP786560:GOU786581 GET786560:GEY786581 FUX786560:FVC786581 FLB786560:FLG786581 FBF786560:FBK786581 ERJ786560:ERO786581 EHN786560:EHS786581 DXR786560:DXW786581 DNV786560:DOA786581 DDZ786560:DEE786581 CUD786560:CUI786581 CKH786560:CKM786581 CAL786560:CAQ786581 BQP786560:BQU786581 BGT786560:BGY786581 AWX786560:AXC786581 ANB786560:ANG786581 ADF786560:ADK786581 TJ786560:TO786581 JN786560:JS786581 J786584:O786605 WVZ721024:WWE721045 WMD721024:WMI721045 WCH721024:WCM721045 VSL721024:VSQ721045 VIP721024:VIU721045 UYT721024:UYY721045 UOX721024:UPC721045 UFB721024:UFG721045 TVF721024:TVK721045 TLJ721024:TLO721045 TBN721024:TBS721045 SRR721024:SRW721045 SHV721024:SIA721045 RXZ721024:RYE721045 ROD721024:ROI721045 REH721024:REM721045 QUL721024:QUQ721045 QKP721024:QKU721045 QAT721024:QAY721045 PQX721024:PRC721045 PHB721024:PHG721045 OXF721024:OXK721045 ONJ721024:ONO721045 ODN721024:ODS721045 NTR721024:NTW721045 NJV721024:NKA721045 MZZ721024:NAE721045 MQD721024:MQI721045 MGH721024:MGM721045 LWL721024:LWQ721045 LMP721024:LMU721045 LCT721024:LCY721045 KSX721024:KTC721045 KJB721024:KJG721045 JZF721024:JZK721045 JPJ721024:JPO721045 JFN721024:JFS721045 IVR721024:IVW721045 ILV721024:IMA721045 IBZ721024:ICE721045 HSD721024:HSI721045 HIH721024:HIM721045 GYL721024:GYQ721045 GOP721024:GOU721045 GET721024:GEY721045 FUX721024:FVC721045 FLB721024:FLG721045 FBF721024:FBK721045 ERJ721024:ERO721045 EHN721024:EHS721045 DXR721024:DXW721045 DNV721024:DOA721045 DDZ721024:DEE721045 CUD721024:CUI721045 CKH721024:CKM721045 CAL721024:CAQ721045 BQP721024:BQU721045 BGT721024:BGY721045 AWX721024:AXC721045 ANB721024:ANG721045 ADF721024:ADK721045 TJ721024:TO721045 JN721024:JS721045 J721048:O721069 WVZ655488:WWE655509 WMD655488:WMI655509 WCH655488:WCM655509 VSL655488:VSQ655509 VIP655488:VIU655509 UYT655488:UYY655509 UOX655488:UPC655509 UFB655488:UFG655509 TVF655488:TVK655509 TLJ655488:TLO655509 TBN655488:TBS655509 SRR655488:SRW655509 SHV655488:SIA655509 RXZ655488:RYE655509 ROD655488:ROI655509 REH655488:REM655509 QUL655488:QUQ655509 QKP655488:QKU655509 QAT655488:QAY655509 PQX655488:PRC655509 PHB655488:PHG655509 OXF655488:OXK655509 ONJ655488:ONO655509 ODN655488:ODS655509 NTR655488:NTW655509 NJV655488:NKA655509 MZZ655488:NAE655509 MQD655488:MQI655509 MGH655488:MGM655509 LWL655488:LWQ655509 LMP655488:LMU655509 LCT655488:LCY655509 KSX655488:KTC655509 KJB655488:KJG655509 JZF655488:JZK655509 JPJ655488:JPO655509 JFN655488:JFS655509 IVR655488:IVW655509 ILV655488:IMA655509 IBZ655488:ICE655509 HSD655488:HSI655509 HIH655488:HIM655509 GYL655488:GYQ655509 GOP655488:GOU655509 GET655488:GEY655509 FUX655488:FVC655509 FLB655488:FLG655509 FBF655488:FBK655509 ERJ655488:ERO655509 EHN655488:EHS655509 DXR655488:DXW655509 DNV655488:DOA655509 DDZ655488:DEE655509 CUD655488:CUI655509 CKH655488:CKM655509 CAL655488:CAQ655509 BQP655488:BQU655509 BGT655488:BGY655509 AWX655488:AXC655509 ANB655488:ANG655509 ADF655488:ADK655509 TJ655488:TO655509 JN655488:JS655509 J655512:O655533 WVZ589952:WWE589973 WMD589952:WMI589973 WCH589952:WCM589973 VSL589952:VSQ589973 VIP589952:VIU589973 UYT589952:UYY589973 UOX589952:UPC589973 UFB589952:UFG589973 TVF589952:TVK589973 TLJ589952:TLO589973 TBN589952:TBS589973 SRR589952:SRW589973 SHV589952:SIA589973 RXZ589952:RYE589973 ROD589952:ROI589973 REH589952:REM589973 QUL589952:QUQ589973 QKP589952:QKU589973 QAT589952:QAY589973 PQX589952:PRC589973 PHB589952:PHG589973 OXF589952:OXK589973 ONJ589952:ONO589973 ODN589952:ODS589973 NTR589952:NTW589973 NJV589952:NKA589973 MZZ589952:NAE589973 MQD589952:MQI589973 MGH589952:MGM589973 LWL589952:LWQ589973 LMP589952:LMU589973 LCT589952:LCY589973 KSX589952:KTC589973 KJB589952:KJG589973 JZF589952:JZK589973 JPJ589952:JPO589973 JFN589952:JFS589973 IVR589952:IVW589973 ILV589952:IMA589973 IBZ589952:ICE589973 HSD589952:HSI589973 HIH589952:HIM589973 GYL589952:GYQ589973 GOP589952:GOU589973 GET589952:GEY589973 FUX589952:FVC589973 FLB589952:FLG589973 FBF589952:FBK589973 ERJ589952:ERO589973 EHN589952:EHS589973 DXR589952:DXW589973 DNV589952:DOA589973 DDZ589952:DEE589973 CUD589952:CUI589973 CKH589952:CKM589973 CAL589952:CAQ589973 BQP589952:BQU589973 BGT589952:BGY589973 AWX589952:AXC589973 ANB589952:ANG589973 ADF589952:ADK589973 TJ589952:TO589973 JN589952:JS589973 J589976:O589997 WVZ524416:WWE524437 WMD524416:WMI524437 WCH524416:WCM524437 VSL524416:VSQ524437 VIP524416:VIU524437 UYT524416:UYY524437 UOX524416:UPC524437 UFB524416:UFG524437 TVF524416:TVK524437 TLJ524416:TLO524437 TBN524416:TBS524437 SRR524416:SRW524437 SHV524416:SIA524437 RXZ524416:RYE524437 ROD524416:ROI524437 REH524416:REM524437 QUL524416:QUQ524437 QKP524416:QKU524437 QAT524416:QAY524437 PQX524416:PRC524437 PHB524416:PHG524437 OXF524416:OXK524437 ONJ524416:ONO524437 ODN524416:ODS524437 NTR524416:NTW524437 NJV524416:NKA524437 MZZ524416:NAE524437 MQD524416:MQI524437 MGH524416:MGM524437 LWL524416:LWQ524437 LMP524416:LMU524437 LCT524416:LCY524437 KSX524416:KTC524437 KJB524416:KJG524437 JZF524416:JZK524437 JPJ524416:JPO524437 JFN524416:JFS524437 IVR524416:IVW524437 ILV524416:IMA524437 IBZ524416:ICE524437 HSD524416:HSI524437 HIH524416:HIM524437 GYL524416:GYQ524437 GOP524416:GOU524437 GET524416:GEY524437 FUX524416:FVC524437 FLB524416:FLG524437 FBF524416:FBK524437 ERJ524416:ERO524437 EHN524416:EHS524437 DXR524416:DXW524437 DNV524416:DOA524437 DDZ524416:DEE524437 CUD524416:CUI524437 CKH524416:CKM524437 CAL524416:CAQ524437 BQP524416:BQU524437 BGT524416:BGY524437 AWX524416:AXC524437 ANB524416:ANG524437 ADF524416:ADK524437 TJ524416:TO524437 JN524416:JS524437 J524440:O524461 WVZ458880:WWE458901 WMD458880:WMI458901 WCH458880:WCM458901 VSL458880:VSQ458901 VIP458880:VIU458901 UYT458880:UYY458901 UOX458880:UPC458901 UFB458880:UFG458901 TVF458880:TVK458901 TLJ458880:TLO458901 TBN458880:TBS458901 SRR458880:SRW458901 SHV458880:SIA458901 RXZ458880:RYE458901 ROD458880:ROI458901 REH458880:REM458901 QUL458880:QUQ458901 QKP458880:QKU458901 QAT458880:QAY458901 PQX458880:PRC458901 PHB458880:PHG458901 OXF458880:OXK458901 ONJ458880:ONO458901 ODN458880:ODS458901 NTR458880:NTW458901 NJV458880:NKA458901 MZZ458880:NAE458901 MQD458880:MQI458901 MGH458880:MGM458901 LWL458880:LWQ458901 LMP458880:LMU458901 LCT458880:LCY458901 KSX458880:KTC458901 KJB458880:KJG458901 JZF458880:JZK458901 JPJ458880:JPO458901 JFN458880:JFS458901 IVR458880:IVW458901 ILV458880:IMA458901 IBZ458880:ICE458901 HSD458880:HSI458901 HIH458880:HIM458901 GYL458880:GYQ458901 GOP458880:GOU458901 GET458880:GEY458901 FUX458880:FVC458901 FLB458880:FLG458901 FBF458880:FBK458901 ERJ458880:ERO458901 EHN458880:EHS458901 DXR458880:DXW458901 DNV458880:DOA458901 DDZ458880:DEE458901 CUD458880:CUI458901 CKH458880:CKM458901 CAL458880:CAQ458901 BQP458880:BQU458901 BGT458880:BGY458901 AWX458880:AXC458901 ANB458880:ANG458901 ADF458880:ADK458901 TJ458880:TO458901 JN458880:JS458901 J458904:O458925 WVZ393344:WWE393365 WMD393344:WMI393365 WCH393344:WCM393365 VSL393344:VSQ393365 VIP393344:VIU393365 UYT393344:UYY393365 UOX393344:UPC393365 UFB393344:UFG393365 TVF393344:TVK393365 TLJ393344:TLO393365 TBN393344:TBS393365 SRR393344:SRW393365 SHV393344:SIA393365 RXZ393344:RYE393365 ROD393344:ROI393365 REH393344:REM393365 QUL393344:QUQ393365 QKP393344:QKU393365 QAT393344:QAY393365 PQX393344:PRC393365 PHB393344:PHG393365 OXF393344:OXK393365 ONJ393344:ONO393365 ODN393344:ODS393365 NTR393344:NTW393365 NJV393344:NKA393365 MZZ393344:NAE393365 MQD393344:MQI393365 MGH393344:MGM393365 LWL393344:LWQ393365 LMP393344:LMU393365 LCT393344:LCY393365 KSX393344:KTC393365 KJB393344:KJG393365 JZF393344:JZK393365 JPJ393344:JPO393365 JFN393344:JFS393365 IVR393344:IVW393365 ILV393344:IMA393365 IBZ393344:ICE393365 HSD393344:HSI393365 HIH393344:HIM393365 GYL393344:GYQ393365 GOP393344:GOU393365 GET393344:GEY393365 FUX393344:FVC393365 FLB393344:FLG393365 FBF393344:FBK393365 ERJ393344:ERO393365 EHN393344:EHS393365 DXR393344:DXW393365 DNV393344:DOA393365 DDZ393344:DEE393365 CUD393344:CUI393365 CKH393344:CKM393365 CAL393344:CAQ393365 BQP393344:BQU393365 BGT393344:BGY393365 AWX393344:AXC393365 ANB393344:ANG393365 ADF393344:ADK393365 TJ393344:TO393365 JN393344:JS393365 J393368:O393389 WVZ327808:WWE327829 WMD327808:WMI327829 WCH327808:WCM327829 VSL327808:VSQ327829 VIP327808:VIU327829 UYT327808:UYY327829 UOX327808:UPC327829 UFB327808:UFG327829 TVF327808:TVK327829 TLJ327808:TLO327829 TBN327808:TBS327829 SRR327808:SRW327829 SHV327808:SIA327829 RXZ327808:RYE327829 ROD327808:ROI327829 REH327808:REM327829 QUL327808:QUQ327829 QKP327808:QKU327829 QAT327808:QAY327829 PQX327808:PRC327829 PHB327808:PHG327829 OXF327808:OXK327829 ONJ327808:ONO327829 ODN327808:ODS327829 NTR327808:NTW327829 NJV327808:NKA327829 MZZ327808:NAE327829 MQD327808:MQI327829 MGH327808:MGM327829 LWL327808:LWQ327829 LMP327808:LMU327829 LCT327808:LCY327829 KSX327808:KTC327829 KJB327808:KJG327829 JZF327808:JZK327829 JPJ327808:JPO327829 JFN327808:JFS327829 IVR327808:IVW327829 ILV327808:IMA327829 IBZ327808:ICE327829 HSD327808:HSI327829 HIH327808:HIM327829 GYL327808:GYQ327829 GOP327808:GOU327829 GET327808:GEY327829 FUX327808:FVC327829 FLB327808:FLG327829 FBF327808:FBK327829 ERJ327808:ERO327829 EHN327808:EHS327829 DXR327808:DXW327829 DNV327808:DOA327829 DDZ327808:DEE327829 CUD327808:CUI327829 CKH327808:CKM327829 CAL327808:CAQ327829 BQP327808:BQU327829 BGT327808:BGY327829 AWX327808:AXC327829 ANB327808:ANG327829 ADF327808:ADK327829 TJ327808:TO327829 JN327808:JS327829 J327832:O327853 WVZ262272:WWE262293 WMD262272:WMI262293 WCH262272:WCM262293 VSL262272:VSQ262293 VIP262272:VIU262293 UYT262272:UYY262293 UOX262272:UPC262293 UFB262272:UFG262293 TVF262272:TVK262293 TLJ262272:TLO262293 TBN262272:TBS262293 SRR262272:SRW262293 SHV262272:SIA262293 RXZ262272:RYE262293 ROD262272:ROI262293 REH262272:REM262293 QUL262272:QUQ262293 QKP262272:QKU262293 QAT262272:QAY262293 PQX262272:PRC262293 PHB262272:PHG262293 OXF262272:OXK262293 ONJ262272:ONO262293 ODN262272:ODS262293 NTR262272:NTW262293 NJV262272:NKA262293 MZZ262272:NAE262293 MQD262272:MQI262293 MGH262272:MGM262293 LWL262272:LWQ262293 LMP262272:LMU262293 LCT262272:LCY262293 KSX262272:KTC262293 KJB262272:KJG262293 JZF262272:JZK262293 JPJ262272:JPO262293 JFN262272:JFS262293 IVR262272:IVW262293 ILV262272:IMA262293 IBZ262272:ICE262293 HSD262272:HSI262293 HIH262272:HIM262293 GYL262272:GYQ262293 GOP262272:GOU262293 GET262272:GEY262293 FUX262272:FVC262293 FLB262272:FLG262293 FBF262272:FBK262293 ERJ262272:ERO262293 EHN262272:EHS262293 DXR262272:DXW262293 DNV262272:DOA262293 DDZ262272:DEE262293 CUD262272:CUI262293 CKH262272:CKM262293 CAL262272:CAQ262293 BQP262272:BQU262293 BGT262272:BGY262293 AWX262272:AXC262293 ANB262272:ANG262293 ADF262272:ADK262293 TJ262272:TO262293 JN262272:JS262293 J262296:O262317 WVZ196736:WWE196757 WMD196736:WMI196757 WCH196736:WCM196757 VSL196736:VSQ196757 VIP196736:VIU196757 UYT196736:UYY196757 UOX196736:UPC196757 UFB196736:UFG196757 TVF196736:TVK196757 TLJ196736:TLO196757 TBN196736:TBS196757 SRR196736:SRW196757 SHV196736:SIA196757 RXZ196736:RYE196757 ROD196736:ROI196757 REH196736:REM196757 QUL196736:QUQ196757 QKP196736:QKU196757 QAT196736:QAY196757 PQX196736:PRC196757 PHB196736:PHG196757 OXF196736:OXK196757 ONJ196736:ONO196757 ODN196736:ODS196757 NTR196736:NTW196757 NJV196736:NKA196757 MZZ196736:NAE196757 MQD196736:MQI196757 MGH196736:MGM196757 LWL196736:LWQ196757 LMP196736:LMU196757 LCT196736:LCY196757 KSX196736:KTC196757 KJB196736:KJG196757 JZF196736:JZK196757 JPJ196736:JPO196757 JFN196736:JFS196757 IVR196736:IVW196757 ILV196736:IMA196757 IBZ196736:ICE196757 HSD196736:HSI196757 HIH196736:HIM196757 GYL196736:GYQ196757 GOP196736:GOU196757 GET196736:GEY196757 FUX196736:FVC196757 FLB196736:FLG196757 FBF196736:FBK196757 ERJ196736:ERO196757 EHN196736:EHS196757 DXR196736:DXW196757 DNV196736:DOA196757 DDZ196736:DEE196757 CUD196736:CUI196757 CKH196736:CKM196757 CAL196736:CAQ196757 BQP196736:BQU196757 BGT196736:BGY196757 AWX196736:AXC196757 ANB196736:ANG196757 ADF196736:ADK196757 TJ196736:TO196757 JN196736:JS196757 J196760:O196781 WVZ131200:WWE131221 WMD131200:WMI131221 WCH131200:WCM131221 VSL131200:VSQ131221 VIP131200:VIU131221 UYT131200:UYY131221 UOX131200:UPC131221 UFB131200:UFG131221 TVF131200:TVK131221 TLJ131200:TLO131221 TBN131200:TBS131221 SRR131200:SRW131221 SHV131200:SIA131221 RXZ131200:RYE131221 ROD131200:ROI131221 REH131200:REM131221 QUL131200:QUQ131221 QKP131200:QKU131221 QAT131200:QAY131221 PQX131200:PRC131221 PHB131200:PHG131221 OXF131200:OXK131221 ONJ131200:ONO131221 ODN131200:ODS131221 NTR131200:NTW131221 NJV131200:NKA131221 MZZ131200:NAE131221 MQD131200:MQI131221 MGH131200:MGM131221 LWL131200:LWQ131221 LMP131200:LMU131221 LCT131200:LCY131221 KSX131200:KTC131221 KJB131200:KJG131221 JZF131200:JZK131221 JPJ131200:JPO131221 JFN131200:JFS131221 IVR131200:IVW131221 ILV131200:IMA131221 IBZ131200:ICE131221 HSD131200:HSI131221 HIH131200:HIM131221 GYL131200:GYQ131221 GOP131200:GOU131221 GET131200:GEY131221 FUX131200:FVC131221 FLB131200:FLG131221 FBF131200:FBK131221 ERJ131200:ERO131221 EHN131200:EHS131221 DXR131200:DXW131221 DNV131200:DOA131221 DDZ131200:DEE131221 CUD131200:CUI131221 CKH131200:CKM131221 CAL131200:CAQ131221 BQP131200:BQU131221 BGT131200:BGY131221 AWX131200:AXC131221 ANB131200:ANG131221 ADF131200:ADK131221 TJ131200:TO131221 JN131200:JS131221 J131224:O131245 WVZ65664:WWE65685 WMD65664:WMI65685 WCH65664:WCM65685 VSL65664:VSQ65685 VIP65664:VIU65685 UYT65664:UYY65685 UOX65664:UPC65685 UFB65664:UFG65685 TVF65664:TVK65685 TLJ65664:TLO65685 TBN65664:TBS65685 SRR65664:SRW65685 SHV65664:SIA65685 RXZ65664:RYE65685 ROD65664:ROI65685 REH65664:REM65685 QUL65664:QUQ65685 QKP65664:QKU65685 QAT65664:QAY65685 PQX65664:PRC65685 PHB65664:PHG65685 OXF65664:OXK65685 ONJ65664:ONO65685 ODN65664:ODS65685 NTR65664:NTW65685 NJV65664:NKA65685 MZZ65664:NAE65685 MQD65664:MQI65685 MGH65664:MGM65685 LWL65664:LWQ65685 LMP65664:LMU65685 LCT65664:LCY65685 KSX65664:KTC65685 KJB65664:KJG65685 JZF65664:JZK65685 JPJ65664:JPO65685 JFN65664:JFS65685 IVR65664:IVW65685 ILV65664:IMA65685 IBZ65664:ICE65685 HSD65664:HSI65685 HIH65664:HIM65685 GYL65664:GYQ65685 GOP65664:GOU65685 GET65664:GEY65685 FUX65664:FVC65685 FLB65664:FLG65685 FBF65664:FBK65685 ERJ65664:ERO65685 EHN65664:EHS65685 DXR65664:DXW65685 DNV65664:DOA65685 DDZ65664:DEE65685 CUD65664:CUI65685 CKH65664:CKM65685 CAL65664:CAQ65685 BQP65664:BQU65685 BGT65664:BGY65685 AWX65664:AXC65685 ANB65664:ANG65685 ADF65664:ADK65685 TJ65664:TO65685 JN65664:JS65685 J65688:O65709 WWN983168:WWU983189 WMR983168:WMY983189 WCV983168:WDC983189 VSZ983168:VTG983189 VJD983168:VJK983189 UZH983168:UZO983189 UPL983168:UPS983189 UFP983168:UFW983189 TVT983168:TWA983189 TLX983168:TME983189 TCB983168:TCI983189 SSF983168:SSM983189 SIJ983168:SIQ983189 RYN983168:RYU983189 ROR983168:ROY983189 REV983168:RFC983189 QUZ983168:QVG983189 QLD983168:QLK983189 QBH983168:QBO983189 PRL983168:PRS983189 PHP983168:PHW983189 OXT983168:OYA983189 ONX983168:OOE983189 OEB983168:OEI983189 NUF983168:NUM983189 NKJ983168:NKQ983189 NAN983168:NAU983189 MQR983168:MQY983189 MGV983168:MHC983189 LWZ983168:LXG983189 LND983168:LNK983189 LDH983168:LDO983189 KTL983168:KTS983189 KJP983168:KJW983189 JZT983168:KAA983189 JPX983168:JQE983189 JGB983168:JGI983189 IWF983168:IWM983189 IMJ983168:IMQ983189 ICN983168:ICU983189 HSR983168:HSY983189 HIV983168:HJC983189 GYZ983168:GZG983189 GPD983168:GPK983189 GFH983168:GFO983189 FVL983168:FVS983189 FLP983168:FLW983189 FBT983168:FCA983189 ERX983168:ESE983189 EIB983168:EII983189 DYF983168:DYM983189 DOJ983168:DOQ983189 DEN983168:DEU983189 CUR983168:CUY983189 CKV983168:CLC983189 CAZ983168:CBG983189 BRD983168:BRK983189 BHH983168:BHO983189 AXL983168:AXS983189 ANP983168:ANW983189 ADT983168:AEA983189 TX983168:UE983189 KB983168:KI983189 X983192:AE983213 WWN917632:WWU917653 WMR917632:WMY917653 WCV917632:WDC917653 VSZ917632:VTG917653 VJD917632:VJK917653 UZH917632:UZO917653 UPL917632:UPS917653 UFP917632:UFW917653 TVT917632:TWA917653 TLX917632:TME917653 TCB917632:TCI917653 SSF917632:SSM917653 SIJ917632:SIQ917653 RYN917632:RYU917653 ROR917632:ROY917653 REV917632:RFC917653 QUZ917632:QVG917653 QLD917632:QLK917653 QBH917632:QBO917653 PRL917632:PRS917653 PHP917632:PHW917653 OXT917632:OYA917653 ONX917632:OOE917653 OEB917632:OEI917653 NUF917632:NUM917653 NKJ917632:NKQ917653 NAN917632:NAU917653 MQR917632:MQY917653 MGV917632:MHC917653 LWZ917632:LXG917653 LND917632:LNK917653 LDH917632:LDO917653 KTL917632:KTS917653 KJP917632:KJW917653 JZT917632:KAA917653 JPX917632:JQE917653 JGB917632:JGI917653 IWF917632:IWM917653 IMJ917632:IMQ917653 ICN917632:ICU917653 HSR917632:HSY917653 HIV917632:HJC917653 GYZ917632:GZG917653 GPD917632:GPK917653 GFH917632:GFO917653 FVL917632:FVS917653 FLP917632:FLW917653 FBT917632:FCA917653 ERX917632:ESE917653 EIB917632:EII917653 DYF917632:DYM917653 DOJ917632:DOQ917653 DEN917632:DEU917653 CUR917632:CUY917653 CKV917632:CLC917653 CAZ917632:CBG917653 BRD917632:BRK917653 BHH917632:BHO917653 AXL917632:AXS917653 ANP917632:ANW917653 ADT917632:AEA917653 TX917632:UE917653 KB917632:KI917653 X917656:AE917677 WWN852096:WWU852117 WMR852096:WMY852117 WCV852096:WDC852117 VSZ852096:VTG852117 VJD852096:VJK852117 UZH852096:UZO852117 UPL852096:UPS852117 UFP852096:UFW852117 TVT852096:TWA852117 TLX852096:TME852117 TCB852096:TCI852117 SSF852096:SSM852117 SIJ852096:SIQ852117 RYN852096:RYU852117 ROR852096:ROY852117 REV852096:RFC852117 QUZ852096:QVG852117 QLD852096:QLK852117 QBH852096:QBO852117 PRL852096:PRS852117 PHP852096:PHW852117 OXT852096:OYA852117 ONX852096:OOE852117 OEB852096:OEI852117 NUF852096:NUM852117 NKJ852096:NKQ852117 NAN852096:NAU852117 MQR852096:MQY852117 MGV852096:MHC852117 LWZ852096:LXG852117 LND852096:LNK852117 LDH852096:LDO852117 KTL852096:KTS852117 KJP852096:KJW852117 JZT852096:KAA852117 JPX852096:JQE852117 JGB852096:JGI852117 IWF852096:IWM852117 IMJ852096:IMQ852117 ICN852096:ICU852117 HSR852096:HSY852117 HIV852096:HJC852117 GYZ852096:GZG852117 GPD852096:GPK852117 GFH852096:GFO852117 FVL852096:FVS852117 FLP852096:FLW852117 FBT852096:FCA852117 ERX852096:ESE852117 EIB852096:EII852117 DYF852096:DYM852117 DOJ852096:DOQ852117 DEN852096:DEU852117 CUR852096:CUY852117 CKV852096:CLC852117 CAZ852096:CBG852117 BRD852096:BRK852117 BHH852096:BHO852117 AXL852096:AXS852117 ANP852096:ANW852117 ADT852096:AEA852117 TX852096:UE852117 KB852096:KI852117 X852120:AE852141 WWN786560:WWU786581 WMR786560:WMY786581 WCV786560:WDC786581 VSZ786560:VTG786581 VJD786560:VJK786581 UZH786560:UZO786581 UPL786560:UPS786581 UFP786560:UFW786581 TVT786560:TWA786581 TLX786560:TME786581 TCB786560:TCI786581 SSF786560:SSM786581 SIJ786560:SIQ786581 RYN786560:RYU786581 ROR786560:ROY786581 REV786560:RFC786581 QUZ786560:QVG786581 QLD786560:QLK786581 QBH786560:QBO786581 PRL786560:PRS786581 PHP786560:PHW786581 OXT786560:OYA786581 ONX786560:OOE786581 OEB786560:OEI786581 NUF786560:NUM786581 NKJ786560:NKQ786581 NAN786560:NAU786581 MQR786560:MQY786581 MGV786560:MHC786581 LWZ786560:LXG786581 LND786560:LNK786581 LDH786560:LDO786581 KTL786560:KTS786581 KJP786560:KJW786581 JZT786560:KAA786581 JPX786560:JQE786581 JGB786560:JGI786581 IWF786560:IWM786581 IMJ786560:IMQ786581 ICN786560:ICU786581 HSR786560:HSY786581 HIV786560:HJC786581 GYZ786560:GZG786581 GPD786560:GPK786581 GFH786560:GFO786581 FVL786560:FVS786581 FLP786560:FLW786581 FBT786560:FCA786581 ERX786560:ESE786581 EIB786560:EII786581 DYF786560:DYM786581 DOJ786560:DOQ786581 DEN786560:DEU786581 CUR786560:CUY786581 CKV786560:CLC786581 CAZ786560:CBG786581 BRD786560:BRK786581 BHH786560:BHO786581 AXL786560:AXS786581 ANP786560:ANW786581 ADT786560:AEA786581 TX786560:UE786581 KB786560:KI786581 X786584:AE786605 WWN721024:WWU721045 WMR721024:WMY721045 WCV721024:WDC721045 VSZ721024:VTG721045 VJD721024:VJK721045 UZH721024:UZO721045 UPL721024:UPS721045 UFP721024:UFW721045 TVT721024:TWA721045 TLX721024:TME721045 TCB721024:TCI721045 SSF721024:SSM721045 SIJ721024:SIQ721045 RYN721024:RYU721045 ROR721024:ROY721045 REV721024:RFC721045 QUZ721024:QVG721045 QLD721024:QLK721045 QBH721024:QBO721045 PRL721024:PRS721045 PHP721024:PHW721045 OXT721024:OYA721045 ONX721024:OOE721045 OEB721024:OEI721045 NUF721024:NUM721045 NKJ721024:NKQ721045 NAN721024:NAU721045 MQR721024:MQY721045 MGV721024:MHC721045 LWZ721024:LXG721045 LND721024:LNK721045 LDH721024:LDO721045 KTL721024:KTS721045 KJP721024:KJW721045 JZT721024:KAA721045 JPX721024:JQE721045 JGB721024:JGI721045 IWF721024:IWM721045 IMJ721024:IMQ721045 ICN721024:ICU721045 HSR721024:HSY721045 HIV721024:HJC721045 GYZ721024:GZG721045 GPD721024:GPK721045 GFH721024:GFO721045 FVL721024:FVS721045 FLP721024:FLW721045 FBT721024:FCA721045 ERX721024:ESE721045 EIB721024:EII721045 DYF721024:DYM721045 DOJ721024:DOQ721045 DEN721024:DEU721045 CUR721024:CUY721045 CKV721024:CLC721045 CAZ721024:CBG721045 BRD721024:BRK721045 BHH721024:BHO721045 AXL721024:AXS721045 ANP721024:ANW721045 ADT721024:AEA721045 TX721024:UE721045 KB721024:KI721045 X721048:AE721069 WWN655488:WWU655509 WMR655488:WMY655509 WCV655488:WDC655509 VSZ655488:VTG655509 VJD655488:VJK655509 UZH655488:UZO655509 UPL655488:UPS655509 UFP655488:UFW655509 TVT655488:TWA655509 TLX655488:TME655509 TCB655488:TCI655509 SSF655488:SSM655509 SIJ655488:SIQ655509 RYN655488:RYU655509 ROR655488:ROY655509 REV655488:RFC655509 QUZ655488:QVG655509 QLD655488:QLK655509 QBH655488:QBO655509 PRL655488:PRS655509 PHP655488:PHW655509 OXT655488:OYA655509 ONX655488:OOE655509 OEB655488:OEI655509 NUF655488:NUM655509 NKJ655488:NKQ655509 NAN655488:NAU655509 MQR655488:MQY655509 MGV655488:MHC655509 LWZ655488:LXG655509 LND655488:LNK655509 LDH655488:LDO655509 KTL655488:KTS655509 KJP655488:KJW655509 JZT655488:KAA655509 JPX655488:JQE655509 JGB655488:JGI655509 IWF655488:IWM655509 IMJ655488:IMQ655509 ICN655488:ICU655509 HSR655488:HSY655509 HIV655488:HJC655509 GYZ655488:GZG655509 GPD655488:GPK655509 GFH655488:GFO655509 FVL655488:FVS655509 FLP655488:FLW655509 FBT655488:FCA655509 ERX655488:ESE655509 EIB655488:EII655509 DYF655488:DYM655509 DOJ655488:DOQ655509 DEN655488:DEU655509 CUR655488:CUY655509 CKV655488:CLC655509 CAZ655488:CBG655509 BRD655488:BRK655509 BHH655488:BHO655509 AXL655488:AXS655509 ANP655488:ANW655509 ADT655488:AEA655509 TX655488:UE655509 KB655488:KI655509 X655512:AE655533 WWN589952:WWU589973 WMR589952:WMY589973 WCV589952:WDC589973 VSZ589952:VTG589973 VJD589952:VJK589973 UZH589952:UZO589973 UPL589952:UPS589973 UFP589952:UFW589973 TVT589952:TWA589973 TLX589952:TME589973 TCB589952:TCI589973 SSF589952:SSM589973 SIJ589952:SIQ589973 RYN589952:RYU589973 ROR589952:ROY589973 REV589952:RFC589973 QUZ589952:QVG589973 QLD589952:QLK589973 QBH589952:QBO589973 PRL589952:PRS589973 PHP589952:PHW589973 OXT589952:OYA589973 ONX589952:OOE589973 OEB589952:OEI589973 NUF589952:NUM589973 NKJ589952:NKQ589973 NAN589952:NAU589973 MQR589952:MQY589973 MGV589952:MHC589973 LWZ589952:LXG589973 LND589952:LNK589973 LDH589952:LDO589973 KTL589952:KTS589973 KJP589952:KJW589973 JZT589952:KAA589973 JPX589952:JQE589973 JGB589952:JGI589973 IWF589952:IWM589973 IMJ589952:IMQ589973 ICN589952:ICU589973 HSR589952:HSY589973 HIV589952:HJC589973 GYZ589952:GZG589973 GPD589952:GPK589973 GFH589952:GFO589973 FVL589952:FVS589973 FLP589952:FLW589973 FBT589952:FCA589973 ERX589952:ESE589973 EIB589952:EII589973 DYF589952:DYM589973 DOJ589952:DOQ589973 DEN589952:DEU589973 CUR589952:CUY589973 CKV589952:CLC589973 CAZ589952:CBG589973 BRD589952:BRK589973 BHH589952:BHO589973 AXL589952:AXS589973 ANP589952:ANW589973 ADT589952:AEA589973 TX589952:UE589973 KB589952:KI589973 X589976:AE589997 WWN524416:WWU524437 WMR524416:WMY524437 WCV524416:WDC524437 VSZ524416:VTG524437 VJD524416:VJK524437 UZH524416:UZO524437 UPL524416:UPS524437 UFP524416:UFW524437 TVT524416:TWA524437 TLX524416:TME524437 TCB524416:TCI524437 SSF524416:SSM524437 SIJ524416:SIQ524437 RYN524416:RYU524437 ROR524416:ROY524437 REV524416:RFC524437 QUZ524416:QVG524437 QLD524416:QLK524437 QBH524416:QBO524437 PRL524416:PRS524437 PHP524416:PHW524437 OXT524416:OYA524437 ONX524416:OOE524437 OEB524416:OEI524437 NUF524416:NUM524437 NKJ524416:NKQ524437 NAN524416:NAU524437 MQR524416:MQY524437 MGV524416:MHC524437 LWZ524416:LXG524437 LND524416:LNK524437 LDH524416:LDO524437 KTL524416:KTS524437 KJP524416:KJW524437 JZT524416:KAA524437 JPX524416:JQE524437 JGB524416:JGI524437 IWF524416:IWM524437 IMJ524416:IMQ524437 ICN524416:ICU524437 HSR524416:HSY524437 HIV524416:HJC524437 GYZ524416:GZG524437 GPD524416:GPK524437 GFH524416:GFO524437 FVL524416:FVS524437 FLP524416:FLW524437 FBT524416:FCA524437 ERX524416:ESE524437 EIB524416:EII524437 DYF524416:DYM524437 DOJ524416:DOQ524437 DEN524416:DEU524437 CUR524416:CUY524437 CKV524416:CLC524437 CAZ524416:CBG524437 BRD524416:BRK524437 BHH524416:BHO524437 AXL524416:AXS524437 ANP524416:ANW524437 ADT524416:AEA524437 TX524416:UE524437 KB524416:KI524437 X524440:AE524461 WWN458880:WWU458901 WMR458880:WMY458901 WCV458880:WDC458901 VSZ458880:VTG458901 VJD458880:VJK458901 UZH458880:UZO458901 UPL458880:UPS458901 UFP458880:UFW458901 TVT458880:TWA458901 TLX458880:TME458901 TCB458880:TCI458901 SSF458880:SSM458901 SIJ458880:SIQ458901 RYN458880:RYU458901 ROR458880:ROY458901 REV458880:RFC458901 QUZ458880:QVG458901 QLD458880:QLK458901 QBH458880:QBO458901 PRL458880:PRS458901 PHP458880:PHW458901 OXT458880:OYA458901 ONX458880:OOE458901 OEB458880:OEI458901 NUF458880:NUM458901 NKJ458880:NKQ458901 NAN458880:NAU458901 MQR458880:MQY458901 MGV458880:MHC458901 LWZ458880:LXG458901 LND458880:LNK458901 LDH458880:LDO458901 KTL458880:KTS458901 KJP458880:KJW458901 JZT458880:KAA458901 JPX458880:JQE458901 JGB458880:JGI458901 IWF458880:IWM458901 IMJ458880:IMQ458901 ICN458880:ICU458901 HSR458880:HSY458901 HIV458880:HJC458901 GYZ458880:GZG458901 GPD458880:GPK458901 GFH458880:GFO458901 FVL458880:FVS458901 FLP458880:FLW458901 FBT458880:FCA458901 ERX458880:ESE458901 EIB458880:EII458901 DYF458880:DYM458901 DOJ458880:DOQ458901 DEN458880:DEU458901 CUR458880:CUY458901 CKV458880:CLC458901 CAZ458880:CBG458901 BRD458880:BRK458901 BHH458880:BHO458901 AXL458880:AXS458901 ANP458880:ANW458901 ADT458880:AEA458901 TX458880:UE458901 KB458880:KI458901 X458904:AE458925 WWN393344:WWU393365 WMR393344:WMY393365 WCV393344:WDC393365 VSZ393344:VTG393365 VJD393344:VJK393365 UZH393344:UZO393365 UPL393344:UPS393365 UFP393344:UFW393365 TVT393344:TWA393365 TLX393344:TME393365 TCB393344:TCI393365 SSF393344:SSM393365 SIJ393344:SIQ393365 RYN393344:RYU393365 ROR393344:ROY393365 REV393344:RFC393365 QUZ393344:QVG393365 QLD393344:QLK393365 QBH393344:QBO393365 PRL393344:PRS393365 PHP393344:PHW393365 OXT393344:OYA393365 ONX393344:OOE393365 OEB393344:OEI393365 NUF393344:NUM393365 NKJ393344:NKQ393365 NAN393344:NAU393365 MQR393344:MQY393365 MGV393344:MHC393365 LWZ393344:LXG393365 LND393344:LNK393365 LDH393344:LDO393365 KTL393344:KTS393365 KJP393344:KJW393365 JZT393344:KAA393365 JPX393344:JQE393365 JGB393344:JGI393365 IWF393344:IWM393365 IMJ393344:IMQ393365 ICN393344:ICU393365 HSR393344:HSY393365 HIV393344:HJC393365 GYZ393344:GZG393365 GPD393344:GPK393365 GFH393344:GFO393365 FVL393344:FVS393365 FLP393344:FLW393365 FBT393344:FCA393365 ERX393344:ESE393365 EIB393344:EII393365 DYF393344:DYM393365 DOJ393344:DOQ393365 DEN393344:DEU393365 CUR393344:CUY393365 CKV393344:CLC393365 CAZ393344:CBG393365 BRD393344:BRK393365 BHH393344:BHO393365 AXL393344:AXS393365 ANP393344:ANW393365 ADT393344:AEA393365 TX393344:UE393365 KB393344:KI393365 X393368:AE393389 WWN327808:WWU327829 WMR327808:WMY327829 WCV327808:WDC327829 VSZ327808:VTG327829 VJD327808:VJK327829 UZH327808:UZO327829 UPL327808:UPS327829 UFP327808:UFW327829 TVT327808:TWA327829 TLX327808:TME327829 TCB327808:TCI327829 SSF327808:SSM327829 SIJ327808:SIQ327829 RYN327808:RYU327829 ROR327808:ROY327829 REV327808:RFC327829 QUZ327808:QVG327829 QLD327808:QLK327829 QBH327808:QBO327829 PRL327808:PRS327829 PHP327808:PHW327829 OXT327808:OYA327829 ONX327808:OOE327829 OEB327808:OEI327829 NUF327808:NUM327829 NKJ327808:NKQ327829 NAN327808:NAU327829 MQR327808:MQY327829 MGV327808:MHC327829 LWZ327808:LXG327829 LND327808:LNK327829 LDH327808:LDO327829 KTL327808:KTS327829 KJP327808:KJW327829 JZT327808:KAA327829 JPX327808:JQE327829 JGB327808:JGI327829 IWF327808:IWM327829 IMJ327808:IMQ327829 ICN327808:ICU327829 HSR327808:HSY327829 HIV327808:HJC327829 GYZ327808:GZG327829 GPD327808:GPK327829 GFH327808:GFO327829 FVL327808:FVS327829 FLP327808:FLW327829 FBT327808:FCA327829 ERX327808:ESE327829 EIB327808:EII327829 DYF327808:DYM327829 DOJ327808:DOQ327829 DEN327808:DEU327829 CUR327808:CUY327829 CKV327808:CLC327829 CAZ327808:CBG327829 BRD327808:BRK327829 BHH327808:BHO327829 AXL327808:AXS327829 ANP327808:ANW327829 ADT327808:AEA327829 TX327808:UE327829 KB327808:KI327829 X327832:AE327853 WWN262272:WWU262293 WMR262272:WMY262293 WCV262272:WDC262293 VSZ262272:VTG262293 VJD262272:VJK262293 UZH262272:UZO262293 UPL262272:UPS262293 UFP262272:UFW262293 TVT262272:TWA262293 TLX262272:TME262293 TCB262272:TCI262293 SSF262272:SSM262293 SIJ262272:SIQ262293 RYN262272:RYU262293 ROR262272:ROY262293 REV262272:RFC262293 QUZ262272:QVG262293 QLD262272:QLK262293 QBH262272:QBO262293 PRL262272:PRS262293 PHP262272:PHW262293 OXT262272:OYA262293 ONX262272:OOE262293 OEB262272:OEI262293 NUF262272:NUM262293 NKJ262272:NKQ262293 NAN262272:NAU262293 MQR262272:MQY262293 MGV262272:MHC262293 LWZ262272:LXG262293 LND262272:LNK262293 LDH262272:LDO262293 KTL262272:KTS262293 KJP262272:KJW262293 JZT262272:KAA262293 JPX262272:JQE262293 JGB262272:JGI262293 IWF262272:IWM262293 IMJ262272:IMQ262293 ICN262272:ICU262293 HSR262272:HSY262293 HIV262272:HJC262293 GYZ262272:GZG262293 GPD262272:GPK262293 GFH262272:GFO262293 FVL262272:FVS262293 FLP262272:FLW262293 FBT262272:FCA262293 ERX262272:ESE262293 EIB262272:EII262293 DYF262272:DYM262293 DOJ262272:DOQ262293 DEN262272:DEU262293 CUR262272:CUY262293 CKV262272:CLC262293 CAZ262272:CBG262293 BRD262272:BRK262293 BHH262272:BHO262293 AXL262272:AXS262293 ANP262272:ANW262293 ADT262272:AEA262293 TX262272:UE262293 KB262272:KI262293 X262296:AE262317 WWN196736:WWU196757 WMR196736:WMY196757 WCV196736:WDC196757 VSZ196736:VTG196757 VJD196736:VJK196757 UZH196736:UZO196757 UPL196736:UPS196757 UFP196736:UFW196757 TVT196736:TWA196757 TLX196736:TME196757 TCB196736:TCI196757 SSF196736:SSM196757 SIJ196736:SIQ196757 RYN196736:RYU196757 ROR196736:ROY196757 REV196736:RFC196757 QUZ196736:QVG196757 QLD196736:QLK196757 QBH196736:QBO196757 PRL196736:PRS196757 PHP196736:PHW196757 OXT196736:OYA196757 ONX196736:OOE196757 OEB196736:OEI196757 NUF196736:NUM196757 NKJ196736:NKQ196757 NAN196736:NAU196757 MQR196736:MQY196757 MGV196736:MHC196757 LWZ196736:LXG196757 LND196736:LNK196757 LDH196736:LDO196757 KTL196736:KTS196757 KJP196736:KJW196757 JZT196736:KAA196757 JPX196736:JQE196757 JGB196736:JGI196757 IWF196736:IWM196757 IMJ196736:IMQ196757 ICN196736:ICU196757 HSR196736:HSY196757 HIV196736:HJC196757 GYZ196736:GZG196757 GPD196736:GPK196757 GFH196736:GFO196757 FVL196736:FVS196757 FLP196736:FLW196757 FBT196736:FCA196757 ERX196736:ESE196757 EIB196736:EII196757 DYF196736:DYM196757 DOJ196736:DOQ196757 DEN196736:DEU196757 CUR196736:CUY196757 CKV196736:CLC196757 CAZ196736:CBG196757 BRD196736:BRK196757 BHH196736:BHO196757 AXL196736:AXS196757 ANP196736:ANW196757 ADT196736:AEA196757 TX196736:UE196757 KB196736:KI196757 X196760:AE196781 WWN131200:WWU131221 WMR131200:WMY131221 WCV131200:WDC131221 VSZ131200:VTG131221 VJD131200:VJK131221 UZH131200:UZO131221 UPL131200:UPS131221 UFP131200:UFW131221 TVT131200:TWA131221 TLX131200:TME131221 TCB131200:TCI131221 SSF131200:SSM131221 SIJ131200:SIQ131221 RYN131200:RYU131221 ROR131200:ROY131221 REV131200:RFC131221 QUZ131200:QVG131221 QLD131200:QLK131221 QBH131200:QBO131221 PRL131200:PRS131221 PHP131200:PHW131221 OXT131200:OYA131221 ONX131200:OOE131221 OEB131200:OEI131221 NUF131200:NUM131221 NKJ131200:NKQ131221 NAN131200:NAU131221 MQR131200:MQY131221 MGV131200:MHC131221 LWZ131200:LXG131221 LND131200:LNK131221 LDH131200:LDO131221 KTL131200:KTS131221 KJP131200:KJW131221 JZT131200:KAA131221 JPX131200:JQE131221 JGB131200:JGI131221 IWF131200:IWM131221 IMJ131200:IMQ131221 ICN131200:ICU131221 HSR131200:HSY131221 HIV131200:HJC131221 GYZ131200:GZG131221 GPD131200:GPK131221 GFH131200:GFO131221 FVL131200:FVS131221 FLP131200:FLW131221 FBT131200:FCA131221 ERX131200:ESE131221 EIB131200:EII131221 DYF131200:DYM131221 DOJ131200:DOQ131221 DEN131200:DEU131221 CUR131200:CUY131221 CKV131200:CLC131221 CAZ131200:CBG131221 BRD131200:BRK131221 BHH131200:BHO131221 AXL131200:AXS131221 ANP131200:ANW131221 ADT131200:AEA131221 TX131200:UE131221 KB131200:KI131221 X131224:AE131245 WWN65664:WWU65685 WMR65664:WMY65685 WCV65664:WDC65685 VSZ65664:VTG65685 VJD65664:VJK65685 UZH65664:UZO65685 UPL65664:UPS65685 UFP65664:UFW65685 TVT65664:TWA65685 TLX65664:TME65685 TCB65664:TCI65685 SSF65664:SSM65685 SIJ65664:SIQ65685 RYN65664:RYU65685 ROR65664:ROY65685 REV65664:RFC65685 QUZ65664:QVG65685 QLD65664:QLK65685 QBH65664:QBO65685 PRL65664:PRS65685 PHP65664:PHW65685 OXT65664:OYA65685 ONX65664:OOE65685 OEB65664:OEI65685 NUF65664:NUM65685 NKJ65664:NKQ65685 NAN65664:NAU65685 MQR65664:MQY65685 MGV65664:MHC65685 LWZ65664:LXG65685 LND65664:LNK65685 LDH65664:LDO65685 KTL65664:KTS65685 KJP65664:KJW65685 JZT65664:KAA65685 JPX65664:JQE65685 JGB65664:JGI65685 IWF65664:IWM65685 IMJ65664:IMQ65685 ICN65664:ICU65685 HSR65664:HSY65685 HIV65664:HJC65685 GYZ65664:GZG65685 GPD65664:GPK65685 GFH65664:GFO65685 FVL65664:FVS65685 FLP65664:FLW65685 FBT65664:FCA65685 ERX65664:ESE65685 EIB65664:EII65685 DYF65664:DYM65685 DOJ65664:DOQ65685 DEN65664:DEU65685 CUR65664:CUY65685 CKV65664:CLC65685 CAZ65664:CBG65685 BRD65664:BRK65685 BHH65664:BHO65685 AXL65664:AXS65685 ANP65664:ANW65685 ADT65664:AEA65685 TX65664:UE65685 KB65664:KI65685 X65688:AE65709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182" min="21" max="85" man="1"/>
    <brk id="225" min="21" max="8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7CC5F-BD5C-4426-82AA-C846ACF5A5E5}">
  <sheetPr>
    <pageSetUpPr fitToPage="1"/>
  </sheetPr>
  <dimension ref="A1:AK27"/>
  <sheetViews>
    <sheetView showGridLines="0" view="pageBreakPreview" zoomScale="90" zoomScaleNormal="70" zoomScaleSheetLayoutView="90" workbookViewId="0">
      <selection activeCell="BE15" sqref="BE15"/>
    </sheetView>
  </sheetViews>
  <sheetFormatPr defaultColWidth="2.5" defaultRowHeight="15.75"/>
  <cols>
    <col min="1" max="10" width="2.5" style="690" customWidth="1"/>
    <col min="11" max="16" width="3.25" style="690" customWidth="1"/>
    <col min="17" max="54" width="2.5" style="690" customWidth="1"/>
    <col min="55" max="16384" width="2.5" style="690"/>
  </cols>
  <sheetData>
    <row r="1" spans="1:37" ht="13.7" customHeight="1">
      <c r="A1" s="921" t="s">
        <v>528</v>
      </c>
      <c r="B1" s="921"/>
      <c r="C1" s="921"/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691"/>
      <c r="O1" s="691"/>
      <c r="P1" s="691"/>
      <c r="Q1" s="691"/>
      <c r="R1" s="691"/>
      <c r="S1" s="691"/>
      <c r="T1" s="691"/>
      <c r="U1" s="691"/>
      <c r="V1" s="691"/>
      <c r="W1" s="691"/>
      <c r="X1" s="691"/>
      <c r="Y1" s="691"/>
      <c r="Z1" s="691"/>
      <c r="AA1" s="691"/>
      <c r="AB1" s="691"/>
      <c r="AC1" s="691"/>
      <c r="AD1" s="691"/>
    </row>
    <row r="2" spans="1:37" ht="13.7" customHeight="1">
      <c r="A2" s="922" t="s">
        <v>529</v>
      </c>
      <c r="B2" s="922"/>
      <c r="C2" s="922"/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22"/>
      <c r="V2" s="922"/>
      <c r="W2" s="922"/>
      <c r="X2" s="922"/>
      <c r="Y2" s="922"/>
      <c r="Z2" s="922"/>
      <c r="AA2" s="922"/>
      <c r="AB2" s="922"/>
      <c r="AC2" s="922"/>
      <c r="AD2" s="922"/>
      <c r="AE2" s="922"/>
      <c r="AF2" s="922"/>
      <c r="AG2" s="922"/>
      <c r="AH2" s="922"/>
      <c r="AI2" s="922"/>
      <c r="AJ2" s="922"/>
    </row>
    <row r="3" spans="1:37" ht="13.7" customHeight="1">
      <c r="A3" s="922"/>
      <c r="B3" s="922"/>
      <c r="C3" s="922"/>
      <c r="D3" s="922"/>
      <c r="E3" s="922"/>
      <c r="F3" s="922"/>
      <c r="G3" s="922"/>
      <c r="H3" s="922"/>
      <c r="I3" s="922"/>
      <c r="J3" s="922"/>
      <c r="K3" s="922"/>
      <c r="L3" s="922"/>
      <c r="M3" s="922"/>
      <c r="N3" s="922"/>
      <c r="O3" s="922"/>
      <c r="P3" s="922"/>
      <c r="Q3" s="922"/>
      <c r="R3" s="922"/>
      <c r="S3" s="922"/>
      <c r="T3" s="922"/>
      <c r="U3" s="922"/>
      <c r="V3" s="922"/>
      <c r="W3" s="922"/>
      <c r="X3" s="922"/>
      <c r="Y3" s="922"/>
      <c r="Z3" s="922"/>
      <c r="AA3" s="922"/>
      <c r="AB3" s="922"/>
      <c r="AC3" s="922"/>
      <c r="AD3" s="922"/>
      <c r="AE3" s="922"/>
      <c r="AF3" s="922"/>
      <c r="AG3" s="922"/>
      <c r="AH3" s="922"/>
      <c r="AI3" s="922"/>
      <c r="AJ3" s="922"/>
    </row>
    <row r="4" spans="1:37" ht="13.7" customHeight="1">
      <c r="A4" s="922"/>
      <c r="B4" s="922"/>
      <c r="C4" s="922"/>
      <c r="D4" s="922"/>
      <c r="E4" s="922"/>
      <c r="F4" s="922"/>
      <c r="G4" s="922"/>
      <c r="H4" s="922"/>
      <c r="I4" s="922"/>
      <c r="J4" s="922"/>
      <c r="K4" s="922"/>
      <c r="L4" s="922"/>
      <c r="M4" s="922"/>
      <c r="N4" s="922"/>
      <c r="O4" s="922"/>
      <c r="P4" s="922"/>
      <c r="Q4" s="922"/>
      <c r="R4" s="922"/>
      <c r="S4" s="922"/>
      <c r="T4" s="922"/>
      <c r="U4" s="922"/>
      <c r="V4" s="922"/>
      <c r="W4" s="922"/>
      <c r="X4" s="922"/>
      <c r="Y4" s="922"/>
      <c r="Z4" s="922"/>
      <c r="AA4" s="922"/>
      <c r="AB4" s="922"/>
      <c r="AC4" s="922"/>
      <c r="AD4" s="922"/>
      <c r="AE4" s="922"/>
      <c r="AF4" s="922"/>
      <c r="AG4" s="922"/>
      <c r="AH4" s="922"/>
      <c r="AI4" s="922"/>
      <c r="AJ4" s="922"/>
    </row>
    <row r="5" spans="1:37" ht="13.7" customHeight="1">
      <c r="A5" s="923" t="s">
        <v>530</v>
      </c>
      <c r="B5" s="923"/>
      <c r="C5" s="923"/>
      <c r="D5" s="923"/>
      <c r="E5" s="923"/>
      <c r="F5" s="923"/>
      <c r="G5" s="923"/>
      <c r="H5" s="923"/>
      <c r="I5" s="923"/>
      <c r="J5" s="922" t="s">
        <v>549</v>
      </c>
      <c r="K5" s="922"/>
      <c r="L5" s="922"/>
      <c r="M5" s="922"/>
      <c r="N5" s="922"/>
      <c r="O5" s="922"/>
      <c r="P5" s="922"/>
      <c r="Q5" s="922"/>
      <c r="R5" s="922"/>
      <c r="S5" s="922"/>
      <c r="T5" s="922"/>
      <c r="U5" s="922"/>
      <c r="V5" s="922"/>
      <c r="W5" s="922"/>
      <c r="X5" s="922"/>
      <c r="Y5" s="922"/>
      <c r="Z5" s="922"/>
      <c r="AA5" s="922"/>
      <c r="AB5" s="922"/>
      <c r="AC5" s="922"/>
      <c r="AD5" s="922"/>
      <c r="AE5" s="922"/>
      <c r="AF5" s="922"/>
      <c r="AG5" s="922"/>
      <c r="AH5" s="922"/>
      <c r="AI5" s="922"/>
      <c r="AJ5" s="922"/>
    </row>
    <row r="6" spans="1:37" ht="13.7" customHeight="1">
      <c r="A6" s="923" t="s">
        <v>531</v>
      </c>
      <c r="B6" s="923"/>
      <c r="C6" s="923"/>
      <c r="D6" s="923"/>
      <c r="E6" s="923"/>
      <c r="F6" s="923"/>
      <c r="G6" s="923"/>
      <c r="H6" s="923"/>
      <c r="I6" s="923"/>
      <c r="J6" s="924" t="s">
        <v>532</v>
      </c>
      <c r="K6" s="924"/>
      <c r="L6" s="924"/>
      <c r="M6" s="924"/>
      <c r="N6" s="924"/>
      <c r="O6" s="924"/>
      <c r="P6" s="924"/>
      <c r="Q6" s="924"/>
      <c r="R6" s="924"/>
      <c r="S6" s="924"/>
      <c r="T6" s="924"/>
      <c r="U6" s="924"/>
      <c r="V6" s="924"/>
      <c r="W6" s="924"/>
      <c r="X6" s="924"/>
      <c r="Y6" s="924"/>
      <c r="Z6" s="924"/>
      <c r="AA6" s="924"/>
      <c r="AB6" s="924"/>
      <c r="AC6" s="924"/>
      <c r="AD6" s="923" t="s">
        <v>533</v>
      </c>
      <c r="AE6" s="923"/>
      <c r="AF6" s="923"/>
      <c r="AG6" s="923"/>
      <c r="AH6" s="923"/>
      <c r="AI6" s="923"/>
      <c r="AJ6" s="923"/>
    </row>
    <row r="7" spans="1:37" ht="13.7" customHeight="1">
      <c r="A7" s="923"/>
      <c r="B7" s="923"/>
      <c r="C7" s="923"/>
      <c r="D7" s="923"/>
      <c r="E7" s="923"/>
      <c r="F7" s="923"/>
      <c r="G7" s="923"/>
      <c r="H7" s="923"/>
      <c r="I7" s="923"/>
      <c r="J7" s="924"/>
      <c r="K7" s="924"/>
      <c r="L7" s="924"/>
      <c r="M7" s="924"/>
      <c r="N7" s="924"/>
      <c r="O7" s="924"/>
      <c r="P7" s="924"/>
      <c r="Q7" s="924"/>
      <c r="R7" s="924"/>
      <c r="S7" s="924"/>
      <c r="T7" s="924"/>
      <c r="U7" s="924"/>
      <c r="V7" s="924"/>
      <c r="W7" s="924"/>
      <c r="X7" s="924"/>
      <c r="Y7" s="924"/>
      <c r="Z7" s="924"/>
      <c r="AA7" s="924"/>
      <c r="AB7" s="924"/>
      <c r="AC7" s="924"/>
      <c r="AD7" s="923"/>
      <c r="AE7" s="923"/>
      <c r="AF7" s="923"/>
      <c r="AG7" s="923"/>
      <c r="AH7" s="923"/>
      <c r="AI7" s="923"/>
      <c r="AJ7" s="923"/>
    </row>
    <row r="8" spans="1:37" ht="13.7" customHeight="1">
      <c r="A8" s="693" t="s">
        <v>353</v>
      </c>
      <c r="B8" s="923" t="s">
        <v>354</v>
      </c>
      <c r="C8" s="923"/>
      <c r="D8" s="923"/>
      <c r="E8" s="923"/>
      <c r="F8" s="923"/>
      <c r="G8" s="923"/>
      <c r="H8" s="923"/>
      <c r="I8" s="923"/>
      <c r="J8" s="924"/>
      <c r="K8" s="924"/>
      <c r="L8" s="924"/>
      <c r="M8" s="924"/>
      <c r="N8" s="924"/>
      <c r="O8" s="924"/>
      <c r="P8" s="924"/>
      <c r="Q8" s="924"/>
      <c r="R8" s="924"/>
      <c r="S8" s="924"/>
      <c r="T8" s="924"/>
      <c r="U8" s="924"/>
      <c r="V8" s="924"/>
      <c r="W8" s="924"/>
      <c r="X8" s="924"/>
      <c r="Y8" s="924"/>
      <c r="Z8" s="924"/>
      <c r="AA8" s="924"/>
      <c r="AB8" s="924"/>
      <c r="AC8" s="924"/>
      <c r="AD8" s="923"/>
      <c r="AE8" s="923"/>
      <c r="AF8" s="923"/>
      <c r="AG8" s="923"/>
      <c r="AH8" s="923"/>
      <c r="AI8" s="923"/>
      <c r="AJ8" s="923"/>
    </row>
    <row r="9" spans="1:37" ht="13.7" customHeight="1">
      <c r="A9" s="694"/>
      <c r="B9" s="925" t="s">
        <v>612</v>
      </c>
      <c r="C9" s="925"/>
      <c r="D9" s="925"/>
      <c r="E9" s="925"/>
      <c r="F9" s="925"/>
      <c r="G9" s="925"/>
      <c r="H9" s="925"/>
      <c r="I9" s="925"/>
      <c r="J9" s="923"/>
      <c r="K9" s="923"/>
      <c r="L9" s="923"/>
      <c r="M9" s="923"/>
      <c r="N9" s="923"/>
      <c r="O9" s="923"/>
      <c r="P9" s="923"/>
      <c r="Q9" s="923"/>
      <c r="R9" s="923"/>
      <c r="S9" s="923"/>
      <c r="T9" s="923"/>
      <c r="U9" s="923"/>
      <c r="V9" s="923"/>
      <c r="W9" s="923"/>
      <c r="X9" s="923"/>
      <c r="Y9" s="923"/>
      <c r="Z9" s="923"/>
      <c r="AA9" s="923"/>
      <c r="AB9" s="923"/>
      <c r="AC9" s="923"/>
      <c r="AD9" s="923"/>
      <c r="AE9" s="923"/>
      <c r="AF9" s="923"/>
      <c r="AG9" s="923"/>
      <c r="AH9" s="923"/>
      <c r="AI9" s="923"/>
      <c r="AJ9" s="923"/>
    </row>
    <row r="10" spans="1:37" ht="45" customHeight="1">
      <c r="A10" s="694">
        <v>1</v>
      </c>
      <c r="B10" s="926" t="s">
        <v>550</v>
      </c>
      <c r="C10" s="926"/>
      <c r="D10" s="926"/>
      <c r="E10" s="926"/>
      <c r="F10" s="926"/>
      <c r="G10" s="926"/>
      <c r="H10" s="926"/>
      <c r="I10" s="926"/>
      <c r="J10" s="927" t="s">
        <v>534</v>
      </c>
      <c r="K10" s="928"/>
      <c r="L10" s="928"/>
      <c r="M10" s="928"/>
      <c r="N10" s="928"/>
      <c r="O10" s="928"/>
      <c r="P10" s="928"/>
      <c r="Q10" s="928"/>
      <c r="R10" s="928"/>
      <c r="S10" s="928"/>
      <c r="T10" s="928"/>
      <c r="U10" s="928"/>
      <c r="V10" s="928"/>
      <c r="W10" s="928"/>
      <c r="X10" s="928"/>
      <c r="Y10" s="928"/>
      <c r="Z10" s="928"/>
      <c r="AA10" s="928"/>
      <c r="AB10" s="928"/>
      <c r="AC10" s="928"/>
      <c r="AD10" s="929" t="s">
        <v>535</v>
      </c>
      <c r="AE10" s="930"/>
      <c r="AF10" s="930"/>
      <c r="AG10" s="930"/>
      <c r="AH10" s="930"/>
      <c r="AI10" s="930"/>
      <c r="AJ10" s="931"/>
      <c r="AK10" s="691"/>
    </row>
    <row r="11" spans="1:37" ht="13.7" customHeight="1">
      <c r="A11" s="694">
        <v>2</v>
      </c>
      <c r="B11" s="926" t="s">
        <v>623</v>
      </c>
      <c r="C11" s="926"/>
      <c r="D11" s="926"/>
      <c r="E11" s="926"/>
      <c r="F11" s="926"/>
      <c r="G11" s="926"/>
      <c r="H11" s="926"/>
      <c r="I11" s="926"/>
      <c r="J11" s="928" t="s">
        <v>536</v>
      </c>
      <c r="K11" s="928"/>
      <c r="L11" s="928"/>
      <c r="M11" s="928"/>
      <c r="N11" s="928"/>
      <c r="O11" s="928"/>
      <c r="P11" s="928"/>
      <c r="Q11" s="928"/>
      <c r="R11" s="928"/>
      <c r="S11" s="928"/>
      <c r="T11" s="928"/>
      <c r="U11" s="928"/>
      <c r="V11" s="928"/>
      <c r="W11" s="928"/>
      <c r="X11" s="928"/>
      <c r="Y11" s="928"/>
      <c r="Z11" s="928"/>
      <c r="AA11" s="928"/>
      <c r="AB11" s="928"/>
      <c r="AC11" s="928"/>
      <c r="AD11" s="929"/>
      <c r="AE11" s="930"/>
      <c r="AF11" s="930"/>
      <c r="AG11" s="930"/>
      <c r="AH11" s="930"/>
      <c r="AI11" s="930"/>
      <c r="AJ11" s="931"/>
      <c r="AK11" s="691"/>
    </row>
    <row r="12" spans="1:37" ht="13.7" customHeight="1">
      <c r="A12" s="694">
        <v>3</v>
      </c>
      <c r="B12" s="926" t="s">
        <v>622</v>
      </c>
      <c r="C12" s="926"/>
      <c r="D12" s="926"/>
      <c r="E12" s="926"/>
      <c r="F12" s="926"/>
      <c r="G12" s="926"/>
      <c r="H12" s="926"/>
      <c r="I12" s="926"/>
      <c r="J12" s="928" t="s">
        <v>537</v>
      </c>
      <c r="K12" s="928"/>
      <c r="L12" s="928"/>
      <c r="M12" s="928"/>
      <c r="N12" s="928"/>
      <c r="O12" s="928"/>
      <c r="P12" s="928"/>
      <c r="Q12" s="928"/>
      <c r="R12" s="928"/>
      <c r="S12" s="928"/>
      <c r="T12" s="928"/>
      <c r="U12" s="928"/>
      <c r="V12" s="928"/>
      <c r="W12" s="928"/>
      <c r="X12" s="928"/>
      <c r="Y12" s="928"/>
      <c r="Z12" s="928"/>
      <c r="AA12" s="928"/>
      <c r="AB12" s="928"/>
      <c r="AC12" s="928"/>
      <c r="AD12" s="929"/>
      <c r="AE12" s="930"/>
      <c r="AF12" s="930"/>
      <c r="AG12" s="930"/>
      <c r="AH12" s="930"/>
      <c r="AI12" s="930"/>
      <c r="AJ12" s="931"/>
      <c r="AK12" s="691"/>
    </row>
    <row r="13" spans="1:37" ht="13.7" customHeight="1">
      <c r="A13" s="694">
        <v>4</v>
      </c>
      <c r="B13" s="926" t="s">
        <v>551</v>
      </c>
      <c r="C13" s="926"/>
      <c r="D13" s="926"/>
      <c r="E13" s="926"/>
      <c r="F13" s="926"/>
      <c r="G13" s="926"/>
      <c r="H13" s="926"/>
      <c r="I13" s="926"/>
      <c r="J13" s="928" t="s">
        <v>625</v>
      </c>
      <c r="K13" s="928"/>
      <c r="L13" s="928"/>
      <c r="M13" s="928"/>
      <c r="N13" s="928"/>
      <c r="O13" s="928"/>
      <c r="P13" s="928"/>
      <c r="Q13" s="928"/>
      <c r="R13" s="928"/>
      <c r="S13" s="928"/>
      <c r="T13" s="928"/>
      <c r="U13" s="928"/>
      <c r="V13" s="928"/>
      <c r="W13" s="928"/>
      <c r="X13" s="928"/>
      <c r="Y13" s="928"/>
      <c r="Z13" s="928"/>
      <c r="AA13" s="928"/>
      <c r="AB13" s="928"/>
      <c r="AC13" s="928"/>
      <c r="AD13" s="929" t="s">
        <v>538</v>
      </c>
      <c r="AE13" s="930"/>
      <c r="AF13" s="930"/>
      <c r="AG13" s="930"/>
      <c r="AH13" s="930"/>
      <c r="AI13" s="930"/>
      <c r="AJ13" s="931"/>
      <c r="AK13" s="691"/>
    </row>
    <row r="14" spans="1:37" ht="13.7" customHeight="1">
      <c r="A14" s="694">
        <v>5</v>
      </c>
      <c r="B14" s="926" t="s">
        <v>621</v>
      </c>
      <c r="C14" s="926"/>
      <c r="D14" s="926"/>
      <c r="E14" s="926"/>
      <c r="F14" s="926"/>
      <c r="G14" s="926"/>
      <c r="H14" s="926"/>
      <c r="I14" s="926"/>
      <c r="J14" s="928" t="s">
        <v>539</v>
      </c>
      <c r="K14" s="928"/>
      <c r="L14" s="928"/>
      <c r="M14" s="928"/>
      <c r="N14" s="928"/>
      <c r="O14" s="928"/>
      <c r="P14" s="928"/>
      <c r="Q14" s="928"/>
      <c r="R14" s="928"/>
      <c r="S14" s="928"/>
      <c r="T14" s="928"/>
      <c r="U14" s="928"/>
      <c r="V14" s="928"/>
      <c r="W14" s="928"/>
      <c r="X14" s="928"/>
      <c r="Y14" s="928"/>
      <c r="Z14" s="928"/>
      <c r="AA14" s="928"/>
      <c r="AB14" s="928"/>
      <c r="AC14" s="928"/>
      <c r="AD14" s="929" t="s">
        <v>540</v>
      </c>
      <c r="AE14" s="930"/>
      <c r="AF14" s="930"/>
      <c r="AG14" s="930"/>
      <c r="AH14" s="930"/>
      <c r="AI14" s="930"/>
      <c r="AJ14" s="931"/>
      <c r="AK14" s="691"/>
    </row>
    <row r="15" spans="1:37" ht="27" customHeight="1">
      <c r="A15" s="694">
        <v>6</v>
      </c>
      <c r="B15" s="926" t="s">
        <v>551</v>
      </c>
      <c r="C15" s="926"/>
      <c r="D15" s="926"/>
      <c r="E15" s="926"/>
      <c r="F15" s="926"/>
      <c r="G15" s="926"/>
      <c r="H15" s="926"/>
      <c r="I15" s="926"/>
      <c r="J15" s="928" t="s">
        <v>541</v>
      </c>
      <c r="K15" s="928"/>
      <c r="L15" s="928"/>
      <c r="M15" s="928"/>
      <c r="N15" s="928"/>
      <c r="O15" s="928"/>
      <c r="P15" s="928"/>
      <c r="Q15" s="928"/>
      <c r="R15" s="928"/>
      <c r="S15" s="928"/>
      <c r="T15" s="928"/>
      <c r="U15" s="928"/>
      <c r="V15" s="928"/>
      <c r="W15" s="928"/>
      <c r="X15" s="928"/>
      <c r="Y15" s="928"/>
      <c r="Z15" s="928"/>
      <c r="AA15" s="928"/>
      <c r="AB15" s="928"/>
      <c r="AC15" s="928"/>
      <c r="AD15" s="932" t="s">
        <v>542</v>
      </c>
      <c r="AE15" s="933"/>
      <c r="AF15" s="933"/>
      <c r="AG15" s="933"/>
      <c r="AH15" s="933"/>
      <c r="AI15" s="933"/>
      <c r="AJ15" s="934"/>
      <c r="AK15" s="691"/>
    </row>
    <row r="16" spans="1:37" ht="27.75" customHeight="1">
      <c r="A16" s="694">
        <v>7</v>
      </c>
      <c r="B16" s="926" t="s">
        <v>624</v>
      </c>
      <c r="C16" s="926"/>
      <c r="D16" s="926"/>
      <c r="E16" s="926"/>
      <c r="F16" s="926"/>
      <c r="G16" s="926"/>
      <c r="H16" s="926"/>
      <c r="I16" s="926"/>
      <c r="J16" s="922" t="s">
        <v>300</v>
      </c>
      <c r="K16" s="922"/>
      <c r="L16" s="922"/>
      <c r="M16" s="922"/>
      <c r="N16" s="922"/>
      <c r="O16" s="922"/>
      <c r="P16" s="922"/>
      <c r="Q16" s="922"/>
      <c r="R16" s="922"/>
      <c r="S16" s="922"/>
      <c r="T16" s="922"/>
      <c r="U16" s="922"/>
      <c r="V16" s="922"/>
      <c r="W16" s="922"/>
      <c r="X16" s="922"/>
      <c r="Y16" s="922"/>
      <c r="Z16" s="922"/>
      <c r="AA16" s="922"/>
      <c r="AB16" s="922"/>
      <c r="AC16" s="922"/>
      <c r="AD16" s="932" t="s">
        <v>543</v>
      </c>
      <c r="AE16" s="933"/>
      <c r="AF16" s="933"/>
      <c r="AG16" s="933"/>
      <c r="AH16" s="933"/>
      <c r="AI16" s="933"/>
      <c r="AJ16" s="934"/>
      <c r="AK16" s="691"/>
    </row>
    <row r="17" spans="1:37" ht="13.7" customHeight="1">
      <c r="A17" s="694">
        <v>8</v>
      </c>
      <c r="B17" s="926" t="s">
        <v>552</v>
      </c>
      <c r="C17" s="926"/>
      <c r="D17" s="926"/>
      <c r="E17" s="926"/>
      <c r="F17" s="926"/>
      <c r="G17" s="926"/>
      <c r="H17" s="926"/>
      <c r="I17" s="926"/>
      <c r="J17" s="922" t="s">
        <v>300</v>
      </c>
      <c r="K17" s="922"/>
      <c r="L17" s="922"/>
      <c r="M17" s="922"/>
      <c r="N17" s="922"/>
      <c r="O17" s="922"/>
      <c r="P17" s="922"/>
      <c r="Q17" s="922"/>
      <c r="R17" s="922"/>
      <c r="S17" s="922"/>
      <c r="T17" s="922"/>
      <c r="U17" s="922"/>
      <c r="V17" s="922"/>
      <c r="W17" s="922"/>
      <c r="X17" s="922"/>
      <c r="Y17" s="922"/>
      <c r="Z17" s="922"/>
      <c r="AA17" s="922"/>
      <c r="AB17" s="922"/>
      <c r="AC17" s="922"/>
      <c r="AD17" s="932" t="s">
        <v>544</v>
      </c>
      <c r="AE17" s="933"/>
      <c r="AF17" s="933"/>
      <c r="AG17" s="933"/>
      <c r="AH17" s="933"/>
      <c r="AI17" s="933"/>
      <c r="AJ17" s="934"/>
      <c r="AK17" s="691"/>
    </row>
    <row r="18" spans="1:37" ht="13.7" customHeight="1">
      <c r="A18" s="694">
        <v>9</v>
      </c>
      <c r="B18" s="926" t="s">
        <v>626</v>
      </c>
      <c r="C18" s="926"/>
      <c r="D18" s="926"/>
      <c r="E18" s="926"/>
      <c r="F18" s="926"/>
      <c r="G18" s="926"/>
      <c r="H18" s="926"/>
      <c r="I18" s="926"/>
      <c r="J18" s="922" t="s">
        <v>300</v>
      </c>
      <c r="K18" s="922"/>
      <c r="L18" s="922"/>
      <c r="M18" s="922"/>
      <c r="N18" s="922"/>
      <c r="O18" s="922"/>
      <c r="P18" s="922"/>
      <c r="Q18" s="922"/>
      <c r="R18" s="922"/>
      <c r="S18" s="922"/>
      <c r="T18" s="922"/>
      <c r="U18" s="922"/>
      <c r="V18" s="922"/>
      <c r="W18" s="922"/>
      <c r="X18" s="922"/>
      <c r="Y18" s="922"/>
      <c r="Z18" s="922"/>
      <c r="AA18" s="922"/>
      <c r="AB18" s="922"/>
      <c r="AC18" s="922"/>
      <c r="AD18" s="932" t="s">
        <v>544</v>
      </c>
      <c r="AE18" s="933"/>
      <c r="AF18" s="933"/>
      <c r="AG18" s="933"/>
      <c r="AH18" s="933"/>
      <c r="AI18" s="933"/>
      <c r="AJ18" s="934"/>
      <c r="AK18" s="691"/>
    </row>
    <row r="19" spans="1:37" ht="13.7" customHeight="1">
      <c r="A19" s="694">
        <v>10</v>
      </c>
      <c r="B19" s="926" t="s">
        <v>627</v>
      </c>
      <c r="C19" s="926"/>
      <c r="D19" s="926"/>
      <c r="E19" s="926"/>
      <c r="F19" s="926"/>
      <c r="G19" s="926"/>
      <c r="H19" s="926"/>
      <c r="I19" s="926"/>
      <c r="J19" s="922" t="s">
        <v>300</v>
      </c>
      <c r="K19" s="922"/>
      <c r="L19" s="922"/>
      <c r="M19" s="922"/>
      <c r="N19" s="922"/>
      <c r="O19" s="922"/>
      <c r="P19" s="922"/>
      <c r="Q19" s="922"/>
      <c r="R19" s="922"/>
      <c r="S19" s="922"/>
      <c r="T19" s="922"/>
      <c r="U19" s="922"/>
      <c r="V19" s="922"/>
      <c r="W19" s="922"/>
      <c r="X19" s="922"/>
      <c r="Y19" s="922"/>
      <c r="Z19" s="922"/>
      <c r="AA19" s="922"/>
      <c r="AB19" s="922"/>
      <c r="AC19" s="922"/>
      <c r="AD19" s="932" t="s">
        <v>544</v>
      </c>
      <c r="AE19" s="933"/>
      <c r="AF19" s="933"/>
      <c r="AG19" s="933"/>
      <c r="AH19" s="933"/>
      <c r="AI19" s="933"/>
      <c r="AJ19" s="934"/>
      <c r="AK19" s="691"/>
    </row>
    <row r="20" spans="1:37" ht="13.7" customHeight="1">
      <c r="A20" s="694"/>
      <c r="B20" s="926"/>
      <c r="C20" s="926"/>
      <c r="D20" s="926"/>
      <c r="E20" s="926"/>
      <c r="F20" s="926"/>
      <c r="G20" s="926"/>
      <c r="H20" s="926"/>
      <c r="I20" s="926"/>
      <c r="J20" s="928"/>
      <c r="K20" s="928"/>
      <c r="L20" s="928"/>
      <c r="M20" s="928"/>
      <c r="N20" s="928"/>
      <c r="O20" s="928"/>
      <c r="P20" s="928"/>
      <c r="Q20" s="928"/>
      <c r="R20" s="928"/>
      <c r="S20" s="928"/>
      <c r="T20" s="928"/>
      <c r="U20" s="928"/>
      <c r="V20" s="928"/>
      <c r="W20" s="928"/>
      <c r="X20" s="928"/>
      <c r="Y20" s="928"/>
      <c r="Z20" s="928"/>
      <c r="AA20" s="928"/>
      <c r="AB20" s="928"/>
      <c r="AC20" s="928"/>
      <c r="AD20" s="929"/>
      <c r="AE20" s="930"/>
      <c r="AF20" s="930"/>
      <c r="AG20" s="930"/>
      <c r="AH20" s="930"/>
      <c r="AI20" s="930"/>
      <c r="AJ20" s="931"/>
      <c r="AK20" s="691"/>
    </row>
    <row r="21" spans="1:37" ht="13.7" customHeight="1">
      <c r="A21" s="694"/>
      <c r="B21" s="926"/>
      <c r="C21" s="926"/>
      <c r="D21" s="926"/>
      <c r="E21" s="926"/>
      <c r="F21" s="926"/>
      <c r="G21" s="926"/>
      <c r="H21" s="926"/>
      <c r="I21" s="926"/>
      <c r="J21" s="928"/>
      <c r="K21" s="928"/>
      <c r="L21" s="928"/>
      <c r="M21" s="928"/>
      <c r="N21" s="928"/>
      <c r="O21" s="928"/>
      <c r="P21" s="928"/>
      <c r="Q21" s="928"/>
      <c r="R21" s="928"/>
      <c r="S21" s="928"/>
      <c r="T21" s="928"/>
      <c r="U21" s="928"/>
      <c r="V21" s="928"/>
      <c r="W21" s="928"/>
      <c r="X21" s="928"/>
      <c r="Y21" s="928"/>
      <c r="Z21" s="928"/>
      <c r="AA21" s="928"/>
      <c r="AB21" s="928"/>
      <c r="AC21" s="928"/>
      <c r="AD21" s="929"/>
      <c r="AE21" s="930"/>
      <c r="AF21" s="930"/>
      <c r="AG21" s="930"/>
      <c r="AH21" s="930"/>
      <c r="AI21" s="930"/>
      <c r="AJ21" s="931"/>
    </row>
    <row r="22" spans="1:37">
      <c r="A22" s="923" t="s">
        <v>22</v>
      </c>
      <c r="B22" s="923"/>
      <c r="C22" s="923"/>
      <c r="D22" s="923"/>
      <c r="E22" s="923"/>
      <c r="F22" s="923"/>
      <c r="G22" s="923"/>
      <c r="H22" s="923"/>
      <c r="I22" s="923"/>
      <c r="J22" s="695"/>
      <c r="K22" s="696"/>
      <c r="L22" s="696"/>
      <c r="M22" s="696"/>
      <c r="N22" s="696"/>
      <c r="O22" s="696"/>
      <c r="P22" s="696"/>
      <c r="Q22" s="696"/>
      <c r="R22" s="696"/>
      <c r="S22" s="696"/>
      <c r="T22" s="697"/>
      <c r="U22" s="697"/>
      <c r="V22" s="697"/>
      <c r="W22" s="697"/>
      <c r="X22" s="697"/>
      <c r="Y22" s="697"/>
      <c r="Z22" s="697"/>
      <c r="AA22" s="697"/>
      <c r="AB22" s="697"/>
      <c r="AC22" s="697"/>
      <c r="AD22" s="697"/>
      <c r="AE22" s="697"/>
      <c r="AF22" s="697"/>
      <c r="AG22" s="697"/>
      <c r="AH22" s="697"/>
      <c r="AI22" s="697"/>
      <c r="AJ22" s="698"/>
    </row>
    <row r="23" spans="1:37">
      <c r="A23" s="699" t="s">
        <v>545</v>
      </c>
      <c r="B23" s="696"/>
      <c r="C23" s="700" t="s">
        <v>546</v>
      </c>
      <c r="D23" s="696"/>
      <c r="E23" s="696"/>
      <c r="F23" s="696"/>
      <c r="G23" s="696"/>
      <c r="H23" s="696"/>
      <c r="I23" s="696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691"/>
      <c r="U23" s="691"/>
      <c r="V23" s="691"/>
      <c r="W23" s="691"/>
      <c r="X23" s="691"/>
      <c r="Y23" s="691"/>
      <c r="Z23" s="691"/>
      <c r="AA23" s="691"/>
      <c r="AB23" s="691"/>
      <c r="AC23" s="691"/>
      <c r="AD23" s="691"/>
      <c r="AE23" s="691"/>
      <c r="AF23" s="691"/>
      <c r="AG23" s="691"/>
      <c r="AH23" s="691"/>
      <c r="AI23" s="691"/>
      <c r="AJ23" s="701"/>
    </row>
    <row r="24" spans="1:37">
      <c r="A24" s="702"/>
      <c r="B24" s="700"/>
      <c r="C24" s="700" t="s">
        <v>547</v>
      </c>
      <c r="D24" s="700"/>
      <c r="E24" s="700"/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691"/>
      <c r="U24" s="691"/>
      <c r="V24" s="691"/>
      <c r="W24" s="691"/>
      <c r="X24" s="691"/>
      <c r="Y24" s="691"/>
      <c r="Z24" s="691"/>
      <c r="AA24" s="691"/>
      <c r="AB24" s="691"/>
      <c r="AC24" s="691"/>
      <c r="AD24" s="691"/>
      <c r="AE24" s="691"/>
      <c r="AF24" s="691"/>
      <c r="AG24" s="691"/>
      <c r="AH24" s="691"/>
      <c r="AI24" s="691"/>
      <c r="AJ24" s="701"/>
    </row>
    <row r="25" spans="1:37">
      <c r="A25" s="702"/>
      <c r="B25" s="700"/>
      <c r="C25" s="700" t="s">
        <v>548</v>
      </c>
      <c r="D25" s="700"/>
      <c r="E25" s="700"/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691"/>
      <c r="U25" s="691"/>
      <c r="V25" s="691"/>
      <c r="W25" s="691"/>
      <c r="X25" s="691"/>
      <c r="Y25" s="691"/>
      <c r="Z25" s="691"/>
      <c r="AA25" s="691"/>
      <c r="AB25" s="691"/>
      <c r="AC25" s="691"/>
      <c r="AD25" s="691"/>
      <c r="AE25" s="691"/>
      <c r="AF25" s="691"/>
      <c r="AG25" s="691"/>
      <c r="AH25" s="691"/>
      <c r="AI25" s="691"/>
      <c r="AJ25" s="701"/>
    </row>
    <row r="26" spans="1:37">
      <c r="A26" s="702"/>
      <c r="B26" s="700"/>
      <c r="C26" s="700"/>
      <c r="D26" s="700"/>
      <c r="E26" s="700"/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691"/>
      <c r="U26" s="691"/>
      <c r="V26" s="691"/>
      <c r="W26" s="691"/>
      <c r="X26" s="691"/>
      <c r="Y26" s="691"/>
      <c r="Z26" s="691"/>
      <c r="AA26" s="691"/>
      <c r="AB26" s="691"/>
      <c r="AC26" s="691"/>
      <c r="AD26" s="691"/>
      <c r="AE26" s="691"/>
      <c r="AF26" s="691"/>
      <c r="AG26" s="691"/>
      <c r="AH26" s="691"/>
      <c r="AI26" s="691"/>
      <c r="AJ26" s="701"/>
    </row>
    <row r="27" spans="1:37">
      <c r="A27" s="703"/>
      <c r="B27" s="704"/>
      <c r="C27" s="704"/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5"/>
      <c r="U27" s="705"/>
      <c r="V27" s="705"/>
      <c r="W27" s="705"/>
      <c r="X27" s="705"/>
      <c r="Y27" s="705"/>
      <c r="Z27" s="705"/>
      <c r="AA27" s="705"/>
      <c r="AB27" s="705"/>
      <c r="AC27" s="705"/>
      <c r="AD27" s="705"/>
      <c r="AE27" s="705"/>
      <c r="AF27" s="705"/>
      <c r="AG27" s="705"/>
      <c r="AH27" s="705"/>
      <c r="AI27" s="705"/>
      <c r="AJ27" s="706"/>
    </row>
  </sheetData>
  <mergeCells count="48">
    <mergeCell ref="B21:I21"/>
    <mergeCell ref="J21:AC21"/>
    <mergeCell ref="AD21:AJ21"/>
    <mergeCell ref="A22:I22"/>
    <mergeCell ref="B19:I19"/>
    <mergeCell ref="J19:AC19"/>
    <mergeCell ref="AD19:AJ19"/>
    <mergeCell ref="B20:I20"/>
    <mergeCell ref="J20:AC20"/>
    <mergeCell ref="AD20:AJ20"/>
    <mergeCell ref="B17:I17"/>
    <mergeCell ref="J17:AC17"/>
    <mergeCell ref="AD17:AJ17"/>
    <mergeCell ref="B18:I18"/>
    <mergeCell ref="J18:AC18"/>
    <mergeCell ref="AD18:AJ18"/>
    <mergeCell ref="B15:I15"/>
    <mergeCell ref="J15:AC15"/>
    <mergeCell ref="AD15:AJ15"/>
    <mergeCell ref="B16:I16"/>
    <mergeCell ref="J16:AC16"/>
    <mergeCell ref="AD16:AJ16"/>
    <mergeCell ref="B13:I13"/>
    <mergeCell ref="J13:AC13"/>
    <mergeCell ref="AD13:AJ13"/>
    <mergeCell ref="B14:I14"/>
    <mergeCell ref="J14:AC14"/>
    <mergeCell ref="AD14:AJ14"/>
    <mergeCell ref="B11:I11"/>
    <mergeCell ref="J11:AC11"/>
    <mergeCell ref="AD11:AJ11"/>
    <mergeCell ref="B12:I12"/>
    <mergeCell ref="J12:AC12"/>
    <mergeCell ref="AD12:AJ12"/>
    <mergeCell ref="B9:I9"/>
    <mergeCell ref="J9:AC9"/>
    <mergeCell ref="AD9:AJ9"/>
    <mergeCell ref="B10:I10"/>
    <mergeCell ref="J10:AC10"/>
    <mergeCell ref="AD10:AJ10"/>
    <mergeCell ref="A1:M1"/>
    <mergeCell ref="A2:AJ4"/>
    <mergeCell ref="A5:I5"/>
    <mergeCell ref="J5:AJ5"/>
    <mergeCell ref="A6:I7"/>
    <mergeCell ref="J6:AC8"/>
    <mergeCell ref="AD6:AJ8"/>
    <mergeCell ref="B8:I8"/>
  </mergeCells>
  <phoneticPr fontId="57"/>
  <dataValidations count="1">
    <dataValidation type="list" allowBlank="1" showInputMessage="1" showErrorMessage="1" sqref="WVR982932:WVW982953 WLV982932:WMA982953 WBZ982932:WCE982953 VSD982932:VSI982953 VIH982932:VIM982953 UYL982932:UYQ982953 UOP982932:UOU982953 UET982932:UEY982953 TUX982932:TVC982953 TLB982932:TLG982953 TBF982932:TBK982953 SRJ982932:SRO982953 SHN982932:SHS982953 RXR982932:RXW982953 RNV982932:ROA982953 RDZ982932:REE982953 QUD982932:QUI982953 QKH982932:QKM982953 QAL982932:QAQ982953 PQP982932:PQU982953 PGT982932:PGY982953 OWX982932:OXC982953 ONB982932:ONG982953 ODF982932:ODK982953 NTJ982932:NTO982953 NJN982932:NJS982953 MZR982932:MZW982953 MPV982932:MQA982953 MFZ982932:MGE982953 LWD982932:LWI982953 LMH982932:LMM982953 LCL982932:LCQ982953 KSP982932:KSU982953 KIT982932:KIY982953 JYX982932:JZC982953 JPB982932:JPG982953 JFF982932:JFK982953 IVJ982932:IVO982953 ILN982932:ILS982953 IBR982932:IBW982953 HRV982932:HSA982953 HHZ982932:HIE982953 GYD982932:GYI982953 GOH982932:GOM982953 GEL982932:GEQ982953 FUP982932:FUU982953 FKT982932:FKY982953 FAX982932:FBC982953 ERB982932:ERG982953 EHF982932:EHK982953 DXJ982932:DXO982953 DNN982932:DNS982953 DDR982932:DDW982953 CTV982932:CUA982953 CJZ982932:CKE982953 CAD982932:CAI982953 BQH982932:BQM982953 BGL982932:BGQ982953 AWP982932:AWU982953 AMT982932:AMY982953 ACX982932:ADC982953 TB982932:TG982953 JF982932:JK982953 J982932:O982953 WVR917396:WVW917417 WLV917396:WMA917417 WBZ917396:WCE917417 VSD917396:VSI917417 VIH917396:VIM917417 UYL917396:UYQ917417 UOP917396:UOU917417 UET917396:UEY917417 TUX917396:TVC917417 TLB917396:TLG917417 TBF917396:TBK917417 SRJ917396:SRO917417 SHN917396:SHS917417 RXR917396:RXW917417 RNV917396:ROA917417 RDZ917396:REE917417 QUD917396:QUI917417 QKH917396:QKM917417 QAL917396:QAQ917417 PQP917396:PQU917417 PGT917396:PGY917417 OWX917396:OXC917417 ONB917396:ONG917417 ODF917396:ODK917417 NTJ917396:NTO917417 NJN917396:NJS917417 MZR917396:MZW917417 MPV917396:MQA917417 MFZ917396:MGE917417 LWD917396:LWI917417 LMH917396:LMM917417 LCL917396:LCQ917417 KSP917396:KSU917417 KIT917396:KIY917417 JYX917396:JZC917417 JPB917396:JPG917417 JFF917396:JFK917417 IVJ917396:IVO917417 ILN917396:ILS917417 IBR917396:IBW917417 HRV917396:HSA917417 HHZ917396:HIE917417 GYD917396:GYI917417 GOH917396:GOM917417 GEL917396:GEQ917417 FUP917396:FUU917417 FKT917396:FKY917417 FAX917396:FBC917417 ERB917396:ERG917417 EHF917396:EHK917417 DXJ917396:DXO917417 DNN917396:DNS917417 DDR917396:DDW917417 CTV917396:CUA917417 CJZ917396:CKE917417 CAD917396:CAI917417 BQH917396:BQM917417 BGL917396:BGQ917417 AWP917396:AWU917417 AMT917396:AMY917417 ACX917396:ADC917417 TB917396:TG917417 JF917396:JK917417 J917396:O917417 WVR851860:WVW851881 WLV851860:WMA851881 WBZ851860:WCE851881 VSD851860:VSI851881 VIH851860:VIM851881 UYL851860:UYQ851881 UOP851860:UOU851881 UET851860:UEY851881 TUX851860:TVC851881 TLB851860:TLG851881 TBF851860:TBK851881 SRJ851860:SRO851881 SHN851860:SHS851881 RXR851860:RXW851881 RNV851860:ROA851881 RDZ851860:REE851881 QUD851860:QUI851881 QKH851860:QKM851881 QAL851860:QAQ851881 PQP851860:PQU851881 PGT851860:PGY851881 OWX851860:OXC851881 ONB851860:ONG851881 ODF851860:ODK851881 NTJ851860:NTO851881 NJN851860:NJS851881 MZR851860:MZW851881 MPV851860:MQA851881 MFZ851860:MGE851881 LWD851860:LWI851881 LMH851860:LMM851881 LCL851860:LCQ851881 KSP851860:KSU851881 KIT851860:KIY851881 JYX851860:JZC851881 JPB851860:JPG851881 JFF851860:JFK851881 IVJ851860:IVO851881 ILN851860:ILS851881 IBR851860:IBW851881 HRV851860:HSA851881 HHZ851860:HIE851881 GYD851860:GYI851881 GOH851860:GOM851881 GEL851860:GEQ851881 FUP851860:FUU851881 FKT851860:FKY851881 FAX851860:FBC851881 ERB851860:ERG851881 EHF851860:EHK851881 DXJ851860:DXO851881 DNN851860:DNS851881 DDR851860:DDW851881 CTV851860:CUA851881 CJZ851860:CKE851881 CAD851860:CAI851881 BQH851860:BQM851881 BGL851860:BGQ851881 AWP851860:AWU851881 AMT851860:AMY851881 ACX851860:ADC851881 TB851860:TG851881 JF851860:JK851881 J851860:O851881 WVR786324:WVW786345 WLV786324:WMA786345 WBZ786324:WCE786345 VSD786324:VSI786345 VIH786324:VIM786345 UYL786324:UYQ786345 UOP786324:UOU786345 UET786324:UEY786345 TUX786324:TVC786345 TLB786324:TLG786345 TBF786324:TBK786345 SRJ786324:SRO786345 SHN786324:SHS786345 RXR786324:RXW786345 RNV786324:ROA786345 RDZ786324:REE786345 QUD786324:QUI786345 QKH786324:QKM786345 QAL786324:QAQ786345 PQP786324:PQU786345 PGT786324:PGY786345 OWX786324:OXC786345 ONB786324:ONG786345 ODF786324:ODK786345 NTJ786324:NTO786345 NJN786324:NJS786345 MZR786324:MZW786345 MPV786324:MQA786345 MFZ786324:MGE786345 LWD786324:LWI786345 LMH786324:LMM786345 LCL786324:LCQ786345 KSP786324:KSU786345 KIT786324:KIY786345 JYX786324:JZC786345 JPB786324:JPG786345 JFF786324:JFK786345 IVJ786324:IVO786345 ILN786324:ILS786345 IBR786324:IBW786345 HRV786324:HSA786345 HHZ786324:HIE786345 GYD786324:GYI786345 GOH786324:GOM786345 GEL786324:GEQ786345 FUP786324:FUU786345 FKT786324:FKY786345 FAX786324:FBC786345 ERB786324:ERG786345 EHF786324:EHK786345 DXJ786324:DXO786345 DNN786324:DNS786345 DDR786324:DDW786345 CTV786324:CUA786345 CJZ786324:CKE786345 CAD786324:CAI786345 BQH786324:BQM786345 BGL786324:BGQ786345 AWP786324:AWU786345 AMT786324:AMY786345 ACX786324:ADC786345 TB786324:TG786345 JF786324:JK786345 J786324:O786345 WVR720788:WVW720809 WLV720788:WMA720809 WBZ720788:WCE720809 VSD720788:VSI720809 VIH720788:VIM720809 UYL720788:UYQ720809 UOP720788:UOU720809 UET720788:UEY720809 TUX720788:TVC720809 TLB720788:TLG720809 TBF720788:TBK720809 SRJ720788:SRO720809 SHN720788:SHS720809 RXR720788:RXW720809 RNV720788:ROA720809 RDZ720788:REE720809 QUD720788:QUI720809 QKH720788:QKM720809 QAL720788:QAQ720809 PQP720788:PQU720809 PGT720788:PGY720809 OWX720788:OXC720809 ONB720788:ONG720809 ODF720788:ODK720809 NTJ720788:NTO720809 NJN720788:NJS720809 MZR720788:MZW720809 MPV720788:MQA720809 MFZ720788:MGE720809 LWD720788:LWI720809 LMH720788:LMM720809 LCL720788:LCQ720809 KSP720788:KSU720809 KIT720788:KIY720809 JYX720788:JZC720809 JPB720788:JPG720809 JFF720788:JFK720809 IVJ720788:IVO720809 ILN720788:ILS720809 IBR720788:IBW720809 HRV720788:HSA720809 HHZ720788:HIE720809 GYD720788:GYI720809 GOH720788:GOM720809 GEL720788:GEQ720809 FUP720788:FUU720809 FKT720788:FKY720809 FAX720788:FBC720809 ERB720788:ERG720809 EHF720788:EHK720809 DXJ720788:DXO720809 DNN720788:DNS720809 DDR720788:DDW720809 CTV720788:CUA720809 CJZ720788:CKE720809 CAD720788:CAI720809 BQH720788:BQM720809 BGL720788:BGQ720809 AWP720788:AWU720809 AMT720788:AMY720809 ACX720788:ADC720809 TB720788:TG720809 JF720788:JK720809 J720788:O720809 WVR655252:WVW655273 WLV655252:WMA655273 WBZ655252:WCE655273 VSD655252:VSI655273 VIH655252:VIM655273 UYL655252:UYQ655273 UOP655252:UOU655273 UET655252:UEY655273 TUX655252:TVC655273 TLB655252:TLG655273 TBF655252:TBK655273 SRJ655252:SRO655273 SHN655252:SHS655273 RXR655252:RXW655273 RNV655252:ROA655273 RDZ655252:REE655273 QUD655252:QUI655273 QKH655252:QKM655273 QAL655252:QAQ655273 PQP655252:PQU655273 PGT655252:PGY655273 OWX655252:OXC655273 ONB655252:ONG655273 ODF655252:ODK655273 NTJ655252:NTO655273 NJN655252:NJS655273 MZR655252:MZW655273 MPV655252:MQA655273 MFZ655252:MGE655273 LWD655252:LWI655273 LMH655252:LMM655273 LCL655252:LCQ655273 KSP655252:KSU655273 KIT655252:KIY655273 JYX655252:JZC655273 JPB655252:JPG655273 JFF655252:JFK655273 IVJ655252:IVO655273 ILN655252:ILS655273 IBR655252:IBW655273 HRV655252:HSA655273 HHZ655252:HIE655273 GYD655252:GYI655273 GOH655252:GOM655273 GEL655252:GEQ655273 FUP655252:FUU655273 FKT655252:FKY655273 FAX655252:FBC655273 ERB655252:ERG655273 EHF655252:EHK655273 DXJ655252:DXO655273 DNN655252:DNS655273 DDR655252:DDW655273 CTV655252:CUA655273 CJZ655252:CKE655273 CAD655252:CAI655273 BQH655252:BQM655273 BGL655252:BGQ655273 AWP655252:AWU655273 AMT655252:AMY655273 ACX655252:ADC655273 TB655252:TG655273 JF655252:JK655273 J655252:O655273 WVR589716:WVW589737 WLV589716:WMA589737 WBZ589716:WCE589737 VSD589716:VSI589737 VIH589716:VIM589737 UYL589716:UYQ589737 UOP589716:UOU589737 UET589716:UEY589737 TUX589716:TVC589737 TLB589716:TLG589737 TBF589716:TBK589737 SRJ589716:SRO589737 SHN589716:SHS589737 RXR589716:RXW589737 RNV589716:ROA589737 RDZ589716:REE589737 QUD589716:QUI589737 QKH589716:QKM589737 QAL589716:QAQ589737 PQP589716:PQU589737 PGT589716:PGY589737 OWX589716:OXC589737 ONB589716:ONG589737 ODF589716:ODK589737 NTJ589716:NTO589737 NJN589716:NJS589737 MZR589716:MZW589737 MPV589716:MQA589737 MFZ589716:MGE589737 LWD589716:LWI589737 LMH589716:LMM589737 LCL589716:LCQ589737 KSP589716:KSU589737 KIT589716:KIY589737 JYX589716:JZC589737 JPB589716:JPG589737 JFF589716:JFK589737 IVJ589716:IVO589737 ILN589716:ILS589737 IBR589716:IBW589737 HRV589716:HSA589737 HHZ589716:HIE589737 GYD589716:GYI589737 GOH589716:GOM589737 GEL589716:GEQ589737 FUP589716:FUU589737 FKT589716:FKY589737 FAX589716:FBC589737 ERB589716:ERG589737 EHF589716:EHK589737 DXJ589716:DXO589737 DNN589716:DNS589737 DDR589716:DDW589737 CTV589716:CUA589737 CJZ589716:CKE589737 CAD589716:CAI589737 BQH589716:BQM589737 BGL589716:BGQ589737 AWP589716:AWU589737 AMT589716:AMY589737 ACX589716:ADC589737 TB589716:TG589737 JF589716:JK589737 J589716:O589737 WVR524180:WVW524201 WLV524180:WMA524201 WBZ524180:WCE524201 VSD524180:VSI524201 VIH524180:VIM524201 UYL524180:UYQ524201 UOP524180:UOU524201 UET524180:UEY524201 TUX524180:TVC524201 TLB524180:TLG524201 TBF524180:TBK524201 SRJ524180:SRO524201 SHN524180:SHS524201 RXR524180:RXW524201 RNV524180:ROA524201 RDZ524180:REE524201 QUD524180:QUI524201 QKH524180:QKM524201 QAL524180:QAQ524201 PQP524180:PQU524201 PGT524180:PGY524201 OWX524180:OXC524201 ONB524180:ONG524201 ODF524180:ODK524201 NTJ524180:NTO524201 NJN524180:NJS524201 MZR524180:MZW524201 MPV524180:MQA524201 MFZ524180:MGE524201 LWD524180:LWI524201 LMH524180:LMM524201 LCL524180:LCQ524201 KSP524180:KSU524201 KIT524180:KIY524201 JYX524180:JZC524201 JPB524180:JPG524201 JFF524180:JFK524201 IVJ524180:IVO524201 ILN524180:ILS524201 IBR524180:IBW524201 HRV524180:HSA524201 HHZ524180:HIE524201 GYD524180:GYI524201 GOH524180:GOM524201 GEL524180:GEQ524201 FUP524180:FUU524201 FKT524180:FKY524201 FAX524180:FBC524201 ERB524180:ERG524201 EHF524180:EHK524201 DXJ524180:DXO524201 DNN524180:DNS524201 DDR524180:DDW524201 CTV524180:CUA524201 CJZ524180:CKE524201 CAD524180:CAI524201 BQH524180:BQM524201 BGL524180:BGQ524201 AWP524180:AWU524201 AMT524180:AMY524201 ACX524180:ADC524201 TB524180:TG524201 JF524180:JK524201 J524180:O524201 WVR458644:WVW458665 WLV458644:WMA458665 WBZ458644:WCE458665 VSD458644:VSI458665 VIH458644:VIM458665 UYL458644:UYQ458665 UOP458644:UOU458665 UET458644:UEY458665 TUX458644:TVC458665 TLB458644:TLG458665 TBF458644:TBK458665 SRJ458644:SRO458665 SHN458644:SHS458665 RXR458644:RXW458665 RNV458644:ROA458665 RDZ458644:REE458665 QUD458644:QUI458665 QKH458644:QKM458665 QAL458644:QAQ458665 PQP458644:PQU458665 PGT458644:PGY458665 OWX458644:OXC458665 ONB458644:ONG458665 ODF458644:ODK458665 NTJ458644:NTO458665 NJN458644:NJS458665 MZR458644:MZW458665 MPV458644:MQA458665 MFZ458644:MGE458665 LWD458644:LWI458665 LMH458644:LMM458665 LCL458644:LCQ458665 KSP458644:KSU458665 KIT458644:KIY458665 JYX458644:JZC458665 JPB458644:JPG458665 JFF458644:JFK458665 IVJ458644:IVO458665 ILN458644:ILS458665 IBR458644:IBW458665 HRV458644:HSA458665 HHZ458644:HIE458665 GYD458644:GYI458665 GOH458644:GOM458665 GEL458644:GEQ458665 FUP458644:FUU458665 FKT458644:FKY458665 FAX458644:FBC458665 ERB458644:ERG458665 EHF458644:EHK458665 DXJ458644:DXO458665 DNN458644:DNS458665 DDR458644:DDW458665 CTV458644:CUA458665 CJZ458644:CKE458665 CAD458644:CAI458665 BQH458644:BQM458665 BGL458644:BGQ458665 AWP458644:AWU458665 AMT458644:AMY458665 ACX458644:ADC458665 TB458644:TG458665 JF458644:JK458665 J458644:O458665 WVR393108:WVW393129 WLV393108:WMA393129 WBZ393108:WCE393129 VSD393108:VSI393129 VIH393108:VIM393129 UYL393108:UYQ393129 UOP393108:UOU393129 UET393108:UEY393129 TUX393108:TVC393129 TLB393108:TLG393129 TBF393108:TBK393129 SRJ393108:SRO393129 SHN393108:SHS393129 RXR393108:RXW393129 RNV393108:ROA393129 RDZ393108:REE393129 QUD393108:QUI393129 QKH393108:QKM393129 QAL393108:QAQ393129 PQP393108:PQU393129 PGT393108:PGY393129 OWX393108:OXC393129 ONB393108:ONG393129 ODF393108:ODK393129 NTJ393108:NTO393129 NJN393108:NJS393129 MZR393108:MZW393129 MPV393108:MQA393129 MFZ393108:MGE393129 LWD393108:LWI393129 LMH393108:LMM393129 LCL393108:LCQ393129 KSP393108:KSU393129 KIT393108:KIY393129 JYX393108:JZC393129 JPB393108:JPG393129 JFF393108:JFK393129 IVJ393108:IVO393129 ILN393108:ILS393129 IBR393108:IBW393129 HRV393108:HSA393129 HHZ393108:HIE393129 GYD393108:GYI393129 GOH393108:GOM393129 GEL393108:GEQ393129 FUP393108:FUU393129 FKT393108:FKY393129 FAX393108:FBC393129 ERB393108:ERG393129 EHF393108:EHK393129 DXJ393108:DXO393129 DNN393108:DNS393129 DDR393108:DDW393129 CTV393108:CUA393129 CJZ393108:CKE393129 CAD393108:CAI393129 BQH393108:BQM393129 BGL393108:BGQ393129 AWP393108:AWU393129 AMT393108:AMY393129 ACX393108:ADC393129 TB393108:TG393129 JF393108:JK393129 J393108:O393129 WVR327572:WVW327593 WLV327572:WMA327593 WBZ327572:WCE327593 VSD327572:VSI327593 VIH327572:VIM327593 UYL327572:UYQ327593 UOP327572:UOU327593 UET327572:UEY327593 TUX327572:TVC327593 TLB327572:TLG327593 TBF327572:TBK327593 SRJ327572:SRO327593 SHN327572:SHS327593 RXR327572:RXW327593 RNV327572:ROA327593 RDZ327572:REE327593 QUD327572:QUI327593 QKH327572:QKM327593 QAL327572:QAQ327593 PQP327572:PQU327593 PGT327572:PGY327593 OWX327572:OXC327593 ONB327572:ONG327593 ODF327572:ODK327593 NTJ327572:NTO327593 NJN327572:NJS327593 MZR327572:MZW327593 MPV327572:MQA327593 MFZ327572:MGE327593 LWD327572:LWI327593 LMH327572:LMM327593 LCL327572:LCQ327593 KSP327572:KSU327593 KIT327572:KIY327593 JYX327572:JZC327593 JPB327572:JPG327593 JFF327572:JFK327593 IVJ327572:IVO327593 ILN327572:ILS327593 IBR327572:IBW327593 HRV327572:HSA327593 HHZ327572:HIE327593 GYD327572:GYI327593 GOH327572:GOM327593 GEL327572:GEQ327593 FUP327572:FUU327593 FKT327572:FKY327593 FAX327572:FBC327593 ERB327572:ERG327593 EHF327572:EHK327593 DXJ327572:DXO327593 DNN327572:DNS327593 DDR327572:DDW327593 CTV327572:CUA327593 CJZ327572:CKE327593 CAD327572:CAI327593 BQH327572:BQM327593 BGL327572:BGQ327593 AWP327572:AWU327593 AMT327572:AMY327593 ACX327572:ADC327593 TB327572:TG327593 JF327572:JK327593 J327572:O327593 WVR262036:WVW262057 WLV262036:WMA262057 WBZ262036:WCE262057 VSD262036:VSI262057 VIH262036:VIM262057 UYL262036:UYQ262057 UOP262036:UOU262057 UET262036:UEY262057 TUX262036:TVC262057 TLB262036:TLG262057 TBF262036:TBK262057 SRJ262036:SRO262057 SHN262036:SHS262057 RXR262036:RXW262057 RNV262036:ROA262057 RDZ262036:REE262057 QUD262036:QUI262057 QKH262036:QKM262057 QAL262036:QAQ262057 PQP262036:PQU262057 PGT262036:PGY262057 OWX262036:OXC262057 ONB262036:ONG262057 ODF262036:ODK262057 NTJ262036:NTO262057 NJN262036:NJS262057 MZR262036:MZW262057 MPV262036:MQA262057 MFZ262036:MGE262057 LWD262036:LWI262057 LMH262036:LMM262057 LCL262036:LCQ262057 KSP262036:KSU262057 KIT262036:KIY262057 JYX262036:JZC262057 JPB262036:JPG262057 JFF262036:JFK262057 IVJ262036:IVO262057 ILN262036:ILS262057 IBR262036:IBW262057 HRV262036:HSA262057 HHZ262036:HIE262057 GYD262036:GYI262057 GOH262036:GOM262057 GEL262036:GEQ262057 FUP262036:FUU262057 FKT262036:FKY262057 FAX262036:FBC262057 ERB262036:ERG262057 EHF262036:EHK262057 DXJ262036:DXO262057 DNN262036:DNS262057 DDR262036:DDW262057 CTV262036:CUA262057 CJZ262036:CKE262057 CAD262036:CAI262057 BQH262036:BQM262057 BGL262036:BGQ262057 AWP262036:AWU262057 AMT262036:AMY262057 ACX262036:ADC262057 TB262036:TG262057 JF262036:JK262057 J262036:O262057 WVR196500:WVW196521 WLV196500:WMA196521 WBZ196500:WCE196521 VSD196500:VSI196521 VIH196500:VIM196521 UYL196500:UYQ196521 UOP196500:UOU196521 UET196500:UEY196521 TUX196500:TVC196521 TLB196500:TLG196521 TBF196500:TBK196521 SRJ196500:SRO196521 SHN196500:SHS196521 RXR196500:RXW196521 RNV196500:ROA196521 RDZ196500:REE196521 QUD196500:QUI196521 QKH196500:QKM196521 QAL196500:QAQ196521 PQP196500:PQU196521 PGT196500:PGY196521 OWX196500:OXC196521 ONB196500:ONG196521 ODF196500:ODK196521 NTJ196500:NTO196521 NJN196500:NJS196521 MZR196500:MZW196521 MPV196500:MQA196521 MFZ196500:MGE196521 LWD196500:LWI196521 LMH196500:LMM196521 LCL196500:LCQ196521 KSP196500:KSU196521 KIT196500:KIY196521 JYX196500:JZC196521 JPB196500:JPG196521 JFF196500:JFK196521 IVJ196500:IVO196521 ILN196500:ILS196521 IBR196500:IBW196521 HRV196500:HSA196521 HHZ196500:HIE196521 GYD196500:GYI196521 GOH196500:GOM196521 GEL196500:GEQ196521 FUP196500:FUU196521 FKT196500:FKY196521 FAX196500:FBC196521 ERB196500:ERG196521 EHF196500:EHK196521 DXJ196500:DXO196521 DNN196500:DNS196521 DDR196500:DDW196521 CTV196500:CUA196521 CJZ196500:CKE196521 CAD196500:CAI196521 BQH196500:BQM196521 BGL196500:BGQ196521 AWP196500:AWU196521 AMT196500:AMY196521 ACX196500:ADC196521 TB196500:TG196521 JF196500:JK196521 J196500:O196521 WVR130964:WVW130985 WLV130964:WMA130985 WBZ130964:WCE130985 VSD130964:VSI130985 VIH130964:VIM130985 UYL130964:UYQ130985 UOP130964:UOU130985 UET130964:UEY130985 TUX130964:TVC130985 TLB130964:TLG130985 TBF130964:TBK130985 SRJ130964:SRO130985 SHN130964:SHS130985 RXR130964:RXW130985 RNV130964:ROA130985 RDZ130964:REE130985 QUD130964:QUI130985 QKH130964:QKM130985 QAL130964:QAQ130985 PQP130964:PQU130985 PGT130964:PGY130985 OWX130964:OXC130985 ONB130964:ONG130985 ODF130964:ODK130985 NTJ130964:NTO130985 NJN130964:NJS130985 MZR130964:MZW130985 MPV130964:MQA130985 MFZ130964:MGE130985 LWD130964:LWI130985 LMH130964:LMM130985 LCL130964:LCQ130985 KSP130964:KSU130985 KIT130964:KIY130985 JYX130964:JZC130985 JPB130964:JPG130985 JFF130964:JFK130985 IVJ130964:IVO130985 ILN130964:ILS130985 IBR130964:IBW130985 HRV130964:HSA130985 HHZ130964:HIE130985 GYD130964:GYI130985 GOH130964:GOM130985 GEL130964:GEQ130985 FUP130964:FUU130985 FKT130964:FKY130985 FAX130964:FBC130985 ERB130964:ERG130985 EHF130964:EHK130985 DXJ130964:DXO130985 DNN130964:DNS130985 DDR130964:DDW130985 CTV130964:CUA130985 CJZ130964:CKE130985 CAD130964:CAI130985 BQH130964:BQM130985 BGL130964:BGQ130985 AWP130964:AWU130985 AMT130964:AMY130985 ACX130964:ADC130985 TB130964:TG130985 JF130964:JK130985 J130964:O130985 WVR65428:WVW65449 WLV65428:WMA65449 WBZ65428:WCE65449 VSD65428:VSI65449 VIH65428:VIM65449 UYL65428:UYQ65449 UOP65428:UOU65449 UET65428:UEY65449 TUX65428:TVC65449 TLB65428:TLG65449 TBF65428:TBK65449 SRJ65428:SRO65449 SHN65428:SHS65449 RXR65428:RXW65449 RNV65428:ROA65449 RDZ65428:REE65449 QUD65428:QUI65449 QKH65428:QKM65449 QAL65428:QAQ65449 PQP65428:PQU65449 PGT65428:PGY65449 OWX65428:OXC65449 ONB65428:ONG65449 ODF65428:ODK65449 NTJ65428:NTO65449 NJN65428:NJS65449 MZR65428:MZW65449 MPV65428:MQA65449 MFZ65428:MGE65449 LWD65428:LWI65449 LMH65428:LMM65449 LCL65428:LCQ65449 KSP65428:KSU65449 KIT65428:KIY65449 JYX65428:JZC65449 JPB65428:JPG65449 JFF65428:JFK65449 IVJ65428:IVO65449 ILN65428:ILS65449 IBR65428:IBW65449 HRV65428:HSA65449 HHZ65428:HIE65449 GYD65428:GYI65449 GOH65428:GOM65449 GEL65428:GEQ65449 FUP65428:FUU65449 FKT65428:FKY65449 FAX65428:FBC65449 ERB65428:ERG65449 EHF65428:EHK65449 DXJ65428:DXO65449 DNN65428:DNS65449 DDR65428:DDW65449 CTV65428:CUA65449 CJZ65428:CKE65449 CAD65428:CAI65449 BQH65428:BQM65449 BGL65428:BGQ65449 AWP65428:AWU65449 AMT65428:AMY65449 ACX65428:ADC65449 TB65428:TG65449 JF65428:JK65449 J65428:O65449 WWF982932:WWM982953 WMJ982932:WMQ982953 WCN982932:WCU982953 VSR982932:VSY982953 VIV982932:VJC982953 UYZ982932:UZG982953 UPD982932:UPK982953 UFH982932:UFO982953 TVL982932:TVS982953 TLP982932:TLW982953 TBT982932:TCA982953 SRX982932:SSE982953 SIB982932:SII982953 RYF982932:RYM982953 ROJ982932:ROQ982953 REN982932:REU982953 QUR982932:QUY982953 QKV982932:QLC982953 QAZ982932:QBG982953 PRD982932:PRK982953 PHH982932:PHO982953 OXL982932:OXS982953 ONP982932:ONW982953 ODT982932:OEA982953 NTX982932:NUE982953 NKB982932:NKI982953 NAF982932:NAM982953 MQJ982932:MQQ982953 MGN982932:MGU982953 LWR982932:LWY982953 LMV982932:LNC982953 LCZ982932:LDG982953 KTD982932:KTK982953 KJH982932:KJO982953 JZL982932:JZS982953 JPP982932:JPW982953 JFT982932:JGA982953 IVX982932:IWE982953 IMB982932:IMI982953 ICF982932:ICM982953 HSJ982932:HSQ982953 HIN982932:HIU982953 GYR982932:GYY982953 GOV982932:GPC982953 GEZ982932:GFG982953 FVD982932:FVK982953 FLH982932:FLO982953 FBL982932:FBS982953 ERP982932:ERW982953 EHT982932:EIA982953 DXX982932:DYE982953 DOB982932:DOI982953 DEF982932:DEM982953 CUJ982932:CUQ982953 CKN982932:CKU982953 CAR982932:CAY982953 BQV982932:BRC982953 BGZ982932:BHG982953 AXD982932:AXK982953 ANH982932:ANO982953 ADL982932:ADS982953 TP982932:TW982953 JT982932:KA982953 X982932:AE982953 WWF917396:WWM917417 WMJ917396:WMQ917417 WCN917396:WCU917417 VSR917396:VSY917417 VIV917396:VJC917417 UYZ917396:UZG917417 UPD917396:UPK917417 UFH917396:UFO917417 TVL917396:TVS917417 TLP917396:TLW917417 TBT917396:TCA917417 SRX917396:SSE917417 SIB917396:SII917417 RYF917396:RYM917417 ROJ917396:ROQ917417 REN917396:REU917417 QUR917396:QUY917417 QKV917396:QLC917417 QAZ917396:QBG917417 PRD917396:PRK917417 PHH917396:PHO917417 OXL917396:OXS917417 ONP917396:ONW917417 ODT917396:OEA917417 NTX917396:NUE917417 NKB917396:NKI917417 NAF917396:NAM917417 MQJ917396:MQQ917417 MGN917396:MGU917417 LWR917396:LWY917417 LMV917396:LNC917417 LCZ917396:LDG917417 KTD917396:KTK917417 KJH917396:KJO917417 JZL917396:JZS917417 JPP917396:JPW917417 JFT917396:JGA917417 IVX917396:IWE917417 IMB917396:IMI917417 ICF917396:ICM917417 HSJ917396:HSQ917417 HIN917396:HIU917417 GYR917396:GYY917417 GOV917396:GPC917417 GEZ917396:GFG917417 FVD917396:FVK917417 FLH917396:FLO917417 FBL917396:FBS917417 ERP917396:ERW917417 EHT917396:EIA917417 DXX917396:DYE917417 DOB917396:DOI917417 DEF917396:DEM917417 CUJ917396:CUQ917417 CKN917396:CKU917417 CAR917396:CAY917417 BQV917396:BRC917417 BGZ917396:BHG917417 AXD917396:AXK917417 ANH917396:ANO917417 ADL917396:ADS917417 TP917396:TW917417 JT917396:KA917417 X917396:AE917417 WWF851860:WWM851881 WMJ851860:WMQ851881 WCN851860:WCU851881 VSR851860:VSY851881 VIV851860:VJC851881 UYZ851860:UZG851881 UPD851860:UPK851881 UFH851860:UFO851881 TVL851860:TVS851881 TLP851860:TLW851881 TBT851860:TCA851881 SRX851860:SSE851881 SIB851860:SII851881 RYF851860:RYM851881 ROJ851860:ROQ851881 REN851860:REU851881 QUR851860:QUY851881 QKV851860:QLC851881 QAZ851860:QBG851881 PRD851860:PRK851881 PHH851860:PHO851881 OXL851860:OXS851881 ONP851860:ONW851881 ODT851860:OEA851881 NTX851860:NUE851881 NKB851860:NKI851881 NAF851860:NAM851881 MQJ851860:MQQ851881 MGN851860:MGU851881 LWR851860:LWY851881 LMV851860:LNC851881 LCZ851860:LDG851881 KTD851860:KTK851881 KJH851860:KJO851881 JZL851860:JZS851881 JPP851860:JPW851881 JFT851860:JGA851881 IVX851860:IWE851881 IMB851860:IMI851881 ICF851860:ICM851881 HSJ851860:HSQ851881 HIN851860:HIU851881 GYR851860:GYY851881 GOV851860:GPC851881 GEZ851860:GFG851881 FVD851860:FVK851881 FLH851860:FLO851881 FBL851860:FBS851881 ERP851860:ERW851881 EHT851860:EIA851881 DXX851860:DYE851881 DOB851860:DOI851881 DEF851860:DEM851881 CUJ851860:CUQ851881 CKN851860:CKU851881 CAR851860:CAY851881 BQV851860:BRC851881 BGZ851860:BHG851881 AXD851860:AXK851881 ANH851860:ANO851881 ADL851860:ADS851881 TP851860:TW851881 JT851860:KA851881 X851860:AE851881 WWF786324:WWM786345 WMJ786324:WMQ786345 WCN786324:WCU786345 VSR786324:VSY786345 VIV786324:VJC786345 UYZ786324:UZG786345 UPD786324:UPK786345 UFH786324:UFO786345 TVL786324:TVS786345 TLP786324:TLW786345 TBT786324:TCA786345 SRX786324:SSE786345 SIB786324:SII786345 RYF786324:RYM786345 ROJ786324:ROQ786345 REN786324:REU786345 QUR786324:QUY786345 QKV786324:QLC786345 QAZ786324:QBG786345 PRD786324:PRK786345 PHH786324:PHO786345 OXL786324:OXS786345 ONP786324:ONW786345 ODT786324:OEA786345 NTX786324:NUE786345 NKB786324:NKI786345 NAF786324:NAM786345 MQJ786324:MQQ786345 MGN786324:MGU786345 LWR786324:LWY786345 LMV786324:LNC786345 LCZ786324:LDG786345 KTD786324:KTK786345 KJH786324:KJO786345 JZL786324:JZS786345 JPP786324:JPW786345 JFT786324:JGA786345 IVX786324:IWE786345 IMB786324:IMI786345 ICF786324:ICM786345 HSJ786324:HSQ786345 HIN786324:HIU786345 GYR786324:GYY786345 GOV786324:GPC786345 GEZ786324:GFG786345 FVD786324:FVK786345 FLH786324:FLO786345 FBL786324:FBS786345 ERP786324:ERW786345 EHT786324:EIA786345 DXX786324:DYE786345 DOB786324:DOI786345 DEF786324:DEM786345 CUJ786324:CUQ786345 CKN786324:CKU786345 CAR786324:CAY786345 BQV786324:BRC786345 BGZ786324:BHG786345 AXD786324:AXK786345 ANH786324:ANO786345 ADL786324:ADS786345 TP786324:TW786345 JT786324:KA786345 X786324:AE786345 WWF720788:WWM720809 WMJ720788:WMQ720809 WCN720788:WCU720809 VSR720788:VSY720809 VIV720788:VJC720809 UYZ720788:UZG720809 UPD720788:UPK720809 UFH720788:UFO720809 TVL720788:TVS720809 TLP720788:TLW720809 TBT720788:TCA720809 SRX720788:SSE720809 SIB720788:SII720809 RYF720788:RYM720809 ROJ720788:ROQ720809 REN720788:REU720809 QUR720788:QUY720809 QKV720788:QLC720809 QAZ720788:QBG720809 PRD720788:PRK720809 PHH720788:PHO720809 OXL720788:OXS720809 ONP720788:ONW720809 ODT720788:OEA720809 NTX720788:NUE720809 NKB720788:NKI720809 NAF720788:NAM720809 MQJ720788:MQQ720809 MGN720788:MGU720809 LWR720788:LWY720809 LMV720788:LNC720809 LCZ720788:LDG720809 KTD720788:KTK720809 KJH720788:KJO720809 JZL720788:JZS720809 JPP720788:JPW720809 JFT720788:JGA720809 IVX720788:IWE720809 IMB720788:IMI720809 ICF720788:ICM720809 HSJ720788:HSQ720809 HIN720788:HIU720809 GYR720788:GYY720809 GOV720788:GPC720809 GEZ720788:GFG720809 FVD720788:FVK720809 FLH720788:FLO720809 FBL720788:FBS720809 ERP720788:ERW720809 EHT720788:EIA720809 DXX720788:DYE720809 DOB720788:DOI720809 DEF720788:DEM720809 CUJ720788:CUQ720809 CKN720788:CKU720809 CAR720788:CAY720809 BQV720788:BRC720809 BGZ720788:BHG720809 AXD720788:AXK720809 ANH720788:ANO720809 ADL720788:ADS720809 TP720788:TW720809 JT720788:KA720809 X720788:AE720809 WWF655252:WWM655273 WMJ655252:WMQ655273 WCN655252:WCU655273 VSR655252:VSY655273 VIV655252:VJC655273 UYZ655252:UZG655273 UPD655252:UPK655273 UFH655252:UFO655273 TVL655252:TVS655273 TLP655252:TLW655273 TBT655252:TCA655273 SRX655252:SSE655273 SIB655252:SII655273 RYF655252:RYM655273 ROJ655252:ROQ655273 REN655252:REU655273 QUR655252:QUY655273 QKV655252:QLC655273 QAZ655252:QBG655273 PRD655252:PRK655273 PHH655252:PHO655273 OXL655252:OXS655273 ONP655252:ONW655273 ODT655252:OEA655273 NTX655252:NUE655273 NKB655252:NKI655273 NAF655252:NAM655273 MQJ655252:MQQ655273 MGN655252:MGU655273 LWR655252:LWY655273 LMV655252:LNC655273 LCZ655252:LDG655273 KTD655252:KTK655273 KJH655252:KJO655273 JZL655252:JZS655273 JPP655252:JPW655273 JFT655252:JGA655273 IVX655252:IWE655273 IMB655252:IMI655273 ICF655252:ICM655273 HSJ655252:HSQ655273 HIN655252:HIU655273 GYR655252:GYY655273 GOV655252:GPC655273 GEZ655252:GFG655273 FVD655252:FVK655273 FLH655252:FLO655273 FBL655252:FBS655273 ERP655252:ERW655273 EHT655252:EIA655273 DXX655252:DYE655273 DOB655252:DOI655273 DEF655252:DEM655273 CUJ655252:CUQ655273 CKN655252:CKU655273 CAR655252:CAY655273 BQV655252:BRC655273 BGZ655252:BHG655273 AXD655252:AXK655273 ANH655252:ANO655273 ADL655252:ADS655273 TP655252:TW655273 JT655252:KA655273 X655252:AE655273 WWF589716:WWM589737 WMJ589716:WMQ589737 WCN589716:WCU589737 VSR589716:VSY589737 VIV589716:VJC589737 UYZ589716:UZG589737 UPD589716:UPK589737 UFH589716:UFO589737 TVL589716:TVS589737 TLP589716:TLW589737 TBT589716:TCA589737 SRX589716:SSE589737 SIB589716:SII589737 RYF589716:RYM589737 ROJ589716:ROQ589737 REN589716:REU589737 QUR589716:QUY589737 QKV589716:QLC589737 QAZ589716:QBG589737 PRD589716:PRK589737 PHH589716:PHO589737 OXL589716:OXS589737 ONP589716:ONW589737 ODT589716:OEA589737 NTX589716:NUE589737 NKB589716:NKI589737 NAF589716:NAM589737 MQJ589716:MQQ589737 MGN589716:MGU589737 LWR589716:LWY589737 LMV589716:LNC589737 LCZ589716:LDG589737 KTD589716:KTK589737 KJH589716:KJO589737 JZL589716:JZS589737 JPP589716:JPW589737 JFT589716:JGA589737 IVX589716:IWE589737 IMB589716:IMI589737 ICF589716:ICM589737 HSJ589716:HSQ589737 HIN589716:HIU589737 GYR589716:GYY589737 GOV589716:GPC589737 GEZ589716:GFG589737 FVD589716:FVK589737 FLH589716:FLO589737 FBL589716:FBS589737 ERP589716:ERW589737 EHT589716:EIA589737 DXX589716:DYE589737 DOB589716:DOI589737 DEF589716:DEM589737 CUJ589716:CUQ589737 CKN589716:CKU589737 CAR589716:CAY589737 BQV589716:BRC589737 BGZ589716:BHG589737 AXD589716:AXK589737 ANH589716:ANO589737 ADL589716:ADS589737 TP589716:TW589737 JT589716:KA589737 X589716:AE589737 WWF524180:WWM524201 WMJ524180:WMQ524201 WCN524180:WCU524201 VSR524180:VSY524201 VIV524180:VJC524201 UYZ524180:UZG524201 UPD524180:UPK524201 UFH524180:UFO524201 TVL524180:TVS524201 TLP524180:TLW524201 TBT524180:TCA524201 SRX524180:SSE524201 SIB524180:SII524201 RYF524180:RYM524201 ROJ524180:ROQ524201 REN524180:REU524201 QUR524180:QUY524201 QKV524180:QLC524201 QAZ524180:QBG524201 PRD524180:PRK524201 PHH524180:PHO524201 OXL524180:OXS524201 ONP524180:ONW524201 ODT524180:OEA524201 NTX524180:NUE524201 NKB524180:NKI524201 NAF524180:NAM524201 MQJ524180:MQQ524201 MGN524180:MGU524201 LWR524180:LWY524201 LMV524180:LNC524201 LCZ524180:LDG524201 KTD524180:KTK524201 KJH524180:KJO524201 JZL524180:JZS524201 JPP524180:JPW524201 JFT524180:JGA524201 IVX524180:IWE524201 IMB524180:IMI524201 ICF524180:ICM524201 HSJ524180:HSQ524201 HIN524180:HIU524201 GYR524180:GYY524201 GOV524180:GPC524201 GEZ524180:GFG524201 FVD524180:FVK524201 FLH524180:FLO524201 FBL524180:FBS524201 ERP524180:ERW524201 EHT524180:EIA524201 DXX524180:DYE524201 DOB524180:DOI524201 DEF524180:DEM524201 CUJ524180:CUQ524201 CKN524180:CKU524201 CAR524180:CAY524201 BQV524180:BRC524201 BGZ524180:BHG524201 AXD524180:AXK524201 ANH524180:ANO524201 ADL524180:ADS524201 TP524180:TW524201 JT524180:KA524201 X524180:AE524201 WWF458644:WWM458665 WMJ458644:WMQ458665 WCN458644:WCU458665 VSR458644:VSY458665 VIV458644:VJC458665 UYZ458644:UZG458665 UPD458644:UPK458665 UFH458644:UFO458665 TVL458644:TVS458665 TLP458644:TLW458665 TBT458644:TCA458665 SRX458644:SSE458665 SIB458644:SII458665 RYF458644:RYM458665 ROJ458644:ROQ458665 REN458644:REU458665 QUR458644:QUY458665 QKV458644:QLC458665 QAZ458644:QBG458665 PRD458644:PRK458665 PHH458644:PHO458665 OXL458644:OXS458665 ONP458644:ONW458665 ODT458644:OEA458665 NTX458644:NUE458665 NKB458644:NKI458665 NAF458644:NAM458665 MQJ458644:MQQ458665 MGN458644:MGU458665 LWR458644:LWY458665 LMV458644:LNC458665 LCZ458644:LDG458665 KTD458644:KTK458665 KJH458644:KJO458665 JZL458644:JZS458665 JPP458644:JPW458665 JFT458644:JGA458665 IVX458644:IWE458665 IMB458644:IMI458665 ICF458644:ICM458665 HSJ458644:HSQ458665 HIN458644:HIU458665 GYR458644:GYY458665 GOV458644:GPC458665 GEZ458644:GFG458665 FVD458644:FVK458665 FLH458644:FLO458665 FBL458644:FBS458665 ERP458644:ERW458665 EHT458644:EIA458665 DXX458644:DYE458665 DOB458644:DOI458665 DEF458644:DEM458665 CUJ458644:CUQ458665 CKN458644:CKU458665 CAR458644:CAY458665 BQV458644:BRC458665 BGZ458644:BHG458665 AXD458644:AXK458665 ANH458644:ANO458665 ADL458644:ADS458665 TP458644:TW458665 JT458644:KA458665 X458644:AE458665 WWF393108:WWM393129 WMJ393108:WMQ393129 WCN393108:WCU393129 VSR393108:VSY393129 VIV393108:VJC393129 UYZ393108:UZG393129 UPD393108:UPK393129 UFH393108:UFO393129 TVL393108:TVS393129 TLP393108:TLW393129 TBT393108:TCA393129 SRX393108:SSE393129 SIB393108:SII393129 RYF393108:RYM393129 ROJ393108:ROQ393129 REN393108:REU393129 QUR393108:QUY393129 QKV393108:QLC393129 QAZ393108:QBG393129 PRD393108:PRK393129 PHH393108:PHO393129 OXL393108:OXS393129 ONP393108:ONW393129 ODT393108:OEA393129 NTX393108:NUE393129 NKB393108:NKI393129 NAF393108:NAM393129 MQJ393108:MQQ393129 MGN393108:MGU393129 LWR393108:LWY393129 LMV393108:LNC393129 LCZ393108:LDG393129 KTD393108:KTK393129 KJH393108:KJO393129 JZL393108:JZS393129 JPP393108:JPW393129 JFT393108:JGA393129 IVX393108:IWE393129 IMB393108:IMI393129 ICF393108:ICM393129 HSJ393108:HSQ393129 HIN393108:HIU393129 GYR393108:GYY393129 GOV393108:GPC393129 GEZ393108:GFG393129 FVD393108:FVK393129 FLH393108:FLO393129 FBL393108:FBS393129 ERP393108:ERW393129 EHT393108:EIA393129 DXX393108:DYE393129 DOB393108:DOI393129 DEF393108:DEM393129 CUJ393108:CUQ393129 CKN393108:CKU393129 CAR393108:CAY393129 BQV393108:BRC393129 BGZ393108:BHG393129 AXD393108:AXK393129 ANH393108:ANO393129 ADL393108:ADS393129 TP393108:TW393129 JT393108:KA393129 X393108:AE393129 WWF327572:WWM327593 WMJ327572:WMQ327593 WCN327572:WCU327593 VSR327572:VSY327593 VIV327572:VJC327593 UYZ327572:UZG327593 UPD327572:UPK327593 UFH327572:UFO327593 TVL327572:TVS327593 TLP327572:TLW327593 TBT327572:TCA327593 SRX327572:SSE327593 SIB327572:SII327593 RYF327572:RYM327593 ROJ327572:ROQ327593 REN327572:REU327593 QUR327572:QUY327593 QKV327572:QLC327593 QAZ327572:QBG327593 PRD327572:PRK327593 PHH327572:PHO327593 OXL327572:OXS327593 ONP327572:ONW327593 ODT327572:OEA327593 NTX327572:NUE327593 NKB327572:NKI327593 NAF327572:NAM327593 MQJ327572:MQQ327593 MGN327572:MGU327593 LWR327572:LWY327593 LMV327572:LNC327593 LCZ327572:LDG327593 KTD327572:KTK327593 KJH327572:KJO327593 JZL327572:JZS327593 JPP327572:JPW327593 JFT327572:JGA327593 IVX327572:IWE327593 IMB327572:IMI327593 ICF327572:ICM327593 HSJ327572:HSQ327593 HIN327572:HIU327593 GYR327572:GYY327593 GOV327572:GPC327593 GEZ327572:GFG327593 FVD327572:FVK327593 FLH327572:FLO327593 FBL327572:FBS327593 ERP327572:ERW327593 EHT327572:EIA327593 DXX327572:DYE327593 DOB327572:DOI327593 DEF327572:DEM327593 CUJ327572:CUQ327593 CKN327572:CKU327593 CAR327572:CAY327593 BQV327572:BRC327593 BGZ327572:BHG327593 AXD327572:AXK327593 ANH327572:ANO327593 ADL327572:ADS327593 TP327572:TW327593 JT327572:KA327593 X327572:AE327593 WWF262036:WWM262057 WMJ262036:WMQ262057 WCN262036:WCU262057 VSR262036:VSY262057 VIV262036:VJC262057 UYZ262036:UZG262057 UPD262036:UPK262057 UFH262036:UFO262057 TVL262036:TVS262057 TLP262036:TLW262057 TBT262036:TCA262057 SRX262036:SSE262057 SIB262036:SII262057 RYF262036:RYM262057 ROJ262036:ROQ262057 REN262036:REU262057 QUR262036:QUY262057 QKV262036:QLC262057 QAZ262036:QBG262057 PRD262036:PRK262057 PHH262036:PHO262057 OXL262036:OXS262057 ONP262036:ONW262057 ODT262036:OEA262057 NTX262036:NUE262057 NKB262036:NKI262057 NAF262036:NAM262057 MQJ262036:MQQ262057 MGN262036:MGU262057 LWR262036:LWY262057 LMV262036:LNC262057 LCZ262036:LDG262057 KTD262036:KTK262057 KJH262036:KJO262057 JZL262036:JZS262057 JPP262036:JPW262057 JFT262036:JGA262057 IVX262036:IWE262057 IMB262036:IMI262057 ICF262036:ICM262057 HSJ262036:HSQ262057 HIN262036:HIU262057 GYR262036:GYY262057 GOV262036:GPC262057 GEZ262036:GFG262057 FVD262036:FVK262057 FLH262036:FLO262057 FBL262036:FBS262057 ERP262036:ERW262057 EHT262036:EIA262057 DXX262036:DYE262057 DOB262036:DOI262057 DEF262036:DEM262057 CUJ262036:CUQ262057 CKN262036:CKU262057 CAR262036:CAY262057 BQV262036:BRC262057 BGZ262036:BHG262057 AXD262036:AXK262057 ANH262036:ANO262057 ADL262036:ADS262057 TP262036:TW262057 JT262036:KA262057 X262036:AE262057 WWF196500:WWM196521 WMJ196500:WMQ196521 WCN196500:WCU196521 VSR196500:VSY196521 VIV196500:VJC196521 UYZ196500:UZG196521 UPD196500:UPK196521 UFH196500:UFO196521 TVL196500:TVS196521 TLP196500:TLW196521 TBT196500:TCA196521 SRX196500:SSE196521 SIB196500:SII196521 RYF196500:RYM196521 ROJ196500:ROQ196521 REN196500:REU196521 QUR196500:QUY196521 QKV196500:QLC196521 QAZ196500:QBG196521 PRD196500:PRK196521 PHH196500:PHO196521 OXL196500:OXS196521 ONP196500:ONW196521 ODT196500:OEA196521 NTX196500:NUE196521 NKB196500:NKI196521 NAF196500:NAM196521 MQJ196500:MQQ196521 MGN196500:MGU196521 LWR196500:LWY196521 LMV196500:LNC196521 LCZ196500:LDG196521 KTD196500:KTK196521 KJH196500:KJO196521 JZL196500:JZS196521 JPP196500:JPW196521 JFT196500:JGA196521 IVX196500:IWE196521 IMB196500:IMI196521 ICF196500:ICM196521 HSJ196500:HSQ196521 HIN196500:HIU196521 GYR196500:GYY196521 GOV196500:GPC196521 GEZ196500:GFG196521 FVD196500:FVK196521 FLH196500:FLO196521 FBL196500:FBS196521 ERP196500:ERW196521 EHT196500:EIA196521 DXX196500:DYE196521 DOB196500:DOI196521 DEF196500:DEM196521 CUJ196500:CUQ196521 CKN196500:CKU196521 CAR196500:CAY196521 BQV196500:BRC196521 BGZ196500:BHG196521 AXD196500:AXK196521 ANH196500:ANO196521 ADL196500:ADS196521 TP196500:TW196521 JT196500:KA196521 X196500:AE196521 WWF130964:WWM130985 WMJ130964:WMQ130985 WCN130964:WCU130985 VSR130964:VSY130985 VIV130964:VJC130985 UYZ130964:UZG130985 UPD130964:UPK130985 UFH130964:UFO130985 TVL130964:TVS130985 TLP130964:TLW130985 TBT130964:TCA130985 SRX130964:SSE130985 SIB130964:SII130985 RYF130964:RYM130985 ROJ130964:ROQ130985 REN130964:REU130985 QUR130964:QUY130985 QKV130964:QLC130985 QAZ130964:QBG130985 PRD130964:PRK130985 PHH130964:PHO130985 OXL130964:OXS130985 ONP130964:ONW130985 ODT130964:OEA130985 NTX130964:NUE130985 NKB130964:NKI130985 NAF130964:NAM130985 MQJ130964:MQQ130985 MGN130964:MGU130985 LWR130964:LWY130985 LMV130964:LNC130985 LCZ130964:LDG130985 KTD130964:KTK130985 KJH130964:KJO130985 JZL130964:JZS130985 JPP130964:JPW130985 JFT130964:JGA130985 IVX130964:IWE130985 IMB130964:IMI130985 ICF130964:ICM130985 HSJ130964:HSQ130985 HIN130964:HIU130985 GYR130964:GYY130985 GOV130964:GPC130985 GEZ130964:GFG130985 FVD130964:FVK130985 FLH130964:FLO130985 FBL130964:FBS130985 ERP130964:ERW130985 EHT130964:EIA130985 DXX130964:DYE130985 DOB130964:DOI130985 DEF130964:DEM130985 CUJ130964:CUQ130985 CKN130964:CKU130985 CAR130964:CAY130985 BQV130964:BRC130985 BGZ130964:BHG130985 AXD130964:AXK130985 ANH130964:ANO130985 ADL130964:ADS130985 TP130964:TW130985 JT130964:KA130985 X130964:AE130985 WWF65428:WWM65449 WMJ65428:WMQ65449 WCN65428:WCU65449 VSR65428:VSY65449 VIV65428:VJC65449 UYZ65428:UZG65449 UPD65428:UPK65449 UFH65428:UFO65449 TVL65428:TVS65449 TLP65428:TLW65449 TBT65428:TCA65449 SRX65428:SSE65449 SIB65428:SII65449 RYF65428:RYM65449 ROJ65428:ROQ65449 REN65428:REU65449 QUR65428:QUY65449 QKV65428:QLC65449 QAZ65428:QBG65449 PRD65428:PRK65449 PHH65428:PHO65449 OXL65428:OXS65449 ONP65428:ONW65449 ODT65428:OEA65449 NTX65428:NUE65449 NKB65428:NKI65449 NAF65428:NAM65449 MQJ65428:MQQ65449 MGN65428:MGU65449 LWR65428:LWY65449 LMV65428:LNC65449 LCZ65428:LDG65449 KTD65428:KTK65449 KJH65428:KJO65449 JZL65428:JZS65449 JPP65428:JPW65449 JFT65428:JGA65449 IVX65428:IWE65449 IMB65428:IMI65449 ICF65428:ICM65449 HSJ65428:HSQ65449 HIN65428:HIU65449 GYR65428:GYY65449 GOV65428:GPC65449 GEZ65428:GFG65449 FVD65428:FVK65449 FLH65428:FLO65449 FBL65428:FBS65449 ERP65428:ERW65449 EHT65428:EIA65449 DXX65428:DYE65449 DOB65428:DOI65449 DEF65428:DEM65449 CUJ65428:CUQ65449 CKN65428:CKU65449 CAR65428:CAY65449 BQV65428:BRC65449 BGZ65428:BHG65449 AXD65428:AXK65449 ANH65428:ANO65449 ADL65428:ADS65449 TP65428:TW65449 JT65428:KA65449 X65428:AE65449" xr:uid="{C8C3ED1E-E5CC-4487-A42A-C5673A97D81B}">
      <formula1>#REF!</formula1>
    </dataValidation>
  </dataValidations>
  <pageMargins left="0.7" right="0.7" top="0.75" bottom="0.75" header="0.3" footer="0.3"/>
  <pageSetup paperSize="9" scale="2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C47F-A432-4FE1-87DC-DA820E87D824}">
  <sheetPr>
    <pageSetUpPr fitToPage="1"/>
  </sheetPr>
  <dimension ref="A1:CI33"/>
  <sheetViews>
    <sheetView showGridLines="0" zoomScale="85" zoomScaleNormal="85" zoomScaleSheetLayoutView="85" workbookViewId="0">
      <selection activeCell="AW33" sqref="AW33"/>
    </sheetView>
  </sheetViews>
  <sheetFormatPr defaultColWidth="2.5" defaultRowHeight="15.75"/>
  <cols>
    <col min="1" max="10" width="2.5" style="690" customWidth="1"/>
    <col min="11" max="16" width="3.25" style="690" customWidth="1"/>
    <col min="17" max="54" width="2.5" style="690" customWidth="1"/>
    <col min="55" max="16384" width="2.5" style="690"/>
  </cols>
  <sheetData>
    <row r="1" spans="1:87" ht="13.7" customHeight="1">
      <c r="A1" s="935" t="s">
        <v>485</v>
      </c>
      <c r="B1" s="935"/>
      <c r="C1" s="935"/>
      <c r="D1" s="935"/>
      <c r="E1" s="935"/>
      <c r="F1" s="935"/>
      <c r="G1" s="935"/>
      <c r="H1" s="935"/>
      <c r="I1" s="935"/>
      <c r="J1" s="935"/>
      <c r="K1" s="935"/>
      <c r="L1" s="935"/>
      <c r="M1" s="935"/>
      <c r="N1" s="691"/>
      <c r="O1" s="691"/>
      <c r="P1" s="691"/>
      <c r="Q1" s="691"/>
      <c r="R1" s="691"/>
      <c r="S1" s="691"/>
      <c r="T1" s="691"/>
      <c r="U1" s="691"/>
      <c r="V1" s="691"/>
      <c r="W1" s="691"/>
      <c r="X1" s="691"/>
      <c r="Y1" s="691"/>
      <c r="Z1" s="691"/>
      <c r="AA1" s="691"/>
      <c r="AB1" s="691"/>
      <c r="AC1" s="691"/>
      <c r="AD1" s="691"/>
    </row>
    <row r="2" spans="1:87" ht="13.7" customHeight="1">
      <c r="A2" s="936" t="s">
        <v>486</v>
      </c>
      <c r="B2" s="926"/>
      <c r="C2" s="926"/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26"/>
      <c r="V2" s="926"/>
      <c r="W2" s="926"/>
      <c r="X2" s="926"/>
      <c r="Y2" s="926"/>
      <c r="Z2" s="926"/>
      <c r="AA2" s="926"/>
      <c r="AB2" s="926"/>
      <c r="AC2" s="926"/>
    </row>
    <row r="3" spans="1:87" ht="13.7" customHeight="1">
      <c r="A3" s="926"/>
      <c r="B3" s="926"/>
      <c r="C3" s="926"/>
      <c r="D3" s="926"/>
      <c r="E3" s="926"/>
      <c r="F3" s="926"/>
      <c r="G3" s="926"/>
      <c r="H3" s="926"/>
      <c r="I3" s="926"/>
      <c r="J3" s="926"/>
      <c r="K3" s="926"/>
      <c r="L3" s="926"/>
      <c r="M3" s="926"/>
      <c r="N3" s="926"/>
      <c r="O3" s="926"/>
      <c r="P3" s="926"/>
      <c r="Q3" s="926"/>
      <c r="R3" s="926"/>
      <c r="S3" s="926"/>
      <c r="T3" s="926"/>
      <c r="U3" s="926"/>
      <c r="V3" s="926"/>
      <c r="W3" s="926"/>
      <c r="X3" s="926"/>
      <c r="Y3" s="926"/>
      <c r="Z3" s="926"/>
      <c r="AA3" s="926"/>
      <c r="AB3" s="926"/>
      <c r="AC3" s="926"/>
    </row>
    <row r="5" spans="1:87">
      <c r="B5" s="692" t="s">
        <v>487</v>
      </c>
    </row>
    <row r="7" spans="1:87">
      <c r="C7" s="692" t="s">
        <v>488</v>
      </c>
    </row>
    <row r="8" spans="1:87">
      <c r="C8" s="692"/>
    </row>
    <row r="9" spans="1:87">
      <c r="D9" s="690" t="s">
        <v>489</v>
      </c>
    </row>
    <row r="10" spans="1:87" ht="15.75" customHeight="1">
      <c r="D10" s="937" t="s">
        <v>299</v>
      </c>
      <c r="E10" s="937"/>
      <c r="F10" s="937"/>
      <c r="G10" s="937"/>
      <c r="H10" s="937"/>
      <c r="I10" s="937"/>
      <c r="J10" s="937"/>
      <c r="K10" s="937" t="s">
        <v>357</v>
      </c>
      <c r="L10" s="937"/>
      <c r="M10" s="937"/>
      <c r="N10" s="937"/>
      <c r="O10" s="937"/>
      <c r="P10" s="937"/>
      <c r="Q10" s="937"/>
      <c r="R10" s="937" t="s">
        <v>490</v>
      </c>
      <c r="S10" s="937"/>
      <c r="T10" s="937"/>
      <c r="U10" s="937"/>
      <c r="V10" s="937"/>
      <c r="W10" s="937"/>
      <c r="X10" s="937"/>
      <c r="Y10" s="940" t="s">
        <v>491</v>
      </c>
      <c r="Z10" s="940"/>
      <c r="AA10" s="940"/>
      <c r="AB10" s="940"/>
      <c r="AC10" s="940"/>
      <c r="AD10" s="940"/>
      <c r="AE10" s="940"/>
      <c r="AF10" s="937" t="s">
        <v>492</v>
      </c>
      <c r="AG10" s="937"/>
      <c r="AH10" s="937"/>
      <c r="AI10" s="937"/>
      <c r="AJ10" s="937"/>
      <c r="AK10" s="937"/>
      <c r="AL10" s="937"/>
      <c r="AM10" s="937" t="s">
        <v>493</v>
      </c>
      <c r="AN10" s="937"/>
      <c r="AO10" s="937"/>
      <c r="AP10" s="937"/>
      <c r="AQ10" s="937"/>
      <c r="AR10" s="937"/>
      <c r="AS10" s="937"/>
      <c r="AT10" s="937" t="s">
        <v>494</v>
      </c>
      <c r="AU10" s="937"/>
      <c r="AV10" s="937"/>
      <c r="AW10" s="937"/>
      <c r="AX10" s="937"/>
      <c r="AY10" s="937"/>
      <c r="AZ10" s="937"/>
      <c r="BA10" s="937" t="s">
        <v>495</v>
      </c>
      <c r="BB10" s="937"/>
      <c r="BC10" s="937"/>
      <c r="BD10" s="937"/>
      <c r="BE10" s="937"/>
      <c r="BF10" s="937"/>
      <c r="BG10" s="937"/>
      <c r="BH10" s="937" t="s">
        <v>496</v>
      </c>
      <c r="BI10" s="937"/>
      <c r="BJ10" s="937"/>
      <c r="BK10" s="937"/>
      <c r="BL10" s="937"/>
      <c r="BM10" s="937"/>
      <c r="BN10" s="937"/>
      <c r="BO10" s="937" t="s">
        <v>497</v>
      </c>
      <c r="BP10" s="937"/>
      <c r="BQ10" s="937"/>
      <c r="BR10" s="937"/>
      <c r="BS10" s="937"/>
      <c r="BT10" s="937"/>
      <c r="BU10" s="937"/>
      <c r="BV10" s="937" t="s">
        <v>498</v>
      </c>
      <c r="BW10" s="937"/>
      <c r="BX10" s="937"/>
      <c r="BY10" s="937"/>
      <c r="BZ10" s="937"/>
      <c r="CA10" s="937"/>
      <c r="CB10" s="937"/>
      <c r="CC10" s="937" t="s">
        <v>499</v>
      </c>
      <c r="CD10" s="937"/>
      <c r="CE10" s="937"/>
      <c r="CF10" s="937"/>
      <c r="CG10" s="937"/>
      <c r="CH10" s="937"/>
      <c r="CI10" s="937"/>
    </row>
    <row r="11" spans="1:87" ht="15.75" customHeight="1">
      <c r="D11" s="938" t="s">
        <v>500</v>
      </c>
      <c r="E11" s="938"/>
      <c r="F11" s="938"/>
      <c r="G11" s="938"/>
      <c r="H11" s="938"/>
      <c r="I11" s="938"/>
      <c r="J11" s="938"/>
      <c r="K11" s="938" t="s">
        <v>501</v>
      </c>
      <c r="L11" s="938"/>
      <c r="M11" s="938"/>
      <c r="N11" s="938"/>
      <c r="O11" s="938"/>
      <c r="P11" s="938"/>
      <c r="Q11" s="938"/>
      <c r="R11" s="938"/>
      <c r="S11" s="938"/>
      <c r="T11" s="938"/>
      <c r="U11" s="938"/>
      <c r="V11" s="938"/>
      <c r="W11" s="938"/>
      <c r="X11" s="938"/>
      <c r="Y11" s="939" t="s">
        <v>502</v>
      </c>
      <c r="Z11" s="939"/>
      <c r="AA11" s="939"/>
      <c r="AB11" s="939"/>
      <c r="AC11" s="939"/>
      <c r="AD11" s="939"/>
      <c r="AE11" s="939"/>
      <c r="AF11" s="938" t="s">
        <v>503</v>
      </c>
      <c r="AG11" s="938"/>
      <c r="AH11" s="938"/>
      <c r="AI11" s="938"/>
      <c r="AJ11" s="938"/>
      <c r="AK11" s="938"/>
      <c r="AL11" s="938"/>
      <c r="AM11" s="938" t="s">
        <v>504</v>
      </c>
      <c r="AN11" s="938"/>
      <c r="AO11" s="938"/>
      <c r="AP11" s="938"/>
      <c r="AQ11" s="938"/>
      <c r="AR11" s="938"/>
      <c r="AS11" s="938"/>
      <c r="AT11" s="938" t="s">
        <v>505</v>
      </c>
      <c r="AU11" s="938"/>
      <c r="AV11" s="938"/>
      <c r="AW11" s="938"/>
      <c r="AX11" s="938"/>
      <c r="AY11" s="938"/>
      <c r="AZ11" s="938"/>
      <c r="BA11" s="938" t="s">
        <v>505</v>
      </c>
      <c r="BB11" s="938"/>
      <c r="BC11" s="938"/>
      <c r="BD11" s="938"/>
      <c r="BE11" s="938"/>
      <c r="BF11" s="938"/>
      <c r="BG11" s="938"/>
      <c r="BH11" s="938" t="s">
        <v>505</v>
      </c>
      <c r="BI11" s="938"/>
      <c r="BJ11" s="938"/>
      <c r="BK11" s="938"/>
      <c r="BL11" s="938"/>
      <c r="BM11" s="938"/>
      <c r="BN11" s="938"/>
      <c r="BO11" s="938" t="s">
        <v>505</v>
      </c>
      <c r="BP11" s="938"/>
      <c r="BQ11" s="938"/>
      <c r="BR11" s="938"/>
      <c r="BS11" s="938"/>
      <c r="BT11" s="938"/>
      <c r="BU11" s="938"/>
      <c r="BV11" s="938" t="s">
        <v>505</v>
      </c>
      <c r="BW11" s="938"/>
      <c r="BX11" s="938"/>
      <c r="BY11" s="938"/>
      <c r="BZ11" s="938"/>
      <c r="CA11" s="938"/>
      <c r="CB11" s="938"/>
      <c r="CC11" s="938" t="s">
        <v>505</v>
      </c>
      <c r="CD11" s="938"/>
      <c r="CE11" s="938"/>
      <c r="CF11" s="938"/>
      <c r="CG11" s="938"/>
      <c r="CH11" s="938"/>
      <c r="CI11" s="938"/>
    </row>
    <row r="12" spans="1:87" ht="15.75" customHeight="1">
      <c r="D12" s="938" t="s">
        <v>500</v>
      </c>
      <c r="E12" s="938"/>
      <c r="F12" s="938"/>
      <c r="G12" s="938"/>
      <c r="H12" s="938"/>
      <c r="I12" s="938"/>
      <c r="J12" s="938"/>
      <c r="K12" s="938" t="s">
        <v>501</v>
      </c>
      <c r="L12" s="938"/>
      <c r="M12" s="938"/>
      <c r="N12" s="938"/>
      <c r="O12" s="938"/>
      <c r="P12" s="938"/>
      <c r="Q12" s="938"/>
      <c r="R12" s="938" t="s">
        <v>506</v>
      </c>
      <c r="S12" s="938"/>
      <c r="T12" s="938"/>
      <c r="U12" s="938"/>
      <c r="V12" s="938"/>
      <c r="W12" s="938"/>
      <c r="X12" s="938"/>
      <c r="Y12" s="938"/>
      <c r="Z12" s="938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38"/>
      <c r="AO12" s="938"/>
      <c r="AP12" s="938"/>
      <c r="AQ12" s="938"/>
      <c r="AR12" s="938"/>
      <c r="AS12" s="938"/>
      <c r="AT12" s="938"/>
      <c r="AU12" s="938"/>
      <c r="AV12" s="938"/>
      <c r="AW12" s="938"/>
      <c r="AX12" s="938"/>
      <c r="AY12" s="938"/>
      <c r="AZ12" s="938"/>
      <c r="BA12" s="938"/>
      <c r="BB12" s="938"/>
      <c r="BC12" s="938"/>
      <c r="BD12" s="938"/>
      <c r="BE12" s="938"/>
      <c r="BF12" s="938"/>
      <c r="BG12" s="938"/>
      <c r="BH12" s="938"/>
      <c r="BI12" s="938"/>
      <c r="BJ12" s="938"/>
      <c r="BK12" s="938"/>
      <c r="BL12" s="938"/>
      <c r="BM12" s="938"/>
      <c r="BN12" s="938"/>
      <c r="BO12" s="938"/>
      <c r="BP12" s="938"/>
      <c r="BQ12" s="938"/>
      <c r="BR12" s="938"/>
      <c r="BS12" s="938"/>
      <c r="BT12" s="938"/>
      <c r="BU12" s="938"/>
      <c r="BV12" s="938"/>
      <c r="BW12" s="938"/>
      <c r="BX12" s="938"/>
      <c r="BY12" s="938"/>
      <c r="BZ12" s="938"/>
      <c r="CA12" s="938"/>
      <c r="CB12" s="938"/>
      <c r="CC12" s="938"/>
      <c r="CD12" s="938"/>
      <c r="CE12" s="938"/>
      <c r="CF12" s="938"/>
      <c r="CG12" s="938"/>
      <c r="CH12" s="938"/>
      <c r="CI12" s="938"/>
    </row>
    <row r="13" spans="1:87" ht="15.75" customHeight="1">
      <c r="D13" s="938" t="s">
        <v>507</v>
      </c>
      <c r="E13" s="938"/>
      <c r="F13" s="938"/>
      <c r="G13" s="938"/>
      <c r="H13" s="938"/>
      <c r="I13" s="938"/>
      <c r="J13" s="938"/>
      <c r="K13" s="938" t="s">
        <v>508</v>
      </c>
      <c r="L13" s="938"/>
      <c r="M13" s="938"/>
      <c r="N13" s="938"/>
      <c r="O13" s="938"/>
      <c r="P13" s="938"/>
      <c r="Q13" s="938"/>
      <c r="R13" s="938"/>
      <c r="S13" s="938"/>
      <c r="T13" s="938"/>
      <c r="U13" s="938"/>
      <c r="V13" s="938"/>
      <c r="W13" s="938"/>
      <c r="X13" s="938"/>
      <c r="Y13" s="939" t="s">
        <v>502</v>
      </c>
      <c r="Z13" s="939"/>
      <c r="AA13" s="939"/>
      <c r="AB13" s="939"/>
      <c r="AC13" s="939"/>
      <c r="AD13" s="939"/>
      <c r="AE13" s="939"/>
      <c r="AF13" s="938" t="s">
        <v>503</v>
      </c>
      <c r="AG13" s="938"/>
      <c r="AH13" s="938"/>
      <c r="AI13" s="938"/>
      <c r="AJ13" s="938"/>
      <c r="AK13" s="938"/>
      <c r="AL13" s="938"/>
      <c r="AM13" s="938" t="s">
        <v>509</v>
      </c>
      <c r="AN13" s="938"/>
      <c r="AO13" s="938"/>
      <c r="AP13" s="938"/>
      <c r="AQ13" s="938"/>
      <c r="AR13" s="938"/>
      <c r="AS13" s="938"/>
      <c r="AT13" s="938" t="s">
        <v>509</v>
      </c>
      <c r="AU13" s="938"/>
      <c r="AV13" s="938"/>
      <c r="AW13" s="938"/>
      <c r="AX13" s="938"/>
      <c r="AY13" s="938"/>
      <c r="AZ13" s="938"/>
      <c r="BA13" s="938" t="s">
        <v>505</v>
      </c>
      <c r="BB13" s="938"/>
      <c r="BC13" s="938"/>
      <c r="BD13" s="938"/>
      <c r="BE13" s="938"/>
      <c r="BF13" s="938"/>
      <c r="BG13" s="938"/>
      <c r="BH13" s="938" t="s">
        <v>505</v>
      </c>
      <c r="BI13" s="938"/>
      <c r="BJ13" s="938"/>
      <c r="BK13" s="938"/>
      <c r="BL13" s="938"/>
      <c r="BM13" s="938"/>
      <c r="BN13" s="938"/>
      <c r="BO13" s="938" t="s">
        <v>510</v>
      </c>
      <c r="BP13" s="938"/>
      <c r="BQ13" s="938"/>
      <c r="BR13" s="938"/>
      <c r="BS13" s="938"/>
      <c r="BT13" s="938"/>
      <c r="BU13" s="938"/>
      <c r="BV13" s="938" t="s">
        <v>505</v>
      </c>
      <c r="BW13" s="938"/>
      <c r="BX13" s="938"/>
      <c r="BY13" s="938"/>
      <c r="BZ13" s="938"/>
      <c r="CA13" s="938"/>
      <c r="CB13" s="938"/>
      <c r="CC13" s="938" t="s">
        <v>505</v>
      </c>
      <c r="CD13" s="938"/>
      <c r="CE13" s="938"/>
      <c r="CF13" s="938"/>
      <c r="CG13" s="938"/>
      <c r="CH13" s="938"/>
      <c r="CI13" s="938"/>
    </row>
    <row r="14" spans="1:87" ht="15.75" customHeight="1">
      <c r="D14" s="938" t="s">
        <v>511</v>
      </c>
      <c r="E14" s="938"/>
      <c r="F14" s="938"/>
      <c r="G14" s="938"/>
      <c r="H14" s="938"/>
      <c r="I14" s="938"/>
      <c r="J14" s="938"/>
      <c r="K14" s="938" t="s">
        <v>512</v>
      </c>
      <c r="L14" s="938"/>
      <c r="M14" s="938"/>
      <c r="N14" s="938"/>
      <c r="O14" s="938"/>
      <c r="P14" s="938"/>
      <c r="Q14" s="938"/>
      <c r="R14" s="938"/>
      <c r="S14" s="938"/>
      <c r="T14" s="938"/>
      <c r="U14" s="938"/>
      <c r="V14" s="938"/>
      <c r="W14" s="938"/>
      <c r="X14" s="938"/>
      <c r="Y14" s="939" t="s">
        <v>502</v>
      </c>
      <c r="Z14" s="939"/>
      <c r="AA14" s="939"/>
      <c r="AB14" s="939"/>
      <c r="AC14" s="939"/>
      <c r="AD14" s="939"/>
      <c r="AE14" s="939"/>
      <c r="AF14" s="938" t="s">
        <v>503</v>
      </c>
      <c r="AG14" s="938"/>
      <c r="AH14" s="938"/>
      <c r="AI14" s="938"/>
      <c r="AJ14" s="938"/>
      <c r="AK14" s="938"/>
      <c r="AL14" s="938"/>
      <c r="AM14" s="938" t="s">
        <v>505</v>
      </c>
      <c r="AN14" s="938"/>
      <c r="AO14" s="938"/>
      <c r="AP14" s="938"/>
      <c r="AQ14" s="938"/>
      <c r="AR14" s="938"/>
      <c r="AS14" s="938"/>
      <c r="AT14" s="938" t="s">
        <v>505</v>
      </c>
      <c r="AU14" s="938"/>
      <c r="AV14" s="938"/>
      <c r="AW14" s="938"/>
      <c r="AX14" s="938"/>
      <c r="AY14" s="938"/>
      <c r="AZ14" s="938"/>
      <c r="BA14" s="938" t="s">
        <v>505</v>
      </c>
      <c r="BB14" s="938"/>
      <c r="BC14" s="938"/>
      <c r="BD14" s="938"/>
      <c r="BE14" s="938"/>
      <c r="BF14" s="938"/>
      <c r="BG14" s="938"/>
      <c r="BH14" s="938" t="s">
        <v>505</v>
      </c>
      <c r="BI14" s="938"/>
      <c r="BJ14" s="938"/>
      <c r="BK14" s="938"/>
      <c r="BL14" s="938"/>
      <c r="BM14" s="938"/>
      <c r="BN14" s="938"/>
      <c r="BO14" s="938" t="s">
        <v>510</v>
      </c>
      <c r="BP14" s="938"/>
      <c r="BQ14" s="938"/>
      <c r="BR14" s="938"/>
      <c r="BS14" s="938"/>
      <c r="BT14" s="938"/>
      <c r="BU14" s="938"/>
      <c r="BV14" s="938" t="s">
        <v>510</v>
      </c>
      <c r="BW14" s="938"/>
      <c r="BX14" s="938"/>
      <c r="BY14" s="938"/>
      <c r="BZ14" s="938"/>
      <c r="CA14" s="938"/>
      <c r="CB14" s="938"/>
      <c r="CC14" s="938" t="s">
        <v>510</v>
      </c>
      <c r="CD14" s="938"/>
      <c r="CE14" s="938"/>
      <c r="CF14" s="938"/>
      <c r="CG14" s="938"/>
      <c r="CH14" s="938"/>
      <c r="CI14" s="938"/>
    </row>
    <row r="15" spans="1:87" ht="15.75" customHeight="1">
      <c r="D15" s="938" t="s">
        <v>513</v>
      </c>
      <c r="E15" s="938"/>
      <c r="F15" s="938"/>
      <c r="G15" s="938"/>
      <c r="H15" s="938"/>
      <c r="I15" s="938"/>
      <c r="J15" s="938"/>
      <c r="K15" s="938" t="s">
        <v>514</v>
      </c>
      <c r="L15" s="938"/>
      <c r="M15" s="938"/>
      <c r="N15" s="938"/>
      <c r="O15" s="938"/>
      <c r="P15" s="938"/>
      <c r="Q15" s="938"/>
      <c r="R15" s="938"/>
      <c r="S15" s="938"/>
      <c r="T15" s="938"/>
      <c r="U15" s="938"/>
      <c r="V15" s="938"/>
      <c r="W15" s="938"/>
      <c r="X15" s="938"/>
      <c r="Y15" s="939" t="s">
        <v>502</v>
      </c>
      <c r="Z15" s="939"/>
      <c r="AA15" s="939"/>
      <c r="AB15" s="939"/>
      <c r="AC15" s="939"/>
      <c r="AD15" s="939"/>
      <c r="AE15" s="939"/>
      <c r="AF15" s="938" t="s">
        <v>503</v>
      </c>
      <c r="AG15" s="938"/>
      <c r="AH15" s="938"/>
      <c r="AI15" s="938"/>
      <c r="AJ15" s="938"/>
      <c r="AK15" s="938"/>
      <c r="AL15" s="938"/>
      <c r="AM15" s="938" t="s">
        <v>505</v>
      </c>
      <c r="AN15" s="938"/>
      <c r="AO15" s="938"/>
      <c r="AP15" s="938"/>
      <c r="AQ15" s="938"/>
      <c r="AR15" s="938"/>
      <c r="AS15" s="938"/>
      <c r="AT15" s="938" t="s">
        <v>505</v>
      </c>
      <c r="AU15" s="938"/>
      <c r="AV15" s="938"/>
      <c r="AW15" s="938"/>
      <c r="AX15" s="938"/>
      <c r="AY15" s="938"/>
      <c r="AZ15" s="938"/>
      <c r="BA15" s="938" t="s">
        <v>505</v>
      </c>
      <c r="BB15" s="938"/>
      <c r="BC15" s="938"/>
      <c r="BD15" s="938"/>
      <c r="BE15" s="938"/>
      <c r="BF15" s="938"/>
      <c r="BG15" s="938"/>
      <c r="BH15" s="938" t="s">
        <v>505</v>
      </c>
      <c r="BI15" s="938"/>
      <c r="BJ15" s="938"/>
      <c r="BK15" s="938"/>
      <c r="BL15" s="938"/>
      <c r="BM15" s="938"/>
      <c r="BN15" s="938"/>
      <c r="BO15" s="938" t="s">
        <v>505</v>
      </c>
      <c r="BP15" s="938"/>
      <c r="BQ15" s="938"/>
      <c r="BR15" s="938"/>
      <c r="BS15" s="938"/>
      <c r="BT15" s="938"/>
      <c r="BU15" s="938"/>
      <c r="BV15" s="938" t="s">
        <v>505</v>
      </c>
      <c r="BW15" s="938"/>
      <c r="BX15" s="938"/>
      <c r="BY15" s="938"/>
      <c r="BZ15" s="938"/>
      <c r="CA15" s="938"/>
      <c r="CB15" s="938"/>
      <c r="CC15" s="938" t="s">
        <v>505</v>
      </c>
      <c r="CD15" s="938"/>
      <c r="CE15" s="938"/>
      <c r="CF15" s="938"/>
      <c r="CG15" s="938"/>
      <c r="CH15" s="938"/>
      <c r="CI15" s="938"/>
    </row>
    <row r="16" spans="1:87">
      <c r="D16" s="942" t="s">
        <v>300</v>
      </c>
      <c r="E16" s="938"/>
      <c r="F16" s="938"/>
      <c r="G16" s="938"/>
      <c r="H16" s="938"/>
      <c r="I16" s="938"/>
      <c r="J16" s="938"/>
      <c r="K16" s="938" t="s">
        <v>515</v>
      </c>
      <c r="L16" s="938"/>
      <c r="M16" s="938"/>
      <c r="N16" s="938"/>
      <c r="O16" s="938"/>
      <c r="P16" s="938"/>
      <c r="Q16" s="938"/>
      <c r="R16" s="938" t="s">
        <v>516</v>
      </c>
      <c r="S16" s="938"/>
      <c r="T16" s="938"/>
      <c r="U16" s="938"/>
      <c r="V16" s="938"/>
      <c r="W16" s="938"/>
      <c r="X16" s="938"/>
      <c r="Y16" s="939" t="s">
        <v>502</v>
      </c>
      <c r="Z16" s="939"/>
      <c r="AA16" s="939"/>
      <c r="AB16" s="939"/>
      <c r="AC16" s="939"/>
      <c r="AD16" s="939"/>
      <c r="AE16" s="939"/>
      <c r="AF16" s="938" t="s">
        <v>503</v>
      </c>
      <c r="AG16" s="938"/>
      <c r="AH16" s="938"/>
      <c r="AI16" s="938"/>
      <c r="AJ16" s="938"/>
      <c r="AK16" s="938"/>
      <c r="AL16" s="938"/>
      <c r="AM16" s="938" t="s">
        <v>510</v>
      </c>
      <c r="AN16" s="938"/>
      <c r="AO16" s="938"/>
      <c r="AP16" s="938"/>
      <c r="AQ16" s="938"/>
      <c r="AR16" s="938"/>
      <c r="AS16" s="938"/>
      <c r="AT16" s="938" t="s">
        <v>510</v>
      </c>
      <c r="AU16" s="938"/>
      <c r="AV16" s="938"/>
      <c r="AW16" s="938"/>
      <c r="AX16" s="938"/>
      <c r="AY16" s="938"/>
      <c r="AZ16" s="938"/>
      <c r="BA16" s="938" t="s">
        <v>510</v>
      </c>
      <c r="BB16" s="938"/>
      <c r="BC16" s="938"/>
      <c r="BD16" s="938"/>
      <c r="BE16" s="938"/>
      <c r="BF16" s="938"/>
      <c r="BG16" s="938"/>
      <c r="BH16" s="938" t="s">
        <v>510</v>
      </c>
      <c r="BI16" s="938"/>
      <c r="BJ16" s="938"/>
      <c r="BK16" s="938"/>
      <c r="BL16" s="938"/>
      <c r="BM16" s="938"/>
      <c r="BN16" s="938"/>
      <c r="BO16" s="938" t="s">
        <v>510</v>
      </c>
      <c r="BP16" s="938"/>
      <c r="BQ16" s="938"/>
      <c r="BR16" s="938"/>
      <c r="BS16" s="938"/>
      <c r="BT16" s="938"/>
      <c r="BU16" s="938"/>
      <c r="BV16" s="938" t="s">
        <v>510</v>
      </c>
      <c r="BW16" s="938"/>
      <c r="BX16" s="938"/>
      <c r="BY16" s="938"/>
      <c r="BZ16" s="938"/>
      <c r="CA16" s="938"/>
      <c r="CB16" s="938"/>
      <c r="CC16" s="938" t="s">
        <v>510</v>
      </c>
      <c r="CD16" s="938"/>
      <c r="CE16" s="938"/>
      <c r="CF16" s="938"/>
      <c r="CG16" s="938"/>
      <c r="CH16" s="938"/>
      <c r="CI16" s="938"/>
    </row>
    <row r="19" spans="2:66">
      <c r="C19" s="692" t="s">
        <v>517</v>
      </c>
    </row>
    <row r="20" spans="2:66">
      <c r="C20" s="692"/>
    </row>
    <row r="21" spans="2:66">
      <c r="D21" s="690" t="s">
        <v>489</v>
      </c>
    </row>
    <row r="22" spans="2:66">
      <c r="D22" s="937" t="s">
        <v>299</v>
      </c>
      <c r="E22" s="937"/>
      <c r="F22" s="937"/>
      <c r="G22" s="937"/>
      <c r="H22" s="937"/>
      <c r="I22" s="937"/>
      <c r="J22" s="937"/>
      <c r="K22" s="941" t="s">
        <v>357</v>
      </c>
      <c r="L22" s="941"/>
      <c r="M22" s="941"/>
      <c r="N22" s="941"/>
      <c r="O22" s="941"/>
      <c r="P22" s="941"/>
      <c r="Q22" s="941"/>
      <c r="R22" s="941" t="s">
        <v>490</v>
      </c>
      <c r="S22" s="941"/>
      <c r="T22" s="941"/>
      <c r="U22" s="941"/>
      <c r="V22" s="941"/>
      <c r="W22" s="941"/>
      <c r="X22" s="941"/>
      <c r="Y22" s="940" t="s">
        <v>491</v>
      </c>
      <c r="Z22" s="940"/>
      <c r="AA22" s="940"/>
      <c r="AB22" s="940"/>
      <c r="AC22" s="940"/>
      <c r="AD22" s="940"/>
      <c r="AE22" s="940"/>
      <c r="AF22" s="941" t="s">
        <v>492</v>
      </c>
      <c r="AG22" s="941"/>
      <c r="AH22" s="941"/>
      <c r="AI22" s="941"/>
      <c r="AJ22" s="941"/>
      <c r="AK22" s="941"/>
      <c r="AL22" s="941"/>
      <c r="AM22" s="941" t="s">
        <v>493</v>
      </c>
      <c r="AN22" s="941"/>
      <c r="AO22" s="941"/>
      <c r="AP22" s="941"/>
      <c r="AQ22" s="941"/>
      <c r="AR22" s="941"/>
      <c r="AS22" s="941"/>
      <c r="AT22" s="941" t="s">
        <v>494</v>
      </c>
      <c r="AU22" s="941"/>
      <c r="AV22" s="941"/>
      <c r="AW22" s="941"/>
      <c r="AX22" s="941"/>
      <c r="AY22" s="941"/>
      <c r="AZ22" s="941"/>
      <c r="BA22" s="941" t="s">
        <v>495</v>
      </c>
      <c r="BB22" s="941"/>
      <c r="BC22" s="941"/>
      <c r="BD22" s="941"/>
      <c r="BE22" s="941"/>
      <c r="BF22" s="941"/>
      <c r="BG22" s="941"/>
      <c r="BH22" s="941" t="s">
        <v>496</v>
      </c>
      <c r="BI22" s="941"/>
      <c r="BJ22" s="941"/>
      <c r="BK22" s="941"/>
      <c r="BL22" s="941"/>
      <c r="BM22" s="941"/>
      <c r="BN22" s="941"/>
    </row>
    <row r="23" spans="2:66">
      <c r="D23" s="938" t="s">
        <v>500</v>
      </c>
      <c r="E23" s="938"/>
      <c r="F23" s="938"/>
      <c r="G23" s="938"/>
      <c r="H23" s="938"/>
      <c r="I23" s="938"/>
      <c r="J23" s="938"/>
      <c r="K23" s="938" t="s">
        <v>501</v>
      </c>
      <c r="L23" s="938"/>
      <c r="M23" s="938"/>
      <c r="N23" s="938"/>
      <c r="O23" s="938"/>
      <c r="P23" s="938"/>
      <c r="Q23" s="938"/>
      <c r="R23" s="938"/>
      <c r="S23" s="938"/>
      <c r="T23" s="938"/>
      <c r="U23" s="938"/>
      <c r="V23" s="938"/>
      <c r="W23" s="938"/>
      <c r="X23" s="938"/>
      <c r="Y23" s="939" t="s">
        <v>502</v>
      </c>
      <c r="Z23" s="939"/>
      <c r="AA23" s="939"/>
      <c r="AB23" s="939"/>
      <c r="AC23" s="939"/>
      <c r="AD23" s="939"/>
      <c r="AE23" s="939"/>
      <c r="AF23" s="938" t="s">
        <v>503</v>
      </c>
      <c r="AG23" s="938"/>
      <c r="AH23" s="938"/>
      <c r="AI23" s="938"/>
      <c r="AJ23" s="938"/>
      <c r="AK23" s="938"/>
      <c r="AL23" s="938"/>
      <c r="AM23" s="938" t="s">
        <v>505</v>
      </c>
      <c r="AN23" s="938"/>
      <c r="AO23" s="938"/>
      <c r="AP23" s="938"/>
      <c r="AQ23" s="938"/>
      <c r="AR23" s="938"/>
      <c r="AS23" s="938"/>
      <c r="AT23" s="938" t="s">
        <v>505</v>
      </c>
      <c r="AU23" s="938"/>
      <c r="AV23" s="938"/>
      <c r="AW23" s="938"/>
      <c r="AX23" s="938"/>
      <c r="AY23" s="938"/>
      <c r="AZ23" s="938"/>
      <c r="BA23" s="938" t="s">
        <v>505</v>
      </c>
      <c r="BB23" s="938"/>
      <c r="BC23" s="938"/>
      <c r="BD23" s="938"/>
      <c r="BE23" s="938"/>
      <c r="BF23" s="938"/>
      <c r="BG23" s="938"/>
      <c r="BH23" s="938" t="s">
        <v>505</v>
      </c>
      <c r="BI23" s="938"/>
      <c r="BJ23" s="938"/>
      <c r="BK23" s="938"/>
      <c r="BL23" s="938"/>
      <c r="BM23" s="938"/>
      <c r="BN23" s="938"/>
    </row>
    <row r="24" spans="2:66">
      <c r="D24" s="938" t="s">
        <v>500</v>
      </c>
      <c r="E24" s="938"/>
      <c r="F24" s="938"/>
      <c r="G24" s="938"/>
      <c r="H24" s="938"/>
      <c r="I24" s="938"/>
      <c r="J24" s="938"/>
      <c r="K24" s="938" t="s">
        <v>501</v>
      </c>
      <c r="L24" s="938"/>
      <c r="M24" s="938"/>
      <c r="N24" s="938"/>
      <c r="O24" s="938"/>
      <c r="P24" s="938"/>
      <c r="Q24" s="938"/>
      <c r="R24" s="938" t="s">
        <v>518</v>
      </c>
      <c r="S24" s="938"/>
      <c r="T24" s="938"/>
      <c r="U24" s="938"/>
      <c r="V24" s="938"/>
      <c r="W24" s="938"/>
      <c r="X24" s="938"/>
      <c r="Y24" s="938"/>
      <c r="Z24" s="938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38"/>
      <c r="AW24" s="938"/>
      <c r="AX24" s="938"/>
      <c r="AY24" s="938"/>
      <c r="AZ24" s="938"/>
      <c r="BA24" s="938"/>
      <c r="BB24" s="938"/>
      <c r="BC24" s="938"/>
      <c r="BD24" s="938"/>
      <c r="BE24" s="938"/>
      <c r="BF24" s="938"/>
      <c r="BG24" s="938"/>
      <c r="BH24" s="938"/>
      <c r="BI24" s="938"/>
      <c r="BJ24" s="938"/>
      <c r="BK24" s="938"/>
      <c r="BL24" s="938"/>
      <c r="BM24" s="938"/>
      <c r="BN24" s="938"/>
    </row>
    <row r="25" spans="2:66">
      <c r="D25" s="938" t="s">
        <v>507</v>
      </c>
      <c r="E25" s="938"/>
      <c r="F25" s="938"/>
      <c r="G25" s="938"/>
      <c r="H25" s="938"/>
      <c r="I25" s="938"/>
      <c r="J25" s="938"/>
      <c r="K25" s="938" t="s">
        <v>508</v>
      </c>
      <c r="L25" s="938"/>
      <c r="M25" s="938"/>
      <c r="N25" s="938"/>
      <c r="O25" s="938"/>
      <c r="P25" s="938"/>
      <c r="Q25" s="938"/>
      <c r="R25" s="938"/>
      <c r="S25" s="938"/>
      <c r="T25" s="938"/>
      <c r="U25" s="938"/>
      <c r="V25" s="938"/>
      <c r="W25" s="938"/>
      <c r="X25" s="938"/>
      <c r="Y25" s="939" t="s">
        <v>502</v>
      </c>
      <c r="Z25" s="939"/>
      <c r="AA25" s="939"/>
      <c r="AB25" s="939"/>
      <c r="AC25" s="939"/>
      <c r="AD25" s="939"/>
      <c r="AE25" s="939"/>
      <c r="AF25" s="938" t="s">
        <v>503</v>
      </c>
      <c r="AG25" s="938"/>
      <c r="AH25" s="938"/>
      <c r="AI25" s="938"/>
      <c r="AJ25" s="938"/>
      <c r="AK25" s="938"/>
      <c r="AL25" s="938"/>
      <c r="AM25" s="938" t="s">
        <v>509</v>
      </c>
      <c r="AN25" s="938"/>
      <c r="AO25" s="938"/>
      <c r="AP25" s="938"/>
      <c r="AQ25" s="938"/>
      <c r="AR25" s="938"/>
      <c r="AS25" s="938"/>
      <c r="AT25" s="938" t="s">
        <v>358</v>
      </c>
      <c r="AU25" s="938"/>
      <c r="AV25" s="938"/>
      <c r="AW25" s="938"/>
      <c r="AX25" s="938"/>
      <c r="AY25" s="938"/>
      <c r="AZ25" s="938"/>
      <c r="BA25" s="938" t="s">
        <v>505</v>
      </c>
      <c r="BB25" s="938"/>
      <c r="BC25" s="938"/>
      <c r="BD25" s="938"/>
      <c r="BE25" s="938"/>
      <c r="BF25" s="938"/>
      <c r="BG25" s="938"/>
      <c r="BH25" s="938" t="s">
        <v>505</v>
      </c>
      <c r="BI25" s="938"/>
      <c r="BJ25" s="938"/>
      <c r="BK25" s="938"/>
      <c r="BL25" s="938"/>
      <c r="BM25" s="938"/>
      <c r="BN25" s="938"/>
    </row>
    <row r="26" spans="2:66">
      <c r="D26" s="938" t="s">
        <v>511</v>
      </c>
      <c r="E26" s="938"/>
      <c r="F26" s="938"/>
      <c r="G26" s="938"/>
      <c r="H26" s="938"/>
      <c r="I26" s="938"/>
      <c r="J26" s="938"/>
      <c r="K26" s="938" t="s">
        <v>512</v>
      </c>
      <c r="L26" s="938"/>
      <c r="M26" s="938"/>
      <c r="N26" s="938"/>
      <c r="O26" s="938"/>
      <c r="P26" s="938"/>
      <c r="Q26" s="938"/>
      <c r="R26" s="938"/>
      <c r="S26" s="938"/>
      <c r="T26" s="938"/>
      <c r="U26" s="938"/>
      <c r="V26" s="938"/>
      <c r="W26" s="938"/>
      <c r="X26" s="938"/>
      <c r="Y26" s="939" t="s">
        <v>502</v>
      </c>
      <c r="Z26" s="939"/>
      <c r="AA26" s="939"/>
      <c r="AB26" s="939"/>
      <c r="AC26" s="939"/>
      <c r="AD26" s="939"/>
      <c r="AE26" s="939"/>
      <c r="AF26" s="938" t="s">
        <v>503</v>
      </c>
      <c r="AG26" s="938"/>
      <c r="AH26" s="938"/>
      <c r="AI26" s="938"/>
      <c r="AJ26" s="938"/>
      <c r="AK26" s="938"/>
      <c r="AL26" s="938"/>
      <c r="AM26" s="938" t="s">
        <v>505</v>
      </c>
      <c r="AN26" s="938"/>
      <c r="AO26" s="938"/>
      <c r="AP26" s="938"/>
      <c r="AQ26" s="938"/>
      <c r="AR26" s="938"/>
      <c r="AS26" s="938"/>
      <c r="AT26" s="938" t="s">
        <v>505</v>
      </c>
      <c r="AU26" s="938"/>
      <c r="AV26" s="938"/>
      <c r="AW26" s="938"/>
      <c r="AX26" s="938"/>
      <c r="AY26" s="938"/>
      <c r="AZ26" s="938"/>
      <c r="BA26" s="938" t="s">
        <v>505</v>
      </c>
      <c r="BB26" s="938"/>
      <c r="BC26" s="938"/>
      <c r="BD26" s="938"/>
      <c r="BE26" s="938"/>
      <c r="BF26" s="938"/>
      <c r="BG26" s="938"/>
      <c r="BH26" s="938" t="s">
        <v>505</v>
      </c>
      <c r="BI26" s="938"/>
      <c r="BJ26" s="938"/>
      <c r="BK26" s="938"/>
      <c r="BL26" s="938"/>
      <c r="BM26" s="938"/>
      <c r="BN26" s="938"/>
    </row>
    <row r="27" spans="2:66">
      <c r="D27" s="938" t="s">
        <v>513</v>
      </c>
      <c r="E27" s="938"/>
      <c r="F27" s="938"/>
      <c r="G27" s="938"/>
      <c r="H27" s="938"/>
      <c r="I27" s="938"/>
      <c r="J27" s="938"/>
      <c r="K27" s="938" t="s">
        <v>514</v>
      </c>
      <c r="L27" s="938"/>
      <c r="M27" s="938"/>
      <c r="N27" s="938"/>
      <c r="O27" s="938"/>
      <c r="P27" s="938"/>
      <c r="Q27" s="938"/>
      <c r="R27" s="938"/>
      <c r="S27" s="938"/>
      <c r="T27" s="938"/>
      <c r="U27" s="938"/>
      <c r="V27" s="938"/>
      <c r="W27" s="938"/>
      <c r="X27" s="938"/>
      <c r="Y27" s="939" t="s">
        <v>502</v>
      </c>
      <c r="Z27" s="939"/>
      <c r="AA27" s="939"/>
      <c r="AB27" s="939"/>
      <c r="AC27" s="939"/>
      <c r="AD27" s="939"/>
      <c r="AE27" s="939"/>
      <c r="AF27" s="938" t="s">
        <v>503</v>
      </c>
      <c r="AG27" s="938"/>
      <c r="AH27" s="938"/>
      <c r="AI27" s="938"/>
      <c r="AJ27" s="938"/>
      <c r="AK27" s="938"/>
      <c r="AL27" s="938"/>
      <c r="AM27" s="938" t="s">
        <v>505</v>
      </c>
      <c r="AN27" s="938"/>
      <c r="AO27" s="938"/>
      <c r="AP27" s="938"/>
      <c r="AQ27" s="938"/>
      <c r="AR27" s="938"/>
      <c r="AS27" s="938"/>
      <c r="AT27" s="938" t="s">
        <v>505</v>
      </c>
      <c r="AU27" s="938"/>
      <c r="AV27" s="938"/>
      <c r="AW27" s="938"/>
      <c r="AX27" s="938"/>
      <c r="AY27" s="938"/>
      <c r="AZ27" s="938"/>
      <c r="BA27" s="938" t="s">
        <v>505</v>
      </c>
      <c r="BB27" s="938"/>
      <c r="BC27" s="938"/>
      <c r="BD27" s="938"/>
      <c r="BE27" s="938"/>
      <c r="BF27" s="938"/>
      <c r="BG27" s="938"/>
      <c r="BH27" s="938" t="s">
        <v>505</v>
      </c>
      <c r="BI27" s="938"/>
      <c r="BJ27" s="938"/>
      <c r="BK27" s="938"/>
      <c r="BL27" s="938"/>
      <c r="BM27" s="938"/>
      <c r="BN27" s="938"/>
    </row>
    <row r="28" spans="2:66">
      <c r="D28" s="942" t="s">
        <v>300</v>
      </c>
      <c r="E28" s="938"/>
      <c r="F28" s="938"/>
      <c r="G28" s="938"/>
      <c r="H28" s="938"/>
      <c r="I28" s="938"/>
      <c r="J28" s="938"/>
      <c r="K28" s="938" t="s">
        <v>515</v>
      </c>
      <c r="L28" s="938"/>
      <c r="M28" s="938"/>
      <c r="N28" s="938"/>
      <c r="O28" s="938"/>
      <c r="P28" s="938"/>
      <c r="Q28" s="938"/>
      <c r="R28" s="938" t="s">
        <v>516</v>
      </c>
      <c r="S28" s="938"/>
      <c r="T28" s="938"/>
      <c r="U28" s="938"/>
      <c r="V28" s="938"/>
      <c r="W28" s="938"/>
      <c r="X28" s="938"/>
      <c r="Y28" s="939" t="s">
        <v>502</v>
      </c>
      <c r="Z28" s="939"/>
      <c r="AA28" s="939"/>
      <c r="AB28" s="939"/>
      <c r="AC28" s="939"/>
      <c r="AD28" s="939"/>
      <c r="AE28" s="939"/>
      <c r="AF28" s="938" t="s">
        <v>503</v>
      </c>
      <c r="AG28" s="938"/>
      <c r="AH28" s="938"/>
      <c r="AI28" s="938"/>
      <c r="AJ28" s="938"/>
      <c r="AK28" s="938"/>
      <c r="AL28" s="938"/>
      <c r="AM28" s="938" t="s">
        <v>510</v>
      </c>
      <c r="AN28" s="938"/>
      <c r="AO28" s="938"/>
      <c r="AP28" s="938"/>
      <c r="AQ28" s="938"/>
      <c r="AR28" s="938"/>
      <c r="AS28" s="938"/>
      <c r="AT28" s="938" t="s">
        <v>510</v>
      </c>
      <c r="AU28" s="938"/>
      <c r="AV28" s="938"/>
      <c r="AW28" s="938"/>
      <c r="AX28" s="938"/>
      <c r="AY28" s="938"/>
      <c r="AZ28" s="938"/>
      <c r="BA28" s="938" t="s">
        <v>510</v>
      </c>
      <c r="BB28" s="938"/>
      <c r="BC28" s="938"/>
      <c r="BD28" s="938"/>
      <c r="BE28" s="938"/>
      <c r="BF28" s="938"/>
      <c r="BG28" s="938"/>
      <c r="BH28" s="938" t="s">
        <v>510</v>
      </c>
      <c r="BI28" s="938"/>
      <c r="BJ28" s="938"/>
      <c r="BK28" s="938"/>
      <c r="BL28" s="938"/>
      <c r="BM28" s="938"/>
      <c r="BN28" s="938"/>
    </row>
    <row r="30" spans="2:66">
      <c r="B30" s="690" t="s">
        <v>519</v>
      </c>
      <c r="C30" s="690" t="s">
        <v>632</v>
      </c>
    </row>
    <row r="31" spans="2:66">
      <c r="C31" s="690" t="s">
        <v>520</v>
      </c>
    </row>
    <row r="32" spans="2:66">
      <c r="C32" s="690" t="s">
        <v>521</v>
      </c>
    </row>
    <row r="33" spans="3:3">
      <c r="C33" s="690" t="s">
        <v>522</v>
      </c>
    </row>
  </sheetData>
  <mergeCells count="149">
    <mergeCell ref="AF28:AL28"/>
    <mergeCell ref="AM28:AS28"/>
    <mergeCell ref="AT28:AZ28"/>
    <mergeCell ref="BA28:BG28"/>
    <mergeCell ref="BH28:BN28"/>
    <mergeCell ref="AT27:AZ27"/>
    <mergeCell ref="BA27:BG27"/>
    <mergeCell ref="BH27:BN27"/>
    <mergeCell ref="D28:J28"/>
    <mergeCell ref="K28:Q28"/>
    <mergeCell ref="R28:X28"/>
    <mergeCell ref="Y28:AE28"/>
    <mergeCell ref="D26:J26"/>
    <mergeCell ref="K26:Q26"/>
    <mergeCell ref="BH26:BN26"/>
    <mergeCell ref="D27:J27"/>
    <mergeCell ref="K27:Q27"/>
    <mergeCell ref="R27:X27"/>
    <mergeCell ref="Y27:AE27"/>
    <mergeCell ref="AF27:AL27"/>
    <mergeCell ref="AM27:AS27"/>
    <mergeCell ref="R26:X26"/>
    <mergeCell ref="Y26:AE26"/>
    <mergeCell ref="AF26:AL26"/>
    <mergeCell ref="AM26:AS26"/>
    <mergeCell ref="AT26:AZ26"/>
    <mergeCell ref="BA26:BG26"/>
    <mergeCell ref="AT24:AZ24"/>
    <mergeCell ref="BA24:BG24"/>
    <mergeCell ref="BH24:BN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D24:J24"/>
    <mergeCell ref="K24:Q24"/>
    <mergeCell ref="R24:X24"/>
    <mergeCell ref="Y24:AE24"/>
    <mergeCell ref="AF24:AL24"/>
    <mergeCell ref="AM24:AS24"/>
    <mergeCell ref="D23:J23"/>
    <mergeCell ref="K23:Q23"/>
    <mergeCell ref="BH23:BN23"/>
    <mergeCell ref="R23:X23"/>
    <mergeCell ref="Y23:AE23"/>
    <mergeCell ref="AF23:AL23"/>
    <mergeCell ref="AM23:AS23"/>
    <mergeCell ref="AT23:AZ23"/>
    <mergeCell ref="BA23:BG23"/>
    <mergeCell ref="BO16:BU16"/>
    <mergeCell ref="BV16:CB16"/>
    <mergeCell ref="CC16:CI16"/>
    <mergeCell ref="D22:J22"/>
    <mergeCell ref="K22:Q22"/>
    <mergeCell ref="R22:X22"/>
    <mergeCell ref="Y22:AE22"/>
    <mergeCell ref="Y16:AE16"/>
    <mergeCell ref="AF16:AL16"/>
    <mergeCell ref="AM16:AS16"/>
    <mergeCell ref="AT16:AZ16"/>
    <mergeCell ref="BA16:BG16"/>
    <mergeCell ref="BH16:BN16"/>
    <mergeCell ref="D16:J16"/>
    <mergeCell ref="K16:Q16"/>
    <mergeCell ref="R16:X16"/>
    <mergeCell ref="AF22:AL22"/>
    <mergeCell ref="AM22:AS22"/>
    <mergeCell ref="AT22:AZ22"/>
    <mergeCell ref="BA22:BG22"/>
    <mergeCell ref="BH22:BN22"/>
    <mergeCell ref="AT15:AZ15"/>
    <mergeCell ref="BA15:BG15"/>
    <mergeCell ref="BH15:BN15"/>
    <mergeCell ref="BO15:BU15"/>
    <mergeCell ref="BV15:CB15"/>
    <mergeCell ref="CC15:CI15"/>
    <mergeCell ref="CC14:CI14"/>
    <mergeCell ref="D15:J15"/>
    <mergeCell ref="K15:Q15"/>
    <mergeCell ref="R15:X15"/>
    <mergeCell ref="Y15:AE15"/>
    <mergeCell ref="AF15:AL15"/>
    <mergeCell ref="AM15:AS15"/>
    <mergeCell ref="AM14:AS14"/>
    <mergeCell ref="AT14:AZ14"/>
    <mergeCell ref="BA14:BG14"/>
    <mergeCell ref="BH14:BN14"/>
    <mergeCell ref="BO14:BU14"/>
    <mergeCell ref="BV14:CB14"/>
    <mergeCell ref="D14:J14"/>
    <mergeCell ref="K14:Q14"/>
    <mergeCell ref="R14:X14"/>
    <mergeCell ref="Y14:AE14"/>
    <mergeCell ref="AF14:AL14"/>
    <mergeCell ref="CC12:CI12"/>
    <mergeCell ref="D13:J13"/>
    <mergeCell ref="K13:Q13"/>
    <mergeCell ref="R13:X13"/>
    <mergeCell ref="Y13:AE13"/>
    <mergeCell ref="Y12:AE12"/>
    <mergeCell ref="AF12:AL12"/>
    <mergeCell ref="AM12:AS12"/>
    <mergeCell ref="AT12:AZ12"/>
    <mergeCell ref="BA12:BG12"/>
    <mergeCell ref="BH12:BN12"/>
    <mergeCell ref="BV13:CB13"/>
    <mergeCell ref="CC13:CI13"/>
    <mergeCell ref="AM13:AS13"/>
    <mergeCell ref="AT13:AZ13"/>
    <mergeCell ref="BA13:BG13"/>
    <mergeCell ref="BH13:BN13"/>
    <mergeCell ref="BO13:BU13"/>
    <mergeCell ref="D12:J12"/>
    <mergeCell ref="K12:Q12"/>
    <mergeCell ref="AF13:AL13"/>
    <mergeCell ref="BO12:BU12"/>
    <mergeCell ref="BV12:CB12"/>
    <mergeCell ref="R12:X12"/>
    <mergeCell ref="BV10:CB10"/>
    <mergeCell ref="CC10:CI10"/>
    <mergeCell ref="D11:J11"/>
    <mergeCell ref="K11:Q11"/>
    <mergeCell ref="R10:X10"/>
    <mergeCell ref="Y10:AE10"/>
    <mergeCell ref="AF10:AL10"/>
    <mergeCell ref="AM10:AS10"/>
    <mergeCell ref="AT10:AZ10"/>
    <mergeCell ref="BH11:BN11"/>
    <mergeCell ref="BO11:BU11"/>
    <mergeCell ref="BV11:CB11"/>
    <mergeCell ref="CC11:CI11"/>
    <mergeCell ref="AM11:AS11"/>
    <mergeCell ref="AT11:AZ11"/>
    <mergeCell ref="BA11:BG11"/>
    <mergeCell ref="A1:M1"/>
    <mergeCell ref="A2:AC3"/>
    <mergeCell ref="D10:J10"/>
    <mergeCell ref="K10:Q10"/>
    <mergeCell ref="BA10:BG10"/>
    <mergeCell ref="BH10:BN10"/>
    <mergeCell ref="BO10:BU10"/>
    <mergeCell ref="R11:X11"/>
    <mergeCell ref="Y11:AE11"/>
    <mergeCell ref="AF11:AL11"/>
  </mergeCells>
  <phoneticPr fontId="57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375E865F-471A-4ACB-9D0F-F56F60D97D62}">
      <formula1>#REF!</formula1>
    </dataValidation>
  </dataValidations>
  <pageMargins left="0.7" right="0.7" top="0.75" bottom="0.75" header="0.3" footer="0.3"/>
  <pageSetup paperSize="9" scale="21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選択画面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85" customHeight="1"/>
    <row r="5" spans="1:59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45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164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0999999999999996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35</v>
      </c>
      <c r="E12" s="28" t="s">
        <v>165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166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34</v>
      </c>
      <c r="E16" s="28" t="s">
        <v>131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34</v>
      </c>
      <c r="E18" s="31" t="s">
        <v>167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168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34</v>
      </c>
      <c r="E22" s="28" t="s">
        <v>132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34</v>
      </c>
      <c r="E24" s="28" t="s">
        <v>133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0999999999999996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43"/>
      <c r="K38" s="943"/>
      <c r="L38" s="943"/>
      <c r="M38" s="943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43"/>
      <c r="K39" s="943"/>
      <c r="L39" s="943"/>
      <c r="M39" s="943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円(PPM)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85" customHeight="1"/>
    <row r="5" spans="1:59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62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71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283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286</v>
      </c>
      <c r="E40" s="28"/>
      <c r="F40" s="28"/>
      <c r="G40" s="28"/>
      <c r="H40" s="86" t="s">
        <v>138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31</v>
      </c>
      <c r="D41" s="205" t="s">
        <v>63</v>
      </c>
      <c r="E41" s="206"/>
      <c r="F41" s="206"/>
      <c r="G41" s="207"/>
      <c r="H41" s="208" t="s">
        <v>72</v>
      </c>
      <c r="I41" s="209"/>
      <c r="J41" s="209"/>
      <c r="K41" s="209"/>
      <c r="L41" s="206"/>
      <c r="M41" s="207"/>
      <c r="N41" s="205" t="s">
        <v>73</v>
      </c>
      <c r="O41" s="206"/>
      <c r="P41" s="206"/>
      <c r="Q41" s="207"/>
      <c r="R41" s="205" t="s">
        <v>74</v>
      </c>
      <c r="S41" s="206"/>
      <c r="T41" s="206"/>
      <c r="U41" s="206"/>
      <c r="V41" s="210" t="s">
        <v>86</v>
      </c>
      <c r="W41" s="211"/>
      <c r="X41" s="211"/>
      <c r="Y41" s="212"/>
      <c r="Z41" s="211" t="s">
        <v>88</v>
      </c>
      <c r="AA41" s="211"/>
      <c r="AB41" s="211"/>
      <c r="AC41" s="212"/>
      <c r="AD41" s="211" t="s">
        <v>75</v>
      </c>
      <c r="AE41" s="211"/>
      <c r="AF41" s="211"/>
      <c r="AG41" s="212"/>
      <c r="AH41" s="210" t="s">
        <v>76</v>
      </c>
      <c r="AI41" s="211"/>
      <c r="AJ41" s="211"/>
      <c r="AK41" s="211"/>
      <c r="AL41" s="212"/>
      <c r="AM41" s="210" t="s">
        <v>82</v>
      </c>
      <c r="AN41" s="211"/>
      <c r="AO41" s="211"/>
      <c r="AP41" s="212"/>
      <c r="AQ41" s="211" t="s">
        <v>84</v>
      </c>
      <c r="AR41" s="211"/>
      <c r="AS41" s="212"/>
      <c r="AT41" s="305" t="s">
        <v>85</v>
      </c>
      <c r="AU41" s="211"/>
      <c r="AV41" s="211"/>
      <c r="AW41" s="212"/>
      <c r="AX41" s="211" t="s">
        <v>68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29</v>
      </c>
      <c r="E42" s="216"/>
      <c r="F42" s="214"/>
      <c r="G42" s="215"/>
      <c r="H42" s="213" t="s">
        <v>29</v>
      </c>
      <c r="I42" s="216"/>
      <c r="J42" s="216"/>
      <c r="K42" s="216"/>
      <c r="L42" s="214"/>
      <c r="M42" s="215"/>
      <c r="N42" s="213" t="s">
        <v>29</v>
      </c>
      <c r="O42" s="214"/>
      <c r="P42" s="214"/>
      <c r="Q42" s="215"/>
      <c r="R42" s="213" t="s">
        <v>29</v>
      </c>
      <c r="S42" s="216"/>
      <c r="T42" s="214"/>
      <c r="U42" s="214"/>
      <c r="V42" s="217" t="s">
        <v>87</v>
      </c>
      <c r="W42" s="218"/>
      <c r="X42" s="219"/>
      <c r="Y42" s="220"/>
      <c r="Z42" s="218" t="s">
        <v>42</v>
      </c>
      <c r="AA42" s="218"/>
      <c r="AB42" s="219"/>
      <c r="AC42" s="220"/>
      <c r="AD42" s="218" t="s">
        <v>42</v>
      </c>
      <c r="AE42" s="218"/>
      <c r="AF42" s="219"/>
      <c r="AG42" s="220"/>
      <c r="AH42" s="217" t="s">
        <v>29</v>
      </c>
      <c r="AI42" s="218"/>
      <c r="AJ42" s="218"/>
      <c r="AK42" s="219"/>
      <c r="AL42" s="220"/>
      <c r="AM42" s="217" t="s">
        <v>42</v>
      </c>
      <c r="AN42" s="218"/>
      <c r="AO42" s="219"/>
      <c r="AP42" s="220"/>
      <c r="AQ42" s="218" t="s">
        <v>42</v>
      </c>
      <c r="AR42" s="218"/>
      <c r="AS42" s="220"/>
      <c r="AT42" s="307" t="s">
        <v>42</v>
      </c>
      <c r="AU42" s="218"/>
      <c r="AV42" s="219"/>
      <c r="AW42" s="220"/>
      <c r="AX42" s="218" t="s">
        <v>42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89</v>
      </c>
      <c r="E43" s="149"/>
      <c r="F43" s="149"/>
      <c r="G43" s="151"/>
      <c r="H43" s="242" t="s">
        <v>90</v>
      </c>
      <c r="I43" s="150"/>
      <c r="J43" s="150"/>
      <c r="K43" s="150"/>
      <c r="L43" s="161"/>
      <c r="M43" s="162"/>
      <c r="N43" s="242" t="s">
        <v>91</v>
      </c>
      <c r="O43" s="150"/>
      <c r="P43" s="150"/>
      <c r="Q43" s="99" t="s">
        <v>32</v>
      </c>
      <c r="R43" s="956">
        <v>5000</v>
      </c>
      <c r="S43" s="957"/>
      <c r="T43" s="957"/>
      <c r="U43" s="958"/>
      <c r="V43" s="944">
        <v>122.5</v>
      </c>
      <c r="W43" s="966"/>
      <c r="X43" s="966"/>
      <c r="Y43" s="967"/>
      <c r="Z43" s="944">
        <v>125</v>
      </c>
      <c r="AA43" s="966"/>
      <c r="AB43" s="966"/>
      <c r="AC43" s="967"/>
      <c r="AD43" s="944">
        <v>124</v>
      </c>
      <c r="AE43" s="966"/>
      <c r="AF43" s="966"/>
      <c r="AG43" s="967"/>
      <c r="AH43" s="944">
        <v>94.52</v>
      </c>
      <c r="AI43" s="966"/>
      <c r="AJ43" s="966"/>
      <c r="AK43" s="966"/>
      <c r="AL43" s="967"/>
      <c r="AM43" s="944">
        <v>125</v>
      </c>
      <c r="AN43" s="966"/>
      <c r="AO43" s="966"/>
      <c r="AP43" s="967"/>
      <c r="AQ43" s="968">
        <v>10.3</v>
      </c>
      <c r="AR43" s="969"/>
      <c r="AS43" s="970"/>
      <c r="AT43" s="309" t="s">
        <v>95</v>
      </c>
      <c r="AU43" s="150"/>
      <c r="AV43" s="150"/>
      <c r="AW43" s="152"/>
      <c r="AX43" s="149" t="s">
        <v>29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93</v>
      </c>
      <c r="E44" s="149"/>
      <c r="F44" s="149"/>
      <c r="G44" s="151"/>
      <c r="H44" s="242" t="s">
        <v>94</v>
      </c>
      <c r="I44" s="150"/>
      <c r="J44" s="150"/>
      <c r="K44" s="150"/>
      <c r="L44" s="161"/>
      <c r="M44" s="162"/>
      <c r="N44" s="242" t="s">
        <v>91</v>
      </c>
      <c r="O44" s="150"/>
      <c r="P44" s="150"/>
      <c r="Q44" s="99" t="s">
        <v>32</v>
      </c>
      <c r="R44" s="956">
        <v>5000</v>
      </c>
      <c r="S44" s="957"/>
      <c r="T44" s="957"/>
      <c r="U44" s="958"/>
      <c r="V44" s="944">
        <v>39</v>
      </c>
      <c r="W44" s="966"/>
      <c r="X44" s="966"/>
      <c r="Y44" s="967"/>
      <c r="Z44" s="944">
        <v>40</v>
      </c>
      <c r="AA44" s="966"/>
      <c r="AB44" s="966"/>
      <c r="AC44" s="967"/>
      <c r="AD44" s="944">
        <v>40</v>
      </c>
      <c r="AE44" s="966"/>
      <c r="AF44" s="966"/>
      <c r="AG44" s="967"/>
      <c r="AH44" s="944">
        <v>36.89</v>
      </c>
      <c r="AI44" s="966"/>
      <c r="AJ44" s="966"/>
      <c r="AK44" s="966"/>
      <c r="AL44" s="967"/>
      <c r="AM44" s="944">
        <v>41</v>
      </c>
      <c r="AN44" s="966"/>
      <c r="AO44" s="966"/>
      <c r="AP44" s="967"/>
      <c r="AQ44" s="968">
        <v>12.3</v>
      </c>
      <c r="AR44" s="969"/>
      <c r="AS44" s="970"/>
      <c r="AT44" s="309" t="s">
        <v>96</v>
      </c>
      <c r="AU44" s="150"/>
      <c r="AV44" s="150"/>
      <c r="AW44" s="152"/>
      <c r="AX44" s="149" t="s">
        <v>29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243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0999999999999996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77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71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0999999999999996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31</v>
      </c>
      <c r="D57" s="234" t="s">
        <v>258</v>
      </c>
      <c r="E57" s="235"/>
      <c r="F57" s="234" t="s">
        <v>63</v>
      </c>
      <c r="G57" s="235"/>
      <c r="H57" s="235"/>
      <c r="I57" s="236"/>
      <c r="J57" s="237" t="s">
        <v>33</v>
      </c>
      <c r="K57" s="238"/>
      <c r="L57" s="238"/>
      <c r="M57" s="238"/>
      <c r="N57" s="235"/>
      <c r="O57" s="236"/>
      <c r="P57" s="239" t="s">
        <v>66</v>
      </c>
      <c r="Q57" s="240"/>
      <c r="R57" s="240"/>
      <c r="S57" s="241"/>
      <c r="T57" s="234" t="s">
        <v>78</v>
      </c>
      <c r="U57" s="235"/>
      <c r="V57" s="235"/>
      <c r="W57" s="236"/>
      <c r="X57" s="234" t="s">
        <v>79</v>
      </c>
      <c r="Y57" s="235"/>
      <c r="Z57" s="235"/>
      <c r="AA57" s="235"/>
      <c r="AB57" s="239" t="s">
        <v>64</v>
      </c>
      <c r="AC57" s="240"/>
      <c r="AD57" s="240"/>
      <c r="AE57" s="240"/>
      <c r="AF57" s="241"/>
      <c r="AG57" s="240" t="s">
        <v>67</v>
      </c>
      <c r="AH57" s="240"/>
      <c r="AI57" s="240"/>
      <c r="AJ57" s="241"/>
      <c r="AK57" s="240" t="s">
        <v>65</v>
      </c>
      <c r="AL57" s="240"/>
      <c r="AM57" s="240"/>
      <c r="AN57" s="241"/>
      <c r="AO57" s="239" t="s">
        <v>80</v>
      </c>
      <c r="AP57" s="240"/>
      <c r="AQ57" s="240"/>
      <c r="AR57" s="241"/>
      <c r="AS57" s="239" t="s">
        <v>81</v>
      </c>
      <c r="AT57" s="240"/>
      <c r="AU57" s="240"/>
      <c r="AV57" s="240"/>
      <c r="AW57" s="239" t="s">
        <v>82</v>
      </c>
      <c r="AX57" s="240"/>
      <c r="AY57" s="240"/>
      <c r="AZ57" s="241"/>
      <c r="BA57" s="239" t="s">
        <v>83</v>
      </c>
      <c r="BB57" s="240"/>
      <c r="BC57" s="240"/>
      <c r="BD57" s="241"/>
      <c r="BE57" s="240" t="s">
        <v>84</v>
      </c>
      <c r="BF57" s="240"/>
      <c r="BG57" s="241"/>
      <c r="BH57" s="240" t="s">
        <v>85</v>
      </c>
      <c r="BI57" s="240"/>
      <c r="BJ57" s="240"/>
      <c r="BK57" s="241"/>
      <c r="BL57" s="240" t="s">
        <v>68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92</v>
      </c>
      <c r="Q58" s="150"/>
      <c r="R58" s="150"/>
      <c r="S58" s="162"/>
      <c r="T58" s="956">
        <f>R43</f>
        <v>5000</v>
      </c>
      <c r="U58" s="957"/>
      <c r="V58" s="957"/>
      <c r="W58" s="958"/>
      <c r="X58" s="953">
        <f>AH43</f>
        <v>94.52</v>
      </c>
      <c r="Y58" s="954"/>
      <c r="Z58" s="954"/>
      <c r="AA58" s="955"/>
      <c r="AB58" s="953">
        <f>V43</f>
        <v>122.5</v>
      </c>
      <c r="AC58" s="954"/>
      <c r="AD58" s="954"/>
      <c r="AE58" s="954"/>
      <c r="AF58" s="955"/>
      <c r="AG58" s="953">
        <f>Z43</f>
        <v>125</v>
      </c>
      <c r="AH58" s="954"/>
      <c r="AI58" s="954"/>
      <c r="AJ58" s="955"/>
      <c r="AK58" s="953">
        <f>AD43</f>
        <v>124</v>
      </c>
      <c r="AL58" s="954"/>
      <c r="AM58" s="954"/>
      <c r="AN58" s="955"/>
      <c r="AO58" s="950">
        <f>1-X58/AK58</f>
        <v>0.23774193548387101</v>
      </c>
      <c r="AP58" s="951"/>
      <c r="AQ58" s="951"/>
      <c r="AR58" s="952"/>
      <c r="AS58" s="977">
        <f>(AK58-AG58)/AG58</f>
        <v>-8.0000000000000002E-3</v>
      </c>
      <c r="AT58" s="978"/>
      <c r="AU58" s="978"/>
      <c r="AV58" s="979"/>
      <c r="AW58" s="148"/>
      <c r="AX58" s="150"/>
      <c r="AY58" s="150"/>
      <c r="AZ58" s="162"/>
      <c r="BA58" s="980">
        <f>1-(AD43/AM43)</f>
        <v>8.0000000000000071E-3</v>
      </c>
      <c r="BB58" s="981"/>
      <c r="BC58" s="981"/>
      <c r="BD58" s="982"/>
      <c r="BE58" s="968">
        <f>AQ43</f>
        <v>10.3</v>
      </c>
      <c r="BF58" s="969"/>
      <c r="BG58" s="970"/>
      <c r="BH58" s="149" t="str">
        <f>AT43</f>
        <v>SMK</v>
      </c>
      <c r="BI58" s="150"/>
      <c r="BJ58" s="150"/>
      <c r="BK58" s="152"/>
      <c r="BL58" s="149" t="s">
        <v>29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92</v>
      </c>
      <c r="Q59" s="150"/>
      <c r="R59" s="150"/>
      <c r="S59" s="162"/>
      <c r="T59" s="956">
        <f>R44</f>
        <v>5000</v>
      </c>
      <c r="U59" s="957"/>
      <c r="V59" s="957"/>
      <c r="W59" s="958"/>
      <c r="X59" s="953">
        <f>AH44</f>
        <v>36.89</v>
      </c>
      <c r="Y59" s="954"/>
      <c r="Z59" s="954"/>
      <c r="AA59" s="955"/>
      <c r="AB59" s="953">
        <f>V44</f>
        <v>39</v>
      </c>
      <c r="AC59" s="954"/>
      <c r="AD59" s="954"/>
      <c r="AE59" s="954"/>
      <c r="AF59" s="955"/>
      <c r="AG59" s="953">
        <f>Z44</f>
        <v>40</v>
      </c>
      <c r="AH59" s="954"/>
      <c r="AI59" s="954"/>
      <c r="AJ59" s="955"/>
      <c r="AK59" s="953">
        <f>AD44</f>
        <v>40</v>
      </c>
      <c r="AL59" s="954"/>
      <c r="AM59" s="954"/>
      <c r="AN59" s="955"/>
      <c r="AO59" s="950">
        <f>1-X59/AK59</f>
        <v>7.7749999999999986E-2</v>
      </c>
      <c r="AP59" s="951"/>
      <c r="AQ59" s="951"/>
      <c r="AR59" s="952"/>
      <c r="AS59" s="977">
        <f>(AK59-AG59)/AG59</f>
        <v>0</v>
      </c>
      <c r="AT59" s="978"/>
      <c r="AU59" s="978"/>
      <c r="AV59" s="979"/>
      <c r="AW59" s="148"/>
      <c r="AX59" s="150"/>
      <c r="AY59" s="150"/>
      <c r="AZ59" s="162"/>
      <c r="BA59" s="980">
        <f>1-(AD44/AM44)</f>
        <v>2.4390243902439046E-2</v>
      </c>
      <c r="BB59" s="981"/>
      <c r="BC59" s="981"/>
      <c r="BD59" s="982"/>
      <c r="BE59" s="968">
        <f>AQ44</f>
        <v>12.3</v>
      </c>
      <c r="BF59" s="969"/>
      <c r="BG59" s="970"/>
      <c r="BH59" s="149" t="str">
        <f>AT44</f>
        <v>中国</v>
      </c>
      <c r="BI59" s="150"/>
      <c r="BJ59" s="150"/>
      <c r="BK59" s="152"/>
      <c r="BL59" s="149" t="s">
        <v>29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279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278</v>
      </c>
      <c r="E61" s="503"/>
      <c r="F61" s="504" t="s">
        <v>29</v>
      </c>
      <c r="G61" s="503"/>
      <c r="H61" s="503"/>
      <c r="I61" s="505"/>
      <c r="J61" s="504" t="s">
        <v>29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97</v>
      </c>
      <c r="AC61" s="508"/>
      <c r="AD61" s="508"/>
      <c r="AE61" s="508"/>
      <c r="AF61" s="509"/>
      <c r="AG61" s="508" t="s">
        <v>257</v>
      </c>
      <c r="AH61" s="503"/>
      <c r="AI61" s="503"/>
      <c r="AJ61" s="503"/>
      <c r="AK61" s="510" t="s">
        <v>98</v>
      </c>
      <c r="AL61" s="508"/>
      <c r="AM61" s="508"/>
      <c r="AN61" s="509"/>
      <c r="AO61" s="507" t="s">
        <v>80</v>
      </c>
      <c r="AP61" s="508"/>
      <c r="AQ61" s="508"/>
      <c r="AR61" s="509"/>
      <c r="AS61" s="507" t="s">
        <v>81</v>
      </c>
      <c r="AT61" s="508"/>
      <c r="AU61" s="508"/>
      <c r="AV61" s="508"/>
      <c r="AW61" s="507" t="s">
        <v>99</v>
      </c>
      <c r="AX61" s="508"/>
      <c r="AY61" s="508"/>
      <c r="AZ61" s="509"/>
      <c r="BA61" s="507" t="s">
        <v>100</v>
      </c>
      <c r="BB61" s="508"/>
      <c r="BC61" s="508"/>
      <c r="BD61" s="509"/>
      <c r="BE61" s="511" t="s">
        <v>29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91</v>
      </c>
      <c r="E62" s="149"/>
      <c r="F62" s="148" t="s">
        <v>29</v>
      </c>
      <c r="G62" s="149"/>
      <c r="H62" s="149"/>
      <c r="I62" s="151"/>
      <c r="J62" s="221" t="s">
        <v>29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944"/>
      <c r="Y62" s="945"/>
      <c r="Z62" s="945"/>
      <c r="AA62" s="946"/>
      <c r="AB62" s="947">
        <f>SUMPRODUCT($T$58:$W$59,$AK$58:$AN$59)</f>
        <v>820000</v>
      </c>
      <c r="AC62" s="948"/>
      <c r="AD62" s="948"/>
      <c r="AE62" s="948"/>
      <c r="AF62" s="949"/>
      <c r="AG62" s="953">
        <f>SUM($X$58:$AA$59)</f>
        <v>131.41</v>
      </c>
      <c r="AH62" s="954"/>
      <c r="AI62" s="954"/>
      <c r="AJ62" s="955"/>
      <c r="AK62" s="971">
        <f>AB62-SUMPRODUCT($T$58:$W$59,$X$58:$AA$59)</f>
        <v>162950</v>
      </c>
      <c r="AL62" s="972"/>
      <c r="AM62" s="972"/>
      <c r="AN62" s="973"/>
      <c r="AO62" s="950">
        <f>$AK62/$AB62</f>
        <v>0.19871951219512196</v>
      </c>
      <c r="AP62" s="951"/>
      <c r="AQ62" s="951"/>
      <c r="AR62" s="952"/>
      <c r="AS62" s="950">
        <f>AW62/($AB62-AW62)</f>
        <v>-6.0606060606060606E-3</v>
      </c>
      <c r="AT62" s="951"/>
      <c r="AU62" s="951"/>
      <c r="AV62" s="952"/>
      <c r="AW62" s="974">
        <f>$T$58*($AK$58-$AG$58)+$T$59*($AK$59-$AG$59)</f>
        <v>-5000</v>
      </c>
      <c r="AX62" s="975"/>
      <c r="AY62" s="975"/>
      <c r="AZ62" s="976"/>
      <c r="BA62" s="959">
        <f>SUMPRODUCT($T$58:$W$59,$AG$58:$AJ$59)</f>
        <v>825000</v>
      </c>
      <c r="BB62" s="960"/>
      <c r="BC62" s="960"/>
      <c r="BD62" s="961"/>
      <c r="BE62" s="148" t="s">
        <v>29</v>
      </c>
      <c r="BF62" s="150"/>
      <c r="BG62" s="150"/>
      <c r="BH62" s="152"/>
      <c r="BI62" s="149" t="s">
        <v>29</v>
      </c>
      <c r="BJ62" s="150"/>
      <c r="BK62" s="152"/>
      <c r="BL62" s="149" t="s">
        <v>29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277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29</v>
      </c>
      <c r="G64" s="244"/>
      <c r="H64" s="244"/>
      <c r="I64" s="245"/>
      <c r="J64" s="246" t="s">
        <v>29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97</v>
      </c>
      <c r="AC64" s="249"/>
      <c r="AD64" s="249"/>
      <c r="AE64" s="249"/>
      <c r="AF64" s="250"/>
      <c r="AG64" s="249" t="s">
        <v>257</v>
      </c>
      <c r="AH64" s="244"/>
      <c r="AI64" s="244"/>
      <c r="AJ64" s="244"/>
      <c r="AK64" s="330" t="s">
        <v>98</v>
      </c>
      <c r="AL64" s="249"/>
      <c r="AM64" s="249"/>
      <c r="AN64" s="250"/>
      <c r="AO64" s="248" t="s">
        <v>80</v>
      </c>
      <c r="AP64" s="249"/>
      <c r="AQ64" s="249"/>
      <c r="AR64" s="250"/>
      <c r="AS64" s="248" t="s">
        <v>81</v>
      </c>
      <c r="AT64" s="249"/>
      <c r="AU64" s="249"/>
      <c r="AV64" s="249"/>
      <c r="AW64" s="248" t="s">
        <v>99</v>
      </c>
      <c r="AX64" s="249"/>
      <c r="AY64" s="249"/>
      <c r="AZ64" s="250"/>
      <c r="BA64" s="248" t="s">
        <v>100</v>
      </c>
      <c r="BB64" s="249"/>
      <c r="BC64" s="249"/>
      <c r="BD64" s="250"/>
      <c r="BE64" s="253" t="s">
        <v>29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944"/>
      <c r="Y65" s="945"/>
      <c r="Z65" s="945"/>
      <c r="AA65" s="946"/>
      <c r="AB65" s="947">
        <f>SUMPRODUCT($T$58:$W$59,$AK$58:$AN$59)</f>
        <v>820000</v>
      </c>
      <c r="AC65" s="948"/>
      <c r="AD65" s="948"/>
      <c r="AE65" s="948"/>
      <c r="AF65" s="949"/>
      <c r="AG65" s="953">
        <f>SUM($X$58:$AA$59)</f>
        <v>131.41</v>
      </c>
      <c r="AH65" s="954"/>
      <c r="AI65" s="954"/>
      <c r="AJ65" s="955"/>
      <c r="AK65" s="971">
        <f>AB65-SUMPRODUCT($T$58:$W$59,$X$58:$AA$59)</f>
        <v>162950</v>
      </c>
      <c r="AL65" s="972"/>
      <c r="AM65" s="972"/>
      <c r="AN65" s="973"/>
      <c r="AO65" s="950">
        <f>$AK65/$AB65</f>
        <v>0.19871951219512196</v>
      </c>
      <c r="AP65" s="951"/>
      <c r="AQ65" s="951"/>
      <c r="AR65" s="952"/>
      <c r="AS65" s="950">
        <f>AW65/($AB65-AW65)</f>
        <v>-6.0606060606060606E-3</v>
      </c>
      <c r="AT65" s="951"/>
      <c r="AU65" s="951"/>
      <c r="AV65" s="952"/>
      <c r="AW65" s="974">
        <f>$T$58*($AK$58-$AG$58)+$T$59*($AK$59-$AG$59)</f>
        <v>-5000</v>
      </c>
      <c r="AX65" s="975"/>
      <c r="AY65" s="975"/>
      <c r="AZ65" s="976"/>
      <c r="BA65" s="959">
        <f>SUMPRODUCT($T$58:$W$59,$AG$58:$AJ$59)</f>
        <v>825000</v>
      </c>
      <c r="BB65" s="960"/>
      <c r="BC65" s="960"/>
      <c r="BD65" s="961"/>
      <c r="BE65" s="148" t="s">
        <v>29</v>
      </c>
      <c r="BF65" s="150"/>
      <c r="BG65" s="150"/>
      <c r="BH65" s="152"/>
      <c r="BI65" s="149" t="s">
        <v>29</v>
      </c>
      <c r="BJ65" s="150"/>
      <c r="BK65" s="152"/>
      <c r="BL65" s="149" t="s">
        <v>29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962"/>
      <c r="K68" s="963"/>
      <c r="L68" s="963"/>
      <c r="M68" s="963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0999999999999996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964"/>
      <c r="K70" s="964"/>
      <c r="L70" s="964"/>
      <c r="M70" s="964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" customHeight="1">
      <c r="A71" s="22"/>
      <c r="B71" s="129"/>
      <c r="C71" s="346" t="s">
        <v>130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0999999999999996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" customHeight="1">
      <c r="A74" s="23"/>
      <c r="B74" s="351"/>
      <c r="C74" s="352"/>
      <c r="D74" s="348" t="s">
        <v>37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39</v>
      </c>
      <c r="S74" s="134"/>
      <c r="T74" s="107"/>
      <c r="U74" s="107"/>
      <c r="V74" s="133" t="s">
        <v>43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44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40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43"/>
      <c r="K77" s="943"/>
      <c r="L77" s="943"/>
      <c r="M77" s="943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295</v>
      </c>
      <c r="BC77" s="34"/>
      <c r="BD77" s="28"/>
      <c r="BG77" s="24"/>
      <c r="BH77" s="28"/>
    </row>
    <row r="78" spans="1:67" ht="14.1" customHeight="1">
      <c r="A78" s="22"/>
      <c r="B78" s="202">
        <v>35</v>
      </c>
      <c r="C78" s="346" t="s">
        <v>246</v>
      </c>
      <c r="D78" s="332"/>
      <c r="E78" s="65"/>
      <c r="F78" s="65"/>
      <c r="G78" s="65"/>
      <c r="H78" s="65"/>
      <c r="I78" s="65"/>
      <c r="J78" s="943"/>
      <c r="K78" s="943"/>
      <c r="L78" s="943"/>
      <c r="M78" s="943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" customHeight="1">
      <c r="A79" s="22"/>
      <c r="B79" s="202">
        <v>35</v>
      </c>
      <c r="C79" s="331"/>
      <c r="D79" s="478" t="s">
        <v>247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965"/>
      <c r="K80" s="965"/>
      <c r="L80" s="965"/>
      <c r="M80" s="9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0999999999999996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" customHeight="1">
      <c r="A82" s="23"/>
      <c r="B82" s="351"/>
      <c r="C82" s="282"/>
      <c r="D82" s="28" t="s">
        <v>239</v>
      </c>
      <c r="E82" s="28"/>
      <c r="F82" s="28"/>
      <c r="G82" s="28"/>
      <c r="H82" s="468" t="s">
        <v>244</v>
      </c>
      <c r="I82" s="257"/>
      <c r="J82" s="258"/>
      <c r="K82" s="258"/>
      <c r="L82" s="258"/>
      <c r="M82" s="259"/>
      <c r="N82" s="258"/>
      <c r="O82" s="110"/>
      <c r="P82" s="261" t="s">
        <v>32</v>
      </c>
      <c r="Q82" s="25"/>
      <c r="R82" s="469" t="s">
        <v>245</v>
      </c>
      <c r="S82" s="470"/>
      <c r="T82" s="471"/>
      <c r="U82" s="471"/>
      <c r="V82" s="483"/>
      <c r="W82" s="472"/>
      <c r="X82" s="471"/>
      <c r="Y82" s="473"/>
      <c r="Z82" s="474"/>
      <c r="AB82" s="469" t="s">
        <v>287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" customHeight="1">
      <c r="A83" s="23"/>
      <c r="B83" s="351"/>
      <c r="C83" s="282"/>
      <c r="D83" s="28"/>
      <c r="E83" s="28"/>
      <c r="F83" s="28"/>
      <c r="G83" s="28"/>
      <c r="H83" s="469" t="s">
        <v>53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0999999999999996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0999999999999996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" customHeight="1">
      <c r="A86" s="22"/>
      <c r="B86" s="202">
        <v>35</v>
      </c>
      <c r="C86" s="62" t="s">
        <v>242</v>
      </c>
      <c r="D86" s="332"/>
      <c r="E86" s="65"/>
      <c r="F86" s="65"/>
      <c r="G86" s="65"/>
      <c r="H86" s="65"/>
      <c r="I86" s="65"/>
      <c r="J86" s="943"/>
      <c r="K86" s="943"/>
      <c r="L86" s="943"/>
      <c r="M86" s="943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0999999999999996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" customHeight="1">
      <c r="A88" s="23"/>
      <c r="B88" s="351"/>
      <c r="C88" s="282"/>
      <c r="D88" s="28" t="s">
        <v>239</v>
      </c>
      <c r="E88" s="28"/>
      <c r="F88" s="28"/>
      <c r="G88" s="28"/>
      <c r="H88" s="468" t="s">
        <v>240</v>
      </c>
      <c r="I88" s="257"/>
      <c r="J88" s="258"/>
      <c r="K88" s="258"/>
      <c r="L88" s="258"/>
      <c r="M88" s="259"/>
      <c r="N88" s="258"/>
      <c r="O88" s="110"/>
      <c r="P88" s="261" t="s">
        <v>32</v>
      </c>
      <c r="Q88" s="25"/>
      <c r="R88" s="469" t="s">
        <v>241</v>
      </c>
      <c r="S88" s="470"/>
      <c r="T88" s="471"/>
      <c r="U88" s="471"/>
      <c r="V88" s="483"/>
      <c r="W88" s="484" t="s">
        <v>253</v>
      </c>
      <c r="X88" s="471"/>
      <c r="Y88" s="473"/>
      <c r="Z88" s="474"/>
      <c r="AB88" s="529" t="s">
        <v>288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" customHeight="1">
      <c r="A89" s="23"/>
      <c r="B89" s="351"/>
      <c r="C89" s="282"/>
      <c r="D89" s="28"/>
      <c r="E89" s="28"/>
      <c r="F89" s="28"/>
      <c r="G89" s="28"/>
      <c r="H89" s="469" t="s">
        <v>252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0999999999999996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0999999999999996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" customHeight="1">
      <c r="A92" s="22"/>
      <c r="B92" s="202">
        <v>35</v>
      </c>
      <c r="C92" s="62" t="s">
        <v>242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" customHeight="1">
      <c r="A94" s="22"/>
      <c r="B94" s="202">
        <v>35</v>
      </c>
      <c r="C94" s="346" t="s">
        <v>248</v>
      </c>
      <c r="D94" s="332"/>
      <c r="E94" s="65"/>
      <c r="F94" s="65"/>
      <c r="G94" s="65"/>
      <c r="H94" s="65"/>
      <c r="I94" s="65"/>
      <c r="J94" s="943"/>
      <c r="K94" s="943"/>
      <c r="L94" s="943"/>
      <c r="M94" s="943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0999999999999996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249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251</v>
      </c>
      <c r="I97" s="131"/>
      <c r="J97" s="131"/>
      <c r="K97" s="131"/>
      <c r="L97" s="132"/>
      <c r="M97" s="132"/>
      <c r="N97" s="106"/>
      <c r="O97" s="133"/>
      <c r="P97" s="134"/>
      <c r="Q97" s="133" t="s">
        <v>250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43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254</v>
      </c>
      <c r="I98" s="137"/>
      <c r="J98" s="137"/>
      <c r="K98" s="137"/>
      <c r="L98" s="137"/>
      <c r="M98" s="137"/>
      <c r="N98" s="137"/>
      <c r="O98" s="350"/>
      <c r="P98" s="139"/>
      <c r="Q98" s="486" t="s">
        <v>53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255</v>
      </c>
      <c r="I99" s="137"/>
      <c r="J99" s="137"/>
      <c r="K99" s="137"/>
      <c r="L99" s="137"/>
      <c r="M99" s="137"/>
      <c r="N99" s="137"/>
      <c r="O99" s="350"/>
      <c r="P99" s="139"/>
      <c r="Q99" s="486" t="s">
        <v>53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256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53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43"/>
      <c r="K103" s="943"/>
      <c r="L103" s="943"/>
      <c r="M103" s="943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43"/>
      <c r="K104" s="943"/>
      <c r="L104" s="943"/>
      <c r="M104" s="943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BA62:BD62"/>
    <mergeCell ref="AG62:AJ62"/>
    <mergeCell ref="AK62:AN62"/>
    <mergeCell ref="AO62:AR62"/>
    <mergeCell ref="AS62:AV62"/>
    <mergeCell ref="AW62:AZ62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R43:U43"/>
    <mergeCell ref="R44:U44"/>
    <mergeCell ref="V43:Y43"/>
    <mergeCell ref="V44:Y44"/>
    <mergeCell ref="Z43:AC43"/>
    <mergeCell ref="Z44:AC44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T58:W58"/>
    <mergeCell ref="T59:W59"/>
    <mergeCell ref="AG59:AJ59"/>
    <mergeCell ref="AK58:AN58"/>
    <mergeCell ref="AK59:AN59"/>
    <mergeCell ref="X62:AA62"/>
    <mergeCell ref="AB62:AF62"/>
    <mergeCell ref="AO59:AR59"/>
    <mergeCell ref="AB58:AF58"/>
    <mergeCell ref="AB59:AF59"/>
  </mergeCells>
  <phoneticPr fontId="57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円(技術原計)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85" customHeight="1"/>
    <row r="5" spans="1:59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62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71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286</v>
      </c>
      <c r="E39" s="28"/>
      <c r="F39" s="28"/>
      <c r="G39" s="28"/>
      <c r="H39" s="86" t="s">
        <v>127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31</v>
      </c>
      <c r="D40" s="205" t="s">
        <v>63</v>
      </c>
      <c r="E40" s="206"/>
      <c r="F40" s="206"/>
      <c r="G40" s="207"/>
      <c r="H40" s="208" t="s">
        <v>72</v>
      </c>
      <c r="I40" s="209"/>
      <c r="J40" s="209"/>
      <c r="K40" s="209"/>
      <c r="L40" s="206"/>
      <c r="M40" s="207"/>
      <c r="N40" s="205" t="s">
        <v>73</v>
      </c>
      <c r="O40" s="206"/>
      <c r="P40" s="206"/>
      <c r="Q40" s="207"/>
      <c r="R40" s="205" t="s">
        <v>74</v>
      </c>
      <c r="S40" s="206"/>
      <c r="T40" s="206"/>
      <c r="U40" s="206"/>
      <c r="V40" s="210" t="s">
        <v>86</v>
      </c>
      <c r="W40" s="211"/>
      <c r="X40" s="211"/>
      <c r="Y40" s="212"/>
      <c r="Z40" s="211" t="s">
        <v>88</v>
      </c>
      <c r="AA40" s="211"/>
      <c r="AB40" s="211"/>
      <c r="AC40" s="212"/>
      <c r="AD40" s="211" t="s">
        <v>75</v>
      </c>
      <c r="AE40" s="211"/>
      <c r="AF40" s="211"/>
      <c r="AG40" s="212"/>
      <c r="AH40" s="210" t="s">
        <v>276</v>
      </c>
      <c r="AI40" s="211"/>
      <c r="AJ40" s="211"/>
      <c r="AK40" s="211"/>
      <c r="AL40" s="212"/>
      <c r="AM40" s="210" t="s">
        <v>104</v>
      </c>
      <c r="AN40" s="211"/>
      <c r="AO40" s="211"/>
      <c r="AP40" s="211"/>
      <c r="AQ40" s="210" t="s">
        <v>82</v>
      </c>
      <c r="AR40" s="211"/>
      <c r="AS40" s="211"/>
      <c r="AT40" s="212"/>
      <c r="AU40" s="211" t="s">
        <v>84</v>
      </c>
      <c r="AV40" s="211"/>
      <c r="AW40" s="212"/>
      <c r="AX40" s="305" t="s">
        <v>85</v>
      </c>
      <c r="AY40" s="211"/>
      <c r="AZ40" s="211"/>
      <c r="BA40" s="212"/>
      <c r="BB40" s="211" t="s">
        <v>68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29</v>
      </c>
      <c r="E41" s="216"/>
      <c r="F41" s="214"/>
      <c r="G41" s="215"/>
      <c r="H41" s="213" t="s">
        <v>29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29</v>
      </c>
      <c r="S41" s="216"/>
      <c r="T41" s="214"/>
      <c r="U41" s="214"/>
      <c r="V41" s="217" t="s">
        <v>87</v>
      </c>
      <c r="W41" s="218"/>
      <c r="X41" s="219"/>
      <c r="Y41" s="220"/>
      <c r="Z41" s="218" t="s">
        <v>42</v>
      </c>
      <c r="AA41" s="218"/>
      <c r="AB41" s="219"/>
      <c r="AC41" s="220"/>
      <c r="AD41" s="218" t="s">
        <v>42</v>
      </c>
      <c r="AE41" s="218"/>
      <c r="AF41" s="219"/>
      <c r="AG41" s="220"/>
      <c r="AH41" s="217" t="s">
        <v>29</v>
      </c>
      <c r="AI41" s="218"/>
      <c r="AJ41" s="218"/>
      <c r="AK41" s="219"/>
      <c r="AL41" s="220"/>
      <c r="AM41" s="217" t="s">
        <v>42</v>
      </c>
      <c r="AN41" s="218"/>
      <c r="AO41" s="219"/>
      <c r="AP41" s="219"/>
      <c r="AQ41" s="217" t="s">
        <v>42</v>
      </c>
      <c r="AR41" s="218"/>
      <c r="AS41" s="219"/>
      <c r="AT41" s="220"/>
      <c r="AU41" s="218" t="s">
        <v>42</v>
      </c>
      <c r="AV41" s="218"/>
      <c r="AW41" s="220"/>
      <c r="AX41" s="307" t="s">
        <v>42</v>
      </c>
      <c r="AY41" s="218"/>
      <c r="AZ41" s="219"/>
      <c r="BA41" s="220"/>
      <c r="BB41" s="218" t="s">
        <v>42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134</v>
      </c>
      <c r="E42" s="149"/>
      <c r="F42" s="149"/>
      <c r="G42" s="151"/>
      <c r="H42" s="242" t="s">
        <v>136</v>
      </c>
      <c r="I42" s="150"/>
      <c r="J42" s="150"/>
      <c r="K42" s="150"/>
      <c r="L42" s="161"/>
      <c r="M42" s="162"/>
      <c r="N42" s="242" t="s">
        <v>91</v>
      </c>
      <c r="O42" s="150"/>
      <c r="P42" s="150"/>
      <c r="Q42" s="99" t="s">
        <v>32</v>
      </c>
      <c r="R42" s="956">
        <v>1000</v>
      </c>
      <c r="S42" s="957"/>
      <c r="T42" s="957"/>
      <c r="U42" s="958"/>
      <c r="V42" s="944">
        <v>980</v>
      </c>
      <c r="W42" s="966"/>
      <c r="X42" s="966"/>
      <c r="Y42" s="967"/>
      <c r="Z42" s="944">
        <v>1610</v>
      </c>
      <c r="AA42" s="966"/>
      <c r="AB42" s="966"/>
      <c r="AC42" s="967"/>
      <c r="AD42" s="944">
        <v>1035</v>
      </c>
      <c r="AE42" s="966"/>
      <c r="AF42" s="966"/>
      <c r="AG42" s="967"/>
      <c r="AH42" s="944">
        <v>510.27</v>
      </c>
      <c r="AI42" s="966"/>
      <c r="AJ42" s="966"/>
      <c r="AK42" s="966"/>
      <c r="AL42" s="967"/>
      <c r="AM42" s="944">
        <v>796.03</v>
      </c>
      <c r="AN42" s="966"/>
      <c r="AO42" s="966"/>
      <c r="AP42" s="967"/>
      <c r="AQ42" s="944"/>
      <c r="AR42" s="966"/>
      <c r="AS42" s="966"/>
      <c r="AT42" s="967"/>
      <c r="AU42" s="968">
        <v>64.7</v>
      </c>
      <c r="AV42" s="969"/>
      <c r="AW42" s="970"/>
      <c r="AX42" s="309" t="s">
        <v>139</v>
      </c>
      <c r="AY42" s="150"/>
      <c r="AZ42" s="150"/>
      <c r="BA42" s="152"/>
      <c r="BB42" s="149" t="s">
        <v>29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135</v>
      </c>
      <c r="E43" s="149"/>
      <c r="F43" s="149"/>
      <c r="G43" s="151"/>
      <c r="H43" s="242" t="s">
        <v>137</v>
      </c>
      <c r="I43" s="150"/>
      <c r="J43" s="150"/>
      <c r="K43" s="150"/>
      <c r="L43" s="161"/>
      <c r="M43" s="162"/>
      <c r="N43" s="242" t="s">
        <v>91</v>
      </c>
      <c r="O43" s="150"/>
      <c r="P43" s="150"/>
      <c r="Q43" s="99" t="s">
        <v>32</v>
      </c>
      <c r="R43" s="956">
        <v>500</v>
      </c>
      <c r="S43" s="957"/>
      <c r="T43" s="957"/>
      <c r="U43" s="958"/>
      <c r="V43" s="944">
        <v>500</v>
      </c>
      <c r="W43" s="966"/>
      <c r="X43" s="966"/>
      <c r="Y43" s="967"/>
      <c r="Z43" s="944">
        <v>794</v>
      </c>
      <c r="AA43" s="966"/>
      <c r="AB43" s="966"/>
      <c r="AC43" s="967"/>
      <c r="AD43" s="944">
        <v>630</v>
      </c>
      <c r="AE43" s="966"/>
      <c r="AF43" s="966"/>
      <c r="AG43" s="967"/>
      <c r="AH43" s="944">
        <v>247.92</v>
      </c>
      <c r="AI43" s="966"/>
      <c r="AJ43" s="966"/>
      <c r="AK43" s="966"/>
      <c r="AL43" s="967"/>
      <c r="AM43" s="944">
        <v>483.47</v>
      </c>
      <c r="AN43" s="966"/>
      <c r="AO43" s="966"/>
      <c r="AP43" s="967"/>
      <c r="AQ43" s="944"/>
      <c r="AR43" s="966"/>
      <c r="AS43" s="966"/>
      <c r="AT43" s="967"/>
      <c r="AU43" s="968">
        <v>39.4</v>
      </c>
      <c r="AV43" s="969"/>
      <c r="AW43" s="970"/>
      <c r="AX43" s="309" t="s">
        <v>139</v>
      </c>
      <c r="AY43" s="150"/>
      <c r="AZ43" s="150"/>
      <c r="BA43" s="152"/>
      <c r="BB43" s="149" t="s">
        <v>29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70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0999999999999996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77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71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0999999999999996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31</v>
      </c>
      <c r="D56" s="234" t="s">
        <v>258</v>
      </c>
      <c r="E56" s="235"/>
      <c r="F56" s="234" t="s">
        <v>63</v>
      </c>
      <c r="G56" s="235"/>
      <c r="H56" s="235"/>
      <c r="I56" s="236"/>
      <c r="J56" s="237" t="s">
        <v>33</v>
      </c>
      <c r="K56" s="238"/>
      <c r="L56" s="238"/>
      <c r="M56" s="238"/>
      <c r="N56" s="235"/>
      <c r="O56" s="236"/>
      <c r="P56" s="239" t="s">
        <v>66</v>
      </c>
      <c r="Q56" s="240"/>
      <c r="R56" s="240"/>
      <c r="S56" s="241"/>
      <c r="T56" s="234" t="s">
        <v>78</v>
      </c>
      <c r="U56" s="235"/>
      <c r="V56" s="235"/>
      <c r="W56" s="236"/>
      <c r="X56" s="234" t="s">
        <v>223</v>
      </c>
      <c r="Y56" s="235"/>
      <c r="Z56" s="235"/>
      <c r="AA56" s="235"/>
      <c r="AB56" s="239" t="s">
        <v>64</v>
      </c>
      <c r="AC56" s="240"/>
      <c r="AD56" s="240"/>
      <c r="AE56" s="240"/>
      <c r="AF56" s="241"/>
      <c r="AG56" s="240" t="s">
        <v>67</v>
      </c>
      <c r="AH56" s="240"/>
      <c r="AI56" s="240"/>
      <c r="AJ56" s="241"/>
      <c r="AK56" s="240" t="s">
        <v>65</v>
      </c>
      <c r="AL56" s="240"/>
      <c r="AM56" s="240"/>
      <c r="AN56" s="241"/>
      <c r="AO56" s="239" t="s">
        <v>140</v>
      </c>
      <c r="AP56" s="240"/>
      <c r="AQ56" s="240"/>
      <c r="AR56" s="241"/>
      <c r="AS56" s="239" t="s">
        <v>81</v>
      </c>
      <c r="AT56" s="240"/>
      <c r="AU56" s="240"/>
      <c r="AV56" s="240"/>
      <c r="AW56" s="239" t="s">
        <v>82</v>
      </c>
      <c r="AX56" s="240"/>
      <c r="AY56" s="240"/>
      <c r="AZ56" s="241"/>
      <c r="BA56" s="239" t="s">
        <v>83</v>
      </c>
      <c r="BB56" s="240"/>
      <c r="BC56" s="240"/>
      <c r="BD56" s="241"/>
      <c r="BE56" s="240" t="s">
        <v>84</v>
      </c>
      <c r="BF56" s="240"/>
      <c r="BG56" s="241"/>
      <c r="BH56" s="240" t="s">
        <v>85</v>
      </c>
      <c r="BI56" s="240"/>
      <c r="BJ56" s="240"/>
      <c r="BK56" s="241"/>
      <c r="BL56" s="240" t="s">
        <v>68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143</v>
      </c>
      <c r="Q57" s="150"/>
      <c r="R57" s="150"/>
      <c r="S57" s="162"/>
      <c r="T57" s="956">
        <f>R42</f>
        <v>1000</v>
      </c>
      <c r="U57" s="957"/>
      <c r="V57" s="957"/>
      <c r="W57" s="958"/>
      <c r="X57" s="984">
        <f>AH42</f>
        <v>510.27</v>
      </c>
      <c r="Y57" s="985"/>
      <c r="Z57" s="985"/>
      <c r="AA57" s="986"/>
      <c r="AB57" s="984">
        <f>V42</f>
        <v>980</v>
      </c>
      <c r="AC57" s="985"/>
      <c r="AD57" s="985"/>
      <c r="AE57" s="985"/>
      <c r="AF57" s="986"/>
      <c r="AG57" s="984">
        <f>Z42</f>
        <v>1610</v>
      </c>
      <c r="AH57" s="985"/>
      <c r="AI57" s="985"/>
      <c r="AJ57" s="986"/>
      <c r="AK57" s="984">
        <f>AD42</f>
        <v>1035</v>
      </c>
      <c r="AL57" s="985"/>
      <c r="AM57" s="985"/>
      <c r="AN57" s="986"/>
      <c r="AO57" s="980">
        <f>AD42/AM42-1</f>
        <v>0.30020225368390641</v>
      </c>
      <c r="AP57" s="981"/>
      <c r="AQ57" s="981"/>
      <c r="AR57" s="982"/>
      <c r="AS57" s="977">
        <f>(AK57-AG57)/AG57</f>
        <v>-0.35714285714285715</v>
      </c>
      <c r="AT57" s="978"/>
      <c r="AU57" s="978"/>
      <c r="AV57" s="979"/>
      <c r="AW57" s="148"/>
      <c r="AX57" s="150"/>
      <c r="AY57" s="150"/>
      <c r="AZ57" s="162"/>
      <c r="BA57" s="980" t="str">
        <f>IFERROR(1-(AD42/AQ42),"")</f>
        <v/>
      </c>
      <c r="BB57" s="981"/>
      <c r="BC57" s="981"/>
      <c r="BD57" s="982"/>
      <c r="BE57" s="968">
        <f>AU42</f>
        <v>64.7</v>
      </c>
      <c r="BF57" s="969"/>
      <c r="BG57" s="970"/>
      <c r="BH57" s="149" t="str">
        <f>AX42</f>
        <v>サンウー</v>
      </c>
      <c r="BI57" s="150"/>
      <c r="BJ57" s="150"/>
      <c r="BK57" s="152"/>
      <c r="BL57" s="149" t="s">
        <v>29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143</v>
      </c>
      <c r="Q58" s="150"/>
      <c r="R58" s="150"/>
      <c r="S58" s="162"/>
      <c r="T58" s="956">
        <f>R43</f>
        <v>500</v>
      </c>
      <c r="U58" s="957"/>
      <c r="V58" s="957"/>
      <c r="W58" s="958"/>
      <c r="X58" s="984">
        <f>AH43</f>
        <v>247.92</v>
      </c>
      <c r="Y58" s="985"/>
      <c r="Z58" s="985"/>
      <c r="AA58" s="986"/>
      <c r="AB58" s="984">
        <f>V43</f>
        <v>500</v>
      </c>
      <c r="AC58" s="985"/>
      <c r="AD58" s="985"/>
      <c r="AE58" s="985"/>
      <c r="AF58" s="986"/>
      <c r="AG58" s="984">
        <f>Z43</f>
        <v>794</v>
      </c>
      <c r="AH58" s="985"/>
      <c r="AI58" s="985"/>
      <c r="AJ58" s="986"/>
      <c r="AK58" s="984">
        <f>AD43</f>
        <v>630</v>
      </c>
      <c r="AL58" s="985"/>
      <c r="AM58" s="985"/>
      <c r="AN58" s="986"/>
      <c r="AO58" s="980">
        <f>AD43/AM43-1</f>
        <v>0.3030798188098538</v>
      </c>
      <c r="AP58" s="981"/>
      <c r="AQ58" s="981"/>
      <c r="AR58" s="982"/>
      <c r="AS58" s="977">
        <f>(AK58-AG58)/AG58</f>
        <v>-0.20654911838790932</v>
      </c>
      <c r="AT58" s="978"/>
      <c r="AU58" s="978"/>
      <c r="AV58" s="979"/>
      <c r="AW58" s="148"/>
      <c r="AX58" s="150"/>
      <c r="AY58" s="150"/>
      <c r="AZ58" s="162"/>
      <c r="BA58" s="980" t="str">
        <f>IFERROR(1-(AD43/AQ43),"")</f>
        <v/>
      </c>
      <c r="BB58" s="981"/>
      <c r="BC58" s="981"/>
      <c r="BD58" s="982"/>
      <c r="BE58" s="968">
        <f>AU43</f>
        <v>39.4</v>
      </c>
      <c r="BF58" s="969"/>
      <c r="BG58" s="970"/>
      <c r="BH58" s="149" t="str">
        <f>AX43</f>
        <v>サンウー</v>
      </c>
      <c r="BI58" s="150"/>
      <c r="BJ58" s="150"/>
      <c r="BK58" s="152"/>
      <c r="BL58" s="149" t="s">
        <v>29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279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278</v>
      </c>
      <c r="E60" s="503"/>
      <c r="F60" s="504" t="s">
        <v>29</v>
      </c>
      <c r="G60" s="503"/>
      <c r="H60" s="503"/>
      <c r="I60" s="505"/>
      <c r="J60" s="504" t="s">
        <v>29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97</v>
      </c>
      <c r="AC60" s="508"/>
      <c r="AD60" s="508"/>
      <c r="AE60" s="508"/>
      <c r="AF60" s="509"/>
      <c r="AG60" s="510" t="s">
        <v>144</v>
      </c>
      <c r="AH60" s="508"/>
      <c r="AI60" s="508"/>
      <c r="AJ60" s="509"/>
      <c r="AK60" s="510" t="s">
        <v>141</v>
      </c>
      <c r="AL60" s="508"/>
      <c r="AM60" s="508"/>
      <c r="AN60" s="509"/>
      <c r="AO60" s="507" t="s">
        <v>142</v>
      </c>
      <c r="AP60" s="508"/>
      <c r="AQ60" s="508"/>
      <c r="AR60" s="509"/>
      <c r="AS60" s="507" t="s">
        <v>81</v>
      </c>
      <c r="AT60" s="508"/>
      <c r="AU60" s="508"/>
      <c r="AV60" s="508"/>
      <c r="AW60" s="507" t="s">
        <v>99</v>
      </c>
      <c r="AX60" s="508"/>
      <c r="AY60" s="508"/>
      <c r="AZ60" s="509"/>
      <c r="BA60" s="507" t="s">
        <v>100</v>
      </c>
      <c r="BB60" s="508"/>
      <c r="BC60" s="508"/>
      <c r="BD60" s="509"/>
      <c r="BE60" s="513" t="s">
        <v>29</v>
      </c>
      <c r="BF60" s="508"/>
      <c r="BG60" s="509"/>
      <c r="BH60" s="508"/>
      <c r="BI60" s="508"/>
      <c r="BJ60" s="508"/>
      <c r="BK60" s="509"/>
      <c r="BL60" s="513" t="s">
        <v>29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91</v>
      </c>
      <c r="E61" s="149"/>
      <c r="F61" s="148" t="s">
        <v>29</v>
      </c>
      <c r="G61" s="149"/>
      <c r="H61" s="149"/>
      <c r="I61" s="151"/>
      <c r="J61" s="221" t="s">
        <v>29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944"/>
      <c r="Y61" s="945"/>
      <c r="Z61" s="945"/>
      <c r="AA61" s="946"/>
      <c r="AB61" s="947">
        <f>SUMPRODUCT($T$57:$W$58,$AK$57:$AN$58)</f>
        <v>1350000</v>
      </c>
      <c r="AC61" s="948"/>
      <c r="AD61" s="948"/>
      <c r="AE61" s="948"/>
      <c r="AF61" s="949"/>
      <c r="AG61" s="971">
        <f>SUM(AM$42:AP$43)</f>
        <v>1279.5</v>
      </c>
      <c r="AH61" s="972"/>
      <c r="AI61" s="972"/>
      <c r="AJ61" s="973"/>
      <c r="AK61" s="971">
        <f>$AB61-SUMPRODUCT($R$42:$U$43,$AM$42:$AP$43)</f>
        <v>312235</v>
      </c>
      <c r="AL61" s="972"/>
      <c r="AM61" s="972"/>
      <c r="AN61" s="973"/>
      <c r="AO61" s="950">
        <f>$AK61/($AB61-$AK61)</f>
        <v>0.30087254821660009</v>
      </c>
      <c r="AP61" s="951"/>
      <c r="AQ61" s="951"/>
      <c r="AR61" s="952"/>
      <c r="AS61" s="950">
        <f>AW61/($AB61-AW61)</f>
        <v>-0.3273542600896861</v>
      </c>
      <c r="AT61" s="951"/>
      <c r="AU61" s="951"/>
      <c r="AV61" s="952"/>
      <c r="AW61" s="974">
        <f>$T$57*($AK$57-$AG$57)+$T$58*($AK$58-$AG$58)</f>
        <v>-657000</v>
      </c>
      <c r="AX61" s="975"/>
      <c r="AY61" s="975"/>
      <c r="AZ61" s="976"/>
      <c r="BA61" s="959">
        <f>SUMPRODUCT($T$57:$W$58,$AG$57:$AJ$58)</f>
        <v>2007000</v>
      </c>
      <c r="BB61" s="960"/>
      <c r="BC61" s="960"/>
      <c r="BD61" s="961"/>
      <c r="BE61" s="149" t="s">
        <v>29</v>
      </c>
      <c r="BF61" s="150"/>
      <c r="BG61" s="152"/>
      <c r="BH61" s="149" t="s">
        <v>29</v>
      </c>
      <c r="BI61" s="150"/>
      <c r="BJ61" s="150"/>
      <c r="BK61" s="152"/>
      <c r="BL61" s="149" t="s">
        <v>29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277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29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97</v>
      </c>
      <c r="AC63" s="249"/>
      <c r="AD63" s="249"/>
      <c r="AE63" s="249"/>
      <c r="AF63" s="250"/>
      <c r="AG63" s="330" t="s">
        <v>144</v>
      </c>
      <c r="AH63" s="249"/>
      <c r="AI63" s="249"/>
      <c r="AJ63" s="250"/>
      <c r="AK63" s="330" t="s">
        <v>141</v>
      </c>
      <c r="AL63" s="249"/>
      <c r="AM63" s="249"/>
      <c r="AN63" s="250"/>
      <c r="AO63" s="248" t="s">
        <v>142</v>
      </c>
      <c r="AP63" s="249"/>
      <c r="AQ63" s="249"/>
      <c r="AR63" s="250"/>
      <c r="AS63" s="248" t="s">
        <v>81</v>
      </c>
      <c r="AT63" s="249"/>
      <c r="AU63" s="249"/>
      <c r="AV63" s="249"/>
      <c r="AW63" s="248" t="s">
        <v>99</v>
      </c>
      <c r="AX63" s="249"/>
      <c r="AY63" s="249"/>
      <c r="AZ63" s="250"/>
      <c r="BA63" s="248" t="s">
        <v>100</v>
      </c>
      <c r="BB63" s="249"/>
      <c r="BC63" s="249"/>
      <c r="BD63" s="250"/>
      <c r="BE63" s="251" t="s">
        <v>29</v>
      </c>
      <c r="BF63" s="249"/>
      <c r="BG63" s="250"/>
      <c r="BH63" s="249"/>
      <c r="BI63" s="249"/>
      <c r="BJ63" s="249"/>
      <c r="BK63" s="250"/>
      <c r="BL63" s="251" t="s">
        <v>29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944"/>
      <c r="Y64" s="945"/>
      <c r="Z64" s="945"/>
      <c r="AA64" s="946"/>
      <c r="AB64" s="947">
        <f>SUMPRODUCT($T$57:$W$58,$AK$57:$AN$58)</f>
        <v>1350000</v>
      </c>
      <c r="AC64" s="948"/>
      <c r="AD64" s="948"/>
      <c r="AE64" s="948"/>
      <c r="AF64" s="949"/>
      <c r="AG64" s="971">
        <f>SUM(AM$42:AP$43)</f>
        <v>1279.5</v>
      </c>
      <c r="AH64" s="972"/>
      <c r="AI64" s="972"/>
      <c r="AJ64" s="973"/>
      <c r="AK64" s="971">
        <f>$AB64-SUMPRODUCT($R$42:$U$43,$AM$42:$AP$43)</f>
        <v>312235</v>
      </c>
      <c r="AL64" s="972"/>
      <c r="AM64" s="972"/>
      <c r="AN64" s="973"/>
      <c r="AO64" s="950">
        <f>$AK64/($AB64-$AK64)</f>
        <v>0.30087254821660009</v>
      </c>
      <c r="AP64" s="951"/>
      <c r="AQ64" s="951"/>
      <c r="AR64" s="952"/>
      <c r="AS64" s="950">
        <f>AW64/($AB64-AW64)</f>
        <v>-0.3273542600896861</v>
      </c>
      <c r="AT64" s="951"/>
      <c r="AU64" s="951"/>
      <c r="AV64" s="952"/>
      <c r="AW64" s="974">
        <f>$T$57*($AK$57-$AG$57)+$T$58*($AK$58-$AG$58)</f>
        <v>-657000</v>
      </c>
      <c r="AX64" s="975"/>
      <c r="AY64" s="975"/>
      <c r="AZ64" s="976"/>
      <c r="BA64" s="959">
        <f>SUMPRODUCT($T$57:$W$58,$AG$57:$AJ$58)</f>
        <v>2007000</v>
      </c>
      <c r="BB64" s="960"/>
      <c r="BC64" s="960"/>
      <c r="BD64" s="961"/>
      <c r="BE64" s="149" t="s">
        <v>29</v>
      </c>
      <c r="BF64" s="150"/>
      <c r="BG64" s="152"/>
      <c r="BH64" s="149" t="s">
        <v>29</v>
      </c>
      <c r="BI64" s="150"/>
      <c r="BJ64" s="150"/>
      <c r="BK64" s="152"/>
      <c r="BL64" s="149" t="s">
        <v>29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962"/>
      <c r="K68" s="963"/>
      <c r="L68" s="963"/>
      <c r="M68" s="963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0999999999999996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964"/>
      <c r="K70" s="964"/>
      <c r="L70" s="964"/>
      <c r="M70" s="964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" customHeight="1">
      <c r="A71" s="22"/>
      <c r="B71" s="129"/>
      <c r="C71" s="346" t="s">
        <v>130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0999999999999996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" customHeight="1">
      <c r="A74" s="23"/>
      <c r="B74" s="351"/>
      <c r="C74" s="352"/>
      <c r="D74" s="348" t="s">
        <v>37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39</v>
      </c>
      <c r="S74" s="134"/>
      <c r="T74" s="107"/>
      <c r="U74" s="107"/>
      <c r="V74" s="133" t="s">
        <v>43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44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40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983"/>
      <c r="K77" s="983"/>
      <c r="L77" s="983"/>
      <c r="M77" s="983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" customHeight="1">
      <c r="A78" s="22"/>
      <c r="B78" s="202">
        <v>35</v>
      </c>
      <c r="C78" s="346" t="s">
        <v>246</v>
      </c>
      <c r="D78" s="332"/>
      <c r="E78" s="65"/>
      <c r="F78" s="65"/>
      <c r="G78" s="65"/>
      <c r="H78" s="65"/>
      <c r="I78" s="65"/>
      <c r="J78" s="943"/>
      <c r="K78" s="943"/>
      <c r="L78" s="943"/>
      <c r="M78" s="943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" customHeight="1">
      <c r="A79" s="22"/>
      <c r="B79" s="202">
        <v>35</v>
      </c>
      <c r="C79" s="331"/>
      <c r="D79" s="478" t="s">
        <v>247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965"/>
      <c r="K80" s="965"/>
      <c r="L80" s="965"/>
      <c r="M80" s="9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0999999999999996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" customHeight="1">
      <c r="A82" s="23"/>
      <c r="B82" s="351"/>
      <c r="C82" s="282"/>
      <c r="D82" s="28" t="s">
        <v>239</v>
      </c>
      <c r="E82" s="28"/>
      <c r="F82" s="28"/>
      <c r="G82" s="28"/>
      <c r="H82" s="468" t="s">
        <v>244</v>
      </c>
      <c r="I82" s="257"/>
      <c r="J82" s="258"/>
      <c r="K82" s="258"/>
      <c r="L82" s="258"/>
      <c r="M82" s="259"/>
      <c r="N82" s="258"/>
      <c r="O82" s="110"/>
      <c r="P82" s="261" t="s">
        <v>32</v>
      </c>
      <c r="Q82" s="25"/>
      <c r="R82" s="469" t="s">
        <v>245</v>
      </c>
      <c r="S82" s="470"/>
      <c r="T82" s="471"/>
      <c r="U82" s="471"/>
      <c r="V82" s="483"/>
      <c r="W82" s="472"/>
      <c r="X82" s="471"/>
      <c r="Y82" s="473"/>
      <c r="Z82" s="474"/>
      <c r="AB82" s="469" t="s">
        <v>287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" customHeight="1">
      <c r="A83" s="23"/>
      <c r="B83" s="351"/>
      <c r="C83" s="282"/>
      <c r="D83" s="28"/>
      <c r="E83" s="28"/>
      <c r="F83" s="28"/>
      <c r="G83" s="28"/>
      <c r="H83" s="469" t="s">
        <v>53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0999999999999996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0999999999999996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" customHeight="1">
      <c r="A86" s="22"/>
      <c r="B86" s="202">
        <v>35</v>
      </c>
      <c r="C86" s="62" t="s">
        <v>242</v>
      </c>
      <c r="D86" s="332"/>
      <c r="E86" s="65"/>
      <c r="F86" s="65"/>
      <c r="G86" s="65"/>
      <c r="H86" s="65"/>
      <c r="I86" s="65"/>
      <c r="J86" s="943"/>
      <c r="K86" s="943"/>
      <c r="L86" s="943"/>
      <c r="M86" s="943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0999999999999996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" customHeight="1">
      <c r="A88" s="23"/>
      <c r="B88" s="351"/>
      <c r="C88" s="282"/>
      <c r="D88" s="28" t="s">
        <v>239</v>
      </c>
      <c r="E88" s="28"/>
      <c r="F88" s="28"/>
      <c r="G88" s="28"/>
      <c r="H88" s="468" t="s">
        <v>240</v>
      </c>
      <c r="I88" s="257"/>
      <c r="J88" s="258"/>
      <c r="K88" s="258"/>
      <c r="L88" s="258"/>
      <c r="M88" s="259"/>
      <c r="N88" s="258"/>
      <c r="O88" s="110"/>
      <c r="P88" s="261" t="s">
        <v>32</v>
      </c>
      <c r="Q88" s="25"/>
      <c r="R88" s="469" t="s">
        <v>241</v>
      </c>
      <c r="S88" s="470"/>
      <c r="T88" s="471"/>
      <c r="U88" s="471"/>
      <c r="V88" s="483"/>
      <c r="W88" s="484" t="s">
        <v>253</v>
      </c>
      <c r="X88" s="471"/>
      <c r="Y88" s="473"/>
      <c r="Z88" s="474"/>
      <c r="AB88" s="529" t="s">
        <v>288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" customHeight="1">
      <c r="A89" s="23"/>
      <c r="B89" s="351"/>
      <c r="C89" s="282"/>
      <c r="D89" s="28"/>
      <c r="E89" s="28"/>
      <c r="F89" s="28"/>
      <c r="G89" s="28"/>
      <c r="H89" s="469" t="s">
        <v>252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0999999999999996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0999999999999996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" customHeight="1">
      <c r="A92" s="22"/>
      <c r="B92" s="202">
        <v>35</v>
      </c>
      <c r="C92" s="62" t="s">
        <v>242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" customHeight="1">
      <c r="A94" s="22"/>
      <c r="B94" s="202">
        <v>35</v>
      </c>
      <c r="C94" s="346" t="s">
        <v>248</v>
      </c>
      <c r="D94" s="332"/>
      <c r="E94" s="65"/>
      <c r="F94" s="65"/>
      <c r="G94" s="65"/>
      <c r="H94" s="65"/>
      <c r="I94" s="65"/>
      <c r="J94" s="943"/>
      <c r="K94" s="943"/>
      <c r="L94" s="943"/>
      <c r="M94" s="943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0999999999999996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249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251</v>
      </c>
      <c r="I97" s="131"/>
      <c r="J97" s="131"/>
      <c r="K97" s="131"/>
      <c r="L97" s="132"/>
      <c r="M97" s="132"/>
      <c r="N97" s="106"/>
      <c r="O97" s="133"/>
      <c r="P97" s="134"/>
      <c r="Q97" s="133" t="s">
        <v>250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43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254</v>
      </c>
      <c r="I98" s="137"/>
      <c r="J98" s="137"/>
      <c r="K98" s="137"/>
      <c r="L98" s="137"/>
      <c r="M98" s="137"/>
      <c r="N98" s="137"/>
      <c r="O98" s="350"/>
      <c r="P98" s="139"/>
      <c r="Q98" s="486" t="s">
        <v>53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255</v>
      </c>
      <c r="I99" s="137"/>
      <c r="J99" s="137"/>
      <c r="K99" s="137"/>
      <c r="L99" s="137"/>
      <c r="M99" s="137"/>
      <c r="N99" s="137"/>
      <c r="O99" s="350"/>
      <c r="P99" s="139"/>
      <c r="Q99" s="486" t="s">
        <v>53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256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53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43"/>
      <c r="K103" s="943"/>
      <c r="L103" s="943"/>
      <c r="M103" s="943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43"/>
      <c r="K104" s="943"/>
      <c r="L104" s="943"/>
      <c r="M104" s="943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AW61:AZ61"/>
    <mergeCell ref="BA61:BD61"/>
    <mergeCell ref="X61:AA61"/>
    <mergeCell ref="AB61:AF61"/>
    <mergeCell ref="AG61:AJ61"/>
    <mergeCell ref="AK61:AN61"/>
    <mergeCell ref="AO61:AR6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</mergeCells>
  <phoneticPr fontId="57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円(コリア原計)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85" customHeight="1"/>
    <row r="5" spans="1:59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59"/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35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110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114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116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119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10"/>
      <c r="AG27" s="261" t="s">
        <v>32</v>
      </c>
      <c r="AH27" s="35"/>
      <c r="AI27" s="35"/>
      <c r="AJ27" s="35"/>
      <c r="AK27" s="285" t="s">
        <v>120</v>
      </c>
      <c r="AL27" s="35"/>
      <c r="AM27" s="285"/>
      <c r="AN27" s="35"/>
      <c r="AO27" s="35"/>
      <c r="AP27" s="98" t="s">
        <v>115</v>
      </c>
      <c r="AQ27" s="257"/>
      <c r="AR27" s="258"/>
      <c r="AS27" s="258"/>
      <c r="AT27" s="258"/>
      <c r="AU27" s="259"/>
      <c r="AV27" s="110"/>
      <c r="AW27" s="37"/>
      <c r="AX27" s="262" t="s">
        <v>32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124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129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128</v>
      </c>
      <c r="AH28" s="28"/>
      <c r="AI28" s="28"/>
      <c r="AJ28" s="35"/>
      <c r="AK28" s="28" t="s">
        <v>117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32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123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36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32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125</v>
      </c>
      <c r="D31" s="41"/>
      <c r="E31" s="41"/>
      <c r="F31" s="41"/>
      <c r="G31" s="41"/>
      <c r="H31" s="163" t="s">
        <v>170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36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32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126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36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32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262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280</v>
      </c>
      <c r="D39" s="28"/>
      <c r="E39" s="28"/>
      <c r="F39" s="28"/>
      <c r="G39" s="86" t="s">
        <v>275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31</v>
      </c>
      <c r="D40" s="205" t="s">
        <v>260</v>
      </c>
      <c r="E40" s="206"/>
      <c r="F40" s="206"/>
      <c r="G40" s="207"/>
      <c r="H40" s="208" t="s">
        <v>274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147</v>
      </c>
      <c r="E41" s="149"/>
      <c r="F41" s="149"/>
      <c r="G41" s="151"/>
      <c r="H41" s="1008">
        <v>110</v>
      </c>
      <c r="I41" s="945"/>
      <c r="J41" s="945"/>
      <c r="K41" s="945"/>
      <c r="L41" s="946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261</v>
      </c>
      <c r="E42" s="149"/>
      <c r="F42" s="149"/>
      <c r="G42" s="151"/>
      <c r="H42" s="1008">
        <v>125</v>
      </c>
      <c r="I42" s="945"/>
      <c r="J42" s="945"/>
      <c r="K42" s="945"/>
      <c r="L42" s="946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0999999999999996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62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0999999999999996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286</v>
      </c>
      <c r="E47" s="28"/>
      <c r="F47" s="28"/>
      <c r="G47" s="28"/>
      <c r="H47" s="86" t="s">
        <v>145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31</v>
      </c>
      <c r="D48" s="205" t="s">
        <v>63</v>
      </c>
      <c r="E48" s="206"/>
      <c r="F48" s="206"/>
      <c r="G48" s="207"/>
      <c r="H48" s="208" t="s">
        <v>72</v>
      </c>
      <c r="I48" s="209"/>
      <c r="J48" s="209"/>
      <c r="K48" s="209"/>
      <c r="L48" s="206"/>
      <c r="M48" s="207"/>
      <c r="N48" s="205" t="s">
        <v>73</v>
      </c>
      <c r="O48" s="206"/>
      <c r="P48" s="206"/>
      <c r="Q48" s="207"/>
      <c r="R48" s="205" t="s">
        <v>74</v>
      </c>
      <c r="S48" s="206"/>
      <c r="T48" s="206"/>
      <c r="U48" s="206"/>
      <c r="V48" s="210" t="s">
        <v>290</v>
      </c>
      <c r="W48" s="211"/>
      <c r="X48" s="211"/>
      <c r="Y48" s="212"/>
      <c r="Z48" s="210" t="s">
        <v>149</v>
      </c>
      <c r="AA48" s="211"/>
      <c r="AB48" s="211"/>
      <c r="AC48" s="212"/>
      <c r="AD48" s="210" t="s">
        <v>291</v>
      </c>
      <c r="AE48" s="211"/>
      <c r="AF48" s="211"/>
      <c r="AG48" s="212"/>
      <c r="AH48" s="211" t="s">
        <v>75</v>
      </c>
      <c r="AI48" s="211"/>
      <c r="AJ48" s="211"/>
      <c r="AK48" s="212"/>
      <c r="AL48" s="211" t="s">
        <v>88</v>
      </c>
      <c r="AM48" s="211"/>
      <c r="AN48" s="211"/>
      <c r="AO48" s="212"/>
      <c r="AP48" s="210" t="s">
        <v>152</v>
      </c>
      <c r="AQ48" s="211"/>
      <c r="AR48" s="211"/>
      <c r="AS48" s="211"/>
      <c r="AT48" s="210" t="s">
        <v>153</v>
      </c>
      <c r="AU48" s="211"/>
      <c r="AV48" s="211"/>
      <c r="AW48" s="211"/>
      <c r="AX48" s="210" t="s">
        <v>82</v>
      </c>
      <c r="AY48" s="211"/>
      <c r="AZ48" s="211"/>
      <c r="BA48" s="212"/>
      <c r="BB48" s="210" t="s">
        <v>86</v>
      </c>
      <c r="BC48" s="211"/>
      <c r="BD48" s="211"/>
      <c r="BE48" s="212"/>
      <c r="BF48" s="210" t="s">
        <v>155</v>
      </c>
      <c r="BG48" s="211"/>
      <c r="BH48" s="211"/>
      <c r="BI48" s="212"/>
      <c r="BJ48" s="305" t="s">
        <v>85</v>
      </c>
      <c r="BK48" s="211"/>
      <c r="BL48" s="211"/>
      <c r="BM48" s="212"/>
      <c r="BN48" s="211" t="s">
        <v>68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29</v>
      </c>
      <c r="E49" s="216"/>
      <c r="F49" s="214"/>
      <c r="G49" s="215"/>
      <c r="H49" s="213" t="s">
        <v>29</v>
      </c>
      <c r="I49" s="216"/>
      <c r="J49" s="216"/>
      <c r="K49" s="216"/>
      <c r="L49" s="214"/>
      <c r="M49" s="215"/>
      <c r="N49" s="213" t="s">
        <v>29</v>
      </c>
      <c r="O49" s="214"/>
      <c r="P49" s="214"/>
      <c r="Q49" s="215"/>
      <c r="R49" s="213" t="s">
        <v>29</v>
      </c>
      <c r="S49" s="216"/>
      <c r="T49" s="214"/>
      <c r="U49" s="214"/>
      <c r="V49" s="217" t="s">
        <v>42</v>
      </c>
      <c r="W49" s="218"/>
      <c r="X49" s="219"/>
      <c r="Y49" s="220"/>
      <c r="Z49" s="217" t="s">
        <v>29</v>
      </c>
      <c r="AA49" s="218"/>
      <c r="AB49" s="219"/>
      <c r="AC49" s="220"/>
      <c r="AD49" s="217" t="s">
        <v>42</v>
      </c>
      <c r="AE49" s="218"/>
      <c r="AF49" s="219"/>
      <c r="AG49" s="220"/>
      <c r="AH49" s="218" t="s">
        <v>29</v>
      </c>
      <c r="AI49" s="500"/>
      <c r="AJ49" s="219"/>
      <c r="AK49" s="220"/>
      <c r="AL49" s="500"/>
      <c r="AM49" s="218"/>
      <c r="AN49" s="219"/>
      <c r="AO49" s="220"/>
      <c r="AP49" s="217" t="s">
        <v>42</v>
      </c>
      <c r="AQ49" s="218"/>
      <c r="AR49" s="219"/>
      <c r="AS49" s="219"/>
      <c r="AT49" s="217" t="s">
        <v>154</v>
      </c>
      <c r="AU49" s="218"/>
      <c r="AV49" s="219"/>
      <c r="AW49" s="219"/>
      <c r="AX49" s="217" t="s">
        <v>154</v>
      </c>
      <c r="AY49" s="218"/>
      <c r="AZ49" s="219"/>
      <c r="BA49" s="220"/>
      <c r="BB49" s="217" t="s">
        <v>87</v>
      </c>
      <c r="BC49" s="218"/>
      <c r="BD49" s="219"/>
      <c r="BE49" s="220"/>
      <c r="BF49" s="217" t="s">
        <v>156</v>
      </c>
      <c r="BG49" s="218"/>
      <c r="BH49" s="219"/>
      <c r="BI49" s="220"/>
      <c r="BJ49" s="307" t="s">
        <v>42</v>
      </c>
      <c r="BK49" s="218"/>
      <c r="BL49" s="219"/>
      <c r="BM49" s="220"/>
      <c r="BN49" s="218" t="s">
        <v>42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157</v>
      </c>
      <c r="E50" s="149"/>
      <c r="F50" s="149"/>
      <c r="G50" s="151"/>
      <c r="H50" s="242" t="s">
        <v>158</v>
      </c>
      <c r="I50" s="150"/>
      <c r="J50" s="150"/>
      <c r="K50" s="150"/>
      <c r="L50" s="161"/>
      <c r="M50" s="162"/>
      <c r="N50" s="242" t="s">
        <v>159</v>
      </c>
      <c r="O50" s="150"/>
      <c r="P50" s="150"/>
      <c r="Q50" s="99" t="s">
        <v>32</v>
      </c>
      <c r="R50" s="956">
        <v>70000</v>
      </c>
      <c r="S50" s="957"/>
      <c r="T50" s="957"/>
      <c r="U50" s="958"/>
      <c r="V50" s="148" t="s">
        <v>147</v>
      </c>
      <c r="W50" s="150"/>
      <c r="X50" s="150"/>
      <c r="Y50" s="99" t="s">
        <v>32</v>
      </c>
      <c r="Z50" s="996">
        <v>6.7299999999999999E-2</v>
      </c>
      <c r="AA50" s="997"/>
      <c r="AB50" s="997"/>
      <c r="AC50" s="998"/>
      <c r="AD50" s="148" t="s">
        <v>147</v>
      </c>
      <c r="AE50" s="150"/>
      <c r="AF50" s="150"/>
      <c r="AG50" s="99" t="s">
        <v>32</v>
      </c>
      <c r="AH50" s="996">
        <v>0.1211</v>
      </c>
      <c r="AI50" s="997"/>
      <c r="AJ50" s="997"/>
      <c r="AK50" s="998"/>
      <c r="AL50" s="996"/>
      <c r="AM50" s="997"/>
      <c r="AN50" s="997"/>
      <c r="AO50" s="998"/>
      <c r="AP50" s="1005">
        <v>0.01</v>
      </c>
      <c r="AQ50" s="1006"/>
      <c r="AR50" s="1006"/>
      <c r="AS50" s="1007"/>
      <c r="AT50" s="996">
        <v>0.13589999999999999</v>
      </c>
      <c r="AU50" s="997"/>
      <c r="AV50" s="997"/>
      <c r="AW50" s="998"/>
      <c r="AX50" s="996">
        <v>0.151</v>
      </c>
      <c r="AY50" s="997"/>
      <c r="AZ50" s="997"/>
      <c r="BA50" s="998"/>
      <c r="BB50" s="996">
        <v>0.151</v>
      </c>
      <c r="BC50" s="997"/>
      <c r="BD50" s="997"/>
      <c r="BE50" s="998"/>
      <c r="BF50" s="996">
        <v>6.1000000000000004E-3</v>
      </c>
      <c r="BG50" s="997"/>
      <c r="BH50" s="997"/>
      <c r="BI50" s="998"/>
      <c r="BJ50" s="990"/>
      <c r="BK50" s="991"/>
      <c r="BL50" s="991"/>
      <c r="BM50" s="992"/>
      <c r="BN50" s="149" t="s">
        <v>29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32</v>
      </c>
      <c r="R51" s="956"/>
      <c r="S51" s="957"/>
      <c r="T51" s="957"/>
      <c r="U51" s="958"/>
      <c r="V51" s="148"/>
      <c r="W51" s="150"/>
      <c r="X51" s="150"/>
      <c r="Y51" s="99" t="s">
        <v>32</v>
      </c>
      <c r="Z51" s="944"/>
      <c r="AA51" s="966"/>
      <c r="AB51" s="966"/>
      <c r="AC51" s="967"/>
      <c r="AD51" s="148"/>
      <c r="AE51" s="150"/>
      <c r="AF51" s="150"/>
      <c r="AG51" s="99" t="s">
        <v>32</v>
      </c>
      <c r="AH51" s="944"/>
      <c r="AI51" s="966"/>
      <c r="AJ51" s="966"/>
      <c r="AK51" s="967"/>
      <c r="AL51" s="944"/>
      <c r="AM51" s="966"/>
      <c r="AN51" s="966"/>
      <c r="AO51" s="967"/>
      <c r="AP51" s="944"/>
      <c r="AQ51" s="966"/>
      <c r="AR51" s="966"/>
      <c r="AS51" s="967"/>
      <c r="AT51" s="944"/>
      <c r="AU51" s="966"/>
      <c r="AV51" s="966"/>
      <c r="AW51" s="967"/>
      <c r="AX51" s="944"/>
      <c r="AY51" s="966"/>
      <c r="AZ51" s="966"/>
      <c r="BA51" s="967"/>
      <c r="BB51" s="944"/>
      <c r="BC51" s="966"/>
      <c r="BD51" s="966"/>
      <c r="BE51" s="967"/>
      <c r="BF51" s="944"/>
      <c r="BG51" s="966"/>
      <c r="BH51" s="966"/>
      <c r="BI51" s="967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70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0999999999999996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77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71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0999999999999996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31</v>
      </c>
      <c r="D64" s="234" t="s">
        <v>258</v>
      </c>
      <c r="E64" s="235"/>
      <c r="F64" s="234" t="s">
        <v>63</v>
      </c>
      <c r="G64" s="235"/>
      <c r="H64" s="235"/>
      <c r="I64" s="236"/>
      <c r="J64" s="237" t="s">
        <v>33</v>
      </c>
      <c r="K64" s="238"/>
      <c r="L64" s="238"/>
      <c r="M64" s="238"/>
      <c r="N64" s="235"/>
      <c r="O64" s="236"/>
      <c r="P64" s="239" t="s">
        <v>66</v>
      </c>
      <c r="Q64" s="240"/>
      <c r="R64" s="240"/>
      <c r="S64" s="241"/>
      <c r="T64" s="234" t="s">
        <v>78</v>
      </c>
      <c r="U64" s="235"/>
      <c r="V64" s="235"/>
      <c r="W64" s="236"/>
      <c r="X64" s="234" t="s">
        <v>149</v>
      </c>
      <c r="Y64" s="235"/>
      <c r="Z64" s="235"/>
      <c r="AA64" s="235"/>
      <c r="AB64" s="239" t="s">
        <v>64</v>
      </c>
      <c r="AC64" s="240"/>
      <c r="AD64" s="240"/>
      <c r="AE64" s="240"/>
      <c r="AF64" s="241"/>
      <c r="AG64" s="240" t="s">
        <v>67</v>
      </c>
      <c r="AH64" s="240"/>
      <c r="AI64" s="240"/>
      <c r="AJ64" s="241"/>
      <c r="AK64" s="240" t="s">
        <v>65</v>
      </c>
      <c r="AL64" s="240"/>
      <c r="AM64" s="240"/>
      <c r="AN64" s="241"/>
      <c r="AO64" s="239" t="s">
        <v>160</v>
      </c>
      <c r="AP64" s="240"/>
      <c r="AQ64" s="240"/>
      <c r="AR64" s="241"/>
      <c r="AS64" s="239" t="s">
        <v>81</v>
      </c>
      <c r="AT64" s="240"/>
      <c r="AU64" s="240"/>
      <c r="AV64" s="240"/>
      <c r="AW64" s="357" t="s">
        <v>82</v>
      </c>
      <c r="AX64" s="240"/>
      <c r="AY64" s="240"/>
      <c r="AZ64" s="241"/>
      <c r="BA64" s="239" t="s">
        <v>83</v>
      </c>
      <c r="BB64" s="240"/>
      <c r="BC64" s="240"/>
      <c r="BD64" s="241"/>
      <c r="BE64" s="240" t="s">
        <v>84</v>
      </c>
      <c r="BF64" s="240"/>
      <c r="BG64" s="241"/>
      <c r="BH64" s="240" t="s">
        <v>85</v>
      </c>
      <c r="BI64" s="240"/>
      <c r="BJ64" s="240"/>
      <c r="BK64" s="241"/>
      <c r="BL64" s="240" t="s">
        <v>68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146</v>
      </c>
      <c r="Q65" s="150"/>
      <c r="R65" s="150"/>
      <c r="S65" s="162"/>
      <c r="T65" s="956">
        <f>R50</f>
        <v>70000</v>
      </c>
      <c r="U65" s="957"/>
      <c r="V65" s="957"/>
      <c r="W65" s="958"/>
      <c r="X65" s="999">
        <f>SUM(Z50:AC51)</f>
        <v>6.7299999999999999E-2</v>
      </c>
      <c r="Y65" s="1000"/>
      <c r="Z65" s="1000"/>
      <c r="AA65" s="1001"/>
      <c r="AB65" s="1002">
        <f>BB50</f>
        <v>0.151</v>
      </c>
      <c r="AC65" s="1003"/>
      <c r="AD65" s="1003"/>
      <c r="AE65" s="1003"/>
      <c r="AF65" s="1004"/>
      <c r="AG65" s="996">
        <f>AL50</f>
        <v>0</v>
      </c>
      <c r="AH65" s="997"/>
      <c r="AI65" s="997"/>
      <c r="AJ65" s="998"/>
      <c r="AK65" s="996">
        <f>AH50</f>
        <v>0.1211</v>
      </c>
      <c r="AL65" s="997"/>
      <c r="AM65" s="997"/>
      <c r="AN65" s="998"/>
      <c r="AO65" s="980">
        <f>1-Z50/AT50</f>
        <v>0.50478292862398821</v>
      </c>
      <c r="AP65" s="981"/>
      <c r="AQ65" s="981"/>
      <c r="AR65" s="982"/>
      <c r="AS65" s="977" t="str">
        <f>IFERROR((AK65-AG65)/AG65,"")</f>
        <v/>
      </c>
      <c r="AT65" s="978"/>
      <c r="AU65" s="978"/>
      <c r="AV65" s="979"/>
      <c r="AW65" s="996">
        <f>AX50</f>
        <v>0.151</v>
      </c>
      <c r="AX65" s="997"/>
      <c r="AY65" s="997"/>
      <c r="AZ65" s="998"/>
      <c r="BA65" s="980">
        <f>1-(AH50/AX50)</f>
        <v>0.19801324503311257</v>
      </c>
      <c r="BB65" s="981"/>
      <c r="BC65" s="981"/>
      <c r="BD65" s="982"/>
      <c r="BE65" s="999">
        <f>BF50</f>
        <v>6.1000000000000004E-3</v>
      </c>
      <c r="BF65" s="1000"/>
      <c r="BG65" s="1001"/>
      <c r="BH65" s="990"/>
      <c r="BI65" s="991"/>
      <c r="BJ65" s="991"/>
      <c r="BK65" s="992"/>
      <c r="BL65" s="149" t="s">
        <v>29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29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956"/>
      <c r="U66" s="957"/>
      <c r="V66" s="957"/>
      <c r="W66" s="958"/>
      <c r="X66" s="944"/>
      <c r="Y66" s="966"/>
      <c r="Z66" s="966"/>
      <c r="AA66" s="967"/>
      <c r="AB66" s="993"/>
      <c r="AC66" s="994"/>
      <c r="AD66" s="994"/>
      <c r="AE66" s="994"/>
      <c r="AF66" s="995"/>
      <c r="AG66" s="944"/>
      <c r="AH66" s="966"/>
      <c r="AI66" s="966"/>
      <c r="AJ66" s="967"/>
      <c r="AK66" s="944"/>
      <c r="AL66" s="966"/>
      <c r="AM66" s="966"/>
      <c r="AN66" s="967"/>
      <c r="AO66" s="980"/>
      <c r="AP66" s="981"/>
      <c r="AQ66" s="981"/>
      <c r="AR66" s="982"/>
      <c r="AS66" s="977"/>
      <c r="AT66" s="978"/>
      <c r="AU66" s="978"/>
      <c r="AV66" s="979"/>
      <c r="AW66" s="944"/>
      <c r="AX66" s="966"/>
      <c r="AY66" s="966"/>
      <c r="AZ66" s="967"/>
      <c r="BA66" s="980"/>
      <c r="BB66" s="981"/>
      <c r="BC66" s="981"/>
      <c r="BD66" s="982"/>
      <c r="BE66" s="968"/>
      <c r="BF66" s="969"/>
      <c r="BG66" s="970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279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278</v>
      </c>
      <c r="E68" s="503"/>
      <c r="F68" s="504" t="s">
        <v>292</v>
      </c>
      <c r="G68" s="503"/>
      <c r="H68" s="503"/>
      <c r="I68" s="505"/>
      <c r="J68" s="504" t="s">
        <v>29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101</v>
      </c>
      <c r="U68" s="503"/>
      <c r="V68" s="503"/>
      <c r="W68" s="509"/>
      <c r="X68" s="510" t="s">
        <v>233</v>
      </c>
      <c r="Y68" s="508"/>
      <c r="Z68" s="508"/>
      <c r="AA68" s="509"/>
      <c r="AB68" s="513" t="s">
        <v>29</v>
      </c>
      <c r="AC68" s="508"/>
      <c r="AD68" s="508"/>
      <c r="AE68" s="508"/>
      <c r="AF68" s="508"/>
      <c r="AG68" s="511" t="s">
        <v>162</v>
      </c>
      <c r="AH68" s="508"/>
      <c r="AI68" s="508"/>
      <c r="AJ68" s="509"/>
      <c r="AK68" s="514" t="s">
        <v>163</v>
      </c>
      <c r="AL68" s="508"/>
      <c r="AM68" s="508"/>
      <c r="AN68" s="509"/>
      <c r="AO68" s="507" t="s">
        <v>81</v>
      </c>
      <c r="AP68" s="508"/>
      <c r="AQ68" s="508"/>
      <c r="AR68" s="508"/>
      <c r="AS68" s="507" t="s">
        <v>99</v>
      </c>
      <c r="AT68" s="508"/>
      <c r="AU68" s="508"/>
      <c r="AV68" s="509"/>
      <c r="AW68" s="511" t="s">
        <v>29</v>
      </c>
      <c r="AX68" s="508"/>
      <c r="AY68" s="508"/>
      <c r="AZ68" s="509"/>
      <c r="BA68" s="511" t="s">
        <v>29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159</v>
      </c>
      <c r="E69" s="149"/>
      <c r="F69" s="148" t="s">
        <v>147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956">
        <f>SUMPRODUCT($T$65:$W$66,$AK$65:$AN$66)</f>
        <v>8477</v>
      </c>
      <c r="U69" s="957"/>
      <c r="V69" s="957"/>
      <c r="W69" s="958"/>
      <c r="X69" s="971">
        <f>SUMPRODUCT(R46:U47,Z46:AC47)</f>
        <v>0</v>
      </c>
      <c r="Y69" s="972"/>
      <c r="Z69" s="972"/>
      <c r="AA69" s="973"/>
      <c r="AB69" s="252"/>
      <c r="AC69" s="252"/>
      <c r="AD69" s="252"/>
      <c r="AE69" s="252"/>
      <c r="AF69" s="252"/>
      <c r="AG69" s="971">
        <f>$T69-$X69</f>
        <v>8477</v>
      </c>
      <c r="AH69" s="972"/>
      <c r="AI69" s="972"/>
      <c r="AJ69" s="973"/>
      <c r="AK69" s="987">
        <f>AG69/T69</f>
        <v>1</v>
      </c>
      <c r="AL69" s="988"/>
      <c r="AM69" s="988"/>
      <c r="AN69" s="989"/>
      <c r="AO69" s="950">
        <f>IFERROR(AS69/($T69-AS69),"")</f>
        <v>-0.5</v>
      </c>
      <c r="AP69" s="951"/>
      <c r="AQ69" s="951"/>
      <c r="AR69" s="952"/>
      <c r="AS69" s="974">
        <f>$T$65*($AG$65-$AK$65)+$T$66*($AG$66-$AK$66)</f>
        <v>-8477</v>
      </c>
      <c r="AT69" s="975"/>
      <c r="AU69" s="975"/>
      <c r="AV69" s="976"/>
      <c r="AW69" s="959"/>
      <c r="AX69" s="960"/>
      <c r="AY69" s="960"/>
      <c r="AZ69" s="961"/>
      <c r="BA69" s="148" t="s">
        <v>29</v>
      </c>
      <c r="BB69" s="150"/>
      <c r="BC69" s="150"/>
      <c r="BD69" s="152"/>
      <c r="BE69" s="149" t="s">
        <v>29</v>
      </c>
      <c r="BF69" s="150"/>
      <c r="BG69" s="152"/>
      <c r="BH69" s="149" t="s">
        <v>29</v>
      </c>
      <c r="BI69" s="150"/>
      <c r="BJ69" s="150"/>
      <c r="BK69" s="152"/>
      <c r="BL69" s="149" t="s">
        <v>29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159</v>
      </c>
      <c r="E70" s="149"/>
      <c r="F70" s="148" t="s">
        <v>206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956">
        <f>SUMPRODUCT($T$65:$W$66,$AK$65:$AN$66)</f>
        <v>8477</v>
      </c>
      <c r="U70" s="957"/>
      <c r="V70" s="957"/>
      <c r="W70" s="958"/>
      <c r="X70" s="971">
        <f>SUMPRODUCT(R47:U48,Z47:AC48)</f>
        <v>0</v>
      </c>
      <c r="Y70" s="972"/>
      <c r="Z70" s="972"/>
      <c r="AA70" s="973"/>
      <c r="AB70" s="252"/>
      <c r="AC70" s="252"/>
      <c r="AD70" s="252"/>
      <c r="AE70" s="252"/>
      <c r="AF70" s="252"/>
      <c r="AG70" s="971">
        <f>$T70-$X70</f>
        <v>8477</v>
      </c>
      <c r="AH70" s="972"/>
      <c r="AI70" s="972"/>
      <c r="AJ70" s="973"/>
      <c r="AK70" s="987">
        <f>AG70/T70</f>
        <v>1</v>
      </c>
      <c r="AL70" s="988"/>
      <c r="AM70" s="988"/>
      <c r="AN70" s="989"/>
      <c r="AO70" s="950">
        <f>IFERROR(AS70/($T70-AS70),"")</f>
        <v>-0.5</v>
      </c>
      <c r="AP70" s="951"/>
      <c r="AQ70" s="951"/>
      <c r="AR70" s="952"/>
      <c r="AS70" s="974">
        <f>$T$65*($AG$65-$AK$65)+$T$66*($AG$66-$AK$66)</f>
        <v>-8477</v>
      </c>
      <c r="AT70" s="975"/>
      <c r="AU70" s="975"/>
      <c r="AV70" s="976"/>
      <c r="AW70" s="959"/>
      <c r="AX70" s="960"/>
      <c r="AY70" s="960"/>
      <c r="AZ70" s="961"/>
      <c r="BA70" s="148" t="s">
        <v>29</v>
      </c>
      <c r="BB70" s="150"/>
      <c r="BC70" s="150"/>
      <c r="BD70" s="152"/>
      <c r="BE70" s="149" t="s">
        <v>29</v>
      </c>
      <c r="BF70" s="150"/>
      <c r="BG70" s="152"/>
      <c r="BH70" s="149" t="s">
        <v>29</v>
      </c>
      <c r="BI70" s="150"/>
      <c r="BJ70" s="150"/>
      <c r="BK70" s="152"/>
      <c r="BL70" s="149" t="s">
        <v>29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277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294</v>
      </c>
      <c r="G72" s="244"/>
      <c r="H72" s="244"/>
      <c r="I72" s="245"/>
      <c r="J72" s="246" t="s">
        <v>29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101</v>
      </c>
      <c r="U72" s="244"/>
      <c r="V72" s="244"/>
      <c r="W72" s="250"/>
      <c r="X72" s="330" t="s">
        <v>233</v>
      </c>
      <c r="Y72" s="249"/>
      <c r="Z72" s="249"/>
      <c r="AA72" s="250"/>
      <c r="AB72" s="251" t="s">
        <v>29</v>
      </c>
      <c r="AC72" s="249"/>
      <c r="AD72" s="249"/>
      <c r="AE72" s="249"/>
      <c r="AF72" s="249"/>
      <c r="AG72" s="253" t="s">
        <v>162</v>
      </c>
      <c r="AH72" s="249"/>
      <c r="AI72" s="249"/>
      <c r="AJ72" s="250"/>
      <c r="AK72" s="358" t="s">
        <v>163</v>
      </c>
      <c r="AL72" s="249"/>
      <c r="AM72" s="249"/>
      <c r="AN72" s="250"/>
      <c r="AO72" s="248" t="s">
        <v>81</v>
      </c>
      <c r="AP72" s="249"/>
      <c r="AQ72" s="249"/>
      <c r="AR72" s="249"/>
      <c r="AS72" s="248" t="s">
        <v>99</v>
      </c>
      <c r="AT72" s="249"/>
      <c r="AU72" s="249"/>
      <c r="AV72" s="250"/>
      <c r="AW72" s="253" t="s">
        <v>29</v>
      </c>
      <c r="AX72" s="249"/>
      <c r="AY72" s="249"/>
      <c r="AZ72" s="250"/>
      <c r="BA72" s="253" t="s">
        <v>29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147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956">
        <f>SUMPRODUCT($T$65:$W$66,$AK$65:$AN$66)</f>
        <v>8477</v>
      </c>
      <c r="U73" s="957"/>
      <c r="V73" s="957"/>
      <c r="W73" s="958"/>
      <c r="X73" s="971">
        <f>SUMPRODUCT(R49:U50,Z49:AC50)</f>
        <v>4711</v>
      </c>
      <c r="Y73" s="972"/>
      <c r="Z73" s="972"/>
      <c r="AA73" s="973"/>
      <c r="AB73" s="252"/>
      <c r="AC73" s="252"/>
      <c r="AD73" s="252"/>
      <c r="AE73" s="252"/>
      <c r="AF73" s="252"/>
      <c r="AG73" s="971">
        <f>$T73-$X73</f>
        <v>3766</v>
      </c>
      <c r="AH73" s="972"/>
      <c r="AI73" s="972"/>
      <c r="AJ73" s="973"/>
      <c r="AK73" s="987">
        <f>AG73/T73</f>
        <v>0.44426094137076794</v>
      </c>
      <c r="AL73" s="988"/>
      <c r="AM73" s="988"/>
      <c r="AN73" s="989"/>
      <c r="AO73" s="950">
        <f>IFERROR(AS73/($T73-AS73),"")</f>
        <v>-0.5</v>
      </c>
      <c r="AP73" s="951"/>
      <c r="AQ73" s="951"/>
      <c r="AR73" s="952"/>
      <c r="AS73" s="974">
        <f>$T$65*($AG$65-$AK$65)+$T$66*($AG$66-$AK$66)</f>
        <v>-8477</v>
      </c>
      <c r="AT73" s="975"/>
      <c r="AU73" s="975"/>
      <c r="AV73" s="976"/>
      <c r="AW73" s="959"/>
      <c r="AX73" s="960"/>
      <c r="AY73" s="960"/>
      <c r="AZ73" s="961"/>
      <c r="BA73" s="148" t="s">
        <v>29</v>
      </c>
      <c r="BB73" s="150"/>
      <c r="BC73" s="150"/>
      <c r="BD73" s="152"/>
      <c r="BE73" s="149" t="s">
        <v>29</v>
      </c>
      <c r="BF73" s="150"/>
      <c r="BG73" s="152"/>
      <c r="BH73" s="149" t="s">
        <v>29</v>
      </c>
      <c r="BI73" s="150"/>
      <c r="BJ73" s="150"/>
      <c r="BK73" s="152"/>
      <c r="BL73" s="149" t="s">
        <v>29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206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956">
        <f>SUMPRODUCT($T$65:$W$66,$AK$65:$AN$66)</f>
        <v>8477</v>
      </c>
      <c r="U74" s="957"/>
      <c r="V74" s="957"/>
      <c r="W74" s="958"/>
      <c r="X74" s="971">
        <f>SUMPRODUCT(R50:U51,Z50:AC51)</f>
        <v>4711</v>
      </c>
      <c r="Y74" s="972"/>
      <c r="Z74" s="972"/>
      <c r="AA74" s="973"/>
      <c r="AB74" s="252"/>
      <c r="AC74" s="252"/>
      <c r="AD74" s="252"/>
      <c r="AE74" s="252"/>
      <c r="AF74" s="252"/>
      <c r="AG74" s="971">
        <f>$T74-$X74</f>
        <v>3766</v>
      </c>
      <c r="AH74" s="972"/>
      <c r="AI74" s="972"/>
      <c r="AJ74" s="973"/>
      <c r="AK74" s="987">
        <f>AG74/T74</f>
        <v>0.44426094137076794</v>
      </c>
      <c r="AL74" s="988"/>
      <c r="AM74" s="988"/>
      <c r="AN74" s="989"/>
      <c r="AO74" s="950">
        <f>IFERROR(AS74/($T74-AS74),"")</f>
        <v>-0.5</v>
      </c>
      <c r="AP74" s="951"/>
      <c r="AQ74" s="951"/>
      <c r="AR74" s="952"/>
      <c r="AS74" s="974">
        <f>$T$65*($AG$65-$AK$65)+$T$66*($AG$66-$AK$66)</f>
        <v>-8477</v>
      </c>
      <c r="AT74" s="975"/>
      <c r="AU74" s="975"/>
      <c r="AV74" s="976"/>
      <c r="AW74" s="959"/>
      <c r="AX74" s="960"/>
      <c r="AY74" s="960"/>
      <c r="AZ74" s="961"/>
      <c r="BA74" s="148" t="s">
        <v>29</v>
      </c>
      <c r="BB74" s="150"/>
      <c r="BC74" s="150"/>
      <c r="BD74" s="152"/>
      <c r="BE74" s="149" t="s">
        <v>29</v>
      </c>
      <c r="BF74" s="150"/>
      <c r="BG74" s="152"/>
      <c r="BH74" s="149" t="s">
        <v>29</v>
      </c>
      <c r="BI74" s="150"/>
      <c r="BJ74" s="150"/>
      <c r="BK74" s="152"/>
      <c r="BL74" s="149" t="s">
        <v>29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962"/>
      <c r="K78" s="963"/>
      <c r="L78" s="963"/>
      <c r="M78" s="963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0999999999999996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964"/>
      <c r="K80" s="964"/>
      <c r="L80" s="964"/>
      <c r="M80" s="964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" customHeight="1">
      <c r="A81" s="22"/>
      <c r="B81" s="129"/>
      <c r="C81" s="346" t="s">
        <v>130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0999999999999996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" customHeight="1">
      <c r="A84" s="23"/>
      <c r="B84" s="351"/>
      <c r="C84" s="352"/>
      <c r="D84" s="348" t="s">
        <v>37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39</v>
      </c>
      <c r="S84" s="134"/>
      <c r="T84" s="107"/>
      <c r="U84" s="107"/>
      <c r="V84" s="133" t="s">
        <v>43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44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40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0999999999999996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983"/>
      <c r="K87" s="983"/>
      <c r="L87" s="983"/>
      <c r="M87" s="983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" customHeight="1">
      <c r="A88" s="22"/>
      <c r="B88" s="202">
        <v>35</v>
      </c>
      <c r="C88" s="346" t="s">
        <v>246</v>
      </c>
      <c r="D88" s="332"/>
      <c r="E88" s="65"/>
      <c r="F88" s="65"/>
      <c r="G88" s="65"/>
      <c r="H88" s="65"/>
      <c r="I88" s="65"/>
      <c r="J88" s="943"/>
      <c r="K88" s="943"/>
      <c r="L88" s="943"/>
      <c r="M88" s="943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" customHeight="1">
      <c r="A89" s="22"/>
      <c r="B89" s="202">
        <v>35</v>
      </c>
      <c r="C89" s="331"/>
      <c r="D89" s="478" t="s">
        <v>247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965"/>
      <c r="K90" s="965"/>
      <c r="L90" s="965"/>
      <c r="M90" s="9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0999999999999996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" customHeight="1">
      <c r="A92" s="23"/>
      <c r="B92" s="351"/>
      <c r="C92" s="282"/>
      <c r="D92" s="28" t="s">
        <v>239</v>
      </c>
      <c r="E92" s="28"/>
      <c r="F92" s="28"/>
      <c r="G92" s="28"/>
      <c r="H92" s="468" t="s">
        <v>244</v>
      </c>
      <c r="I92" s="257"/>
      <c r="J92" s="258"/>
      <c r="K92" s="258"/>
      <c r="L92" s="258"/>
      <c r="M92" s="259"/>
      <c r="N92" s="258"/>
      <c r="O92" s="110"/>
      <c r="P92" s="261" t="s">
        <v>32</v>
      </c>
      <c r="Q92" s="25"/>
      <c r="R92" s="469" t="s">
        <v>245</v>
      </c>
      <c r="S92" s="470"/>
      <c r="T92" s="471"/>
      <c r="U92" s="471"/>
      <c r="V92" s="483"/>
      <c r="W92" s="472"/>
      <c r="X92" s="471"/>
      <c r="Y92" s="473"/>
      <c r="Z92" s="474"/>
      <c r="AB92" s="469" t="s">
        <v>287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" customHeight="1">
      <c r="A93" s="23"/>
      <c r="B93" s="351"/>
      <c r="C93" s="282"/>
      <c r="D93" s="28"/>
      <c r="E93" s="28"/>
      <c r="F93" s="28"/>
      <c r="G93" s="28"/>
      <c r="H93" s="469" t="s">
        <v>53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0999999999999996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0999999999999996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" customHeight="1">
      <c r="A96" s="22"/>
      <c r="B96" s="202">
        <v>35</v>
      </c>
      <c r="C96" s="62" t="s">
        <v>242</v>
      </c>
      <c r="D96" s="332"/>
      <c r="E96" s="65"/>
      <c r="F96" s="65"/>
      <c r="G96" s="65"/>
      <c r="H96" s="65"/>
      <c r="I96" s="65"/>
      <c r="J96" s="943"/>
      <c r="K96" s="943"/>
      <c r="L96" s="943"/>
      <c r="M96" s="943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0999999999999996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" customHeight="1">
      <c r="A98" s="23"/>
      <c r="B98" s="351"/>
      <c r="C98" s="282"/>
      <c r="D98" s="28" t="s">
        <v>239</v>
      </c>
      <c r="E98" s="28"/>
      <c r="F98" s="28"/>
      <c r="G98" s="28"/>
      <c r="H98" s="468" t="s">
        <v>240</v>
      </c>
      <c r="I98" s="257"/>
      <c r="J98" s="258"/>
      <c r="K98" s="258"/>
      <c r="L98" s="258"/>
      <c r="M98" s="259"/>
      <c r="N98" s="258"/>
      <c r="O98" s="110"/>
      <c r="P98" s="261" t="s">
        <v>32</v>
      </c>
      <c r="Q98" s="25"/>
      <c r="R98" s="469" t="s">
        <v>241</v>
      </c>
      <c r="S98" s="470"/>
      <c r="T98" s="471"/>
      <c r="U98" s="471"/>
      <c r="V98" s="483"/>
      <c r="W98" s="484" t="s">
        <v>253</v>
      </c>
      <c r="X98" s="471"/>
      <c r="Y98" s="473"/>
      <c r="Z98" s="474"/>
      <c r="AB98" s="529" t="s">
        <v>288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" customHeight="1">
      <c r="A99" s="23"/>
      <c r="B99" s="351"/>
      <c r="C99" s="282"/>
      <c r="D99" s="28"/>
      <c r="E99" s="28"/>
      <c r="F99" s="28"/>
      <c r="G99" s="28"/>
      <c r="H99" s="469" t="s">
        <v>252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0999999999999996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0999999999999996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" customHeight="1">
      <c r="A102" s="22"/>
      <c r="B102" s="202">
        <v>35</v>
      </c>
      <c r="C102" s="62" t="s">
        <v>242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" customHeight="1">
      <c r="A104" s="22"/>
      <c r="B104" s="202">
        <v>35</v>
      </c>
      <c r="C104" s="346" t="s">
        <v>248</v>
      </c>
      <c r="D104" s="332"/>
      <c r="E104" s="65"/>
      <c r="F104" s="65"/>
      <c r="G104" s="65"/>
      <c r="H104" s="65"/>
      <c r="I104" s="65"/>
      <c r="J104" s="943"/>
      <c r="K104" s="943"/>
      <c r="L104" s="943"/>
      <c r="M104" s="943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0999999999999996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249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251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250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43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254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53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53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53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0999999999999996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43"/>
      <c r="K112" s="943"/>
      <c r="L112" s="943"/>
      <c r="M112" s="943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43"/>
      <c r="K113" s="943"/>
      <c r="L113" s="943"/>
      <c r="M113" s="943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43"/>
      <c r="K114" s="943"/>
      <c r="L114" s="943"/>
      <c r="M114" s="943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</mergeCells>
  <phoneticPr fontId="57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外貨(PPM)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85" customHeight="1"/>
    <row r="5" spans="1:59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289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285</v>
      </c>
      <c r="P7" s="36"/>
      <c r="Q7" s="36"/>
      <c r="R7" s="36"/>
      <c r="S7" s="49" t="s">
        <v>284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171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0999999999999996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172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111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0999999999999996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262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0999999999999996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280</v>
      </c>
      <c r="D45" s="28"/>
      <c r="E45" s="28"/>
      <c r="F45" s="28"/>
      <c r="G45" s="86" t="s">
        <v>275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31</v>
      </c>
      <c r="D46" s="205" t="s">
        <v>260</v>
      </c>
      <c r="E46" s="206"/>
      <c r="F46" s="206"/>
      <c r="G46" s="207"/>
      <c r="H46" s="208" t="s">
        <v>274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147</v>
      </c>
      <c r="E47" s="149"/>
      <c r="F47" s="149"/>
      <c r="G47" s="151"/>
      <c r="H47" s="1008">
        <v>110</v>
      </c>
      <c r="I47" s="945"/>
      <c r="J47" s="945"/>
      <c r="K47" s="945"/>
      <c r="L47" s="946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261</v>
      </c>
      <c r="E48" s="149"/>
      <c r="F48" s="149"/>
      <c r="G48" s="151"/>
      <c r="H48" s="1008">
        <v>125</v>
      </c>
      <c r="I48" s="945"/>
      <c r="J48" s="945"/>
      <c r="K48" s="945"/>
      <c r="L48" s="946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0999999999999996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62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0999999999999996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286</v>
      </c>
      <c r="E53" s="28"/>
      <c r="F53" s="28"/>
      <c r="G53" s="28"/>
      <c r="H53" s="86" t="s">
        <v>138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31</v>
      </c>
      <c r="D54" s="205" t="s">
        <v>63</v>
      </c>
      <c r="E54" s="206"/>
      <c r="F54" s="206"/>
      <c r="G54" s="207"/>
      <c r="H54" s="208" t="s">
        <v>72</v>
      </c>
      <c r="I54" s="209"/>
      <c r="J54" s="209"/>
      <c r="K54" s="209"/>
      <c r="L54" s="206"/>
      <c r="M54" s="207"/>
      <c r="N54" s="205" t="s">
        <v>73</v>
      </c>
      <c r="O54" s="206"/>
      <c r="P54" s="206"/>
      <c r="Q54" s="207"/>
      <c r="R54" s="205" t="s">
        <v>74</v>
      </c>
      <c r="S54" s="206"/>
      <c r="T54" s="206"/>
      <c r="U54" s="206"/>
      <c r="V54" s="210" t="s">
        <v>290</v>
      </c>
      <c r="W54" s="211"/>
      <c r="X54" s="211"/>
      <c r="Y54" s="212"/>
      <c r="Z54" s="528" t="s">
        <v>76</v>
      </c>
      <c r="AA54" s="211"/>
      <c r="AB54" s="211"/>
      <c r="AC54" s="211"/>
      <c r="AD54" s="212"/>
      <c r="AE54" s="210" t="s">
        <v>291</v>
      </c>
      <c r="AF54" s="211"/>
      <c r="AG54" s="211"/>
      <c r="AH54" s="212"/>
      <c r="AI54" s="210" t="s">
        <v>161</v>
      </c>
      <c r="AJ54" s="211"/>
      <c r="AK54" s="211"/>
      <c r="AL54" s="212"/>
      <c r="AM54" s="211" t="s">
        <v>151</v>
      </c>
      <c r="AN54" s="211"/>
      <c r="AO54" s="211"/>
      <c r="AP54" s="212"/>
      <c r="AQ54" s="211" t="s">
        <v>196</v>
      </c>
      <c r="AR54" s="211"/>
      <c r="AS54" s="211"/>
      <c r="AT54" s="212"/>
      <c r="AU54" s="210" t="s">
        <v>198</v>
      </c>
      <c r="AV54" s="211"/>
      <c r="AW54" s="211"/>
      <c r="AX54" s="212"/>
      <c r="AY54" s="210" t="s">
        <v>82</v>
      </c>
      <c r="AZ54" s="211"/>
      <c r="BA54" s="211"/>
      <c r="BB54" s="212"/>
      <c r="BC54" s="210" t="s">
        <v>41</v>
      </c>
      <c r="BD54" s="211"/>
      <c r="BE54" s="211"/>
      <c r="BF54" s="212"/>
      <c r="BG54" s="211" t="s">
        <v>155</v>
      </c>
      <c r="BH54" s="211"/>
      <c r="BI54" s="212"/>
      <c r="BJ54" s="305" t="s">
        <v>85</v>
      </c>
      <c r="BK54" s="211"/>
      <c r="BL54" s="211"/>
      <c r="BM54" s="212"/>
      <c r="BN54" s="211" t="s">
        <v>68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29</v>
      </c>
      <c r="E55" s="216"/>
      <c r="F55" s="214"/>
      <c r="G55" s="215"/>
      <c r="H55" s="213" t="s">
        <v>29</v>
      </c>
      <c r="I55" s="216"/>
      <c r="J55" s="216"/>
      <c r="K55" s="216"/>
      <c r="L55" s="214"/>
      <c r="M55" s="215"/>
      <c r="N55" s="213" t="s">
        <v>29</v>
      </c>
      <c r="O55" s="214"/>
      <c r="P55" s="214"/>
      <c r="Q55" s="215"/>
      <c r="R55" s="213"/>
      <c r="S55" s="216"/>
      <c r="T55" s="214"/>
      <c r="U55" s="214"/>
      <c r="V55" s="217" t="s">
        <v>42</v>
      </c>
      <c r="W55" s="218"/>
      <c r="X55" s="219"/>
      <c r="Y55" s="220"/>
      <c r="Z55" s="217" t="s">
        <v>29</v>
      </c>
      <c r="AA55" s="218"/>
      <c r="AB55" s="218"/>
      <c r="AC55" s="219"/>
      <c r="AD55" s="220"/>
      <c r="AE55" s="217" t="s">
        <v>42</v>
      </c>
      <c r="AF55" s="218"/>
      <c r="AG55" s="219"/>
      <c r="AH55" s="220"/>
      <c r="AI55" s="217" t="s">
        <v>29</v>
      </c>
      <c r="AJ55" s="218"/>
      <c r="AK55" s="219"/>
      <c r="AL55" s="220"/>
      <c r="AM55" s="218" t="s">
        <v>42</v>
      </c>
      <c r="AN55" s="218"/>
      <c r="AO55" s="219"/>
      <c r="AP55" s="220"/>
      <c r="AQ55" s="218" t="s">
        <v>197</v>
      </c>
      <c r="AR55" s="218"/>
      <c r="AS55" s="219"/>
      <c r="AT55" s="220"/>
      <c r="AU55" s="217" t="s">
        <v>154</v>
      </c>
      <c r="AV55" s="218"/>
      <c r="AW55" s="219"/>
      <c r="AX55" s="220"/>
      <c r="AY55" s="217" t="s">
        <v>154</v>
      </c>
      <c r="AZ55" s="218"/>
      <c r="BA55" s="219"/>
      <c r="BB55" s="220"/>
      <c r="BC55" s="217" t="s">
        <v>199</v>
      </c>
      <c r="BD55" s="218"/>
      <c r="BE55" s="219"/>
      <c r="BF55" s="220"/>
      <c r="BG55" s="218" t="s">
        <v>200</v>
      </c>
      <c r="BH55" s="218"/>
      <c r="BI55" s="220"/>
      <c r="BJ55" s="307" t="s">
        <v>42</v>
      </c>
      <c r="BK55" s="218"/>
      <c r="BL55" s="219"/>
      <c r="BM55" s="220"/>
      <c r="BN55" s="218" t="s">
        <v>42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201</v>
      </c>
      <c r="E56" s="149"/>
      <c r="F56" s="149"/>
      <c r="G56" s="151"/>
      <c r="H56" s="242" t="s">
        <v>203</v>
      </c>
      <c r="I56" s="150"/>
      <c r="J56" s="150"/>
      <c r="K56" s="150"/>
      <c r="L56" s="161"/>
      <c r="M56" s="162"/>
      <c r="N56" s="242" t="s">
        <v>205</v>
      </c>
      <c r="O56" s="150"/>
      <c r="P56" s="150"/>
      <c r="Q56" s="99" t="s">
        <v>32</v>
      </c>
      <c r="R56" s="956">
        <v>2000000</v>
      </c>
      <c r="S56" s="957"/>
      <c r="T56" s="957"/>
      <c r="U56" s="958"/>
      <c r="V56" s="148" t="s">
        <v>206</v>
      </c>
      <c r="W56" s="150"/>
      <c r="X56" s="150"/>
      <c r="Y56" s="99" t="s">
        <v>32</v>
      </c>
      <c r="Z56" s="944">
        <v>5.29</v>
      </c>
      <c r="AA56" s="966"/>
      <c r="AB56" s="966"/>
      <c r="AC56" s="966"/>
      <c r="AD56" s="967"/>
      <c r="AE56" s="148" t="s">
        <v>147</v>
      </c>
      <c r="AF56" s="150"/>
      <c r="AG56" s="150"/>
      <c r="AH56" s="99" t="s">
        <v>32</v>
      </c>
      <c r="AI56" s="996">
        <v>9.2200000000000004E-2</v>
      </c>
      <c r="AJ56" s="997"/>
      <c r="AK56" s="997"/>
      <c r="AL56" s="998"/>
      <c r="AM56" s="996">
        <v>9.4E-2</v>
      </c>
      <c r="AN56" s="997"/>
      <c r="AO56" s="997"/>
      <c r="AP56" s="998"/>
      <c r="AQ56" s="1005">
        <v>0.01</v>
      </c>
      <c r="AR56" s="1006"/>
      <c r="AS56" s="1006"/>
      <c r="AT56" s="1007"/>
      <c r="AU56" s="996">
        <v>0.1012</v>
      </c>
      <c r="AV56" s="997"/>
      <c r="AW56" s="997"/>
      <c r="AX56" s="998"/>
      <c r="AY56" s="996">
        <v>0.11</v>
      </c>
      <c r="AZ56" s="997"/>
      <c r="BA56" s="997"/>
      <c r="BB56" s="998"/>
      <c r="BC56" s="996">
        <v>0.11</v>
      </c>
      <c r="BD56" s="997"/>
      <c r="BE56" s="997"/>
      <c r="BF56" s="998"/>
      <c r="BG56" s="999">
        <f>AI56/21</f>
        <v>4.3904761904761903E-3</v>
      </c>
      <c r="BH56" s="1000"/>
      <c r="BI56" s="1001"/>
      <c r="BJ56" s="309" t="s">
        <v>207</v>
      </c>
      <c r="BK56" s="150"/>
      <c r="BL56" s="150"/>
      <c r="BM56" s="152"/>
      <c r="BN56" s="149" t="s">
        <v>29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202</v>
      </c>
      <c r="E57" s="149"/>
      <c r="F57" s="149"/>
      <c r="G57" s="151"/>
      <c r="H57" s="242" t="s">
        <v>204</v>
      </c>
      <c r="I57" s="150"/>
      <c r="J57" s="150"/>
      <c r="K57" s="150"/>
      <c r="L57" s="161"/>
      <c r="M57" s="162"/>
      <c r="N57" s="242" t="s">
        <v>205</v>
      </c>
      <c r="O57" s="150"/>
      <c r="P57" s="150"/>
      <c r="Q57" s="99" t="s">
        <v>32</v>
      </c>
      <c r="R57" s="956">
        <v>20000</v>
      </c>
      <c r="S57" s="957"/>
      <c r="T57" s="957"/>
      <c r="U57" s="958"/>
      <c r="V57" s="148" t="s">
        <v>206</v>
      </c>
      <c r="W57" s="150"/>
      <c r="X57" s="150"/>
      <c r="Y57" s="99" t="s">
        <v>32</v>
      </c>
      <c r="Z57" s="944">
        <v>11</v>
      </c>
      <c r="AA57" s="966"/>
      <c r="AB57" s="966"/>
      <c r="AC57" s="966"/>
      <c r="AD57" s="967"/>
      <c r="AE57" s="148" t="s">
        <v>147</v>
      </c>
      <c r="AF57" s="150"/>
      <c r="AG57" s="150"/>
      <c r="AH57" s="99" t="s">
        <v>32</v>
      </c>
      <c r="AI57" s="996">
        <v>0.12970000000000001</v>
      </c>
      <c r="AJ57" s="997"/>
      <c r="AK57" s="997"/>
      <c r="AL57" s="998"/>
      <c r="AM57" s="996">
        <v>0.13</v>
      </c>
      <c r="AN57" s="997"/>
      <c r="AO57" s="997"/>
      <c r="AP57" s="998"/>
      <c r="AQ57" s="1005">
        <v>0.01</v>
      </c>
      <c r="AR57" s="1006"/>
      <c r="AS57" s="1006"/>
      <c r="AT57" s="1007"/>
      <c r="AU57" s="996">
        <v>0.13600000000000001</v>
      </c>
      <c r="AV57" s="997"/>
      <c r="AW57" s="997"/>
      <c r="AX57" s="998"/>
      <c r="AY57" s="996">
        <v>0.156</v>
      </c>
      <c r="AZ57" s="997"/>
      <c r="BA57" s="997"/>
      <c r="BB57" s="998"/>
      <c r="BC57" s="996">
        <v>0.156</v>
      </c>
      <c r="BD57" s="997"/>
      <c r="BE57" s="997"/>
      <c r="BF57" s="998"/>
      <c r="BG57" s="999">
        <f>AI57/21</f>
        <v>6.1761904761904766E-3</v>
      </c>
      <c r="BH57" s="1000"/>
      <c r="BI57" s="1001"/>
      <c r="BJ57" s="309" t="s">
        <v>208</v>
      </c>
      <c r="BK57" s="150"/>
      <c r="BL57" s="150"/>
      <c r="BM57" s="152"/>
      <c r="BN57" s="149" t="s">
        <v>29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70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173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71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31</v>
      </c>
      <c r="D63" s="432" t="s">
        <v>181</v>
      </c>
      <c r="E63" s="433"/>
      <c r="F63" s="433"/>
      <c r="G63" s="434"/>
      <c r="H63" s="435" t="s">
        <v>182</v>
      </c>
      <c r="I63" s="436"/>
      <c r="J63" s="436"/>
      <c r="K63" s="436"/>
      <c r="L63" s="433"/>
      <c r="M63" s="434"/>
      <c r="N63" s="432" t="s">
        <v>183</v>
      </c>
      <c r="O63" s="433"/>
      <c r="P63" s="433"/>
      <c r="Q63" s="433"/>
      <c r="R63" s="433"/>
      <c r="S63" s="434"/>
      <c r="T63" s="432" t="s">
        <v>184</v>
      </c>
      <c r="U63" s="433"/>
      <c r="V63" s="433"/>
      <c r="W63" s="433"/>
      <c r="X63" s="433"/>
      <c r="Y63" s="433"/>
      <c r="Z63" s="437" t="s">
        <v>178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179</v>
      </c>
      <c r="E64" s="149"/>
      <c r="F64" s="149"/>
      <c r="G64" s="99" t="s">
        <v>32</v>
      </c>
      <c r="H64" s="242" t="s">
        <v>191</v>
      </c>
      <c r="I64" s="150"/>
      <c r="J64" s="150"/>
      <c r="K64" s="150"/>
      <c r="L64" s="161"/>
      <c r="M64" s="162"/>
      <c r="N64" s="1012">
        <v>5000</v>
      </c>
      <c r="O64" s="1013"/>
      <c r="P64" s="1013"/>
      <c r="Q64" s="1013"/>
      <c r="R64" s="1013"/>
      <c r="S64" s="1014"/>
      <c r="T64" s="1012">
        <v>5000</v>
      </c>
      <c r="U64" s="1015"/>
      <c r="V64" s="1015"/>
      <c r="W64" s="1015"/>
      <c r="X64" s="1015"/>
      <c r="Y64" s="1016"/>
      <c r="Z64" s="1009">
        <v>10</v>
      </c>
      <c r="AA64" s="1010"/>
      <c r="AB64" s="1010"/>
      <c r="AC64" s="1011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70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180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71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31</v>
      </c>
      <c r="D69" s="432" t="s">
        <v>181</v>
      </c>
      <c r="E69" s="445"/>
      <c r="F69" s="445"/>
      <c r="G69" s="446"/>
      <c r="H69" s="447" t="s">
        <v>188</v>
      </c>
      <c r="I69" s="448"/>
      <c r="J69" s="448"/>
      <c r="K69" s="448"/>
      <c r="L69" s="445"/>
      <c r="M69" s="446"/>
      <c r="N69" s="449" t="s">
        <v>189</v>
      </c>
      <c r="O69" s="445"/>
      <c r="P69" s="445"/>
      <c r="Q69" s="445"/>
      <c r="R69" s="445"/>
      <c r="S69" s="446"/>
      <c r="T69" s="449" t="s">
        <v>190</v>
      </c>
      <c r="U69" s="445"/>
      <c r="V69" s="445"/>
      <c r="W69" s="445"/>
      <c r="X69" s="445"/>
      <c r="Y69" s="445"/>
      <c r="Z69" s="450" t="s">
        <v>178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179</v>
      </c>
      <c r="E70" s="149"/>
      <c r="F70" s="149"/>
      <c r="G70" s="99" t="s">
        <v>32</v>
      </c>
      <c r="H70" s="242"/>
      <c r="I70" s="150"/>
      <c r="J70" s="150"/>
      <c r="K70" s="150"/>
      <c r="L70" s="161"/>
      <c r="M70" s="162"/>
      <c r="N70" s="1017">
        <v>5000</v>
      </c>
      <c r="O70" s="1015"/>
      <c r="P70" s="1015"/>
      <c r="Q70" s="1015"/>
      <c r="R70" s="1015"/>
      <c r="S70" s="1016"/>
      <c r="T70" s="1017">
        <v>5000</v>
      </c>
      <c r="U70" s="1015"/>
      <c r="V70" s="1015"/>
      <c r="W70" s="1015"/>
      <c r="X70" s="1015"/>
      <c r="Y70" s="1016"/>
      <c r="Z70" s="1018">
        <v>10</v>
      </c>
      <c r="AA70" s="1019"/>
      <c r="AB70" s="1019"/>
      <c r="AC70" s="1020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70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0999999999999996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77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0999999999999996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31</v>
      </c>
      <c r="D79" s="234" t="s">
        <v>258</v>
      </c>
      <c r="E79" s="235"/>
      <c r="F79" s="234" t="s">
        <v>63</v>
      </c>
      <c r="G79" s="235"/>
      <c r="H79" s="235"/>
      <c r="I79" s="236"/>
      <c r="J79" s="237" t="s">
        <v>33</v>
      </c>
      <c r="K79" s="238"/>
      <c r="L79" s="238"/>
      <c r="M79" s="238"/>
      <c r="N79" s="235"/>
      <c r="O79" s="236"/>
      <c r="P79" s="239" t="s">
        <v>66</v>
      </c>
      <c r="Q79" s="240"/>
      <c r="R79" s="240"/>
      <c r="S79" s="241"/>
      <c r="T79" s="239" t="s">
        <v>150</v>
      </c>
      <c r="U79" s="240"/>
      <c r="V79" s="240"/>
      <c r="W79" s="241"/>
      <c r="X79" s="234" t="s">
        <v>78</v>
      </c>
      <c r="Y79" s="235"/>
      <c r="Z79" s="235"/>
      <c r="AA79" s="236"/>
      <c r="AB79" s="234" t="s">
        <v>79</v>
      </c>
      <c r="AC79" s="235"/>
      <c r="AD79" s="235"/>
      <c r="AE79" s="235"/>
      <c r="AF79" s="239" t="s">
        <v>64</v>
      </c>
      <c r="AG79" s="240"/>
      <c r="AH79" s="240"/>
      <c r="AI79" s="240"/>
      <c r="AJ79" s="241"/>
      <c r="AK79" s="240" t="s">
        <v>209</v>
      </c>
      <c r="AL79" s="240"/>
      <c r="AM79" s="240"/>
      <c r="AN79" s="241"/>
      <c r="AO79" s="240" t="s">
        <v>161</v>
      </c>
      <c r="AP79" s="240"/>
      <c r="AQ79" s="240"/>
      <c r="AR79" s="241"/>
      <c r="AS79" s="240" t="s">
        <v>210</v>
      </c>
      <c r="AT79" s="240"/>
      <c r="AU79" s="240"/>
      <c r="AV79" s="241"/>
      <c r="AW79" s="240" t="s">
        <v>65</v>
      </c>
      <c r="AX79" s="240"/>
      <c r="AY79" s="240"/>
      <c r="AZ79" s="241"/>
      <c r="BA79" s="239" t="s">
        <v>211</v>
      </c>
      <c r="BB79" s="240"/>
      <c r="BC79" s="240"/>
      <c r="BD79" s="241"/>
      <c r="BE79" s="239" t="s">
        <v>212</v>
      </c>
      <c r="BF79" s="240"/>
      <c r="BG79" s="240"/>
      <c r="BH79" s="240"/>
      <c r="BI79" s="239" t="s">
        <v>198</v>
      </c>
      <c r="BJ79" s="240"/>
      <c r="BK79" s="240"/>
      <c r="BL79" s="241"/>
      <c r="BM79" s="239" t="s">
        <v>213</v>
      </c>
      <c r="BN79" s="240"/>
      <c r="BO79" s="240"/>
      <c r="BP79" s="241"/>
      <c r="BQ79" s="239" t="s">
        <v>214</v>
      </c>
      <c r="BR79" s="240"/>
      <c r="BS79" s="240"/>
      <c r="BT79" s="241"/>
      <c r="BU79" s="239" t="s">
        <v>82</v>
      </c>
      <c r="BV79" s="240"/>
      <c r="BW79" s="240"/>
      <c r="BX79" s="241"/>
      <c r="BY79" s="239" t="s">
        <v>83</v>
      </c>
      <c r="BZ79" s="240"/>
      <c r="CA79" s="240"/>
      <c r="CB79" s="241"/>
      <c r="CC79" s="240" t="s">
        <v>84</v>
      </c>
      <c r="CD79" s="240"/>
      <c r="CE79" s="241"/>
      <c r="CF79" s="240" t="s">
        <v>85</v>
      </c>
      <c r="CG79" s="240"/>
      <c r="CH79" s="240"/>
      <c r="CI79" s="241"/>
      <c r="CJ79" s="240" t="s">
        <v>68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92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956">
        <f>R56</f>
        <v>2000000</v>
      </c>
      <c r="Y80" s="957"/>
      <c r="Z80" s="957"/>
      <c r="AA80" s="958"/>
      <c r="AB80" s="996">
        <f>Z56/111</f>
        <v>4.7657657657657657E-2</v>
      </c>
      <c r="AC80" s="997"/>
      <c r="AD80" s="997"/>
      <c r="AE80" s="998"/>
      <c r="AF80" s="996">
        <f>BC56</f>
        <v>0.11</v>
      </c>
      <c r="AG80" s="997"/>
      <c r="AH80" s="997"/>
      <c r="AI80" s="997"/>
      <c r="AJ80" s="998"/>
      <c r="AK80" s="996">
        <f>AM56</f>
        <v>9.4E-2</v>
      </c>
      <c r="AL80" s="997"/>
      <c r="AM80" s="997"/>
      <c r="AN80" s="998"/>
      <c r="AO80" s="996">
        <f>AI56</f>
        <v>9.2200000000000004E-2</v>
      </c>
      <c r="AP80" s="997"/>
      <c r="AQ80" s="997"/>
      <c r="AR80" s="998"/>
      <c r="AS80" s="996">
        <f>AI56/(1-AQ56)</f>
        <v>9.3131313131313134E-2</v>
      </c>
      <c r="AT80" s="997"/>
      <c r="AU80" s="997"/>
      <c r="AV80" s="998"/>
      <c r="AW80" s="996">
        <f>AO80-(AS80*$K$20)</f>
        <v>8.7543434343434354E-2</v>
      </c>
      <c r="AX80" s="997"/>
      <c r="AY80" s="997"/>
      <c r="AZ80" s="998"/>
      <c r="BA80" s="950">
        <f>1-Z56/111/AW80</f>
        <v>0.4556112858138982</v>
      </c>
      <c r="BB80" s="951"/>
      <c r="BC80" s="951"/>
      <c r="BD80" s="952"/>
      <c r="BE80" s="977">
        <f>(AI56-AM56)/AM56</f>
        <v>-1.9148936170212724E-2</v>
      </c>
      <c r="BF80" s="978"/>
      <c r="BG80" s="978"/>
      <c r="BH80" s="979"/>
      <c r="BI80" s="1028">
        <f>AU56</f>
        <v>0.1012</v>
      </c>
      <c r="BJ80" s="1029"/>
      <c r="BK80" s="1029"/>
      <c r="BL80" s="1030"/>
      <c r="BM80" s="980">
        <f>1-AI56/(1-AQ56)/AU56</f>
        <v>7.9730107398091499E-2</v>
      </c>
      <c r="BN80" s="981"/>
      <c r="BO80" s="981"/>
      <c r="BP80" s="982"/>
      <c r="BQ80" s="980">
        <f>1-(Z56/111+AI56*AQ56+AS80*$K$20)/AU56</f>
        <v>0.47395036250767475</v>
      </c>
      <c r="BR80" s="981"/>
      <c r="BS80" s="981"/>
      <c r="BT80" s="982"/>
      <c r="BU80" s="999">
        <f>AY56</f>
        <v>0.11</v>
      </c>
      <c r="BV80" s="1000"/>
      <c r="BW80" s="1000"/>
      <c r="BX80" s="1001"/>
      <c r="BY80" s="980">
        <f>1-AU56/AY56</f>
        <v>8.0000000000000071E-2</v>
      </c>
      <c r="BZ80" s="981"/>
      <c r="CA80" s="981"/>
      <c r="CB80" s="982"/>
      <c r="CC80" s="968">
        <f>BG56</f>
        <v>4.3904761904761903E-3</v>
      </c>
      <c r="CD80" s="969"/>
      <c r="CE80" s="970"/>
      <c r="CF80" s="149" t="str">
        <f>BJ56</f>
        <v>JAE</v>
      </c>
      <c r="CG80" s="150"/>
      <c r="CH80" s="150"/>
      <c r="CI80" s="152"/>
      <c r="CJ80" s="149" t="s">
        <v>29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92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956">
        <f>R57</f>
        <v>20000</v>
      </c>
      <c r="Y81" s="957"/>
      <c r="Z81" s="957"/>
      <c r="AA81" s="958"/>
      <c r="AB81" s="996">
        <f>Z57/111</f>
        <v>9.90990990990991E-2</v>
      </c>
      <c r="AC81" s="997"/>
      <c r="AD81" s="997"/>
      <c r="AE81" s="998"/>
      <c r="AF81" s="996">
        <f>BC57</f>
        <v>0.156</v>
      </c>
      <c r="AG81" s="997"/>
      <c r="AH81" s="997"/>
      <c r="AI81" s="997"/>
      <c r="AJ81" s="998"/>
      <c r="AK81" s="996">
        <f>AM57</f>
        <v>0.13</v>
      </c>
      <c r="AL81" s="997"/>
      <c r="AM81" s="997"/>
      <c r="AN81" s="998"/>
      <c r="AO81" s="996">
        <f>AI57</f>
        <v>0.12970000000000001</v>
      </c>
      <c r="AP81" s="997"/>
      <c r="AQ81" s="997"/>
      <c r="AR81" s="998"/>
      <c r="AS81" s="996">
        <f>AI57/(1-AQ57)</f>
        <v>0.13101010101010102</v>
      </c>
      <c r="AT81" s="997"/>
      <c r="AU81" s="997"/>
      <c r="AV81" s="998"/>
      <c r="AW81" s="996">
        <f>AO81-(AS81*$K$20)</f>
        <v>0.12314949494949495</v>
      </c>
      <c r="AX81" s="997"/>
      <c r="AY81" s="997"/>
      <c r="AZ81" s="998"/>
      <c r="BA81" s="950">
        <f>1-Z57/111/AW81</f>
        <v>0.19529431168401623</v>
      </c>
      <c r="BB81" s="951"/>
      <c r="BC81" s="951"/>
      <c r="BD81" s="952"/>
      <c r="BE81" s="977">
        <f>(AI57-AM57)/AM57</f>
        <v>-2.3076923076922671E-3</v>
      </c>
      <c r="BF81" s="978"/>
      <c r="BG81" s="978"/>
      <c r="BH81" s="979"/>
      <c r="BI81" s="1028">
        <f>AU57</f>
        <v>0.13600000000000001</v>
      </c>
      <c r="BJ81" s="1029"/>
      <c r="BK81" s="1029"/>
      <c r="BL81" s="1030"/>
      <c r="BM81" s="980">
        <f>1-AI57/(1-AQ57)/AU57</f>
        <v>3.669043374925729E-2</v>
      </c>
      <c r="BN81" s="981"/>
      <c r="BO81" s="981"/>
      <c r="BP81" s="982"/>
      <c r="BQ81" s="980">
        <f>1-(Z57/111+AI57*AQ57+AS81*$K$20)/AU57</f>
        <v>0.21362791066467535</v>
      </c>
      <c r="BR81" s="981"/>
      <c r="BS81" s="981"/>
      <c r="BT81" s="982"/>
      <c r="BU81" s="999">
        <f>AY57</f>
        <v>0.156</v>
      </c>
      <c r="BV81" s="1000"/>
      <c r="BW81" s="1000"/>
      <c r="BX81" s="1001"/>
      <c r="BY81" s="980">
        <f>1-AU57/AY57</f>
        <v>0.12820512820512819</v>
      </c>
      <c r="BZ81" s="981"/>
      <c r="CA81" s="981"/>
      <c r="CB81" s="982"/>
      <c r="CC81" s="968">
        <f>BG57</f>
        <v>6.1761904761904766E-3</v>
      </c>
      <c r="CD81" s="969"/>
      <c r="CE81" s="970"/>
      <c r="CF81" s="149" t="str">
        <f>BJ57</f>
        <v>TE</v>
      </c>
      <c r="CG81" s="150"/>
      <c r="CH81" s="150"/>
      <c r="CI81" s="152"/>
      <c r="CJ81" s="149" t="s">
        <v>29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279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278</v>
      </c>
      <c r="E83" s="503"/>
      <c r="F83" s="504" t="s">
        <v>292</v>
      </c>
      <c r="G83" s="503"/>
      <c r="H83" s="503"/>
      <c r="I83" s="505"/>
      <c r="J83" s="504" t="s">
        <v>29</v>
      </c>
      <c r="K83" s="506"/>
      <c r="L83" s="506"/>
      <c r="M83" s="506"/>
      <c r="N83" s="503"/>
      <c r="O83" s="505"/>
      <c r="P83" s="511" t="s">
        <v>29</v>
      </c>
      <c r="Q83" s="508"/>
      <c r="R83" s="508"/>
      <c r="S83" s="509"/>
      <c r="T83" s="504" t="s">
        <v>29</v>
      </c>
      <c r="U83" s="503"/>
      <c r="V83" s="503"/>
      <c r="W83" s="505"/>
      <c r="X83" s="508" t="s">
        <v>215</v>
      </c>
      <c r="Y83" s="503"/>
      <c r="Z83" s="503"/>
      <c r="AA83" s="503"/>
      <c r="AB83" s="507" t="s">
        <v>216</v>
      </c>
      <c r="AC83" s="503"/>
      <c r="AD83" s="503"/>
      <c r="AE83" s="503"/>
      <c r="AF83" s="507" t="s">
        <v>217</v>
      </c>
      <c r="AG83" s="508"/>
      <c r="AH83" s="508"/>
      <c r="AI83" s="508"/>
      <c r="AJ83" s="509"/>
      <c r="AK83" s="507" t="s">
        <v>218</v>
      </c>
      <c r="AL83" s="508"/>
      <c r="AM83" s="508"/>
      <c r="AN83" s="509"/>
      <c r="AO83" s="507" t="s">
        <v>219</v>
      </c>
      <c r="AP83" s="508"/>
      <c r="AQ83" s="508"/>
      <c r="AR83" s="509"/>
      <c r="AS83" s="507" t="s">
        <v>220</v>
      </c>
      <c r="AT83" s="508"/>
      <c r="AU83" s="508"/>
      <c r="AV83" s="508"/>
      <c r="AW83" s="507" t="s">
        <v>100</v>
      </c>
      <c r="AX83" s="508"/>
      <c r="AY83" s="508"/>
      <c r="AZ83" s="509"/>
      <c r="BA83" s="511" t="s">
        <v>221</v>
      </c>
      <c r="BB83" s="508"/>
      <c r="BC83" s="508"/>
      <c r="BD83" s="509"/>
      <c r="BE83" s="513" t="s">
        <v>222</v>
      </c>
      <c r="BF83" s="508"/>
      <c r="BG83" s="508"/>
      <c r="BH83" s="509"/>
      <c r="BI83" s="513" t="s">
        <v>29</v>
      </c>
      <c r="BJ83" s="508"/>
      <c r="BK83" s="508"/>
      <c r="BL83" s="509"/>
      <c r="BM83" s="513" t="s">
        <v>29</v>
      </c>
      <c r="BN83" s="508"/>
      <c r="BO83" s="508"/>
      <c r="BP83" s="509"/>
      <c r="BQ83" s="513" t="s">
        <v>29</v>
      </c>
      <c r="BR83" s="508"/>
      <c r="BS83" s="508"/>
      <c r="BT83" s="509"/>
      <c r="BU83" s="513" t="s">
        <v>29</v>
      </c>
      <c r="BV83" s="508"/>
      <c r="BW83" s="508"/>
      <c r="BX83" s="509"/>
      <c r="BY83" s="508"/>
      <c r="BZ83" s="508"/>
      <c r="CA83" s="508"/>
      <c r="CB83" s="509"/>
      <c r="CC83" s="513" t="s">
        <v>29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232</v>
      </c>
      <c r="AX84" s="523"/>
      <c r="AY84" s="523"/>
      <c r="AZ84" s="524"/>
      <c r="BA84" s="525" t="s">
        <v>29</v>
      </c>
      <c r="BB84" s="523"/>
      <c r="BC84" s="523"/>
      <c r="BD84" s="524"/>
      <c r="BE84" s="526" t="s">
        <v>29</v>
      </c>
      <c r="BF84" s="523"/>
      <c r="BG84" s="523"/>
      <c r="BH84" s="524"/>
      <c r="BI84" s="526" t="s">
        <v>29</v>
      </c>
      <c r="BJ84" s="523"/>
      <c r="BK84" s="523"/>
      <c r="BL84" s="524"/>
      <c r="BM84" s="526" t="s">
        <v>29</v>
      </c>
      <c r="BN84" s="523"/>
      <c r="BO84" s="523"/>
      <c r="BP84" s="524"/>
      <c r="BQ84" s="526" t="s">
        <v>29</v>
      </c>
      <c r="BR84" s="523"/>
      <c r="BS84" s="523"/>
      <c r="BT84" s="524"/>
      <c r="BU84" s="526" t="s">
        <v>29</v>
      </c>
      <c r="BV84" s="523"/>
      <c r="BW84" s="523"/>
      <c r="BX84" s="524"/>
      <c r="BY84" s="523"/>
      <c r="BZ84" s="523"/>
      <c r="CA84" s="523"/>
      <c r="CB84" s="524"/>
      <c r="CC84" s="526" t="s">
        <v>29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205</v>
      </c>
      <c r="E85" s="149"/>
      <c r="F85" s="148" t="s">
        <v>147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71">
        <f>SUMPRODUCT(X$80:AA$81,AO$80:AR$81)</f>
        <v>186994</v>
      </c>
      <c r="Y85" s="972"/>
      <c r="Z85" s="972"/>
      <c r="AA85" s="973"/>
      <c r="AB85" s="971">
        <f>SUMPRODUCT(X$80:AA$81,AB$80:AE$81)</f>
        <v>97297.297297297293</v>
      </c>
      <c r="AC85" s="972"/>
      <c r="AD85" s="972"/>
      <c r="AE85" s="973"/>
      <c r="AF85" s="947">
        <f>X$86-AB$86</f>
        <v>89696.702702702707</v>
      </c>
      <c r="AG85" s="948"/>
      <c r="AH85" s="948"/>
      <c r="AI85" s="948"/>
      <c r="AJ85" s="949"/>
      <c r="AK85" s="950">
        <f>AF85/X85</f>
        <v>0.4796769024819123</v>
      </c>
      <c r="AL85" s="951"/>
      <c r="AM85" s="951"/>
      <c r="AN85" s="952"/>
      <c r="AO85" s="950">
        <f>AS85/AW85</f>
        <v>-1.8919202518363022E-2</v>
      </c>
      <c r="AP85" s="951"/>
      <c r="AQ85" s="951"/>
      <c r="AR85" s="952"/>
      <c r="AS85" s="1024">
        <f>X$80*(AO$80-AK$80)+X$81*(AO$81-AK$81)</f>
        <v>-3605.9999999999923</v>
      </c>
      <c r="AT85" s="1025"/>
      <c r="AU85" s="1025"/>
      <c r="AV85" s="1026"/>
      <c r="AW85" s="1021">
        <f>SUMPRODUCT(X$80:AA$81,AK$80:AN$81)</f>
        <v>190600</v>
      </c>
      <c r="AX85" s="1022"/>
      <c r="AY85" s="1022"/>
      <c r="AZ85" s="1023"/>
      <c r="BA85" s="971">
        <f>SUMPRODUCT(X$80:AA$81,BI$80:BL$81)</f>
        <v>205120</v>
      </c>
      <c r="BB85" s="972"/>
      <c r="BC85" s="972"/>
      <c r="BD85" s="973"/>
      <c r="BE85" s="980">
        <f>1-(AB$91+X$80*(AO$80*AQ$56+AS$80*$K$20)+X$81*(AO$81*AQ$57+AS$81*$K$20))/BA$91</f>
        <v>0.47049834871568497</v>
      </c>
      <c r="BF85" s="981"/>
      <c r="BG85" s="981"/>
      <c r="BH85" s="982"/>
      <c r="BI85" s="149" t="s">
        <v>29</v>
      </c>
      <c r="BJ85" s="150"/>
      <c r="BK85" s="150"/>
      <c r="BL85" s="152"/>
      <c r="BM85" s="149" t="s">
        <v>29</v>
      </c>
      <c r="BN85" s="150"/>
      <c r="BO85" s="150"/>
      <c r="BP85" s="152"/>
      <c r="BQ85" s="149" t="s">
        <v>29</v>
      </c>
      <c r="BR85" s="150"/>
      <c r="BS85" s="150"/>
      <c r="BT85" s="152"/>
      <c r="BU85" s="149" t="s">
        <v>29</v>
      </c>
      <c r="BV85" s="150"/>
      <c r="BW85" s="150"/>
      <c r="BX85" s="152"/>
      <c r="BY85" s="149" t="s">
        <v>29</v>
      </c>
      <c r="BZ85" s="150"/>
      <c r="CA85" s="150"/>
      <c r="CB85" s="152"/>
      <c r="CC85" s="149" t="s">
        <v>29</v>
      </c>
      <c r="CD85" s="150"/>
      <c r="CE85" s="152"/>
      <c r="CF85" s="149" t="s">
        <v>29</v>
      </c>
      <c r="CG85" s="150"/>
      <c r="CH85" s="150"/>
      <c r="CI85" s="152"/>
      <c r="CJ85" s="149" t="s">
        <v>29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205</v>
      </c>
      <c r="E86" s="149"/>
      <c r="F86" s="148" t="s">
        <v>206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71">
        <f>SUMPRODUCT(X$80:AA$81,AO$80:AR$81)</f>
        <v>186994</v>
      </c>
      <c r="Y86" s="972"/>
      <c r="Z86" s="972"/>
      <c r="AA86" s="973"/>
      <c r="AB86" s="971">
        <f>SUMPRODUCT(X$80:AA$81,AB$80:AE$81)</f>
        <v>97297.297297297293</v>
      </c>
      <c r="AC86" s="972"/>
      <c r="AD86" s="972"/>
      <c r="AE86" s="973"/>
      <c r="AF86" s="947">
        <f>X$86-AB$86</f>
        <v>89696.702702702707</v>
      </c>
      <c r="AG86" s="948"/>
      <c r="AH86" s="948"/>
      <c r="AI86" s="948"/>
      <c r="AJ86" s="949"/>
      <c r="AK86" s="950">
        <f>AF86/X86</f>
        <v>0.4796769024819123</v>
      </c>
      <c r="AL86" s="951"/>
      <c r="AM86" s="951"/>
      <c r="AN86" s="952"/>
      <c r="AO86" s="950">
        <f>AS86/AW86</f>
        <v>-1.8919202518363022E-2</v>
      </c>
      <c r="AP86" s="951"/>
      <c r="AQ86" s="951"/>
      <c r="AR86" s="952"/>
      <c r="AS86" s="1024">
        <f>X$80*(AO$80-AK$80)+X$81*(AO$81-AK$81)</f>
        <v>-3605.9999999999923</v>
      </c>
      <c r="AT86" s="1025"/>
      <c r="AU86" s="1025"/>
      <c r="AV86" s="1026"/>
      <c r="AW86" s="1021">
        <f>SUMPRODUCT(X$80:AA$81,AK$80:AN$81)</f>
        <v>190600</v>
      </c>
      <c r="AX86" s="1022"/>
      <c r="AY86" s="1022"/>
      <c r="AZ86" s="1023"/>
      <c r="BA86" s="971">
        <f>SUMPRODUCT(X$80:AA$81,BI$80:BL$81)</f>
        <v>205120</v>
      </c>
      <c r="BB86" s="972"/>
      <c r="BC86" s="972"/>
      <c r="BD86" s="973"/>
      <c r="BE86" s="980">
        <f>1-(AB$91+X$80*(AO$80*AQ$56+AS$80*$K$20)+X$81*(AO$81*AQ$57+AS$81*$K$20))/BA$91</f>
        <v>0.47049834871568497</v>
      </c>
      <c r="BF86" s="981"/>
      <c r="BG86" s="981"/>
      <c r="BH86" s="982"/>
      <c r="BI86" s="149" t="s">
        <v>29</v>
      </c>
      <c r="BJ86" s="150"/>
      <c r="BK86" s="150"/>
      <c r="BL86" s="152"/>
      <c r="BM86" s="149" t="s">
        <v>29</v>
      </c>
      <c r="BN86" s="150"/>
      <c r="BO86" s="150"/>
      <c r="BP86" s="152"/>
      <c r="BQ86" s="149" t="s">
        <v>29</v>
      </c>
      <c r="BR86" s="150"/>
      <c r="BS86" s="150"/>
      <c r="BT86" s="152"/>
      <c r="BU86" s="149" t="s">
        <v>29</v>
      </c>
      <c r="BV86" s="150"/>
      <c r="BW86" s="150"/>
      <c r="BX86" s="152"/>
      <c r="BY86" s="149" t="s">
        <v>29</v>
      </c>
      <c r="BZ86" s="150"/>
      <c r="CA86" s="150"/>
      <c r="CB86" s="152"/>
      <c r="CC86" s="149" t="s">
        <v>29</v>
      </c>
      <c r="CD86" s="150"/>
      <c r="CE86" s="152"/>
      <c r="CF86" s="149" t="s">
        <v>29</v>
      </c>
      <c r="CG86" s="150"/>
      <c r="CH86" s="150"/>
      <c r="CI86" s="152"/>
      <c r="CJ86" s="149" t="s">
        <v>29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277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293</v>
      </c>
      <c r="G88" s="244"/>
      <c r="H88" s="244"/>
      <c r="I88" s="245"/>
      <c r="J88" s="246" t="s">
        <v>29</v>
      </c>
      <c r="K88" s="247"/>
      <c r="L88" s="247"/>
      <c r="M88" s="247"/>
      <c r="N88" s="244"/>
      <c r="O88" s="245"/>
      <c r="P88" s="253" t="s">
        <v>29</v>
      </c>
      <c r="Q88" s="249"/>
      <c r="R88" s="249"/>
      <c r="S88" s="250"/>
      <c r="T88" s="243"/>
      <c r="U88" s="244"/>
      <c r="V88" s="244"/>
      <c r="W88" s="245"/>
      <c r="X88" s="249" t="s">
        <v>215</v>
      </c>
      <c r="Y88" s="244"/>
      <c r="Z88" s="244"/>
      <c r="AA88" s="244"/>
      <c r="AB88" s="248" t="s">
        <v>216</v>
      </c>
      <c r="AC88" s="244"/>
      <c r="AD88" s="244"/>
      <c r="AE88" s="244"/>
      <c r="AF88" s="248" t="s">
        <v>217</v>
      </c>
      <c r="AG88" s="249"/>
      <c r="AH88" s="249"/>
      <c r="AI88" s="249"/>
      <c r="AJ88" s="250"/>
      <c r="AK88" s="248" t="s">
        <v>218</v>
      </c>
      <c r="AL88" s="249"/>
      <c r="AM88" s="249"/>
      <c r="AN88" s="250"/>
      <c r="AO88" s="248" t="s">
        <v>219</v>
      </c>
      <c r="AP88" s="249"/>
      <c r="AQ88" s="249"/>
      <c r="AR88" s="250"/>
      <c r="AS88" s="248" t="s">
        <v>220</v>
      </c>
      <c r="AT88" s="249"/>
      <c r="AU88" s="249"/>
      <c r="AV88" s="249"/>
      <c r="AW88" s="248" t="s">
        <v>100</v>
      </c>
      <c r="AX88" s="249"/>
      <c r="AY88" s="249"/>
      <c r="AZ88" s="250"/>
      <c r="BA88" s="253" t="s">
        <v>221</v>
      </c>
      <c r="BB88" s="249"/>
      <c r="BC88" s="249"/>
      <c r="BD88" s="250"/>
      <c r="BE88" s="251" t="s">
        <v>222</v>
      </c>
      <c r="BF88" s="249"/>
      <c r="BG88" s="249"/>
      <c r="BH88" s="250"/>
      <c r="BI88" s="251" t="s">
        <v>29</v>
      </c>
      <c r="BJ88" s="249"/>
      <c r="BK88" s="249"/>
      <c r="BL88" s="250"/>
      <c r="BM88" s="251" t="s">
        <v>29</v>
      </c>
      <c r="BN88" s="249"/>
      <c r="BO88" s="249"/>
      <c r="BP88" s="250"/>
      <c r="BQ88" s="251" t="s">
        <v>29</v>
      </c>
      <c r="BR88" s="249"/>
      <c r="BS88" s="249"/>
      <c r="BT88" s="250"/>
      <c r="BU88" s="251" t="s">
        <v>29</v>
      </c>
      <c r="BV88" s="249"/>
      <c r="BW88" s="249"/>
      <c r="BX88" s="250"/>
      <c r="BY88" s="249"/>
      <c r="BZ88" s="249"/>
      <c r="CA88" s="249"/>
      <c r="CB88" s="250"/>
      <c r="CC88" s="251" t="s">
        <v>29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232</v>
      </c>
      <c r="AX89" s="458"/>
      <c r="AY89" s="458"/>
      <c r="AZ89" s="459"/>
      <c r="BA89" s="457" t="s">
        <v>29</v>
      </c>
      <c r="BB89" s="458"/>
      <c r="BC89" s="458"/>
      <c r="BD89" s="459"/>
      <c r="BE89" s="460" t="s">
        <v>29</v>
      </c>
      <c r="BF89" s="458"/>
      <c r="BG89" s="458"/>
      <c r="BH89" s="459"/>
      <c r="BI89" s="460" t="s">
        <v>29</v>
      </c>
      <c r="BJ89" s="458"/>
      <c r="BK89" s="458"/>
      <c r="BL89" s="459"/>
      <c r="BM89" s="460" t="s">
        <v>29</v>
      </c>
      <c r="BN89" s="458"/>
      <c r="BO89" s="458"/>
      <c r="BP89" s="459"/>
      <c r="BQ89" s="460" t="s">
        <v>29</v>
      </c>
      <c r="BR89" s="458"/>
      <c r="BS89" s="458"/>
      <c r="BT89" s="459"/>
      <c r="BU89" s="460" t="s">
        <v>29</v>
      </c>
      <c r="BV89" s="458"/>
      <c r="BW89" s="458"/>
      <c r="BX89" s="459"/>
      <c r="BY89" s="458"/>
      <c r="BZ89" s="458"/>
      <c r="CA89" s="458"/>
      <c r="CB89" s="459"/>
      <c r="CC89" s="460" t="s">
        <v>29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147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71">
        <f>SUMPRODUCT(X$80:AA$81,AO$80:AR$81)</f>
        <v>186994</v>
      </c>
      <c r="Y90" s="972"/>
      <c r="Z90" s="972"/>
      <c r="AA90" s="973"/>
      <c r="AB90" s="971">
        <f>SUMPRODUCT(X$80:AA$81,AB$80:AE$81)</f>
        <v>97297.297297297293</v>
      </c>
      <c r="AC90" s="972"/>
      <c r="AD90" s="972"/>
      <c r="AE90" s="973"/>
      <c r="AF90" s="947">
        <f>X$91-AB$91</f>
        <v>89696.702702702707</v>
      </c>
      <c r="AG90" s="948"/>
      <c r="AH90" s="948"/>
      <c r="AI90" s="948"/>
      <c r="AJ90" s="949"/>
      <c r="AK90" s="950">
        <f>AF90/X90</f>
        <v>0.4796769024819123</v>
      </c>
      <c r="AL90" s="951"/>
      <c r="AM90" s="951"/>
      <c r="AN90" s="952"/>
      <c r="AO90" s="950">
        <f>AS90/AW90</f>
        <v>-1.8919202518363022E-2</v>
      </c>
      <c r="AP90" s="951"/>
      <c r="AQ90" s="951"/>
      <c r="AR90" s="952"/>
      <c r="AS90" s="1024">
        <f>X$80*(AO$80-AK$80)+X$81*(AO$81-AK$81)</f>
        <v>-3605.9999999999923</v>
      </c>
      <c r="AT90" s="1025"/>
      <c r="AU90" s="1025"/>
      <c r="AV90" s="1026"/>
      <c r="AW90" s="1021">
        <f>SUMPRODUCT(X$80:AA$81,AK$80:AN$81)</f>
        <v>190600</v>
      </c>
      <c r="AX90" s="1022"/>
      <c r="AY90" s="1022"/>
      <c r="AZ90" s="1023"/>
      <c r="BA90" s="971">
        <f>SUMPRODUCT(X$80:AA$81,BI$80:BL$81)</f>
        <v>205120</v>
      </c>
      <c r="BB90" s="972"/>
      <c r="BC90" s="972"/>
      <c r="BD90" s="973"/>
      <c r="BE90" s="980">
        <f>1-(AB$91+X$80*(AO$80*AQ$56+AS$80*$K$20)+X$81*(AO$81*AQ$57+AS$81*$K$20))/BA$91</f>
        <v>0.47049834871568497</v>
      </c>
      <c r="BF90" s="981"/>
      <c r="BG90" s="981"/>
      <c r="BH90" s="982"/>
      <c r="BI90" s="149" t="s">
        <v>29</v>
      </c>
      <c r="BJ90" s="150"/>
      <c r="BK90" s="150"/>
      <c r="BL90" s="152"/>
      <c r="BM90" s="149" t="s">
        <v>29</v>
      </c>
      <c r="BN90" s="150"/>
      <c r="BO90" s="150"/>
      <c r="BP90" s="152"/>
      <c r="BQ90" s="149" t="s">
        <v>29</v>
      </c>
      <c r="BR90" s="150"/>
      <c r="BS90" s="150"/>
      <c r="BT90" s="152"/>
      <c r="BU90" s="149" t="s">
        <v>29</v>
      </c>
      <c r="BV90" s="150"/>
      <c r="BW90" s="150"/>
      <c r="BX90" s="152"/>
      <c r="BY90" s="149" t="s">
        <v>29</v>
      </c>
      <c r="BZ90" s="150"/>
      <c r="CA90" s="150"/>
      <c r="CB90" s="152"/>
      <c r="CC90" s="149" t="s">
        <v>29</v>
      </c>
      <c r="CD90" s="150"/>
      <c r="CE90" s="152"/>
      <c r="CF90" s="149" t="s">
        <v>29</v>
      </c>
      <c r="CG90" s="150"/>
      <c r="CH90" s="150"/>
      <c r="CI90" s="152"/>
      <c r="CJ90" s="149" t="s">
        <v>29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206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71">
        <f>SUMPRODUCT(X$80:AA$81,AO$80:AR$81)</f>
        <v>186994</v>
      </c>
      <c r="Y91" s="972"/>
      <c r="Z91" s="972"/>
      <c r="AA91" s="973"/>
      <c r="AB91" s="971">
        <f>SUMPRODUCT(X$80:AA$81,AB$80:AE$81)</f>
        <v>97297.297297297293</v>
      </c>
      <c r="AC91" s="972"/>
      <c r="AD91" s="972"/>
      <c r="AE91" s="973"/>
      <c r="AF91" s="947">
        <f>X$91-AB$91</f>
        <v>89696.702702702707</v>
      </c>
      <c r="AG91" s="948"/>
      <c r="AH91" s="948"/>
      <c r="AI91" s="948"/>
      <c r="AJ91" s="949"/>
      <c r="AK91" s="950">
        <f>AF91/X91</f>
        <v>0.4796769024819123</v>
      </c>
      <c r="AL91" s="951"/>
      <c r="AM91" s="951"/>
      <c r="AN91" s="952"/>
      <c r="AO91" s="950">
        <f>AS91/AW91</f>
        <v>-1.8919202518363022E-2</v>
      </c>
      <c r="AP91" s="951"/>
      <c r="AQ91" s="951"/>
      <c r="AR91" s="952"/>
      <c r="AS91" s="1024">
        <f>X$80*(AO$80-AK$80)+X$81*(AO$81-AK$81)</f>
        <v>-3605.9999999999923</v>
      </c>
      <c r="AT91" s="1025"/>
      <c r="AU91" s="1025"/>
      <c r="AV91" s="1026"/>
      <c r="AW91" s="1021">
        <f>SUMPRODUCT(X$80:AA$81,AK$80:AN$81)</f>
        <v>190600</v>
      </c>
      <c r="AX91" s="1022"/>
      <c r="AY91" s="1022"/>
      <c r="AZ91" s="1023"/>
      <c r="BA91" s="971">
        <f>SUMPRODUCT(X$80:AA$81,BI$80:BL$81)</f>
        <v>205120</v>
      </c>
      <c r="BB91" s="972"/>
      <c r="BC91" s="972"/>
      <c r="BD91" s="973"/>
      <c r="BE91" s="980">
        <f>1-(AB$91+X$80*(AO$80*AQ$56+AS$80*$K$20)+X$81*(AO$81*AQ$57+AS$81*$K$20))/BA$91</f>
        <v>0.47049834871568497</v>
      </c>
      <c r="BF91" s="981"/>
      <c r="BG91" s="981"/>
      <c r="BH91" s="982"/>
      <c r="BI91" s="149" t="s">
        <v>29</v>
      </c>
      <c r="BJ91" s="150"/>
      <c r="BK91" s="150"/>
      <c r="BL91" s="152"/>
      <c r="BM91" s="149" t="s">
        <v>29</v>
      </c>
      <c r="BN91" s="150"/>
      <c r="BO91" s="150"/>
      <c r="BP91" s="152"/>
      <c r="BQ91" s="149" t="s">
        <v>29</v>
      </c>
      <c r="BR91" s="150"/>
      <c r="BS91" s="150"/>
      <c r="BT91" s="152"/>
      <c r="BU91" s="149" t="s">
        <v>29</v>
      </c>
      <c r="BV91" s="150"/>
      <c r="BW91" s="150"/>
      <c r="BX91" s="152"/>
      <c r="BY91" s="149" t="s">
        <v>29</v>
      </c>
      <c r="BZ91" s="150"/>
      <c r="CA91" s="150"/>
      <c r="CB91" s="152"/>
      <c r="CC91" s="149" t="s">
        <v>29</v>
      </c>
      <c r="CD91" s="150"/>
      <c r="CE91" s="152"/>
      <c r="CF91" s="149" t="s">
        <v>29</v>
      </c>
      <c r="CG91" s="150"/>
      <c r="CH91" s="150"/>
      <c r="CI91" s="152"/>
      <c r="CJ91" s="149" t="s">
        <v>29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962"/>
      <c r="K93" s="963"/>
      <c r="L93" s="963"/>
      <c r="M93" s="963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173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71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31</v>
      </c>
      <c r="D95" s="403" t="s">
        <v>174</v>
      </c>
      <c r="E95" s="404"/>
      <c r="F95" s="404"/>
      <c r="G95" s="405"/>
      <c r="H95" s="406" t="s">
        <v>175</v>
      </c>
      <c r="I95" s="407"/>
      <c r="J95" s="407"/>
      <c r="K95" s="407"/>
      <c r="L95" s="404"/>
      <c r="M95" s="405"/>
      <c r="N95" s="403" t="s">
        <v>176</v>
      </c>
      <c r="O95" s="404"/>
      <c r="P95" s="404"/>
      <c r="Q95" s="404"/>
      <c r="R95" s="404"/>
      <c r="S95" s="405"/>
      <c r="T95" s="403" t="s">
        <v>177</v>
      </c>
      <c r="U95" s="404"/>
      <c r="V95" s="404"/>
      <c r="W95" s="404"/>
      <c r="X95" s="404"/>
      <c r="Y95" s="404"/>
      <c r="Z95" s="408" t="s">
        <v>178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259</v>
      </c>
      <c r="E96" s="428"/>
      <c r="F96" s="428"/>
      <c r="G96" s="429"/>
      <c r="H96" s="420" t="s">
        <v>191</v>
      </c>
      <c r="I96" s="117"/>
      <c r="J96" s="117"/>
      <c r="K96" s="117"/>
      <c r="L96" s="421"/>
      <c r="M96" s="422"/>
      <c r="N96" s="1012">
        <v>5000</v>
      </c>
      <c r="O96" s="1013"/>
      <c r="P96" s="1013"/>
      <c r="Q96" s="1013"/>
      <c r="R96" s="1013"/>
      <c r="S96" s="1014"/>
      <c r="T96" s="1012">
        <v>5000</v>
      </c>
      <c r="U96" s="1015"/>
      <c r="V96" s="1015"/>
      <c r="W96" s="1015"/>
      <c r="X96" s="1015"/>
      <c r="Y96" s="1016"/>
      <c r="Z96" s="1009">
        <v>10</v>
      </c>
      <c r="AA96" s="1010"/>
      <c r="AB96" s="1010"/>
      <c r="AC96" s="1011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12">
        <v>5000</v>
      </c>
      <c r="O97" s="1013"/>
      <c r="P97" s="1013"/>
      <c r="Q97" s="1013"/>
      <c r="R97" s="1013"/>
      <c r="S97" s="1014"/>
      <c r="T97" s="1012">
        <v>5000</v>
      </c>
      <c r="U97" s="1015"/>
      <c r="V97" s="1015"/>
      <c r="W97" s="1015"/>
      <c r="X97" s="1015"/>
      <c r="Y97" s="1016"/>
      <c r="Z97" s="1009"/>
      <c r="AA97" s="1010"/>
      <c r="AB97" s="1010"/>
      <c r="AC97" s="1011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27"/>
      <c r="S98" s="1027"/>
      <c r="T98" s="1027"/>
      <c r="U98" s="1027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180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71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31</v>
      </c>
      <c r="D100" s="403" t="s">
        <v>174</v>
      </c>
      <c r="E100" s="412"/>
      <c r="F100" s="412"/>
      <c r="G100" s="413"/>
      <c r="H100" s="414" t="s">
        <v>185</v>
      </c>
      <c r="I100" s="415"/>
      <c r="J100" s="415"/>
      <c r="K100" s="415"/>
      <c r="L100" s="412"/>
      <c r="M100" s="413"/>
      <c r="N100" s="411" t="s">
        <v>186</v>
      </c>
      <c r="O100" s="412"/>
      <c r="P100" s="412"/>
      <c r="Q100" s="412"/>
      <c r="R100" s="412"/>
      <c r="S100" s="413"/>
      <c r="T100" s="411" t="s">
        <v>187</v>
      </c>
      <c r="U100" s="412"/>
      <c r="V100" s="412"/>
      <c r="W100" s="412"/>
      <c r="X100" s="412"/>
      <c r="Y100" s="412"/>
      <c r="Z100" s="416" t="s">
        <v>178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259</v>
      </c>
      <c r="E101" s="428"/>
      <c r="F101" s="428"/>
      <c r="G101" s="429"/>
      <c r="H101" s="242" t="s">
        <v>29</v>
      </c>
      <c r="I101" s="150"/>
      <c r="J101" s="150"/>
      <c r="K101" s="150"/>
      <c r="L101" s="161"/>
      <c r="M101" s="162"/>
      <c r="N101" s="1017">
        <v>5000</v>
      </c>
      <c r="O101" s="1015"/>
      <c r="P101" s="1015"/>
      <c r="Q101" s="1015"/>
      <c r="R101" s="1015"/>
      <c r="S101" s="1016"/>
      <c r="T101" s="1017">
        <v>5000</v>
      </c>
      <c r="U101" s="1015"/>
      <c r="V101" s="1015"/>
      <c r="W101" s="1015"/>
      <c r="X101" s="1015"/>
      <c r="Y101" s="1016"/>
      <c r="Z101" s="1018">
        <v>10</v>
      </c>
      <c r="AA101" s="1019"/>
      <c r="AB101" s="1019"/>
      <c r="AC101" s="1020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29</v>
      </c>
      <c r="I102" s="150"/>
      <c r="J102" s="150"/>
      <c r="K102" s="150"/>
      <c r="L102" s="161"/>
      <c r="M102" s="162"/>
      <c r="N102" s="1017">
        <v>5000</v>
      </c>
      <c r="O102" s="1015"/>
      <c r="P102" s="1015"/>
      <c r="Q102" s="1015"/>
      <c r="R102" s="1015"/>
      <c r="S102" s="1016"/>
      <c r="T102" s="1017">
        <v>5000</v>
      </c>
      <c r="U102" s="1015"/>
      <c r="V102" s="1015"/>
      <c r="W102" s="1015"/>
      <c r="X102" s="1015"/>
      <c r="Y102" s="1016"/>
      <c r="Z102" s="1018"/>
      <c r="AA102" s="1019"/>
      <c r="AB102" s="1019"/>
      <c r="AC102" s="1020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192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193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195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194</v>
      </c>
      <c r="D106" s="28"/>
      <c r="E106" s="28"/>
      <c r="F106" s="28"/>
      <c r="H106" s="516" t="s">
        <v>281</v>
      </c>
      <c r="I106" s="59"/>
      <c r="J106" s="59"/>
      <c r="K106" s="59"/>
      <c r="L106" s="60"/>
      <c r="M106" s="59"/>
      <c r="N106" s="61"/>
      <c r="O106" s="61"/>
      <c r="P106" s="99" t="s">
        <v>32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282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36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32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0999999999999996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964"/>
      <c r="K114" s="964"/>
      <c r="L114" s="964"/>
      <c r="M114" s="964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" customHeight="1">
      <c r="A115" s="22"/>
      <c r="B115" s="129"/>
      <c r="C115" s="346" t="s">
        <v>130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0999999999999996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" customHeight="1">
      <c r="A118" s="23"/>
      <c r="B118" s="351"/>
      <c r="C118" s="352"/>
      <c r="D118" s="348" t="s">
        <v>37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39</v>
      </c>
      <c r="S118" s="134"/>
      <c r="T118" s="107"/>
      <c r="U118" s="107"/>
      <c r="V118" s="133" t="s">
        <v>43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44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40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0999999999999996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43"/>
      <c r="K121" s="943"/>
      <c r="L121" s="943"/>
      <c r="M121" s="943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" customHeight="1">
      <c r="A122" s="22"/>
      <c r="B122" s="202">
        <v>35</v>
      </c>
      <c r="C122" s="346" t="s">
        <v>246</v>
      </c>
      <c r="D122" s="332"/>
      <c r="E122" s="65"/>
      <c r="F122" s="65"/>
      <c r="G122" s="65"/>
      <c r="H122" s="65"/>
      <c r="I122" s="65"/>
      <c r="J122" s="943"/>
      <c r="K122" s="943"/>
      <c r="L122" s="943"/>
      <c r="M122" s="943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" customHeight="1">
      <c r="A123" s="22"/>
      <c r="B123" s="202">
        <v>35</v>
      </c>
      <c r="C123" s="331"/>
      <c r="D123" s="478" t="s">
        <v>247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965"/>
      <c r="K124" s="965"/>
      <c r="L124" s="965"/>
      <c r="M124" s="9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0999999999999996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" customHeight="1">
      <c r="A126" s="23"/>
      <c r="B126" s="351"/>
      <c r="C126" s="282"/>
      <c r="D126" s="28" t="s">
        <v>239</v>
      </c>
      <c r="E126" s="28"/>
      <c r="F126" s="28"/>
      <c r="G126" s="28"/>
      <c r="H126" s="468" t="s">
        <v>244</v>
      </c>
      <c r="I126" s="257"/>
      <c r="J126" s="258"/>
      <c r="K126" s="258"/>
      <c r="L126" s="258"/>
      <c r="M126" s="259"/>
      <c r="N126" s="258"/>
      <c r="O126" s="110"/>
      <c r="P126" s="261" t="s">
        <v>32</v>
      </c>
      <c r="Q126" s="25"/>
      <c r="R126" s="469" t="s">
        <v>245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287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" customHeight="1">
      <c r="A127" s="23"/>
      <c r="B127" s="351"/>
      <c r="C127" s="282"/>
      <c r="D127" s="28"/>
      <c r="E127" s="28"/>
      <c r="F127" s="28"/>
      <c r="G127" s="28"/>
      <c r="H127" s="469" t="s">
        <v>53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0999999999999996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0999999999999996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" customHeight="1">
      <c r="A130" s="22"/>
      <c r="B130" s="202">
        <v>35</v>
      </c>
      <c r="C130" s="62" t="s">
        <v>242</v>
      </c>
      <c r="D130" s="332"/>
      <c r="E130" s="65"/>
      <c r="F130" s="65"/>
      <c r="G130" s="65"/>
      <c r="H130" s="65"/>
      <c r="I130" s="65"/>
      <c r="J130" s="943"/>
      <c r="K130" s="943"/>
      <c r="L130" s="943"/>
      <c r="M130" s="943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0999999999999996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" customHeight="1">
      <c r="A132" s="23"/>
      <c r="B132" s="351"/>
      <c r="C132" s="282"/>
      <c r="D132" s="28" t="s">
        <v>239</v>
      </c>
      <c r="E132" s="28"/>
      <c r="F132" s="28"/>
      <c r="G132" s="28"/>
      <c r="H132" s="468" t="s">
        <v>240</v>
      </c>
      <c r="I132" s="257"/>
      <c r="J132" s="258"/>
      <c r="K132" s="258"/>
      <c r="L132" s="258"/>
      <c r="M132" s="259"/>
      <c r="N132" s="258"/>
      <c r="O132" s="110"/>
      <c r="P132" s="261" t="s">
        <v>32</v>
      </c>
      <c r="Q132" s="25"/>
      <c r="R132" s="469" t="s">
        <v>241</v>
      </c>
      <c r="S132" s="470"/>
      <c r="T132" s="471"/>
      <c r="U132" s="471"/>
      <c r="V132" s="483"/>
      <c r="W132" s="484" t="s">
        <v>253</v>
      </c>
      <c r="X132" s="471"/>
      <c r="Y132" s="473"/>
      <c r="Z132" s="474"/>
      <c r="AB132" s="529" t="s">
        <v>288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" customHeight="1">
      <c r="A133" s="23"/>
      <c r="B133" s="351"/>
      <c r="C133" s="282"/>
      <c r="D133" s="28"/>
      <c r="E133" s="28"/>
      <c r="F133" s="28"/>
      <c r="G133" s="28"/>
      <c r="H133" s="469" t="s">
        <v>252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0999999999999996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0999999999999996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" customHeight="1">
      <c r="A136" s="22"/>
      <c r="B136" s="202">
        <v>35</v>
      </c>
      <c r="C136" s="62" t="s">
        <v>242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" customHeight="1">
      <c r="A138" s="22"/>
      <c r="B138" s="202">
        <v>35</v>
      </c>
      <c r="C138" s="346" t="s">
        <v>248</v>
      </c>
      <c r="D138" s="332"/>
      <c r="E138" s="65"/>
      <c r="F138" s="65"/>
      <c r="G138" s="65"/>
      <c r="H138" s="65"/>
      <c r="I138" s="65"/>
      <c r="J138" s="943"/>
      <c r="K138" s="943"/>
      <c r="L138" s="943"/>
      <c r="M138" s="943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0999999999999996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249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251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250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43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254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53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255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53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256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53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0999999999999996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43"/>
      <c r="K146" s="943"/>
      <c r="L146" s="943"/>
      <c r="M146" s="943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43"/>
      <c r="K147" s="943"/>
      <c r="L147" s="943"/>
      <c r="M147" s="943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43"/>
      <c r="K148" s="943"/>
      <c r="L148" s="943"/>
      <c r="M148" s="943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7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外貨(技術原計)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85" customHeight="1"/>
    <row r="5" spans="1:59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262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0999999999999996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280</v>
      </c>
      <c r="D40" s="28"/>
      <c r="E40" s="28"/>
      <c r="F40" s="28"/>
      <c r="G40" s="86" t="s">
        <v>275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31</v>
      </c>
      <c r="D41" s="205" t="s">
        <v>260</v>
      </c>
      <c r="E41" s="206"/>
      <c r="F41" s="206"/>
      <c r="G41" s="207"/>
      <c r="H41" s="208" t="s">
        <v>274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147</v>
      </c>
      <c r="E42" s="149"/>
      <c r="F42" s="149"/>
      <c r="G42" s="151"/>
      <c r="H42" s="1008">
        <v>110</v>
      </c>
      <c r="I42" s="945"/>
      <c r="J42" s="945"/>
      <c r="K42" s="945"/>
      <c r="L42" s="946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261</v>
      </c>
      <c r="E43" s="149"/>
      <c r="F43" s="149"/>
      <c r="G43" s="151"/>
      <c r="H43" s="1008">
        <v>125</v>
      </c>
      <c r="I43" s="945"/>
      <c r="J43" s="945"/>
      <c r="K43" s="945"/>
      <c r="L43" s="946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0999999999999996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62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0999999999999996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286</v>
      </c>
      <c r="E48" s="28"/>
      <c r="F48" s="28"/>
      <c r="G48" s="28"/>
      <c r="H48" s="86" t="s">
        <v>127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31</v>
      </c>
      <c r="D49" s="205" t="s">
        <v>63</v>
      </c>
      <c r="E49" s="206"/>
      <c r="F49" s="206"/>
      <c r="G49" s="207"/>
      <c r="H49" s="208" t="s">
        <v>72</v>
      </c>
      <c r="I49" s="209"/>
      <c r="J49" s="209"/>
      <c r="K49" s="209"/>
      <c r="L49" s="206"/>
      <c r="M49" s="207"/>
      <c r="N49" s="205" t="s">
        <v>73</v>
      </c>
      <c r="O49" s="206"/>
      <c r="P49" s="206"/>
      <c r="Q49" s="207"/>
      <c r="R49" s="205" t="s">
        <v>74</v>
      </c>
      <c r="S49" s="206"/>
      <c r="T49" s="206"/>
      <c r="U49" s="206"/>
      <c r="V49" s="210" t="s">
        <v>290</v>
      </c>
      <c r="W49" s="211"/>
      <c r="X49" s="211"/>
      <c r="Y49" s="212"/>
      <c r="Z49" s="210" t="s">
        <v>276</v>
      </c>
      <c r="AA49" s="211"/>
      <c r="AB49" s="211"/>
      <c r="AC49" s="211"/>
      <c r="AD49" s="212"/>
      <c r="AE49" s="210" t="s">
        <v>223</v>
      </c>
      <c r="AF49" s="211"/>
      <c r="AG49" s="211"/>
      <c r="AH49" s="211"/>
      <c r="AI49" s="212"/>
      <c r="AJ49" s="210" t="s">
        <v>291</v>
      </c>
      <c r="AK49" s="211"/>
      <c r="AL49" s="211"/>
      <c r="AM49" s="212"/>
      <c r="AN49" s="210" t="s">
        <v>161</v>
      </c>
      <c r="AO49" s="211"/>
      <c r="AP49" s="211"/>
      <c r="AQ49" s="212"/>
      <c r="AR49" s="211" t="s">
        <v>151</v>
      </c>
      <c r="AS49" s="211"/>
      <c r="AT49" s="211"/>
      <c r="AU49" s="212"/>
      <c r="AV49" s="211" t="s">
        <v>196</v>
      </c>
      <c r="AW49" s="211"/>
      <c r="AX49" s="211"/>
      <c r="AY49" s="212"/>
      <c r="AZ49" s="210" t="s">
        <v>198</v>
      </c>
      <c r="BA49" s="211"/>
      <c r="BB49" s="211"/>
      <c r="BC49" s="212"/>
      <c r="BD49" s="210" t="s">
        <v>82</v>
      </c>
      <c r="BE49" s="211"/>
      <c r="BF49" s="211"/>
      <c r="BG49" s="212"/>
      <c r="BH49" s="210" t="s">
        <v>41</v>
      </c>
      <c r="BI49" s="211"/>
      <c r="BJ49" s="211"/>
      <c r="BK49" s="212"/>
      <c r="BL49" s="211" t="s">
        <v>155</v>
      </c>
      <c r="BM49" s="211"/>
      <c r="BN49" s="212"/>
      <c r="BO49" s="305" t="s">
        <v>85</v>
      </c>
      <c r="BP49" s="211"/>
      <c r="BQ49" s="211"/>
      <c r="BR49" s="212"/>
      <c r="BS49" s="211" t="s">
        <v>68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29</v>
      </c>
      <c r="E50" s="216"/>
      <c r="F50" s="214"/>
      <c r="G50" s="215"/>
      <c r="H50" s="213" t="s">
        <v>29</v>
      </c>
      <c r="I50" s="216"/>
      <c r="J50" s="216"/>
      <c r="K50" s="216"/>
      <c r="L50" s="214"/>
      <c r="M50" s="215"/>
      <c r="N50" s="213" t="s">
        <v>29</v>
      </c>
      <c r="O50" s="214"/>
      <c r="P50" s="214"/>
      <c r="Q50" s="215"/>
      <c r="R50" s="213" t="s">
        <v>29</v>
      </c>
      <c r="S50" s="216"/>
      <c r="T50" s="214"/>
      <c r="U50" s="214"/>
      <c r="V50" s="217" t="s">
        <v>42</v>
      </c>
      <c r="W50" s="218"/>
      <c r="X50" s="219"/>
      <c r="Y50" s="220"/>
      <c r="Z50" s="217" t="s">
        <v>29</v>
      </c>
      <c r="AA50" s="218"/>
      <c r="AB50" s="218"/>
      <c r="AC50" s="219"/>
      <c r="AD50" s="220"/>
      <c r="AE50" s="217" t="s">
        <v>29</v>
      </c>
      <c r="AF50" s="218"/>
      <c r="AG50" s="218"/>
      <c r="AH50" s="219"/>
      <c r="AI50" s="220"/>
      <c r="AJ50" s="217" t="s">
        <v>42</v>
      </c>
      <c r="AK50" s="218"/>
      <c r="AL50" s="219"/>
      <c r="AM50" s="220"/>
      <c r="AN50" s="217" t="s">
        <v>29</v>
      </c>
      <c r="AO50" s="218"/>
      <c r="AP50" s="219"/>
      <c r="AQ50" s="220"/>
      <c r="AR50" s="218" t="s">
        <v>42</v>
      </c>
      <c r="AS50" s="218"/>
      <c r="AT50" s="219"/>
      <c r="AU50" s="220"/>
      <c r="AV50" s="218" t="s">
        <v>197</v>
      </c>
      <c r="AW50" s="218"/>
      <c r="AX50" s="219"/>
      <c r="AY50" s="220"/>
      <c r="AZ50" s="217" t="s">
        <v>154</v>
      </c>
      <c r="BA50" s="218"/>
      <c r="BB50" s="219"/>
      <c r="BC50" s="220"/>
      <c r="BD50" s="217" t="s">
        <v>154</v>
      </c>
      <c r="BE50" s="218"/>
      <c r="BF50" s="219"/>
      <c r="BG50" s="220"/>
      <c r="BH50" s="217" t="s">
        <v>199</v>
      </c>
      <c r="BI50" s="218"/>
      <c r="BJ50" s="219"/>
      <c r="BK50" s="220"/>
      <c r="BL50" s="218" t="s">
        <v>200</v>
      </c>
      <c r="BM50" s="218"/>
      <c r="BN50" s="220"/>
      <c r="BO50" s="307" t="s">
        <v>42</v>
      </c>
      <c r="BP50" s="218"/>
      <c r="BQ50" s="219"/>
      <c r="BR50" s="220"/>
      <c r="BS50" s="218" t="s">
        <v>42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224</v>
      </c>
      <c r="E51" s="149"/>
      <c r="F51" s="149"/>
      <c r="G51" s="151"/>
      <c r="H51" s="242" t="s">
        <v>226</v>
      </c>
      <c r="I51" s="150"/>
      <c r="J51" s="150"/>
      <c r="K51" s="150"/>
      <c r="L51" s="161"/>
      <c r="M51" s="162"/>
      <c r="N51" s="242" t="s">
        <v>228</v>
      </c>
      <c r="O51" s="150"/>
      <c r="P51" s="150"/>
      <c r="Q51" s="99" t="s">
        <v>32</v>
      </c>
      <c r="R51" s="956">
        <v>200</v>
      </c>
      <c r="S51" s="957"/>
      <c r="T51" s="957"/>
      <c r="U51" s="958"/>
      <c r="V51" s="148" t="s">
        <v>206</v>
      </c>
      <c r="W51" s="150"/>
      <c r="X51" s="150"/>
      <c r="Y51" s="99" t="s">
        <v>32</v>
      </c>
      <c r="Z51" s="944">
        <v>34690.32</v>
      </c>
      <c r="AA51" s="966"/>
      <c r="AB51" s="966"/>
      <c r="AC51" s="966"/>
      <c r="AD51" s="967"/>
      <c r="AE51" s="944">
        <v>46831.94</v>
      </c>
      <c r="AF51" s="966"/>
      <c r="AG51" s="966"/>
      <c r="AH51" s="966"/>
      <c r="AI51" s="967"/>
      <c r="AJ51" s="148" t="s">
        <v>147</v>
      </c>
      <c r="AK51" s="150"/>
      <c r="AL51" s="150"/>
      <c r="AM51" s="99" t="s">
        <v>32</v>
      </c>
      <c r="AN51" s="996">
        <v>547.11950000000002</v>
      </c>
      <c r="AO51" s="997"/>
      <c r="AP51" s="997"/>
      <c r="AQ51" s="998"/>
      <c r="AR51" s="996">
        <v>560</v>
      </c>
      <c r="AS51" s="997"/>
      <c r="AT51" s="997"/>
      <c r="AU51" s="998"/>
      <c r="AV51" s="1005">
        <v>4.4999999999999998E-2</v>
      </c>
      <c r="AW51" s="1006"/>
      <c r="AX51" s="1006"/>
      <c r="AY51" s="1007"/>
      <c r="AZ51" s="996">
        <v>674</v>
      </c>
      <c r="BA51" s="997"/>
      <c r="BB51" s="997"/>
      <c r="BC51" s="998"/>
      <c r="BD51" s="996"/>
      <c r="BE51" s="997"/>
      <c r="BF51" s="997"/>
      <c r="BG51" s="998"/>
      <c r="BH51" s="996"/>
      <c r="BI51" s="997"/>
      <c r="BJ51" s="997"/>
      <c r="BK51" s="998"/>
      <c r="BL51" s="999"/>
      <c r="BM51" s="1000"/>
      <c r="BN51" s="1001"/>
      <c r="BO51" s="242"/>
      <c r="BP51" s="150"/>
      <c r="BQ51" s="150"/>
      <c r="BR51" s="152"/>
      <c r="BS51" s="149" t="s">
        <v>29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225</v>
      </c>
      <c r="E52" s="149"/>
      <c r="F52" s="149"/>
      <c r="G52" s="151"/>
      <c r="H52" s="242" t="s">
        <v>227</v>
      </c>
      <c r="I52" s="150"/>
      <c r="J52" s="150"/>
      <c r="K52" s="150"/>
      <c r="L52" s="161"/>
      <c r="M52" s="162"/>
      <c r="N52" s="242" t="s">
        <v>228</v>
      </c>
      <c r="O52" s="150"/>
      <c r="P52" s="150"/>
      <c r="Q52" s="99" t="s">
        <v>32</v>
      </c>
      <c r="R52" s="956">
        <v>200</v>
      </c>
      <c r="S52" s="957"/>
      <c r="T52" s="957"/>
      <c r="U52" s="958"/>
      <c r="V52" s="148" t="s">
        <v>206</v>
      </c>
      <c r="W52" s="150"/>
      <c r="X52" s="150"/>
      <c r="Y52" s="99" t="s">
        <v>32</v>
      </c>
      <c r="Z52" s="944">
        <v>11230.49</v>
      </c>
      <c r="AA52" s="966"/>
      <c r="AB52" s="966"/>
      <c r="AC52" s="966"/>
      <c r="AD52" s="967"/>
      <c r="AE52" s="944">
        <v>15161.17</v>
      </c>
      <c r="AF52" s="966"/>
      <c r="AG52" s="966"/>
      <c r="AH52" s="966"/>
      <c r="AI52" s="967"/>
      <c r="AJ52" s="148" t="s">
        <v>147</v>
      </c>
      <c r="AK52" s="150"/>
      <c r="AL52" s="150"/>
      <c r="AM52" s="99" t="s">
        <v>32</v>
      </c>
      <c r="AN52" s="996">
        <v>177.12389999999999</v>
      </c>
      <c r="AO52" s="997"/>
      <c r="AP52" s="997"/>
      <c r="AQ52" s="998"/>
      <c r="AR52" s="996">
        <v>180</v>
      </c>
      <c r="AS52" s="997"/>
      <c r="AT52" s="997"/>
      <c r="AU52" s="998"/>
      <c r="AV52" s="1005">
        <v>4.4999999999999998E-2</v>
      </c>
      <c r="AW52" s="1006"/>
      <c r="AX52" s="1006"/>
      <c r="AY52" s="1007"/>
      <c r="AZ52" s="996">
        <v>218.2</v>
      </c>
      <c r="BA52" s="997"/>
      <c r="BB52" s="997"/>
      <c r="BC52" s="998"/>
      <c r="BD52" s="996"/>
      <c r="BE52" s="997"/>
      <c r="BF52" s="997"/>
      <c r="BG52" s="998"/>
      <c r="BH52" s="996"/>
      <c r="BI52" s="997"/>
      <c r="BJ52" s="997"/>
      <c r="BK52" s="998"/>
      <c r="BL52" s="999"/>
      <c r="BM52" s="1000"/>
      <c r="BN52" s="1001"/>
      <c r="BO52" s="242"/>
      <c r="BP52" s="150"/>
      <c r="BQ52" s="150"/>
      <c r="BR52" s="152"/>
      <c r="BS52" s="149" t="s">
        <v>29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70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0999999999999996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77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0999999999999996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31</v>
      </c>
      <c r="D63" s="234" t="s">
        <v>258</v>
      </c>
      <c r="E63" s="235"/>
      <c r="F63" s="234" t="s">
        <v>63</v>
      </c>
      <c r="G63" s="235"/>
      <c r="H63" s="235"/>
      <c r="I63" s="236"/>
      <c r="J63" s="237" t="s">
        <v>33</v>
      </c>
      <c r="K63" s="238"/>
      <c r="L63" s="238"/>
      <c r="M63" s="238"/>
      <c r="N63" s="235"/>
      <c r="O63" s="236"/>
      <c r="P63" s="239" t="s">
        <v>66</v>
      </c>
      <c r="Q63" s="240"/>
      <c r="R63" s="240"/>
      <c r="S63" s="241"/>
      <c r="T63" s="239" t="s">
        <v>150</v>
      </c>
      <c r="U63" s="240"/>
      <c r="V63" s="240"/>
      <c r="W63" s="241"/>
      <c r="X63" s="234" t="s">
        <v>78</v>
      </c>
      <c r="Y63" s="235"/>
      <c r="Z63" s="235"/>
      <c r="AA63" s="236"/>
      <c r="AB63" s="234" t="s">
        <v>79</v>
      </c>
      <c r="AC63" s="235"/>
      <c r="AD63" s="235"/>
      <c r="AE63" s="235"/>
      <c r="AF63" s="239" t="s">
        <v>64</v>
      </c>
      <c r="AG63" s="240"/>
      <c r="AH63" s="240"/>
      <c r="AI63" s="240"/>
      <c r="AJ63" s="241"/>
      <c r="AK63" s="240" t="s">
        <v>209</v>
      </c>
      <c r="AL63" s="240"/>
      <c r="AM63" s="240"/>
      <c r="AN63" s="241"/>
      <c r="AO63" s="240" t="s">
        <v>161</v>
      </c>
      <c r="AP63" s="240"/>
      <c r="AQ63" s="240"/>
      <c r="AR63" s="241"/>
      <c r="AS63" s="240" t="s">
        <v>210</v>
      </c>
      <c r="AT63" s="240"/>
      <c r="AU63" s="240"/>
      <c r="AV63" s="241"/>
      <c r="AW63" s="240" t="s">
        <v>65</v>
      </c>
      <c r="AX63" s="240"/>
      <c r="AY63" s="240"/>
      <c r="AZ63" s="241"/>
      <c r="BA63" s="239" t="s">
        <v>211</v>
      </c>
      <c r="BB63" s="240"/>
      <c r="BC63" s="240"/>
      <c r="BD63" s="241"/>
      <c r="BE63" s="239" t="s">
        <v>212</v>
      </c>
      <c r="BF63" s="240"/>
      <c r="BG63" s="240"/>
      <c r="BH63" s="240"/>
      <c r="BI63" s="239" t="s">
        <v>198</v>
      </c>
      <c r="BJ63" s="240"/>
      <c r="BK63" s="240"/>
      <c r="BL63" s="241"/>
      <c r="BM63" s="239" t="s">
        <v>213</v>
      </c>
      <c r="BN63" s="240"/>
      <c r="BO63" s="240"/>
      <c r="BP63" s="241"/>
      <c r="BQ63" s="239" t="s">
        <v>214</v>
      </c>
      <c r="BR63" s="240"/>
      <c r="BS63" s="240"/>
      <c r="BT63" s="241"/>
      <c r="BU63" s="239" t="s">
        <v>82</v>
      </c>
      <c r="BV63" s="240"/>
      <c r="BW63" s="240"/>
      <c r="BX63" s="241"/>
      <c r="BY63" s="239" t="s">
        <v>83</v>
      </c>
      <c r="BZ63" s="240"/>
      <c r="CA63" s="240"/>
      <c r="CB63" s="241"/>
      <c r="CC63" s="240" t="s">
        <v>84</v>
      </c>
      <c r="CD63" s="240"/>
      <c r="CE63" s="241"/>
      <c r="CF63" s="240" t="s">
        <v>85</v>
      </c>
      <c r="CG63" s="240"/>
      <c r="CH63" s="240"/>
      <c r="CI63" s="241"/>
      <c r="CJ63" s="240" t="s">
        <v>68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273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956">
        <f>R51</f>
        <v>200</v>
      </c>
      <c r="Y64" s="957"/>
      <c r="Z64" s="957"/>
      <c r="AA64" s="958"/>
      <c r="AB64" s="996">
        <f>Z51/H42</f>
        <v>315.36654545454547</v>
      </c>
      <c r="AC64" s="997"/>
      <c r="AD64" s="997"/>
      <c r="AE64" s="998"/>
      <c r="AF64" s="996">
        <f>BH51</f>
        <v>0</v>
      </c>
      <c r="AG64" s="997"/>
      <c r="AH64" s="997"/>
      <c r="AI64" s="997"/>
      <c r="AJ64" s="998"/>
      <c r="AK64" s="996">
        <f>AR51</f>
        <v>560</v>
      </c>
      <c r="AL64" s="997"/>
      <c r="AM64" s="997"/>
      <c r="AN64" s="998"/>
      <c r="AO64" s="996">
        <f>AN51</f>
        <v>547.11950000000002</v>
      </c>
      <c r="AP64" s="997"/>
      <c r="AQ64" s="997"/>
      <c r="AR64" s="998"/>
      <c r="AS64" s="996">
        <f>AN51/(1-AV51)</f>
        <v>572.90000000000009</v>
      </c>
      <c r="AT64" s="997"/>
      <c r="AU64" s="997"/>
      <c r="AV64" s="998"/>
      <c r="AW64" s="996">
        <f>AN51-(AS64*$K$20)</f>
        <v>518.47450000000003</v>
      </c>
      <c r="AX64" s="997"/>
      <c r="AY64" s="997"/>
      <c r="AZ64" s="998"/>
      <c r="BA64" s="950">
        <f>(AO64-AS64*$K$20-AE51/H42)/(AE51/H42)</f>
        <v>0.21780551905387649</v>
      </c>
      <c r="BB64" s="951"/>
      <c r="BC64" s="951"/>
      <c r="BD64" s="952"/>
      <c r="BE64" s="977">
        <f>(AN51-AR51)/AR51</f>
        <v>-2.3000892857142827E-2</v>
      </c>
      <c r="BF64" s="978"/>
      <c r="BG64" s="978"/>
      <c r="BH64" s="979"/>
      <c r="BI64" s="1028">
        <f>AZ51</f>
        <v>674</v>
      </c>
      <c r="BJ64" s="1029"/>
      <c r="BK64" s="1029"/>
      <c r="BL64" s="1030"/>
      <c r="BM64" s="980">
        <f>1-AN51/(1-AV51)/AZ51</f>
        <v>0.14999999999999991</v>
      </c>
      <c r="BN64" s="981"/>
      <c r="BO64" s="981"/>
      <c r="BP64" s="982"/>
      <c r="BQ64" s="980">
        <f>1-(Z51/H42+AN51*AV51+AS64*$K$20)/AZ51</f>
        <v>0.45306836356892366</v>
      </c>
      <c r="BR64" s="981"/>
      <c r="BS64" s="981"/>
      <c r="BT64" s="982"/>
      <c r="BU64" s="999">
        <f>BD51</f>
        <v>0</v>
      </c>
      <c r="BV64" s="1000"/>
      <c r="BW64" s="1000"/>
      <c r="BX64" s="1001"/>
      <c r="BY64" s="980" t="str">
        <f>IFERROR(1-AZ51/BD51,"")</f>
        <v/>
      </c>
      <c r="BZ64" s="981"/>
      <c r="CA64" s="981"/>
      <c r="CB64" s="982"/>
      <c r="CC64" s="968">
        <f>BL51</f>
        <v>0</v>
      </c>
      <c r="CD64" s="969"/>
      <c r="CE64" s="970"/>
      <c r="CF64" s="150"/>
      <c r="CG64" s="150"/>
      <c r="CH64" s="150"/>
      <c r="CI64" s="152"/>
      <c r="CJ64" s="149" t="s">
        <v>29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273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956">
        <f>R52</f>
        <v>200</v>
      </c>
      <c r="Y65" s="957"/>
      <c r="Z65" s="957"/>
      <c r="AA65" s="958"/>
      <c r="AB65" s="996">
        <f>Z52/H42</f>
        <v>102.09536363636363</v>
      </c>
      <c r="AC65" s="997"/>
      <c r="AD65" s="997"/>
      <c r="AE65" s="998"/>
      <c r="AF65" s="996">
        <f>BH52</f>
        <v>0</v>
      </c>
      <c r="AG65" s="997"/>
      <c r="AH65" s="997"/>
      <c r="AI65" s="997"/>
      <c r="AJ65" s="998"/>
      <c r="AK65" s="996">
        <f>AR52</f>
        <v>180</v>
      </c>
      <c r="AL65" s="997"/>
      <c r="AM65" s="997"/>
      <c r="AN65" s="998"/>
      <c r="AO65" s="996">
        <f>AN52</f>
        <v>177.12389999999999</v>
      </c>
      <c r="AP65" s="997"/>
      <c r="AQ65" s="997"/>
      <c r="AR65" s="998"/>
      <c r="AS65" s="996">
        <f>AN52/(1-AV52)</f>
        <v>185.47005235602094</v>
      </c>
      <c r="AT65" s="997"/>
      <c r="AU65" s="997"/>
      <c r="AV65" s="998"/>
      <c r="AW65" s="996">
        <f>AN52-(AS65*$K$20)</f>
        <v>167.85039738219893</v>
      </c>
      <c r="AX65" s="997"/>
      <c r="AY65" s="997"/>
      <c r="AZ65" s="998"/>
      <c r="BA65" s="950">
        <f>(AO65-AS65*$K$20-AE52/H42)/(AE52/H42)</f>
        <v>0.21781786709349499</v>
      </c>
      <c r="BB65" s="951"/>
      <c r="BC65" s="951"/>
      <c r="BD65" s="952"/>
      <c r="BE65" s="977">
        <f>(AN52-AR52)/AR52</f>
        <v>-1.5978333333333379E-2</v>
      </c>
      <c r="BF65" s="978"/>
      <c r="BG65" s="978"/>
      <c r="BH65" s="979"/>
      <c r="BI65" s="1028">
        <f>AZ52</f>
        <v>218.2</v>
      </c>
      <c r="BJ65" s="1029"/>
      <c r="BK65" s="1029"/>
      <c r="BL65" s="1030"/>
      <c r="BM65" s="980">
        <f>1-AN52/(1-AV52)/AZ52</f>
        <v>0.14999976005489934</v>
      </c>
      <c r="BN65" s="981"/>
      <c r="BO65" s="981"/>
      <c r="BP65" s="982"/>
      <c r="BQ65" s="980">
        <f>1-(Z52/H42+AN52*AV52+AS65*$K$20)/AZ52</f>
        <v>0.45307313586542308</v>
      </c>
      <c r="BR65" s="981"/>
      <c r="BS65" s="981"/>
      <c r="BT65" s="982"/>
      <c r="BU65" s="999">
        <f>BD52</f>
        <v>0</v>
      </c>
      <c r="BV65" s="1000"/>
      <c r="BW65" s="1000"/>
      <c r="BX65" s="1001"/>
      <c r="BY65" s="980" t="str">
        <f>IFERROR(1-AZ52/BD52,"")</f>
        <v/>
      </c>
      <c r="BZ65" s="981"/>
      <c r="CA65" s="981"/>
      <c r="CB65" s="982"/>
      <c r="CC65" s="968">
        <f>BL52</f>
        <v>0</v>
      </c>
      <c r="CD65" s="969"/>
      <c r="CE65" s="970"/>
      <c r="CF65" s="150"/>
      <c r="CG65" s="150"/>
      <c r="CH65" s="150"/>
      <c r="CI65" s="152"/>
      <c r="CJ65" s="149" t="s">
        <v>29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279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278</v>
      </c>
      <c r="E67" s="503"/>
      <c r="F67" s="504" t="s">
        <v>292</v>
      </c>
      <c r="G67" s="503"/>
      <c r="H67" s="503"/>
      <c r="I67" s="505"/>
      <c r="J67" s="504" t="s">
        <v>29</v>
      </c>
      <c r="K67" s="506"/>
      <c r="L67" s="506"/>
      <c r="M67" s="506"/>
      <c r="N67" s="503"/>
      <c r="O67" s="505"/>
      <c r="P67" s="511" t="s">
        <v>29</v>
      </c>
      <c r="Q67" s="508"/>
      <c r="R67" s="508"/>
      <c r="S67" s="509"/>
      <c r="T67" s="504" t="s">
        <v>29</v>
      </c>
      <c r="U67" s="503"/>
      <c r="V67" s="503"/>
      <c r="W67" s="505"/>
      <c r="X67" s="508" t="s">
        <v>215</v>
      </c>
      <c r="Y67" s="503"/>
      <c r="Z67" s="503"/>
      <c r="AA67" s="503"/>
      <c r="AB67" s="507" t="s">
        <v>144</v>
      </c>
      <c r="AC67" s="503"/>
      <c r="AD67" s="503"/>
      <c r="AE67" s="503"/>
      <c r="AF67" s="507" t="s">
        <v>229</v>
      </c>
      <c r="AG67" s="508"/>
      <c r="AH67" s="508"/>
      <c r="AI67" s="508"/>
      <c r="AJ67" s="509"/>
      <c r="AK67" s="507" t="s">
        <v>218</v>
      </c>
      <c r="AL67" s="508"/>
      <c r="AM67" s="508"/>
      <c r="AN67" s="509"/>
      <c r="AO67" s="507" t="s">
        <v>219</v>
      </c>
      <c r="AP67" s="508"/>
      <c r="AQ67" s="508"/>
      <c r="AR67" s="509"/>
      <c r="AS67" s="507" t="s">
        <v>220</v>
      </c>
      <c r="AT67" s="508"/>
      <c r="AU67" s="508"/>
      <c r="AV67" s="508"/>
      <c r="AW67" s="507" t="s">
        <v>100</v>
      </c>
      <c r="AX67" s="508"/>
      <c r="AY67" s="508"/>
      <c r="AZ67" s="509"/>
      <c r="BA67" s="511" t="s">
        <v>221</v>
      </c>
      <c r="BB67" s="508"/>
      <c r="BC67" s="508"/>
      <c r="BD67" s="509"/>
      <c r="BE67" s="513" t="s">
        <v>222</v>
      </c>
      <c r="BF67" s="508"/>
      <c r="BG67" s="508"/>
      <c r="BH67" s="509"/>
      <c r="BI67" s="511" t="s">
        <v>29</v>
      </c>
      <c r="BJ67" s="508"/>
      <c r="BK67" s="508"/>
      <c r="BL67" s="509"/>
      <c r="BM67" s="513" t="s">
        <v>29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29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230</v>
      </c>
      <c r="AX68" s="523"/>
      <c r="AY68" s="523"/>
      <c r="AZ68" s="524"/>
      <c r="BA68" s="525" t="s">
        <v>29</v>
      </c>
      <c r="BB68" s="523"/>
      <c r="BC68" s="523"/>
      <c r="BD68" s="524"/>
      <c r="BE68" s="526" t="s">
        <v>231</v>
      </c>
      <c r="BF68" s="523"/>
      <c r="BG68" s="523"/>
      <c r="BH68" s="524"/>
      <c r="BI68" s="525" t="s">
        <v>29</v>
      </c>
      <c r="BJ68" s="523"/>
      <c r="BK68" s="523"/>
      <c r="BL68" s="524"/>
      <c r="BM68" s="526" t="s">
        <v>29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29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228</v>
      </c>
      <c r="E69" s="149"/>
      <c r="F69" s="148" t="s">
        <v>147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944">
        <f>SUMPRODUCT(X$64:AA$65,AO$64:AR$65)</f>
        <v>144848.68</v>
      </c>
      <c r="Y69" s="966"/>
      <c r="Z69" s="966"/>
      <c r="AA69" s="967"/>
      <c r="AB69" s="944">
        <f>SUMPRODUCT(R$51:R$52,AE$51:AE$52)/H42</f>
        <v>112714.74545454545</v>
      </c>
      <c r="AC69" s="966"/>
      <c r="AD69" s="966"/>
      <c r="AE69" s="967"/>
      <c r="AF69" s="947">
        <f>X69-AB69</f>
        <v>32133.93454545454</v>
      </c>
      <c r="AG69" s="948"/>
      <c r="AH69" s="948"/>
      <c r="AI69" s="948"/>
      <c r="AJ69" s="949"/>
      <c r="AK69" s="1034">
        <f>AF69/AB69</f>
        <v>0.2850907786365291</v>
      </c>
      <c r="AL69" s="1035"/>
      <c r="AM69" s="1035"/>
      <c r="AN69" s="1036"/>
      <c r="AO69" s="950">
        <f>AS69/(X69-AS69)</f>
        <v>-2.1292702702702691E-2</v>
      </c>
      <c r="AP69" s="951"/>
      <c r="AQ69" s="951"/>
      <c r="AR69" s="952"/>
      <c r="AS69" s="1037">
        <f>X$64*(AO$64-AK$64)+X$65*(AO$65-AK$65)</f>
        <v>-3151.3199999999983</v>
      </c>
      <c r="AT69" s="1038"/>
      <c r="AU69" s="1038"/>
      <c r="AV69" s="1039"/>
      <c r="AW69" s="1040">
        <f>SUMPRODUCT(X$64:AA$65,AK$64:AN$65)</f>
        <v>148000</v>
      </c>
      <c r="AX69" s="1041"/>
      <c r="AY69" s="1041"/>
      <c r="AZ69" s="1042"/>
      <c r="BA69" s="944">
        <f>SUMPRODUCT(X$64:AA$65,BI$64:BL$65)</f>
        <v>178440</v>
      </c>
      <c r="BB69" s="966"/>
      <c r="BC69" s="966"/>
      <c r="BD69" s="967"/>
      <c r="BE69" s="980">
        <f>1-(SUMPRODUCT(R$51:R$52,Z$51:Z$52)/107+(AN$51*AV$51+AN$51/(1-AV$51)*$K$20)*R$51+(AN$52*AV$52+AN$52/(1-AV$52)*$K$20)*R$52)/BA$75</f>
        <v>0.43995079106037671</v>
      </c>
      <c r="BF69" s="981"/>
      <c r="BG69" s="981"/>
      <c r="BH69" s="982"/>
      <c r="BI69" s="149" t="s">
        <v>29</v>
      </c>
      <c r="BJ69" s="150"/>
      <c r="BK69" s="150"/>
      <c r="BL69" s="152"/>
      <c r="BM69" s="149" t="s">
        <v>29</v>
      </c>
      <c r="BN69" s="150"/>
      <c r="BO69" s="150"/>
      <c r="BP69" s="152"/>
      <c r="BQ69" s="149" t="s">
        <v>29</v>
      </c>
      <c r="BR69" s="150"/>
      <c r="BS69" s="150"/>
      <c r="BT69" s="152"/>
      <c r="BU69" s="149" t="s">
        <v>29</v>
      </c>
      <c r="BV69" s="150"/>
      <c r="BW69" s="150"/>
      <c r="BX69" s="152"/>
      <c r="BY69" s="149" t="s">
        <v>29</v>
      </c>
      <c r="BZ69" s="150"/>
      <c r="CA69" s="150"/>
      <c r="CB69" s="152"/>
      <c r="CC69" s="149" t="s">
        <v>29</v>
      </c>
      <c r="CD69" s="150"/>
      <c r="CE69" s="152"/>
      <c r="CF69" s="149" t="s">
        <v>29</v>
      </c>
      <c r="CG69" s="150"/>
      <c r="CH69" s="150"/>
      <c r="CI69" s="152"/>
      <c r="CJ69" s="149" t="s">
        <v>29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228</v>
      </c>
      <c r="E70" s="149"/>
      <c r="F70" s="148" t="s">
        <v>206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71">
        <f>SUMPRODUCT(X$64:AA$65,AO$64:AR$65)*H42</f>
        <v>15933354.799999999</v>
      </c>
      <c r="Y70" s="972"/>
      <c r="Z70" s="972"/>
      <c r="AA70" s="973"/>
      <c r="AB70" s="971">
        <f>SUMPRODUCT(R$51:R$52,AE$51:AE$52)</f>
        <v>12398622</v>
      </c>
      <c r="AC70" s="972"/>
      <c r="AD70" s="972"/>
      <c r="AE70" s="973"/>
      <c r="AF70" s="947">
        <f>X70-AB70</f>
        <v>3534732.7999999989</v>
      </c>
      <c r="AG70" s="948"/>
      <c r="AH70" s="948"/>
      <c r="AI70" s="948"/>
      <c r="AJ70" s="949"/>
      <c r="AK70" s="1034">
        <f>AF70/AB70</f>
        <v>0.28509077863652904</v>
      </c>
      <c r="AL70" s="1035"/>
      <c r="AM70" s="1035"/>
      <c r="AN70" s="1036"/>
      <c r="AO70" s="950">
        <f>AS70/(X70-AS70)</f>
        <v>-1.9774221377452075E-4</v>
      </c>
      <c r="AP70" s="951"/>
      <c r="AQ70" s="951"/>
      <c r="AR70" s="952"/>
      <c r="AS70" s="1024">
        <f>X$64*(AO$64-AK$64)+X$65*(AO$65-AK$65)</f>
        <v>-3151.3199999999983</v>
      </c>
      <c r="AT70" s="1025"/>
      <c r="AU70" s="1025"/>
      <c r="AV70" s="1026"/>
      <c r="AW70" s="1021">
        <f>SUMPRODUCT(X$64:AA$65,AK$64:AN$65)</f>
        <v>148000</v>
      </c>
      <c r="AX70" s="1022"/>
      <c r="AY70" s="1022"/>
      <c r="AZ70" s="1023"/>
      <c r="BA70" s="971">
        <f>SUMPRODUCT(X$64:AA$65,BI$64:BL$65)</f>
        <v>178440</v>
      </c>
      <c r="BB70" s="972"/>
      <c r="BC70" s="972"/>
      <c r="BD70" s="973"/>
      <c r="BE70" s="980">
        <f>1-(SUMPRODUCT(R$51:R$52,Z$51:Z$52)/107+(AN$51*AV$51+AN$51/(1-AV$51)*$K$20)*R$51+(AN$52*AV$52+AN$52/(1-AV$52)*$K$20)*R$52)/BA$75</f>
        <v>0.43995079106037671</v>
      </c>
      <c r="BF70" s="981"/>
      <c r="BG70" s="981"/>
      <c r="BH70" s="982"/>
      <c r="BI70" s="149" t="s">
        <v>29</v>
      </c>
      <c r="BJ70" s="150"/>
      <c r="BK70" s="150"/>
      <c r="BL70" s="152"/>
      <c r="BM70" s="149" t="s">
        <v>29</v>
      </c>
      <c r="BN70" s="150"/>
      <c r="BO70" s="150"/>
      <c r="BP70" s="152"/>
      <c r="BQ70" s="149" t="s">
        <v>29</v>
      </c>
      <c r="BR70" s="150"/>
      <c r="BS70" s="150"/>
      <c r="BT70" s="152"/>
      <c r="BU70" s="149" t="s">
        <v>29</v>
      </c>
      <c r="BV70" s="150"/>
      <c r="BW70" s="150"/>
      <c r="BX70" s="152"/>
      <c r="BY70" s="149" t="s">
        <v>29</v>
      </c>
      <c r="BZ70" s="150"/>
      <c r="CA70" s="150"/>
      <c r="CB70" s="152"/>
      <c r="CC70" s="149" t="s">
        <v>29</v>
      </c>
      <c r="CD70" s="150"/>
      <c r="CE70" s="152"/>
      <c r="CF70" s="149" t="s">
        <v>29</v>
      </c>
      <c r="CG70" s="150"/>
      <c r="CH70" s="150"/>
      <c r="CI70" s="152"/>
      <c r="CJ70" s="149" t="s">
        <v>29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277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293</v>
      </c>
      <c r="G72" s="244"/>
      <c r="H72" s="244"/>
      <c r="I72" s="245"/>
      <c r="J72" s="246" t="s">
        <v>29</v>
      </c>
      <c r="K72" s="247"/>
      <c r="L72" s="247"/>
      <c r="M72" s="247"/>
      <c r="N72" s="244"/>
      <c r="O72" s="245"/>
      <c r="P72" s="253" t="s">
        <v>29</v>
      </c>
      <c r="Q72" s="249"/>
      <c r="R72" s="249"/>
      <c r="S72" s="250"/>
      <c r="T72" s="246" t="s">
        <v>29</v>
      </c>
      <c r="U72" s="244"/>
      <c r="V72" s="244"/>
      <c r="W72" s="245"/>
      <c r="X72" s="249" t="s">
        <v>215</v>
      </c>
      <c r="Y72" s="244"/>
      <c r="Z72" s="244"/>
      <c r="AA72" s="244"/>
      <c r="AB72" s="248" t="s">
        <v>144</v>
      </c>
      <c r="AC72" s="244"/>
      <c r="AD72" s="244"/>
      <c r="AE72" s="244"/>
      <c r="AF72" s="248" t="s">
        <v>229</v>
      </c>
      <c r="AG72" s="249"/>
      <c r="AH72" s="249"/>
      <c r="AI72" s="249"/>
      <c r="AJ72" s="250"/>
      <c r="AK72" s="248" t="s">
        <v>218</v>
      </c>
      <c r="AL72" s="249"/>
      <c r="AM72" s="249"/>
      <c r="AN72" s="250"/>
      <c r="AO72" s="248" t="s">
        <v>219</v>
      </c>
      <c r="AP72" s="249"/>
      <c r="AQ72" s="249"/>
      <c r="AR72" s="250"/>
      <c r="AS72" s="248" t="s">
        <v>220</v>
      </c>
      <c r="AT72" s="249"/>
      <c r="AU72" s="249"/>
      <c r="AV72" s="249"/>
      <c r="AW72" s="248" t="s">
        <v>100</v>
      </c>
      <c r="AX72" s="249"/>
      <c r="AY72" s="249"/>
      <c r="AZ72" s="250"/>
      <c r="BA72" s="253" t="s">
        <v>221</v>
      </c>
      <c r="BB72" s="249"/>
      <c r="BC72" s="249"/>
      <c r="BD72" s="250"/>
      <c r="BE72" s="251" t="s">
        <v>222</v>
      </c>
      <c r="BF72" s="249"/>
      <c r="BG72" s="249"/>
      <c r="BH72" s="250"/>
      <c r="BI72" s="253" t="s">
        <v>29</v>
      </c>
      <c r="BJ72" s="249"/>
      <c r="BK72" s="249"/>
      <c r="BL72" s="250"/>
      <c r="BM72" s="251" t="s">
        <v>29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29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230</v>
      </c>
      <c r="AX73" s="458"/>
      <c r="AY73" s="458"/>
      <c r="AZ73" s="459"/>
      <c r="BA73" s="457" t="s">
        <v>29</v>
      </c>
      <c r="BB73" s="458"/>
      <c r="BC73" s="458"/>
      <c r="BD73" s="459"/>
      <c r="BE73" s="460" t="s">
        <v>231</v>
      </c>
      <c r="BF73" s="458"/>
      <c r="BG73" s="458"/>
      <c r="BH73" s="459"/>
      <c r="BI73" s="457" t="s">
        <v>29</v>
      </c>
      <c r="BJ73" s="458"/>
      <c r="BK73" s="458"/>
      <c r="BL73" s="459"/>
      <c r="BM73" s="460" t="s">
        <v>29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29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944">
        <f>SUMPRODUCT(X$64:AA$65,AO$64:AR$65)</f>
        <v>144848.68</v>
      </c>
      <c r="Y74" s="966"/>
      <c r="Z74" s="966"/>
      <c r="AA74" s="967"/>
      <c r="AB74" s="944">
        <f>SUMPRODUCT(R$51:R$52,AE$51:AE$52)/107</f>
        <v>115874.97196261682</v>
      </c>
      <c r="AC74" s="966"/>
      <c r="AD74" s="966"/>
      <c r="AE74" s="967"/>
      <c r="AF74" s="947">
        <f>X74-AB74</f>
        <v>28973.70803738317</v>
      </c>
      <c r="AG74" s="948"/>
      <c r="AH74" s="948"/>
      <c r="AI74" s="948"/>
      <c r="AJ74" s="949"/>
      <c r="AK74" s="1034">
        <f>AF74/AB74</f>
        <v>0.25004284831007828</v>
      </c>
      <c r="AL74" s="1035"/>
      <c r="AM74" s="1035"/>
      <c r="AN74" s="1036"/>
      <c r="AO74" s="950">
        <f>AS74/(X74-AS74)</f>
        <v>-2.1292702702702691E-2</v>
      </c>
      <c r="AP74" s="951"/>
      <c r="AQ74" s="951"/>
      <c r="AR74" s="952"/>
      <c r="AS74" s="1037">
        <f>X$64*(AO$64-AK$64)+X$65*(AO$65-AK$65)</f>
        <v>-3151.3199999999983</v>
      </c>
      <c r="AT74" s="1038"/>
      <c r="AU74" s="1038"/>
      <c r="AV74" s="1039"/>
      <c r="AW74" s="1040">
        <f>SUMPRODUCT(X$64:AA$65,AK$64:AN$65)</f>
        <v>148000</v>
      </c>
      <c r="AX74" s="1041"/>
      <c r="AY74" s="1041"/>
      <c r="AZ74" s="1042"/>
      <c r="BA74" s="944">
        <f>SUMPRODUCT(X$64:AA$65,BI$64:BL$65)</f>
        <v>178440</v>
      </c>
      <c r="BB74" s="966"/>
      <c r="BC74" s="966"/>
      <c r="BD74" s="967"/>
      <c r="BE74" s="980">
        <f>1-(SUMPRODUCT(R$51:R$52,Z$51:Z$52)/107+(AN$51*AV$51+AN$51/(1-AV$51)*$K$20)*R$51+(AN$52*AV$52+AN$52/(1-AV$52)*$K$20)*R$52)/BA$75</f>
        <v>0.43995079106037671</v>
      </c>
      <c r="BF74" s="981"/>
      <c r="BG74" s="981"/>
      <c r="BH74" s="982"/>
      <c r="BI74" s="149" t="s">
        <v>29</v>
      </c>
      <c r="BJ74" s="150"/>
      <c r="BK74" s="150"/>
      <c r="BL74" s="152"/>
      <c r="BM74" s="149" t="s">
        <v>29</v>
      </c>
      <c r="BN74" s="150"/>
      <c r="BO74" s="150"/>
      <c r="BP74" s="152"/>
      <c r="BQ74" s="149" t="s">
        <v>29</v>
      </c>
      <c r="BR74" s="150"/>
      <c r="BS74" s="150"/>
      <c r="BT74" s="152"/>
      <c r="BU74" s="149" t="s">
        <v>29</v>
      </c>
      <c r="BV74" s="150"/>
      <c r="BW74" s="150"/>
      <c r="BX74" s="152"/>
      <c r="BY74" s="149" t="s">
        <v>29</v>
      </c>
      <c r="BZ74" s="150"/>
      <c r="CA74" s="150"/>
      <c r="CB74" s="152"/>
      <c r="CC74" s="149" t="s">
        <v>29</v>
      </c>
      <c r="CD74" s="150"/>
      <c r="CE74" s="152"/>
      <c r="CF74" s="149" t="s">
        <v>29</v>
      </c>
      <c r="CG74" s="150"/>
      <c r="CH74" s="150"/>
      <c r="CI74" s="152"/>
      <c r="CJ74" s="149" t="s">
        <v>29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206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71">
        <f>SUMPRODUCT(X$64:AA$65,AO$64:AR$65)</f>
        <v>144848.68</v>
      </c>
      <c r="Y75" s="972"/>
      <c r="Z75" s="972"/>
      <c r="AA75" s="973"/>
      <c r="AB75" s="971">
        <f>SUMPRODUCT(R$51:R$52,AE$51:AE$52)/107</f>
        <v>115874.97196261682</v>
      </c>
      <c r="AC75" s="972"/>
      <c r="AD75" s="972"/>
      <c r="AE75" s="973"/>
      <c r="AF75" s="947">
        <f>X75-AB75</f>
        <v>28973.70803738317</v>
      </c>
      <c r="AG75" s="948"/>
      <c r="AH75" s="948"/>
      <c r="AI75" s="948"/>
      <c r="AJ75" s="949"/>
      <c r="AK75" s="1034">
        <f>AF75/AB75</f>
        <v>0.25004284831007828</v>
      </c>
      <c r="AL75" s="1035"/>
      <c r="AM75" s="1035"/>
      <c r="AN75" s="1036"/>
      <c r="AO75" s="950">
        <f>AS75/(X75-AS75)</f>
        <v>-2.1292702702702691E-2</v>
      </c>
      <c r="AP75" s="951"/>
      <c r="AQ75" s="951"/>
      <c r="AR75" s="952"/>
      <c r="AS75" s="1024">
        <f>X$64*(AO$64-AK$64)+X$65*(AO$65-AK$65)</f>
        <v>-3151.3199999999983</v>
      </c>
      <c r="AT75" s="1025"/>
      <c r="AU75" s="1025"/>
      <c r="AV75" s="1026"/>
      <c r="AW75" s="1021">
        <f>SUMPRODUCT(X$64:AA$65,AK$64:AN$65)</f>
        <v>148000</v>
      </c>
      <c r="AX75" s="1022"/>
      <c r="AY75" s="1022"/>
      <c r="AZ75" s="1023"/>
      <c r="BA75" s="971">
        <f>SUMPRODUCT(X$64:AA$65,BI$64:BL$65)</f>
        <v>178440</v>
      </c>
      <c r="BB75" s="972"/>
      <c r="BC75" s="972"/>
      <c r="BD75" s="973"/>
      <c r="BE75" s="980">
        <f>1-(SUMPRODUCT(R$51:R$52,Z$51:Z$52)/107+(AN$51*AV$51+AN$51/(1-AV$51)*$K$20)*R$51+(AN$52*AV$52+AN$52/(1-AV$52)*$K$20)*R$52)/BA$75</f>
        <v>0.43995079106037671</v>
      </c>
      <c r="BF75" s="981"/>
      <c r="BG75" s="981"/>
      <c r="BH75" s="982"/>
      <c r="BI75" s="149" t="s">
        <v>29</v>
      </c>
      <c r="BJ75" s="150"/>
      <c r="BK75" s="150"/>
      <c r="BL75" s="152"/>
      <c r="BM75" s="149" t="s">
        <v>29</v>
      </c>
      <c r="BN75" s="150"/>
      <c r="BO75" s="150"/>
      <c r="BP75" s="152"/>
      <c r="BQ75" s="149" t="s">
        <v>29</v>
      </c>
      <c r="BR75" s="150"/>
      <c r="BS75" s="150"/>
      <c r="BT75" s="152"/>
      <c r="BU75" s="149" t="s">
        <v>29</v>
      </c>
      <c r="BV75" s="150"/>
      <c r="BW75" s="150"/>
      <c r="BX75" s="152"/>
      <c r="BY75" s="149" t="s">
        <v>29</v>
      </c>
      <c r="BZ75" s="150"/>
      <c r="CA75" s="150"/>
      <c r="CB75" s="152"/>
      <c r="CC75" s="149" t="s">
        <v>29</v>
      </c>
      <c r="CD75" s="150"/>
      <c r="CE75" s="152"/>
      <c r="CF75" s="149" t="s">
        <v>29</v>
      </c>
      <c r="CG75" s="150"/>
      <c r="CH75" s="150"/>
      <c r="CI75" s="152"/>
      <c r="CJ75" s="149" t="s">
        <v>29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32"/>
      <c r="BE76" s="1033"/>
      <c r="BF76" s="1033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962"/>
      <c r="K77" s="963"/>
      <c r="L77" s="963"/>
      <c r="M77" s="963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0999999999999996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964"/>
      <c r="K81" s="964"/>
      <c r="L81" s="964"/>
      <c r="M81" s="964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31"/>
      <c r="BL81" s="1031"/>
      <c r="BM81" s="1031"/>
      <c r="BN81" s="1031"/>
      <c r="BO81" s="1031"/>
    </row>
    <row r="82" spans="1:67" ht="14.1" customHeight="1">
      <c r="A82" s="22"/>
      <c r="B82" s="129"/>
      <c r="C82" s="346" t="s">
        <v>130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43"/>
      <c r="BF82" s="1043"/>
      <c r="BG82" s="1043"/>
      <c r="BH82" s="1043"/>
    </row>
    <row r="83" spans="1:67" ht="5.0999999999999996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" customHeight="1">
      <c r="A85" s="23"/>
      <c r="B85" s="351"/>
      <c r="C85" s="352"/>
      <c r="D85" s="348" t="s">
        <v>37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39</v>
      </c>
      <c r="S85" s="134"/>
      <c r="T85" s="107"/>
      <c r="U85" s="107"/>
      <c r="V85" s="133" t="s">
        <v>43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44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40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0999999999999996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43"/>
      <c r="K88" s="943"/>
      <c r="L88" s="943"/>
      <c r="M88" s="943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" customHeight="1">
      <c r="A89" s="22"/>
      <c r="B89" s="202">
        <v>35</v>
      </c>
      <c r="C89" s="346" t="s">
        <v>246</v>
      </c>
      <c r="D89" s="332"/>
      <c r="E89" s="65"/>
      <c r="F89" s="65"/>
      <c r="G89" s="65"/>
      <c r="H89" s="65"/>
      <c r="I89" s="65"/>
      <c r="J89" s="943"/>
      <c r="K89" s="943"/>
      <c r="L89" s="943"/>
      <c r="M89" s="943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" customHeight="1">
      <c r="A90" s="22"/>
      <c r="B90" s="202">
        <v>35</v>
      </c>
      <c r="C90" s="331"/>
      <c r="D90" s="478" t="s">
        <v>247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965"/>
      <c r="K91" s="965"/>
      <c r="L91" s="965"/>
      <c r="M91" s="9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0999999999999996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" customHeight="1">
      <c r="A93" s="23"/>
      <c r="B93" s="351"/>
      <c r="C93" s="282"/>
      <c r="D93" s="28" t="s">
        <v>239</v>
      </c>
      <c r="E93" s="28"/>
      <c r="F93" s="28"/>
      <c r="G93" s="28"/>
      <c r="H93" s="468" t="s">
        <v>244</v>
      </c>
      <c r="I93" s="257"/>
      <c r="J93" s="258"/>
      <c r="K93" s="258"/>
      <c r="L93" s="258"/>
      <c r="M93" s="259"/>
      <c r="N93" s="258"/>
      <c r="O93" s="110"/>
      <c r="P93" s="261" t="s">
        <v>32</v>
      </c>
      <c r="Q93" s="25"/>
      <c r="R93" s="469" t="s">
        <v>245</v>
      </c>
      <c r="S93" s="470"/>
      <c r="T93" s="471"/>
      <c r="U93" s="471"/>
      <c r="V93" s="483"/>
      <c r="W93" s="472"/>
      <c r="X93" s="471"/>
      <c r="Y93" s="473"/>
      <c r="Z93" s="474"/>
      <c r="AB93" s="469" t="s">
        <v>287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" customHeight="1">
      <c r="A94" s="23"/>
      <c r="B94" s="351"/>
      <c r="C94" s="282"/>
      <c r="D94" s="28"/>
      <c r="E94" s="28"/>
      <c r="F94" s="28"/>
      <c r="G94" s="28"/>
      <c r="H94" s="469" t="s">
        <v>53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0999999999999996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0999999999999996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" customHeight="1">
      <c r="A97" s="22"/>
      <c r="B97" s="202">
        <v>35</v>
      </c>
      <c r="C97" s="62" t="s">
        <v>242</v>
      </c>
      <c r="D97" s="332"/>
      <c r="E97" s="65"/>
      <c r="F97" s="65"/>
      <c r="G97" s="65"/>
      <c r="H97" s="65"/>
      <c r="I97" s="65"/>
      <c r="J97" s="943"/>
      <c r="K97" s="943"/>
      <c r="L97" s="943"/>
      <c r="M97" s="943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0999999999999996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" customHeight="1">
      <c r="A99" s="23"/>
      <c r="B99" s="351"/>
      <c r="C99" s="282"/>
      <c r="D99" s="28" t="s">
        <v>239</v>
      </c>
      <c r="E99" s="28"/>
      <c r="F99" s="28"/>
      <c r="G99" s="28"/>
      <c r="H99" s="468" t="s">
        <v>240</v>
      </c>
      <c r="I99" s="257"/>
      <c r="J99" s="258"/>
      <c r="K99" s="258"/>
      <c r="L99" s="258"/>
      <c r="M99" s="259"/>
      <c r="N99" s="258"/>
      <c r="O99" s="110"/>
      <c r="P99" s="261" t="s">
        <v>32</v>
      </c>
      <c r="Q99" s="25"/>
      <c r="R99" s="469" t="s">
        <v>241</v>
      </c>
      <c r="S99" s="470"/>
      <c r="T99" s="471"/>
      <c r="U99" s="471"/>
      <c r="V99" s="483"/>
      <c r="W99" s="484" t="s">
        <v>253</v>
      </c>
      <c r="X99" s="471"/>
      <c r="Y99" s="473"/>
      <c r="Z99" s="474"/>
      <c r="AB99" s="529" t="s">
        <v>288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" customHeight="1">
      <c r="A100" s="23"/>
      <c r="B100" s="351"/>
      <c r="C100" s="282"/>
      <c r="D100" s="28"/>
      <c r="E100" s="28"/>
      <c r="F100" s="28"/>
      <c r="G100" s="28"/>
      <c r="H100" s="469" t="s">
        <v>252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0999999999999996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" customHeight="1">
      <c r="A103" s="22"/>
      <c r="B103" s="202">
        <v>35</v>
      </c>
      <c r="C103" s="62" t="s">
        <v>242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" customHeight="1">
      <c r="A105" s="22"/>
      <c r="B105" s="202">
        <v>35</v>
      </c>
      <c r="C105" s="346" t="s">
        <v>248</v>
      </c>
      <c r="D105" s="332"/>
      <c r="E105" s="65"/>
      <c r="F105" s="65"/>
      <c r="G105" s="65"/>
      <c r="H105" s="65"/>
      <c r="I105" s="65"/>
      <c r="J105" s="943"/>
      <c r="K105" s="943"/>
      <c r="L105" s="943"/>
      <c r="M105" s="943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0999999999999996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249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251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250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43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254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53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255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53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256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53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0999999999999996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43"/>
      <c r="K114" s="943"/>
      <c r="L114" s="943"/>
      <c r="M114" s="943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43"/>
      <c r="K115" s="943"/>
      <c r="L115" s="943"/>
      <c r="M115" s="943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</mergeCells>
  <phoneticPr fontId="57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738" t="s">
        <v>4</v>
      </c>
      <c r="B1" s="738"/>
      <c r="C1" s="738"/>
      <c r="D1" s="738"/>
      <c r="E1" s="738"/>
      <c r="F1" s="738"/>
      <c r="G1" s="738"/>
      <c r="H1" s="738"/>
      <c r="I1" s="725" t="s">
        <v>5</v>
      </c>
      <c r="J1" s="725"/>
      <c r="K1" s="725"/>
      <c r="L1" s="725"/>
      <c r="M1" s="736" t="str">
        <f>変更来歴!M1</f>
        <v>ヒロセ電機株式会社</v>
      </c>
      <c r="N1" s="736"/>
      <c r="O1" s="736"/>
      <c r="P1" s="736"/>
      <c r="Q1" s="736"/>
      <c r="R1" s="736"/>
      <c r="S1" s="736"/>
      <c r="T1" s="736"/>
      <c r="U1" s="736"/>
      <c r="V1" s="736"/>
      <c r="W1" s="736"/>
      <c r="X1" s="725" t="s">
        <v>7</v>
      </c>
      <c r="Y1" s="725"/>
      <c r="Z1" s="725"/>
      <c r="AA1" s="740" t="str">
        <f>変更来歴!AA1</f>
        <v>化学物質データ申請</v>
      </c>
      <c r="AB1" s="740"/>
      <c r="AC1" s="740"/>
      <c r="AD1" s="740"/>
      <c r="AE1" s="740"/>
      <c r="AF1" s="740"/>
      <c r="AG1" s="740"/>
      <c r="AH1" s="740"/>
      <c r="AI1" s="740"/>
      <c r="AJ1" s="740"/>
      <c r="AK1" s="714" t="s">
        <v>8</v>
      </c>
      <c r="AL1" s="714"/>
      <c r="AM1" s="714"/>
      <c r="AN1" s="716" t="str">
        <f>変更来歴!AP7</f>
        <v>古竹</v>
      </c>
      <c r="AO1" s="716"/>
      <c r="AP1" s="716"/>
      <c r="AQ1" s="716"/>
      <c r="AR1" s="716"/>
      <c r="AS1" s="714" t="s">
        <v>9</v>
      </c>
      <c r="AT1" s="714"/>
      <c r="AU1" s="714"/>
      <c r="AV1" s="717">
        <f>変更来歴!AL7</f>
        <v>46125</v>
      </c>
      <c r="AW1" s="715"/>
      <c r="AX1" s="715"/>
      <c r="AY1" s="715"/>
      <c r="AZ1" s="721" t="s">
        <v>10</v>
      </c>
      <c r="BA1" s="722"/>
      <c r="BB1" s="722"/>
      <c r="BC1" s="723"/>
    </row>
    <row r="2" spans="1:59">
      <c r="A2" s="724" t="s">
        <v>16</v>
      </c>
      <c r="B2" s="724"/>
      <c r="C2" s="724"/>
      <c r="D2" s="724"/>
      <c r="E2" s="724"/>
      <c r="F2" s="724"/>
      <c r="G2" s="724"/>
      <c r="H2" s="724"/>
      <c r="I2" s="725" t="s">
        <v>11</v>
      </c>
      <c r="J2" s="725"/>
      <c r="K2" s="725"/>
      <c r="L2" s="725"/>
      <c r="M2" s="803" t="str">
        <f>変更来歴!M2</f>
        <v>新環境証明書システム移行</v>
      </c>
      <c r="N2" s="803"/>
      <c r="O2" s="803"/>
      <c r="P2" s="803"/>
      <c r="Q2" s="803"/>
      <c r="R2" s="803"/>
      <c r="S2" s="803"/>
      <c r="T2" s="803"/>
      <c r="U2" s="803"/>
      <c r="V2" s="803"/>
      <c r="W2" s="803"/>
      <c r="X2" s="725"/>
      <c r="Y2" s="725"/>
      <c r="Z2" s="725"/>
      <c r="AA2" s="740"/>
      <c r="AB2" s="740"/>
      <c r="AC2" s="740"/>
      <c r="AD2" s="740"/>
      <c r="AE2" s="740"/>
      <c r="AF2" s="740"/>
      <c r="AG2" s="740"/>
      <c r="AH2" s="740"/>
      <c r="AI2" s="740"/>
      <c r="AJ2" s="740"/>
      <c r="AK2" s="714" t="s">
        <v>12</v>
      </c>
      <c r="AL2" s="714"/>
      <c r="AM2" s="714"/>
      <c r="AN2" s="716" t="str">
        <f ca="1">INDIRECT("変更来歴!AP" &amp; COUNTA(変更来歴!AP7:'変更来歴'!AP39) + 6)</f>
        <v>古竹</v>
      </c>
      <c r="AO2" s="716"/>
      <c r="AP2" s="716"/>
      <c r="AQ2" s="716"/>
      <c r="AR2" s="716"/>
      <c r="AS2" s="714" t="s">
        <v>13</v>
      </c>
      <c r="AT2" s="714"/>
      <c r="AU2" s="714"/>
      <c r="AV2" s="717">
        <f ca="1">INDIRECT("変更来歴!AL" &amp; COUNTA(変更来歴!AL7:'変更来歴'!AL39) + 6)</f>
        <v>46190</v>
      </c>
      <c r="AW2" s="715"/>
      <c r="AX2" s="715"/>
      <c r="AY2" s="715"/>
      <c r="AZ2" s="729" t="str">
        <f>変更来歴!AX2</f>
        <v>IMWF-53</v>
      </c>
      <c r="BA2" s="730"/>
      <c r="BB2" s="730"/>
      <c r="BC2" s="731"/>
    </row>
    <row r="3" spans="1:59" ht="12" customHeight="1">
      <c r="A3" s="735" t="str">
        <f>変更来歴!A3</f>
        <v>画面設計書</v>
      </c>
      <c r="B3" s="735"/>
      <c r="C3" s="735"/>
      <c r="D3" s="735"/>
      <c r="E3" s="735"/>
      <c r="F3" s="735"/>
      <c r="G3" s="735"/>
      <c r="H3" s="735"/>
      <c r="I3" s="725" t="s">
        <v>14</v>
      </c>
      <c r="J3" s="725"/>
      <c r="K3" s="725"/>
      <c r="L3" s="725"/>
      <c r="M3" s="736" t="str">
        <f ca="1">RIGHT(CELL("filename",A1),LEN(CELL("filename",A1))-FIND("]",CELL("filename",A1)))</f>
        <v>外貨(コリア原計)</v>
      </c>
      <c r="N3" s="736"/>
      <c r="O3" s="736"/>
      <c r="P3" s="736"/>
      <c r="Q3" s="736"/>
      <c r="R3" s="736"/>
      <c r="S3" s="736"/>
      <c r="T3" s="736"/>
      <c r="U3" s="736"/>
      <c r="V3" s="736"/>
      <c r="W3" s="736"/>
      <c r="X3" s="725" t="s">
        <v>27</v>
      </c>
      <c r="Y3" s="725"/>
      <c r="Z3" s="725"/>
      <c r="AA3" s="737" t="str">
        <f ca="1">MID(CELL("filename"),FIND("]",CELL("filename"))+1,LEN(CELL("filename"))) &amp; "画面"</f>
        <v>処理詳細画面</v>
      </c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14" t="s">
        <v>15</v>
      </c>
      <c r="AT3" s="714"/>
      <c r="AU3" s="714"/>
      <c r="AV3" s="715" t="str">
        <f ca="1">INDIRECT("変更来歴!A" &amp; COUNTA(変更来歴!A7:'変更来歴'!A39) + 6)</f>
        <v>dr1.5</v>
      </c>
      <c r="AW3" s="715"/>
      <c r="AX3" s="715"/>
      <c r="AY3" s="715"/>
      <c r="AZ3" s="732"/>
      <c r="BA3" s="733"/>
      <c r="BB3" s="733"/>
      <c r="BC3" s="734"/>
    </row>
    <row r="4" spans="1:59" ht="5.85" customHeight="1"/>
    <row r="5" spans="1:59" ht="13.5" customHeight="1">
      <c r="A5" s="775" t="str">
        <f ca="1">"画面レイアウト"&amp;"("&amp;MID(CELL("filename"),FIND("]",CELL("filename"))+1,LEN(CELL("filename")))&amp;")"</f>
        <v>画面レイアウト(処理詳細)</v>
      </c>
      <c r="B5" s="776"/>
      <c r="C5" s="776"/>
      <c r="D5" s="776"/>
      <c r="E5" s="776"/>
      <c r="F5" s="776"/>
      <c r="G5" s="776"/>
      <c r="H5" s="776"/>
      <c r="I5" s="776"/>
      <c r="J5" s="776"/>
      <c r="K5" s="776"/>
      <c r="L5" s="776"/>
      <c r="M5" s="776"/>
      <c r="N5" s="776"/>
      <c r="O5" s="776"/>
      <c r="P5" s="776"/>
      <c r="Q5" s="776"/>
      <c r="R5" s="776"/>
      <c r="S5" s="776"/>
      <c r="T5" s="776"/>
      <c r="U5" s="776"/>
      <c r="V5" s="776"/>
      <c r="W5" s="776"/>
      <c r="X5" s="776"/>
      <c r="Y5" s="776"/>
      <c r="Z5" s="776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7"/>
      <c r="BB5" s="804" t="s">
        <v>24</v>
      </c>
      <c r="BC5" s="805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46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285</v>
      </c>
      <c r="O7" s="36"/>
      <c r="P7" s="36"/>
      <c r="Q7" s="36"/>
      <c r="R7" s="49" t="s">
        <v>284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29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47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48</v>
      </c>
      <c r="D10" s="31"/>
      <c r="E10" s="31"/>
      <c r="F10" s="31" t="s">
        <v>52</v>
      </c>
      <c r="G10" s="31"/>
      <c r="H10" s="127" t="s">
        <v>51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49</v>
      </c>
      <c r="D11" s="31"/>
      <c r="E11" s="31"/>
      <c r="F11" s="31" t="s">
        <v>52</v>
      </c>
      <c r="G11" s="31"/>
      <c r="H11" s="75" t="s">
        <v>53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50</v>
      </c>
      <c r="D12" s="31"/>
      <c r="E12" s="31"/>
      <c r="F12" s="31" t="s">
        <v>52</v>
      </c>
      <c r="G12" s="31"/>
      <c r="H12" s="75" t="s">
        <v>54</v>
      </c>
      <c r="I12" s="75"/>
      <c r="J12" s="75"/>
      <c r="K12" s="75"/>
      <c r="L12" s="75" t="s">
        <v>55</v>
      </c>
      <c r="M12" s="75"/>
      <c r="N12" s="75"/>
      <c r="O12" s="75" t="s">
        <v>56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102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103</v>
      </c>
      <c r="D16" s="28"/>
      <c r="E16" s="28"/>
      <c r="F16" s="28"/>
      <c r="G16" s="28"/>
      <c r="H16" s="255" t="s">
        <v>169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57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38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58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59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60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32</v>
      </c>
      <c r="Q19" s="94"/>
      <c r="R19" s="65"/>
      <c r="S19" s="35"/>
      <c r="T19" s="43" t="s">
        <v>61</v>
      </c>
      <c r="U19" s="63"/>
      <c r="V19" s="63"/>
      <c r="W19" s="63"/>
      <c r="X19" s="63"/>
      <c r="Y19" s="124" t="s">
        <v>69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105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106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107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108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109</v>
      </c>
      <c r="Q25" s="64"/>
      <c r="R25" s="63"/>
      <c r="S25" s="35"/>
      <c r="T25" s="28" t="s">
        <v>118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111</v>
      </c>
      <c r="AH25" s="28"/>
      <c r="AI25" s="28"/>
      <c r="AJ25" s="28"/>
      <c r="AK25" s="28" t="s">
        <v>112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113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265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263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271</v>
      </c>
      <c r="F27" s="285"/>
      <c r="G27" s="285"/>
      <c r="H27" s="98" t="s">
        <v>121</v>
      </c>
      <c r="I27" s="257"/>
      <c r="J27" s="258"/>
      <c r="K27" s="258"/>
      <c r="L27" s="258"/>
      <c r="M27" s="259"/>
      <c r="N27" s="258"/>
      <c r="O27" s="110"/>
      <c r="P27" s="260" t="s">
        <v>32</v>
      </c>
      <c r="R27" s="130"/>
      <c r="S27" s="35"/>
      <c r="T27" s="285" t="s">
        <v>272</v>
      </c>
      <c r="U27" s="35"/>
      <c r="V27" s="285"/>
      <c r="W27" s="285"/>
      <c r="X27" s="285"/>
      <c r="Y27" s="98" t="s">
        <v>122</v>
      </c>
      <c r="Z27" s="257"/>
      <c r="AA27" s="258"/>
      <c r="AB27" s="258"/>
      <c r="AC27" s="258"/>
      <c r="AD27" s="259"/>
      <c r="AE27" s="258"/>
      <c r="AF27" s="142"/>
      <c r="AG27" s="496" t="s">
        <v>32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267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268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117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32</v>
      </c>
      <c r="Q29" s="64"/>
      <c r="R29" s="28"/>
      <c r="S29" s="35"/>
      <c r="T29" s="26" t="s">
        <v>269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270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264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123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36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32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125</v>
      </c>
      <c r="D32" s="41"/>
      <c r="E32" s="41"/>
      <c r="F32" s="41"/>
      <c r="G32" s="41"/>
      <c r="H32" s="163" t="s">
        <v>170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36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32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126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36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32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262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0999999999999996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280</v>
      </c>
      <c r="D40" s="28"/>
      <c r="E40" s="28"/>
      <c r="F40" s="28"/>
      <c r="G40" s="86" t="s">
        <v>275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31</v>
      </c>
      <c r="D41" s="205" t="s">
        <v>260</v>
      </c>
      <c r="E41" s="206"/>
      <c r="F41" s="206"/>
      <c r="G41" s="207"/>
      <c r="H41" s="208" t="s">
        <v>274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147</v>
      </c>
      <c r="E42" s="149"/>
      <c r="F42" s="149"/>
      <c r="G42" s="151"/>
      <c r="H42" s="1008">
        <v>110</v>
      </c>
      <c r="I42" s="945"/>
      <c r="J42" s="945"/>
      <c r="K42" s="945"/>
      <c r="L42" s="946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261</v>
      </c>
      <c r="E43" s="149"/>
      <c r="F43" s="149"/>
      <c r="G43" s="151"/>
      <c r="H43" s="1008">
        <v>125</v>
      </c>
      <c r="I43" s="945"/>
      <c r="J43" s="945"/>
      <c r="K43" s="945"/>
      <c r="L43" s="946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0999999999999996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62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0999999999999996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286</v>
      </c>
      <c r="E48" s="28"/>
      <c r="F48" s="28"/>
      <c r="G48" s="28"/>
      <c r="H48" s="86" t="s">
        <v>145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31</v>
      </c>
      <c r="D49" s="205" t="s">
        <v>63</v>
      </c>
      <c r="E49" s="206"/>
      <c r="F49" s="206"/>
      <c r="G49" s="207"/>
      <c r="H49" s="208" t="s">
        <v>72</v>
      </c>
      <c r="I49" s="209"/>
      <c r="J49" s="209"/>
      <c r="K49" s="209"/>
      <c r="L49" s="206"/>
      <c r="M49" s="207"/>
      <c r="N49" s="205" t="s">
        <v>73</v>
      </c>
      <c r="O49" s="206"/>
      <c r="P49" s="206"/>
      <c r="Q49" s="207"/>
      <c r="R49" s="205" t="s">
        <v>74</v>
      </c>
      <c r="S49" s="206"/>
      <c r="T49" s="206"/>
      <c r="U49" s="206"/>
      <c r="V49" s="210" t="s">
        <v>290</v>
      </c>
      <c r="W49" s="211"/>
      <c r="X49" s="211"/>
      <c r="Y49" s="212"/>
      <c r="Z49" s="210" t="s">
        <v>149</v>
      </c>
      <c r="AA49" s="211"/>
      <c r="AB49" s="211"/>
      <c r="AC49" s="211"/>
      <c r="AD49" s="212"/>
      <c r="AE49" s="210" t="s">
        <v>291</v>
      </c>
      <c r="AF49" s="211"/>
      <c r="AG49" s="211"/>
      <c r="AH49" s="212"/>
      <c r="AI49" s="210" t="s">
        <v>161</v>
      </c>
      <c r="AJ49" s="211"/>
      <c r="AK49" s="211"/>
      <c r="AL49" s="212"/>
      <c r="AM49" s="211" t="s">
        <v>151</v>
      </c>
      <c r="AN49" s="211"/>
      <c r="AO49" s="211"/>
      <c r="AP49" s="212"/>
      <c r="AQ49" s="211" t="s">
        <v>196</v>
      </c>
      <c r="AR49" s="211"/>
      <c r="AS49" s="211"/>
      <c r="AT49" s="212"/>
      <c r="AU49" s="210" t="s">
        <v>198</v>
      </c>
      <c r="AV49" s="211"/>
      <c r="AW49" s="211"/>
      <c r="AX49" s="212"/>
      <c r="AY49" s="210" t="s">
        <v>82</v>
      </c>
      <c r="AZ49" s="211"/>
      <c r="BA49" s="211"/>
      <c r="BB49" s="212"/>
      <c r="BC49" s="210" t="s">
        <v>41</v>
      </c>
      <c r="BD49" s="211"/>
      <c r="BE49" s="211"/>
      <c r="BF49" s="212"/>
      <c r="BG49" s="211" t="s">
        <v>155</v>
      </c>
      <c r="BH49" s="211"/>
      <c r="BI49" s="212"/>
      <c r="BJ49" s="305" t="s">
        <v>85</v>
      </c>
      <c r="BK49" s="211"/>
      <c r="BL49" s="211"/>
      <c r="BM49" s="212"/>
      <c r="BN49" s="211" t="s">
        <v>68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29</v>
      </c>
      <c r="E50" s="216"/>
      <c r="F50" s="214"/>
      <c r="G50" s="215"/>
      <c r="H50" s="213" t="s">
        <v>29</v>
      </c>
      <c r="I50" s="216"/>
      <c r="J50" s="216"/>
      <c r="K50" s="216"/>
      <c r="L50" s="214"/>
      <c r="M50" s="215"/>
      <c r="N50" s="213" t="s">
        <v>29</v>
      </c>
      <c r="O50" s="214"/>
      <c r="P50" s="214"/>
      <c r="Q50" s="215"/>
      <c r="R50" s="213" t="s">
        <v>29</v>
      </c>
      <c r="S50" s="216"/>
      <c r="T50" s="214"/>
      <c r="U50" s="214"/>
      <c r="V50" s="217" t="s">
        <v>42</v>
      </c>
      <c r="W50" s="218"/>
      <c r="X50" s="219"/>
      <c r="Y50" s="220"/>
      <c r="Z50" s="217" t="s">
        <v>29</v>
      </c>
      <c r="AA50" s="218"/>
      <c r="AB50" s="218"/>
      <c r="AC50" s="219"/>
      <c r="AD50" s="220"/>
      <c r="AE50" s="217" t="s">
        <v>42</v>
      </c>
      <c r="AF50" s="218"/>
      <c r="AG50" s="219"/>
      <c r="AH50" s="220"/>
      <c r="AI50" s="217" t="s">
        <v>29</v>
      </c>
      <c r="AJ50" s="218"/>
      <c r="AK50" s="219"/>
      <c r="AL50" s="220"/>
      <c r="AM50" s="218" t="s">
        <v>42</v>
      </c>
      <c r="AN50" s="218"/>
      <c r="AO50" s="219"/>
      <c r="AP50" s="220"/>
      <c r="AQ50" s="218" t="s">
        <v>197</v>
      </c>
      <c r="AR50" s="218"/>
      <c r="AS50" s="219"/>
      <c r="AT50" s="220"/>
      <c r="AU50" s="217" t="s">
        <v>154</v>
      </c>
      <c r="AV50" s="218"/>
      <c r="AW50" s="219"/>
      <c r="AX50" s="220"/>
      <c r="AY50" s="217" t="s">
        <v>154</v>
      </c>
      <c r="AZ50" s="218"/>
      <c r="BA50" s="219"/>
      <c r="BB50" s="220"/>
      <c r="BC50" s="217" t="s">
        <v>199</v>
      </c>
      <c r="BD50" s="218"/>
      <c r="BE50" s="219"/>
      <c r="BF50" s="220"/>
      <c r="BG50" s="218" t="s">
        <v>200</v>
      </c>
      <c r="BH50" s="218"/>
      <c r="BI50" s="220"/>
      <c r="BJ50" s="307" t="s">
        <v>42</v>
      </c>
      <c r="BK50" s="218"/>
      <c r="BL50" s="219"/>
      <c r="BM50" s="220"/>
      <c r="BN50" s="218" t="s">
        <v>42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157</v>
      </c>
      <c r="E51" s="149"/>
      <c r="F51" s="149"/>
      <c r="G51" s="151"/>
      <c r="H51" s="242" t="s">
        <v>158</v>
      </c>
      <c r="I51" s="150"/>
      <c r="J51" s="150"/>
      <c r="K51" s="150"/>
      <c r="L51" s="161"/>
      <c r="M51" s="162"/>
      <c r="N51" s="242" t="s">
        <v>159</v>
      </c>
      <c r="O51" s="150"/>
      <c r="P51" s="150"/>
      <c r="Q51" s="99" t="s">
        <v>32</v>
      </c>
      <c r="R51" s="956">
        <v>70000</v>
      </c>
      <c r="S51" s="957"/>
      <c r="T51" s="957"/>
      <c r="U51" s="958"/>
      <c r="V51" s="148" t="s">
        <v>147</v>
      </c>
      <c r="W51" s="150"/>
      <c r="X51" s="150"/>
      <c r="Y51" s="99" t="s">
        <v>32</v>
      </c>
      <c r="Z51" s="996">
        <v>6.7299999999999999E-2</v>
      </c>
      <c r="AA51" s="997"/>
      <c r="AB51" s="997"/>
      <c r="AC51" s="997"/>
      <c r="AD51" s="998"/>
      <c r="AE51" s="148" t="s">
        <v>147</v>
      </c>
      <c r="AF51" s="150"/>
      <c r="AG51" s="150"/>
      <c r="AH51" s="99" t="s">
        <v>32</v>
      </c>
      <c r="AI51" s="996">
        <v>0.1211</v>
      </c>
      <c r="AJ51" s="997"/>
      <c r="AK51" s="997"/>
      <c r="AL51" s="998"/>
      <c r="AM51" s="996">
        <v>0.12</v>
      </c>
      <c r="AN51" s="997"/>
      <c r="AO51" s="997"/>
      <c r="AP51" s="998"/>
      <c r="AQ51" s="1005">
        <v>0.01</v>
      </c>
      <c r="AR51" s="1006"/>
      <c r="AS51" s="1006"/>
      <c r="AT51" s="1007"/>
      <c r="AU51" s="996">
        <v>0.13589999999999999</v>
      </c>
      <c r="AV51" s="997"/>
      <c r="AW51" s="997"/>
      <c r="AX51" s="998"/>
      <c r="AY51" s="996">
        <v>0.151</v>
      </c>
      <c r="AZ51" s="997"/>
      <c r="BA51" s="997"/>
      <c r="BB51" s="998"/>
      <c r="BC51" s="996">
        <v>0.151</v>
      </c>
      <c r="BD51" s="997"/>
      <c r="BE51" s="997"/>
      <c r="BF51" s="998"/>
      <c r="BG51" s="999">
        <v>6.1000000000000004E-3</v>
      </c>
      <c r="BH51" s="1000"/>
      <c r="BI51" s="1001"/>
      <c r="BJ51" s="309" t="s">
        <v>207</v>
      </c>
      <c r="BK51" s="150"/>
      <c r="BL51" s="150"/>
      <c r="BM51" s="152"/>
      <c r="BN51" s="149" t="s">
        <v>29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32</v>
      </c>
      <c r="R52" s="956"/>
      <c r="S52" s="957"/>
      <c r="T52" s="957"/>
      <c r="U52" s="958"/>
      <c r="V52" s="148"/>
      <c r="W52" s="150"/>
      <c r="X52" s="150"/>
      <c r="Y52" s="99" t="s">
        <v>32</v>
      </c>
      <c r="Z52" s="944"/>
      <c r="AA52" s="966"/>
      <c r="AB52" s="966"/>
      <c r="AC52" s="966"/>
      <c r="AD52" s="967"/>
      <c r="AE52" s="148"/>
      <c r="AF52" s="150"/>
      <c r="AG52" s="150"/>
      <c r="AH52" s="99" t="s">
        <v>32</v>
      </c>
      <c r="AI52" s="996"/>
      <c r="AJ52" s="997"/>
      <c r="AK52" s="997"/>
      <c r="AL52" s="998"/>
      <c r="AM52" s="996"/>
      <c r="AN52" s="997"/>
      <c r="AO52" s="997"/>
      <c r="AP52" s="998"/>
      <c r="AQ52" s="1005"/>
      <c r="AR52" s="1006"/>
      <c r="AS52" s="1006"/>
      <c r="AT52" s="1007"/>
      <c r="AU52" s="996"/>
      <c r="AV52" s="997"/>
      <c r="AW52" s="997"/>
      <c r="AX52" s="998"/>
      <c r="AY52" s="996"/>
      <c r="AZ52" s="997"/>
      <c r="BA52" s="997"/>
      <c r="BB52" s="998"/>
      <c r="BC52" s="996"/>
      <c r="BD52" s="997"/>
      <c r="BE52" s="997"/>
      <c r="BF52" s="998"/>
      <c r="BG52" s="999"/>
      <c r="BH52" s="1000"/>
      <c r="BI52" s="1001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70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44">
        <f>1-(0.0673/0.1359)</f>
        <v>0.50478292862398821</v>
      </c>
      <c r="BN58" s="1044"/>
      <c r="BO58" s="1044"/>
      <c r="BP58" s="1044"/>
    </row>
    <row r="59" spans="1:87" ht="5.0999999999999996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77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0999999999999996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31</v>
      </c>
      <c r="D63" s="234" t="s">
        <v>258</v>
      </c>
      <c r="E63" s="235"/>
      <c r="F63" s="234" t="s">
        <v>63</v>
      </c>
      <c r="G63" s="235"/>
      <c r="H63" s="235"/>
      <c r="I63" s="236"/>
      <c r="J63" s="237" t="s">
        <v>33</v>
      </c>
      <c r="K63" s="238"/>
      <c r="L63" s="238"/>
      <c r="M63" s="238"/>
      <c r="N63" s="235"/>
      <c r="O63" s="236"/>
      <c r="P63" s="239" t="s">
        <v>66</v>
      </c>
      <c r="Q63" s="240"/>
      <c r="R63" s="240"/>
      <c r="S63" s="241"/>
      <c r="T63" s="239" t="s">
        <v>150</v>
      </c>
      <c r="U63" s="240"/>
      <c r="V63" s="240"/>
      <c r="W63" s="241"/>
      <c r="X63" s="234" t="s">
        <v>78</v>
      </c>
      <c r="Y63" s="235"/>
      <c r="Z63" s="235"/>
      <c r="AA63" s="236"/>
      <c r="AB63" s="234" t="s">
        <v>149</v>
      </c>
      <c r="AC63" s="235"/>
      <c r="AD63" s="235"/>
      <c r="AE63" s="235"/>
      <c r="AF63" s="239" t="s">
        <v>64</v>
      </c>
      <c r="AG63" s="240"/>
      <c r="AH63" s="240"/>
      <c r="AI63" s="240"/>
      <c r="AJ63" s="241"/>
      <c r="AK63" s="240" t="s">
        <v>209</v>
      </c>
      <c r="AL63" s="240"/>
      <c r="AM63" s="240"/>
      <c r="AN63" s="241"/>
      <c r="AO63" s="240" t="s">
        <v>161</v>
      </c>
      <c r="AP63" s="240"/>
      <c r="AQ63" s="240"/>
      <c r="AR63" s="241"/>
      <c r="AS63" s="240" t="s">
        <v>210</v>
      </c>
      <c r="AT63" s="240"/>
      <c r="AU63" s="240"/>
      <c r="AV63" s="241"/>
      <c r="AW63" s="240" t="s">
        <v>65</v>
      </c>
      <c r="AX63" s="240"/>
      <c r="AY63" s="240"/>
      <c r="AZ63" s="241"/>
      <c r="BA63" s="239" t="s">
        <v>212</v>
      </c>
      <c r="BB63" s="240"/>
      <c r="BC63" s="240"/>
      <c r="BD63" s="240"/>
      <c r="BE63" s="239" t="s">
        <v>198</v>
      </c>
      <c r="BF63" s="240"/>
      <c r="BG63" s="240"/>
      <c r="BH63" s="241"/>
      <c r="BI63" s="239" t="s">
        <v>213</v>
      </c>
      <c r="BJ63" s="240"/>
      <c r="BK63" s="240"/>
      <c r="BL63" s="241"/>
      <c r="BM63" s="239" t="s">
        <v>235</v>
      </c>
      <c r="BN63" s="240"/>
      <c r="BO63" s="240"/>
      <c r="BP63" s="241"/>
      <c r="BQ63" s="239" t="s">
        <v>82</v>
      </c>
      <c r="BR63" s="240"/>
      <c r="BS63" s="240"/>
      <c r="BT63" s="241"/>
      <c r="BU63" s="239" t="s">
        <v>83</v>
      </c>
      <c r="BV63" s="240"/>
      <c r="BW63" s="240"/>
      <c r="BX63" s="241"/>
      <c r="BY63" s="240" t="s">
        <v>84</v>
      </c>
      <c r="BZ63" s="240"/>
      <c r="CA63" s="241"/>
      <c r="CB63" s="240" t="s">
        <v>85</v>
      </c>
      <c r="CC63" s="240"/>
      <c r="CD63" s="240"/>
      <c r="CE63" s="241"/>
      <c r="CF63" s="240" t="s">
        <v>68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148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956">
        <f>R51</f>
        <v>70000</v>
      </c>
      <c r="Y64" s="957"/>
      <c r="Z64" s="957"/>
      <c r="AA64" s="958"/>
      <c r="AB64" s="996">
        <f>Z51</f>
        <v>6.7299999999999999E-2</v>
      </c>
      <c r="AC64" s="997"/>
      <c r="AD64" s="997"/>
      <c r="AE64" s="998"/>
      <c r="AF64" s="996">
        <f>BC51</f>
        <v>0.151</v>
      </c>
      <c r="AG64" s="997"/>
      <c r="AH64" s="997"/>
      <c r="AI64" s="997"/>
      <c r="AJ64" s="998"/>
      <c r="AK64" s="996">
        <f>AM51</f>
        <v>0.12</v>
      </c>
      <c r="AL64" s="997"/>
      <c r="AM64" s="997"/>
      <c r="AN64" s="998"/>
      <c r="AO64" s="996">
        <f>AI51</f>
        <v>0.1211</v>
      </c>
      <c r="AP64" s="997"/>
      <c r="AQ64" s="997"/>
      <c r="AR64" s="998"/>
      <c r="AS64" s="996">
        <f>AI51/(1-AQ51)</f>
        <v>0.12232323232323232</v>
      </c>
      <c r="AT64" s="997"/>
      <c r="AU64" s="997"/>
      <c r="AV64" s="998"/>
      <c r="AW64" s="996">
        <f>AO64-(AS64*$K$20)</f>
        <v>0.11498383838383838</v>
      </c>
      <c r="AX64" s="997"/>
      <c r="AY64" s="997"/>
      <c r="AZ64" s="998"/>
      <c r="BA64" s="977">
        <f>IFERROR((AI51-AM51)/AM51,"")</f>
        <v>9.1666666666666979E-3</v>
      </c>
      <c r="BB64" s="978"/>
      <c r="BC64" s="978"/>
      <c r="BD64" s="979"/>
      <c r="BE64" s="1028">
        <f>AU51</f>
        <v>0.13589999999999999</v>
      </c>
      <c r="BF64" s="1029"/>
      <c r="BG64" s="1029"/>
      <c r="BH64" s="1030"/>
      <c r="BI64" s="980">
        <f>1-AI51/(1-AQ51)/AU51</f>
        <v>9.990263191146187E-2</v>
      </c>
      <c r="BJ64" s="981"/>
      <c r="BK64" s="981"/>
      <c r="BL64" s="982"/>
      <c r="BM64" s="980">
        <f>1-AB64/BE64</f>
        <v>0.50478292862398821</v>
      </c>
      <c r="BN64" s="981"/>
      <c r="BO64" s="981"/>
      <c r="BP64" s="982"/>
      <c r="BQ64" s="999">
        <f>AY51</f>
        <v>0.151</v>
      </c>
      <c r="BR64" s="1000"/>
      <c r="BS64" s="1000"/>
      <c r="BT64" s="1001"/>
      <c r="BU64" s="980">
        <f>1-AU51/AY51</f>
        <v>9.9999999999999978E-2</v>
      </c>
      <c r="BV64" s="981"/>
      <c r="BW64" s="981"/>
      <c r="BX64" s="982"/>
      <c r="BY64" s="996">
        <f>BG51</f>
        <v>6.1000000000000004E-3</v>
      </c>
      <c r="BZ64" s="997"/>
      <c r="CA64" s="998"/>
      <c r="CB64" s="149" t="str">
        <f>BJ51</f>
        <v>JAE</v>
      </c>
      <c r="CC64" s="150"/>
      <c r="CD64" s="150"/>
      <c r="CE64" s="152"/>
      <c r="CF64" s="149" t="s">
        <v>29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279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278</v>
      </c>
      <c r="E66" s="503"/>
      <c r="F66" s="504" t="s">
        <v>292</v>
      </c>
      <c r="G66" s="503"/>
      <c r="H66" s="503"/>
      <c r="I66" s="505"/>
      <c r="J66" s="504" t="s">
        <v>29</v>
      </c>
      <c r="K66" s="506"/>
      <c r="L66" s="506"/>
      <c r="M66" s="506"/>
      <c r="N66" s="503"/>
      <c r="O66" s="505"/>
      <c r="P66" s="511" t="s">
        <v>29</v>
      </c>
      <c r="Q66" s="508"/>
      <c r="R66" s="508"/>
      <c r="S66" s="509"/>
      <c r="T66" s="502"/>
      <c r="U66" s="503"/>
      <c r="V66" s="503"/>
      <c r="W66" s="505"/>
      <c r="X66" s="508" t="s">
        <v>238</v>
      </c>
      <c r="Y66" s="503"/>
      <c r="Z66" s="503"/>
      <c r="AA66" s="503"/>
      <c r="AB66" s="507" t="s">
        <v>233</v>
      </c>
      <c r="AC66" s="503"/>
      <c r="AD66" s="503"/>
      <c r="AE66" s="503"/>
      <c r="AF66" s="507" t="s">
        <v>234</v>
      </c>
      <c r="AG66" s="508"/>
      <c r="AH66" s="508"/>
      <c r="AI66" s="508"/>
      <c r="AJ66" s="509"/>
      <c r="AK66" s="507" t="s">
        <v>235</v>
      </c>
      <c r="AL66" s="508"/>
      <c r="AM66" s="508"/>
      <c r="AN66" s="509"/>
      <c r="AO66" s="507" t="s">
        <v>236</v>
      </c>
      <c r="AP66" s="508"/>
      <c r="AQ66" s="508"/>
      <c r="AR66" s="509"/>
      <c r="AS66" s="507" t="s">
        <v>237</v>
      </c>
      <c r="AT66" s="508"/>
      <c r="AU66" s="508"/>
      <c r="AV66" s="508"/>
      <c r="AW66" s="511" t="s">
        <v>29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29</v>
      </c>
      <c r="BJ66" s="508"/>
      <c r="BK66" s="508"/>
      <c r="BL66" s="509"/>
      <c r="BM66" s="513" t="s">
        <v>29</v>
      </c>
      <c r="BN66" s="508"/>
      <c r="BO66" s="508"/>
      <c r="BP66" s="509"/>
      <c r="BQ66" s="513" t="s">
        <v>29</v>
      </c>
      <c r="BR66" s="508"/>
      <c r="BS66" s="508"/>
      <c r="BT66" s="509"/>
      <c r="BU66" s="508"/>
      <c r="BV66" s="508"/>
      <c r="BW66" s="508"/>
      <c r="BX66" s="509"/>
      <c r="BY66" s="513" t="s">
        <v>29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159</v>
      </c>
      <c r="E67" s="149"/>
      <c r="F67" s="148" t="s">
        <v>147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944">
        <f>SUMPRODUCT(X$64:AA$64,BE$64:BH$64)</f>
        <v>9513</v>
      </c>
      <c r="Y67" s="966"/>
      <c r="Z67" s="966"/>
      <c r="AA67" s="967"/>
      <c r="AB67" s="944">
        <f>SUMPRODUCT(X$64:AA$64,AB$64:AE$64)</f>
        <v>4711</v>
      </c>
      <c r="AC67" s="966"/>
      <c r="AD67" s="966"/>
      <c r="AE67" s="967"/>
      <c r="AF67" s="944">
        <f>X67-AB67</f>
        <v>4802</v>
      </c>
      <c r="AG67" s="966"/>
      <c r="AH67" s="966"/>
      <c r="AI67" s="966"/>
      <c r="AJ67" s="967"/>
      <c r="AK67" s="950">
        <f>AF67/X67</f>
        <v>0.50478292862398821</v>
      </c>
      <c r="AL67" s="951"/>
      <c r="AM67" s="951"/>
      <c r="AN67" s="952"/>
      <c r="AO67" s="950">
        <f>IFERROR(AS67/(X67-AS67),"")</f>
        <v>0.13249999999999998</v>
      </c>
      <c r="AP67" s="951"/>
      <c r="AQ67" s="951"/>
      <c r="AR67" s="952"/>
      <c r="AS67" s="1045">
        <f>X$64*(BE$64-AK$64)</f>
        <v>1112.9999999999998</v>
      </c>
      <c r="AT67" s="1046"/>
      <c r="AU67" s="1046"/>
      <c r="AV67" s="1047"/>
      <c r="AW67" s="1021"/>
      <c r="AX67" s="1022"/>
      <c r="AY67" s="1022"/>
      <c r="AZ67" s="1023"/>
      <c r="BA67" s="971"/>
      <c r="BB67" s="972"/>
      <c r="BC67" s="972"/>
      <c r="BD67" s="973"/>
      <c r="BE67" s="980"/>
      <c r="BF67" s="981"/>
      <c r="BG67" s="981"/>
      <c r="BH67" s="982"/>
      <c r="BI67" s="149" t="s">
        <v>29</v>
      </c>
      <c r="BJ67" s="150"/>
      <c r="BK67" s="150"/>
      <c r="BL67" s="152"/>
      <c r="BM67" s="149" t="s">
        <v>29</v>
      </c>
      <c r="BN67" s="150"/>
      <c r="BO67" s="150"/>
      <c r="BP67" s="152"/>
      <c r="BQ67" s="149" t="s">
        <v>29</v>
      </c>
      <c r="BR67" s="150"/>
      <c r="BS67" s="150"/>
      <c r="BT67" s="152"/>
      <c r="BU67" s="149" t="s">
        <v>29</v>
      </c>
      <c r="BV67" s="150"/>
      <c r="BW67" s="150"/>
      <c r="BX67" s="152"/>
      <c r="BY67" s="149" t="s">
        <v>29</v>
      </c>
      <c r="BZ67" s="150"/>
      <c r="CA67" s="152"/>
      <c r="CB67" s="149" t="s">
        <v>29</v>
      </c>
      <c r="CC67" s="150"/>
      <c r="CD67" s="150"/>
      <c r="CE67" s="152"/>
      <c r="CF67" s="149" t="s">
        <v>29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159</v>
      </c>
      <c r="E68" s="149"/>
      <c r="F68" s="148" t="s">
        <v>206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71">
        <f>SUMPRODUCT(X$64:AA$64,BE$64:BH$64)</f>
        <v>9513</v>
      </c>
      <c r="Y68" s="972"/>
      <c r="Z68" s="972"/>
      <c r="AA68" s="973"/>
      <c r="AB68" s="971">
        <f>SUMPRODUCT(X$64:AA$64,AB$64:AE$64)</f>
        <v>4711</v>
      </c>
      <c r="AC68" s="972"/>
      <c r="AD68" s="972"/>
      <c r="AE68" s="973"/>
      <c r="AF68" s="971">
        <f>X68-AB68</f>
        <v>4802</v>
      </c>
      <c r="AG68" s="972"/>
      <c r="AH68" s="972"/>
      <c r="AI68" s="972"/>
      <c r="AJ68" s="973"/>
      <c r="AK68" s="950">
        <f>AF68/X68</f>
        <v>0.50478292862398821</v>
      </c>
      <c r="AL68" s="951"/>
      <c r="AM68" s="951"/>
      <c r="AN68" s="952"/>
      <c r="AO68" s="950">
        <f>IFERROR(AS68/(X68-AS68),"")</f>
        <v>0.13249999999999998</v>
      </c>
      <c r="AP68" s="951"/>
      <c r="AQ68" s="951"/>
      <c r="AR68" s="952"/>
      <c r="AS68" s="1024">
        <f>X$64*(BE$64-AK$64)</f>
        <v>1112.9999999999998</v>
      </c>
      <c r="AT68" s="1025"/>
      <c r="AU68" s="1025"/>
      <c r="AV68" s="1026"/>
      <c r="AW68" s="1021"/>
      <c r="AX68" s="1022"/>
      <c r="AY68" s="1022"/>
      <c r="AZ68" s="1023"/>
      <c r="BA68" s="971"/>
      <c r="BB68" s="972"/>
      <c r="BC68" s="972"/>
      <c r="BD68" s="973"/>
      <c r="BE68" s="980"/>
      <c r="BF68" s="981"/>
      <c r="BG68" s="981"/>
      <c r="BH68" s="982"/>
      <c r="BI68" s="149" t="s">
        <v>29</v>
      </c>
      <c r="BJ68" s="150"/>
      <c r="BK68" s="150"/>
      <c r="BL68" s="152"/>
      <c r="BM68" s="149" t="s">
        <v>29</v>
      </c>
      <c r="BN68" s="150"/>
      <c r="BO68" s="150"/>
      <c r="BP68" s="152"/>
      <c r="BQ68" s="149" t="s">
        <v>29</v>
      </c>
      <c r="BR68" s="150"/>
      <c r="BS68" s="150"/>
      <c r="BT68" s="152"/>
      <c r="BU68" s="149" t="s">
        <v>29</v>
      </c>
      <c r="BV68" s="150"/>
      <c r="BW68" s="150"/>
      <c r="BX68" s="152"/>
      <c r="BY68" s="149" t="s">
        <v>29</v>
      </c>
      <c r="BZ68" s="150"/>
      <c r="CA68" s="152"/>
      <c r="CB68" s="149" t="s">
        <v>29</v>
      </c>
      <c r="CC68" s="150"/>
      <c r="CD68" s="150"/>
      <c r="CE68" s="152"/>
      <c r="CF68" s="149" t="s">
        <v>29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277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293</v>
      </c>
      <c r="G70" s="244"/>
      <c r="H70" s="244"/>
      <c r="I70" s="245"/>
      <c r="J70" s="246" t="s">
        <v>29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238</v>
      </c>
      <c r="Y70" s="244"/>
      <c r="Z70" s="244"/>
      <c r="AA70" s="244"/>
      <c r="AB70" s="248" t="s">
        <v>233</v>
      </c>
      <c r="AC70" s="244"/>
      <c r="AD70" s="244"/>
      <c r="AE70" s="244"/>
      <c r="AF70" s="248" t="s">
        <v>234</v>
      </c>
      <c r="AG70" s="249"/>
      <c r="AH70" s="249"/>
      <c r="AI70" s="249"/>
      <c r="AJ70" s="250"/>
      <c r="AK70" s="248" t="s">
        <v>235</v>
      </c>
      <c r="AL70" s="249"/>
      <c r="AM70" s="249"/>
      <c r="AN70" s="250"/>
      <c r="AO70" s="248" t="s">
        <v>236</v>
      </c>
      <c r="AP70" s="249"/>
      <c r="AQ70" s="249"/>
      <c r="AR70" s="250"/>
      <c r="AS70" s="248" t="s">
        <v>237</v>
      </c>
      <c r="AT70" s="249"/>
      <c r="AU70" s="249"/>
      <c r="AV70" s="249"/>
      <c r="AW70" s="253" t="s">
        <v>29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29</v>
      </c>
      <c r="BJ70" s="249"/>
      <c r="BK70" s="249"/>
      <c r="BL70" s="250"/>
      <c r="BM70" s="251" t="s">
        <v>29</v>
      </c>
      <c r="BN70" s="249"/>
      <c r="BO70" s="249"/>
      <c r="BP70" s="250"/>
      <c r="BQ70" s="251" t="s">
        <v>29</v>
      </c>
      <c r="BR70" s="249"/>
      <c r="BS70" s="249"/>
      <c r="BT70" s="250"/>
      <c r="BU70" s="249"/>
      <c r="BV70" s="249"/>
      <c r="BW70" s="249"/>
      <c r="BX70" s="250"/>
      <c r="BY70" s="251" t="s">
        <v>29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147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944">
        <f>SUMPRODUCT(X$64:AA$64,BE$64:BH$64)</f>
        <v>9513</v>
      </c>
      <c r="Y71" s="966"/>
      <c r="Z71" s="966"/>
      <c r="AA71" s="967"/>
      <c r="AB71" s="944">
        <f>SUMPRODUCT(X$64:AA$64,AB$64:AE$64)</f>
        <v>4711</v>
      </c>
      <c r="AC71" s="966"/>
      <c r="AD71" s="966"/>
      <c r="AE71" s="967"/>
      <c r="AF71" s="944">
        <f>X71-AB71</f>
        <v>4802</v>
      </c>
      <c r="AG71" s="966"/>
      <c r="AH71" s="966"/>
      <c r="AI71" s="966"/>
      <c r="AJ71" s="967"/>
      <c r="AK71" s="950">
        <f>AF71/X71</f>
        <v>0.50478292862398821</v>
      </c>
      <c r="AL71" s="951"/>
      <c r="AM71" s="951"/>
      <c r="AN71" s="952"/>
      <c r="AO71" s="950">
        <f>IFERROR(AS71/(X71-AS71),"")</f>
        <v>0.13249999999999998</v>
      </c>
      <c r="AP71" s="951"/>
      <c r="AQ71" s="951"/>
      <c r="AR71" s="952"/>
      <c r="AS71" s="1045">
        <f>X$64*(BE$64-AK$64)</f>
        <v>1112.9999999999998</v>
      </c>
      <c r="AT71" s="1046"/>
      <c r="AU71" s="1046"/>
      <c r="AV71" s="1047"/>
      <c r="AW71" s="1021"/>
      <c r="AX71" s="1022"/>
      <c r="AY71" s="1022"/>
      <c r="AZ71" s="1023"/>
      <c r="BA71" s="971"/>
      <c r="BB71" s="972"/>
      <c r="BC71" s="972"/>
      <c r="BD71" s="973"/>
      <c r="BE71" s="980"/>
      <c r="BF71" s="981"/>
      <c r="BG71" s="981"/>
      <c r="BH71" s="982"/>
      <c r="BI71" s="149" t="s">
        <v>29</v>
      </c>
      <c r="BJ71" s="150"/>
      <c r="BK71" s="150"/>
      <c r="BL71" s="152"/>
      <c r="BM71" s="149" t="s">
        <v>29</v>
      </c>
      <c r="BN71" s="150"/>
      <c r="BO71" s="150"/>
      <c r="BP71" s="152"/>
      <c r="BQ71" s="149" t="s">
        <v>29</v>
      </c>
      <c r="BR71" s="150"/>
      <c r="BS71" s="150"/>
      <c r="BT71" s="152"/>
      <c r="BU71" s="149" t="s">
        <v>29</v>
      </c>
      <c r="BV71" s="150"/>
      <c r="BW71" s="150"/>
      <c r="BX71" s="152"/>
      <c r="BY71" s="149" t="s">
        <v>29</v>
      </c>
      <c r="BZ71" s="150"/>
      <c r="CA71" s="152"/>
      <c r="CB71" s="149" t="s">
        <v>29</v>
      </c>
      <c r="CC71" s="150"/>
      <c r="CD71" s="150"/>
      <c r="CE71" s="152"/>
      <c r="CF71" s="149" t="s">
        <v>29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206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71">
        <f>SUMPRODUCT(X$64:AA$64,BE$64:BH$64)</f>
        <v>9513</v>
      </c>
      <c r="Y72" s="972"/>
      <c r="Z72" s="972"/>
      <c r="AA72" s="973"/>
      <c r="AB72" s="971">
        <f>SUMPRODUCT(X$64:AA$64,AB$64:AE$64)</f>
        <v>4711</v>
      </c>
      <c r="AC72" s="972"/>
      <c r="AD72" s="972"/>
      <c r="AE72" s="973"/>
      <c r="AF72" s="971">
        <f>X72-AB72</f>
        <v>4802</v>
      </c>
      <c r="AG72" s="972"/>
      <c r="AH72" s="972"/>
      <c r="AI72" s="972"/>
      <c r="AJ72" s="973"/>
      <c r="AK72" s="950">
        <f>AF72/X72</f>
        <v>0.50478292862398821</v>
      </c>
      <c r="AL72" s="951"/>
      <c r="AM72" s="951"/>
      <c r="AN72" s="952"/>
      <c r="AO72" s="950">
        <f>IFERROR(AS72/(X72-AS72),"")</f>
        <v>0.13249999999999998</v>
      </c>
      <c r="AP72" s="951"/>
      <c r="AQ72" s="951"/>
      <c r="AR72" s="952"/>
      <c r="AS72" s="1024">
        <f>X$64*(BE$64-AK$64)</f>
        <v>1112.9999999999998</v>
      </c>
      <c r="AT72" s="1025"/>
      <c r="AU72" s="1025"/>
      <c r="AV72" s="1026"/>
      <c r="AW72" s="1021"/>
      <c r="AX72" s="1022"/>
      <c r="AY72" s="1022"/>
      <c r="AZ72" s="1023"/>
      <c r="BA72" s="971"/>
      <c r="BB72" s="972"/>
      <c r="BC72" s="972"/>
      <c r="BD72" s="973"/>
      <c r="BE72" s="980"/>
      <c r="BF72" s="981"/>
      <c r="BG72" s="981"/>
      <c r="BH72" s="982"/>
      <c r="BI72" s="149" t="s">
        <v>29</v>
      </c>
      <c r="BJ72" s="150"/>
      <c r="BK72" s="150"/>
      <c r="BL72" s="152"/>
      <c r="BM72" s="149" t="s">
        <v>29</v>
      </c>
      <c r="BN72" s="150"/>
      <c r="BO72" s="150"/>
      <c r="BP72" s="152"/>
      <c r="BQ72" s="149" t="s">
        <v>29</v>
      </c>
      <c r="BR72" s="150"/>
      <c r="BS72" s="150"/>
      <c r="BT72" s="152"/>
      <c r="BU72" s="149" t="s">
        <v>29</v>
      </c>
      <c r="BV72" s="150"/>
      <c r="BW72" s="150"/>
      <c r="BX72" s="152"/>
      <c r="BY72" s="149" t="s">
        <v>29</v>
      </c>
      <c r="BZ72" s="150"/>
      <c r="CA72" s="152"/>
      <c r="CB72" s="149" t="s">
        <v>29</v>
      </c>
      <c r="CC72" s="150"/>
      <c r="CD72" s="150"/>
      <c r="CE72" s="152"/>
      <c r="CF72" s="149" t="s">
        <v>29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32"/>
      <c r="BE73" s="1033"/>
      <c r="BF73" s="1033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964"/>
      <c r="K77" s="964"/>
      <c r="L77" s="964"/>
      <c r="M77" s="964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" customHeight="1">
      <c r="A78" s="22"/>
      <c r="B78" s="129"/>
      <c r="C78" s="346" t="s">
        <v>130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0999999999999996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" customHeight="1">
      <c r="A81" s="23"/>
      <c r="B81" s="351"/>
      <c r="C81" s="352"/>
      <c r="D81" s="348" t="s">
        <v>37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39</v>
      </c>
      <c r="S81" s="134"/>
      <c r="T81" s="107"/>
      <c r="U81" s="107"/>
      <c r="V81" s="133" t="s">
        <v>43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44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40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0999999999999996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43"/>
      <c r="K84" s="943"/>
      <c r="L84" s="943"/>
      <c r="M84" s="943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" customHeight="1">
      <c r="A85" s="22"/>
      <c r="B85" s="202">
        <v>35</v>
      </c>
      <c r="C85" s="346" t="s">
        <v>246</v>
      </c>
      <c r="D85" s="332"/>
      <c r="E85" s="65"/>
      <c r="F85" s="65"/>
      <c r="G85" s="65"/>
      <c r="H85" s="65"/>
      <c r="I85" s="65"/>
      <c r="J85" s="943"/>
      <c r="K85" s="943"/>
      <c r="L85" s="943"/>
      <c r="M85" s="943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" customHeight="1">
      <c r="A86" s="22"/>
      <c r="B86" s="202">
        <v>35</v>
      </c>
      <c r="C86" s="331"/>
      <c r="D86" s="478" t="s">
        <v>247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965"/>
      <c r="K87" s="965"/>
      <c r="L87" s="965"/>
      <c r="M87" s="9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0999999999999996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" customHeight="1">
      <c r="A89" s="23"/>
      <c r="B89" s="351"/>
      <c r="C89" s="282"/>
      <c r="D89" s="28" t="s">
        <v>239</v>
      </c>
      <c r="E89" s="28"/>
      <c r="F89" s="28"/>
      <c r="G89" s="28"/>
      <c r="H89" s="468" t="s">
        <v>244</v>
      </c>
      <c r="I89" s="257"/>
      <c r="J89" s="258"/>
      <c r="K89" s="258"/>
      <c r="L89" s="258"/>
      <c r="M89" s="259"/>
      <c r="N89" s="258"/>
      <c r="O89" s="110"/>
      <c r="P89" s="261" t="s">
        <v>32</v>
      </c>
      <c r="Q89" s="25"/>
      <c r="R89" s="469" t="s">
        <v>245</v>
      </c>
      <c r="S89" s="470"/>
      <c r="T89" s="471"/>
      <c r="U89" s="471"/>
      <c r="V89" s="483"/>
      <c r="W89" s="472"/>
      <c r="X89" s="471"/>
      <c r="Y89" s="473"/>
      <c r="Z89" s="474"/>
      <c r="AB89" s="469" t="s">
        <v>287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" customHeight="1">
      <c r="A90" s="23"/>
      <c r="B90" s="351"/>
      <c r="C90" s="282"/>
      <c r="D90" s="28"/>
      <c r="E90" s="28"/>
      <c r="F90" s="28"/>
      <c r="G90" s="28"/>
      <c r="H90" s="469" t="s">
        <v>53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0999999999999996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0999999999999996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" customHeight="1">
      <c r="A93" s="22"/>
      <c r="B93" s="202">
        <v>35</v>
      </c>
      <c r="C93" s="62" t="s">
        <v>242</v>
      </c>
      <c r="D93" s="332"/>
      <c r="E93" s="65"/>
      <c r="F93" s="65"/>
      <c r="G93" s="65"/>
      <c r="H93" s="65"/>
      <c r="I93" s="65"/>
      <c r="J93" s="943"/>
      <c r="K93" s="943"/>
      <c r="L93" s="943"/>
      <c r="M93" s="943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0999999999999996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" customHeight="1">
      <c r="A95" s="23"/>
      <c r="B95" s="351"/>
      <c r="C95" s="282"/>
      <c r="D95" s="28" t="s">
        <v>239</v>
      </c>
      <c r="E95" s="28"/>
      <c r="F95" s="28"/>
      <c r="G95" s="28"/>
      <c r="H95" s="468" t="s">
        <v>240</v>
      </c>
      <c r="I95" s="257"/>
      <c r="J95" s="258"/>
      <c r="K95" s="258"/>
      <c r="L95" s="258"/>
      <c r="M95" s="259"/>
      <c r="N95" s="258"/>
      <c r="O95" s="110"/>
      <c r="P95" s="261" t="s">
        <v>32</v>
      </c>
      <c r="Q95" s="25"/>
      <c r="R95" s="469" t="s">
        <v>241</v>
      </c>
      <c r="S95" s="470"/>
      <c r="T95" s="471"/>
      <c r="U95" s="471"/>
      <c r="V95" s="483"/>
      <c r="W95" s="484" t="s">
        <v>253</v>
      </c>
      <c r="X95" s="471"/>
      <c r="Y95" s="473"/>
      <c r="Z95" s="474"/>
      <c r="AB95" s="529" t="s">
        <v>288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" customHeight="1">
      <c r="A96" s="23"/>
      <c r="B96" s="351"/>
      <c r="C96" s="282"/>
      <c r="D96" s="28"/>
      <c r="E96" s="28"/>
      <c r="F96" s="28"/>
      <c r="G96" s="28"/>
      <c r="H96" s="469" t="s">
        <v>252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0999999999999996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0999999999999996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" customHeight="1">
      <c r="A99" s="22"/>
      <c r="B99" s="202">
        <v>35</v>
      </c>
      <c r="C99" s="62" t="s">
        <v>242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" customHeight="1">
      <c r="A101" s="22"/>
      <c r="B101" s="202">
        <v>35</v>
      </c>
      <c r="C101" s="346" t="s">
        <v>248</v>
      </c>
      <c r="D101" s="332"/>
      <c r="E101" s="65"/>
      <c r="F101" s="65"/>
      <c r="G101" s="65"/>
      <c r="H101" s="65"/>
      <c r="I101" s="65"/>
      <c r="J101" s="943"/>
      <c r="K101" s="943"/>
      <c r="L101" s="943"/>
      <c r="M101" s="943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0999999999999996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249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251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250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43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254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53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255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53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256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53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0999999999999996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43"/>
      <c r="K110" s="943"/>
      <c r="L110" s="943"/>
      <c r="M110" s="943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43"/>
      <c r="K111" s="943"/>
      <c r="L111" s="943"/>
      <c r="M111" s="943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7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処理詳細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'外貨(PPM)'!Print_Area</vt:lpstr>
      <vt:lpstr>'外貨(コリア原計)'!Print_Area</vt:lpstr>
      <vt:lpstr>'外貨(技術原計)'!Print_Area</vt:lpstr>
      <vt:lpstr>出力編集仕様!Print_Area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榎本亮二</cp:lastModifiedBy>
  <cp:lastPrinted>2021-03-22T08:18:14Z</cp:lastPrinted>
  <dcterms:created xsi:type="dcterms:W3CDTF">2016-02-08T08:47:20Z</dcterms:created>
  <dcterms:modified xsi:type="dcterms:W3CDTF">2026-07-06T02:58:20Z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