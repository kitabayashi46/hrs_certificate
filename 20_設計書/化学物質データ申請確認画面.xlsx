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tmp" ContentType="image/png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drawings/drawing8.xml" ContentType="application/vnd.openxmlformats-officedocument.drawing+xml"/>
  <Override PartName="/xl/comments4.xml" ContentType="application/vnd.openxmlformats-officedocument.spreadsheetml.comments+xml"/>
  <Override PartName="/xl/drawings/drawing9.xml" ContentType="application/vnd.openxmlformats-officedocument.drawing+xml"/>
  <Override PartName="/xl/comments5.xml" ContentType="application/vnd.openxmlformats-officedocument.spreadsheetml.comments+xml"/>
  <Override PartName="/xl/drawings/drawing10.xml" ContentType="application/vnd.openxmlformats-officedocument.drawing+xml"/>
  <Override PartName="/xl/comments6.xml" ContentType="application/vnd.openxmlformats-officedocument.spreadsheetml.comments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A1040\Documents\古竹作成\基本設計書\"/>
    </mc:Choice>
  </mc:AlternateContent>
  <xr:revisionPtr revIDLastSave="0" documentId="13_ncr:1_{50653520-1D89-4360-B463-3146257639A3}" xr6:coauthVersionLast="47" xr6:coauthVersionMax="47" xr10:uidLastSave="{00000000-0000-0000-0000-000000000000}"/>
  <bookViews>
    <workbookView xWindow="28680" yWindow="-120" windowWidth="29040" windowHeight="15720" tabRatio="859" xr2:uid="{00000000-000D-0000-FFFF-FFFF00000000}"/>
  </bookViews>
  <sheets>
    <sheet name="表紙" sheetId="2" r:id="rId1"/>
    <sheet name="変更来歴" sheetId="3" r:id="rId2"/>
    <sheet name="化学物質データ申請確認画面" sheetId="67" r:id="rId3"/>
    <sheet name="画面項目" sheetId="70" r:id="rId4"/>
    <sheet name="処理詳細" sheetId="74" r:id="rId5"/>
    <sheet name="出力編集仕様" sheetId="76" r:id="rId6"/>
    <sheet name="ダウンロードCSVファイルについて" sheetId="75" r:id="rId7"/>
    <sheet name="選択画面" sheetId="63" state="hidden" r:id="rId8"/>
    <sheet name="円(PPM)" sheetId="16" state="hidden" r:id="rId9"/>
    <sheet name="円(技術原計)" sheetId="59" state="hidden" r:id="rId10"/>
    <sheet name="円(コリア原計)" sheetId="61" state="hidden" r:id="rId11"/>
    <sheet name="外貨(PPM)" sheetId="64" state="hidden" r:id="rId12"/>
    <sheet name="外貨(技術原計)" sheetId="65" state="hidden" r:id="rId13"/>
    <sheet name="外貨(コリア原計)" sheetId="66" state="hidden" r:id="rId14"/>
  </sheets>
  <definedNames>
    <definedName name="_2a1_" hidden="1">{"'Sheet1'!$A$3:$I$11"}</definedName>
    <definedName name="_a1" hidden="1">{"'Sheet1'!$A$3:$I$11"}</definedName>
    <definedName name="_Order1" hidden="1">255</definedName>
    <definedName name="a" hidden="1">{"'Sheet1'!$A$3:$I$11"}</definedName>
    <definedName name="AAA" hidden="1">{"'Sheet1'!$A$3:$I$11"}</definedName>
    <definedName name="aaaa" hidden="1">{"'Sheet1'!$A$3:$I$11"}</definedName>
    <definedName name="b" hidden="1">{"'Sheet1'!$A$3:$I$11"}</definedName>
    <definedName name="bb" hidden="1">{"'Sheet1'!$A$3:$I$11"}</definedName>
    <definedName name="bbb" hidden="1">{"'Sheet1'!$A$3:$I$11"}</definedName>
    <definedName name="bbbb" hidden="1">{"'Sheet1'!$A$3:$I$11"}</definedName>
    <definedName name="f" hidden="1">{"'Sheet1'!$A$3:$I$11"}</definedName>
    <definedName name="ff" hidden="1">{"'Sheet1'!$A$3:$I$11"}</definedName>
    <definedName name="HTML_CodePage" hidden="1">932</definedName>
    <definedName name="HTML_Control" hidden="1">{"'Sheet1'!$A$3:$I$11"}</definedName>
    <definedName name="HTML_Control2" hidden="1">{"'Sheet1'!$A$3:$I$11"}</definedName>
    <definedName name="HTML_Description" hidden="1">""</definedName>
    <definedName name="HTML_Email" hidden="1">""</definedName>
    <definedName name="HTML_Header" hidden="1">"Sheet1"</definedName>
    <definedName name="HTML_LastUpdate" hidden="1">"99/10/16"</definedName>
    <definedName name="HTML_LineAfter" hidden="1">FALSE</definedName>
    <definedName name="HTML_LineBefore" hidden="1">FALSE</definedName>
    <definedName name="HTML_Name" hidden="1">"清水秀樹"</definedName>
    <definedName name="HTML_OBDlg2" hidden="1">TRUE</definedName>
    <definedName name="HTML_OBDlg4" hidden="1">TRUE</definedName>
    <definedName name="HTML_OS" hidden="1">0</definedName>
    <definedName name="HTML_PathFile" hidden="1">"C:\My Documents\"</definedName>
    <definedName name="HTML_Title" hidden="1">"機能関連図"</definedName>
    <definedName name="i" hidden="1">{"'Sheet1'!$A$3:$I$11"}</definedName>
    <definedName name="IBD00110チェック仕様" hidden="1">{"'Sheet1'!$A$3:$I$11"}</definedName>
    <definedName name="IBE09000チェック仕様" hidden="1">{"'Sheet1'!$A$3:$I$11"}</definedName>
    <definedName name="ooo" hidden="1">{"'Sheet1'!$A$3:$I$11"}</definedName>
    <definedName name="_xlnm.Print_Area" localSheetId="6">ダウンロードCSVファイルについて!$A$1:$FJ$61</definedName>
    <definedName name="_xlnm.Print_Area" localSheetId="8">'円(PPM)'!$A$1:$BC$106</definedName>
    <definedName name="_xlnm.Print_Area" localSheetId="10">'円(コリア原計)'!$A$1:$BC$116</definedName>
    <definedName name="_xlnm.Print_Area" localSheetId="9">'円(技術原計)'!$A$1:$BC$106</definedName>
    <definedName name="_xlnm.Print_Area" localSheetId="2">化学物質データ申請確認画面!$A$1:$BC$81</definedName>
    <definedName name="_xlnm.Print_Area" localSheetId="3">画面項目!$A$1:$CA$31</definedName>
    <definedName name="_xlnm.Print_Area" localSheetId="11">'外貨(PPM)'!$A$1:$BC$150</definedName>
    <definedName name="_xlnm.Print_Area" localSheetId="13">'外貨(コリア原計)'!$A$1:$BC$113</definedName>
    <definedName name="_xlnm.Print_Area" localSheetId="12">'外貨(技術原計)'!$A$1:$BC$117</definedName>
    <definedName name="_xlnm.Print_Area" localSheetId="5">出力編集仕様!$A$1:$FJ$36</definedName>
    <definedName name="_xlnm.Print_Area" localSheetId="4">処理詳細!$A$1:$CH$344</definedName>
    <definedName name="_xlnm.Print_Area" localSheetId="7">選択画面!$A$1:$BC$41</definedName>
    <definedName name="_xlnm.Print_Area" localSheetId="0">表紙!$A$1:$I$36</definedName>
    <definedName name="s" hidden="1">{"'Sheet1'!$A$3:$I$11"}</definedName>
    <definedName name="txtDatabaseName">"テキスト 8"</definedName>
    <definedName name="txtTableName">"テキスト 2"</definedName>
    <definedName name="txtUserName">"テキスト 4"</definedName>
    <definedName name="vvvv" hidden="1">{"'Sheet1'!$A$3:$I$11"}</definedName>
    <definedName name="wew" hidden="1">{"'Sheet1'!$A$3:$I$11"}</definedName>
    <definedName name="ああ" hidden="1">{"'Sheet1'!$A$3:$I$11"}</definedName>
    <definedName name="ささ" hidden="1">{"'Sheet1'!$A$3:$I$11"}</definedName>
    <definedName name="仮単価発注" hidden="1">{"'Sheet1'!$A$3:$I$11"}</definedName>
    <definedName name="荷札イレギュラー" hidden="1">{"'Sheet1'!$A$3:$I$11"}</definedName>
    <definedName name="画面遷移new" localSheetId="6" hidden="1">{"'画面仕様'!$C$22:$BY$40","'画面仕様'!$C$28:$BY$39"}</definedName>
    <definedName name="画面遷移new" localSheetId="3" hidden="1">{"'画面仕様'!$C$22:$BY$40","'画面仕様'!$C$28:$BY$39"}</definedName>
    <definedName name="画面遷移new" localSheetId="5" hidden="1">{"'画面仕様'!$C$22:$BY$40","'画面仕様'!$C$28:$BY$39"}</definedName>
    <definedName name="画面遷移new" localSheetId="4" hidden="1">{"'画面仕様'!$C$22:$BY$40","'画面仕様'!$C$28:$BY$39"}</definedName>
    <definedName name="画面遷移new" hidden="1">{"'画面仕様'!$C$22:$BY$40","'画面仕様'!$C$28:$BY$39"}</definedName>
    <definedName name="画面遷移new_1" localSheetId="6" hidden="1">{"'画面仕様'!$C$22:$BY$40","'画面仕様'!$C$28:$BY$39"}</definedName>
    <definedName name="画面遷移new_1" localSheetId="5" hidden="1">{"'画面仕様'!$C$22:$BY$40","'画面仕様'!$C$28:$BY$39"}</definedName>
    <definedName name="画面遷移new_1" localSheetId="4" hidden="1">{"'画面仕様'!$C$22:$BY$40","'画面仕様'!$C$28:$BY$39"}</definedName>
    <definedName name="画面遷移new_1" hidden="1">{"'画面仕様'!$C$22:$BY$40","'画面仕様'!$C$28:$BY$39"}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7" l="1"/>
  <c r="AA3" i="67"/>
  <c r="M3" i="67"/>
  <c r="A3" i="67"/>
  <c r="AZ2" i="67"/>
  <c r="M2" i="67"/>
  <c r="AV1" i="67"/>
  <c r="AN1" i="67"/>
  <c r="AA1" i="67"/>
  <c r="M1" i="67"/>
  <c r="BM58" i="66"/>
  <c r="AV3" i="67"/>
  <c r="AN2" i="67"/>
  <c r="AV2" i="67"/>
  <c r="AB70" i="65" l="1"/>
  <c r="AB69" i="65"/>
  <c r="AB65" i="65"/>
  <c r="AB64" i="65"/>
  <c r="X73" i="61"/>
  <c r="X69" i="61"/>
  <c r="AB74" i="65" l="1"/>
  <c r="AK65" i="61"/>
  <c r="BE64" i="66" l="1"/>
  <c r="AB75" i="65"/>
  <c r="X70" i="61"/>
  <c r="AG61" i="59" l="1"/>
  <c r="AG64" i="59"/>
  <c r="AS64" i="66" l="1"/>
  <c r="BA65" i="61"/>
  <c r="X74" i="61"/>
  <c r="BA58" i="59"/>
  <c r="D64" i="66"/>
  <c r="D65" i="65"/>
  <c r="D64" i="65"/>
  <c r="D81" i="64"/>
  <c r="D80" i="64"/>
  <c r="D65" i="61"/>
  <c r="D58" i="59"/>
  <c r="D57" i="59"/>
  <c r="D59" i="16"/>
  <c r="D58" i="16"/>
  <c r="BA57" i="59"/>
  <c r="BA64" i="66" l="1"/>
  <c r="AB64" i="66"/>
  <c r="BM64" i="66" s="1"/>
  <c r="CB64" i="66"/>
  <c r="BU64" i="66"/>
  <c r="BQ64" i="66"/>
  <c r="BI64" i="66"/>
  <c r="AO64" i="66"/>
  <c r="AW64" i="66" s="1"/>
  <c r="AK64" i="66"/>
  <c r="AF64" i="66"/>
  <c r="X64" i="66"/>
  <c r="T64" i="66"/>
  <c r="J64" i="66"/>
  <c r="F64" i="66"/>
  <c r="BY64" i="66"/>
  <c r="A5" i="66"/>
  <c r="AA3" i="66"/>
  <c r="M3" i="66"/>
  <c r="A3" i="66"/>
  <c r="AZ2" i="66"/>
  <c r="M2" i="66"/>
  <c r="AV1" i="66"/>
  <c r="AN1" i="66"/>
  <c r="AA1" i="66"/>
  <c r="M1" i="66"/>
  <c r="BY65" i="65"/>
  <c r="BY64" i="65"/>
  <c r="BU65" i="65"/>
  <c r="BM65" i="65"/>
  <c r="BI65" i="65"/>
  <c r="BE65" i="65"/>
  <c r="AS65" i="65"/>
  <c r="BQ65" i="65" s="1"/>
  <c r="AO65" i="65"/>
  <c r="AK65" i="65"/>
  <c r="AF65" i="65"/>
  <c r="X65" i="65"/>
  <c r="T65" i="65"/>
  <c r="J65" i="65"/>
  <c r="F65" i="65"/>
  <c r="BU64" i="65"/>
  <c r="BM64" i="65"/>
  <c r="BI64" i="65"/>
  <c r="BE64" i="65"/>
  <c r="AS64" i="65"/>
  <c r="BQ64" i="65" s="1"/>
  <c r="AO64" i="65"/>
  <c r="AK64" i="65"/>
  <c r="AF64" i="65"/>
  <c r="X64" i="65"/>
  <c r="X70" i="65" s="1"/>
  <c r="T64" i="65"/>
  <c r="J64" i="65"/>
  <c r="F64" i="65"/>
  <c r="CC65" i="65"/>
  <c r="CC64" i="65"/>
  <c r="A5" i="65"/>
  <c r="AA3" i="65"/>
  <c r="M3" i="65"/>
  <c r="A3" i="65"/>
  <c r="AZ2" i="65"/>
  <c r="M2" i="65"/>
  <c r="AV1" i="65"/>
  <c r="AN1" i="65"/>
  <c r="AA1" i="65"/>
  <c r="M1" i="65"/>
  <c r="AV2" i="66"/>
  <c r="AN2" i="66"/>
  <c r="AN2" i="65"/>
  <c r="AV3" i="65"/>
  <c r="AV3" i="66"/>
  <c r="AV2" i="65"/>
  <c r="BA64" i="65" l="1"/>
  <c r="BA65" i="65"/>
  <c r="AS71" i="66"/>
  <c r="AB71" i="66"/>
  <c r="X71" i="66"/>
  <c r="AF71" i="66" s="1"/>
  <c r="AK71" i="66" s="1"/>
  <c r="X67" i="66"/>
  <c r="AS67" i="66"/>
  <c r="AB67" i="66"/>
  <c r="AS74" i="65"/>
  <c r="AW74" i="65"/>
  <c r="X74" i="65"/>
  <c r="AF74" i="65" s="1"/>
  <c r="AK74" i="65" s="1"/>
  <c r="BA74" i="65"/>
  <c r="BA69" i="65"/>
  <c r="AW69" i="65"/>
  <c r="AS69" i="65"/>
  <c r="X69" i="65"/>
  <c r="AF69" i="65" s="1"/>
  <c r="AK69" i="65" s="1"/>
  <c r="AS68" i="66"/>
  <c r="AB68" i="66"/>
  <c r="X68" i="66"/>
  <c r="AS72" i="66"/>
  <c r="AB72" i="66"/>
  <c r="X72" i="66"/>
  <c r="AS75" i="65"/>
  <c r="AF70" i="65"/>
  <c r="AK70" i="65" s="1"/>
  <c r="BA70" i="65"/>
  <c r="AW75" i="65"/>
  <c r="BA75" i="65"/>
  <c r="AW70" i="65"/>
  <c r="AS70" i="65"/>
  <c r="X75" i="65"/>
  <c r="AW65" i="65"/>
  <c r="AW64" i="65"/>
  <c r="AO67" i="66" l="1"/>
  <c r="AO71" i="66"/>
  <c r="AF67" i="66"/>
  <c r="AK67" i="66" s="1"/>
  <c r="AO74" i="65"/>
  <c r="BE69" i="65"/>
  <c r="BE74" i="65"/>
  <c r="AO69" i="65"/>
  <c r="AF72" i="66"/>
  <c r="AK72" i="66" s="1"/>
  <c r="AF68" i="66"/>
  <c r="AK68" i="66" s="1"/>
  <c r="AO68" i="66"/>
  <c r="AO70" i="65"/>
  <c r="BE70" i="65"/>
  <c r="BE75" i="65"/>
  <c r="AO72" i="66"/>
  <c r="AO75" i="65"/>
  <c r="AF75" i="65"/>
  <c r="AK75" i="65" s="1"/>
  <c r="BI81" i="64" l="1"/>
  <c r="BY81" i="64"/>
  <c r="BY80" i="64"/>
  <c r="BU81" i="64"/>
  <c r="BU80" i="64"/>
  <c r="BM81" i="64"/>
  <c r="BM80" i="64"/>
  <c r="BI80" i="64"/>
  <c r="BE81" i="64"/>
  <c r="BE80" i="64"/>
  <c r="AS81" i="64"/>
  <c r="BQ81" i="64" s="1"/>
  <c r="AS80" i="64"/>
  <c r="BQ80" i="64" s="1"/>
  <c r="AO81" i="64"/>
  <c r="AO80" i="64"/>
  <c r="AF81" i="64"/>
  <c r="AF80" i="64"/>
  <c r="AB81" i="64"/>
  <c r="AB80" i="64"/>
  <c r="AK81" i="64"/>
  <c r="AK80" i="64"/>
  <c r="T81" i="64"/>
  <c r="T80" i="64"/>
  <c r="BG57" i="64"/>
  <c r="BG56" i="64"/>
  <c r="AW80" i="64" l="1"/>
  <c r="BA80" i="64" s="1"/>
  <c r="AW81" i="64"/>
  <c r="BA81" i="64" s="1"/>
  <c r="CF81" i="64"/>
  <c r="CC81" i="64"/>
  <c r="X81" i="64"/>
  <c r="J81" i="64"/>
  <c r="F81" i="64"/>
  <c r="CF80" i="64"/>
  <c r="CC80" i="64"/>
  <c r="X80" i="64"/>
  <c r="J80" i="64"/>
  <c r="F80" i="64"/>
  <c r="A5" i="64"/>
  <c r="AA3" i="64"/>
  <c r="M3" i="64"/>
  <c r="A3" i="64"/>
  <c r="AZ2" i="64"/>
  <c r="M2" i="64"/>
  <c r="AV1" i="64"/>
  <c r="AN1" i="64"/>
  <c r="AA1" i="64"/>
  <c r="M1" i="64"/>
  <c r="A5" i="63"/>
  <c r="AA3" i="63"/>
  <c r="M3" i="63"/>
  <c r="A3" i="63"/>
  <c r="AZ2" i="63"/>
  <c r="M2" i="63"/>
  <c r="AV1" i="63"/>
  <c r="AN1" i="63"/>
  <c r="AA1" i="63"/>
  <c r="M1" i="63"/>
  <c r="BE65" i="61"/>
  <c r="AO65" i="61"/>
  <c r="AG65" i="61"/>
  <c r="AB65" i="61"/>
  <c r="X65" i="61"/>
  <c r="J58" i="59"/>
  <c r="F58" i="59"/>
  <c r="J57" i="59"/>
  <c r="F57" i="59"/>
  <c r="J59" i="16"/>
  <c r="F59" i="16"/>
  <c r="J58" i="16"/>
  <c r="F58" i="16"/>
  <c r="J65" i="61"/>
  <c r="F65" i="61"/>
  <c r="AW65" i="61"/>
  <c r="T65" i="61"/>
  <c r="A5" i="61"/>
  <c r="AA3" i="61"/>
  <c r="M3" i="61"/>
  <c r="A3" i="61"/>
  <c r="AZ2" i="61"/>
  <c r="M2" i="61"/>
  <c r="AV1" i="61"/>
  <c r="AN1" i="61"/>
  <c r="AA1" i="61"/>
  <c r="M1" i="61"/>
  <c r="X58" i="59"/>
  <c r="X57" i="59"/>
  <c r="BA59" i="16"/>
  <c r="BA58" i="16"/>
  <c r="AO58" i="59"/>
  <c r="AO57" i="59"/>
  <c r="BH58" i="59"/>
  <c r="BE58" i="59"/>
  <c r="AK58" i="59"/>
  <c r="AG58" i="59"/>
  <c r="AB58" i="59"/>
  <c r="T58" i="59"/>
  <c r="BH57" i="59"/>
  <c r="BE57" i="59"/>
  <c r="AK57" i="59"/>
  <c r="AG57" i="59"/>
  <c r="AB57" i="59"/>
  <c r="T57" i="59"/>
  <c r="A5" i="59"/>
  <c r="AA3" i="59"/>
  <c r="M3" i="59"/>
  <c r="A3" i="59"/>
  <c r="AZ2" i="59"/>
  <c r="M2" i="59"/>
  <c r="AV1" i="59"/>
  <c r="AN1" i="59"/>
  <c r="AA1" i="59"/>
  <c r="M1" i="59"/>
  <c r="AV3" i="59"/>
  <c r="AV2" i="64"/>
  <c r="AN2" i="61"/>
  <c r="AN2" i="64"/>
  <c r="AN2" i="59"/>
  <c r="AV2" i="63"/>
  <c r="AV3" i="64"/>
  <c r="AV2" i="61"/>
  <c r="AV2" i="59"/>
  <c r="AN2" i="63"/>
  <c r="AV3" i="61"/>
  <c r="AV3" i="63"/>
  <c r="AS73" i="61" l="1"/>
  <c r="T73" i="61"/>
  <c r="AG73" i="61" s="1"/>
  <c r="AK73" i="61" s="1"/>
  <c r="AS69" i="61"/>
  <c r="T69" i="61"/>
  <c r="AG69" i="61" s="1"/>
  <c r="AK69" i="61" s="1"/>
  <c r="X90" i="64"/>
  <c r="BA90" i="64"/>
  <c r="AW90" i="64"/>
  <c r="AB90" i="64"/>
  <c r="AS90" i="64"/>
  <c r="X85" i="64"/>
  <c r="BA85" i="64"/>
  <c r="AW85" i="64"/>
  <c r="AS85" i="64"/>
  <c r="AB85" i="64"/>
  <c r="X91" i="64"/>
  <c r="AB86" i="64"/>
  <c r="AB91" i="64"/>
  <c r="AW86" i="64"/>
  <c r="AW91" i="64"/>
  <c r="BA86" i="64"/>
  <c r="AS86" i="64"/>
  <c r="BA91" i="64"/>
  <c r="AS91" i="64"/>
  <c r="X86" i="64"/>
  <c r="T70" i="61"/>
  <c r="AG70" i="61" s="1"/>
  <c r="AK70" i="61" s="1"/>
  <c r="AS70" i="61"/>
  <c r="AS74" i="61"/>
  <c r="T74" i="61"/>
  <c r="AG74" i="61" s="1"/>
  <c r="AK74" i="61" s="1"/>
  <c r="AB61" i="59"/>
  <c r="AK61" i="59" s="1"/>
  <c r="AO61" i="59" s="1"/>
  <c r="BA61" i="59"/>
  <c r="AW61" i="59"/>
  <c r="AW64" i="59"/>
  <c r="AS65" i="61"/>
  <c r="AS58" i="59"/>
  <c r="AS57" i="59"/>
  <c r="BA64" i="59"/>
  <c r="AB64" i="59"/>
  <c r="AK64" i="59" s="1"/>
  <c r="AO64" i="59" s="1"/>
  <c r="AO90" i="64" l="1"/>
  <c r="AO69" i="61"/>
  <c r="AO73" i="61"/>
  <c r="AF90" i="64"/>
  <c r="AK90" i="64" s="1"/>
  <c r="BE85" i="64"/>
  <c r="BE90" i="64"/>
  <c r="AO85" i="64"/>
  <c r="AF86" i="64"/>
  <c r="AK86" i="64" s="1"/>
  <c r="AF85" i="64"/>
  <c r="AK85" i="64" s="1"/>
  <c r="AO91" i="64"/>
  <c r="AO86" i="64"/>
  <c r="BE86" i="64"/>
  <c r="BE91" i="64"/>
  <c r="AF91" i="64"/>
  <c r="AK91" i="64" s="1"/>
  <c r="AO70" i="61"/>
  <c r="AS61" i="59"/>
  <c r="AO74" i="61"/>
  <c r="AS64" i="59"/>
  <c r="X59" i="16" l="1"/>
  <c r="X58" i="16"/>
  <c r="BE59" i="16"/>
  <c r="BE58" i="16"/>
  <c r="BH59" i="16"/>
  <c r="BH58" i="16"/>
  <c r="AK59" i="16"/>
  <c r="AK58" i="16"/>
  <c r="AG59" i="16"/>
  <c r="AG58" i="16"/>
  <c r="T59" i="16"/>
  <c r="T58" i="16"/>
  <c r="AB59" i="16"/>
  <c r="AB58" i="16"/>
  <c r="AB62" i="16" l="1"/>
  <c r="AK62" i="16" s="1"/>
  <c r="AO62" i="16" s="1"/>
  <c r="AW62" i="16"/>
  <c r="BA62" i="16"/>
  <c r="AG62" i="16"/>
  <c r="AW65" i="16"/>
  <c r="AG65" i="16"/>
  <c r="AO58" i="16"/>
  <c r="AO59" i="16"/>
  <c r="BA65" i="16"/>
  <c r="AB65" i="16"/>
  <c r="AK65" i="16" s="1"/>
  <c r="AO65" i="16" s="1"/>
  <c r="AS58" i="16"/>
  <c r="AS59" i="16"/>
  <c r="AS62" i="16" l="1"/>
  <c r="AS65" i="16"/>
  <c r="AA3" i="16" l="1"/>
  <c r="AA1" i="16" l="1"/>
  <c r="AN1" i="16" l="1"/>
  <c r="AV1" i="16"/>
  <c r="AT1" i="3"/>
  <c r="AN2" i="16"/>
  <c r="AV2" i="16"/>
  <c r="AV3" i="16"/>
  <c r="A5" i="16" l="1"/>
  <c r="AT3" i="3"/>
  <c r="B22" i="2" l="1"/>
  <c r="M3" i="16"/>
  <c r="A3" i="16"/>
  <c r="AZ2" i="16"/>
  <c r="M2" i="16"/>
  <c r="M1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Q3" authorId="0" shapeId="0" xr:uid="{35A995DF-5821-4213-A260-9350A0F53582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B3" authorId="0" shapeId="0" xr:uid="{67858B71-2687-4CE5-8C4C-92FA0CD9720D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AI3" authorId="0" shapeId="0" xr:uid="{17CA0F34-1279-4A93-9F48-C9F28889DCF1}">
      <text>
        <r>
          <rPr>
            <sz val="9"/>
            <color indexed="81"/>
            <rFont val="ＭＳ Ｐゴシック"/>
            <family val="3"/>
            <charset val="128"/>
          </rPr>
          <t>Oに関しては必ず記載すること。
空の場合でも「-」を記入する</t>
        </r>
      </text>
    </comment>
    <comment ref="C4" authorId="0" shapeId="0" xr:uid="{FFBA843D-F9CA-4F42-A5BF-5EDD25E879EA}">
      <text>
        <r>
          <rPr>
            <sz val="9"/>
            <color indexed="81"/>
            <rFont val="ＭＳ Ｐゴシック"/>
            <family val="3"/>
            <charset val="128"/>
          </rPr>
          <t>画面上をエリア分割した単位で記載する。
項番の一桁目として定義する。</t>
        </r>
      </text>
    </comment>
    <comment ref="J4" authorId="0" shapeId="0" xr:uid="{570D1AB7-B68C-404F-BC7F-D7FEBEBEC26C}">
      <text>
        <r>
          <rPr>
            <sz val="9"/>
            <color indexed="81"/>
            <rFont val="ＭＳ Ｐゴシック"/>
            <family val="3"/>
            <charset val="128"/>
          </rPr>
          <t>項目に対する名称
Labelの項目名が表示名称とする
Hiddenパラメタは追記しない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981B6EB6-FAED-49D9-9A74-10427F90C90C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7" authorId="0" shapeId="0" xr:uid="{6F0DAA68-15AD-4A1C-849B-511E6C1B2A1F}">
      <text>
        <r>
          <rPr>
            <sz val="9"/>
            <color indexed="81"/>
            <rFont val="MS P ゴシック"/>
            <family val="3"/>
            <charset val="128"/>
          </rPr>
          <t>1-コスト/申請価格</t>
        </r>
      </text>
    </comment>
    <comment ref="AV57" authorId="0" shapeId="0" xr:uid="{0E29794C-0A0E-4D21-83B3-FC81F1A9F1FD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7" authorId="1" shapeId="0" xr:uid="{FBDE0BD4-2CA9-4838-A0B4-DE3E7B909D56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1" authorId="0" shapeId="0" xr:uid="{F8345E2B-CE16-4FE6-A455-0177CE895C06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1" authorId="0" shapeId="0" xr:uid="{F7AD58DA-EBBB-4B07-855C-E4152557AED9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1" authorId="0" shapeId="0" xr:uid="{64D9F5F1-1F9F-42CF-B6E2-8D62A12C72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1" authorId="0" shapeId="0" xr:uid="{AF811EB1-BCFF-4015-A298-4E73A1933D71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1" authorId="0" shapeId="0" xr:uid="{A952BB9F-4763-4924-90D7-9EFC1F9907CD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1" authorId="0" shapeId="0" xr:uid="{E4C3CF31-8EF2-4843-9207-52745433258D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4" authorId="0" shapeId="0" xr:uid="{A30503E4-8054-4F2D-A811-2A7F0B6CC134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4" authorId="0" shapeId="0" xr:uid="{1B1823D8-01B2-4575-9602-1DFD11D880BC}">
      <text>
        <r>
          <rPr>
            <sz val="9"/>
            <color indexed="81"/>
            <rFont val="MS P ゴシック"/>
            <family val="3"/>
            <charset val="128"/>
          </rPr>
          <t>売上-(月間数量xコスト)</t>
        </r>
      </text>
    </comment>
    <comment ref="AR64" authorId="0" shapeId="0" xr:uid="{64EC24C2-3977-4246-907F-75B8F7BDBD52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V64" authorId="0" shapeId="0" xr:uid="{2DAE61A2-85F4-47D9-8CD3-436C7FF25D32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4" authorId="0" shapeId="0" xr:uid="{1A67A92A-9EDF-4B81-9382-1AC65A988845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4" authorId="0" shapeId="0" xr:uid="{48A77E68-AF77-4DF1-AFEF-ABEF2569983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798F932A-EBB5-4E0C-9590-2232F086E5B0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AR56" authorId="0" shapeId="0" xr:uid="{180A4CBC-DEB0-4BF9-929D-897531D7CC43}">
      <text>
        <r>
          <rPr>
            <sz val="9"/>
            <color indexed="81"/>
            <rFont val="MS P ゴシック"/>
            <family val="3"/>
            <charset val="128"/>
          </rPr>
          <t>申請価格/総原価 -1</t>
        </r>
      </text>
    </comment>
    <comment ref="AV56" authorId="0" shapeId="0" xr:uid="{7BC05733-7AAD-4013-8914-608E0EC0912E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56" authorId="1" shapeId="0" xr:uid="{7C110BAA-A2C8-4B6B-9637-8A748DF7D71D}">
      <text>
        <r>
          <rPr>
            <sz val="9"/>
            <color indexed="81"/>
            <rFont val="MS P ゴシック"/>
            <family val="3"/>
            <charset val="128"/>
          </rPr>
          <t>1-申請価格/代理店売値</t>
        </r>
      </text>
    </comment>
    <comment ref="AF60" authorId="0" shapeId="0" xr:uid="{CB749365-E1C2-4E9B-AA02-A7456F3C9FDC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0" authorId="0" shapeId="0" xr:uid="{B556DCF4-0816-40FF-848B-174B50C68B6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0" authorId="0" shapeId="0" xr:uid="{0F33DFA1-B260-4B9D-8B12-28D4D0EA10DE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0" authorId="0" shapeId="0" xr:uid="{BF317FA0-0908-4F79-A602-3CA4CFF0713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0" authorId="0" shapeId="0" xr:uid="{4A635085-E489-4BC4-9199-9302E60A6CEA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0" authorId="0" shapeId="0" xr:uid="{6F1D44E1-048F-403F-8C8F-92BE2DED1EFF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  <comment ref="AF63" authorId="0" shapeId="0" xr:uid="{8407D761-7158-42D4-8DD3-2667CE960A18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N63" authorId="0" shapeId="0" xr:uid="{AB912CE9-FA4F-4E11-8A39-67905E8BC2A4}">
      <text>
        <r>
          <rPr>
            <sz val="9"/>
            <color indexed="81"/>
            <rFont val="MS P ゴシック"/>
            <family val="3"/>
            <charset val="128"/>
          </rPr>
          <t>売上-(月間数量x総原価)</t>
        </r>
      </text>
    </comment>
    <comment ref="AR63" authorId="0" shapeId="0" xr:uid="{5067FC13-6634-4C19-BF35-2AC16DB66B32}">
      <text>
        <r>
          <rPr>
            <sz val="9"/>
            <color indexed="81"/>
            <rFont val="MS P ゴシック"/>
            <family val="3"/>
            <charset val="128"/>
          </rPr>
          <t>総原価利益額/(売上-総原価利益額)</t>
        </r>
      </text>
    </comment>
    <comment ref="AV63" authorId="0" shapeId="0" xr:uid="{34066EC0-902B-4C0A-98F8-04540C955623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Z63" authorId="0" shapeId="0" xr:uid="{069D1B63-3B11-4E93-8C28-692B58AAF3D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BD63" authorId="0" shapeId="0" xr:uid="{178A0E1A-B46C-450E-A1AD-A81A25454E71}">
      <text>
        <r>
          <rPr>
            <sz val="9"/>
            <color indexed="81"/>
            <rFont val="MS P ゴシック"/>
            <family val="3"/>
            <charset val="128"/>
          </rPr>
          <t>月間数量x従来価格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273EC183-5BC7-4257-BBE6-C7E77E46A788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0" authorId="0" shapeId="0" xr:uid="{185C3EEB-5C23-469C-B3B5-5103009954C0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A64" authorId="0" shapeId="0" xr:uid="{068DEC90-9BC3-459F-92B6-8D9A081FAF5A}">
      <text>
        <r>
          <rPr>
            <sz val="9"/>
            <color indexed="81"/>
            <rFont val="MS P ゴシック"/>
            <family val="3"/>
            <charset val="128"/>
          </rPr>
          <t>申請通貨での換算値</t>
        </r>
      </text>
    </comment>
    <comment ref="AR64" authorId="0" shapeId="0" xr:uid="{29E5ADA4-03B5-422E-875E-9B91A0ED15B0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AV64" authorId="0" shapeId="0" xr:uid="{CF91C253-A964-4544-AF9A-D89F2F1B085A}">
      <text>
        <r>
          <rPr>
            <sz val="9"/>
            <color indexed="81"/>
            <rFont val="MS P ゴシック"/>
            <family val="3"/>
            <charset val="128"/>
          </rPr>
          <t>(申請価格-従来価格)/従来価格</t>
        </r>
      </text>
    </comment>
    <comment ref="BD64" authorId="1" shapeId="0" xr:uid="{69E753B5-CA17-46A5-8BDF-0A678BCED516}">
      <text>
        <r>
          <rPr>
            <sz val="9"/>
            <color indexed="81"/>
            <rFont val="MS P ゴシック"/>
            <family val="3"/>
            <charset val="128"/>
          </rPr>
          <t xml:space="preserve">1-申請価格/代理店売価
</t>
        </r>
      </text>
    </comment>
    <comment ref="W68" authorId="0" shapeId="0" xr:uid="{FD790258-FA59-45E5-98B1-AC72459DF732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68" authorId="0" shapeId="0" xr:uid="{9CDB41AF-6353-462B-B71A-01078DE712D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8" authorId="0" shapeId="0" xr:uid="{C54452BF-E9A6-4D19-A1D9-272ED4825A14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68" authorId="0" shapeId="0" xr:uid="{F8413561-B397-4210-8B2E-D6A9307B8F00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8" authorId="0" shapeId="0" xr:uid="{B444D291-3A20-489F-ACC4-9FF9E209DEB5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68" authorId="0" shapeId="0" xr:uid="{2E6FFADE-EB07-48A1-8A75-6D5BA2570976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  <comment ref="W72" authorId="0" shapeId="0" xr:uid="{16789354-AA5A-4BF9-9540-6E3513A935BA}">
      <text>
        <r>
          <rPr>
            <sz val="9"/>
            <color indexed="81"/>
            <rFont val="MS P ゴシック"/>
            <family val="3"/>
            <charset val="128"/>
          </rPr>
          <t>月間数量x申請価格</t>
        </r>
      </text>
    </comment>
    <comment ref="AA72" authorId="0" shapeId="0" xr:uid="{A82A4898-9271-4EF4-AECC-B1C748F34214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2" authorId="0" shapeId="0" xr:uid="{DA516412-D3B3-44D7-81E4-ABBCC1162F99}">
      <text>
        <r>
          <rPr>
            <sz val="9"/>
            <color indexed="81"/>
            <rFont val="MS P ゴシック"/>
            <family val="3"/>
            <charset val="128"/>
          </rPr>
          <t>売上-総原価合計</t>
        </r>
      </text>
    </comment>
    <comment ref="AN72" authorId="0" shapeId="0" xr:uid="{1480013C-04F6-4E6B-9390-B626A3CA89F4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2" authorId="0" shapeId="0" xr:uid="{500A8BB5-F2F7-47CB-AD2F-E9C61C9B440B}">
      <text>
        <r>
          <rPr>
            <sz val="9"/>
            <color indexed="81"/>
            <rFont val="MS P ゴシック"/>
            <family val="3"/>
            <charset val="128"/>
          </rPr>
          <t>値引額/(売上-値引額)</t>
        </r>
      </text>
    </comment>
    <comment ref="AV72" authorId="0" shapeId="0" xr:uid="{764C76D9-D557-438C-9C4E-75D508BFF82B}">
      <text>
        <r>
          <rPr>
            <sz val="9"/>
            <color indexed="81"/>
            <rFont val="MS P ゴシック"/>
            <family val="3"/>
            <charset val="128"/>
          </rPr>
          <t>月間数量*(申請価格-従来価格)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7A8BD53D-BE0C-49F1-A85A-3DB676A1C6FE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6" authorId="0" shapeId="0" xr:uid="{A5BF93D4-9A12-42CC-B55A-870D730103B9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6" authorId="0" shapeId="0" xr:uid="{D7085670-18AB-4492-A5E4-F6FEEF514111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G64" authorId="0" shapeId="0" xr:uid="{09747633-F6FB-47D4-B3E3-D548D8993440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G70" authorId="0" shapeId="0" xr:uid="{60A63F56-81EC-4794-AB05-CB8612FB2FA7}">
      <text>
        <r>
          <rPr>
            <sz val="9"/>
            <color indexed="81"/>
            <rFont val="MS P ゴシック"/>
            <family val="3"/>
            <charset val="128"/>
          </rPr>
          <t>有償
無償</t>
        </r>
      </text>
    </comment>
    <comment ref="AE79" authorId="0" shapeId="0" xr:uid="{783290D4-BFFA-4EE4-B077-1822CE119D00}">
      <text>
        <r>
          <rPr>
            <sz val="9"/>
            <color indexed="81"/>
            <rFont val="MS P ゴシック"/>
            <family val="3"/>
            <charset val="128"/>
          </rPr>
          <t>PPM直接コストの申請通貨換算値</t>
        </r>
      </text>
    </comment>
    <comment ref="AV79" authorId="0" shapeId="0" xr:uid="{E685A5C8-59A2-4E9B-A376-A31D07B20D98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79" authorId="0" shapeId="0" xr:uid="{B9E63FDF-1907-4951-9193-01A63960177D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79" authorId="0" shapeId="0" xr:uid="{C72D1E4A-659F-4830-926E-F70596C819DC}">
      <text>
        <r>
          <rPr>
            <sz val="9"/>
            <color indexed="81"/>
            <rFont val="MS P ゴシック"/>
            <family val="3"/>
            <charset val="128"/>
          </rPr>
          <t>1-製造原価/為替レート/申請価格</t>
        </r>
      </text>
    </comment>
    <comment ref="BH79" authorId="0" shapeId="0" xr:uid="{C981884F-ABB5-4027-89AA-B701BAF6461D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79" authorId="0" shapeId="0" xr:uid="{089B973E-AF9E-4066-B9C5-DB84A9D8DFF4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79" authorId="0" shapeId="0" xr:uid="{E12C1DC8-155E-464D-A16F-26D5D5C17D10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79" authorId="0" shapeId="0" xr:uid="{3A3DE05C-8D8B-4D97-9294-9156F44A8B1F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83" authorId="0" shapeId="0" xr:uid="{7BA32FB1-9F62-40D8-876F-BE0214021F9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3" authorId="0" shapeId="0" xr:uid="{E363DA61-4DB2-453F-A39C-2A37B73AFD95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3" authorId="0" shapeId="0" xr:uid="{A005250B-86A9-4AC0-A0B2-A02672E9768F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3" authorId="0" shapeId="0" xr:uid="{0DAA0ED9-D4A4-42C7-B123-9E20368ADEE3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3" authorId="0" shapeId="0" xr:uid="{C1118227-8A70-4F71-B4FB-30CC601F305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3" authorId="0" shapeId="0" xr:uid="{0DD8322E-6864-495B-BF85-282C83D031AE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83" authorId="0" shapeId="0" xr:uid="{FE55E17E-48B1-406E-B64F-132A831932FB}">
      <text>
        <r>
          <rPr>
            <sz val="9"/>
            <color indexed="81"/>
            <rFont val="MS P ゴシック"/>
            <family val="3"/>
            <charset val="128"/>
          </rPr>
          <t>数量x従来価格</t>
        </r>
      </text>
    </comment>
    <comment ref="BD83" authorId="0" shapeId="0" xr:uid="{28E18CEB-1734-4F8F-AAF7-8E6830259DE4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3" authorId="0" shapeId="0" xr:uid="{A01ED628-1DD1-4479-B9E7-BBDB62F0A5E6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AA88" authorId="0" shapeId="0" xr:uid="{3DDDE427-588B-406F-8A19-B9B579792851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88" authorId="0" shapeId="0" xr:uid="{362E1E65-6856-4B12-8B2B-A173CB9AB68E}">
      <text>
        <r>
          <rPr>
            <sz val="9"/>
            <color indexed="81"/>
            <rFont val="MS P ゴシック"/>
            <family val="3"/>
            <charset val="128"/>
          </rPr>
          <t>数量*コスト</t>
        </r>
      </text>
    </comment>
    <comment ref="AJ88" authorId="0" shapeId="0" xr:uid="{9EAAAB28-8225-4A8F-BE41-96C837C83207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88" authorId="0" shapeId="0" xr:uid="{22462884-0E1E-4AB3-AA05-5FDACC146B77}">
      <text>
        <r>
          <rPr>
            <sz val="9"/>
            <color indexed="81"/>
            <rFont val="MS P ゴシック"/>
            <family val="3"/>
            <charset val="128"/>
          </rPr>
          <t>貢献額/売上</t>
        </r>
      </text>
    </comment>
    <comment ref="AR88" authorId="0" shapeId="0" xr:uid="{7092DA5B-8BF9-4E95-AFCD-5E32D355794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88" authorId="0" shapeId="0" xr:uid="{69A9A745-BA11-4C92-9B0A-D58DA283FCFD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BD88" authorId="0" shapeId="0" xr:uid="{93AA3A95-7DD4-432C-A3EC-FCD959E31A8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88" authorId="0" shapeId="0" xr:uid="{0A9FB5DE-024E-4846-8581-FC3CFCA1EFEC}">
      <text>
        <r>
          <rPr>
            <sz val="9"/>
            <color indexed="81"/>
            <rFont val="MS P ゴシック"/>
            <family val="3"/>
            <charset val="128"/>
          </rPr>
          <t>1-(直接コスト合計+数量*(FOB価格x物流コスト率+CIF価*口銭率))/売上(連結)</t>
        </r>
      </text>
    </comment>
    <comment ref="P106" authorId="0" shapeId="0" xr:uid="{74D25D7A-D279-42AF-BB26-66E6477342F9}">
      <text>
        <r>
          <rPr>
            <sz val="9"/>
            <color indexed="81"/>
            <rFont val="MS P ゴシック"/>
            <family val="3"/>
            <charset val="128"/>
          </rPr>
          <t>有
無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  <author xml:space="preserve"> </author>
  </authors>
  <commentList>
    <comment ref="P19" authorId="0" shapeId="0" xr:uid="{6623BF2F-8CA1-4F96-AD8E-8787264430D2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2BDF4F72-BFFF-4F68-9DC7-9CA8FC1DC83C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E63" authorId="0" shapeId="0" xr:uid="{A938626A-87FA-41AD-9607-E4E5F51B7B03}">
      <text>
        <r>
          <rPr>
            <sz val="9"/>
            <color indexed="81"/>
            <rFont val="MS P ゴシック"/>
            <family val="3"/>
            <charset val="128"/>
          </rPr>
          <t>製造原価/為替レート</t>
        </r>
      </text>
    </comment>
    <comment ref="AV63" authorId="0" shapeId="0" xr:uid="{ED49BA27-2E4A-4FA5-99E4-AD5C275240E0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65D3F7F-8FD1-4239-BD6C-5DA15D787712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8EA5B32F-3CC9-4707-AE2D-67F331D44ACA}">
      <text>
        <r>
          <rPr>
            <sz val="9"/>
            <color indexed="81"/>
            <rFont val="MS P ゴシック"/>
            <family val="3"/>
            <charset val="128"/>
          </rPr>
          <t>(FOB価格-CIF価格*口銭率-総原価/為替レート)/(総原価/為替レート)</t>
        </r>
      </text>
    </comment>
    <comment ref="BH63" authorId="1" shapeId="0" xr:uid="{058AD372-E79A-416D-8D68-6A16B16B6D1C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P63" authorId="1" shapeId="0" xr:uid="{F2B1A7CF-959F-414E-A78E-EC455CC96B37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T63" authorId="0" shapeId="0" xr:uid="{C08CABE3-F817-4F58-8AAF-D6C8EB6ABC4E}">
      <text>
        <r>
          <rPr>
            <sz val="9"/>
            <color indexed="81"/>
            <rFont val="MS P ゴシック"/>
            <family val="3"/>
            <charset val="128"/>
          </rPr>
          <t>1-(製造原価/為替レート+FOB価格*物流コスト率+CIF価格*口銭率)/販社売価</t>
        </r>
      </text>
    </comment>
    <comment ref="CB63" authorId="0" shapeId="0" xr:uid="{2E9EB4F6-4084-4F8B-BF81-2F811CF011D7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7" authorId="0" shapeId="0" xr:uid="{0008D8C9-F466-433C-8781-EB64D0900F1C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67" authorId="0" shapeId="0" xr:uid="{58183CC7-466B-4D5F-AD36-EEB8F2551732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67" authorId="0" shapeId="0" xr:uid="{705C7AF5-0972-4D88-893D-3A8280B4ECA3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67" authorId="0" shapeId="0" xr:uid="{E40FBDBE-7055-4E5E-B2AC-85065231E226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67" authorId="0" shapeId="0" xr:uid="{2C699ADD-B18E-450C-9936-91FA39EE31B4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67" authorId="0" shapeId="0" xr:uid="{7A6D7B8E-E81F-4D0B-8478-8A301A25D472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67" authorId="1" shapeId="0" xr:uid="{7F6DA814-E095-43FC-B1E7-690AD8DC9B0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67" authorId="0" shapeId="0" xr:uid="{6F3AAC99-9C2A-44C7-95ED-5AE8DD2C9329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67" authorId="0" shapeId="0" xr:uid="{B7F6938F-EF68-4F76-8B03-E74A6BB59B1F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  <comment ref="AA72" authorId="0" shapeId="0" xr:uid="{1C5DD139-ED23-4833-A397-2CE31A302AA0}">
      <text>
        <r>
          <rPr>
            <sz val="9"/>
            <color indexed="81"/>
            <rFont val="MS P ゴシック"/>
            <family val="3"/>
            <charset val="128"/>
          </rPr>
          <t>数量xFOB価格</t>
        </r>
      </text>
    </comment>
    <comment ref="AE72" authorId="0" shapeId="0" xr:uid="{8FBD9153-D455-48A5-8160-9FD612285F39}">
      <text>
        <r>
          <rPr>
            <sz val="9"/>
            <color indexed="81"/>
            <rFont val="MS P ゴシック"/>
            <family val="3"/>
            <charset val="128"/>
          </rPr>
          <t>数量*総原価/為替レート</t>
        </r>
      </text>
    </comment>
    <comment ref="AJ72" authorId="0" shapeId="0" xr:uid="{A04A2564-914A-41DE-AEA1-C66CE93147CB}">
      <text>
        <r>
          <rPr>
            <sz val="9"/>
            <color indexed="81"/>
            <rFont val="MS P ゴシック"/>
            <family val="3"/>
            <charset val="128"/>
          </rPr>
          <t>売上-コスト合計</t>
        </r>
      </text>
    </comment>
    <comment ref="AN72" authorId="0" shapeId="0" xr:uid="{DDF17ECF-4EC5-43B3-83CA-C891D25175ED}">
      <text>
        <r>
          <rPr>
            <sz val="9"/>
            <color indexed="81"/>
            <rFont val="MS P ゴシック"/>
            <family val="3"/>
            <charset val="128"/>
          </rPr>
          <t>総原価利益率/総原価合計</t>
        </r>
      </text>
    </comment>
    <comment ref="AR72" authorId="0" shapeId="0" xr:uid="{1A674939-80ED-49BC-BB54-370D0A50DCB5}">
      <text>
        <r>
          <rPr>
            <sz val="9"/>
            <color indexed="81"/>
            <rFont val="MS P ゴシック"/>
            <family val="3"/>
            <charset val="128"/>
          </rPr>
          <t>値引き額(FOB)/(売上-値引額(FOB))</t>
        </r>
      </text>
    </comment>
    <comment ref="AV72" authorId="0" shapeId="0" xr:uid="{E818FAD8-D17D-41F1-AA98-2F46284036D5}">
      <text>
        <r>
          <rPr>
            <sz val="9"/>
            <color indexed="81"/>
            <rFont val="MS P ゴシック"/>
            <family val="3"/>
            <charset val="128"/>
          </rPr>
          <t>数量x(FOB価格-従来FOB価格)</t>
        </r>
      </text>
    </comment>
    <comment ref="AZ72" authorId="1" shapeId="0" xr:uid="{491E7B96-D91E-4F59-AC10-072C8670CFE6}">
      <text>
        <r>
          <rPr>
            <sz val="9"/>
            <color indexed="81"/>
            <rFont val="MS P ゴシック"/>
            <family val="3"/>
            <charset val="128"/>
          </rPr>
          <t>数量*従来FOB価格</t>
        </r>
      </text>
    </comment>
    <comment ref="BD72" authorId="0" shapeId="0" xr:uid="{F9E58F2A-1288-4EC7-9F60-C84689F01A58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BH72" authorId="0" shapeId="0" xr:uid="{A362063F-BA67-4729-8CA6-750EBD90C6CC}">
      <text>
        <r>
          <rPr>
            <sz val="9"/>
            <color indexed="81"/>
            <rFont val="MS P ゴシック"/>
            <family val="3"/>
            <charset val="128"/>
          </rPr>
          <t>1-((製造原価/為替レート*数量)+(FOB価格*物流コスト率+FOB価格/(1-物流コスト率)*口銭率)*月間数量)/売上(連結)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榎本亮二</author>
  </authors>
  <commentList>
    <comment ref="P19" authorId="0" shapeId="0" xr:uid="{B16F0910-2B25-48B0-AC84-D0F450AB68A7}">
      <text>
        <r>
          <rPr>
            <sz val="9"/>
            <color indexed="81"/>
            <rFont val="MS P ゴシック"/>
            <family val="3"/>
            <charset val="128"/>
          </rPr>
          <t>新規
値引き
定期値引き</t>
        </r>
      </text>
    </comment>
    <comment ref="Y51" authorId="0" shapeId="0" xr:uid="{91BDABE1-D4AF-4D5B-B352-20254FB23C28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H51" authorId="0" shapeId="0" xr:uid="{62CDB66E-96A3-4E83-9D95-D4E2C06B9625}">
      <text>
        <r>
          <rPr>
            <sz val="9"/>
            <color indexed="81"/>
            <rFont val="MS P ゴシック"/>
            <family val="3"/>
            <charset val="128"/>
          </rPr>
          <t>JPY,USD,EUR</t>
        </r>
      </text>
    </comment>
    <comment ref="AV63" authorId="0" shapeId="0" xr:uid="{0DBD67A4-FF9E-46EB-B9C8-A2B692E652C6}">
      <text>
        <r>
          <rPr>
            <sz val="9"/>
            <color indexed="81"/>
            <rFont val="MS P ゴシック"/>
            <family val="3"/>
            <charset val="128"/>
          </rPr>
          <t>FOB価格/(1-物流コスト率)</t>
        </r>
      </text>
    </comment>
    <comment ref="AZ63" authorId="0" shapeId="0" xr:uid="{D26709B3-3714-4512-8EA6-BBCB3ABEB186}">
      <text>
        <r>
          <rPr>
            <sz val="9"/>
            <color indexed="81"/>
            <rFont val="MS P ゴシック"/>
            <family val="3"/>
            <charset val="128"/>
          </rPr>
          <t>FOB価格-(CIF価格*口銭率)</t>
        </r>
      </text>
    </comment>
    <comment ref="BD63" authorId="0" shapeId="0" xr:uid="{AA63994B-1D1B-48A9-954E-382465FEBBA7}">
      <text>
        <r>
          <rPr>
            <sz val="9"/>
            <color indexed="81"/>
            <rFont val="MS P ゴシック"/>
            <family val="3"/>
            <charset val="128"/>
          </rPr>
          <t>(FOB価格-従来FOB価格)/従来FOB価格</t>
        </r>
      </text>
    </comment>
    <comment ref="BL63" authorId="0" shapeId="0" xr:uid="{4847ED2C-045B-45EF-A3ED-4524C19E78DD}">
      <text>
        <r>
          <rPr>
            <sz val="9"/>
            <color indexed="81"/>
            <rFont val="MS P ゴシック"/>
            <family val="3"/>
            <charset val="128"/>
          </rPr>
          <t>1-FOB価格/(1-物流コスト率)/販社売価</t>
        </r>
      </text>
    </comment>
    <comment ref="BP63" authorId="0" shapeId="0" xr:uid="{0A221737-153F-4D5F-85C3-9D404C6E198A}">
      <text>
        <r>
          <rPr>
            <sz val="9"/>
            <color indexed="81"/>
            <rFont val="MS P ゴシック"/>
            <family val="3"/>
            <charset val="128"/>
          </rPr>
          <t>1-純原価/販社売価</t>
        </r>
      </text>
    </comment>
    <comment ref="BX63" authorId="0" shapeId="0" xr:uid="{73AFF1EF-3E0E-4720-98C8-71032E00FED5}">
      <text>
        <r>
          <rPr>
            <sz val="9"/>
            <color indexed="81"/>
            <rFont val="MS P ゴシック"/>
            <family val="3"/>
            <charset val="128"/>
          </rPr>
          <t>1-販社売価/代理店売価</t>
        </r>
      </text>
    </comment>
    <comment ref="AA66" authorId="0" shapeId="0" xr:uid="{430E6BB0-4127-4384-BC54-60CA61C14030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66" authorId="0" shapeId="0" xr:uid="{2FF6B129-4FE2-4056-9395-D341715CE753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66" authorId="0" shapeId="0" xr:uid="{124A21D9-B11E-440A-9251-38D6463B5ED4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66" authorId="0" shapeId="0" xr:uid="{39B1E842-0F08-4EE1-90A6-8A5B014B09D6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66" authorId="0" shapeId="0" xr:uid="{74834474-258D-4DD9-8E4D-73D629C279A5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66" authorId="0" shapeId="0" xr:uid="{9A6D075A-CB09-4104-B0B5-77393C6BC79C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  <comment ref="AA70" authorId="0" shapeId="0" xr:uid="{CC6D866E-EB37-46D4-8CC8-94D22DA66F2C}">
      <text>
        <r>
          <rPr>
            <sz val="9"/>
            <color indexed="81"/>
            <rFont val="MS P ゴシック"/>
            <family val="3"/>
            <charset val="128"/>
          </rPr>
          <t>数量x販社売価</t>
        </r>
      </text>
    </comment>
    <comment ref="AE70" authorId="0" shapeId="0" xr:uid="{E3B1403C-EDD2-4F49-B602-4CF89721539C}">
      <text>
        <r>
          <rPr>
            <sz val="9"/>
            <color indexed="81"/>
            <rFont val="MS P ゴシック"/>
            <family val="3"/>
            <charset val="128"/>
          </rPr>
          <t>数量*純原価</t>
        </r>
      </text>
    </comment>
    <comment ref="AJ70" authorId="0" shapeId="0" xr:uid="{B597D182-914B-4079-9012-10863EB9E722}">
      <text>
        <r>
          <rPr>
            <sz val="9"/>
            <color indexed="81"/>
            <rFont val="MS P ゴシック"/>
            <family val="3"/>
            <charset val="128"/>
          </rPr>
          <t>売上-純原価合計</t>
        </r>
      </text>
    </comment>
    <comment ref="AN70" authorId="0" shapeId="0" xr:uid="{8734A2E2-1436-4500-9F85-28ADB0147A2C}">
      <text>
        <r>
          <rPr>
            <sz val="9"/>
            <color indexed="81"/>
            <rFont val="MS P ゴシック"/>
            <family val="3"/>
            <charset val="128"/>
          </rPr>
          <t>連結粗利額/売上</t>
        </r>
      </text>
    </comment>
    <comment ref="AR70" authorId="0" shapeId="0" xr:uid="{DCE142C0-1C1D-4045-9C53-756E41C9714D}">
      <text>
        <r>
          <rPr>
            <sz val="9"/>
            <color indexed="81"/>
            <rFont val="MS P ゴシック"/>
            <family val="3"/>
            <charset val="128"/>
          </rPr>
          <t>値引き額/(売上-値引額)</t>
        </r>
      </text>
    </comment>
    <comment ref="AV70" authorId="0" shapeId="0" xr:uid="{D97FBD94-788C-4E96-8996-E4A87B5B2361}">
      <text>
        <r>
          <rPr>
            <sz val="9"/>
            <color indexed="81"/>
            <rFont val="MS P ゴシック"/>
            <family val="3"/>
            <charset val="128"/>
          </rPr>
          <t>数量x(販社売価-従来FOB価格)</t>
        </r>
      </text>
    </comment>
  </commentList>
</comments>
</file>

<file path=xl/sharedStrings.xml><?xml version="1.0" encoding="utf-8"?>
<sst xmlns="http://schemas.openxmlformats.org/spreadsheetml/2006/main" count="2319" uniqueCount="734">
  <si>
    <t>HRS殿</t>
    <rPh sb="3" eb="4">
      <t>ドノ</t>
    </rPh>
    <phoneticPr fontId="14"/>
  </si>
  <si>
    <t>作成</t>
    <rPh sb="0" eb="2">
      <t>サクセイ</t>
    </rPh>
    <phoneticPr fontId="14"/>
  </si>
  <si>
    <t>照査</t>
    <rPh sb="0" eb="2">
      <t>ショウサ</t>
    </rPh>
    <phoneticPr fontId="14"/>
  </si>
  <si>
    <t>承認</t>
    <rPh sb="0" eb="2">
      <t>ショウニン</t>
    </rPh>
    <phoneticPr fontId="14"/>
  </si>
  <si>
    <t>文書名：</t>
    <rPh sb="0" eb="2">
      <t>ブンショ</t>
    </rPh>
    <rPh sb="2" eb="3">
      <t>メイ</t>
    </rPh>
    <phoneticPr fontId="14"/>
  </si>
  <si>
    <t>顧客名</t>
    <rPh sb="0" eb="2">
      <t>コキャク</t>
    </rPh>
    <rPh sb="2" eb="3">
      <t>メイ</t>
    </rPh>
    <phoneticPr fontId="14"/>
  </si>
  <si>
    <t>ヒロセ電機株式会社</t>
    <rPh sb="3" eb="5">
      <t>デンキ</t>
    </rPh>
    <rPh sb="5" eb="7">
      <t>カブシキ</t>
    </rPh>
    <rPh sb="7" eb="9">
      <t>カイシャ</t>
    </rPh>
    <phoneticPr fontId="14"/>
  </si>
  <si>
    <t>システム</t>
    <phoneticPr fontId="14"/>
  </si>
  <si>
    <t>作成者</t>
    <rPh sb="0" eb="2">
      <t>サクセイ</t>
    </rPh>
    <rPh sb="2" eb="3">
      <t>シャ</t>
    </rPh>
    <phoneticPr fontId="14"/>
  </si>
  <si>
    <t>作成日</t>
    <rPh sb="0" eb="3">
      <t>サクセイビ</t>
    </rPh>
    <phoneticPr fontId="14"/>
  </si>
  <si>
    <t>書類番号</t>
    <rPh sb="0" eb="2">
      <t>ショルイ</t>
    </rPh>
    <rPh sb="2" eb="4">
      <t>バンゴウ</t>
    </rPh>
    <phoneticPr fontId="14"/>
  </si>
  <si>
    <t>プロジェクト</t>
    <phoneticPr fontId="14"/>
  </si>
  <si>
    <t>修正者</t>
    <rPh sb="0" eb="2">
      <t>シュウセイ</t>
    </rPh>
    <rPh sb="2" eb="3">
      <t>シャ</t>
    </rPh>
    <phoneticPr fontId="14"/>
  </si>
  <si>
    <t>修正日</t>
    <rPh sb="0" eb="2">
      <t>シュウセイ</t>
    </rPh>
    <rPh sb="2" eb="3">
      <t>ビ</t>
    </rPh>
    <phoneticPr fontId="14"/>
  </si>
  <si>
    <t>内容</t>
    <rPh sb="0" eb="2">
      <t>ナイヨウ</t>
    </rPh>
    <phoneticPr fontId="14"/>
  </si>
  <si>
    <t>Rev</t>
    <phoneticPr fontId="14"/>
  </si>
  <si>
    <t>intra-mart Accel Platform</t>
    <phoneticPr fontId="14"/>
  </si>
  <si>
    <t>変更内容</t>
    <rPh sb="0" eb="2">
      <t>ヘンコウ</t>
    </rPh>
    <rPh sb="2" eb="4">
      <t>ナイヨウ</t>
    </rPh>
    <phoneticPr fontId="13"/>
  </si>
  <si>
    <t>変更・追加箇所</t>
    <rPh sb="0" eb="2">
      <t>ヘンコウ</t>
    </rPh>
    <rPh sb="3" eb="5">
      <t>ツイカ</t>
    </rPh>
    <rPh sb="5" eb="7">
      <t>カショ</t>
    </rPh>
    <phoneticPr fontId="13"/>
  </si>
  <si>
    <t>提出日</t>
    <rPh sb="0" eb="2">
      <t>テイシュツ</t>
    </rPh>
    <rPh sb="2" eb="3">
      <t>ビ</t>
    </rPh>
    <phoneticPr fontId="13"/>
  </si>
  <si>
    <t>作成者</t>
    <rPh sb="0" eb="3">
      <t>サクセイシャ</t>
    </rPh>
    <phoneticPr fontId="13"/>
  </si>
  <si>
    <t>承認者</t>
    <rPh sb="0" eb="2">
      <t>ショウニン</t>
    </rPh>
    <rPh sb="2" eb="3">
      <t>シャ</t>
    </rPh>
    <phoneticPr fontId="13"/>
  </si>
  <si>
    <t>備考</t>
    <rPh sb="0" eb="2">
      <t>ビコウ</t>
    </rPh>
    <phoneticPr fontId="13"/>
  </si>
  <si>
    <t>新規作成</t>
    <rPh sb="0" eb="2">
      <t>シンキ</t>
    </rPh>
    <rPh sb="2" eb="4">
      <t>サクセイ</t>
    </rPh>
    <phoneticPr fontId="51"/>
  </si>
  <si>
    <t>Rev.</t>
    <phoneticPr fontId="13"/>
  </si>
  <si>
    <t>変更来歴</t>
    <phoneticPr fontId="51"/>
  </si>
  <si>
    <t>画面設計書</t>
    <rPh sb="0" eb="2">
      <t>ガメン</t>
    </rPh>
    <rPh sb="2" eb="5">
      <t>セッケイショ</t>
    </rPh>
    <phoneticPr fontId="14"/>
  </si>
  <si>
    <t>画面名</t>
    <rPh sb="0" eb="2">
      <t>ガメン</t>
    </rPh>
    <rPh sb="2" eb="3">
      <t>メイ</t>
    </rPh>
    <phoneticPr fontId="51"/>
  </si>
  <si>
    <t>アメージングアクティビティ(株)</t>
    <rPh sb="13" eb="16">
      <t>カブシキガイシャ</t>
    </rPh>
    <phoneticPr fontId="14"/>
  </si>
  <si>
    <t>　</t>
    <phoneticPr fontId="51"/>
  </si>
  <si>
    <t/>
  </si>
  <si>
    <t>IMWF-53</t>
    <phoneticPr fontId="51"/>
  </si>
  <si>
    <t>No</t>
    <phoneticPr fontId="57"/>
  </si>
  <si>
    <t>▼</t>
    <phoneticPr fontId="57"/>
  </si>
  <si>
    <t>品名</t>
    <rPh sb="0" eb="1">
      <t>ヒンメイ</t>
    </rPh>
    <phoneticPr fontId="57"/>
  </si>
  <si>
    <t>○</t>
    <phoneticPr fontId="57"/>
  </si>
  <si>
    <t>◎</t>
    <phoneticPr fontId="57"/>
  </si>
  <si>
    <t>▲</t>
    <phoneticPr fontId="57"/>
  </si>
  <si>
    <t>ファイル名</t>
    <rPh sb="4" eb="5">
      <t>メイ</t>
    </rPh>
    <phoneticPr fontId="57"/>
  </si>
  <si>
    <t>得意先コード</t>
    <rPh sb="0" eb="3">
      <t>トクイサキ</t>
    </rPh>
    <phoneticPr fontId="57"/>
  </si>
  <si>
    <t>サイズ</t>
    <phoneticPr fontId="57"/>
  </si>
  <si>
    <t>102 KB</t>
    <phoneticPr fontId="57"/>
  </si>
  <si>
    <t>得意先</t>
    <rPh sb="0" eb="3">
      <t>トクイサキ</t>
    </rPh>
    <phoneticPr fontId="61"/>
  </si>
  <si>
    <t>　</t>
    <phoneticPr fontId="57"/>
  </si>
  <si>
    <t>クリア</t>
    <phoneticPr fontId="57"/>
  </si>
  <si>
    <t>ファイル001.xlsx</t>
    <phoneticPr fontId="57"/>
  </si>
  <si>
    <t>CD-1234567</t>
    <phoneticPr fontId="57"/>
  </si>
  <si>
    <t>単価上申(円販売一般品)</t>
    <rPh sb="0" eb="2">
      <t>タンカ</t>
    </rPh>
    <rPh sb="2" eb="4">
      <t>ジョウシン</t>
    </rPh>
    <rPh sb="5" eb="8">
      <t>エンハンバイ</t>
    </rPh>
    <rPh sb="8" eb="10">
      <t>イッパン</t>
    </rPh>
    <rPh sb="10" eb="11">
      <t>シナ</t>
    </rPh>
    <phoneticPr fontId="57"/>
  </si>
  <si>
    <t>過去の申請から内容コピー</t>
    <rPh sb="0" eb="2">
      <t>カコ</t>
    </rPh>
    <rPh sb="3" eb="5">
      <t>シンセイ</t>
    </rPh>
    <rPh sb="7" eb="9">
      <t>ナイヨウ</t>
    </rPh>
    <phoneticPr fontId="57"/>
  </si>
  <si>
    <t>起票日</t>
    <rPh sb="0" eb="3">
      <t>キヒョウビ</t>
    </rPh>
    <phoneticPr fontId="57"/>
  </si>
  <si>
    <t>所属</t>
    <rPh sb="0" eb="2">
      <t>ショゾク</t>
    </rPh>
    <phoneticPr fontId="57"/>
  </si>
  <si>
    <t>社員番号</t>
    <rPh sb="0" eb="2">
      <t>シャイン</t>
    </rPh>
    <rPh sb="2" eb="4">
      <t>バンゴウ</t>
    </rPh>
    <phoneticPr fontId="57"/>
  </si>
  <si>
    <t>2022/09/29</t>
    <phoneticPr fontId="57"/>
  </si>
  <si>
    <t>：</t>
    <phoneticPr fontId="57"/>
  </si>
  <si>
    <t>ヒロセ電機株式会社/管理本部/ＩＴ統括部/情報システム企画課</t>
    <phoneticPr fontId="57"/>
  </si>
  <si>
    <t>hirose</t>
    <phoneticPr fontId="57"/>
  </si>
  <si>
    <t>氏名　：</t>
    <rPh sb="0" eb="2">
      <t>シメイ</t>
    </rPh>
    <phoneticPr fontId="57"/>
  </si>
  <si>
    <t>システム担当者</t>
    <rPh sb="4" eb="7">
      <t>タントウシャ</t>
    </rPh>
    <phoneticPr fontId="57"/>
  </si>
  <si>
    <r>
      <t>タイトル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</si>
  <si>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得意先名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トクイサキ</t>
    </rPh>
    <rPh sb="3" eb="4">
      <t>メイ</t>
    </rPh>
    <phoneticPr fontId="57"/>
  </si>
  <si>
    <t>客先担当者名</t>
    <rPh sb="0" eb="2">
      <t>キャクサキ</t>
    </rPh>
    <rPh sb="2" eb="6">
      <t>タントウシャメイ</t>
    </rPh>
    <phoneticPr fontId="57"/>
  </si>
  <si>
    <r>
      <t>案件種類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アンケン</t>
    </rPh>
    <rPh sb="2" eb="4">
      <t>シュルイ</t>
    </rPh>
    <phoneticPr fontId="57"/>
  </si>
  <si>
    <r>
      <t>希望承認期限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キボウ</t>
    </rPh>
    <rPh sb="2" eb="4">
      <t>ショウニン</t>
    </rPh>
    <rPh sb="4" eb="6">
      <t>キゲン</t>
    </rPh>
    <phoneticPr fontId="57"/>
  </si>
  <si>
    <t>申請価格入力</t>
    <rPh sb="0" eb="2">
      <t>シンセイ</t>
    </rPh>
    <rPh sb="2" eb="4">
      <t>カカク</t>
    </rPh>
    <rPh sb="4" eb="6">
      <t>ニュウリョク</t>
    </rPh>
    <phoneticPr fontId="57"/>
  </si>
  <si>
    <t>CL</t>
    <phoneticPr fontId="61"/>
  </si>
  <si>
    <t>得意先要求価格</t>
    <rPh sb="0" eb="3">
      <t>トクイサキ</t>
    </rPh>
    <rPh sb="3" eb="5">
      <t>ヨウキュウ</t>
    </rPh>
    <rPh sb="5" eb="7">
      <t>カカク</t>
    </rPh>
    <phoneticPr fontId="61"/>
  </si>
  <si>
    <t>申請価格</t>
    <rPh sb="0" eb="2">
      <t>シンセイ</t>
    </rPh>
    <rPh sb="2" eb="4">
      <t>カカク</t>
    </rPh>
    <phoneticPr fontId="61"/>
  </si>
  <si>
    <t>原計タイプ</t>
    <rPh sb="0" eb="2">
      <t>ゲンケイ</t>
    </rPh>
    <phoneticPr fontId="61"/>
  </si>
  <si>
    <t>従来価格</t>
    <rPh sb="0" eb="2">
      <t>ジュウライ</t>
    </rPh>
    <rPh sb="2" eb="4">
      <t>カカク</t>
    </rPh>
    <phoneticPr fontId="61"/>
  </si>
  <si>
    <t>備考</t>
    <rPh sb="0" eb="2">
      <t>ビコウ</t>
    </rPh>
    <phoneticPr fontId="61"/>
  </si>
  <si>
    <t>2022/9/29</t>
    <phoneticPr fontId="57"/>
  </si>
  <si>
    <r>
      <rPr>
        <b/>
        <sz val="10"/>
        <color theme="6" tint="0.39997558519241921"/>
        <rFont val="ＭＳ Ｐゴシック"/>
        <family val="3"/>
        <charset val="128"/>
        <scheme val="minor"/>
      </rPr>
      <t>＋</t>
    </r>
    <r>
      <rPr>
        <b/>
        <sz val="10"/>
        <color rgb="FF00B050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</si>
  <si>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通貨：JPY</t>
    <rPh sb="0" eb="2">
      <t>ツウカ</t>
    </rPh>
    <phoneticPr fontId="57"/>
  </si>
  <si>
    <r>
      <t>品名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ヒンメイ</t>
    </rPh>
    <phoneticPr fontId="57"/>
  </si>
  <si>
    <r>
      <t>形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カタ</t>
    </rPh>
    <phoneticPr fontId="61"/>
  </si>
  <si>
    <r>
      <t>月間数量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ゲッカン</t>
    </rPh>
    <rPh sb="2" eb="4">
      <t>スウリョウ</t>
    </rPh>
    <phoneticPr fontId="61"/>
  </si>
  <si>
    <r>
      <t>申請価格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カカク</t>
    </rPh>
    <phoneticPr fontId="61"/>
  </si>
  <si>
    <r>
      <t>PPM直接コスト</t>
    </r>
    <r>
      <rPr>
        <sz val="9"/>
        <color rgb="FFFF0000"/>
        <rFont val="ＭＳ Ｐゴシック"/>
        <family val="3"/>
        <charset val="128"/>
        <scheme val="minor"/>
      </rPr>
      <t>*</t>
    </r>
    <rPh sb="2" eb="4">
      <t>チョクセツ</t>
    </rPh>
    <phoneticPr fontId="57"/>
  </si>
  <si>
    <t>承認者確認用</t>
    <rPh sb="0" eb="3">
      <t>ショウニンシャ</t>
    </rPh>
    <rPh sb="3" eb="6">
      <t>カクニンヨウ</t>
    </rPh>
    <phoneticPr fontId="57"/>
  </si>
  <si>
    <t>数量pcs/月</t>
    <rPh sb="0" eb="2">
      <t>スウリョウ</t>
    </rPh>
    <rPh sb="6" eb="7">
      <t>ツキ</t>
    </rPh>
    <phoneticPr fontId="61"/>
  </si>
  <si>
    <t>コスト</t>
    <phoneticPr fontId="61"/>
  </si>
  <si>
    <t>貢献率</t>
    <rPh sb="0" eb="2">
      <t>コウケン</t>
    </rPh>
    <rPh sb="2" eb="3">
      <t>リツ</t>
    </rPh>
    <phoneticPr fontId="57"/>
  </si>
  <si>
    <t>値引き率</t>
    <rPh sb="0" eb="2">
      <t>ネビ</t>
    </rPh>
    <rPh sb="3" eb="4">
      <t>リツ</t>
    </rPh>
    <phoneticPr fontId="61"/>
  </si>
  <si>
    <t>代理店売価</t>
    <rPh sb="0" eb="3">
      <t>ダイリテン</t>
    </rPh>
    <rPh sb="3" eb="5">
      <t>バイカ</t>
    </rPh>
    <phoneticPr fontId="61"/>
  </si>
  <si>
    <t>代理店粗利率</t>
    <rPh sb="0" eb="3">
      <t>ダイリテン</t>
    </rPh>
    <rPh sb="3" eb="6">
      <t>アラリリツ</t>
    </rPh>
    <phoneticPr fontId="61"/>
  </si>
  <si>
    <t>ピン@</t>
    <phoneticPr fontId="61"/>
  </si>
  <si>
    <t>競合名</t>
    <rPh sb="0" eb="3">
      <t>キョウゴウメイ</t>
    </rPh>
    <phoneticPr fontId="61"/>
  </si>
  <si>
    <t>得意先要求</t>
    <rPh sb="0" eb="3">
      <t>トクイサキ</t>
    </rPh>
    <rPh sb="3" eb="5">
      <t>ヨウキュウ</t>
    </rPh>
    <phoneticPr fontId="61"/>
  </si>
  <si>
    <t>価格</t>
    <rPh sb="0" eb="1">
      <t>カカク</t>
    </rPh>
    <phoneticPr fontId="57"/>
  </si>
  <si>
    <r>
      <t>従来価格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2" eb="4">
      <t>カカク</t>
    </rPh>
    <phoneticPr fontId="61"/>
  </si>
  <si>
    <t>1130511471</t>
    <phoneticPr fontId="57"/>
  </si>
  <si>
    <t>RP17-13RA-12SD(71)</t>
    <phoneticPr fontId="57"/>
  </si>
  <si>
    <t>R</t>
    <phoneticPr fontId="57"/>
  </si>
  <si>
    <t>PPM原計</t>
    <rPh sb="2" eb="4">
      <t>ゲンケイ</t>
    </rPh>
    <phoneticPr fontId="57"/>
  </si>
  <si>
    <t>1135042200</t>
    <phoneticPr fontId="57"/>
  </si>
  <si>
    <t>RP34-8R-3PDL</t>
    <phoneticPr fontId="57"/>
  </si>
  <si>
    <t>SMK</t>
    <phoneticPr fontId="57"/>
  </si>
  <si>
    <t>中国</t>
    <rPh sb="0" eb="1">
      <t>チュウゴク</t>
    </rPh>
    <phoneticPr fontId="57"/>
  </si>
  <si>
    <t>売上</t>
    <rPh sb="0" eb="2">
      <t>ウリアゲ</t>
    </rPh>
    <phoneticPr fontId="61"/>
  </si>
  <si>
    <t>貢献額</t>
    <rPh sb="0" eb="2">
      <t>コウケン</t>
    </rPh>
    <rPh sb="2" eb="3">
      <t>ガク</t>
    </rPh>
    <phoneticPr fontId="61"/>
  </si>
  <si>
    <t>値引き額</t>
    <rPh sb="0" eb="2">
      <t>ネビ</t>
    </rPh>
    <rPh sb="3" eb="4">
      <t>ガク</t>
    </rPh>
    <phoneticPr fontId="61"/>
  </si>
  <si>
    <t>値引き前売上</t>
    <rPh sb="0" eb="2">
      <t>ネビ</t>
    </rPh>
    <rPh sb="3" eb="4">
      <t>マエ</t>
    </rPh>
    <rPh sb="4" eb="6">
      <t>ウリアゲ</t>
    </rPh>
    <phoneticPr fontId="61"/>
  </si>
  <si>
    <t>売上</t>
    <rPh sb="0" eb="2">
      <t>ウリアゲ</t>
    </rPh>
    <phoneticPr fontId="57"/>
  </si>
  <si>
    <t>申請内容</t>
    <rPh sb="0" eb="2">
      <t>シンセイ</t>
    </rPh>
    <rPh sb="2" eb="4">
      <t>ナイヨウ</t>
    </rPh>
    <phoneticPr fontId="57"/>
  </si>
  <si>
    <t>起票区分</t>
    <rPh sb="0" eb="2">
      <t>キヒョウ</t>
    </rPh>
    <rPh sb="2" eb="4">
      <t>クブン</t>
    </rPh>
    <phoneticPr fontId="57"/>
  </si>
  <si>
    <r>
      <t>総原価</t>
    </r>
    <r>
      <rPr>
        <sz val="9"/>
        <color rgb="FFFF0000"/>
        <rFont val="ＭＳ Ｐゴシック"/>
        <family val="3"/>
        <charset val="128"/>
        <scheme val="minor"/>
      </rPr>
      <t>*</t>
    </r>
    <r>
      <rPr>
        <sz val="9"/>
        <rFont val="ＭＳ Ｐゴシック"/>
        <family val="3"/>
        <charset val="128"/>
        <scheme val="minor"/>
      </rPr>
      <t xml:space="preserve"> </t>
    </r>
    <rPh sb="0" eb="1">
      <t>ソウ</t>
    </rPh>
    <rPh sb="1" eb="3">
      <t>ゲンカ</t>
    </rPh>
    <phoneticPr fontId="61"/>
  </si>
  <si>
    <t>口銭率</t>
    <rPh sb="0" eb="2">
      <t>コウセン</t>
    </rPh>
    <rPh sb="2" eb="3">
      <t>リツ</t>
    </rPh>
    <phoneticPr fontId="57"/>
  </si>
  <si>
    <t>☑ 口銭申請有り</t>
    <rPh sb="2" eb="4">
      <t>コウセン</t>
    </rPh>
    <rPh sb="4" eb="6">
      <t>シンセイ</t>
    </rPh>
    <rPh sb="6" eb="7">
      <t>アリ</t>
    </rPh>
    <phoneticPr fontId="57"/>
  </si>
  <si>
    <t>プロジェクト情報</t>
    <rPh sb="6" eb="8">
      <t>ジョウホウ</t>
    </rPh>
    <phoneticPr fontId="57"/>
  </si>
  <si>
    <t>工事金額</t>
    <rPh sb="0" eb="4">
      <t>コウジキンガク</t>
    </rPh>
    <phoneticPr fontId="57"/>
  </si>
  <si>
    <t>万円/月</t>
    <rPh sb="0" eb="2">
      <t>マンエン</t>
    </rPh>
    <rPh sb="3" eb="4">
      <t>ツキ</t>
    </rPh>
    <phoneticPr fontId="57"/>
  </si>
  <si>
    <t>MFC PJ番号</t>
    <rPh sb="6" eb="8">
      <t>バンゴウ</t>
    </rPh>
    <phoneticPr fontId="57"/>
  </si>
  <si>
    <t>ヵ月</t>
    <rPh sb="1" eb="2">
      <t>ゲツ</t>
    </rPh>
    <phoneticPr fontId="57"/>
  </si>
  <si>
    <t>総工事金額</t>
    <rPh sb="0" eb="5">
      <t>ソウコウジキンガク</t>
    </rPh>
    <phoneticPr fontId="57"/>
  </si>
  <si>
    <t>万円</t>
    <rPh sb="0" eb="2">
      <t>マンエン</t>
    </rPh>
    <phoneticPr fontId="57"/>
  </si>
  <si>
    <t>MFC OPPORTUNITY番号</t>
    <rPh sb="15" eb="17">
      <t>バンゴウ</t>
    </rPh>
    <phoneticPr fontId="57"/>
  </si>
  <si>
    <t>機種A</t>
    <rPh sb="0" eb="2">
      <t>キシュ</t>
    </rPh>
    <phoneticPr fontId="57"/>
  </si>
  <si>
    <r>
      <rPr>
        <sz val="10"/>
        <rFont val="ＭＳ Ｐゴシック"/>
        <family val="3"/>
        <charset val="128"/>
        <scheme val="minor"/>
      </rPr>
      <t>大分類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ダイブンルイ</t>
    </rPh>
    <phoneticPr fontId="57"/>
  </si>
  <si>
    <t>競合名</t>
    <rPh sb="0" eb="3">
      <t>キョウゴウメイ</t>
    </rPh>
    <phoneticPr fontId="57"/>
  </si>
  <si>
    <r>
      <t>継続期間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ケイゾク</t>
    </rPh>
    <rPh sb="2" eb="4">
      <t>キカン</t>
    </rPh>
    <phoneticPr fontId="57"/>
  </si>
  <si>
    <r>
      <t>中分類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チュウブンルイ</t>
    </rPh>
    <phoneticPr fontId="57"/>
  </si>
  <si>
    <r>
      <t>機種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キシュ</t>
    </rPh>
    <phoneticPr fontId="57"/>
  </si>
  <si>
    <t>大分類A</t>
    <rPh sb="0" eb="3">
      <t>ダイブンルイ</t>
    </rPh>
    <phoneticPr fontId="57"/>
  </si>
  <si>
    <t>中分類B</t>
    <rPh sb="0" eb="3">
      <t>チュウブンルイ</t>
    </rPh>
    <phoneticPr fontId="57"/>
  </si>
  <si>
    <r>
      <t>申請理由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リユウ</t>
    </rPh>
    <phoneticPr fontId="57"/>
  </si>
  <si>
    <r>
      <t>量産時期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リョウサン</t>
    </rPh>
    <rPh sb="2" eb="4">
      <t>ジキ</t>
    </rPh>
    <phoneticPr fontId="57"/>
  </si>
  <si>
    <t>値引補填工事</t>
    <rPh sb="0" eb="2">
      <t>ネビ</t>
    </rPh>
    <rPh sb="2" eb="4">
      <t>ホテン</t>
    </rPh>
    <rPh sb="4" eb="6">
      <t>コウジ</t>
    </rPh>
    <phoneticPr fontId="57"/>
  </si>
  <si>
    <t>備考欄</t>
    <rPh sb="0" eb="3">
      <t>ビコウラン</t>
    </rPh>
    <phoneticPr fontId="57"/>
  </si>
  <si>
    <t>◎ 技術原計 ○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</si>
  <si>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/月</t>
    <rPh sb="1" eb="2">
      <t>ゲツ</t>
    </rPh>
    <phoneticPr fontId="57"/>
  </si>
  <si>
    <t>平均生産予定数量</t>
    <rPh sb="0" eb="2">
      <t>ヘイキン</t>
    </rPh>
    <rPh sb="2" eb="4">
      <t>セイサン</t>
    </rPh>
    <rPh sb="4" eb="6">
      <t>ヨテイ</t>
    </rPh>
    <rPh sb="6" eb="8">
      <t>スウリョウ</t>
    </rPh>
    <phoneticPr fontId="57"/>
  </si>
  <si>
    <t>添付書類</t>
    <rPh sb="0" eb="2">
      <t>テンプ</t>
    </rPh>
    <rPh sb="2" eb="4">
      <t>ショルイ</t>
    </rPh>
    <phoneticPr fontId="57"/>
  </si>
  <si>
    <t>一般品</t>
    <rPh sb="0" eb="3">
      <t>イッパンヒン</t>
    </rPh>
    <phoneticPr fontId="57"/>
  </si>
  <si>
    <t>円販売</t>
    <rPh sb="0" eb="3">
      <t>エンハンバイ</t>
    </rPh>
    <phoneticPr fontId="57"/>
  </si>
  <si>
    <t>外貨販売</t>
    <rPh sb="0" eb="2">
      <t>ガイカ</t>
    </rPh>
    <rPh sb="2" eb="4">
      <t>ハンバイ</t>
    </rPh>
    <phoneticPr fontId="57"/>
  </si>
  <si>
    <t>1250103874</t>
    <phoneticPr fontId="57"/>
  </si>
  <si>
    <t>1250109471</t>
    <phoneticPr fontId="57"/>
  </si>
  <si>
    <t>HR25-9TP-16P(74)</t>
    <phoneticPr fontId="57"/>
  </si>
  <si>
    <t>HR25-9TR-16S(71)</t>
    <phoneticPr fontId="57"/>
  </si>
  <si>
    <t>○ 技術原計 ◎ PPM原計 ○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</si>
  <si>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サンウー</t>
    <phoneticPr fontId="57"/>
  </si>
  <si>
    <t>総原価利益率</t>
    <rPh sb="0" eb="3">
      <t>ソウゲンカ</t>
    </rPh>
    <rPh sb="3" eb="6">
      <t>リエキリツ</t>
    </rPh>
    <phoneticPr fontId="57"/>
  </si>
  <si>
    <t>総原価利益額</t>
    <rPh sb="0" eb="3">
      <t>ソウゲンカ</t>
    </rPh>
    <rPh sb="3" eb="5">
      <t>リエキ</t>
    </rPh>
    <rPh sb="5" eb="6">
      <t>ガク</t>
    </rPh>
    <phoneticPr fontId="61"/>
  </si>
  <si>
    <t>総原価利益率</t>
    <rPh sb="0" eb="3">
      <t>ソウゲンカ</t>
    </rPh>
    <rPh sb="3" eb="5">
      <t>リエキ</t>
    </rPh>
    <rPh sb="5" eb="6">
      <t>リツ</t>
    </rPh>
    <phoneticPr fontId="57"/>
  </si>
  <si>
    <t>技術原計</t>
    <rPh sb="0" eb="2">
      <t>ギジュツ</t>
    </rPh>
    <rPh sb="2" eb="4">
      <t>ゲンケイ</t>
    </rPh>
    <phoneticPr fontId="57"/>
  </si>
  <si>
    <t>総原価合計</t>
    <rPh sb="0" eb="3">
      <t>ソウゲンカ</t>
    </rPh>
    <rPh sb="3" eb="5">
      <t>ゴウケイ</t>
    </rPh>
    <phoneticPr fontId="61"/>
  </si>
  <si>
    <t>○ 技術原計 ○ PPM原計 ◎ コリア原計</t>
    <rPh sb="2" eb="4">
      <t>ギジュツ</t>
    </rPh>
    <rPh sb="4" eb="6">
      <t>ゲンケイ</t>
    </rPh>
    <rPh sb="12" eb="14">
      <t>ゲンケイ</t>
    </rPh>
    <rPh sb="20" eb="22">
      <t>ゲンケイ</t>
    </rPh>
    <phoneticPr fontId="57"/>
  </si>
  <si>
    <t>コリア術原計</t>
    <rPh sb="2" eb="3">
      <t>ジュツ</t>
    </rPh>
    <rPh sb="3" eb="5">
      <t>ゲンケイ</t>
    </rPh>
    <phoneticPr fontId="57"/>
  </si>
  <si>
    <t>USD</t>
    <phoneticPr fontId="57"/>
  </si>
  <si>
    <t>コリア原計</t>
    <rPh sb="2" eb="4">
      <t>ゲンケイ</t>
    </rPh>
    <phoneticPr fontId="57"/>
  </si>
  <si>
    <t>純原価</t>
    <rPh sb="0" eb="1">
      <t>ジュン</t>
    </rPh>
    <rPh sb="1" eb="3">
      <t>ゲンカ</t>
    </rPh>
    <phoneticPr fontId="61"/>
  </si>
  <si>
    <t>申請通貨</t>
    <rPh sb="0" eb="2">
      <t>シンセイ</t>
    </rPh>
    <rPh sb="2" eb="4">
      <t>ツウカ</t>
    </rPh>
    <phoneticPr fontId="61"/>
  </si>
  <si>
    <r>
      <t>従来FOB価格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ジュウライ</t>
    </rPh>
    <rPh sb="5" eb="7">
      <t>カカク</t>
    </rPh>
    <phoneticPr fontId="61"/>
  </si>
  <si>
    <t>物流コスト率%</t>
    <rPh sb="0" eb="2">
      <t>ブツリュウ</t>
    </rPh>
    <rPh sb="5" eb="6">
      <t>リツ</t>
    </rPh>
    <phoneticPr fontId="61"/>
  </si>
  <si>
    <t>販社売価</t>
    <rPh sb="0" eb="2">
      <t>ハンシャ</t>
    </rPh>
    <rPh sb="2" eb="4">
      <t>バイカ</t>
    </rPh>
    <phoneticPr fontId="57"/>
  </si>
  <si>
    <t>(外貨)</t>
    <rPh sb="0" eb="2">
      <t>ガイカ</t>
    </rPh>
    <phoneticPr fontId="57"/>
  </si>
  <si>
    <t>ピン@FOB</t>
    <phoneticPr fontId="61"/>
  </si>
  <si>
    <t>価格基準</t>
    <rPh sb="0" eb="1">
      <t>カカク</t>
    </rPh>
    <rPh sb="2" eb="4">
      <t>キジュン</t>
    </rPh>
    <phoneticPr fontId="57"/>
  </si>
  <si>
    <t>4800215830</t>
    <phoneticPr fontId="57"/>
  </si>
  <si>
    <t>TF38-20S-0.5SV(830)</t>
    <phoneticPr fontId="57"/>
  </si>
  <si>
    <t>KFH</t>
    <phoneticPr fontId="57"/>
  </si>
  <si>
    <t>総連結利益率</t>
    <rPh sb="0" eb="3">
      <t>ソウレンケツ</t>
    </rPh>
    <rPh sb="3" eb="6">
      <t>リエキリツ</t>
    </rPh>
    <phoneticPr fontId="57"/>
  </si>
  <si>
    <t>FOB価格</t>
    <rPh sb="3" eb="5">
      <t>カカク</t>
    </rPh>
    <phoneticPr fontId="61"/>
  </si>
  <si>
    <t>連結粗利額</t>
    <rPh sb="0" eb="1">
      <t>レンケツ</t>
    </rPh>
    <rPh sb="1" eb="3">
      <t>アラリ</t>
    </rPh>
    <rPh sb="3" eb="4">
      <t>ガク</t>
    </rPh>
    <phoneticPr fontId="57"/>
  </si>
  <si>
    <t>連結粗利率</t>
    <rPh sb="0" eb="1">
      <t>レンケツ</t>
    </rPh>
    <rPh sb="1" eb="3">
      <t>アラリ</t>
    </rPh>
    <rPh sb="3" eb="4">
      <t>リツ</t>
    </rPh>
    <phoneticPr fontId="57"/>
  </si>
  <si>
    <t>Step １： 起票区分を選択してください</t>
    <rPh sb="8" eb="10">
      <t>キヒョウ</t>
    </rPh>
    <rPh sb="10" eb="12">
      <t>クブン</t>
    </rPh>
    <rPh sb="13" eb="15">
      <t>センタク</t>
    </rPh>
    <phoneticPr fontId="57"/>
  </si>
  <si>
    <t>販売単価上申書</t>
    <rPh sb="0" eb="2">
      <t>ハンバイ</t>
    </rPh>
    <rPh sb="2" eb="4">
      <t>タンカ</t>
    </rPh>
    <rPh sb="4" eb="7">
      <t>ジョウシンショ</t>
    </rPh>
    <phoneticPr fontId="57"/>
  </si>
  <si>
    <t>Step ２： 一般品またはカスタムのいずれかを選択してください</t>
    <rPh sb="8" eb="11">
      <t>イッパンヒン</t>
    </rPh>
    <rPh sb="24" eb="26">
      <t>センタク</t>
    </rPh>
    <phoneticPr fontId="57"/>
  </si>
  <si>
    <t>カスタム</t>
    <phoneticPr fontId="57"/>
  </si>
  <si>
    <t>Step ３： 円販売または外貨販売のいずれかを選択してください</t>
    <rPh sb="8" eb="11">
      <t>エンハンバイ</t>
    </rPh>
    <rPh sb="14" eb="16">
      <t>ガイカ</t>
    </rPh>
    <rPh sb="16" eb="18">
      <t>ハンバイ</t>
    </rPh>
    <rPh sb="24" eb="26">
      <t>センタク</t>
    </rPh>
    <phoneticPr fontId="57"/>
  </si>
  <si>
    <t>◎ 単価上申書</t>
    <rPh sb="2" eb="4">
      <t>タンカ</t>
    </rPh>
    <rPh sb="4" eb="6">
      <t>ジョウシン</t>
    </rPh>
    <rPh sb="6" eb="7">
      <t>ショ</t>
    </rPh>
    <phoneticPr fontId="57"/>
  </si>
  <si>
    <t>値引きしなければならない理由を記載してください</t>
    <rPh sb="0" eb="2">
      <t>ネビ</t>
    </rPh>
    <rPh sb="12" eb="14">
      <t>リユウ</t>
    </rPh>
    <rPh sb="15" eb="17">
      <t>キサイ</t>
    </rPh>
    <phoneticPr fontId="57"/>
  </si>
  <si>
    <t>カスタム品申請情報</t>
    <rPh sb="4" eb="5">
      <t>ヒン</t>
    </rPh>
    <rPh sb="5" eb="7">
      <t>シンセイ</t>
    </rPh>
    <rPh sb="7" eb="9">
      <t>ジョウホウ</t>
    </rPh>
    <phoneticPr fontId="57"/>
  </si>
  <si>
    <r>
      <t>償却期間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ショウキャク</t>
    </rPh>
    <rPh sb="2" eb="4">
      <t>キカン</t>
    </rPh>
    <phoneticPr fontId="57"/>
  </si>
  <si>
    <t>金型</t>
    <rPh sb="0" eb="2">
      <t>カナガタ</t>
    </rPh>
    <phoneticPr fontId="57"/>
  </si>
  <si>
    <t>有償or無償</t>
    <rPh sb="0" eb="2">
      <t>ユウショウ</t>
    </rPh>
    <rPh sb="4" eb="6">
      <t>ムショウ</t>
    </rPh>
    <phoneticPr fontId="61"/>
  </si>
  <si>
    <t>個品名称</t>
    <rPh sb="0" eb="1">
      <t>コヒン</t>
    </rPh>
    <rPh sb="1" eb="3">
      <t>メイショウ</t>
    </rPh>
    <phoneticPr fontId="57"/>
  </si>
  <si>
    <t>個品実費価格</t>
    <rPh sb="0" eb="2">
      <t>コヒン</t>
    </rPh>
    <rPh sb="2" eb="4">
      <t>ジッピ</t>
    </rPh>
    <rPh sb="4" eb="6">
      <t>カカク</t>
    </rPh>
    <phoneticPr fontId="61"/>
  </si>
  <si>
    <t>個品販売価格</t>
    <rPh sb="0" eb="2">
      <t>コヒン</t>
    </rPh>
    <rPh sb="2" eb="4">
      <t>ハンバイ</t>
    </rPh>
    <rPh sb="4" eb="6">
      <t>カカク</t>
    </rPh>
    <phoneticPr fontId="61"/>
  </si>
  <si>
    <t>倍率</t>
    <rPh sb="0" eb="2">
      <t>バイリツ</t>
    </rPh>
    <phoneticPr fontId="61"/>
  </si>
  <si>
    <t>有償</t>
    <rPh sb="0" eb="1">
      <t>ユウショウ</t>
    </rPh>
    <phoneticPr fontId="57"/>
  </si>
  <si>
    <t>治工具</t>
    <rPh sb="0" eb="3">
      <t>チコウグ</t>
    </rPh>
    <phoneticPr fontId="57"/>
  </si>
  <si>
    <r>
      <t>有償or無償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ユウショウ</t>
    </rPh>
    <rPh sb="4" eb="6">
      <t>ムショウ</t>
    </rPh>
    <phoneticPr fontId="61"/>
  </si>
  <si>
    <r>
      <t>個品名称</t>
    </r>
    <r>
      <rPr>
        <sz val="10"/>
        <color rgb="FFFF0000"/>
        <rFont val="ＭＳ Ｐゴシック"/>
        <family val="3"/>
        <charset val="128"/>
        <scheme val="minor"/>
      </rPr>
      <t>*</t>
    </r>
    <rPh sb="0" eb="1">
      <t>コヒン</t>
    </rPh>
    <rPh sb="1" eb="3">
      <t>メイショウ</t>
    </rPh>
    <phoneticPr fontId="57"/>
  </si>
  <si>
    <r>
      <t>個品実費価格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ジッピ</t>
    </rPh>
    <rPh sb="4" eb="6">
      <t>カカク</t>
    </rPh>
    <phoneticPr fontId="61"/>
  </si>
  <si>
    <r>
      <t>個品販売価格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コヒン</t>
    </rPh>
    <rPh sb="2" eb="4">
      <t>ハンバイ</t>
    </rPh>
    <rPh sb="4" eb="6">
      <t>カカク</t>
    </rPh>
    <phoneticPr fontId="61"/>
  </si>
  <si>
    <t>治工具名称</t>
    <phoneticPr fontId="57"/>
  </si>
  <si>
    <t>治工具実費価格</t>
    <rPh sb="3" eb="5">
      <t>ジッピ</t>
    </rPh>
    <rPh sb="5" eb="7">
      <t>カカク</t>
    </rPh>
    <phoneticPr fontId="61"/>
  </si>
  <si>
    <t>治工具販売価格</t>
    <rPh sb="3" eb="5">
      <t>ハンバイ</t>
    </rPh>
    <rPh sb="5" eb="7">
      <t>カカク</t>
    </rPh>
    <phoneticPr fontId="61"/>
  </si>
  <si>
    <r>
      <t>治工具名称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</si>
  <si>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r>
      <t>治工具実費価格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ジッピ</t>
    </rPh>
    <rPh sb="5" eb="7">
      <t>カカク</t>
    </rPh>
    <phoneticPr fontId="61"/>
  </si>
  <si>
    <r>
      <t>治工具販売価格</t>
    </r>
    <r>
      <rPr>
        <sz val="10"/>
        <color rgb="FFFF0000"/>
        <rFont val="ＭＳ Ｐゴシック"/>
        <family val="3"/>
        <charset val="128"/>
        <scheme val="minor"/>
      </rPr>
      <t>*</t>
    </r>
    <rPh sb="3" eb="5">
      <t>ハンバイ</t>
    </rPh>
    <rPh sb="5" eb="7">
      <t>カカク</t>
    </rPh>
    <phoneticPr fontId="61"/>
  </si>
  <si>
    <t>個品A</t>
    <rPh sb="0" eb="1">
      <t>コヒン</t>
    </rPh>
    <phoneticPr fontId="57"/>
  </si>
  <si>
    <t>償却数量</t>
    <rPh sb="0" eb="2">
      <t>ショウキャク</t>
    </rPh>
    <rPh sb="2" eb="4">
      <t>スウリョウ</t>
    </rPh>
    <phoneticPr fontId="57"/>
  </si>
  <si>
    <t>一個当たりの償却金額</t>
    <rPh sb="0" eb="3">
      <t>イッコア</t>
    </rPh>
    <rPh sb="6" eb="8">
      <t>ショウキャク</t>
    </rPh>
    <rPh sb="8" eb="10">
      <t>キンガク</t>
    </rPh>
    <phoneticPr fontId="57"/>
  </si>
  <si>
    <t>未償却リスク</t>
    <rPh sb="0" eb="1">
      <t>ミ</t>
    </rPh>
    <rPh sb="1" eb="3">
      <t>ショウキャク</t>
    </rPh>
    <phoneticPr fontId="57"/>
  </si>
  <si>
    <t>※ 得意先一括負担の場合は記載不要</t>
    <rPh sb="2" eb="5">
      <t>トクイサキ</t>
    </rPh>
    <rPh sb="5" eb="7">
      <t>イッカツ</t>
    </rPh>
    <rPh sb="7" eb="9">
      <t>フタン</t>
    </rPh>
    <rPh sb="10" eb="12">
      <t>バアイ</t>
    </rPh>
    <rPh sb="13" eb="15">
      <t>キサイ</t>
    </rPh>
    <rPh sb="15" eb="17">
      <t>フヨウ</t>
    </rPh>
    <phoneticPr fontId="57"/>
  </si>
  <si>
    <t>物流コスト率</t>
    <rPh sb="0" eb="2">
      <t>ブツリュウ</t>
    </rPh>
    <rPh sb="5" eb="6">
      <t>リツ</t>
    </rPh>
    <phoneticPr fontId="61"/>
  </si>
  <si>
    <t>(%)</t>
    <phoneticPr fontId="57"/>
  </si>
  <si>
    <t>販社売価</t>
    <rPh sb="0" eb="2">
      <t>ハンシャ</t>
    </rPh>
    <rPh sb="2" eb="4">
      <t>バイカ</t>
    </rPh>
    <phoneticPr fontId="61"/>
  </si>
  <si>
    <t>要求価格</t>
    <rPh sb="0" eb="1">
      <t>ヨウキュウ</t>
    </rPh>
    <rPh sb="1" eb="3">
      <t>カカク</t>
    </rPh>
    <phoneticPr fontId="57"/>
  </si>
  <si>
    <t>価格基準</t>
    <rPh sb="0" eb="1">
      <t>カカク</t>
    </rPh>
    <rPh sb="1" eb="3">
      <t>キジュン</t>
    </rPh>
    <phoneticPr fontId="57"/>
  </si>
  <si>
    <t>5802922450</t>
    <phoneticPr fontId="57"/>
  </si>
  <si>
    <t>5801232050</t>
    <phoneticPr fontId="57"/>
  </si>
  <si>
    <t>FH35C-21S-0.3SHW(50)</t>
    <phoneticPr fontId="57"/>
  </si>
  <si>
    <t>FH34SRJ-30S-0.5SH(50)</t>
    <phoneticPr fontId="57"/>
  </si>
  <si>
    <t>FH</t>
    <phoneticPr fontId="57"/>
  </si>
  <si>
    <t>JPY</t>
    <phoneticPr fontId="57"/>
  </si>
  <si>
    <t>JAE</t>
    <phoneticPr fontId="57"/>
  </si>
  <si>
    <t>TE</t>
    <phoneticPr fontId="57"/>
  </si>
  <si>
    <t>従来FOB価格</t>
    <rPh sb="0" eb="2">
      <t>ジュウライ</t>
    </rPh>
    <rPh sb="5" eb="7">
      <t>カカク</t>
    </rPh>
    <phoneticPr fontId="61"/>
  </si>
  <si>
    <t>CIF価格</t>
    <rPh sb="3" eb="5">
      <t>カカク</t>
    </rPh>
    <phoneticPr fontId="61"/>
  </si>
  <si>
    <t>国内収益性</t>
    <rPh sb="0" eb="2">
      <t>コクナイ</t>
    </rPh>
    <rPh sb="2" eb="5">
      <t>シュウエキセイ</t>
    </rPh>
    <phoneticPr fontId="57"/>
  </si>
  <si>
    <t>FOB値引き率</t>
    <rPh sb="3" eb="5">
      <t>ネビ</t>
    </rPh>
    <rPh sb="6" eb="7">
      <t>リツ</t>
    </rPh>
    <phoneticPr fontId="61"/>
  </si>
  <si>
    <t>販社粗利率</t>
    <rPh sb="0" eb="2">
      <t>ハンシャ</t>
    </rPh>
    <rPh sb="2" eb="5">
      <t>アラリリツ</t>
    </rPh>
    <phoneticPr fontId="61"/>
  </si>
  <si>
    <t>連結収益性</t>
    <rPh sb="0" eb="2">
      <t>レンケツ</t>
    </rPh>
    <rPh sb="2" eb="5">
      <t>シュウエキセイ</t>
    </rPh>
    <phoneticPr fontId="61"/>
  </si>
  <si>
    <t>売上(国内)</t>
    <rPh sb="0" eb="2">
      <t>ウリアゲ</t>
    </rPh>
    <rPh sb="3" eb="5">
      <t>コクナイ</t>
    </rPh>
    <phoneticPr fontId="57"/>
  </si>
  <si>
    <t>直接コスト合計</t>
    <rPh sb="0" eb="2">
      <t>チョクセツ</t>
    </rPh>
    <rPh sb="5" eb="7">
      <t>ゴウケイ</t>
    </rPh>
    <phoneticPr fontId="61"/>
  </si>
  <si>
    <t>貢献額</t>
    <rPh sb="0" eb="3">
      <t>コウケンガク</t>
    </rPh>
    <phoneticPr fontId="61"/>
  </si>
  <si>
    <t>国内収益性</t>
    <rPh sb="0" eb="2">
      <t>コクナイ</t>
    </rPh>
    <rPh sb="2" eb="5">
      <t>シュウエキセイ</t>
    </rPh>
    <phoneticPr fontId="61"/>
  </si>
  <si>
    <t>値引き率(FOB)</t>
    <rPh sb="0" eb="2">
      <t>ネビ</t>
    </rPh>
    <rPh sb="3" eb="4">
      <t>リツ</t>
    </rPh>
    <phoneticPr fontId="57"/>
  </si>
  <si>
    <t>値引き額(FOB)</t>
    <rPh sb="0" eb="2">
      <t>ネビ</t>
    </rPh>
    <rPh sb="3" eb="4">
      <t>ガク</t>
    </rPh>
    <phoneticPr fontId="57"/>
  </si>
  <si>
    <t>売上(連結)</t>
    <rPh sb="0" eb="1">
      <t>ウリアゲ</t>
    </rPh>
    <rPh sb="2" eb="4">
      <t>レンケツ</t>
    </rPh>
    <phoneticPr fontId="57"/>
  </si>
  <si>
    <t>連結収益性</t>
    <rPh sb="0" eb="1">
      <t>レンケツ</t>
    </rPh>
    <rPh sb="1" eb="4">
      <t>シュウエキセイ</t>
    </rPh>
    <phoneticPr fontId="57"/>
  </si>
  <si>
    <t>総原価</t>
    <rPh sb="0" eb="3">
      <t>ソウゲンカ</t>
    </rPh>
    <phoneticPr fontId="61"/>
  </si>
  <si>
    <t>8311308000</t>
    <phoneticPr fontId="57"/>
  </si>
  <si>
    <t>8311309000</t>
    <phoneticPr fontId="57"/>
  </si>
  <si>
    <t>BF4MC-(375161-01)</t>
    <phoneticPr fontId="57"/>
  </si>
  <si>
    <t>BF4MC-(375168-01)</t>
    <phoneticPr fontId="57"/>
  </si>
  <si>
    <t>OPT</t>
    <phoneticPr fontId="57"/>
  </si>
  <si>
    <t>総原価利益率</t>
    <rPh sb="0" eb="3">
      <t>ソウゲンカ</t>
    </rPh>
    <rPh sb="3" eb="6">
      <t>リエキリツ</t>
    </rPh>
    <phoneticPr fontId="61"/>
  </si>
  <si>
    <t>(国内)</t>
    <phoneticPr fontId="57"/>
  </si>
  <si>
    <t>(粗利)</t>
    <rPh sb="0" eb="2">
      <t>アラリ</t>
    </rPh>
    <phoneticPr fontId="57"/>
  </si>
  <si>
    <t>(国内)</t>
    <rPh sb="1" eb="3">
      <t>コクナイ</t>
    </rPh>
    <phoneticPr fontId="57"/>
  </si>
  <si>
    <t>純原価合計</t>
    <rPh sb="0" eb="1">
      <t>ジュン</t>
    </rPh>
    <rPh sb="1" eb="3">
      <t>ゲンカ</t>
    </rPh>
    <rPh sb="3" eb="5">
      <t>ゴウケイ</t>
    </rPh>
    <phoneticPr fontId="61"/>
  </si>
  <si>
    <t>連結粗利額</t>
    <rPh sb="0" eb="2">
      <t>レンケツ</t>
    </rPh>
    <rPh sb="2" eb="5">
      <t>アラリガク</t>
    </rPh>
    <phoneticPr fontId="61"/>
  </si>
  <si>
    <t>連結粗利率</t>
    <rPh sb="0" eb="2">
      <t>レンケツ</t>
    </rPh>
    <rPh sb="2" eb="5">
      <t>アラリリツ</t>
    </rPh>
    <phoneticPr fontId="61"/>
  </si>
  <si>
    <t>値引き率</t>
    <rPh sb="0" eb="2">
      <t>ネビ</t>
    </rPh>
    <rPh sb="3" eb="4">
      <t>リツ</t>
    </rPh>
    <phoneticPr fontId="57"/>
  </si>
  <si>
    <t>値引き額</t>
    <rPh sb="0" eb="2">
      <t>ネビ</t>
    </rPh>
    <rPh sb="3" eb="4">
      <t>ガク</t>
    </rPh>
    <phoneticPr fontId="57"/>
  </si>
  <si>
    <t>売上(連結)</t>
    <rPh sb="0" eb="2">
      <t>ウリアゲ</t>
    </rPh>
    <rPh sb="3" eb="5">
      <t>レンケツ</t>
    </rPh>
    <phoneticPr fontId="57"/>
  </si>
  <si>
    <r>
      <t>承認者</t>
    </r>
    <r>
      <rPr>
        <sz val="10"/>
        <color rgb="FFFF0000"/>
        <rFont val="ＭＳ Ｐゴシック"/>
        <family val="3"/>
        <charset val="128"/>
        <scheme val="minor"/>
      </rPr>
      <t>*</t>
    </r>
    <rPh sb="0" eb="3">
      <t>ショウニンシャ</t>
    </rPh>
    <phoneticPr fontId="57"/>
  </si>
  <si>
    <t>10347008</t>
    <phoneticPr fontId="57"/>
  </si>
  <si>
    <t>関　博一</t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</si>
  <si>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>＋</t>
    </r>
    <r>
      <rPr>
        <sz val="10"/>
        <color theme="1"/>
        <rFont val="ＭＳ Ｐゴシック"/>
        <family val="3"/>
        <charset val="128"/>
        <scheme val="minor"/>
      </rPr>
      <t xml:space="preserve"> 承認者の追加</t>
    </r>
    <phoneticPr fontId="57"/>
  </si>
  <si>
    <r>
      <rPr>
        <b/>
        <sz val="10"/>
        <color rgb="FF00B050"/>
        <rFont val="ＭＳ Ｐゴシック"/>
        <family val="3"/>
        <charset val="128"/>
        <scheme val="minor"/>
      </rPr>
      <t xml:space="preserve">＋ </t>
    </r>
    <r>
      <rPr>
        <sz val="10"/>
        <color theme="0"/>
        <rFont val="ＭＳ Ｐゴシック"/>
        <family val="3"/>
        <charset val="128"/>
        <scheme val="minor"/>
      </rPr>
      <t>追加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←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挿入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FF0000"/>
        <rFont val="ＭＳ Ｐゴシック"/>
        <family val="3"/>
        <charset val="128"/>
        <scheme val="minor"/>
      </rPr>
      <t>－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削除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b/>
        <sz val="10"/>
        <color rgb="FF00B0F0"/>
        <rFont val="ＭＳ Ｐゴシック"/>
        <family val="3"/>
        <charset val="128"/>
        <scheme val="minor"/>
      </rPr>
      <t>↑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 xml:space="preserve">上へ </t>
    </r>
    <r>
      <rPr>
        <b/>
        <sz val="10"/>
        <color rgb="FF00B0F0"/>
        <rFont val="ＭＳ Ｐゴシック"/>
        <family val="3"/>
        <charset val="128"/>
        <scheme val="minor"/>
      </rPr>
      <t>↓</t>
    </r>
    <r>
      <rPr>
        <sz val="10"/>
        <color theme="1"/>
        <rFont val="ＭＳ Ｐゴシック"/>
        <family val="3"/>
        <charset val="128"/>
        <scheme val="minor"/>
      </rPr>
      <t xml:space="preserve"> </t>
    </r>
    <r>
      <rPr>
        <sz val="10"/>
        <color theme="0"/>
        <rFont val="ＭＳ Ｐゴシック"/>
        <family val="3"/>
        <charset val="128"/>
        <scheme val="minor"/>
      </rPr>
      <t>下へ</t>
    </r>
    <rPh sb="7" eb="9">
      <t>ソウニュウ</t>
    </rPh>
    <phoneticPr fontId="57"/>
  </si>
  <si>
    <t>10637000</t>
    <phoneticPr fontId="57"/>
  </si>
  <si>
    <t>古川　福待</t>
    <phoneticPr fontId="57"/>
  </si>
  <si>
    <t>承認者設定</t>
    <rPh sb="0" eb="3">
      <t>ショウニンシャ</t>
    </rPh>
    <rPh sb="3" eb="5">
      <t>セッテイ</t>
    </rPh>
    <phoneticPr fontId="57"/>
  </si>
  <si>
    <t>承認ルートは必要に応じて、「承認者の追加」をクリックして入力欄を増やしてください。 設定した承認ルートは、設定した承認者の上から順に回送されます。 最終承認者は、一番下に設定してください。</t>
    <phoneticPr fontId="57"/>
  </si>
  <si>
    <t>確認者設定</t>
    <rPh sb="0" eb="3">
      <t>カクニンシャ</t>
    </rPh>
    <rPh sb="3" eb="5">
      <t>セッテイ</t>
    </rPh>
    <phoneticPr fontId="57"/>
  </si>
  <si>
    <t>確認者一覧</t>
    <rPh sb="0" eb="3">
      <t>カクニンシャ</t>
    </rPh>
    <rPh sb="3" eb="5">
      <t>イチラン</t>
    </rPh>
    <phoneticPr fontId="57"/>
  </si>
  <si>
    <t>部門</t>
    <rPh sb="0" eb="2">
      <t>ブモン</t>
    </rPh>
    <phoneticPr fontId="57"/>
  </si>
  <si>
    <t>確認者名</t>
    <rPh sb="0" eb="4">
      <t>カクニンシャメイ</t>
    </rPh>
    <phoneticPr fontId="57"/>
  </si>
  <si>
    <t>ヒロセ電機株式会社/管理本部/ＩＴ統括部</t>
    <phoneticPr fontId="57"/>
  </si>
  <si>
    <t>部長</t>
    <rPh sb="0" eb="2">
      <t>ブチョウ</t>
    </rPh>
    <phoneticPr fontId="57"/>
  </si>
  <si>
    <t>志村 亜里沙</t>
    <rPh sb="0" eb="1">
      <t>シムラ</t>
    </rPh>
    <rPh sb="2" eb="5">
      <t>アリサ</t>
    </rPh>
    <phoneticPr fontId="57"/>
  </si>
  <si>
    <t>出水 瞳</t>
    <rPh sb="0" eb="1">
      <t>デミズ</t>
    </rPh>
    <rPh sb="2" eb="3">
      <t>ヒトミ</t>
    </rPh>
    <phoneticPr fontId="57"/>
  </si>
  <si>
    <t>松澤 朱海</t>
    <rPh sb="0" eb="1">
      <t>マツザワ</t>
    </rPh>
    <rPh sb="2" eb="3">
      <t>シュ</t>
    </rPh>
    <rPh sb="3" eb="4">
      <t>ウミ</t>
    </rPh>
    <phoneticPr fontId="57"/>
  </si>
  <si>
    <t>ｒ1.0</t>
    <phoneticPr fontId="51"/>
  </si>
  <si>
    <t>コスト合計</t>
    <rPh sb="3" eb="5">
      <t>ゴウケイ</t>
    </rPh>
    <phoneticPr fontId="61"/>
  </si>
  <si>
    <t>形</t>
    <rPh sb="0" eb="1">
      <t>カタ</t>
    </rPh>
    <phoneticPr fontId="61"/>
  </si>
  <si>
    <t>無償</t>
    <rPh sb="0" eb="1">
      <t>ムショウ</t>
    </rPh>
    <phoneticPr fontId="57"/>
  </si>
  <si>
    <t>通貨</t>
    <rPh sb="0" eb="2">
      <t>ツウカ</t>
    </rPh>
    <phoneticPr fontId="61"/>
  </si>
  <si>
    <t>EUR</t>
    <phoneticPr fontId="57"/>
  </si>
  <si>
    <t>精算通貨</t>
    <rPh sb="0" eb="2">
      <t>セイサン</t>
    </rPh>
    <rPh sb="2" eb="4">
      <t>ツウカ</t>
    </rPh>
    <phoneticPr fontId="57"/>
  </si>
  <si>
    <t>SFDC工事番号</t>
    <rPh sb="4" eb="6">
      <t>コウジ</t>
    </rPh>
    <rPh sb="6" eb="8">
      <t>バンゴウ</t>
    </rPh>
    <phoneticPr fontId="57"/>
  </si>
  <si>
    <t>円/月</t>
    <rPh sb="0" eb="1">
      <t>エン</t>
    </rPh>
    <rPh sb="2" eb="3">
      <t>ツキ</t>
    </rPh>
    <phoneticPr fontId="57"/>
  </si>
  <si>
    <t>海外販社</t>
    <rPh sb="0" eb="2">
      <t>カイガイ</t>
    </rPh>
    <rPh sb="2" eb="4">
      <t>ハンシャ</t>
    </rPh>
    <phoneticPr fontId="57"/>
  </si>
  <si>
    <t>レップ社名</t>
    <rPh sb="3" eb="4">
      <t>シャ</t>
    </rPh>
    <rPh sb="4" eb="5">
      <t>メイ</t>
    </rPh>
    <phoneticPr fontId="57"/>
  </si>
  <si>
    <t>量産時期</t>
    <rPh sb="0" eb="2">
      <t>リョウサン</t>
    </rPh>
    <rPh sb="2" eb="4">
      <t>ジキ</t>
    </rPh>
    <phoneticPr fontId="57"/>
  </si>
  <si>
    <r>
      <t>用途</t>
    </r>
    <r>
      <rPr>
        <sz val="9"/>
        <color theme="1"/>
        <rFont val="ＭＳ Ｐゴシック"/>
        <family val="3"/>
        <charset val="128"/>
        <scheme val="minor"/>
      </rPr>
      <t>(アプリケーション)</t>
    </r>
    <rPh sb="0" eb="2">
      <t>ヨウト</t>
    </rPh>
    <phoneticPr fontId="57"/>
  </si>
  <si>
    <t>生産セット台数</t>
    <rPh sb="0" eb="2">
      <t>セイサン</t>
    </rPh>
    <rPh sb="5" eb="7">
      <t>ダイスウ</t>
    </rPh>
    <phoneticPr fontId="57"/>
  </si>
  <si>
    <t>プロジェクトピーク金額</t>
    <rPh sb="9" eb="11">
      <t>キンガク</t>
    </rPh>
    <phoneticPr fontId="57"/>
  </si>
  <si>
    <t>大分類</t>
    <rPh sb="0" eb="3">
      <t>ダイブンルイ</t>
    </rPh>
    <phoneticPr fontId="57"/>
  </si>
  <si>
    <t>中分類</t>
    <rPh sb="0" eb="3">
      <t>チュウブンルイ</t>
    </rPh>
    <phoneticPr fontId="57"/>
  </si>
  <si>
    <t>技術原計</t>
    <rPh sb="0" eb="1">
      <t>ギジュツ</t>
    </rPh>
    <rPh sb="1" eb="3">
      <t>ゲンケイ</t>
    </rPh>
    <phoneticPr fontId="57"/>
  </si>
  <si>
    <t>レート</t>
    <phoneticPr fontId="57"/>
  </si>
  <si>
    <t>○経営計画レート　○ 顧客契約レート　◎ その他のレート 　</t>
    <rPh sb="1" eb="3">
      <t>ケイエイ</t>
    </rPh>
    <rPh sb="3" eb="5">
      <t>ケイカク</t>
    </rPh>
    <rPh sb="13" eb="15">
      <t>ケイヤク</t>
    </rPh>
    <rPh sb="23" eb="24">
      <t>ホカ</t>
    </rPh>
    <phoneticPr fontId="57"/>
  </si>
  <si>
    <r>
      <t>製造原価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セイゾウ</t>
    </rPh>
    <rPh sb="2" eb="4">
      <t>ゲンカ</t>
    </rPh>
    <phoneticPr fontId="61"/>
  </si>
  <si>
    <t>総合計</t>
    <rPh sb="0" eb="3">
      <t>ソウゴウケイ</t>
    </rPh>
    <phoneticPr fontId="57"/>
  </si>
  <si>
    <t>形</t>
    <rPh sb="0" eb="1">
      <t>カタ</t>
    </rPh>
    <phoneticPr fontId="57"/>
  </si>
  <si>
    <t>形小計</t>
    <rPh sb="0" eb="1">
      <t>カタ</t>
    </rPh>
    <rPh sb="1" eb="3">
      <t>ショウケイ</t>
    </rPh>
    <phoneticPr fontId="57"/>
  </si>
  <si>
    <r>
      <t>レートタイプ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</si>
  <si>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有</t>
    <rPh sb="0" eb="1">
      <t>ア</t>
    </rPh>
    <phoneticPr fontId="57"/>
  </si>
  <si>
    <r>
      <t>コメント</t>
    </r>
    <r>
      <rPr>
        <sz val="10"/>
        <color rgb="FFFF0000"/>
        <rFont val="ＭＳ Ｐゴシック"/>
        <family val="3"/>
        <charset val="128"/>
        <scheme val="minor"/>
      </rPr>
      <t>*</t>
    </r>
    <phoneticPr fontId="57"/>
  </si>
  <si>
    <t>1行目の[貢献率]の桁数が異常です。入力内容を確認して下さい。</t>
    <rPh sb="1" eb="3">
      <t>ギョウメ</t>
    </rPh>
    <rPh sb="5" eb="8">
      <t>コウケンリツ</t>
    </rPh>
    <rPh sb="10" eb="12">
      <t>ケタスウ</t>
    </rPh>
    <rPh sb="13" eb="15">
      <t>イジョウ</t>
    </rPh>
    <rPh sb="18" eb="20">
      <t>ニュウリョク</t>
    </rPh>
    <rPh sb="20" eb="22">
      <t>ナイヨウ</t>
    </rPh>
    <rPh sb="23" eb="25">
      <t>カクニン</t>
    </rPh>
    <rPh sb="27" eb="28">
      <t>クダ</t>
    </rPh>
    <phoneticPr fontId="57"/>
  </si>
  <si>
    <t>SA-PR123456</t>
    <phoneticPr fontId="57"/>
  </si>
  <si>
    <t>案件番号：</t>
    <phoneticPr fontId="57"/>
  </si>
  <si>
    <r>
      <t>原計タイプ</t>
    </r>
    <r>
      <rPr>
        <sz val="10"/>
        <color rgb="FFFF0000"/>
        <rFont val="ＭＳ Ｐゴシック"/>
        <family val="3"/>
        <charset val="128"/>
        <scheme val="minor"/>
      </rPr>
      <t>*</t>
    </r>
    <rPh sb="0" eb="2">
      <t>ゲンケイ</t>
    </rPh>
    <phoneticPr fontId="57"/>
  </si>
  <si>
    <t>コメント</t>
    <phoneticPr fontId="57"/>
  </si>
  <si>
    <t>コメント入力</t>
    <rPh sb="3" eb="5">
      <t>ニュウリョク</t>
    </rPh>
    <phoneticPr fontId="57"/>
  </si>
  <si>
    <t>単価上申(外貨販売カスタム品)</t>
    <rPh sb="0" eb="2">
      <t>タンカ</t>
    </rPh>
    <rPh sb="2" eb="4">
      <t>ジョウシン</t>
    </rPh>
    <rPh sb="5" eb="7">
      <t>ガイカ</t>
    </rPh>
    <rPh sb="7" eb="9">
      <t>ハンバイ</t>
    </rPh>
    <rPh sb="13" eb="14">
      <t>シナ</t>
    </rPh>
    <phoneticPr fontId="57"/>
  </si>
  <si>
    <r>
      <t>原計通貨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ゲンケイ</t>
    </rPh>
    <rPh sb="2" eb="4">
      <t>ツウカ</t>
    </rPh>
    <phoneticPr fontId="61"/>
  </si>
  <si>
    <r>
      <t>申請通貨</t>
    </r>
    <r>
      <rPr>
        <sz val="9"/>
        <color rgb="FFFF0000"/>
        <rFont val="ＭＳ Ｐゴシック"/>
        <family val="3"/>
        <charset val="128"/>
        <scheme val="minor"/>
      </rPr>
      <t>*</t>
    </r>
    <rPh sb="0" eb="2">
      <t>シンセイ</t>
    </rPh>
    <rPh sb="2" eb="4">
      <t>ツウカ</t>
    </rPh>
    <phoneticPr fontId="61"/>
  </si>
  <si>
    <t>表示通貨</t>
    <rPh sb="0" eb="1">
      <t>ヒョウジ</t>
    </rPh>
    <rPh sb="1" eb="3">
      <t>ツウカ</t>
    </rPh>
    <phoneticPr fontId="57"/>
  </si>
  <si>
    <t>表示通貨</t>
    <rPh sb="0" eb="2">
      <t>ヒョウジ</t>
    </rPh>
    <rPh sb="2" eb="4">
      <t>ツウカ</t>
    </rPh>
    <phoneticPr fontId="57"/>
  </si>
  <si>
    <t>表示通貨</t>
    <rPh sb="0" eb="4">
      <t>ヒョウジツウカ</t>
    </rPh>
    <phoneticPr fontId="57"/>
  </si>
  <si>
    <t>r.1.1</t>
    <phoneticPr fontId="57"/>
  </si>
  <si>
    <t>古竹</t>
    <rPh sb="0" eb="2">
      <t>フルタケ</t>
    </rPh>
    <phoneticPr fontId="51"/>
  </si>
  <si>
    <t>-</t>
    <phoneticPr fontId="57"/>
  </si>
  <si>
    <t>機能仕様</t>
    <rPh sb="0" eb="4">
      <t>キノウシヨウ</t>
    </rPh>
    <phoneticPr fontId="57"/>
  </si>
  <si>
    <t>製品名</t>
    <rPh sb="0" eb="3">
      <t>セイヒンメイ</t>
    </rPh>
    <phoneticPr fontId="61"/>
  </si>
  <si>
    <t>新製品区分</t>
    <rPh sb="0" eb="3">
      <t>シンセイヒン</t>
    </rPh>
    <rPh sb="3" eb="5">
      <t>クブン</t>
    </rPh>
    <phoneticPr fontId="61"/>
  </si>
  <si>
    <t>製品販売状況</t>
    <rPh sb="0" eb="2">
      <t>セイヒン</t>
    </rPh>
    <rPh sb="2" eb="4">
      <t>ハンバイ</t>
    </rPh>
    <rPh sb="4" eb="6">
      <t>ジョウキョウ</t>
    </rPh>
    <phoneticPr fontId="61"/>
  </si>
  <si>
    <t>PCN番号</t>
    <rPh sb="3" eb="5">
      <t>バンゴウ</t>
    </rPh>
    <phoneticPr fontId="61"/>
  </si>
  <si>
    <t>-</t>
    <phoneticPr fontId="61"/>
  </si>
  <si>
    <t>画面項目(Screen Items)</t>
    <rPh sb="0" eb="4">
      <t>ガメンコウモク</t>
    </rPh>
    <phoneticPr fontId="13"/>
  </si>
  <si>
    <t>必須記入</t>
    <rPh sb="0" eb="2">
      <t>ヒッス</t>
    </rPh>
    <rPh sb="2" eb="4">
      <t>キニュウ</t>
    </rPh>
    <phoneticPr fontId="13"/>
  </si>
  <si>
    <t>項番
(No)</t>
    <phoneticPr fontId="13"/>
  </si>
  <si>
    <t>項目名(Item Name)</t>
    <phoneticPr fontId="13"/>
  </si>
  <si>
    <t>初期値
(Default Value)</t>
    <rPh sb="0" eb="3">
      <t>ショキチ</t>
    </rPh>
    <phoneticPr fontId="13"/>
  </si>
  <si>
    <t>備考
(Comment)</t>
    <rPh sb="0" eb="2">
      <t>ビコウ</t>
    </rPh>
    <phoneticPr fontId="13"/>
  </si>
  <si>
    <t>エリア
（Area）</t>
    <phoneticPr fontId="13"/>
  </si>
  <si>
    <t>項目名
(Item Name)</t>
    <phoneticPr fontId="13"/>
  </si>
  <si>
    <t>1</t>
  </si>
  <si>
    <t>パンくずリストエリア</t>
  </si>
  <si>
    <t>1.1</t>
  </si>
  <si>
    <t>パンくずリスト</t>
  </si>
  <si>
    <t>-</t>
  </si>
  <si>
    <t>エンドユーザー</t>
    <phoneticPr fontId="61"/>
  </si>
  <si>
    <t>提出先企業名</t>
    <phoneticPr fontId="61"/>
  </si>
  <si>
    <t>2</t>
  </si>
  <si>
    <t>申請確認エリア</t>
    <rPh sb="0" eb="2">
      <t>シンセイ</t>
    </rPh>
    <rPh sb="2" eb="4">
      <t>カクニン</t>
    </rPh>
    <phoneticPr fontId="61"/>
  </si>
  <si>
    <t>2.1</t>
    <phoneticPr fontId="61"/>
  </si>
  <si>
    <t>初期申請製品数</t>
    <rPh sb="0" eb="2">
      <t>ショキ</t>
    </rPh>
    <rPh sb="2" eb="4">
      <t>シンセイ</t>
    </rPh>
    <rPh sb="4" eb="6">
      <t>セイヒン</t>
    </rPh>
    <rPh sb="6" eb="7">
      <t>スウ</t>
    </rPh>
    <phoneticPr fontId="61"/>
  </si>
  <si>
    <t>申請確認画面で表示された製品数
※重複、製品データ該当なしの件数も含む</t>
    <phoneticPr fontId="61"/>
  </si>
  <si>
    <t>2.2</t>
    <phoneticPr fontId="61"/>
  </si>
  <si>
    <t>申請に対するチェック結果の説明</t>
    <phoneticPr fontId="61"/>
  </si>
  <si>
    <t>2.3</t>
  </si>
  <si>
    <t>2.4</t>
  </si>
  <si>
    <t>申請画面からフォーム送信される「エンドユーザー」パラメータの値</t>
    <phoneticPr fontId="61"/>
  </si>
  <si>
    <t>2.5</t>
  </si>
  <si>
    <t>CSVダウンロードボタン</t>
    <phoneticPr fontId="61"/>
  </si>
  <si>
    <t>2.6</t>
    <phoneticPr fontId="61"/>
  </si>
  <si>
    <t>申請チェックボックス</t>
    <phoneticPr fontId="61"/>
  </si>
  <si>
    <t>申請可否の情報</t>
    <rPh sb="0" eb="2">
      <t>シンセイ</t>
    </rPh>
    <rPh sb="2" eb="4">
      <t>カヒ</t>
    </rPh>
    <rPh sb="5" eb="7">
      <t>ジョウホウ</t>
    </rPh>
    <phoneticPr fontId="61"/>
  </si>
  <si>
    <t>※画面表示フォーマットは「処理詳細」シートの「■A－１－７－２．製品証明書情報取得処理よりエラーハンドリングフォーマット」を参照する</t>
    <rPh sb="1" eb="3">
      <t>ガメン</t>
    </rPh>
    <rPh sb="3" eb="5">
      <t>ヒョウジ</t>
    </rPh>
    <rPh sb="62" eb="64">
      <t>サンショウ</t>
    </rPh>
    <phoneticPr fontId="61"/>
  </si>
  <si>
    <t>2.7</t>
    <phoneticPr fontId="61"/>
  </si>
  <si>
    <t>申請画面からフォーム送信される「製品名/CL-No」の配列パラメータの値、または、「環境証明書申請製品情報」の「製品名」の値</t>
    <rPh sb="0" eb="2">
      <t>シンセイ</t>
    </rPh>
    <rPh sb="2" eb="4">
      <t>ガメン</t>
    </rPh>
    <rPh sb="10" eb="12">
      <t>ソウシン</t>
    </rPh>
    <rPh sb="16" eb="19">
      <t>セイヒンメイ</t>
    </rPh>
    <rPh sb="56" eb="59">
      <t>セイヒンメイ</t>
    </rPh>
    <rPh sb="61" eb="62">
      <t>アタイ</t>
    </rPh>
    <phoneticPr fontId="61"/>
  </si>
  <si>
    <t>&lt;表示内容&gt;（製品名とCLコード）
　①申請画面からフォーム送信される「製品名/CL-No」を基に「環境証明書申請製品情報」を取得できた場合
　　　・画面項目.製品名：データ「環境証明書申請製品情報」の「製品名」を表示する
　　　・画面項目.CLコード：データ「環境証明書申請製品情報」の「CLコード」を表示する
　②上記①でない場合
　　　1）申請画面からフォーム送信される「製品名/CL-No」の配列パラメータ値が
　　　　　　「HrsNo形式」（数値11桁）、または、「CLコード形式」（CL9999-9999-9-99）の場合
　　　　　　・画面項目.製品名："-"（ハイフン）を表示する
　　　　　　・画面項目.CLコード：申請画面からフォーム送信される「製品名/CL-No」の配列パラメータ値を表示する。
　　　2）上記1）でない場合
　　　　　　・画面項目.製品名：申請画面からフォーム送信される「製品名/CL-No」の配列パラメータ値を表示する。
　　　　　　・画面項目.CLコード："-"（ハイフン）を表示する
　※値がないときは"-"（ハイフン）を表示する。
　　（値がないときとはレコードなしや値がnullの場合を指す。従って、例えば値がスペースなどのときは、スペースという値があると判定）</t>
    <rPh sb="1" eb="3">
      <t>ヒョウジ</t>
    </rPh>
    <rPh sb="3" eb="5">
      <t>ナイヨウ</t>
    </rPh>
    <rPh sb="7" eb="10">
      <t>セイヒンメイ</t>
    </rPh>
    <rPh sb="75" eb="77">
      <t>ガメン</t>
    </rPh>
    <rPh sb="77" eb="79">
      <t>コウモク</t>
    </rPh>
    <rPh sb="80" eb="83">
      <t>セイヒンメイ</t>
    </rPh>
    <rPh sb="102" eb="105">
      <t>セイヒンメイ</t>
    </rPh>
    <rPh sb="160" eb="162">
      <t>ジョウキ</t>
    </rPh>
    <rPh sb="166" eb="168">
      <t>バアイ</t>
    </rPh>
    <rPh sb="345" eb="347">
      <t>ハイレツ</t>
    </rPh>
    <rPh sb="352" eb="353">
      <t>チ</t>
    </rPh>
    <rPh sb="354" eb="356">
      <t>ヒョウジ</t>
    </rPh>
    <rPh sb="366" eb="368">
      <t>ジョウキ</t>
    </rPh>
    <rPh sb="373" eb="375">
      <t>バアイ</t>
    </rPh>
    <rPh sb="496" eb="497">
      <t>アタイ</t>
    </rPh>
    <rPh sb="511" eb="512">
      <t>アタイ</t>
    </rPh>
    <rPh sb="518" eb="520">
      <t>バアイ</t>
    </rPh>
    <rPh sb="521" eb="522">
      <t>サ</t>
    </rPh>
    <rPh sb="524" eb="525">
      <t>シタガ</t>
    </rPh>
    <rPh sb="528" eb="529">
      <t>タト</t>
    </rPh>
    <phoneticPr fontId="61"/>
  </si>
  <si>
    <t>2.8</t>
    <phoneticPr fontId="61"/>
  </si>
  <si>
    <t>CL（製品番号）</t>
    <phoneticPr fontId="61"/>
  </si>
  <si>
    <t>申請画面からフォーム送信される「製品名/CL-No」の配列パラメータの値、または、「環境証明書申請製品情報」の「CLコード」の値</t>
    <phoneticPr fontId="61"/>
  </si>
  <si>
    <t>&lt;表示内容&gt;
　上記の「製品名」の「&lt;表示内容&gt;（製品名とCLコード）」を参照
※画面表示フォーマットは「処理詳細」シートの「■A－１－７－２．製品証明書情報取得処理よりエラーハンドリングフォーマット」を参照する</t>
    <rPh sb="103" eb="105">
      <t>サンショウ</t>
    </rPh>
    <phoneticPr fontId="61"/>
  </si>
  <si>
    <t>2.9</t>
    <phoneticPr fontId="61"/>
  </si>
  <si>
    <t>取得した「製品」の「新製品区分」の値</t>
    <rPh sb="0" eb="2">
      <t>シュトク</t>
    </rPh>
    <rPh sb="5" eb="7">
      <t>セイヒン</t>
    </rPh>
    <rPh sb="10" eb="13">
      <t>シンセイヒン</t>
    </rPh>
    <rPh sb="13" eb="15">
      <t>クブン</t>
    </rPh>
    <rPh sb="17" eb="18">
      <t>アタイ</t>
    </rPh>
    <phoneticPr fontId="61"/>
  </si>
  <si>
    <t>※値がないときは"-"（ハイフン）を表示する。
　（値がないときとはレコードなしや値がnullの場合を指す。従って、例えば値がスペースなどのときは、スペースという値があると判定）</t>
    <phoneticPr fontId="61"/>
  </si>
  <si>
    <t>2.10</t>
    <phoneticPr fontId="61"/>
  </si>
  <si>
    <t>取得した「製品」より判定した「製品販売状況区分」のラベル値</t>
    <rPh sb="0" eb="2">
      <t>シュトク</t>
    </rPh>
    <rPh sb="5" eb="7">
      <t>セイヒン</t>
    </rPh>
    <rPh sb="10" eb="12">
      <t>ハンテイ</t>
    </rPh>
    <rPh sb="15" eb="17">
      <t>セイヒン</t>
    </rPh>
    <rPh sb="17" eb="19">
      <t>ハンバイ</t>
    </rPh>
    <rPh sb="19" eb="21">
      <t>ジョウキョウ</t>
    </rPh>
    <rPh sb="21" eb="23">
      <t>クブン</t>
    </rPh>
    <rPh sb="28" eb="29">
      <t>アタイ</t>
    </rPh>
    <phoneticPr fontId="61"/>
  </si>
  <si>
    <t>2.11</t>
    <phoneticPr fontId="61"/>
  </si>
  <si>
    <t>取得した「製品」の「変更通知No.」の値</t>
    <rPh sb="0" eb="2">
      <t>シュトク</t>
    </rPh>
    <rPh sb="5" eb="7">
      <t>セイヒン</t>
    </rPh>
    <rPh sb="10" eb="12">
      <t>ヘンコウ</t>
    </rPh>
    <rPh sb="12" eb="14">
      <t>ツウチ</t>
    </rPh>
    <rPh sb="19" eb="20">
      <t>アタイ</t>
    </rPh>
    <phoneticPr fontId="61"/>
  </si>
  <si>
    <t>※値がないときは"-"（ハイフン）を表示する。
　（値がないときとはnullの場合を指す。従って、例えば値がスペースなどのときは、スペースという値があると判定）</t>
    <rPh sb="1" eb="2">
      <t>アタイ</t>
    </rPh>
    <rPh sb="18" eb="20">
      <t>ヒョウジ</t>
    </rPh>
    <phoneticPr fontId="61"/>
  </si>
  <si>
    <t>2.12</t>
    <phoneticPr fontId="61"/>
  </si>
  <si>
    <t>申請された証明書種類</t>
    <phoneticPr fontId="61"/>
  </si>
  <si>
    <t>申請画面からフォーム送信される「化学物質データ選択」配列パラメータの値</t>
    <phoneticPr fontId="61"/>
  </si>
  <si>
    <t>2.13</t>
    <phoneticPr fontId="61"/>
  </si>
  <si>
    <t>製品毎の申請可否チェック結果</t>
    <phoneticPr fontId="61"/>
  </si>
  <si>
    <t>2.8の製品番号に対応する証明書毎のチェック結果</t>
    <rPh sb="4" eb="6">
      <t>セイヒン</t>
    </rPh>
    <rPh sb="6" eb="8">
      <t>バンゴウ</t>
    </rPh>
    <rPh sb="9" eb="11">
      <t>タイオウ</t>
    </rPh>
    <rPh sb="13" eb="16">
      <t>ショウメイショ</t>
    </rPh>
    <rPh sb="16" eb="17">
      <t>ゴト</t>
    </rPh>
    <rPh sb="22" eb="24">
      <t>ケッカ</t>
    </rPh>
    <phoneticPr fontId="61"/>
  </si>
  <si>
    <t>2.14</t>
    <phoneticPr fontId="61"/>
  </si>
  <si>
    <t>戻る</t>
    <phoneticPr fontId="61"/>
  </si>
  <si>
    <t>申請</t>
    <phoneticPr fontId="61"/>
  </si>
  <si>
    <t>いいえボタン</t>
    <phoneticPr fontId="61"/>
  </si>
  <si>
    <t>2.17</t>
    <phoneticPr fontId="61"/>
  </si>
  <si>
    <t>はいボタン</t>
    <phoneticPr fontId="61"/>
  </si>
  <si>
    <t>2.18</t>
    <phoneticPr fontId="61"/>
  </si>
  <si>
    <t>申請製品数</t>
    <phoneticPr fontId="61"/>
  </si>
  <si>
    <t>選択された製品の件数を表示する。</t>
    <rPh sb="0" eb="2">
      <t>センタク</t>
    </rPh>
    <rPh sb="5" eb="7">
      <t>セイヒン</t>
    </rPh>
    <rPh sb="8" eb="10">
      <t>ケンスウ</t>
    </rPh>
    <rPh sb="11" eb="13">
      <t>ヒョウジ</t>
    </rPh>
    <phoneticPr fontId="61"/>
  </si>
  <si>
    <t>申請確認ダイアログをクローズする。
※処理詳細の「Ａ－３．申請について」を参照する。
※「申請処理」エラー時
　　・入力チェックエラーが発生する場合、該当のエラーメッセージを2.19の画面項目に表示する。　※「入力チェック」シート参照
　　・処理エラーが発生する場合、message.E.F.000031で定義されているエラーメッセージを2.19の画面項目に表示する。</t>
    <rPh sb="19" eb="21">
      <t>ショリ</t>
    </rPh>
    <rPh sb="21" eb="23">
      <t>ショウサイ</t>
    </rPh>
    <rPh sb="37" eb="39">
      <t>サンショウ</t>
    </rPh>
    <rPh sb="45" eb="47">
      <t>シンセイ</t>
    </rPh>
    <rPh sb="47" eb="49">
      <t>ショリ</t>
    </rPh>
    <rPh sb="53" eb="54">
      <t>ジ</t>
    </rPh>
    <rPh sb="121" eb="123">
      <t>ショリ</t>
    </rPh>
    <rPh sb="127" eb="129">
      <t>ハッセイ</t>
    </rPh>
    <rPh sb="131" eb="133">
      <t>バアイ</t>
    </rPh>
    <phoneticPr fontId="61"/>
  </si>
  <si>
    <t>No</t>
    <phoneticPr fontId="61"/>
  </si>
  <si>
    <t>修飾子</t>
    <rPh sb="0" eb="3">
      <t>シュウショクシ</t>
    </rPh>
    <phoneticPr fontId="61"/>
  </si>
  <si>
    <t>clCode</t>
    <phoneticPr fontId="61"/>
  </si>
  <si>
    <t>partNo</t>
    <phoneticPr fontId="61"/>
  </si>
  <si>
    <t>CLコード</t>
    <phoneticPr fontId="61"/>
  </si>
  <si>
    <t>Non-compliant</t>
    <phoneticPr fontId="61"/>
  </si>
  <si>
    <r>
      <rPr>
        <sz val="10"/>
        <color rgb="FFFF9900"/>
        <rFont val="Meiryo UI"/>
        <family val="3"/>
        <charset val="128"/>
      </rPr>
      <t>ホーム</t>
    </r>
    <r>
      <rPr>
        <sz val="10"/>
        <rFont val="Meiryo UI"/>
        <family val="3"/>
        <charset val="128"/>
      </rPr>
      <t xml:space="preserve"> / 化学物質データ申請確認</t>
    </r>
    <rPh sb="5" eb="9">
      <t>カガクブッシツ</t>
    </rPh>
    <rPh sb="13" eb="17">
      <t>シンセイカクニン</t>
    </rPh>
    <phoneticPr fontId="57"/>
  </si>
  <si>
    <t xml:space="preserve"> A社</t>
    <rPh sb="2" eb="3">
      <t>シャ</t>
    </rPh>
    <phoneticPr fontId="57"/>
  </si>
  <si>
    <t>CL</t>
    <phoneticPr fontId="57"/>
  </si>
  <si>
    <t>SDS</t>
    <phoneticPr fontId="57"/>
  </si>
  <si>
    <t>☑</t>
    <phoneticPr fontId="57"/>
  </si>
  <si>
    <t>NameA</t>
    <phoneticPr fontId="57"/>
  </si>
  <si>
    <t>NameB</t>
    <phoneticPr fontId="57"/>
  </si>
  <si>
    <t>NameC</t>
    <phoneticPr fontId="57"/>
  </si>
  <si>
    <t>NameD</t>
    <phoneticPr fontId="57"/>
  </si>
  <si>
    <t>NameF</t>
    <phoneticPr fontId="57"/>
  </si>
  <si>
    <t>CL0123-
4567-8-90</t>
    <phoneticPr fontId="57"/>
  </si>
  <si>
    <t>CL0123-
4567-8-91</t>
    <phoneticPr fontId="57"/>
  </si>
  <si>
    <t>CL0123-
4567-8-92</t>
    <phoneticPr fontId="57"/>
  </si>
  <si>
    <t>CL0123-
4567-8-93</t>
    <phoneticPr fontId="57"/>
  </si>
  <si>
    <t>CL0123-
4567-8-95</t>
    <phoneticPr fontId="57"/>
  </si>
  <si>
    <t>CL0123-
4567-8-96</t>
    <phoneticPr fontId="57"/>
  </si>
  <si>
    <t>2024-01</t>
    <phoneticPr fontId="57"/>
  </si>
  <si>
    <t>2023-12</t>
    <phoneticPr fontId="57"/>
  </si>
  <si>
    <t>2023-10</t>
    <phoneticPr fontId="57"/>
  </si>
  <si>
    <t>2023-11</t>
    <phoneticPr fontId="57"/>
  </si>
  <si>
    <t>YES</t>
    <phoneticPr fontId="57"/>
  </si>
  <si>
    <t>Non-complia
nt</t>
    <phoneticPr fontId="57"/>
  </si>
  <si>
    <t>Request</t>
    <phoneticPr fontId="57"/>
  </si>
  <si>
    <t>申請確認ダイアログ</t>
    <rPh sb="0" eb="4">
      <t>シンセイカクニン</t>
    </rPh>
    <phoneticPr fontId="57"/>
  </si>
  <si>
    <t>化学物質データ新規申請を行いますか</t>
    <rPh sb="0" eb="4">
      <t>カガクブッシツ</t>
    </rPh>
    <rPh sb="7" eb="11">
      <t>シンキシンセイ</t>
    </rPh>
    <rPh sb="12" eb="13">
      <t>オコナ</t>
    </rPh>
    <phoneticPr fontId="57"/>
  </si>
  <si>
    <t>(○○　件)</t>
    <rPh sb="4" eb="5">
      <t>ケン</t>
    </rPh>
    <phoneticPr fontId="57"/>
  </si>
  <si>
    <t>1. パンくずリストエリア</t>
  </si>
  <si>
    <t>1.1　パンくずリスト</t>
  </si>
  <si>
    <r>
      <t xml:space="preserve">提出先企業名
</t>
    </r>
    <r>
      <rPr>
        <sz val="7"/>
        <rFont val="Meiryo UI"/>
        <family val="3"/>
        <charset val="128"/>
      </rPr>
      <t xml:space="preserve">Submission_company </t>
    </r>
    <rPh sb="0" eb="3">
      <t>テイシュツサキ</t>
    </rPh>
    <rPh sb="3" eb="6">
      <t>キギョウメイ</t>
    </rPh>
    <phoneticPr fontId="57"/>
  </si>
  <si>
    <r>
      <t xml:space="preserve">エンドユーザー
</t>
    </r>
    <r>
      <rPr>
        <sz val="7"/>
        <rFont val="Meiryo UI"/>
        <family val="3"/>
        <charset val="128"/>
      </rPr>
      <t>End user</t>
    </r>
    <phoneticPr fontId="57"/>
  </si>
  <si>
    <r>
      <rPr>
        <sz val="7"/>
        <rFont val="Meiryo UI"/>
        <family val="3"/>
        <charset val="128"/>
      </rPr>
      <t>製品名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name</t>
    </r>
    <rPh sb="0" eb="3">
      <t>セイヒンメイ</t>
    </rPh>
    <phoneticPr fontId="57"/>
  </si>
  <si>
    <r>
      <t xml:space="preserve">生産終了
予定品
</t>
    </r>
    <r>
      <rPr>
        <sz val="5"/>
        <rFont val="Meiryo UI"/>
        <family val="3"/>
        <charset val="128"/>
      </rPr>
      <t>Products to be discontinued</t>
    </r>
    <rPh sb="0" eb="2">
      <t>セイサン</t>
    </rPh>
    <rPh sb="2" eb="4">
      <t>シュウリョウ</t>
    </rPh>
    <rPh sb="5" eb="7">
      <t>ヨテイ</t>
    </rPh>
    <rPh sb="7" eb="8">
      <t>ヒン</t>
    </rPh>
    <phoneticPr fontId="57"/>
  </si>
  <si>
    <r>
      <t xml:space="preserve">カスタム(他
社販売可)
</t>
    </r>
    <r>
      <rPr>
        <sz val="5"/>
        <rFont val="Meiryo UI"/>
        <family val="3"/>
        <charset val="128"/>
      </rPr>
      <t>Custom(Can be sold by other companies)</t>
    </r>
    <rPh sb="5" eb="6">
      <t>ホカ</t>
    </rPh>
    <rPh sb="7" eb="8">
      <t>シャ</t>
    </rPh>
    <rPh sb="8" eb="10">
      <t>ハンバイ</t>
    </rPh>
    <rPh sb="10" eb="11">
      <t>カ</t>
    </rPh>
    <phoneticPr fontId="57"/>
  </si>
  <si>
    <r>
      <t xml:space="preserve">オリジナル
(特定社)
</t>
    </r>
    <r>
      <rPr>
        <sz val="5"/>
        <rFont val="Meiryo UI"/>
        <family val="3"/>
        <charset val="128"/>
      </rPr>
      <t>Original(Specified company)</t>
    </r>
    <rPh sb="7" eb="9">
      <t>トクテイ</t>
    </rPh>
    <rPh sb="9" eb="10">
      <t>シャ</t>
    </rPh>
    <phoneticPr fontId="57"/>
  </si>
  <si>
    <r>
      <t xml:space="preserve">オリジナル
</t>
    </r>
    <r>
      <rPr>
        <sz val="5"/>
        <rFont val="Meiryo UI"/>
        <family val="3"/>
        <charset val="128"/>
      </rPr>
      <t>Original</t>
    </r>
    <phoneticPr fontId="57"/>
  </si>
  <si>
    <r>
      <t xml:space="preserve">カスタム(他
社販売不可)
</t>
    </r>
    <r>
      <rPr>
        <sz val="5"/>
        <rFont val="Meiryo UI"/>
        <family val="3"/>
        <charset val="128"/>
      </rPr>
      <t>Custom(Cannot be sold by other companies)</t>
    </r>
    <rPh sb="5" eb="6">
      <t>ホカ</t>
    </rPh>
    <rPh sb="7" eb="8">
      <t>シャ</t>
    </rPh>
    <rPh sb="8" eb="10">
      <t>ハンバイ</t>
    </rPh>
    <rPh sb="10" eb="12">
      <t>フカ</t>
    </rPh>
    <phoneticPr fontId="57"/>
  </si>
  <si>
    <r>
      <t xml:space="preserve">新規設計
非推奨
</t>
    </r>
    <r>
      <rPr>
        <sz val="5"/>
        <rFont val="Meiryo UI"/>
        <family val="3"/>
        <charset val="128"/>
      </rPr>
      <t>New designs are not recommended</t>
    </r>
    <rPh sb="0" eb="4">
      <t>シンキセッケイ</t>
    </rPh>
    <rPh sb="5" eb="8">
      <t>ヒスイショウ</t>
    </rPh>
    <phoneticPr fontId="57"/>
  </si>
  <si>
    <t>販売品
Items for sales</t>
    <rPh sb="0" eb="3">
      <t>ハンバイヒン</t>
    </rPh>
    <phoneticPr fontId="57"/>
  </si>
  <si>
    <t>Application confirmation dialog</t>
    <phoneticPr fontId="57"/>
  </si>
  <si>
    <t>(○○　Items)</t>
    <phoneticPr fontId="57"/>
  </si>
  <si>
    <r>
      <t xml:space="preserve">製品選択フォーム
</t>
    </r>
    <r>
      <rPr>
        <sz val="8"/>
        <color theme="1"/>
        <rFont val="Meiryo UI"/>
        <family val="3"/>
        <charset val="128"/>
      </rPr>
      <t>Product selection form</t>
    </r>
    <rPh sb="0" eb="4">
      <t>セイヒンセンタク</t>
    </rPh>
    <phoneticPr fontId="57"/>
  </si>
  <si>
    <t>化学物質データ/Chemical substance data</t>
    <rPh sb="0" eb="2">
      <t>カガクブッシツ</t>
    </rPh>
    <phoneticPr fontId="57"/>
  </si>
  <si>
    <t>以下のようにパンくずリストを表示する。</t>
    <rPh sb="0" eb="2">
      <t>イカ</t>
    </rPh>
    <rPh sb="14" eb="16">
      <t>ヒョウジ</t>
    </rPh>
    <phoneticPr fontId="3"/>
  </si>
  <si>
    <t>『製品トップ &gt; 化学物質データ申請確認』</t>
    <rPh sb="1" eb="3">
      <t>セイヒン</t>
    </rPh>
    <rPh sb="9" eb="11">
      <t>カガク</t>
    </rPh>
    <rPh sb="11" eb="13">
      <t>ブッシツ</t>
    </rPh>
    <rPh sb="16" eb="18">
      <t>シンセイ</t>
    </rPh>
    <rPh sb="18" eb="20">
      <t>カクニン</t>
    </rPh>
    <phoneticPr fontId="3"/>
  </si>
  <si>
    <t>r1.1</t>
    <phoneticPr fontId="13"/>
  </si>
  <si>
    <t>古竹</t>
    <rPh sb="0" eb="2">
      <t>フルタケ</t>
    </rPh>
    <phoneticPr fontId="13"/>
  </si>
  <si>
    <t>化学物質データ申請確認画面の内容を日英併記に変更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14" eb="16">
      <t>ナイヨウ</t>
    </rPh>
    <rPh sb="17" eb="19">
      <t>ニチエイ</t>
    </rPh>
    <rPh sb="19" eb="21">
      <t>ヘイキ</t>
    </rPh>
    <rPh sb="22" eb="24">
      <t>ヘンコウ</t>
    </rPh>
    <phoneticPr fontId="13"/>
  </si>
  <si>
    <t>Items</t>
    <phoneticPr fontId="57"/>
  </si>
  <si>
    <t>日本語</t>
    <rPh sb="0" eb="3">
      <t>ニホンゴ</t>
    </rPh>
    <phoneticPr fontId="57"/>
  </si>
  <si>
    <t>English</t>
    <phoneticPr fontId="57"/>
  </si>
  <si>
    <t>Non-compliant</t>
    <phoneticPr fontId="57"/>
  </si>
  <si>
    <t>We can't submit the certificate for non-compliant.</t>
    <phoneticPr fontId="57"/>
  </si>
  <si>
    <t>ヒロセ営業担当へご連絡、または環境各種要求書を発行</t>
    <rPh sb="3" eb="5">
      <t>エイギョウ</t>
    </rPh>
    <rPh sb="5" eb="7">
      <t>タントウ</t>
    </rPh>
    <rPh sb="9" eb="11">
      <t>レンラク</t>
    </rPh>
    <phoneticPr fontId="57"/>
  </si>
  <si>
    <t>Please contact to Hirose sales or request on the environment data base.</t>
    <phoneticPr fontId="57"/>
  </si>
  <si>
    <t>グレー背景
Gray background</t>
    <phoneticPr fontId="57"/>
  </si>
  <si>
    <t>重複した製品</t>
    <phoneticPr fontId="57"/>
  </si>
  <si>
    <t>Duplicate products</t>
    <phoneticPr fontId="57"/>
  </si>
  <si>
    <t>赤背景
Red background</t>
    <phoneticPr fontId="57"/>
  </si>
  <si>
    <t>システムに製品の該当なし</t>
    <phoneticPr fontId="57"/>
  </si>
  <si>
    <t>Products are not registered in the system.</t>
    <phoneticPr fontId="57"/>
  </si>
  <si>
    <t>申請した製品数: 5 件
Number of products applied: 5 products</t>
    <rPh sb="0" eb="2">
      <t>シンセイ</t>
    </rPh>
    <rPh sb="4" eb="7">
      <t>セイヒンスウ</t>
    </rPh>
    <rPh sb="11" eb="12">
      <t>ケン</t>
    </rPh>
    <phoneticPr fontId="57"/>
  </si>
  <si>
    <t>高精度分析データ(ICP)
Analysis Data(ICP)</t>
    <phoneticPr fontId="57"/>
  </si>
  <si>
    <t>chemSHERPA</t>
    <phoneticPr fontId="57"/>
  </si>
  <si>
    <t>Do you want to apply?</t>
    <phoneticPr fontId="57"/>
  </si>
  <si>
    <r>
      <rPr>
        <sz val="7"/>
        <rFont val="Meiryo UI"/>
        <family val="3"/>
        <charset val="128"/>
      </rPr>
      <t xml:space="preserve">新製品区分
</t>
    </r>
    <r>
      <rPr>
        <sz val="6"/>
        <rFont val="Meiryo UI"/>
        <family val="3"/>
        <charset val="128"/>
      </rPr>
      <t>New Product Class</t>
    </r>
    <rPh sb="0" eb="3">
      <t>シンセイヒン</t>
    </rPh>
    <rPh sb="3" eb="4">
      <t>ク</t>
    </rPh>
    <rPh sb="4" eb="5">
      <t>フン</t>
    </rPh>
    <phoneticPr fontId="57"/>
  </si>
  <si>
    <r>
      <t xml:space="preserve">製品販売
状況
</t>
    </r>
    <r>
      <rPr>
        <sz val="6"/>
        <rFont val="Meiryo UI"/>
        <family val="3"/>
        <charset val="128"/>
      </rPr>
      <t>Product Sales Status</t>
    </r>
    <phoneticPr fontId="57"/>
  </si>
  <si>
    <r>
      <t xml:space="preserve">PCN番号
</t>
    </r>
    <r>
      <rPr>
        <sz val="6"/>
        <rFont val="Meiryo UI"/>
        <family val="3"/>
        <charset val="128"/>
      </rPr>
      <t>PCN No</t>
    </r>
    <rPh sb="3" eb="5">
      <t>バンゴウ</t>
    </rPh>
    <phoneticPr fontId="57"/>
  </si>
  <si>
    <r>
      <rPr>
        <sz val="7"/>
        <rFont val="Meiryo UI"/>
        <family val="3"/>
        <charset val="128"/>
      </rPr>
      <t>RoHS証明書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RoHS Certificate</t>
    </r>
    <rPh sb="4" eb="7">
      <t>ショウメイショ</t>
    </rPh>
    <phoneticPr fontId="57"/>
  </si>
  <si>
    <r>
      <rPr>
        <sz val="7"/>
        <rFont val="Meiryo UI"/>
        <family val="3"/>
        <charset val="128"/>
      </rPr>
      <t>ハロゲンフリー証明書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Certificate of Halogen Free</t>
    </r>
    <rPh sb="7" eb="10">
      <t>ショウメイショ</t>
    </rPh>
    <phoneticPr fontId="57"/>
  </si>
  <si>
    <r>
      <rPr>
        <sz val="7"/>
        <rFont val="Meiryo UI"/>
        <family val="3"/>
        <charset val="128"/>
      </rPr>
      <t>成分表</t>
    </r>
    <r>
      <rPr>
        <sz val="7.5"/>
        <rFont val="Meiryo UI"/>
        <family val="3"/>
        <charset val="128"/>
      </rPr>
      <t xml:space="preserve">
</t>
    </r>
    <r>
      <rPr>
        <sz val="6"/>
        <rFont val="Meiryo UI"/>
        <family val="3"/>
        <charset val="128"/>
      </rPr>
      <t>Product Chemical Substances Table</t>
    </r>
    <rPh sb="0" eb="3">
      <t>セイブンヒョウ</t>
    </rPh>
    <phoneticPr fontId="57"/>
  </si>
  <si>
    <r>
      <t xml:space="preserve">SVHC調査報告書
</t>
    </r>
    <r>
      <rPr>
        <sz val="6"/>
        <rFont val="Meiryo UI"/>
        <family val="3"/>
        <charset val="128"/>
      </rPr>
      <t>Report of SVHC</t>
    </r>
    <rPh sb="4" eb="5">
      <t>チョウ</t>
    </rPh>
    <rPh sb="5" eb="6">
      <t>サ</t>
    </rPh>
    <rPh sb="6" eb="9">
      <t>ホウコクショ</t>
    </rPh>
    <phoneticPr fontId="57"/>
  </si>
  <si>
    <t>化学物質データ申請確認</t>
    <phoneticPr fontId="51"/>
  </si>
  <si>
    <t>化学物質データ申請</t>
    <phoneticPr fontId="51"/>
  </si>
  <si>
    <t>r1.2</t>
    <phoneticPr fontId="51"/>
  </si>
  <si>
    <t>英語表記を現行の英語表記に変更、項目変更</t>
    <rPh sb="0" eb="4">
      <t>エイゴヒョウキ</t>
    </rPh>
    <rPh sb="5" eb="7">
      <t>ゲンコウ</t>
    </rPh>
    <rPh sb="8" eb="12">
      <t>エイゴヒョウキ</t>
    </rPh>
    <rPh sb="13" eb="15">
      <t>ヘンコウ</t>
    </rPh>
    <rPh sb="16" eb="20">
      <t>コウモクヘンコウ</t>
    </rPh>
    <phoneticPr fontId="51"/>
  </si>
  <si>
    <t>「化学物質データ申請確認画面」シート</t>
    <phoneticPr fontId="51"/>
  </si>
  <si>
    <t>■チェックボックスが一つも選択されない場合、
　　　「申請」ボタンは非活性となる。
■チェックボックスが一つ以上選択さてている場合、
　　　「申請確認ダイアログ」がポップアップで表示される。</t>
    <rPh sb="13" eb="15">
      <t>センタク</t>
    </rPh>
    <rPh sb="52" eb="53">
      <t>ヒト</t>
    </rPh>
    <rPh sb="54" eb="56">
      <t>イジョウ</t>
    </rPh>
    <rPh sb="56" eb="58">
      <t>センタク</t>
    </rPh>
    <rPh sb="63" eb="65">
      <t>バアイ</t>
    </rPh>
    <rPh sb="89" eb="91">
      <t>ヒョウジ</t>
    </rPh>
    <phoneticPr fontId="61"/>
  </si>
  <si>
    <t>処理詳細</t>
    <rPh sb="0" eb="2">
      <t>ショリ</t>
    </rPh>
    <rPh sb="2" eb="4">
      <t>ショウサイ</t>
    </rPh>
    <phoneticPr fontId="13"/>
  </si>
  <si>
    <t>※以下のフロー図を参照する</t>
    <rPh sb="1" eb="3">
      <t>イカ</t>
    </rPh>
    <rPh sb="7" eb="8">
      <t>ズ</t>
    </rPh>
    <rPh sb="9" eb="11">
      <t>サンショウ</t>
    </rPh>
    <phoneticPr fontId="61"/>
  </si>
  <si>
    <t>申請画面からのHTTPパラメータで製品名/CLコードリスト取得</t>
    <rPh sb="17" eb="20">
      <t>セイヒンメイ</t>
    </rPh>
    <phoneticPr fontId="61"/>
  </si>
  <si>
    <t>製品名/CLコードより証明書の情報取得</t>
    <rPh sb="0" eb="3">
      <t>セイヒンメイ</t>
    </rPh>
    <rPh sb="11" eb="14">
      <t>ショウメイショ</t>
    </rPh>
    <rPh sb="15" eb="17">
      <t>ジョウホウ</t>
    </rPh>
    <rPh sb="17" eb="19">
      <t>シュトク</t>
    </rPh>
    <phoneticPr fontId="61"/>
  </si>
  <si>
    <t>抽出条件（OR）</t>
    <rPh sb="0" eb="2">
      <t>チュウシュツ</t>
    </rPh>
    <rPh sb="2" eb="4">
      <t>ジョウケン</t>
    </rPh>
    <phoneticPr fontId="61"/>
  </si>
  <si>
    <t>※1　入力値の形式がHRS-No（数字11桁）の場合はCLコードの形式（CL9999-9999-9-99）に変換</t>
    <phoneticPr fontId="61"/>
  </si>
  <si>
    <t>※2　入力値に以下の全角記号が含まれる場合は半角に変換</t>
    <rPh sb="7" eb="9">
      <t>イカ</t>
    </rPh>
    <rPh sb="12" eb="14">
      <t>キゴウ</t>
    </rPh>
    <phoneticPr fontId="61"/>
  </si>
  <si>
    <t>－　→　-</t>
  </si>
  <si>
    <t>（　→　(</t>
  </si>
  <si>
    <t>）　→　)</t>
  </si>
  <si>
    <t>＋　→　+</t>
  </si>
  <si>
    <t>＊　→　*</t>
  </si>
  <si>
    <t>／　→　/</t>
  </si>
  <si>
    <t>項目名</t>
    <rPh sb="0" eb="2">
      <t>コウモク</t>
    </rPh>
    <rPh sb="2" eb="3">
      <t>メイ</t>
    </rPh>
    <phoneticPr fontId="61"/>
  </si>
  <si>
    <t>hrsNo</t>
    <phoneticPr fontId="61"/>
  </si>
  <si>
    <t>HRS No</t>
    <phoneticPr fontId="61"/>
  </si>
  <si>
    <t>製品名</t>
    <phoneticPr fontId="61"/>
  </si>
  <si>
    <t>available</t>
    <phoneticPr fontId="61"/>
  </si>
  <si>
    <t>申請可能</t>
    <phoneticPr fontId="61"/>
  </si>
  <si>
    <t>request</t>
    <phoneticPr fontId="61"/>
  </si>
  <si>
    <t>Request</t>
    <phoneticPr fontId="61"/>
  </si>
  <si>
    <t>nonCompliant</t>
    <phoneticPr fontId="61"/>
  </si>
  <si>
    <t>製品名/CLコードの重複チェック</t>
    <rPh sb="0" eb="3">
      <t>セイヒンメイ</t>
    </rPh>
    <rPh sb="10" eb="12">
      <t>チョウフク</t>
    </rPh>
    <phoneticPr fontId="13"/>
  </si>
  <si>
    <t>：</t>
    <phoneticPr fontId="61"/>
  </si>
  <si>
    <t>環境証明書申請製品情報の「CLコード」を基に重複チェックを実施</t>
    <rPh sb="20" eb="21">
      <t>モト</t>
    </rPh>
    <rPh sb="22" eb="24">
      <t>チョウフク</t>
    </rPh>
    <rPh sb="29" eb="31">
      <t>ジッシ</t>
    </rPh>
    <phoneticPr fontId="61"/>
  </si>
  <si>
    <t>入力リスト.製品名/CLコードを基に重複チェックを実施</t>
    <rPh sb="0" eb="2">
      <t>ニュウリョク</t>
    </rPh>
    <rPh sb="6" eb="9">
      <t>セイヒンメイ</t>
    </rPh>
    <rPh sb="16" eb="17">
      <t>モト</t>
    </rPh>
    <rPh sb="18" eb="20">
      <t>チョウフク</t>
    </rPh>
    <rPh sb="25" eb="27">
      <t>ジッシ</t>
    </rPh>
    <phoneticPr fontId="61"/>
  </si>
  <si>
    <t>CLコードより製品マスター情報取得</t>
    <rPh sb="7" eb="9">
      <t>セイヒン</t>
    </rPh>
    <rPh sb="13" eb="15">
      <t>ジョウホウ</t>
    </rPh>
    <rPh sb="15" eb="17">
      <t>シュトク</t>
    </rPh>
    <phoneticPr fontId="61"/>
  </si>
  <si>
    <t>code</t>
    <phoneticPr fontId="61"/>
  </si>
  <si>
    <t>newProductClass[lang]</t>
    <phoneticPr fontId="61"/>
  </si>
  <si>
    <t>discontinued</t>
    <phoneticPr fontId="61"/>
  </si>
  <si>
    <t>廃図フラグ</t>
    <phoneticPr fontId="61"/>
  </si>
  <si>
    <t>lastOrderDate</t>
    <phoneticPr fontId="61"/>
  </si>
  <si>
    <t>最終受注受付日</t>
    <phoneticPr fontId="61"/>
  </si>
  <si>
    <t>nrndPriorityFlag</t>
    <phoneticPr fontId="61"/>
  </si>
  <si>
    <t>新規設計非推奨（手動優先フラグ）</t>
    <phoneticPr fontId="61"/>
  </si>
  <si>
    <t>nrndManualFlag</t>
    <phoneticPr fontId="61"/>
  </si>
  <si>
    <t>新規設計非推奨（手動設定フラグ）</t>
    <rPh sb="0" eb="2">
      <t>シンキ</t>
    </rPh>
    <rPh sb="2" eb="4">
      <t>セッケイ</t>
    </rPh>
    <rPh sb="4" eb="5">
      <t>ヒ</t>
    </rPh>
    <rPh sb="5" eb="7">
      <t>スイショウ</t>
    </rPh>
    <rPh sb="8" eb="10">
      <t>シュドウ</t>
    </rPh>
    <rPh sb="10" eb="12">
      <t>セッテイ</t>
    </rPh>
    <phoneticPr fontId="61"/>
  </si>
  <si>
    <t>salesCondition</t>
    <phoneticPr fontId="61"/>
  </si>
  <si>
    <t>新規受注制限</t>
    <rPh sb="0" eb="2">
      <t>シンキ</t>
    </rPh>
    <rPh sb="2" eb="4">
      <t>ジュチュウ</t>
    </rPh>
    <rPh sb="4" eb="6">
      <t>セイゲン</t>
    </rPh>
    <phoneticPr fontId="61"/>
  </si>
  <si>
    <t>terminationPlanDocumentNo</t>
    <phoneticPr fontId="61"/>
  </si>
  <si>
    <t>変更通知No.</t>
    <rPh sb="0" eb="2">
      <t>ヘンコウ</t>
    </rPh>
    <rPh sb="2" eb="4">
      <t>ツウチ</t>
    </rPh>
    <phoneticPr fontId="61"/>
  </si>
  <si>
    <t>申請可能条件よりチェック</t>
    <rPh sb="0" eb="2">
      <t>シンセイ</t>
    </rPh>
    <rPh sb="2" eb="4">
      <t>カノウ</t>
    </rPh>
    <rPh sb="4" eb="6">
      <t>ジョウケン</t>
    </rPh>
    <phoneticPr fontId="61"/>
  </si>
  <si>
    <t>※本処理を実施しない場合は「申請可能チェック結果OK」扱いとなる。</t>
    <rPh sb="1" eb="2">
      <t>ホン</t>
    </rPh>
    <rPh sb="2" eb="4">
      <t>ショリ</t>
    </rPh>
    <rPh sb="5" eb="7">
      <t>ジッシ</t>
    </rPh>
    <rPh sb="10" eb="12">
      <t>バアイ</t>
    </rPh>
    <rPh sb="27" eb="28">
      <t>アツカ</t>
    </rPh>
    <phoneticPr fontId="61"/>
  </si>
  <si>
    <t>申請可能チェック結果OK</t>
    <rPh sb="0" eb="2">
      <t>シンセイ</t>
    </rPh>
    <rPh sb="2" eb="4">
      <t>カノウ</t>
    </rPh>
    <rPh sb="8" eb="10">
      <t>ケッカ</t>
    </rPh>
    <phoneticPr fontId="61"/>
  </si>
  <si>
    <t>申請可能チェック結果NG</t>
    <rPh sb="0" eb="2">
      <t>シンセイ</t>
    </rPh>
    <rPh sb="2" eb="4">
      <t>カノウ</t>
    </rPh>
    <rPh sb="8" eb="10">
      <t>ケッカ</t>
    </rPh>
    <phoneticPr fontId="61"/>
  </si>
  <si>
    <t>社員と販売と代理店権限</t>
    <rPh sb="0" eb="2">
      <t>シャイン</t>
    </rPh>
    <rPh sb="3" eb="5">
      <t>ハンバイ</t>
    </rPh>
    <rPh sb="6" eb="9">
      <t>ダイリテン</t>
    </rPh>
    <rPh sb="9" eb="11">
      <t>ケンゲン</t>
    </rPh>
    <phoneticPr fontId="61"/>
  </si>
  <si>
    <t>代理店権限</t>
    <rPh sb="0" eb="3">
      <t>ダイリテン</t>
    </rPh>
    <rPh sb="3" eb="5">
      <t>ケンゲン</t>
    </rPh>
    <phoneticPr fontId="61"/>
  </si>
  <si>
    <t>すべての証明書が（Non-compliant ）申請不可</t>
    <phoneticPr fontId="61"/>
  </si>
  <si>
    <t>なにもしない</t>
    <phoneticPr fontId="61"/>
  </si>
  <si>
    <t>証明書は１件以上申請可能
※「YES : 申請可能」または「Request : 問い合わせ可否はシステムで判断できない」）</t>
    <phoneticPr fontId="61"/>
  </si>
  <si>
    <r>
      <t>「</t>
    </r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」に書き直す</t>
    </r>
    <phoneticPr fontId="61"/>
  </si>
  <si>
    <t>製品が重複する</t>
    <phoneticPr fontId="61"/>
  </si>
  <si>
    <t>背景色</t>
    <phoneticPr fontId="61"/>
  </si>
  <si>
    <t>文字列</t>
    <rPh sb="0" eb="3">
      <t>モジレツ</t>
    </rPh>
    <phoneticPr fontId="61"/>
  </si>
  <si>
    <t>チェックボックス</t>
    <phoneticPr fontId="61"/>
  </si>
  <si>
    <t>パターン</t>
    <phoneticPr fontId="61"/>
  </si>
  <si>
    <t>灰色</t>
    <phoneticPr fontId="61"/>
  </si>
  <si>
    <t>表示しない</t>
    <phoneticPr fontId="61"/>
  </si>
  <si>
    <t>①</t>
    <phoneticPr fontId="61"/>
  </si>
  <si>
    <t>左と同様※①</t>
    <rPh sb="0" eb="1">
      <t>ヒダリ</t>
    </rPh>
    <rPh sb="2" eb="4">
      <t>ドウヨウ</t>
    </rPh>
    <phoneticPr fontId="61"/>
  </si>
  <si>
    <t>申請可能（YES）の証明書がない
※「Non-compliant : 申請不可」または「Request : 問い合わせ可否はシステムで判断できない」）</t>
    <phoneticPr fontId="61"/>
  </si>
  <si>
    <t>なし</t>
    <phoneticPr fontId="61"/>
  </si>
  <si>
    <t>Request(+)/Non-compliant(*)</t>
    <phoneticPr fontId="61"/>
  </si>
  <si>
    <t>②</t>
    <phoneticPr fontId="61"/>
  </si>
  <si>
    <t>左と同様※②</t>
    <rPh sb="0" eb="1">
      <t>ヒダリ</t>
    </rPh>
    <rPh sb="2" eb="4">
      <t>ドウヨウ</t>
    </rPh>
    <phoneticPr fontId="61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</si>
  <si>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>※⑥</t>
    </r>
    <phoneticPr fontId="61"/>
  </si>
  <si>
    <t>証明書は１件以上申請可能
※「YES : 申請可能」</t>
    <phoneticPr fontId="61"/>
  </si>
  <si>
    <t>YES(+)/Request(*)/Non-compliant(*)</t>
    <phoneticPr fontId="61"/>
  </si>
  <si>
    <t>表示</t>
    <phoneticPr fontId="61"/>
  </si>
  <si>
    <t>③</t>
    <phoneticPr fontId="61"/>
  </si>
  <si>
    <t>左と同様※③</t>
    <rPh sb="0" eb="1">
      <t>ヒダリ</t>
    </rPh>
    <rPh sb="2" eb="4">
      <t>ドウヨウ</t>
    </rPh>
    <phoneticPr fontId="61"/>
  </si>
  <si>
    <r>
      <rPr>
        <b/>
        <sz val="11"/>
        <rFont val="Meiryo UI"/>
        <family val="3"/>
        <charset val="128"/>
      </rPr>
      <t>Contact</t>
    </r>
    <r>
      <rPr>
        <sz val="11"/>
        <rFont val="Meiryo UI"/>
        <family val="3"/>
        <charset val="128"/>
      </rPr>
      <t xml:space="preserve">※⑥
</t>
    </r>
    <r>
      <rPr>
        <b/>
        <sz val="11"/>
        <rFont val="Meiryo UI"/>
        <family val="3"/>
        <charset val="128"/>
      </rPr>
      <t>※チェックボックス表示しない</t>
    </r>
    <rPh sb="19" eb="21">
      <t>ヒョウジ</t>
    </rPh>
    <phoneticPr fontId="61"/>
  </si>
  <si>
    <t>赤</t>
    <phoneticPr fontId="61"/>
  </si>
  <si>
    <t>空白</t>
    <rPh sb="0" eb="2">
      <t>クウハク</t>
    </rPh>
    <phoneticPr fontId="61"/>
  </si>
  <si>
    <t>④</t>
    <phoneticPr fontId="61"/>
  </si>
  <si>
    <t>左と同様※④</t>
    <rPh sb="0" eb="1">
      <t>ヒダリ</t>
    </rPh>
    <rPh sb="2" eb="4">
      <t>ドウヨウ</t>
    </rPh>
    <phoneticPr fontId="61"/>
  </si>
  <si>
    <t>⑤</t>
    <phoneticPr fontId="61"/>
  </si>
  <si>
    <t>左と同様※⑤</t>
    <rPh sb="0" eb="1">
      <t>ヒダリ</t>
    </rPh>
    <rPh sb="2" eb="4">
      <t>ドウヨウ</t>
    </rPh>
    <phoneticPr fontId="61"/>
  </si>
  <si>
    <t>※別シート「画面項目」を参照</t>
    <rPh sb="1" eb="2">
      <t>ベツ</t>
    </rPh>
    <phoneticPr fontId="61"/>
  </si>
  <si>
    <t>※「ダウンロードCSVファイルについて」のシートを参照する</t>
    <rPh sb="25" eb="27">
      <t>サンショウ</t>
    </rPh>
    <phoneticPr fontId="61"/>
  </si>
  <si>
    <t>※別ブック「SERP110_帳票定義書_環境証明書申請製品一覧.xlsx」を参照</t>
    <phoneticPr fontId="61"/>
  </si>
  <si>
    <t>◆CSVヘッダーのファイル出力例と導出元</t>
    <phoneticPr fontId="61"/>
  </si>
  <si>
    <t>項目</t>
    <rPh sb="0" eb="2">
      <t>コウモク</t>
    </rPh>
    <phoneticPr fontId="61"/>
  </si>
  <si>
    <t>導出元(Source)</t>
    <rPh sb="0" eb="2">
      <t>ドウシュツ</t>
    </rPh>
    <rPh sb="2" eb="3">
      <t>モト</t>
    </rPh>
    <phoneticPr fontId="61"/>
  </si>
  <si>
    <t>◆CSV本文のファイル出力例と導出元</t>
    <rPh sb="4" eb="6">
      <t>ホンブン</t>
    </rPh>
    <phoneticPr fontId="61"/>
  </si>
  <si>
    <t>申請データをinsertする処理</t>
    <phoneticPr fontId="61"/>
  </si>
  <si>
    <t>※処理詳細は「出力編集仕様（DB）」のシートを参照する</t>
    <rPh sb="1" eb="3">
      <t>ショリ</t>
    </rPh>
    <rPh sb="3" eb="5">
      <t>ショウサイ</t>
    </rPh>
    <rPh sb="7" eb="9">
      <t>シュツリョク</t>
    </rPh>
    <rPh sb="9" eb="11">
      <t>ヘンシュウ</t>
    </rPh>
    <rPh sb="11" eb="13">
      <t>シヨウ</t>
    </rPh>
    <rPh sb="23" eb="25">
      <t>サンショウ</t>
    </rPh>
    <phoneticPr fontId="61"/>
  </si>
  <si>
    <t>申請CSVファイル出力</t>
  </si>
  <si>
    <t>■ファイル出力例と導出元</t>
    <phoneticPr fontId="61"/>
  </si>
  <si>
    <t>行番号</t>
    <rPh sb="0" eb="3">
      <t>ギョウバンゴウ</t>
    </rPh>
    <phoneticPr fontId="61"/>
  </si>
  <si>
    <t>説明</t>
    <rPh sb="0" eb="2">
      <t>セツメイ</t>
    </rPh>
    <phoneticPr fontId="61"/>
  </si>
  <si>
    <t>2018-00001</t>
    <phoneticPr fontId="61"/>
  </si>
  <si>
    <t>申請番号</t>
    <phoneticPr fontId="61"/>
  </si>
  <si>
    <t>HrsChemicalSubstance.appNo</t>
    <phoneticPr fontId="61"/>
  </si>
  <si>
    <t>DB自動採番</t>
    <rPh sb="2" eb="4">
      <t>ジドウ</t>
    </rPh>
    <rPh sb="4" eb="6">
      <t>サイバン</t>
    </rPh>
    <phoneticPr fontId="61"/>
  </si>
  <si>
    <t>"1","1","0","1","0","1","0"</t>
    <phoneticPr fontId="61"/>
  </si>
  <si>
    <t>申請する化学物質証明書</t>
    <phoneticPr fontId="61"/>
  </si>
  <si>
    <t>HTTPリクエストパラメータの「化学物質データ選択」の配列数分ループ。
1件のパラメータについて、
RoHS適合証明書→ハロゲンフリー証明書→ICP→SDS→AIS→chemSHERPA→SVHC調査報告書
の順番で照合し、マッチした場合は"1"、アンマッチの場合は"0"
※証明書順番の情報はシステムマスタの対応するキーを参照する
　　　　Key：chemicalsubstancedata.csv.sort
　　　　Value：rohc,ais,halogen_free   ..etc</t>
    <rPh sb="144" eb="146">
      <t>ジョウホウ</t>
    </rPh>
    <rPh sb="155" eb="157">
      <t>タイオウ</t>
    </rPh>
    <rPh sb="162" eb="164">
      <t>サンショウ</t>
    </rPh>
    <phoneticPr fontId="61"/>
  </si>
  <si>
    <t>例：
・RoHS、ハロゲンフリ、証明書、ICP、SDS、AIS、chemSHERPA、SVHC調査報告書を申請する場合、「RoHS適合証明書→ハロゲンフリー証明書→ICP→SDS→AIS→chemSHERPA→SVHC調査報告書」とぴったりマッチするため、「"1","1","1","1","1","1","1","1"」になります。
・RoHS、ICP、AIS、chemSHERPAを申請する場合、「RoHS適合証明書→ハロゲンフリー証明書→ICP→SDS→AIS→chemSHERPA→SVHC調査報告書」とマッチして、太字の項目がマッチしないため、「"1","0","0","1","0","1","1","0"」になります。</t>
    <rPh sb="0" eb="1">
      <t>タト</t>
    </rPh>
    <rPh sb="265" eb="267">
      <t>コウモク</t>
    </rPh>
    <phoneticPr fontId="61"/>
  </si>
  <si>
    <t>CL0222-4567-8-90</t>
    <phoneticPr fontId="61"/>
  </si>
  <si>
    <t>申請したCL番号</t>
    <rPh sb="0" eb="2">
      <t>シンセイ</t>
    </rPh>
    <rPh sb="6" eb="8">
      <t>バンゴウ</t>
    </rPh>
    <phoneticPr fontId="61"/>
  </si>
  <si>
    <t>画面.CLコードリスト
※画面で選択されたCLコードが対象となる</t>
    <rPh sb="13" eb="15">
      <t>ガメン</t>
    </rPh>
    <rPh sb="16" eb="18">
      <t>センタク</t>
    </rPh>
    <rPh sb="27" eb="29">
      <t>タイショウ</t>
    </rPh>
    <phoneticPr fontId="61"/>
  </si>
  <si>
    <t>CL0222-4567-8-91</t>
    <phoneticPr fontId="61"/>
  </si>
  <si>
    <t>CL0222-4567-8-92</t>
    <phoneticPr fontId="61"/>
  </si>
  <si>
    <t>環境証明書申請完了お知らせメール送信</t>
  </si>
  <si>
    <t>「SEML030　環境証明書申請完了お知らせメール」を送信する。</t>
    <phoneticPr fontId="61"/>
  </si>
  <si>
    <t>また、申請者のサイト言語(HrsCustomer.sessionLanguage)に対応するメールテンプレートを使用する。</t>
    <rPh sb="42" eb="44">
      <t>タイオウ</t>
    </rPh>
    <phoneticPr fontId="61"/>
  </si>
  <si>
    <t>■区分値（証明書単位）のセット仕様	
・YES : 申請可能
・Non-compliant : 申請不可
・Request : 別途問合せしてください、の意味
・Contact：既存の問い合わせルートでの申請に促す											
■行（製品単位）のセット仕様：							
・グレー背景色：重複した製品名/CL番号
・赤背景色：システムに製品の該当なし
※画面表示フォーマットは「処理詳細」シートの「■A－１－７－２．製品証明書情報取得処理よりエラーハンドリングフォーマット」を参照する</t>
    <phoneticPr fontId="61"/>
  </si>
  <si>
    <t>非適合の為、提出できません。</t>
    <phoneticPr fontId="57"/>
  </si>
  <si>
    <t>申請確認ダイアログをクローズして、申請処理は実行しない。</t>
    <phoneticPr fontId="57"/>
  </si>
  <si>
    <t>フォーマット
(Format)</t>
    <phoneticPr fontId="13"/>
  </si>
  <si>
    <t>導出元
(Source)</t>
    <rPh sb="0" eb="3">
      <t>ドウシュツモト</t>
    </rPh>
    <phoneticPr fontId="13"/>
  </si>
  <si>
    <t>申請画面のHTTPパラメータ</t>
    <rPh sb="0" eb="4">
      <t>シンセイガメン</t>
    </rPh>
    <phoneticPr fontId="57"/>
  </si>
  <si>
    <t>申請画面からフォーム送信される「提出先企業名」パラメータの値</t>
    <phoneticPr fontId="61"/>
  </si>
  <si>
    <t>処理項目：項番1参照</t>
    <phoneticPr fontId="57"/>
  </si>
  <si>
    <t>申請製品情報マスタ 製品名</t>
    <rPh sb="0" eb="2">
      <t>シンセイ</t>
    </rPh>
    <rPh sb="2" eb="4">
      <t>セイヒン</t>
    </rPh>
    <rPh sb="4" eb="6">
      <t>ジョウホウ</t>
    </rPh>
    <rPh sb="10" eb="13">
      <t>セイヒンメイ</t>
    </rPh>
    <phoneticPr fontId="57"/>
  </si>
  <si>
    <t>申請製品情報マスタ CLコード</t>
    <rPh sb="0" eb="2">
      <t>シンセイ</t>
    </rPh>
    <rPh sb="2" eb="4">
      <t>セイヒン</t>
    </rPh>
    <rPh sb="4" eb="6">
      <t>ジョウホウ</t>
    </rPh>
    <phoneticPr fontId="57"/>
  </si>
  <si>
    <t>製品マスタ 新製品区分</t>
    <rPh sb="0" eb="2">
      <t>セイヒン</t>
    </rPh>
    <rPh sb="6" eb="11">
      <t>シンセイヒンクブン</t>
    </rPh>
    <phoneticPr fontId="57"/>
  </si>
  <si>
    <t>製品マスタ 製品販売状況</t>
    <rPh sb="0" eb="2">
      <t>セイヒン</t>
    </rPh>
    <rPh sb="6" eb="8">
      <t>セイヒン</t>
    </rPh>
    <rPh sb="8" eb="10">
      <t>ハンバイ</t>
    </rPh>
    <rPh sb="10" eb="12">
      <t>ジョウキョウ</t>
    </rPh>
    <phoneticPr fontId="57"/>
  </si>
  <si>
    <t>製品マスタ PCN No</t>
    <rPh sb="0" eb="2">
      <t>セイヒン</t>
    </rPh>
    <phoneticPr fontId="57"/>
  </si>
  <si>
    <t>ダウンロードCSV</t>
    <phoneticPr fontId="13"/>
  </si>
  <si>
    <t xml:space="preserve">化学物質データ申請確認画面で「CSVダウンロード」ボタンを押下すると該当するファイルを生成する
</t>
    <rPh sb="0" eb="2">
      <t>カガク</t>
    </rPh>
    <rPh sb="2" eb="4">
      <t>ブッシツ</t>
    </rPh>
    <rPh sb="7" eb="9">
      <t>シンセイ</t>
    </rPh>
    <rPh sb="9" eb="11">
      <t>カクニン</t>
    </rPh>
    <rPh sb="11" eb="13">
      <t>ガメン</t>
    </rPh>
    <rPh sb="29" eb="31">
      <t>オウカ</t>
    </rPh>
    <rPh sb="34" eb="36">
      <t>ガイトウ</t>
    </rPh>
    <rPh sb="43" eb="45">
      <t>セイセイ</t>
    </rPh>
    <phoneticPr fontId="61"/>
  </si>
  <si>
    <t>◆出力項目について</t>
    <rPh sb="1" eb="3">
      <t>シュツリョク</t>
    </rPh>
    <rPh sb="3" eb="5">
      <t>コウモク</t>
    </rPh>
    <phoneticPr fontId="61"/>
  </si>
  <si>
    <t>■RoHS、ハロゲンフリー、成分表、JAMP、SDS、chemSHERPA、SVHC調査報告書を申請する場合</t>
    <phoneticPr fontId="61"/>
  </si>
  <si>
    <t>例：</t>
    <rPh sb="0" eb="1">
      <t>レイ</t>
    </rPh>
    <phoneticPr fontId="61"/>
  </si>
  <si>
    <t>Part No</t>
    <phoneticPr fontId="61"/>
  </si>
  <si>
    <t>New Product Class</t>
    <phoneticPr fontId="61"/>
  </si>
  <si>
    <t>Product Sales Status Class</t>
    <phoneticPr fontId="61"/>
  </si>
  <si>
    <t>PCN No</t>
    <phoneticPr fontId="61"/>
  </si>
  <si>
    <t>CL check</t>
  </si>
  <si>
    <t>Name of company to be submitted</t>
    <phoneticPr fontId="61"/>
  </si>
  <si>
    <t>End customer</t>
  </si>
  <si>
    <t>Certificate of RoHS Conformity</t>
  </si>
  <si>
    <t>Certificate of Halogen Free</t>
  </si>
  <si>
    <t>Product Chemical Substances Table</t>
  </si>
  <si>
    <t>JAMP AIS</t>
  </si>
  <si>
    <t>SDS</t>
  </si>
  <si>
    <t>chemSHERPA</t>
  </si>
  <si>
    <t>SVHC</t>
    <phoneticPr fontId="61"/>
  </si>
  <si>
    <t>NameA</t>
    <phoneticPr fontId="61"/>
  </si>
  <si>
    <t>CL0123-4567-8-90</t>
  </si>
  <si>
    <t>オリジナル</t>
    <phoneticPr fontId="61"/>
  </si>
  <si>
    <t>生産終了予定品</t>
    <phoneticPr fontId="61"/>
  </si>
  <si>
    <t>2024-01</t>
    <phoneticPr fontId="61"/>
  </si>
  <si>
    <t>B社</t>
    <rPh sb="1" eb="2">
      <t>シャ</t>
    </rPh>
    <phoneticPr fontId="61"/>
  </si>
  <si>
    <t>A社</t>
  </si>
  <si>
    <t>YES</t>
    <phoneticPr fontId="61"/>
  </si>
  <si>
    <t>YES</t>
  </si>
  <si>
    <t>重複</t>
    <phoneticPr fontId="61"/>
  </si>
  <si>
    <t>NameB</t>
    <phoneticPr fontId="61"/>
  </si>
  <si>
    <t>CL0123-4567-8-91</t>
  </si>
  <si>
    <t>オリジナル(特定社)</t>
    <phoneticPr fontId="61"/>
  </si>
  <si>
    <t>生産終了品</t>
    <phoneticPr fontId="61"/>
  </si>
  <si>
    <t>2023-12</t>
    <phoneticPr fontId="61"/>
  </si>
  <si>
    <t>Non-compliant</t>
  </si>
  <si>
    <t>Request</t>
  </si>
  <si>
    <t>NameC</t>
    <phoneticPr fontId="61"/>
  </si>
  <si>
    <t>CL0123-4567-8-92</t>
  </si>
  <si>
    <t>カスタム(他社販売可)</t>
    <phoneticPr fontId="61"/>
  </si>
  <si>
    <t>新規設計非推奨</t>
    <phoneticPr fontId="61"/>
  </si>
  <si>
    <t>NameE</t>
    <phoneticPr fontId="61"/>
  </si>
  <si>
    <t>CL0123-4567-8-94</t>
    <phoneticPr fontId="61"/>
  </si>
  <si>
    <t>カスタム(他社販売不可)</t>
    <phoneticPr fontId="61"/>
  </si>
  <si>
    <t>販売品</t>
    <rPh sb="0" eb="2">
      <t>ハンバイ</t>
    </rPh>
    <rPh sb="2" eb="3">
      <t>ヒン</t>
    </rPh>
    <phoneticPr fontId="61"/>
  </si>
  <si>
    <t>CL0123-4567-8-96</t>
    <phoneticPr fontId="61"/>
  </si>
  <si>
    <t>該当なし</t>
  </si>
  <si>
    <t>■RoHS、ハロゲンフリー、成分表、JAMPを申請する場合</t>
    <phoneticPr fontId="61"/>
  </si>
  <si>
    <t>重複</t>
  </si>
  <si>
    <t>※</t>
    <phoneticPr fontId="61"/>
  </si>
  <si>
    <t>①該当するCSVの内容は画面で表示されるCL製品一覧の項目＋上記の点線で囲まれた項目である。</t>
    <rPh sb="1" eb="3">
      <t>ガイトウ</t>
    </rPh>
    <rPh sb="9" eb="11">
      <t>ナイヨウ</t>
    </rPh>
    <rPh sb="12" eb="14">
      <t>ガメン</t>
    </rPh>
    <rPh sb="15" eb="17">
      <t>ヒョウジ</t>
    </rPh>
    <rPh sb="22" eb="24">
      <t>セイヒン</t>
    </rPh>
    <rPh sb="24" eb="26">
      <t>イチラン</t>
    </rPh>
    <rPh sb="27" eb="29">
      <t>コウモク</t>
    </rPh>
    <rPh sb="30" eb="32">
      <t>ジョウキ</t>
    </rPh>
    <rPh sb="33" eb="35">
      <t>テンセン</t>
    </rPh>
    <rPh sb="36" eb="37">
      <t>カコ</t>
    </rPh>
    <rPh sb="40" eb="42">
      <t>コウモク</t>
    </rPh>
    <phoneticPr fontId="61"/>
  </si>
  <si>
    <t>②画面でチェックボックスを選択してないデータ、重複したデータまたはNon-compliantのデータもすべて出力される。</t>
    <phoneticPr fontId="61"/>
  </si>
  <si>
    <t>③製品名の昇順、CLコードの昇順（値がない場合は末尾）にて出力する（当画面の表示順と同じ仕様にする）</t>
    <rPh sb="1" eb="4">
      <t>セイヒンメイ</t>
    </rPh>
    <rPh sb="5" eb="7">
      <t>ショウジュン</t>
    </rPh>
    <rPh sb="14" eb="16">
      <t>ショウジュン</t>
    </rPh>
    <rPh sb="17" eb="18">
      <t>アタイ</t>
    </rPh>
    <rPh sb="21" eb="23">
      <t>バアイ</t>
    </rPh>
    <rPh sb="24" eb="26">
      <t>マツビ</t>
    </rPh>
    <rPh sb="29" eb="31">
      <t>シュツリョク</t>
    </rPh>
    <rPh sb="34" eb="35">
      <t>トウ</t>
    </rPh>
    <rPh sb="35" eb="37">
      <t>ガメン</t>
    </rPh>
    <rPh sb="38" eb="40">
      <t>ヒョウジ</t>
    </rPh>
    <rPh sb="40" eb="41">
      <t>ジュン</t>
    </rPh>
    <rPh sb="44" eb="46">
      <t>シヨウ</t>
    </rPh>
    <phoneticPr fontId="61"/>
  </si>
  <si>
    <r>
      <t>④画面から引き渡されているCLコード、</t>
    </r>
    <r>
      <rPr>
        <sz val="11"/>
        <color rgb="FFFF0000"/>
        <rFont val="Meiryo UI"/>
        <family val="3"/>
        <charset val="128"/>
      </rPr>
      <t>提出先企業名</t>
    </r>
    <r>
      <rPr>
        <sz val="11"/>
        <rFont val="Meiryo UI"/>
        <family val="3"/>
        <charset val="128"/>
      </rPr>
      <t>、エンドユーザーなどの項目以外について（詳細は別ブック「SERP110_帳票定義書_環境証明書申請製品一覧.xlsx」を参照）、「CSV DOWNLOAD」ボタン押下時に再度出力内容を取得している。</t>
    </r>
    <rPh sb="1" eb="3">
      <t>ガメン</t>
    </rPh>
    <rPh sb="5" eb="6">
      <t>ヒ</t>
    </rPh>
    <rPh sb="7" eb="8">
      <t>ワタ</t>
    </rPh>
    <rPh sb="19" eb="21">
      <t>テイシュツ</t>
    </rPh>
    <rPh sb="21" eb="22">
      <t>サキ</t>
    </rPh>
    <rPh sb="22" eb="24">
      <t>キギョウ</t>
    </rPh>
    <rPh sb="24" eb="25">
      <t>メイ</t>
    </rPh>
    <rPh sb="36" eb="38">
      <t>コウモク</t>
    </rPh>
    <rPh sb="38" eb="40">
      <t>イガイ</t>
    </rPh>
    <rPh sb="45" eb="47">
      <t>ショウサイ</t>
    </rPh>
    <phoneticPr fontId="61"/>
  </si>
  <si>
    <t>テーブル</t>
    <phoneticPr fontId="61"/>
  </si>
  <si>
    <t>証明書申請テーブル</t>
    <rPh sb="0" eb="5">
      <t>ショウメイショシンセイ</t>
    </rPh>
    <phoneticPr fontId="61"/>
  </si>
  <si>
    <t>申請製品情報マスタ CLコード=入力リスト.製品名/CLコード　※1</t>
    <rPh sb="0" eb="2">
      <t>シンセイ</t>
    </rPh>
    <rPh sb="2" eb="4">
      <t>セイヒン</t>
    </rPh>
    <rPh sb="4" eb="6">
      <t>ジョウホウ</t>
    </rPh>
    <rPh sb="16" eb="18">
      <t>ニュウリョク</t>
    </rPh>
    <rPh sb="22" eb="25">
      <t>セイヒンメイ</t>
    </rPh>
    <phoneticPr fontId="61"/>
  </si>
  <si>
    <t>申請製品情報マスタ 製品名=入力リスト.製品名/CLコード　※2</t>
    <rPh sb="0" eb="2">
      <t>シンセイ</t>
    </rPh>
    <rPh sb="2" eb="4">
      <t>セイヒン</t>
    </rPh>
    <rPh sb="4" eb="6">
      <t>ジョウホウ</t>
    </rPh>
    <rPh sb="10" eb="13">
      <t>セイヒンメイ</t>
    </rPh>
    <rPh sb="14" eb="16">
      <t>ニュウリョク</t>
    </rPh>
    <rPh sb="20" eb="23">
      <t>セイヒンメイ</t>
    </rPh>
    <phoneticPr fontId="61"/>
  </si>
  <si>
    <t>製品マスタ</t>
    <rPh sb="0" eb="2">
      <t>セイヒン</t>
    </rPh>
    <phoneticPr fontId="61"/>
  </si>
  <si>
    <t>申請製品情報マスタに存在する</t>
  </si>
  <si>
    <t>申請製品情報マスタに存在しない</t>
  </si>
  <si>
    <t>version</t>
    <phoneticPr fontId="61"/>
  </si>
  <si>
    <t>バージョン</t>
    <phoneticPr fontId="61"/>
  </si>
  <si>
    <t>出力編集仕様</t>
    <rPh sb="0" eb="2">
      <t>シュツリョク</t>
    </rPh>
    <rPh sb="2" eb="4">
      <t>ヘンシュウ</t>
    </rPh>
    <rPh sb="4" eb="6">
      <t>シヨウ</t>
    </rPh>
    <phoneticPr fontId="13"/>
  </si>
  <si>
    <t>化学物質データの環境証明書申請内容をデータベースに登録する。</t>
    <rPh sb="0" eb="2">
      <t>カガク</t>
    </rPh>
    <rPh sb="2" eb="4">
      <t>ブッシツ</t>
    </rPh>
    <rPh sb="8" eb="10">
      <t>カンキョウ</t>
    </rPh>
    <rPh sb="10" eb="13">
      <t>ショウメイショ</t>
    </rPh>
    <rPh sb="13" eb="15">
      <t>シンセイ</t>
    </rPh>
    <rPh sb="15" eb="17">
      <t>ナイヨウ</t>
    </rPh>
    <rPh sb="25" eb="27">
      <t>トウロク</t>
    </rPh>
    <phoneticPr fontId="61"/>
  </si>
  <si>
    <t>タイプ</t>
    <phoneticPr fontId="13"/>
  </si>
  <si>
    <t>説明</t>
    <rPh sb="0" eb="2">
      <t>セツメイ</t>
    </rPh>
    <phoneticPr fontId="13"/>
  </si>
  <si>
    <t>申請ボタンを押下する時
INSERT（UPDATEは発生しない）</t>
    <rPh sb="0" eb="2">
      <t>シンセイ</t>
    </rPh>
    <rPh sb="6" eb="8">
      <t>オウカ</t>
    </rPh>
    <rPh sb="10" eb="11">
      <t>ジ</t>
    </rPh>
    <rPh sb="26" eb="28">
      <t>ハッセイ</t>
    </rPh>
    <phoneticPr fontId="61"/>
  </si>
  <si>
    <t>備考</t>
    <phoneticPr fontId="61"/>
  </si>
  <si>
    <t>暦年と5桁の追番の間にハイフン（例：2018-00001）
※追番はhybrisのGeneratorの機構で生成する値（hrsChemicalSubstanceAppNoSeq）</t>
    <rPh sb="16" eb="17">
      <t>レイ</t>
    </rPh>
    <phoneticPr fontId="61"/>
  </si>
  <si>
    <t>画面項目の2.8毎に処理</t>
    <rPh sb="8" eb="9">
      <t>ゴト</t>
    </rPh>
    <rPh sb="10" eb="12">
      <t>ショリ</t>
    </rPh>
    <phoneticPr fontId="61"/>
  </si>
  <si>
    <t>ログインユーザのHrsCustomer.uid</t>
    <phoneticPr fontId="61"/>
  </si>
  <si>
    <t>システムの日付</t>
    <rPh sb="5" eb="7">
      <t>ヒヅケ</t>
    </rPh>
    <phoneticPr fontId="61"/>
  </si>
  <si>
    <r>
      <t>画面.</t>
    </r>
    <r>
      <rPr>
        <sz val="10"/>
        <color rgb="FFFF0000"/>
        <rFont val="Meiryo UI"/>
        <family val="3"/>
        <charset val="128"/>
      </rPr>
      <t>提出先企業名</t>
    </r>
    <phoneticPr fontId="61"/>
  </si>
  <si>
    <t>画面項目の2.3</t>
    <rPh sb="0" eb="2">
      <t>ガメン</t>
    </rPh>
    <rPh sb="2" eb="4">
      <t>コウモク</t>
    </rPh>
    <phoneticPr fontId="61"/>
  </si>
  <si>
    <t>画面.エンドユーザ</t>
    <phoneticPr fontId="61"/>
  </si>
  <si>
    <t>画面項目の2.4</t>
    <phoneticPr fontId="61"/>
  </si>
  <si>
    <t>未処理（ChemicalSubstanceStatus.unprocessed）</t>
    <rPh sb="0" eb="1">
      <t>ミ</t>
    </rPh>
    <rPh sb="1" eb="3">
      <t>ショリ</t>
    </rPh>
    <phoneticPr fontId="61"/>
  </si>
  <si>
    <t>申請ファイル取り込みバッチで更新できる</t>
    <rPh sb="14" eb="16">
      <t>コウシン</t>
    </rPh>
    <phoneticPr fontId="61"/>
  </si>
  <si>
    <t>申請ファイル取り込みバッチで更新する</t>
    <rPh sb="14" eb="16">
      <t>コウシン</t>
    </rPh>
    <phoneticPr fontId="61"/>
  </si>
  <si>
    <t>同上</t>
    <rPh sb="0" eb="2">
      <t>ドウジョウ</t>
    </rPh>
    <phoneticPr fontId="61"/>
  </si>
  <si>
    <t>画面.CLコード</t>
    <phoneticPr fontId="61"/>
  </si>
  <si>
    <t>画面項目の2.8毎に処理</t>
    <phoneticPr fontId="61"/>
  </si>
  <si>
    <t>画面.申請した証明書種類配列の各証明書</t>
    <rPh sb="0" eb="2">
      <t>ガメン</t>
    </rPh>
    <rPh sb="3" eb="5">
      <t>シンセイ</t>
    </rPh>
    <rPh sb="7" eb="10">
      <t>ショウメイショ</t>
    </rPh>
    <rPh sb="10" eb="12">
      <t>シュルイ</t>
    </rPh>
    <rPh sb="15" eb="16">
      <t>カク</t>
    </rPh>
    <phoneticPr fontId="61"/>
  </si>
  <si>
    <t>画面項目の2.12</t>
    <phoneticPr fontId="61"/>
  </si>
  <si>
    <t>環境証明書申請製品情報.製品名</t>
    <rPh sb="12" eb="15">
      <t>セイヒンメイ</t>
    </rPh>
    <phoneticPr fontId="61"/>
  </si>
  <si>
    <t>CLコードを基に再取得</t>
    <rPh sb="6" eb="7">
      <t>モト</t>
    </rPh>
    <rPh sb="8" eb="9">
      <t>サイ</t>
    </rPh>
    <rPh sb="9" eb="11">
      <t>シュトク</t>
    </rPh>
    <phoneticPr fontId="61"/>
  </si>
  <si>
    <t>製品マスター情報.新製品区分　※1</t>
    <rPh sb="0" eb="2">
      <t>セイヒン</t>
    </rPh>
    <rPh sb="6" eb="8">
      <t>ジョウホウ</t>
    </rPh>
    <rPh sb="9" eb="12">
      <t>シンセイヒン</t>
    </rPh>
    <rPh sb="12" eb="14">
      <t>クブン</t>
    </rPh>
    <phoneticPr fontId="61"/>
  </si>
  <si>
    <t>製品マスター情報を基に判定した「製品販売状況」
※判定方法の詳細は
別ブック「SERP070_帳票定義書_製品一覧（フロント）.xlsx」の
「帳票定義」シートの「販売状況」を参照</t>
    <rPh sb="9" eb="10">
      <t>モト</t>
    </rPh>
    <rPh sb="11" eb="13">
      <t>ハンテイ</t>
    </rPh>
    <rPh sb="16" eb="18">
      <t>セイヒン</t>
    </rPh>
    <rPh sb="18" eb="20">
      <t>ハンバイ</t>
    </rPh>
    <rPh sb="20" eb="22">
      <t>ジョウキョウ</t>
    </rPh>
    <rPh sb="25" eb="27">
      <t>ハンテイ</t>
    </rPh>
    <rPh sb="27" eb="29">
      <t>ホウホウ</t>
    </rPh>
    <rPh sb="30" eb="32">
      <t>ショウサイ</t>
    </rPh>
    <rPh sb="34" eb="35">
      <t>ベツ</t>
    </rPh>
    <rPh sb="82" eb="84">
      <t>ハンバイ</t>
    </rPh>
    <rPh sb="84" eb="86">
      <t>ジョウキョウ</t>
    </rPh>
    <rPh sb="88" eb="90">
      <t>サンショウ</t>
    </rPh>
    <phoneticPr fontId="61"/>
  </si>
  <si>
    <t>製品マスター情報.変更通知No.</t>
    <rPh sb="9" eb="11">
      <t>ヘンコウ</t>
    </rPh>
    <rPh sb="11" eb="13">
      <t>ツウチ</t>
    </rPh>
    <phoneticPr fontId="61"/>
  </si>
  <si>
    <t>※1</t>
    <phoneticPr fontId="61"/>
  </si>
  <si>
    <t>登録対象の言語は画面で選択可能な7言語（英語、日本語、韓国語、中国語、フランス語、ドイツ語、ロシア語）</t>
    <phoneticPr fontId="61"/>
  </si>
  <si>
    <t>基本的に、登録元の「製品マスター情報.新製品区分」にはGPDMから連携された言語のみ値が設定されている想定</t>
    <rPh sb="0" eb="3">
      <t>キホンテキ</t>
    </rPh>
    <rPh sb="5" eb="7">
      <t>トウロク</t>
    </rPh>
    <rPh sb="7" eb="8">
      <t>モト</t>
    </rPh>
    <rPh sb="33" eb="35">
      <t>レンケイ</t>
    </rPh>
    <rPh sb="38" eb="40">
      <t>ゲンゴ</t>
    </rPh>
    <rPh sb="42" eb="43">
      <t>アタイ</t>
    </rPh>
    <rPh sb="44" eb="46">
      <t>セッテイ</t>
    </rPh>
    <rPh sb="51" eb="53">
      <t>ソウテイ</t>
    </rPh>
    <phoneticPr fontId="61"/>
  </si>
  <si>
    <t>値が設定されていない言語の場合は、英語の値（フォールバック値）を設定（該当言語の内容に翻訳などはしない）</t>
    <rPh sb="0" eb="1">
      <t>アタイ</t>
    </rPh>
    <rPh sb="2" eb="4">
      <t>セッテイ</t>
    </rPh>
    <rPh sb="10" eb="12">
      <t>ゲンゴ</t>
    </rPh>
    <rPh sb="13" eb="15">
      <t>バアイ</t>
    </rPh>
    <rPh sb="17" eb="19">
      <t>エイゴ</t>
    </rPh>
    <rPh sb="20" eb="21">
      <t>アタイ</t>
    </rPh>
    <rPh sb="29" eb="30">
      <t>チ</t>
    </rPh>
    <rPh sb="32" eb="34">
      <t>セッテイ</t>
    </rPh>
    <rPh sb="35" eb="37">
      <t>ガイトウ</t>
    </rPh>
    <rPh sb="37" eb="39">
      <t>ゲンゴ</t>
    </rPh>
    <rPh sb="40" eb="42">
      <t>ナイヨウ</t>
    </rPh>
    <rPh sb="43" eb="45">
      <t>ホンヤク</t>
    </rPh>
    <phoneticPr fontId="61"/>
  </si>
  <si>
    <t>証明書申請テーブル, 証明書申請入力テーブル</t>
    <rPh sb="0" eb="5">
      <t>ショウメイショシンセイ</t>
    </rPh>
    <rPh sb="11" eb="18">
      <t>ショウメイショシンセイニュウリョク</t>
    </rPh>
    <phoneticPr fontId="61"/>
  </si>
  <si>
    <t>受付番号</t>
    <rPh sb="0" eb="4">
      <t>ウケツケバンゴウ</t>
    </rPh>
    <phoneticPr fontId="61"/>
  </si>
  <si>
    <t>ユーザーコード</t>
    <phoneticPr fontId="61"/>
  </si>
  <si>
    <t>要求日</t>
    <rPh sb="0" eb="3">
      <t>ヨウキュウビ</t>
    </rPh>
    <phoneticPr fontId="61"/>
  </si>
  <si>
    <t>ステータス</t>
    <phoneticPr fontId="61"/>
  </si>
  <si>
    <t>ダウンロード有効期限</t>
    <rPh sb="6" eb="8">
      <t>ユウコウ</t>
    </rPh>
    <rPh sb="8" eb="10">
      <t>キゲン</t>
    </rPh>
    <phoneticPr fontId="61"/>
  </si>
  <si>
    <t>ファイルサイズ</t>
    <phoneticPr fontId="61"/>
  </si>
  <si>
    <t>フォルダカウント</t>
    <phoneticPr fontId="61"/>
  </si>
  <si>
    <t>ファイルカウント</t>
    <phoneticPr fontId="61"/>
  </si>
  <si>
    <t>証明書申請入力テーブル</t>
    <rPh sb="0" eb="5">
      <t>ショウメイショシンセイ</t>
    </rPh>
    <rPh sb="5" eb="7">
      <t>ニュウリョク</t>
    </rPh>
    <phoneticPr fontId="61"/>
  </si>
  <si>
    <t>申請書証明書種類</t>
    <rPh sb="0" eb="6">
      <t>シンセイショショウメイショ</t>
    </rPh>
    <rPh sb="6" eb="8">
      <t>シュルイ</t>
    </rPh>
    <phoneticPr fontId="61"/>
  </si>
  <si>
    <t>新製品区分</t>
    <rPh sb="0" eb="5">
      <t>シンセイヒンクブン</t>
    </rPh>
    <phoneticPr fontId="61"/>
  </si>
  <si>
    <t>製品販売状況</t>
    <rPh sb="0" eb="6">
      <t>セイヒンハンバイジョウキョウ</t>
    </rPh>
    <phoneticPr fontId="61"/>
  </si>
  <si>
    <t>１－１．画面初期表示について</t>
    <rPh sb="4" eb="6">
      <t>ガメン</t>
    </rPh>
    <rPh sb="6" eb="8">
      <t>ショキ</t>
    </rPh>
    <rPh sb="8" eb="10">
      <t>ヒョウジ</t>
    </rPh>
    <phoneticPr fontId="13"/>
  </si>
  <si>
    <t>１－１－１．</t>
    <phoneticPr fontId="61"/>
  </si>
  <si>
    <t>１－１－２．</t>
  </si>
  <si>
    <t>■１－１－２－１．申請製品情報マスタ（HrsChemicalSubstanceProduct）</t>
  </si>
  <si>
    <t>■１－１－２－２．取得した製品照明書の情報と画面表示のマッピング</t>
    <rPh sb="9" eb="11">
      <t>シュトク</t>
    </rPh>
    <rPh sb="13" eb="15">
      <t>セイヒン</t>
    </rPh>
    <rPh sb="15" eb="17">
      <t>ショウメイ</t>
    </rPh>
    <rPh sb="17" eb="18">
      <t>ショ</t>
    </rPh>
    <rPh sb="19" eb="21">
      <t>ジョウホウ</t>
    </rPh>
    <rPh sb="22" eb="24">
      <t>ガメン</t>
    </rPh>
    <rPh sb="24" eb="26">
      <t>ヒョウジ</t>
    </rPh>
    <phoneticPr fontId="13"/>
  </si>
  <si>
    <t>１－１－３．</t>
  </si>
  <si>
    <t>・１－１－２．で環境証明書申請製品情報を取得できた場合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5" eb="27">
      <t>バアイ</t>
    </rPh>
    <phoneticPr fontId="61"/>
  </si>
  <si>
    <t>・１－１－２．で環境証明書申請製品情報を取得できなかった場合</t>
    <rPh sb="8" eb="10">
      <t>カンキョウ</t>
    </rPh>
    <rPh sb="10" eb="13">
      <t>ショウメイショ</t>
    </rPh>
    <rPh sb="13" eb="15">
      <t>シンセイ</t>
    </rPh>
    <rPh sb="15" eb="17">
      <t>セイヒン</t>
    </rPh>
    <rPh sb="17" eb="19">
      <t>ジョウホウ</t>
    </rPh>
    <rPh sb="20" eb="22">
      <t>シュトク</t>
    </rPh>
    <rPh sb="28" eb="30">
      <t>バアイ</t>
    </rPh>
    <phoneticPr fontId="61"/>
  </si>
  <si>
    <t>１－１－５．</t>
  </si>
  <si>
    <t>製品マスタ CLコード=１－１－２．で取得した「環境証明書申請製品情報」の「CLコード」</t>
    <rPh sb="0" eb="2">
      <t>セイヒン</t>
    </rPh>
    <rPh sb="19" eb="21">
      <t>シュトク</t>
    </rPh>
    <phoneticPr fontId="61"/>
  </si>
  <si>
    <t>■１－１－５－１．製品マスターテーブル抜粋（HrsProduct）</t>
    <rPh sb="9" eb="11">
      <t>セイヒン</t>
    </rPh>
    <rPh sb="19" eb="21">
      <t>バッスイ</t>
    </rPh>
    <phoneticPr fontId="61"/>
  </si>
  <si>
    <t>１－１－６．</t>
  </si>
  <si>
    <t>前提：１－１－５．で「製品マスター情報」のレコードを取得した場合に本処理を実施</t>
    <rPh sb="0" eb="2">
      <t>ゼンテイ</t>
    </rPh>
    <rPh sb="11" eb="13">
      <t>セイヒン</t>
    </rPh>
    <rPh sb="17" eb="19">
      <t>ジョウホウ</t>
    </rPh>
    <rPh sb="26" eb="28">
      <t>シュトク</t>
    </rPh>
    <rPh sb="30" eb="32">
      <t>バアイ</t>
    </rPh>
    <rPh sb="33" eb="34">
      <t>ホン</t>
    </rPh>
    <rPh sb="34" eb="36">
      <t>ショリ</t>
    </rPh>
    <rPh sb="37" eb="39">
      <t>ジッシ</t>
    </rPh>
    <phoneticPr fontId="61"/>
  </si>
  <si>
    <t>■１－１－６－１．申請可能条件</t>
  </si>
  <si>
    <t>・１－１－５．で取得した「製品マスター情報」の「新製品区分」[en]==Original[固定値]の場合</t>
    <rPh sb="8" eb="10">
      <t>シュトク</t>
    </rPh>
    <rPh sb="13" eb="15">
      <t>セイヒン</t>
    </rPh>
    <rPh sb="19" eb="21">
      <t>ジョウホウ</t>
    </rPh>
    <rPh sb="24" eb="27">
      <t>シンセイヒン</t>
    </rPh>
    <rPh sb="27" eb="29">
      <t>クブン</t>
    </rPh>
    <rPh sb="50" eb="52">
      <t>バアイ</t>
    </rPh>
    <phoneticPr fontId="61"/>
  </si>
  <si>
    <t>・１－１－５．で取得した「製品マスター情報」の「新製品区分」[en]==Original[固定値]でない場合</t>
    <rPh sb="19" eb="21">
      <t>ジョウホウ</t>
    </rPh>
    <rPh sb="52" eb="54">
      <t>バアイ</t>
    </rPh>
    <phoneticPr fontId="61"/>
  </si>
  <si>
    <t>１－１－７．申請可能チェック結果取得</t>
  </si>
  <si>
    <t>■１－１－７－１．判断結果より処理について</t>
    <rPh sb="9" eb="11">
      <t>ハンダン</t>
    </rPh>
    <rPh sb="11" eb="13">
      <t>ケッカ</t>
    </rPh>
    <rPh sb="15" eb="17">
      <t>ショリ</t>
    </rPh>
    <phoneticPr fontId="13"/>
  </si>
  <si>
    <t>１－１－４．CLコードより一致する製品証明書の情報を取得　まで処理結果</t>
    <rPh sb="13" eb="15">
      <t>イッチ</t>
    </rPh>
    <rPh sb="17" eb="19">
      <t>セイヒン</t>
    </rPh>
    <rPh sb="19" eb="22">
      <t>ショウメイショ</t>
    </rPh>
    <rPh sb="23" eb="25">
      <t>ジョウホウ</t>
    </rPh>
    <rPh sb="26" eb="28">
      <t>シュトク</t>
    </rPh>
    <rPh sb="31" eb="33">
      <t>ショリ</t>
    </rPh>
    <rPh sb="33" eb="35">
      <t>ケッカ</t>
    </rPh>
    <phoneticPr fontId="61"/>
  </si>
  <si>
    <t>１－１－６．申請可能チェック結果OK</t>
  </si>
  <si>
    <t>１－１－６．申請可能チェック結果NG</t>
    <rPh sb="6" eb="8">
      <t>シンセイ</t>
    </rPh>
    <rPh sb="8" eb="10">
      <t>カノウ</t>
    </rPh>
    <rPh sb="14" eb="16">
      <t>ケッカ</t>
    </rPh>
    <phoneticPr fontId="61"/>
  </si>
  <si>
    <t>■１－１－７－２．製品証明書情報取得処理よりエラーハンドリングフォーマット</t>
    <rPh sb="9" eb="11">
      <t>セイヒン</t>
    </rPh>
    <rPh sb="11" eb="14">
      <t>ショウメイショ</t>
    </rPh>
    <rPh sb="14" eb="16">
      <t>ジョウホウ</t>
    </rPh>
    <rPh sb="16" eb="18">
      <t>シュトク</t>
    </rPh>
    <rPh sb="18" eb="20">
      <t>ショリ</t>
    </rPh>
    <phoneticPr fontId="13"/>
  </si>
  <si>
    <t>１－１－８．製品マスター情報を表示内容として設定</t>
    <rPh sb="15" eb="17">
      <t>ヒョウジ</t>
    </rPh>
    <rPh sb="17" eb="19">
      <t>ナイヨウ</t>
    </rPh>
    <phoneticPr fontId="61"/>
  </si>
  <si>
    <t>※対応するデータ情報の取得について、「２－１－２．製品名/CLコードより証明書の情報取得 」を参照する</t>
    <rPh sb="1" eb="3">
      <t>タイオウ</t>
    </rPh>
    <rPh sb="8" eb="10">
      <t>ジョウホウ</t>
    </rPh>
    <rPh sb="11" eb="13">
      <t>シュトク</t>
    </rPh>
    <rPh sb="25" eb="28">
      <t>セイヒンメイ</t>
    </rPh>
    <rPh sb="47" eb="49">
      <t>サンショウ</t>
    </rPh>
    <phoneticPr fontId="61"/>
  </si>
  <si>
    <t>※対応するデータ情報の取得について、「２－１－５．製品名/CLコードより製品マスター情報取得 」を参照する</t>
    <rPh sb="1" eb="3">
      <t>タイオウ</t>
    </rPh>
    <rPh sb="8" eb="10">
      <t>ジョウホウ</t>
    </rPh>
    <rPh sb="11" eb="13">
      <t>シュトク</t>
    </rPh>
    <rPh sb="49" eb="51">
      <t>サンショウ</t>
    </rPh>
    <phoneticPr fontId="61"/>
  </si>
  <si>
    <t>２－１．CSVダウンロードについて</t>
    <phoneticPr fontId="57"/>
  </si>
  <si>
    <t>■２－１－１ダウンロードCSVファイルのフォーマット</t>
    <phoneticPr fontId="57"/>
  </si>
  <si>
    <t>■２－１－２データ情報取得</t>
    <rPh sb="9" eb="11">
      <t>ジョウホウ</t>
    </rPh>
    <rPh sb="11" eb="13">
      <t>シュトク</t>
    </rPh>
    <phoneticPr fontId="61"/>
  </si>
  <si>
    <t>■２－１－３取得した製品証明書の情報とダウンロードCSV項目のマッピング</t>
    <rPh sb="6" eb="8">
      <t>シュトク</t>
    </rPh>
    <rPh sb="10" eb="12">
      <t>セイヒン</t>
    </rPh>
    <rPh sb="12" eb="15">
      <t>ショウメイショ</t>
    </rPh>
    <rPh sb="16" eb="18">
      <t>ジョウホウ</t>
    </rPh>
    <rPh sb="28" eb="30">
      <t>コウモク</t>
    </rPh>
    <phoneticPr fontId="13"/>
  </si>
  <si>
    <t>■２－１－４取得した製品マスターの情報と画面表示のマッピング</t>
    <rPh sb="6" eb="8">
      <t>シュトク</t>
    </rPh>
    <rPh sb="10" eb="12">
      <t>セイヒン</t>
    </rPh>
    <rPh sb="17" eb="19">
      <t>ジョウホウ</t>
    </rPh>
    <rPh sb="20" eb="22">
      <t>ガメン</t>
    </rPh>
    <rPh sb="22" eb="24">
      <t>ヒョウジ</t>
    </rPh>
    <phoneticPr fontId="13"/>
  </si>
  <si>
    <t>３－１．申請について</t>
    <rPh sb="4" eb="6">
      <t>シンセイ</t>
    </rPh>
    <phoneticPr fontId="13"/>
  </si>
  <si>
    <t>３－１－１．</t>
    <phoneticPr fontId="61"/>
  </si>
  <si>
    <t>３－１－２．</t>
    <phoneticPr fontId="61"/>
  </si>
  <si>
    <t>送信トリガー</t>
    <rPh sb="0" eb="2">
      <t>ソウシン</t>
    </rPh>
    <phoneticPr fontId="61"/>
  </si>
  <si>
    <t>申請確認ダイアログで「はい」ボタン押下時</t>
    <rPh sb="0" eb="4">
      <t>シンセイカクニン</t>
    </rPh>
    <rPh sb="17" eb="20">
      <t>オウカジ</t>
    </rPh>
    <phoneticPr fontId="61"/>
  </si>
  <si>
    <t>4－1－1．</t>
    <phoneticPr fontId="61"/>
  </si>
  <si>
    <t>①送信トリガー</t>
    <rPh sb="1" eb="3">
      <t>ソウシン</t>
    </rPh>
    <phoneticPr fontId="57"/>
  </si>
  <si>
    <t>②メールヘッダー定義</t>
    <rPh sb="8" eb="10">
      <t>テイギ</t>
    </rPh>
    <phoneticPr fontId="57"/>
  </si>
  <si>
    <t>設定内容</t>
    <rPh sb="0" eb="4">
      <t>セッテイナイヨウ</t>
    </rPh>
    <phoneticPr fontId="61"/>
  </si>
  <si>
    <t>From</t>
    <phoneticPr fontId="61"/>
  </si>
  <si>
    <t>To</t>
    <phoneticPr fontId="61"/>
  </si>
  <si>
    <t>GM_no-reply@hirose.com</t>
    <phoneticPr fontId="61"/>
  </si>
  <si>
    <t>user@mail.com</t>
    <phoneticPr fontId="61"/>
  </si>
  <si>
    <t>&lt;HRS:20XX-000XXX&gt; 化学物質データ申請完了</t>
    <rPh sb="18" eb="20">
      <t>カガク</t>
    </rPh>
    <rPh sb="20" eb="22">
      <t>ブッシツ</t>
    </rPh>
    <rPh sb="25" eb="27">
      <t>シンセイ</t>
    </rPh>
    <rPh sb="27" eb="29">
      <t>カンリョウ</t>
    </rPh>
    <phoneticPr fontId="61"/>
  </si>
  <si>
    <t>既存項目の「AIS」は本改修で削除</t>
    <rPh sb="0" eb="4">
      <t>キソンコウモク</t>
    </rPh>
    <rPh sb="11" eb="14">
      <t>ホンカイシュウ</t>
    </rPh>
    <rPh sb="15" eb="17">
      <t>サクジョ</t>
    </rPh>
    <phoneticPr fontId="57"/>
  </si>
  <si>
    <t>0</t>
    <phoneticPr fontId="57"/>
  </si>
  <si>
    <t>共通ヘッダー</t>
    <rPh sb="0" eb="2">
      <t>キョウツウ</t>
    </rPh>
    <phoneticPr fontId="57"/>
  </si>
  <si>
    <t>0.1</t>
    <phoneticPr fontId="57"/>
  </si>
  <si>
    <t>ヒロセ電機ロゴ</t>
    <rPh sb="3" eb="5">
      <t>デンキ</t>
    </rPh>
    <phoneticPr fontId="57"/>
  </si>
  <si>
    <t>「化学物質データ画面」～「化学物質データ申請完了画面」共通
ロゴを押下すると「化学物質データ画面」に遷移する。</t>
    <rPh sb="1" eb="3">
      <t>カガク</t>
    </rPh>
    <rPh sb="3" eb="5">
      <t>ブッシツ</t>
    </rPh>
    <rPh sb="8" eb="10">
      <t>ガメン</t>
    </rPh>
    <rPh sb="13" eb="15">
      <t>カガク</t>
    </rPh>
    <rPh sb="15" eb="17">
      <t>ブッシツ</t>
    </rPh>
    <rPh sb="20" eb="22">
      <t>シンセイ</t>
    </rPh>
    <rPh sb="22" eb="24">
      <t>カンリョウ</t>
    </rPh>
    <rPh sb="24" eb="26">
      <t>ガメン</t>
    </rPh>
    <rPh sb="27" eb="29">
      <t>キョウツウ</t>
    </rPh>
    <rPh sb="33" eb="35">
      <t>オウカ</t>
    </rPh>
    <rPh sb="39" eb="43">
      <t>カガクブッシツ</t>
    </rPh>
    <rPh sb="46" eb="48">
      <t>ガメン</t>
    </rPh>
    <rPh sb="50" eb="52">
      <t>センイ</t>
    </rPh>
    <phoneticPr fontId="57"/>
  </si>
  <si>
    <t>2.申請確認エリア</t>
    <rPh sb="2" eb="6">
      <t>シンセイカクニン</t>
    </rPh>
    <phoneticPr fontId="57"/>
  </si>
  <si>
    <t xml:space="preserve">   申請内容に不備があった場合のエラーメッセージは</t>
    <rPh sb="3" eb="7">
      <t>シンセイナイヨウ</t>
    </rPh>
    <rPh sb="8" eb="10">
      <t>フビ</t>
    </rPh>
    <rPh sb="14" eb="16">
      <t>バアイ</t>
    </rPh>
    <phoneticPr fontId="57"/>
  </si>
  <si>
    <t xml:space="preserve">   ポップアップで表示</t>
    <rPh sb="10" eb="12">
      <t>ヒョウジ</t>
    </rPh>
    <phoneticPr fontId="57"/>
  </si>
  <si>
    <r>
      <rPr>
        <sz val="11"/>
        <color rgb="FFFF0000"/>
        <rFont val="Meiryo UI"/>
        <family val="3"/>
        <charset val="128"/>
      </rPr>
      <t>CL</t>
    </r>
    <r>
      <rPr>
        <sz val="11"/>
        <rFont val="Meiryo UI"/>
        <family val="3"/>
        <charset val="128"/>
      </rPr>
      <t>が重複する</t>
    </r>
    <phoneticPr fontId="61"/>
  </si>
  <si>
    <t>r1.3</t>
    <phoneticPr fontId="51"/>
  </si>
  <si>
    <t>「化学物質データ申請確認画面」シート、「処理詳細」シート</t>
    <rPh sb="20" eb="24">
      <t>ショリショウサイ</t>
    </rPh>
    <phoneticPr fontId="51"/>
  </si>
  <si>
    <t>・エラーメッセージエリアを削除
・共通ヘッダーを追加
・処理詳細のフロー図で不要個所をグレーアウト</t>
    <rPh sb="13" eb="15">
      <t>サクジョ</t>
    </rPh>
    <rPh sb="17" eb="19">
      <t>キョウツウ</t>
    </rPh>
    <rPh sb="24" eb="26">
      <t>ツイカ</t>
    </rPh>
    <rPh sb="28" eb="32">
      <t>ショリショウサイ</t>
    </rPh>
    <rPh sb="36" eb="37">
      <t>ズ</t>
    </rPh>
    <rPh sb="38" eb="42">
      <t>フヨウカショ</t>
    </rPh>
    <phoneticPr fontId="5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</si>
</sst>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76" formatCode="#,##0;\-#,##0;&quot;-&quot;"/>
    <numFmt numFmtId="177" formatCode="0.00_)"/>
    <numFmt numFmtId="178" formatCode="#,##0.00;[Red]\(#,##0.00\)"/>
    <numFmt numFmtId="179" formatCode="#,##0.00_);[Red]\(#,##0.00\)"/>
    <numFmt numFmtId="180" formatCode="0.0_);[Red]\(0.0\)"/>
    <numFmt numFmtId="181" formatCode="#,##0.00_ "/>
    <numFmt numFmtId="182" formatCode="#,##0_ "/>
    <numFmt numFmtId="183" formatCode="#,##0_);[Red]\(#,##0\)"/>
    <numFmt numFmtId="184" formatCode="0.0%"/>
    <numFmt numFmtId="185" formatCode="#,##0_ ;[Red]\-#,##0\ "/>
    <numFmt numFmtId="186" formatCode="#,##0.0000_);[Red]\(#,##0.0000\)"/>
    <numFmt numFmtId="187" formatCode="0.0000_);[Red]\(0.0000\)"/>
    <numFmt numFmtId="188" formatCode="#,##0.0000_ "/>
    <numFmt numFmtId="189" formatCode="0.00_);[Red]\(0.00\)"/>
    <numFmt numFmtId="190" formatCode="0.0000_ "/>
    <numFmt numFmtId="191" formatCode="0_);[Red]\(0\)"/>
  </numFmts>
  <fonts count="123">
    <font>
      <sz val="11"/>
      <color theme="1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name val="Arial Black"/>
      <family val="2"/>
    </font>
    <font>
      <sz val="12"/>
      <name val="ＭＳ Ｐゴシック"/>
      <family val="3"/>
      <charset val="128"/>
    </font>
    <font>
      <sz val="16"/>
      <name val="ＭＳ Ｐゴシック"/>
      <family val="3"/>
      <charset val="128"/>
    </font>
    <font>
      <b/>
      <u/>
      <sz val="10"/>
      <name val="ＭＳ Ｐゴシック"/>
      <family val="3"/>
      <charset val="128"/>
    </font>
    <font>
      <b/>
      <sz val="10"/>
      <name val="ＭＳ Ｐゴシック"/>
      <family val="3"/>
      <charset val="128"/>
    </font>
    <font>
      <sz val="10"/>
      <name val="ＭＳ Ｐゴシック"/>
      <family val="3"/>
      <charset val="128"/>
    </font>
    <font>
      <sz val="9"/>
      <name val="ＭＳ Ｐゴシック"/>
      <family val="3"/>
      <charset val="128"/>
    </font>
    <font>
      <sz val="8"/>
      <name val="ＭＳ Ｐゴシック"/>
      <family val="3"/>
      <charset val="128"/>
    </font>
    <font>
      <sz val="11"/>
      <name val="ＭＳ 明朝"/>
      <family val="1"/>
      <charset val="128"/>
    </font>
    <font>
      <sz val="10"/>
      <color indexed="8"/>
      <name val="Arial"/>
      <family val="2"/>
    </font>
    <font>
      <b/>
      <sz val="10"/>
      <color indexed="9"/>
      <name val="ＭＳ ゴシック"/>
      <family val="3"/>
      <charset val="128"/>
    </font>
    <font>
      <b/>
      <sz val="8"/>
      <color indexed="9"/>
      <name val="ＭＳ ゴシック"/>
      <family val="3"/>
      <charset val="128"/>
    </font>
    <font>
      <b/>
      <sz val="8"/>
      <color indexed="8"/>
      <name val="ＭＳ ゴシック"/>
      <family val="3"/>
      <charset val="128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b/>
      <sz val="10"/>
      <color indexed="8"/>
      <name val="ＭＳ ゴシック"/>
      <family val="3"/>
      <charset val="128"/>
    </font>
    <font>
      <b/>
      <i/>
      <sz val="16"/>
      <name val="Helv"/>
      <family val="2"/>
    </font>
    <font>
      <sz val="10"/>
      <name val="Arial"/>
      <family val="2"/>
    </font>
    <font>
      <sz val="10"/>
      <color indexed="8"/>
      <name val="_x001b_$B#M#S_x001b_(B _x001b_$B%4%7%C%/_x001b_(B"/>
      <family val="1"/>
    </font>
    <font>
      <b/>
      <i/>
      <sz val="10"/>
      <color indexed="8"/>
      <name val="_x001b_$B#M#S_x001b_(B _x001b_$B%4%7%C%/_x001b_(B"/>
      <family val="1"/>
    </font>
    <font>
      <b/>
      <sz val="10"/>
      <color indexed="9"/>
      <name val="_x001b_$B#M#S_x001b_(B _x001b_$B%4%7%C%/_x001b_(B"/>
      <family val="1"/>
    </font>
    <font>
      <b/>
      <sz val="10"/>
      <color indexed="17"/>
      <name val="_x001b_$B#M#S_x001b_(B _x001b_$B%4%7%C%/_x001b_(B"/>
      <family val="1"/>
    </font>
    <font>
      <b/>
      <sz val="16"/>
      <color indexed="13"/>
      <name val="_x001b_$B#M#S_x001b_(B _x001b_$B%4%7%C%/_x001b_(B"/>
      <family val="1"/>
    </font>
    <font>
      <b/>
      <sz val="12"/>
      <color indexed="8"/>
      <name val="ＭＳ ゴシック"/>
      <family val="3"/>
      <charset val="128"/>
    </font>
    <font>
      <sz val="8"/>
      <color indexed="16"/>
      <name val="Century Schoolbook"/>
      <family val="1"/>
    </font>
    <font>
      <sz val="8"/>
      <color indexed="8"/>
      <name val="ＭＳ ゴシック"/>
      <family val="3"/>
      <charset val="128"/>
    </font>
    <font>
      <sz val="8"/>
      <color indexed="12"/>
      <name val="ＭＳ ゴシック"/>
      <family val="3"/>
      <charset val="128"/>
    </font>
    <font>
      <b/>
      <i/>
      <sz val="10"/>
      <name val="Times New Roman"/>
      <family val="1"/>
    </font>
    <font>
      <b/>
      <sz val="11"/>
      <name val="Helv"/>
      <family val="2"/>
    </font>
    <font>
      <b/>
      <sz val="9"/>
      <name val="Times New Roman"/>
      <family val="1"/>
    </font>
    <font>
      <sz val="8"/>
      <color indexed="8"/>
      <name val="Wingdings"/>
      <charset val="2"/>
    </font>
    <font>
      <sz val="11"/>
      <name val="明朝"/>
      <family val="3"/>
      <charset val="128"/>
    </font>
    <font>
      <sz val="14"/>
      <name val="ＭＳ 明朝"/>
      <family val="1"/>
      <charset val="128"/>
    </font>
    <font>
      <b/>
      <sz val="9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0"/>
      <color indexed="9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theme="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b/>
      <sz val="12"/>
      <color theme="0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1"/>
      <color theme="0"/>
      <name val="ＭＳ Ｐゴシック"/>
      <family val="2"/>
      <charset val="128"/>
      <scheme val="minor"/>
    </font>
    <font>
      <sz val="10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11"/>
      <color theme="1"/>
      <name val="ＭＳ Ｐゴシック"/>
      <family val="3"/>
      <charset val="128"/>
      <scheme val="minor"/>
    </font>
    <font>
      <u/>
      <sz val="9"/>
      <color theme="3" tint="0.39997558519241921"/>
      <name val="ＭＳ Ｐゴシック"/>
      <family val="3"/>
      <charset val="128"/>
      <scheme val="minor"/>
    </font>
    <font>
      <sz val="10"/>
      <color rgb="FFFF0000"/>
      <name val="ＭＳ Ｐゴシック"/>
      <family val="3"/>
      <charset val="128"/>
      <scheme val="minor"/>
    </font>
    <font>
      <sz val="10"/>
      <name val="ＭＳ Ｐゴシック"/>
      <family val="2"/>
      <charset val="128"/>
      <scheme val="minor"/>
    </font>
    <font>
      <sz val="11"/>
      <color theme="0" tint="-0.14999847407452621"/>
      <name val="ＭＳ Ｐゴシック"/>
      <family val="2"/>
      <charset val="128"/>
      <scheme val="minor"/>
    </font>
    <font>
      <sz val="11"/>
      <color rgb="FFFFFF00"/>
      <name val="ＭＳ Ｐゴシック"/>
      <family val="2"/>
      <charset val="128"/>
      <scheme val="minor"/>
    </font>
    <font>
      <b/>
      <sz val="14"/>
      <color theme="0"/>
      <name val="ＭＳ Ｐゴシック"/>
      <family val="3"/>
      <charset val="128"/>
      <scheme val="minor"/>
    </font>
    <font>
      <sz val="10"/>
      <color theme="0" tint="-0.34998626667073579"/>
      <name val="ＭＳ Ｐゴシック"/>
      <family val="3"/>
      <charset val="128"/>
      <scheme val="minor"/>
    </font>
    <font>
      <u/>
      <sz val="10"/>
      <name val="ＭＳ Ｐゴシック"/>
      <family val="3"/>
      <charset val="128"/>
      <scheme val="minor"/>
    </font>
    <font>
      <b/>
      <sz val="10"/>
      <color rgb="FF00B050"/>
      <name val="ＭＳ Ｐゴシック"/>
      <family val="3"/>
      <charset val="128"/>
      <scheme val="minor"/>
    </font>
    <font>
      <b/>
      <sz val="10"/>
      <color rgb="FFFF0000"/>
      <name val="ＭＳ Ｐゴシック"/>
      <family val="3"/>
      <charset val="128"/>
      <scheme val="minor"/>
    </font>
    <font>
      <sz val="10"/>
      <color theme="0" tint="-0.499984740745262"/>
      <name val="ＭＳ Ｐゴシック"/>
      <family val="3"/>
      <charset val="128"/>
      <scheme val="minor"/>
    </font>
    <font>
      <sz val="9"/>
      <color theme="1"/>
      <name val="ＭＳ Ｐゴシック"/>
      <family val="3"/>
      <charset val="128"/>
      <scheme val="minor"/>
    </font>
    <font>
      <b/>
      <sz val="10"/>
      <name val="ＭＳ Ｐゴシック"/>
      <family val="3"/>
      <charset val="128"/>
      <scheme val="minor"/>
    </font>
    <font>
      <b/>
      <sz val="10"/>
      <color theme="1"/>
      <name val="ＭＳ Ｐゴシック"/>
      <family val="3"/>
      <charset val="128"/>
      <scheme val="minor"/>
    </font>
    <font>
      <u/>
      <sz val="10"/>
      <color rgb="FF0070C0"/>
      <name val="ＭＳ Ｐゴシック"/>
      <family val="3"/>
      <charset val="128"/>
      <scheme val="minor"/>
    </font>
    <font>
      <sz val="11"/>
      <color rgb="FFFF0000"/>
      <name val="ＭＳ Ｐゴシック"/>
      <family val="3"/>
      <charset val="128"/>
      <scheme val="minor"/>
    </font>
    <font>
      <sz val="10"/>
      <color theme="0"/>
      <name val="ＭＳ Ｐゴシック"/>
      <family val="3"/>
      <charset val="128"/>
      <scheme val="minor"/>
    </font>
    <font>
      <sz val="10"/>
      <color rgb="FF0000FF"/>
      <name val="ＭＳ Ｐゴシック"/>
      <family val="3"/>
      <charset val="128"/>
      <scheme val="minor"/>
    </font>
    <font>
      <strike/>
      <sz val="10"/>
      <color rgb="FFFF0000"/>
      <name val="ＭＳ Ｐゴシック"/>
      <family val="3"/>
      <charset val="128"/>
      <scheme val="minor"/>
    </font>
    <font>
      <b/>
      <sz val="12"/>
      <name val="Arial Black"/>
      <family val="2"/>
    </font>
    <font>
      <sz val="9"/>
      <color indexed="81"/>
      <name val="MS P ゴシック"/>
      <family val="3"/>
      <charset val="128"/>
    </font>
    <font>
      <b/>
      <sz val="10"/>
      <color rgb="FF00B0F0"/>
      <name val="ＭＳ Ｐゴシック"/>
      <family val="3"/>
      <charset val="128"/>
      <scheme val="minor"/>
    </font>
    <font>
      <sz val="10"/>
      <color theme="6" tint="0.39997558519241921"/>
      <name val="ＭＳ Ｐゴシック"/>
      <family val="3"/>
      <charset val="128"/>
      <scheme val="minor"/>
    </font>
    <font>
      <b/>
      <sz val="10"/>
      <color theme="6" tint="0.39997558519241921"/>
      <name val="ＭＳ Ｐゴシック"/>
      <family val="3"/>
      <charset val="128"/>
      <scheme val="minor"/>
    </font>
    <font>
      <sz val="9"/>
      <color rgb="FFFF0000"/>
      <name val="ＭＳ Ｐゴシック"/>
      <family val="3"/>
      <charset val="128"/>
      <scheme val="minor"/>
    </font>
    <font>
      <u/>
      <sz val="10"/>
      <color theme="1"/>
      <name val="ＭＳ Ｐゴシック"/>
      <family val="3"/>
      <charset val="128"/>
      <scheme val="minor"/>
    </font>
    <font>
      <b/>
      <sz val="10"/>
      <color rgb="FF0000FF"/>
      <name val="ＭＳ Ｐゴシック"/>
      <family val="3"/>
      <charset val="128"/>
      <scheme val="minor"/>
    </font>
    <font>
      <sz val="10"/>
      <color rgb="FF00B050"/>
      <name val="ＭＳ Ｐゴシック"/>
      <family val="3"/>
      <charset val="128"/>
      <scheme val="minor"/>
    </font>
    <font>
      <sz val="9"/>
      <color rgb="FF0000FF"/>
      <name val="ＭＳ Ｐゴシック"/>
      <family val="3"/>
      <charset val="128"/>
      <scheme val="minor"/>
    </font>
    <font>
      <sz val="11"/>
      <color rgb="FF0000FF"/>
      <name val="ＭＳ Ｐゴシック"/>
      <family val="3"/>
      <charset val="128"/>
      <scheme val="minor"/>
    </font>
    <font>
      <b/>
      <sz val="9"/>
      <color rgb="FF0000FF"/>
      <name val="ＭＳ Ｐゴシック"/>
      <family val="3"/>
      <charset val="128"/>
      <scheme val="minor"/>
    </font>
    <font>
      <strike/>
      <u/>
      <sz val="10"/>
      <color theme="1"/>
      <name val="ＭＳ Ｐゴシック"/>
      <family val="3"/>
      <charset val="128"/>
      <scheme val="minor"/>
    </font>
    <font>
      <sz val="10"/>
      <color theme="0"/>
      <name val="Meiryo UI"/>
      <family val="3"/>
      <charset val="128"/>
    </font>
    <font>
      <sz val="10"/>
      <name val="Meiryo UI"/>
      <family val="3"/>
      <charset val="128"/>
    </font>
    <font>
      <sz val="10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9"/>
      <name val="Meiryo UI"/>
      <family val="3"/>
      <charset val="128"/>
    </font>
    <font>
      <sz val="11"/>
      <name val="Meiryo UI"/>
      <family val="3"/>
      <charset val="128"/>
    </font>
    <font>
      <sz val="16"/>
      <name val="Meiryo UI"/>
      <family val="3"/>
      <charset val="128"/>
    </font>
    <font>
      <b/>
      <sz val="10"/>
      <name val="Meiryo UI"/>
      <family val="3"/>
      <charset val="128"/>
    </font>
    <font>
      <sz val="8"/>
      <name val="Meiryo UI"/>
      <family val="3"/>
      <charset val="128"/>
    </font>
    <font>
      <sz val="8"/>
      <color theme="1"/>
      <name val="Meiryo UI"/>
      <family val="3"/>
      <charset val="128"/>
    </font>
    <font>
      <sz val="6"/>
      <name val="Meiryo UI"/>
      <family val="3"/>
      <charset val="128"/>
    </font>
    <font>
      <sz val="6"/>
      <color theme="1"/>
      <name val="Meiryo UI"/>
      <family val="3"/>
      <charset val="128"/>
    </font>
    <font>
      <sz val="10"/>
      <color rgb="FFFF9900"/>
      <name val="Meiryo UI"/>
      <family val="3"/>
      <charset val="128"/>
    </font>
    <font>
      <sz val="9"/>
      <color theme="1"/>
      <name val="Meiryo UI"/>
      <family val="3"/>
      <charset val="128"/>
    </font>
    <font>
      <b/>
      <sz val="11"/>
      <name val="Meiryo UI"/>
      <family val="3"/>
      <charset val="128"/>
    </font>
    <font>
      <sz val="9"/>
      <color indexed="81"/>
      <name val="ＭＳ Ｐゴシック"/>
      <family val="3"/>
      <charset val="128"/>
    </font>
    <font>
      <sz val="12"/>
      <name val="Meiryo UI"/>
      <family val="3"/>
      <charset val="128"/>
    </font>
    <font>
      <sz val="7.5"/>
      <name val="Meiryo UI"/>
      <family val="3"/>
      <charset val="128"/>
    </font>
    <font>
      <sz val="6.5"/>
      <name val="Meiryo UI"/>
      <family val="3"/>
      <charset val="128"/>
    </font>
    <font>
      <sz val="7"/>
      <name val="Meiryo UI"/>
      <family val="3"/>
      <charset val="128"/>
    </font>
    <font>
      <sz val="5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10.5"/>
      <name val="Calibri"/>
      <family val="2"/>
    </font>
    <font>
      <sz val="10.5"/>
      <name val="ＭＳ Ｐゴシック"/>
      <family val="3"/>
      <charset val="128"/>
      <scheme val="minor"/>
    </font>
    <font>
      <b/>
      <sz val="11"/>
      <name val="ＭＳ Ｐゴシック"/>
      <family val="2"/>
      <charset val="128"/>
      <scheme val="minor"/>
    </font>
    <font>
      <sz val="11"/>
      <color rgb="FFFF0000"/>
      <name val="Meiryo UI"/>
      <family val="3"/>
      <charset val="128"/>
    </font>
    <font>
      <sz val="10"/>
      <color rgb="FFFF0000"/>
      <name val="Meiryo UI"/>
      <family val="3"/>
      <charset val="128"/>
    </font>
  </fonts>
  <fills count="39">
    <fill>
      <patternFill patternType="none"/>
    </fill>
    <fill>
      <patternFill patternType="gray125"/>
    </fill>
    <fill>
      <patternFill patternType="solid">
        <fgColor indexed="47"/>
      </patternFill>
    </fill>
    <fill>
      <patternFill patternType="solid">
        <fgColor indexed="12"/>
      </patternFill>
    </fill>
    <fill>
      <patternFill patternType="solid">
        <fgColor indexed="9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3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465926084170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F3FE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</fills>
  <borders count="8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499984740745262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indexed="64"/>
      </right>
      <top style="thin">
        <color theme="0" tint="-0.499984740745262"/>
      </top>
      <bottom/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0" tint="-0.499984740745262"/>
      </bottom>
      <diagonal/>
    </border>
    <border>
      <left/>
      <right/>
      <top style="thin">
        <color indexed="64"/>
      </top>
      <bottom style="thin">
        <color theme="0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/>
      <bottom/>
      <diagonal/>
    </border>
    <border>
      <left style="thin">
        <color theme="0" tint="-0.499984740745262"/>
      </left>
      <right/>
      <top/>
      <bottom style="thin">
        <color indexed="64"/>
      </bottom>
      <diagonal/>
    </border>
    <border>
      <left/>
      <right/>
      <top/>
      <bottom style="thin">
        <color theme="0" tint="-0.14999847407452621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/>
      <bottom style="thin">
        <color indexed="0"/>
      </bottom>
      <diagonal/>
    </border>
    <border>
      <left/>
      <right/>
      <top/>
      <bottom style="thin">
        <color indexed="0"/>
      </bottom>
      <diagonal/>
    </border>
    <border>
      <left/>
      <right style="thin">
        <color indexed="0"/>
      </right>
      <top/>
      <bottom style="thin">
        <color indexed="0"/>
      </bottom>
      <diagonal/>
    </border>
    <border>
      <left style="thin">
        <color indexed="0"/>
      </left>
      <right/>
      <top style="thin">
        <color indexed="64"/>
      </top>
      <bottom style="thin">
        <color indexed="64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indexed="0"/>
      </top>
      <bottom style="thin">
        <color indexed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/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89">
    <xf numFmtId="0" fontId="0" fillId="0" borderId="0">
      <alignment vertical="center"/>
    </xf>
    <xf numFmtId="0" fontId="24" fillId="0" borderId="0"/>
    <xf numFmtId="0" fontId="24" fillId="0" borderId="0"/>
    <xf numFmtId="176" fontId="25" fillId="0" borderId="0" applyFill="0" applyBorder="0" applyAlignment="0"/>
    <xf numFmtId="0" fontId="26" fillId="3" borderId="0">
      <alignment horizontal="left"/>
    </xf>
    <xf numFmtId="0" fontId="27" fillId="3" borderId="0">
      <alignment horizontal="right"/>
    </xf>
    <xf numFmtId="0" fontId="28" fillId="4" borderId="0">
      <alignment horizontal="center"/>
    </xf>
    <xf numFmtId="0" fontId="27" fillId="3" borderId="0">
      <alignment horizontal="right"/>
    </xf>
    <xf numFmtId="0" fontId="28" fillId="4" borderId="0">
      <alignment horizontal="left"/>
    </xf>
    <xf numFmtId="0" fontId="29" fillId="0" borderId="0">
      <alignment horizontal="left"/>
    </xf>
    <xf numFmtId="38" fontId="30" fillId="5" borderId="0" applyNumberFormat="0" applyBorder="0" applyAlignment="0" applyProtection="0"/>
    <xf numFmtId="0" fontId="31" fillId="0" borderId="1" applyNumberFormat="0" applyAlignment="0" applyProtection="0">
      <alignment horizontal="left" vertical="center"/>
    </xf>
    <xf numFmtId="0" fontId="31" fillId="0" borderId="2">
      <alignment horizontal="left" vertical="center"/>
    </xf>
    <xf numFmtId="10" fontId="30" fillId="6" borderId="3" applyNumberFormat="0" applyBorder="0" applyAlignment="0" applyProtection="0"/>
    <xf numFmtId="0" fontId="26" fillId="3" borderId="0">
      <alignment horizontal="left"/>
    </xf>
    <xf numFmtId="0" fontId="32" fillId="4" borderId="0">
      <alignment horizontal="left"/>
    </xf>
    <xf numFmtId="177" fontId="33" fillId="0" borderId="0"/>
    <xf numFmtId="0" fontId="34" fillId="0" borderId="0"/>
    <xf numFmtId="178" fontId="35" fillId="4" borderId="0">
      <alignment horizontal="right"/>
    </xf>
    <xf numFmtId="0" fontId="36" fillId="7" borderId="0">
      <alignment horizontal="center"/>
    </xf>
    <xf numFmtId="0" fontId="37" fillId="8" borderId="0"/>
    <xf numFmtId="0" fontId="38" fillId="4" borderId="0" applyBorder="0">
      <alignment horizontal="centerContinuous"/>
    </xf>
    <xf numFmtId="0" fontId="39" fillId="8" borderId="0" applyBorder="0">
      <alignment horizontal="centerContinuous"/>
    </xf>
    <xf numFmtId="10" fontId="34" fillId="0" borderId="0" applyFont="0" applyFill="0" applyBorder="0" applyAlignment="0" applyProtection="0"/>
    <xf numFmtId="4" fontId="29" fillId="0" borderId="0">
      <alignment horizontal="right"/>
    </xf>
    <xf numFmtId="0" fontId="32" fillId="9" borderId="0">
      <alignment horizontal="center"/>
    </xf>
    <xf numFmtId="49" fontId="40" fillId="4" borderId="0">
      <alignment horizontal="center"/>
    </xf>
    <xf numFmtId="4" fontId="41" fillId="0" borderId="0">
      <alignment horizontal="right"/>
    </xf>
    <xf numFmtId="0" fontId="27" fillId="3" borderId="0">
      <alignment horizontal="center"/>
    </xf>
    <xf numFmtId="0" fontId="27" fillId="3" borderId="0">
      <alignment horizontal="centerContinuous"/>
    </xf>
    <xf numFmtId="0" fontId="42" fillId="4" borderId="0">
      <alignment horizontal="left"/>
    </xf>
    <xf numFmtId="49" fontId="42" fillId="4" borderId="0">
      <alignment horizontal="center"/>
    </xf>
    <xf numFmtId="0" fontId="26" fillId="3" borderId="0">
      <alignment horizontal="left"/>
    </xf>
    <xf numFmtId="49" fontId="42" fillId="4" borderId="0">
      <alignment horizontal="left"/>
    </xf>
    <xf numFmtId="0" fontId="26" fillId="3" borderId="0">
      <alignment horizontal="centerContinuous"/>
    </xf>
    <xf numFmtId="0" fontId="26" fillId="3" borderId="0">
      <alignment horizontal="right"/>
    </xf>
    <xf numFmtId="49" fontId="32" fillId="4" borderId="0">
      <alignment horizontal="left"/>
    </xf>
    <xf numFmtId="0" fontId="27" fillId="3" borderId="0">
      <alignment horizontal="right"/>
    </xf>
    <xf numFmtId="0" fontId="42" fillId="2" borderId="0">
      <alignment horizontal="center"/>
    </xf>
    <xf numFmtId="0" fontId="43" fillId="2" borderId="0">
      <alignment horizontal="center"/>
    </xf>
    <xf numFmtId="0" fontId="44" fillId="0" borderId="0">
      <alignment horizontal="left"/>
    </xf>
    <xf numFmtId="0" fontId="45" fillId="0" borderId="0"/>
    <xf numFmtId="0" fontId="46" fillId="0" borderId="0">
      <alignment horizontal="center"/>
    </xf>
    <xf numFmtId="0" fontId="47" fillId="4" borderId="0">
      <alignment horizontal="center"/>
    </xf>
    <xf numFmtId="0" fontId="48" fillId="0" borderId="0"/>
    <xf numFmtId="0" fontId="15" fillId="0" borderId="0">
      <alignment vertical="center"/>
    </xf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>
      <alignment vertical="center"/>
    </xf>
    <xf numFmtId="0" fontId="49" fillId="0" borderId="0"/>
    <xf numFmtId="0" fontId="12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0" fillId="0" borderId="0"/>
    <xf numFmtId="0" fontId="6" fillId="0" borderId="0">
      <alignment vertical="center"/>
    </xf>
    <xf numFmtId="0" fontId="63" fillId="0" borderId="0">
      <alignment vertical="center"/>
    </xf>
    <xf numFmtId="0" fontId="15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5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1091">
    <xf numFmtId="0" fontId="0" fillId="0" borderId="0" xfId="0">
      <alignment vertical="center"/>
    </xf>
    <xf numFmtId="0" fontId="15" fillId="0" borderId="0" xfId="48"/>
    <xf numFmtId="0" fontId="16" fillId="0" borderId="0" xfId="48" applyFont="1"/>
    <xf numFmtId="0" fontId="17" fillId="0" borderId="3" xfId="48" applyFont="1" applyBorder="1" applyAlignment="1">
      <alignment horizontal="center"/>
    </xf>
    <xf numFmtId="14" fontId="17" fillId="0" borderId="4" xfId="48" applyNumberFormat="1" applyFont="1" applyBorder="1" applyAlignment="1">
      <alignment horizontal="center"/>
    </xf>
    <xf numFmtId="0" fontId="17" fillId="0" borderId="4" xfId="48" applyFont="1" applyBorder="1" applyAlignment="1">
      <alignment horizontal="center"/>
    </xf>
    <xf numFmtId="0" fontId="17" fillId="0" borderId="5" xfId="48" applyFont="1" applyBorder="1" applyAlignment="1">
      <alignment horizontal="center"/>
    </xf>
    <xf numFmtId="0" fontId="18" fillId="0" borderId="0" xfId="48" applyFont="1"/>
    <xf numFmtId="0" fontId="21" fillId="0" borderId="0" xfId="48" applyFont="1" applyAlignment="1">
      <alignment vertical="center"/>
    </xf>
    <xf numFmtId="0" fontId="17" fillId="14" borderId="0" xfId="48" applyFont="1" applyFill="1" applyAlignment="1">
      <alignment horizontal="center"/>
    </xf>
    <xf numFmtId="14" fontId="17" fillId="14" borderId="0" xfId="48" applyNumberFormat="1" applyFont="1" applyFill="1" applyAlignment="1">
      <alignment horizontal="center"/>
    </xf>
    <xf numFmtId="0" fontId="19" fillId="11" borderId="0" xfId="48" applyFont="1" applyFill="1" applyAlignment="1">
      <alignment vertical="center"/>
    </xf>
    <xf numFmtId="0" fontId="20" fillId="12" borderId="0" xfId="48" applyFont="1" applyFill="1" applyAlignment="1">
      <alignment vertical="center"/>
    </xf>
    <xf numFmtId="0" fontId="21" fillId="0" borderId="0" xfId="48" applyFont="1" applyAlignment="1">
      <alignment horizontal="left" vertical="center"/>
    </xf>
    <xf numFmtId="0" fontId="20" fillId="12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/>
    </xf>
    <xf numFmtId="14" fontId="21" fillId="0" borderId="0" xfId="48" applyNumberFormat="1" applyFont="1" applyAlignment="1">
      <alignment horizontal="center" vertical="center"/>
    </xf>
    <xf numFmtId="0" fontId="20" fillId="11" borderId="0" xfId="48" applyFont="1" applyFill="1" applyAlignment="1">
      <alignment vertical="center"/>
    </xf>
    <xf numFmtId="0" fontId="22" fillId="0" borderId="0" xfId="48" applyFont="1" applyAlignment="1">
      <alignment vertical="center"/>
    </xf>
    <xf numFmtId="49" fontId="21" fillId="0" borderId="0" xfId="48" applyNumberFormat="1" applyFont="1" applyAlignment="1">
      <alignment horizontal="center" vertical="center"/>
    </xf>
    <xf numFmtId="0" fontId="23" fillId="0" borderId="0" xfId="48" applyFont="1" applyAlignment="1">
      <alignment vertical="center"/>
    </xf>
    <xf numFmtId="49" fontId="21" fillId="14" borderId="13" xfId="0" applyNumberFormat="1" applyFont="1" applyFill="1" applyBorder="1" applyAlignment="1">
      <alignment vertical="top"/>
    </xf>
    <xf numFmtId="0" fontId="21" fillId="10" borderId="6" xfId="49" applyFont="1" applyFill="1" applyBorder="1" applyAlignment="1">
      <alignment horizontal="right" vertical="center"/>
    </xf>
    <xf numFmtId="0" fontId="53" fillId="14" borderId="6" xfId="49" applyFont="1" applyFill="1" applyBorder="1" applyAlignment="1">
      <alignment horizontal="right" vertical="center"/>
    </xf>
    <xf numFmtId="0" fontId="55" fillId="14" borderId="0" xfId="0" applyFont="1" applyFill="1">
      <alignment vertical="center"/>
    </xf>
    <xf numFmtId="0" fontId="0" fillId="14" borderId="0" xfId="0" applyFill="1" applyAlignment="1">
      <alignment vertical="center" wrapText="1"/>
    </xf>
    <xf numFmtId="0" fontId="54" fillId="14" borderId="8" xfId="0" applyFont="1" applyFill="1" applyBorder="1">
      <alignment vertical="center"/>
    </xf>
    <xf numFmtId="49" fontId="21" fillId="10" borderId="15" xfId="0" applyNumberFormat="1" applyFont="1" applyFill="1" applyBorder="1" applyAlignment="1">
      <alignment horizontal="center" vertical="center"/>
    </xf>
    <xf numFmtId="0" fontId="54" fillId="14" borderId="0" xfId="0" applyFont="1" applyFill="1">
      <alignment vertical="center"/>
    </xf>
    <xf numFmtId="49" fontId="21" fillId="10" borderId="6" xfId="0" applyNumberFormat="1" applyFont="1" applyFill="1" applyBorder="1" applyAlignment="1">
      <alignment horizontal="left" vertical="center"/>
    </xf>
    <xf numFmtId="0" fontId="59" fillId="14" borderId="0" xfId="161" applyFont="1" applyFill="1">
      <alignment vertical="center"/>
    </xf>
    <xf numFmtId="0" fontId="54" fillId="14" borderId="0" xfId="161" applyFont="1" applyFill="1">
      <alignment vertical="center"/>
    </xf>
    <xf numFmtId="0" fontId="54" fillId="14" borderId="6" xfId="161" applyFont="1" applyFill="1" applyBorder="1">
      <alignment vertical="center"/>
    </xf>
    <xf numFmtId="0" fontId="54" fillId="14" borderId="11" xfId="161" applyFont="1" applyFill="1" applyBorder="1">
      <alignment vertical="center"/>
    </xf>
    <xf numFmtId="0" fontId="21" fillId="10" borderId="9" xfId="46" applyFont="1" applyFill="1" applyBorder="1" applyAlignment="1">
      <alignment horizontal="centerContinuous"/>
    </xf>
    <xf numFmtId="0" fontId="0" fillId="14" borderId="0" xfId="0" applyFill="1">
      <alignment vertical="center"/>
    </xf>
    <xf numFmtId="0" fontId="58" fillId="18" borderId="2" xfId="161" applyFont="1" applyFill="1" applyBorder="1">
      <alignment vertical="center"/>
    </xf>
    <xf numFmtId="0" fontId="54" fillId="14" borderId="2" xfId="0" applyFont="1" applyFill="1" applyBorder="1">
      <alignment vertical="center"/>
    </xf>
    <xf numFmtId="0" fontId="0" fillId="14" borderId="8" xfId="0" applyFill="1" applyBorder="1">
      <alignment vertical="center"/>
    </xf>
    <xf numFmtId="0" fontId="54" fillId="14" borderId="12" xfId="0" applyFont="1" applyFill="1" applyBorder="1">
      <alignment vertical="center"/>
    </xf>
    <xf numFmtId="0" fontId="21" fillId="10" borderId="22" xfId="46" applyFont="1" applyFill="1" applyBorder="1" applyAlignment="1">
      <alignment horizontal="centerContinuous"/>
    </xf>
    <xf numFmtId="0" fontId="54" fillId="14" borderId="0" xfId="161" applyFont="1" applyFill="1" applyAlignment="1">
      <alignment horizontal="left" vertical="center"/>
    </xf>
    <xf numFmtId="0" fontId="21" fillId="10" borderId="20" xfId="46" applyFont="1" applyFill="1" applyBorder="1" applyAlignment="1">
      <alignment horizontal="centerContinuous"/>
    </xf>
    <xf numFmtId="0" fontId="55" fillId="14" borderId="0" xfId="161" applyFont="1" applyFill="1">
      <alignment vertical="center"/>
    </xf>
    <xf numFmtId="0" fontId="54" fillId="14" borderId="0" xfId="161" applyFont="1" applyFill="1" applyAlignment="1">
      <alignment horizontal="center" vertical="center"/>
    </xf>
    <xf numFmtId="0" fontId="59" fillId="14" borderId="6" xfId="161" quotePrefix="1" applyFont="1" applyFill="1" applyBorder="1">
      <alignment vertical="center"/>
    </xf>
    <xf numFmtId="0" fontId="59" fillId="14" borderId="11" xfId="161" applyFont="1" applyFill="1" applyBorder="1">
      <alignment vertical="center"/>
    </xf>
    <xf numFmtId="0" fontId="69" fillId="18" borderId="10" xfId="161" applyFont="1" applyFill="1" applyBorder="1">
      <alignment vertical="center"/>
    </xf>
    <xf numFmtId="0" fontId="67" fillId="18" borderId="2" xfId="161" applyFont="1" applyFill="1" applyBorder="1">
      <alignment vertical="center"/>
    </xf>
    <xf numFmtId="0" fontId="68" fillId="18" borderId="2" xfId="161" applyFont="1" applyFill="1" applyBorder="1">
      <alignment vertical="center"/>
    </xf>
    <xf numFmtId="0" fontId="58" fillId="18" borderId="2" xfId="161" applyFont="1" applyFill="1" applyBorder="1" applyAlignment="1">
      <alignment horizontal="centerContinuous" vertical="center"/>
    </xf>
    <xf numFmtId="0" fontId="58" fillId="18" borderId="17" xfId="161" applyFont="1" applyFill="1" applyBorder="1" applyAlignment="1">
      <alignment horizontal="centerContinuous" vertical="center"/>
    </xf>
    <xf numFmtId="0" fontId="54" fillId="14" borderId="8" xfId="161" applyFont="1" applyFill="1" applyBorder="1">
      <alignment vertical="center"/>
    </xf>
    <xf numFmtId="0" fontId="54" fillId="14" borderId="12" xfId="161" applyFont="1" applyFill="1" applyBorder="1">
      <alignment vertical="center"/>
    </xf>
    <xf numFmtId="0" fontId="54" fillId="19" borderId="10" xfId="161" quotePrefix="1" applyFont="1" applyFill="1" applyBorder="1">
      <alignment vertical="center"/>
    </xf>
    <xf numFmtId="0" fontId="54" fillId="19" borderId="2" xfId="161" applyFont="1" applyFill="1" applyBorder="1">
      <alignment vertical="center"/>
    </xf>
    <xf numFmtId="0" fontId="54" fillId="19" borderId="2" xfId="161" applyFont="1" applyFill="1" applyBorder="1" applyAlignment="1">
      <alignment horizontal="center" vertical="center"/>
    </xf>
    <xf numFmtId="0" fontId="54" fillId="19" borderId="2" xfId="0" applyFont="1" applyFill="1" applyBorder="1">
      <alignment vertical="center"/>
    </xf>
    <xf numFmtId="0" fontId="54" fillId="0" borderId="10" xfId="161" quotePrefix="1" applyFont="1" applyBorder="1">
      <alignment vertical="center"/>
    </xf>
    <xf numFmtId="0" fontId="54" fillId="0" borderId="2" xfId="161" applyFont="1" applyBorder="1">
      <alignment vertical="center"/>
    </xf>
    <xf numFmtId="0" fontId="54" fillId="0" borderId="2" xfId="161" applyFont="1" applyBorder="1" applyAlignment="1">
      <alignment horizontal="center" vertical="center"/>
    </xf>
    <xf numFmtId="0" fontId="54" fillId="0" borderId="2" xfId="0" applyFont="1" applyBorder="1">
      <alignment vertical="center"/>
    </xf>
    <xf numFmtId="0" fontId="54" fillId="0" borderId="0" xfId="161" quotePrefix="1" applyFont="1">
      <alignment vertical="center"/>
    </xf>
    <xf numFmtId="0" fontId="54" fillId="0" borderId="0" xfId="161" applyFont="1">
      <alignment vertical="center"/>
    </xf>
    <xf numFmtId="0" fontId="54" fillId="0" borderId="0" xfId="161" applyFont="1" applyAlignment="1">
      <alignment horizontal="center" vertical="center"/>
    </xf>
    <xf numFmtId="0" fontId="54" fillId="0" borderId="0" xfId="0" applyFont="1">
      <alignment vertical="center"/>
    </xf>
    <xf numFmtId="0" fontId="54" fillId="19" borderId="17" xfId="0" applyFont="1" applyFill="1" applyBorder="1">
      <alignment vertical="center"/>
    </xf>
    <xf numFmtId="0" fontId="54" fillId="0" borderId="8" xfId="0" applyFont="1" applyBorder="1">
      <alignment vertical="center"/>
    </xf>
    <xf numFmtId="0" fontId="54" fillId="0" borderId="0" xfId="161" applyFont="1" applyAlignment="1">
      <alignment horizontal="centerContinuous" vertical="center"/>
    </xf>
    <xf numFmtId="0" fontId="54" fillId="0" borderId="0" xfId="161" applyFont="1" applyAlignment="1">
      <alignment horizontal="left" vertical="center"/>
    </xf>
    <xf numFmtId="0" fontId="54" fillId="0" borderId="17" xfId="0" applyFont="1" applyBorder="1">
      <alignment vertical="center"/>
    </xf>
    <xf numFmtId="0" fontId="55" fillId="0" borderId="0" xfId="161" applyFont="1" applyAlignment="1">
      <alignment horizontal="centerContinuous" vertical="center"/>
    </xf>
    <xf numFmtId="0" fontId="54" fillId="14" borderId="28" xfId="0" applyFont="1" applyFill="1" applyBorder="1">
      <alignment vertical="center"/>
    </xf>
    <xf numFmtId="0" fontId="54" fillId="14" borderId="31" xfId="0" applyFont="1" applyFill="1" applyBorder="1">
      <alignment vertical="center"/>
    </xf>
    <xf numFmtId="0" fontId="54" fillId="0" borderId="12" xfId="0" applyFont="1" applyBorder="1">
      <alignment vertical="center"/>
    </xf>
    <xf numFmtId="0" fontId="55" fillId="0" borderId="0" xfId="161" applyFont="1">
      <alignment vertical="center"/>
    </xf>
    <xf numFmtId="0" fontId="54" fillId="14" borderId="0" xfId="0" applyFont="1" applyFill="1" applyAlignment="1">
      <alignment horizontal="center" vertical="center"/>
    </xf>
    <xf numFmtId="0" fontId="21" fillId="10" borderId="19" xfId="46" applyFont="1" applyFill="1" applyBorder="1" applyAlignment="1">
      <alignment horizontal="centerContinuous"/>
    </xf>
    <xf numFmtId="0" fontId="21" fillId="10" borderId="16" xfId="46" applyFont="1" applyFill="1" applyBorder="1" applyAlignment="1">
      <alignment horizontal="centerContinuous"/>
    </xf>
    <xf numFmtId="0" fontId="21" fillId="10" borderId="21" xfId="46" applyFont="1" applyFill="1" applyBorder="1" applyAlignment="1">
      <alignment horizontal="centerContinuous"/>
    </xf>
    <xf numFmtId="0" fontId="58" fillId="14" borderId="11" xfId="161" quotePrefix="1" applyFont="1" applyFill="1" applyBorder="1" applyAlignment="1">
      <alignment horizontal="centerContinuous" vertical="center"/>
    </xf>
    <xf numFmtId="0" fontId="54" fillId="14" borderId="0" xfId="0" applyFont="1" applyFill="1" applyAlignment="1">
      <alignment vertical="center" wrapText="1"/>
    </xf>
    <xf numFmtId="0" fontId="55" fillId="14" borderId="0" xfId="161" applyFont="1" applyFill="1" applyAlignment="1">
      <alignment horizontal="center" vertical="center"/>
    </xf>
    <xf numFmtId="0" fontId="55" fillId="0" borderId="0" xfId="161" applyFont="1" applyAlignment="1">
      <alignment horizontal="left" vertical="center"/>
    </xf>
    <xf numFmtId="0" fontId="55" fillId="0" borderId="0" xfId="0" applyFont="1">
      <alignment vertical="center"/>
    </xf>
    <xf numFmtId="0" fontId="55" fillId="0" borderId="0" xfId="161" applyFont="1" applyAlignment="1">
      <alignment horizontal="center" vertical="center"/>
    </xf>
    <xf numFmtId="0" fontId="55" fillId="14" borderId="8" xfId="0" applyFont="1" applyFill="1" applyBorder="1">
      <alignment vertical="center"/>
    </xf>
    <xf numFmtId="0" fontId="55" fillId="0" borderId="8" xfId="161" applyFont="1" applyBorder="1">
      <alignment vertical="center"/>
    </xf>
    <xf numFmtId="0" fontId="55" fillId="0" borderId="8" xfId="0" applyFont="1" applyBorder="1">
      <alignment vertical="center"/>
    </xf>
    <xf numFmtId="0" fontId="55" fillId="0" borderId="8" xfId="161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4" fillId="0" borderId="0" xfId="161" quotePrefix="1" applyFont="1" applyAlignment="1">
      <alignment horizontal="centerContinuous" vertical="center"/>
    </xf>
    <xf numFmtId="0" fontId="59" fillId="14" borderId="2" xfId="161" applyFont="1" applyFill="1" applyBorder="1">
      <alignment vertical="center"/>
    </xf>
    <xf numFmtId="0" fontId="59" fillId="14" borderId="8" xfId="161" applyFont="1" applyFill="1" applyBorder="1">
      <alignment vertical="center"/>
    </xf>
    <xf numFmtId="0" fontId="54" fillId="0" borderId="6" xfId="0" applyFont="1" applyBorder="1">
      <alignment vertical="center"/>
    </xf>
    <xf numFmtId="0" fontId="54" fillId="14" borderId="2" xfId="161" applyFont="1" applyFill="1" applyBorder="1">
      <alignment vertical="center"/>
    </xf>
    <xf numFmtId="0" fontId="54" fillId="14" borderId="2" xfId="161" applyFont="1" applyFill="1" applyBorder="1" applyAlignment="1">
      <alignment horizontal="center" vertical="center"/>
    </xf>
    <xf numFmtId="0" fontId="54" fillId="14" borderId="17" xfId="0" applyFont="1" applyFill="1" applyBorder="1">
      <alignment vertical="center"/>
    </xf>
    <xf numFmtId="0" fontId="54" fillId="14" borderId="10" xfId="0" applyFont="1" applyFill="1" applyBorder="1">
      <alignment vertical="center"/>
    </xf>
    <xf numFmtId="0" fontId="55" fillId="14" borderId="3" xfId="161" applyFont="1" applyFill="1" applyBorder="1" applyAlignment="1">
      <alignment horizontal="center" vertical="center"/>
    </xf>
    <xf numFmtId="0" fontId="54" fillId="0" borderId="8" xfId="161" applyFont="1" applyBorder="1">
      <alignment vertical="center"/>
    </xf>
    <xf numFmtId="0" fontId="54" fillId="0" borderId="8" xfId="161" applyFont="1" applyBorder="1" applyAlignment="1">
      <alignment horizontal="center" vertical="center"/>
    </xf>
    <xf numFmtId="0" fontId="54" fillId="0" borderId="12" xfId="161" quotePrefix="1" applyFont="1" applyBorder="1">
      <alignment vertical="center"/>
    </xf>
    <xf numFmtId="0" fontId="54" fillId="0" borderId="12" xfId="161" applyFont="1" applyBorder="1">
      <alignment vertical="center"/>
    </xf>
    <xf numFmtId="0" fontId="54" fillId="0" borderId="12" xfId="161" applyFont="1" applyBorder="1" applyAlignment="1">
      <alignment horizontal="center" vertical="center"/>
    </xf>
    <xf numFmtId="0" fontId="54" fillId="0" borderId="8" xfId="161" quotePrefix="1" applyFont="1" applyBorder="1">
      <alignment vertical="center"/>
    </xf>
    <xf numFmtId="0" fontId="62" fillId="19" borderId="2" xfId="0" applyFont="1" applyFill="1" applyBorder="1" applyAlignment="1">
      <alignment horizontal="centerContinuous" vertical="center"/>
    </xf>
    <xf numFmtId="0" fontId="0" fillId="19" borderId="17" xfId="0" applyFill="1" applyBorder="1" applyAlignment="1">
      <alignment horizontal="centerContinuous" vertical="center"/>
    </xf>
    <xf numFmtId="0" fontId="0" fillId="14" borderId="2" xfId="0" applyFill="1" applyBorder="1" applyAlignment="1">
      <alignment horizontal="centerContinuous" vertical="center"/>
    </xf>
    <xf numFmtId="0" fontId="0" fillId="14" borderId="17" xfId="0" applyFill="1" applyBorder="1" applyAlignment="1">
      <alignment horizontal="centerContinuous" vertical="center"/>
    </xf>
    <xf numFmtId="0" fontId="0" fillId="14" borderId="2" xfId="0" applyFill="1" applyBorder="1">
      <alignment vertical="center"/>
    </xf>
    <xf numFmtId="0" fontId="74" fillId="0" borderId="0" xfId="161" applyFont="1">
      <alignment vertical="center"/>
    </xf>
    <xf numFmtId="0" fontId="74" fillId="0" borderId="0" xfId="0" applyFont="1">
      <alignment vertical="center"/>
    </xf>
    <xf numFmtId="0" fontId="74" fillId="14" borderId="0" xfId="0" applyFont="1" applyFill="1">
      <alignment vertical="center"/>
    </xf>
    <xf numFmtId="0" fontId="55" fillId="14" borderId="12" xfId="161" applyFont="1" applyFill="1" applyBorder="1">
      <alignment vertical="center"/>
    </xf>
    <xf numFmtId="0" fontId="21" fillId="10" borderId="18" xfId="46" applyFont="1" applyFill="1" applyBorder="1" applyAlignment="1">
      <alignment horizontal="centerContinuous"/>
    </xf>
    <xf numFmtId="0" fontId="54" fillId="14" borderId="0" xfId="0" applyFont="1" applyFill="1" applyAlignment="1">
      <alignment horizontal="left" vertical="center"/>
    </xf>
    <xf numFmtId="0" fontId="62" fillId="0" borderId="12" xfId="161" quotePrefix="1" applyFont="1" applyBorder="1" applyAlignment="1">
      <alignment horizontal="centerContinuous" vertical="center"/>
    </xf>
    <xf numFmtId="0" fontId="0" fillId="14" borderId="12" xfId="0" applyFill="1" applyBorder="1">
      <alignment vertical="center"/>
    </xf>
    <xf numFmtId="0" fontId="62" fillId="0" borderId="10" xfId="161" quotePrefix="1" applyFont="1" applyBorder="1">
      <alignment vertical="center"/>
    </xf>
    <xf numFmtId="0" fontId="62" fillId="0" borderId="2" xfId="161" quotePrefix="1" applyFont="1" applyBorder="1">
      <alignment vertical="center"/>
    </xf>
    <xf numFmtId="0" fontId="54" fillId="0" borderId="0" xfId="161" quotePrefix="1" applyFont="1" applyAlignment="1">
      <alignment horizontal="left" vertical="center"/>
    </xf>
    <xf numFmtId="0" fontId="54" fillId="0" borderId="25" xfId="161" applyFont="1" applyBorder="1" applyAlignment="1">
      <alignment horizontal="center" vertical="center"/>
    </xf>
    <xf numFmtId="0" fontId="54" fillId="0" borderId="2" xfId="161" quotePrefix="1" applyFont="1" applyBorder="1">
      <alignment vertical="center"/>
    </xf>
    <xf numFmtId="14" fontId="54" fillId="0" borderId="10" xfId="161" quotePrefix="1" applyNumberFormat="1" applyFont="1" applyBorder="1">
      <alignment vertical="center"/>
    </xf>
    <xf numFmtId="0" fontId="54" fillId="0" borderId="0" xfId="0" applyFont="1" applyAlignment="1">
      <alignment vertical="center" wrapText="1"/>
    </xf>
    <xf numFmtId="0" fontId="54" fillId="0" borderId="0" xfId="0" applyFont="1" applyAlignment="1">
      <alignment horizontal="center" vertical="center"/>
    </xf>
    <xf numFmtId="0" fontId="55" fillId="0" borderId="0" xfId="161" quotePrefix="1" applyFont="1">
      <alignment vertical="center"/>
    </xf>
    <xf numFmtId="0" fontId="55" fillId="0" borderId="2" xfId="161" applyFont="1" applyBorder="1">
      <alignment vertical="center"/>
    </xf>
    <xf numFmtId="0" fontId="59" fillId="14" borderId="6" xfId="180" quotePrefix="1" applyFont="1" applyFill="1" applyBorder="1">
      <alignment vertical="center"/>
    </xf>
    <xf numFmtId="0" fontId="54" fillId="14" borderId="0" xfId="180" applyFont="1" applyFill="1">
      <alignment vertical="center"/>
    </xf>
    <xf numFmtId="0" fontId="55" fillId="19" borderId="2" xfId="180" applyFont="1" applyFill="1" applyBorder="1" applyAlignment="1">
      <alignment horizontal="centerContinuous" vertical="center"/>
    </xf>
    <xf numFmtId="0" fontId="62" fillId="19" borderId="2" xfId="180" applyFont="1" applyFill="1" applyBorder="1" applyAlignment="1">
      <alignment horizontal="centerContinuous" vertical="center"/>
    </xf>
    <xf numFmtId="0" fontId="55" fillId="19" borderId="10" xfId="180" applyFont="1" applyFill="1" applyBorder="1" applyAlignment="1">
      <alignment horizontal="centerContinuous" vertical="center"/>
    </xf>
    <xf numFmtId="0" fontId="54" fillId="19" borderId="2" xfId="180" applyFont="1" applyFill="1" applyBorder="1" applyAlignment="1">
      <alignment horizontal="centerContinuous" vertical="center"/>
    </xf>
    <xf numFmtId="0" fontId="54" fillId="0" borderId="0" xfId="180" applyFont="1">
      <alignment vertical="center"/>
    </xf>
    <xf numFmtId="0" fontId="66" fillId="14" borderId="0" xfId="180" applyFont="1" applyFill="1">
      <alignment vertical="center"/>
    </xf>
    <xf numFmtId="0" fontId="78" fillId="14" borderId="2" xfId="180" quotePrefix="1" applyFont="1" applyFill="1" applyBorder="1">
      <alignment vertical="center"/>
    </xf>
    <xf numFmtId="0" fontId="54" fillId="14" borderId="10" xfId="180" applyFont="1" applyFill="1" applyBorder="1" applyAlignment="1">
      <alignment horizontal="centerContinuous" vertical="center"/>
    </xf>
    <xf numFmtId="0" fontId="54" fillId="14" borderId="2" xfId="180" applyFont="1" applyFill="1" applyBorder="1" applyAlignment="1">
      <alignment horizontal="centerContinuous" vertical="center"/>
    </xf>
    <xf numFmtId="0" fontId="75" fillId="14" borderId="10" xfId="180" applyFont="1" applyFill="1" applyBorder="1" applyAlignment="1">
      <alignment horizontal="center" vertical="center"/>
    </xf>
    <xf numFmtId="0" fontId="54" fillId="14" borderId="2" xfId="180" applyFont="1" applyFill="1" applyBorder="1" applyAlignment="1">
      <alignment horizontal="left" vertical="center"/>
    </xf>
    <xf numFmtId="0" fontId="0" fillId="14" borderId="17" xfId="0" applyFill="1" applyBorder="1">
      <alignment vertical="center"/>
    </xf>
    <xf numFmtId="0" fontId="59" fillId="14" borderId="11" xfId="180" applyFont="1" applyFill="1" applyBorder="1">
      <alignment vertical="center"/>
    </xf>
    <xf numFmtId="0" fontId="0" fillId="19" borderId="2" xfId="0" applyFill="1" applyBorder="1" applyAlignment="1">
      <alignment horizontal="centerContinuous" vertical="center"/>
    </xf>
    <xf numFmtId="0" fontId="75" fillId="14" borderId="2" xfId="180" applyFont="1" applyFill="1" applyBorder="1" applyAlignment="1">
      <alignment horizontal="centerContinuous" vertical="center"/>
    </xf>
    <xf numFmtId="0" fontId="54" fillId="14" borderId="0" xfId="180" applyFont="1" applyFill="1" applyAlignment="1">
      <alignment horizontal="center" vertical="center"/>
    </xf>
    <xf numFmtId="0" fontId="54" fillId="14" borderId="0" xfId="180" quotePrefix="1" applyFont="1" applyFill="1">
      <alignment vertical="center"/>
    </xf>
    <xf numFmtId="14" fontId="62" fillId="0" borderId="10" xfId="161" quotePrefix="1" applyNumberFormat="1" applyFont="1" applyBorder="1" applyAlignment="1">
      <alignment horizontal="centerContinuous" vertical="center"/>
    </xf>
    <xf numFmtId="14" fontId="62" fillId="0" borderId="2" xfId="161" quotePrefix="1" applyNumberFormat="1" applyFont="1" applyBorder="1" applyAlignment="1">
      <alignment horizontal="centerContinuous" vertical="center"/>
    </xf>
    <xf numFmtId="0" fontId="62" fillId="0" borderId="2" xfId="161" quotePrefix="1" applyFont="1" applyBorder="1" applyAlignment="1">
      <alignment horizontal="centerContinuous" vertical="center"/>
    </xf>
    <xf numFmtId="0" fontId="62" fillId="0" borderId="17" xfId="161" quotePrefix="1" applyFont="1" applyBorder="1" applyAlignment="1">
      <alignment horizontal="centerContinuous" vertical="center"/>
    </xf>
    <xf numFmtId="0" fontId="62" fillId="0" borderId="17" xfId="161" applyFont="1" applyBorder="1" applyAlignment="1">
      <alignment horizontal="centerContinuous" vertical="center"/>
    </xf>
    <xf numFmtId="0" fontId="0" fillId="14" borderId="11" xfId="0" applyFill="1" applyBorder="1">
      <alignment vertical="center"/>
    </xf>
    <xf numFmtId="0" fontId="0" fillId="14" borderId="14" xfId="0" applyFill="1" applyBorder="1">
      <alignment vertical="center"/>
    </xf>
    <xf numFmtId="0" fontId="21" fillId="10" borderId="7" xfId="49" applyFont="1" applyFill="1" applyBorder="1" applyAlignment="1">
      <alignment horizontal="right" vertical="center"/>
    </xf>
    <xf numFmtId="0" fontId="0" fillId="14" borderId="2" xfId="0" applyFill="1" applyBorder="1" applyAlignment="1">
      <alignment vertical="center" wrapText="1"/>
    </xf>
    <xf numFmtId="0" fontId="59" fillId="14" borderId="14" xfId="161" applyFont="1" applyFill="1" applyBorder="1">
      <alignment vertical="center"/>
    </xf>
    <xf numFmtId="0" fontId="80" fillId="0" borderId="0" xfId="0" applyFont="1">
      <alignment vertical="center"/>
    </xf>
    <xf numFmtId="0" fontId="21" fillId="10" borderId="26" xfId="46" applyFont="1" applyFill="1" applyBorder="1" applyAlignment="1">
      <alignment horizontal="centerContinuous"/>
    </xf>
    <xf numFmtId="0" fontId="54" fillId="0" borderId="23" xfId="161" applyFont="1" applyBorder="1" applyAlignment="1">
      <alignment horizontal="center" vertical="center"/>
    </xf>
    <xf numFmtId="0" fontId="64" fillId="0" borderId="2" xfId="161" applyFont="1" applyBorder="1" applyAlignment="1">
      <alignment horizontal="centerContinuous" vertical="center"/>
    </xf>
    <xf numFmtId="0" fontId="64" fillId="0" borderId="17" xfId="161" applyFont="1" applyBorder="1" applyAlignment="1">
      <alignment horizontal="centerContinuous" vertical="center"/>
    </xf>
    <xf numFmtId="0" fontId="70" fillId="0" borderId="15" xfId="161" applyFont="1" applyBorder="1" applyAlignment="1">
      <alignment horizontal="left" vertical="center"/>
    </xf>
    <xf numFmtId="0" fontId="70" fillId="0" borderId="12" xfId="161" applyFont="1" applyBorder="1" applyAlignment="1">
      <alignment horizontal="left" vertical="center"/>
    </xf>
    <xf numFmtId="0" fontId="70" fillId="0" borderId="12" xfId="0" applyFont="1" applyBorder="1">
      <alignment vertical="center"/>
    </xf>
    <xf numFmtId="0" fontId="70" fillId="0" borderId="12" xfId="161" applyFont="1" applyBorder="1" applyAlignment="1">
      <alignment horizontal="center" vertical="center"/>
    </xf>
    <xf numFmtId="0" fontId="70" fillId="0" borderId="12" xfId="161" applyFont="1" applyBorder="1">
      <alignment vertical="center"/>
    </xf>
    <xf numFmtId="0" fontId="70" fillId="0" borderId="12" xfId="0" applyFont="1" applyBorder="1" applyAlignment="1">
      <alignment horizontal="center" vertical="center"/>
    </xf>
    <xf numFmtId="0" fontId="70" fillId="0" borderId="7" xfId="161" applyFont="1" applyBorder="1" applyAlignment="1">
      <alignment horizontal="left" vertical="center"/>
    </xf>
    <xf numFmtId="0" fontId="70" fillId="0" borderId="8" xfId="161" applyFont="1" applyBorder="1" applyAlignment="1">
      <alignment horizontal="left" vertical="center"/>
    </xf>
    <xf numFmtId="0" fontId="70" fillId="0" borderId="8" xfId="0" applyFont="1" applyBorder="1">
      <alignment vertical="center"/>
    </xf>
    <xf numFmtId="0" fontId="70" fillId="0" borderId="8" xfId="161" applyFont="1" applyBorder="1" applyAlignment="1">
      <alignment horizontal="center" vertical="center"/>
    </xf>
    <xf numFmtId="0" fontId="70" fillId="0" borderId="8" xfId="161" applyFont="1" applyBorder="1">
      <alignment vertical="center"/>
    </xf>
    <xf numFmtId="0" fontId="70" fillId="0" borderId="8" xfId="0" applyFont="1" applyBorder="1" applyAlignment="1">
      <alignment horizontal="center" vertical="center"/>
    </xf>
    <xf numFmtId="0" fontId="21" fillId="10" borderId="0" xfId="46" applyFont="1" applyFill="1" applyAlignment="1">
      <alignment horizontal="centerContinuous"/>
    </xf>
    <xf numFmtId="0" fontId="59" fillId="19" borderId="10" xfId="180" applyFont="1" applyFill="1" applyBorder="1">
      <alignment vertical="center"/>
    </xf>
    <xf numFmtId="0" fontId="59" fillId="19" borderId="2" xfId="180" applyFont="1" applyFill="1" applyBorder="1">
      <alignment vertical="center"/>
    </xf>
    <xf numFmtId="0" fontId="54" fillId="19" borderId="2" xfId="180" applyFont="1" applyFill="1" applyBorder="1">
      <alignment vertical="center"/>
    </xf>
    <xf numFmtId="0" fontId="54" fillId="19" borderId="2" xfId="180" applyFont="1" applyFill="1" applyBorder="1" applyAlignment="1">
      <alignment horizontal="center" vertical="center"/>
    </xf>
    <xf numFmtId="0" fontId="0" fillId="19" borderId="2" xfId="0" applyFill="1" applyBorder="1">
      <alignment vertical="center"/>
    </xf>
    <xf numFmtId="0" fontId="54" fillId="19" borderId="2" xfId="180" quotePrefix="1" applyFont="1" applyFill="1" applyBorder="1">
      <alignment vertical="center"/>
    </xf>
    <xf numFmtId="0" fontId="66" fillId="19" borderId="2" xfId="161" applyFont="1" applyFill="1" applyBorder="1">
      <alignment vertical="center"/>
    </xf>
    <xf numFmtId="0" fontId="54" fillId="19" borderId="2" xfId="0" applyFont="1" applyFill="1" applyBorder="1" applyAlignment="1">
      <alignment vertical="center" wrapText="1"/>
    </xf>
    <xf numFmtId="0" fontId="54" fillId="19" borderId="2" xfId="161" quotePrefix="1" applyFont="1" applyFill="1" applyBorder="1">
      <alignment vertical="center"/>
    </xf>
    <xf numFmtId="0" fontId="59" fillId="19" borderId="17" xfId="180" applyFont="1" applyFill="1" applyBorder="1">
      <alignment vertical="center"/>
    </xf>
    <xf numFmtId="0" fontId="21" fillId="0" borderId="2" xfId="0" applyFont="1" applyBorder="1" applyAlignment="1">
      <alignment horizontal="center" vertical="top"/>
    </xf>
    <xf numFmtId="0" fontId="21" fillId="22" borderId="2" xfId="0" applyFont="1" applyFill="1" applyBorder="1" applyAlignment="1">
      <alignment horizontal="center" vertical="top"/>
    </xf>
    <xf numFmtId="0" fontId="21" fillId="23" borderId="2" xfId="0" applyFont="1" applyFill="1" applyBorder="1" applyAlignment="1">
      <alignment horizontal="center" vertical="top"/>
    </xf>
    <xf numFmtId="0" fontId="54" fillId="0" borderId="15" xfId="0" applyFont="1" applyBorder="1">
      <alignment vertical="center"/>
    </xf>
    <xf numFmtId="0" fontId="82" fillId="0" borderId="0" xfId="161" applyFont="1">
      <alignment vertical="center"/>
    </xf>
    <xf numFmtId="0" fontId="82" fillId="0" borderId="0" xfId="0" applyFont="1">
      <alignment vertical="center"/>
    </xf>
    <xf numFmtId="0" fontId="82" fillId="0" borderId="0" xfId="161" applyFont="1" applyAlignment="1">
      <alignment horizontal="center" vertical="center"/>
    </xf>
    <xf numFmtId="0" fontId="70" fillId="0" borderId="0" xfId="161" applyFont="1" applyAlignment="1">
      <alignment horizontal="left" vertical="center"/>
    </xf>
    <xf numFmtId="0" fontId="70" fillId="0" borderId="0" xfId="0" applyFont="1">
      <alignment vertical="center"/>
    </xf>
    <xf numFmtId="0" fontId="70" fillId="0" borderId="0" xfId="161" applyFont="1" applyAlignment="1">
      <alignment horizontal="center" vertical="center"/>
    </xf>
    <xf numFmtId="0" fontId="70" fillId="0" borderId="0" xfId="161" applyFont="1">
      <alignment vertical="center"/>
    </xf>
    <xf numFmtId="0" fontId="70" fillId="0" borderId="0" xfId="0" applyFont="1" applyAlignment="1">
      <alignment horizontal="center" vertical="center"/>
    </xf>
    <xf numFmtId="0" fontId="54" fillId="0" borderId="0" xfId="0" applyFont="1" applyAlignment="1">
      <alignment horizontal="left" vertical="center"/>
    </xf>
    <xf numFmtId="0" fontId="71" fillId="0" borderId="0" xfId="161" applyFont="1" applyAlignment="1">
      <alignment horizontal="left" vertical="center"/>
    </xf>
    <xf numFmtId="0" fontId="71" fillId="0" borderId="0" xfId="0" applyFont="1">
      <alignment vertical="center"/>
    </xf>
    <xf numFmtId="0" fontId="54" fillId="14" borderId="6" xfId="161" quotePrefix="1" applyFont="1" applyFill="1" applyBorder="1">
      <alignment vertical="center"/>
    </xf>
    <xf numFmtId="0" fontId="80" fillId="14" borderId="6" xfId="161" quotePrefix="1" applyFont="1" applyFill="1" applyBorder="1">
      <alignment vertical="center"/>
    </xf>
    <xf numFmtId="0" fontId="80" fillId="14" borderId="0" xfId="161" applyFont="1" applyFill="1">
      <alignment vertical="center"/>
    </xf>
    <xf numFmtId="0" fontId="77" fillId="14" borderId="0" xfId="0" applyFont="1" applyFill="1">
      <alignment vertical="center"/>
    </xf>
    <xf numFmtId="0" fontId="55" fillId="24" borderId="15" xfId="161" applyFont="1" applyFill="1" applyBorder="1" applyAlignment="1">
      <alignment horizontal="centerContinuous" vertical="center"/>
    </xf>
    <xf numFmtId="0" fontId="55" fillId="24" borderId="12" xfId="161" applyFont="1" applyFill="1" applyBorder="1" applyAlignment="1">
      <alignment horizontal="centerContinuous" vertical="center"/>
    </xf>
    <xf numFmtId="0" fontId="55" fillId="24" borderId="13" xfId="161" applyFont="1" applyFill="1" applyBorder="1" applyAlignment="1">
      <alignment horizontal="centerContinuous" vertical="center"/>
    </xf>
    <xf numFmtId="0" fontId="55" fillId="24" borderId="15" xfId="161" quotePrefix="1" applyFont="1" applyFill="1" applyBorder="1" applyAlignment="1">
      <alignment horizontal="centerContinuous" vertical="center"/>
    </xf>
    <xf numFmtId="0" fontId="55" fillId="24" borderId="12" xfId="161" quotePrefix="1" applyFont="1" applyFill="1" applyBorder="1" applyAlignment="1">
      <alignment horizontal="centerContinuous" vertical="center"/>
    </xf>
    <xf numFmtId="0" fontId="62" fillId="24" borderId="15" xfId="161" applyFont="1" applyFill="1" applyBorder="1" applyAlignment="1">
      <alignment horizontal="centerContinuous" vertical="center"/>
    </xf>
    <xf numFmtId="0" fontId="62" fillId="24" borderId="12" xfId="161" applyFont="1" applyFill="1" applyBorder="1" applyAlignment="1">
      <alignment horizontal="centerContinuous" vertical="center"/>
    </xf>
    <xf numFmtId="0" fontId="62" fillId="24" borderId="13" xfId="161" applyFont="1" applyFill="1" applyBorder="1" applyAlignment="1">
      <alignment horizontal="centerContinuous" vertical="center"/>
    </xf>
    <xf numFmtId="0" fontId="55" fillId="24" borderId="7" xfId="161" quotePrefix="1" applyFont="1" applyFill="1" applyBorder="1" applyAlignment="1">
      <alignment horizontal="centerContinuous" vertical="center"/>
    </xf>
    <xf numFmtId="0" fontId="55" fillId="24" borderId="8" xfId="161" applyFont="1" applyFill="1" applyBorder="1" applyAlignment="1">
      <alignment horizontal="centerContinuous" vertical="center"/>
    </xf>
    <xf numFmtId="0" fontId="55" fillId="24" borderId="14" xfId="161" applyFont="1" applyFill="1" applyBorder="1" applyAlignment="1">
      <alignment horizontal="centerContinuous" vertical="center"/>
    </xf>
    <xf numFmtId="0" fontId="55" fillId="24" borderId="8" xfId="161" quotePrefix="1" applyFont="1" applyFill="1" applyBorder="1" applyAlignment="1">
      <alignment horizontal="centerContinuous" vertical="center"/>
    </xf>
    <xf numFmtId="0" fontId="62" fillId="24" borderId="7" xfId="161" quotePrefix="1" applyFont="1" applyFill="1" applyBorder="1" applyAlignment="1">
      <alignment horizontal="centerContinuous" vertical="center"/>
    </xf>
    <xf numFmtId="0" fontId="62" fillId="24" borderId="8" xfId="161" quotePrefix="1" applyFont="1" applyFill="1" applyBorder="1" applyAlignment="1">
      <alignment horizontal="centerContinuous" vertical="center"/>
    </xf>
    <xf numFmtId="0" fontId="62" fillId="24" borderId="8" xfId="161" applyFont="1" applyFill="1" applyBorder="1" applyAlignment="1">
      <alignment horizontal="centerContinuous" vertical="center"/>
    </xf>
    <xf numFmtId="0" fontId="62" fillId="24" borderId="14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left" vertical="center"/>
    </xf>
    <xf numFmtId="0" fontId="62" fillId="0" borderId="2" xfId="161" quotePrefix="1" applyFont="1" applyBorder="1" applyAlignment="1">
      <alignment horizontal="left" vertical="center"/>
    </xf>
    <xf numFmtId="0" fontId="54" fillId="25" borderId="2" xfId="161" quotePrefix="1" applyFont="1" applyFill="1" applyBorder="1">
      <alignment vertical="center"/>
    </xf>
    <xf numFmtId="0" fontId="54" fillId="25" borderId="2" xfId="161" applyFont="1" applyFill="1" applyBorder="1">
      <alignment vertical="center"/>
    </xf>
    <xf numFmtId="0" fontId="55" fillId="25" borderId="2" xfId="0" applyFont="1" applyFill="1" applyBorder="1">
      <alignment vertical="center"/>
    </xf>
    <xf numFmtId="0" fontId="54" fillId="25" borderId="2" xfId="0" quotePrefix="1" applyFont="1" applyFill="1" applyBorder="1">
      <alignment vertical="center"/>
    </xf>
    <xf numFmtId="0" fontId="54" fillId="25" borderId="2" xfId="0" applyFont="1" applyFill="1" applyBorder="1">
      <alignment vertical="center"/>
    </xf>
    <xf numFmtId="0" fontId="54" fillId="25" borderId="2" xfId="0" applyFont="1" applyFill="1" applyBorder="1" applyAlignment="1">
      <alignment horizontal="center" vertical="center"/>
    </xf>
    <xf numFmtId="0" fontId="54" fillId="25" borderId="2" xfId="0" applyFont="1" applyFill="1" applyBorder="1" applyAlignment="1">
      <alignment horizontal="left" vertical="center"/>
    </xf>
    <xf numFmtId="0" fontId="54" fillId="25" borderId="2" xfId="0" applyFont="1" applyFill="1" applyBorder="1" applyAlignment="1">
      <alignment vertical="center" wrapText="1"/>
    </xf>
    <xf numFmtId="0" fontId="0" fillId="25" borderId="2" xfId="0" applyFill="1" applyBorder="1">
      <alignment vertical="center"/>
    </xf>
    <xf numFmtId="0" fontId="80" fillId="25" borderId="2" xfId="0" applyFont="1" applyFill="1" applyBorder="1">
      <alignment vertical="center"/>
    </xf>
    <xf numFmtId="0" fontId="81" fillId="14" borderId="0" xfId="0" applyFont="1" applyFill="1">
      <alignment vertical="center"/>
    </xf>
    <xf numFmtId="0" fontId="55" fillId="21" borderId="15" xfId="161" applyFont="1" applyFill="1" applyBorder="1" applyAlignment="1">
      <alignment horizontal="centerContinuous" vertical="center"/>
    </xf>
    <xf numFmtId="0" fontId="55" fillId="21" borderId="12" xfId="161" applyFont="1" applyFill="1" applyBorder="1" applyAlignment="1">
      <alignment horizontal="centerContinuous" vertical="center"/>
    </xf>
    <xf numFmtId="0" fontId="55" fillId="21" borderId="13" xfId="161" applyFont="1" applyFill="1" applyBorder="1" applyAlignment="1">
      <alignment horizontal="centerContinuous" vertical="center"/>
    </xf>
    <xf numFmtId="0" fontId="55" fillId="21" borderId="15" xfId="161" quotePrefix="1" applyFont="1" applyFill="1" applyBorder="1" applyAlignment="1">
      <alignment horizontal="centerContinuous" vertical="center"/>
    </xf>
    <xf numFmtId="0" fontId="55" fillId="21" borderId="12" xfId="161" quotePrefix="1" applyFont="1" applyFill="1" applyBorder="1" applyAlignment="1">
      <alignment horizontal="centerContinuous" vertical="center"/>
    </xf>
    <xf numFmtId="0" fontId="62" fillId="21" borderId="15" xfId="161" applyFont="1" applyFill="1" applyBorder="1" applyAlignment="1">
      <alignment horizontal="centerContinuous" vertical="center"/>
    </xf>
    <xf numFmtId="0" fontId="62" fillId="21" borderId="12" xfId="161" applyFont="1" applyFill="1" applyBorder="1" applyAlignment="1">
      <alignment horizontal="centerContinuous" vertical="center"/>
    </xf>
    <xf numFmtId="0" fontId="62" fillId="21" borderId="13" xfId="161" applyFont="1" applyFill="1" applyBorder="1" applyAlignment="1">
      <alignment horizontal="centerContinuous" vertical="center"/>
    </xf>
    <xf numFmtId="0" fontId="62" fillId="0" borderId="10" xfId="161" quotePrefix="1" applyFont="1" applyBorder="1" applyAlignment="1">
      <alignment horizontal="centerContinuous" vertical="center"/>
    </xf>
    <xf numFmtId="0" fontId="55" fillId="26" borderId="15" xfId="161" applyFont="1" applyFill="1" applyBorder="1" applyAlignment="1">
      <alignment horizontal="centerContinuous" vertical="center"/>
    </xf>
    <xf numFmtId="0" fontId="55" fillId="26" borderId="12" xfId="161" applyFont="1" applyFill="1" applyBorder="1" applyAlignment="1">
      <alignment horizontal="centerContinuous" vertical="center"/>
    </xf>
    <xf numFmtId="0" fontId="55" fillId="26" borderId="13" xfId="161" applyFont="1" applyFill="1" applyBorder="1" applyAlignment="1">
      <alignment horizontal="centerContinuous" vertical="center"/>
    </xf>
    <xf numFmtId="0" fontId="55" fillId="26" borderId="15" xfId="161" quotePrefix="1" applyFont="1" applyFill="1" applyBorder="1" applyAlignment="1">
      <alignment horizontal="centerContinuous" vertical="center"/>
    </xf>
    <xf numFmtId="0" fontId="55" fillId="26" borderId="12" xfId="161" quotePrefix="1" applyFont="1" applyFill="1" applyBorder="1" applyAlignment="1">
      <alignment horizontal="centerContinuous" vertical="center"/>
    </xf>
    <xf numFmtId="0" fontId="62" fillId="26" borderId="15" xfId="161" applyFont="1" applyFill="1" applyBorder="1" applyAlignment="1">
      <alignment horizontal="centerContinuous" vertical="center"/>
    </xf>
    <xf numFmtId="0" fontId="62" fillId="26" borderId="12" xfId="161" applyFont="1" applyFill="1" applyBorder="1" applyAlignment="1">
      <alignment horizontal="centerContinuous" vertical="center"/>
    </xf>
    <xf numFmtId="0" fontId="62" fillId="26" borderId="13" xfId="161" applyFont="1" applyFill="1" applyBorder="1" applyAlignment="1">
      <alignment horizontal="centerContinuous" vertical="center"/>
    </xf>
    <xf numFmtId="0" fontId="62" fillId="26" borderId="12" xfId="161" quotePrefix="1" applyFont="1" applyFill="1" applyBorder="1" applyAlignment="1">
      <alignment horizontal="centerContinuous" vertical="center"/>
    </xf>
    <xf numFmtId="183" fontId="62" fillId="0" borderId="2" xfId="161" quotePrefix="1" applyNumberFormat="1" applyFont="1" applyBorder="1" applyAlignment="1">
      <alignment horizontal="right" vertical="center"/>
    </xf>
    <xf numFmtId="0" fontId="62" fillId="26" borderId="15" xfId="161" quotePrefix="1" applyFont="1" applyFill="1" applyBorder="1" applyAlignment="1">
      <alignment horizontal="centerContinuous" vertical="center"/>
    </xf>
    <xf numFmtId="0" fontId="89" fillId="0" borderId="0" xfId="0" applyFont="1">
      <alignment vertical="center"/>
    </xf>
    <xf numFmtId="0" fontId="74" fillId="14" borderId="8" xfId="0" applyFont="1" applyFill="1" applyBorder="1">
      <alignment vertical="center"/>
    </xf>
    <xf numFmtId="0" fontId="54" fillId="14" borderId="6" xfId="180" applyFont="1" applyFill="1" applyBorder="1">
      <alignment vertical="center"/>
    </xf>
    <xf numFmtId="0" fontId="54" fillId="14" borderId="2" xfId="180" quotePrefix="1" applyFont="1" applyFill="1" applyBorder="1">
      <alignment vertical="center"/>
    </xf>
    <xf numFmtId="0" fontId="54" fillId="14" borderId="2" xfId="180" applyFont="1" applyFill="1" applyBorder="1">
      <alignment vertical="center"/>
    </xf>
    <xf numFmtId="0" fontId="54" fillId="14" borderId="2" xfId="180" applyFont="1" applyFill="1" applyBorder="1" applyAlignment="1">
      <alignment horizontal="center" vertical="center"/>
    </xf>
    <xf numFmtId="0" fontId="55" fillId="14" borderId="3" xfId="180" applyFont="1" applyFill="1" applyBorder="1" applyAlignment="1">
      <alignment horizontal="center" vertical="center"/>
    </xf>
    <xf numFmtId="0" fontId="54" fillId="14" borderId="3" xfId="180" applyFont="1" applyFill="1" applyBorder="1" applyAlignment="1">
      <alignment horizontal="center" vertical="center"/>
    </xf>
    <xf numFmtId="0" fontId="65" fillId="14" borderId="3" xfId="180" applyFont="1" applyFill="1" applyBorder="1" applyAlignment="1">
      <alignment horizontal="center" vertical="center"/>
    </xf>
    <xf numFmtId="0" fontId="54" fillId="0" borderId="28" xfId="0" applyFont="1" applyBorder="1">
      <alignment vertical="center"/>
    </xf>
    <xf numFmtId="0" fontId="54" fillId="14" borderId="28" xfId="161" applyFont="1" applyFill="1" applyBorder="1">
      <alignment vertical="center"/>
    </xf>
    <xf numFmtId="0" fontId="54" fillId="14" borderId="29" xfId="161" applyFont="1" applyFill="1" applyBorder="1">
      <alignment vertical="center"/>
    </xf>
    <xf numFmtId="0" fontId="55" fillId="14" borderId="33" xfId="161" applyFont="1" applyFill="1" applyBorder="1">
      <alignment vertical="center"/>
    </xf>
    <xf numFmtId="0" fontId="54" fillId="14" borderId="34" xfId="161" applyFont="1" applyFill="1" applyBorder="1">
      <alignment vertical="center"/>
    </xf>
    <xf numFmtId="0" fontId="55" fillId="14" borderId="30" xfId="161" applyFont="1" applyFill="1" applyBorder="1">
      <alignment vertical="center"/>
    </xf>
    <xf numFmtId="0" fontId="54" fillId="14" borderId="31" xfId="161" applyFont="1" applyFill="1" applyBorder="1">
      <alignment vertical="center"/>
    </xf>
    <xf numFmtId="0" fontId="54" fillId="0" borderId="31" xfId="0" applyFont="1" applyBorder="1">
      <alignment vertical="center"/>
    </xf>
    <xf numFmtId="0" fontId="0" fillId="14" borderId="31" xfId="0" applyFill="1" applyBorder="1">
      <alignment vertical="center"/>
    </xf>
    <xf numFmtId="0" fontId="55" fillId="0" borderId="31" xfId="161" applyFont="1" applyBorder="1">
      <alignment vertical="center"/>
    </xf>
    <xf numFmtId="0" fontId="54" fillId="0" borderId="31" xfId="161" applyFont="1" applyBorder="1">
      <alignment vertical="center"/>
    </xf>
    <xf numFmtId="0" fontId="54" fillId="0" borderId="31" xfId="0" applyFont="1" applyBorder="1" applyAlignment="1">
      <alignment vertical="center" wrapText="1"/>
    </xf>
    <xf numFmtId="0" fontId="54" fillId="0" borderId="31" xfId="161" quotePrefix="1" applyFont="1" applyBorder="1">
      <alignment vertical="center"/>
    </xf>
    <xf numFmtId="0" fontId="54" fillId="0" borderId="31" xfId="161" applyFont="1" applyBorder="1" applyAlignment="1">
      <alignment horizontal="center" vertical="center"/>
    </xf>
    <xf numFmtId="0" fontId="54" fillId="14" borderId="32" xfId="161" applyFont="1" applyFill="1" applyBorder="1">
      <alignment vertical="center"/>
    </xf>
    <xf numFmtId="0" fontId="54" fillId="0" borderId="28" xfId="161" quotePrefix="1" applyFont="1" applyBorder="1">
      <alignment vertical="center"/>
    </xf>
    <xf numFmtId="0" fontId="54" fillId="0" borderId="28" xfId="161" applyFont="1" applyBorder="1">
      <alignment vertical="center"/>
    </xf>
    <xf numFmtId="0" fontId="54" fillId="0" borderId="28" xfId="161" applyFont="1" applyBorder="1" applyAlignment="1">
      <alignment horizontal="center" vertical="center"/>
    </xf>
    <xf numFmtId="0" fontId="0" fillId="14" borderId="28" xfId="0" applyFill="1" applyBorder="1">
      <alignment vertical="center"/>
    </xf>
    <xf numFmtId="0" fontId="54" fillId="14" borderId="33" xfId="0" applyFont="1" applyFill="1" applyBorder="1">
      <alignment vertical="center"/>
    </xf>
    <xf numFmtId="0" fontId="54" fillId="0" borderId="34" xfId="161" applyFont="1" applyBorder="1">
      <alignment vertical="center"/>
    </xf>
    <xf numFmtId="0" fontId="65" fillId="0" borderId="33" xfId="180" applyFont="1" applyBorder="1" applyAlignment="1">
      <alignment vertical="top"/>
    </xf>
    <xf numFmtId="0" fontId="54" fillId="0" borderId="0" xfId="180" applyFont="1" applyAlignment="1">
      <alignment vertical="top"/>
    </xf>
    <xf numFmtId="0" fontId="54" fillId="14" borderId="34" xfId="180" applyFont="1" applyFill="1" applyBorder="1">
      <alignment vertical="center"/>
    </xf>
    <xf numFmtId="0" fontId="54" fillId="14" borderId="33" xfId="161" applyFont="1" applyFill="1" applyBorder="1" applyAlignment="1">
      <alignment horizontal="left" vertical="center"/>
    </xf>
    <xf numFmtId="0" fontId="54" fillId="14" borderId="30" xfId="161" applyFont="1" applyFill="1" applyBorder="1" applyAlignment="1">
      <alignment horizontal="left" vertical="center"/>
    </xf>
    <xf numFmtId="0" fontId="54" fillId="14" borderId="31" xfId="161" applyFont="1" applyFill="1" applyBorder="1" applyAlignment="1">
      <alignment horizontal="left" vertical="center"/>
    </xf>
    <xf numFmtId="0" fontId="70" fillId="0" borderId="31" xfId="161" applyFont="1" applyBorder="1" applyAlignment="1">
      <alignment horizontal="left" vertical="center"/>
    </xf>
    <xf numFmtId="0" fontId="70" fillId="0" borderId="31" xfId="0" applyFont="1" applyBorder="1">
      <alignment vertical="center"/>
    </xf>
    <xf numFmtId="0" fontId="70" fillId="0" borderId="31" xfId="161" applyFont="1" applyBorder="1" applyAlignment="1">
      <alignment horizontal="center" vertical="center"/>
    </xf>
    <xf numFmtId="0" fontId="70" fillId="0" borderId="31" xfId="161" applyFont="1" applyBorder="1">
      <alignment vertical="center"/>
    </xf>
    <xf numFmtId="0" fontId="70" fillId="0" borderId="31" xfId="0" applyFont="1" applyBorder="1" applyAlignment="1">
      <alignment horizontal="center" vertical="center"/>
    </xf>
    <xf numFmtId="0" fontId="54" fillId="0" borderId="32" xfId="161" applyFont="1" applyBorder="1">
      <alignment vertical="center"/>
    </xf>
    <xf numFmtId="0" fontId="77" fillId="14" borderId="27" xfId="0" applyFont="1" applyFill="1" applyBorder="1">
      <alignment vertical="center"/>
    </xf>
    <xf numFmtId="0" fontId="54" fillId="0" borderId="28" xfId="161" quotePrefix="1" applyFont="1" applyBorder="1" applyAlignment="1">
      <alignment horizontal="left" vertical="center"/>
    </xf>
    <xf numFmtId="0" fontId="54" fillId="0" borderId="28" xfId="161" applyFont="1" applyBorder="1" applyAlignment="1">
      <alignment horizontal="left" vertical="center"/>
    </xf>
    <xf numFmtId="0" fontId="55" fillId="0" borderId="15" xfId="161" applyFont="1" applyBorder="1">
      <alignment vertical="center"/>
    </xf>
    <xf numFmtId="0" fontId="81" fillId="14" borderId="28" xfId="0" applyFont="1" applyFill="1" applyBorder="1">
      <alignment vertical="center"/>
    </xf>
    <xf numFmtId="0" fontId="59" fillId="14" borderId="28" xfId="161" applyFont="1" applyFill="1" applyBorder="1">
      <alignment vertical="center"/>
    </xf>
    <xf numFmtId="0" fontId="21" fillId="10" borderId="28" xfId="46" applyFont="1" applyFill="1" applyBorder="1" applyAlignment="1">
      <alignment horizontal="centerContinuous"/>
    </xf>
    <xf numFmtId="0" fontId="21" fillId="10" borderId="29" xfId="46" applyFont="1" applyFill="1" applyBorder="1" applyAlignment="1">
      <alignment horizontal="centerContinuous"/>
    </xf>
    <xf numFmtId="0" fontId="62" fillId="19" borderId="35" xfId="161" applyFont="1" applyFill="1" applyBorder="1" applyAlignment="1">
      <alignment horizontal="center" vertical="center"/>
    </xf>
    <xf numFmtId="0" fontId="62" fillId="24" borderId="36" xfId="161" applyFont="1" applyFill="1" applyBorder="1" applyAlignment="1">
      <alignment horizontal="centerContinuous" vertical="center"/>
    </xf>
    <xf numFmtId="0" fontId="55" fillId="19" borderId="37" xfId="161" applyFont="1" applyFill="1" applyBorder="1" applyAlignment="1">
      <alignment horizontal="centerContinuous" vertical="center"/>
    </xf>
    <xf numFmtId="0" fontId="62" fillId="24" borderId="38" xfId="161" quotePrefix="1" applyFont="1" applyFill="1" applyBorder="1" applyAlignment="1">
      <alignment horizontal="centerContinuous" vertical="center"/>
    </xf>
    <xf numFmtId="0" fontId="54" fillId="19" borderId="39" xfId="161" quotePrefix="1" applyFont="1" applyFill="1" applyBorder="1" applyAlignment="1">
      <alignment horizontal="center" vertical="center"/>
    </xf>
    <xf numFmtId="14" fontId="62" fillId="0" borderId="40" xfId="161" quotePrefix="1" applyNumberFormat="1" applyFont="1" applyBorder="1" applyAlignment="1">
      <alignment horizontal="centerContinuous" vertical="center"/>
    </xf>
    <xf numFmtId="0" fontId="65" fillId="0" borderId="33" xfId="0" applyFont="1" applyBorder="1">
      <alignment vertical="center"/>
    </xf>
    <xf numFmtId="0" fontId="0" fillId="14" borderId="34" xfId="0" applyFill="1" applyBorder="1">
      <alignment vertical="center"/>
    </xf>
    <xf numFmtId="0" fontId="54" fillId="0" borderId="33" xfId="0" applyFont="1" applyBorder="1">
      <alignment vertical="center"/>
    </xf>
    <xf numFmtId="0" fontId="86" fillId="25" borderId="41" xfId="161" quotePrefix="1" applyFont="1" applyFill="1" applyBorder="1" applyAlignment="1">
      <alignment horizontal="left" vertical="center"/>
    </xf>
    <xf numFmtId="0" fontId="0" fillId="25" borderId="40" xfId="0" applyFill="1" applyBorder="1">
      <alignment vertical="center"/>
    </xf>
    <xf numFmtId="0" fontId="77" fillId="14" borderId="30" xfId="0" applyFont="1" applyFill="1" applyBorder="1">
      <alignment vertical="center"/>
    </xf>
    <xf numFmtId="0" fontId="54" fillId="0" borderId="31" xfId="161" quotePrefix="1" applyFont="1" applyBorder="1" applyAlignment="1">
      <alignment horizontal="left" vertical="center"/>
    </xf>
    <xf numFmtId="0" fontId="54" fillId="0" borderId="31" xfId="161" applyFont="1" applyBorder="1" applyAlignment="1">
      <alignment horizontal="left" vertical="center"/>
    </xf>
    <xf numFmtId="0" fontId="81" fillId="14" borderId="31" xfId="0" applyFont="1" applyFill="1" applyBorder="1">
      <alignment vertical="center"/>
    </xf>
    <xf numFmtId="0" fontId="59" fillId="14" borderId="31" xfId="161" applyFont="1" applyFill="1" applyBorder="1">
      <alignment vertical="center"/>
    </xf>
    <xf numFmtId="0" fontId="21" fillId="10" borderId="31" xfId="46" applyFont="1" applyFill="1" applyBorder="1" applyAlignment="1">
      <alignment horizontal="centerContinuous"/>
    </xf>
    <xf numFmtId="0" fontId="21" fillId="10" borderId="32" xfId="46" applyFont="1" applyFill="1" applyBorder="1" applyAlignment="1">
      <alignment horizontal="centerContinuous"/>
    </xf>
    <xf numFmtId="0" fontId="55" fillId="0" borderId="8" xfId="161" quotePrefix="1" applyFont="1" applyBorder="1">
      <alignment vertical="center"/>
    </xf>
    <xf numFmtId="0" fontId="59" fillId="14" borderId="12" xfId="161" applyFont="1" applyFill="1" applyBorder="1">
      <alignment vertical="center"/>
    </xf>
    <xf numFmtId="0" fontId="21" fillId="10" borderId="12" xfId="46" applyFont="1" applyFill="1" applyBorder="1" applyAlignment="1">
      <alignment horizontal="centerContinuous"/>
    </xf>
    <xf numFmtId="0" fontId="21" fillId="10" borderId="36" xfId="46" applyFont="1" applyFill="1" applyBorder="1" applyAlignment="1">
      <alignment horizontal="centerContinuous"/>
    </xf>
    <xf numFmtId="0" fontId="21" fillId="10" borderId="34" xfId="46" applyFont="1" applyFill="1" applyBorder="1" applyAlignment="1">
      <alignment horizontal="centerContinuous"/>
    </xf>
    <xf numFmtId="0" fontId="21" fillId="10" borderId="8" xfId="46" applyFont="1" applyFill="1" applyBorder="1" applyAlignment="1">
      <alignment horizontal="centerContinuous"/>
    </xf>
    <xf numFmtId="0" fontId="21" fillId="10" borderId="38" xfId="46" applyFont="1" applyFill="1" applyBorder="1" applyAlignment="1">
      <alignment horizontal="centerContinuous"/>
    </xf>
    <xf numFmtId="0" fontId="21" fillId="10" borderId="2" xfId="46" applyFont="1" applyFill="1" applyBorder="1" applyAlignment="1">
      <alignment horizontal="centerContinuous"/>
    </xf>
    <xf numFmtId="0" fontId="62" fillId="26" borderId="10" xfId="161" applyFont="1" applyFill="1" applyBorder="1" applyAlignment="1">
      <alignment horizontal="centerContinuous" vertical="center"/>
    </xf>
    <xf numFmtId="0" fontId="54" fillId="0" borderId="0" xfId="161" quotePrefix="1" applyFont="1" applyAlignment="1">
      <alignment horizontal="center" vertical="center"/>
    </xf>
    <xf numFmtId="0" fontId="75" fillId="0" borderId="0" xfId="0" applyFont="1">
      <alignment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0" fontId="21" fillId="10" borderId="16" xfId="46" applyFont="1" applyFill="1" applyBorder="1" applyAlignment="1">
      <alignment horizontal="center"/>
    </xf>
    <xf numFmtId="0" fontId="21" fillId="10" borderId="9" xfId="46" applyFont="1" applyFill="1" applyBorder="1" applyAlignment="1">
      <alignment horizontal="center"/>
    </xf>
    <xf numFmtId="0" fontId="77" fillId="14" borderId="33" xfId="0" applyFont="1" applyFill="1" applyBorder="1">
      <alignment vertical="center"/>
    </xf>
    <xf numFmtId="0" fontId="21" fillId="10" borderId="40" xfId="46" applyFont="1" applyFill="1" applyBorder="1" applyAlignment="1">
      <alignment horizontal="centerContinuous"/>
    </xf>
    <xf numFmtId="0" fontId="55" fillId="0" borderId="33" xfId="161" applyFont="1" applyBorder="1">
      <alignment vertical="center"/>
    </xf>
    <xf numFmtId="0" fontId="77" fillId="0" borderId="33" xfId="0" applyFont="1" applyBorder="1">
      <alignment vertical="center"/>
    </xf>
    <xf numFmtId="0" fontId="62" fillId="0" borderId="33" xfId="161" applyFont="1" applyBorder="1" applyAlignment="1">
      <alignment horizontal="center" vertical="center"/>
    </xf>
    <xf numFmtId="0" fontId="54" fillId="0" borderId="33" xfId="161" quotePrefix="1" applyFont="1" applyBorder="1" applyAlignment="1">
      <alignment horizontal="center" vertical="center"/>
    </xf>
    <xf numFmtId="0" fontId="21" fillId="10" borderId="42" xfId="46" applyFont="1" applyFill="1" applyBorder="1" applyAlignment="1">
      <alignment horizontal="centerContinuous"/>
    </xf>
    <xf numFmtId="0" fontId="21" fillId="10" borderId="43" xfId="46" applyFont="1" applyFill="1" applyBorder="1" applyAlignment="1">
      <alignment horizontal="centerContinuous"/>
    </xf>
    <xf numFmtId="0" fontId="21" fillId="10" borderId="11" xfId="46" applyFont="1" applyFill="1" applyBorder="1" applyAlignment="1">
      <alignment horizontal="centerContinuous"/>
    </xf>
    <xf numFmtId="0" fontId="76" fillId="14" borderId="0" xfId="180" applyFont="1" applyFill="1">
      <alignment vertical="center"/>
    </xf>
    <xf numFmtId="0" fontId="54" fillId="0" borderId="34" xfId="0" applyFont="1" applyBorder="1">
      <alignment vertical="center"/>
    </xf>
    <xf numFmtId="0" fontId="66" fillId="19" borderId="41" xfId="180" applyFont="1" applyFill="1" applyBorder="1" applyAlignment="1">
      <alignment horizontal="centerContinuous" vertical="center"/>
    </xf>
    <xf numFmtId="0" fontId="78" fillId="14" borderId="41" xfId="180" quotePrefix="1" applyFont="1" applyFill="1" applyBorder="1">
      <alignment vertical="center"/>
    </xf>
    <xf numFmtId="14" fontId="54" fillId="14" borderId="2" xfId="180" applyNumberFormat="1" applyFont="1" applyFill="1" applyBorder="1" applyAlignment="1">
      <alignment horizontal="centerContinuous" vertical="center"/>
    </xf>
    <xf numFmtId="0" fontId="54" fillId="14" borderId="44" xfId="0" applyFont="1" applyFill="1" applyBorder="1">
      <alignment vertical="center"/>
    </xf>
    <xf numFmtId="0" fontId="0" fillId="14" borderId="33" xfId="0" applyFill="1" applyBorder="1">
      <alignment vertical="center"/>
    </xf>
    <xf numFmtId="0" fontId="54" fillId="14" borderId="44" xfId="161" applyFont="1" applyFill="1" applyBorder="1">
      <alignment vertical="center"/>
    </xf>
    <xf numFmtId="185" fontId="62" fillId="0" borderId="0" xfId="161" quotePrefix="1" applyNumberFormat="1" applyFont="1" applyAlignment="1">
      <alignment horizontal="right" vertical="center"/>
    </xf>
    <xf numFmtId="0" fontId="21" fillId="10" borderId="21" xfId="46" applyFont="1" applyFill="1" applyBorder="1" applyAlignment="1">
      <alignment horizontal="center"/>
    </xf>
    <xf numFmtId="0" fontId="21" fillId="10" borderId="22" xfId="46" applyFont="1" applyFill="1" applyBorder="1" applyAlignment="1">
      <alignment horizontal="center"/>
    </xf>
    <xf numFmtId="0" fontId="62" fillId="21" borderId="10" xfId="161" applyFont="1" applyFill="1" applyBorder="1" applyAlignment="1">
      <alignment horizontal="centerContinuous" vertical="center"/>
    </xf>
    <xf numFmtId="0" fontId="62" fillId="26" borderId="10" xfId="161" quotePrefix="1" applyFont="1" applyFill="1" applyBorder="1" applyAlignment="1">
      <alignment horizontal="centerContinuous" vertical="center"/>
    </xf>
    <xf numFmtId="0" fontId="79" fillId="14" borderId="0" xfId="161" applyFont="1" applyFill="1">
      <alignment vertical="center"/>
    </xf>
    <xf numFmtId="14" fontId="54" fillId="0" borderId="0" xfId="161" quotePrefix="1" applyNumberFormat="1" applyFont="1">
      <alignment vertical="center"/>
    </xf>
    <xf numFmtId="0" fontId="65" fillId="0" borderId="0" xfId="180" applyFont="1" applyAlignment="1">
      <alignment vertical="top"/>
    </xf>
    <xf numFmtId="0" fontId="55" fillId="14" borderId="0" xfId="180" applyFont="1" applyFill="1" applyAlignment="1">
      <alignment horizontal="center" vertical="center"/>
    </xf>
    <xf numFmtId="0" fontId="65" fillId="14" borderId="0" xfId="180" applyFont="1" applyFill="1" applyAlignment="1">
      <alignment horizontal="center" vertical="center"/>
    </xf>
    <xf numFmtId="0" fontId="70" fillId="0" borderId="28" xfId="161" applyFont="1" applyBorder="1" applyAlignment="1">
      <alignment horizontal="left" vertical="center"/>
    </xf>
    <xf numFmtId="0" fontId="70" fillId="0" borderId="28" xfId="0" applyFont="1" applyBorder="1">
      <alignment vertical="center"/>
    </xf>
    <xf numFmtId="0" fontId="70" fillId="0" borderId="28" xfId="161" applyFont="1" applyBorder="1" applyAlignment="1">
      <alignment horizontal="center" vertical="center"/>
    </xf>
    <xf numFmtId="0" fontId="70" fillId="0" borderId="28" xfId="161" applyFont="1" applyBorder="1">
      <alignment vertical="center"/>
    </xf>
    <xf numFmtId="0" fontId="70" fillId="0" borderId="28" xfId="0" applyFont="1" applyBorder="1" applyAlignment="1">
      <alignment horizontal="center" vertical="center"/>
    </xf>
    <xf numFmtId="0" fontId="77" fillId="27" borderId="27" xfId="0" applyFont="1" applyFill="1" applyBorder="1">
      <alignment vertical="center"/>
    </xf>
    <xf numFmtId="0" fontId="54" fillId="27" borderId="28" xfId="0" applyFont="1" applyFill="1" applyBorder="1">
      <alignment vertical="center"/>
    </xf>
    <xf numFmtId="0" fontId="54" fillId="27" borderId="28" xfId="161" quotePrefix="1" applyFont="1" applyFill="1" applyBorder="1" applyAlignment="1">
      <alignment horizontal="left" vertical="center"/>
    </xf>
    <xf numFmtId="0" fontId="54" fillId="27" borderId="28" xfId="161" quotePrefix="1" applyFont="1" applyFill="1" applyBorder="1">
      <alignment vertical="center"/>
    </xf>
    <xf numFmtId="0" fontId="54" fillId="27" borderId="28" xfId="161" applyFont="1" applyFill="1" applyBorder="1">
      <alignment vertical="center"/>
    </xf>
    <xf numFmtId="0" fontId="54" fillId="27" borderId="28" xfId="161" applyFont="1" applyFill="1" applyBorder="1" applyAlignment="1">
      <alignment horizontal="left" vertical="center"/>
    </xf>
    <xf numFmtId="0" fontId="0" fillId="27" borderId="28" xfId="0" applyFill="1" applyBorder="1">
      <alignment vertical="center"/>
    </xf>
    <xf numFmtId="0" fontId="54" fillId="27" borderId="28" xfId="161" applyFont="1" applyFill="1" applyBorder="1" applyAlignment="1">
      <alignment horizontal="center" vertical="center"/>
    </xf>
    <xf numFmtId="0" fontId="55" fillId="27" borderId="33" xfId="161" applyFont="1" applyFill="1" applyBorder="1">
      <alignment vertical="center"/>
    </xf>
    <xf numFmtId="0" fontId="54" fillId="27" borderId="0" xfId="0" applyFont="1" applyFill="1">
      <alignment vertical="center"/>
    </xf>
    <xf numFmtId="0" fontId="54" fillId="27" borderId="6" xfId="0" applyFont="1" applyFill="1" applyBorder="1">
      <alignment vertical="center"/>
    </xf>
    <xf numFmtId="0" fontId="0" fillId="27" borderId="0" xfId="0" applyFill="1">
      <alignment vertical="center"/>
    </xf>
    <xf numFmtId="0" fontId="54" fillId="27" borderId="0" xfId="161" applyFont="1" applyFill="1" applyAlignment="1">
      <alignment horizontal="center" vertical="center"/>
    </xf>
    <xf numFmtId="0" fontId="54" fillId="27" borderId="0" xfId="161" applyFont="1" applyFill="1">
      <alignment vertical="center"/>
    </xf>
    <xf numFmtId="0" fontId="54" fillId="27" borderId="0" xfId="161" quotePrefix="1" applyFont="1" applyFill="1">
      <alignment vertical="center"/>
    </xf>
    <xf numFmtId="0" fontId="54" fillId="27" borderId="30" xfId="161" applyFont="1" applyFill="1" applyBorder="1" applyAlignment="1">
      <alignment horizontal="left" vertical="center"/>
    </xf>
    <xf numFmtId="0" fontId="54" fillId="27" borderId="31" xfId="161" applyFont="1" applyFill="1" applyBorder="1" applyAlignment="1">
      <alignment horizontal="left" vertical="center"/>
    </xf>
    <xf numFmtId="0" fontId="70" fillId="27" borderId="31" xfId="161" applyFont="1" applyFill="1" applyBorder="1" applyAlignment="1">
      <alignment horizontal="left" vertical="center"/>
    </xf>
    <xf numFmtId="0" fontId="70" fillId="27" borderId="31" xfId="0" applyFont="1" applyFill="1" applyBorder="1">
      <alignment vertical="center"/>
    </xf>
    <xf numFmtId="0" fontId="70" fillId="27" borderId="31" xfId="161" applyFont="1" applyFill="1" applyBorder="1" applyAlignment="1">
      <alignment horizontal="center" vertical="center"/>
    </xf>
    <xf numFmtId="0" fontId="70" fillId="27" borderId="31" xfId="161" applyFont="1" applyFill="1" applyBorder="1">
      <alignment vertical="center"/>
    </xf>
    <xf numFmtId="0" fontId="70" fillId="27" borderId="31" xfId="0" applyFont="1" applyFill="1" applyBorder="1" applyAlignment="1">
      <alignment horizontal="center" vertical="center"/>
    </xf>
    <xf numFmtId="0" fontId="54" fillId="27" borderId="31" xfId="161" applyFont="1" applyFill="1" applyBorder="1" applyAlignment="1">
      <alignment horizontal="center" vertical="center"/>
    </xf>
    <xf numFmtId="0" fontId="54" fillId="14" borderId="10" xfId="161" quotePrefix="1" applyFont="1" applyFill="1" applyBorder="1">
      <alignment vertical="center"/>
    </xf>
    <xf numFmtId="0" fontId="90" fillId="14" borderId="33" xfId="161" applyFont="1" applyFill="1" applyBorder="1">
      <alignment vertical="center"/>
    </xf>
    <xf numFmtId="0" fontId="86" fillId="0" borderId="33" xfId="161" quotePrefix="1" applyFont="1" applyBorder="1" applyAlignment="1">
      <alignment horizontal="left" vertical="center"/>
    </xf>
    <xf numFmtId="0" fontId="54" fillId="0" borderId="8" xfId="0" applyFont="1" applyBorder="1" applyAlignment="1">
      <alignment horizontal="left" vertical="center"/>
    </xf>
    <xf numFmtId="0" fontId="0" fillId="0" borderId="12" xfId="0" applyBorder="1">
      <alignment vertical="center"/>
    </xf>
    <xf numFmtId="0" fontId="0" fillId="0" borderId="34" xfId="0" applyBorder="1">
      <alignment vertical="center"/>
    </xf>
    <xf numFmtId="0" fontId="55" fillId="0" borderId="12" xfId="0" applyFont="1" applyBorder="1">
      <alignment vertical="center"/>
    </xf>
    <xf numFmtId="0" fontId="54" fillId="0" borderId="12" xfId="0" quotePrefix="1" applyFont="1" applyBorder="1">
      <alignment vertical="center"/>
    </xf>
    <xf numFmtId="0" fontId="54" fillId="0" borderId="12" xfId="0" applyFont="1" applyBorder="1" applyAlignment="1">
      <alignment horizontal="center" vertical="center"/>
    </xf>
    <xf numFmtId="0" fontId="54" fillId="0" borderId="12" xfId="0" applyFont="1" applyBorder="1" applyAlignment="1">
      <alignment horizontal="left" vertical="center"/>
    </xf>
    <xf numFmtId="0" fontId="62" fillId="19" borderId="45" xfId="161" applyFont="1" applyFill="1" applyBorder="1" applyAlignment="1">
      <alignment horizontal="center" vertical="center"/>
    </xf>
    <xf numFmtId="0" fontId="55" fillId="28" borderId="46" xfId="161" applyFont="1" applyFill="1" applyBorder="1" applyAlignment="1">
      <alignment horizontal="centerContinuous" vertical="center"/>
    </xf>
    <xf numFmtId="0" fontId="55" fillId="28" borderId="28" xfId="161" applyFont="1" applyFill="1" applyBorder="1" applyAlignment="1">
      <alignment horizontal="centerContinuous" vertical="center"/>
    </xf>
    <xf numFmtId="0" fontId="55" fillId="28" borderId="42" xfId="161" applyFont="1" applyFill="1" applyBorder="1" applyAlignment="1">
      <alignment horizontal="centerContinuous" vertical="center"/>
    </xf>
    <xf numFmtId="0" fontId="55" fillId="28" borderId="46" xfId="161" quotePrefix="1" applyFont="1" applyFill="1" applyBorder="1" applyAlignment="1">
      <alignment horizontal="centerContinuous" vertical="center"/>
    </xf>
    <xf numFmtId="0" fontId="55" fillId="28" borderId="28" xfId="161" quotePrefix="1" applyFont="1" applyFill="1" applyBorder="1" applyAlignment="1">
      <alignment horizontal="centerContinuous" vertical="center"/>
    </xf>
    <xf numFmtId="0" fontId="62" fillId="28" borderId="46" xfId="161" applyFont="1" applyFill="1" applyBorder="1" applyAlignment="1">
      <alignment horizontal="centerContinuous" vertical="center"/>
    </xf>
    <xf numFmtId="0" fontId="62" fillId="28" borderId="28" xfId="161" applyFont="1" applyFill="1" applyBorder="1" applyAlignment="1">
      <alignment horizontal="centerContinuous" vertical="center"/>
    </xf>
    <xf numFmtId="0" fontId="62" fillId="28" borderId="42" xfId="161" applyFont="1" applyFill="1" applyBorder="1" applyAlignment="1">
      <alignment horizontal="centerContinuous" vertical="center"/>
    </xf>
    <xf numFmtId="0" fontId="55" fillId="20" borderId="46" xfId="161" applyFont="1" applyFill="1" applyBorder="1" applyAlignment="1">
      <alignment horizontal="centerContinuous" vertical="center"/>
    </xf>
    <xf numFmtId="0" fontId="55" fillId="20" borderId="28" xfId="161" applyFont="1" applyFill="1" applyBorder="1" applyAlignment="1">
      <alignment horizontal="centerContinuous" vertical="center"/>
    </xf>
    <xf numFmtId="0" fontId="55" fillId="20" borderId="42" xfId="161" applyFont="1" applyFill="1" applyBorder="1" applyAlignment="1">
      <alignment horizontal="centerContinuous" vertical="center"/>
    </xf>
    <xf numFmtId="0" fontId="55" fillId="20" borderId="46" xfId="161" quotePrefix="1" applyFont="1" applyFill="1" applyBorder="1" applyAlignment="1">
      <alignment horizontal="centerContinuous" vertical="center"/>
    </xf>
    <xf numFmtId="0" fontId="55" fillId="20" borderId="28" xfId="161" quotePrefix="1" applyFont="1" applyFill="1" applyBorder="1" applyAlignment="1">
      <alignment horizontal="centerContinuous" vertical="center"/>
    </xf>
    <xf numFmtId="0" fontId="62" fillId="20" borderId="46" xfId="161" applyFont="1" applyFill="1" applyBorder="1" applyAlignment="1">
      <alignment horizontal="centerContinuous" vertical="center"/>
    </xf>
    <xf numFmtId="0" fontId="62" fillId="20" borderId="28" xfId="161" applyFont="1" applyFill="1" applyBorder="1" applyAlignment="1">
      <alignment horizontal="centerContinuous" vertical="center"/>
    </xf>
    <xf numFmtId="0" fontId="62" fillId="20" borderId="42" xfId="161" applyFont="1" applyFill="1" applyBorder="1" applyAlignment="1">
      <alignment horizontal="centerContinuous" vertical="center"/>
    </xf>
    <xf numFmtId="0" fontId="54" fillId="19" borderId="35" xfId="161" quotePrefix="1" applyFont="1" applyFill="1" applyBorder="1" applyAlignment="1">
      <alignment horizontal="center" vertical="center"/>
    </xf>
    <xf numFmtId="0" fontId="62" fillId="0" borderId="15" xfId="161" quotePrefix="1" applyFont="1" applyBorder="1" applyAlignment="1">
      <alignment horizontal="centerContinuous" vertical="center"/>
    </xf>
    <xf numFmtId="0" fontId="64" fillId="0" borderId="12" xfId="161" applyFont="1" applyBorder="1" applyAlignment="1">
      <alignment horizontal="centerContinuous" vertical="center"/>
    </xf>
    <xf numFmtId="0" fontId="64" fillId="0" borderId="13" xfId="161" applyFont="1" applyBorder="1" applyAlignment="1">
      <alignment horizontal="centerContinuous" vertical="center"/>
    </xf>
    <xf numFmtId="14" fontId="62" fillId="0" borderId="28" xfId="161" quotePrefix="1" applyNumberFormat="1" applyFont="1" applyBorder="1" applyAlignment="1">
      <alignment horizontal="centerContinuous" vertical="center"/>
    </xf>
    <xf numFmtId="0" fontId="62" fillId="0" borderId="28" xfId="161" quotePrefix="1" applyFont="1" applyBorder="1" applyAlignment="1">
      <alignment horizontal="centerContinuous" vertical="center"/>
    </xf>
    <xf numFmtId="0" fontId="64" fillId="0" borderId="28" xfId="161" applyFont="1" applyBorder="1" applyAlignment="1">
      <alignment horizontal="centerContinuous" vertical="center"/>
    </xf>
    <xf numFmtId="0" fontId="55" fillId="0" borderId="28" xfId="161" applyFont="1" applyBorder="1" applyAlignment="1">
      <alignment horizontal="center" vertical="center"/>
    </xf>
    <xf numFmtId="14" fontId="62" fillId="0" borderId="47" xfId="161" quotePrefix="1" applyNumberFormat="1" applyFont="1" applyBorder="1" applyAlignment="1">
      <alignment horizontal="centerContinuous" vertical="center"/>
    </xf>
    <xf numFmtId="14" fontId="62" fillId="0" borderId="48" xfId="161" quotePrefix="1" applyNumberFormat="1" applyFont="1" applyBorder="1" applyAlignment="1">
      <alignment horizontal="centerContinuous" vertical="center"/>
    </xf>
    <xf numFmtId="0" fontId="55" fillId="14" borderId="49" xfId="161" applyFont="1" applyFill="1" applyBorder="1" applyAlignment="1">
      <alignment horizontal="centerContinuous" vertical="center"/>
    </xf>
    <xf numFmtId="0" fontId="54" fillId="0" borderId="27" xfId="161" quotePrefix="1" applyFont="1" applyBorder="1" applyAlignment="1">
      <alignment horizontal="center" vertical="center"/>
    </xf>
    <xf numFmtId="0" fontId="62" fillId="19" borderId="23" xfId="161" applyFont="1" applyFill="1" applyBorder="1" applyAlignment="1">
      <alignment horizontal="center" vertical="center"/>
    </xf>
    <xf numFmtId="0" fontId="55" fillId="28" borderId="15" xfId="161" applyFont="1" applyFill="1" applyBorder="1" applyAlignment="1">
      <alignment horizontal="centerContinuous" vertical="center"/>
    </xf>
    <xf numFmtId="0" fontId="55" fillId="28" borderId="12" xfId="161" applyFont="1" applyFill="1" applyBorder="1" applyAlignment="1">
      <alignment horizontal="centerContinuous" vertical="center"/>
    </xf>
    <xf numFmtId="0" fontId="55" fillId="28" borderId="13" xfId="161" applyFont="1" applyFill="1" applyBorder="1" applyAlignment="1">
      <alignment horizontal="centerContinuous" vertical="center"/>
    </xf>
    <xf numFmtId="0" fontId="55" fillId="28" borderId="15" xfId="161" quotePrefix="1" applyFont="1" applyFill="1" applyBorder="1" applyAlignment="1">
      <alignment horizontal="centerContinuous" vertical="center"/>
    </xf>
    <xf numFmtId="0" fontId="55" fillId="28" borderId="12" xfId="161" quotePrefix="1" applyFont="1" applyFill="1" applyBorder="1" applyAlignment="1">
      <alignment horizontal="centerContinuous" vertical="center"/>
    </xf>
    <xf numFmtId="0" fontId="62" fillId="28" borderId="15" xfId="161" applyFont="1" applyFill="1" applyBorder="1" applyAlignment="1">
      <alignment horizontal="centerContinuous" vertical="center"/>
    </xf>
    <xf numFmtId="0" fontId="62" fillId="28" borderId="12" xfId="161" applyFont="1" applyFill="1" applyBorder="1" applyAlignment="1">
      <alignment horizontal="centerContinuous" vertical="center"/>
    </xf>
    <xf numFmtId="0" fontId="62" fillId="28" borderId="13" xfId="161" applyFont="1" applyFill="1" applyBorder="1" applyAlignment="1">
      <alignment horizontal="centerContinuous" vertical="center"/>
    </xf>
    <xf numFmtId="0" fontId="0" fillId="14" borderId="13" xfId="0" applyFill="1" applyBorder="1">
      <alignment vertical="center"/>
    </xf>
    <xf numFmtId="0" fontId="54" fillId="19" borderId="3" xfId="161" quotePrefix="1" applyFont="1" applyFill="1" applyBorder="1" applyAlignment="1">
      <alignment horizontal="center" vertical="center"/>
    </xf>
    <xf numFmtId="0" fontId="54" fillId="0" borderId="11" xfId="0" applyFont="1" applyBorder="1">
      <alignment vertical="center"/>
    </xf>
    <xf numFmtId="0" fontId="86" fillId="25" borderId="10" xfId="161" quotePrefix="1" applyFont="1" applyFill="1" applyBorder="1" applyAlignment="1">
      <alignment horizontal="left" vertical="center"/>
    </xf>
    <xf numFmtId="0" fontId="0" fillId="25" borderId="17" xfId="0" applyFill="1" applyBorder="1">
      <alignment vertical="center"/>
    </xf>
    <xf numFmtId="0" fontId="55" fillId="20" borderId="12" xfId="161" applyFont="1" applyFill="1" applyBorder="1" applyAlignment="1">
      <alignment horizontal="centerContinuous" vertical="center"/>
    </xf>
    <xf numFmtId="0" fontId="55" fillId="20" borderId="13" xfId="161" applyFont="1" applyFill="1" applyBorder="1" applyAlignment="1">
      <alignment horizontal="centerContinuous" vertical="center"/>
    </xf>
    <xf numFmtId="0" fontId="55" fillId="20" borderId="15" xfId="161" quotePrefix="1" applyFont="1" applyFill="1" applyBorder="1" applyAlignment="1">
      <alignment horizontal="centerContinuous" vertical="center"/>
    </xf>
    <xf numFmtId="0" fontId="55" fillId="20" borderId="12" xfId="161" quotePrefix="1" applyFont="1" applyFill="1" applyBorder="1" applyAlignment="1">
      <alignment horizontal="centerContinuous" vertical="center"/>
    </xf>
    <xf numFmtId="0" fontId="55" fillId="20" borderId="15" xfId="161" applyFont="1" applyFill="1" applyBorder="1" applyAlignment="1">
      <alignment horizontal="centerContinuous" vertical="center"/>
    </xf>
    <xf numFmtId="0" fontId="62" fillId="20" borderId="15" xfId="161" applyFont="1" applyFill="1" applyBorder="1" applyAlignment="1">
      <alignment horizontal="centerContinuous" vertical="center"/>
    </xf>
    <xf numFmtId="0" fontId="62" fillId="20" borderId="12" xfId="161" applyFont="1" applyFill="1" applyBorder="1" applyAlignment="1">
      <alignment horizontal="centerContinuous" vertical="center"/>
    </xf>
    <xf numFmtId="0" fontId="62" fillId="20" borderId="13" xfId="161" applyFont="1" applyFill="1" applyBorder="1" applyAlignment="1">
      <alignment horizontal="centerContinuous" vertical="center"/>
    </xf>
    <xf numFmtId="0" fontId="54" fillId="0" borderId="7" xfId="0" applyFont="1" applyBorder="1">
      <alignment vertical="center"/>
    </xf>
    <xf numFmtId="0" fontId="54" fillId="0" borderId="8" xfId="0" applyFont="1" applyBorder="1" applyAlignment="1">
      <alignment vertical="center" wrapText="1"/>
    </xf>
    <xf numFmtId="0" fontId="74" fillId="0" borderId="8" xfId="0" applyFont="1" applyBorder="1">
      <alignment vertical="center"/>
    </xf>
    <xf numFmtId="9" fontId="54" fillId="0" borderId="2" xfId="161" applyNumberFormat="1" applyFont="1" applyBorder="1">
      <alignment vertical="center"/>
    </xf>
    <xf numFmtId="0" fontId="62" fillId="26" borderId="7" xfId="161" quotePrefix="1" applyFont="1" applyFill="1" applyBorder="1" applyAlignment="1">
      <alignment horizontal="centerContinuous" vertical="center"/>
    </xf>
    <xf numFmtId="0" fontId="62" fillId="26" borderId="8" xfId="161" applyFont="1" applyFill="1" applyBorder="1" applyAlignment="1">
      <alignment horizontal="centerContinuous" vertical="center"/>
    </xf>
    <xf numFmtId="0" fontId="62" fillId="26" borderId="14" xfId="161" applyFont="1" applyFill="1" applyBorder="1" applyAlignment="1">
      <alignment horizontal="centerContinuous" vertical="center"/>
    </xf>
    <xf numFmtId="0" fontId="62" fillId="26" borderId="8" xfId="161" quotePrefix="1" applyFont="1" applyFill="1" applyBorder="1" applyAlignment="1">
      <alignment horizontal="centerContinuous" vertical="center"/>
    </xf>
    <xf numFmtId="0" fontId="62" fillId="19" borderId="37" xfId="161" applyFont="1" applyFill="1" applyBorder="1" applyAlignment="1">
      <alignment horizontal="center" vertical="center"/>
    </xf>
    <xf numFmtId="0" fontId="55" fillId="26" borderId="7" xfId="161" applyFont="1" applyFill="1" applyBorder="1" applyAlignment="1">
      <alignment horizontal="centerContinuous" vertical="center"/>
    </xf>
    <xf numFmtId="0" fontId="55" fillId="26" borderId="8" xfId="161" applyFont="1" applyFill="1" applyBorder="1" applyAlignment="1">
      <alignment horizontal="centerContinuous" vertical="center"/>
    </xf>
    <xf numFmtId="0" fontId="55" fillId="26" borderId="14" xfId="161" applyFont="1" applyFill="1" applyBorder="1" applyAlignment="1">
      <alignment horizontal="centerContinuous" vertical="center"/>
    </xf>
    <xf numFmtId="0" fontId="55" fillId="26" borderId="7" xfId="161" quotePrefix="1" applyFont="1" applyFill="1" applyBorder="1" applyAlignment="1">
      <alignment horizontal="centerContinuous" vertical="center"/>
    </xf>
    <xf numFmtId="0" fontId="55" fillId="26" borderId="8" xfId="161" quotePrefix="1" applyFont="1" applyFill="1" applyBorder="1" applyAlignment="1">
      <alignment horizontal="centerContinuous" vertical="center"/>
    </xf>
    <xf numFmtId="0" fontId="62" fillId="26" borderId="7" xfId="161" applyFont="1" applyFill="1" applyBorder="1" applyAlignment="1">
      <alignment horizontal="centerContinuous" vertical="center"/>
    </xf>
    <xf numFmtId="0" fontId="54" fillId="14" borderId="10" xfId="0" quotePrefix="1" applyFont="1" applyFill="1" applyBorder="1">
      <alignment vertical="center"/>
    </xf>
    <xf numFmtId="0" fontId="54" fillId="29" borderId="10" xfId="0" quotePrefix="1" applyFont="1" applyFill="1" applyBorder="1">
      <alignment vertical="center"/>
    </xf>
    <xf numFmtId="0" fontId="54" fillId="29" borderId="2" xfId="180" quotePrefix="1" applyFont="1" applyFill="1" applyBorder="1">
      <alignment vertical="center"/>
    </xf>
    <xf numFmtId="0" fontId="54" fillId="29" borderId="2" xfId="180" applyFont="1" applyFill="1" applyBorder="1">
      <alignment vertical="center"/>
    </xf>
    <xf numFmtId="0" fontId="54" fillId="29" borderId="2" xfId="180" applyFont="1" applyFill="1" applyBorder="1" applyAlignment="1">
      <alignment horizontal="center" vertical="center"/>
    </xf>
    <xf numFmtId="0" fontId="0" fillId="29" borderId="2" xfId="0" applyFill="1" applyBorder="1">
      <alignment vertical="center"/>
    </xf>
    <xf numFmtId="0" fontId="54" fillId="29" borderId="17" xfId="180" applyFont="1" applyFill="1" applyBorder="1" applyAlignment="1">
      <alignment horizontal="center" vertical="center"/>
    </xf>
    <xf numFmtId="0" fontId="91" fillId="25" borderId="41" xfId="161" quotePrefix="1" applyFont="1" applyFill="1" applyBorder="1" applyAlignment="1">
      <alignment horizontal="left" vertical="center"/>
    </xf>
    <xf numFmtId="0" fontId="77" fillId="14" borderId="28" xfId="0" applyFont="1" applyFill="1" applyBorder="1">
      <alignment vertical="center"/>
    </xf>
    <xf numFmtId="185" fontId="62" fillId="0" borderId="0" xfId="161" quotePrefix="1" applyNumberFormat="1" applyFont="1">
      <alignment vertical="center"/>
    </xf>
    <xf numFmtId="0" fontId="92" fillId="0" borderId="0" xfId="0" applyFont="1">
      <alignment vertical="center"/>
    </xf>
    <xf numFmtId="0" fontId="54" fillId="29" borderId="2" xfId="0" applyFont="1" applyFill="1" applyBorder="1">
      <alignment vertical="center"/>
    </xf>
    <xf numFmtId="0" fontId="66" fillId="29" borderId="2" xfId="180" applyFont="1" applyFill="1" applyBorder="1">
      <alignment vertical="center"/>
    </xf>
    <xf numFmtId="0" fontId="54" fillId="29" borderId="2" xfId="0" applyFont="1" applyFill="1" applyBorder="1" applyAlignment="1">
      <alignment vertical="center" wrapText="1"/>
    </xf>
    <xf numFmtId="0" fontId="54" fillId="29" borderId="17" xfId="0" applyFont="1" applyFill="1" applyBorder="1">
      <alignment vertical="center"/>
    </xf>
    <xf numFmtId="0" fontId="54" fillId="0" borderId="24" xfId="180" applyFont="1" applyBorder="1">
      <alignment vertical="center"/>
    </xf>
    <xf numFmtId="0" fontId="54" fillId="29" borderId="2" xfId="180" applyFont="1" applyFill="1" applyBorder="1" applyAlignment="1">
      <alignment horizontal="left" vertical="center"/>
    </xf>
    <xf numFmtId="0" fontId="55" fillId="14" borderId="41" xfId="180" quotePrefix="1" applyFont="1" applyFill="1" applyBorder="1">
      <alignment vertical="center"/>
    </xf>
    <xf numFmtId="0" fontId="54" fillId="14" borderId="10" xfId="180" quotePrefix="1" applyFont="1" applyFill="1" applyBorder="1" applyAlignment="1">
      <alignment horizontal="left" vertical="center"/>
    </xf>
    <xf numFmtId="0" fontId="54" fillId="0" borderId="33" xfId="161" applyFont="1" applyBorder="1">
      <alignment vertical="center"/>
    </xf>
    <xf numFmtId="0" fontId="93" fillId="0" borderId="0" xfId="0" applyFont="1">
      <alignment vertical="center"/>
    </xf>
    <xf numFmtId="0" fontId="80" fillId="14" borderId="44" xfId="161" quotePrefix="1" applyFont="1" applyFill="1" applyBorder="1">
      <alignment vertical="center"/>
    </xf>
    <xf numFmtId="0" fontId="54" fillId="14" borderId="50" xfId="161" applyFont="1" applyFill="1" applyBorder="1">
      <alignment vertical="center"/>
    </xf>
    <xf numFmtId="0" fontId="54" fillId="14" borderId="11" xfId="0" applyFont="1" applyFill="1" applyBorder="1">
      <alignment vertical="center"/>
    </xf>
    <xf numFmtId="0" fontId="65" fillId="0" borderId="28" xfId="0" applyFont="1" applyBorder="1">
      <alignment vertical="center"/>
    </xf>
    <xf numFmtId="0" fontId="54" fillId="14" borderId="8" xfId="180" quotePrefix="1" applyFont="1" applyFill="1" applyBorder="1">
      <alignment vertical="center"/>
    </xf>
    <xf numFmtId="0" fontId="54" fillId="14" borderId="8" xfId="180" applyFont="1" applyFill="1" applyBorder="1">
      <alignment vertical="center"/>
    </xf>
    <xf numFmtId="0" fontId="54" fillId="14" borderId="8" xfId="180" applyFont="1" applyFill="1" applyBorder="1" applyAlignment="1">
      <alignment horizontal="center" vertical="center"/>
    </xf>
    <xf numFmtId="0" fontId="54" fillId="14" borderId="25" xfId="180" applyFont="1" applyFill="1" applyBorder="1" applyAlignment="1">
      <alignment horizontal="center" vertical="center"/>
    </xf>
    <xf numFmtId="0" fontId="55" fillId="0" borderId="33" xfId="180" applyFont="1" applyBorder="1" applyAlignment="1">
      <alignment vertical="top"/>
    </xf>
    <xf numFmtId="0" fontId="55" fillId="14" borderId="17" xfId="180" applyFont="1" applyFill="1" applyBorder="1" applyAlignment="1">
      <alignment horizontal="center" vertical="center"/>
    </xf>
    <xf numFmtId="0" fontId="65" fillId="14" borderId="8" xfId="180" applyFont="1" applyFill="1" applyBorder="1" applyAlignment="1">
      <alignment horizontal="center" vertical="center"/>
    </xf>
    <xf numFmtId="0" fontId="94" fillId="24" borderId="8" xfId="161" quotePrefix="1" applyFont="1" applyFill="1" applyBorder="1" applyAlignment="1">
      <alignment horizontal="centerContinuous" vertical="center"/>
    </xf>
    <xf numFmtId="0" fontId="54" fillId="14" borderId="51" xfId="0" applyFont="1" applyFill="1" applyBorder="1">
      <alignment vertical="center"/>
    </xf>
    <xf numFmtId="0" fontId="55" fillId="30" borderId="15" xfId="161" applyFont="1" applyFill="1" applyBorder="1" applyAlignment="1">
      <alignment horizontal="centerContinuous" vertical="center"/>
    </xf>
    <xf numFmtId="0" fontId="55" fillId="30" borderId="12" xfId="161" applyFont="1" applyFill="1" applyBorder="1" applyAlignment="1">
      <alignment horizontal="centerContinuous" vertical="center"/>
    </xf>
    <xf numFmtId="0" fontId="55" fillId="30" borderId="15" xfId="161" quotePrefix="1" applyFont="1" applyFill="1" applyBorder="1" applyAlignment="1">
      <alignment horizontal="centerContinuous" vertical="center"/>
    </xf>
    <xf numFmtId="0" fontId="55" fillId="30" borderId="13" xfId="161" applyFont="1" applyFill="1" applyBorder="1" applyAlignment="1">
      <alignment horizontal="centerContinuous" vertical="center"/>
    </xf>
    <xf numFmtId="0" fontId="55" fillId="30" borderId="12" xfId="161" quotePrefix="1" applyFont="1" applyFill="1" applyBorder="1" applyAlignment="1">
      <alignment horizontal="centerContinuous" vertical="center"/>
    </xf>
    <xf numFmtId="0" fontId="62" fillId="30" borderId="15" xfId="161" applyFont="1" applyFill="1" applyBorder="1" applyAlignment="1">
      <alignment horizontal="centerContinuous" vertical="center"/>
    </xf>
    <xf numFmtId="0" fontId="62" fillId="30" borderId="12" xfId="161" applyFont="1" applyFill="1" applyBorder="1" applyAlignment="1">
      <alignment horizontal="centerContinuous" vertical="center"/>
    </xf>
    <xf numFmtId="0" fontId="62" fillId="30" borderId="13" xfId="161" applyFont="1" applyFill="1" applyBorder="1" applyAlignment="1">
      <alignment horizontal="centerContinuous" vertical="center"/>
    </xf>
    <xf numFmtId="0" fontId="62" fillId="30" borderId="10" xfId="161" applyFont="1" applyFill="1" applyBorder="1" applyAlignment="1">
      <alignment horizontal="centerContinuous" vertical="center"/>
    </xf>
    <xf numFmtId="0" fontId="62" fillId="30" borderId="15" xfId="161" quotePrefix="1" applyFont="1" applyFill="1" applyBorder="1" applyAlignment="1">
      <alignment horizontal="centerContinuous" vertical="center"/>
    </xf>
    <xf numFmtId="0" fontId="95" fillId="0" borderId="0" xfId="0" applyFont="1">
      <alignment vertical="center"/>
    </xf>
    <xf numFmtId="0" fontId="62" fillId="30" borderId="12" xfId="161" quotePrefix="1" applyFont="1" applyFill="1" applyBorder="1" applyAlignment="1">
      <alignment horizontal="centerContinuous" vertical="center"/>
    </xf>
    <xf numFmtId="0" fontId="62" fillId="30" borderId="10" xfId="161" quotePrefix="1" applyFont="1" applyFill="1" applyBorder="1" applyAlignment="1">
      <alignment horizontal="centerContinuous" vertical="center"/>
    </xf>
    <xf numFmtId="0" fontId="54" fillId="14" borderId="6" xfId="0" applyFont="1" applyFill="1" applyBorder="1">
      <alignment vertical="center"/>
    </xf>
    <xf numFmtId="0" fontId="65" fillId="0" borderId="10" xfId="161" quotePrefix="1" applyFont="1" applyBorder="1">
      <alignment vertical="center"/>
    </xf>
    <xf numFmtId="0" fontId="55" fillId="30" borderId="7" xfId="161" applyFont="1" applyFill="1" applyBorder="1" applyAlignment="1">
      <alignment horizontal="centerContinuous" vertical="center"/>
    </xf>
    <xf numFmtId="0" fontId="55" fillId="30" borderId="8" xfId="161" applyFont="1" applyFill="1" applyBorder="1" applyAlignment="1">
      <alignment horizontal="centerContinuous" vertical="center"/>
    </xf>
    <xf numFmtId="0" fontId="55" fillId="30" borderId="14" xfId="161" applyFont="1" applyFill="1" applyBorder="1" applyAlignment="1">
      <alignment horizontal="centerContinuous" vertical="center"/>
    </xf>
    <xf numFmtId="0" fontId="55" fillId="30" borderId="7" xfId="161" quotePrefix="1" applyFont="1" applyFill="1" applyBorder="1" applyAlignment="1">
      <alignment horizontal="centerContinuous" vertical="center"/>
    </xf>
    <xf numFmtId="0" fontId="55" fillId="30" borderId="8" xfId="161" quotePrefix="1" applyFont="1" applyFill="1" applyBorder="1" applyAlignment="1">
      <alignment horizontal="centerContinuous" vertical="center"/>
    </xf>
    <xf numFmtId="0" fontId="62" fillId="30" borderId="7" xfId="161" applyFont="1" applyFill="1" applyBorder="1" applyAlignment="1">
      <alignment horizontal="centerContinuous" vertical="center"/>
    </xf>
    <xf numFmtId="0" fontId="62" fillId="30" borderId="8" xfId="161" applyFont="1" applyFill="1" applyBorder="1" applyAlignment="1">
      <alignment horizontal="centerContinuous" vertical="center"/>
    </xf>
    <xf numFmtId="0" fontId="62" fillId="30" borderId="14" xfId="161" applyFont="1" applyFill="1" applyBorder="1" applyAlignment="1">
      <alignment horizontal="centerContinuous" vertical="center"/>
    </xf>
    <xf numFmtId="0" fontId="62" fillId="30" borderId="7" xfId="161" quotePrefix="1" applyFont="1" applyFill="1" applyBorder="1" applyAlignment="1">
      <alignment horizontal="centerContinuous" vertical="center"/>
    </xf>
    <xf numFmtId="0" fontId="62" fillId="30" borderId="8" xfId="161" quotePrefix="1" applyFont="1" applyFill="1" applyBorder="1" applyAlignment="1">
      <alignment horizontal="centerContinuous" vertical="center"/>
    </xf>
    <xf numFmtId="0" fontId="65" fillId="14" borderId="33" xfId="161" applyFont="1" applyFill="1" applyBorder="1">
      <alignment vertical="center"/>
    </xf>
    <xf numFmtId="0" fontId="62" fillId="24" borderId="15" xfId="161" quotePrefix="1" applyFont="1" applyFill="1" applyBorder="1" applyAlignment="1">
      <alignment horizontal="centerContinuous" vertical="center"/>
    </xf>
    <xf numFmtId="0" fontId="54" fillId="0" borderId="10" xfId="0" quotePrefix="1" applyFont="1" applyBorder="1">
      <alignment vertical="center"/>
    </xf>
    <xf numFmtId="0" fontId="54" fillId="0" borderId="2" xfId="180" quotePrefix="1" applyFont="1" applyBorder="1">
      <alignment vertical="center"/>
    </xf>
    <xf numFmtId="0" fontId="54" fillId="0" borderId="2" xfId="180" applyFont="1" applyBorder="1">
      <alignment vertical="center"/>
    </xf>
    <xf numFmtId="0" fontId="54" fillId="0" borderId="2" xfId="180" applyFont="1" applyBorder="1" applyAlignment="1">
      <alignment horizontal="center" vertical="center"/>
    </xf>
    <xf numFmtId="0" fontId="0" fillId="0" borderId="2" xfId="0" applyBorder="1">
      <alignment vertical="center"/>
    </xf>
    <xf numFmtId="0" fontId="66" fillId="0" borderId="2" xfId="180" applyFont="1" applyBorder="1">
      <alignment vertical="center"/>
    </xf>
    <xf numFmtId="0" fontId="54" fillId="0" borderId="2" xfId="0" applyFont="1" applyBorder="1" applyAlignment="1">
      <alignment vertical="center" wrapText="1"/>
    </xf>
    <xf numFmtId="0" fontId="97" fillId="10" borderId="16" xfId="46" applyFont="1" applyFill="1" applyBorder="1" applyAlignment="1">
      <alignment horizontal="centerContinuous"/>
    </xf>
    <xf numFmtId="0" fontId="97" fillId="10" borderId="9" xfId="46" applyFont="1" applyFill="1" applyBorder="1" applyAlignment="1">
      <alignment horizontal="centerContinuous"/>
    </xf>
    <xf numFmtId="0" fontId="98" fillId="14" borderId="0" xfId="0" applyFont="1" applyFill="1">
      <alignment vertical="center"/>
    </xf>
    <xf numFmtId="0" fontId="99" fillId="14" borderId="0" xfId="0" applyFont="1" applyFill="1">
      <alignment vertical="center"/>
    </xf>
    <xf numFmtId="0" fontId="97" fillId="10" borderId="6" xfId="49" applyFont="1" applyFill="1" applyBorder="1" applyAlignment="1">
      <alignment horizontal="right" vertical="center"/>
    </xf>
    <xf numFmtId="0" fontId="98" fillId="14" borderId="6" xfId="161" quotePrefix="1" applyFont="1" applyFill="1" applyBorder="1">
      <alignment vertical="center"/>
    </xf>
    <xf numFmtId="0" fontId="98" fillId="14" borderId="0" xfId="161" applyFont="1" applyFill="1">
      <alignment vertical="center"/>
    </xf>
    <xf numFmtId="0" fontId="98" fillId="14" borderId="11" xfId="161" applyFont="1" applyFill="1" applyBorder="1">
      <alignment vertical="center"/>
    </xf>
    <xf numFmtId="0" fontId="98" fillId="0" borderId="0" xfId="161" applyFont="1">
      <alignment vertical="center"/>
    </xf>
    <xf numFmtId="0" fontId="98" fillId="0" borderId="0" xfId="161" quotePrefix="1" applyFont="1">
      <alignment vertical="center"/>
    </xf>
    <xf numFmtId="0" fontId="98" fillId="0" borderId="0" xfId="161" applyFont="1" applyAlignment="1">
      <alignment horizontal="center" vertical="center"/>
    </xf>
    <xf numFmtId="0" fontId="98" fillId="0" borderId="0" xfId="0" applyFont="1">
      <alignment vertical="center"/>
    </xf>
    <xf numFmtId="0" fontId="96" fillId="14" borderId="6" xfId="161" quotePrefix="1" applyFont="1" applyFill="1" applyBorder="1">
      <alignment vertical="center"/>
    </xf>
    <xf numFmtId="0" fontId="98" fillId="0" borderId="0" xfId="161" quotePrefix="1" applyFont="1" applyAlignment="1">
      <alignment horizontal="left" vertical="center"/>
    </xf>
    <xf numFmtId="0" fontId="98" fillId="0" borderId="0" xfId="161" applyFont="1" applyAlignment="1">
      <alignment horizontal="left" vertical="center"/>
    </xf>
    <xf numFmtId="0" fontId="97" fillId="10" borderId="16" xfId="46" applyFont="1" applyFill="1" applyBorder="1" applyAlignment="1">
      <alignment horizontal="center"/>
    </xf>
    <xf numFmtId="0" fontId="97" fillId="10" borderId="9" xfId="46" applyFont="1" applyFill="1" applyBorder="1" applyAlignment="1">
      <alignment horizontal="center"/>
    </xf>
    <xf numFmtId="0" fontId="98" fillId="14" borderId="0" xfId="0" applyFont="1" applyFill="1" applyAlignment="1">
      <alignment vertical="center" wrapText="1"/>
    </xf>
    <xf numFmtId="0" fontId="97" fillId="10" borderId="7" xfId="49" applyFont="1" applyFill="1" applyBorder="1" applyAlignment="1">
      <alignment horizontal="right" vertical="center"/>
    </xf>
    <xf numFmtId="0" fontId="97" fillId="10" borderId="21" xfId="46" applyFont="1" applyFill="1" applyBorder="1" applyAlignment="1">
      <alignment horizontal="center"/>
    </xf>
    <xf numFmtId="0" fontId="97" fillId="10" borderId="22" xfId="46" applyFont="1" applyFill="1" applyBorder="1" applyAlignment="1">
      <alignment horizontal="center"/>
    </xf>
    <xf numFmtId="0" fontId="99" fillId="14" borderId="0" xfId="0" applyFont="1" applyFill="1" applyAlignment="1">
      <alignment vertical="center" wrapText="1"/>
    </xf>
    <xf numFmtId="0" fontId="102" fillId="0" borderId="52" xfId="161" quotePrefix="1" applyFont="1" applyBorder="1">
      <alignment vertical="center"/>
    </xf>
    <xf numFmtId="0" fontId="97" fillId="0" borderId="52" xfId="161" applyFont="1" applyBorder="1">
      <alignment vertical="center"/>
    </xf>
    <xf numFmtId="0" fontId="98" fillId="0" borderId="52" xfId="161" applyFont="1" applyBorder="1">
      <alignment vertical="center"/>
    </xf>
    <xf numFmtId="0" fontId="98" fillId="0" borderId="52" xfId="161" quotePrefix="1" applyFont="1" applyBorder="1">
      <alignment vertical="center"/>
    </xf>
    <xf numFmtId="0" fontId="98" fillId="0" borderId="52" xfId="161" applyFont="1" applyBorder="1" applyAlignment="1">
      <alignment horizontal="center" vertical="center"/>
    </xf>
    <xf numFmtId="0" fontId="98" fillId="0" borderId="52" xfId="0" applyFont="1" applyBorder="1">
      <alignment vertical="center"/>
    </xf>
    <xf numFmtId="0" fontId="98" fillId="0" borderId="52" xfId="0" applyFont="1" applyBorder="1" applyAlignment="1">
      <alignment vertical="center" wrapText="1"/>
    </xf>
    <xf numFmtId="0" fontId="97" fillId="0" borderId="0" xfId="161" applyFont="1">
      <alignment vertical="center"/>
    </xf>
    <xf numFmtId="0" fontId="97" fillId="0" borderId="6" xfId="161" quotePrefix="1" applyFont="1" applyBorder="1">
      <alignment vertical="center"/>
    </xf>
    <xf numFmtId="0" fontId="97" fillId="0" borderId="0" xfId="161" quotePrefix="1" applyFont="1">
      <alignment vertical="center"/>
    </xf>
    <xf numFmtId="0" fontId="97" fillId="0" borderId="0" xfId="0" applyFont="1">
      <alignment vertical="center"/>
    </xf>
    <xf numFmtId="0" fontId="97" fillId="0" borderId="11" xfId="161" applyFont="1" applyBorder="1">
      <alignment vertical="center"/>
    </xf>
    <xf numFmtId="0" fontId="101" fillId="0" borderId="0" xfId="161" applyFont="1">
      <alignment vertical="center"/>
    </xf>
    <xf numFmtId="0" fontId="97" fillId="0" borderId="0" xfId="161" applyFont="1" applyAlignment="1">
      <alignment horizontal="center" vertical="center"/>
    </xf>
    <xf numFmtId="0" fontId="103" fillId="0" borderId="0" xfId="0" applyFont="1">
      <alignment vertical="center"/>
    </xf>
    <xf numFmtId="0" fontId="97" fillId="0" borderId="0" xfId="0" applyFont="1" applyAlignment="1">
      <alignment vertical="center" wrapText="1"/>
    </xf>
    <xf numFmtId="0" fontId="97" fillId="0" borderId="6" xfId="161" applyFont="1" applyBorder="1">
      <alignment vertical="center"/>
    </xf>
    <xf numFmtId="0" fontId="97" fillId="0" borderId="0" xfId="161" quotePrefix="1" applyFont="1" applyAlignment="1">
      <alignment horizontal="center" vertical="center"/>
    </xf>
    <xf numFmtId="0" fontId="100" fillId="0" borderId="0" xfId="0" applyFont="1">
      <alignment vertical="center"/>
    </xf>
    <xf numFmtId="0" fontId="97" fillId="0" borderId="0" xfId="0" applyFont="1" applyAlignment="1">
      <alignment horizontal="left" vertical="center"/>
    </xf>
    <xf numFmtId="0" fontId="97" fillId="0" borderId="14" xfId="161" applyFont="1" applyBorder="1">
      <alignment vertical="center"/>
    </xf>
    <xf numFmtId="0" fontId="104" fillId="14" borderId="0" xfId="0" applyFont="1" applyFill="1">
      <alignment vertical="center"/>
    </xf>
    <xf numFmtId="0" fontId="104" fillId="14" borderId="0" xfId="161" applyFont="1" applyFill="1">
      <alignment vertical="center"/>
    </xf>
    <xf numFmtId="0" fontId="104" fillId="14" borderId="0" xfId="0" applyFont="1" applyFill="1" applyAlignment="1">
      <alignment horizontal="left" vertical="center"/>
    </xf>
    <xf numFmtId="0" fontId="104" fillId="14" borderId="0" xfId="161" applyFont="1" applyFill="1" applyAlignment="1">
      <alignment horizontal="left" vertical="center"/>
    </xf>
    <xf numFmtId="0" fontId="104" fillId="14" borderId="0" xfId="161" applyFont="1" applyFill="1" applyAlignment="1">
      <alignment horizontal="center" vertical="center"/>
    </xf>
    <xf numFmtId="0" fontId="104" fillId="14" borderId="0" xfId="0" applyFont="1" applyFill="1" applyAlignment="1">
      <alignment horizontal="center" vertical="center"/>
    </xf>
    <xf numFmtId="0" fontId="104" fillId="19" borderId="0" xfId="0" applyFont="1" applyFill="1">
      <alignment vertical="center"/>
    </xf>
    <xf numFmtId="0" fontId="104" fillId="19" borderId="0" xfId="161" applyFont="1" applyFill="1">
      <alignment vertical="center"/>
    </xf>
    <xf numFmtId="0" fontId="104" fillId="19" borderId="0" xfId="161" applyFont="1" applyFill="1" applyAlignment="1">
      <alignment horizontal="center" vertical="center"/>
    </xf>
    <xf numFmtId="0" fontId="104" fillId="19" borderId="0" xfId="161" applyFont="1" applyFill="1" applyAlignment="1">
      <alignment horizontal="left" vertical="center"/>
    </xf>
    <xf numFmtId="0" fontId="97" fillId="19" borderId="6" xfId="161" quotePrefix="1" applyFont="1" applyFill="1" applyBorder="1">
      <alignment vertical="center"/>
    </xf>
    <xf numFmtId="0" fontId="100" fillId="19" borderId="0" xfId="0" applyFont="1" applyFill="1">
      <alignment vertical="center"/>
    </xf>
    <xf numFmtId="0" fontId="97" fillId="19" borderId="0" xfId="0" applyFont="1" applyFill="1">
      <alignment vertical="center"/>
    </xf>
    <xf numFmtId="0" fontId="104" fillId="19" borderId="0" xfId="0" applyFont="1" applyFill="1" applyAlignment="1">
      <alignment horizontal="center" vertical="center"/>
    </xf>
    <xf numFmtId="0" fontId="97" fillId="19" borderId="11" xfId="161" applyFont="1" applyFill="1" applyBorder="1">
      <alignment vertical="center"/>
    </xf>
    <xf numFmtId="0" fontId="97" fillId="19" borderId="0" xfId="161" quotePrefix="1" applyFont="1" applyFill="1">
      <alignment vertical="center"/>
    </xf>
    <xf numFmtId="0" fontId="75" fillId="14" borderId="0" xfId="0" applyFont="1" applyFill="1">
      <alignment vertical="center"/>
    </xf>
    <xf numFmtId="0" fontId="109" fillId="14" borderId="0" xfId="0" applyFont="1" applyFill="1">
      <alignment vertical="center"/>
    </xf>
    <xf numFmtId="0" fontId="100" fillId="31" borderId="0" xfId="0" applyFont="1" applyFill="1" applyAlignment="1">
      <alignment horizontal="left" vertical="center"/>
    </xf>
    <xf numFmtId="0" fontId="100" fillId="14" borderId="0" xfId="0" applyFont="1" applyFill="1">
      <alignment vertical="center"/>
    </xf>
    <xf numFmtId="0" fontId="97" fillId="0" borderId="8" xfId="161" applyFont="1" applyBorder="1">
      <alignment vertical="center"/>
    </xf>
    <xf numFmtId="0" fontId="101" fillId="0" borderId="8" xfId="0" applyFont="1" applyBorder="1">
      <alignment vertical="center"/>
    </xf>
    <xf numFmtId="0" fontId="101" fillId="0" borderId="8" xfId="0" applyFont="1" applyBorder="1" applyAlignment="1">
      <alignment vertical="center" wrapText="1"/>
    </xf>
    <xf numFmtId="0" fontId="97" fillId="0" borderId="12" xfId="161" applyFont="1" applyBorder="1">
      <alignment vertical="center"/>
    </xf>
    <xf numFmtId="0" fontId="97" fillId="10" borderId="53" xfId="46" applyFont="1" applyFill="1" applyBorder="1" applyAlignment="1">
      <alignment horizontal="center"/>
    </xf>
    <xf numFmtId="0" fontId="101" fillId="31" borderId="0" xfId="185" applyFont="1" applyFill="1">
      <alignment vertical="center"/>
    </xf>
    <xf numFmtId="0" fontId="101" fillId="14" borderId="0" xfId="185" applyFont="1" applyFill="1">
      <alignment vertical="center"/>
    </xf>
    <xf numFmtId="0" fontId="101" fillId="0" borderId="0" xfId="185" applyFont="1">
      <alignment vertical="center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>
      <alignment horizontal="left" vertical="center" wrapText="1"/>
    </xf>
    <xf numFmtId="0" fontId="97" fillId="0" borderId="54" xfId="185" applyFont="1" applyBorder="1" applyAlignment="1">
      <alignment horizontal="left" vertical="center" wrapText="1"/>
    </xf>
    <xf numFmtId="0" fontId="97" fillId="0" borderId="10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8" fillId="0" borderId="70" xfId="161" applyFont="1" applyBorder="1" applyAlignment="1">
      <alignment horizontal="center" vertical="center"/>
    </xf>
    <xf numFmtId="0" fontId="98" fillId="0" borderId="70" xfId="161" applyFont="1" applyBorder="1">
      <alignment vertical="center"/>
    </xf>
    <xf numFmtId="0" fontId="98" fillId="0" borderId="70" xfId="0" applyFont="1" applyBorder="1">
      <alignment vertical="center"/>
    </xf>
    <xf numFmtId="0" fontId="98" fillId="14" borderId="70" xfId="161" applyFont="1" applyFill="1" applyBorder="1">
      <alignment vertical="center"/>
    </xf>
    <xf numFmtId="0" fontId="98" fillId="14" borderId="69" xfId="161" applyFont="1" applyFill="1" applyBorder="1">
      <alignment vertical="center"/>
    </xf>
    <xf numFmtId="0" fontId="97" fillId="0" borderId="71" xfId="161" applyFont="1" applyBorder="1">
      <alignment vertical="center"/>
    </xf>
    <xf numFmtId="0" fontId="97" fillId="0" borderId="7" xfId="161" applyFont="1" applyBorder="1">
      <alignment vertical="center"/>
    </xf>
    <xf numFmtId="0" fontId="97" fillId="0" borderId="65" xfId="0" applyFont="1" applyBorder="1">
      <alignment vertical="center"/>
    </xf>
    <xf numFmtId="0" fontId="97" fillId="0" borderId="65" xfId="0" applyFont="1" applyBorder="1" applyAlignment="1">
      <alignment vertical="center" wrapText="1"/>
    </xf>
    <xf numFmtId="0" fontId="107" fillId="14" borderId="65" xfId="0" applyFont="1" applyFill="1" applyBorder="1">
      <alignment vertical="center"/>
    </xf>
    <xf numFmtId="0" fontId="97" fillId="0" borderId="65" xfId="161" applyFont="1" applyBorder="1">
      <alignment vertical="center"/>
    </xf>
    <xf numFmtId="0" fontId="112" fillId="0" borderId="0" xfId="0" applyFont="1">
      <alignment vertical="center"/>
    </xf>
    <xf numFmtId="0" fontId="97" fillId="36" borderId="0" xfId="161" quotePrefix="1" applyFont="1" applyFill="1">
      <alignment vertical="center"/>
    </xf>
    <xf numFmtId="0" fontId="97" fillId="36" borderId="0" xfId="0" applyFont="1" applyFill="1">
      <alignment vertical="center"/>
    </xf>
    <xf numFmtId="0" fontId="104" fillId="36" borderId="0" xfId="0" applyFont="1" applyFill="1">
      <alignment vertical="center"/>
    </xf>
    <xf numFmtId="0" fontId="104" fillId="36" borderId="0" xfId="161" applyFont="1" applyFill="1" applyAlignment="1">
      <alignment horizontal="left" vertical="center"/>
    </xf>
    <xf numFmtId="0" fontId="104" fillId="36" borderId="0" xfId="161" applyFont="1" applyFill="1" applyAlignment="1">
      <alignment horizontal="center" vertical="center"/>
    </xf>
    <xf numFmtId="0" fontId="104" fillId="36" borderId="0" xfId="0" applyFont="1" applyFill="1" applyAlignment="1">
      <alignment horizontal="centerContinuous" vertical="center"/>
    </xf>
    <xf numFmtId="0" fontId="113" fillId="36" borderId="0" xfId="0" applyFont="1" applyFill="1" applyAlignment="1">
      <alignment horizontal="centerContinuous" vertical="center"/>
    </xf>
    <xf numFmtId="185" fontId="104" fillId="36" borderId="0" xfId="161" quotePrefix="1" applyNumberFormat="1" applyFont="1" applyFill="1">
      <alignment vertical="center"/>
    </xf>
    <xf numFmtId="0" fontId="97" fillId="0" borderId="12" xfId="161" quotePrefix="1" applyFont="1" applyBorder="1">
      <alignment vertical="center"/>
    </xf>
    <xf numFmtId="0" fontId="97" fillId="0" borderId="12" xfId="161" quotePrefix="1" applyFont="1" applyBorder="1" applyAlignment="1">
      <alignment horizontal="center" vertical="center"/>
    </xf>
    <xf numFmtId="0" fontId="100" fillId="0" borderId="12" xfId="0" applyFont="1" applyBorder="1">
      <alignment vertical="center"/>
    </xf>
    <xf numFmtId="0" fontId="97" fillId="0" borderId="12" xfId="0" applyFont="1" applyBorder="1">
      <alignment vertical="center"/>
    </xf>
    <xf numFmtId="0" fontId="104" fillId="14" borderId="12" xfId="0" applyFont="1" applyFill="1" applyBorder="1">
      <alignment vertical="center"/>
    </xf>
    <xf numFmtId="0" fontId="104" fillId="14" borderId="12" xfId="161" applyFont="1" applyFill="1" applyBorder="1" applyAlignment="1">
      <alignment horizontal="left" vertical="center"/>
    </xf>
    <xf numFmtId="0" fontId="104" fillId="14" borderId="12" xfId="161" applyFont="1" applyFill="1" applyBorder="1" applyAlignment="1">
      <alignment horizontal="center" vertical="center"/>
    </xf>
    <xf numFmtId="0" fontId="104" fillId="14" borderId="12" xfId="161" applyFont="1" applyFill="1" applyBorder="1">
      <alignment vertical="center"/>
    </xf>
    <xf numFmtId="0" fontId="104" fillId="14" borderId="12" xfId="0" applyFont="1" applyFill="1" applyBorder="1" applyAlignment="1">
      <alignment horizontal="center" vertical="center"/>
    </xf>
    <xf numFmtId="0" fontId="97" fillId="0" borderId="8" xfId="161" quotePrefix="1" applyFont="1" applyBorder="1">
      <alignment vertical="center"/>
    </xf>
    <xf numFmtId="0" fontId="97" fillId="0" borderId="8" xfId="161" quotePrefix="1" applyFont="1" applyBorder="1" applyAlignment="1">
      <alignment horizontal="center" vertical="center"/>
    </xf>
    <xf numFmtId="0" fontId="100" fillId="0" borderId="8" xfId="0" applyFont="1" applyBorder="1">
      <alignment vertical="center"/>
    </xf>
    <xf numFmtId="0" fontId="97" fillId="0" borderId="8" xfId="0" applyFont="1" applyBorder="1">
      <alignment vertical="center"/>
    </xf>
    <xf numFmtId="0" fontId="104" fillId="14" borderId="8" xfId="0" applyFont="1" applyFill="1" applyBorder="1">
      <alignment vertical="center"/>
    </xf>
    <xf numFmtId="185" fontId="104" fillId="14" borderId="8" xfId="161" quotePrefix="1" applyNumberFormat="1" applyFont="1" applyFill="1" applyBorder="1">
      <alignment vertical="center"/>
    </xf>
    <xf numFmtId="0" fontId="104" fillId="14" borderId="8" xfId="161" applyFont="1" applyFill="1" applyBorder="1" applyAlignment="1">
      <alignment horizontal="left" vertical="center"/>
    </xf>
    <xf numFmtId="0" fontId="104" fillId="14" borderId="8" xfId="161" applyFont="1" applyFill="1" applyBorder="1" applyAlignment="1">
      <alignment horizontal="center" vertical="center"/>
    </xf>
    <xf numFmtId="0" fontId="104" fillId="14" borderId="8" xfId="161" applyFont="1" applyFill="1" applyBorder="1">
      <alignment vertical="center"/>
    </xf>
    <xf numFmtId="0" fontId="104" fillId="14" borderId="8" xfId="0" applyFont="1" applyFill="1" applyBorder="1" applyAlignment="1">
      <alignment horizontal="center" vertical="center"/>
    </xf>
    <xf numFmtId="0" fontId="102" fillId="0" borderId="52" xfId="161" quotePrefix="1" applyFont="1" applyBorder="1" applyAlignment="1">
      <alignment horizontal="center" vertical="center"/>
    </xf>
    <xf numFmtId="185" fontId="104" fillId="14" borderId="0" xfId="161" quotePrefix="1" applyNumberFormat="1" applyFont="1" applyFill="1">
      <alignment vertical="center"/>
    </xf>
    <xf numFmtId="0" fontId="110" fillId="0" borderId="0" xfId="186" applyFont="1">
      <alignment vertical="center"/>
    </xf>
    <xf numFmtId="0" fontId="101" fillId="0" borderId="11" xfId="186" applyFont="1" applyBorder="1">
      <alignment vertical="center"/>
    </xf>
    <xf numFmtId="0" fontId="101" fillId="0" borderId="0" xfId="186" applyFont="1">
      <alignment vertical="center"/>
    </xf>
    <xf numFmtId="0" fontId="101" fillId="0" borderId="15" xfId="186" applyFont="1" applyBorder="1">
      <alignment vertical="center"/>
    </xf>
    <xf numFmtId="0" fontId="101" fillId="0" borderId="12" xfId="186" applyFont="1" applyBorder="1">
      <alignment vertical="center"/>
    </xf>
    <xf numFmtId="0" fontId="101" fillId="0" borderId="13" xfId="186" applyFont="1" applyBorder="1">
      <alignment vertical="center"/>
    </xf>
    <xf numFmtId="0" fontId="101" fillId="0" borderId="6" xfId="186" applyFont="1" applyBorder="1">
      <alignment vertical="center"/>
    </xf>
    <xf numFmtId="0" fontId="110" fillId="0" borderId="0" xfId="187" applyFont="1">
      <alignment vertical="center"/>
    </xf>
    <xf numFmtId="0" fontId="101" fillId="0" borderId="0" xfId="187" applyFont="1">
      <alignment vertical="center"/>
    </xf>
    <xf numFmtId="0" fontId="101" fillId="14" borderId="0" xfId="186" applyFont="1" applyFill="1" applyAlignment="1">
      <alignment horizontal="left" vertical="center"/>
    </xf>
    <xf numFmtId="0" fontId="101" fillId="14" borderId="0" xfId="187" applyFont="1" applyFill="1">
      <alignment vertical="center"/>
    </xf>
    <xf numFmtId="0" fontId="101" fillId="34" borderId="3" xfId="186" applyFont="1" applyFill="1" applyBorder="1" applyAlignment="1">
      <alignment vertical="center" shrinkToFit="1"/>
    </xf>
    <xf numFmtId="0" fontId="101" fillId="0" borderId="3" xfId="186" applyFont="1" applyBorder="1" applyAlignment="1">
      <alignment vertical="center" shrinkToFit="1"/>
    </xf>
    <xf numFmtId="0" fontId="118" fillId="0" borderId="0" xfId="186" applyFont="1" applyAlignment="1">
      <alignment horizontal="left" vertical="center"/>
    </xf>
    <xf numFmtId="0" fontId="119" fillId="0" borderId="0" xfId="186" applyFont="1" applyAlignment="1">
      <alignment horizontal="left" vertical="center"/>
    </xf>
    <xf numFmtId="0" fontId="101" fillId="0" borderId="0" xfId="186" applyFont="1" applyAlignment="1">
      <alignment vertical="center" shrinkToFit="1"/>
    </xf>
    <xf numFmtId="0" fontId="101" fillId="0" borderId="0" xfId="186" applyFont="1" applyAlignment="1">
      <alignment horizontal="left" vertical="center"/>
    </xf>
    <xf numFmtId="0" fontId="120" fillId="0" borderId="0" xfId="186" applyFont="1">
      <alignment vertical="center"/>
    </xf>
    <xf numFmtId="0" fontId="101" fillId="0" borderId="7" xfId="186" applyFont="1" applyBorder="1">
      <alignment vertical="center"/>
    </xf>
    <xf numFmtId="0" fontId="101" fillId="0" borderId="8" xfId="186" applyFont="1" applyBorder="1">
      <alignment vertical="center"/>
    </xf>
    <xf numFmtId="0" fontId="101" fillId="0" borderId="14" xfId="186" applyFont="1" applyBorder="1">
      <alignment vertical="center"/>
    </xf>
    <xf numFmtId="0" fontId="101" fillId="31" borderId="0" xfId="184" applyFont="1" applyFill="1">
      <alignment vertical="center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101" fillId="0" borderId="0" xfId="184" applyFont="1">
      <alignment vertical="center"/>
    </xf>
    <xf numFmtId="0" fontId="100" fillId="0" borderId="62" xfId="0" applyFont="1" applyBorder="1">
      <alignment vertical="center"/>
    </xf>
    <xf numFmtId="0" fontId="100" fillId="0" borderId="63" xfId="0" applyFont="1" applyBorder="1">
      <alignment vertical="center"/>
    </xf>
    <xf numFmtId="0" fontId="100" fillId="31" borderId="63" xfId="0" applyFont="1" applyFill="1" applyBorder="1" applyAlignment="1">
      <alignment horizontal="left" vertical="center"/>
    </xf>
    <xf numFmtId="0" fontId="109" fillId="14" borderId="63" xfId="0" applyFont="1" applyFill="1" applyBorder="1">
      <alignment vertical="center"/>
    </xf>
    <xf numFmtId="0" fontId="109" fillId="14" borderId="64" xfId="0" applyFont="1" applyFill="1" applyBorder="1">
      <alignment vertical="center"/>
    </xf>
    <xf numFmtId="0" fontId="100" fillId="31" borderId="6" xfId="0" applyFont="1" applyFill="1" applyBorder="1" applyAlignment="1">
      <alignment horizontal="left" vertical="center"/>
    </xf>
    <xf numFmtId="0" fontId="109" fillId="14" borderId="11" xfId="0" applyFont="1" applyFill="1" applyBorder="1">
      <alignment vertical="center"/>
    </xf>
    <xf numFmtId="0" fontId="100" fillId="0" borderId="6" xfId="0" applyFont="1" applyBorder="1">
      <alignment vertical="center"/>
    </xf>
    <xf numFmtId="0" fontId="100" fillId="31" borderId="0" xfId="0" applyFont="1" applyFill="1">
      <alignment vertical="center"/>
    </xf>
    <xf numFmtId="0" fontId="109" fillId="14" borderId="6" xfId="0" applyFont="1" applyFill="1" applyBorder="1">
      <alignment vertical="center"/>
    </xf>
    <xf numFmtId="0" fontId="100" fillId="14" borderId="84" xfId="0" applyFont="1" applyFill="1" applyBorder="1">
      <alignment vertical="center"/>
    </xf>
    <xf numFmtId="0" fontId="100" fillId="0" borderId="65" xfId="0" applyFont="1" applyBorder="1">
      <alignment vertical="center"/>
    </xf>
    <xf numFmtId="0" fontId="109" fillId="14" borderId="65" xfId="0" applyFont="1" applyFill="1" applyBorder="1">
      <alignment vertical="center"/>
    </xf>
    <xf numFmtId="0" fontId="109" fillId="14" borderId="66" xfId="0" applyFont="1" applyFill="1" applyBorder="1">
      <alignment vertical="center"/>
    </xf>
    <xf numFmtId="0" fontId="101" fillId="0" borderId="0" xfId="188" applyFont="1">
      <alignment vertical="center"/>
    </xf>
    <xf numFmtId="0" fontId="97" fillId="0" borderId="0" xfId="188" applyFont="1">
      <alignment vertical="center"/>
    </xf>
    <xf numFmtId="0" fontId="110" fillId="0" borderId="0" xfId="188" applyFont="1">
      <alignment vertical="center"/>
    </xf>
    <xf numFmtId="0" fontId="97" fillId="34" borderId="3" xfId="188" applyFont="1" applyFill="1" applyBorder="1" applyAlignment="1">
      <alignment vertical="center" shrinkToFit="1"/>
    </xf>
    <xf numFmtId="0" fontId="97" fillId="0" borderId="3" xfId="188" applyFont="1" applyBorder="1" applyAlignment="1">
      <alignment vertical="center" shrinkToFit="1"/>
    </xf>
    <xf numFmtId="0" fontId="101" fillId="0" borderId="3" xfId="188" applyFont="1" applyBorder="1" applyAlignment="1">
      <alignment vertical="center" shrinkToFit="1"/>
    </xf>
    <xf numFmtId="0" fontId="97" fillId="0" borderId="15" xfId="188" applyFont="1" applyBorder="1" applyAlignment="1">
      <alignment horizontal="left" vertical="center"/>
    </xf>
    <xf numFmtId="0" fontId="97" fillId="0" borderId="12" xfId="188" applyFont="1" applyBorder="1" applyAlignment="1">
      <alignment horizontal="left" vertical="center"/>
    </xf>
    <xf numFmtId="0" fontId="97" fillId="0" borderId="12" xfId="188" applyFont="1" applyBorder="1">
      <alignment vertical="center"/>
    </xf>
    <xf numFmtId="0" fontId="97" fillId="0" borderId="13" xfId="188" applyFont="1" applyBorder="1">
      <alignment vertical="center"/>
    </xf>
    <xf numFmtId="0" fontId="97" fillId="0" borderId="15" xfId="188" applyFont="1" applyBorder="1">
      <alignment vertical="center"/>
    </xf>
    <xf numFmtId="0" fontId="97" fillId="0" borderId="0" xfId="188" applyFont="1" applyAlignment="1">
      <alignment horizontal="left" vertical="center"/>
    </xf>
    <xf numFmtId="0" fontId="97" fillId="0" borderId="11" xfId="188" applyFont="1" applyBorder="1">
      <alignment vertical="center"/>
    </xf>
    <xf numFmtId="0" fontId="97" fillId="0" borderId="6" xfId="188" applyFont="1" applyBorder="1">
      <alignment vertical="center"/>
    </xf>
    <xf numFmtId="0" fontId="97" fillId="0" borderId="84" xfId="188" applyFont="1" applyBorder="1">
      <alignment vertical="center"/>
    </xf>
    <xf numFmtId="0" fontId="97" fillId="0" borderId="65" xfId="188" applyFont="1" applyBorder="1" applyAlignment="1">
      <alignment horizontal="left" vertical="center"/>
    </xf>
    <xf numFmtId="0" fontId="97" fillId="0" borderId="65" xfId="188" applyFont="1" applyBorder="1">
      <alignment vertical="center"/>
    </xf>
    <xf numFmtId="0" fontId="97" fillId="0" borderId="66" xfId="188" applyFont="1" applyBorder="1">
      <alignment vertical="center"/>
    </xf>
    <xf numFmtId="14" fontId="83" fillId="14" borderId="0" xfId="48" applyNumberFormat="1" applyFont="1" applyFill="1" applyAlignment="1">
      <alignment horizontal="center" vertical="center"/>
    </xf>
    <xf numFmtId="0" fontId="83" fillId="14" borderId="0" xfId="48" applyFont="1" applyFill="1" applyAlignment="1">
      <alignment horizontal="center" vertical="center"/>
    </xf>
    <xf numFmtId="0" fontId="21" fillId="0" borderId="0" xfId="48" applyFont="1" applyAlignment="1">
      <alignment horizontal="center" vertical="center" wrapText="1"/>
    </xf>
    <xf numFmtId="0" fontId="17" fillId="0" borderId="3" xfId="48" applyFont="1" applyBorder="1" applyAlignment="1">
      <alignment horizontal="center"/>
    </xf>
    <xf numFmtId="0" fontId="17" fillId="14" borderId="0" xfId="48" applyFont="1" applyFill="1" applyAlignment="1">
      <alignment horizontal="center"/>
    </xf>
    <xf numFmtId="0" fontId="21" fillId="0" borderId="0" xfId="48" applyFont="1" applyAlignment="1">
      <alignment horizontal="center" vertical="center"/>
    </xf>
    <xf numFmtId="14" fontId="54" fillId="0" borderId="3" xfId="0" applyNumberFormat="1" applyFont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54" fillId="0" borderId="3" xfId="0" applyFont="1" applyBorder="1">
      <alignment vertical="center"/>
    </xf>
    <xf numFmtId="0" fontId="54" fillId="0" borderId="3" xfId="0" applyFont="1" applyBorder="1" applyAlignment="1">
      <alignment vertical="center" wrapText="1"/>
    </xf>
    <xf numFmtId="0" fontId="54" fillId="0" borderId="23" xfId="0" applyFont="1" applyBorder="1">
      <alignment vertical="center"/>
    </xf>
    <xf numFmtId="0" fontId="0" fillId="0" borderId="3" xfId="0" applyBorder="1">
      <alignment vertical="center"/>
    </xf>
    <xf numFmtId="14" fontId="21" fillId="0" borderId="3" xfId="50" applyNumberFormat="1" applyFont="1" applyBorder="1" applyAlignment="1">
      <alignment horizontal="center" vertical="center"/>
    </xf>
    <xf numFmtId="0" fontId="21" fillId="0" borderId="3" xfId="50" applyFont="1" applyBorder="1" applyAlignment="1">
      <alignment horizontal="center" vertical="center"/>
    </xf>
    <xf numFmtId="14" fontId="21" fillId="0" borderId="10" xfId="50" applyNumberFormat="1" applyFont="1" applyBorder="1" applyAlignment="1">
      <alignment horizontal="center" vertical="center"/>
    </xf>
    <xf numFmtId="14" fontId="21" fillId="0" borderId="2" xfId="50" applyNumberFormat="1" applyFont="1" applyBorder="1" applyAlignment="1">
      <alignment horizontal="center" vertical="center"/>
    </xf>
    <xf numFmtId="14" fontId="21" fillId="0" borderId="17" xfId="50" applyNumberFormat="1" applyFont="1" applyBorder="1" applyAlignment="1">
      <alignment horizontal="center" vertical="center"/>
    </xf>
    <xf numFmtId="14" fontId="54" fillId="0" borderId="23" xfId="0" applyNumberFormat="1" applyFont="1" applyBorder="1" applyAlignment="1">
      <alignment horizontal="center" vertical="center"/>
    </xf>
    <xf numFmtId="0" fontId="54" fillId="0" borderId="23" xfId="0" applyFont="1" applyBorder="1" applyAlignment="1">
      <alignment horizontal="center" vertical="center"/>
    </xf>
    <xf numFmtId="0" fontId="54" fillId="0" borderId="10" xfId="0" applyFont="1" applyBorder="1" applyAlignment="1">
      <alignment vertical="center" wrapText="1"/>
    </xf>
    <xf numFmtId="0" fontId="54" fillId="0" borderId="2" xfId="0" applyFont="1" applyBorder="1">
      <alignment vertical="center"/>
    </xf>
    <xf numFmtId="0" fontId="54" fillId="0" borderId="17" xfId="0" applyFont="1" applyBorder="1">
      <alignment vertical="center"/>
    </xf>
    <xf numFmtId="0" fontId="54" fillId="0" borderId="15" xfId="0" applyFont="1" applyBorder="1" applyAlignment="1">
      <alignment horizontal="center" vertical="center"/>
    </xf>
    <xf numFmtId="0" fontId="54" fillId="0" borderId="13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0" fillId="12" borderId="10" xfId="48" applyFont="1" applyFill="1" applyBorder="1" applyAlignment="1">
      <alignment horizontal="left" vertical="center"/>
    </xf>
    <xf numFmtId="0" fontId="20" fillId="12" borderId="2" xfId="48" applyFont="1" applyFill="1" applyBorder="1" applyAlignment="1">
      <alignment horizontal="left" vertical="center"/>
    </xf>
    <xf numFmtId="0" fontId="20" fillId="12" borderId="17" xfId="48" applyFont="1" applyFill="1" applyBorder="1" applyAlignment="1">
      <alignment horizontal="left" vertical="center"/>
    </xf>
    <xf numFmtId="0" fontId="50" fillId="15" borderId="24" xfId="48" applyFont="1" applyFill="1" applyBorder="1" applyAlignment="1">
      <alignment vertical="center"/>
    </xf>
    <xf numFmtId="0" fontId="20" fillId="12" borderId="3" xfId="48" applyFont="1" applyFill="1" applyBorder="1" applyAlignment="1">
      <alignment vertical="center"/>
    </xf>
    <xf numFmtId="0" fontId="22" fillId="0" borderId="10" xfId="48" applyFont="1" applyBorder="1" applyAlignment="1">
      <alignment vertical="center"/>
    </xf>
    <xf numFmtId="0" fontId="22" fillId="0" borderId="2" xfId="48" applyFont="1" applyBorder="1" applyAlignment="1">
      <alignment vertical="center"/>
    </xf>
    <xf numFmtId="0" fontId="22" fillId="0" borderId="17" xfId="48" applyFont="1" applyBorder="1" applyAlignment="1">
      <alignment vertical="center"/>
    </xf>
    <xf numFmtId="0" fontId="20" fillId="12" borderId="3" xfId="48" applyFont="1" applyFill="1" applyBorder="1" applyAlignment="1">
      <alignment horizontal="left" vertical="center"/>
    </xf>
    <xf numFmtId="0" fontId="21" fillId="0" borderId="3" xfId="48" applyFont="1" applyBorder="1" applyAlignment="1">
      <alignment horizontal="left" vertical="center"/>
    </xf>
    <xf numFmtId="0" fontId="15" fillId="16" borderId="3" xfId="50" applyFill="1" applyBorder="1" applyAlignment="1">
      <alignment horizontal="left" vertical="center"/>
    </xf>
    <xf numFmtId="14" fontId="21" fillId="0" borderId="3" xfId="48" applyNumberFormat="1" applyFont="1" applyBorder="1" applyAlignment="1">
      <alignment horizontal="center" vertical="center"/>
    </xf>
    <xf numFmtId="0" fontId="54" fillId="14" borderId="15" xfId="0" applyFont="1" applyFill="1" applyBorder="1" applyAlignment="1">
      <alignment vertical="center" wrapText="1"/>
    </xf>
    <xf numFmtId="0" fontId="54" fillId="14" borderId="12" xfId="0" applyFont="1" applyFill="1" applyBorder="1" applyAlignment="1">
      <alignment vertical="center" wrapText="1"/>
    </xf>
    <xf numFmtId="0" fontId="54" fillId="14" borderId="13" xfId="0" applyFont="1" applyFill="1" applyBorder="1" applyAlignment="1">
      <alignment vertical="center" wrapText="1"/>
    </xf>
    <xf numFmtId="0" fontId="54" fillId="14" borderId="7" xfId="0" applyFont="1" applyFill="1" applyBorder="1" applyAlignment="1">
      <alignment vertical="center" wrapText="1"/>
    </xf>
    <xf numFmtId="0" fontId="54" fillId="14" borderId="8" xfId="0" applyFont="1" applyFill="1" applyBorder="1" applyAlignment="1">
      <alignment vertical="center" wrapText="1"/>
    </xf>
    <xf numFmtId="0" fontId="54" fillId="14" borderId="14" xfId="0" applyFont="1" applyFill="1" applyBorder="1" applyAlignment="1">
      <alignment vertical="center" wrapText="1"/>
    </xf>
    <xf numFmtId="0" fontId="20" fillId="15" borderId="25" xfId="48" applyFont="1" applyFill="1" applyBorder="1" applyAlignment="1">
      <alignment vertical="center"/>
    </xf>
    <xf numFmtId="0" fontId="21" fillId="0" borderId="3" xfId="48" applyFont="1" applyBorder="1" applyAlignment="1">
      <alignment vertical="center"/>
    </xf>
    <xf numFmtId="0" fontId="54" fillId="14" borderId="3" xfId="0" applyFont="1" applyFill="1" applyBorder="1">
      <alignment vertical="center"/>
    </xf>
    <xf numFmtId="0" fontId="19" fillId="15" borderId="23" xfId="48" applyFont="1" applyFill="1" applyBorder="1" applyAlignment="1">
      <alignment vertical="center"/>
    </xf>
    <xf numFmtId="0" fontId="56" fillId="17" borderId="8" xfId="0" applyFont="1" applyFill="1" applyBorder="1" applyAlignment="1">
      <alignment horizontal="center" vertical="center"/>
    </xf>
    <xf numFmtId="0" fontId="54" fillId="14" borderId="3" xfId="0" applyFont="1" applyFill="1" applyBorder="1" applyAlignment="1">
      <alignment vertical="center" wrapText="1"/>
    </xf>
    <xf numFmtId="0" fontId="21" fillId="0" borderId="3" xfId="48" applyFont="1" applyBorder="1" applyAlignment="1">
      <alignment horizontal="center" vertical="center"/>
    </xf>
    <xf numFmtId="0" fontId="15" fillId="16" borderId="10" xfId="50" applyFill="1" applyBorder="1" applyAlignment="1">
      <alignment horizontal="center" vertical="center"/>
    </xf>
    <xf numFmtId="0" fontId="15" fillId="16" borderId="17" xfId="50" applyFill="1" applyBorder="1" applyAlignment="1">
      <alignment horizontal="center" vertical="center"/>
    </xf>
    <xf numFmtId="0" fontId="106" fillId="36" borderId="0" xfId="0" applyFont="1" applyFill="1" applyAlignment="1">
      <alignment horizontal="center" vertical="center"/>
    </xf>
    <xf numFmtId="0" fontId="97" fillId="19" borderId="10" xfId="161" applyFont="1" applyFill="1" applyBorder="1" applyAlignment="1">
      <alignment horizontal="left" vertical="center"/>
    </xf>
    <xf numFmtId="0" fontId="97" fillId="19" borderId="2" xfId="161" applyFont="1" applyFill="1" applyBorder="1" applyAlignment="1">
      <alignment horizontal="left" vertical="center"/>
    </xf>
    <xf numFmtId="0" fontId="97" fillId="19" borderId="17" xfId="161" applyFont="1" applyFill="1" applyBorder="1" applyAlignment="1">
      <alignment horizontal="left" vertical="center"/>
    </xf>
    <xf numFmtId="0" fontId="97" fillId="0" borderId="10" xfId="161" applyFont="1" applyBorder="1" applyAlignment="1">
      <alignment horizontal="left" vertical="center"/>
    </xf>
    <xf numFmtId="0" fontId="97" fillId="0" borderId="2" xfId="161" applyFont="1" applyBorder="1" applyAlignment="1">
      <alignment horizontal="left" vertical="center"/>
    </xf>
    <xf numFmtId="0" fontId="97" fillId="0" borderId="17" xfId="161" applyFont="1" applyBorder="1" applyAlignment="1">
      <alignment horizontal="left" vertical="center"/>
    </xf>
    <xf numFmtId="0" fontId="97" fillId="0" borderId="10" xfId="161" applyFont="1" applyBorder="1" applyAlignment="1">
      <alignment horizontal="left" vertical="center" wrapText="1"/>
    </xf>
    <xf numFmtId="0" fontId="97" fillId="0" borderId="2" xfId="161" applyFont="1" applyBorder="1" applyAlignment="1">
      <alignment horizontal="left" vertical="center" wrapText="1"/>
    </xf>
    <xf numFmtId="0" fontId="97" fillId="0" borderId="17" xfId="161" applyFont="1" applyBorder="1" applyAlignment="1">
      <alignment horizontal="left" vertical="center" wrapText="1"/>
    </xf>
    <xf numFmtId="0" fontId="114" fillId="0" borderId="73" xfId="0" applyFont="1" applyBorder="1" applyAlignment="1">
      <alignment horizontal="center" vertical="center"/>
    </xf>
    <xf numFmtId="17" fontId="106" fillId="0" borderId="73" xfId="0" quotePrefix="1" applyNumberFormat="1" applyFont="1" applyBorder="1" applyAlignment="1">
      <alignment horizontal="left" vertical="center"/>
    </xf>
    <xf numFmtId="0" fontId="106" fillId="0" borderId="73" xfId="0" applyFont="1" applyBorder="1" applyAlignment="1">
      <alignment horizontal="left" vertical="center"/>
    </xf>
    <xf numFmtId="0" fontId="106" fillId="0" borderId="80" xfId="0" applyFont="1" applyBorder="1" applyAlignment="1">
      <alignment horizontal="left" vertical="center"/>
    </xf>
    <xf numFmtId="0" fontId="106" fillId="0" borderId="75" xfId="0" applyFont="1" applyBorder="1" applyAlignment="1">
      <alignment horizontal="left" vertical="center"/>
    </xf>
    <xf numFmtId="0" fontId="106" fillId="0" borderId="79" xfId="0" applyFont="1" applyBorder="1" applyAlignment="1">
      <alignment horizontal="left" vertical="center"/>
    </xf>
    <xf numFmtId="0" fontId="106" fillId="0" borderId="82" xfId="0" applyFont="1" applyBorder="1" applyAlignment="1">
      <alignment horizontal="left" vertical="center"/>
    </xf>
    <xf numFmtId="0" fontId="106" fillId="0" borderId="0" xfId="0" applyFont="1" applyAlignment="1">
      <alignment horizontal="left" vertical="center"/>
    </xf>
    <xf numFmtId="0" fontId="106" fillId="0" borderId="83" xfId="0" applyFont="1" applyBorder="1" applyAlignment="1">
      <alignment horizontal="left" vertical="center"/>
    </xf>
    <xf numFmtId="0" fontId="106" fillId="0" borderId="78" xfId="0" applyFont="1" applyBorder="1" applyAlignment="1">
      <alignment horizontal="left" vertical="center"/>
    </xf>
    <xf numFmtId="0" fontId="106" fillId="0" borderId="81" xfId="0" applyFont="1" applyBorder="1" applyAlignment="1">
      <alignment horizontal="left" vertical="center"/>
    </xf>
    <xf numFmtId="0" fontId="106" fillId="0" borderId="77" xfId="0" applyFont="1" applyBorder="1" applyAlignment="1">
      <alignment horizontal="left" vertical="center"/>
    </xf>
    <xf numFmtId="0" fontId="21" fillId="10" borderId="10" xfId="46" applyFont="1" applyFill="1" applyBorder="1" applyAlignment="1">
      <alignment horizontal="center"/>
    </xf>
    <xf numFmtId="0" fontId="21" fillId="10" borderId="17" xfId="46" applyFont="1" applyFill="1" applyBorder="1" applyAlignment="1">
      <alignment horizontal="center"/>
    </xf>
    <xf numFmtId="0" fontId="109" fillId="35" borderId="62" xfId="0" applyFont="1" applyFill="1" applyBorder="1" applyAlignment="1">
      <alignment horizontal="center" vertical="center"/>
    </xf>
    <xf numFmtId="0" fontId="109" fillId="35" borderId="63" xfId="0" applyFont="1" applyFill="1" applyBorder="1" applyAlignment="1">
      <alignment horizontal="center" vertical="center"/>
    </xf>
    <xf numFmtId="0" fontId="109" fillId="35" borderId="64" xfId="0" applyFont="1" applyFill="1" applyBorder="1" applyAlignment="1">
      <alignment horizontal="center" vertical="center"/>
    </xf>
    <xf numFmtId="185" fontId="104" fillId="19" borderId="0" xfId="161" quotePrefix="1" applyNumberFormat="1" applyFont="1" applyFill="1" applyAlignment="1">
      <alignment horizontal="right" vertical="center"/>
    </xf>
    <xf numFmtId="185" fontId="104" fillId="14" borderId="0" xfId="161" quotePrefix="1" applyNumberFormat="1" applyFont="1" applyFill="1" applyAlignment="1">
      <alignment horizontal="right" vertical="center"/>
    </xf>
    <xf numFmtId="0" fontId="22" fillId="0" borderId="3" xfId="48" applyFont="1" applyBorder="1" applyAlignment="1">
      <alignment vertical="center"/>
    </xf>
    <xf numFmtId="0" fontId="52" fillId="13" borderId="10" xfId="49" applyFont="1" applyFill="1" applyBorder="1" applyAlignment="1">
      <alignment horizontal="center" vertical="center"/>
    </xf>
    <xf numFmtId="0" fontId="52" fillId="13" borderId="2" xfId="49" applyFont="1" applyFill="1" applyBorder="1" applyAlignment="1">
      <alignment horizontal="center" vertical="center"/>
    </xf>
    <xf numFmtId="0" fontId="52" fillId="13" borderId="17" xfId="49" applyFont="1" applyFill="1" applyBorder="1" applyAlignment="1">
      <alignment horizontal="center" vertical="center"/>
    </xf>
    <xf numFmtId="0" fontId="115" fillId="36" borderId="74" xfId="0" applyFont="1" applyFill="1" applyBorder="1" applyAlignment="1">
      <alignment horizontal="left" vertical="center" wrapText="1"/>
    </xf>
    <xf numFmtId="0" fontId="115" fillId="36" borderId="76" xfId="0" applyFont="1" applyFill="1" applyBorder="1" applyAlignment="1">
      <alignment horizontal="left" vertical="center" wrapText="1"/>
    </xf>
    <xf numFmtId="0" fontId="115" fillId="19" borderId="74" xfId="161" applyFont="1" applyFill="1" applyBorder="1" applyAlignment="1">
      <alignment horizontal="left" vertical="center" wrapText="1"/>
    </xf>
    <xf numFmtId="0" fontId="113" fillId="19" borderId="74" xfId="161" applyFont="1" applyFill="1" applyBorder="1" applyAlignment="1">
      <alignment horizontal="left" vertical="center"/>
    </xf>
    <xf numFmtId="0" fontId="113" fillId="19" borderId="76" xfId="161" applyFont="1" applyFill="1" applyBorder="1" applyAlignment="1">
      <alignment horizontal="left" vertical="center"/>
    </xf>
    <xf numFmtId="0" fontId="113" fillId="36" borderId="74" xfId="0" applyFont="1" applyFill="1" applyBorder="1" applyAlignment="1">
      <alignment horizontal="left" vertical="center" wrapText="1"/>
    </xf>
    <xf numFmtId="0" fontId="113" fillId="36" borderId="76" xfId="0" applyFont="1" applyFill="1" applyBorder="1" applyAlignment="1">
      <alignment horizontal="left" vertical="center" wrapText="1"/>
    </xf>
    <xf numFmtId="0" fontId="97" fillId="36" borderId="74" xfId="161" applyFont="1" applyFill="1" applyBorder="1" applyAlignment="1">
      <alignment horizontal="center" vertical="center"/>
    </xf>
    <xf numFmtId="0" fontId="97" fillId="36" borderId="76" xfId="161" applyFont="1" applyFill="1" applyBorder="1" applyAlignment="1">
      <alignment horizontal="center" vertical="center"/>
    </xf>
    <xf numFmtId="0" fontId="117" fillId="14" borderId="72" xfId="0" applyFont="1" applyFill="1" applyBorder="1" applyAlignment="1">
      <alignment horizontal="center" vertical="center" wrapText="1"/>
    </xf>
    <xf numFmtId="0" fontId="117" fillId="14" borderId="72" xfId="0" applyFont="1" applyFill="1" applyBorder="1" applyAlignment="1">
      <alignment horizontal="center" vertical="center"/>
    </xf>
    <xf numFmtId="0" fontId="117" fillId="14" borderId="0" xfId="0" applyFont="1" applyFill="1" applyAlignment="1">
      <alignment horizontal="center" vertical="center"/>
    </xf>
    <xf numFmtId="0" fontId="101" fillId="19" borderId="0" xfId="161" applyFont="1" applyFill="1" applyAlignment="1">
      <alignment horizontal="left" vertical="center" wrapText="1"/>
    </xf>
    <xf numFmtId="0" fontId="101" fillId="19" borderId="0" xfId="161" applyFont="1" applyFill="1" applyAlignment="1">
      <alignment horizontal="left" vertical="center"/>
    </xf>
    <xf numFmtId="0" fontId="113" fillId="19" borderId="74" xfId="161" applyFont="1" applyFill="1" applyBorder="1" applyAlignment="1">
      <alignment horizontal="left" vertical="center" wrapText="1"/>
    </xf>
    <xf numFmtId="0" fontId="113" fillId="19" borderId="76" xfId="161" applyFont="1" applyFill="1" applyBorder="1" applyAlignment="1">
      <alignment horizontal="left" vertical="center" wrapText="1"/>
    </xf>
    <xf numFmtId="0" fontId="104" fillId="36" borderId="3" xfId="161" applyFont="1" applyFill="1" applyBorder="1" applyAlignment="1">
      <alignment horizontal="center" vertical="center" wrapText="1"/>
    </xf>
    <xf numFmtId="0" fontId="104" fillId="14" borderId="3" xfId="0" applyFont="1" applyFill="1" applyBorder="1" applyAlignment="1">
      <alignment horizontal="center" vertical="center"/>
    </xf>
    <xf numFmtId="0" fontId="106" fillId="0" borderId="73" xfId="0" applyFont="1" applyBorder="1" applyAlignment="1">
      <alignment horizontal="left" vertical="center" wrapText="1"/>
    </xf>
    <xf numFmtId="185" fontId="104" fillId="36" borderId="0" xfId="161" quotePrefix="1" applyNumberFormat="1" applyFont="1" applyFill="1" applyAlignment="1">
      <alignment horizontal="right" vertical="center"/>
    </xf>
    <xf numFmtId="185" fontId="104" fillId="14" borderId="12" xfId="161" quotePrefix="1" applyNumberFormat="1" applyFont="1" applyFill="1" applyBorder="1" applyAlignment="1">
      <alignment horizontal="right" vertical="center"/>
    </xf>
    <xf numFmtId="49" fontId="97" fillId="0" borderId="10" xfId="45" applyNumberFormat="1" applyFont="1" applyBorder="1" applyAlignment="1">
      <alignment horizontal="left" vertical="center" wrapText="1"/>
    </xf>
    <xf numFmtId="49" fontId="97" fillId="0" borderId="54" xfId="45" applyNumberFormat="1" applyFont="1" applyBorder="1" applyAlignment="1">
      <alignment horizontal="left" vertical="center" wrapText="1"/>
    </xf>
    <xf numFmtId="0" fontId="97" fillId="0" borderId="55" xfId="184" applyFont="1" applyBorder="1" applyAlignment="1" applyProtection="1">
      <alignment vertical="center" wrapText="1"/>
      <protection locked="0"/>
    </xf>
    <xf numFmtId="0" fontId="97" fillId="0" borderId="56" xfId="184" applyFont="1" applyBorder="1" applyAlignment="1" applyProtection="1">
      <alignment vertical="center" wrapText="1"/>
      <protection locked="0"/>
    </xf>
    <xf numFmtId="0" fontId="97" fillId="0" borderId="57" xfId="184" applyFont="1" applyBorder="1" applyAlignment="1" applyProtection="1">
      <alignment vertical="center" wrapText="1"/>
      <protection locked="0"/>
    </xf>
    <xf numFmtId="0" fontId="97" fillId="0" borderId="58" xfId="184" applyFont="1" applyBorder="1" applyAlignment="1" applyProtection="1">
      <alignment vertical="center" wrapText="1"/>
      <protection locked="0"/>
    </xf>
    <xf numFmtId="0" fontId="97" fillId="0" borderId="2" xfId="184" applyFont="1" applyBorder="1" applyAlignment="1" applyProtection="1">
      <alignment vertical="center" wrapText="1"/>
      <protection locked="0"/>
    </xf>
    <xf numFmtId="0" fontId="97" fillId="0" borderId="54" xfId="184" applyFont="1" applyBorder="1" applyAlignment="1" applyProtection="1">
      <alignment vertical="center" wrapText="1"/>
      <protection locked="0"/>
    </xf>
    <xf numFmtId="0" fontId="97" fillId="0" borderId="58" xfId="185" applyFont="1" applyBorder="1" applyAlignment="1">
      <alignment horizontal="left" vertical="center" wrapText="1"/>
    </xf>
    <xf numFmtId="0" fontId="97" fillId="0" borderId="2" xfId="185" applyFont="1" applyBorder="1" applyAlignment="1">
      <alignment horizontal="left" vertical="center" wrapText="1"/>
    </xf>
    <xf numFmtId="0" fontId="97" fillId="0" borderId="17" xfId="185" applyFont="1" applyBorder="1" applyAlignment="1">
      <alignment horizontal="left" vertical="center" wrapText="1"/>
    </xf>
    <xf numFmtId="0" fontId="97" fillId="0" borderId="58" xfId="184" applyFont="1" applyBorder="1" applyAlignment="1">
      <alignment horizontal="left" vertical="center" wrapText="1"/>
    </xf>
    <xf numFmtId="0" fontId="97" fillId="0" borderId="2" xfId="184" applyFont="1" applyBorder="1" applyAlignment="1">
      <alignment horizontal="left" vertical="center" wrapText="1"/>
    </xf>
    <xf numFmtId="0" fontId="97" fillId="0" borderId="10" xfId="185" applyFont="1" applyBorder="1" applyAlignment="1">
      <alignment horizontal="left" vertical="center" wrapText="1"/>
    </xf>
    <xf numFmtId="0" fontId="97" fillId="0" borderId="10" xfId="184" applyFont="1" applyBorder="1" applyAlignment="1">
      <alignment horizontal="left" vertical="center" wrapText="1"/>
    </xf>
    <xf numFmtId="0" fontId="97" fillId="0" borderId="17" xfId="184" applyFont="1" applyBorder="1" applyAlignment="1">
      <alignment horizontal="left" vertical="center" wrapText="1"/>
    </xf>
    <xf numFmtId="0" fontId="97" fillId="0" borderId="0" xfId="184" applyFont="1" applyAlignment="1" applyProtection="1">
      <alignment horizontal="left" vertical="center" wrapText="1"/>
      <protection locked="0"/>
    </xf>
    <xf numFmtId="0" fontId="97" fillId="0" borderId="58" xfId="184" applyFont="1" applyBorder="1" applyAlignment="1" applyProtection="1">
      <alignment horizontal="left" vertical="center" wrapText="1"/>
      <protection locked="0"/>
    </xf>
    <xf numFmtId="0" fontId="97" fillId="0" borderId="2" xfId="184" applyFont="1" applyBorder="1" applyAlignment="1" applyProtection="1">
      <alignment horizontal="left" vertical="center" wrapText="1"/>
      <protection locked="0"/>
    </xf>
    <xf numFmtId="0" fontId="97" fillId="0" borderId="63" xfId="184" applyFont="1" applyBorder="1" applyAlignment="1" applyProtection="1">
      <alignment horizontal="left" vertical="center" wrapText="1"/>
      <protection locked="0"/>
    </xf>
    <xf numFmtId="0" fontId="97" fillId="0" borderId="55" xfId="185" applyFont="1" applyBorder="1" applyAlignment="1" applyProtection="1">
      <alignment vertical="center" wrapText="1"/>
      <protection locked="0"/>
    </xf>
    <xf numFmtId="0" fontId="97" fillId="0" borderId="56" xfId="185" applyFont="1" applyBorder="1" applyAlignment="1" applyProtection="1">
      <alignment vertical="center" wrapText="1"/>
      <protection locked="0"/>
    </xf>
    <xf numFmtId="0" fontId="97" fillId="0" borderId="57" xfId="185" applyFont="1" applyBorder="1" applyAlignment="1" applyProtection="1">
      <alignment vertical="center" wrapText="1"/>
      <protection locked="0"/>
    </xf>
    <xf numFmtId="0" fontId="97" fillId="0" borderId="58" xfId="185" applyFont="1" applyBorder="1" applyAlignment="1" applyProtection="1">
      <alignment vertical="center" wrapText="1"/>
      <protection locked="0"/>
    </xf>
    <xf numFmtId="0" fontId="97" fillId="0" borderId="2" xfId="185" applyFont="1" applyBorder="1" applyAlignment="1" applyProtection="1">
      <alignment vertical="center" wrapText="1"/>
      <protection locked="0"/>
    </xf>
    <xf numFmtId="0" fontId="97" fillId="0" borderId="54" xfId="185" applyFont="1" applyBorder="1" applyAlignment="1" applyProtection="1">
      <alignment vertical="center" wrapText="1"/>
      <protection locked="0"/>
    </xf>
    <xf numFmtId="0" fontId="103" fillId="33" borderId="23" xfId="185" applyFont="1" applyFill="1" applyBorder="1" applyAlignment="1">
      <alignment horizontal="center" vertical="center"/>
    </xf>
    <xf numFmtId="0" fontId="103" fillId="34" borderId="3" xfId="185" applyFont="1" applyFill="1" applyBorder="1" applyAlignment="1">
      <alignment horizontal="center" vertical="center"/>
    </xf>
    <xf numFmtId="0" fontId="97" fillId="34" borderId="3" xfId="185" applyFont="1" applyFill="1" applyBorder="1" applyAlignment="1">
      <alignment horizontal="center" vertical="center"/>
    </xf>
    <xf numFmtId="0" fontId="103" fillId="34" borderId="3" xfId="185" applyFont="1" applyFill="1" applyBorder="1" applyAlignment="1" applyProtection="1">
      <alignment horizontal="center" vertical="center" wrapText="1"/>
      <protection locked="0"/>
    </xf>
    <xf numFmtId="0" fontId="103" fillId="32" borderId="3" xfId="185" applyFont="1" applyFill="1" applyBorder="1" applyAlignment="1">
      <alignment horizontal="center" vertical="center" wrapText="1"/>
    </xf>
    <xf numFmtId="0" fontId="103" fillId="32" borderId="3" xfId="185" applyFont="1" applyFill="1" applyBorder="1" applyAlignment="1">
      <alignment horizontal="center" vertical="center"/>
    </xf>
    <xf numFmtId="0" fontId="103" fillId="32" borderId="62" xfId="185" applyFont="1" applyFill="1" applyBorder="1" applyAlignment="1">
      <alignment horizontal="center" vertical="center" wrapText="1"/>
    </xf>
    <xf numFmtId="0" fontId="103" fillId="32" borderId="63" xfId="185" applyFont="1" applyFill="1" applyBorder="1" applyAlignment="1">
      <alignment horizontal="center" vertical="center" wrapText="1"/>
    </xf>
    <xf numFmtId="0" fontId="103" fillId="32" borderId="64" xfId="185" applyFont="1" applyFill="1" applyBorder="1" applyAlignment="1">
      <alignment horizontal="center" vertical="center" wrapText="1"/>
    </xf>
    <xf numFmtId="0" fontId="103" fillId="32" borderId="84" xfId="185" applyFont="1" applyFill="1" applyBorder="1" applyAlignment="1">
      <alignment horizontal="center" vertical="center" wrapText="1"/>
    </xf>
    <xf numFmtId="0" fontId="103" fillId="32" borderId="65" xfId="185" applyFont="1" applyFill="1" applyBorder="1" applyAlignment="1">
      <alignment horizontal="center" vertical="center" wrapText="1"/>
    </xf>
    <xf numFmtId="0" fontId="103" fillId="32" borderId="66" xfId="185" applyFont="1" applyFill="1" applyBorder="1" applyAlignment="1">
      <alignment horizontal="center" vertical="center" wrapText="1"/>
    </xf>
    <xf numFmtId="0" fontId="103" fillId="32" borderId="62" xfId="184" applyFont="1" applyFill="1" applyBorder="1" applyAlignment="1">
      <alignment horizontal="center" vertical="center" wrapText="1"/>
    </xf>
    <xf numFmtId="0" fontId="103" fillId="32" borderId="63" xfId="184" applyFont="1" applyFill="1" applyBorder="1" applyAlignment="1">
      <alignment horizontal="center" vertical="center" wrapText="1"/>
    </xf>
    <xf numFmtId="0" fontId="103" fillId="32" borderId="7" xfId="184" applyFont="1" applyFill="1" applyBorder="1" applyAlignment="1">
      <alignment horizontal="center" vertical="center" wrapText="1"/>
    </xf>
    <xf numFmtId="0" fontId="103" fillId="32" borderId="65" xfId="184" applyFont="1" applyFill="1" applyBorder="1" applyAlignment="1">
      <alignment horizontal="center" vertical="center" wrapText="1"/>
    </xf>
    <xf numFmtId="0" fontId="97" fillId="0" borderId="10" xfId="45" applyFont="1" applyBorder="1" applyAlignment="1">
      <alignment horizontal="left" vertical="center" wrapText="1"/>
    </xf>
    <xf numFmtId="0" fontId="97" fillId="0" borderId="2" xfId="45" applyFont="1" applyBorder="1" applyAlignment="1">
      <alignment horizontal="left" vertical="center" wrapText="1"/>
    </xf>
    <xf numFmtId="0" fontId="97" fillId="0" borderId="17" xfId="45" applyFont="1" applyBorder="1" applyAlignment="1">
      <alignment horizontal="left" vertical="center" wrapText="1"/>
    </xf>
    <xf numFmtId="0" fontId="97" fillId="0" borderId="59" xfId="45" applyFont="1" applyBorder="1" applyAlignment="1" applyProtection="1">
      <alignment vertical="center" wrapText="1"/>
      <protection locked="0"/>
    </xf>
    <xf numFmtId="0" fontId="97" fillId="0" borderId="60" xfId="45" applyFont="1" applyBorder="1" applyAlignment="1" applyProtection="1">
      <alignment vertical="center" wrapText="1"/>
      <protection locked="0"/>
    </xf>
    <xf numFmtId="0" fontId="97" fillId="0" borderId="67" xfId="45" applyFont="1" applyBorder="1" applyAlignment="1" applyProtection="1">
      <alignment vertical="center" wrapText="1"/>
      <protection locked="0"/>
    </xf>
    <xf numFmtId="0" fontId="97" fillId="0" borderId="68" xfId="45" applyFont="1" applyBorder="1" applyAlignment="1" applyProtection="1">
      <alignment horizontal="left" vertical="center" wrapText="1"/>
      <protection locked="0"/>
    </xf>
    <xf numFmtId="0" fontId="97" fillId="0" borderId="58" xfId="45" applyFont="1" applyBorder="1" applyAlignment="1" applyProtection="1">
      <alignment horizontal="center" vertical="center" wrapText="1"/>
      <protection locked="0"/>
    </xf>
    <xf numFmtId="0" fontId="97" fillId="0" borderId="2" xfId="45" applyFont="1" applyBorder="1" applyAlignment="1" applyProtection="1">
      <alignment horizontal="center" vertical="center" wrapText="1"/>
      <protection locked="0"/>
    </xf>
    <xf numFmtId="0" fontId="97" fillId="0" borderId="17" xfId="45" applyFont="1" applyBorder="1" applyAlignment="1" applyProtection="1">
      <alignment horizontal="center" vertical="center" wrapText="1"/>
      <protection locked="0"/>
    </xf>
    <xf numFmtId="0" fontId="97" fillId="0" borderId="59" xfId="185" applyFont="1" applyBorder="1" applyAlignment="1" applyProtection="1">
      <alignment vertical="center" wrapText="1"/>
      <protection locked="0"/>
    </xf>
    <xf numFmtId="0" fontId="97" fillId="0" borderId="60" xfId="185" applyFont="1" applyBorder="1" applyAlignment="1" applyProtection="1">
      <alignment vertical="center" wrapText="1"/>
      <protection locked="0"/>
    </xf>
    <xf numFmtId="0" fontId="97" fillId="0" borderId="61" xfId="185" applyFont="1" applyBorder="1" applyAlignment="1" applyProtection="1">
      <alignment vertical="center" wrapText="1"/>
      <protection locked="0"/>
    </xf>
    <xf numFmtId="0" fontId="97" fillId="0" borderId="10" xfId="185" applyFont="1" applyBorder="1" applyAlignment="1">
      <alignment horizontal="left" vertical="top" wrapText="1"/>
    </xf>
    <xf numFmtId="0" fontId="97" fillId="0" borderId="2" xfId="185" applyFont="1" applyBorder="1" applyAlignment="1">
      <alignment horizontal="left" vertical="top" wrapText="1"/>
    </xf>
    <xf numFmtId="0" fontId="97" fillId="0" borderId="17" xfId="185" applyFont="1" applyBorder="1" applyAlignment="1">
      <alignment horizontal="left" vertical="top" wrapText="1"/>
    </xf>
    <xf numFmtId="0" fontId="97" fillId="0" borderId="58" xfId="184" applyFont="1" applyBorder="1" applyAlignment="1">
      <alignment horizontal="center" vertical="center" wrapText="1"/>
    </xf>
    <xf numFmtId="0" fontId="97" fillId="0" borderId="2" xfId="184" applyFont="1" applyBorder="1" applyAlignment="1">
      <alignment horizontal="center" vertical="center" wrapText="1"/>
    </xf>
    <xf numFmtId="0" fontId="97" fillId="0" borderId="54" xfId="184" applyFont="1" applyBorder="1" applyAlignment="1">
      <alignment horizontal="center" vertical="center" wrapText="1"/>
    </xf>
    <xf numFmtId="0" fontId="97" fillId="0" borderId="58" xfId="185" applyFont="1" applyBorder="1" applyAlignment="1">
      <alignment horizontal="center" vertical="center" wrapText="1"/>
    </xf>
    <xf numFmtId="0" fontId="97" fillId="0" borderId="2" xfId="185" applyFont="1" applyBorder="1" applyAlignment="1">
      <alignment horizontal="center" vertical="center" wrapText="1"/>
    </xf>
    <xf numFmtId="0" fontId="97" fillId="0" borderId="17" xfId="185" applyFont="1" applyBorder="1" applyAlignment="1">
      <alignment horizontal="center" vertical="center" wrapText="1"/>
    </xf>
    <xf numFmtId="0" fontId="97" fillId="0" borderId="54" xfId="45" applyFont="1" applyBorder="1" applyAlignment="1">
      <alignment horizontal="left" vertical="center" wrapText="1"/>
    </xf>
    <xf numFmtId="0" fontId="97" fillId="0" borderId="54" xfId="45" applyFont="1" applyBorder="1" applyAlignment="1" applyProtection="1">
      <alignment horizontal="center" vertical="center" wrapText="1"/>
      <protection locked="0"/>
    </xf>
    <xf numFmtId="0" fontId="97" fillId="0" borderId="58" xfId="185" applyFont="1" applyBorder="1" applyAlignment="1" applyProtection="1">
      <alignment horizontal="left" vertical="center" wrapText="1"/>
      <protection locked="0"/>
    </xf>
    <xf numFmtId="0" fontId="97" fillId="0" borderId="2" xfId="185" applyFont="1" applyBorder="1" applyAlignment="1" applyProtection="1">
      <alignment horizontal="left" vertical="center" wrapText="1"/>
      <protection locked="0"/>
    </xf>
    <xf numFmtId="0" fontId="101" fillId="34" borderId="10" xfId="186" applyFont="1" applyFill="1" applyBorder="1" applyAlignment="1">
      <alignment horizontal="left" vertical="center"/>
    </xf>
    <xf numFmtId="0" fontId="101" fillId="34" borderId="2" xfId="186" applyFont="1" applyFill="1" applyBorder="1" applyAlignment="1">
      <alignment horizontal="left" vertical="center"/>
    </xf>
    <xf numFmtId="0" fontId="101" fillId="34" borderId="17" xfId="186" applyFont="1" applyFill="1" applyBorder="1" applyAlignment="1">
      <alignment horizontal="left" vertical="center"/>
    </xf>
    <xf numFmtId="0" fontId="101" fillId="0" borderId="10" xfId="186" applyFont="1" applyBorder="1" applyAlignment="1">
      <alignment horizontal="left" vertical="center"/>
    </xf>
    <xf numFmtId="0" fontId="101" fillId="0" borderId="2" xfId="186" applyFont="1" applyBorder="1" applyAlignment="1">
      <alignment horizontal="left" vertical="center"/>
    </xf>
    <xf numFmtId="0" fontId="101" fillId="0" borderId="17" xfId="186" applyFont="1" applyBorder="1" applyAlignment="1">
      <alignment horizontal="left" vertical="center"/>
    </xf>
    <xf numFmtId="0" fontId="101" fillId="0" borderId="10" xfId="186" applyFont="1" applyBorder="1" applyAlignment="1">
      <alignment horizontal="center" vertical="center"/>
    </xf>
    <xf numFmtId="0" fontId="101" fillId="0" borderId="2" xfId="186" applyFont="1" applyBorder="1" applyAlignment="1">
      <alignment horizontal="center" vertical="center"/>
    </xf>
    <xf numFmtId="0" fontId="101" fillId="0" borderId="3" xfId="186" applyFont="1" applyBorder="1" applyAlignment="1">
      <alignment horizontal="center" vertical="center"/>
    </xf>
    <xf numFmtId="0" fontId="101" fillId="0" borderId="15" xfId="186" applyFont="1" applyBorder="1" applyAlignment="1">
      <alignment horizontal="center" vertical="center"/>
    </xf>
    <xf numFmtId="0" fontId="101" fillId="0" borderId="12" xfId="186" applyFont="1" applyBorder="1" applyAlignment="1">
      <alignment horizontal="center" vertical="center"/>
    </xf>
    <xf numFmtId="0" fontId="101" fillId="0" borderId="13" xfId="186" applyFont="1" applyBorder="1" applyAlignment="1">
      <alignment horizontal="center" vertical="center"/>
    </xf>
    <xf numFmtId="0" fontId="101" fillId="0" borderId="6" xfId="186" applyFont="1" applyBorder="1" applyAlignment="1">
      <alignment horizontal="center" vertical="center"/>
    </xf>
    <xf numFmtId="0" fontId="101" fillId="0" borderId="0" xfId="186" applyFont="1" applyAlignment="1">
      <alignment horizontal="center" vertical="center"/>
    </xf>
    <xf numFmtId="0" fontId="101" fillId="0" borderId="11" xfId="186" applyFont="1" applyBorder="1" applyAlignment="1">
      <alignment horizontal="center" vertical="center"/>
    </xf>
    <xf numFmtId="0" fontId="101" fillId="0" borderId="7" xfId="186" applyFont="1" applyBorder="1" applyAlignment="1">
      <alignment horizontal="center" vertical="center"/>
    </xf>
    <xf numFmtId="0" fontId="101" fillId="0" borderId="8" xfId="186" applyFont="1" applyBorder="1" applyAlignment="1">
      <alignment horizontal="center" vertical="center"/>
    </xf>
    <xf numFmtId="0" fontId="101" fillId="0" borderId="14" xfId="186" applyFont="1" applyBorder="1" applyAlignment="1">
      <alignment horizontal="center" vertical="center"/>
    </xf>
    <xf numFmtId="0" fontId="101" fillId="0" borderId="15" xfId="186" applyFont="1" applyBorder="1" applyAlignment="1">
      <alignment horizontal="left" vertical="center" wrapText="1"/>
    </xf>
    <xf numFmtId="0" fontId="101" fillId="0" borderId="12" xfId="186" applyFont="1" applyBorder="1" applyAlignment="1">
      <alignment horizontal="left" vertical="center"/>
    </xf>
    <xf numFmtId="0" fontId="101" fillId="0" borderId="13" xfId="186" applyFont="1" applyBorder="1" applyAlignment="1">
      <alignment horizontal="left" vertical="center"/>
    </xf>
    <xf numFmtId="0" fontId="101" fillId="0" borderId="6" xfId="186" applyFont="1" applyBorder="1" applyAlignment="1">
      <alignment horizontal="left" vertical="center"/>
    </xf>
    <xf numFmtId="0" fontId="101" fillId="0" borderId="0" xfId="186" applyFont="1" applyAlignment="1">
      <alignment horizontal="left" vertical="center"/>
    </xf>
    <xf numFmtId="0" fontId="101" fillId="0" borderId="11" xfId="186" applyFont="1" applyBorder="1" applyAlignment="1">
      <alignment horizontal="left" vertical="center"/>
    </xf>
    <xf numFmtId="0" fontId="101" fillId="0" borderId="7" xfId="186" applyFont="1" applyBorder="1" applyAlignment="1">
      <alignment horizontal="left" vertical="center"/>
    </xf>
    <xf numFmtId="0" fontId="101" fillId="0" borderId="8" xfId="186" applyFont="1" applyBorder="1" applyAlignment="1">
      <alignment horizontal="left" vertical="center"/>
    </xf>
    <xf numFmtId="0" fontId="101" fillId="0" borderId="14" xfId="186" applyFont="1" applyBorder="1" applyAlignment="1">
      <alignment horizontal="left" vertical="center"/>
    </xf>
    <xf numFmtId="0" fontId="101" fillId="35" borderId="10" xfId="186" applyFont="1" applyFill="1" applyBorder="1" applyAlignment="1">
      <alignment horizontal="center" vertical="center"/>
    </xf>
    <xf numFmtId="0" fontId="101" fillId="35" borderId="2" xfId="186" applyFont="1" applyFill="1" applyBorder="1" applyAlignment="1">
      <alignment horizontal="center" vertical="center"/>
    </xf>
    <xf numFmtId="0" fontId="101" fillId="35" borderId="3" xfId="186" applyFont="1" applyFill="1" applyBorder="1" applyAlignment="1">
      <alignment horizontal="center" vertical="center"/>
    </xf>
    <xf numFmtId="0" fontId="101" fillId="0" borderId="3" xfId="186" applyFont="1" applyBorder="1" applyAlignment="1">
      <alignment horizontal="left" vertical="center"/>
    </xf>
    <xf numFmtId="0" fontId="101" fillId="0" borderId="3" xfId="187" applyFont="1" applyBorder="1" applyAlignment="1">
      <alignment horizontal="left" vertical="center"/>
    </xf>
    <xf numFmtId="0" fontId="101" fillId="0" borderId="3" xfId="187" applyFont="1" applyBorder="1" applyAlignment="1">
      <alignment horizontal="center" vertical="center"/>
    </xf>
    <xf numFmtId="0" fontId="101" fillId="0" borderId="3" xfId="187" applyFont="1" applyBorder="1" applyAlignment="1">
      <alignment vertical="center" wrapText="1"/>
    </xf>
    <xf numFmtId="0" fontId="101" fillId="0" borderId="3" xfId="186" applyFont="1" applyBorder="1" applyAlignment="1">
      <alignment horizontal="left" vertical="center" wrapText="1"/>
    </xf>
    <xf numFmtId="0" fontId="101" fillId="0" borderId="10" xfId="186" applyFont="1" applyBorder="1" applyAlignment="1">
      <alignment horizontal="left" vertical="center" wrapText="1"/>
    </xf>
    <xf numFmtId="0" fontId="101" fillId="0" borderId="2" xfId="186" applyFont="1" applyBorder="1" applyAlignment="1">
      <alignment horizontal="left" vertical="center" wrapText="1"/>
    </xf>
    <xf numFmtId="0" fontId="101" fillId="0" borderId="17" xfId="186" applyFont="1" applyBorder="1" applyAlignment="1">
      <alignment horizontal="left" vertical="center" wrapText="1"/>
    </xf>
    <xf numFmtId="0" fontId="101" fillId="0" borderId="17" xfId="186" applyFont="1" applyBorder="1" applyAlignment="1">
      <alignment horizontal="center" vertical="center"/>
    </xf>
    <xf numFmtId="0" fontId="101" fillId="0" borderId="10" xfId="187" applyFont="1" applyBorder="1" applyAlignment="1">
      <alignment horizontal="center" vertical="center"/>
    </xf>
    <xf numFmtId="0" fontId="101" fillId="0" borderId="2" xfId="187" applyFont="1" applyBorder="1" applyAlignment="1">
      <alignment horizontal="center" vertical="center"/>
    </xf>
    <xf numFmtId="0" fontId="101" fillId="0" borderId="17" xfId="187" applyFont="1" applyBorder="1" applyAlignment="1">
      <alignment horizontal="center" vertical="center"/>
    </xf>
    <xf numFmtId="0" fontId="101" fillId="38" borderId="3" xfId="186" applyFont="1" applyFill="1" applyBorder="1" applyAlignment="1">
      <alignment horizontal="left" vertical="center" wrapText="1"/>
    </xf>
    <xf numFmtId="0" fontId="101" fillId="38" borderId="84" xfId="186" applyFont="1" applyFill="1" applyBorder="1" applyAlignment="1">
      <alignment horizontal="center" vertical="center"/>
    </xf>
    <xf numFmtId="0" fontId="101" fillId="38" borderId="65" xfId="186" applyFont="1" applyFill="1" applyBorder="1" applyAlignment="1">
      <alignment horizontal="center" vertical="center"/>
    </xf>
    <xf numFmtId="0" fontId="101" fillId="37" borderId="3" xfId="186" applyFont="1" applyFill="1" applyBorder="1" applyAlignment="1">
      <alignment horizontal="center" vertical="center"/>
    </xf>
    <xf numFmtId="0" fontId="101" fillId="37" borderId="3" xfId="187" applyFont="1" applyFill="1" applyBorder="1" applyAlignment="1">
      <alignment horizontal="center" vertical="center"/>
    </xf>
    <xf numFmtId="0" fontId="101" fillId="37" borderId="3" xfId="187" applyFont="1" applyFill="1" applyBorder="1">
      <alignment vertical="center"/>
    </xf>
    <xf numFmtId="0" fontId="101" fillId="37" borderId="3" xfId="186" applyFont="1" applyFill="1" applyBorder="1" applyAlignment="1">
      <alignment horizontal="center" vertical="center" wrapText="1"/>
    </xf>
    <xf numFmtId="0" fontId="101" fillId="0" borderId="10" xfId="186" applyFont="1" applyBorder="1" applyAlignment="1">
      <alignment horizontal="left" vertical="center" shrinkToFit="1"/>
    </xf>
    <xf numFmtId="0" fontId="101" fillId="0" borderId="2" xfId="186" applyFont="1" applyBorder="1" applyAlignment="1">
      <alignment horizontal="left" vertical="center" shrinkToFit="1"/>
    </xf>
    <xf numFmtId="0" fontId="101" fillId="0" borderId="17" xfId="186" applyFont="1" applyBorder="1" applyAlignment="1">
      <alignment horizontal="left" vertical="center" shrinkToFit="1"/>
    </xf>
    <xf numFmtId="0" fontId="101" fillId="37" borderId="10" xfId="186" applyFont="1" applyFill="1" applyBorder="1" applyAlignment="1">
      <alignment horizontal="center" vertical="center"/>
    </xf>
    <xf numFmtId="0" fontId="101" fillId="37" borderId="2" xfId="186" applyFont="1" applyFill="1" applyBorder="1" applyAlignment="1">
      <alignment horizontal="center" vertical="center"/>
    </xf>
    <xf numFmtId="0" fontId="101" fillId="37" borderId="17" xfId="186" applyFont="1" applyFill="1" applyBorder="1" applyAlignment="1">
      <alignment horizontal="center" vertical="center"/>
    </xf>
    <xf numFmtId="0" fontId="101" fillId="38" borderId="3" xfId="186" applyFont="1" applyFill="1" applyBorder="1" applyAlignment="1">
      <alignment horizontal="center" vertical="center"/>
    </xf>
    <xf numFmtId="0" fontId="110" fillId="33" borderId="23" xfId="186" applyFont="1" applyFill="1" applyBorder="1" applyAlignment="1">
      <alignment horizontal="center" vertical="center"/>
    </xf>
    <xf numFmtId="0" fontId="101" fillId="0" borderId="15" xfId="186" applyFont="1" applyBorder="1" applyAlignment="1">
      <alignment horizontal="left" vertical="center"/>
    </xf>
    <xf numFmtId="0" fontId="101" fillId="14" borderId="15" xfId="186" applyFont="1" applyFill="1" applyBorder="1" applyAlignment="1">
      <alignment horizontal="left" vertical="center"/>
    </xf>
    <xf numFmtId="0" fontId="101" fillId="14" borderId="12" xfId="186" applyFont="1" applyFill="1" applyBorder="1" applyAlignment="1">
      <alignment horizontal="left" vertical="center"/>
    </xf>
    <xf numFmtId="0" fontId="101" fillId="14" borderId="13" xfId="186" applyFont="1" applyFill="1" applyBorder="1" applyAlignment="1">
      <alignment horizontal="left" vertical="center"/>
    </xf>
    <xf numFmtId="0" fontId="101" fillId="14" borderId="7" xfId="186" applyFont="1" applyFill="1" applyBorder="1" applyAlignment="1">
      <alignment horizontal="left" vertical="center"/>
    </xf>
    <xf numFmtId="0" fontId="101" fillId="14" borderId="8" xfId="186" applyFont="1" applyFill="1" applyBorder="1" applyAlignment="1">
      <alignment horizontal="left" vertical="center"/>
    </xf>
    <xf numFmtId="0" fontId="101" fillId="14" borderId="14" xfId="186" applyFont="1" applyFill="1" applyBorder="1" applyAlignment="1">
      <alignment horizontal="left" vertical="center"/>
    </xf>
    <xf numFmtId="0" fontId="101" fillId="14" borderId="10" xfId="186" applyFont="1" applyFill="1" applyBorder="1" applyAlignment="1">
      <alignment horizontal="left" vertical="center" wrapText="1"/>
    </xf>
    <xf numFmtId="0" fontId="101" fillId="14" borderId="2" xfId="186" applyFont="1" applyFill="1" applyBorder="1" applyAlignment="1">
      <alignment horizontal="left" vertical="center" wrapText="1"/>
    </xf>
    <xf numFmtId="0" fontId="101" fillId="14" borderId="17" xfId="186" applyFont="1" applyFill="1" applyBorder="1" applyAlignment="1">
      <alignment horizontal="left" vertical="center" wrapText="1"/>
    </xf>
    <xf numFmtId="0" fontId="101" fillId="34" borderId="10" xfId="186" applyFont="1" applyFill="1" applyBorder="1" applyAlignment="1">
      <alignment horizontal="center" vertical="center"/>
    </xf>
    <xf numFmtId="0" fontId="101" fillId="34" borderId="2" xfId="186" applyFont="1" applyFill="1" applyBorder="1" applyAlignment="1">
      <alignment horizontal="center" vertical="center"/>
    </xf>
    <xf numFmtId="0" fontId="101" fillId="34" borderId="17" xfId="186" applyFont="1" applyFill="1" applyBorder="1" applyAlignment="1">
      <alignment horizontal="center" vertical="center"/>
    </xf>
    <xf numFmtId="0" fontId="101" fillId="14" borderId="10" xfId="186" applyFont="1" applyFill="1" applyBorder="1" applyAlignment="1">
      <alignment horizontal="left" vertical="center"/>
    </xf>
    <xf numFmtId="0" fontId="101" fillId="14" borderId="2" xfId="186" applyFont="1" applyFill="1" applyBorder="1" applyAlignment="1">
      <alignment horizontal="left" vertical="center"/>
    </xf>
    <xf numFmtId="0" fontId="101" fillId="14" borderId="17" xfId="186" applyFont="1" applyFill="1" applyBorder="1" applyAlignment="1">
      <alignment horizontal="left" vertical="center"/>
    </xf>
    <xf numFmtId="0" fontId="97" fillId="0" borderId="3" xfId="188" applyFont="1" applyBorder="1">
      <alignment vertical="center"/>
    </xf>
    <xf numFmtId="0" fontId="97" fillId="0" borderId="3" xfId="188" applyFont="1" applyBorder="1" applyAlignment="1">
      <alignment horizontal="left" vertical="center"/>
    </xf>
    <xf numFmtId="0" fontId="97" fillId="0" borderId="10" xfId="188" applyFont="1" applyBorder="1" applyAlignment="1">
      <alignment horizontal="left" vertical="center"/>
    </xf>
    <xf numFmtId="0" fontId="97" fillId="0" borderId="2" xfId="188" applyFont="1" applyBorder="1" applyAlignment="1">
      <alignment horizontal="left" vertical="center"/>
    </xf>
    <xf numFmtId="0" fontId="97" fillId="0" borderId="17" xfId="188" applyFont="1" applyBorder="1" applyAlignment="1">
      <alignment horizontal="left" vertical="center"/>
    </xf>
    <xf numFmtId="0" fontId="97" fillId="34" borderId="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horizontal="left" vertical="center" wrapText="1"/>
    </xf>
    <xf numFmtId="0" fontId="100" fillId="34" borderId="3" xfId="188" applyFont="1" applyFill="1" applyBorder="1">
      <alignment vertical="center"/>
    </xf>
    <xf numFmtId="0" fontId="97" fillId="34" borderId="3" xfId="188" applyFont="1" applyFill="1" applyBorder="1" applyAlignment="1">
      <alignment horizontal="left" vertical="center"/>
    </xf>
    <xf numFmtId="0" fontId="97" fillId="0" borderId="3" xfId="188" applyFont="1" applyBorder="1" applyAlignment="1">
      <alignment horizontal="center" vertical="center"/>
    </xf>
    <xf numFmtId="0" fontId="97" fillId="0" borderId="10" xfId="188" applyFont="1" applyBorder="1" applyAlignment="1">
      <alignment horizontal="left" vertical="center" wrapText="1"/>
    </xf>
    <xf numFmtId="0" fontId="97" fillId="0" borderId="2" xfId="188" applyFont="1" applyBorder="1" applyAlignment="1">
      <alignment horizontal="left" vertical="center" wrapText="1"/>
    </xf>
    <xf numFmtId="0" fontId="97" fillId="0" borderId="17" xfId="188" applyFont="1" applyBorder="1" applyAlignment="1">
      <alignment horizontal="left" vertical="center" wrapText="1"/>
    </xf>
    <xf numFmtId="0" fontId="103" fillId="33" borderId="23" xfId="188" applyFont="1" applyFill="1" applyBorder="1" applyAlignment="1">
      <alignment horizontal="center" vertical="center"/>
    </xf>
    <xf numFmtId="0" fontId="97" fillId="34" borderId="3" xfId="188" applyFont="1" applyFill="1" applyBorder="1" applyAlignment="1">
      <alignment horizontal="center" vertical="center" wrapText="1"/>
    </xf>
    <xf numFmtId="0" fontId="101" fillId="0" borderId="3" xfId="188" applyFont="1" applyBorder="1" applyAlignment="1">
      <alignment horizontal="center" vertical="center"/>
    </xf>
    <xf numFmtId="0" fontId="101" fillId="0" borderId="3" xfId="188" quotePrefix="1" applyFont="1" applyBorder="1" applyAlignment="1">
      <alignment horizontal="center" vertical="center"/>
    </xf>
    <xf numFmtId="0" fontId="121" fillId="0" borderId="3" xfId="188" applyFont="1" applyBorder="1" applyAlignment="1">
      <alignment horizontal="center" vertical="center"/>
    </xf>
    <xf numFmtId="0" fontId="101" fillId="0" borderId="10" xfId="188" applyFont="1" applyBorder="1" applyAlignment="1">
      <alignment horizontal="center" vertical="center"/>
    </xf>
    <xf numFmtId="0" fontId="101" fillId="0" borderId="2" xfId="188" applyFont="1" applyBorder="1" applyAlignment="1">
      <alignment horizontal="center" vertical="center"/>
    </xf>
    <xf numFmtId="0" fontId="101" fillId="0" borderId="17" xfId="188" applyFont="1" applyBorder="1" applyAlignment="1">
      <alignment horizontal="center" vertical="center"/>
    </xf>
    <xf numFmtId="17" fontId="101" fillId="0" borderId="3" xfId="188" quotePrefix="1" applyNumberFormat="1" applyFont="1" applyBorder="1" applyAlignment="1">
      <alignment horizontal="center" vertical="center"/>
    </xf>
    <xf numFmtId="0" fontId="101" fillId="35" borderId="3" xfId="188" applyFont="1" applyFill="1" applyBorder="1" applyAlignment="1">
      <alignment horizontal="center" vertical="center"/>
    </xf>
    <xf numFmtId="0" fontId="101" fillId="35" borderId="3" xfId="188" applyFont="1" applyFill="1" applyBorder="1" applyAlignment="1">
      <alignment horizontal="center" vertical="center" shrinkToFit="1"/>
    </xf>
    <xf numFmtId="0" fontId="121" fillId="35" borderId="3" xfId="188" applyFont="1" applyFill="1" applyBorder="1" applyAlignment="1">
      <alignment horizontal="center" vertical="center" shrinkToFit="1"/>
    </xf>
    <xf numFmtId="0" fontId="103" fillId="33" borderId="3" xfId="188" applyFont="1" applyFill="1" applyBorder="1" applyAlignment="1">
      <alignment horizontal="center" vertical="center"/>
    </xf>
    <xf numFmtId="0" fontId="97" fillId="0" borderId="3" xfId="188" applyFont="1" applyBorder="1" applyAlignment="1">
      <alignment vertical="center" wrapText="1"/>
    </xf>
    <xf numFmtId="185" fontId="62" fillId="0" borderId="0" xfId="161" quotePrefix="1" applyNumberFormat="1" applyFont="1" applyAlignment="1">
      <alignment horizontal="right" vertical="center"/>
    </xf>
    <xf numFmtId="185" fontId="62" fillId="0" borderId="10" xfId="161" quotePrefix="1" applyNumberFormat="1" applyFont="1" applyBorder="1" applyAlignment="1">
      <alignment horizontal="right" vertical="center"/>
    </xf>
    <xf numFmtId="185" fontId="62" fillId="0" borderId="2" xfId="161" quotePrefix="1" applyNumberFormat="1" applyFont="1" applyBorder="1" applyAlignment="1">
      <alignment horizontal="right" vertical="center"/>
    </xf>
    <xf numFmtId="185" fontId="62" fillId="0" borderId="17" xfId="161" quotePrefix="1" applyNumberFormat="1" applyFont="1" applyBorder="1" applyAlignment="1">
      <alignment horizontal="right" vertical="center"/>
    </xf>
    <xf numFmtId="191" fontId="62" fillId="0" borderId="10" xfId="161" quotePrefix="1" applyNumberFormat="1" applyFont="1" applyBorder="1" applyAlignment="1">
      <alignment horizontal="right" vertical="center"/>
    </xf>
    <xf numFmtId="191" fontId="62" fillId="0" borderId="2" xfId="161" quotePrefix="1" applyNumberFormat="1" applyFont="1" applyBorder="1" applyAlignment="1">
      <alignment horizontal="right" vertical="center"/>
    </xf>
    <xf numFmtId="191" fontId="62" fillId="0" borderId="17" xfId="161" quotePrefix="1" applyNumberFormat="1" applyFont="1" applyBorder="1" applyAlignment="1">
      <alignment horizontal="right" vertical="center"/>
    </xf>
    <xf numFmtId="183" fontId="62" fillId="0" borderId="10" xfId="161" quotePrefix="1" applyNumberFormat="1" applyFont="1" applyBorder="1" applyAlignment="1">
      <alignment horizontal="right" vertical="center"/>
    </xf>
    <xf numFmtId="183" fontId="62" fillId="0" borderId="2" xfId="161" quotePrefix="1" applyNumberFormat="1" applyFont="1" applyBorder="1" applyAlignment="1">
      <alignment horizontal="right" vertical="center"/>
    </xf>
    <xf numFmtId="183" fontId="62" fillId="0" borderId="17" xfId="161" quotePrefix="1" applyNumberFormat="1" applyFont="1" applyBorder="1" applyAlignment="1">
      <alignment horizontal="right" vertical="center"/>
    </xf>
    <xf numFmtId="184" fontId="62" fillId="0" borderId="10" xfId="161" quotePrefix="1" applyNumberFormat="1" applyFont="1" applyBorder="1" applyAlignment="1">
      <alignment horizontal="center" vertical="center"/>
    </xf>
    <xf numFmtId="184" fontId="62" fillId="0" borderId="2" xfId="161" quotePrefix="1" applyNumberFormat="1" applyFont="1" applyBorder="1" applyAlignment="1">
      <alignment horizontal="center" vertical="center"/>
    </xf>
    <xf numFmtId="184" fontId="62" fillId="0" borderId="17" xfId="161" quotePrefix="1" applyNumberFormat="1" applyFont="1" applyBorder="1" applyAlignment="1">
      <alignment horizontal="center" vertical="center"/>
    </xf>
    <xf numFmtId="185" fontId="62" fillId="0" borderId="10" xfId="161" applyNumberFormat="1" applyFont="1" applyBorder="1" applyAlignment="1">
      <alignment horizontal="center" vertical="center"/>
    </xf>
    <xf numFmtId="185" fontId="62" fillId="0" borderId="2" xfId="161" applyNumberFormat="1" applyFont="1" applyBorder="1" applyAlignment="1">
      <alignment horizontal="center" vertical="center"/>
    </xf>
    <xf numFmtId="185" fontId="62" fillId="0" borderId="17" xfId="161" applyNumberFormat="1" applyFont="1" applyBorder="1" applyAlignment="1">
      <alignment horizontal="center" vertical="center"/>
    </xf>
    <xf numFmtId="180" fontId="62" fillId="0" borderId="10" xfId="161" quotePrefix="1" applyNumberFormat="1" applyFont="1" applyBorder="1" applyAlignment="1">
      <alignment horizontal="right" vertical="center"/>
    </xf>
    <xf numFmtId="180" fontId="62" fillId="0" borderId="2" xfId="161" quotePrefix="1" applyNumberFormat="1" applyFont="1" applyBorder="1" applyAlignment="1">
      <alignment horizontal="right" vertical="center"/>
    </xf>
    <xf numFmtId="180" fontId="62" fillId="0" borderId="17" xfId="161" quotePrefix="1" applyNumberFormat="1" applyFont="1" applyBorder="1" applyAlignment="1">
      <alignment horizontal="right" vertical="center"/>
    </xf>
    <xf numFmtId="179" fontId="62" fillId="0" borderId="10" xfId="161" quotePrefix="1" applyNumberFormat="1" applyFont="1" applyBorder="1" applyAlignment="1">
      <alignment horizontal="right" vertical="center"/>
    </xf>
    <xf numFmtId="0" fontId="62" fillId="0" borderId="2" xfId="161" quotePrefix="1" applyFont="1" applyBorder="1" applyAlignment="1">
      <alignment horizontal="right" vertical="center"/>
    </xf>
    <xf numFmtId="0" fontId="62" fillId="0" borderId="17" xfId="161" quotePrefix="1" applyFont="1" applyBorder="1" applyAlignment="1">
      <alignment horizontal="right" vertical="center"/>
    </xf>
    <xf numFmtId="184" fontId="62" fillId="0" borderId="10" xfId="161" applyNumberFormat="1" applyFont="1" applyBorder="1" applyAlignment="1">
      <alignment horizontal="center" vertical="center"/>
    </xf>
    <xf numFmtId="184" fontId="62" fillId="0" borderId="2" xfId="161" applyNumberFormat="1" applyFont="1" applyBorder="1" applyAlignment="1">
      <alignment horizontal="center" vertical="center"/>
    </xf>
    <xf numFmtId="184" fontId="62" fillId="0" borderId="17" xfId="161" applyNumberFormat="1" applyFont="1" applyBorder="1" applyAlignment="1">
      <alignment horizontal="center" vertical="center"/>
    </xf>
    <xf numFmtId="184" fontId="62" fillId="0" borderId="10" xfId="161" quotePrefix="1" applyNumberFormat="1" applyFont="1" applyBorder="1" applyAlignment="1">
      <alignment horizontal="right" vertical="center"/>
    </xf>
    <xf numFmtId="184" fontId="62" fillId="0" borderId="2" xfId="161" quotePrefix="1" applyNumberFormat="1" applyFont="1" applyBorder="1" applyAlignment="1">
      <alignment horizontal="right" vertical="center"/>
    </xf>
    <xf numFmtId="184" fontId="62" fillId="0" borderId="17" xfId="161" quotePrefix="1" applyNumberFormat="1" applyFont="1" applyBorder="1" applyAlignment="1">
      <alignment horizontal="right" vertical="center"/>
    </xf>
    <xf numFmtId="179" fontId="62" fillId="0" borderId="2" xfId="161" quotePrefix="1" applyNumberFormat="1" applyFont="1" applyBorder="1" applyAlignment="1">
      <alignment horizontal="right" vertical="center"/>
    </xf>
    <xf numFmtId="179" fontId="62" fillId="0" borderId="17" xfId="161" quotePrefix="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right" vertical="center"/>
    </xf>
    <xf numFmtId="182" fontId="62" fillId="0" borderId="2" xfId="161" quotePrefix="1" applyNumberFormat="1" applyFont="1" applyBorder="1" applyAlignment="1">
      <alignment horizontal="right" vertical="center"/>
    </xf>
    <xf numFmtId="182" fontId="62" fillId="0" borderId="17" xfId="161" quotePrefix="1" applyNumberFormat="1" applyFont="1" applyBorder="1" applyAlignment="1">
      <alignment horizontal="right" vertical="center"/>
    </xf>
    <xf numFmtId="179" fontId="62" fillId="0" borderId="0" xfId="161" quotePrefix="1" applyNumberFormat="1" applyFont="1" applyAlignment="1">
      <alignment horizontal="right" vertical="center"/>
    </xf>
    <xf numFmtId="0" fontId="62" fillId="0" borderId="0" xfId="161" quotePrefix="1" applyFont="1" applyAlignment="1">
      <alignment horizontal="right" vertical="center"/>
    </xf>
    <xf numFmtId="183" fontId="62" fillId="0" borderId="0" xfId="161" quotePrefix="1" applyNumberFormat="1" applyFont="1" applyAlignment="1">
      <alignment horizontal="right" vertical="center"/>
    </xf>
    <xf numFmtId="183" fontId="62" fillId="0" borderId="10" xfId="161" quotePrefix="1" applyNumberFormat="1" applyFont="1" applyBorder="1" applyAlignment="1">
      <alignment horizontal="center" vertical="center"/>
    </xf>
    <xf numFmtId="183" fontId="62" fillId="0" borderId="2" xfId="161" quotePrefix="1" applyNumberFormat="1" applyFont="1" applyBorder="1" applyAlignment="1">
      <alignment horizontal="center" vertical="center"/>
    </xf>
    <xf numFmtId="183" fontId="62" fillId="0" borderId="17" xfId="161" quotePrefix="1" applyNumberFormat="1" applyFont="1" applyBorder="1" applyAlignment="1">
      <alignment horizontal="center" vertical="center"/>
    </xf>
    <xf numFmtId="185" fontId="62" fillId="0" borderId="31" xfId="161" quotePrefix="1" applyNumberFormat="1" applyFont="1" applyBorder="1" applyAlignment="1">
      <alignment horizontal="right" vertical="center"/>
    </xf>
    <xf numFmtId="3" fontId="62" fillId="0" borderId="10" xfId="161" quotePrefix="1" applyNumberFormat="1" applyFont="1" applyBorder="1" applyAlignment="1">
      <alignment horizontal="right" vertical="center"/>
    </xf>
    <xf numFmtId="3" fontId="62" fillId="0" borderId="2" xfId="161" quotePrefix="1" applyNumberFormat="1" applyFont="1" applyBorder="1" applyAlignment="1">
      <alignment horizontal="right" vertical="center"/>
    </xf>
    <xf numFmtId="3" fontId="62" fillId="0" borderId="17" xfId="161" quotePrefix="1" applyNumberFormat="1" applyFont="1" applyBorder="1" applyAlignment="1">
      <alignment horizontal="right" vertical="center"/>
    </xf>
    <xf numFmtId="185" fontId="62" fillId="0" borderId="0" xfId="161" applyNumberFormat="1" applyFont="1" applyAlignment="1">
      <alignment horizontal="right" vertical="center"/>
    </xf>
    <xf numFmtId="186" fontId="62" fillId="0" borderId="10" xfId="161" quotePrefix="1" applyNumberFormat="1" applyFont="1" applyBorder="1" applyAlignment="1">
      <alignment horizontal="right" vertical="center"/>
    </xf>
    <xf numFmtId="186" fontId="62" fillId="0" borderId="2" xfId="161" quotePrefix="1" applyNumberFormat="1" applyFont="1" applyBorder="1" applyAlignment="1">
      <alignment horizontal="right" vertical="center"/>
    </xf>
    <xf numFmtId="186" fontId="62" fillId="0" borderId="17" xfId="161" quotePrefix="1" applyNumberFormat="1" applyFont="1" applyBorder="1" applyAlignment="1">
      <alignment horizontal="right" vertical="center"/>
    </xf>
    <xf numFmtId="10" fontId="62" fillId="0" borderId="10" xfId="161" quotePrefix="1" applyNumberFormat="1" applyFont="1" applyBorder="1" applyAlignment="1">
      <alignment horizontal="right" vertical="center"/>
    </xf>
    <xf numFmtId="10" fontId="62" fillId="0" borderId="2" xfId="161" quotePrefix="1" applyNumberFormat="1" applyFont="1" applyBorder="1" applyAlignment="1">
      <alignment horizontal="right" vertical="center"/>
    </xf>
    <xf numFmtId="10" fontId="62" fillId="0" borderId="17" xfId="161" quotePrefix="1" applyNumberFormat="1" applyFont="1" applyBorder="1" applyAlignment="1">
      <alignment horizontal="right" vertical="center"/>
    </xf>
    <xf numFmtId="0" fontId="62" fillId="0" borderId="10" xfId="161" quotePrefix="1" applyFont="1" applyBorder="1" applyAlignment="1">
      <alignment horizontal="right" vertical="center"/>
    </xf>
    <xf numFmtId="9" fontId="62" fillId="0" borderId="10" xfId="161" quotePrefix="1" applyNumberFormat="1" applyFont="1" applyBorder="1" applyAlignment="1">
      <alignment horizontal="right" vertical="center"/>
    </xf>
    <xf numFmtId="9" fontId="62" fillId="0" borderId="2" xfId="161" quotePrefix="1" applyNumberFormat="1" applyFont="1" applyBorder="1" applyAlignment="1">
      <alignment horizontal="right" vertical="center"/>
    </xf>
    <xf numFmtId="9" fontId="62" fillId="0" borderId="17" xfId="161" quotePrefix="1" applyNumberFormat="1" applyFont="1" applyBorder="1" applyAlignment="1">
      <alignment horizontal="right" vertical="center"/>
    </xf>
    <xf numFmtId="49" fontId="62" fillId="0" borderId="10" xfId="161" quotePrefix="1" applyNumberFormat="1" applyFont="1" applyBorder="1" applyAlignment="1">
      <alignment horizontal="center" vertical="center"/>
    </xf>
    <xf numFmtId="49" fontId="62" fillId="0" borderId="2" xfId="161" quotePrefix="1" applyNumberFormat="1" applyFont="1" applyBorder="1" applyAlignment="1">
      <alignment horizontal="center" vertical="center"/>
    </xf>
    <xf numFmtId="49" fontId="62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right" vertical="center"/>
    </xf>
    <xf numFmtId="181" fontId="62" fillId="0" borderId="2" xfId="161" quotePrefix="1" applyNumberFormat="1" applyFont="1" applyBorder="1" applyAlignment="1">
      <alignment horizontal="right" vertical="center"/>
    </xf>
    <xf numFmtId="181" fontId="62" fillId="0" borderId="17" xfId="161" quotePrefix="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/>
    </xf>
    <xf numFmtId="187" fontId="62" fillId="0" borderId="2" xfId="161" quotePrefix="1" applyNumberFormat="1" applyFont="1" applyBorder="1" applyAlignment="1">
      <alignment horizontal="right" vertical="center"/>
    </xf>
    <xf numFmtId="187" fontId="62" fillId="0" borderId="17" xfId="161" quotePrefix="1" applyNumberFormat="1" applyFont="1" applyBorder="1" applyAlignment="1">
      <alignment horizontal="right" vertical="center"/>
    </xf>
    <xf numFmtId="188" fontId="62" fillId="0" borderId="10" xfId="161" quotePrefix="1" applyNumberFormat="1" applyFont="1" applyBorder="1" applyAlignment="1">
      <alignment horizontal="right" vertical="center"/>
    </xf>
    <xf numFmtId="188" fontId="62" fillId="0" borderId="2" xfId="161" quotePrefix="1" applyNumberFormat="1" applyFont="1" applyBorder="1" applyAlignment="1">
      <alignment horizontal="right" vertical="center"/>
    </xf>
    <xf numFmtId="188" fontId="62" fillId="0" borderId="17" xfId="161" quotePrefix="1" applyNumberFormat="1" applyFont="1" applyBorder="1" applyAlignment="1">
      <alignment horizontal="right" vertical="center"/>
    </xf>
    <xf numFmtId="182" fontId="62" fillId="0" borderId="10" xfId="161" quotePrefix="1" applyNumberFormat="1" applyFont="1" applyBorder="1" applyAlignment="1">
      <alignment horizontal="center" vertical="center"/>
    </xf>
    <xf numFmtId="182" fontId="62" fillId="0" borderId="2" xfId="161" quotePrefix="1" applyNumberFormat="1" applyFont="1" applyBorder="1" applyAlignment="1">
      <alignment horizontal="center" vertical="center"/>
    </xf>
    <xf numFmtId="182" fontId="62" fillId="0" borderId="17" xfId="161" quotePrefix="1" applyNumberFormat="1" applyFont="1" applyBorder="1" applyAlignment="1">
      <alignment horizontal="center" vertical="center"/>
    </xf>
    <xf numFmtId="185" fontId="62" fillId="0" borderId="10" xfId="161" applyNumberFormat="1" applyFont="1" applyBorder="1" applyAlignment="1">
      <alignment horizontal="right" vertical="center"/>
    </xf>
    <xf numFmtId="185" fontId="62" fillId="0" borderId="2" xfId="161" applyNumberFormat="1" applyFont="1" applyBorder="1" applyAlignment="1">
      <alignment horizontal="right" vertical="center"/>
    </xf>
    <xf numFmtId="185" fontId="62" fillId="0" borderId="17" xfId="161" applyNumberFormat="1" applyFont="1" applyBorder="1" applyAlignment="1">
      <alignment horizontal="right" vertical="center"/>
    </xf>
    <xf numFmtId="187" fontId="62" fillId="0" borderId="10" xfId="161" quotePrefix="1" applyNumberFormat="1" applyFont="1" applyBorder="1" applyAlignment="1">
      <alignment horizontal="right" vertical="center" indent="1"/>
    </xf>
    <xf numFmtId="187" fontId="62" fillId="0" borderId="2" xfId="161" quotePrefix="1" applyNumberFormat="1" applyFont="1" applyBorder="1" applyAlignment="1">
      <alignment horizontal="right" vertical="center" indent="1"/>
    </xf>
    <xf numFmtId="187" fontId="62" fillId="0" borderId="17" xfId="161" quotePrefix="1" applyNumberFormat="1" applyFont="1" applyBorder="1" applyAlignment="1">
      <alignment horizontal="right" vertical="center" indent="1"/>
    </xf>
    <xf numFmtId="182" fontId="62" fillId="0" borderId="28" xfId="161" quotePrefix="1" applyNumberFormat="1" applyFont="1" applyBorder="1" applyAlignment="1">
      <alignment horizontal="right" vertical="center"/>
    </xf>
    <xf numFmtId="182" fontId="62" fillId="24" borderId="10" xfId="161" quotePrefix="1" applyNumberFormat="1" applyFont="1" applyFill="1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0" fontId="0" fillId="0" borderId="17" xfId="0" applyBorder="1" applyAlignment="1">
      <alignment horizontal="right" vertical="center"/>
    </xf>
    <xf numFmtId="189" fontId="62" fillId="24" borderId="10" xfId="161" quotePrefix="1" applyNumberFormat="1" applyFont="1" applyFill="1" applyBorder="1" applyAlignment="1">
      <alignment horizontal="right" vertical="center"/>
    </xf>
    <xf numFmtId="189" fontId="62" fillId="24" borderId="2" xfId="161" quotePrefix="1" applyNumberFormat="1" applyFont="1" applyFill="1" applyBorder="1" applyAlignment="1">
      <alignment horizontal="right" vertical="center"/>
    </xf>
    <xf numFmtId="189" fontId="62" fillId="24" borderId="17" xfId="161" quotePrefix="1" applyNumberFormat="1" applyFont="1" applyFill="1" applyBorder="1" applyAlignment="1">
      <alignment horizontal="right" vertical="center"/>
    </xf>
    <xf numFmtId="182" fontId="62" fillId="21" borderId="10" xfId="161" quotePrefix="1" applyNumberFormat="1" applyFont="1" applyFill="1" applyBorder="1" applyAlignment="1">
      <alignment horizontal="right" vertical="center"/>
    </xf>
    <xf numFmtId="182" fontId="62" fillId="21" borderId="2" xfId="161" quotePrefix="1" applyNumberFormat="1" applyFont="1" applyFill="1" applyBorder="1" applyAlignment="1">
      <alignment horizontal="right" vertical="center"/>
    </xf>
    <xf numFmtId="182" fontId="62" fillId="21" borderId="17" xfId="161" quotePrefix="1" applyNumberFormat="1" applyFont="1" applyFill="1" applyBorder="1" applyAlignment="1">
      <alignment horizontal="right" vertical="center"/>
    </xf>
    <xf numFmtId="189" fontId="62" fillId="21" borderId="10" xfId="161" quotePrefix="1" applyNumberFormat="1" applyFont="1" applyFill="1" applyBorder="1" applyAlignment="1">
      <alignment horizontal="right" vertical="center"/>
    </xf>
    <xf numFmtId="189" fontId="62" fillId="21" borderId="2" xfId="161" quotePrefix="1" applyNumberFormat="1" applyFont="1" applyFill="1" applyBorder="1" applyAlignment="1">
      <alignment horizontal="right" vertical="center"/>
    </xf>
    <xf numFmtId="189" fontId="62" fillId="21" borderId="17" xfId="161" quotePrefix="1" applyNumberFormat="1" applyFont="1" applyFill="1" applyBorder="1" applyAlignment="1">
      <alignment horizontal="right" vertical="center"/>
    </xf>
    <xf numFmtId="182" fontId="54" fillId="14" borderId="0" xfId="0" applyNumberFormat="1" applyFont="1" applyFill="1" applyAlignment="1">
      <alignment horizontal="center" vertical="center"/>
    </xf>
    <xf numFmtId="184" fontId="88" fillId="0" borderId="10" xfId="161" quotePrefix="1" applyNumberFormat="1" applyFont="1" applyBorder="1" applyAlignment="1">
      <alignment horizontal="center" vertical="center"/>
    </xf>
    <xf numFmtId="184" fontId="88" fillId="0" borderId="2" xfId="161" quotePrefix="1" applyNumberFormat="1" applyFont="1" applyBorder="1" applyAlignment="1">
      <alignment horizontal="center" vertical="center"/>
    </xf>
    <xf numFmtId="184" fontId="88" fillId="0" borderId="17" xfId="161" quotePrefix="1" applyNumberFormat="1" applyFont="1" applyBorder="1" applyAlignment="1">
      <alignment horizontal="center" vertical="center"/>
    </xf>
    <xf numFmtId="181" fontId="62" fillId="0" borderId="10" xfId="161" quotePrefix="1" applyNumberFormat="1" applyFont="1" applyBorder="1" applyAlignment="1">
      <alignment horizontal="center" vertical="center"/>
    </xf>
    <xf numFmtId="181" fontId="62" fillId="0" borderId="2" xfId="161" quotePrefix="1" applyNumberFormat="1" applyFont="1" applyBorder="1" applyAlignment="1">
      <alignment horizontal="center" vertical="center"/>
    </xf>
    <xf numFmtId="181" fontId="62" fillId="0" borderId="17" xfId="161" quotePrefix="1" applyNumberFormat="1" applyFont="1" applyBorder="1" applyAlignment="1">
      <alignment horizontal="center" vertical="center"/>
    </xf>
    <xf numFmtId="179" fontId="62" fillId="0" borderId="10" xfId="161" applyNumberFormat="1" applyFont="1" applyBorder="1" applyAlignment="1">
      <alignment horizontal="right" vertical="center"/>
    </xf>
    <xf numFmtId="179" fontId="62" fillId="0" borderId="2" xfId="161" applyNumberFormat="1" applyFont="1" applyBorder="1" applyAlignment="1">
      <alignment horizontal="right" vertical="center"/>
    </xf>
    <xf numFmtId="179" fontId="62" fillId="0" borderId="17" xfId="161" applyNumberFormat="1" applyFont="1" applyBorder="1" applyAlignment="1">
      <alignment horizontal="right" vertical="center"/>
    </xf>
    <xf numFmtId="0" fontId="54" fillId="14" borderId="0" xfId="0" applyFont="1" applyFill="1" applyAlignment="1">
      <alignment horizontal="center" vertical="center"/>
    </xf>
    <xf numFmtId="190" fontId="54" fillId="14" borderId="15" xfId="0" applyNumberFormat="1" applyFont="1" applyFill="1" applyBorder="1" applyAlignment="1">
      <alignment horizontal="center" vertical="center"/>
    </xf>
    <xf numFmtId="190" fontId="54" fillId="14" borderId="12" xfId="0" applyNumberFormat="1" applyFont="1" applyFill="1" applyBorder="1" applyAlignment="1">
      <alignment horizontal="center" vertical="center"/>
    </xf>
    <xf numFmtId="179" fontId="62" fillId="0" borderId="10" xfId="161" quotePrefix="1" applyNumberFormat="1" applyFont="1" applyBorder="1" applyAlignment="1">
      <alignment horizontal="center" vertical="center"/>
    </xf>
    <xf numFmtId="179" fontId="62" fillId="0" borderId="2" xfId="161" quotePrefix="1" applyNumberFormat="1" applyFont="1" applyBorder="1" applyAlignment="1">
      <alignment horizontal="center" vertical="center"/>
    </xf>
    <xf numFmtId="179" fontId="62" fillId="0" borderId="17" xfId="161" quotePrefix="1" applyNumberFormat="1" applyFont="1" applyBorder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</cellXfs>
  <cellStyles count="189">
    <cellStyle name="0301" xfId="1" xr:uid="{00000000-0005-0000-0000-000000000000}"/>
    <cellStyle name="0_x0014_標準_F_02?P_Dd080301" xfId="2" xr:uid="{00000000-0005-0000-0000-000001000000}"/>
    <cellStyle name="Calc Currency (0)" xfId="3" xr:uid="{00000000-0005-0000-0000-000002000000}"/>
    <cellStyle name="ColumnAttributeAbovePrompt" xfId="4" xr:uid="{00000000-0005-0000-0000-000003000000}"/>
    <cellStyle name="ColumnAttributePrompt" xfId="5" xr:uid="{00000000-0005-0000-0000-000004000000}"/>
    <cellStyle name="ColumnAttributeValue" xfId="6" xr:uid="{00000000-0005-0000-0000-000005000000}"/>
    <cellStyle name="ColumnHeadingPrompt" xfId="7" xr:uid="{00000000-0005-0000-0000-000006000000}"/>
    <cellStyle name="ColumnHeadingValue" xfId="8" xr:uid="{00000000-0005-0000-0000-000007000000}"/>
    <cellStyle name="entry" xfId="9" xr:uid="{00000000-0005-0000-0000-000008000000}"/>
    <cellStyle name="Grey" xfId="10" xr:uid="{00000000-0005-0000-0000-000009000000}"/>
    <cellStyle name="Header1" xfId="11" xr:uid="{00000000-0005-0000-0000-00000A000000}"/>
    <cellStyle name="Header2" xfId="12" xr:uid="{00000000-0005-0000-0000-00000B000000}"/>
    <cellStyle name="Input [yellow]" xfId="13" xr:uid="{00000000-0005-0000-0000-00000C000000}"/>
    <cellStyle name="LineItemPrompt" xfId="14" xr:uid="{00000000-0005-0000-0000-00000D000000}"/>
    <cellStyle name="LineItemValue" xfId="15" xr:uid="{00000000-0005-0000-0000-00000E000000}"/>
    <cellStyle name="Normal - Style1" xfId="16" xr:uid="{00000000-0005-0000-0000-00000F000000}"/>
    <cellStyle name="Normal_#18-Internet" xfId="17" xr:uid="{00000000-0005-0000-0000-000010000000}"/>
    <cellStyle name="OUTPUT AMOUNTS" xfId="18" xr:uid="{00000000-0005-0000-0000-000011000000}"/>
    <cellStyle name="OUTPUT COLUMN HEADINGS" xfId="19" xr:uid="{00000000-0005-0000-0000-000012000000}"/>
    <cellStyle name="OUTPUT LINE ITEMS" xfId="20" xr:uid="{00000000-0005-0000-0000-000013000000}"/>
    <cellStyle name="OUTPUT REPORT HEADING" xfId="21" xr:uid="{00000000-0005-0000-0000-000014000000}"/>
    <cellStyle name="OUTPUT REPORT TITLE" xfId="22" xr:uid="{00000000-0005-0000-0000-000015000000}"/>
    <cellStyle name="Percent [2]" xfId="23" xr:uid="{00000000-0005-0000-0000-000016000000}"/>
    <cellStyle name="price" xfId="24" xr:uid="{00000000-0005-0000-0000-000017000000}"/>
    <cellStyle name="ReportTitlePrompt" xfId="25" xr:uid="{00000000-0005-0000-0000-000018000000}"/>
    <cellStyle name="ReportTitleValue" xfId="26" xr:uid="{00000000-0005-0000-0000-000019000000}"/>
    <cellStyle name="revised" xfId="27" xr:uid="{00000000-0005-0000-0000-00001A000000}"/>
    <cellStyle name="RowAcctAbovePrompt" xfId="28" xr:uid="{00000000-0005-0000-0000-00001B000000}"/>
    <cellStyle name="RowAcctSOBAbovePrompt" xfId="29" xr:uid="{00000000-0005-0000-0000-00001C000000}"/>
    <cellStyle name="RowAcctSOBValue" xfId="30" xr:uid="{00000000-0005-0000-0000-00001D000000}"/>
    <cellStyle name="RowAcctValue" xfId="31" xr:uid="{00000000-0005-0000-0000-00001E000000}"/>
    <cellStyle name="RowAttrAbovePrompt" xfId="32" xr:uid="{00000000-0005-0000-0000-00001F000000}"/>
    <cellStyle name="RowAttrValue" xfId="33" xr:uid="{00000000-0005-0000-0000-000020000000}"/>
    <cellStyle name="RowColSetAbovePrompt" xfId="34" xr:uid="{00000000-0005-0000-0000-000021000000}"/>
    <cellStyle name="RowColSetLeftPrompt" xfId="35" xr:uid="{00000000-0005-0000-0000-000022000000}"/>
    <cellStyle name="RowColSetValue" xfId="36" xr:uid="{00000000-0005-0000-0000-000023000000}"/>
    <cellStyle name="RowLeftPrompt" xfId="37" xr:uid="{00000000-0005-0000-0000-000024000000}"/>
    <cellStyle name="SampleUsingFormatMask" xfId="38" xr:uid="{00000000-0005-0000-0000-000025000000}"/>
    <cellStyle name="SampleWithNoFormatMask" xfId="39" xr:uid="{00000000-0005-0000-0000-000026000000}"/>
    <cellStyle name="section" xfId="40" xr:uid="{00000000-0005-0000-0000-000027000000}"/>
    <cellStyle name="subhead" xfId="41" xr:uid="{00000000-0005-0000-0000-000028000000}"/>
    <cellStyle name="title" xfId="42" xr:uid="{00000000-0005-0000-0000-000029000000}"/>
    <cellStyle name="UploadThisRowValue" xfId="43" xr:uid="{00000000-0005-0000-0000-00002A000000}"/>
    <cellStyle name="_x001d__x000c_K_x0014__x000d_&gt;V_x0001_&gt;_x0014_n_x001e__x0007__x0001__x0001_" xfId="44" xr:uid="{00000000-0005-0000-0000-00002B000000}"/>
    <cellStyle name="標準" xfId="0" builtinId="0"/>
    <cellStyle name="標準 10" xfId="184" xr:uid="{EA538841-B3F7-4189-AE1D-AD4B02F64DDE}"/>
    <cellStyle name="標準 11" xfId="185" xr:uid="{B1213923-804D-4F0F-A200-132176531BC4}"/>
    <cellStyle name="標準 12" xfId="186" xr:uid="{21F3C71E-C34C-40A5-A5EE-4613DBE21B97}"/>
    <cellStyle name="標準 13" xfId="188" xr:uid="{9915FE7C-E506-4304-9226-062139A56CDD}"/>
    <cellStyle name="標準 2" xfId="45" xr:uid="{00000000-0005-0000-0000-00002D000000}"/>
    <cellStyle name="標準 2 2" xfId="161" xr:uid="{00000000-0005-0000-0000-00002E000000}"/>
    <cellStyle name="標準 2 2 2" xfId="187" xr:uid="{06D3B5F9-248B-47E1-A449-9BB4C48E659C}"/>
    <cellStyle name="標準 2 2 2 2" xfId="181" xr:uid="{00000000-0005-0000-0000-00002F000000}"/>
    <cellStyle name="標準 2 2 3 3" xfId="180" xr:uid="{00000000-0005-0000-0000-000030000000}"/>
    <cellStyle name="標準 2 2 3 3 2" xfId="183" xr:uid="{A9F8D5FD-FFE5-47DC-8F2A-256F756463B6}"/>
    <cellStyle name="標準 2 3" xfId="163" xr:uid="{00000000-0005-0000-0000-000031000000}"/>
    <cellStyle name="標準 3" xfId="46" xr:uid="{00000000-0005-0000-0000-000032000000}"/>
    <cellStyle name="標準 4" xfId="47" xr:uid="{00000000-0005-0000-0000-000033000000}"/>
    <cellStyle name="標準 5" xfId="52" xr:uid="{00000000-0005-0000-0000-000034000000}"/>
    <cellStyle name="標準 5 2" xfId="55" xr:uid="{00000000-0005-0000-0000-000035000000}"/>
    <cellStyle name="標準 5 2 2" xfId="61" xr:uid="{00000000-0005-0000-0000-000036000000}"/>
    <cellStyle name="標準 5 2 2 2" xfId="91" xr:uid="{00000000-0005-0000-0000-000037000000}"/>
    <cellStyle name="標準 5 2 2 2 2" xfId="137" xr:uid="{00000000-0005-0000-0000-000038000000}"/>
    <cellStyle name="標準 5 2 2 3" xfId="107" xr:uid="{00000000-0005-0000-0000-000039000000}"/>
    <cellStyle name="標準 5 2 2 3 2" xfId="153" xr:uid="{00000000-0005-0000-0000-00003A000000}"/>
    <cellStyle name="標準 5 2 2 4" xfId="81" xr:uid="{00000000-0005-0000-0000-00003B000000}"/>
    <cellStyle name="標準 5 2 2 4 2" xfId="177" xr:uid="{00000000-0005-0000-0000-00003C000000}"/>
    <cellStyle name="標準 5 2 2 5" xfId="127" xr:uid="{00000000-0005-0000-0000-00003D000000}"/>
    <cellStyle name="標準 5 2 3" xfId="65" xr:uid="{00000000-0005-0000-0000-00003E000000}"/>
    <cellStyle name="標準 5 2 3 2" xfId="95" xr:uid="{00000000-0005-0000-0000-00003F000000}"/>
    <cellStyle name="標準 5 2 3 2 2" xfId="141" xr:uid="{00000000-0005-0000-0000-000040000000}"/>
    <cellStyle name="標準 5 2 3 3" xfId="111" xr:uid="{00000000-0005-0000-0000-000041000000}"/>
    <cellStyle name="標準 5 2 3 3 2" xfId="157" xr:uid="{00000000-0005-0000-0000-000042000000}"/>
    <cellStyle name="標準 5 2 3 4" xfId="75" xr:uid="{00000000-0005-0000-0000-000043000000}"/>
    <cellStyle name="標準 5 2 3 4 2" xfId="171" xr:uid="{00000000-0005-0000-0000-000044000000}"/>
    <cellStyle name="標準 5 2 3 5" xfId="121" xr:uid="{00000000-0005-0000-0000-000045000000}"/>
    <cellStyle name="標準 5 2 4" xfId="85" xr:uid="{00000000-0005-0000-0000-000046000000}"/>
    <cellStyle name="標準 5 2 4 2" xfId="131" xr:uid="{00000000-0005-0000-0000-000047000000}"/>
    <cellStyle name="標準 5 2 5" xfId="101" xr:uid="{00000000-0005-0000-0000-000048000000}"/>
    <cellStyle name="標準 5 2 5 2" xfId="147" xr:uid="{00000000-0005-0000-0000-000049000000}"/>
    <cellStyle name="標準 5 2 6" xfId="71" xr:uid="{00000000-0005-0000-0000-00004A000000}"/>
    <cellStyle name="標準 5 2 6 2" xfId="167" xr:uid="{00000000-0005-0000-0000-00004B000000}"/>
    <cellStyle name="標準 5 2 7" xfId="117" xr:uid="{00000000-0005-0000-0000-00004C000000}"/>
    <cellStyle name="標準 5 3" xfId="58" xr:uid="{00000000-0005-0000-0000-00004D000000}"/>
    <cellStyle name="標準 5 3 2" xfId="88" xr:uid="{00000000-0005-0000-0000-00004E000000}"/>
    <cellStyle name="標準 5 3 2 2" xfId="134" xr:uid="{00000000-0005-0000-0000-00004F000000}"/>
    <cellStyle name="標準 5 3 3" xfId="104" xr:uid="{00000000-0005-0000-0000-000050000000}"/>
    <cellStyle name="標準 5 3 3 2" xfId="150" xr:uid="{00000000-0005-0000-0000-000051000000}"/>
    <cellStyle name="標準 5 3 4" xfId="78" xr:uid="{00000000-0005-0000-0000-000052000000}"/>
    <cellStyle name="標準 5 3 4 2" xfId="174" xr:uid="{00000000-0005-0000-0000-000053000000}"/>
    <cellStyle name="標準 5 3 5" xfId="124" xr:uid="{00000000-0005-0000-0000-000054000000}"/>
    <cellStyle name="標準 5 4" xfId="62" xr:uid="{00000000-0005-0000-0000-000055000000}"/>
    <cellStyle name="標準 5 4 2" xfId="92" xr:uid="{00000000-0005-0000-0000-000056000000}"/>
    <cellStyle name="標準 5 4 2 2" xfId="138" xr:uid="{00000000-0005-0000-0000-000057000000}"/>
    <cellStyle name="標準 5 4 3" xfId="108" xr:uid="{00000000-0005-0000-0000-000058000000}"/>
    <cellStyle name="標準 5 4 3 2" xfId="154" xr:uid="{00000000-0005-0000-0000-000059000000}"/>
    <cellStyle name="標準 5 4 4" xfId="72" xr:uid="{00000000-0005-0000-0000-00005A000000}"/>
    <cellStyle name="標準 5 4 4 2" xfId="168" xr:uid="{00000000-0005-0000-0000-00005B000000}"/>
    <cellStyle name="標準 5 4 5" xfId="118" xr:uid="{00000000-0005-0000-0000-00005C000000}"/>
    <cellStyle name="標準 5 5" xfId="82" xr:uid="{00000000-0005-0000-0000-00005D000000}"/>
    <cellStyle name="標準 5 5 2" xfId="128" xr:uid="{00000000-0005-0000-0000-00005E000000}"/>
    <cellStyle name="標準 5 6" xfId="98" xr:uid="{00000000-0005-0000-0000-00005F000000}"/>
    <cellStyle name="標準 5 6 2" xfId="144" xr:uid="{00000000-0005-0000-0000-000060000000}"/>
    <cellStyle name="標準 5 7" xfId="68" xr:uid="{00000000-0005-0000-0000-000061000000}"/>
    <cellStyle name="標準 5 7 2" xfId="164" xr:uid="{00000000-0005-0000-0000-000062000000}"/>
    <cellStyle name="標準 5 8" xfId="114" xr:uid="{00000000-0005-0000-0000-000063000000}"/>
    <cellStyle name="標準 6" xfId="53" xr:uid="{00000000-0005-0000-0000-000064000000}"/>
    <cellStyle name="標準 6 10" xfId="182" xr:uid="{00000000-0005-0000-0000-000065000000}"/>
    <cellStyle name="標準 6 2" xfId="56" xr:uid="{00000000-0005-0000-0000-000066000000}"/>
    <cellStyle name="標準 6 2 2" xfId="66" xr:uid="{00000000-0005-0000-0000-000067000000}"/>
    <cellStyle name="標準 6 2 2 2" xfId="112" xr:uid="{00000000-0005-0000-0000-000068000000}"/>
    <cellStyle name="標準 6 2 2 2 2" xfId="158" xr:uid="{00000000-0005-0000-0000-000069000000}"/>
    <cellStyle name="標準 6 2 2 3" xfId="96" xr:uid="{00000000-0005-0000-0000-00006A000000}"/>
    <cellStyle name="標準 6 2 2 3 2" xfId="178" xr:uid="{00000000-0005-0000-0000-00006B000000}"/>
    <cellStyle name="標準 6 2 2 4" xfId="142" xr:uid="{00000000-0005-0000-0000-00006C000000}"/>
    <cellStyle name="標準 6 2 3" xfId="86" xr:uid="{00000000-0005-0000-0000-00006D000000}"/>
    <cellStyle name="標準 6 2 3 2" xfId="132" xr:uid="{00000000-0005-0000-0000-00006E000000}"/>
    <cellStyle name="標準 6 2 4" xfId="102" xr:uid="{00000000-0005-0000-0000-00006F000000}"/>
    <cellStyle name="標準 6 2 4 2" xfId="148" xr:uid="{00000000-0005-0000-0000-000070000000}"/>
    <cellStyle name="標準 6 2 5" xfId="76" xr:uid="{00000000-0005-0000-0000-000071000000}"/>
    <cellStyle name="標準 6 2 5 2" xfId="172" xr:uid="{00000000-0005-0000-0000-000072000000}"/>
    <cellStyle name="標準 6 2 6" xfId="122" xr:uid="{00000000-0005-0000-0000-000073000000}"/>
    <cellStyle name="標準 6 3" xfId="59" xr:uid="{00000000-0005-0000-0000-000074000000}"/>
    <cellStyle name="標準 6 3 2" xfId="89" xr:uid="{00000000-0005-0000-0000-000075000000}"/>
    <cellStyle name="標準 6 3 2 2" xfId="135" xr:uid="{00000000-0005-0000-0000-000076000000}"/>
    <cellStyle name="標準 6 3 3" xfId="105" xr:uid="{00000000-0005-0000-0000-000077000000}"/>
    <cellStyle name="標準 6 3 3 2" xfId="151" xr:uid="{00000000-0005-0000-0000-000078000000}"/>
    <cellStyle name="標準 6 3 4" xfId="79" xr:uid="{00000000-0005-0000-0000-000079000000}"/>
    <cellStyle name="標準 6 3 4 2" xfId="175" xr:uid="{00000000-0005-0000-0000-00007A000000}"/>
    <cellStyle name="標準 6 3 5" xfId="125" xr:uid="{00000000-0005-0000-0000-00007B000000}"/>
    <cellStyle name="標準 6 4" xfId="63" xr:uid="{00000000-0005-0000-0000-00007C000000}"/>
    <cellStyle name="標準 6 4 2" xfId="93" xr:uid="{00000000-0005-0000-0000-00007D000000}"/>
    <cellStyle name="標準 6 4 2 2" xfId="139" xr:uid="{00000000-0005-0000-0000-00007E000000}"/>
    <cellStyle name="標準 6 4 3" xfId="109" xr:uid="{00000000-0005-0000-0000-00007F000000}"/>
    <cellStyle name="標準 6 4 3 2" xfId="155" xr:uid="{00000000-0005-0000-0000-000080000000}"/>
    <cellStyle name="標準 6 4 4" xfId="73" xr:uid="{00000000-0005-0000-0000-000081000000}"/>
    <cellStyle name="標準 6 4 4 2" xfId="169" xr:uid="{00000000-0005-0000-0000-000082000000}"/>
    <cellStyle name="標準 6 4 5" xfId="119" xr:uid="{00000000-0005-0000-0000-000083000000}"/>
    <cellStyle name="標準 6 5" xfId="83" xr:uid="{00000000-0005-0000-0000-000084000000}"/>
    <cellStyle name="標準 6 5 2" xfId="129" xr:uid="{00000000-0005-0000-0000-000085000000}"/>
    <cellStyle name="標準 6 6" xfId="99" xr:uid="{00000000-0005-0000-0000-000086000000}"/>
    <cellStyle name="標準 6 6 2" xfId="145" xr:uid="{00000000-0005-0000-0000-000087000000}"/>
    <cellStyle name="標準 6 7" xfId="69" xr:uid="{00000000-0005-0000-0000-000088000000}"/>
    <cellStyle name="標準 6 7 2" xfId="165" xr:uid="{00000000-0005-0000-0000-000089000000}"/>
    <cellStyle name="標準 6 8" xfId="115" xr:uid="{00000000-0005-0000-0000-00008A000000}"/>
    <cellStyle name="標準 7" xfId="54" xr:uid="{00000000-0005-0000-0000-00008B000000}"/>
    <cellStyle name="標準 7 2" xfId="57" xr:uid="{00000000-0005-0000-0000-00008C000000}"/>
    <cellStyle name="標準 7 2 2" xfId="67" xr:uid="{00000000-0005-0000-0000-00008D000000}"/>
    <cellStyle name="標準 7 2 2 2" xfId="113" xr:uid="{00000000-0005-0000-0000-00008E000000}"/>
    <cellStyle name="標準 7 2 2 2 2" xfId="159" xr:uid="{00000000-0005-0000-0000-00008F000000}"/>
    <cellStyle name="標準 7 2 2 3" xfId="97" xr:uid="{00000000-0005-0000-0000-000090000000}"/>
    <cellStyle name="標準 7 2 2 3 2" xfId="179" xr:uid="{00000000-0005-0000-0000-000091000000}"/>
    <cellStyle name="標準 7 2 2 4" xfId="143" xr:uid="{00000000-0005-0000-0000-000092000000}"/>
    <cellStyle name="標準 7 2 3" xfId="87" xr:uid="{00000000-0005-0000-0000-000093000000}"/>
    <cellStyle name="標準 7 2 3 2" xfId="133" xr:uid="{00000000-0005-0000-0000-000094000000}"/>
    <cellStyle name="標準 7 2 4" xfId="103" xr:uid="{00000000-0005-0000-0000-000095000000}"/>
    <cellStyle name="標準 7 2 4 2" xfId="149" xr:uid="{00000000-0005-0000-0000-000096000000}"/>
    <cellStyle name="標準 7 2 5" xfId="77" xr:uid="{00000000-0005-0000-0000-000097000000}"/>
    <cellStyle name="標準 7 2 5 2" xfId="173" xr:uid="{00000000-0005-0000-0000-000098000000}"/>
    <cellStyle name="標準 7 2 6" xfId="123" xr:uid="{00000000-0005-0000-0000-000099000000}"/>
    <cellStyle name="標準 7 3" xfId="60" xr:uid="{00000000-0005-0000-0000-00009A000000}"/>
    <cellStyle name="標準 7 3 2" xfId="90" xr:uid="{00000000-0005-0000-0000-00009B000000}"/>
    <cellStyle name="標準 7 3 2 2" xfId="136" xr:uid="{00000000-0005-0000-0000-00009C000000}"/>
    <cellStyle name="標準 7 3 3" xfId="106" xr:uid="{00000000-0005-0000-0000-00009D000000}"/>
    <cellStyle name="標準 7 3 3 2" xfId="152" xr:uid="{00000000-0005-0000-0000-00009E000000}"/>
    <cellStyle name="標準 7 3 4" xfId="80" xr:uid="{00000000-0005-0000-0000-00009F000000}"/>
    <cellStyle name="標準 7 3 4 2" xfId="176" xr:uid="{00000000-0005-0000-0000-0000A0000000}"/>
    <cellStyle name="標準 7 3 5" xfId="126" xr:uid="{00000000-0005-0000-0000-0000A1000000}"/>
    <cellStyle name="標準 7 4" xfId="64" xr:uid="{00000000-0005-0000-0000-0000A2000000}"/>
    <cellStyle name="標準 7 4 2" xfId="94" xr:uid="{00000000-0005-0000-0000-0000A3000000}"/>
    <cellStyle name="標準 7 4 2 2" xfId="140" xr:uid="{00000000-0005-0000-0000-0000A4000000}"/>
    <cellStyle name="標準 7 4 3" xfId="110" xr:uid="{00000000-0005-0000-0000-0000A5000000}"/>
    <cellStyle name="標準 7 4 3 2" xfId="156" xr:uid="{00000000-0005-0000-0000-0000A6000000}"/>
    <cellStyle name="標準 7 4 4" xfId="74" xr:uid="{00000000-0005-0000-0000-0000A7000000}"/>
    <cellStyle name="標準 7 4 4 2" xfId="170" xr:uid="{00000000-0005-0000-0000-0000A8000000}"/>
    <cellStyle name="標準 7 4 5" xfId="120" xr:uid="{00000000-0005-0000-0000-0000A9000000}"/>
    <cellStyle name="標準 7 5" xfId="84" xr:uid="{00000000-0005-0000-0000-0000AA000000}"/>
    <cellStyle name="標準 7 5 2" xfId="130" xr:uid="{00000000-0005-0000-0000-0000AB000000}"/>
    <cellStyle name="標準 7 6" xfId="100" xr:uid="{00000000-0005-0000-0000-0000AC000000}"/>
    <cellStyle name="標準 7 6 2" xfId="146" xr:uid="{00000000-0005-0000-0000-0000AD000000}"/>
    <cellStyle name="標準 7 7" xfId="70" xr:uid="{00000000-0005-0000-0000-0000AE000000}"/>
    <cellStyle name="標準 7 7 2" xfId="166" xr:uid="{00000000-0005-0000-0000-0000AF000000}"/>
    <cellStyle name="標準 7 8" xfId="116" xr:uid="{00000000-0005-0000-0000-0000B0000000}"/>
    <cellStyle name="標準 8" xfId="160" xr:uid="{00000000-0005-0000-0000-0000B1000000}"/>
    <cellStyle name="標準 9" xfId="162" xr:uid="{00000000-0005-0000-0000-0000B2000000}"/>
    <cellStyle name="標準_4システム概要" xfId="48" xr:uid="{00000000-0005-0000-0000-0000B3000000}"/>
    <cellStyle name="標準_SX-XXXX_HBP0010_詳細設計(sample)_1回打合せ完了" xfId="49" xr:uid="{00000000-0005-0000-0000-0000B5000000}"/>
    <cellStyle name="標準_要件ポイント説明書一覧_rd06_20060623" xfId="50" xr:uid="{00000000-0005-0000-0000-0000B6000000}"/>
    <cellStyle name="未定義" xfId="51" xr:uid="{00000000-0005-0000-0000-0000B7000000}"/>
  </cellStyles>
  <dxfs count="4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13284"/>
      <color rgb="FFE6F3FE"/>
      <color rgb="FF339933"/>
      <color rgb="FF99FF99"/>
      <color rgb="FFFFFFCC"/>
      <color rgb="FFFF9900"/>
      <color rgb="FF004098"/>
      <color rgb="FF333399"/>
      <color rgb="FF000099"/>
      <color rgb="FF00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tmp"/><Relationship Id="rId2" Type="http://schemas.openxmlformats.org/officeDocument/2006/relationships/image" Target="../media/image5.emf"/><Relationship Id="rId1" Type="http://schemas.openxmlformats.org/officeDocument/2006/relationships/image" Target="../media/image4.tmp"/><Relationship Id="rId4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tmp"/><Relationship Id="rId2" Type="http://schemas.openxmlformats.org/officeDocument/2006/relationships/image" Target="../media/image6.tmp"/><Relationship Id="rId1" Type="http://schemas.openxmlformats.org/officeDocument/2006/relationships/image" Target="../media/image4.tmp"/><Relationship Id="rId4" Type="http://schemas.openxmlformats.org/officeDocument/2006/relationships/image" Target="../media/image5.emf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tmp"/><Relationship Id="rId2" Type="http://schemas.openxmlformats.org/officeDocument/2006/relationships/image" Target="../media/image6.tmp"/><Relationship Id="rId1" Type="http://schemas.openxmlformats.org/officeDocument/2006/relationships/image" Target="../media/image4.tmp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517797</xdr:colOff>
      <xdr:row>1</xdr:row>
      <xdr:rowOff>176893</xdr:rowOff>
    </xdr:from>
    <xdr:to>
      <xdr:col>8</xdr:col>
      <xdr:colOff>190137</xdr:colOff>
      <xdr:row>18</xdr:row>
      <xdr:rowOff>138806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349250"/>
          <a:ext cx="7366000" cy="29908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  <a:effectLst>
          <a:outerShdw dist="271792" dir="3155679" algn="ctr" rotWithShape="0">
            <a:srgbClr val="808080">
              <a:alpha val="50000"/>
            </a:srgbClr>
          </a:outerShdw>
        </a:effectLst>
      </xdr:spPr>
      <xdr:txBody>
        <a:bodyPr vertOverflow="clip" wrap="square" lIns="54864" tIns="32004" rIns="54864" bIns="32004" anchor="ctr" upright="1"/>
        <a:lstStyle/>
        <a:p>
          <a:pPr algn="ctr" rtl="0">
            <a:lnSpc>
              <a:spcPts val="3500"/>
            </a:lnSpc>
            <a:defRPr sz="1000"/>
          </a:pPr>
          <a:endParaRPr lang="ja-JP" altLang="en-US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ヒロセ電機株式会社様</a:t>
          </a:r>
          <a:endParaRPr lang="en-US" altLang="ja-JP" sz="28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3400"/>
            </a:lnSpc>
            <a:defRPr sz="1000"/>
          </a:pPr>
          <a:r>
            <a:rPr lang="ja-JP" altLang="en-US" sz="28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新環境証明書</a:t>
          </a:r>
          <a:endParaRPr lang="ja-JP" altLang="en-US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ＭＳ Ｐゴシック"/>
            </a:rPr>
            <a:t>画面設計書</a:t>
          </a:r>
          <a:endParaRPr lang="en-US" altLang="ja-JP" sz="3600" b="0" i="0" strike="noStrike">
            <a:solidFill>
              <a:srgbClr val="000000"/>
            </a:solidFill>
            <a:latin typeface="ＭＳ Ｐゴシック"/>
            <a:ea typeface="ＭＳ Ｐゴシック"/>
          </a:endParaRPr>
        </a:p>
        <a:p>
          <a:pPr algn="ctr" rtl="0">
            <a:lnSpc>
              <a:spcPts val="4300"/>
            </a:lnSpc>
            <a:defRPr sz="1000"/>
          </a:pPr>
          <a:r>
            <a:rPr lang="ja-JP" altLang="en-US" sz="3600" b="0" i="0" strike="noStrike">
              <a:solidFill>
                <a:srgbClr val="000000"/>
              </a:solidFill>
              <a:latin typeface="ＭＳ Ｐゴシック"/>
              <a:ea typeface="+mn-ea"/>
            </a:rPr>
            <a:t>化学物質データ申請確認画面</a:t>
          </a:r>
        </a:p>
      </xdr:txBody>
    </xdr:sp>
    <xdr:clientData/>
  </xdr:twoCellAnchor>
  <xdr:twoCellAnchor editAs="oneCell">
    <xdr:from>
      <xdr:col>0</xdr:col>
      <xdr:colOff>638175</xdr:colOff>
      <xdr:row>2</xdr:row>
      <xdr:rowOff>114300</xdr:rowOff>
    </xdr:from>
    <xdr:to>
      <xdr:col>2</xdr:col>
      <xdr:colOff>781050</xdr:colOff>
      <xdr:row>5</xdr:row>
      <xdr:rowOff>133350</xdr:rowOff>
    </xdr:to>
    <xdr:pic>
      <xdr:nvPicPr>
        <xdr:cNvPr id="82435" name="Picture 2">
          <a:extLst>
            <a:ext uri="{FF2B5EF4-FFF2-40B4-BE49-F238E27FC236}">
              <a16:creationId xmlns:a16="http://schemas.microsoft.com/office/drawing/2014/main" id="{00000000-0008-0000-0000-000003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476250"/>
          <a:ext cx="1914525" cy="561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493032</xdr:colOff>
      <xdr:row>22</xdr:row>
      <xdr:rowOff>101963</xdr:rowOff>
    </xdr:from>
    <xdr:to>
      <xdr:col>5</xdr:col>
      <xdr:colOff>590008</xdr:colOff>
      <xdr:row>24</xdr:row>
      <xdr:rowOff>306</xdr:rowOff>
    </xdr:to>
    <xdr:sp macro="" textlink="">
      <xdr:nvSpPr>
        <xdr:cNvPr id="4" name="Rectangl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 bwMode="auto">
        <a:xfrm>
          <a:off x="3100705" y="4008120"/>
          <a:ext cx="2070856" cy="25930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文書番号：</a:t>
          </a:r>
          <a:r>
            <a:rPr lang="en-US" altLang="ja-JP" sz="1200" b="0" i="0" strike="noStrike">
              <a:solidFill>
                <a:srgbClr val="000000"/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</a:rPr>
            <a:t>IMWF</a:t>
          </a:r>
          <a:r>
            <a:rPr lang="en-US" altLang="ja-JP" sz="1200">
              <a:effectLst/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rPr>
            <a:t>-53</a:t>
          </a:r>
          <a:endParaRPr lang="en-US" altLang="ja-JP" sz="1200" b="0" i="0" strike="noStrike">
            <a:solidFill>
              <a:srgbClr val="000000"/>
            </a:solidFill>
            <a:latin typeface="ＭＳ Ｐゴシック" panose="020B0600070205080204" pitchFamily="50" charset="-128"/>
            <a:ea typeface="ＭＳ Ｐゴシック" panose="020B0600070205080204" pitchFamily="50" charset="-128"/>
          </a:endParaRPr>
        </a:p>
      </xdr:txBody>
    </xdr:sp>
    <xdr:clientData/>
  </xdr:twoCellAnchor>
  <xdr:twoCellAnchor editAs="oneCell">
    <xdr:from>
      <xdr:col>6</xdr:col>
      <xdr:colOff>266700</xdr:colOff>
      <xdr:row>34</xdr:row>
      <xdr:rowOff>114300</xdr:rowOff>
    </xdr:from>
    <xdr:to>
      <xdr:col>8</xdr:col>
      <xdr:colOff>933450</xdr:colOff>
      <xdr:row>36</xdr:row>
      <xdr:rowOff>114300</xdr:rowOff>
    </xdr:to>
    <xdr:pic>
      <xdr:nvPicPr>
        <xdr:cNvPr id="82438" name="Picture 40" descr="logo_eimei">
          <a:extLst>
            <a:ext uri="{FF2B5EF4-FFF2-40B4-BE49-F238E27FC236}">
              <a16:creationId xmlns:a16="http://schemas.microsoft.com/office/drawing/2014/main" id="{00000000-0008-0000-0000-0000064201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6457950"/>
          <a:ext cx="2857500" cy="552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184149</xdr:rowOff>
    </xdr:from>
    <xdr:to>
      <xdr:col>2</xdr:col>
      <xdr:colOff>15876</xdr:colOff>
      <xdr:row>9</xdr:row>
      <xdr:rowOff>34925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682C95B8-3F7A-4DAF-8268-80394F26F700}"/>
            </a:ext>
          </a:extLst>
        </xdr:cNvPr>
        <xdr:cNvSpPr/>
      </xdr:nvSpPr>
      <xdr:spPr>
        <a:xfrm>
          <a:off x="0" y="1470024"/>
          <a:ext cx="377826" cy="2794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130175</xdr:colOff>
      <xdr:row>7</xdr:row>
      <xdr:rowOff>53975</xdr:rowOff>
    </xdr:from>
    <xdr:to>
      <xdr:col>17</xdr:col>
      <xdr:colOff>47625</xdr:colOff>
      <xdr:row>8</xdr:row>
      <xdr:rowOff>82550</xdr:rowOff>
    </xdr:to>
    <xdr:sp macro="" textlink="">
      <xdr:nvSpPr>
        <xdr:cNvPr id="3" name="線吹き出し 1 (枠付き) 12">
          <a:extLst>
            <a:ext uri="{FF2B5EF4-FFF2-40B4-BE49-F238E27FC236}">
              <a16:creationId xmlns:a16="http://schemas.microsoft.com/office/drawing/2014/main" id="{FC62FF29-570F-4F9B-9C2F-47B0304FC114}"/>
            </a:ext>
          </a:extLst>
        </xdr:cNvPr>
        <xdr:cNvSpPr/>
      </xdr:nvSpPr>
      <xdr:spPr>
        <a:xfrm>
          <a:off x="1939925" y="930275"/>
          <a:ext cx="1184275" cy="295275"/>
        </a:xfrm>
        <a:prstGeom prst="borderCallout1">
          <a:avLst>
            <a:gd name="adj1" fmla="val 38775"/>
            <a:gd name="adj2" fmla="val 582"/>
            <a:gd name="adj3" fmla="val 38538"/>
            <a:gd name="adj4" fmla="val -17752"/>
          </a:avLst>
        </a:prstGeom>
        <a:solidFill>
          <a:schemeClr val="accent3">
            <a:lumMod val="40000"/>
            <a:lumOff val="60000"/>
          </a:schemeClr>
        </a:solidFill>
        <a:ln>
          <a:solidFill>
            <a:schemeClr val="accent3">
              <a:lumMod val="75000"/>
            </a:schemeClr>
          </a:solidFill>
        </a:ln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1</a:t>
          </a:r>
          <a:r>
            <a:rPr kumimoji="1" lang="ja-JP" altLang="en-US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．パンくずリストエリア</a:t>
          </a:r>
        </a:p>
      </xdr:txBody>
    </xdr:sp>
    <xdr:clientData/>
  </xdr:twoCellAnchor>
  <xdr:twoCellAnchor>
    <xdr:from>
      <xdr:col>8</xdr:col>
      <xdr:colOff>161926</xdr:colOff>
      <xdr:row>10</xdr:row>
      <xdr:rowOff>95250</xdr:rowOff>
    </xdr:from>
    <xdr:to>
      <xdr:col>11</xdr:col>
      <xdr:colOff>1</xdr:colOff>
      <xdr:row>12</xdr:row>
      <xdr:rowOff>19050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CC7EFC30-8103-490A-97C8-B319021AA3FA}"/>
            </a:ext>
          </a:extLst>
        </xdr:cNvPr>
        <xdr:cNvSpPr/>
      </xdr:nvSpPr>
      <xdr:spPr>
        <a:xfrm>
          <a:off x="1609726" y="1704975"/>
          <a:ext cx="381000" cy="2381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</xdr:col>
      <xdr:colOff>0</xdr:colOff>
      <xdr:row>53</xdr:row>
      <xdr:rowOff>0</xdr:rowOff>
    </xdr:from>
    <xdr:to>
      <xdr:col>42</xdr:col>
      <xdr:colOff>9525</xdr:colOff>
      <xdr:row>56</xdr:row>
      <xdr:rowOff>19050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55DA5F5-3F6E-4D45-9853-C9BBCA4B9330}"/>
            </a:ext>
          </a:extLst>
        </xdr:cNvPr>
        <xdr:cNvSpPr/>
      </xdr:nvSpPr>
      <xdr:spPr bwMode="auto">
        <a:xfrm>
          <a:off x="723900" y="8686800"/>
          <a:ext cx="6886575" cy="342900"/>
        </a:xfrm>
        <a:prstGeom prst="rect">
          <a:avLst/>
        </a:prstGeom>
        <a:solidFill>
          <a:srgbClr val="FF0066">
            <a:alpha val="36863"/>
          </a:srgbClr>
        </a:solidFill>
        <a:ln w="6350" cap="flat" cmpd="sng" algn="ctr">
          <a:noFill/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rtl="0" eaLnBrk="1" fontAlgn="base" latinLnBrk="0" hangingPunct="1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 typeface="Wingdings 2" pitchFamily="18" charset="2"/>
            <a:buNone/>
            <a:tabLst/>
          </a:pPr>
          <a:endParaRPr kumimoji="1" lang="ja-JP" altLang="en-US" sz="1400" b="0" i="0" u="none" strike="noStrike" cap="none" normalizeH="0" baseline="0">
            <a:ln>
              <a:noFill/>
            </a:ln>
            <a:solidFill>
              <a:srgbClr val="000000"/>
            </a:solidFill>
            <a:effectLst/>
            <a:latin typeface="メイリオ" pitchFamily="50" charset="-128"/>
            <a:ea typeface="メイリオ" pitchFamily="50" charset="-128"/>
          </a:endParaRPr>
        </a:p>
      </xdr:txBody>
    </xdr:sp>
    <xdr:clientData/>
  </xdr:twoCellAnchor>
  <xdr:twoCellAnchor>
    <xdr:from>
      <xdr:col>4</xdr:col>
      <xdr:colOff>6350</xdr:colOff>
      <xdr:row>32</xdr:row>
      <xdr:rowOff>0</xdr:rowOff>
    </xdr:from>
    <xdr:to>
      <xdr:col>6</xdr:col>
      <xdr:colOff>1395</xdr:colOff>
      <xdr:row>56</xdr:row>
      <xdr:rowOff>28575</xdr:rowOff>
    </xdr:to>
    <xdr:sp macro="" textlink="">
      <xdr:nvSpPr>
        <xdr:cNvPr id="42" name="角丸四角形 133">
          <a:extLst>
            <a:ext uri="{FF2B5EF4-FFF2-40B4-BE49-F238E27FC236}">
              <a16:creationId xmlns:a16="http://schemas.microsoft.com/office/drawing/2014/main" id="{98D60E00-3FF3-41B4-8C16-BBE63E69F907}"/>
            </a:ext>
          </a:extLst>
        </xdr:cNvPr>
        <xdr:cNvSpPr/>
      </xdr:nvSpPr>
      <xdr:spPr>
        <a:xfrm>
          <a:off x="730250" y="6019800"/>
          <a:ext cx="35699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180974</xdr:colOff>
      <xdr:row>32</xdr:row>
      <xdr:rowOff>0</xdr:rowOff>
    </xdr:from>
    <xdr:to>
      <xdr:col>8</xdr:col>
      <xdr:colOff>161924</xdr:colOff>
      <xdr:row>56</xdr:row>
      <xdr:rowOff>28575</xdr:rowOff>
    </xdr:to>
    <xdr:sp macro="" textlink="">
      <xdr:nvSpPr>
        <xdr:cNvPr id="43" name="角丸四角形 133">
          <a:extLst>
            <a:ext uri="{FF2B5EF4-FFF2-40B4-BE49-F238E27FC236}">
              <a16:creationId xmlns:a16="http://schemas.microsoft.com/office/drawing/2014/main" id="{BAB1C4CE-FBF5-4E2F-9746-4748692C0F1C}"/>
            </a:ext>
          </a:extLst>
        </xdr:cNvPr>
        <xdr:cNvSpPr/>
      </xdr:nvSpPr>
      <xdr:spPr>
        <a:xfrm>
          <a:off x="1085849" y="6019800"/>
          <a:ext cx="523875" cy="301942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0</xdr:colOff>
      <xdr:row>32</xdr:row>
      <xdr:rowOff>0</xdr:rowOff>
    </xdr:from>
    <xdr:to>
      <xdr:col>11</xdr:col>
      <xdr:colOff>161925</xdr:colOff>
      <xdr:row>56</xdr:row>
      <xdr:rowOff>25400</xdr:rowOff>
    </xdr:to>
    <xdr:sp macro="" textlink="">
      <xdr:nvSpPr>
        <xdr:cNvPr id="55" name="角丸四角形 133">
          <a:extLst>
            <a:ext uri="{FF2B5EF4-FFF2-40B4-BE49-F238E27FC236}">
              <a16:creationId xmlns:a16="http://schemas.microsoft.com/office/drawing/2014/main" id="{DD163B7F-57A9-49CC-B627-B22772F18702}"/>
            </a:ext>
          </a:extLst>
        </xdr:cNvPr>
        <xdr:cNvSpPr/>
      </xdr:nvSpPr>
      <xdr:spPr>
        <a:xfrm>
          <a:off x="1628775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0</xdr:colOff>
      <xdr:row>32</xdr:row>
      <xdr:rowOff>0</xdr:rowOff>
    </xdr:from>
    <xdr:to>
      <xdr:col>14</xdr:col>
      <xdr:colOff>161925</xdr:colOff>
      <xdr:row>56</xdr:row>
      <xdr:rowOff>25400</xdr:rowOff>
    </xdr:to>
    <xdr:sp macro="" textlink="">
      <xdr:nvSpPr>
        <xdr:cNvPr id="56" name="角丸四角形 133">
          <a:extLst>
            <a:ext uri="{FF2B5EF4-FFF2-40B4-BE49-F238E27FC236}">
              <a16:creationId xmlns:a16="http://schemas.microsoft.com/office/drawing/2014/main" id="{7C666C79-3618-40F5-9441-6E396E0FCC42}"/>
            </a:ext>
          </a:extLst>
        </xdr:cNvPr>
        <xdr:cNvSpPr/>
      </xdr:nvSpPr>
      <xdr:spPr>
        <a:xfrm>
          <a:off x="217170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0</xdr:colOff>
      <xdr:row>31</xdr:row>
      <xdr:rowOff>133350</xdr:rowOff>
    </xdr:from>
    <xdr:to>
      <xdr:col>17</xdr:col>
      <xdr:colOff>158750</xdr:colOff>
      <xdr:row>56</xdr:row>
      <xdr:rowOff>0</xdr:rowOff>
    </xdr:to>
    <xdr:sp macro="" textlink="">
      <xdr:nvSpPr>
        <xdr:cNvPr id="57" name="角丸四角形 133">
          <a:extLst>
            <a:ext uri="{FF2B5EF4-FFF2-40B4-BE49-F238E27FC236}">
              <a16:creationId xmlns:a16="http://schemas.microsoft.com/office/drawing/2014/main" id="{83C27222-E5B9-492C-B86E-89E9B89411E0}"/>
            </a:ext>
          </a:extLst>
        </xdr:cNvPr>
        <xdr:cNvSpPr/>
      </xdr:nvSpPr>
      <xdr:spPr>
        <a:xfrm>
          <a:off x="2714625" y="6105525"/>
          <a:ext cx="520700" cy="32194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0</xdr:colOff>
      <xdr:row>32</xdr:row>
      <xdr:rowOff>0</xdr:rowOff>
    </xdr:from>
    <xdr:to>
      <xdr:col>20</xdr:col>
      <xdr:colOff>161925</xdr:colOff>
      <xdr:row>56</xdr:row>
      <xdr:rowOff>25400</xdr:rowOff>
    </xdr:to>
    <xdr:sp macro="" textlink="">
      <xdr:nvSpPr>
        <xdr:cNvPr id="58" name="角丸四角形 133">
          <a:extLst>
            <a:ext uri="{FF2B5EF4-FFF2-40B4-BE49-F238E27FC236}">
              <a16:creationId xmlns:a16="http://schemas.microsoft.com/office/drawing/2014/main" id="{2387A002-5AE6-4CD8-B277-6010C41674D2}"/>
            </a:ext>
          </a:extLst>
        </xdr:cNvPr>
        <xdr:cNvSpPr/>
      </xdr:nvSpPr>
      <xdr:spPr>
        <a:xfrm>
          <a:off x="3257550" y="6019800"/>
          <a:ext cx="523875" cy="301625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20</xdr:col>
      <xdr:colOff>158751</xdr:colOff>
      <xdr:row>32</xdr:row>
      <xdr:rowOff>19050</xdr:rowOff>
    </xdr:from>
    <xdr:to>
      <xdr:col>42</xdr:col>
      <xdr:colOff>1</xdr:colOff>
      <xdr:row>34</xdr:row>
      <xdr:rowOff>188259</xdr:rowOff>
    </xdr:to>
    <xdr:sp macro="" textlink="">
      <xdr:nvSpPr>
        <xdr:cNvPr id="59" name="角丸四角形 142">
          <a:extLst>
            <a:ext uri="{FF2B5EF4-FFF2-40B4-BE49-F238E27FC236}">
              <a16:creationId xmlns:a16="http://schemas.microsoft.com/office/drawing/2014/main" id="{5ED0C094-D949-4CF1-AD95-2FDDBB41F012}"/>
            </a:ext>
          </a:extLst>
        </xdr:cNvPr>
        <xdr:cNvSpPr/>
      </xdr:nvSpPr>
      <xdr:spPr>
        <a:xfrm>
          <a:off x="3778251" y="6038850"/>
          <a:ext cx="3822700" cy="369234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35</xdr:row>
      <xdr:rowOff>1</xdr:rowOff>
    </xdr:from>
    <xdr:to>
      <xdr:col>42</xdr:col>
      <xdr:colOff>6351</xdr:colOff>
      <xdr:row>52</xdr:row>
      <xdr:rowOff>142876</xdr:rowOff>
    </xdr:to>
    <xdr:sp macro="" textlink="">
      <xdr:nvSpPr>
        <xdr:cNvPr id="61" name="角丸四角形 132">
          <a:extLst>
            <a:ext uri="{FF2B5EF4-FFF2-40B4-BE49-F238E27FC236}">
              <a16:creationId xmlns:a16="http://schemas.microsoft.com/office/drawing/2014/main" id="{7129A818-2423-4D95-ADED-C1DED6283EC1}"/>
            </a:ext>
          </a:extLst>
        </xdr:cNvPr>
        <xdr:cNvSpPr/>
      </xdr:nvSpPr>
      <xdr:spPr>
        <a:xfrm>
          <a:off x="3800476" y="6419851"/>
          <a:ext cx="3806825" cy="2247900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38</xdr:col>
      <xdr:colOff>161924</xdr:colOff>
      <xdr:row>24</xdr:row>
      <xdr:rowOff>85725</xdr:rowOff>
    </xdr:from>
    <xdr:to>
      <xdr:col>44</xdr:col>
      <xdr:colOff>38100</xdr:colOff>
      <xdr:row>26</xdr:row>
      <xdr:rowOff>130175</xdr:rowOff>
    </xdr:to>
    <xdr:sp macro="" textlink="">
      <xdr:nvSpPr>
        <xdr:cNvPr id="65" name="正方形/長方形 64">
          <a:extLst>
            <a:ext uri="{FF2B5EF4-FFF2-40B4-BE49-F238E27FC236}">
              <a16:creationId xmlns:a16="http://schemas.microsoft.com/office/drawing/2014/main" id="{385221A9-C4EB-4176-8166-590D47014668}"/>
            </a:ext>
          </a:extLst>
        </xdr:cNvPr>
        <xdr:cNvSpPr/>
      </xdr:nvSpPr>
      <xdr:spPr bwMode="auto">
        <a:xfrm>
          <a:off x="7038974" y="4686300"/>
          <a:ext cx="962026" cy="368300"/>
        </a:xfrm>
        <a:prstGeom prst="rect">
          <a:avLst/>
        </a:prstGeom>
        <a:solidFill>
          <a:srgbClr val="002879"/>
        </a:solidFill>
        <a:ln w="6350" cap="flat" cmpd="sng" algn="ctr">
          <a:solidFill>
            <a:schemeClr val="bg1">
              <a:lumMod val="7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="horz" wrap="square" lIns="91440" tIns="45720" rIns="91440" bIns="45720" numCol="1" rtlCol="0" anchor="ctr" anchorCtr="0" compatLnSpc="1">
          <a:prstTxWarp prst="textNoShape">
            <a:avLst/>
          </a:prstTxWarp>
        </a:bodyPr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tx1"/>
              </a:solidFill>
              <a:latin typeface="メイリオ" panose="020B0604030504040204" pitchFamily="50" charset="-128"/>
              <a:ea typeface="メイリオ" panose="020B0604030504040204" pitchFamily="50" charset="-128"/>
              <a:cs typeface="メイリオ" panose="020B0604030504040204" pitchFamily="50" charset="-128"/>
            </a:defRPr>
          </a:lvl9pPr>
        </a:lstStyle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800" b="1" i="0" u="none" strike="noStrike" cap="none" normalizeH="0" baseline="0">
              <a:ln>
                <a:noFill/>
              </a:ln>
              <a:solidFill>
                <a:schemeClr val="bg1"/>
              </a:solidFill>
              <a:effectLst/>
            </a:rPr>
            <a:t>CSV </a:t>
          </a:r>
          <a:r>
            <a:rPr lang="en-US" altLang="ja-JP" sz="800" b="1">
              <a:solidFill>
                <a:schemeClr val="lt1"/>
              </a:solidFill>
            </a:rPr>
            <a:t>Download</a:t>
          </a:r>
          <a:endParaRPr lang="ja-JP" altLang="ja-JP" sz="800" b="1"/>
        </a:p>
      </xdr:txBody>
    </xdr:sp>
    <xdr:clientData/>
  </xdr:twoCellAnchor>
  <xdr:twoCellAnchor>
    <xdr:from>
      <xdr:col>19</xdr:col>
      <xdr:colOff>82551</xdr:colOff>
      <xdr:row>11</xdr:row>
      <xdr:rowOff>139700</xdr:rowOff>
    </xdr:from>
    <xdr:to>
      <xdr:col>21</xdr:col>
      <xdr:colOff>101601</xdr:colOff>
      <xdr:row>13</xdr:row>
      <xdr:rowOff>66675</xdr:rowOff>
    </xdr:to>
    <xdr:sp macro="" textlink="">
      <xdr:nvSpPr>
        <xdr:cNvPr id="66" name="正方形/長方形 65">
          <a:extLst>
            <a:ext uri="{FF2B5EF4-FFF2-40B4-BE49-F238E27FC236}">
              <a16:creationId xmlns:a16="http://schemas.microsoft.com/office/drawing/2014/main" id="{F3E541FB-2DA1-4881-9EA0-808DA5D514D0}"/>
            </a:ext>
          </a:extLst>
        </xdr:cNvPr>
        <xdr:cNvSpPr/>
      </xdr:nvSpPr>
      <xdr:spPr>
        <a:xfrm>
          <a:off x="3521076" y="1901825"/>
          <a:ext cx="381000" cy="25082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24</xdr:row>
      <xdr:rowOff>47625</xdr:rowOff>
    </xdr:from>
    <xdr:to>
      <xdr:col>3</xdr:col>
      <xdr:colOff>142875</xdr:colOff>
      <xdr:row>25</xdr:row>
      <xdr:rowOff>133350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52B636FA-421C-46F8-9466-0D471981E1D7}"/>
            </a:ext>
          </a:extLst>
        </xdr:cNvPr>
        <xdr:cNvSpPr/>
      </xdr:nvSpPr>
      <xdr:spPr>
        <a:xfrm>
          <a:off x="304800" y="50958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</xdr:col>
      <xdr:colOff>123825</xdr:colOff>
      <xdr:row>28</xdr:row>
      <xdr:rowOff>38100</xdr:rowOff>
    </xdr:from>
    <xdr:to>
      <xdr:col>3</xdr:col>
      <xdr:colOff>142875</xdr:colOff>
      <xdr:row>29</xdr:row>
      <xdr:rowOff>123825</xdr:rowOff>
    </xdr:to>
    <xdr:sp macro="" textlink="">
      <xdr:nvSpPr>
        <xdr:cNvPr id="68" name="正方形/長方形 67">
          <a:extLst>
            <a:ext uri="{FF2B5EF4-FFF2-40B4-BE49-F238E27FC236}">
              <a16:creationId xmlns:a16="http://schemas.microsoft.com/office/drawing/2014/main" id="{4FB38F78-1CD6-4DBB-AF52-6E017C95E9D2}"/>
            </a:ext>
          </a:extLst>
        </xdr:cNvPr>
        <xdr:cNvSpPr/>
      </xdr:nvSpPr>
      <xdr:spPr>
        <a:xfrm>
          <a:off x="304800" y="55721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3</xdr:col>
      <xdr:colOff>104775</xdr:colOff>
      <xdr:row>30</xdr:row>
      <xdr:rowOff>38100</xdr:rowOff>
    </xdr:from>
    <xdr:to>
      <xdr:col>5</xdr:col>
      <xdr:colOff>123825</xdr:colOff>
      <xdr:row>31</xdr:row>
      <xdr:rowOff>123825</xdr:rowOff>
    </xdr:to>
    <xdr:sp macro="" textlink="">
      <xdr:nvSpPr>
        <xdr:cNvPr id="70" name="正方形/長方形 69">
          <a:extLst>
            <a:ext uri="{FF2B5EF4-FFF2-40B4-BE49-F238E27FC236}">
              <a16:creationId xmlns:a16="http://schemas.microsoft.com/office/drawing/2014/main" id="{FBA3E620-A1AD-49DC-B261-A6B0A8C835F5}"/>
            </a:ext>
          </a:extLst>
        </xdr:cNvPr>
        <xdr:cNvSpPr/>
      </xdr:nvSpPr>
      <xdr:spPr>
        <a:xfrm>
          <a:off x="647700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6</xdr:col>
      <xdr:colOff>47625</xdr:colOff>
      <xdr:row>30</xdr:row>
      <xdr:rowOff>38100</xdr:rowOff>
    </xdr:from>
    <xdr:to>
      <xdr:col>8</xdr:col>
      <xdr:colOff>66675</xdr:colOff>
      <xdr:row>31</xdr:row>
      <xdr:rowOff>123825</xdr:rowOff>
    </xdr:to>
    <xdr:sp macro="" textlink="">
      <xdr:nvSpPr>
        <xdr:cNvPr id="71" name="正方形/長方形 70">
          <a:extLst>
            <a:ext uri="{FF2B5EF4-FFF2-40B4-BE49-F238E27FC236}">
              <a16:creationId xmlns:a16="http://schemas.microsoft.com/office/drawing/2014/main" id="{6F0B4651-6E66-4B2B-9342-BA218EAA560A}"/>
            </a:ext>
          </a:extLst>
        </xdr:cNvPr>
        <xdr:cNvSpPr/>
      </xdr:nvSpPr>
      <xdr:spPr>
        <a:xfrm>
          <a:off x="1133475" y="589597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2.7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9</xdr:col>
      <xdr:colOff>47625</xdr:colOff>
      <xdr:row>30</xdr:row>
      <xdr:rowOff>28575</xdr:rowOff>
    </xdr:from>
    <xdr:to>
      <xdr:col>11</xdr:col>
      <xdr:colOff>66675</xdr:colOff>
      <xdr:row>31</xdr:row>
      <xdr:rowOff>114300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6D766107-6F61-425F-B477-C14A9E7B920E}"/>
            </a:ext>
          </a:extLst>
        </xdr:cNvPr>
        <xdr:cNvSpPr/>
      </xdr:nvSpPr>
      <xdr:spPr>
        <a:xfrm>
          <a:off x="1676400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12</xdr:col>
      <xdr:colOff>47625</xdr:colOff>
      <xdr:row>30</xdr:row>
      <xdr:rowOff>28575</xdr:rowOff>
    </xdr:from>
    <xdr:to>
      <xdr:col>14</xdr:col>
      <xdr:colOff>66675</xdr:colOff>
      <xdr:row>31</xdr:row>
      <xdr:rowOff>114300</xdr:rowOff>
    </xdr:to>
    <xdr:sp macro="" textlink="">
      <xdr:nvSpPr>
        <xdr:cNvPr id="73" name="正方形/長方形 72">
          <a:extLst>
            <a:ext uri="{FF2B5EF4-FFF2-40B4-BE49-F238E27FC236}">
              <a16:creationId xmlns:a16="http://schemas.microsoft.com/office/drawing/2014/main" id="{6D3E4F95-CE53-434D-A5B2-3AC829E17F8D}"/>
            </a:ext>
          </a:extLst>
        </xdr:cNvPr>
        <xdr:cNvSpPr/>
      </xdr:nvSpPr>
      <xdr:spPr>
        <a:xfrm>
          <a:off x="2219325" y="5886450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2.9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15</xdr:col>
      <xdr:colOff>3174</xdr:colOff>
      <xdr:row>30</xdr:row>
      <xdr:rowOff>25400</xdr:rowOff>
    </xdr:from>
    <xdr:to>
      <xdr:col>17</xdr:col>
      <xdr:colOff>114300</xdr:colOff>
      <xdr:row>31</xdr:row>
      <xdr:rowOff>111125</xdr:rowOff>
    </xdr:to>
    <xdr:sp macro="" textlink="">
      <xdr:nvSpPr>
        <xdr:cNvPr id="74" name="正方形/長方形 73">
          <a:extLst>
            <a:ext uri="{FF2B5EF4-FFF2-40B4-BE49-F238E27FC236}">
              <a16:creationId xmlns:a16="http://schemas.microsoft.com/office/drawing/2014/main" id="{9FF74617-ED1C-4AD0-BCB9-20A24A67BB4D}"/>
            </a:ext>
          </a:extLst>
        </xdr:cNvPr>
        <xdr:cNvSpPr/>
      </xdr:nvSpPr>
      <xdr:spPr>
        <a:xfrm>
          <a:off x="2717799" y="58832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2.10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18</xdr:col>
      <xdr:colOff>69849</xdr:colOff>
      <xdr:row>30</xdr:row>
      <xdr:rowOff>38100</xdr:rowOff>
    </xdr:from>
    <xdr:to>
      <xdr:col>20</xdr:col>
      <xdr:colOff>177800</xdr:colOff>
      <xdr:row>31</xdr:row>
      <xdr:rowOff>123825</xdr:rowOff>
    </xdr:to>
    <xdr:sp macro="" textlink="">
      <xdr:nvSpPr>
        <xdr:cNvPr id="75" name="正方形/長方形 74">
          <a:extLst>
            <a:ext uri="{FF2B5EF4-FFF2-40B4-BE49-F238E27FC236}">
              <a16:creationId xmlns:a16="http://schemas.microsoft.com/office/drawing/2014/main" id="{BA5F36C5-75D9-4557-B712-926260D5E779}"/>
            </a:ext>
          </a:extLst>
        </xdr:cNvPr>
        <xdr:cNvSpPr/>
      </xdr:nvSpPr>
      <xdr:spPr>
        <a:xfrm>
          <a:off x="3327399" y="5895975"/>
          <a:ext cx="46990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0</xdr:colOff>
      <xdr:row>30</xdr:row>
      <xdr:rowOff>0</xdr:rowOff>
    </xdr:from>
    <xdr:to>
      <xdr:col>27</xdr:col>
      <xdr:colOff>111126</xdr:colOff>
      <xdr:row>31</xdr:row>
      <xdr:rowOff>85725</xdr:rowOff>
    </xdr:to>
    <xdr:sp macro="" textlink="">
      <xdr:nvSpPr>
        <xdr:cNvPr id="76" name="正方形/長方形 75">
          <a:extLst>
            <a:ext uri="{FF2B5EF4-FFF2-40B4-BE49-F238E27FC236}">
              <a16:creationId xmlns:a16="http://schemas.microsoft.com/office/drawing/2014/main" id="{09B88085-B3AE-45D0-A90B-D9AA9884DC9E}"/>
            </a:ext>
          </a:extLst>
        </xdr:cNvPr>
        <xdr:cNvSpPr/>
      </xdr:nvSpPr>
      <xdr:spPr>
        <a:xfrm>
          <a:off x="4524375" y="58578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42</xdr:col>
      <xdr:colOff>0</xdr:colOff>
      <xdr:row>38</xdr:row>
      <xdr:rowOff>0</xdr:rowOff>
    </xdr:from>
    <xdr:to>
      <xdr:col>44</xdr:col>
      <xdr:colOff>111126</xdr:colOff>
      <xdr:row>39</xdr:row>
      <xdr:rowOff>95250</xdr:rowOff>
    </xdr:to>
    <xdr:sp macro="" textlink="">
      <xdr:nvSpPr>
        <xdr:cNvPr id="77" name="正方形/長方形 76">
          <a:extLst>
            <a:ext uri="{FF2B5EF4-FFF2-40B4-BE49-F238E27FC236}">
              <a16:creationId xmlns:a16="http://schemas.microsoft.com/office/drawing/2014/main" id="{BFFF38F9-201D-40E2-92DD-1C68678665DE}"/>
            </a:ext>
          </a:extLst>
        </xdr:cNvPr>
        <xdr:cNvSpPr/>
      </xdr:nvSpPr>
      <xdr:spPr>
        <a:xfrm>
          <a:off x="7600950" y="7524750"/>
          <a:ext cx="473076" cy="2571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2.13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25</xdr:col>
      <xdr:colOff>8264</xdr:colOff>
      <xdr:row>57</xdr:row>
      <xdr:rowOff>85725</xdr:rowOff>
    </xdr:from>
    <xdr:to>
      <xdr:col>32</xdr:col>
      <xdr:colOff>222</xdr:colOff>
      <xdr:row>60</xdr:row>
      <xdr:rowOff>103203</xdr:rowOff>
    </xdr:to>
    <xdr:sp macro="" textlink="">
      <xdr:nvSpPr>
        <xdr:cNvPr id="78" name="正方形/長方形 77">
          <a:extLst>
            <a:ext uri="{FF2B5EF4-FFF2-40B4-BE49-F238E27FC236}">
              <a16:creationId xmlns:a16="http://schemas.microsoft.com/office/drawing/2014/main" id="{66D1206D-18B4-485F-94D6-D161FDE3107C}"/>
            </a:ext>
          </a:extLst>
        </xdr:cNvPr>
        <xdr:cNvSpPr/>
      </xdr:nvSpPr>
      <xdr:spPr>
        <a:xfrm>
          <a:off x="4532639" y="10925175"/>
          <a:ext cx="1258783" cy="503253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bg1"/>
              </a:solidFill>
              <a:latin typeface="+mn-ea"/>
              <a:ea typeface="+mn-ea"/>
            </a:rPr>
            <a:t>申請</a:t>
          </a:r>
          <a:endParaRPr kumimoji="1" lang="en-US" altLang="ja-JP" sz="1050" b="1">
            <a:solidFill>
              <a:schemeClr val="bg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  <a:latin typeface="+mn-ea"/>
              <a:ea typeface="+mn-ea"/>
            </a:rPr>
            <a:t>APPLY</a:t>
          </a:r>
          <a:endParaRPr kumimoji="1" lang="ja-JP" altLang="en-US" sz="1000" b="0">
            <a:solidFill>
              <a:schemeClr val="bg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14</xdr:col>
      <xdr:colOff>28574</xdr:colOff>
      <xdr:row>57</xdr:row>
      <xdr:rowOff>101600</xdr:rowOff>
    </xdr:from>
    <xdr:to>
      <xdr:col>21</xdr:col>
      <xdr:colOff>27124</xdr:colOff>
      <xdr:row>60</xdr:row>
      <xdr:rowOff>104775</xdr:rowOff>
    </xdr:to>
    <xdr:sp macro="" textlink="">
      <xdr:nvSpPr>
        <xdr:cNvPr id="79" name="正方形/長方形 78">
          <a:extLst>
            <a:ext uri="{FF2B5EF4-FFF2-40B4-BE49-F238E27FC236}">
              <a16:creationId xmlns:a16="http://schemas.microsoft.com/office/drawing/2014/main" id="{254EB633-55E1-4513-BC2B-F2A93B85DF51}"/>
            </a:ext>
          </a:extLst>
        </xdr:cNvPr>
        <xdr:cNvSpPr/>
      </xdr:nvSpPr>
      <xdr:spPr>
        <a:xfrm>
          <a:off x="2562224" y="9436100"/>
          <a:ext cx="1265375" cy="488950"/>
        </a:xfrm>
        <a:prstGeom prst="rect">
          <a:avLst/>
        </a:prstGeom>
        <a:solidFill>
          <a:schemeClr val="bg1">
            <a:lumMod val="85000"/>
          </a:schemeClr>
        </a:solidFill>
        <a:ln w="3175">
          <a:solidFill>
            <a:schemeClr val="bg1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50" b="1">
              <a:solidFill>
                <a:schemeClr val="tx1"/>
              </a:solidFill>
              <a:latin typeface="+mn-ea"/>
              <a:ea typeface="+mn-ea"/>
            </a:rPr>
            <a:t>戻る</a:t>
          </a:r>
          <a:endParaRPr kumimoji="1" lang="en-US" altLang="ja-JP" sz="1050" b="1">
            <a:solidFill>
              <a:schemeClr val="tx1"/>
            </a:solidFill>
            <a:latin typeface="+mn-ea"/>
            <a:ea typeface="+mn-ea"/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  <a:latin typeface="+mn-ea"/>
              <a:ea typeface="+mn-ea"/>
            </a:rPr>
            <a:t>BACK</a:t>
          </a:r>
          <a:endParaRPr kumimoji="1" lang="ja-JP" altLang="en-US" sz="1000" b="0">
            <a:solidFill>
              <a:schemeClr val="tx1"/>
            </a:solidFill>
            <a:latin typeface="+mn-ea"/>
            <a:ea typeface="+mn-ea"/>
          </a:endParaRPr>
        </a:p>
      </xdr:txBody>
    </xdr:sp>
    <xdr:clientData/>
  </xdr:twoCellAnchor>
  <xdr:twoCellAnchor>
    <xdr:from>
      <xdr:col>12</xdr:col>
      <xdr:colOff>0</xdr:colOff>
      <xdr:row>57</xdr:row>
      <xdr:rowOff>9525</xdr:rowOff>
    </xdr:from>
    <xdr:to>
      <xdr:col>14</xdr:col>
      <xdr:colOff>111126</xdr:colOff>
      <xdr:row>58</xdr:row>
      <xdr:rowOff>95250</xdr:rowOff>
    </xdr:to>
    <xdr:sp macro="" textlink="">
      <xdr:nvSpPr>
        <xdr:cNvPr id="82" name="正方形/長方形 81">
          <a:extLst>
            <a:ext uri="{FF2B5EF4-FFF2-40B4-BE49-F238E27FC236}">
              <a16:creationId xmlns:a16="http://schemas.microsoft.com/office/drawing/2014/main" id="{BF3F377F-4997-4149-A223-1639972D51A8}"/>
            </a:ext>
          </a:extLst>
        </xdr:cNvPr>
        <xdr:cNvSpPr/>
      </xdr:nvSpPr>
      <xdr:spPr>
        <a:xfrm>
          <a:off x="2171700" y="934402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2.14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23</xdr:col>
      <xdr:colOff>0</xdr:colOff>
      <xdr:row>57</xdr:row>
      <xdr:rowOff>0</xdr:rowOff>
    </xdr:from>
    <xdr:to>
      <xdr:col>25</xdr:col>
      <xdr:colOff>111126</xdr:colOff>
      <xdr:row>58</xdr:row>
      <xdr:rowOff>82550</xdr:rowOff>
    </xdr:to>
    <xdr:sp macro="" textlink="">
      <xdr:nvSpPr>
        <xdr:cNvPr id="83" name="正方形/長方形 82">
          <a:extLst>
            <a:ext uri="{FF2B5EF4-FFF2-40B4-BE49-F238E27FC236}">
              <a16:creationId xmlns:a16="http://schemas.microsoft.com/office/drawing/2014/main" id="{DAB8684F-DBFC-4BA5-A0E8-358C2198CEBB}"/>
            </a:ext>
          </a:extLst>
        </xdr:cNvPr>
        <xdr:cNvSpPr/>
      </xdr:nvSpPr>
      <xdr:spPr>
        <a:xfrm>
          <a:off x="4162425" y="9334500"/>
          <a:ext cx="473076" cy="244475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5</xdr:col>
      <xdr:colOff>123826</xdr:colOff>
      <xdr:row>73</xdr:row>
      <xdr:rowOff>28576</xdr:rowOff>
    </xdr:from>
    <xdr:to>
      <xdr:col>10</xdr:col>
      <xdr:colOff>76201</xdr:colOff>
      <xdr:row>75</xdr:row>
      <xdr:rowOff>63500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EAA9EDFE-026B-4A22-9A31-030F6483C7E5}"/>
            </a:ext>
          </a:extLst>
        </xdr:cNvPr>
        <xdr:cNvSpPr/>
      </xdr:nvSpPr>
      <xdr:spPr>
        <a:xfrm>
          <a:off x="1028701" y="11630026"/>
          <a:ext cx="857250" cy="358774"/>
        </a:xfrm>
        <a:prstGeom prst="rect">
          <a:avLst/>
        </a:prstGeom>
        <a:solidFill>
          <a:schemeClr val="bg1">
            <a:lumMod val="75000"/>
          </a:schemeClr>
        </a:solidFill>
        <a:ln w="3175">
          <a:solidFill>
            <a:schemeClr val="bg1">
              <a:lumMod val="6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tx1"/>
              </a:solidFill>
            </a:rPr>
            <a:t>いいえ</a:t>
          </a:r>
          <a:endParaRPr kumimoji="1" lang="en-US" altLang="ja-JP" sz="900" b="1">
            <a:solidFill>
              <a:schemeClr val="tx1"/>
            </a:solidFill>
          </a:endParaRPr>
        </a:p>
        <a:p>
          <a:pPr algn="ctr"/>
          <a:r>
            <a:rPr kumimoji="1" lang="en-US" altLang="ja-JP" sz="800" b="0">
              <a:solidFill>
                <a:schemeClr val="tx1"/>
              </a:solidFill>
            </a:rPr>
            <a:t>NO</a:t>
          </a:r>
          <a:endParaRPr kumimoji="1" lang="ja-JP" altLang="en-US" sz="900" b="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85725</xdr:colOff>
      <xdr:row>73</xdr:row>
      <xdr:rowOff>25400</xdr:rowOff>
    </xdr:from>
    <xdr:to>
      <xdr:col>15</xdr:col>
      <xdr:colOff>171450</xdr:colOff>
      <xdr:row>75</xdr:row>
      <xdr:rowOff>57150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1C848A47-89A9-47B9-9A23-C9441658D716}"/>
            </a:ext>
          </a:extLst>
        </xdr:cNvPr>
        <xdr:cNvSpPr/>
      </xdr:nvSpPr>
      <xdr:spPr>
        <a:xfrm>
          <a:off x="2076450" y="11626850"/>
          <a:ext cx="809625" cy="35560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900" b="1">
              <a:solidFill>
                <a:schemeClr val="bg1"/>
              </a:solidFill>
            </a:rPr>
            <a:t>はい</a:t>
          </a:r>
          <a:endParaRPr kumimoji="1" lang="en-US" altLang="ja-JP" sz="900" b="1">
            <a:solidFill>
              <a:schemeClr val="bg1"/>
            </a:solidFill>
          </a:endParaRPr>
        </a:p>
        <a:p>
          <a:pPr algn="ctr"/>
          <a:r>
            <a:rPr kumimoji="1" lang="en-US" altLang="ja-JP" sz="800" b="0">
              <a:solidFill>
                <a:schemeClr val="bg1"/>
              </a:solidFill>
            </a:rPr>
            <a:t>YES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15</xdr:col>
      <xdr:colOff>161925</xdr:colOff>
      <xdr:row>65</xdr:row>
      <xdr:rowOff>76201</xdr:rowOff>
    </xdr:from>
    <xdr:to>
      <xdr:col>16</xdr:col>
      <xdr:colOff>130176</xdr:colOff>
      <xdr:row>66</xdr:row>
      <xdr:rowOff>123826</xdr:rowOff>
    </xdr:to>
    <xdr:sp macro="" textlink="">
      <xdr:nvSpPr>
        <xdr:cNvPr id="86" name="正方形/長方形 85">
          <a:extLst>
            <a:ext uri="{FF2B5EF4-FFF2-40B4-BE49-F238E27FC236}">
              <a16:creationId xmlns:a16="http://schemas.microsoft.com/office/drawing/2014/main" id="{CA348ADB-3FF8-451F-B81E-E3471AF64439}"/>
            </a:ext>
          </a:extLst>
        </xdr:cNvPr>
        <xdr:cNvSpPr/>
      </xdr:nvSpPr>
      <xdr:spPr>
        <a:xfrm>
          <a:off x="2876550" y="12211051"/>
          <a:ext cx="149226" cy="209550"/>
        </a:xfrm>
        <a:prstGeom prst="rect">
          <a:avLst/>
        </a:prstGeom>
        <a:solidFill>
          <a:srgbClr val="002879"/>
        </a:solidFill>
        <a:ln>
          <a:solidFill>
            <a:srgbClr val="002879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rtl="0" eaLnBrk="0" fontAlgn="base" hangingPunct="0">
            <a:spcBef>
              <a:spcPct val="0"/>
            </a:spcBef>
            <a:spcAft>
              <a:spcPct val="0"/>
            </a:spcAft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4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 b="0">
              <a:solidFill>
                <a:schemeClr val="bg1"/>
              </a:solidFill>
            </a:rPr>
            <a:t>X</a:t>
          </a:r>
          <a:endParaRPr kumimoji="1" lang="ja-JP" altLang="en-US" sz="900" b="0"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19050</xdr:colOff>
      <xdr:row>75</xdr:row>
      <xdr:rowOff>66675</xdr:rowOff>
    </xdr:from>
    <xdr:to>
      <xdr:col>6</xdr:col>
      <xdr:colOff>130176</xdr:colOff>
      <xdr:row>76</xdr:row>
      <xdr:rowOff>152400</xdr:rowOff>
    </xdr:to>
    <xdr:sp macro="" textlink="">
      <xdr:nvSpPr>
        <xdr:cNvPr id="87" name="正方形/長方形 86">
          <a:extLst>
            <a:ext uri="{FF2B5EF4-FFF2-40B4-BE49-F238E27FC236}">
              <a16:creationId xmlns:a16="http://schemas.microsoft.com/office/drawing/2014/main" id="{4EEE7EF9-CDE8-4B5C-B1A3-F4407292D20D}"/>
            </a:ext>
          </a:extLst>
        </xdr:cNvPr>
        <xdr:cNvSpPr/>
      </xdr:nvSpPr>
      <xdr:spPr>
        <a:xfrm>
          <a:off x="742950" y="11991975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2.16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10</xdr:col>
      <xdr:colOff>104775</xdr:colOff>
      <xdr:row>75</xdr:row>
      <xdr:rowOff>76200</xdr:rowOff>
    </xdr:from>
    <xdr:to>
      <xdr:col>13</xdr:col>
      <xdr:colOff>34926</xdr:colOff>
      <xdr:row>77</xdr:row>
      <xdr:rowOff>0</xdr:rowOff>
    </xdr:to>
    <xdr:sp macro="" textlink="">
      <xdr:nvSpPr>
        <xdr:cNvPr id="88" name="正方形/長方形 87">
          <a:extLst>
            <a:ext uri="{FF2B5EF4-FFF2-40B4-BE49-F238E27FC236}">
              <a16:creationId xmlns:a16="http://schemas.microsoft.com/office/drawing/2014/main" id="{BB4CAE69-273E-4D93-A564-A94CA86EEA6A}"/>
            </a:ext>
          </a:extLst>
        </xdr:cNvPr>
        <xdr:cNvSpPr/>
      </xdr:nvSpPr>
      <xdr:spPr>
        <a:xfrm>
          <a:off x="1914525" y="12001500"/>
          <a:ext cx="473076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2.17</a:t>
          </a:r>
        </a:p>
      </xdr:txBody>
    </xdr:sp>
    <xdr:clientData/>
  </xdr:twoCellAnchor>
  <xdr:twoCellAnchor>
    <xdr:from>
      <xdr:col>18</xdr:col>
      <xdr:colOff>161925</xdr:colOff>
      <xdr:row>64</xdr:row>
      <xdr:rowOff>34925</xdr:rowOff>
    </xdr:from>
    <xdr:to>
      <xdr:col>21</xdr:col>
      <xdr:colOff>95251</xdr:colOff>
      <xdr:row>65</xdr:row>
      <xdr:rowOff>120650</xdr:rowOff>
    </xdr:to>
    <xdr:sp macro="" textlink="">
      <xdr:nvSpPr>
        <xdr:cNvPr id="89" name="正方形/長方形 88">
          <a:extLst>
            <a:ext uri="{FF2B5EF4-FFF2-40B4-BE49-F238E27FC236}">
              <a16:creationId xmlns:a16="http://schemas.microsoft.com/office/drawing/2014/main" id="{F9856F69-0FB9-414C-8FF2-8D8F83752011}"/>
            </a:ext>
          </a:extLst>
        </xdr:cNvPr>
        <xdr:cNvSpPr/>
      </xdr:nvSpPr>
      <xdr:spPr>
        <a:xfrm>
          <a:off x="3419475" y="12007850"/>
          <a:ext cx="476251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2.18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21</xdr:col>
      <xdr:colOff>19050</xdr:colOff>
      <xdr:row>35</xdr:row>
      <xdr:rowOff>0</xdr:rowOff>
    </xdr:from>
    <xdr:to>
      <xdr:col>42</xdr:col>
      <xdr:colOff>0</xdr:colOff>
      <xdr:row>38</xdr:row>
      <xdr:rowOff>19050</xdr:rowOff>
    </xdr:to>
    <xdr:sp macro="" textlink="">
      <xdr:nvSpPr>
        <xdr:cNvPr id="91" name="角丸四角形 4">
          <a:extLst>
            <a:ext uri="{FF2B5EF4-FFF2-40B4-BE49-F238E27FC236}">
              <a16:creationId xmlns:a16="http://schemas.microsoft.com/office/drawing/2014/main" id="{5E104B8C-6817-4B40-82B5-E077888DDD1B}"/>
            </a:ext>
          </a:extLst>
        </xdr:cNvPr>
        <xdr:cNvSpPr/>
      </xdr:nvSpPr>
      <xdr:spPr>
        <a:xfrm>
          <a:off x="3819525" y="6581775"/>
          <a:ext cx="3781425" cy="342900"/>
        </a:xfrm>
        <a:prstGeom prst="roundRect">
          <a:avLst/>
        </a:prstGeom>
        <a:noFill/>
        <a:ln>
          <a:solidFill>
            <a:srgbClr val="92D050"/>
          </a:solidFill>
          <a:prstDash val="sys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43</xdr:col>
      <xdr:colOff>0</xdr:colOff>
      <xdr:row>55</xdr:row>
      <xdr:rowOff>0</xdr:rowOff>
    </xdr:from>
    <xdr:to>
      <xdr:col>51</xdr:col>
      <xdr:colOff>48932</xdr:colOff>
      <xdr:row>58</xdr:row>
      <xdr:rowOff>123825</xdr:rowOff>
    </xdr:to>
    <xdr:sp macro="" textlink="">
      <xdr:nvSpPr>
        <xdr:cNvPr id="93" name="角丸四角形吹き出し 215">
          <a:extLst>
            <a:ext uri="{FF2B5EF4-FFF2-40B4-BE49-F238E27FC236}">
              <a16:creationId xmlns:a16="http://schemas.microsoft.com/office/drawing/2014/main" id="{BDA2711D-29DE-40AD-A9F7-93FFE2BC940F}"/>
            </a:ext>
          </a:extLst>
        </xdr:cNvPr>
        <xdr:cNvSpPr/>
      </xdr:nvSpPr>
      <xdr:spPr>
        <a:xfrm>
          <a:off x="7781925" y="9010650"/>
          <a:ext cx="1496732" cy="609600"/>
        </a:xfrm>
        <a:prstGeom prst="wedgeRoundRectCallout">
          <a:avLst>
            <a:gd name="adj1" fmla="val -59552"/>
            <a:gd name="adj2" fmla="val -50605"/>
            <a:gd name="adj3" fmla="val 16667"/>
          </a:avLst>
        </a:prstGeom>
        <a:noFill/>
        <a:ln w="31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赤色はエラーメッセージの色と同じ色とする。</a:t>
          </a:r>
        </a:p>
      </xdr:txBody>
    </xdr:sp>
    <xdr:clientData/>
  </xdr:twoCellAnchor>
  <xdr:twoCellAnchor>
    <xdr:from>
      <xdr:col>32</xdr:col>
      <xdr:colOff>11020</xdr:colOff>
      <xdr:row>16</xdr:row>
      <xdr:rowOff>46878</xdr:rowOff>
    </xdr:from>
    <xdr:to>
      <xdr:col>34</xdr:col>
      <xdr:colOff>30070</xdr:colOff>
      <xdr:row>17</xdr:row>
      <xdr:rowOff>133910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27E48A0-B4FB-4CE8-9FBD-2FE4AC10D6C8}"/>
            </a:ext>
          </a:extLst>
        </xdr:cNvPr>
        <xdr:cNvSpPr/>
      </xdr:nvSpPr>
      <xdr:spPr>
        <a:xfrm>
          <a:off x="5297395" y="2609103"/>
          <a:ext cx="349250" cy="242607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2.2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>
    <xdr:from>
      <xdr:col>20</xdr:col>
      <xdr:colOff>161926</xdr:colOff>
      <xdr:row>31</xdr:row>
      <xdr:rowOff>152400</xdr:rowOff>
    </xdr:from>
    <xdr:to>
      <xdr:col>42</xdr:col>
      <xdr:colOff>1</xdr:colOff>
      <xdr:row>34</xdr:row>
      <xdr:rowOff>159684</xdr:rowOff>
    </xdr:to>
    <xdr:sp macro="" textlink="">
      <xdr:nvSpPr>
        <xdr:cNvPr id="6" name="角丸四角形 142">
          <a:extLst>
            <a:ext uri="{FF2B5EF4-FFF2-40B4-BE49-F238E27FC236}">
              <a16:creationId xmlns:a16="http://schemas.microsoft.com/office/drawing/2014/main" id="{387FA923-6E02-4279-89AD-6A05EBDEE530}"/>
            </a:ext>
          </a:extLst>
        </xdr:cNvPr>
        <xdr:cNvSpPr/>
      </xdr:nvSpPr>
      <xdr:spPr>
        <a:xfrm>
          <a:off x="3781426" y="5886450"/>
          <a:ext cx="3819525" cy="607359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1</xdr:colOff>
      <xdr:row>35</xdr:row>
      <xdr:rowOff>1</xdr:rowOff>
    </xdr:from>
    <xdr:to>
      <xdr:col>42</xdr:col>
      <xdr:colOff>6351</xdr:colOff>
      <xdr:row>52</xdr:row>
      <xdr:rowOff>142876</xdr:rowOff>
    </xdr:to>
    <xdr:sp macro="" textlink="">
      <xdr:nvSpPr>
        <xdr:cNvPr id="7" name="角丸四角形 132">
          <a:extLst>
            <a:ext uri="{FF2B5EF4-FFF2-40B4-BE49-F238E27FC236}">
              <a16:creationId xmlns:a16="http://schemas.microsoft.com/office/drawing/2014/main" id="{F2B9C21E-402E-48FB-A49D-B71226027C0F}"/>
            </a:ext>
          </a:extLst>
        </xdr:cNvPr>
        <xdr:cNvSpPr/>
      </xdr:nvSpPr>
      <xdr:spPr>
        <a:xfrm>
          <a:off x="3467101" y="7061201"/>
          <a:ext cx="3473450" cy="3508375"/>
        </a:xfrm>
        <a:prstGeom prst="roundRect">
          <a:avLst/>
        </a:prstGeom>
        <a:noFill/>
        <a:ln w="127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37</xdr:col>
      <xdr:colOff>95250</xdr:colOff>
      <xdr:row>23</xdr:row>
      <xdr:rowOff>53975</xdr:rowOff>
    </xdr:from>
    <xdr:to>
      <xdr:col>39</xdr:col>
      <xdr:colOff>114300</xdr:colOff>
      <xdr:row>24</xdr:row>
      <xdr:rowOff>139700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DE0EE3F6-6F20-466F-96A4-4DF1DA4DE34F}"/>
            </a:ext>
          </a:extLst>
        </xdr:cNvPr>
        <xdr:cNvSpPr/>
      </xdr:nvSpPr>
      <xdr:spPr>
        <a:xfrm>
          <a:off x="6791325" y="4492625"/>
          <a:ext cx="381000" cy="247650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2.5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  <xdr:twoCellAnchor editAs="oneCell">
    <xdr:from>
      <xdr:col>1</xdr:col>
      <xdr:colOff>0</xdr:colOff>
      <xdr:row>6</xdr:row>
      <xdr:rowOff>0</xdr:rowOff>
    </xdr:from>
    <xdr:to>
      <xdr:col>20</xdr:col>
      <xdr:colOff>10258</xdr:colOff>
      <xdr:row>7</xdr:row>
      <xdr:rowOff>6350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B4F568AC-C0B4-4917-9B12-E81464AF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975" y="876300"/>
          <a:ext cx="3445608" cy="419100"/>
        </a:xfrm>
        <a:prstGeom prst="rect">
          <a:avLst/>
        </a:prstGeom>
      </xdr:spPr>
    </xdr:pic>
    <xdr:clientData/>
  </xdr:twoCellAnchor>
  <xdr:twoCellAnchor>
    <xdr:from>
      <xdr:col>20</xdr:col>
      <xdr:colOff>3174</xdr:colOff>
      <xdr:row>6</xdr:row>
      <xdr:rowOff>7470</xdr:rowOff>
    </xdr:from>
    <xdr:to>
      <xdr:col>52</xdr:col>
      <xdr:colOff>17317</xdr:colOff>
      <xdr:row>7</xdr:row>
      <xdr:rowOff>19050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FC3F3209-BE43-4A48-A5AD-0F042EAB4803}"/>
            </a:ext>
          </a:extLst>
        </xdr:cNvPr>
        <xdr:cNvSpPr/>
      </xdr:nvSpPr>
      <xdr:spPr>
        <a:xfrm>
          <a:off x="3622674" y="883770"/>
          <a:ext cx="5805343" cy="421155"/>
        </a:xfrm>
        <a:prstGeom prst="rect">
          <a:avLst/>
        </a:prstGeom>
        <a:solidFill>
          <a:schemeClr val="bg1">
            <a:lumMod val="95000"/>
          </a:schemeClr>
        </a:solidFill>
        <a:ln w="12700">
          <a:noFill/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7</xdr:col>
      <xdr:colOff>28575</xdr:colOff>
      <xdr:row>6</xdr:row>
      <xdr:rowOff>19050</xdr:rowOff>
    </xdr:from>
    <xdr:to>
      <xdr:col>9</xdr:col>
      <xdr:colOff>57151</xdr:colOff>
      <xdr:row>6</xdr:row>
      <xdr:rowOff>273051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9F4BB978-D00B-4C35-BEE4-7D77DAEFF619}"/>
            </a:ext>
          </a:extLst>
        </xdr:cNvPr>
        <xdr:cNvSpPr/>
      </xdr:nvSpPr>
      <xdr:spPr>
        <a:xfrm>
          <a:off x="1295400" y="895350"/>
          <a:ext cx="390526" cy="254001"/>
        </a:xfrm>
        <a:prstGeom prst="rect">
          <a:avLst/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kumimoji="1" lang="en-US" altLang="ja-JP" sz="9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Meiryo UI" panose="020B0604030504040204" pitchFamily="50" charset="-128"/>
            </a:rPr>
            <a:t>0.1</a:t>
          </a:r>
          <a:endParaRPr kumimoji="1" lang="ja-JP" altLang="en-US" sz="11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Meiryo UI" panose="020B0604030504040204" pitchFamily="50" charset="-128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29</xdr:col>
      <xdr:colOff>168990</xdr:colOff>
      <xdr:row>18</xdr:row>
      <xdr:rowOff>62581</xdr:rowOff>
    </xdr:from>
    <xdr:to>
      <xdr:col>37</xdr:col>
      <xdr:colOff>41462</xdr:colOff>
      <xdr:row>22</xdr:row>
      <xdr:rowOff>16809</xdr:rowOff>
    </xdr:to>
    <xdr:sp macro="" textlink="">
      <xdr:nvSpPr>
        <xdr:cNvPr id="2" name="フローチャート: 磁気ディスク 1">
          <a:extLst>
            <a:ext uri="{FF2B5EF4-FFF2-40B4-BE49-F238E27FC236}">
              <a16:creationId xmlns:a16="http://schemas.microsoft.com/office/drawing/2014/main" id="{85ACDB14-4A5A-4660-88AC-4ECC3EAF399A}"/>
            </a:ext>
          </a:extLst>
        </xdr:cNvPr>
        <xdr:cNvSpPr/>
      </xdr:nvSpPr>
      <xdr:spPr>
        <a:xfrm>
          <a:off x="5693490" y="4501231"/>
          <a:ext cx="1396472" cy="7162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申請製品情報マスタ</a:t>
          </a:r>
        </a:p>
      </xdr:txBody>
    </xdr:sp>
    <xdr:clientData/>
  </xdr:twoCellAnchor>
  <xdr:twoCellAnchor>
    <xdr:from>
      <xdr:col>7</xdr:col>
      <xdr:colOff>200026</xdr:colOff>
      <xdr:row>39</xdr:row>
      <xdr:rowOff>143476</xdr:rowOff>
    </xdr:from>
    <xdr:to>
      <xdr:col>23</xdr:col>
      <xdr:colOff>57409</xdr:colOff>
      <xdr:row>43</xdr:row>
      <xdr:rowOff>91427</xdr:rowOff>
    </xdr:to>
    <xdr:sp macro="" textlink="">
      <xdr:nvSpPr>
        <xdr:cNvPr id="3" name="フローチャート: 判断 2">
          <a:extLst>
            <a:ext uri="{FF2B5EF4-FFF2-40B4-BE49-F238E27FC236}">
              <a16:creationId xmlns:a16="http://schemas.microsoft.com/office/drawing/2014/main" id="{827E61F4-A5A3-4EC9-AA38-A25FF78AFB15}"/>
            </a:ext>
          </a:extLst>
        </xdr:cNvPr>
        <xdr:cNvSpPr/>
      </xdr:nvSpPr>
      <xdr:spPr>
        <a:xfrm>
          <a:off x="1520826" y="8582626"/>
          <a:ext cx="291808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１－１－４．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DB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に該当する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製品の</a:t>
          </a:r>
          <a:r>
            <a:rPr kumimoji="1" lang="ja-JP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存在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する？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128719</xdr:colOff>
      <xdr:row>17</xdr:row>
      <xdr:rowOff>26220</xdr:rowOff>
    </xdr:from>
    <xdr:to>
      <xdr:col>15</xdr:col>
      <xdr:colOff>131029</xdr:colOff>
      <xdr:row>19</xdr:row>
      <xdr:rowOff>179293</xdr:rowOff>
    </xdr:to>
    <xdr:cxnSp macro="">
      <xdr:nvCxnSpPr>
        <xdr:cNvPr id="4" name="直線矢印コネクタ 3">
          <a:extLst>
            <a:ext uri="{FF2B5EF4-FFF2-40B4-BE49-F238E27FC236}">
              <a16:creationId xmlns:a16="http://schemas.microsoft.com/office/drawing/2014/main" id="{BC4B5F65-E861-41F5-A30C-666CAFBE31A3}"/>
            </a:ext>
          </a:extLst>
        </xdr:cNvPr>
        <xdr:cNvCxnSpPr>
          <a:stCxn id="8" idx="2"/>
          <a:endCxn id="107" idx="0"/>
        </xdr:cNvCxnSpPr>
      </xdr:nvCxnSpPr>
      <xdr:spPr>
        <a:xfrm>
          <a:off x="2986219" y="4274370"/>
          <a:ext cx="2310" cy="534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122368</xdr:colOff>
      <xdr:row>43</xdr:row>
      <xdr:rowOff>88252</xdr:rowOff>
    </xdr:from>
    <xdr:to>
      <xdr:col>15</xdr:col>
      <xdr:colOff>161738</xdr:colOff>
      <xdr:row>50</xdr:row>
      <xdr:rowOff>8031</xdr:rowOff>
    </xdr:to>
    <xdr:cxnSp macro="">
      <xdr:nvCxnSpPr>
        <xdr:cNvPr id="7" name="直線矢印コネクタ 6">
          <a:extLst>
            <a:ext uri="{FF2B5EF4-FFF2-40B4-BE49-F238E27FC236}">
              <a16:creationId xmlns:a16="http://schemas.microsoft.com/office/drawing/2014/main" id="{F9E3EDED-B37F-432F-88BE-38176AD72793}"/>
            </a:ext>
          </a:extLst>
        </xdr:cNvPr>
        <xdr:cNvCxnSpPr>
          <a:cxnSpLocks/>
          <a:stCxn id="3" idx="2"/>
          <a:endCxn id="98" idx="0"/>
        </xdr:cNvCxnSpPr>
      </xdr:nvCxnSpPr>
      <xdr:spPr>
        <a:xfrm>
          <a:off x="2979868" y="8257340"/>
          <a:ext cx="39370" cy="125327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200189</xdr:colOff>
      <xdr:row>15</xdr:row>
      <xdr:rowOff>115707</xdr:rowOff>
    </xdr:from>
    <xdr:to>
      <xdr:col>23</xdr:col>
      <xdr:colOff>57247</xdr:colOff>
      <xdr:row>17</xdr:row>
      <xdr:rowOff>26220</xdr:rowOff>
    </xdr:to>
    <xdr:sp macro="" textlink="">
      <xdr:nvSpPr>
        <xdr:cNvPr id="8" name="フローチャート: 処理 7">
          <a:extLst>
            <a:ext uri="{FF2B5EF4-FFF2-40B4-BE49-F238E27FC236}">
              <a16:creationId xmlns:a16="http://schemas.microsoft.com/office/drawing/2014/main" id="{EF0C7EDD-FD3F-485F-8483-E8A517CD1BC8}"/>
            </a:ext>
          </a:extLst>
        </xdr:cNvPr>
        <xdr:cNvSpPr/>
      </xdr:nvSpPr>
      <xdr:spPr>
        <a:xfrm>
          <a:off x="1520989" y="3982857"/>
          <a:ext cx="291775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203642</xdr:colOff>
      <xdr:row>43</xdr:row>
      <xdr:rowOff>111178</xdr:rowOff>
    </xdr:from>
    <xdr:to>
      <xdr:col>17</xdr:col>
      <xdr:colOff>143982</xdr:colOff>
      <xdr:row>45</xdr:row>
      <xdr:rowOff>2286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83C82D95-E51B-4561-8928-76859B25123E}"/>
            </a:ext>
          </a:extLst>
        </xdr:cNvPr>
        <xdr:cNvSpPr/>
      </xdr:nvSpPr>
      <xdr:spPr>
        <a:xfrm>
          <a:off x="3048442" y="9312328"/>
          <a:ext cx="3340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7</xdr:row>
      <xdr:rowOff>74245</xdr:rowOff>
    </xdr:from>
    <xdr:to>
      <xdr:col>23</xdr:col>
      <xdr:colOff>66772</xdr:colOff>
      <xdr:row>8</xdr:row>
      <xdr:rowOff>173017</xdr:rowOff>
    </xdr:to>
    <xdr:sp macro="" textlink="">
      <xdr:nvSpPr>
        <xdr:cNvPr id="10" name="フローチャート: 処理 9">
          <a:extLst>
            <a:ext uri="{FF2B5EF4-FFF2-40B4-BE49-F238E27FC236}">
              <a16:creationId xmlns:a16="http://schemas.microsoft.com/office/drawing/2014/main" id="{C1DFB174-7C11-4630-B02F-B1C292A746CB}"/>
            </a:ext>
          </a:extLst>
        </xdr:cNvPr>
        <xdr:cNvSpPr/>
      </xdr:nvSpPr>
      <xdr:spPr>
        <a:xfrm>
          <a:off x="1524164" y="24173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１－１－１．申請製品コードリストを取得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138113</xdr:colOff>
      <xdr:row>8</xdr:row>
      <xdr:rowOff>173017</xdr:rowOff>
    </xdr:from>
    <xdr:to>
      <xdr:col>15</xdr:col>
      <xdr:colOff>139925</xdr:colOff>
      <xdr:row>10</xdr:row>
      <xdr:rowOff>104774</xdr:rowOff>
    </xdr:to>
    <xdr:cxnSp macro="">
      <xdr:nvCxnSpPr>
        <xdr:cNvPr id="11" name="直線矢印コネクタ 10">
          <a:extLst>
            <a:ext uri="{FF2B5EF4-FFF2-40B4-BE49-F238E27FC236}">
              <a16:creationId xmlns:a16="http://schemas.microsoft.com/office/drawing/2014/main" id="{88AF6267-BDDE-4DEF-9CDB-A95B388437F4}"/>
            </a:ext>
          </a:extLst>
        </xdr:cNvPr>
        <xdr:cNvCxnSpPr>
          <a:stCxn id="10" idx="2"/>
          <a:endCxn id="18" idx="0"/>
        </xdr:cNvCxnSpPr>
      </xdr:nvCxnSpPr>
      <xdr:spPr>
        <a:xfrm flipH="1">
          <a:off x="2995613" y="2706667"/>
          <a:ext cx="181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200026</xdr:colOff>
      <xdr:row>13</xdr:row>
      <xdr:rowOff>133351</xdr:rowOff>
    </xdr:from>
    <xdr:to>
      <xdr:col>15</xdr:col>
      <xdr:colOff>114300</xdr:colOff>
      <xdr:row>41</xdr:row>
      <xdr:rowOff>117453</xdr:rowOff>
    </xdr:to>
    <xdr:cxnSp macro="">
      <xdr:nvCxnSpPr>
        <xdr:cNvPr id="12" name="カギ線コネクタ 67">
          <a:extLst>
            <a:ext uri="{FF2B5EF4-FFF2-40B4-BE49-F238E27FC236}">
              <a16:creationId xmlns:a16="http://schemas.microsoft.com/office/drawing/2014/main" id="{3C7852F4-DB54-40B6-A8E8-3FCDCE92C2F4}"/>
            </a:ext>
          </a:extLst>
        </xdr:cNvPr>
        <xdr:cNvCxnSpPr>
          <a:stCxn id="3" idx="1"/>
        </xdr:cNvCxnSpPr>
      </xdr:nvCxnSpPr>
      <xdr:spPr>
        <a:xfrm rot="10800000" flipH="1">
          <a:off x="1520826" y="3619501"/>
          <a:ext cx="1450974" cy="5318102"/>
        </a:xfrm>
        <a:prstGeom prst="bentConnector4">
          <a:avLst>
            <a:gd name="adj1" fmla="val -14371"/>
            <a:gd name="adj2" fmla="val 99943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5</xdr:row>
      <xdr:rowOff>0</xdr:rowOff>
    </xdr:from>
    <xdr:to>
      <xdr:col>16</xdr:col>
      <xdr:colOff>13037</xdr:colOff>
      <xdr:row>5</xdr:row>
      <xdr:rowOff>176687</xdr:rowOff>
    </xdr:to>
    <xdr:sp macro="" textlink="">
      <xdr:nvSpPr>
        <xdr:cNvPr id="13" name="Oval 13">
          <a:extLst>
            <a:ext uri="{FF2B5EF4-FFF2-40B4-BE49-F238E27FC236}">
              <a16:creationId xmlns:a16="http://schemas.microsoft.com/office/drawing/2014/main" id="{2EF4FB13-5AE1-4BE3-8B28-F58818C91862}"/>
            </a:ext>
          </a:extLst>
        </xdr:cNvPr>
        <xdr:cNvSpPr>
          <a:spLocks noChangeArrowheads="1"/>
        </xdr:cNvSpPr>
      </xdr:nvSpPr>
      <xdr:spPr bwMode="auto">
        <a:xfrm>
          <a:off x="2912060" y="19621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5</xdr:row>
      <xdr:rowOff>176687</xdr:rowOff>
    </xdr:from>
    <xdr:to>
      <xdr:col>15</xdr:col>
      <xdr:colOff>138574</xdr:colOff>
      <xdr:row>7</xdr:row>
      <xdr:rowOff>74245</xdr:rowOff>
    </xdr:to>
    <xdr:cxnSp macro="">
      <xdr:nvCxnSpPr>
        <xdr:cNvPr id="14" name="直線矢印コネクタ 13">
          <a:extLst>
            <a:ext uri="{FF2B5EF4-FFF2-40B4-BE49-F238E27FC236}">
              <a16:creationId xmlns:a16="http://schemas.microsoft.com/office/drawing/2014/main" id="{EC97DB32-3BA3-48E1-8609-9ED3A752A1E4}"/>
            </a:ext>
          </a:extLst>
        </xdr:cNvPr>
        <xdr:cNvCxnSpPr>
          <a:stCxn id="13" idx="4"/>
          <a:endCxn id="10" idx="0"/>
        </xdr:cNvCxnSpPr>
      </xdr:nvCxnSpPr>
      <xdr:spPr>
        <a:xfrm flipH="1">
          <a:off x="2995743" y="21388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26172</xdr:colOff>
      <xdr:row>88</xdr:row>
      <xdr:rowOff>56028</xdr:rowOff>
    </xdr:from>
    <xdr:to>
      <xdr:col>16</xdr:col>
      <xdr:colOff>47999</xdr:colOff>
      <xdr:row>89</xdr:row>
      <xdr:rowOff>134633</xdr:rowOff>
    </xdr:to>
    <xdr:grpSp>
      <xdr:nvGrpSpPr>
        <xdr:cNvPr id="15" name="グループ化 14">
          <a:extLst>
            <a:ext uri="{FF2B5EF4-FFF2-40B4-BE49-F238E27FC236}">
              <a16:creationId xmlns:a16="http://schemas.microsoft.com/office/drawing/2014/main" id="{3392D4D6-DEAF-4260-816E-D91C31E801C1}"/>
            </a:ext>
          </a:extLst>
        </xdr:cNvPr>
        <xdr:cNvGrpSpPr/>
      </xdr:nvGrpSpPr>
      <xdr:grpSpPr>
        <a:xfrm>
          <a:off x="2886847" y="16797616"/>
          <a:ext cx="205977" cy="269105"/>
          <a:chOff x="5591732" y="12046324"/>
          <a:chExt cx="246533" cy="257735"/>
        </a:xfrm>
      </xdr:grpSpPr>
      <xdr:sp macro="" textlink="">
        <xdr:nvSpPr>
          <xdr:cNvPr id="16" name="フローチャート : 結合子 184">
            <a:extLst>
              <a:ext uri="{FF2B5EF4-FFF2-40B4-BE49-F238E27FC236}">
                <a16:creationId xmlns:a16="http://schemas.microsoft.com/office/drawing/2014/main" id="{8592E169-F1EB-232D-28B8-6CECBEBC4F63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17" name="フローチャート : 結合子 183">
            <a:extLst>
              <a:ext uri="{FF2B5EF4-FFF2-40B4-BE49-F238E27FC236}">
                <a16:creationId xmlns:a16="http://schemas.microsoft.com/office/drawing/2014/main" id="{B68A267F-4C58-5AB6-9C6A-32D046B7091C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57197</xdr:colOff>
      <xdr:row>10</xdr:row>
      <xdr:rowOff>104774</xdr:rowOff>
    </xdr:from>
    <xdr:to>
      <xdr:col>20</xdr:col>
      <xdr:colOff>6117</xdr:colOff>
      <xdr:row>12</xdr:row>
      <xdr:rowOff>104775</xdr:rowOff>
    </xdr:to>
    <xdr:sp macro="" textlink="">
      <xdr:nvSpPr>
        <xdr:cNvPr id="18" name="楕円 17">
          <a:extLst>
            <a:ext uri="{FF2B5EF4-FFF2-40B4-BE49-F238E27FC236}">
              <a16:creationId xmlns:a16="http://schemas.microsoft.com/office/drawing/2014/main" id="{459CEADE-DA92-4BB1-B993-3112C138519A}"/>
            </a:ext>
          </a:extLst>
        </xdr:cNvPr>
        <xdr:cNvSpPr/>
      </xdr:nvSpPr>
      <xdr:spPr>
        <a:xfrm>
          <a:off x="2152697" y="3019424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リストをループ開始①</a:t>
          </a:r>
        </a:p>
      </xdr:txBody>
    </xdr:sp>
    <xdr:clientData/>
  </xdr:twoCellAnchor>
  <xdr:twoCellAnchor>
    <xdr:from>
      <xdr:col>15</xdr:col>
      <xdr:colOff>128719</xdr:colOff>
      <xdr:row>12</xdr:row>
      <xdr:rowOff>104775</xdr:rowOff>
    </xdr:from>
    <xdr:to>
      <xdr:col>15</xdr:col>
      <xdr:colOff>138113</xdr:colOff>
      <xdr:row>15</xdr:row>
      <xdr:rowOff>115707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DC11A3F7-F10D-41EA-BB21-B9035F66AC52}"/>
            </a:ext>
          </a:extLst>
        </xdr:cNvPr>
        <xdr:cNvCxnSpPr>
          <a:stCxn id="18" idx="4"/>
          <a:endCxn id="8" idx="0"/>
        </xdr:cNvCxnSpPr>
      </xdr:nvCxnSpPr>
      <xdr:spPr>
        <a:xfrm flipH="1">
          <a:off x="2986219" y="3400425"/>
          <a:ext cx="9394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133350</xdr:colOff>
      <xdr:row>16</xdr:row>
      <xdr:rowOff>114300</xdr:rowOff>
    </xdr:from>
    <xdr:to>
      <xdr:col>7</xdr:col>
      <xdr:colOff>79452</xdr:colOff>
      <xdr:row>17</xdr:row>
      <xdr:rowOff>184733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6254B594-81A6-42FF-842C-73F4C8E5F01B}"/>
            </a:ext>
          </a:extLst>
        </xdr:cNvPr>
        <xdr:cNvSpPr/>
      </xdr:nvSpPr>
      <xdr:spPr>
        <a:xfrm>
          <a:off x="1085850" y="4171950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8</xdr:col>
      <xdr:colOff>1</xdr:colOff>
      <xdr:row>33</xdr:row>
      <xdr:rowOff>14610</xdr:rowOff>
    </xdr:from>
    <xdr:to>
      <xdr:col>23</xdr:col>
      <xdr:colOff>66934</xdr:colOff>
      <xdr:row>36</xdr:row>
      <xdr:rowOff>162587</xdr:rowOff>
    </xdr:to>
    <xdr:sp macro="" textlink="">
      <xdr:nvSpPr>
        <xdr:cNvPr id="21" name="フローチャート: 判断 20">
          <a:extLst>
            <a:ext uri="{FF2B5EF4-FFF2-40B4-BE49-F238E27FC236}">
              <a16:creationId xmlns:a16="http://schemas.microsoft.com/office/drawing/2014/main" id="{481A64A0-5E2F-4AD2-9E49-B9F9117E67F0}"/>
            </a:ext>
          </a:extLst>
        </xdr:cNvPr>
        <xdr:cNvSpPr/>
      </xdr:nvSpPr>
      <xdr:spPr>
        <a:xfrm>
          <a:off x="1524001" y="7310760"/>
          <a:ext cx="2924433" cy="71947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１－１－３．</a:t>
          </a:r>
          <a:r>
            <a:rPr kumimoji="1" lang="ja-JP" altLang="en-US" sz="1000" strike="sngStrike" kern="1200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製品名</a:t>
          </a:r>
          <a:r>
            <a:rPr kumimoji="1" lang="en-US" altLang="ja-JP" sz="1000" strike="sngStrike" kern="1200" baseline="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/</a:t>
          </a:r>
          <a:r>
            <a:rPr kumimoji="1" lang="en-US" altLang="ja-JP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CL</a:t>
          </a: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コードの重複あり？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128718</xdr:colOff>
      <xdr:row>36</xdr:row>
      <xdr:rowOff>162587</xdr:rowOff>
    </xdr:from>
    <xdr:to>
      <xdr:col>15</xdr:col>
      <xdr:colOff>139924</xdr:colOff>
      <xdr:row>39</xdr:row>
      <xdr:rowOff>143476</xdr:rowOff>
    </xdr:to>
    <xdr:cxnSp macro="">
      <xdr:nvCxnSpPr>
        <xdr:cNvPr id="22" name="直線矢印コネクタ 21">
          <a:extLst>
            <a:ext uri="{FF2B5EF4-FFF2-40B4-BE49-F238E27FC236}">
              <a16:creationId xmlns:a16="http://schemas.microsoft.com/office/drawing/2014/main" id="{9ADAEDE1-14B1-4BF0-864A-C859DC83BAA4}"/>
            </a:ext>
          </a:extLst>
        </xdr:cNvPr>
        <xdr:cNvCxnSpPr>
          <a:stCxn id="21" idx="2"/>
          <a:endCxn id="3" idx="0"/>
        </xdr:cNvCxnSpPr>
      </xdr:nvCxnSpPr>
      <xdr:spPr>
        <a:xfrm flipH="1">
          <a:off x="2986218" y="8030237"/>
          <a:ext cx="11206" cy="55238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152400</xdr:colOff>
      <xdr:row>37</xdr:row>
      <xdr:rowOff>85725</xdr:rowOff>
    </xdr:from>
    <xdr:to>
      <xdr:col>17</xdr:col>
      <xdr:colOff>98502</xdr:colOff>
      <xdr:row>38</xdr:row>
      <xdr:rowOff>156158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8C130D7F-CEB0-4C2E-ABBD-6A47A2871FEB}"/>
            </a:ext>
          </a:extLst>
        </xdr:cNvPr>
        <xdr:cNvSpPr/>
      </xdr:nvSpPr>
      <xdr:spPr>
        <a:xfrm>
          <a:off x="3009900" y="81438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24</xdr:col>
      <xdr:colOff>98867</xdr:colOff>
      <xdr:row>17</xdr:row>
      <xdr:rowOff>158803</xdr:rowOff>
    </xdr:from>
    <xdr:to>
      <xdr:col>26</xdr:col>
      <xdr:colOff>39207</xdr:colOff>
      <xdr:row>27</xdr:row>
      <xdr:rowOff>0</xdr:rowOff>
    </xdr:to>
    <xdr:sp macro="" textlink="">
      <xdr:nvSpPr>
        <xdr:cNvPr id="24" name="正方形/長方形 23">
          <a:extLst>
            <a:ext uri="{FF2B5EF4-FFF2-40B4-BE49-F238E27FC236}">
              <a16:creationId xmlns:a16="http://schemas.microsoft.com/office/drawing/2014/main" id="{A242286F-33F3-410F-AB52-9A230BE3E2DC}"/>
            </a:ext>
          </a:extLst>
        </xdr:cNvPr>
        <xdr:cNvSpPr/>
      </xdr:nvSpPr>
      <xdr:spPr>
        <a:xfrm>
          <a:off x="4670867" y="4406953"/>
          <a:ext cx="321340" cy="1746197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15</xdr:col>
      <xdr:colOff>156883</xdr:colOff>
      <xdr:row>13</xdr:row>
      <xdr:rowOff>134471</xdr:rowOff>
    </xdr:from>
    <xdr:to>
      <xdr:col>23</xdr:col>
      <xdr:colOff>66934</xdr:colOff>
      <xdr:row>34</xdr:row>
      <xdr:rowOff>189451</xdr:rowOff>
    </xdr:to>
    <xdr:cxnSp macro="">
      <xdr:nvCxnSpPr>
        <xdr:cNvPr id="25" name="カギ線コネクタ 158">
          <a:extLst>
            <a:ext uri="{FF2B5EF4-FFF2-40B4-BE49-F238E27FC236}">
              <a16:creationId xmlns:a16="http://schemas.microsoft.com/office/drawing/2014/main" id="{0AB6394C-B7BD-4D25-9640-551D3A5164A5}"/>
            </a:ext>
          </a:extLst>
        </xdr:cNvPr>
        <xdr:cNvCxnSpPr>
          <a:stCxn id="21" idx="3"/>
        </xdr:cNvCxnSpPr>
      </xdr:nvCxnSpPr>
      <xdr:spPr>
        <a:xfrm flipH="1" flipV="1">
          <a:off x="3014383" y="3620621"/>
          <a:ext cx="1434051" cy="4055480"/>
        </a:xfrm>
        <a:prstGeom prst="bentConnector4">
          <a:avLst>
            <a:gd name="adj1" fmla="val -14169"/>
            <a:gd name="adj2" fmla="val 9983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152534</xdr:colOff>
      <xdr:row>19</xdr:row>
      <xdr:rowOff>86398</xdr:rowOff>
    </xdr:from>
    <xdr:to>
      <xdr:col>29</xdr:col>
      <xdr:colOff>104909</xdr:colOff>
      <xdr:row>21</xdr:row>
      <xdr:rowOff>3369</xdr:rowOff>
    </xdr:to>
    <xdr:sp macro="" textlink="">
      <xdr:nvSpPr>
        <xdr:cNvPr id="26" name="右カーブ矢印 174">
          <a:extLst>
            <a:ext uri="{FF2B5EF4-FFF2-40B4-BE49-F238E27FC236}">
              <a16:creationId xmlns:a16="http://schemas.microsoft.com/office/drawing/2014/main" id="{B18FD03A-F879-461E-84A2-523813B2D43E}"/>
            </a:ext>
          </a:extLst>
        </xdr:cNvPr>
        <xdr:cNvSpPr/>
      </xdr:nvSpPr>
      <xdr:spPr>
        <a:xfrm rot="5856382">
          <a:off x="5027986" y="441209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5</xdr:col>
      <xdr:colOff>209551</xdr:colOff>
      <xdr:row>19</xdr:row>
      <xdr:rowOff>63874</xdr:rowOff>
    </xdr:from>
    <xdr:to>
      <xdr:col>25</xdr:col>
      <xdr:colOff>91889</xdr:colOff>
      <xdr:row>23</xdr:row>
      <xdr:rowOff>67235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8FD54465-98DE-4B09-9337-947139C769DC}"/>
            </a:ext>
          </a:extLst>
        </xdr:cNvPr>
        <xdr:cNvSpPr/>
      </xdr:nvSpPr>
      <xdr:spPr>
        <a:xfrm>
          <a:off x="1143001" y="4693024"/>
          <a:ext cx="3711388" cy="76536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118003</xdr:colOff>
      <xdr:row>272</xdr:row>
      <xdr:rowOff>83872</xdr:rowOff>
    </xdr:from>
    <xdr:to>
      <xdr:col>35</xdr:col>
      <xdr:colOff>161925</xdr:colOff>
      <xdr:row>275</xdr:row>
      <xdr:rowOff>152400</xdr:rowOff>
    </xdr:to>
    <xdr:sp macro="" textlink="">
      <xdr:nvSpPr>
        <xdr:cNvPr id="28" name="フローチャート: 磁気ディスク 27">
          <a:extLst>
            <a:ext uri="{FF2B5EF4-FFF2-40B4-BE49-F238E27FC236}">
              <a16:creationId xmlns:a16="http://schemas.microsoft.com/office/drawing/2014/main" id="{77C41FC1-2CAF-46FD-AE88-319A290F2B8B}"/>
            </a:ext>
          </a:extLst>
        </xdr:cNvPr>
        <xdr:cNvSpPr/>
      </xdr:nvSpPr>
      <xdr:spPr>
        <a:xfrm>
          <a:off x="5642503" y="62345622"/>
          <a:ext cx="1186922" cy="640028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環境証明書申請</a:t>
          </a:r>
        </a:p>
      </xdr:txBody>
    </xdr:sp>
    <xdr:clientData/>
  </xdr:twoCellAnchor>
  <xdr:twoCellAnchor>
    <xdr:from>
      <xdr:col>8</xdr:col>
      <xdr:colOff>28576</xdr:colOff>
      <xdr:row>273</xdr:row>
      <xdr:rowOff>95851</xdr:rowOff>
    </xdr:from>
    <xdr:to>
      <xdr:col>23</xdr:col>
      <xdr:colOff>95509</xdr:colOff>
      <xdr:row>277</xdr:row>
      <xdr:rowOff>43802</xdr:rowOff>
    </xdr:to>
    <xdr:sp macro="" textlink="">
      <xdr:nvSpPr>
        <xdr:cNvPr id="29" name="フローチャート: 判断 28">
          <a:extLst>
            <a:ext uri="{FF2B5EF4-FFF2-40B4-BE49-F238E27FC236}">
              <a16:creationId xmlns:a16="http://schemas.microsoft.com/office/drawing/2014/main" id="{6414D440-F752-4CF0-9E83-5BE3E6A02823}"/>
            </a:ext>
          </a:extLst>
        </xdr:cNvPr>
        <xdr:cNvSpPr/>
      </xdr:nvSpPr>
      <xdr:spPr>
        <a:xfrm>
          <a:off x="1552576" y="62548101"/>
          <a:ext cx="2924433" cy="709951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エラーが発生？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157293</xdr:colOff>
      <xdr:row>264</xdr:row>
      <xdr:rowOff>26220</xdr:rowOff>
    </xdr:from>
    <xdr:to>
      <xdr:col>15</xdr:col>
      <xdr:colOff>157293</xdr:colOff>
      <xdr:row>269</xdr:row>
      <xdr:rowOff>1407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F6FD3081-AD66-495F-897B-C56BCEFB8BD7}"/>
            </a:ext>
          </a:extLst>
        </xdr:cNvPr>
        <xdr:cNvCxnSpPr>
          <a:stCxn id="32" idx="2"/>
          <a:endCxn id="48" idx="0"/>
        </xdr:cNvCxnSpPr>
      </xdr:nvCxnSpPr>
      <xdr:spPr>
        <a:xfrm>
          <a:off x="3014793" y="60763970"/>
          <a:ext cx="0" cy="92768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166818</xdr:colOff>
      <xdr:row>277</xdr:row>
      <xdr:rowOff>43802</xdr:rowOff>
    </xdr:from>
    <xdr:to>
      <xdr:col>15</xdr:col>
      <xdr:colOff>166818</xdr:colOff>
      <xdr:row>281</xdr:row>
      <xdr:rowOff>142875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A76852D2-C739-4D0C-8EFF-64EEB4C08E9E}"/>
            </a:ext>
          </a:extLst>
        </xdr:cNvPr>
        <xdr:cNvCxnSpPr>
          <a:stCxn id="29" idx="2"/>
          <a:endCxn id="52" idx="0"/>
        </xdr:cNvCxnSpPr>
      </xdr:nvCxnSpPr>
      <xdr:spPr>
        <a:xfrm>
          <a:off x="3024318" y="63258052"/>
          <a:ext cx="0" cy="86107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19214</xdr:colOff>
      <xdr:row>262</xdr:row>
      <xdr:rowOff>115707</xdr:rowOff>
    </xdr:from>
    <xdr:to>
      <xdr:col>23</xdr:col>
      <xdr:colOff>85822</xdr:colOff>
      <xdr:row>264</xdr:row>
      <xdr:rowOff>26220</xdr:rowOff>
    </xdr:to>
    <xdr:sp macro="" textlink="">
      <xdr:nvSpPr>
        <xdr:cNvPr id="32" name="フローチャート: 処理 31">
          <a:extLst>
            <a:ext uri="{FF2B5EF4-FFF2-40B4-BE49-F238E27FC236}">
              <a16:creationId xmlns:a16="http://schemas.microsoft.com/office/drawing/2014/main" id="{5ED5F1F7-2596-4872-A766-D132DCCC72E3}"/>
            </a:ext>
          </a:extLst>
        </xdr:cNvPr>
        <xdr:cNvSpPr/>
      </xdr:nvSpPr>
      <xdr:spPr>
        <a:xfrm>
          <a:off x="1543214" y="60472457"/>
          <a:ext cx="2924108" cy="29151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136967</xdr:colOff>
      <xdr:row>286</xdr:row>
      <xdr:rowOff>44503</xdr:rowOff>
    </xdr:from>
    <xdr:to>
      <xdr:col>15</xdr:col>
      <xdr:colOff>77307</xdr:colOff>
      <xdr:row>287</xdr:row>
      <xdr:rowOff>135636</xdr:rowOff>
    </xdr:to>
    <xdr:sp macro="" textlink="">
      <xdr:nvSpPr>
        <xdr:cNvPr id="33" name="正方形/長方形 32">
          <a:extLst>
            <a:ext uri="{FF2B5EF4-FFF2-40B4-BE49-F238E27FC236}">
              <a16:creationId xmlns:a16="http://schemas.microsoft.com/office/drawing/2014/main" id="{A36B823C-1E6A-4473-9B14-483E1E4B4E92}"/>
            </a:ext>
          </a:extLst>
        </xdr:cNvPr>
        <xdr:cNvSpPr/>
      </xdr:nvSpPr>
      <xdr:spPr>
        <a:xfrm>
          <a:off x="2613467" y="64973253"/>
          <a:ext cx="321340" cy="2816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8</xdr:col>
      <xdr:colOff>164</xdr:colOff>
      <xdr:row>254</xdr:row>
      <xdr:rowOff>74245</xdr:rowOff>
    </xdr:from>
    <xdr:to>
      <xdr:col>23</xdr:col>
      <xdr:colOff>66772</xdr:colOff>
      <xdr:row>255</xdr:row>
      <xdr:rowOff>173017</xdr:rowOff>
    </xdr:to>
    <xdr:sp macro="" textlink="">
      <xdr:nvSpPr>
        <xdr:cNvPr id="34" name="フローチャート: 処理 33">
          <a:extLst>
            <a:ext uri="{FF2B5EF4-FFF2-40B4-BE49-F238E27FC236}">
              <a16:creationId xmlns:a16="http://schemas.microsoft.com/office/drawing/2014/main" id="{AD1980CD-2598-4CA9-830C-50B85B14FAE6}"/>
            </a:ext>
          </a:extLst>
        </xdr:cNvPr>
        <xdr:cNvSpPr/>
      </xdr:nvSpPr>
      <xdr:spPr>
        <a:xfrm>
          <a:off x="1524164" y="58906995"/>
          <a:ext cx="2924108" cy="28927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画面で選択した製品リストを取得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138243</xdr:colOff>
      <xdr:row>255</xdr:row>
      <xdr:rowOff>173017</xdr:rowOff>
    </xdr:from>
    <xdr:to>
      <xdr:col>15</xdr:col>
      <xdr:colOff>142875</xdr:colOff>
      <xdr:row>257</xdr:row>
      <xdr:rowOff>104774</xdr:rowOff>
    </xdr:to>
    <xdr:cxnSp macro="">
      <xdr:nvCxnSpPr>
        <xdr:cNvPr id="35" name="直線矢印コネクタ 34">
          <a:extLst>
            <a:ext uri="{FF2B5EF4-FFF2-40B4-BE49-F238E27FC236}">
              <a16:creationId xmlns:a16="http://schemas.microsoft.com/office/drawing/2014/main" id="{DC49B91D-2DB0-472C-8EA8-449BA838466D}"/>
            </a:ext>
          </a:extLst>
        </xdr:cNvPr>
        <xdr:cNvCxnSpPr>
          <a:stCxn id="34" idx="2"/>
          <a:endCxn id="42" idx="0"/>
        </xdr:cNvCxnSpPr>
      </xdr:nvCxnSpPr>
      <xdr:spPr>
        <a:xfrm>
          <a:off x="2995743" y="59196267"/>
          <a:ext cx="4632" cy="3127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28575</xdr:colOff>
      <xdr:row>260</xdr:row>
      <xdr:rowOff>123826</xdr:rowOff>
    </xdr:from>
    <xdr:to>
      <xdr:col>15</xdr:col>
      <xdr:colOff>200024</xdr:colOff>
      <xdr:row>283</xdr:row>
      <xdr:rowOff>112390</xdr:rowOff>
    </xdr:to>
    <xdr:cxnSp macro="">
      <xdr:nvCxnSpPr>
        <xdr:cNvPr id="36" name="カギ線コネクタ 308">
          <a:extLst>
            <a:ext uri="{FF2B5EF4-FFF2-40B4-BE49-F238E27FC236}">
              <a16:creationId xmlns:a16="http://schemas.microsoft.com/office/drawing/2014/main" id="{63C30649-7151-4349-A9E1-7B32F7FEF35A}"/>
            </a:ext>
          </a:extLst>
        </xdr:cNvPr>
        <xdr:cNvCxnSpPr>
          <a:stCxn id="52" idx="1"/>
        </xdr:cNvCxnSpPr>
      </xdr:nvCxnSpPr>
      <xdr:spPr>
        <a:xfrm rot="10800000" flipH="1">
          <a:off x="1552575" y="60099576"/>
          <a:ext cx="1498599" cy="4370064"/>
        </a:xfrm>
        <a:prstGeom prst="bentConnector4">
          <a:avLst>
            <a:gd name="adj1" fmla="val -13953"/>
            <a:gd name="adj2" fmla="val 9989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54560</xdr:colOff>
      <xdr:row>252</xdr:row>
      <xdr:rowOff>0</xdr:rowOff>
    </xdr:from>
    <xdr:to>
      <xdr:col>16</xdr:col>
      <xdr:colOff>13037</xdr:colOff>
      <xdr:row>252</xdr:row>
      <xdr:rowOff>176687</xdr:rowOff>
    </xdr:to>
    <xdr:sp macro="" textlink="">
      <xdr:nvSpPr>
        <xdr:cNvPr id="37" name="Oval 13">
          <a:extLst>
            <a:ext uri="{FF2B5EF4-FFF2-40B4-BE49-F238E27FC236}">
              <a16:creationId xmlns:a16="http://schemas.microsoft.com/office/drawing/2014/main" id="{F298E82C-60BA-4528-B06D-F0098E89DFA9}"/>
            </a:ext>
          </a:extLst>
        </xdr:cNvPr>
        <xdr:cNvSpPr>
          <a:spLocks noChangeArrowheads="1"/>
        </xdr:cNvSpPr>
      </xdr:nvSpPr>
      <xdr:spPr bwMode="auto">
        <a:xfrm>
          <a:off x="2912060" y="58451750"/>
          <a:ext cx="148977" cy="176687"/>
        </a:xfrm>
        <a:prstGeom prst="ellipse">
          <a:avLst/>
        </a:prstGeom>
        <a:solidFill>
          <a:srgbClr val="333333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</xdr:col>
      <xdr:colOff>138243</xdr:colOff>
      <xdr:row>252</xdr:row>
      <xdr:rowOff>176687</xdr:rowOff>
    </xdr:from>
    <xdr:to>
      <xdr:col>15</xdr:col>
      <xdr:colOff>138574</xdr:colOff>
      <xdr:row>254</xdr:row>
      <xdr:rowOff>74245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3E204D44-2B6B-4CE0-8515-51B258F70B34}"/>
            </a:ext>
          </a:extLst>
        </xdr:cNvPr>
        <xdr:cNvCxnSpPr>
          <a:stCxn id="37" idx="4"/>
          <a:endCxn id="34" idx="0"/>
        </xdr:cNvCxnSpPr>
      </xdr:nvCxnSpPr>
      <xdr:spPr>
        <a:xfrm flipH="1">
          <a:off x="2995743" y="58628437"/>
          <a:ext cx="331" cy="278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73610</xdr:colOff>
      <xdr:row>298</xdr:row>
      <xdr:rowOff>38100</xdr:rowOff>
    </xdr:from>
    <xdr:to>
      <xdr:col>16</xdr:col>
      <xdr:colOff>105016</xdr:colOff>
      <xdr:row>299</xdr:row>
      <xdr:rowOff>98212</xdr:rowOff>
    </xdr:to>
    <xdr:grpSp>
      <xdr:nvGrpSpPr>
        <xdr:cNvPr id="39" name="グループ化 38">
          <a:extLst>
            <a:ext uri="{FF2B5EF4-FFF2-40B4-BE49-F238E27FC236}">
              <a16:creationId xmlns:a16="http://schemas.microsoft.com/office/drawing/2014/main" id="{E46CF810-9CDE-477C-88EC-8036FD3DAC09}"/>
            </a:ext>
          </a:extLst>
        </xdr:cNvPr>
        <xdr:cNvGrpSpPr/>
      </xdr:nvGrpSpPr>
      <xdr:grpSpPr>
        <a:xfrm>
          <a:off x="2931110" y="56751071"/>
          <a:ext cx="218731" cy="250612"/>
          <a:chOff x="5591732" y="12046324"/>
          <a:chExt cx="246533" cy="257735"/>
        </a:xfrm>
      </xdr:grpSpPr>
      <xdr:sp macro="" textlink="">
        <xdr:nvSpPr>
          <xdr:cNvPr id="40" name="フローチャート : 結合子 184">
            <a:extLst>
              <a:ext uri="{FF2B5EF4-FFF2-40B4-BE49-F238E27FC236}">
                <a16:creationId xmlns:a16="http://schemas.microsoft.com/office/drawing/2014/main" id="{F4FC9A4F-7615-E489-0289-FED1421DE318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41" name="フローチャート : 結合子 183">
            <a:extLst>
              <a:ext uri="{FF2B5EF4-FFF2-40B4-BE49-F238E27FC236}">
                <a16:creationId xmlns:a16="http://schemas.microsoft.com/office/drawing/2014/main" id="{E62BD7FD-4444-5429-6967-A1A0ABD1D373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11</xdr:col>
      <xdr:colOff>142875</xdr:colOff>
      <xdr:row>257</xdr:row>
      <xdr:rowOff>104774</xdr:rowOff>
    </xdr:from>
    <xdr:to>
      <xdr:col>19</xdr:col>
      <xdr:colOff>142875</xdr:colOff>
      <xdr:row>259</xdr:row>
      <xdr:rowOff>104775</xdr:rowOff>
    </xdr:to>
    <xdr:sp macro="" textlink="">
      <xdr:nvSpPr>
        <xdr:cNvPr id="42" name="楕円 41">
          <a:extLst>
            <a:ext uri="{FF2B5EF4-FFF2-40B4-BE49-F238E27FC236}">
              <a16:creationId xmlns:a16="http://schemas.microsoft.com/office/drawing/2014/main" id="{52C17247-02E6-4EEE-BC3D-BD28EFA04CF8}"/>
            </a:ext>
          </a:extLst>
        </xdr:cNvPr>
        <xdr:cNvSpPr/>
      </xdr:nvSpPr>
      <xdr:spPr>
        <a:xfrm>
          <a:off x="2238375" y="5950902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</a:t>
          </a:r>
        </a:p>
      </xdr:txBody>
    </xdr:sp>
    <xdr:clientData/>
  </xdr:twoCellAnchor>
  <xdr:twoCellAnchor>
    <xdr:from>
      <xdr:col>15</xdr:col>
      <xdr:colOff>142875</xdr:colOff>
      <xdr:row>259</xdr:row>
      <xdr:rowOff>104775</xdr:rowOff>
    </xdr:from>
    <xdr:to>
      <xdr:col>15</xdr:col>
      <xdr:colOff>157293</xdr:colOff>
      <xdr:row>262</xdr:row>
      <xdr:rowOff>115707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C839F82A-31E5-4F4E-BBB7-62D001E69872}"/>
            </a:ext>
          </a:extLst>
        </xdr:cNvPr>
        <xdr:cNvCxnSpPr>
          <a:stCxn id="42" idx="4"/>
          <a:endCxn id="32" idx="0"/>
        </xdr:cNvCxnSpPr>
      </xdr:nvCxnSpPr>
      <xdr:spPr>
        <a:xfrm>
          <a:off x="3000375" y="59890025"/>
          <a:ext cx="14418" cy="58243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157293</xdr:colOff>
      <xdr:row>270</xdr:row>
      <xdr:rowOff>111945</xdr:rowOff>
    </xdr:from>
    <xdr:to>
      <xdr:col>15</xdr:col>
      <xdr:colOff>166818</xdr:colOff>
      <xdr:row>273</xdr:row>
      <xdr:rowOff>95851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B4DD4246-0B97-4F16-8129-8940605778CE}"/>
            </a:ext>
          </a:extLst>
        </xdr:cNvPr>
        <xdr:cNvCxnSpPr>
          <a:stCxn id="48" idx="2"/>
          <a:endCxn id="29" idx="0"/>
        </xdr:cNvCxnSpPr>
      </xdr:nvCxnSpPr>
      <xdr:spPr>
        <a:xfrm>
          <a:off x="3014793" y="61992695"/>
          <a:ext cx="9525" cy="555406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95509</xdr:colOff>
      <xdr:row>275</xdr:row>
      <xdr:rowOff>69827</xdr:rowOff>
    </xdr:from>
    <xdr:to>
      <xdr:col>28</xdr:col>
      <xdr:colOff>129001</xdr:colOff>
      <xdr:row>298</xdr:row>
      <xdr:rowOff>0</xdr:rowOff>
    </xdr:to>
    <xdr:cxnSp macro="">
      <xdr:nvCxnSpPr>
        <xdr:cNvPr id="45" name="カギ線コネクタ 321">
          <a:extLst>
            <a:ext uri="{FF2B5EF4-FFF2-40B4-BE49-F238E27FC236}">
              <a16:creationId xmlns:a16="http://schemas.microsoft.com/office/drawing/2014/main" id="{22CBF982-F011-4B57-80FC-6B06072817B2}"/>
            </a:ext>
          </a:extLst>
        </xdr:cNvPr>
        <xdr:cNvCxnSpPr>
          <a:stCxn id="29" idx="3"/>
          <a:endCxn id="56" idx="0"/>
        </xdr:cNvCxnSpPr>
      </xdr:nvCxnSpPr>
      <xdr:spPr>
        <a:xfrm>
          <a:off x="4477009" y="62903077"/>
          <a:ext cx="985992" cy="4311673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168717</xdr:colOff>
      <xdr:row>270</xdr:row>
      <xdr:rowOff>137083</xdr:rowOff>
    </xdr:from>
    <xdr:to>
      <xdr:col>31</xdr:col>
      <xdr:colOff>41918</xdr:colOff>
      <xdr:row>272</xdr:row>
      <xdr:rowOff>126299</xdr:rowOff>
    </xdr:to>
    <xdr:sp macro="" textlink="">
      <xdr:nvSpPr>
        <xdr:cNvPr id="46" name="右カーブ矢印 322">
          <a:extLst>
            <a:ext uri="{FF2B5EF4-FFF2-40B4-BE49-F238E27FC236}">
              <a16:creationId xmlns:a16="http://schemas.microsoft.com/office/drawing/2014/main" id="{04EA4079-5BDC-4E53-9344-7EA39DBA89F8}"/>
            </a:ext>
          </a:extLst>
        </xdr:cNvPr>
        <xdr:cNvSpPr/>
      </xdr:nvSpPr>
      <xdr:spPr>
        <a:xfrm rot="16200000" flipH="1">
          <a:off x="5063710" y="61504340"/>
          <a:ext cx="370216" cy="1397201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4</xdr:col>
      <xdr:colOff>123825</xdr:colOff>
      <xdr:row>266</xdr:row>
      <xdr:rowOff>133350</xdr:rowOff>
    </xdr:from>
    <xdr:to>
      <xdr:col>25</xdr:col>
      <xdr:colOff>95250</xdr:colOff>
      <xdr:row>278</xdr:row>
      <xdr:rowOff>57150</xdr:rowOff>
    </xdr:to>
    <xdr:sp macro="" textlink="">
      <xdr:nvSpPr>
        <xdr:cNvPr id="47" name="正方形/長方形 46">
          <a:extLst>
            <a:ext uri="{FF2B5EF4-FFF2-40B4-BE49-F238E27FC236}">
              <a16:creationId xmlns:a16="http://schemas.microsoft.com/office/drawing/2014/main" id="{21C49708-D2F9-4703-BE52-19051FD2EFE8}"/>
            </a:ext>
          </a:extLst>
        </xdr:cNvPr>
        <xdr:cNvSpPr/>
      </xdr:nvSpPr>
      <xdr:spPr>
        <a:xfrm>
          <a:off x="885825" y="61252100"/>
          <a:ext cx="3971925" cy="2209800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8</xdr:col>
      <xdr:colOff>19214</xdr:colOff>
      <xdr:row>269</xdr:row>
      <xdr:rowOff>1407</xdr:rowOff>
    </xdr:from>
    <xdr:to>
      <xdr:col>23</xdr:col>
      <xdr:colOff>85822</xdr:colOff>
      <xdr:row>270</xdr:row>
      <xdr:rowOff>111945</xdr:rowOff>
    </xdr:to>
    <xdr:sp macro="" textlink="">
      <xdr:nvSpPr>
        <xdr:cNvPr id="48" name="フローチャート: 処理 47">
          <a:extLst>
            <a:ext uri="{FF2B5EF4-FFF2-40B4-BE49-F238E27FC236}">
              <a16:creationId xmlns:a16="http://schemas.microsoft.com/office/drawing/2014/main" id="{FC97E1B2-908D-4671-9BEA-07030FEC4FCC}"/>
            </a:ext>
          </a:extLst>
        </xdr:cNvPr>
        <xdr:cNvSpPr/>
      </xdr:nvSpPr>
      <xdr:spPr>
        <a:xfrm>
          <a:off x="1543214" y="61691657"/>
          <a:ext cx="2924108" cy="30103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－１．申請データを</a:t>
          </a:r>
          <a:r>
            <a:rPr kumimoji="1" lang="en-US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insert</a:t>
          </a:r>
          <a:r>
            <a:rPr kumimoji="1" lang="ja-JP" altLang="ja-JP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する</a:t>
          </a:r>
          <a:r>
            <a:rPr kumimoji="1" lang="ja-JP" altLang="en-US" sz="1000" kern="12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処理</a:t>
          </a:r>
          <a:endParaRPr kumimoji="1" lang="ja-JP" altLang="ja-JP" sz="1000" kern="12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166818</xdr:colOff>
      <xdr:row>285</xdr:row>
      <xdr:rowOff>81902</xdr:rowOff>
    </xdr:from>
    <xdr:to>
      <xdr:col>15</xdr:col>
      <xdr:colOff>180975</xdr:colOff>
      <xdr:row>288</xdr:row>
      <xdr:rowOff>47624</xdr:rowOff>
    </xdr:to>
    <xdr:cxnSp macro="">
      <xdr:nvCxnSpPr>
        <xdr:cNvPr id="49" name="直線矢印コネクタ 48">
          <a:extLst>
            <a:ext uri="{FF2B5EF4-FFF2-40B4-BE49-F238E27FC236}">
              <a16:creationId xmlns:a16="http://schemas.microsoft.com/office/drawing/2014/main" id="{02446178-A3A4-413E-9A76-E65AB0F5B807}"/>
            </a:ext>
          </a:extLst>
        </xdr:cNvPr>
        <xdr:cNvCxnSpPr>
          <a:stCxn id="52" idx="2"/>
          <a:endCxn id="50" idx="0"/>
        </xdr:cNvCxnSpPr>
      </xdr:nvCxnSpPr>
      <xdr:spPr>
        <a:xfrm>
          <a:off x="3024318" y="64820152"/>
          <a:ext cx="14157" cy="537222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180975</xdr:colOff>
      <xdr:row>288</xdr:row>
      <xdr:rowOff>47624</xdr:rowOff>
    </xdr:from>
    <xdr:to>
      <xdr:col>19</xdr:col>
      <xdr:colOff>180975</xdr:colOff>
      <xdr:row>290</xdr:row>
      <xdr:rowOff>47625</xdr:rowOff>
    </xdr:to>
    <xdr:sp macro="" textlink="">
      <xdr:nvSpPr>
        <xdr:cNvPr id="50" name="楕円 49">
          <a:extLst>
            <a:ext uri="{FF2B5EF4-FFF2-40B4-BE49-F238E27FC236}">
              <a16:creationId xmlns:a16="http://schemas.microsoft.com/office/drawing/2014/main" id="{BC6DC513-08D0-41E1-A7AA-D1B135222AEF}"/>
            </a:ext>
          </a:extLst>
        </xdr:cNvPr>
        <xdr:cNvSpPr/>
      </xdr:nvSpPr>
      <xdr:spPr>
        <a:xfrm>
          <a:off x="2276475" y="65357374"/>
          <a:ext cx="1524000" cy="381001"/>
        </a:xfrm>
        <a:prstGeom prst="ellips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</a:t>
          </a:r>
        </a:p>
      </xdr:txBody>
    </xdr:sp>
    <xdr:clientData/>
  </xdr:twoCellAnchor>
  <xdr:twoCellAnchor>
    <xdr:from>
      <xdr:col>15</xdr:col>
      <xdr:colOff>180975</xdr:colOff>
      <xdr:row>290</xdr:row>
      <xdr:rowOff>47625</xdr:rowOff>
    </xdr:from>
    <xdr:to>
      <xdr:col>15</xdr:col>
      <xdr:colOff>190501</xdr:colOff>
      <xdr:row>293</xdr:row>
      <xdr:rowOff>9525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FA622868-ED26-4C14-9597-1FBEEB856814}"/>
            </a:ext>
          </a:extLst>
        </xdr:cNvPr>
        <xdr:cNvCxnSpPr>
          <a:stCxn id="50" idx="4"/>
          <a:endCxn id="60" idx="0"/>
        </xdr:cNvCxnSpPr>
      </xdr:nvCxnSpPr>
      <xdr:spPr>
        <a:xfrm>
          <a:off x="3038475" y="65738375"/>
          <a:ext cx="9526" cy="5334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28576</xdr:colOff>
      <xdr:row>281</xdr:row>
      <xdr:rowOff>142875</xdr:rowOff>
    </xdr:from>
    <xdr:to>
      <xdr:col>23</xdr:col>
      <xdr:colOff>95509</xdr:colOff>
      <xdr:row>285</xdr:row>
      <xdr:rowOff>81902</xdr:rowOff>
    </xdr:to>
    <xdr:sp macro="" textlink="">
      <xdr:nvSpPr>
        <xdr:cNvPr id="52" name="フローチャート: 判断 51">
          <a:extLst>
            <a:ext uri="{FF2B5EF4-FFF2-40B4-BE49-F238E27FC236}">
              <a16:creationId xmlns:a16="http://schemas.microsoft.com/office/drawing/2014/main" id="{38D5B6CC-A57B-4311-B2D5-93BB8BAC99FD}"/>
            </a:ext>
          </a:extLst>
        </xdr:cNvPr>
        <xdr:cNvSpPr/>
      </xdr:nvSpPr>
      <xdr:spPr>
        <a:xfrm>
          <a:off x="1552576" y="64119125"/>
          <a:ext cx="2924433" cy="70102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リストの最後？</a:t>
          </a:r>
        </a:p>
      </xdr:txBody>
    </xdr:sp>
    <xdr:clientData/>
  </xdr:twoCellAnchor>
  <xdr:twoCellAnchor>
    <xdr:from>
      <xdr:col>26</xdr:col>
      <xdr:colOff>70292</xdr:colOff>
      <xdr:row>273</xdr:row>
      <xdr:rowOff>177853</xdr:rowOff>
    </xdr:from>
    <xdr:to>
      <xdr:col>28</xdr:col>
      <xdr:colOff>10632</xdr:colOff>
      <xdr:row>275</xdr:row>
      <xdr:rowOff>68961</xdr:rowOff>
    </xdr:to>
    <xdr:sp macro="" textlink="">
      <xdr:nvSpPr>
        <xdr:cNvPr id="53" name="正方形/長方形 52">
          <a:extLst>
            <a:ext uri="{FF2B5EF4-FFF2-40B4-BE49-F238E27FC236}">
              <a16:creationId xmlns:a16="http://schemas.microsoft.com/office/drawing/2014/main" id="{46CCDF63-A365-4145-8D2A-34653CDA1DF9}"/>
            </a:ext>
          </a:extLst>
        </xdr:cNvPr>
        <xdr:cNvSpPr/>
      </xdr:nvSpPr>
      <xdr:spPr>
        <a:xfrm>
          <a:off x="5023292" y="62630103"/>
          <a:ext cx="321340" cy="272108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5</xdr:col>
      <xdr:colOff>104775</xdr:colOff>
      <xdr:row>271</xdr:row>
      <xdr:rowOff>85725</xdr:rowOff>
    </xdr:from>
    <xdr:to>
      <xdr:col>7</xdr:col>
      <xdr:colOff>50877</xdr:colOff>
      <xdr:row>272</xdr:row>
      <xdr:rowOff>156158</xdr:rowOff>
    </xdr:to>
    <xdr:sp macro="" textlink="">
      <xdr:nvSpPr>
        <xdr:cNvPr id="54" name="正方形/長方形 53">
          <a:extLst>
            <a:ext uri="{FF2B5EF4-FFF2-40B4-BE49-F238E27FC236}">
              <a16:creationId xmlns:a16="http://schemas.microsoft.com/office/drawing/2014/main" id="{331F03F9-FFFF-4A44-8558-85A40E818F54}"/>
            </a:ext>
          </a:extLst>
        </xdr:cNvPr>
        <xdr:cNvSpPr/>
      </xdr:nvSpPr>
      <xdr:spPr>
        <a:xfrm>
          <a:off x="1057275" y="62156975"/>
          <a:ext cx="327102" cy="26093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28</xdr:col>
      <xdr:colOff>10110</xdr:colOff>
      <xdr:row>298</xdr:row>
      <xdr:rowOff>0</xdr:rowOff>
    </xdr:from>
    <xdr:to>
      <xdr:col>29</xdr:col>
      <xdr:colOff>44691</xdr:colOff>
      <xdr:row>299</xdr:row>
      <xdr:rowOff>60112</xdr:rowOff>
    </xdr:to>
    <xdr:grpSp>
      <xdr:nvGrpSpPr>
        <xdr:cNvPr id="55" name="グループ化 54">
          <a:extLst>
            <a:ext uri="{FF2B5EF4-FFF2-40B4-BE49-F238E27FC236}">
              <a16:creationId xmlns:a16="http://schemas.microsoft.com/office/drawing/2014/main" id="{B01E1100-63BD-4E18-9491-B3A8CC04A205}"/>
            </a:ext>
          </a:extLst>
        </xdr:cNvPr>
        <xdr:cNvGrpSpPr/>
      </xdr:nvGrpSpPr>
      <xdr:grpSpPr>
        <a:xfrm>
          <a:off x="5340935" y="56712971"/>
          <a:ext cx="231431" cy="250612"/>
          <a:chOff x="5591732" y="12046324"/>
          <a:chExt cx="246533" cy="257735"/>
        </a:xfrm>
      </xdr:grpSpPr>
      <xdr:sp macro="" textlink="">
        <xdr:nvSpPr>
          <xdr:cNvPr id="56" name="フローチャート : 結合子 184">
            <a:extLst>
              <a:ext uri="{FF2B5EF4-FFF2-40B4-BE49-F238E27FC236}">
                <a16:creationId xmlns:a16="http://schemas.microsoft.com/office/drawing/2014/main" id="{FAEBE989-0D9D-88BE-919B-6E781CADC9CB}"/>
              </a:ext>
            </a:extLst>
          </xdr:cNvPr>
          <xdr:cNvSpPr/>
        </xdr:nvSpPr>
        <xdr:spPr bwMode="auto">
          <a:xfrm>
            <a:off x="5591732" y="12046324"/>
            <a:ext cx="246533" cy="257735"/>
          </a:xfrm>
          <a:prstGeom prst="flowChartConnector">
            <a:avLst/>
          </a:prstGeom>
          <a:noFill/>
          <a:ln w="9525"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  <xdr:sp macro="" textlink="">
        <xdr:nvSpPr>
          <xdr:cNvPr id="57" name="フローチャート : 結合子 183">
            <a:extLst>
              <a:ext uri="{FF2B5EF4-FFF2-40B4-BE49-F238E27FC236}">
                <a16:creationId xmlns:a16="http://schemas.microsoft.com/office/drawing/2014/main" id="{E5DF142B-ACBA-DBB3-0136-92F9CD4126E7}"/>
              </a:ext>
            </a:extLst>
          </xdr:cNvPr>
          <xdr:cNvSpPr/>
        </xdr:nvSpPr>
        <xdr:spPr bwMode="auto">
          <a:xfrm>
            <a:off x="5681383" y="12147177"/>
            <a:ext cx="77480" cy="67689"/>
          </a:xfrm>
          <a:prstGeom prst="flowChartConnector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rtlCol="0" anchor="ctr"/>
          <a:lstStyle/>
          <a:p>
            <a:endParaRPr lang="ja-JP" altLang="en-US">
              <a:latin typeface="Meiryo UI" panose="020B0604030504040204" pitchFamily="50" charset="-128"/>
              <a:ea typeface="Meiryo UI" panose="020B0604030504040204" pitchFamily="50" charset="-128"/>
            </a:endParaRPr>
          </a:p>
        </xdr:txBody>
      </xdr:sp>
    </xdr:grpSp>
    <xdr:clientData/>
  </xdr:twoCellAnchor>
  <xdr:twoCellAnchor>
    <xdr:from>
      <xdr:col>30</xdr:col>
      <xdr:colOff>66676</xdr:colOff>
      <xdr:row>296</xdr:row>
      <xdr:rowOff>9525</xdr:rowOff>
    </xdr:from>
    <xdr:to>
      <xdr:col>37</xdr:col>
      <xdr:colOff>161926</xdr:colOff>
      <xdr:row>299</xdr:row>
      <xdr:rowOff>57150</xdr:rowOff>
    </xdr:to>
    <xdr:sp macro="" textlink="">
      <xdr:nvSpPr>
        <xdr:cNvPr id="58" name="四角形吹き出し 381">
          <a:extLst>
            <a:ext uri="{FF2B5EF4-FFF2-40B4-BE49-F238E27FC236}">
              <a16:creationId xmlns:a16="http://schemas.microsoft.com/office/drawing/2014/main" id="{C0BC48FF-2EDE-45DD-A71B-48D03293AF98}"/>
            </a:ext>
          </a:extLst>
        </xdr:cNvPr>
        <xdr:cNvSpPr/>
      </xdr:nvSpPr>
      <xdr:spPr>
        <a:xfrm>
          <a:off x="5781676" y="66843275"/>
          <a:ext cx="1428750" cy="619125"/>
        </a:xfrm>
        <a:prstGeom prst="wedgeRectCallout">
          <a:avLst>
            <a:gd name="adj1" fmla="val -71411"/>
            <a:gd name="adj2" fmla="val 20576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本画面の戻って、対応するエラーメッセージを出力</a:t>
          </a:r>
        </a:p>
      </xdr:txBody>
    </xdr:sp>
    <xdr:clientData/>
  </xdr:twoCellAnchor>
  <xdr:twoCellAnchor>
    <xdr:from>
      <xdr:col>5</xdr:col>
      <xdr:colOff>66839</xdr:colOff>
      <xdr:row>293</xdr:row>
      <xdr:rowOff>0</xdr:rowOff>
    </xdr:from>
    <xdr:to>
      <xdr:col>10</xdr:col>
      <xdr:colOff>95250</xdr:colOff>
      <xdr:row>295</xdr:row>
      <xdr:rowOff>131928</xdr:rowOff>
    </xdr:to>
    <xdr:sp macro="" textlink="">
      <xdr:nvSpPr>
        <xdr:cNvPr id="59" name="フローチャート: 処理 58">
          <a:extLst>
            <a:ext uri="{FF2B5EF4-FFF2-40B4-BE49-F238E27FC236}">
              <a16:creationId xmlns:a16="http://schemas.microsoft.com/office/drawing/2014/main" id="{4A895B4F-6BDF-411E-9CD6-8EF1016F3D7F}"/>
            </a:ext>
          </a:extLst>
        </xdr:cNvPr>
        <xdr:cNvSpPr/>
      </xdr:nvSpPr>
      <xdr:spPr>
        <a:xfrm>
          <a:off x="1019339" y="66262250"/>
          <a:ext cx="980911" cy="51292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申請完了画面に遷移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13</xdr:col>
      <xdr:colOff>19051</xdr:colOff>
      <xdr:row>293</xdr:row>
      <xdr:rowOff>9525</xdr:rowOff>
    </xdr:from>
    <xdr:to>
      <xdr:col>18</xdr:col>
      <xdr:colOff>152401</xdr:colOff>
      <xdr:row>295</xdr:row>
      <xdr:rowOff>125231</xdr:rowOff>
    </xdr:to>
    <xdr:sp macro="" textlink="">
      <xdr:nvSpPr>
        <xdr:cNvPr id="60" name="フローチャート: 処理 59">
          <a:extLst>
            <a:ext uri="{FF2B5EF4-FFF2-40B4-BE49-F238E27FC236}">
              <a16:creationId xmlns:a16="http://schemas.microsoft.com/office/drawing/2014/main" id="{D2AE8659-50B6-439E-92DA-91AAA1431793}"/>
            </a:ext>
          </a:extLst>
        </xdr:cNvPr>
        <xdr:cNvSpPr/>
      </xdr:nvSpPr>
      <xdr:spPr>
        <a:xfrm>
          <a:off x="2495551" y="66271775"/>
          <a:ext cx="1085850" cy="49670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Ａ－３－２．申請</a:t>
          </a:r>
          <a:r>
            <a:rPr kumimoji="1" lang="en-US" altLang="ja-JP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ファイル出力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19</xdr:col>
      <xdr:colOff>190664</xdr:colOff>
      <xdr:row>292</xdr:row>
      <xdr:rowOff>152401</xdr:rowOff>
    </xdr:from>
    <xdr:to>
      <xdr:col>26</xdr:col>
      <xdr:colOff>123825</xdr:colOff>
      <xdr:row>295</xdr:row>
      <xdr:rowOff>114300</xdr:rowOff>
    </xdr:to>
    <xdr:sp macro="" textlink="">
      <xdr:nvSpPr>
        <xdr:cNvPr id="61" name="フローチャート: 処理 60">
          <a:extLst>
            <a:ext uri="{FF2B5EF4-FFF2-40B4-BE49-F238E27FC236}">
              <a16:creationId xmlns:a16="http://schemas.microsoft.com/office/drawing/2014/main" id="{D545FE3D-9F8A-4276-B1DD-F76AB8F134CF}"/>
            </a:ext>
          </a:extLst>
        </xdr:cNvPr>
        <xdr:cNvSpPr/>
      </xdr:nvSpPr>
      <xdr:spPr>
        <a:xfrm>
          <a:off x="3810164" y="66224151"/>
          <a:ext cx="1266661" cy="533399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 defTabSz="914400" rtl="0" eaLnBrk="1" fontAlgn="auto" latinLnBrk="0" hangingPunct="1"/>
          <a:r>
            <a:rPr kumimoji="1" lang="ja-JP" altLang="en-US" sz="1000" kern="1200">
              <a:solidFill>
                <a:schemeClr val="tx1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Ａ－３－３．環境証明書申請完了お知らせメール送信</a:t>
          </a:r>
          <a:endParaRPr kumimoji="1" lang="ja-JP" altLang="ja-JP" sz="1000" kern="12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185820</xdr:colOff>
      <xdr:row>290</xdr:row>
      <xdr:rowOff>47626</xdr:rowOff>
    </xdr:from>
    <xdr:to>
      <xdr:col>15</xdr:col>
      <xdr:colOff>180975</xdr:colOff>
      <xdr:row>293</xdr:row>
      <xdr:rowOff>1</xdr:rowOff>
    </xdr:to>
    <xdr:cxnSp macro="">
      <xdr:nvCxnSpPr>
        <xdr:cNvPr id="62" name="カギ線コネクタ 387">
          <a:extLst>
            <a:ext uri="{FF2B5EF4-FFF2-40B4-BE49-F238E27FC236}">
              <a16:creationId xmlns:a16="http://schemas.microsoft.com/office/drawing/2014/main" id="{A89A4520-17BF-461B-B643-9E24AABBCC4B}"/>
            </a:ext>
          </a:extLst>
        </xdr:cNvPr>
        <xdr:cNvCxnSpPr>
          <a:stCxn id="50" idx="4"/>
          <a:endCxn id="59" idx="0"/>
        </xdr:cNvCxnSpPr>
      </xdr:nvCxnSpPr>
      <xdr:spPr>
        <a:xfrm rot="5400000">
          <a:off x="2016960" y="65240736"/>
          <a:ext cx="523875" cy="151915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180974</xdr:colOff>
      <xdr:row>290</xdr:row>
      <xdr:rowOff>47625</xdr:rowOff>
    </xdr:from>
    <xdr:to>
      <xdr:col>23</xdr:col>
      <xdr:colOff>52469</xdr:colOff>
      <xdr:row>292</xdr:row>
      <xdr:rowOff>152401</xdr:rowOff>
    </xdr:to>
    <xdr:cxnSp macro="">
      <xdr:nvCxnSpPr>
        <xdr:cNvPr id="63" name="カギ線コネクタ 390">
          <a:extLst>
            <a:ext uri="{FF2B5EF4-FFF2-40B4-BE49-F238E27FC236}">
              <a16:creationId xmlns:a16="http://schemas.microsoft.com/office/drawing/2014/main" id="{4FE96861-3313-40AA-9FAD-5560A6651D3D}"/>
            </a:ext>
          </a:extLst>
        </xdr:cNvPr>
        <xdr:cNvCxnSpPr>
          <a:stCxn id="50" idx="4"/>
          <a:endCxn id="61" idx="0"/>
        </xdr:cNvCxnSpPr>
      </xdr:nvCxnSpPr>
      <xdr:spPr>
        <a:xfrm rot="16200000" flipH="1">
          <a:off x="3493334" y="65283515"/>
          <a:ext cx="485776" cy="1395495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190501</xdr:colOff>
      <xdr:row>295</xdr:row>
      <xdr:rowOff>125231</xdr:rowOff>
    </xdr:from>
    <xdr:to>
      <xdr:col>15</xdr:col>
      <xdr:colOff>195676</xdr:colOff>
      <xdr:row>298</xdr:row>
      <xdr:rowOff>38100</xdr:rowOff>
    </xdr:to>
    <xdr:cxnSp macro="">
      <xdr:nvCxnSpPr>
        <xdr:cNvPr id="64" name="直線矢印コネクタ 63">
          <a:extLst>
            <a:ext uri="{FF2B5EF4-FFF2-40B4-BE49-F238E27FC236}">
              <a16:creationId xmlns:a16="http://schemas.microsoft.com/office/drawing/2014/main" id="{93063D4F-86EC-4CCA-9791-3E99DA8F59D4}"/>
            </a:ext>
          </a:extLst>
        </xdr:cNvPr>
        <xdr:cNvCxnSpPr>
          <a:stCxn id="60" idx="2"/>
          <a:endCxn id="40" idx="0"/>
        </xdr:cNvCxnSpPr>
      </xdr:nvCxnSpPr>
      <xdr:spPr>
        <a:xfrm>
          <a:off x="3048001" y="66768481"/>
          <a:ext cx="0" cy="48436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185821</xdr:colOff>
      <xdr:row>295</xdr:row>
      <xdr:rowOff>131927</xdr:rowOff>
    </xdr:from>
    <xdr:to>
      <xdr:col>15</xdr:col>
      <xdr:colOff>195677</xdr:colOff>
      <xdr:row>298</xdr:row>
      <xdr:rowOff>38099</xdr:rowOff>
    </xdr:to>
    <xdr:cxnSp macro="">
      <xdr:nvCxnSpPr>
        <xdr:cNvPr id="65" name="カギ線コネクタ 415">
          <a:extLst>
            <a:ext uri="{FF2B5EF4-FFF2-40B4-BE49-F238E27FC236}">
              <a16:creationId xmlns:a16="http://schemas.microsoft.com/office/drawing/2014/main" id="{FD33F547-33E0-46DC-8A03-02D57AB031C5}"/>
            </a:ext>
          </a:extLst>
        </xdr:cNvPr>
        <xdr:cNvCxnSpPr>
          <a:stCxn id="59" idx="2"/>
          <a:endCxn id="40" idx="0"/>
        </xdr:cNvCxnSpPr>
      </xdr:nvCxnSpPr>
      <xdr:spPr>
        <a:xfrm rot="16200000" flipH="1">
          <a:off x="2044238" y="66250260"/>
          <a:ext cx="477672" cy="1527506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195677</xdr:colOff>
      <xdr:row>295</xdr:row>
      <xdr:rowOff>114299</xdr:rowOff>
    </xdr:from>
    <xdr:to>
      <xdr:col>23</xdr:col>
      <xdr:colOff>52471</xdr:colOff>
      <xdr:row>298</xdr:row>
      <xdr:rowOff>38099</xdr:rowOff>
    </xdr:to>
    <xdr:cxnSp macro="">
      <xdr:nvCxnSpPr>
        <xdr:cNvPr id="66" name="カギ線コネクタ 421">
          <a:extLst>
            <a:ext uri="{FF2B5EF4-FFF2-40B4-BE49-F238E27FC236}">
              <a16:creationId xmlns:a16="http://schemas.microsoft.com/office/drawing/2014/main" id="{E8A1EBC9-E925-4920-B9A2-1BDFAAC20EEE}"/>
            </a:ext>
          </a:extLst>
        </xdr:cNvPr>
        <xdr:cNvCxnSpPr>
          <a:stCxn id="61" idx="2"/>
          <a:endCxn id="40" idx="0"/>
        </xdr:cNvCxnSpPr>
      </xdr:nvCxnSpPr>
      <xdr:spPr>
        <a:xfrm rot="5400000">
          <a:off x="3492749" y="66311627"/>
          <a:ext cx="495300" cy="1387144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179294</xdr:colOff>
      <xdr:row>216</xdr:row>
      <xdr:rowOff>9526</xdr:rowOff>
    </xdr:from>
    <xdr:to>
      <xdr:col>34</xdr:col>
      <xdr:colOff>193862</xdr:colOff>
      <xdr:row>239</xdr:row>
      <xdr:rowOff>89648</xdr:rowOff>
    </xdr:to>
    <xdr:sp macro="" textlink="">
      <xdr:nvSpPr>
        <xdr:cNvPr id="67" name="正方形/長方形 66">
          <a:extLst>
            <a:ext uri="{FF2B5EF4-FFF2-40B4-BE49-F238E27FC236}">
              <a16:creationId xmlns:a16="http://schemas.microsoft.com/office/drawing/2014/main" id="{82B7F11F-151E-4E4B-B780-56B7EF3C1BD8}"/>
            </a:ext>
          </a:extLst>
        </xdr:cNvPr>
        <xdr:cNvSpPr/>
      </xdr:nvSpPr>
      <xdr:spPr>
        <a:xfrm>
          <a:off x="941294" y="47539276"/>
          <a:ext cx="5723218" cy="446162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証明書申請製品情報マスタ</a:t>
          </a:r>
        </a:p>
      </xdr:txBody>
    </xdr:sp>
    <xdr:clientData/>
  </xdr:twoCellAnchor>
  <xdr:twoCellAnchor>
    <xdr:from>
      <xdr:col>15</xdr:col>
      <xdr:colOff>165605</xdr:colOff>
      <xdr:row>223</xdr:row>
      <xdr:rowOff>68912</xdr:rowOff>
    </xdr:from>
    <xdr:to>
      <xdr:col>23</xdr:col>
      <xdr:colOff>96152</xdr:colOff>
      <xdr:row>224</xdr:row>
      <xdr:rowOff>168313</xdr:rowOff>
    </xdr:to>
    <xdr:sp macro="" textlink="">
      <xdr:nvSpPr>
        <xdr:cNvPr id="68" name="フローチャート: 処理 67">
          <a:extLst>
            <a:ext uri="{FF2B5EF4-FFF2-40B4-BE49-F238E27FC236}">
              <a16:creationId xmlns:a16="http://schemas.microsoft.com/office/drawing/2014/main" id="{F4086108-AB21-4C4F-876E-0DA4522EC0C3}"/>
            </a:ext>
          </a:extLst>
        </xdr:cNvPr>
        <xdr:cNvSpPr/>
      </xdr:nvSpPr>
      <xdr:spPr>
        <a:xfrm>
          <a:off x="3023105" y="48932162"/>
          <a:ext cx="1454547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155320</xdr:colOff>
      <xdr:row>227</xdr:row>
      <xdr:rowOff>70812</xdr:rowOff>
    </xdr:from>
    <xdr:to>
      <xdr:col>29</xdr:col>
      <xdr:colOff>65666</xdr:colOff>
      <xdr:row>227</xdr:row>
      <xdr:rowOff>104430</xdr:rowOff>
    </xdr:to>
    <xdr:cxnSp macro="">
      <xdr:nvCxnSpPr>
        <xdr:cNvPr id="69" name="カギ線コネクタ 208">
          <a:extLst>
            <a:ext uri="{FF2B5EF4-FFF2-40B4-BE49-F238E27FC236}">
              <a16:creationId xmlns:a16="http://schemas.microsoft.com/office/drawing/2014/main" id="{78FB2C8F-E74F-4103-B7C8-66A441B80945}"/>
            </a:ext>
          </a:extLst>
        </xdr:cNvPr>
        <xdr:cNvCxnSpPr>
          <a:stCxn id="78" idx="0"/>
          <a:endCxn id="72" idx="0"/>
        </xdr:cNvCxnSpPr>
      </xdr:nvCxnSpPr>
      <xdr:spPr>
        <a:xfrm rot="5400000" flipH="1" flipV="1">
          <a:off x="3808434" y="47947948"/>
          <a:ext cx="33618" cy="352984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48655</xdr:colOff>
      <xdr:row>232</xdr:row>
      <xdr:rowOff>58973</xdr:rowOff>
    </xdr:from>
    <xdr:to>
      <xdr:col>33</xdr:col>
      <xdr:colOff>36972</xdr:colOff>
      <xdr:row>235</xdr:row>
      <xdr:rowOff>67239</xdr:rowOff>
    </xdr:to>
    <xdr:sp macro="" textlink="">
      <xdr:nvSpPr>
        <xdr:cNvPr id="70" name="フローチャート: 複数書類 69">
          <a:extLst>
            <a:ext uri="{FF2B5EF4-FFF2-40B4-BE49-F238E27FC236}">
              <a16:creationId xmlns:a16="http://schemas.microsoft.com/office/drawing/2014/main" id="{CAD4924D-9D82-48F9-BD22-A0F9A9288F9B}"/>
            </a:ext>
          </a:extLst>
        </xdr:cNvPr>
        <xdr:cNvSpPr/>
      </xdr:nvSpPr>
      <xdr:spPr>
        <a:xfrm>
          <a:off x="4620655" y="50636723"/>
          <a:ext cx="1702817" cy="579766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65667</xdr:colOff>
      <xdr:row>229</xdr:row>
      <xdr:rowOff>4</xdr:rowOff>
    </xdr:from>
    <xdr:to>
      <xdr:col>29</xdr:col>
      <xdr:colOff>67382</xdr:colOff>
      <xdr:row>232</xdr:row>
      <xdr:rowOff>58973</xdr:rowOff>
    </xdr:to>
    <xdr:cxnSp macro="">
      <xdr:nvCxnSpPr>
        <xdr:cNvPr id="71" name="直線コネクタ 70">
          <a:extLst>
            <a:ext uri="{FF2B5EF4-FFF2-40B4-BE49-F238E27FC236}">
              <a16:creationId xmlns:a16="http://schemas.microsoft.com/office/drawing/2014/main" id="{BCCD4B91-BA5F-4456-9B96-07EAC6A7D491}"/>
            </a:ext>
          </a:extLst>
        </xdr:cNvPr>
        <xdr:cNvCxnSpPr>
          <a:stCxn id="70" idx="0"/>
          <a:endCxn id="72" idx="2"/>
        </xdr:cNvCxnSpPr>
      </xdr:nvCxnSpPr>
      <xdr:spPr>
        <a:xfrm flipH="1" flipV="1">
          <a:off x="5590167" y="500062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105566</xdr:colOff>
      <xdr:row>227</xdr:row>
      <xdr:rowOff>70811</xdr:rowOff>
    </xdr:from>
    <xdr:to>
      <xdr:col>32</xdr:col>
      <xdr:colOff>25767</xdr:colOff>
      <xdr:row>229</xdr:row>
      <xdr:rowOff>4</xdr:rowOff>
    </xdr:to>
    <xdr:sp macro="" textlink="">
      <xdr:nvSpPr>
        <xdr:cNvPr id="72" name="フローチャート: 処理 71">
          <a:extLst>
            <a:ext uri="{FF2B5EF4-FFF2-40B4-BE49-F238E27FC236}">
              <a16:creationId xmlns:a16="http://schemas.microsoft.com/office/drawing/2014/main" id="{7B79FC7B-8F36-403D-B047-B519F088E3D4}"/>
            </a:ext>
          </a:extLst>
        </xdr:cNvPr>
        <xdr:cNvSpPr/>
      </xdr:nvSpPr>
      <xdr:spPr>
        <a:xfrm>
          <a:off x="5058566" y="496960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149514</xdr:colOff>
      <xdr:row>232</xdr:row>
      <xdr:rowOff>70180</xdr:rowOff>
    </xdr:from>
    <xdr:to>
      <xdr:col>23</xdr:col>
      <xdr:colOff>126624</xdr:colOff>
      <xdr:row>235</xdr:row>
      <xdr:rowOff>67240</xdr:rowOff>
    </xdr:to>
    <xdr:sp macro="" textlink="">
      <xdr:nvSpPr>
        <xdr:cNvPr id="73" name="フローチャート: 複数書類 72">
          <a:extLst>
            <a:ext uri="{FF2B5EF4-FFF2-40B4-BE49-F238E27FC236}">
              <a16:creationId xmlns:a16="http://schemas.microsoft.com/office/drawing/2014/main" id="{30941620-C35C-44F4-834F-4634982FA495}"/>
            </a:ext>
          </a:extLst>
        </xdr:cNvPr>
        <xdr:cNvSpPr/>
      </xdr:nvSpPr>
      <xdr:spPr>
        <a:xfrm>
          <a:off x="2816514" y="50647930"/>
          <a:ext cx="1691610" cy="568560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19</xdr:col>
      <xdr:colOff>161866</xdr:colOff>
      <xdr:row>229</xdr:row>
      <xdr:rowOff>22416</xdr:rowOff>
    </xdr:from>
    <xdr:to>
      <xdr:col>19</xdr:col>
      <xdr:colOff>177731</xdr:colOff>
      <xdr:row>232</xdr:row>
      <xdr:rowOff>70180</xdr:rowOff>
    </xdr:to>
    <xdr:cxnSp macro="">
      <xdr:nvCxnSpPr>
        <xdr:cNvPr id="74" name="直線コネクタ 73">
          <a:extLst>
            <a:ext uri="{FF2B5EF4-FFF2-40B4-BE49-F238E27FC236}">
              <a16:creationId xmlns:a16="http://schemas.microsoft.com/office/drawing/2014/main" id="{9CAEFED2-CDD4-4D1C-B393-FDB796013E08}"/>
            </a:ext>
          </a:extLst>
        </xdr:cNvPr>
        <xdr:cNvCxnSpPr>
          <a:stCxn id="73" idx="0"/>
          <a:endCxn id="75" idx="2"/>
        </xdr:cNvCxnSpPr>
      </xdr:nvCxnSpPr>
      <xdr:spPr>
        <a:xfrm flipV="1">
          <a:off x="3781366" y="500286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4719</xdr:colOff>
      <xdr:row>227</xdr:row>
      <xdr:rowOff>93223</xdr:rowOff>
    </xdr:from>
    <xdr:to>
      <xdr:col>22</xdr:col>
      <xdr:colOff>137831</xdr:colOff>
      <xdr:row>229</xdr:row>
      <xdr:rowOff>22416</xdr:rowOff>
    </xdr:to>
    <xdr:sp macro="" textlink="">
      <xdr:nvSpPr>
        <xdr:cNvPr id="75" name="フローチャート: 処理 74">
          <a:extLst>
            <a:ext uri="{FF2B5EF4-FFF2-40B4-BE49-F238E27FC236}">
              <a16:creationId xmlns:a16="http://schemas.microsoft.com/office/drawing/2014/main" id="{3FA861DA-2FF6-4F00-A3BC-447640EF6570}"/>
            </a:ext>
          </a:extLst>
        </xdr:cNvPr>
        <xdr:cNvSpPr/>
      </xdr:nvSpPr>
      <xdr:spPr>
        <a:xfrm>
          <a:off x="3243219" y="497184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15045</xdr:colOff>
      <xdr:row>232</xdr:row>
      <xdr:rowOff>92589</xdr:rowOff>
    </xdr:from>
    <xdr:to>
      <xdr:col>14</xdr:col>
      <xdr:colOff>59392</xdr:colOff>
      <xdr:row>235</xdr:row>
      <xdr:rowOff>168091</xdr:rowOff>
    </xdr:to>
    <xdr:sp macro="" textlink="">
      <xdr:nvSpPr>
        <xdr:cNvPr id="76" name="フローチャート: 複数書類 75">
          <a:extLst>
            <a:ext uri="{FF2B5EF4-FFF2-40B4-BE49-F238E27FC236}">
              <a16:creationId xmlns:a16="http://schemas.microsoft.com/office/drawing/2014/main" id="{0EB5974C-E9BA-458C-B341-B83E357B8827}"/>
            </a:ext>
          </a:extLst>
        </xdr:cNvPr>
        <xdr:cNvSpPr/>
      </xdr:nvSpPr>
      <xdr:spPr>
        <a:xfrm>
          <a:off x="1158045" y="50670339"/>
          <a:ext cx="1568347" cy="647002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155321</xdr:colOff>
      <xdr:row>229</xdr:row>
      <xdr:rowOff>33622</xdr:rowOff>
    </xdr:from>
    <xdr:to>
      <xdr:col>10</xdr:col>
      <xdr:colOff>157450</xdr:colOff>
      <xdr:row>232</xdr:row>
      <xdr:rowOff>92590</xdr:rowOff>
    </xdr:to>
    <xdr:cxnSp macro="">
      <xdr:nvCxnSpPr>
        <xdr:cNvPr id="77" name="直線コネクタ 76">
          <a:extLst>
            <a:ext uri="{FF2B5EF4-FFF2-40B4-BE49-F238E27FC236}">
              <a16:creationId xmlns:a16="http://schemas.microsoft.com/office/drawing/2014/main" id="{871EDEB9-5E9E-4C77-88BA-E1F8B6DA5304}"/>
            </a:ext>
          </a:extLst>
        </xdr:cNvPr>
        <xdr:cNvCxnSpPr>
          <a:stCxn id="76" idx="0"/>
          <a:endCxn id="78" idx="2"/>
        </xdr:cNvCxnSpPr>
      </xdr:nvCxnSpPr>
      <xdr:spPr>
        <a:xfrm flipH="1" flipV="1">
          <a:off x="2060321" y="500398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7</xdr:col>
      <xdr:colOff>195221</xdr:colOff>
      <xdr:row>227</xdr:row>
      <xdr:rowOff>104429</xdr:rowOff>
    </xdr:from>
    <xdr:to>
      <xdr:col>13</xdr:col>
      <xdr:colOff>115421</xdr:colOff>
      <xdr:row>229</xdr:row>
      <xdr:rowOff>33622</xdr:rowOff>
    </xdr:to>
    <xdr:sp macro="" textlink="">
      <xdr:nvSpPr>
        <xdr:cNvPr id="78" name="フローチャート: 処理 77">
          <a:extLst>
            <a:ext uri="{FF2B5EF4-FFF2-40B4-BE49-F238E27FC236}">
              <a16:creationId xmlns:a16="http://schemas.microsoft.com/office/drawing/2014/main" id="{82B13D78-0200-4E71-8CCA-2C0CE4556127}"/>
            </a:ext>
          </a:extLst>
        </xdr:cNvPr>
        <xdr:cNvSpPr/>
      </xdr:nvSpPr>
      <xdr:spPr>
        <a:xfrm>
          <a:off x="1522371" y="49729679"/>
          <a:ext cx="1069550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19</xdr:col>
      <xdr:colOff>177731</xdr:colOff>
      <xdr:row>224</xdr:row>
      <xdr:rowOff>193638</xdr:rowOff>
    </xdr:from>
    <xdr:to>
      <xdr:col>19</xdr:col>
      <xdr:colOff>185688</xdr:colOff>
      <xdr:row>227</xdr:row>
      <xdr:rowOff>93223</xdr:rowOff>
    </xdr:to>
    <xdr:cxnSp macro="">
      <xdr:nvCxnSpPr>
        <xdr:cNvPr id="79" name="直線コネクタ 78">
          <a:extLst>
            <a:ext uri="{FF2B5EF4-FFF2-40B4-BE49-F238E27FC236}">
              <a16:creationId xmlns:a16="http://schemas.microsoft.com/office/drawing/2014/main" id="{1C15B2BC-7174-44FB-B47A-8F14F4B55023}"/>
            </a:ext>
          </a:extLst>
        </xdr:cNvPr>
        <xdr:cNvCxnSpPr>
          <a:stCxn id="75" idx="0"/>
          <a:endCxn id="155" idx="2"/>
        </xdr:cNvCxnSpPr>
      </xdr:nvCxnSpPr>
      <xdr:spPr>
        <a:xfrm flipV="1">
          <a:off x="3797231" y="492473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6</xdr:col>
      <xdr:colOff>203452</xdr:colOff>
      <xdr:row>226</xdr:row>
      <xdr:rowOff>172835</xdr:rowOff>
    </xdr:from>
    <xdr:to>
      <xdr:col>33</xdr:col>
      <xdr:colOff>25776</xdr:colOff>
      <xdr:row>229</xdr:row>
      <xdr:rowOff>112059</xdr:rowOff>
    </xdr:to>
    <xdr:sp macro="" textlink="">
      <xdr:nvSpPr>
        <xdr:cNvPr id="80" name="正方形/長方形 79">
          <a:extLst>
            <a:ext uri="{FF2B5EF4-FFF2-40B4-BE49-F238E27FC236}">
              <a16:creationId xmlns:a16="http://schemas.microsoft.com/office/drawing/2014/main" id="{7CFFF770-9ED5-4CBB-872E-270511FC6F7B}"/>
            </a:ext>
          </a:extLst>
        </xdr:cNvPr>
        <xdr:cNvSpPr/>
      </xdr:nvSpPr>
      <xdr:spPr>
        <a:xfrm>
          <a:off x="1333752" y="49607585"/>
          <a:ext cx="4978524" cy="51072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160236</xdr:colOff>
      <xdr:row>231</xdr:row>
      <xdr:rowOff>134470</xdr:rowOff>
    </xdr:from>
    <xdr:to>
      <xdr:col>33</xdr:col>
      <xdr:colOff>111888</xdr:colOff>
      <xdr:row>236</xdr:row>
      <xdr:rowOff>46415</xdr:rowOff>
    </xdr:to>
    <xdr:sp macro="" textlink="">
      <xdr:nvSpPr>
        <xdr:cNvPr id="81" name="正方形/長方形 80">
          <a:extLst>
            <a:ext uri="{FF2B5EF4-FFF2-40B4-BE49-F238E27FC236}">
              <a16:creationId xmlns:a16="http://schemas.microsoft.com/office/drawing/2014/main" id="{B6C14118-3D53-4EC4-9CBE-E34988DA28DA}"/>
            </a:ext>
          </a:extLst>
        </xdr:cNvPr>
        <xdr:cNvSpPr/>
      </xdr:nvSpPr>
      <xdr:spPr>
        <a:xfrm>
          <a:off x="4541736" y="50521720"/>
          <a:ext cx="18566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14567</xdr:colOff>
      <xdr:row>229</xdr:row>
      <xdr:rowOff>168090</xdr:rowOff>
    </xdr:from>
    <xdr:to>
      <xdr:col>10</xdr:col>
      <xdr:colOff>80692</xdr:colOff>
      <xdr:row>232</xdr:row>
      <xdr:rowOff>118146</xdr:rowOff>
    </xdr:to>
    <xdr:sp macro="" textlink="">
      <xdr:nvSpPr>
        <xdr:cNvPr id="82" name="フローチャート: 処理 81">
          <a:extLst>
            <a:ext uri="{FF2B5EF4-FFF2-40B4-BE49-F238E27FC236}">
              <a16:creationId xmlns:a16="http://schemas.microsoft.com/office/drawing/2014/main" id="{37ED3732-0637-4C5F-A371-5D9A04D9668A}"/>
            </a:ext>
          </a:extLst>
        </xdr:cNvPr>
        <xdr:cNvSpPr/>
      </xdr:nvSpPr>
      <xdr:spPr>
        <a:xfrm rot="5400000">
          <a:off x="1596602" y="503068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3359</xdr:colOff>
      <xdr:row>229</xdr:row>
      <xdr:rowOff>123268</xdr:rowOff>
    </xdr:from>
    <xdr:to>
      <xdr:col>19</xdr:col>
      <xdr:colOff>69484</xdr:colOff>
      <xdr:row>232</xdr:row>
      <xdr:rowOff>73324</xdr:rowOff>
    </xdr:to>
    <xdr:sp macro="" textlink="">
      <xdr:nvSpPr>
        <xdr:cNvPr id="83" name="フローチャート: 処理 82">
          <a:extLst>
            <a:ext uri="{FF2B5EF4-FFF2-40B4-BE49-F238E27FC236}">
              <a16:creationId xmlns:a16="http://schemas.microsoft.com/office/drawing/2014/main" id="{96530666-659E-4003-B5ED-287A4A1B0B01}"/>
            </a:ext>
          </a:extLst>
        </xdr:cNvPr>
        <xdr:cNvSpPr/>
      </xdr:nvSpPr>
      <xdr:spPr>
        <a:xfrm rot="5400000">
          <a:off x="3299894" y="502619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160235</xdr:colOff>
      <xdr:row>229</xdr:row>
      <xdr:rowOff>22415</xdr:rowOff>
    </xdr:from>
    <xdr:to>
      <xdr:col>29</xdr:col>
      <xdr:colOff>13449</xdr:colOff>
      <xdr:row>231</xdr:row>
      <xdr:rowOff>174177</xdr:rowOff>
    </xdr:to>
    <xdr:sp macro="" textlink="">
      <xdr:nvSpPr>
        <xdr:cNvPr id="84" name="フローチャート: 処理 83">
          <a:extLst>
            <a:ext uri="{FF2B5EF4-FFF2-40B4-BE49-F238E27FC236}">
              <a16:creationId xmlns:a16="http://schemas.microsoft.com/office/drawing/2014/main" id="{F9A200A8-D2E1-48BE-8EFB-567406F8BB40}"/>
            </a:ext>
          </a:extLst>
        </xdr:cNvPr>
        <xdr:cNvSpPr/>
      </xdr:nvSpPr>
      <xdr:spPr>
        <a:xfrm rot="5400000">
          <a:off x="5154461" y="50177939"/>
          <a:ext cx="532762" cy="2342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36</xdr:col>
      <xdr:colOff>83699</xdr:colOff>
      <xdr:row>215</xdr:row>
      <xdr:rowOff>112060</xdr:rowOff>
    </xdr:from>
    <xdr:to>
      <xdr:col>48</xdr:col>
      <xdr:colOff>123265</xdr:colOff>
      <xdr:row>239</xdr:row>
      <xdr:rowOff>124784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93E02105-AB69-40FF-B2AD-B31FEF9BD2C3}"/>
            </a:ext>
          </a:extLst>
        </xdr:cNvPr>
        <xdr:cNvSpPr/>
      </xdr:nvSpPr>
      <xdr:spPr>
        <a:xfrm>
          <a:off x="6941699" y="47451310"/>
          <a:ext cx="2325566" cy="458472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CSV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項目</a:t>
          </a:r>
        </a:p>
      </xdr:txBody>
    </xdr:sp>
    <xdr:clientData/>
  </xdr:twoCellAnchor>
  <xdr:twoCellAnchor>
    <xdr:from>
      <xdr:col>37</xdr:col>
      <xdr:colOff>75779</xdr:colOff>
      <xdr:row>223</xdr:row>
      <xdr:rowOff>76795</xdr:rowOff>
    </xdr:from>
    <xdr:to>
      <xdr:col>44</xdr:col>
      <xdr:colOff>95465</xdr:colOff>
      <xdr:row>224</xdr:row>
      <xdr:rowOff>178712</xdr:rowOff>
    </xdr:to>
    <xdr:sp macro="" textlink="">
      <xdr:nvSpPr>
        <xdr:cNvPr id="86" name="フローチャート: 処理 85">
          <a:extLst>
            <a:ext uri="{FF2B5EF4-FFF2-40B4-BE49-F238E27FC236}">
              <a16:creationId xmlns:a16="http://schemas.microsoft.com/office/drawing/2014/main" id="{0ADAD6E6-2864-45E1-B9F3-EC0A76FDB06C}"/>
            </a:ext>
          </a:extLst>
        </xdr:cNvPr>
        <xdr:cNvSpPr/>
      </xdr:nvSpPr>
      <xdr:spPr>
        <a:xfrm>
          <a:off x="7124279" y="48940045"/>
          <a:ext cx="1353186" cy="29241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37</xdr:col>
      <xdr:colOff>174577</xdr:colOff>
      <xdr:row>232</xdr:row>
      <xdr:rowOff>36430</xdr:rowOff>
    </xdr:from>
    <xdr:to>
      <xdr:col>45</xdr:col>
      <xdr:colOff>10395</xdr:colOff>
      <xdr:row>235</xdr:row>
      <xdr:rowOff>117457</xdr:rowOff>
    </xdr:to>
    <xdr:sp macro="" textlink="">
      <xdr:nvSpPr>
        <xdr:cNvPr id="87" name="フローチャート: 処理 86">
          <a:extLst>
            <a:ext uri="{FF2B5EF4-FFF2-40B4-BE49-F238E27FC236}">
              <a16:creationId xmlns:a16="http://schemas.microsoft.com/office/drawing/2014/main" id="{2DC4209A-BF4F-4796-A170-03B91D830604}"/>
            </a:ext>
          </a:extLst>
        </xdr:cNvPr>
        <xdr:cNvSpPr/>
      </xdr:nvSpPr>
      <xdr:spPr>
        <a:xfrm>
          <a:off x="7223077" y="50614180"/>
          <a:ext cx="1359818" cy="652527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ヘッダー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</a:t>
          </a:r>
        </a:p>
      </xdr:txBody>
    </xdr:sp>
    <xdr:clientData/>
  </xdr:twoCellAnchor>
  <xdr:twoCellAnchor>
    <xdr:from>
      <xdr:col>37</xdr:col>
      <xdr:colOff>187139</xdr:colOff>
      <xdr:row>227</xdr:row>
      <xdr:rowOff>4878</xdr:rowOff>
    </xdr:from>
    <xdr:to>
      <xdr:col>45</xdr:col>
      <xdr:colOff>23124</xdr:colOff>
      <xdr:row>229</xdr:row>
      <xdr:rowOff>183649</xdr:rowOff>
    </xdr:to>
    <xdr:sp macro="" textlink="">
      <xdr:nvSpPr>
        <xdr:cNvPr id="88" name="フローチャート: 処理 87">
          <a:extLst>
            <a:ext uri="{FF2B5EF4-FFF2-40B4-BE49-F238E27FC236}">
              <a16:creationId xmlns:a16="http://schemas.microsoft.com/office/drawing/2014/main" id="{87AEEBC8-6941-40A1-8EA4-A95839FB84F0}"/>
            </a:ext>
          </a:extLst>
        </xdr:cNvPr>
        <xdr:cNvSpPr/>
      </xdr:nvSpPr>
      <xdr:spPr>
        <a:xfrm>
          <a:off x="7235639" y="49630128"/>
          <a:ext cx="1359985" cy="55977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証明書種類結果</a:t>
          </a:r>
        </a:p>
      </xdr:txBody>
    </xdr:sp>
    <xdr:clientData/>
  </xdr:twoCellAnchor>
  <xdr:twoCellAnchor>
    <xdr:from>
      <xdr:col>32</xdr:col>
      <xdr:colOff>73876</xdr:colOff>
      <xdr:row>227</xdr:row>
      <xdr:rowOff>146466</xdr:rowOff>
    </xdr:from>
    <xdr:to>
      <xdr:col>38</xdr:col>
      <xdr:colOff>11207</xdr:colOff>
      <xdr:row>229</xdr:row>
      <xdr:rowOff>0</xdr:rowOff>
    </xdr:to>
    <xdr:sp macro="" textlink="">
      <xdr:nvSpPr>
        <xdr:cNvPr id="89" name="右矢印 513">
          <a:extLst>
            <a:ext uri="{FF2B5EF4-FFF2-40B4-BE49-F238E27FC236}">
              <a16:creationId xmlns:a16="http://schemas.microsoft.com/office/drawing/2014/main" id="{F1FAD2AA-0ECC-437F-A4F1-4D5A4D02ABE7}"/>
            </a:ext>
          </a:extLst>
        </xdr:cNvPr>
        <xdr:cNvSpPr/>
      </xdr:nvSpPr>
      <xdr:spPr>
        <a:xfrm>
          <a:off x="6169876" y="49771716"/>
          <a:ext cx="1080331" cy="23453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32</xdr:col>
      <xdr:colOff>110403</xdr:colOff>
      <xdr:row>233</xdr:row>
      <xdr:rowOff>20048</xdr:rowOff>
    </xdr:from>
    <xdr:to>
      <xdr:col>37</xdr:col>
      <xdr:colOff>139797</xdr:colOff>
      <xdr:row>234</xdr:row>
      <xdr:rowOff>70165</xdr:rowOff>
    </xdr:to>
    <xdr:sp macro="" textlink="">
      <xdr:nvSpPr>
        <xdr:cNvPr id="90" name="右矢印 514">
          <a:extLst>
            <a:ext uri="{FF2B5EF4-FFF2-40B4-BE49-F238E27FC236}">
              <a16:creationId xmlns:a16="http://schemas.microsoft.com/office/drawing/2014/main" id="{F35C0045-354A-4C0F-8423-A025DEE857FE}"/>
            </a:ext>
          </a:extLst>
        </xdr:cNvPr>
        <xdr:cNvSpPr/>
      </xdr:nvSpPr>
      <xdr:spPr>
        <a:xfrm>
          <a:off x="6206403" y="50788298"/>
          <a:ext cx="981894" cy="240617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116145</xdr:colOff>
      <xdr:row>69</xdr:row>
      <xdr:rowOff>85881</xdr:rowOff>
    </xdr:from>
    <xdr:to>
      <xdr:col>23</xdr:col>
      <xdr:colOff>154081</xdr:colOff>
      <xdr:row>71</xdr:row>
      <xdr:rowOff>145677</xdr:rowOff>
    </xdr:to>
    <xdr:sp macro="" textlink="">
      <xdr:nvSpPr>
        <xdr:cNvPr id="91" name="フローチャート: 処理 90">
          <a:extLst>
            <a:ext uri="{FF2B5EF4-FFF2-40B4-BE49-F238E27FC236}">
              <a16:creationId xmlns:a16="http://schemas.microsoft.com/office/drawing/2014/main" id="{B02B829F-4A6F-4D89-B320-73CB6AE7FB90}"/>
            </a:ext>
          </a:extLst>
        </xdr:cNvPr>
        <xdr:cNvSpPr/>
      </xdr:nvSpPr>
      <xdr:spPr>
        <a:xfrm>
          <a:off x="1449645" y="14240031"/>
          <a:ext cx="3085936" cy="440796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１－１－７．申請可能チェック結果取得</a:t>
          </a:r>
        </a:p>
      </xdr:txBody>
    </xdr:sp>
    <xdr:clientData/>
  </xdr:twoCellAnchor>
  <xdr:twoCellAnchor>
    <xdr:from>
      <xdr:col>15</xdr:col>
      <xdr:colOff>135114</xdr:colOff>
      <xdr:row>71</xdr:row>
      <xdr:rowOff>145677</xdr:rowOff>
    </xdr:from>
    <xdr:to>
      <xdr:col>15</xdr:col>
      <xdr:colOff>142234</xdr:colOff>
      <xdr:row>76</xdr:row>
      <xdr:rowOff>156882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AF024C0D-EA34-497F-82EA-DE7D86D616F8}"/>
            </a:ext>
          </a:extLst>
        </xdr:cNvPr>
        <xdr:cNvCxnSpPr>
          <a:stCxn id="91" idx="2"/>
          <a:endCxn id="105" idx="0"/>
        </xdr:cNvCxnSpPr>
      </xdr:nvCxnSpPr>
      <xdr:spPr>
        <a:xfrm>
          <a:off x="2992614" y="14680827"/>
          <a:ext cx="7120" cy="96370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201706</xdr:colOff>
      <xdr:row>57</xdr:row>
      <xdr:rowOff>22411</xdr:rowOff>
    </xdr:from>
    <xdr:to>
      <xdr:col>23</xdr:col>
      <xdr:colOff>59089</xdr:colOff>
      <xdr:row>60</xdr:row>
      <xdr:rowOff>172068</xdr:rowOff>
    </xdr:to>
    <xdr:sp macro="" textlink="">
      <xdr:nvSpPr>
        <xdr:cNvPr id="93" name="フローチャート: 判断 92">
          <a:extLst>
            <a:ext uri="{FF2B5EF4-FFF2-40B4-BE49-F238E27FC236}">
              <a16:creationId xmlns:a16="http://schemas.microsoft.com/office/drawing/2014/main" id="{79F4076E-D2CA-498E-8859-3D5C33D18DCF}"/>
            </a:ext>
          </a:extLst>
        </xdr:cNvPr>
        <xdr:cNvSpPr/>
      </xdr:nvSpPr>
      <xdr:spPr>
        <a:xfrm>
          <a:off x="1522506" y="11890561"/>
          <a:ext cx="2918083" cy="721157"/>
        </a:xfrm>
        <a:prstGeom prst="flowChartDecision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代理店権限あり？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124048</xdr:colOff>
      <xdr:row>60</xdr:row>
      <xdr:rowOff>172068</xdr:rowOff>
    </xdr:from>
    <xdr:to>
      <xdr:col>15</xdr:col>
      <xdr:colOff>130186</xdr:colOff>
      <xdr:row>63</xdr:row>
      <xdr:rowOff>153707</xdr:rowOff>
    </xdr:to>
    <xdr:cxnSp macro="">
      <xdr:nvCxnSpPr>
        <xdr:cNvPr id="94" name="直線矢印コネクタ 93">
          <a:extLst>
            <a:ext uri="{FF2B5EF4-FFF2-40B4-BE49-F238E27FC236}">
              <a16:creationId xmlns:a16="http://schemas.microsoft.com/office/drawing/2014/main" id="{8CB2B054-CFBF-45F8-A19E-1A51AC24836E}"/>
            </a:ext>
          </a:extLst>
        </xdr:cNvPr>
        <xdr:cNvCxnSpPr>
          <a:cxnSpLocks/>
          <a:stCxn id="93" idx="2"/>
          <a:endCxn id="161" idx="0"/>
        </xdr:cNvCxnSpPr>
      </xdr:nvCxnSpPr>
      <xdr:spPr>
        <a:xfrm>
          <a:off x="2981548" y="11579656"/>
          <a:ext cx="6138" cy="553139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145677</xdr:colOff>
      <xdr:row>60</xdr:row>
      <xdr:rowOff>190497</xdr:rowOff>
    </xdr:from>
    <xdr:to>
      <xdr:col>17</xdr:col>
      <xdr:colOff>86017</xdr:colOff>
      <xdr:row>62</xdr:row>
      <xdr:rowOff>81606</xdr:rowOff>
    </xdr:to>
    <xdr:sp macro="" textlink="">
      <xdr:nvSpPr>
        <xdr:cNvPr id="95" name="正方形/長方形 94">
          <a:extLst>
            <a:ext uri="{FF2B5EF4-FFF2-40B4-BE49-F238E27FC236}">
              <a16:creationId xmlns:a16="http://schemas.microsoft.com/office/drawing/2014/main" id="{93CE4AC0-1126-448A-9479-163E2BEA9934}"/>
            </a:ext>
          </a:extLst>
        </xdr:cNvPr>
        <xdr:cNvSpPr/>
      </xdr:nvSpPr>
      <xdr:spPr>
        <a:xfrm>
          <a:off x="3003177" y="12630147"/>
          <a:ext cx="321340" cy="272109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Y</a:t>
          </a:r>
        </a:p>
      </xdr:txBody>
    </xdr:sp>
    <xdr:clientData/>
  </xdr:twoCellAnchor>
  <xdr:twoCellAnchor>
    <xdr:from>
      <xdr:col>24</xdr:col>
      <xdr:colOff>89648</xdr:colOff>
      <xdr:row>59</xdr:row>
      <xdr:rowOff>112059</xdr:rowOff>
    </xdr:from>
    <xdr:to>
      <xdr:col>26</xdr:col>
      <xdr:colOff>35750</xdr:colOff>
      <xdr:row>60</xdr:row>
      <xdr:rowOff>182491</xdr:rowOff>
    </xdr:to>
    <xdr:sp macro="" textlink="">
      <xdr:nvSpPr>
        <xdr:cNvPr id="96" name="正方形/長方形 95">
          <a:extLst>
            <a:ext uri="{FF2B5EF4-FFF2-40B4-BE49-F238E27FC236}">
              <a16:creationId xmlns:a16="http://schemas.microsoft.com/office/drawing/2014/main" id="{059B4392-F283-47A6-9E67-D08E7B86297A}"/>
            </a:ext>
          </a:extLst>
        </xdr:cNvPr>
        <xdr:cNvSpPr/>
      </xdr:nvSpPr>
      <xdr:spPr>
        <a:xfrm>
          <a:off x="4661648" y="12361209"/>
          <a:ext cx="327102" cy="260932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</a:t>
          </a:r>
        </a:p>
      </xdr:txBody>
    </xdr:sp>
    <xdr:clientData/>
  </xdr:twoCellAnchor>
  <xdr:twoCellAnchor>
    <xdr:from>
      <xdr:col>15</xdr:col>
      <xdr:colOff>179295</xdr:colOff>
      <xdr:row>58</xdr:row>
      <xdr:rowOff>198093</xdr:rowOff>
    </xdr:from>
    <xdr:to>
      <xdr:col>23</xdr:col>
      <xdr:colOff>59089</xdr:colOff>
      <xdr:row>74</xdr:row>
      <xdr:rowOff>134471</xdr:rowOff>
    </xdr:to>
    <xdr:cxnSp macro="">
      <xdr:nvCxnSpPr>
        <xdr:cNvPr id="97" name="カギ線コネクタ 138">
          <a:extLst>
            <a:ext uri="{FF2B5EF4-FFF2-40B4-BE49-F238E27FC236}">
              <a16:creationId xmlns:a16="http://schemas.microsoft.com/office/drawing/2014/main" id="{B6836F10-4DC6-43C3-9EB3-4866EC5952DF}"/>
            </a:ext>
          </a:extLst>
        </xdr:cNvPr>
        <xdr:cNvCxnSpPr>
          <a:stCxn id="93" idx="3"/>
        </xdr:cNvCxnSpPr>
      </xdr:nvCxnSpPr>
      <xdr:spPr>
        <a:xfrm flipH="1">
          <a:off x="3036795" y="12250393"/>
          <a:ext cx="1403794" cy="2990728"/>
        </a:xfrm>
        <a:prstGeom prst="bentConnector4">
          <a:avLst>
            <a:gd name="adj1" fmla="val -14440"/>
            <a:gd name="adj2" fmla="val 10024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201705</xdr:colOff>
      <xdr:row>50</xdr:row>
      <xdr:rowOff>11206</xdr:rowOff>
    </xdr:from>
    <xdr:to>
      <xdr:col>25</xdr:col>
      <xdr:colOff>134470</xdr:colOff>
      <xdr:row>54</xdr:row>
      <xdr:rowOff>89647</xdr:rowOff>
    </xdr:to>
    <xdr:sp macro="" textlink="">
      <xdr:nvSpPr>
        <xdr:cNvPr id="98" name="正方形/長方形 97">
          <a:extLst>
            <a:ext uri="{FF2B5EF4-FFF2-40B4-BE49-F238E27FC236}">
              <a16:creationId xmlns:a16="http://schemas.microsoft.com/office/drawing/2014/main" id="{CEAA464A-26D3-4CD0-A696-38D457565200}"/>
            </a:ext>
          </a:extLst>
        </xdr:cNvPr>
        <xdr:cNvSpPr/>
      </xdr:nvSpPr>
      <xdr:spPr>
        <a:xfrm>
          <a:off x="1141505" y="10545856"/>
          <a:ext cx="3755465" cy="840441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100854</xdr:colOff>
      <xdr:row>51</xdr:row>
      <xdr:rowOff>89648</xdr:rowOff>
    </xdr:from>
    <xdr:to>
      <xdr:col>29</xdr:col>
      <xdr:colOff>53229</xdr:colOff>
      <xdr:row>53</xdr:row>
      <xdr:rowOff>6619</xdr:rowOff>
    </xdr:to>
    <xdr:sp macro="" textlink="">
      <xdr:nvSpPr>
        <xdr:cNvPr id="99" name="右カーブ矢印 152">
          <a:extLst>
            <a:ext uri="{FF2B5EF4-FFF2-40B4-BE49-F238E27FC236}">
              <a16:creationId xmlns:a16="http://schemas.microsoft.com/office/drawing/2014/main" id="{E34EF3F0-8F44-4E69-99F7-6DFD9AAEFE9A}"/>
            </a:ext>
          </a:extLst>
        </xdr:cNvPr>
        <xdr:cNvSpPr/>
      </xdr:nvSpPr>
      <xdr:spPr>
        <a:xfrm rot="5856382">
          <a:off x="4976306" y="10511346"/>
          <a:ext cx="297971" cy="904875"/>
        </a:xfrm>
        <a:prstGeom prst="curvedRightArrow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29</xdr:col>
      <xdr:colOff>89647</xdr:colOff>
      <xdr:row>51</xdr:row>
      <xdr:rowOff>33618</xdr:rowOff>
    </xdr:from>
    <xdr:to>
      <xdr:col>36</xdr:col>
      <xdr:colOff>175030</xdr:colOff>
      <xdr:row>56</xdr:row>
      <xdr:rowOff>189552</xdr:rowOff>
    </xdr:to>
    <xdr:sp macro="" textlink="">
      <xdr:nvSpPr>
        <xdr:cNvPr id="100" name="フローチャート: 磁気ディスク 99">
          <a:extLst>
            <a:ext uri="{FF2B5EF4-FFF2-40B4-BE49-F238E27FC236}">
              <a16:creationId xmlns:a16="http://schemas.microsoft.com/office/drawing/2014/main" id="{3B3E62AA-EBC2-40AE-987F-75F9E23721A9}"/>
            </a:ext>
          </a:extLst>
        </xdr:cNvPr>
        <xdr:cNvSpPr/>
      </xdr:nvSpPr>
      <xdr:spPr>
        <a:xfrm>
          <a:off x="5614147" y="10758768"/>
          <a:ext cx="1418883" cy="1108434"/>
        </a:xfrm>
        <a:prstGeom prst="flowChartMagneticDisk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000" kern="1200">
              <a:solidFill>
                <a:sysClr val="windowText" lastClr="000000"/>
              </a:solidFill>
              <a:effectLst/>
              <a:latin typeface="Meiryo UI" panose="020B0604030504040204" pitchFamily="50" charset="-128"/>
              <a:ea typeface="Meiryo UI" panose="020B0604030504040204" pitchFamily="50" charset="-128"/>
              <a:cs typeface="+mn-cs"/>
            </a:rPr>
            <a:t>製品マスタ</a:t>
          </a:r>
        </a:p>
      </xdr:txBody>
    </xdr:sp>
    <xdr:clientData/>
  </xdr:twoCellAnchor>
  <xdr:twoCellAnchor>
    <xdr:from>
      <xdr:col>15</xdr:col>
      <xdr:colOff>130186</xdr:colOff>
      <xdr:row>66</xdr:row>
      <xdr:rowOff>29353</xdr:rowOff>
    </xdr:from>
    <xdr:to>
      <xdr:col>15</xdr:col>
      <xdr:colOff>135113</xdr:colOff>
      <xdr:row>69</xdr:row>
      <xdr:rowOff>82706</xdr:rowOff>
    </xdr:to>
    <xdr:cxnSp macro="">
      <xdr:nvCxnSpPr>
        <xdr:cNvPr id="102" name="直線矢印コネクタ 101">
          <a:extLst>
            <a:ext uri="{FF2B5EF4-FFF2-40B4-BE49-F238E27FC236}">
              <a16:creationId xmlns:a16="http://schemas.microsoft.com/office/drawing/2014/main" id="{FF33A033-3696-44DA-8B50-D012EE20D551}"/>
            </a:ext>
          </a:extLst>
        </xdr:cNvPr>
        <xdr:cNvCxnSpPr>
          <a:cxnSpLocks/>
          <a:stCxn id="161" idx="2"/>
          <a:endCxn id="91" idx="0"/>
        </xdr:cNvCxnSpPr>
      </xdr:nvCxnSpPr>
      <xdr:spPr>
        <a:xfrm>
          <a:off x="2987686" y="12579941"/>
          <a:ext cx="4927" cy="624853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100853</xdr:colOff>
      <xdr:row>51</xdr:row>
      <xdr:rowOff>11206</xdr:rowOff>
    </xdr:from>
    <xdr:to>
      <xdr:col>23</xdr:col>
      <xdr:colOff>138789</xdr:colOff>
      <xdr:row>53</xdr:row>
      <xdr:rowOff>151454</xdr:rowOff>
    </xdr:to>
    <xdr:sp macro="" textlink="">
      <xdr:nvSpPr>
        <xdr:cNvPr id="103" name="フローチャート: 処理 102">
          <a:extLst>
            <a:ext uri="{FF2B5EF4-FFF2-40B4-BE49-F238E27FC236}">
              <a16:creationId xmlns:a16="http://schemas.microsoft.com/office/drawing/2014/main" id="{D9D14DF9-61B7-49AE-AF93-3FA5A3155A1D}"/>
            </a:ext>
          </a:extLst>
        </xdr:cNvPr>
        <xdr:cNvSpPr/>
      </xdr:nvSpPr>
      <xdr:spPr>
        <a:xfrm>
          <a:off x="1434353" y="10736356"/>
          <a:ext cx="3085936" cy="521248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１－１－５．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コードより一致する製品マスター情報を取得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119822</xdr:colOff>
      <xdr:row>53</xdr:row>
      <xdr:rowOff>151454</xdr:rowOff>
    </xdr:from>
    <xdr:to>
      <xdr:col>15</xdr:col>
      <xdr:colOff>130398</xdr:colOff>
      <xdr:row>57</xdr:row>
      <xdr:rowOff>22411</xdr:rowOff>
    </xdr:to>
    <xdr:cxnSp macro="">
      <xdr:nvCxnSpPr>
        <xdr:cNvPr id="104" name="直線矢印コネクタ 103">
          <a:extLst>
            <a:ext uri="{FF2B5EF4-FFF2-40B4-BE49-F238E27FC236}">
              <a16:creationId xmlns:a16="http://schemas.microsoft.com/office/drawing/2014/main" id="{DCB6A545-A278-4D78-826E-7616FCC81BCC}"/>
            </a:ext>
          </a:extLst>
        </xdr:cNvPr>
        <xdr:cNvCxnSpPr>
          <a:stCxn id="103" idx="2"/>
          <a:endCxn id="93" idx="0"/>
        </xdr:cNvCxnSpPr>
      </xdr:nvCxnSpPr>
      <xdr:spPr>
        <a:xfrm>
          <a:off x="2977322" y="11257604"/>
          <a:ext cx="10576" cy="63295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123265</xdr:colOff>
      <xdr:row>76</xdr:row>
      <xdr:rowOff>156882</xdr:rowOff>
    </xdr:from>
    <xdr:to>
      <xdr:col>23</xdr:col>
      <xdr:colOff>161201</xdr:colOff>
      <xdr:row>79</xdr:row>
      <xdr:rowOff>95424</xdr:rowOff>
    </xdr:to>
    <xdr:sp macro="" textlink="">
      <xdr:nvSpPr>
        <xdr:cNvPr id="105" name="フローチャート: 処理 104">
          <a:extLst>
            <a:ext uri="{FF2B5EF4-FFF2-40B4-BE49-F238E27FC236}">
              <a16:creationId xmlns:a16="http://schemas.microsoft.com/office/drawing/2014/main" id="{41299924-01F7-4C06-89B5-D30C4FE1BE9C}"/>
            </a:ext>
          </a:extLst>
        </xdr:cNvPr>
        <xdr:cNvSpPr/>
      </xdr:nvSpPr>
      <xdr:spPr>
        <a:xfrm>
          <a:off x="1456765" y="15644532"/>
          <a:ext cx="3085936" cy="510042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１－１－８．製品マスター情報を表示内容として設定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136945</xdr:colOff>
      <xdr:row>79</xdr:row>
      <xdr:rowOff>95424</xdr:rowOff>
    </xdr:from>
    <xdr:to>
      <xdr:col>15</xdr:col>
      <xdr:colOff>142234</xdr:colOff>
      <xdr:row>81</xdr:row>
      <xdr:rowOff>74521</xdr:rowOff>
    </xdr:to>
    <xdr:cxnSp macro="">
      <xdr:nvCxnSpPr>
        <xdr:cNvPr id="106" name="直線矢印コネクタ 105">
          <a:extLst>
            <a:ext uri="{FF2B5EF4-FFF2-40B4-BE49-F238E27FC236}">
              <a16:creationId xmlns:a16="http://schemas.microsoft.com/office/drawing/2014/main" id="{9C39B9AC-3C8C-4562-BEA5-E48F10B3E062}"/>
            </a:ext>
          </a:extLst>
        </xdr:cNvPr>
        <xdr:cNvCxnSpPr>
          <a:stCxn id="105" idx="2"/>
          <a:endCxn id="114" idx="0"/>
        </xdr:cNvCxnSpPr>
      </xdr:nvCxnSpPr>
      <xdr:spPr>
        <a:xfrm flipH="1">
          <a:off x="2994445" y="16154574"/>
          <a:ext cx="5289" cy="36009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112060</xdr:colOff>
      <xdr:row>19</xdr:row>
      <xdr:rowOff>179293</xdr:rowOff>
    </xdr:from>
    <xdr:to>
      <xdr:col>23</xdr:col>
      <xdr:colOff>149996</xdr:colOff>
      <xdr:row>22</xdr:row>
      <xdr:rowOff>117836</xdr:rowOff>
    </xdr:to>
    <xdr:sp macro="" textlink="">
      <xdr:nvSpPr>
        <xdr:cNvPr id="107" name="フローチャート: 処理 106">
          <a:extLst>
            <a:ext uri="{FF2B5EF4-FFF2-40B4-BE49-F238E27FC236}">
              <a16:creationId xmlns:a16="http://schemas.microsoft.com/office/drawing/2014/main" id="{F70CCF63-D579-4923-9E3C-F47AFF64396A}"/>
            </a:ext>
          </a:extLst>
        </xdr:cNvPr>
        <xdr:cNvSpPr/>
      </xdr:nvSpPr>
      <xdr:spPr>
        <a:xfrm>
          <a:off x="1445560" y="4808443"/>
          <a:ext cx="3085936" cy="51004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１－１－２．製品名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/CL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コードより一致する製品証明書の情報を取得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30</xdr:col>
      <xdr:colOff>100851</xdr:colOff>
      <xdr:row>9</xdr:row>
      <xdr:rowOff>156882</xdr:rowOff>
    </xdr:from>
    <xdr:to>
      <xdr:col>45</xdr:col>
      <xdr:colOff>201706</xdr:colOff>
      <xdr:row>12</xdr:row>
      <xdr:rowOff>89647</xdr:rowOff>
    </xdr:to>
    <xdr:sp macro="" textlink="">
      <xdr:nvSpPr>
        <xdr:cNvPr id="108" name="線吹き出し 1 (枠付き) 48">
          <a:extLst>
            <a:ext uri="{FF2B5EF4-FFF2-40B4-BE49-F238E27FC236}">
              <a16:creationId xmlns:a16="http://schemas.microsoft.com/office/drawing/2014/main" id="{CC229F06-4E1C-451F-AD66-4781EAF905A3}"/>
            </a:ext>
          </a:extLst>
        </xdr:cNvPr>
        <xdr:cNvSpPr/>
      </xdr:nvSpPr>
      <xdr:spPr>
        <a:xfrm>
          <a:off x="5815851" y="2881032"/>
          <a:ext cx="2945655" cy="504265"/>
        </a:xfrm>
        <a:prstGeom prst="borderCallout1">
          <a:avLst>
            <a:gd name="adj1" fmla="val 41330"/>
            <a:gd name="adj2" fmla="val -2710"/>
            <a:gd name="adj3" fmla="val 63844"/>
            <a:gd name="adj4" fmla="val -69410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ループ配下の処理を申請製品コードリストの件数分実施</a:t>
          </a:r>
        </a:p>
      </xdr:txBody>
    </xdr:sp>
    <xdr:clientData/>
  </xdr:twoCellAnchor>
  <xdr:twoCellAnchor>
    <xdr:from>
      <xdr:col>11</xdr:col>
      <xdr:colOff>44823</xdr:colOff>
      <xdr:row>24</xdr:row>
      <xdr:rowOff>112060</xdr:rowOff>
    </xdr:from>
    <xdr:to>
      <xdr:col>19</xdr:col>
      <xdr:colOff>206654</xdr:colOff>
      <xdr:row>26</xdr:row>
      <xdr:rowOff>112061</xdr:rowOff>
    </xdr:to>
    <xdr:sp macro="" textlink="">
      <xdr:nvSpPr>
        <xdr:cNvPr id="109" name="楕円 108">
          <a:extLst>
            <a:ext uri="{FF2B5EF4-FFF2-40B4-BE49-F238E27FC236}">
              <a16:creationId xmlns:a16="http://schemas.microsoft.com/office/drawing/2014/main" id="{C18BC67C-A27D-4147-8716-6E001D7D0A2E}"/>
            </a:ext>
          </a:extLst>
        </xdr:cNvPr>
        <xdr:cNvSpPr/>
      </xdr:nvSpPr>
      <xdr:spPr>
        <a:xfrm>
          <a:off x="2140323" y="5693710"/>
          <a:ext cx="1666781" cy="381001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リストをループ開始②</a:t>
          </a:r>
        </a:p>
      </xdr:txBody>
    </xdr:sp>
    <xdr:clientData/>
  </xdr:twoCellAnchor>
  <xdr:twoCellAnchor>
    <xdr:from>
      <xdr:col>30</xdr:col>
      <xdr:colOff>201709</xdr:colOff>
      <xdr:row>24</xdr:row>
      <xdr:rowOff>44825</xdr:rowOff>
    </xdr:from>
    <xdr:to>
      <xdr:col>48</xdr:col>
      <xdr:colOff>179297</xdr:colOff>
      <xdr:row>33</xdr:row>
      <xdr:rowOff>44824</xdr:rowOff>
    </xdr:to>
    <xdr:sp macro="" textlink="">
      <xdr:nvSpPr>
        <xdr:cNvPr id="110" name="線吹き出し 1 (枠付き) 257">
          <a:extLst>
            <a:ext uri="{FF2B5EF4-FFF2-40B4-BE49-F238E27FC236}">
              <a16:creationId xmlns:a16="http://schemas.microsoft.com/office/drawing/2014/main" id="{410BE3B7-F14F-415A-8B0A-40184A1C64C0}"/>
            </a:ext>
          </a:extLst>
        </xdr:cNvPr>
        <xdr:cNvSpPr/>
      </xdr:nvSpPr>
      <xdr:spPr>
        <a:xfrm>
          <a:off x="5904009" y="5626475"/>
          <a:ext cx="3419288" cy="1714499"/>
        </a:xfrm>
        <a:prstGeom prst="borderCallout1">
          <a:avLst>
            <a:gd name="adj1" fmla="val 21382"/>
            <a:gd name="adj2" fmla="val -1274"/>
            <a:gd name="adj3" fmla="val 14621"/>
            <a:gd name="adj4" fmla="val -65198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0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回実施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・製品証明書の情報のリストの件数が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件以上の場合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：ループ配下の処理を製品証明書の情報のリストの件数分実施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※CL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コードで検索する場合、</a:t>
          </a:r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件取得となるが、</a:t>
          </a:r>
          <a:endParaRPr kumimoji="1"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  <a:p>
          <a:pPr algn="l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　　　製品名で検索する場合、複数件取得となる可能性がある</a:t>
          </a:r>
        </a:p>
      </xdr:txBody>
    </xdr:sp>
    <xdr:clientData/>
  </xdr:twoCellAnchor>
  <xdr:twoCellAnchor>
    <xdr:from>
      <xdr:col>15</xdr:col>
      <xdr:colOff>125739</xdr:colOff>
      <xdr:row>22</xdr:row>
      <xdr:rowOff>117836</xdr:rowOff>
    </xdr:from>
    <xdr:to>
      <xdr:col>15</xdr:col>
      <xdr:colOff>131029</xdr:colOff>
      <xdr:row>24</xdr:row>
      <xdr:rowOff>112060</xdr:rowOff>
    </xdr:to>
    <xdr:cxnSp macro="">
      <xdr:nvCxnSpPr>
        <xdr:cNvPr id="111" name="直線矢印コネクタ 110">
          <a:extLst>
            <a:ext uri="{FF2B5EF4-FFF2-40B4-BE49-F238E27FC236}">
              <a16:creationId xmlns:a16="http://schemas.microsoft.com/office/drawing/2014/main" id="{71639267-5E98-493F-830E-9F0E7A64B9B2}"/>
            </a:ext>
          </a:extLst>
        </xdr:cNvPr>
        <xdr:cNvCxnSpPr>
          <a:stCxn id="107" idx="2"/>
          <a:endCxn id="109" idx="0"/>
        </xdr:cNvCxnSpPr>
      </xdr:nvCxnSpPr>
      <xdr:spPr>
        <a:xfrm flipH="1">
          <a:off x="2983239" y="5318486"/>
          <a:ext cx="5290" cy="375224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125739</xdr:colOff>
      <xdr:row>26</xdr:row>
      <xdr:rowOff>112061</xdr:rowOff>
    </xdr:from>
    <xdr:to>
      <xdr:col>15</xdr:col>
      <xdr:colOff>130235</xdr:colOff>
      <xdr:row>28</xdr:row>
      <xdr:rowOff>33619</xdr:rowOff>
    </xdr:to>
    <xdr:cxnSp macro="">
      <xdr:nvCxnSpPr>
        <xdr:cNvPr id="112" name="直線矢印コネクタ 111">
          <a:extLst>
            <a:ext uri="{FF2B5EF4-FFF2-40B4-BE49-F238E27FC236}">
              <a16:creationId xmlns:a16="http://schemas.microsoft.com/office/drawing/2014/main" id="{DDE2A1C2-C73B-408E-B175-F4AA6084B931}"/>
            </a:ext>
          </a:extLst>
        </xdr:cNvPr>
        <xdr:cNvCxnSpPr>
          <a:stCxn id="109" idx="4"/>
          <a:endCxn id="117" idx="0"/>
        </xdr:cNvCxnSpPr>
      </xdr:nvCxnSpPr>
      <xdr:spPr>
        <a:xfrm>
          <a:off x="2983239" y="6074711"/>
          <a:ext cx="4496" cy="30255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57198</xdr:colOff>
      <xdr:row>84</xdr:row>
      <xdr:rowOff>190500</xdr:rowOff>
    </xdr:from>
    <xdr:to>
      <xdr:col>20</xdr:col>
      <xdr:colOff>6118</xdr:colOff>
      <xdr:row>86</xdr:row>
      <xdr:rowOff>190501</xdr:rowOff>
    </xdr:to>
    <xdr:sp macro="" textlink="">
      <xdr:nvSpPr>
        <xdr:cNvPr id="113" name="楕円 112">
          <a:extLst>
            <a:ext uri="{FF2B5EF4-FFF2-40B4-BE49-F238E27FC236}">
              <a16:creationId xmlns:a16="http://schemas.microsoft.com/office/drawing/2014/main" id="{877EA1CF-E8B5-4382-B0BA-6464C547E12C}"/>
            </a:ext>
          </a:extLst>
        </xdr:cNvPr>
        <xdr:cNvSpPr/>
      </xdr:nvSpPr>
      <xdr:spPr>
        <a:xfrm>
          <a:off x="2152698" y="17202150"/>
          <a:ext cx="1663420" cy="381001"/>
        </a:xfrm>
        <a:prstGeom prst="ellipse">
          <a:avLst/>
        </a:prstGeom>
        <a:solidFill>
          <a:schemeClr val="accent5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リストをループ終了①</a:t>
          </a:r>
        </a:p>
      </xdr:txBody>
    </xdr:sp>
    <xdr:clientData/>
  </xdr:twoCellAnchor>
  <xdr:twoCellAnchor>
    <xdr:from>
      <xdr:col>11</xdr:col>
      <xdr:colOff>56029</xdr:colOff>
      <xdr:row>81</xdr:row>
      <xdr:rowOff>74521</xdr:rowOff>
    </xdr:from>
    <xdr:to>
      <xdr:col>20</xdr:col>
      <xdr:colOff>4949</xdr:colOff>
      <xdr:row>83</xdr:row>
      <xdr:rowOff>74523</xdr:rowOff>
    </xdr:to>
    <xdr:sp macro="" textlink="">
      <xdr:nvSpPr>
        <xdr:cNvPr id="114" name="楕円 113">
          <a:extLst>
            <a:ext uri="{FF2B5EF4-FFF2-40B4-BE49-F238E27FC236}">
              <a16:creationId xmlns:a16="http://schemas.microsoft.com/office/drawing/2014/main" id="{2A100CA6-7AF5-4020-875F-7FB95AE36B0F}"/>
            </a:ext>
          </a:extLst>
        </xdr:cNvPr>
        <xdr:cNvSpPr/>
      </xdr:nvSpPr>
      <xdr:spPr>
        <a:xfrm>
          <a:off x="2151529" y="16514671"/>
          <a:ext cx="1663420" cy="381002"/>
        </a:xfrm>
        <a:prstGeom prst="ellipse">
          <a:avLst/>
        </a:prstGeom>
        <a:solidFill>
          <a:schemeClr val="accent3">
            <a:lumMod val="20000"/>
            <a:lumOff val="8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リストをループ終了②</a:t>
          </a:r>
        </a:p>
      </xdr:txBody>
    </xdr:sp>
    <xdr:clientData/>
  </xdr:twoCellAnchor>
  <xdr:twoCellAnchor>
    <xdr:from>
      <xdr:col>15</xdr:col>
      <xdr:colOff>136945</xdr:colOff>
      <xdr:row>83</xdr:row>
      <xdr:rowOff>74523</xdr:rowOff>
    </xdr:from>
    <xdr:to>
      <xdr:col>15</xdr:col>
      <xdr:colOff>138114</xdr:colOff>
      <xdr:row>84</xdr:row>
      <xdr:rowOff>190500</xdr:rowOff>
    </xdr:to>
    <xdr:cxnSp macro="">
      <xdr:nvCxnSpPr>
        <xdr:cNvPr id="115" name="直線矢印コネクタ 114">
          <a:extLst>
            <a:ext uri="{FF2B5EF4-FFF2-40B4-BE49-F238E27FC236}">
              <a16:creationId xmlns:a16="http://schemas.microsoft.com/office/drawing/2014/main" id="{7BAEB803-1CA0-4C6A-A666-372AABD27E9D}"/>
            </a:ext>
          </a:extLst>
        </xdr:cNvPr>
        <xdr:cNvCxnSpPr>
          <a:stCxn id="114" idx="4"/>
          <a:endCxn id="113" idx="0"/>
        </xdr:cNvCxnSpPr>
      </xdr:nvCxnSpPr>
      <xdr:spPr>
        <a:xfrm>
          <a:off x="2994445" y="16895673"/>
          <a:ext cx="1169" cy="30647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138114</xdr:colOff>
      <xdr:row>86</xdr:row>
      <xdr:rowOff>190501</xdr:rowOff>
    </xdr:from>
    <xdr:to>
      <xdr:col>15</xdr:col>
      <xdr:colOff>143542</xdr:colOff>
      <xdr:row>88</xdr:row>
      <xdr:rowOff>56028</xdr:rowOff>
    </xdr:to>
    <xdr:cxnSp macro="">
      <xdr:nvCxnSpPr>
        <xdr:cNvPr id="116" name="直線矢印コネクタ 115">
          <a:extLst>
            <a:ext uri="{FF2B5EF4-FFF2-40B4-BE49-F238E27FC236}">
              <a16:creationId xmlns:a16="http://schemas.microsoft.com/office/drawing/2014/main" id="{62CB23EA-AE02-4B1B-8A2D-D23472C4D4C1}"/>
            </a:ext>
          </a:extLst>
        </xdr:cNvPr>
        <xdr:cNvCxnSpPr>
          <a:stCxn id="113" idx="4"/>
          <a:endCxn id="16" idx="0"/>
        </xdr:cNvCxnSpPr>
      </xdr:nvCxnSpPr>
      <xdr:spPr>
        <a:xfrm>
          <a:off x="2995614" y="17583151"/>
          <a:ext cx="5428" cy="246527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201705</xdr:colOff>
      <xdr:row>28</xdr:row>
      <xdr:rowOff>33619</xdr:rowOff>
    </xdr:from>
    <xdr:to>
      <xdr:col>23</xdr:col>
      <xdr:colOff>58763</xdr:colOff>
      <xdr:row>30</xdr:row>
      <xdr:rowOff>156882</xdr:rowOff>
    </xdr:to>
    <xdr:sp macro="" textlink="">
      <xdr:nvSpPr>
        <xdr:cNvPr id="117" name="フローチャート: 処理 116">
          <a:extLst>
            <a:ext uri="{FF2B5EF4-FFF2-40B4-BE49-F238E27FC236}">
              <a16:creationId xmlns:a16="http://schemas.microsoft.com/office/drawing/2014/main" id="{5B17A90B-1A1D-4EF0-A734-706409B33A7C}"/>
            </a:ext>
          </a:extLst>
        </xdr:cNvPr>
        <xdr:cNvSpPr/>
      </xdr:nvSpPr>
      <xdr:spPr>
        <a:xfrm>
          <a:off x="1522505" y="6377269"/>
          <a:ext cx="2917758" cy="504263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製品証明書の情報を</a:t>
          </a:r>
          <a:r>
            <a:rPr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</a:t>
          </a:r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件取得</a:t>
          </a:r>
          <a:endParaRPr lang="en-US" altLang="ja-JP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130235</xdr:colOff>
      <xdr:row>30</xdr:row>
      <xdr:rowOff>156882</xdr:rowOff>
    </xdr:from>
    <xdr:to>
      <xdr:col>15</xdr:col>
      <xdr:colOff>139924</xdr:colOff>
      <xdr:row>33</xdr:row>
      <xdr:rowOff>14610</xdr:rowOff>
    </xdr:to>
    <xdr:cxnSp macro="">
      <xdr:nvCxnSpPr>
        <xdr:cNvPr id="118" name="直線矢印コネクタ 117">
          <a:extLst>
            <a:ext uri="{FF2B5EF4-FFF2-40B4-BE49-F238E27FC236}">
              <a16:creationId xmlns:a16="http://schemas.microsoft.com/office/drawing/2014/main" id="{F3F90CF4-0BB5-44C2-927F-90BD68D49C6F}"/>
            </a:ext>
          </a:extLst>
        </xdr:cNvPr>
        <xdr:cNvCxnSpPr>
          <a:stCxn id="117" idx="2"/>
          <a:endCxn id="21" idx="0"/>
        </xdr:cNvCxnSpPr>
      </xdr:nvCxnSpPr>
      <xdr:spPr>
        <a:xfrm>
          <a:off x="2987735" y="6881532"/>
          <a:ext cx="9689" cy="429228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19049</xdr:colOff>
      <xdr:row>120</xdr:row>
      <xdr:rowOff>9526</xdr:rowOff>
    </xdr:from>
    <xdr:to>
      <xdr:col>35</xdr:col>
      <xdr:colOff>33617</xdr:colOff>
      <xdr:row>143</xdr:row>
      <xdr:rowOff>123265</xdr:rowOff>
    </xdr:to>
    <xdr:sp macro="" textlink="">
      <xdr:nvSpPr>
        <xdr:cNvPr id="119" name="正方形/長方形 118">
          <a:extLst>
            <a:ext uri="{FF2B5EF4-FFF2-40B4-BE49-F238E27FC236}">
              <a16:creationId xmlns:a16="http://schemas.microsoft.com/office/drawing/2014/main" id="{FCB33DF0-E04A-44AC-8AD8-091FB42296F6}"/>
            </a:ext>
          </a:extLst>
        </xdr:cNvPr>
        <xdr:cNvSpPr/>
      </xdr:nvSpPr>
      <xdr:spPr>
        <a:xfrm>
          <a:off x="971549" y="23891876"/>
          <a:ext cx="5729568" cy="4495239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28575">
          <a:solidFill>
            <a:schemeClr val="tx2">
              <a:lumMod val="60000"/>
              <a:lumOff val="40000"/>
            </a:schemeClr>
          </a:solidFill>
          <a:prstDash val="soli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申請製品情報マスタ</a:t>
          </a:r>
        </a:p>
      </xdr:txBody>
    </xdr:sp>
    <xdr:clientData/>
  </xdr:twoCellAnchor>
  <xdr:twoCellAnchor>
    <xdr:from>
      <xdr:col>16</xdr:col>
      <xdr:colOff>5360</xdr:colOff>
      <xdr:row>127</xdr:row>
      <xdr:rowOff>68912</xdr:rowOff>
    </xdr:from>
    <xdr:to>
      <xdr:col>23</xdr:col>
      <xdr:colOff>148819</xdr:colOff>
      <xdr:row>128</xdr:row>
      <xdr:rowOff>168313</xdr:rowOff>
    </xdr:to>
    <xdr:sp macro="" textlink="">
      <xdr:nvSpPr>
        <xdr:cNvPr id="120" name="フローチャート: 処理 119">
          <a:extLst>
            <a:ext uri="{FF2B5EF4-FFF2-40B4-BE49-F238E27FC236}">
              <a16:creationId xmlns:a16="http://schemas.microsoft.com/office/drawing/2014/main" id="{C2C40847-770B-4A83-8B8C-0747E5AB2393}"/>
            </a:ext>
          </a:extLst>
        </xdr:cNvPr>
        <xdr:cNvSpPr/>
      </xdr:nvSpPr>
      <xdr:spPr>
        <a:xfrm>
          <a:off x="3053360" y="25284762"/>
          <a:ext cx="1476959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CL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コード</a:t>
          </a:r>
        </a:p>
      </xdr:txBody>
    </xdr:sp>
    <xdr:clientData/>
  </xdr:twoCellAnchor>
  <xdr:twoCellAnchor>
    <xdr:from>
      <xdr:col>10</xdr:col>
      <xdr:colOff>207987</xdr:colOff>
      <xdr:row>131</xdr:row>
      <xdr:rowOff>70812</xdr:rowOff>
    </xdr:from>
    <xdr:to>
      <xdr:col>29</xdr:col>
      <xdr:colOff>118333</xdr:colOff>
      <xdr:row>131</xdr:row>
      <xdr:rowOff>104430</xdr:rowOff>
    </xdr:to>
    <xdr:cxnSp macro="">
      <xdr:nvCxnSpPr>
        <xdr:cNvPr id="121" name="カギ線コネクタ 281">
          <a:extLst>
            <a:ext uri="{FF2B5EF4-FFF2-40B4-BE49-F238E27FC236}">
              <a16:creationId xmlns:a16="http://schemas.microsoft.com/office/drawing/2014/main" id="{FB3632C5-232D-4064-977D-4153C5FF1DE8}"/>
            </a:ext>
          </a:extLst>
        </xdr:cNvPr>
        <xdr:cNvCxnSpPr>
          <a:stCxn id="130" idx="0"/>
          <a:endCxn id="124" idx="0"/>
        </xdr:cNvCxnSpPr>
      </xdr:nvCxnSpPr>
      <xdr:spPr>
        <a:xfrm rot="5400000" flipH="1" flipV="1">
          <a:off x="3851576" y="24291023"/>
          <a:ext cx="33618" cy="3548896"/>
        </a:xfrm>
        <a:prstGeom prst="bentConnector3">
          <a:avLst>
            <a:gd name="adj1" fmla="val 779993"/>
          </a:avLst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24</xdr:col>
      <xdr:colOff>101322</xdr:colOff>
      <xdr:row>136</xdr:row>
      <xdr:rowOff>58973</xdr:rowOff>
    </xdr:from>
    <xdr:to>
      <xdr:col>33</xdr:col>
      <xdr:colOff>89639</xdr:colOff>
      <xdr:row>139</xdr:row>
      <xdr:rowOff>67240</xdr:rowOff>
    </xdr:to>
    <xdr:sp macro="" textlink="">
      <xdr:nvSpPr>
        <xdr:cNvPr id="122" name="フローチャート: 複数書類 121">
          <a:extLst>
            <a:ext uri="{FF2B5EF4-FFF2-40B4-BE49-F238E27FC236}">
              <a16:creationId xmlns:a16="http://schemas.microsoft.com/office/drawing/2014/main" id="{A61FF978-AE14-45FC-B635-04DDFA1B917A}"/>
            </a:ext>
          </a:extLst>
        </xdr:cNvPr>
        <xdr:cNvSpPr/>
      </xdr:nvSpPr>
      <xdr:spPr>
        <a:xfrm>
          <a:off x="4673322" y="26989323"/>
          <a:ext cx="1702817" cy="579767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例：高精度分析データ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(ICP)</a:t>
          </a:r>
        </a:p>
      </xdr:txBody>
    </xdr:sp>
    <xdr:clientData/>
  </xdr:twoCellAnchor>
  <xdr:twoCellAnchor>
    <xdr:from>
      <xdr:col>29</xdr:col>
      <xdr:colOff>118334</xdr:colOff>
      <xdr:row>133</xdr:row>
      <xdr:rowOff>4</xdr:rowOff>
    </xdr:from>
    <xdr:to>
      <xdr:col>29</xdr:col>
      <xdr:colOff>120049</xdr:colOff>
      <xdr:row>136</xdr:row>
      <xdr:rowOff>58973</xdr:rowOff>
    </xdr:to>
    <xdr:cxnSp macro="">
      <xdr:nvCxnSpPr>
        <xdr:cNvPr id="123" name="直線コネクタ 122">
          <a:extLst>
            <a:ext uri="{FF2B5EF4-FFF2-40B4-BE49-F238E27FC236}">
              <a16:creationId xmlns:a16="http://schemas.microsoft.com/office/drawing/2014/main" id="{C9506F38-D627-4369-B11E-4522D965B085}"/>
            </a:ext>
          </a:extLst>
        </xdr:cNvPr>
        <xdr:cNvCxnSpPr>
          <a:stCxn id="122" idx="0"/>
          <a:endCxn id="124" idx="2"/>
        </xdr:cNvCxnSpPr>
      </xdr:nvCxnSpPr>
      <xdr:spPr>
        <a:xfrm flipH="1" flipV="1">
          <a:off x="5642834" y="26358854"/>
          <a:ext cx="1715" cy="630469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26</xdr:col>
      <xdr:colOff>158233</xdr:colOff>
      <xdr:row>131</xdr:row>
      <xdr:rowOff>70811</xdr:rowOff>
    </xdr:from>
    <xdr:to>
      <xdr:col>32</xdr:col>
      <xdr:colOff>78434</xdr:colOff>
      <xdr:row>133</xdr:row>
      <xdr:rowOff>4</xdr:rowOff>
    </xdr:to>
    <xdr:sp macro="" textlink="">
      <xdr:nvSpPr>
        <xdr:cNvPr id="124" name="フローチャート: 処理 123">
          <a:extLst>
            <a:ext uri="{FF2B5EF4-FFF2-40B4-BE49-F238E27FC236}">
              <a16:creationId xmlns:a16="http://schemas.microsoft.com/office/drawing/2014/main" id="{A120C0A4-8726-41B6-AAE0-DDA517B492AE}"/>
            </a:ext>
          </a:extLst>
        </xdr:cNvPr>
        <xdr:cNvSpPr/>
      </xdr:nvSpPr>
      <xdr:spPr>
        <a:xfrm>
          <a:off x="5111233" y="26048661"/>
          <a:ext cx="1063201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Non-compliant</a:t>
          </a:r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202181</xdr:colOff>
      <xdr:row>136</xdr:row>
      <xdr:rowOff>70180</xdr:rowOff>
    </xdr:from>
    <xdr:to>
      <xdr:col>23</xdr:col>
      <xdr:colOff>179291</xdr:colOff>
      <xdr:row>139</xdr:row>
      <xdr:rowOff>67241</xdr:rowOff>
    </xdr:to>
    <xdr:sp macro="" textlink="">
      <xdr:nvSpPr>
        <xdr:cNvPr id="125" name="フローチャート: 複数書類 124">
          <a:extLst>
            <a:ext uri="{FF2B5EF4-FFF2-40B4-BE49-F238E27FC236}">
              <a16:creationId xmlns:a16="http://schemas.microsoft.com/office/drawing/2014/main" id="{E199F152-3AFB-4209-9904-F7A55575B412}"/>
            </a:ext>
          </a:extLst>
        </xdr:cNvPr>
        <xdr:cNvSpPr/>
      </xdr:nvSpPr>
      <xdr:spPr>
        <a:xfrm>
          <a:off x="2856481" y="27000530"/>
          <a:ext cx="1704310" cy="568561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例：ハロゲンフリー証明書</a:t>
          </a:r>
        </a:p>
      </xdr:txBody>
    </xdr:sp>
    <xdr:clientData/>
  </xdr:twoCellAnchor>
  <xdr:twoCellAnchor>
    <xdr:from>
      <xdr:col>20</xdr:col>
      <xdr:colOff>1622</xdr:colOff>
      <xdr:row>133</xdr:row>
      <xdr:rowOff>22416</xdr:rowOff>
    </xdr:from>
    <xdr:to>
      <xdr:col>20</xdr:col>
      <xdr:colOff>17487</xdr:colOff>
      <xdr:row>136</xdr:row>
      <xdr:rowOff>70180</xdr:rowOff>
    </xdr:to>
    <xdr:cxnSp macro="">
      <xdr:nvCxnSpPr>
        <xdr:cNvPr id="126" name="直線コネクタ 125">
          <a:extLst>
            <a:ext uri="{FF2B5EF4-FFF2-40B4-BE49-F238E27FC236}">
              <a16:creationId xmlns:a16="http://schemas.microsoft.com/office/drawing/2014/main" id="{3F5D7522-9542-443E-9F59-9A12CDD0C5A4}"/>
            </a:ext>
          </a:extLst>
        </xdr:cNvPr>
        <xdr:cNvCxnSpPr>
          <a:stCxn id="125" idx="0"/>
          <a:endCxn id="127" idx="2"/>
        </xdr:cNvCxnSpPr>
      </xdr:nvCxnSpPr>
      <xdr:spPr>
        <a:xfrm flipV="1">
          <a:off x="3811622" y="26381266"/>
          <a:ext cx="15865" cy="619264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17</xdr:col>
      <xdr:colOff>57386</xdr:colOff>
      <xdr:row>131</xdr:row>
      <xdr:rowOff>93223</xdr:rowOff>
    </xdr:from>
    <xdr:to>
      <xdr:col>22</xdr:col>
      <xdr:colOff>190498</xdr:colOff>
      <xdr:row>133</xdr:row>
      <xdr:rowOff>22416</xdr:rowOff>
    </xdr:to>
    <xdr:sp macro="" textlink="">
      <xdr:nvSpPr>
        <xdr:cNvPr id="127" name="フローチャート: 処理 126">
          <a:extLst>
            <a:ext uri="{FF2B5EF4-FFF2-40B4-BE49-F238E27FC236}">
              <a16:creationId xmlns:a16="http://schemas.microsoft.com/office/drawing/2014/main" id="{E4127753-A3E8-410A-BAA0-30C45B3A436D}"/>
            </a:ext>
          </a:extLst>
        </xdr:cNvPr>
        <xdr:cNvSpPr/>
      </xdr:nvSpPr>
      <xdr:spPr>
        <a:xfrm>
          <a:off x="3295886" y="26071073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Request</a:t>
          </a:r>
        </a:p>
      </xdr:txBody>
    </xdr:sp>
    <xdr:clientData/>
  </xdr:twoCellAnchor>
  <xdr:twoCellAnchor>
    <xdr:from>
      <xdr:col>6</xdr:col>
      <xdr:colOff>67712</xdr:colOff>
      <xdr:row>136</xdr:row>
      <xdr:rowOff>92589</xdr:rowOff>
    </xdr:from>
    <xdr:to>
      <xdr:col>14</xdr:col>
      <xdr:colOff>112059</xdr:colOff>
      <xdr:row>139</xdr:row>
      <xdr:rowOff>168092</xdr:rowOff>
    </xdr:to>
    <xdr:sp macro="" textlink="">
      <xdr:nvSpPr>
        <xdr:cNvPr id="128" name="フローチャート: 複数書類 127">
          <a:extLst>
            <a:ext uri="{FF2B5EF4-FFF2-40B4-BE49-F238E27FC236}">
              <a16:creationId xmlns:a16="http://schemas.microsoft.com/office/drawing/2014/main" id="{68515F4D-5117-4051-A454-CE662D8057E5}"/>
            </a:ext>
          </a:extLst>
        </xdr:cNvPr>
        <xdr:cNvSpPr/>
      </xdr:nvSpPr>
      <xdr:spPr>
        <a:xfrm>
          <a:off x="1210712" y="27022939"/>
          <a:ext cx="1568347" cy="647003"/>
        </a:xfrm>
        <a:prstGeom prst="flowChartMultidocument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申請した証明書種類</a:t>
          </a:r>
          <a:endParaRPr lang="en-US" altLang="ja-JP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000">
              <a:solidFill>
                <a:sysClr val="windowText" lastClr="000000"/>
              </a:solidFill>
              <a:effectLst/>
            </a:rPr>
            <a:t>例：</a:t>
          </a:r>
          <a:r>
            <a:rPr lang="en-US" altLang="ja-JP" sz="1000">
              <a:solidFill>
                <a:sysClr val="windowText" lastClr="000000"/>
              </a:solidFill>
              <a:effectLst/>
            </a:rPr>
            <a:t>RoHS</a:t>
          </a:r>
          <a:r>
            <a:rPr lang="ja-JP" altLang="en-US" sz="1000">
              <a:solidFill>
                <a:sysClr val="windowText" lastClr="000000"/>
              </a:solidFill>
              <a:effectLst/>
            </a:rPr>
            <a:t>適合、成分表</a:t>
          </a:r>
        </a:p>
      </xdr:txBody>
    </xdr:sp>
    <xdr:clientData/>
  </xdr:twoCellAnchor>
  <xdr:twoCellAnchor>
    <xdr:from>
      <xdr:col>10</xdr:col>
      <xdr:colOff>207988</xdr:colOff>
      <xdr:row>133</xdr:row>
      <xdr:rowOff>33622</xdr:rowOff>
    </xdr:from>
    <xdr:to>
      <xdr:col>10</xdr:col>
      <xdr:colOff>210117</xdr:colOff>
      <xdr:row>136</xdr:row>
      <xdr:rowOff>92590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894CBA31-420D-40E4-B65E-B6BA28A12A73}"/>
            </a:ext>
          </a:extLst>
        </xdr:cNvPr>
        <xdr:cNvCxnSpPr>
          <a:stCxn id="128" idx="0"/>
          <a:endCxn id="130" idx="2"/>
        </xdr:cNvCxnSpPr>
      </xdr:nvCxnSpPr>
      <xdr:spPr>
        <a:xfrm flipH="1" flipV="1">
          <a:off x="2093938" y="26392472"/>
          <a:ext cx="2129" cy="630468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8</xdr:col>
      <xdr:colOff>34976</xdr:colOff>
      <xdr:row>131</xdr:row>
      <xdr:rowOff>104429</xdr:rowOff>
    </xdr:from>
    <xdr:to>
      <xdr:col>13</xdr:col>
      <xdr:colOff>168088</xdr:colOff>
      <xdr:row>133</xdr:row>
      <xdr:rowOff>33622</xdr:rowOff>
    </xdr:to>
    <xdr:sp macro="" textlink="">
      <xdr:nvSpPr>
        <xdr:cNvPr id="130" name="フローチャート: 処理 129">
          <a:extLst>
            <a:ext uri="{FF2B5EF4-FFF2-40B4-BE49-F238E27FC236}">
              <a16:creationId xmlns:a16="http://schemas.microsoft.com/office/drawing/2014/main" id="{20B10418-D1D9-4DD2-80B2-2F2B8D532363}"/>
            </a:ext>
          </a:extLst>
        </xdr:cNvPr>
        <xdr:cNvSpPr/>
      </xdr:nvSpPr>
      <xdr:spPr>
        <a:xfrm>
          <a:off x="1558976" y="26082279"/>
          <a:ext cx="1085612" cy="31019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申請可能</a:t>
          </a:r>
        </a:p>
      </xdr:txBody>
    </xdr:sp>
    <xdr:clientData/>
  </xdr:twoCellAnchor>
  <xdr:twoCellAnchor>
    <xdr:from>
      <xdr:col>20</xdr:col>
      <xdr:colOff>17487</xdr:colOff>
      <xdr:row>128</xdr:row>
      <xdr:rowOff>193638</xdr:rowOff>
    </xdr:from>
    <xdr:to>
      <xdr:col>20</xdr:col>
      <xdr:colOff>25444</xdr:colOff>
      <xdr:row>131</xdr:row>
      <xdr:rowOff>93223</xdr:rowOff>
    </xdr:to>
    <xdr:cxnSp macro="">
      <xdr:nvCxnSpPr>
        <xdr:cNvPr id="131" name="直線コネクタ 130">
          <a:extLst>
            <a:ext uri="{FF2B5EF4-FFF2-40B4-BE49-F238E27FC236}">
              <a16:creationId xmlns:a16="http://schemas.microsoft.com/office/drawing/2014/main" id="{7403520F-8FF1-4F00-8E5C-02B2AF9EA854}"/>
            </a:ext>
          </a:extLst>
        </xdr:cNvPr>
        <xdr:cNvCxnSpPr>
          <a:stCxn id="127" idx="0"/>
          <a:endCxn id="132" idx="2"/>
        </xdr:cNvCxnSpPr>
      </xdr:nvCxnSpPr>
      <xdr:spPr>
        <a:xfrm flipV="1">
          <a:off x="3827487" y="25599988"/>
          <a:ext cx="7957" cy="471085"/>
        </a:xfrm>
        <a:prstGeom prst="line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cxnSp>
    <xdr:clientData/>
  </xdr:twoCellAnchor>
  <xdr:twoCellAnchor>
    <xdr:from>
      <xdr:col>14</xdr:col>
      <xdr:colOff>101385</xdr:colOff>
      <xdr:row>127</xdr:row>
      <xdr:rowOff>20739</xdr:rowOff>
    </xdr:from>
    <xdr:to>
      <xdr:col>25</xdr:col>
      <xdr:colOff>162413</xdr:colOff>
      <xdr:row>128</xdr:row>
      <xdr:rowOff>193638</xdr:rowOff>
    </xdr:to>
    <xdr:sp macro="" textlink="">
      <xdr:nvSpPr>
        <xdr:cNvPr id="132" name="正方形/長方形 131">
          <a:extLst>
            <a:ext uri="{FF2B5EF4-FFF2-40B4-BE49-F238E27FC236}">
              <a16:creationId xmlns:a16="http://schemas.microsoft.com/office/drawing/2014/main" id="{A5CEC77D-9BD5-42A9-93A4-ADB73540E712}"/>
            </a:ext>
          </a:extLst>
        </xdr:cNvPr>
        <xdr:cNvSpPr/>
      </xdr:nvSpPr>
      <xdr:spPr>
        <a:xfrm>
          <a:off x="2768385" y="252365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43208</xdr:colOff>
      <xdr:row>130</xdr:row>
      <xdr:rowOff>172836</xdr:rowOff>
    </xdr:from>
    <xdr:to>
      <xdr:col>33</xdr:col>
      <xdr:colOff>78443</xdr:colOff>
      <xdr:row>133</xdr:row>
      <xdr:rowOff>112059</xdr:rowOff>
    </xdr:to>
    <xdr:sp macro="" textlink="">
      <xdr:nvSpPr>
        <xdr:cNvPr id="133" name="正方形/長方形 132">
          <a:extLst>
            <a:ext uri="{FF2B5EF4-FFF2-40B4-BE49-F238E27FC236}">
              <a16:creationId xmlns:a16="http://schemas.microsoft.com/office/drawing/2014/main" id="{BDEB20BB-44E2-4CFA-AC73-F7616AB49DE7}"/>
            </a:ext>
          </a:extLst>
        </xdr:cNvPr>
        <xdr:cNvSpPr/>
      </xdr:nvSpPr>
      <xdr:spPr>
        <a:xfrm>
          <a:off x="1376708" y="25960186"/>
          <a:ext cx="4988235" cy="510723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23</xdr:col>
      <xdr:colOff>212903</xdr:colOff>
      <xdr:row>135</xdr:row>
      <xdr:rowOff>134470</xdr:rowOff>
    </xdr:from>
    <xdr:to>
      <xdr:col>33</xdr:col>
      <xdr:colOff>164555</xdr:colOff>
      <xdr:row>140</xdr:row>
      <xdr:rowOff>46415</xdr:rowOff>
    </xdr:to>
    <xdr:sp macro="" textlink="">
      <xdr:nvSpPr>
        <xdr:cNvPr id="134" name="正方形/長方形 133">
          <a:extLst>
            <a:ext uri="{FF2B5EF4-FFF2-40B4-BE49-F238E27FC236}">
              <a16:creationId xmlns:a16="http://schemas.microsoft.com/office/drawing/2014/main" id="{FC3E9980-F0D9-4E35-884E-E57F5150E34F}"/>
            </a:ext>
          </a:extLst>
        </xdr:cNvPr>
        <xdr:cNvSpPr/>
      </xdr:nvSpPr>
      <xdr:spPr>
        <a:xfrm>
          <a:off x="4569003" y="26874320"/>
          <a:ext cx="1882052" cy="864445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9</xdr:col>
      <xdr:colOff>67234</xdr:colOff>
      <xdr:row>133</xdr:row>
      <xdr:rowOff>168090</xdr:rowOff>
    </xdr:from>
    <xdr:to>
      <xdr:col>10</xdr:col>
      <xdr:colOff>133359</xdr:colOff>
      <xdr:row>136</xdr:row>
      <xdr:rowOff>118146</xdr:rowOff>
    </xdr:to>
    <xdr:sp macro="" textlink="">
      <xdr:nvSpPr>
        <xdr:cNvPr id="135" name="フローチャート: 処理 134">
          <a:extLst>
            <a:ext uri="{FF2B5EF4-FFF2-40B4-BE49-F238E27FC236}">
              <a16:creationId xmlns:a16="http://schemas.microsoft.com/office/drawing/2014/main" id="{DD3957E9-2D42-4E4A-B04A-0212E330718A}"/>
            </a:ext>
          </a:extLst>
        </xdr:cNvPr>
        <xdr:cNvSpPr/>
      </xdr:nvSpPr>
      <xdr:spPr>
        <a:xfrm rot="5400000">
          <a:off x="1649269" y="26659405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18</xdr:col>
      <xdr:colOff>56026</xdr:colOff>
      <xdr:row>133</xdr:row>
      <xdr:rowOff>123268</xdr:rowOff>
    </xdr:from>
    <xdr:to>
      <xdr:col>19</xdr:col>
      <xdr:colOff>122151</xdr:colOff>
      <xdr:row>136</xdr:row>
      <xdr:rowOff>73324</xdr:rowOff>
    </xdr:to>
    <xdr:sp macro="" textlink="">
      <xdr:nvSpPr>
        <xdr:cNvPr id="136" name="フローチャート: 処理 135">
          <a:extLst>
            <a:ext uri="{FF2B5EF4-FFF2-40B4-BE49-F238E27FC236}">
              <a16:creationId xmlns:a16="http://schemas.microsoft.com/office/drawing/2014/main" id="{7CE965A1-4F33-4C95-B630-0F10034007F2}"/>
            </a:ext>
          </a:extLst>
        </xdr:cNvPr>
        <xdr:cNvSpPr/>
      </xdr:nvSpPr>
      <xdr:spPr>
        <a:xfrm rot="5400000">
          <a:off x="3352561" y="26614583"/>
          <a:ext cx="521556" cy="256625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27</xdr:col>
      <xdr:colOff>212902</xdr:colOff>
      <xdr:row>133</xdr:row>
      <xdr:rowOff>22415</xdr:rowOff>
    </xdr:from>
    <xdr:to>
      <xdr:col>29</xdr:col>
      <xdr:colOff>66116</xdr:colOff>
      <xdr:row>135</xdr:row>
      <xdr:rowOff>174177</xdr:rowOff>
    </xdr:to>
    <xdr:sp macro="" textlink="">
      <xdr:nvSpPr>
        <xdr:cNvPr id="137" name="フローチャート: 処理 136">
          <a:extLst>
            <a:ext uri="{FF2B5EF4-FFF2-40B4-BE49-F238E27FC236}">
              <a16:creationId xmlns:a16="http://schemas.microsoft.com/office/drawing/2014/main" id="{E65F2666-811B-4E60-80E1-24336DC35585}"/>
            </a:ext>
          </a:extLst>
        </xdr:cNvPr>
        <xdr:cNvSpPr/>
      </xdr:nvSpPr>
      <xdr:spPr>
        <a:xfrm rot="5400000">
          <a:off x="5194428" y="26517839"/>
          <a:ext cx="532762" cy="259614"/>
        </a:xfrm>
        <a:prstGeom prst="flowChartProcess">
          <a:avLst/>
        </a:prstGeom>
        <a:noFill/>
        <a:ln w="3175"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kumimoji="1" lang="en-US" altLang="ja-JP" sz="7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1:N</a:t>
          </a:r>
          <a:endParaRPr kumimoji="1" lang="ja-JP" altLang="en-US" sz="7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129889</xdr:colOff>
      <xdr:row>120</xdr:row>
      <xdr:rowOff>11206</xdr:rowOff>
    </xdr:from>
    <xdr:to>
      <xdr:col>54</xdr:col>
      <xdr:colOff>190499</xdr:colOff>
      <xdr:row>143</xdr:row>
      <xdr:rowOff>68835</xdr:rowOff>
    </xdr:to>
    <xdr:sp macro="" textlink="">
      <xdr:nvSpPr>
        <xdr:cNvPr id="138" name="正方形/長方形 137">
          <a:extLst>
            <a:ext uri="{FF2B5EF4-FFF2-40B4-BE49-F238E27FC236}">
              <a16:creationId xmlns:a16="http://schemas.microsoft.com/office/drawing/2014/main" id="{BA565EC2-92C4-4A98-892F-940E3E48A711}"/>
            </a:ext>
          </a:extLst>
        </xdr:cNvPr>
        <xdr:cNvSpPr/>
      </xdr:nvSpPr>
      <xdr:spPr>
        <a:xfrm>
          <a:off x="7178389" y="23893556"/>
          <a:ext cx="3299110" cy="443912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28575">
          <a:solidFill>
            <a:schemeClr val="accent6">
              <a:lumMod val="40000"/>
              <a:lumOff val="60000"/>
            </a:schemeClr>
          </a:solidFill>
          <a:prstDash val="solid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2.7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～</a:t>
          </a:r>
          <a:r>
            <a:rPr kumimoji="1" lang="en-US" altLang="ja-JP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2.12</a:t>
          </a:r>
          <a:r>
            <a:rPr kumimoji="1" lang="ja-JP" altLang="en-US" sz="1000" b="1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画面表示一覧</a:t>
          </a:r>
        </a:p>
      </xdr:txBody>
    </xdr:sp>
    <xdr:clientData/>
  </xdr:twoCellAnchor>
  <xdr:twoCellAnchor>
    <xdr:from>
      <xdr:col>38</xdr:col>
      <xdr:colOff>203053</xdr:colOff>
      <xdr:row>127</xdr:row>
      <xdr:rowOff>37982</xdr:rowOff>
    </xdr:from>
    <xdr:to>
      <xdr:col>49</xdr:col>
      <xdr:colOff>2941</xdr:colOff>
      <xdr:row>128</xdr:row>
      <xdr:rowOff>137383</xdr:rowOff>
    </xdr:to>
    <xdr:sp macro="" textlink="">
      <xdr:nvSpPr>
        <xdr:cNvPr id="139" name="フローチャート: 処理 138">
          <a:extLst>
            <a:ext uri="{FF2B5EF4-FFF2-40B4-BE49-F238E27FC236}">
              <a16:creationId xmlns:a16="http://schemas.microsoft.com/office/drawing/2014/main" id="{545A0CFA-04F7-49F7-8071-7AF1ADA94208}"/>
            </a:ext>
          </a:extLst>
        </xdr:cNvPr>
        <xdr:cNvSpPr/>
      </xdr:nvSpPr>
      <xdr:spPr>
        <a:xfrm>
          <a:off x="7429353" y="25253832"/>
          <a:ext cx="1908088" cy="289901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2.8 CL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（製品番号）</a:t>
          </a:r>
        </a:p>
      </xdr:txBody>
    </xdr:sp>
    <xdr:clientData/>
  </xdr:twoCellAnchor>
  <xdr:twoCellAnchor>
    <xdr:from>
      <xdr:col>39</xdr:col>
      <xdr:colOff>19811</xdr:colOff>
      <xdr:row>136</xdr:row>
      <xdr:rowOff>23122</xdr:rowOff>
    </xdr:from>
    <xdr:to>
      <xdr:col>49</xdr:col>
      <xdr:colOff>73806</xdr:colOff>
      <xdr:row>139</xdr:row>
      <xdr:rowOff>98465</xdr:rowOff>
    </xdr:to>
    <xdr:sp macro="" textlink="">
      <xdr:nvSpPr>
        <xdr:cNvPr id="140" name="フローチャート: 処理 139">
          <a:extLst>
            <a:ext uri="{FF2B5EF4-FFF2-40B4-BE49-F238E27FC236}">
              <a16:creationId xmlns:a16="http://schemas.microsoft.com/office/drawing/2014/main" id="{3B495500-3777-4005-AA4B-36502DB66EDC}"/>
            </a:ext>
          </a:extLst>
        </xdr:cNvPr>
        <xdr:cNvSpPr/>
      </xdr:nvSpPr>
      <xdr:spPr>
        <a:xfrm>
          <a:off x="7449311" y="26953472"/>
          <a:ext cx="1958995" cy="646843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2.12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申請された証明書種類</a:t>
          </a:r>
        </a:p>
      </xdr:txBody>
    </xdr:sp>
    <xdr:clientData/>
  </xdr:twoCellAnchor>
  <xdr:twoCellAnchor>
    <xdr:from>
      <xdr:col>39</xdr:col>
      <xdr:colOff>17048</xdr:colOff>
      <xdr:row>130</xdr:row>
      <xdr:rowOff>182768</xdr:rowOff>
    </xdr:from>
    <xdr:to>
      <xdr:col>49</xdr:col>
      <xdr:colOff>71280</xdr:colOff>
      <xdr:row>133</xdr:row>
      <xdr:rowOff>155010</xdr:rowOff>
    </xdr:to>
    <xdr:sp macro="" textlink="">
      <xdr:nvSpPr>
        <xdr:cNvPr id="141" name="フローチャート: 処理 140">
          <a:extLst>
            <a:ext uri="{FF2B5EF4-FFF2-40B4-BE49-F238E27FC236}">
              <a16:creationId xmlns:a16="http://schemas.microsoft.com/office/drawing/2014/main" id="{A540707D-214A-42A2-9612-C407B0604D74}"/>
            </a:ext>
          </a:extLst>
        </xdr:cNvPr>
        <xdr:cNvSpPr/>
      </xdr:nvSpPr>
      <xdr:spPr>
        <a:xfrm>
          <a:off x="7446548" y="25970118"/>
          <a:ext cx="1959232" cy="543742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2.13 </a:t>
          </a: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製品毎の申請可否チェック結果</a:t>
          </a:r>
        </a:p>
      </xdr:txBody>
    </xdr:sp>
    <xdr:clientData/>
  </xdr:twoCellAnchor>
  <xdr:twoCellAnchor>
    <xdr:from>
      <xdr:col>25</xdr:col>
      <xdr:colOff>67236</xdr:colOff>
      <xdr:row>127</xdr:row>
      <xdr:rowOff>47954</xdr:rowOff>
    </xdr:from>
    <xdr:to>
      <xdr:col>39</xdr:col>
      <xdr:colOff>134471</xdr:colOff>
      <xdr:row>128</xdr:row>
      <xdr:rowOff>112058</xdr:rowOff>
    </xdr:to>
    <xdr:sp macro="" textlink="">
      <xdr:nvSpPr>
        <xdr:cNvPr id="142" name="右矢印 319">
          <a:extLst>
            <a:ext uri="{FF2B5EF4-FFF2-40B4-BE49-F238E27FC236}">
              <a16:creationId xmlns:a16="http://schemas.microsoft.com/office/drawing/2014/main" id="{2550ED04-2040-4A7B-8B94-78975704921C}"/>
            </a:ext>
          </a:extLst>
        </xdr:cNvPr>
        <xdr:cNvSpPr/>
      </xdr:nvSpPr>
      <xdr:spPr>
        <a:xfrm>
          <a:off x="4829736" y="25263804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49842</xdr:colOff>
      <xdr:row>131</xdr:row>
      <xdr:rowOff>153635</xdr:rowOff>
    </xdr:from>
    <xdr:to>
      <xdr:col>39</xdr:col>
      <xdr:colOff>67235</xdr:colOff>
      <xdr:row>133</xdr:row>
      <xdr:rowOff>56029</xdr:rowOff>
    </xdr:to>
    <xdr:sp macro="" textlink="">
      <xdr:nvSpPr>
        <xdr:cNvPr id="143" name="右矢印 320">
          <a:extLst>
            <a:ext uri="{FF2B5EF4-FFF2-40B4-BE49-F238E27FC236}">
              <a16:creationId xmlns:a16="http://schemas.microsoft.com/office/drawing/2014/main" id="{1752E1B1-0A4A-458E-B3D7-F0E727ADC398}"/>
            </a:ext>
          </a:extLst>
        </xdr:cNvPr>
        <xdr:cNvSpPr/>
      </xdr:nvSpPr>
      <xdr:spPr>
        <a:xfrm>
          <a:off x="6336342" y="26131485"/>
          <a:ext cx="1160393" cy="28339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33</xdr:col>
      <xdr:colOff>12091</xdr:colOff>
      <xdr:row>137</xdr:row>
      <xdr:rowOff>40000</xdr:rowOff>
    </xdr:from>
    <xdr:to>
      <xdr:col>39</xdr:col>
      <xdr:colOff>156882</xdr:colOff>
      <xdr:row>138</xdr:row>
      <xdr:rowOff>123265</xdr:rowOff>
    </xdr:to>
    <xdr:sp macro="" textlink="">
      <xdr:nvSpPr>
        <xdr:cNvPr id="144" name="右矢印 324">
          <a:extLst>
            <a:ext uri="{FF2B5EF4-FFF2-40B4-BE49-F238E27FC236}">
              <a16:creationId xmlns:a16="http://schemas.microsoft.com/office/drawing/2014/main" id="{02887DFA-4648-4669-AC80-0CD053AE7AB5}"/>
            </a:ext>
          </a:extLst>
        </xdr:cNvPr>
        <xdr:cNvSpPr/>
      </xdr:nvSpPr>
      <xdr:spPr>
        <a:xfrm>
          <a:off x="6298591" y="27160850"/>
          <a:ext cx="1287791" cy="273765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marL="0" indent="0"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16</xdr:col>
      <xdr:colOff>16566</xdr:colOff>
      <xdr:row>122</xdr:row>
      <xdr:rowOff>147354</xdr:rowOff>
    </xdr:from>
    <xdr:to>
      <xdr:col>23</xdr:col>
      <xdr:colOff>160025</xdr:colOff>
      <xdr:row>124</xdr:row>
      <xdr:rowOff>45049</xdr:rowOff>
    </xdr:to>
    <xdr:sp macro="" textlink="">
      <xdr:nvSpPr>
        <xdr:cNvPr id="145" name="フローチャート: 処理 144">
          <a:extLst>
            <a:ext uri="{FF2B5EF4-FFF2-40B4-BE49-F238E27FC236}">
              <a16:creationId xmlns:a16="http://schemas.microsoft.com/office/drawing/2014/main" id="{F49097C5-7C11-4167-9A43-498F7764A9CD}"/>
            </a:ext>
          </a:extLst>
        </xdr:cNvPr>
        <xdr:cNvSpPr/>
      </xdr:nvSpPr>
      <xdr:spPr>
        <a:xfrm>
          <a:off x="3064566" y="24410704"/>
          <a:ext cx="1476959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100852</xdr:colOff>
      <xdr:row>122</xdr:row>
      <xdr:rowOff>112059</xdr:rowOff>
    </xdr:from>
    <xdr:to>
      <xdr:col>25</xdr:col>
      <xdr:colOff>161880</xdr:colOff>
      <xdr:row>124</xdr:row>
      <xdr:rowOff>83253</xdr:rowOff>
    </xdr:to>
    <xdr:sp macro="" textlink="">
      <xdr:nvSpPr>
        <xdr:cNvPr id="146" name="正方形/長方形 145">
          <a:extLst>
            <a:ext uri="{FF2B5EF4-FFF2-40B4-BE49-F238E27FC236}">
              <a16:creationId xmlns:a16="http://schemas.microsoft.com/office/drawing/2014/main" id="{9DEB2F2C-7BFC-4FF2-97AD-BA87CF8FECE9}"/>
            </a:ext>
          </a:extLst>
        </xdr:cNvPr>
        <xdr:cNvSpPr/>
      </xdr:nvSpPr>
      <xdr:spPr>
        <a:xfrm>
          <a:off x="2767852" y="24375409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39</xdr:col>
      <xdr:colOff>1</xdr:colOff>
      <xdr:row>122</xdr:row>
      <xdr:rowOff>179294</xdr:rowOff>
    </xdr:from>
    <xdr:to>
      <xdr:col>49</xdr:col>
      <xdr:colOff>12801</xdr:colOff>
      <xdr:row>124</xdr:row>
      <xdr:rowOff>76990</xdr:rowOff>
    </xdr:to>
    <xdr:sp macro="" textlink="">
      <xdr:nvSpPr>
        <xdr:cNvPr id="147" name="フローチャート: 処理 146">
          <a:extLst>
            <a:ext uri="{FF2B5EF4-FFF2-40B4-BE49-F238E27FC236}">
              <a16:creationId xmlns:a16="http://schemas.microsoft.com/office/drawing/2014/main" id="{8BADA109-DB96-4E51-B288-746E5EAA2A00}"/>
            </a:ext>
          </a:extLst>
        </xdr:cNvPr>
        <xdr:cNvSpPr/>
      </xdr:nvSpPr>
      <xdr:spPr>
        <a:xfrm>
          <a:off x="7429501" y="24442644"/>
          <a:ext cx="1917800" cy="278696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2.7 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25</xdr:col>
      <xdr:colOff>67235</xdr:colOff>
      <xdr:row>123</xdr:row>
      <xdr:rowOff>0</xdr:rowOff>
    </xdr:from>
    <xdr:to>
      <xdr:col>39</xdr:col>
      <xdr:colOff>134470</xdr:colOff>
      <xdr:row>124</xdr:row>
      <xdr:rowOff>64104</xdr:rowOff>
    </xdr:to>
    <xdr:sp macro="" textlink="">
      <xdr:nvSpPr>
        <xdr:cNvPr id="148" name="右矢印 330">
          <a:extLst>
            <a:ext uri="{FF2B5EF4-FFF2-40B4-BE49-F238E27FC236}">
              <a16:creationId xmlns:a16="http://schemas.microsoft.com/office/drawing/2014/main" id="{5A37C0DB-6E02-4AF9-902C-EA0D21770D54}"/>
            </a:ext>
          </a:extLst>
        </xdr:cNvPr>
        <xdr:cNvSpPr/>
      </xdr:nvSpPr>
      <xdr:spPr>
        <a:xfrm>
          <a:off x="4829735" y="24453850"/>
          <a:ext cx="2734235" cy="254604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15</xdr:col>
      <xdr:colOff>184655</xdr:colOff>
      <xdr:row>218</xdr:row>
      <xdr:rowOff>124943</xdr:rowOff>
    </xdr:from>
    <xdr:to>
      <xdr:col>23</xdr:col>
      <xdr:colOff>115202</xdr:colOff>
      <xdr:row>220</xdr:row>
      <xdr:rowOff>22638</xdr:rowOff>
    </xdr:to>
    <xdr:sp macro="" textlink="">
      <xdr:nvSpPr>
        <xdr:cNvPr id="151" name="フローチャート: 処理 150">
          <a:extLst>
            <a:ext uri="{FF2B5EF4-FFF2-40B4-BE49-F238E27FC236}">
              <a16:creationId xmlns:a16="http://schemas.microsoft.com/office/drawing/2014/main" id="{87211331-209B-49FE-826D-966185D53513}"/>
            </a:ext>
          </a:extLst>
        </xdr:cNvPr>
        <xdr:cNvSpPr/>
      </xdr:nvSpPr>
      <xdr:spPr>
        <a:xfrm>
          <a:off x="3042155" y="48035693"/>
          <a:ext cx="1454547" cy="278695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14</xdr:col>
      <xdr:colOff>56029</xdr:colOff>
      <xdr:row>218</xdr:row>
      <xdr:rowOff>89648</xdr:rowOff>
    </xdr:from>
    <xdr:to>
      <xdr:col>25</xdr:col>
      <xdr:colOff>117057</xdr:colOff>
      <xdr:row>220</xdr:row>
      <xdr:rowOff>60842</xdr:rowOff>
    </xdr:to>
    <xdr:sp macro="" textlink="">
      <xdr:nvSpPr>
        <xdr:cNvPr id="152" name="正方形/長方形 151">
          <a:extLst>
            <a:ext uri="{FF2B5EF4-FFF2-40B4-BE49-F238E27FC236}">
              <a16:creationId xmlns:a16="http://schemas.microsoft.com/office/drawing/2014/main" id="{5FD10284-225A-4457-B18C-94538EC1201E}"/>
            </a:ext>
          </a:extLst>
        </xdr:cNvPr>
        <xdr:cNvSpPr/>
      </xdr:nvSpPr>
      <xdr:spPr>
        <a:xfrm>
          <a:off x="2723029" y="48000398"/>
          <a:ext cx="2156528" cy="352194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37</xdr:col>
      <xdr:colOff>67237</xdr:colOff>
      <xdr:row>218</xdr:row>
      <xdr:rowOff>145677</xdr:rowOff>
    </xdr:from>
    <xdr:to>
      <xdr:col>44</xdr:col>
      <xdr:colOff>86923</xdr:colOff>
      <xdr:row>220</xdr:row>
      <xdr:rowOff>45887</xdr:rowOff>
    </xdr:to>
    <xdr:sp macro="" textlink="">
      <xdr:nvSpPr>
        <xdr:cNvPr id="153" name="フローチャート: 処理 152">
          <a:extLst>
            <a:ext uri="{FF2B5EF4-FFF2-40B4-BE49-F238E27FC236}">
              <a16:creationId xmlns:a16="http://schemas.microsoft.com/office/drawing/2014/main" id="{FC16542A-F0D2-44B0-B0D3-932F165996AC}"/>
            </a:ext>
          </a:extLst>
        </xdr:cNvPr>
        <xdr:cNvSpPr/>
      </xdr:nvSpPr>
      <xdr:spPr>
        <a:xfrm>
          <a:off x="7115737" y="48056427"/>
          <a:ext cx="1353186" cy="281210"/>
        </a:xfrm>
        <a:prstGeom prst="flowChartProcess">
          <a:avLst/>
        </a:prstGeom>
        <a:solidFill>
          <a:schemeClr val="bg1">
            <a:lumMod val="95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CSV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本文</a:t>
          </a:r>
          <a:r>
            <a:rPr kumimoji="1" lang="en-US" altLang="ja-JP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.</a:t>
          </a:r>
          <a:r>
            <a:rPr kumimoji="1" lang="ja-JP" altLang="en-US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製品名</a:t>
          </a:r>
        </a:p>
      </xdr:txBody>
    </xdr:sp>
    <xdr:clientData/>
  </xdr:twoCellAnchor>
  <xdr:twoCellAnchor>
    <xdr:from>
      <xdr:col>24</xdr:col>
      <xdr:colOff>146795</xdr:colOff>
      <xdr:row>218</xdr:row>
      <xdr:rowOff>179295</xdr:rowOff>
    </xdr:from>
    <xdr:to>
      <xdr:col>37</xdr:col>
      <xdr:colOff>110937</xdr:colOff>
      <xdr:row>220</xdr:row>
      <xdr:rowOff>41693</xdr:rowOff>
    </xdr:to>
    <xdr:sp macro="" textlink="">
      <xdr:nvSpPr>
        <xdr:cNvPr id="154" name="右矢印 343">
          <a:extLst>
            <a:ext uri="{FF2B5EF4-FFF2-40B4-BE49-F238E27FC236}">
              <a16:creationId xmlns:a16="http://schemas.microsoft.com/office/drawing/2014/main" id="{643C34E1-C256-440F-B815-D0671CD15BD7}"/>
            </a:ext>
          </a:extLst>
        </xdr:cNvPr>
        <xdr:cNvSpPr/>
      </xdr:nvSpPr>
      <xdr:spPr>
        <a:xfrm>
          <a:off x="4718795" y="48090045"/>
          <a:ext cx="2440642" cy="243398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14</xdr:col>
      <xdr:colOff>48718</xdr:colOff>
      <xdr:row>223</xdr:row>
      <xdr:rowOff>20739</xdr:rowOff>
    </xdr:from>
    <xdr:to>
      <xdr:col>25</xdr:col>
      <xdr:colOff>109746</xdr:colOff>
      <xdr:row>224</xdr:row>
      <xdr:rowOff>193638</xdr:rowOff>
    </xdr:to>
    <xdr:sp macro="" textlink="">
      <xdr:nvSpPr>
        <xdr:cNvPr id="155" name="正方形/長方形 154">
          <a:extLst>
            <a:ext uri="{FF2B5EF4-FFF2-40B4-BE49-F238E27FC236}">
              <a16:creationId xmlns:a16="http://schemas.microsoft.com/office/drawing/2014/main" id="{F4CEA7D9-6ACD-4A95-B417-2A0422130066}"/>
            </a:ext>
          </a:extLst>
        </xdr:cNvPr>
        <xdr:cNvSpPr/>
      </xdr:nvSpPr>
      <xdr:spPr>
        <a:xfrm>
          <a:off x="2715718" y="48883989"/>
          <a:ext cx="2156528" cy="363399"/>
        </a:xfrm>
        <a:prstGeom prst="rect">
          <a:avLst/>
        </a:prstGeom>
        <a:noFill/>
        <a:ln w="28575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24</xdr:col>
      <xdr:colOff>142466</xdr:colOff>
      <xdr:row>223</xdr:row>
      <xdr:rowOff>98152</xdr:rowOff>
    </xdr:from>
    <xdr:to>
      <xdr:col>37</xdr:col>
      <xdr:colOff>133697</xdr:colOff>
      <xdr:row>224</xdr:row>
      <xdr:rowOff>119212</xdr:rowOff>
    </xdr:to>
    <xdr:sp macro="" textlink="">
      <xdr:nvSpPr>
        <xdr:cNvPr id="156" name="右矢印 512">
          <a:extLst>
            <a:ext uri="{FF2B5EF4-FFF2-40B4-BE49-F238E27FC236}">
              <a16:creationId xmlns:a16="http://schemas.microsoft.com/office/drawing/2014/main" id="{8E7F99A4-941A-415C-9995-452705D69833}"/>
            </a:ext>
          </a:extLst>
        </xdr:cNvPr>
        <xdr:cNvSpPr/>
      </xdr:nvSpPr>
      <xdr:spPr>
        <a:xfrm>
          <a:off x="4714466" y="48961402"/>
          <a:ext cx="2467731" cy="211560"/>
        </a:xfrm>
        <a:prstGeom prst="rightArrow">
          <a:avLst/>
        </a:prstGeom>
        <a:solidFill>
          <a:schemeClr val="tx2">
            <a:lumMod val="40000"/>
            <a:lumOff val="60000"/>
          </a:schemeClr>
        </a:solidFill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7</xdr:col>
      <xdr:colOff>95997</xdr:colOff>
      <xdr:row>63</xdr:row>
      <xdr:rowOff>153707</xdr:rowOff>
    </xdr:from>
    <xdr:to>
      <xdr:col>23</xdr:col>
      <xdr:colOff>161200</xdr:colOff>
      <xdr:row>66</xdr:row>
      <xdr:rowOff>26178</xdr:rowOff>
    </xdr:to>
    <xdr:sp macro="" textlink="">
      <xdr:nvSpPr>
        <xdr:cNvPr id="161" name="フローチャート: 処理 160">
          <a:extLst>
            <a:ext uri="{FF2B5EF4-FFF2-40B4-BE49-F238E27FC236}">
              <a16:creationId xmlns:a16="http://schemas.microsoft.com/office/drawing/2014/main" id="{87F2428A-C8D2-4732-8A45-0A3D47BFBFA6}"/>
            </a:ext>
          </a:extLst>
        </xdr:cNvPr>
        <xdr:cNvSpPr/>
      </xdr:nvSpPr>
      <xdr:spPr>
        <a:xfrm>
          <a:off x="1429497" y="12132795"/>
          <a:ext cx="3113203" cy="443971"/>
        </a:xfrm>
        <a:prstGeom prst="flowChartProcess">
          <a:avLst/>
        </a:prstGeom>
        <a:noFill/>
        <a:ln w="31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ja-JP"/>
          </a:defPPr>
          <a:lvl1pPr marL="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kumimoji="1"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ja-JP" altLang="en-US" sz="1000">
              <a:solidFill>
                <a:sysClr val="windowText" lastClr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メイリオ" panose="020B0604030504040204" pitchFamily="50" charset="-128"/>
            </a:rPr>
            <a:t>１－１－６．申請可能条件よりチェック</a:t>
          </a:r>
        </a:p>
      </xdr:txBody>
    </xdr:sp>
    <xdr:clientData/>
  </xdr:twoCellAnchor>
  <xdr:twoCellAnchor>
    <xdr:from>
      <xdr:col>5</xdr:col>
      <xdr:colOff>33617</xdr:colOff>
      <xdr:row>57</xdr:row>
      <xdr:rowOff>22411</xdr:rowOff>
    </xdr:from>
    <xdr:to>
      <xdr:col>26</xdr:col>
      <xdr:colOff>137645</xdr:colOff>
      <xdr:row>80</xdr:row>
      <xdr:rowOff>145115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E1BC4B0F-F859-4FAD-80DE-33A16C84FFB1}"/>
            </a:ext>
          </a:extLst>
        </xdr:cNvPr>
        <xdr:cNvSpPr/>
      </xdr:nvSpPr>
      <xdr:spPr>
        <a:xfrm>
          <a:off x="986117" y="10858499"/>
          <a:ext cx="4104528" cy="4504204"/>
        </a:xfrm>
        <a:prstGeom prst="rect">
          <a:avLst/>
        </a:prstGeom>
        <a:solidFill>
          <a:schemeClr val="bg1">
            <a:lumMod val="50000"/>
          </a:schemeClr>
        </a:solidFill>
        <a:ln w="381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</a:rPr>
            <a:t>不要のためグレーアウト表示</a:t>
          </a:r>
        </a:p>
      </xdr:txBody>
    </xdr:sp>
    <xdr:clientData/>
  </xdr:twoCellAnchor>
  <xdr:twoCellAnchor>
    <xdr:from>
      <xdr:col>3</xdr:col>
      <xdr:colOff>182469</xdr:colOff>
      <xdr:row>151</xdr:row>
      <xdr:rowOff>160058</xdr:rowOff>
    </xdr:from>
    <xdr:to>
      <xdr:col>47</xdr:col>
      <xdr:colOff>123265</xdr:colOff>
      <xdr:row>173</xdr:row>
      <xdr:rowOff>168088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BDDA7577-0223-4B10-AEB9-DAA0AE5B351A}"/>
            </a:ext>
          </a:extLst>
        </xdr:cNvPr>
        <xdr:cNvSpPr/>
      </xdr:nvSpPr>
      <xdr:spPr>
        <a:xfrm>
          <a:off x="753969" y="28947970"/>
          <a:ext cx="8322796" cy="4277471"/>
        </a:xfrm>
        <a:prstGeom prst="rect">
          <a:avLst/>
        </a:prstGeom>
        <a:solidFill>
          <a:schemeClr val="bg1">
            <a:lumMod val="50000"/>
          </a:schemeClr>
        </a:solidFill>
        <a:ln w="381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</a:rPr>
            <a:t>不要のためグレーアウト表示</a:t>
          </a:r>
        </a:p>
      </xdr:txBody>
    </xdr:sp>
    <xdr:clientData/>
  </xdr:twoCellAnchor>
  <xdr:twoCellAnchor>
    <xdr:from>
      <xdr:col>48</xdr:col>
      <xdr:colOff>1</xdr:colOff>
      <xdr:row>191</xdr:row>
      <xdr:rowOff>0</xdr:rowOff>
    </xdr:from>
    <xdr:to>
      <xdr:col>60</xdr:col>
      <xdr:colOff>179295</xdr:colOff>
      <xdr:row>198</xdr:row>
      <xdr:rowOff>0</xdr:rowOff>
    </xdr:to>
    <xdr:sp macro="" textlink="">
      <xdr:nvSpPr>
        <xdr:cNvPr id="149" name="正方形/長方形 148">
          <a:extLst>
            <a:ext uri="{FF2B5EF4-FFF2-40B4-BE49-F238E27FC236}">
              <a16:creationId xmlns:a16="http://schemas.microsoft.com/office/drawing/2014/main" id="{0F7D3430-9B1D-4147-95CE-09CF5FB6199F}"/>
            </a:ext>
          </a:extLst>
        </xdr:cNvPr>
        <xdr:cNvSpPr/>
      </xdr:nvSpPr>
      <xdr:spPr>
        <a:xfrm>
          <a:off x="9144001" y="34816676"/>
          <a:ext cx="2465294" cy="2711824"/>
        </a:xfrm>
        <a:prstGeom prst="rect">
          <a:avLst/>
        </a:prstGeom>
        <a:solidFill>
          <a:schemeClr val="bg1">
            <a:lumMod val="50000"/>
          </a:schemeClr>
        </a:solidFill>
        <a:ln w="381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>
            <a:lnSpc>
              <a:spcPts val="900"/>
            </a:lnSpc>
          </a:pPr>
          <a:r>
            <a:rPr kumimoji="1" lang="ja-JP" altLang="en-US" sz="1050">
              <a:solidFill>
                <a:sysClr val="windowText" lastClr="000000"/>
              </a:solidFill>
            </a:rPr>
            <a:t>不要のためグレーアウト表示</a:t>
          </a:r>
        </a:p>
      </xdr:txBody>
    </xdr:sp>
    <xdr:clientData/>
  </xdr:twoCellAnchor>
  <xdr:twoCellAnchor>
    <xdr:from>
      <xdr:col>4</xdr:col>
      <xdr:colOff>89647</xdr:colOff>
      <xdr:row>199</xdr:row>
      <xdr:rowOff>0</xdr:rowOff>
    </xdr:from>
    <xdr:to>
      <xdr:col>21</xdr:col>
      <xdr:colOff>156882</xdr:colOff>
      <xdr:row>202</xdr:row>
      <xdr:rowOff>63500</xdr:rowOff>
    </xdr:to>
    <xdr:sp macro="" textlink="">
      <xdr:nvSpPr>
        <xdr:cNvPr id="157" name="正方形/長方形 156">
          <a:extLst>
            <a:ext uri="{FF2B5EF4-FFF2-40B4-BE49-F238E27FC236}">
              <a16:creationId xmlns:a16="http://schemas.microsoft.com/office/drawing/2014/main" id="{1E8CB12B-6E21-4CC2-BF52-C94778AAA4F8}"/>
            </a:ext>
          </a:extLst>
        </xdr:cNvPr>
        <xdr:cNvSpPr/>
      </xdr:nvSpPr>
      <xdr:spPr>
        <a:xfrm>
          <a:off x="851647" y="37741412"/>
          <a:ext cx="3305735" cy="635000"/>
        </a:xfrm>
        <a:prstGeom prst="rect">
          <a:avLst/>
        </a:prstGeom>
        <a:solidFill>
          <a:schemeClr val="bg1">
            <a:lumMod val="50000"/>
          </a:schemeClr>
        </a:solidFill>
        <a:ln w="381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marL="0" marR="0" lvl="0" indent="0" algn="ctr" defTabSz="914400" eaLnBrk="1" fontAlgn="auto" latinLnBrk="0" hangingPunct="1">
            <a:lnSpc>
              <a:spcPts val="9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製品マスタ</a:t>
          </a:r>
          <a:r>
            <a:rPr kumimoji="1" lang="ja-JP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不要のためグレーアウト表示</a:t>
          </a:r>
          <a:endParaRPr lang="ja-JP" altLang="ja-JP" sz="800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21166</xdr:colOff>
      <xdr:row>7</xdr:row>
      <xdr:rowOff>190500</xdr:rowOff>
    </xdr:from>
    <xdr:to>
      <xdr:col>58</xdr:col>
      <xdr:colOff>190500</xdr:colOff>
      <xdr:row>17</xdr:row>
      <xdr:rowOff>74084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97A4B26B-6B1F-4B17-97B8-E6467E599C7A}"/>
            </a:ext>
          </a:extLst>
        </xdr:cNvPr>
        <xdr:cNvSpPr/>
      </xdr:nvSpPr>
      <xdr:spPr>
        <a:xfrm>
          <a:off x="7082366" y="2463800"/>
          <a:ext cx="3712634" cy="18266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  <xdr:twoCellAnchor>
    <xdr:from>
      <xdr:col>38</xdr:col>
      <xdr:colOff>22411</xdr:colOff>
      <xdr:row>19</xdr:row>
      <xdr:rowOff>190500</xdr:rowOff>
    </xdr:from>
    <xdr:to>
      <xdr:col>58</xdr:col>
      <xdr:colOff>191745</xdr:colOff>
      <xdr:row>29</xdr:row>
      <xdr:rowOff>74084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96CAB6AC-F7BD-49CE-BF70-CF461FF0ABD3}"/>
            </a:ext>
          </a:extLst>
        </xdr:cNvPr>
        <xdr:cNvSpPr/>
      </xdr:nvSpPr>
      <xdr:spPr>
        <a:xfrm>
          <a:off x="7083611" y="4787900"/>
          <a:ext cx="3712634" cy="1788584"/>
        </a:xfrm>
        <a:prstGeom prst="rect">
          <a:avLst/>
        </a:prstGeom>
        <a:noFill/>
        <a:ln w="19050">
          <a:solidFill>
            <a:srgbClr val="FF0000"/>
          </a:solidFill>
          <a:prstDash val="lgDash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pPr algn="l"/>
          <a:endParaRPr kumimoji="1" lang="ja-JP" altLang="en-US" sz="1000">
            <a:solidFill>
              <a:schemeClr val="tx1"/>
            </a:solidFill>
            <a:latin typeface="Meiryo UI" panose="020B0604030504040204" pitchFamily="50" charset="-128"/>
            <a:ea typeface="Meiryo UI" panose="020B0604030504040204" pitchFamily="50" charset="-128"/>
            <a:cs typeface="メイリオ" panose="020B0604030504040204" pitchFamily="50" charset="-128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D26CB18A-19CB-40D6-BAA9-D3FCE408C9F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190500</xdr:colOff>
      <xdr:row>20</xdr:row>
      <xdr:rowOff>19051</xdr:rowOff>
    </xdr:from>
    <xdr:to>
      <xdr:col>29</xdr:col>
      <xdr:colOff>104775</xdr:colOff>
      <xdr:row>23</xdr:row>
      <xdr:rowOff>9525</xdr:rowOff>
    </xdr:to>
    <xdr:sp macro="" textlink="">
      <xdr:nvSpPr>
        <xdr:cNvPr id="26" name="四角形吹き出し 11">
          <a:extLst>
            <a:ext uri="{FF2B5EF4-FFF2-40B4-BE49-F238E27FC236}">
              <a16:creationId xmlns:a16="http://schemas.microsoft.com/office/drawing/2014/main" id="{81C88106-4EC8-483E-9968-510063037A38}"/>
            </a:ext>
          </a:extLst>
        </xdr:cNvPr>
        <xdr:cNvSpPr/>
      </xdr:nvSpPr>
      <xdr:spPr>
        <a:xfrm>
          <a:off x="4591050" y="3200401"/>
          <a:ext cx="1314450" cy="390524"/>
        </a:xfrm>
        <a:prstGeom prst="wedgeRectCallout">
          <a:avLst>
            <a:gd name="adj1" fmla="val -80873"/>
            <a:gd name="adj2" fmla="val -607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各ステップは前段選択後に表示する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13</xdr:col>
      <xdr:colOff>152400</xdr:colOff>
      <xdr:row>26</xdr:row>
      <xdr:rowOff>152400</xdr:rowOff>
    </xdr:from>
    <xdr:to>
      <xdr:col>20</xdr:col>
      <xdr:colOff>152400</xdr:colOff>
      <xdr:row>28</xdr:row>
      <xdr:rowOff>152400</xdr:rowOff>
    </xdr:to>
    <xdr:sp macro="" textlink="">
      <xdr:nvSpPr>
        <xdr:cNvPr id="27" name="正方形/長方形 26">
          <a:extLst>
            <a:ext uri="{FF2B5EF4-FFF2-40B4-BE49-F238E27FC236}">
              <a16:creationId xmlns:a16="http://schemas.microsoft.com/office/drawing/2014/main" id="{6E3D40A0-E374-436F-BA84-3727C262AF44}"/>
            </a:ext>
          </a:extLst>
        </xdr:cNvPr>
        <xdr:cNvSpPr/>
      </xdr:nvSpPr>
      <xdr:spPr>
        <a:xfrm>
          <a:off x="2752725" y="42481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次へ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102</xdr:row>
      <xdr:rowOff>0</xdr:rowOff>
    </xdr:from>
    <xdr:to>
      <xdr:col>24</xdr:col>
      <xdr:colOff>0</xdr:colOff>
      <xdr:row>104</xdr:row>
      <xdr:rowOff>0</xdr:rowOff>
    </xdr:to>
    <xdr:sp macro="" textlink="">
      <xdr:nvSpPr>
        <xdr:cNvPr id="84" name="正方形/長方形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/>
      </xdr:nvSpPr>
      <xdr:spPr>
        <a:xfrm>
          <a:off x="34004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25</xdr:col>
      <xdr:colOff>0</xdr:colOff>
      <xdr:row>102</xdr:row>
      <xdr:rowOff>0</xdr:rowOff>
    </xdr:from>
    <xdr:to>
      <xdr:col>32</xdr:col>
      <xdr:colOff>0</xdr:colOff>
      <xdr:row>104</xdr:row>
      <xdr:rowOff>0</xdr:rowOff>
    </xdr:to>
    <xdr:sp macro="" textlink="">
      <xdr:nvSpPr>
        <xdr:cNvPr id="85" name="正方形/長方形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/>
      </xdr:nvSpPr>
      <xdr:spPr>
        <a:xfrm>
          <a:off x="50006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33</xdr:col>
      <xdr:colOff>0</xdr:colOff>
      <xdr:row>102</xdr:row>
      <xdr:rowOff>0</xdr:rowOff>
    </xdr:from>
    <xdr:to>
      <xdr:col>40</xdr:col>
      <xdr:colOff>0</xdr:colOff>
      <xdr:row>104</xdr:row>
      <xdr:rowOff>0</xdr:rowOff>
    </xdr:to>
    <xdr:sp macro="" textlink="">
      <xdr:nvSpPr>
        <xdr:cNvPr id="56" name="正方形/長方形 55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/>
      </xdr:nvSpPr>
      <xdr:spPr>
        <a:xfrm>
          <a:off x="66008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2" name="矢印: 左 1">
          <a:extLst>
            <a:ext uri="{FF2B5EF4-FFF2-40B4-BE49-F238E27FC236}">
              <a16:creationId xmlns:a16="http://schemas.microsoft.com/office/drawing/2014/main" id="{02F19CD5-F025-357A-9AF1-A54B8D2A21E2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3C7BF72-F229-478D-9413-D7F97FE3724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57925" y="27432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0</xdr:colOff>
      <xdr:row>50</xdr:row>
      <xdr:rowOff>57150</xdr:rowOff>
    </xdr:from>
    <xdr:to>
      <xdr:col>6</xdr:col>
      <xdr:colOff>190500</xdr:colOff>
      <xdr:row>51</xdr:row>
      <xdr:rowOff>142875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B7E654F-B988-43B6-741A-CAEB004A0A31}"/>
            </a:ext>
          </a:extLst>
        </xdr:cNvPr>
        <xdr:cNvSpPr/>
      </xdr:nvSpPr>
      <xdr:spPr>
        <a:xfrm>
          <a:off x="600075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12</xdr:col>
      <xdr:colOff>171450</xdr:colOff>
      <xdr:row>12</xdr:row>
      <xdr:rowOff>152401</xdr:rowOff>
    </xdr:from>
    <xdr:to>
      <xdr:col>19</xdr:col>
      <xdr:colOff>85725</xdr:colOff>
      <xdr:row>15</xdr:row>
      <xdr:rowOff>57150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614D56F4-D37B-3CC5-470F-2F3A76831225}"/>
            </a:ext>
          </a:extLst>
        </xdr:cNvPr>
        <xdr:cNvSpPr/>
      </xdr:nvSpPr>
      <xdr:spPr>
        <a:xfrm>
          <a:off x="2571750" y="2190751"/>
          <a:ext cx="1314450" cy="304799"/>
        </a:xfrm>
        <a:prstGeom prst="wedgeRectCallout">
          <a:avLst>
            <a:gd name="adj1" fmla="val -77975"/>
            <a:gd name="adj2" fmla="val 492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現状は単価上申区分のみ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114300</xdr:colOff>
      <xdr:row>20</xdr:row>
      <xdr:rowOff>9525</xdr:rowOff>
    </xdr:from>
    <xdr:to>
      <xdr:col>47</xdr:col>
      <xdr:colOff>85725</xdr:colOff>
      <xdr:row>22</xdr:row>
      <xdr:rowOff>19049</xdr:rowOff>
    </xdr:to>
    <xdr:sp macro="" textlink="">
      <xdr:nvSpPr>
        <xdr:cNvPr id="25" name="四角形吹き出し 11">
          <a:extLst>
            <a:ext uri="{FF2B5EF4-FFF2-40B4-BE49-F238E27FC236}">
              <a16:creationId xmlns:a16="http://schemas.microsoft.com/office/drawing/2014/main" id="{3A35B3E3-9053-14F4-BE0E-F7E6DEB6839F}"/>
            </a:ext>
          </a:extLst>
        </xdr:cNvPr>
        <xdr:cNvSpPr/>
      </xdr:nvSpPr>
      <xdr:spPr>
        <a:xfrm>
          <a:off x="8315325" y="3305175"/>
          <a:ext cx="1171575" cy="238124"/>
        </a:xfrm>
        <a:prstGeom prst="wedgeRectCallout">
          <a:avLst>
            <a:gd name="adj1" fmla="val -22903"/>
            <a:gd name="adj2" fmla="val 12159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工事金額</a:t>
          </a:r>
          <a:r>
            <a:rPr kumimoji="1" lang="en-US" altLang="ja-JP" sz="800">
              <a:solidFill>
                <a:sysClr val="windowText" lastClr="000000"/>
              </a:solidFill>
            </a:rPr>
            <a:t>x</a:t>
          </a:r>
          <a:r>
            <a:rPr kumimoji="1" lang="ja-JP" altLang="en-US" sz="800">
              <a:solidFill>
                <a:sysClr val="windowText" lastClr="000000"/>
              </a:solidFill>
            </a:rPr>
            <a:t>継続期間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88F1C993-150D-49BC-9732-3469C83DFC9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012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5D2811B-4ED1-4C10-8D81-4B51280EC37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80105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51</xdr:col>
      <xdr:colOff>85725</xdr:colOff>
      <xdr:row>22</xdr:row>
      <xdr:rowOff>114300</xdr:rowOff>
    </xdr:from>
    <xdr:to>
      <xdr:col>58</xdr:col>
      <xdr:colOff>0</xdr:colOff>
      <xdr:row>25</xdr:row>
      <xdr:rowOff>76199</xdr:rowOff>
    </xdr:to>
    <xdr:sp macro="" textlink="">
      <xdr:nvSpPr>
        <xdr:cNvPr id="28" name="四角形吹き出し 11">
          <a:extLst>
            <a:ext uri="{FF2B5EF4-FFF2-40B4-BE49-F238E27FC236}">
              <a16:creationId xmlns:a16="http://schemas.microsoft.com/office/drawing/2014/main" id="{0451F537-F4C8-D7CA-9156-D8DAC133BEC7}"/>
            </a:ext>
          </a:extLst>
        </xdr:cNvPr>
        <xdr:cNvSpPr/>
      </xdr:nvSpPr>
      <xdr:spPr>
        <a:xfrm>
          <a:off x="10287000" y="3695700"/>
          <a:ext cx="1314450" cy="30479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分類の大中小は連携。クレーム</a:t>
          </a:r>
          <a:r>
            <a:rPr kumimoji="1" lang="en-US" altLang="ja-JP" sz="800">
              <a:solidFill>
                <a:sysClr val="windowText" lastClr="000000"/>
              </a:solidFill>
            </a:rPr>
            <a:t>DB</a:t>
          </a:r>
          <a:r>
            <a:rPr kumimoji="1" lang="ja-JP" altLang="en-US" sz="800">
              <a:solidFill>
                <a:sysClr val="windowText" lastClr="000000"/>
              </a:solidFill>
            </a:rPr>
            <a:t>参照。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F1D5EF3E-643F-48E4-11E0-336061442327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0BA3729D-5A88-49C6-AF0B-9FFA0ACE8B7E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9DD92F9-247A-43A9-9FC8-B34505BF08A9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5715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32796EB-5A3D-4D10-8744-DE85F80F5C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6265" y="11677627"/>
          <a:ext cx="219106" cy="161948"/>
        </a:xfrm>
        <a:prstGeom prst="rect">
          <a:avLst/>
        </a:prstGeom>
      </xdr:spPr>
    </xdr:pic>
    <xdr:clientData/>
  </xdr:oneCellAnchor>
  <xdr:twoCellAnchor>
    <xdr:from>
      <xdr:col>12</xdr:col>
      <xdr:colOff>123825</xdr:colOff>
      <xdr:row>21</xdr:row>
      <xdr:rowOff>66676</xdr:rowOff>
    </xdr:from>
    <xdr:to>
      <xdr:col>20</xdr:col>
      <xdr:colOff>85725</xdr:colOff>
      <xdr:row>24</xdr:row>
      <xdr:rowOff>9526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EC1251DB-A5C5-956B-7537-2E3212B9D52E}"/>
            </a:ext>
          </a:extLst>
        </xdr:cNvPr>
        <xdr:cNvSpPr/>
      </xdr:nvSpPr>
      <xdr:spPr>
        <a:xfrm>
          <a:off x="2524125" y="3419476"/>
          <a:ext cx="1562100" cy="342900"/>
        </a:xfrm>
        <a:prstGeom prst="wedgeRectCallout">
          <a:avLst>
            <a:gd name="adj1" fmla="val -49605"/>
            <a:gd name="adj2" fmla="val -8217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口銭率は円販売でも表示する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6B4324E6-6753-49E8-AC60-70EC5452ACA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17824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3</xdr:col>
      <xdr:colOff>28</xdr:colOff>
      <xdr:row>79</xdr:row>
      <xdr:rowOff>15269</xdr:rowOff>
    </xdr:to>
    <xdr:pic>
      <xdr:nvPicPr>
        <xdr:cNvPr id="30" name="図 29" descr="画面の領域">
          <a:extLst>
            <a:ext uri="{FF2B5EF4-FFF2-40B4-BE49-F238E27FC236}">
              <a16:creationId xmlns:a16="http://schemas.microsoft.com/office/drawing/2014/main" id="{58F31C2A-A6A6-405E-8D8A-2EDD6CBF3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31" name="図 30" descr="画面の領域">
          <a:extLst>
            <a:ext uri="{FF2B5EF4-FFF2-40B4-BE49-F238E27FC236}">
              <a16:creationId xmlns:a16="http://schemas.microsoft.com/office/drawing/2014/main" id="{678B2EA0-2138-4B82-8D87-2176D17B0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32" name="図 31" descr="画面の領域">
          <a:extLst>
            <a:ext uri="{FF2B5EF4-FFF2-40B4-BE49-F238E27FC236}">
              <a16:creationId xmlns:a16="http://schemas.microsoft.com/office/drawing/2014/main" id="{1E1824F7-A21D-4396-BBC6-5F152A3F1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33" name="図 32" descr="画面の領域">
          <a:extLst>
            <a:ext uri="{FF2B5EF4-FFF2-40B4-BE49-F238E27FC236}">
              <a16:creationId xmlns:a16="http://schemas.microsoft.com/office/drawing/2014/main" id="{0E50A762-839F-4E8E-B377-3F87C2E90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34" name="図 33">
          <a:extLst>
            <a:ext uri="{FF2B5EF4-FFF2-40B4-BE49-F238E27FC236}">
              <a16:creationId xmlns:a16="http://schemas.microsoft.com/office/drawing/2014/main" id="{91FC4B96-76C6-14CF-F9B3-3201D9BA45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43</xdr:col>
      <xdr:colOff>38100</xdr:colOff>
      <xdr:row>92</xdr:row>
      <xdr:rowOff>15240</xdr:rowOff>
    </xdr:from>
    <xdr:to>
      <xdr:col>58</xdr:col>
      <xdr:colOff>76201</xdr:colOff>
      <xdr:row>96</xdr:row>
      <xdr:rowOff>91440</xdr:rowOff>
    </xdr:to>
    <xdr:sp macro="" textlink="">
      <xdr:nvSpPr>
        <xdr:cNvPr id="35" name="テキスト ボックス 34">
          <a:extLst>
            <a:ext uri="{FF2B5EF4-FFF2-40B4-BE49-F238E27FC236}">
              <a16:creationId xmlns:a16="http://schemas.microsoft.com/office/drawing/2014/main" id="{41C9DB2C-D907-7AE6-DC0A-B01D00E66CE7}"/>
            </a:ext>
          </a:extLst>
        </xdr:cNvPr>
        <xdr:cNvSpPr txBox="1"/>
      </xdr:nvSpPr>
      <xdr:spPr>
        <a:xfrm>
          <a:off x="8557260" y="13944600"/>
          <a:ext cx="3009901" cy="662940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900">
              <a:solidFill>
                <a:sysClr val="windowText" lastClr="000000"/>
              </a:solidFill>
            </a:rPr>
            <a:t>WF</a:t>
          </a:r>
          <a:r>
            <a:rPr kumimoji="1" lang="ja-JP" altLang="en-US" sz="900">
              <a:solidFill>
                <a:sysClr val="windowText" lastClr="000000"/>
              </a:solidFill>
            </a:rPr>
            <a:t>関連は汎用上申同等とする。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承認者は最大</a:t>
          </a:r>
          <a:r>
            <a:rPr kumimoji="1" lang="en-US" altLang="ja-JP" sz="900">
              <a:solidFill>
                <a:sysClr val="windowText" lastClr="000000"/>
              </a:solidFill>
            </a:rPr>
            <a:t>30</a:t>
          </a:r>
          <a:r>
            <a:rPr kumimoji="1" lang="ja-JP" altLang="en-US" sz="900">
              <a:solidFill>
                <a:sysClr val="windowText" lastClr="000000"/>
              </a:solidFill>
            </a:rPr>
            <a:t>ノードまで、確認者数上限は無し。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処理者には組織も指定可能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66675</xdr:colOff>
      <xdr:row>45</xdr:row>
      <xdr:rowOff>19050</xdr:rowOff>
    </xdr:from>
    <xdr:to>
      <xdr:col>37</xdr:col>
      <xdr:colOff>161925</xdr:colOff>
      <xdr:row>47</xdr:row>
      <xdr:rowOff>19050</xdr:rowOff>
    </xdr:to>
    <xdr:sp macro="" textlink="">
      <xdr:nvSpPr>
        <xdr:cNvPr id="38" name="テキスト ボックス 37">
          <a:extLst>
            <a:ext uri="{FF2B5EF4-FFF2-40B4-BE49-F238E27FC236}">
              <a16:creationId xmlns:a16="http://schemas.microsoft.com/office/drawing/2014/main" id="{B9228494-C759-48D4-BF67-B4F182F12F0C}"/>
            </a:ext>
          </a:extLst>
        </xdr:cNvPr>
        <xdr:cNvSpPr txBox="1"/>
      </xdr:nvSpPr>
      <xdr:spPr>
        <a:xfrm>
          <a:off x="4667250" y="6972300"/>
          <a:ext cx="2895600" cy="371475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カスタム品の場合については外貨販売シートを参照</a:t>
          </a:r>
          <a:endParaRPr kumimoji="1" lang="en-US" altLang="ja-JP" sz="9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42</xdr:col>
      <xdr:colOff>89535</xdr:colOff>
      <xdr:row>96</xdr:row>
      <xdr:rowOff>83820</xdr:rowOff>
    </xdr:from>
    <xdr:to>
      <xdr:col>51</xdr:col>
      <xdr:colOff>152400</xdr:colOff>
      <xdr:row>99</xdr:row>
      <xdr:rowOff>19050</xdr:rowOff>
    </xdr:to>
    <xdr:sp macro="" textlink="">
      <xdr:nvSpPr>
        <xdr:cNvPr id="12" name="四角形吹き出し 11">
          <a:extLst>
            <a:ext uri="{FF2B5EF4-FFF2-40B4-BE49-F238E27FC236}">
              <a16:creationId xmlns:a16="http://schemas.microsoft.com/office/drawing/2014/main" id="{5BDFAB28-19E6-0223-3C6B-7A6DA64CCDBD}"/>
            </a:ext>
          </a:extLst>
        </xdr:cNvPr>
        <xdr:cNvSpPr/>
      </xdr:nvSpPr>
      <xdr:spPr>
        <a:xfrm>
          <a:off x="8490585" y="13752195"/>
          <a:ext cx="1863090" cy="449580"/>
        </a:xfrm>
        <a:prstGeom prst="wedgeRectCallout">
          <a:avLst>
            <a:gd name="adj1" fmla="val -72459"/>
            <a:gd name="adj2" fmla="val 24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汎用上申では確認者は完了案件を参照出来るが同じ仕様とする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9525</xdr:colOff>
      <xdr:row>17</xdr:row>
      <xdr:rowOff>9525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47C44BF-A15F-CAF8-215B-9B58407085D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908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23</xdr:col>
      <xdr:colOff>146684</xdr:colOff>
      <xdr:row>65</xdr:row>
      <xdr:rowOff>133349</xdr:rowOff>
    </xdr:from>
    <xdr:to>
      <xdr:col>44</xdr:col>
      <xdr:colOff>158115</xdr:colOff>
      <xdr:row>80</xdr:row>
      <xdr:rowOff>19050</xdr:rowOff>
    </xdr:to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27A13FC-9FE2-8287-0574-D9E060535063}"/>
            </a:ext>
          </a:extLst>
        </xdr:cNvPr>
        <xdr:cNvSpPr txBox="1"/>
      </xdr:nvSpPr>
      <xdr:spPr>
        <a:xfrm>
          <a:off x="4747259" y="10487024"/>
          <a:ext cx="4211956" cy="2114551"/>
        </a:xfrm>
        <a:prstGeom prst="rect">
          <a:avLst/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900">
              <a:solidFill>
                <a:sysClr val="windowText" lastClr="000000"/>
              </a:solidFill>
            </a:rPr>
            <a:t>・明細欄の数値項目の仕様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→金額欄は四捨五入して小数点第四位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は小数点第一位、数量は整数</a:t>
          </a:r>
        </a:p>
        <a:p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・小計、合計欄の数値項目の仕様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 b="0">
              <a:solidFill>
                <a:sysClr val="windowText" lastClr="000000"/>
              </a:solidFill>
            </a:rPr>
            <a:t>→円販売の金額欄は四捨五入して整数。外貨は小数点第二位。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r>
            <a:rPr kumimoji="1" lang="en-US" altLang="ja-JP" sz="900" b="0">
              <a:solidFill>
                <a:sysClr val="windowText" lastClr="000000"/>
              </a:solidFill>
            </a:rPr>
            <a:t>%</a:t>
          </a:r>
          <a:r>
            <a:rPr kumimoji="1" lang="ja-JP" altLang="en-US" sz="900" b="0">
              <a:solidFill>
                <a:sysClr val="windowText" lastClr="000000"/>
              </a:solidFill>
            </a:rPr>
            <a:t>は小数点第一位、数量は整数</a:t>
          </a:r>
          <a:endParaRPr kumimoji="1" lang="en-US" altLang="ja-JP" sz="900" b="0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r>
            <a:rPr kumimoji="1" lang="en-US" altLang="ja-JP" sz="900">
              <a:solidFill>
                <a:sysClr val="windowText" lastClr="000000"/>
              </a:solidFill>
            </a:rPr>
            <a:t>【</a:t>
          </a:r>
          <a:r>
            <a:rPr kumimoji="1" lang="ja-JP" altLang="en-US" sz="900">
              <a:solidFill>
                <a:sysClr val="windowText" lastClr="000000"/>
              </a:solidFill>
            </a:rPr>
            <a:t>承認者確認用欄の色付け仕様</a:t>
          </a:r>
          <a:r>
            <a:rPr kumimoji="1" lang="en-US" altLang="ja-JP" sz="900">
              <a:solidFill>
                <a:sysClr val="windowText" lastClr="000000"/>
              </a:solidFill>
            </a:rPr>
            <a:t>】</a:t>
          </a: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・貢献率、</a:t>
          </a:r>
          <a:r>
            <a:rPr kumimoji="1" lang="ja-JP" altLang="en-US" sz="900">
              <a:solidFill>
                <a:srgbClr val="FF0000"/>
              </a:solidFill>
            </a:rPr>
            <a:t>国内収益性、連結収益性</a:t>
          </a:r>
          <a:r>
            <a:rPr kumimoji="1" lang="ja-JP" altLang="en-US" sz="900">
              <a:solidFill>
                <a:sysClr val="windowText" lastClr="000000"/>
              </a:solidFill>
            </a:rPr>
            <a:t>：</a:t>
          </a:r>
          <a:r>
            <a:rPr kumimoji="1" lang="en-US" altLang="ja-JP" sz="900">
              <a:solidFill>
                <a:sysClr val="windowText" lastClr="000000"/>
              </a:solidFill>
            </a:rPr>
            <a:t>30%</a:t>
          </a:r>
          <a:r>
            <a:rPr kumimoji="1" lang="ja-JP" altLang="en-US" sz="900">
              <a:solidFill>
                <a:sysClr val="windowText" lastClr="000000"/>
              </a:solidFill>
            </a:rPr>
            <a:t>未満赤字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・貢献率以外の</a:t>
          </a:r>
          <a:r>
            <a:rPr kumimoji="1" lang="en-US" altLang="ja-JP" sz="900">
              <a:solidFill>
                <a:sysClr val="windowText" lastClr="000000"/>
              </a:solidFill>
            </a:rPr>
            <a:t>%</a:t>
          </a:r>
          <a:r>
            <a:rPr kumimoji="1" lang="ja-JP" altLang="en-US" sz="900">
              <a:solidFill>
                <a:sysClr val="windowText" lastClr="000000"/>
              </a:solidFill>
            </a:rPr>
            <a:t>表示項目は、マイナスの場合赤字</a:t>
          </a:r>
          <a:endParaRPr kumimoji="1" lang="en-US" altLang="ja-JP" sz="900">
            <a:solidFill>
              <a:sysClr val="windowText" lastClr="000000"/>
            </a:solidFill>
          </a:endParaRPr>
        </a:p>
        <a:p>
          <a:r>
            <a:rPr kumimoji="1" lang="ja-JP" altLang="en-US" sz="900">
              <a:solidFill>
                <a:sysClr val="windowText" lastClr="000000"/>
              </a:solidFill>
            </a:rPr>
            <a:t>・数値項目はマイナスの場合赤字</a:t>
          </a:r>
          <a:endParaRPr kumimoji="1" lang="en-US" altLang="ja-JP" sz="900" b="1">
            <a:solidFill>
              <a:sysClr val="windowText" lastClr="00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  <a:p>
          <a:endParaRPr kumimoji="1" lang="en-US" altLang="ja-JP" sz="900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171450</xdr:colOff>
      <xdr:row>35</xdr:row>
      <xdr:rowOff>85725</xdr:rowOff>
    </xdr:from>
    <xdr:to>
      <xdr:col>27</xdr:col>
      <xdr:colOff>85725</xdr:colOff>
      <xdr:row>36</xdr:row>
      <xdr:rowOff>161924</xdr:rowOff>
    </xdr:to>
    <xdr:sp macro="" textlink="">
      <xdr:nvSpPr>
        <xdr:cNvPr id="4" name="四角形吹き出し 11">
          <a:extLst>
            <a:ext uri="{FF2B5EF4-FFF2-40B4-BE49-F238E27FC236}">
              <a16:creationId xmlns:a16="http://schemas.microsoft.com/office/drawing/2014/main" id="{B42CFB17-CB6A-412B-C957-3DAAB6EB37F0}"/>
            </a:ext>
          </a:extLst>
        </xdr:cNvPr>
        <xdr:cNvSpPr/>
      </xdr:nvSpPr>
      <xdr:spPr>
        <a:xfrm>
          <a:off x="4171950" y="5610225"/>
          <a:ext cx="1314450" cy="247649"/>
        </a:xfrm>
        <a:prstGeom prst="wedgeRectCallout">
          <a:avLst>
            <a:gd name="adj1" fmla="val -68555"/>
            <a:gd name="adj2" fmla="val 1028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エラーメッセージ。現行まま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80</xdr:row>
      <xdr:rowOff>47625</xdr:rowOff>
    </xdr:from>
    <xdr:ext cx="201083" cy="171450"/>
    <xdr:pic>
      <xdr:nvPicPr>
        <xdr:cNvPr id="3" name="図 2">
          <a:extLst>
            <a:ext uri="{FF2B5EF4-FFF2-40B4-BE49-F238E27FC236}">
              <a16:creationId xmlns:a16="http://schemas.microsoft.com/office/drawing/2014/main" id="{DF77AD2F-2B58-DA2B-4B3F-69DC6E5954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01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50</xdr:row>
      <xdr:rowOff>57150</xdr:rowOff>
    </xdr:from>
    <xdr:to>
      <xdr:col>11</xdr:col>
      <xdr:colOff>114300</xdr:colOff>
      <xdr:row>51</xdr:row>
      <xdr:rowOff>142875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91C22224-25D3-4FD6-8F05-999701825B5C}"/>
            </a:ext>
          </a:extLst>
        </xdr:cNvPr>
        <xdr:cNvSpPr/>
      </xdr:nvSpPr>
      <xdr:spPr>
        <a:xfrm>
          <a:off x="1524000" y="80676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9</xdr:col>
      <xdr:colOff>0</xdr:colOff>
      <xdr:row>102</xdr:row>
      <xdr:rowOff>0</xdr:rowOff>
    </xdr:from>
    <xdr:to>
      <xdr:col>16</xdr:col>
      <xdr:colOff>0</xdr:colOff>
      <xdr:row>104</xdr:row>
      <xdr:rowOff>0</xdr:rowOff>
    </xdr:to>
    <xdr:sp macro="" textlink="">
      <xdr:nvSpPr>
        <xdr:cNvPr id="9" name="正方形/長方形 8">
          <a:extLst>
            <a:ext uri="{FF2B5EF4-FFF2-40B4-BE49-F238E27FC236}">
              <a16:creationId xmlns:a16="http://schemas.microsoft.com/office/drawing/2014/main" id="{2112D696-CB67-FBAA-D0E5-C4F2AB24B2BB}"/>
            </a:ext>
          </a:extLst>
        </xdr:cNvPr>
        <xdr:cNvSpPr/>
      </xdr:nvSpPr>
      <xdr:spPr>
        <a:xfrm>
          <a:off x="1800225" y="154400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印刷</a:t>
          </a:r>
        </a:p>
      </xdr:txBody>
    </xdr:sp>
    <xdr:clientData/>
  </xdr:twoCellAnchor>
  <xdr:twoCellAnchor>
    <xdr:from>
      <xdr:col>9</xdr:col>
      <xdr:colOff>80010</xdr:colOff>
      <xdr:row>105</xdr:row>
      <xdr:rowOff>83820</xdr:rowOff>
    </xdr:from>
    <xdr:to>
      <xdr:col>18</xdr:col>
      <xdr:colOff>142875</xdr:colOff>
      <xdr:row>108</xdr:row>
      <xdr:rowOff>19050</xdr:rowOff>
    </xdr:to>
    <xdr:sp macro="" textlink="">
      <xdr:nvSpPr>
        <xdr:cNvPr id="11" name="四角形吹き出し 11">
          <a:extLst>
            <a:ext uri="{FF2B5EF4-FFF2-40B4-BE49-F238E27FC236}">
              <a16:creationId xmlns:a16="http://schemas.microsoft.com/office/drawing/2014/main" id="{588652E2-2A48-FB82-9577-7F8DEFD36776}"/>
            </a:ext>
          </a:extLst>
        </xdr:cNvPr>
        <xdr:cNvSpPr/>
      </xdr:nvSpPr>
      <xdr:spPr>
        <a:xfrm>
          <a:off x="1880235" y="16038195"/>
          <a:ext cx="1863090" cy="449580"/>
        </a:xfrm>
        <a:prstGeom prst="wedgeRectCallout">
          <a:avLst>
            <a:gd name="adj1" fmla="val -41784"/>
            <a:gd name="adj2" fmla="val -9933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申請、承認グリッド除いた全体を</a:t>
          </a:r>
          <a:r>
            <a:rPr kumimoji="1" lang="en-US" altLang="ja-JP" sz="800">
              <a:solidFill>
                <a:srgbClr val="FF0000"/>
              </a:solidFill>
            </a:rPr>
            <a:t>A4</a:t>
          </a:r>
          <a:r>
            <a:rPr kumimoji="1" lang="ja-JP" altLang="en-US" sz="800">
              <a:solidFill>
                <a:srgbClr val="FF0000"/>
              </a:solidFill>
            </a:rPr>
            <a:t>、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rgbClr val="FF0000"/>
              </a:solidFill>
            </a:rPr>
            <a:t>承認グリッドを</a:t>
          </a:r>
          <a:r>
            <a:rPr kumimoji="1" lang="en-US" altLang="ja-JP" sz="800">
              <a:solidFill>
                <a:srgbClr val="FF0000"/>
              </a:solidFill>
            </a:rPr>
            <a:t>A3</a:t>
          </a:r>
          <a:r>
            <a:rPr kumimoji="1" lang="ja-JP" altLang="en-US" sz="800">
              <a:solidFill>
                <a:srgbClr val="FF0000"/>
              </a:solidFill>
            </a:rPr>
            <a:t>横で出力する。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102</xdr:row>
      <xdr:rowOff>0</xdr:rowOff>
    </xdr:from>
    <xdr:to>
      <xdr:col>22</xdr:col>
      <xdr:colOff>0</xdr:colOff>
      <xdr:row>104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150C595-2F30-4EDC-80DA-4F6018BE7CAA}"/>
            </a:ext>
          </a:extLst>
        </xdr:cNvPr>
        <xdr:cNvSpPr/>
      </xdr:nvSpPr>
      <xdr:spPr>
        <a:xfrm>
          <a:off x="30003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102</xdr:row>
      <xdr:rowOff>0</xdr:rowOff>
    </xdr:from>
    <xdr:to>
      <xdr:col>30</xdr:col>
      <xdr:colOff>0</xdr:colOff>
      <xdr:row>104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7E5FE1E6-EB77-4569-945E-0396D3B350EB}"/>
            </a:ext>
          </a:extLst>
        </xdr:cNvPr>
        <xdr:cNvSpPr/>
      </xdr:nvSpPr>
      <xdr:spPr>
        <a:xfrm>
          <a:off x="46005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102</xdr:row>
      <xdr:rowOff>0</xdr:rowOff>
    </xdr:from>
    <xdr:to>
      <xdr:col>38</xdr:col>
      <xdr:colOff>0</xdr:colOff>
      <xdr:row>104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8CBAB78A-0063-4052-89DA-BB397818DDCC}"/>
            </a:ext>
          </a:extLst>
        </xdr:cNvPr>
        <xdr:cNvSpPr/>
      </xdr:nvSpPr>
      <xdr:spPr>
        <a:xfrm>
          <a:off x="6200775" y="1206817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8039612-52F5-4FB1-8A57-6795F1BD806E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35F1C2D6-84E9-43A4-A829-2027ED86B1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49</xdr:row>
      <xdr:rowOff>85725</xdr:rowOff>
    </xdr:from>
    <xdr:to>
      <xdr:col>7</xdr:col>
      <xdr:colOff>0</xdr:colOff>
      <xdr:row>51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AD4C4C06-75EE-4A05-8D0B-E01FF3CBDF2C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657A8C20-A58D-4511-BC67-AA7DB2B5A7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06D9E62F-BD12-4A50-8412-FD88973F689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66</xdr:row>
      <xdr:rowOff>85725</xdr:rowOff>
    </xdr:from>
    <xdr:to>
      <xdr:col>7</xdr:col>
      <xdr:colOff>0</xdr:colOff>
      <xdr:row>68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5DBC6DD7-7DC1-4AC5-8D6E-3B75CEA2FF3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72</xdr:row>
      <xdr:rowOff>0</xdr:rowOff>
    </xdr:from>
    <xdr:to>
      <xdr:col>8</xdr:col>
      <xdr:colOff>43669</xdr:colOff>
      <xdr:row>73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6FA3065E-AF76-4BB7-BDA4-8AF60DE73DEF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72</xdr:row>
      <xdr:rowOff>0</xdr:rowOff>
    </xdr:from>
    <xdr:to>
      <xdr:col>12</xdr:col>
      <xdr:colOff>0</xdr:colOff>
      <xdr:row>73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6775DC0F-A953-45CD-88AF-A6C03976D035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74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56E36ABB-B079-4A5F-9E83-22C14CE7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00525" y="11334727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77</xdr:row>
      <xdr:rowOff>152400</xdr:rowOff>
    </xdr:from>
    <xdr:to>
      <xdr:col>2</xdr:col>
      <xdr:colOff>198148</xdr:colOff>
      <xdr:row>79</xdr:row>
      <xdr:rowOff>15269</xdr:rowOff>
    </xdr:to>
    <xdr:pic>
      <xdr:nvPicPr>
        <xdr:cNvPr id="11" name="図 10" descr="画面の領域">
          <a:extLst>
            <a:ext uri="{FF2B5EF4-FFF2-40B4-BE49-F238E27FC236}">
              <a16:creationId xmlns:a16="http://schemas.microsoft.com/office/drawing/2014/main" id="{DDF5E072-3E1B-4D2B-8060-2E52615377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97</xdr:row>
      <xdr:rowOff>9502</xdr:rowOff>
    </xdr:from>
    <xdr:ext cx="219106" cy="161948"/>
    <xdr:pic>
      <xdr:nvPicPr>
        <xdr:cNvPr id="12" name="図 11" descr="画面の領域">
          <a:extLst>
            <a:ext uri="{FF2B5EF4-FFF2-40B4-BE49-F238E27FC236}">
              <a16:creationId xmlns:a16="http://schemas.microsoft.com/office/drawing/2014/main" id="{BA00205C-7BC4-4A5A-B31C-0B4A7FA04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98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0BF6693D-FB2C-4C9B-AE95-B213233F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99</xdr:row>
      <xdr:rowOff>9502</xdr:rowOff>
    </xdr:from>
    <xdr:ext cx="219106" cy="161948"/>
    <xdr:pic>
      <xdr:nvPicPr>
        <xdr:cNvPr id="14" name="図 13" descr="画面の領域">
          <a:extLst>
            <a:ext uri="{FF2B5EF4-FFF2-40B4-BE49-F238E27FC236}">
              <a16:creationId xmlns:a16="http://schemas.microsoft.com/office/drawing/2014/main" id="{68BAB11D-C04D-454C-859F-DB31F9D9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95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020EA3C4-7F6B-477B-9F03-EB8E87085CC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9525</xdr:colOff>
      <xdr:row>17</xdr:row>
      <xdr:rowOff>0</xdr:rowOff>
    </xdr:from>
    <xdr:ext cx="201083" cy="171450"/>
    <xdr:pic>
      <xdr:nvPicPr>
        <xdr:cNvPr id="10" name="図 9">
          <a:extLst>
            <a:ext uri="{FF2B5EF4-FFF2-40B4-BE49-F238E27FC236}">
              <a16:creationId xmlns:a16="http://schemas.microsoft.com/office/drawing/2014/main" id="{4D1FC5A6-DB48-4A0B-BDFC-07A466ED2C1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01083" cy="171450"/>
    <xdr:pic>
      <xdr:nvPicPr>
        <xdr:cNvPr id="19" name="図 18">
          <a:extLst>
            <a:ext uri="{FF2B5EF4-FFF2-40B4-BE49-F238E27FC236}">
              <a16:creationId xmlns:a16="http://schemas.microsoft.com/office/drawing/2014/main" id="{AF8A48F3-3BEF-4AD8-B46E-5F2303F4E99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81</xdr:row>
      <xdr:rowOff>19050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C1FE2133-43C9-D717-D70A-F6002ECCB91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5872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49</xdr:row>
      <xdr:rowOff>95250</xdr:rowOff>
    </xdr:from>
    <xdr:to>
      <xdr:col>11</xdr:col>
      <xdr:colOff>85725</xdr:colOff>
      <xdr:row>51</xdr:row>
      <xdr:rowOff>9525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20B53DD6-3696-47AD-8CC3-5D5BF0B569C4}"/>
            </a:ext>
          </a:extLst>
        </xdr:cNvPr>
        <xdr:cNvSpPr/>
      </xdr:nvSpPr>
      <xdr:spPr>
        <a:xfrm>
          <a:off x="1495425" y="79343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112</xdr:row>
      <xdr:rowOff>0</xdr:rowOff>
    </xdr:from>
    <xdr:to>
      <xdr:col>22</xdr:col>
      <xdr:colOff>0</xdr:colOff>
      <xdr:row>114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2A00E30D-0DC8-4BD1-9728-EE0E386DE2AA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112</xdr:row>
      <xdr:rowOff>0</xdr:rowOff>
    </xdr:from>
    <xdr:to>
      <xdr:col>30</xdr:col>
      <xdr:colOff>0</xdr:colOff>
      <xdr:row>114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0221C57-125E-4629-AF91-EBA5CD92E756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112</xdr:row>
      <xdr:rowOff>0</xdr:rowOff>
    </xdr:from>
    <xdr:to>
      <xdr:col>38</xdr:col>
      <xdr:colOff>0</xdr:colOff>
      <xdr:row>114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2F3F7596-EB19-49F2-9C36-E0D3F5BC74E7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9DFD6481-CF0F-40D4-B990-9400740E44C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7EFBD6D3-E51E-47E4-B087-D10B4C8DD1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57</xdr:row>
      <xdr:rowOff>85725</xdr:rowOff>
    </xdr:from>
    <xdr:to>
      <xdr:col>7</xdr:col>
      <xdr:colOff>0</xdr:colOff>
      <xdr:row>59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98FB9266-BCED-49BF-B7B8-2073567FACC0}"/>
            </a:ext>
          </a:extLst>
        </xdr:cNvPr>
        <xdr:cNvSpPr/>
      </xdr:nvSpPr>
      <xdr:spPr>
        <a:xfrm>
          <a:off x="609600" y="80962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49</xdr:col>
      <xdr:colOff>0</xdr:colOff>
      <xdr:row>26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6F31A2A4-7A42-4052-81FE-50EE00C2173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01225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80191F83-C95E-4388-9141-12847AC82EA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9525</xdr:colOff>
      <xdr:row>76</xdr:row>
      <xdr:rowOff>85725</xdr:rowOff>
    </xdr:from>
    <xdr:to>
      <xdr:col>7</xdr:col>
      <xdr:colOff>0</xdr:colOff>
      <xdr:row>78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5864711D-6326-429B-BE55-1DF3825F8620}"/>
            </a:ext>
          </a:extLst>
        </xdr:cNvPr>
        <xdr:cNvSpPr/>
      </xdr:nvSpPr>
      <xdr:spPr>
        <a:xfrm>
          <a:off x="609600" y="1026795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82</xdr:row>
      <xdr:rowOff>0</xdr:rowOff>
    </xdr:from>
    <xdr:to>
      <xdr:col>8</xdr:col>
      <xdr:colOff>43669</xdr:colOff>
      <xdr:row>83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0AE12088-3648-4D6C-A124-B41AF0FBCFD7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82</xdr:row>
      <xdr:rowOff>0</xdr:rowOff>
    </xdr:from>
    <xdr:to>
      <xdr:col>12</xdr:col>
      <xdr:colOff>0</xdr:colOff>
      <xdr:row>83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35E9687-7654-4A26-9C8E-39D1FA00248C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84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5CEED9FC-A38A-4A37-B875-E3B2393AF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oneCellAnchor>
    <xdr:from>
      <xdr:col>15</xdr:col>
      <xdr:colOff>0</xdr:colOff>
      <xdr:row>91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E1179C3C-0719-4A18-B532-3C49D87B052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2967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2</xdr:col>
      <xdr:colOff>0</xdr:colOff>
      <xdr:row>87</xdr:row>
      <xdr:rowOff>152400</xdr:rowOff>
    </xdr:from>
    <xdr:to>
      <xdr:col>3</xdr:col>
      <xdr:colOff>28</xdr:colOff>
      <xdr:row>89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37975B50-946B-4855-A4C8-ECBF2E06E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107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C50667CC-2C84-455E-A48A-18E36B07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907381F4-238E-4701-A406-853019611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C4D27BA7-115E-460B-9C0F-33EC1A051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105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4745E74B-D755-4018-A22F-D44E9FF404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AB0CB4AD-C494-417F-9C46-063BBE0B2D1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97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6F22A786-8988-4266-9438-1ADF2618DE3D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95250</xdr:colOff>
      <xdr:row>57</xdr:row>
      <xdr:rowOff>85725</xdr:rowOff>
    </xdr:from>
    <xdr:to>
      <xdr:col>11</xdr:col>
      <xdr:colOff>85725</xdr:colOff>
      <xdr:row>59</xdr:row>
      <xdr:rowOff>0</xdr:rowOff>
    </xdr:to>
    <xdr:sp macro="" textlink="">
      <xdr:nvSpPr>
        <xdr:cNvPr id="18" name="正方形/長方形 17">
          <a:extLst>
            <a:ext uri="{FF2B5EF4-FFF2-40B4-BE49-F238E27FC236}">
              <a16:creationId xmlns:a16="http://schemas.microsoft.com/office/drawing/2014/main" id="{E7EF44D0-D1E8-4A05-BD29-A6FA1D7AE22D}"/>
            </a:ext>
          </a:extLst>
        </xdr:cNvPr>
        <xdr:cNvSpPr/>
      </xdr:nvSpPr>
      <xdr:spPr>
        <a:xfrm>
          <a:off x="1495425" y="7924800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10</xdr:col>
      <xdr:colOff>38100</xdr:colOff>
      <xdr:row>69</xdr:row>
      <xdr:rowOff>0</xdr:rowOff>
    </xdr:from>
    <xdr:to>
      <xdr:col>17</xdr:col>
      <xdr:colOff>76200</xdr:colOff>
      <xdr:row>70</xdr:row>
      <xdr:rowOff>161925</xdr:rowOff>
    </xdr:to>
    <xdr:sp macro="" textlink="">
      <xdr:nvSpPr>
        <xdr:cNvPr id="17" name="四角形吹き出し 11">
          <a:extLst>
            <a:ext uri="{FF2B5EF4-FFF2-40B4-BE49-F238E27FC236}">
              <a16:creationId xmlns:a16="http://schemas.microsoft.com/office/drawing/2014/main" id="{D99D49E3-FEE8-437D-B0AE-047D4E6AC5F4}"/>
            </a:ext>
          </a:extLst>
        </xdr:cNvPr>
        <xdr:cNvSpPr/>
      </xdr:nvSpPr>
      <xdr:spPr>
        <a:xfrm>
          <a:off x="2038350" y="9667875"/>
          <a:ext cx="1438275" cy="333375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1</a:t>
          </a:r>
          <a:r>
            <a:rPr kumimoji="1" lang="ja-JP" altLang="en-US" sz="800">
              <a:solidFill>
                <a:srgbClr val="FF0000"/>
              </a:solidFill>
            </a:rPr>
            <a:t>行目は申請通貨</a:t>
          </a: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rgbClr val="FF0000"/>
              </a:solidFill>
            </a:rPr>
            <a:t>2</a:t>
          </a:r>
          <a:r>
            <a:rPr kumimoji="1" lang="ja-JP" altLang="en-US" sz="800">
              <a:solidFill>
                <a:srgbClr val="FF0000"/>
              </a:solidFill>
            </a:rPr>
            <a:t>行目は</a:t>
          </a:r>
          <a:r>
            <a:rPr kumimoji="1" lang="en-US" altLang="ja-JP" sz="800">
              <a:solidFill>
                <a:srgbClr val="FF0000"/>
              </a:solidFill>
            </a:rPr>
            <a:t>JPY</a:t>
          </a:r>
          <a:r>
            <a:rPr kumimoji="1" lang="ja-JP" altLang="en-US" sz="800">
              <a:solidFill>
                <a:srgbClr val="FF0000"/>
              </a:solidFill>
            </a:rPr>
            <a:t>の表示</a:t>
          </a: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171450</xdr:colOff>
      <xdr:row>52</xdr:row>
      <xdr:rowOff>123825</xdr:rowOff>
    </xdr:from>
    <xdr:to>
      <xdr:col>33</xdr:col>
      <xdr:colOff>161925</xdr:colOff>
      <xdr:row>54</xdr:row>
      <xdr:rowOff>66675</xdr:rowOff>
    </xdr:to>
    <xdr:sp macro="" textlink="">
      <xdr:nvSpPr>
        <xdr:cNvPr id="19" name="四角形吹き出し 11">
          <a:extLst>
            <a:ext uri="{FF2B5EF4-FFF2-40B4-BE49-F238E27FC236}">
              <a16:creationId xmlns:a16="http://schemas.microsoft.com/office/drawing/2014/main" id="{90B5EA0D-AE79-4F81-9C0D-6F1773EFDA00}"/>
            </a:ext>
          </a:extLst>
        </xdr:cNvPr>
        <xdr:cNvSpPr/>
      </xdr:nvSpPr>
      <xdr:spPr>
        <a:xfrm>
          <a:off x="4772025" y="70770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35</xdr:row>
      <xdr:rowOff>144285</xdr:rowOff>
    </xdr:from>
    <xdr:to>
      <xdr:col>34</xdr:col>
      <xdr:colOff>161511</xdr:colOff>
      <xdr:row>39</xdr:row>
      <xdr:rowOff>47626</xdr:rowOff>
    </xdr:to>
    <xdr:sp macro="" textlink="">
      <xdr:nvSpPr>
        <xdr:cNvPr id="20" name="四角形吹き出し 11">
          <a:extLst>
            <a:ext uri="{FF2B5EF4-FFF2-40B4-BE49-F238E27FC236}">
              <a16:creationId xmlns:a16="http://schemas.microsoft.com/office/drawing/2014/main" id="{9FD2D9A4-861E-494C-BE22-82E23507556D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62865</xdr:colOff>
      <xdr:row>39</xdr:row>
      <xdr:rowOff>156211</xdr:rowOff>
    </xdr:from>
    <xdr:to>
      <xdr:col>22</xdr:col>
      <xdr:colOff>32716</xdr:colOff>
      <xdr:row>42</xdr:row>
      <xdr:rowOff>26670</xdr:rowOff>
    </xdr:to>
    <xdr:sp macro="" textlink="">
      <xdr:nvSpPr>
        <xdr:cNvPr id="21" name="四角形吹き出し 11">
          <a:extLst>
            <a:ext uri="{FF2B5EF4-FFF2-40B4-BE49-F238E27FC236}">
              <a16:creationId xmlns:a16="http://schemas.microsoft.com/office/drawing/2014/main" id="{06E8ED9B-0212-494B-9BA1-0A2254FC35C0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41</xdr:row>
      <xdr:rowOff>152400</xdr:rowOff>
    </xdr:from>
    <xdr:to>
      <xdr:col>32</xdr:col>
      <xdr:colOff>0</xdr:colOff>
      <xdr:row>44</xdr:row>
      <xdr:rowOff>66675</xdr:rowOff>
    </xdr:to>
    <xdr:sp macro="" textlink="">
      <xdr:nvSpPr>
        <xdr:cNvPr id="24" name="四角形吹き出し 11">
          <a:extLst>
            <a:ext uri="{FF2B5EF4-FFF2-40B4-BE49-F238E27FC236}">
              <a16:creationId xmlns:a16="http://schemas.microsoft.com/office/drawing/2014/main" id="{4432433F-FE68-42A8-BA06-9C563588A722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41</xdr:row>
      <xdr:rowOff>152400</xdr:rowOff>
    </xdr:from>
    <xdr:to>
      <xdr:col>40</xdr:col>
      <xdr:colOff>142875</xdr:colOff>
      <xdr:row>44</xdr:row>
      <xdr:rowOff>66675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167572C-4B41-477B-B7B0-AA9CB3AF80A2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146</xdr:row>
      <xdr:rowOff>0</xdr:rowOff>
    </xdr:from>
    <xdr:to>
      <xdr:col>22</xdr:col>
      <xdr:colOff>0</xdr:colOff>
      <xdr:row>148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8361D997-6EAE-42F9-B985-B71430A588B5}"/>
            </a:ext>
          </a:extLst>
        </xdr:cNvPr>
        <xdr:cNvSpPr/>
      </xdr:nvSpPr>
      <xdr:spPr>
        <a:xfrm>
          <a:off x="30003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146</xdr:row>
      <xdr:rowOff>0</xdr:rowOff>
    </xdr:from>
    <xdr:to>
      <xdr:col>30</xdr:col>
      <xdr:colOff>0</xdr:colOff>
      <xdr:row>148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E4F3B550-C178-4BC5-AEBE-A28DBF4C7030}"/>
            </a:ext>
          </a:extLst>
        </xdr:cNvPr>
        <xdr:cNvSpPr/>
      </xdr:nvSpPr>
      <xdr:spPr>
        <a:xfrm>
          <a:off x="46005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146</xdr:row>
      <xdr:rowOff>0</xdr:rowOff>
    </xdr:from>
    <xdr:to>
      <xdr:col>38</xdr:col>
      <xdr:colOff>0</xdr:colOff>
      <xdr:row>148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4872B9A-46CE-4CD6-A5AB-C6D5C647EDB9}"/>
            </a:ext>
          </a:extLst>
        </xdr:cNvPr>
        <xdr:cNvSpPr/>
      </xdr:nvSpPr>
      <xdr:spPr>
        <a:xfrm>
          <a:off x="6200775" y="11896725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468B21AA-B832-4D15-B8F6-64E6D0394E75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476B491E-9D63-46E3-ABB6-14F2EE3D135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72</xdr:row>
      <xdr:rowOff>85725</xdr:rowOff>
    </xdr:from>
    <xdr:to>
      <xdr:col>7</xdr:col>
      <xdr:colOff>0</xdr:colOff>
      <xdr:row>74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D3588E5B-9AF1-4F97-9890-865763A04A77}"/>
            </a:ext>
          </a:extLst>
        </xdr:cNvPr>
        <xdr:cNvSpPr/>
      </xdr:nvSpPr>
      <xdr:spPr>
        <a:xfrm>
          <a:off x="609600" y="8181975"/>
          <a:ext cx="790575" cy="42862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FE3F6E15-B708-4689-80BC-ECA49AAFE686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</xdr:col>
      <xdr:colOff>0</xdr:colOff>
      <xdr:row>110</xdr:row>
      <xdr:rowOff>85725</xdr:rowOff>
    </xdr:from>
    <xdr:to>
      <xdr:col>6</xdr:col>
      <xdr:colOff>190500</xdr:colOff>
      <xdr:row>112</xdr:row>
      <xdr:rowOff>0</xdr:rowOff>
    </xdr:to>
    <xdr:sp macro="" textlink="">
      <xdr:nvSpPr>
        <xdr:cNvPr id="21" name="正方形/長方形 20">
          <a:extLst>
            <a:ext uri="{FF2B5EF4-FFF2-40B4-BE49-F238E27FC236}">
              <a16:creationId xmlns:a16="http://schemas.microsoft.com/office/drawing/2014/main" id="{D2475BCC-3D57-4CD1-9FEF-D333B39F0691}"/>
            </a:ext>
          </a:extLst>
        </xdr:cNvPr>
        <xdr:cNvSpPr/>
      </xdr:nvSpPr>
      <xdr:spPr>
        <a:xfrm>
          <a:off x="600075" y="149828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116</xdr:row>
      <xdr:rowOff>0</xdr:rowOff>
    </xdr:from>
    <xdr:to>
      <xdr:col>8</xdr:col>
      <xdr:colOff>43669</xdr:colOff>
      <xdr:row>117</xdr:row>
      <xdr:rowOff>0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C1230DC3-E851-4531-BCE4-4F138045FFE8}"/>
            </a:ext>
          </a:extLst>
        </xdr:cNvPr>
        <xdr:cNvSpPr/>
      </xdr:nvSpPr>
      <xdr:spPr>
        <a:xfrm>
          <a:off x="600075" y="10982325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116</xdr:row>
      <xdr:rowOff>0</xdr:rowOff>
    </xdr:from>
    <xdr:to>
      <xdr:col>12</xdr:col>
      <xdr:colOff>0</xdr:colOff>
      <xdr:row>117</xdr:row>
      <xdr:rowOff>0</xdr:rowOff>
    </xdr:to>
    <xdr:sp macro="" textlink="">
      <xdr:nvSpPr>
        <xdr:cNvPr id="23" name="正方形/長方形 22">
          <a:extLst>
            <a:ext uri="{FF2B5EF4-FFF2-40B4-BE49-F238E27FC236}">
              <a16:creationId xmlns:a16="http://schemas.microsoft.com/office/drawing/2014/main" id="{C9D7C6F0-5ED9-4FAA-87B9-13055FC85842}"/>
            </a:ext>
          </a:extLst>
        </xdr:cNvPr>
        <xdr:cNvSpPr/>
      </xdr:nvSpPr>
      <xdr:spPr>
        <a:xfrm>
          <a:off x="1756556" y="10982325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118</xdr:row>
      <xdr:rowOff>9502</xdr:rowOff>
    </xdr:from>
    <xdr:ext cx="219106" cy="161948"/>
    <xdr:pic>
      <xdr:nvPicPr>
        <xdr:cNvPr id="24" name="図 23" descr="画面の領域">
          <a:extLst>
            <a:ext uri="{FF2B5EF4-FFF2-40B4-BE49-F238E27FC236}">
              <a16:creationId xmlns:a16="http://schemas.microsoft.com/office/drawing/2014/main" id="{7DEB14A4-965E-4BE1-BADB-BD506618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1334727"/>
          <a:ext cx="219106" cy="161948"/>
        </a:xfrm>
        <a:prstGeom prst="rect">
          <a:avLst/>
        </a:prstGeom>
      </xdr:spPr>
    </xdr:pic>
    <xdr:clientData/>
  </xdr:oneCellAnchor>
  <xdr:twoCellAnchor>
    <xdr:from>
      <xdr:col>21</xdr:col>
      <xdr:colOff>123824</xdr:colOff>
      <xdr:row>105</xdr:row>
      <xdr:rowOff>104775</xdr:rowOff>
    </xdr:from>
    <xdr:to>
      <xdr:col>31</xdr:col>
      <xdr:colOff>65209</xdr:colOff>
      <xdr:row>107</xdr:row>
      <xdr:rowOff>95250</xdr:rowOff>
    </xdr:to>
    <xdr:sp macro="" textlink="">
      <xdr:nvSpPr>
        <xdr:cNvPr id="30" name="四角形吹き出し 11">
          <a:extLst>
            <a:ext uri="{FF2B5EF4-FFF2-40B4-BE49-F238E27FC236}">
              <a16:creationId xmlns:a16="http://schemas.microsoft.com/office/drawing/2014/main" id="{6DBDD004-6A4C-447C-BD6E-85D79B99D0DE}"/>
            </a:ext>
          </a:extLst>
        </xdr:cNvPr>
        <xdr:cNvSpPr/>
      </xdr:nvSpPr>
      <xdr:spPr>
        <a:xfrm>
          <a:off x="4324349" y="16659225"/>
          <a:ext cx="1941635" cy="333375"/>
        </a:xfrm>
        <a:prstGeom prst="wedgeRectCallout">
          <a:avLst>
            <a:gd name="adj1" fmla="val -77253"/>
            <a:gd name="adj2" fmla="val -5944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金型、治工具で無償が選択されている場合のみ表示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23</xdr:col>
      <xdr:colOff>78518</xdr:colOff>
      <xdr:row>41</xdr:row>
      <xdr:rowOff>144285</xdr:rowOff>
    </xdr:from>
    <xdr:to>
      <xdr:col>34</xdr:col>
      <xdr:colOff>161511</xdr:colOff>
      <xdr:row>45</xdr:row>
      <xdr:rowOff>47626</xdr:rowOff>
    </xdr:to>
    <xdr:sp macro="" textlink="">
      <xdr:nvSpPr>
        <xdr:cNvPr id="34" name="四角形吹き出し 11">
          <a:extLst>
            <a:ext uri="{FF2B5EF4-FFF2-40B4-BE49-F238E27FC236}">
              <a16:creationId xmlns:a16="http://schemas.microsoft.com/office/drawing/2014/main" id="{1E401332-252C-4473-8358-725C40A6F247}"/>
            </a:ext>
          </a:extLst>
        </xdr:cNvPr>
        <xdr:cNvSpPr/>
      </xdr:nvSpPr>
      <xdr:spPr>
        <a:xfrm>
          <a:off x="4679093" y="6468885"/>
          <a:ext cx="2283268" cy="474841"/>
        </a:xfrm>
        <a:prstGeom prst="wedgeRectCallout">
          <a:avLst>
            <a:gd name="adj1" fmla="val -66240"/>
            <a:gd name="adj2" fmla="val 3188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default</a:t>
          </a:r>
          <a:r>
            <a:rPr kumimoji="1" lang="ja-JP" altLang="en-US" sz="800">
              <a:solidFill>
                <a:sysClr val="windowText" lastClr="000000"/>
              </a:solidFill>
            </a:rPr>
            <a:t>は経営計画レートですが、変更できるように。客先によってはその会社のレートで変換することが求められる。（日系企業の場合）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  <a:p>
          <a:pPr algn="l">
            <a:lnSpc>
              <a:spcPts val="900"/>
            </a:lnSpc>
          </a:pPr>
          <a:endParaRPr kumimoji="1" lang="en-US" altLang="ja-JP" sz="800">
            <a:solidFill>
              <a:srgbClr val="FF0000"/>
            </a:solidFill>
          </a:endParaRPr>
        </a:p>
      </xdr:txBody>
    </xdr:sp>
    <xdr:clientData/>
  </xdr:twoCellAnchor>
  <xdr:twoCellAnchor>
    <xdr:from>
      <xdr:col>51</xdr:col>
      <xdr:colOff>85725</xdr:colOff>
      <xdr:row>37</xdr:row>
      <xdr:rowOff>57150</xdr:rowOff>
    </xdr:from>
    <xdr:to>
      <xdr:col>56</xdr:col>
      <xdr:colOff>85725</xdr:colOff>
      <xdr:row>41</xdr:row>
      <xdr:rowOff>0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824F86EF-C5D4-4BF1-A3B6-910E3426CAFF}"/>
            </a:ext>
          </a:extLst>
        </xdr:cNvPr>
        <xdr:cNvSpPr/>
      </xdr:nvSpPr>
      <xdr:spPr>
        <a:xfrm>
          <a:off x="10287000" y="54102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121</xdr:row>
      <xdr:rowOff>152400</xdr:rowOff>
    </xdr:from>
    <xdr:to>
      <xdr:col>3</xdr:col>
      <xdr:colOff>28</xdr:colOff>
      <xdr:row>123</xdr:row>
      <xdr:rowOff>19079</xdr:rowOff>
    </xdr:to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2449DCE9-78E4-4DCE-AB20-E6512B30D5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77675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141</xdr:row>
      <xdr:rowOff>9502</xdr:rowOff>
    </xdr:from>
    <xdr:ext cx="219106" cy="161948"/>
    <xdr:pic>
      <xdr:nvPicPr>
        <xdr:cNvPr id="20" name="図 19" descr="画面の領域">
          <a:extLst>
            <a:ext uri="{FF2B5EF4-FFF2-40B4-BE49-F238E27FC236}">
              <a16:creationId xmlns:a16="http://schemas.microsoft.com/office/drawing/2014/main" id="{89C1E70A-13C7-4E47-9642-40FBE0416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02077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142</xdr:row>
      <xdr:rowOff>9502</xdr:rowOff>
    </xdr:from>
    <xdr:ext cx="219106" cy="161948"/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CBF22942-B607-42CA-9598-00234BDA1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92227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143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8D1DBED1-D842-4236-91FF-4852415D4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63677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139</xdr:row>
      <xdr:rowOff>0</xdr:rowOff>
    </xdr:from>
    <xdr:ext cx="201083" cy="171450"/>
    <xdr:pic>
      <xdr:nvPicPr>
        <xdr:cNvPr id="27" name="図 26">
          <a:extLst>
            <a:ext uri="{FF2B5EF4-FFF2-40B4-BE49-F238E27FC236}">
              <a16:creationId xmlns:a16="http://schemas.microsoft.com/office/drawing/2014/main" id="{AA36BFAE-6738-4629-95AF-EA57B35F9D2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683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17</xdr:col>
      <xdr:colOff>47625</xdr:colOff>
      <xdr:row>102</xdr:row>
      <xdr:rowOff>104776</xdr:rowOff>
    </xdr:from>
    <xdr:to>
      <xdr:col>18</xdr:col>
      <xdr:colOff>123825</xdr:colOff>
      <xdr:row>106</xdr:row>
      <xdr:rowOff>152400</xdr:rowOff>
    </xdr:to>
    <xdr:sp macro="" textlink="">
      <xdr:nvSpPr>
        <xdr:cNvPr id="29" name="右中かっこ 28">
          <a:extLst>
            <a:ext uri="{FF2B5EF4-FFF2-40B4-BE49-F238E27FC236}">
              <a16:creationId xmlns:a16="http://schemas.microsoft.com/office/drawing/2014/main" id="{36014197-6238-267E-9450-40B3DEA98669}"/>
            </a:ext>
          </a:extLst>
        </xdr:cNvPr>
        <xdr:cNvSpPr/>
      </xdr:nvSpPr>
      <xdr:spPr>
        <a:xfrm>
          <a:off x="3448050" y="14316076"/>
          <a:ext cx="276225" cy="904874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62865</xdr:colOff>
      <xdr:row>45</xdr:row>
      <xdr:rowOff>156211</xdr:rowOff>
    </xdr:from>
    <xdr:to>
      <xdr:col>22</xdr:col>
      <xdr:colOff>32716</xdr:colOff>
      <xdr:row>48</xdr:row>
      <xdr:rowOff>26670</xdr:rowOff>
    </xdr:to>
    <xdr:sp macro="" textlink="">
      <xdr:nvSpPr>
        <xdr:cNvPr id="13" name="四角形吹き出し 11">
          <a:extLst>
            <a:ext uri="{FF2B5EF4-FFF2-40B4-BE49-F238E27FC236}">
              <a16:creationId xmlns:a16="http://schemas.microsoft.com/office/drawing/2014/main" id="{09343CE1-3B6D-414F-87BA-C37AC3352E2F}"/>
            </a:ext>
          </a:extLst>
        </xdr:cNvPr>
        <xdr:cNvSpPr/>
      </xdr:nvSpPr>
      <xdr:spPr>
        <a:xfrm>
          <a:off x="2663190" y="7052311"/>
          <a:ext cx="1770076" cy="384809"/>
        </a:xfrm>
        <a:prstGeom prst="wedgeRectCallout">
          <a:avLst>
            <a:gd name="adj1" fmla="val -43457"/>
            <a:gd name="adj2" fmla="val -848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経営計画レート選択時は自動表示。</a:t>
          </a:r>
          <a:br>
            <a:rPr kumimoji="1" lang="en-US" altLang="ja-JP" sz="800">
              <a:solidFill>
                <a:sysClr val="windowText" lastClr="000000"/>
              </a:solidFill>
            </a:rPr>
          </a:br>
          <a:r>
            <a:rPr kumimoji="1" lang="ja-JP" altLang="en-US" sz="800">
              <a:solidFill>
                <a:sysClr val="windowText" lastClr="000000"/>
              </a:solidFill>
            </a:rPr>
            <a:t>そのれ外は手入力。必須項目とする。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8</xdr:col>
      <xdr:colOff>74734</xdr:colOff>
      <xdr:row>107</xdr:row>
      <xdr:rowOff>104042</xdr:rowOff>
    </xdr:from>
    <xdr:to>
      <xdr:col>15</xdr:col>
      <xdr:colOff>190500</xdr:colOff>
      <xdr:row>109</xdr:row>
      <xdr:rowOff>9525</xdr:rowOff>
    </xdr:to>
    <xdr:sp macro="" textlink="">
      <xdr:nvSpPr>
        <xdr:cNvPr id="35" name="四角形吹き出し 11">
          <a:extLst>
            <a:ext uri="{FF2B5EF4-FFF2-40B4-BE49-F238E27FC236}">
              <a16:creationId xmlns:a16="http://schemas.microsoft.com/office/drawing/2014/main" id="{F6D553A7-CF88-40EA-BB6F-FDDD945CC47F}"/>
            </a:ext>
          </a:extLst>
        </xdr:cNvPr>
        <xdr:cNvSpPr/>
      </xdr:nvSpPr>
      <xdr:spPr>
        <a:xfrm>
          <a:off x="1674934" y="16658492"/>
          <a:ext cx="1515941" cy="248383"/>
        </a:xfrm>
        <a:prstGeom prst="wedgeRectCallout">
          <a:avLst>
            <a:gd name="adj1" fmla="val -44935"/>
            <a:gd name="adj2" fmla="val -146504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「有」を選択した場合、赤字で表示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47</xdr:col>
      <xdr:colOff>191222</xdr:colOff>
      <xdr:row>70</xdr:row>
      <xdr:rowOff>76200</xdr:rowOff>
    </xdr:from>
    <xdr:to>
      <xdr:col>57</xdr:col>
      <xdr:colOff>9000</xdr:colOff>
      <xdr:row>74</xdr:row>
      <xdr:rowOff>25572</xdr:rowOff>
    </xdr:to>
    <xdr:sp macro="" textlink="">
      <xdr:nvSpPr>
        <xdr:cNvPr id="41" name="四角形吹き出し 11">
          <a:extLst>
            <a:ext uri="{FF2B5EF4-FFF2-40B4-BE49-F238E27FC236}">
              <a16:creationId xmlns:a16="http://schemas.microsoft.com/office/drawing/2014/main" id="{6C8A2732-B5D6-42CC-8140-A5AEC8D7E6AA}"/>
            </a:ext>
          </a:extLst>
        </xdr:cNvPr>
        <xdr:cNvSpPr/>
      </xdr:nvSpPr>
      <xdr:spPr>
        <a:xfrm>
          <a:off x="9592397" y="11372850"/>
          <a:ext cx="1818028" cy="635172"/>
        </a:xfrm>
        <a:prstGeom prst="wedgeRectCallout">
          <a:avLst>
            <a:gd name="adj1" fmla="val -33736"/>
            <a:gd name="adj2" fmla="val 111310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</a:t>
          </a:r>
          <a:r>
            <a:rPr kumimoji="1" lang="en-US" altLang="ja-JP" sz="800">
              <a:solidFill>
                <a:sysClr val="windowText" lastClr="000000"/>
              </a:solidFill>
            </a:rPr>
            <a:t>/(1-</a:t>
          </a:r>
          <a:r>
            <a:rPr kumimoji="1" lang="ja-JP" altLang="en-US" sz="800">
              <a:solidFill>
                <a:sysClr val="windowText" lastClr="000000"/>
              </a:solidFill>
            </a:rPr>
            <a:t>物流コスト率）</a:t>
          </a:r>
          <a:r>
            <a:rPr kumimoji="1" lang="en-US" altLang="ja-JP" sz="800">
              <a:solidFill>
                <a:sysClr val="windowText" lastClr="000000"/>
              </a:solidFill>
            </a:rPr>
            <a:t>×</a:t>
          </a:r>
          <a:r>
            <a:rPr kumimoji="1" lang="ja-JP" altLang="en-US" sz="800">
              <a:solidFill>
                <a:sysClr val="windowText" lastClr="000000"/>
              </a:solidFill>
            </a:rPr>
            <a:t>口銭率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改修前の計算式も確認し設定する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2022.10.20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 </a:t>
          </a:r>
          <a:r>
            <a:rPr kumimoji="1" lang="ja-JP" altLang="en-US" sz="800" baseline="0">
              <a:solidFill>
                <a:sysClr val="windowText" lastClr="000000"/>
              </a:solidFill>
            </a:rPr>
            <a:t> </a:t>
          </a:r>
          <a:r>
            <a:rPr kumimoji="1" lang="en-US" altLang="ja-JP" sz="800" baseline="0">
              <a:solidFill>
                <a:sysClr val="windowText" lastClr="000000"/>
              </a:solidFill>
            </a:rPr>
            <a:t>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</xdr:txBody>
    </xdr:sp>
    <xdr:clientData/>
  </xdr:two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14" name="図 13">
          <a:extLst>
            <a:ext uri="{FF2B5EF4-FFF2-40B4-BE49-F238E27FC236}">
              <a16:creationId xmlns:a16="http://schemas.microsoft.com/office/drawing/2014/main" id="{932E8A4B-5411-43CC-A7A3-8FD6FC33F81F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55</xdr:col>
      <xdr:colOff>28575</xdr:colOff>
      <xdr:row>61</xdr:row>
      <xdr:rowOff>123825</xdr:rowOff>
    </xdr:from>
    <xdr:to>
      <xdr:col>57</xdr:col>
      <xdr:colOff>16566</xdr:colOff>
      <xdr:row>72</xdr:row>
      <xdr:rowOff>108502</xdr:rowOff>
    </xdr:to>
    <xdr:sp macro="" textlink="">
      <xdr:nvSpPr>
        <xdr:cNvPr id="28" name="右中かっこ 27">
          <a:extLst>
            <a:ext uri="{FF2B5EF4-FFF2-40B4-BE49-F238E27FC236}">
              <a16:creationId xmlns:a16="http://schemas.microsoft.com/office/drawing/2014/main" id="{50F61282-584E-4720-8D28-AEE0CA23D9AB}"/>
            </a:ext>
          </a:extLst>
        </xdr:cNvPr>
        <xdr:cNvSpPr/>
      </xdr:nvSpPr>
      <xdr:spPr>
        <a:xfrm>
          <a:off x="11029950" y="9534525"/>
          <a:ext cx="388041" cy="2213527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59</xdr:col>
      <xdr:colOff>47625</xdr:colOff>
      <xdr:row>65</xdr:row>
      <xdr:rowOff>57150</xdr:rowOff>
    </xdr:from>
    <xdr:to>
      <xdr:col>64</xdr:col>
      <xdr:colOff>47625</xdr:colOff>
      <xdr:row>67</xdr:row>
      <xdr:rowOff>114300</xdr:rowOff>
    </xdr:to>
    <xdr:sp macro="" textlink="">
      <xdr:nvSpPr>
        <xdr:cNvPr id="31" name="四角形吹き出し 11">
          <a:extLst>
            <a:ext uri="{FF2B5EF4-FFF2-40B4-BE49-F238E27FC236}">
              <a16:creationId xmlns:a16="http://schemas.microsoft.com/office/drawing/2014/main" id="{C3F3AEAE-0BBD-A89A-F2B0-490592C3C803}"/>
            </a:ext>
          </a:extLst>
        </xdr:cNvPr>
        <xdr:cNvSpPr/>
      </xdr:nvSpPr>
      <xdr:spPr>
        <a:xfrm>
          <a:off x="11849100" y="10325100"/>
          <a:ext cx="1000125" cy="400050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51</xdr:col>
      <xdr:colOff>171450</xdr:colOff>
      <xdr:row>93</xdr:row>
      <xdr:rowOff>0</xdr:rowOff>
    </xdr:from>
    <xdr:to>
      <xdr:col>53</xdr:col>
      <xdr:colOff>159441</xdr:colOff>
      <xdr:row>109</xdr:row>
      <xdr:rowOff>19049</xdr:rowOff>
    </xdr:to>
    <xdr:sp macro="" textlink="">
      <xdr:nvSpPr>
        <xdr:cNvPr id="32" name="右中かっこ 31">
          <a:extLst>
            <a:ext uri="{FF2B5EF4-FFF2-40B4-BE49-F238E27FC236}">
              <a16:creationId xmlns:a16="http://schemas.microsoft.com/office/drawing/2014/main" id="{BF7D5D2E-2909-4DE2-9AAE-1B91892AA461}"/>
            </a:ext>
          </a:extLst>
        </xdr:cNvPr>
        <xdr:cNvSpPr/>
      </xdr:nvSpPr>
      <xdr:spPr>
        <a:xfrm>
          <a:off x="10372725" y="14668500"/>
          <a:ext cx="388041" cy="2590799"/>
        </a:xfrm>
        <a:prstGeom prst="rightBrac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55</xdr:col>
      <xdr:colOff>161925</xdr:colOff>
      <xdr:row>99</xdr:row>
      <xdr:rowOff>161925</xdr:rowOff>
    </xdr:from>
    <xdr:to>
      <xdr:col>61</xdr:col>
      <xdr:colOff>38100</xdr:colOff>
      <xdr:row>103</xdr:row>
      <xdr:rowOff>0</xdr:rowOff>
    </xdr:to>
    <xdr:sp macro="" textlink="">
      <xdr:nvSpPr>
        <xdr:cNvPr id="33" name="四角形吹き出し 11">
          <a:extLst>
            <a:ext uri="{FF2B5EF4-FFF2-40B4-BE49-F238E27FC236}">
              <a16:creationId xmlns:a16="http://schemas.microsoft.com/office/drawing/2014/main" id="{D5D125FB-160D-4637-B97B-37DC7CB0DC9C}"/>
            </a:ext>
          </a:extLst>
        </xdr:cNvPr>
        <xdr:cNvSpPr/>
      </xdr:nvSpPr>
      <xdr:spPr>
        <a:xfrm>
          <a:off x="11163300" y="15687675"/>
          <a:ext cx="1076325" cy="352425"/>
        </a:xfrm>
        <a:prstGeom prst="wedgeRectCallout">
          <a:avLst>
            <a:gd name="adj1" fmla="val -73695"/>
            <a:gd name="adj2" fmla="val 1326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カスタム品の場合のみ表示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22</xdr:col>
      <xdr:colOff>161925</xdr:colOff>
      <xdr:row>47</xdr:row>
      <xdr:rowOff>152400</xdr:rowOff>
    </xdr:from>
    <xdr:to>
      <xdr:col>32</xdr:col>
      <xdr:colOff>0</xdr:colOff>
      <xdr:row>50</xdr:row>
      <xdr:rowOff>66675</xdr:rowOff>
    </xdr:to>
    <xdr:sp macro="" textlink="">
      <xdr:nvSpPr>
        <xdr:cNvPr id="9" name="四角形吹き出し 11">
          <a:extLst>
            <a:ext uri="{FF2B5EF4-FFF2-40B4-BE49-F238E27FC236}">
              <a16:creationId xmlns:a16="http://schemas.microsoft.com/office/drawing/2014/main" id="{67428259-F5D2-BA5C-6C9A-63677372AD40}"/>
            </a:ext>
          </a:extLst>
        </xdr:cNvPr>
        <xdr:cNvSpPr/>
      </xdr:nvSpPr>
      <xdr:spPr>
        <a:xfrm>
          <a:off x="4562475" y="73914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33</xdr:col>
      <xdr:colOff>85725</xdr:colOff>
      <xdr:row>47</xdr:row>
      <xdr:rowOff>152400</xdr:rowOff>
    </xdr:from>
    <xdr:to>
      <xdr:col>40</xdr:col>
      <xdr:colOff>142875</xdr:colOff>
      <xdr:row>50</xdr:row>
      <xdr:rowOff>66675</xdr:rowOff>
    </xdr:to>
    <xdr:sp macro="" textlink="">
      <xdr:nvSpPr>
        <xdr:cNvPr id="10" name="四角形吹き出し 11">
          <a:extLst>
            <a:ext uri="{FF2B5EF4-FFF2-40B4-BE49-F238E27FC236}">
              <a16:creationId xmlns:a16="http://schemas.microsoft.com/office/drawing/2014/main" id="{13BF6904-352E-C04C-6044-0A69DD29AF83}"/>
            </a:ext>
          </a:extLst>
        </xdr:cNvPr>
        <xdr:cNvSpPr/>
      </xdr:nvSpPr>
      <xdr:spPr>
        <a:xfrm>
          <a:off x="6686550" y="7391400"/>
          <a:ext cx="1457325" cy="314325"/>
        </a:xfrm>
        <a:prstGeom prst="wedgeRectCallout">
          <a:avLst>
            <a:gd name="adj1" fmla="val -35474"/>
            <a:gd name="adj2" fmla="val 149227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125</xdr:row>
      <xdr:rowOff>0</xdr:rowOff>
    </xdr:from>
    <xdr:ext cx="201083" cy="171450"/>
    <xdr:pic>
      <xdr:nvPicPr>
        <xdr:cNvPr id="12" name="図 11">
          <a:extLst>
            <a:ext uri="{FF2B5EF4-FFF2-40B4-BE49-F238E27FC236}">
              <a16:creationId xmlns:a16="http://schemas.microsoft.com/office/drawing/2014/main" id="{DB824C79-9639-406E-A53F-41BB8BF5BDE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26396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131</xdr:row>
      <xdr:rowOff>0</xdr:rowOff>
    </xdr:from>
    <xdr:ext cx="201083" cy="171450"/>
    <xdr:pic>
      <xdr:nvPicPr>
        <xdr:cNvPr id="36" name="図 35">
          <a:extLst>
            <a:ext uri="{FF2B5EF4-FFF2-40B4-BE49-F238E27FC236}">
              <a16:creationId xmlns:a16="http://schemas.microsoft.com/office/drawing/2014/main" id="{EBC9784F-BFDC-4BFC-B613-59E3557E9EF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325475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72</xdr:row>
      <xdr:rowOff>85725</xdr:rowOff>
    </xdr:from>
    <xdr:to>
      <xdr:col>11</xdr:col>
      <xdr:colOff>76200</xdr:colOff>
      <xdr:row>74</xdr:row>
      <xdr:rowOff>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F39EBE78-F1A3-45C6-ABBB-2ABD08BEF1EF}"/>
            </a:ext>
          </a:extLst>
        </xdr:cNvPr>
        <xdr:cNvSpPr/>
      </xdr:nvSpPr>
      <xdr:spPr>
        <a:xfrm>
          <a:off x="1485900" y="11725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24</xdr:col>
      <xdr:colOff>180975</xdr:colOff>
      <xdr:row>58</xdr:row>
      <xdr:rowOff>123825</xdr:rowOff>
    </xdr:from>
    <xdr:to>
      <xdr:col>34</xdr:col>
      <xdr:colOff>171450</xdr:colOff>
      <xdr:row>60</xdr:row>
      <xdr:rowOff>95250</xdr:rowOff>
    </xdr:to>
    <xdr:sp macro="" textlink="">
      <xdr:nvSpPr>
        <xdr:cNvPr id="16" name="四角形吹き出し 11">
          <a:extLst>
            <a:ext uri="{FF2B5EF4-FFF2-40B4-BE49-F238E27FC236}">
              <a16:creationId xmlns:a16="http://schemas.microsoft.com/office/drawing/2014/main" id="{F4BBB47B-B91F-7E63-B0E4-93060FC378BF}"/>
            </a:ext>
          </a:extLst>
        </xdr:cNvPr>
        <xdr:cNvSpPr/>
      </xdr:nvSpPr>
      <xdr:spPr>
        <a:xfrm>
          <a:off x="4981575" y="9020175"/>
          <a:ext cx="1990725" cy="314325"/>
        </a:xfrm>
        <a:prstGeom prst="wedgeRectCallout">
          <a:avLst>
            <a:gd name="adj1" fmla="val -34820"/>
            <a:gd name="adj2" fmla="val -108349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原計通貨、申請通貨は同一チェック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9</xdr:col>
      <xdr:colOff>123825</xdr:colOff>
      <xdr:row>85</xdr:row>
      <xdr:rowOff>28575</xdr:rowOff>
    </xdr:from>
    <xdr:to>
      <xdr:col>16</xdr:col>
      <xdr:colOff>161925</xdr:colOff>
      <xdr:row>87</xdr:row>
      <xdr:rowOff>161925</xdr:rowOff>
    </xdr:to>
    <xdr:sp macro="" textlink="">
      <xdr:nvSpPr>
        <xdr:cNvPr id="38" name="四角形吹き出し 11">
          <a:extLst>
            <a:ext uri="{FF2B5EF4-FFF2-40B4-BE49-F238E27FC236}">
              <a16:creationId xmlns:a16="http://schemas.microsoft.com/office/drawing/2014/main" id="{D9065EE2-9C76-7AAE-F863-76B7526CDA89}"/>
            </a:ext>
          </a:extLst>
        </xdr:cNvPr>
        <xdr:cNvSpPr/>
      </xdr:nvSpPr>
      <xdr:spPr>
        <a:xfrm>
          <a:off x="1924050" y="13325475"/>
          <a:ext cx="1438275" cy="476250"/>
        </a:xfrm>
        <a:prstGeom prst="wedgeRectCallout">
          <a:avLst>
            <a:gd name="adj1" fmla="val -59700"/>
            <a:gd name="adj2" fmla="val -38652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1</a:t>
          </a:r>
          <a:r>
            <a:rPr kumimoji="1" lang="ja-JP" altLang="en-US" sz="800">
              <a:solidFill>
                <a:sysClr val="windowText" lastClr="000000"/>
              </a:solidFill>
            </a:rPr>
            <a:t>行目は申請通貨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2</a:t>
          </a:r>
          <a:r>
            <a:rPr kumimoji="1" lang="ja-JP" altLang="en-US" sz="800">
              <a:solidFill>
                <a:sysClr val="windowText" lastClr="000000"/>
              </a:solidFill>
            </a:rPr>
            <a:t>行目は</a:t>
          </a:r>
          <a:r>
            <a:rPr kumimoji="1" lang="en-US" altLang="ja-JP" sz="800">
              <a:solidFill>
                <a:sysClr val="windowText" lastClr="000000"/>
              </a:solidFill>
            </a:rPr>
            <a:t>JPY</a:t>
          </a:r>
          <a:r>
            <a:rPr kumimoji="1" lang="ja-JP" altLang="en-US" sz="800">
              <a:solidFill>
                <a:sysClr val="windowText" lastClr="000000"/>
              </a:solidFill>
            </a:rPr>
            <a:t>の表示。ただし申請通貨</a:t>
          </a:r>
          <a:r>
            <a:rPr kumimoji="1" lang="en-US" altLang="ja-JP" sz="800">
              <a:solidFill>
                <a:sysClr val="windowText" lastClr="000000"/>
              </a:solidFill>
            </a:rPr>
            <a:t>=JPY</a:t>
          </a:r>
          <a:r>
            <a:rPr kumimoji="1" lang="ja-JP" altLang="en-US" sz="800">
              <a:solidFill>
                <a:sysClr val="windowText" lastClr="000000"/>
              </a:solidFill>
            </a:rPr>
            <a:t>の場合は表示不要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95</xdr:row>
      <xdr:rowOff>152400</xdr:rowOff>
    </xdr:from>
    <xdr:to>
      <xdr:col>33</xdr:col>
      <xdr:colOff>152401</xdr:colOff>
      <xdr:row>96</xdr:row>
      <xdr:rowOff>171449</xdr:rowOff>
    </xdr:to>
    <xdr:sp macro="" textlink="">
      <xdr:nvSpPr>
        <xdr:cNvPr id="39" name="四角形吹き出し 11">
          <a:extLst>
            <a:ext uri="{FF2B5EF4-FFF2-40B4-BE49-F238E27FC236}">
              <a16:creationId xmlns:a16="http://schemas.microsoft.com/office/drawing/2014/main" id="{8EE65368-F519-8B05-BBFE-0280271ACD50}"/>
            </a:ext>
          </a:extLst>
        </xdr:cNvPr>
        <xdr:cNvSpPr/>
      </xdr:nvSpPr>
      <xdr:spPr>
        <a:xfrm>
          <a:off x="6029326" y="15506700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30</xdr:col>
      <xdr:colOff>28576</xdr:colOff>
      <xdr:row>100</xdr:row>
      <xdr:rowOff>142875</xdr:rowOff>
    </xdr:from>
    <xdr:to>
      <xdr:col>33</xdr:col>
      <xdr:colOff>152401</xdr:colOff>
      <xdr:row>101</xdr:row>
      <xdr:rowOff>161924</xdr:rowOff>
    </xdr:to>
    <xdr:sp macro="" textlink="">
      <xdr:nvSpPr>
        <xdr:cNvPr id="40" name="四角形吹き出し 11">
          <a:extLst>
            <a:ext uri="{FF2B5EF4-FFF2-40B4-BE49-F238E27FC236}">
              <a16:creationId xmlns:a16="http://schemas.microsoft.com/office/drawing/2014/main" id="{82D9EA37-D135-5844-3263-8A8612F265FB}"/>
            </a:ext>
          </a:extLst>
        </xdr:cNvPr>
        <xdr:cNvSpPr/>
      </xdr:nvSpPr>
      <xdr:spPr>
        <a:xfrm>
          <a:off x="6029326" y="16011525"/>
          <a:ext cx="723900" cy="190499"/>
        </a:xfrm>
        <a:prstGeom prst="wedgeRectCallout">
          <a:avLst>
            <a:gd name="adj1" fmla="val -67028"/>
            <a:gd name="adj2" fmla="val 619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小計欄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113</xdr:row>
      <xdr:rowOff>0</xdr:rowOff>
    </xdr:from>
    <xdr:to>
      <xdr:col>22</xdr:col>
      <xdr:colOff>0</xdr:colOff>
      <xdr:row>115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5B42A3FF-4E4E-4FC3-A78C-C565F515A49D}"/>
            </a:ext>
          </a:extLst>
        </xdr:cNvPr>
        <xdr:cNvSpPr/>
      </xdr:nvSpPr>
      <xdr:spPr>
        <a:xfrm>
          <a:off x="30003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113</xdr:row>
      <xdr:rowOff>0</xdr:rowOff>
    </xdr:from>
    <xdr:to>
      <xdr:col>30</xdr:col>
      <xdr:colOff>0</xdr:colOff>
      <xdr:row>115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313834E4-2DFF-48F4-81A8-668ACC7A1DD0}"/>
            </a:ext>
          </a:extLst>
        </xdr:cNvPr>
        <xdr:cNvSpPr/>
      </xdr:nvSpPr>
      <xdr:spPr>
        <a:xfrm>
          <a:off x="46005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113</xdr:row>
      <xdr:rowOff>0</xdr:rowOff>
    </xdr:from>
    <xdr:to>
      <xdr:col>38</xdr:col>
      <xdr:colOff>0</xdr:colOff>
      <xdr:row>115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BCDF2590-7BB4-48CA-B44C-445935AAC85C}"/>
            </a:ext>
          </a:extLst>
        </xdr:cNvPr>
        <xdr:cNvSpPr/>
      </xdr:nvSpPr>
      <xdr:spPr>
        <a:xfrm>
          <a:off x="6200775" y="1678305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7D1D9B35-E5EA-4994-A54C-11D3B9CF66A9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C36B6AAB-4BC6-4B53-B374-0618A29B6BC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C1D8B0A4-0269-4A32-8B95-01CA2FC8A5EB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77</xdr:row>
      <xdr:rowOff>85725</xdr:rowOff>
    </xdr:from>
    <xdr:to>
      <xdr:col>6</xdr:col>
      <xdr:colOff>190500</xdr:colOff>
      <xdr:row>79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9EE9A3C6-FF56-464A-9041-72B117D1FC13}"/>
            </a:ext>
          </a:extLst>
        </xdr:cNvPr>
        <xdr:cNvSpPr/>
      </xdr:nvSpPr>
      <xdr:spPr>
        <a:xfrm>
          <a:off x="600075" y="15154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83</xdr:row>
      <xdr:rowOff>0</xdr:rowOff>
    </xdr:from>
    <xdr:to>
      <xdr:col>8</xdr:col>
      <xdr:colOff>43669</xdr:colOff>
      <xdr:row>84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1A3C0415-354B-4296-A859-04E9E86492BA}"/>
            </a:ext>
          </a:extLst>
        </xdr:cNvPr>
        <xdr:cNvSpPr/>
      </xdr:nvSpPr>
      <xdr:spPr>
        <a:xfrm>
          <a:off x="600075" y="1586865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83</xdr:row>
      <xdr:rowOff>0</xdr:rowOff>
    </xdr:from>
    <xdr:to>
      <xdr:col>12</xdr:col>
      <xdr:colOff>0</xdr:colOff>
      <xdr:row>84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AA5F1555-F76A-4DB1-8925-42D5DD13FA85}"/>
            </a:ext>
          </a:extLst>
        </xdr:cNvPr>
        <xdr:cNvSpPr/>
      </xdr:nvSpPr>
      <xdr:spPr>
        <a:xfrm>
          <a:off x="1756556" y="1586865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85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684F93F2-830E-4D07-A99E-39D444583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221052"/>
          <a:ext cx="219106" cy="161948"/>
        </a:xfrm>
        <a:prstGeom prst="rect">
          <a:avLst/>
        </a:prstGeom>
      </xdr:spPr>
    </xdr:pic>
    <xdr:clientData/>
  </xdr:oneCellAnchor>
  <xdr:twoCellAnchor editAs="oneCell">
    <xdr:from>
      <xdr:col>2</xdr:col>
      <xdr:colOff>0</xdr:colOff>
      <xdr:row>88</xdr:row>
      <xdr:rowOff>152400</xdr:rowOff>
    </xdr:from>
    <xdr:to>
      <xdr:col>2</xdr:col>
      <xdr:colOff>198148</xdr:colOff>
      <xdr:row>90</xdr:row>
      <xdr:rowOff>15269</xdr:rowOff>
    </xdr:to>
    <xdr:pic>
      <xdr:nvPicPr>
        <xdr:cNvPr id="25" name="図 24" descr="画面の領域">
          <a:extLst>
            <a:ext uri="{FF2B5EF4-FFF2-40B4-BE49-F238E27FC236}">
              <a16:creationId xmlns:a16="http://schemas.microsoft.com/office/drawing/2014/main" id="{876C42EE-F3E7-4A4D-9000-6E410CF8E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762125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108</xdr:row>
      <xdr:rowOff>9502</xdr:rowOff>
    </xdr:from>
    <xdr:ext cx="219106" cy="161948"/>
    <xdr:pic>
      <xdr:nvPicPr>
        <xdr:cNvPr id="26" name="図 25" descr="画面の領域">
          <a:extLst>
            <a:ext uri="{FF2B5EF4-FFF2-40B4-BE49-F238E27FC236}">
              <a16:creationId xmlns:a16="http://schemas.microsoft.com/office/drawing/2014/main" id="{4572524F-BBA1-4DDC-85DE-D2BCAE8D5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7643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109</xdr:row>
      <xdr:rowOff>9502</xdr:rowOff>
    </xdr:from>
    <xdr:ext cx="219106" cy="161948"/>
    <xdr:pic>
      <xdr:nvPicPr>
        <xdr:cNvPr id="27" name="図 26" descr="画面の領域">
          <a:extLst>
            <a:ext uri="{FF2B5EF4-FFF2-40B4-BE49-F238E27FC236}">
              <a16:creationId xmlns:a16="http://schemas.microsoft.com/office/drawing/2014/main" id="{47DB8A0C-72C1-4646-9EB4-7604F53117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99358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110</xdr:row>
      <xdr:rowOff>9502</xdr:rowOff>
    </xdr:from>
    <xdr:ext cx="219106" cy="161948"/>
    <xdr:pic>
      <xdr:nvPicPr>
        <xdr:cNvPr id="28" name="図 27" descr="画面の領域">
          <a:extLst>
            <a:ext uri="{FF2B5EF4-FFF2-40B4-BE49-F238E27FC236}">
              <a16:creationId xmlns:a16="http://schemas.microsoft.com/office/drawing/2014/main" id="{2085A4C6-C3BC-4187-8ADA-68F9A8516E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2010725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106</xdr:row>
      <xdr:rowOff>0</xdr:rowOff>
    </xdr:from>
    <xdr:ext cx="201083" cy="171450"/>
    <xdr:pic>
      <xdr:nvPicPr>
        <xdr:cNvPr id="29" name="図 28">
          <a:extLst>
            <a:ext uri="{FF2B5EF4-FFF2-40B4-BE49-F238E27FC236}">
              <a16:creationId xmlns:a16="http://schemas.microsoft.com/office/drawing/2014/main" id="{35F77A82-BFCB-4541-93AA-4C1931940DA9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94119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5" name="図 14">
          <a:extLst>
            <a:ext uri="{FF2B5EF4-FFF2-40B4-BE49-F238E27FC236}">
              <a16:creationId xmlns:a16="http://schemas.microsoft.com/office/drawing/2014/main" id="{5FE21EFA-D30A-438D-B2C9-D15A82C7BDA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17" name="図 16">
          <a:extLst>
            <a:ext uri="{FF2B5EF4-FFF2-40B4-BE49-F238E27FC236}">
              <a16:creationId xmlns:a16="http://schemas.microsoft.com/office/drawing/2014/main" id="{3FEE4D7F-5264-41E6-B10F-1BCAD12F8B1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33" name="図 32">
          <a:extLst>
            <a:ext uri="{FF2B5EF4-FFF2-40B4-BE49-F238E27FC236}">
              <a16:creationId xmlns:a16="http://schemas.microsoft.com/office/drawing/2014/main" id="{35CB49F6-BB1F-41FE-8F80-A96B694B2A35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31</xdr:col>
      <xdr:colOff>9525</xdr:colOff>
      <xdr:row>43</xdr:row>
      <xdr:rowOff>38100</xdr:rowOff>
    </xdr:from>
    <xdr:to>
      <xdr:col>40</xdr:col>
      <xdr:colOff>47625</xdr:colOff>
      <xdr:row>45</xdr:row>
      <xdr:rowOff>123825</xdr:rowOff>
    </xdr:to>
    <xdr:sp macro="" textlink="">
      <xdr:nvSpPr>
        <xdr:cNvPr id="8" name="四角形吹き出し 11">
          <a:extLst>
            <a:ext uri="{FF2B5EF4-FFF2-40B4-BE49-F238E27FC236}">
              <a16:creationId xmlns:a16="http://schemas.microsoft.com/office/drawing/2014/main" id="{DB21661E-C8BA-46E4-8AAE-AC8C3E11DFF0}"/>
            </a:ext>
          </a:extLst>
        </xdr:cNvPr>
        <xdr:cNvSpPr/>
      </xdr:nvSpPr>
      <xdr:spPr>
        <a:xfrm>
          <a:off x="6210300" y="6819900"/>
          <a:ext cx="1838325" cy="314325"/>
        </a:xfrm>
        <a:prstGeom prst="wedgeRectCallout">
          <a:avLst>
            <a:gd name="adj1" fmla="val 5977"/>
            <a:gd name="adj2" fmla="val 137106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この列まで原計通貨に応じた小数点桁数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41</xdr:col>
      <xdr:colOff>133350</xdr:colOff>
      <xdr:row>43</xdr:row>
      <xdr:rowOff>38100</xdr:rowOff>
    </xdr:from>
    <xdr:to>
      <xdr:col>48</xdr:col>
      <xdr:colOff>190500</xdr:colOff>
      <xdr:row>45</xdr:row>
      <xdr:rowOff>123825</xdr:rowOff>
    </xdr:to>
    <xdr:sp macro="" textlink="">
      <xdr:nvSpPr>
        <xdr:cNvPr id="14" name="四角形吹き出し 11">
          <a:extLst>
            <a:ext uri="{FF2B5EF4-FFF2-40B4-BE49-F238E27FC236}">
              <a16:creationId xmlns:a16="http://schemas.microsoft.com/office/drawing/2014/main" id="{DF844AA9-7447-49F6-8E97-40FE027A355A}"/>
            </a:ext>
          </a:extLst>
        </xdr:cNvPr>
        <xdr:cNvSpPr/>
      </xdr:nvSpPr>
      <xdr:spPr>
        <a:xfrm>
          <a:off x="8334375" y="6819900"/>
          <a:ext cx="1457325" cy="314325"/>
        </a:xfrm>
        <a:prstGeom prst="wedgeRectCallout">
          <a:avLst>
            <a:gd name="adj1" fmla="val -46585"/>
            <a:gd name="adj2" fmla="val 128015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申請通貨に応じた小数点桁数</a:t>
          </a:r>
          <a:endParaRPr kumimoji="1" lang="en-US" altLang="ja-JP" sz="800">
            <a:solidFill>
              <a:sysClr val="windowText" lastClr="000000"/>
            </a:solidFill>
          </a:endParaRP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JPY:2</a:t>
          </a:r>
          <a:r>
            <a:rPr kumimoji="1" lang="ja-JP" altLang="en-US" sz="800">
              <a:solidFill>
                <a:sysClr val="windowText" lastClr="000000"/>
              </a:solidFill>
            </a:rPr>
            <a:t>桁、それ以外</a:t>
          </a:r>
          <a:r>
            <a:rPr kumimoji="1" lang="en-US" altLang="ja-JP" sz="800">
              <a:solidFill>
                <a:sysClr val="windowText" lastClr="000000"/>
              </a:solidFill>
            </a:rPr>
            <a:t>:4</a:t>
          </a:r>
          <a:r>
            <a:rPr kumimoji="1" lang="ja-JP" altLang="en-US" sz="800">
              <a:solidFill>
                <a:sysClr val="windowText" lastClr="000000"/>
              </a:solidFill>
            </a:rPr>
            <a:t>桁</a:t>
          </a: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15</xdr:col>
      <xdr:colOff>0</xdr:colOff>
      <xdr:row>92</xdr:row>
      <xdr:rowOff>0</xdr:rowOff>
    </xdr:from>
    <xdr:ext cx="201083" cy="171450"/>
    <xdr:pic>
      <xdr:nvPicPr>
        <xdr:cNvPr id="16" name="図 15">
          <a:extLst>
            <a:ext uri="{FF2B5EF4-FFF2-40B4-BE49-F238E27FC236}">
              <a16:creationId xmlns:a16="http://schemas.microsoft.com/office/drawing/2014/main" id="{B5705EBF-FF38-44FC-82F8-AD03FFCCC25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9354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98</xdr:row>
      <xdr:rowOff>0</xdr:rowOff>
    </xdr:from>
    <xdr:ext cx="201083" cy="171450"/>
    <xdr:pic>
      <xdr:nvPicPr>
        <xdr:cNvPr id="18" name="図 17">
          <a:extLst>
            <a:ext uri="{FF2B5EF4-FFF2-40B4-BE49-F238E27FC236}">
              <a16:creationId xmlns:a16="http://schemas.microsoft.com/office/drawing/2014/main" id="{2D8C2CA8-AF2D-4A2F-AA30-6AB3F9536482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00406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85725</xdr:colOff>
      <xdr:row>56</xdr:row>
      <xdr:rowOff>85725</xdr:rowOff>
    </xdr:from>
    <xdr:to>
      <xdr:col>11</xdr:col>
      <xdr:colOff>76200</xdr:colOff>
      <xdr:row>58</xdr:row>
      <xdr:rowOff>0</xdr:rowOff>
    </xdr:to>
    <xdr:sp macro="" textlink="">
      <xdr:nvSpPr>
        <xdr:cNvPr id="19" name="正方形/長方形 18">
          <a:extLst>
            <a:ext uri="{FF2B5EF4-FFF2-40B4-BE49-F238E27FC236}">
              <a16:creationId xmlns:a16="http://schemas.microsoft.com/office/drawing/2014/main" id="{0FE392E0-0A80-43C5-A1CC-E3653371AD3A}"/>
            </a:ext>
          </a:extLst>
        </xdr:cNvPr>
        <xdr:cNvSpPr/>
      </xdr:nvSpPr>
      <xdr:spPr>
        <a:xfrm>
          <a:off x="14859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109</xdr:row>
      <xdr:rowOff>0</xdr:rowOff>
    </xdr:from>
    <xdr:to>
      <xdr:col>22</xdr:col>
      <xdr:colOff>0</xdr:colOff>
      <xdr:row>111</xdr:row>
      <xdr:rowOff>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A2175C6-7F03-4E61-8A76-3C36014DFC92}"/>
            </a:ext>
          </a:extLst>
        </xdr:cNvPr>
        <xdr:cNvSpPr/>
      </xdr:nvSpPr>
      <xdr:spPr>
        <a:xfrm>
          <a:off x="30003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en-US" altLang="ja-JP" sz="900" b="1"/>
            <a:t>CD</a:t>
          </a:r>
          <a:r>
            <a:rPr kumimoji="1" lang="ja-JP" altLang="en-US" sz="900" b="1"/>
            <a:t>資料出力</a:t>
          </a:r>
        </a:p>
      </xdr:txBody>
    </xdr:sp>
    <xdr:clientData/>
  </xdr:twoCellAnchor>
  <xdr:twoCellAnchor>
    <xdr:from>
      <xdr:col>23</xdr:col>
      <xdr:colOff>0</xdr:colOff>
      <xdr:row>109</xdr:row>
      <xdr:rowOff>0</xdr:rowOff>
    </xdr:from>
    <xdr:to>
      <xdr:col>30</xdr:col>
      <xdr:colOff>0</xdr:colOff>
      <xdr:row>111</xdr:row>
      <xdr:rowOff>0</xdr:rowOff>
    </xdr:to>
    <xdr:sp macro="" textlink="">
      <xdr:nvSpPr>
        <xdr:cNvPr id="3" name="正方形/長方形 2">
          <a:extLst>
            <a:ext uri="{FF2B5EF4-FFF2-40B4-BE49-F238E27FC236}">
              <a16:creationId xmlns:a16="http://schemas.microsoft.com/office/drawing/2014/main" id="{C8BA7484-FB42-4FCF-9FFB-67708C27D0D9}"/>
            </a:ext>
          </a:extLst>
        </xdr:cNvPr>
        <xdr:cNvSpPr/>
      </xdr:nvSpPr>
      <xdr:spPr>
        <a:xfrm>
          <a:off x="46005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一時保存</a:t>
          </a:r>
        </a:p>
      </xdr:txBody>
    </xdr:sp>
    <xdr:clientData/>
  </xdr:twoCellAnchor>
  <xdr:twoCellAnchor>
    <xdr:from>
      <xdr:col>31</xdr:col>
      <xdr:colOff>0</xdr:colOff>
      <xdr:row>109</xdr:row>
      <xdr:rowOff>0</xdr:rowOff>
    </xdr:from>
    <xdr:to>
      <xdr:col>38</xdr:col>
      <xdr:colOff>0</xdr:colOff>
      <xdr:row>111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92615D9C-857B-4744-A6D7-A452763794BC}"/>
            </a:ext>
          </a:extLst>
        </xdr:cNvPr>
        <xdr:cNvSpPr/>
      </xdr:nvSpPr>
      <xdr:spPr>
        <a:xfrm>
          <a:off x="6200775" y="16954500"/>
          <a:ext cx="1400175" cy="34290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申請</a:t>
          </a:r>
        </a:p>
      </xdr:txBody>
    </xdr:sp>
    <xdr:clientData/>
  </xdr:twoCellAnchor>
  <xdr:twoCellAnchor>
    <xdr:from>
      <xdr:col>2</xdr:col>
      <xdr:colOff>1</xdr:colOff>
      <xdr:row>7</xdr:row>
      <xdr:rowOff>38100</xdr:rowOff>
    </xdr:from>
    <xdr:to>
      <xdr:col>2</xdr:col>
      <xdr:colOff>156483</xdr:colOff>
      <xdr:row>7</xdr:row>
      <xdr:rowOff>180975</xdr:rowOff>
    </xdr:to>
    <xdr:sp macro="" textlink="">
      <xdr:nvSpPr>
        <xdr:cNvPr id="5" name="矢印: 左 4">
          <a:extLst>
            <a:ext uri="{FF2B5EF4-FFF2-40B4-BE49-F238E27FC236}">
              <a16:creationId xmlns:a16="http://schemas.microsoft.com/office/drawing/2014/main" id="{EE679313-AA01-4378-BFE0-52E86C603938}"/>
            </a:ext>
          </a:extLst>
        </xdr:cNvPr>
        <xdr:cNvSpPr/>
      </xdr:nvSpPr>
      <xdr:spPr>
        <a:xfrm>
          <a:off x="400051" y="1162050"/>
          <a:ext cx="156482" cy="142875"/>
        </a:xfrm>
        <a:prstGeom prst="leftArrow">
          <a:avLst/>
        </a:prstGeom>
        <a:solidFill>
          <a:schemeClr val="bg1">
            <a:lumMod val="50000"/>
          </a:schemeClr>
        </a:solidFill>
        <a:ln w="12700">
          <a:solidFill>
            <a:schemeClr val="bg1">
              <a:lumMod val="50000"/>
            </a:schemeClr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endParaRPr kumimoji="1" lang="ja-JP" altLang="en-US" sz="800">
            <a:solidFill>
              <a:sysClr val="windowText" lastClr="000000"/>
            </a:solidFill>
          </a:endParaRPr>
        </a:p>
      </xdr:txBody>
    </xdr:sp>
    <xdr:clientData/>
  </xdr:twoCellAnchor>
  <xdr:oneCellAnchor>
    <xdr:from>
      <xdr:col>32</xdr:col>
      <xdr:colOff>57150</xdr:colOff>
      <xdr:row>18</xdr:row>
      <xdr:rowOff>19050</xdr:rowOff>
    </xdr:from>
    <xdr:ext cx="154327" cy="154327"/>
    <xdr:pic>
      <xdr:nvPicPr>
        <xdr:cNvPr id="6" name="図 5" descr="画面の領域">
          <a:extLst>
            <a:ext uri="{FF2B5EF4-FFF2-40B4-BE49-F238E27FC236}">
              <a16:creationId xmlns:a16="http://schemas.microsoft.com/office/drawing/2014/main" id="{180DFBDD-5FDC-439E-9F46-AEF523A2612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57950" y="2971800"/>
          <a:ext cx="154327" cy="154327"/>
        </a:xfrm>
        <a:prstGeom prst="rect">
          <a:avLst/>
        </a:prstGeom>
        <a:ln>
          <a:solidFill>
            <a:schemeClr val="bg1">
              <a:lumMod val="50000"/>
            </a:schemeClr>
          </a:solidFill>
        </a:ln>
      </xdr:spPr>
    </xdr:pic>
    <xdr:clientData/>
  </xdr:oneCellAnchor>
  <xdr:twoCellAnchor>
    <xdr:from>
      <xdr:col>3</xdr:col>
      <xdr:colOff>9525</xdr:colOff>
      <xdr:row>56</xdr:row>
      <xdr:rowOff>85725</xdr:rowOff>
    </xdr:from>
    <xdr:to>
      <xdr:col>7</xdr:col>
      <xdr:colOff>0</xdr:colOff>
      <xdr:row>58</xdr:row>
      <xdr:rowOff>0</xdr:rowOff>
    </xdr:to>
    <xdr:sp macro="" textlink="">
      <xdr:nvSpPr>
        <xdr:cNvPr id="7" name="正方形/長方形 6">
          <a:extLst>
            <a:ext uri="{FF2B5EF4-FFF2-40B4-BE49-F238E27FC236}">
              <a16:creationId xmlns:a16="http://schemas.microsoft.com/office/drawing/2014/main" id="{BAEC1DF1-B2C4-4B33-84E5-D2B3604AB064}"/>
            </a:ext>
          </a:extLst>
        </xdr:cNvPr>
        <xdr:cNvSpPr/>
      </xdr:nvSpPr>
      <xdr:spPr>
        <a:xfrm>
          <a:off x="609600" y="105822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反映</a:t>
          </a:r>
        </a:p>
      </xdr:txBody>
    </xdr:sp>
    <xdr:clientData/>
  </xdr:twoCellAnchor>
  <xdr:twoCellAnchor>
    <xdr:from>
      <xdr:col>3</xdr:col>
      <xdr:colOff>0</xdr:colOff>
      <xdr:row>73</xdr:row>
      <xdr:rowOff>85725</xdr:rowOff>
    </xdr:from>
    <xdr:to>
      <xdr:col>6</xdr:col>
      <xdr:colOff>190500</xdr:colOff>
      <xdr:row>75</xdr:row>
      <xdr:rowOff>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8399818F-5F0A-43FC-AAFC-D18B112A98C6}"/>
            </a:ext>
          </a:extLst>
        </xdr:cNvPr>
        <xdr:cNvSpPr/>
      </xdr:nvSpPr>
      <xdr:spPr>
        <a:xfrm>
          <a:off x="600075" y="1532572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  <xdr:twoCellAnchor>
    <xdr:from>
      <xdr:col>3</xdr:col>
      <xdr:colOff>0</xdr:colOff>
      <xdr:row>79</xdr:row>
      <xdr:rowOff>0</xdr:rowOff>
    </xdr:from>
    <xdr:to>
      <xdr:col>8</xdr:col>
      <xdr:colOff>43669</xdr:colOff>
      <xdr:row>80</xdr:row>
      <xdr:rowOff>0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C1A87268-0949-40FC-B032-F9F28562860A}"/>
            </a:ext>
          </a:extLst>
        </xdr:cNvPr>
        <xdr:cNvSpPr/>
      </xdr:nvSpPr>
      <xdr:spPr>
        <a:xfrm>
          <a:off x="600075" y="16040100"/>
          <a:ext cx="104379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ja-JP" altLang="en-US" sz="1100" b="1">
              <a:solidFill>
                <a:srgbClr val="00B050"/>
              </a:solidFill>
            </a:rPr>
            <a:t>＋</a:t>
          </a:r>
          <a:r>
            <a:rPr kumimoji="1" lang="ja-JP" altLang="en-US" sz="900"/>
            <a:t> ファイル追加</a:t>
          </a:r>
          <a:r>
            <a:rPr kumimoji="1" lang="en-US" altLang="ja-JP" sz="900"/>
            <a:t>…</a:t>
          </a:r>
          <a:endParaRPr kumimoji="1" lang="ja-JP" altLang="en-US" sz="900"/>
        </a:p>
      </xdr:txBody>
    </xdr:sp>
    <xdr:clientData/>
  </xdr:twoCellAnchor>
  <xdr:twoCellAnchor>
    <xdr:from>
      <xdr:col>8</xdr:col>
      <xdr:colOff>156356</xdr:colOff>
      <xdr:row>79</xdr:row>
      <xdr:rowOff>0</xdr:rowOff>
    </xdr:from>
    <xdr:to>
      <xdr:col>12</xdr:col>
      <xdr:colOff>0</xdr:colOff>
      <xdr:row>80</xdr:row>
      <xdr:rowOff>0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32F3DE82-4C82-422B-91F1-31FB8447F575}"/>
            </a:ext>
          </a:extLst>
        </xdr:cNvPr>
        <xdr:cNvSpPr/>
      </xdr:nvSpPr>
      <xdr:spPr>
        <a:xfrm>
          <a:off x="1756556" y="16040100"/>
          <a:ext cx="643744" cy="171450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ctr"/>
        <a:lstStyle/>
        <a:p>
          <a:pPr algn="ctr"/>
          <a:r>
            <a:rPr kumimoji="1" lang="en-US" altLang="ja-JP" sz="1100" b="1">
              <a:solidFill>
                <a:srgbClr val="FF0000"/>
              </a:solidFill>
            </a:rPr>
            <a:t>×</a:t>
          </a:r>
          <a:r>
            <a:rPr kumimoji="1" lang="ja-JP" altLang="en-US" sz="900"/>
            <a:t> 　中断</a:t>
          </a:r>
        </a:p>
      </xdr:txBody>
    </xdr:sp>
    <xdr:clientData/>
  </xdr:twoCellAnchor>
  <xdr:oneCellAnchor>
    <xdr:from>
      <xdr:col>22</xdr:col>
      <xdr:colOff>0</xdr:colOff>
      <xdr:row>81</xdr:row>
      <xdr:rowOff>9502</xdr:rowOff>
    </xdr:from>
    <xdr:ext cx="219106" cy="161948"/>
    <xdr:pic>
      <xdr:nvPicPr>
        <xdr:cNvPr id="13" name="図 12" descr="画面の領域">
          <a:extLst>
            <a:ext uri="{FF2B5EF4-FFF2-40B4-BE49-F238E27FC236}">
              <a16:creationId xmlns:a16="http://schemas.microsoft.com/office/drawing/2014/main" id="{37DE3216-9508-47E8-8E92-4EA1590DE7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16392502"/>
          <a:ext cx="219106" cy="161948"/>
        </a:xfrm>
        <a:prstGeom prst="rect">
          <a:avLst/>
        </a:prstGeom>
      </xdr:spPr>
    </xdr:pic>
    <xdr:clientData/>
  </xdr:oneCellAnchor>
  <xdr:twoCellAnchor>
    <xdr:from>
      <xdr:col>45</xdr:col>
      <xdr:colOff>76200</xdr:colOff>
      <xdr:row>56</xdr:row>
      <xdr:rowOff>0</xdr:rowOff>
    </xdr:from>
    <xdr:to>
      <xdr:col>53</xdr:col>
      <xdr:colOff>66675</xdr:colOff>
      <xdr:row>59</xdr:row>
      <xdr:rowOff>66676</xdr:rowOff>
    </xdr:to>
    <xdr:sp macro="" textlink="">
      <xdr:nvSpPr>
        <xdr:cNvPr id="23" name="四角形吹き出し 11">
          <a:extLst>
            <a:ext uri="{FF2B5EF4-FFF2-40B4-BE49-F238E27FC236}">
              <a16:creationId xmlns:a16="http://schemas.microsoft.com/office/drawing/2014/main" id="{A2056365-3806-B7C9-F686-6612E6E03C17}"/>
            </a:ext>
          </a:extLst>
        </xdr:cNvPr>
        <xdr:cNvSpPr/>
      </xdr:nvSpPr>
      <xdr:spPr>
        <a:xfrm>
          <a:off x="9077325" y="11582399"/>
          <a:ext cx="1590675" cy="523877"/>
        </a:xfrm>
        <a:prstGeom prst="wedgeRectCallout">
          <a:avLst>
            <a:gd name="adj1" fmla="val 14928"/>
            <a:gd name="adj2" fmla="val 104761"/>
          </a:avLst>
        </a:prstGeom>
        <a:ln w="12700"/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lIns="36000" tIns="36000" rIns="36000" bIns="36000" rtlCol="0" anchor="t"/>
        <a:lstStyle/>
        <a:p>
          <a:pPr algn="l">
            <a:lnSpc>
              <a:spcPts val="900"/>
            </a:lnSpc>
          </a:pPr>
          <a:r>
            <a:rPr kumimoji="1" lang="ja-JP" altLang="en-US" sz="800">
              <a:solidFill>
                <a:sysClr val="windowText" lastClr="000000"/>
              </a:solidFill>
            </a:rPr>
            <a:t>申請価格の計算式を確認する</a:t>
          </a:r>
          <a:r>
            <a:rPr kumimoji="1" lang="en-US" altLang="ja-JP" sz="800">
              <a:solidFill>
                <a:sysClr val="windowText" lastClr="000000"/>
              </a:solidFill>
            </a:rPr>
            <a:t>2022.10.20  AA</a:t>
          </a:r>
        </a:p>
        <a:p>
          <a:pPr algn="l">
            <a:lnSpc>
              <a:spcPts val="900"/>
            </a:lnSpc>
          </a:pPr>
          <a:r>
            <a:rPr kumimoji="1" lang="en-US" altLang="ja-JP" sz="800">
              <a:solidFill>
                <a:sysClr val="windowText" lastClr="000000"/>
              </a:solidFill>
            </a:rPr>
            <a:t>FOB</a:t>
          </a:r>
          <a:r>
            <a:rPr kumimoji="1" lang="ja-JP" altLang="en-US" sz="800">
              <a:solidFill>
                <a:sysClr val="windowText" lastClr="000000"/>
              </a:solidFill>
            </a:rPr>
            <a:t>価格 </a:t>
          </a:r>
          <a:r>
            <a:rPr kumimoji="1" lang="en-US" altLang="ja-JP" sz="800">
              <a:solidFill>
                <a:sysClr val="windowText" lastClr="000000"/>
              </a:solidFill>
            </a:rPr>
            <a:t>- (CIF</a:t>
          </a:r>
          <a:r>
            <a:rPr kumimoji="1" lang="ja-JP" altLang="en-US" sz="800">
              <a:solidFill>
                <a:sysClr val="windowText" lastClr="000000"/>
              </a:solidFill>
            </a:rPr>
            <a:t>価格 * 口銭率</a:t>
          </a:r>
          <a:r>
            <a:rPr kumimoji="1" lang="en-US" altLang="ja-JP" sz="800">
              <a:solidFill>
                <a:sysClr val="windowText" lastClr="000000"/>
              </a:solidFill>
            </a:rPr>
            <a:t>)</a:t>
          </a:r>
        </a:p>
        <a:p>
          <a:pPr algn="l">
            <a:lnSpc>
              <a:spcPts val="900"/>
            </a:lnSpc>
          </a:pPr>
          <a:endParaRPr kumimoji="1" lang="en-US" altLang="ja-JP" sz="80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2</xdr:col>
      <xdr:colOff>0</xdr:colOff>
      <xdr:row>84</xdr:row>
      <xdr:rowOff>152400</xdr:rowOff>
    </xdr:from>
    <xdr:to>
      <xdr:col>3</xdr:col>
      <xdr:colOff>28</xdr:colOff>
      <xdr:row>86</xdr:row>
      <xdr:rowOff>19079</xdr:rowOff>
    </xdr:to>
    <xdr:pic>
      <xdr:nvPicPr>
        <xdr:cNvPr id="16" name="図 15" descr="画面の領域">
          <a:extLst>
            <a:ext uri="{FF2B5EF4-FFF2-40B4-BE49-F238E27FC236}">
              <a16:creationId xmlns:a16="http://schemas.microsoft.com/office/drawing/2014/main" id="{3B5E84CC-F78F-43BF-8F6C-9833420E5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11849100"/>
          <a:ext cx="198148" cy="205769"/>
        </a:xfrm>
        <a:prstGeom prst="rect">
          <a:avLst/>
        </a:prstGeom>
        <a:solidFill>
          <a:schemeClr val="bg1">
            <a:lumMod val="85000"/>
          </a:schemeClr>
        </a:solidFill>
      </xdr:spPr>
    </xdr:pic>
    <xdr:clientData/>
  </xdr:twoCellAnchor>
  <xdr:oneCellAnchor>
    <xdr:from>
      <xdr:col>38</xdr:col>
      <xdr:colOff>0</xdr:colOff>
      <xdr:row>104</xdr:row>
      <xdr:rowOff>9502</xdr:rowOff>
    </xdr:from>
    <xdr:ext cx="219106" cy="161948"/>
    <xdr:pic>
      <xdr:nvPicPr>
        <xdr:cNvPr id="17" name="図 16" descr="画面の領域">
          <a:extLst>
            <a:ext uri="{FF2B5EF4-FFF2-40B4-BE49-F238E27FC236}">
              <a16:creationId xmlns:a16="http://schemas.microsoft.com/office/drawing/2014/main" id="{5D13003C-2616-4106-89D2-6F8DBD4A8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399220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105</xdr:row>
      <xdr:rowOff>9502</xdr:rowOff>
    </xdr:from>
    <xdr:ext cx="219106" cy="161948"/>
    <xdr:pic>
      <xdr:nvPicPr>
        <xdr:cNvPr id="18" name="図 17" descr="画面の領域">
          <a:extLst>
            <a:ext uri="{FF2B5EF4-FFF2-40B4-BE49-F238E27FC236}">
              <a16:creationId xmlns:a16="http://schemas.microsoft.com/office/drawing/2014/main" id="{856CBFCD-43ED-4526-91B6-2D2321C09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163652"/>
          <a:ext cx="219106" cy="161948"/>
        </a:xfrm>
        <a:prstGeom prst="rect">
          <a:avLst/>
        </a:prstGeom>
      </xdr:spPr>
    </xdr:pic>
    <xdr:clientData/>
  </xdr:oneCellAnchor>
  <xdr:oneCellAnchor>
    <xdr:from>
      <xdr:col>38</xdr:col>
      <xdr:colOff>0</xdr:colOff>
      <xdr:row>106</xdr:row>
      <xdr:rowOff>9502</xdr:rowOff>
    </xdr:from>
    <xdr:ext cx="219106" cy="161948"/>
    <xdr:pic>
      <xdr:nvPicPr>
        <xdr:cNvPr id="19" name="図 18" descr="画面の領域">
          <a:extLst>
            <a:ext uri="{FF2B5EF4-FFF2-40B4-BE49-F238E27FC236}">
              <a16:creationId xmlns:a16="http://schemas.microsoft.com/office/drawing/2014/main" id="{0CB3E6E8-03EB-46A0-B28B-973242E684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00950" y="14335102"/>
          <a:ext cx="219106" cy="161948"/>
        </a:xfrm>
        <a:prstGeom prst="rect">
          <a:avLst/>
        </a:prstGeom>
      </xdr:spPr>
    </xdr:pic>
    <xdr:clientData/>
  </xdr:oneCellAnchor>
  <xdr:oneCellAnchor>
    <xdr:from>
      <xdr:col>6</xdr:col>
      <xdr:colOff>190500</xdr:colOff>
      <xdr:row>102</xdr:row>
      <xdr:rowOff>0</xdr:rowOff>
    </xdr:from>
    <xdr:ext cx="201083" cy="171450"/>
    <xdr:pic>
      <xdr:nvPicPr>
        <xdr:cNvPr id="20" name="図 19">
          <a:extLst>
            <a:ext uri="{FF2B5EF4-FFF2-40B4-BE49-F238E27FC236}">
              <a16:creationId xmlns:a16="http://schemas.microsoft.com/office/drawing/2014/main" id="{F27D5283-CCDF-4824-BA1A-C299DEE5159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0650" y="136398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2" name="図 21">
          <a:extLst>
            <a:ext uri="{FF2B5EF4-FFF2-40B4-BE49-F238E27FC236}">
              <a16:creationId xmlns:a16="http://schemas.microsoft.com/office/drawing/2014/main" id="{D8FA51ED-F86D-4D96-B7C0-0D32F27B115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32</xdr:col>
      <xdr:colOff>0</xdr:colOff>
      <xdr:row>26</xdr:row>
      <xdr:rowOff>0</xdr:rowOff>
    </xdr:from>
    <xdr:ext cx="201083" cy="171450"/>
    <xdr:pic>
      <xdr:nvPicPr>
        <xdr:cNvPr id="26" name="図 25">
          <a:extLst>
            <a:ext uri="{FF2B5EF4-FFF2-40B4-BE49-F238E27FC236}">
              <a16:creationId xmlns:a16="http://schemas.microsoft.com/office/drawing/2014/main" id="{901EE48C-3B75-4389-8C13-C56CBCA9B1E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40957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17</xdr:row>
      <xdr:rowOff>0</xdr:rowOff>
    </xdr:from>
    <xdr:ext cx="201083" cy="171450"/>
    <xdr:pic>
      <xdr:nvPicPr>
        <xdr:cNvPr id="8" name="図 7">
          <a:extLst>
            <a:ext uri="{FF2B5EF4-FFF2-40B4-BE49-F238E27FC236}">
              <a16:creationId xmlns:a16="http://schemas.microsoft.com/office/drawing/2014/main" id="{CE2250BB-491C-4103-B119-BA7B62BF15B8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78130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88</xdr:row>
      <xdr:rowOff>0</xdr:rowOff>
    </xdr:from>
    <xdr:ext cx="201083" cy="171450"/>
    <xdr:pic>
      <xdr:nvPicPr>
        <xdr:cNvPr id="9" name="図 8">
          <a:extLst>
            <a:ext uri="{FF2B5EF4-FFF2-40B4-BE49-F238E27FC236}">
              <a16:creationId xmlns:a16="http://schemas.microsoft.com/office/drawing/2014/main" id="{BEE88940-0833-4D65-93A1-A1776DA5D46B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39255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94</xdr:row>
      <xdr:rowOff>0</xdr:rowOff>
    </xdr:from>
    <xdr:ext cx="201083" cy="171450"/>
    <xdr:pic>
      <xdr:nvPicPr>
        <xdr:cNvPr id="21" name="図 20">
          <a:extLst>
            <a:ext uri="{FF2B5EF4-FFF2-40B4-BE49-F238E27FC236}">
              <a16:creationId xmlns:a16="http://schemas.microsoft.com/office/drawing/2014/main" id="{1041A5B3-8B90-4609-BCD5-C2F7B8C54157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4611350"/>
          <a:ext cx="201083" cy="171450"/>
        </a:xfrm>
        <a:prstGeom prst="rect">
          <a:avLst/>
        </a:prstGeom>
        <a:noFill/>
        <a:ln>
          <a:solidFill>
            <a:schemeClr val="bg1">
              <a:lumMod val="50000"/>
            </a:schemeClr>
          </a:solidFill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123825</xdr:colOff>
      <xdr:row>56</xdr:row>
      <xdr:rowOff>85725</xdr:rowOff>
    </xdr:from>
    <xdr:to>
      <xdr:col>11</xdr:col>
      <xdr:colOff>114300</xdr:colOff>
      <xdr:row>58</xdr:row>
      <xdr:rowOff>0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8F4C95BB-93EA-4D0A-AC5D-31D2945DC518}"/>
            </a:ext>
          </a:extLst>
        </xdr:cNvPr>
        <xdr:cNvSpPr/>
      </xdr:nvSpPr>
      <xdr:spPr>
        <a:xfrm>
          <a:off x="1524000" y="8867775"/>
          <a:ext cx="790575" cy="257175"/>
        </a:xfrm>
        <a:prstGeom prst="rect">
          <a:avLst/>
        </a:prstGeom>
        <a:ln/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wrap="none" lIns="0" tIns="0" rIns="0" bIns="0" rtlCol="0" anchor="ctr"/>
        <a:lstStyle/>
        <a:p>
          <a:pPr algn="ctr"/>
          <a:r>
            <a:rPr kumimoji="1" lang="ja-JP" altLang="en-US" sz="900" b="1"/>
            <a:t>エクセル出力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ln w="12700"/>
      </a:spPr>
      <a:bodyPr vertOverflow="clip" horzOverflow="clip" lIns="36000" tIns="36000" rIns="36000" bIns="36000" rtlCol="0" anchor="t"/>
      <a:lstStyle>
        <a:defPPr algn="l">
          <a:lnSpc>
            <a:spcPts val="900"/>
          </a:lnSpc>
          <a:defRPr kumimoji="1" sz="800">
            <a:solidFill>
              <a:sysClr val="windowText" lastClr="000000"/>
            </a:solidFill>
          </a:defRPr>
        </a:defPPr>
      </a:lstStyle>
      <a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a:style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6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B1:T123"/>
  <sheetViews>
    <sheetView showGridLines="0" tabSelected="1" view="pageBreakPreview" zoomScaleNormal="80" zoomScaleSheetLayoutView="100" workbookViewId="0"/>
  </sheetViews>
  <sheetFormatPr defaultColWidth="8" defaultRowHeight="13"/>
  <cols>
    <col min="1" max="1" width="8.90625" style="1" customWidth="1"/>
    <col min="2" max="8" width="14.36328125" style="1" customWidth="1"/>
    <col min="9" max="9" width="13.6328125" style="1" customWidth="1"/>
    <col min="10" max="10" width="3.36328125" style="1" customWidth="1"/>
    <col min="11" max="11" width="23.7265625" style="1" customWidth="1"/>
    <col min="12" max="12" width="10" style="1" customWidth="1"/>
    <col min="13" max="13" width="23.36328125" style="1" customWidth="1"/>
    <col min="14" max="14" width="9.08984375" style="1" customWidth="1"/>
    <col min="15" max="15" width="19.90625" style="1" customWidth="1"/>
    <col min="16" max="16" width="6.7265625" style="1" customWidth="1"/>
    <col min="17" max="17" width="7.36328125" style="1" customWidth="1"/>
    <col min="18" max="18" width="6.7265625" style="1" customWidth="1"/>
    <col min="19" max="19" width="11" style="1" customWidth="1"/>
    <col min="20" max="20" width="9.90625" style="1" customWidth="1"/>
    <col min="21" max="21" width="8" style="1" customWidth="1"/>
    <col min="22" max="22" width="11.6328125" style="1" customWidth="1"/>
    <col min="23" max="16384" width="8" style="1"/>
  </cols>
  <sheetData>
    <row r="1" spans="12:12" ht="14.25" customHeight="1"/>
    <row r="2" spans="12:12" ht="14.25" customHeight="1"/>
    <row r="3" spans="12:12" ht="14.25" customHeight="1"/>
    <row r="4" spans="12:12" ht="14.25" customHeight="1"/>
    <row r="5" spans="12:12" ht="14.25" customHeight="1"/>
    <row r="6" spans="12:12" ht="14.25" customHeight="1"/>
    <row r="7" spans="12:12" ht="14.25" customHeight="1"/>
    <row r="8" spans="12:12" ht="14.25" customHeight="1"/>
    <row r="9" spans="12:12" ht="14.25" customHeight="1"/>
    <row r="10" spans="12:12" ht="14.25" customHeight="1">
      <c r="L10" s="2"/>
    </row>
    <row r="11" spans="12:12" ht="14.25" customHeight="1"/>
    <row r="12" spans="12:12" ht="14.25" customHeight="1"/>
    <row r="13" spans="12:12" ht="14.25" customHeight="1"/>
    <row r="14" spans="12:12" ht="14.25" customHeight="1"/>
    <row r="15" spans="12:12" ht="14.25" customHeight="1"/>
    <row r="16" spans="12:12" ht="14.25" customHeight="1"/>
    <row r="17" spans="2:8" ht="14.25" customHeight="1"/>
    <row r="18" spans="2:8" ht="14.25" customHeight="1"/>
    <row r="19" spans="2:8" ht="14.25" customHeight="1"/>
    <row r="20" spans="2:8" ht="14.25" customHeight="1"/>
    <row r="21" spans="2:8" ht="14.25" customHeight="1"/>
    <row r="22" spans="2:8" ht="14.25" customHeight="1">
      <c r="B22" s="712" t="str">
        <f ca="1">TEXT(変更来歴!AT2,"yyyy年 mm月 dd日") &amp; " " &amp; 変更来歴!AT3</f>
        <v>2026年 06月 04日 r1.3</v>
      </c>
      <c r="C22" s="713"/>
      <c r="D22" s="713"/>
      <c r="E22" s="713"/>
      <c r="F22" s="713"/>
      <c r="G22" s="713"/>
      <c r="H22" s="713"/>
    </row>
    <row r="23" spans="2:8" ht="14.25" customHeight="1"/>
    <row r="24" spans="2:8" ht="14.25" customHeight="1"/>
    <row r="25" spans="2:8" ht="14.25" customHeight="1"/>
    <row r="26" spans="2:8" ht="14.25" customHeight="1"/>
    <row r="27" spans="2:8" ht="14.25" customHeight="1"/>
    <row r="28" spans="2:8" ht="14.25" customHeight="1">
      <c r="C28" s="715" t="s">
        <v>28</v>
      </c>
      <c r="D28" s="715"/>
      <c r="E28" s="715"/>
      <c r="F28" s="715" t="s">
        <v>0</v>
      </c>
      <c r="G28" s="715"/>
    </row>
    <row r="29" spans="2:8" ht="14.25" customHeight="1">
      <c r="C29" s="3" t="s">
        <v>1</v>
      </c>
      <c r="D29" s="3" t="s">
        <v>2</v>
      </c>
      <c r="E29" s="3" t="s">
        <v>3</v>
      </c>
      <c r="F29" s="3" t="s">
        <v>2</v>
      </c>
      <c r="G29" s="3" t="s">
        <v>3</v>
      </c>
    </row>
    <row r="30" spans="2:8" ht="14.25" customHeight="1">
      <c r="C30" s="4"/>
      <c r="D30" s="4"/>
      <c r="E30" s="4"/>
      <c r="F30" s="5"/>
      <c r="G30" s="5"/>
    </row>
    <row r="31" spans="2:8" ht="29.25" customHeight="1">
      <c r="C31" s="6"/>
      <c r="D31" s="6"/>
      <c r="E31" s="6"/>
      <c r="F31" s="6"/>
      <c r="G31" s="6"/>
    </row>
    <row r="32" spans="2:8" ht="14.25" customHeight="1"/>
    <row r="33" spans="3:20" ht="14.25" customHeight="1">
      <c r="C33" s="716"/>
      <c r="D33" s="716"/>
      <c r="E33" s="716"/>
      <c r="F33" s="716"/>
      <c r="G33" s="716"/>
      <c r="H33" s="7"/>
      <c r="I33" s="7"/>
    </row>
    <row r="34" spans="3:20" ht="14.25" customHeight="1">
      <c r="C34" s="9"/>
      <c r="D34" s="9"/>
      <c r="E34" s="9"/>
      <c r="F34" s="9"/>
      <c r="G34" s="9"/>
    </row>
    <row r="35" spans="3:20" ht="14.25" customHeight="1">
      <c r="C35" s="10"/>
      <c r="D35" s="10"/>
      <c r="E35" s="10"/>
      <c r="F35" s="9"/>
      <c r="G35" s="9"/>
    </row>
    <row r="36" spans="3:20" ht="29.25" customHeight="1">
      <c r="C36" s="9"/>
      <c r="D36" s="9"/>
      <c r="E36" s="9"/>
      <c r="F36" s="9"/>
      <c r="G36" s="9"/>
    </row>
    <row r="37" spans="3:20" ht="14.25" customHeight="1">
      <c r="K37" s="11"/>
      <c r="L37" s="12"/>
      <c r="M37" s="8"/>
      <c r="N37" s="12"/>
      <c r="O37" s="8"/>
      <c r="P37" s="14"/>
      <c r="Q37" s="15"/>
      <c r="R37" s="14"/>
      <c r="S37" s="16"/>
      <c r="T37" s="14"/>
    </row>
    <row r="38" spans="3:20" ht="14.25" customHeight="1">
      <c r="K38" s="17"/>
      <c r="L38" s="12"/>
      <c r="M38" s="18"/>
      <c r="N38" s="12"/>
      <c r="O38" s="8"/>
      <c r="P38" s="14"/>
      <c r="Q38" s="15"/>
      <c r="R38" s="14"/>
      <c r="S38" s="16"/>
      <c r="T38" s="714"/>
    </row>
    <row r="39" spans="3:20" ht="14.25" customHeight="1">
      <c r="K39" s="17"/>
      <c r="L39" s="12"/>
      <c r="M39" s="8"/>
      <c r="N39" s="12"/>
      <c r="O39" s="8"/>
      <c r="P39" s="8"/>
      <c r="Q39" s="8"/>
      <c r="R39" s="14"/>
      <c r="S39" s="19"/>
      <c r="T39" s="717"/>
    </row>
    <row r="40" spans="3:20" ht="14.25" customHeight="1"/>
    <row r="41" spans="3:20" ht="14.25" customHeight="1">
      <c r="K41" s="11"/>
      <c r="L41" s="12"/>
      <c r="M41" s="8"/>
      <c r="N41" s="12"/>
      <c r="O41" s="13"/>
      <c r="P41" s="14"/>
      <c r="Q41" s="15"/>
      <c r="R41" s="14"/>
      <c r="S41" s="16"/>
      <c r="T41" s="14"/>
    </row>
    <row r="42" spans="3:20" s="8" customFormat="1" ht="14.25" customHeight="1">
      <c r="K42" s="17"/>
      <c r="L42" s="12"/>
      <c r="M42" s="18"/>
      <c r="N42" s="12"/>
      <c r="P42" s="14"/>
      <c r="Q42" s="15"/>
      <c r="R42" s="14"/>
      <c r="S42" s="16"/>
      <c r="T42" s="714"/>
    </row>
    <row r="43" spans="3:20" s="8" customFormat="1" ht="14.25" customHeight="1">
      <c r="K43" s="17"/>
      <c r="L43" s="12"/>
      <c r="N43" s="12"/>
      <c r="R43" s="14"/>
      <c r="S43" s="19"/>
      <c r="T43" s="714"/>
    </row>
    <row r="44" spans="3:20" s="8" customFormat="1" ht="14.25" customHeight="1"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3:20" ht="14.25" customHeight="1">
      <c r="K45" s="11"/>
      <c r="L45" s="12"/>
      <c r="M45" s="8"/>
      <c r="N45" s="12"/>
      <c r="O45" s="13"/>
      <c r="P45" s="14"/>
      <c r="Q45" s="15"/>
      <c r="R45" s="14"/>
      <c r="S45" s="16"/>
      <c r="T45" s="14"/>
    </row>
    <row r="46" spans="3:20" ht="14.25" customHeight="1">
      <c r="K46" s="17"/>
      <c r="L46" s="12"/>
      <c r="M46" s="18"/>
      <c r="N46" s="12"/>
      <c r="O46" s="8"/>
      <c r="P46" s="14"/>
      <c r="Q46" s="15"/>
      <c r="R46" s="14"/>
      <c r="S46" s="16"/>
      <c r="T46" s="714"/>
    </row>
    <row r="47" spans="3:20" ht="14.25" customHeight="1">
      <c r="K47" s="17"/>
      <c r="L47" s="12"/>
      <c r="M47" s="8"/>
      <c r="N47" s="12"/>
      <c r="O47" s="8"/>
      <c r="P47" s="8"/>
      <c r="Q47" s="8"/>
      <c r="R47" s="14"/>
      <c r="S47" s="19"/>
      <c r="T47" s="714"/>
    </row>
    <row r="48" spans="3:20" ht="14.25" customHeight="1"/>
    <row r="49" spans="11:20" ht="14.25" customHeight="1">
      <c r="K49" s="11"/>
      <c r="L49" s="12"/>
      <c r="M49" s="8"/>
      <c r="N49" s="12"/>
      <c r="O49" s="13"/>
      <c r="P49" s="14"/>
      <c r="Q49" s="15"/>
      <c r="R49" s="14"/>
      <c r="S49" s="16"/>
      <c r="T49" s="14"/>
    </row>
    <row r="50" spans="11:20" ht="14.25" customHeight="1">
      <c r="K50" s="17"/>
      <c r="L50" s="12"/>
      <c r="M50" s="18"/>
      <c r="N50" s="12"/>
      <c r="O50" s="8"/>
      <c r="P50" s="14"/>
      <c r="Q50" s="15"/>
      <c r="R50" s="14"/>
      <c r="S50" s="16"/>
      <c r="T50" s="714"/>
    </row>
    <row r="51" spans="11:20" ht="14.25" customHeight="1">
      <c r="K51" s="17"/>
      <c r="L51" s="12"/>
      <c r="M51" s="8"/>
      <c r="N51" s="12"/>
      <c r="O51" s="8"/>
      <c r="P51" s="8"/>
      <c r="Q51" s="8"/>
      <c r="R51" s="14"/>
      <c r="S51" s="19"/>
      <c r="T51" s="714"/>
    </row>
    <row r="52" spans="11:20" ht="14.25" customHeight="1"/>
    <row r="53" spans="11:20" ht="14.25" customHeight="1">
      <c r="K53" s="11"/>
      <c r="L53" s="12"/>
      <c r="M53" s="8"/>
      <c r="N53" s="12"/>
      <c r="O53" s="13"/>
      <c r="P53" s="14"/>
      <c r="Q53" s="15"/>
      <c r="R53" s="14"/>
      <c r="S53" s="16"/>
      <c r="T53" s="14"/>
    </row>
    <row r="54" spans="11:20">
      <c r="K54" s="17"/>
      <c r="L54" s="12"/>
      <c r="M54" s="18"/>
      <c r="N54" s="12"/>
      <c r="O54" s="8"/>
      <c r="P54" s="14"/>
      <c r="Q54" s="15"/>
      <c r="R54" s="14"/>
      <c r="S54" s="16"/>
      <c r="T54" s="714"/>
    </row>
    <row r="55" spans="11:20">
      <c r="K55" s="17"/>
      <c r="L55" s="12"/>
      <c r="M55" s="8"/>
      <c r="N55" s="12"/>
      <c r="O55" s="8"/>
      <c r="P55" s="8"/>
      <c r="Q55" s="8"/>
      <c r="R55" s="14"/>
      <c r="S55" s="19"/>
      <c r="T55" s="717"/>
    </row>
    <row r="57" spans="11:20">
      <c r="K57" s="11"/>
      <c r="L57" s="12"/>
      <c r="M57" s="8"/>
      <c r="N57" s="12"/>
      <c r="O57" s="13"/>
      <c r="P57" s="14"/>
      <c r="Q57" s="15"/>
      <c r="R57" s="14"/>
      <c r="S57" s="16"/>
      <c r="T57" s="14"/>
    </row>
    <row r="58" spans="11:20">
      <c r="K58" s="17"/>
      <c r="L58" s="12"/>
      <c r="M58" s="18"/>
      <c r="N58" s="12"/>
      <c r="O58" s="8"/>
      <c r="P58" s="14"/>
      <c r="Q58" s="15"/>
      <c r="R58" s="14"/>
      <c r="S58" s="16"/>
      <c r="T58" s="714"/>
    </row>
    <row r="59" spans="11:20">
      <c r="K59" s="17"/>
      <c r="L59" s="12"/>
      <c r="M59" s="8"/>
      <c r="N59" s="12"/>
      <c r="O59" s="8"/>
      <c r="P59" s="8"/>
      <c r="Q59" s="8"/>
      <c r="R59" s="14"/>
      <c r="S59" s="19"/>
      <c r="T59" s="717"/>
    </row>
    <row r="61" spans="11:20">
      <c r="K61" s="11"/>
      <c r="L61" s="12"/>
      <c r="M61" s="8"/>
      <c r="N61" s="12"/>
      <c r="O61" s="13"/>
      <c r="P61" s="14"/>
      <c r="Q61" s="15"/>
      <c r="R61" s="14"/>
      <c r="S61" s="16"/>
      <c r="T61" s="14"/>
    </row>
    <row r="62" spans="11:20">
      <c r="K62" s="17"/>
      <c r="L62" s="12"/>
      <c r="M62" s="18"/>
      <c r="N62" s="12"/>
      <c r="O62" s="8"/>
      <c r="P62" s="14"/>
      <c r="Q62" s="15"/>
      <c r="R62" s="14"/>
      <c r="S62" s="16"/>
      <c r="T62" s="714"/>
    </row>
    <row r="63" spans="11:20">
      <c r="K63" s="17"/>
      <c r="L63" s="12"/>
      <c r="M63" s="8"/>
      <c r="N63" s="12"/>
      <c r="O63" s="8"/>
      <c r="P63" s="8"/>
      <c r="Q63" s="8"/>
      <c r="R63" s="14"/>
      <c r="S63" s="19"/>
      <c r="T63" s="717"/>
    </row>
    <row r="65" spans="11:20">
      <c r="K65" s="11"/>
      <c r="L65" s="12"/>
      <c r="M65" s="8"/>
      <c r="N65" s="12"/>
      <c r="O65" s="13"/>
      <c r="P65" s="14"/>
      <c r="Q65" s="15"/>
      <c r="R65" s="14"/>
      <c r="S65" s="16"/>
      <c r="T65" s="14"/>
    </row>
    <row r="66" spans="11:20">
      <c r="K66" s="17"/>
      <c r="L66" s="12"/>
      <c r="M66" s="18"/>
      <c r="N66" s="12"/>
      <c r="O66" s="8"/>
      <c r="P66" s="14"/>
      <c r="Q66" s="15"/>
      <c r="R66" s="14"/>
      <c r="S66" s="16"/>
      <c r="T66" s="714"/>
    </row>
    <row r="67" spans="11:20">
      <c r="K67" s="17"/>
      <c r="L67" s="12"/>
      <c r="M67" s="8"/>
      <c r="N67" s="12"/>
      <c r="O67" s="8"/>
      <c r="P67" s="8"/>
      <c r="Q67" s="8"/>
      <c r="R67" s="14"/>
      <c r="S67" s="19"/>
      <c r="T67" s="717"/>
    </row>
    <row r="69" spans="11:20">
      <c r="K69" s="11"/>
      <c r="L69" s="12"/>
      <c r="M69" s="8"/>
      <c r="N69" s="12"/>
      <c r="O69" s="13"/>
      <c r="P69" s="14"/>
      <c r="Q69" s="15"/>
      <c r="R69" s="14"/>
      <c r="S69" s="16"/>
      <c r="T69" s="14"/>
    </row>
    <row r="70" spans="11:20">
      <c r="K70" s="17"/>
      <c r="L70" s="12"/>
      <c r="M70" s="18"/>
      <c r="N70" s="12"/>
      <c r="O70" s="8"/>
      <c r="P70" s="14"/>
      <c r="Q70" s="15"/>
      <c r="R70" s="14"/>
      <c r="S70" s="16"/>
      <c r="T70" s="714"/>
    </row>
    <row r="71" spans="11:20">
      <c r="K71" s="17"/>
      <c r="L71" s="12"/>
      <c r="M71" s="20"/>
      <c r="N71" s="12"/>
      <c r="O71" s="8"/>
      <c r="P71" s="8"/>
      <c r="Q71" s="8"/>
      <c r="R71" s="14"/>
      <c r="S71" s="19"/>
      <c r="T71" s="717"/>
    </row>
    <row r="73" spans="11:20">
      <c r="K73" s="11"/>
      <c r="L73" s="12"/>
      <c r="M73" s="8"/>
      <c r="N73" s="12"/>
      <c r="O73" s="13"/>
      <c r="P73" s="14"/>
      <c r="Q73" s="15"/>
      <c r="R73" s="14"/>
      <c r="S73" s="16"/>
      <c r="T73" s="14"/>
    </row>
    <row r="74" spans="11:20">
      <c r="K74" s="17"/>
      <c r="L74" s="12"/>
      <c r="M74" s="18"/>
      <c r="N74" s="12"/>
      <c r="O74" s="8"/>
      <c r="P74" s="14"/>
      <c r="Q74" s="15"/>
      <c r="R74" s="14"/>
      <c r="S74" s="16"/>
      <c r="T74" s="714"/>
    </row>
    <row r="75" spans="11:20">
      <c r="K75" s="17"/>
      <c r="L75" s="12"/>
      <c r="M75" s="8"/>
      <c r="N75" s="12"/>
      <c r="O75" s="8"/>
      <c r="P75" s="8"/>
      <c r="Q75" s="8"/>
      <c r="R75" s="14"/>
      <c r="S75" s="19"/>
      <c r="T75" s="717"/>
    </row>
    <row r="77" spans="11:20">
      <c r="K77" s="11"/>
      <c r="L77" s="12"/>
      <c r="M77" s="8"/>
      <c r="N77" s="12"/>
      <c r="O77" s="13"/>
      <c r="P77" s="14"/>
      <c r="Q77" s="15"/>
      <c r="R77" s="14"/>
      <c r="S77" s="16"/>
      <c r="T77" s="14"/>
    </row>
    <row r="78" spans="11:20">
      <c r="K78" s="17"/>
      <c r="L78" s="12"/>
      <c r="M78" s="18"/>
      <c r="N78" s="12"/>
      <c r="O78" s="8"/>
      <c r="P78" s="14"/>
      <c r="Q78" s="15"/>
      <c r="R78" s="14"/>
      <c r="S78" s="16"/>
      <c r="T78" s="714"/>
    </row>
    <row r="79" spans="11:20">
      <c r="K79" s="17"/>
      <c r="L79" s="12"/>
      <c r="M79" s="20"/>
      <c r="N79" s="12"/>
      <c r="O79" s="8"/>
      <c r="P79" s="8"/>
      <c r="Q79" s="8"/>
      <c r="R79" s="14"/>
      <c r="S79" s="19"/>
      <c r="T79" s="717"/>
    </row>
    <row r="81" spans="11:20">
      <c r="K81" s="11"/>
      <c r="L81" s="12"/>
      <c r="M81" s="8"/>
      <c r="N81" s="12"/>
      <c r="O81" s="13"/>
      <c r="P81" s="14"/>
      <c r="Q81" s="15"/>
      <c r="R81" s="14"/>
      <c r="S81" s="16"/>
      <c r="T81" s="14"/>
    </row>
    <row r="82" spans="11:20">
      <c r="K82" s="17"/>
      <c r="L82" s="12"/>
      <c r="M82" s="18"/>
      <c r="N82" s="12"/>
      <c r="O82" s="8"/>
      <c r="P82" s="14"/>
      <c r="Q82" s="15"/>
      <c r="R82" s="14"/>
      <c r="S82" s="16"/>
      <c r="T82" s="714"/>
    </row>
    <row r="83" spans="11:20">
      <c r="K83" s="17"/>
      <c r="L83" s="12"/>
      <c r="M83" s="8"/>
      <c r="N83" s="12"/>
      <c r="O83" s="8"/>
      <c r="P83" s="8"/>
      <c r="Q83" s="8"/>
      <c r="R83" s="14"/>
      <c r="S83" s="19"/>
      <c r="T83" s="717"/>
    </row>
    <row r="85" spans="11:20">
      <c r="K85" s="11"/>
      <c r="L85" s="12"/>
      <c r="M85" s="8"/>
      <c r="N85" s="12"/>
      <c r="O85" s="13"/>
      <c r="P85" s="14"/>
      <c r="Q85" s="15"/>
      <c r="R85" s="14"/>
      <c r="S85" s="16"/>
      <c r="T85" s="14"/>
    </row>
    <row r="86" spans="11:20">
      <c r="K86" s="17"/>
      <c r="L86" s="12"/>
      <c r="M86" s="18"/>
      <c r="N86" s="12"/>
      <c r="O86" s="8"/>
      <c r="P86" s="14"/>
      <c r="Q86" s="15"/>
      <c r="R86" s="14"/>
      <c r="S86" s="16"/>
      <c r="T86" s="714"/>
    </row>
    <row r="87" spans="11:20">
      <c r="K87" s="17"/>
      <c r="L87" s="12"/>
      <c r="M87" s="8"/>
      <c r="N87" s="12"/>
      <c r="O87" s="8"/>
      <c r="P87" s="8"/>
      <c r="Q87" s="8"/>
      <c r="R87" s="14"/>
      <c r="S87" s="19"/>
      <c r="T87" s="717"/>
    </row>
    <row r="89" spans="11:20">
      <c r="K89" s="11"/>
      <c r="L89" s="12"/>
      <c r="M89" s="8"/>
      <c r="N89" s="12"/>
      <c r="O89" s="13"/>
      <c r="P89" s="14"/>
      <c r="Q89" s="15"/>
      <c r="R89" s="14"/>
      <c r="S89" s="16"/>
      <c r="T89" s="14"/>
    </row>
    <row r="90" spans="11:20">
      <c r="K90" s="17"/>
      <c r="L90" s="12"/>
      <c r="M90" s="18"/>
      <c r="N90" s="12"/>
      <c r="O90" s="8"/>
      <c r="P90" s="14"/>
      <c r="Q90" s="15"/>
      <c r="R90" s="14"/>
      <c r="S90" s="16"/>
      <c r="T90" s="714"/>
    </row>
    <row r="91" spans="11:20">
      <c r="K91" s="17"/>
      <c r="L91" s="12"/>
      <c r="M91" s="18"/>
      <c r="N91" s="12"/>
      <c r="O91" s="8"/>
      <c r="P91" s="8"/>
      <c r="Q91" s="8"/>
      <c r="R91" s="14"/>
      <c r="S91" s="19"/>
      <c r="T91" s="717"/>
    </row>
    <row r="93" spans="11:20">
      <c r="K93" s="11"/>
      <c r="L93" s="12"/>
      <c r="M93" s="8"/>
      <c r="N93" s="12"/>
      <c r="O93" s="13"/>
      <c r="P93" s="14"/>
      <c r="Q93" s="15"/>
      <c r="R93" s="14"/>
      <c r="S93" s="16"/>
      <c r="T93" s="14"/>
    </row>
    <row r="94" spans="11:20">
      <c r="K94" s="17"/>
      <c r="L94" s="12"/>
      <c r="M94" s="18"/>
      <c r="N94" s="12"/>
      <c r="O94" s="8"/>
      <c r="P94" s="14"/>
      <c r="Q94" s="15"/>
      <c r="R94" s="14"/>
      <c r="S94" s="16"/>
      <c r="T94" s="714"/>
    </row>
    <row r="95" spans="11:20">
      <c r="K95" s="17"/>
      <c r="L95" s="12"/>
      <c r="M95" s="20"/>
      <c r="N95" s="12"/>
      <c r="O95" s="8"/>
      <c r="P95" s="8"/>
      <c r="Q95" s="8"/>
      <c r="R95" s="14"/>
      <c r="S95" s="19"/>
      <c r="T95" s="717"/>
    </row>
    <row r="97" spans="11:20">
      <c r="K97" s="11"/>
      <c r="L97" s="12"/>
      <c r="M97" s="8"/>
      <c r="N97" s="12"/>
      <c r="O97" s="13"/>
      <c r="P97" s="14"/>
      <c r="Q97" s="15"/>
      <c r="R97" s="14"/>
      <c r="S97" s="16"/>
      <c r="T97" s="14"/>
    </row>
    <row r="98" spans="11:20">
      <c r="K98" s="17"/>
      <c r="L98" s="12"/>
      <c r="M98" s="18"/>
      <c r="N98" s="12"/>
      <c r="O98" s="8"/>
      <c r="P98" s="14"/>
      <c r="Q98" s="15"/>
      <c r="R98" s="14"/>
      <c r="S98" s="16"/>
      <c r="T98" s="714"/>
    </row>
    <row r="99" spans="11:20">
      <c r="K99" s="17"/>
      <c r="L99" s="12"/>
      <c r="M99" s="20"/>
      <c r="N99" s="12"/>
      <c r="O99" s="8"/>
      <c r="P99" s="8"/>
      <c r="Q99" s="8"/>
      <c r="R99" s="14"/>
      <c r="S99" s="19"/>
      <c r="T99" s="717"/>
    </row>
    <row r="101" spans="11:20">
      <c r="K101" s="11"/>
      <c r="L101" s="12"/>
      <c r="M101" s="8"/>
      <c r="N101" s="12"/>
      <c r="O101" s="13"/>
      <c r="P101" s="14"/>
      <c r="Q101" s="15"/>
      <c r="R101" s="14"/>
      <c r="S101" s="16"/>
      <c r="T101" s="14"/>
    </row>
    <row r="102" spans="11:20">
      <c r="K102" s="17"/>
      <c r="L102" s="12"/>
      <c r="M102" s="18"/>
      <c r="N102" s="12"/>
      <c r="O102" s="8"/>
      <c r="P102" s="14"/>
      <c r="Q102" s="15"/>
      <c r="R102" s="14"/>
      <c r="S102" s="16"/>
      <c r="T102" s="714"/>
    </row>
    <row r="103" spans="11:20">
      <c r="K103" s="17"/>
      <c r="L103" s="12"/>
      <c r="M103" s="8"/>
      <c r="N103" s="12"/>
      <c r="O103" s="8"/>
      <c r="P103" s="8"/>
      <c r="Q103" s="8"/>
      <c r="R103" s="14"/>
      <c r="S103" s="19"/>
      <c r="T103" s="717"/>
    </row>
    <row r="105" spans="11:20">
      <c r="K105" s="11"/>
      <c r="L105" s="12"/>
      <c r="M105" s="8"/>
      <c r="N105" s="12"/>
      <c r="O105" s="13"/>
      <c r="P105" s="14"/>
      <c r="Q105" s="15"/>
      <c r="R105" s="14"/>
      <c r="S105" s="16"/>
      <c r="T105" s="14"/>
    </row>
    <row r="106" spans="11:20">
      <c r="K106" s="17"/>
      <c r="L106" s="12"/>
      <c r="M106" s="18"/>
      <c r="N106" s="12"/>
      <c r="O106" s="8"/>
      <c r="P106" s="14"/>
      <c r="Q106" s="15"/>
      <c r="R106" s="14"/>
      <c r="S106" s="16"/>
      <c r="T106" s="714"/>
    </row>
    <row r="107" spans="11:20">
      <c r="K107" s="17"/>
      <c r="L107" s="12"/>
      <c r="M107" s="8"/>
      <c r="N107" s="12"/>
      <c r="O107" s="8"/>
      <c r="P107" s="8"/>
      <c r="Q107" s="8"/>
      <c r="R107" s="14"/>
      <c r="S107" s="19"/>
      <c r="T107" s="717"/>
    </row>
    <row r="109" spans="11:20">
      <c r="K109" s="11"/>
      <c r="L109" s="12"/>
      <c r="M109" s="8"/>
      <c r="N109" s="12"/>
      <c r="O109" s="13"/>
      <c r="P109" s="14"/>
      <c r="Q109" s="15"/>
      <c r="R109" s="14"/>
      <c r="S109" s="16"/>
      <c r="T109" s="14"/>
    </row>
    <row r="110" spans="11:20">
      <c r="K110" s="17"/>
      <c r="L110" s="12"/>
      <c r="M110" s="18"/>
      <c r="N110" s="12"/>
      <c r="O110" s="8"/>
      <c r="P110" s="14"/>
      <c r="Q110" s="15"/>
      <c r="R110" s="14"/>
      <c r="S110" s="16"/>
      <c r="T110" s="714"/>
    </row>
    <row r="111" spans="11:20">
      <c r="K111" s="17"/>
      <c r="L111" s="12"/>
      <c r="M111" s="8"/>
      <c r="N111" s="12"/>
      <c r="O111" s="8"/>
      <c r="P111" s="8"/>
      <c r="Q111" s="8"/>
      <c r="R111" s="14"/>
      <c r="S111" s="19"/>
      <c r="T111" s="717"/>
    </row>
    <row r="113" spans="11:20">
      <c r="K113" s="11"/>
      <c r="L113" s="12"/>
      <c r="M113" s="8"/>
      <c r="N113" s="12"/>
      <c r="O113" s="13"/>
      <c r="P113" s="14"/>
      <c r="Q113" s="15"/>
      <c r="R113" s="14"/>
      <c r="S113" s="16"/>
      <c r="T113" s="14"/>
    </row>
    <row r="114" spans="11:20">
      <c r="K114" s="17"/>
      <c r="L114" s="12"/>
      <c r="M114" s="18"/>
      <c r="N114" s="12"/>
      <c r="O114" s="8"/>
      <c r="P114" s="14"/>
      <c r="Q114" s="15"/>
      <c r="R114" s="14"/>
      <c r="S114" s="16"/>
      <c r="T114" s="714"/>
    </row>
    <row r="115" spans="11:20">
      <c r="K115" s="17"/>
      <c r="L115" s="12"/>
      <c r="M115" s="8"/>
      <c r="N115" s="12"/>
      <c r="O115" s="8"/>
      <c r="P115" s="8"/>
      <c r="Q115" s="8"/>
      <c r="R115" s="14"/>
      <c r="S115" s="19"/>
      <c r="T115" s="717"/>
    </row>
    <row r="117" spans="11:20">
      <c r="K117" s="11"/>
      <c r="L117" s="12"/>
      <c r="M117" s="8"/>
      <c r="N117" s="12"/>
      <c r="O117" s="13"/>
      <c r="P117" s="14"/>
      <c r="Q117" s="15"/>
      <c r="R117" s="14"/>
      <c r="S117" s="16"/>
      <c r="T117" s="14"/>
    </row>
    <row r="118" spans="11:20">
      <c r="K118" s="17"/>
      <c r="L118" s="12"/>
      <c r="M118" s="18"/>
      <c r="N118" s="12"/>
      <c r="O118" s="8"/>
      <c r="P118" s="14"/>
      <c r="Q118" s="15"/>
      <c r="R118" s="14"/>
      <c r="S118" s="16"/>
      <c r="T118" s="714"/>
    </row>
    <row r="119" spans="11:20">
      <c r="K119" s="17"/>
      <c r="L119" s="12"/>
      <c r="M119" s="8"/>
      <c r="N119" s="12"/>
      <c r="O119" s="8"/>
      <c r="P119" s="8"/>
      <c r="Q119" s="8"/>
      <c r="R119" s="14"/>
      <c r="S119" s="19"/>
      <c r="T119" s="717"/>
    </row>
    <row r="121" spans="11:20">
      <c r="K121" s="11"/>
      <c r="L121" s="12"/>
      <c r="M121" s="8"/>
      <c r="N121" s="12"/>
      <c r="O121" s="13"/>
      <c r="P121" s="14"/>
      <c r="Q121" s="15"/>
      <c r="R121" s="14"/>
      <c r="S121" s="16"/>
      <c r="T121" s="14"/>
    </row>
    <row r="122" spans="11:20">
      <c r="K122" s="17"/>
      <c r="L122" s="12"/>
      <c r="M122" s="18"/>
      <c r="N122" s="12"/>
      <c r="O122" s="8"/>
      <c r="P122" s="14"/>
      <c r="Q122" s="15"/>
      <c r="R122" s="14"/>
      <c r="S122" s="16"/>
      <c r="T122" s="714"/>
    </row>
    <row r="123" spans="11:20">
      <c r="K123" s="17"/>
      <c r="L123" s="12"/>
      <c r="M123" s="8"/>
      <c r="N123" s="12"/>
      <c r="O123" s="8"/>
      <c r="P123" s="8"/>
      <c r="Q123" s="8"/>
      <c r="R123" s="14"/>
      <c r="S123" s="19"/>
      <c r="T123" s="717"/>
    </row>
  </sheetData>
  <mergeCells count="27">
    <mergeCell ref="T118:T119"/>
    <mergeCell ref="T122:T123"/>
    <mergeCell ref="T94:T95"/>
    <mergeCell ref="T98:T99"/>
    <mergeCell ref="T102:T103"/>
    <mergeCell ref="T106:T107"/>
    <mergeCell ref="T110:T111"/>
    <mergeCell ref="T114:T115"/>
    <mergeCell ref="T90:T91"/>
    <mergeCell ref="T46:T47"/>
    <mergeCell ref="T50:T51"/>
    <mergeCell ref="T54:T55"/>
    <mergeCell ref="T58:T59"/>
    <mergeCell ref="T62:T63"/>
    <mergeCell ref="T66:T67"/>
    <mergeCell ref="T70:T71"/>
    <mergeCell ref="T74:T75"/>
    <mergeCell ref="T78:T79"/>
    <mergeCell ref="T82:T83"/>
    <mergeCell ref="T86:T87"/>
    <mergeCell ref="B22:H22"/>
    <mergeCell ref="T42:T43"/>
    <mergeCell ref="C28:E28"/>
    <mergeCell ref="F28:G28"/>
    <mergeCell ref="C33:E33"/>
    <mergeCell ref="F33:G33"/>
    <mergeCell ref="T38:T39"/>
  </mergeCells>
  <phoneticPr fontId="13"/>
  <printOptions horizontalCentered="1"/>
  <pageMargins left="0.39370078740157483" right="0.39370078740157483" top="0.39370078740157483" bottom="0.39370078740157483" header="0.19685039370078741" footer="0.19685039370078741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A34"/>
  <sheetViews>
    <sheetView view="pageBreakPreview" zoomScaleNormal="100" zoomScaleSheetLayoutView="100" workbookViewId="0">
      <selection sqref="A1:H1"/>
    </sheetView>
  </sheetViews>
  <sheetFormatPr defaultRowHeight="13"/>
  <cols>
    <col min="1" max="64" width="2.6328125" customWidth="1"/>
  </cols>
  <sheetData>
    <row r="1" spans="1:53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">
        <v>6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">
        <v>446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">
        <v>298</v>
      </c>
      <c r="AO1" s="746"/>
      <c r="AP1" s="746"/>
      <c r="AQ1" s="745" t="s">
        <v>9</v>
      </c>
      <c r="AR1" s="745"/>
      <c r="AS1" s="745"/>
      <c r="AT1" s="748">
        <f>AL7</f>
        <v>46125</v>
      </c>
      <c r="AU1" s="748"/>
      <c r="AV1" s="748"/>
      <c r="AW1" s="748"/>
      <c r="AX1" s="737" t="s">
        <v>10</v>
      </c>
      <c r="AY1" s="738"/>
      <c r="AZ1" s="738"/>
      <c r="BA1" s="739"/>
    </row>
    <row r="2" spans="1:53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42" t="s">
        <v>29</v>
      </c>
      <c r="N2" s="743"/>
      <c r="O2" s="743"/>
      <c r="P2" s="743"/>
      <c r="Q2" s="743"/>
      <c r="R2" s="743"/>
      <c r="S2" s="743"/>
      <c r="T2" s="743"/>
      <c r="U2" s="743"/>
      <c r="V2" s="743"/>
      <c r="W2" s="744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">
        <v>298</v>
      </c>
      <c r="AO2" s="746"/>
      <c r="AP2" s="746"/>
      <c r="AQ2" s="745" t="s">
        <v>13</v>
      </c>
      <c r="AR2" s="745"/>
      <c r="AS2" s="745"/>
      <c r="AT2" s="748">
        <v>46177</v>
      </c>
      <c r="AU2" s="748"/>
      <c r="AV2" s="748"/>
      <c r="AW2" s="748"/>
      <c r="AX2" s="749" t="s">
        <v>31</v>
      </c>
      <c r="AY2" s="750"/>
      <c r="AZ2" s="750"/>
      <c r="BA2" s="751"/>
    </row>
    <row r="3" spans="1:53" ht="12" customHeight="1">
      <c r="A3" s="755" t="s">
        <v>26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/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">
        <v>445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45" t="s">
        <v>15</v>
      </c>
      <c r="AR3" s="745"/>
      <c r="AS3" s="745"/>
      <c r="AT3" s="761" t="str">
        <f ca="1">INDIRECT("A" &amp; COUNTA(A7:A39) + 6)</f>
        <v>r1.3</v>
      </c>
      <c r="AU3" s="761"/>
      <c r="AV3" s="761"/>
      <c r="AW3" s="761"/>
      <c r="AX3" s="752"/>
      <c r="AY3" s="753"/>
      <c r="AZ3" s="753"/>
      <c r="BA3" s="754"/>
    </row>
    <row r="4" spans="1:53" ht="5.9" customHeight="1"/>
    <row r="5" spans="1:53" ht="14">
      <c r="A5" s="759" t="s">
        <v>25</v>
      </c>
      <c r="B5" s="759"/>
      <c r="C5" s="759"/>
      <c r="D5" s="759"/>
      <c r="E5" s="759"/>
      <c r="F5" s="759"/>
      <c r="G5" s="759"/>
      <c r="H5" s="759"/>
      <c r="I5" s="759"/>
      <c r="J5" s="759"/>
      <c r="K5" s="759"/>
      <c r="L5" s="759"/>
      <c r="M5" s="759"/>
      <c r="N5" s="759"/>
      <c r="O5" s="759"/>
      <c r="P5" s="759"/>
      <c r="Q5" s="759"/>
      <c r="R5" s="759"/>
      <c r="S5" s="759"/>
      <c r="T5" s="759"/>
      <c r="U5" s="759"/>
      <c r="V5" s="759"/>
      <c r="W5" s="759"/>
      <c r="X5" s="759"/>
      <c r="Y5" s="759"/>
      <c r="Z5" s="759"/>
      <c r="AA5" s="759"/>
      <c r="AB5" s="759"/>
      <c r="AC5" s="759"/>
      <c r="AD5" s="759"/>
      <c r="AE5" s="759"/>
      <c r="AF5" s="759"/>
      <c r="AG5" s="759"/>
      <c r="AH5" s="759"/>
      <c r="AI5" s="759"/>
      <c r="AJ5" s="759"/>
      <c r="AK5" s="759"/>
      <c r="AL5" s="759"/>
      <c r="AM5" s="759"/>
      <c r="AN5" s="759"/>
      <c r="AO5" s="759"/>
      <c r="AP5" s="759"/>
      <c r="AQ5" s="759"/>
      <c r="AR5" s="759"/>
      <c r="AS5" s="759"/>
      <c r="AT5" s="759"/>
      <c r="AU5" s="759"/>
      <c r="AV5" s="759"/>
      <c r="AW5" s="759"/>
      <c r="AX5" s="759"/>
      <c r="AY5" s="759"/>
      <c r="AZ5" s="759"/>
      <c r="BA5" s="759"/>
    </row>
    <row r="6" spans="1:53">
      <c r="A6" s="762" t="s">
        <v>24</v>
      </c>
      <c r="B6" s="763"/>
      <c r="C6" s="747" t="s">
        <v>17</v>
      </c>
      <c r="D6" s="747"/>
      <c r="E6" s="747"/>
      <c r="F6" s="747"/>
      <c r="G6" s="747"/>
      <c r="H6" s="747"/>
      <c r="I6" s="747"/>
      <c r="J6" s="747"/>
      <c r="K6" s="747"/>
      <c r="L6" s="747"/>
      <c r="M6" s="747"/>
      <c r="N6" s="747"/>
      <c r="O6" s="747"/>
      <c r="P6" s="747"/>
      <c r="Q6" s="747" t="s">
        <v>18</v>
      </c>
      <c r="R6" s="747"/>
      <c r="S6" s="747"/>
      <c r="T6" s="747"/>
      <c r="U6" s="747"/>
      <c r="V6" s="747"/>
      <c r="W6" s="747"/>
      <c r="X6" s="747"/>
      <c r="Y6" s="747"/>
      <c r="Z6" s="747"/>
      <c r="AA6" s="747"/>
      <c r="AB6" s="747"/>
      <c r="AC6" s="747"/>
      <c r="AD6" s="747"/>
      <c r="AE6" s="747"/>
      <c r="AF6" s="747"/>
      <c r="AG6" s="747"/>
      <c r="AH6" s="747"/>
      <c r="AI6" s="747"/>
      <c r="AJ6" s="747"/>
      <c r="AK6" s="747"/>
      <c r="AL6" s="747" t="s">
        <v>19</v>
      </c>
      <c r="AM6" s="747"/>
      <c r="AN6" s="747"/>
      <c r="AO6" s="747"/>
      <c r="AP6" s="747" t="s">
        <v>20</v>
      </c>
      <c r="AQ6" s="747"/>
      <c r="AR6" s="747"/>
      <c r="AS6" s="747" t="s">
        <v>21</v>
      </c>
      <c r="AT6" s="747"/>
      <c r="AU6" s="747"/>
      <c r="AV6" s="747" t="s">
        <v>22</v>
      </c>
      <c r="AW6" s="747"/>
      <c r="AX6" s="747"/>
      <c r="AY6" s="747"/>
      <c r="AZ6" s="747"/>
      <c r="BA6" s="747"/>
    </row>
    <row r="7" spans="1:53">
      <c r="A7" s="719" t="s">
        <v>258</v>
      </c>
      <c r="B7" s="719"/>
      <c r="C7" s="720" t="s">
        <v>23</v>
      </c>
      <c r="D7" s="720"/>
      <c r="E7" s="720"/>
      <c r="F7" s="720"/>
      <c r="G7" s="720"/>
      <c r="H7" s="720"/>
      <c r="I7" s="720"/>
      <c r="J7" s="720"/>
      <c r="K7" s="720"/>
      <c r="L7" s="720"/>
      <c r="M7" s="720"/>
      <c r="N7" s="720"/>
      <c r="O7" s="720"/>
      <c r="P7" s="720"/>
      <c r="Q7" s="720"/>
      <c r="R7" s="720"/>
      <c r="S7" s="720"/>
      <c r="T7" s="720"/>
      <c r="U7" s="720"/>
      <c r="V7" s="720"/>
      <c r="W7" s="720"/>
      <c r="X7" s="720"/>
      <c r="Y7" s="720"/>
      <c r="Z7" s="720"/>
      <c r="AA7" s="720"/>
      <c r="AB7" s="720"/>
      <c r="AC7" s="720"/>
      <c r="AD7" s="720"/>
      <c r="AE7" s="720"/>
      <c r="AF7" s="720"/>
      <c r="AG7" s="720"/>
      <c r="AH7" s="720"/>
      <c r="AI7" s="720"/>
      <c r="AJ7" s="720"/>
      <c r="AK7" s="720"/>
      <c r="AL7" s="724">
        <v>46125</v>
      </c>
      <c r="AM7" s="725"/>
      <c r="AN7" s="725"/>
      <c r="AO7" s="725"/>
      <c r="AP7" s="720" t="s">
        <v>298</v>
      </c>
      <c r="AQ7" s="720"/>
      <c r="AR7" s="720"/>
      <c r="AS7" s="720"/>
      <c r="AT7" s="720"/>
      <c r="AU7" s="720"/>
      <c r="AV7" s="720"/>
      <c r="AW7" s="720"/>
      <c r="AX7" s="720"/>
      <c r="AY7" s="720"/>
      <c r="AZ7" s="720"/>
      <c r="BA7" s="720"/>
    </row>
    <row r="8" spans="1:53" ht="25" customHeight="1">
      <c r="A8" s="734" t="s">
        <v>418</v>
      </c>
      <c r="B8" s="735"/>
      <c r="C8" s="721" t="s">
        <v>420</v>
      </c>
      <c r="D8" s="721"/>
      <c r="E8" s="721"/>
      <c r="F8" s="721"/>
      <c r="G8" s="721"/>
      <c r="H8" s="721"/>
      <c r="I8" s="721"/>
      <c r="J8" s="721"/>
      <c r="K8" s="721"/>
      <c r="L8" s="721"/>
      <c r="M8" s="721"/>
      <c r="N8" s="721"/>
      <c r="O8" s="721"/>
      <c r="P8" s="721"/>
      <c r="Q8" s="731" t="s">
        <v>449</v>
      </c>
      <c r="R8" s="732"/>
      <c r="S8" s="732"/>
      <c r="T8" s="732"/>
      <c r="U8" s="732"/>
      <c r="V8" s="732"/>
      <c r="W8" s="732"/>
      <c r="X8" s="732"/>
      <c r="Y8" s="732"/>
      <c r="Z8" s="732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3"/>
      <c r="AL8" s="726">
        <v>46134</v>
      </c>
      <c r="AM8" s="727"/>
      <c r="AN8" s="727"/>
      <c r="AO8" s="728"/>
      <c r="AP8" s="720" t="s">
        <v>419</v>
      </c>
      <c r="AQ8" s="720"/>
      <c r="AR8" s="720"/>
      <c r="AS8" s="720"/>
      <c r="AT8" s="720"/>
      <c r="AU8" s="720"/>
      <c r="AV8" s="720"/>
      <c r="AW8" s="720"/>
      <c r="AX8" s="720"/>
      <c r="AY8" s="720"/>
      <c r="AZ8" s="720"/>
      <c r="BA8" s="720"/>
    </row>
    <row r="9" spans="1:53">
      <c r="A9" s="734" t="s">
        <v>447</v>
      </c>
      <c r="B9" s="735"/>
      <c r="C9" s="720" t="s">
        <v>448</v>
      </c>
      <c r="D9" s="720"/>
      <c r="E9" s="720"/>
      <c r="F9" s="720"/>
      <c r="G9" s="720"/>
      <c r="H9" s="720"/>
      <c r="I9" s="720"/>
      <c r="J9" s="720"/>
      <c r="K9" s="720"/>
      <c r="L9" s="720"/>
      <c r="M9" s="720"/>
      <c r="N9" s="720"/>
      <c r="O9" s="720"/>
      <c r="P9" s="720"/>
      <c r="Q9" s="731" t="s">
        <v>449</v>
      </c>
      <c r="R9" s="732"/>
      <c r="S9" s="732"/>
      <c r="T9" s="732"/>
      <c r="U9" s="732"/>
      <c r="V9" s="732"/>
      <c r="W9" s="732"/>
      <c r="X9" s="732"/>
      <c r="Y9" s="732"/>
      <c r="Z9" s="732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3"/>
      <c r="AL9" s="726">
        <v>46162</v>
      </c>
      <c r="AM9" s="727"/>
      <c r="AN9" s="727"/>
      <c r="AO9" s="728"/>
      <c r="AP9" s="720" t="s">
        <v>419</v>
      </c>
      <c r="AQ9" s="720"/>
      <c r="AR9" s="720"/>
      <c r="AS9" s="720"/>
      <c r="AT9" s="720"/>
      <c r="AU9" s="720"/>
      <c r="AV9" s="720"/>
      <c r="AW9" s="720"/>
      <c r="AX9" s="720"/>
      <c r="AY9" s="720"/>
      <c r="AZ9" s="720"/>
      <c r="BA9" s="720"/>
    </row>
    <row r="10" spans="1:53" ht="36" customHeight="1">
      <c r="A10" s="734" t="s">
        <v>731</v>
      </c>
      <c r="B10" s="735"/>
      <c r="C10" s="721" t="s">
        <v>732</v>
      </c>
      <c r="D10" s="721"/>
      <c r="E10" s="721"/>
      <c r="F10" s="721"/>
      <c r="G10" s="721"/>
      <c r="H10" s="721"/>
      <c r="I10" s="721"/>
      <c r="J10" s="721"/>
      <c r="K10" s="721"/>
      <c r="L10" s="721"/>
      <c r="M10" s="721"/>
      <c r="N10" s="721"/>
      <c r="O10" s="721"/>
      <c r="P10" s="721"/>
      <c r="Q10" s="721" t="s">
        <v>733</v>
      </c>
      <c r="R10" s="720"/>
      <c r="S10" s="720"/>
      <c r="T10" s="720"/>
      <c r="U10" s="720"/>
      <c r="V10" s="720"/>
      <c r="W10" s="720"/>
      <c r="X10" s="720"/>
      <c r="Y10" s="720"/>
      <c r="Z10" s="720"/>
      <c r="AA10" s="720"/>
      <c r="AB10" s="720"/>
      <c r="AC10" s="720"/>
      <c r="AD10" s="720"/>
      <c r="AE10" s="720"/>
      <c r="AF10" s="720"/>
      <c r="AG10" s="720"/>
      <c r="AH10" s="720"/>
      <c r="AI10" s="720"/>
      <c r="AJ10" s="720"/>
      <c r="AK10" s="720"/>
      <c r="AL10" s="718">
        <v>46177</v>
      </c>
      <c r="AM10" s="719"/>
      <c r="AN10" s="719"/>
      <c r="AO10" s="719"/>
      <c r="AP10" s="720" t="s">
        <v>419</v>
      </c>
      <c r="AQ10" s="720"/>
      <c r="AR10" s="720"/>
      <c r="AS10" s="720"/>
      <c r="AT10" s="720"/>
      <c r="AU10" s="720"/>
      <c r="AV10" s="720"/>
      <c r="AW10" s="720"/>
      <c r="AX10" s="720"/>
      <c r="AY10" s="720"/>
      <c r="AZ10" s="720"/>
      <c r="BA10" s="720"/>
    </row>
    <row r="11" spans="1:53">
      <c r="A11" s="719"/>
      <c r="B11" s="719"/>
      <c r="C11" s="721"/>
      <c r="D11" s="720"/>
      <c r="E11" s="720"/>
      <c r="F11" s="720"/>
      <c r="G11" s="720"/>
      <c r="H11" s="720"/>
      <c r="I11" s="720"/>
      <c r="J11" s="720"/>
      <c r="K11" s="720"/>
      <c r="L11" s="720"/>
      <c r="M11" s="720"/>
      <c r="N11" s="720"/>
      <c r="O11" s="720"/>
      <c r="P11" s="720"/>
      <c r="Q11" s="721"/>
      <c r="R11" s="720"/>
      <c r="S11" s="720"/>
      <c r="T11" s="720"/>
      <c r="U11" s="720"/>
      <c r="V11" s="720"/>
      <c r="W11" s="720"/>
      <c r="X11" s="720"/>
      <c r="Y11" s="720"/>
      <c r="Z11" s="720"/>
      <c r="AA11" s="720"/>
      <c r="AB11" s="720"/>
      <c r="AC11" s="720"/>
      <c r="AD11" s="720"/>
      <c r="AE11" s="720"/>
      <c r="AF11" s="720"/>
      <c r="AG11" s="720"/>
      <c r="AH11" s="720"/>
      <c r="AI11" s="720"/>
      <c r="AJ11" s="720"/>
      <c r="AK11" s="720"/>
      <c r="AL11" s="718"/>
      <c r="AM11" s="719"/>
      <c r="AN11" s="719"/>
      <c r="AO11" s="719"/>
      <c r="AP11" s="720"/>
      <c r="AQ11" s="720"/>
      <c r="AR11" s="720"/>
      <c r="AS11" s="720"/>
      <c r="AT11" s="720"/>
      <c r="AU11" s="720"/>
      <c r="AV11" s="720"/>
      <c r="AW11" s="720"/>
      <c r="AX11" s="720"/>
      <c r="AY11" s="720"/>
      <c r="AZ11" s="720"/>
      <c r="BA11" s="720"/>
    </row>
    <row r="12" spans="1:53">
      <c r="A12" s="719"/>
      <c r="B12" s="719"/>
      <c r="C12" s="720"/>
      <c r="D12" s="720"/>
      <c r="E12" s="720"/>
      <c r="F12" s="720"/>
      <c r="G12" s="720"/>
      <c r="H12" s="720"/>
      <c r="I12" s="720"/>
      <c r="J12" s="720"/>
      <c r="K12" s="720"/>
      <c r="L12" s="720"/>
      <c r="M12" s="720"/>
      <c r="N12" s="720"/>
      <c r="O12" s="720"/>
      <c r="P12" s="720"/>
      <c r="Q12" s="720"/>
      <c r="R12" s="720"/>
      <c r="S12" s="720"/>
      <c r="T12" s="720"/>
      <c r="U12" s="720"/>
      <c r="V12" s="720"/>
      <c r="W12" s="720"/>
      <c r="X12" s="720"/>
      <c r="Y12" s="720"/>
      <c r="Z12" s="720"/>
      <c r="AA12" s="720"/>
      <c r="AB12" s="720"/>
      <c r="AC12" s="720"/>
      <c r="AD12" s="720"/>
      <c r="AE12" s="720"/>
      <c r="AF12" s="720"/>
      <c r="AG12" s="720"/>
      <c r="AH12" s="720"/>
      <c r="AI12" s="720"/>
      <c r="AJ12" s="720"/>
      <c r="AK12" s="720"/>
      <c r="AL12" s="718"/>
      <c r="AM12" s="719"/>
      <c r="AN12" s="719"/>
      <c r="AO12" s="719"/>
      <c r="AP12" s="720"/>
      <c r="AQ12" s="720"/>
      <c r="AR12" s="720"/>
      <c r="AS12" s="720"/>
      <c r="AT12" s="720"/>
      <c r="AU12" s="720"/>
      <c r="AV12" s="720"/>
      <c r="AW12" s="720"/>
      <c r="AX12" s="720"/>
      <c r="AY12" s="720"/>
      <c r="AZ12" s="720"/>
      <c r="BA12" s="720"/>
    </row>
    <row r="13" spans="1:53">
      <c r="A13" s="730"/>
      <c r="B13" s="730"/>
      <c r="C13" s="722"/>
      <c r="D13" s="722"/>
      <c r="E13" s="722"/>
      <c r="F13" s="722"/>
      <c r="G13" s="722"/>
      <c r="H13" s="722"/>
      <c r="I13" s="722"/>
      <c r="J13" s="722"/>
      <c r="K13" s="722"/>
      <c r="L13" s="722"/>
      <c r="M13" s="722"/>
      <c r="N13" s="722"/>
      <c r="O13" s="722"/>
      <c r="P13" s="722"/>
      <c r="Q13" s="721"/>
      <c r="R13" s="720"/>
      <c r="S13" s="720"/>
      <c r="T13" s="720"/>
      <c r="U13" s="720"/>
      <c r="V13" s="720"/>
      <c r="W13" s="720"/>
      <c r="X13" s="720"/>
      <c r="Y13" s="720"/>
      <c r="Z13" s="720"/>
      <c r="AA13" s="720"/>
      <c r="AB13" s="720"/>
      <c r="AC13" s="720"/>
      <c r="AD13" s="720"/>
      <c r="AE13" s="720"/>
      <c r="AF13" s="720"/>
      <c r="AG13" s="720"/>
      <c r="AH13" s="720"/>
      <c r="AI13" s="720"/>
      <c r="AJ13" s="720"/>
      <c r="AK13" s="720"/>
      <c r="AL13" s="729"/>
      <c r="AM13" s="730"/>
      <c r="AN13" s="730"/>
      <c r="AO13" s="730"/>
      <c r="AP13" s="720"/>
      <c r="AQ13" s="720"/>
      <c r="AR13" s="720"/>
      <c r="AS13" s="722"/>
      <c r="AT13" s="722"/>
      <c r="AU13" s="722"/>
      <c r="AV13" s="722"/>
      <c r="AW13" s="722"/>
      <c r="AX13" s="722"/>
      <c r="AY13" s="722"/>
      <c r="AZ13" s="722"/>
      <c r="BA13" s="722"/>
    </row>
    <row r="14" spans="1:53">
      <c r="A14" s="719"/>
      <c r="B14" s="719"/>
      <c r="C14" s="720"/>
      <c r="D14" s="720"/>
      <c r="E14" s="720"/>
      <c r="F14" s="720"/>
      <c r="G14" s="720"/>
      <c r="H14" s="720"/>
      <c r="I14" s="720"/>
      <c r="J14" s="720"/>
      <c r="K14" s="720"/>
      <c r="L14" s="720"/>
      <c r="M14" s="720"/>
      <c r="N14" s="720"/>
      <c r="O14" s="720"/>
      <c r="P14" s="720"/>
      <c r="Q14" s="721"/>
      <c r="R14" s="720"/>
      <c r="S14" s="720"/>
      <c r="T14" s="720"/>
      <c r="U14" s="720"/>
      <c r="V14" s="720"/>
      <c r="W14" s="720"/>
      <c r="X14" s="720"/>
      <c r="Y14" s="720"/>
      <c r="Z14" s="720"/>
      <c r="AA14" s="720"/>
      <c r="AB14" s="720"/>
      <c r="AC14" s="720"/>
      <c r="AD14" s="720"/>
      <c r="AE14" s="720"/>
      <c r="AF14" s="720"/>
      <c r="AG14" s="720"/>
      <c r="AH14" s="720"/>
      <c r="AI14" s="720"/>
      <c r="AJ14" s="720"/>
      <c r="AK14" s="720"/>
      <c r="AL14" s="718"/>
      <c r="AM14" s="719"/>
      <c r="AN14" s="719"/>
      <c r="AO14" s="719"/>
      <c r="AP14" s="720"/>
      <c r="AQ14" s="720"/>
      <c r="AR14" s="720"/>
      <c r="AS14" s="720"/>
      <c r="AT14" s="720"/>
      <c r="AU14" s="720"/>
      <c r="AV14" s="720"/>
      <c r="AW14" s="720"/>
      <c r="AX14" s="720"/>
      <c r="AY14" s="720"/>
      <c r="AZ14" s="720"/>
      <c r="BA14" s="720"/>
    </row>
    <row r="15" spans="1:53">
      <c r="A15" s="719"/>
      <c r="B15" s="719"/>
      <c r="C15" s="720"/>
      <c r="D15" s="720"/>
      <c r="E15" s="720"/>
      <c r="F15" s="720"/>
      <c r="G15" s="720"/>
      <c r="H15" s="720"/>
      <c r="I15" s="720"/>
      <c r="J15" s="720"/>
      <c r="K15" s="720"/>
      <c r="L15" s="720"/>
      <c r="M15" s="720"/>
      <c r="N15" s="720"/>
      <c r="O15" s="720"/>
      <c r="P15" s="720"/>
      <c r="Q15" s="721"/>
      <c r="R15" s="720"/>
      <c r="S15" s="720"/>
      <c r="T15" s="720"/>
      <c r="U15" s="720"/>
      <c r="V15" s="720"/>
      <c r="W15" s="720"/>
      <c r="X15" s="720"/>
      <c r="Y15" s="720"/>
      <c r="Z15" s="720"/>
      <c r="AA15" s="720"/>
      <c r="AB15" s="720"/>
      <c r="AC15" s="720"/>
      <c r="AD15" s="720"/>
      <c r="AE15" s="720"/>
      <c r="AF15" s="720"/>
      <c r="AG15" s="720"/>
      <c r="AH15" s="720"/>
      <c r="AI15" s="720"/>
      <c r="AJ15" s="720"/>
      <c r="AK15" s="720"/>
      <c r="AL15" s="718"/>
      <c r="AM15" s="719"/>
      <c r="AN15" s="719"/>
      <c r="AO15" s="719"/>
      <c r="AP15" s="720"/>
      <c r="AQ15" s="720"/>
      <c r="AR15" s="720"/>
      <c r="AS15" s="720"/>
      <c r="AT15" s="720"/>
      <c r="AU15" s="720"/>
      <c r="AV15" s="720"/>
      <c r="AW15" s="720"/>
      <c r="AX15" s="720"/>
      <c r="AY15" s="720"/>
      <c r="AZ15" s="720"/>
      <c r="BA15" s="720"/>
    </row>
    <row r="16" spans="1:53">
      <c r="A16" s="719"/>
      <c r="B16" s="719"/>
      <c r="C16" s="720"/>
      <c r="D16" s="720"/>
      <c r="E16" s="720"/>
      <c r="F16" s="720"/>
      <c r="G16" s="720"/>
      <c r="H16" s="720"/>
      <c r="I16" s="720"/>
      <c r="J16" s="720"/>
      <c r="K16" s="720"/>
      <c r="L16" s="720"/>
      <c r="M16" s="720"/>
      <c r="N16" s="720"/>
      <c r="O16" s="720"/>
      <c r="P16" s="720"/>
      <c r="Q16" s="721"/>
      <c r="R16" s="720"/>
      <c r="S16" s="720"/>
      <c r="T16" s="720"/>
      <c r="U16" s="720"/>
      <c r="V16" s="720"/>
      <c r="W16" s="720"/>
      <c r="X16" s="720"/>
      <c r="Y16" s="720"/>
      <c r="Z16" s="720"/>
      <c r="AA16" s="720"/>
      <c r="AB16" s="720"/>
      <c r="AC16" s="720"/>
      <c r="AD16" s="720"/>
      <c r="AE16" s="720"/>
      <c r="AF16" s="720"/>
      <c r="AG16" s="720"/>
      <c r="AH16" s="720"/>
      <c r="AI16" s="720"/>
      <c r="AJ16" s="720"/>
      <c r="AK16" s="720"/>
      <c r="AL16" s="718"/>
      <c r="AM16" s="719"/>
      <c r="AN16" s="719"/>
      <c r="AO16" s="719"/>
      <c r="AP16" s="720"/>
      <c r="AQ16" s="720"/>
      <c r="AR16" s="720"/>
      <c r="AS16" s="720"/>
      <c r="AT16" s="720"/>
      <c r="AU16" s="720"/>
      <c r="AV16" s="720"/>
      <c r="AW16" s="720"/>
      <c r="AX16" s="720"/>
      <c r="AY16" s="720"/>
      <c r="AZ16" s="720"/>
      <c r="BA16" s="720"/>
    </row>
    <row r="17" spans="1:53">
      <c r="A17" s="736"/>
      <c r="B17" s="736"/>
      <c r="C17" s="720"/>
      <c r="D17" s="720"/>
      <c r="E17" s="720"/>
      <c r="F17" s="720"/>
      <c r="G17" s="720"/>
      <c r="H17" s="720"/>
      <c r="I17" s="720"/>
      <c r="J17" s="720"/>
      <c r="K17" s="720"/>
      <c r="L17" s="720"/>
      <c r="M17" s="720"/>
      <c r="N17" s="720"/>
      <c r="O17" s="720"/>
      <c r="P17" s="720"/>
      <c r="Q17" s="720"/>
      <c r="R17" s="723"/>
      <c r="S17" s="723"/>
      <c r="T17" s="723"/>
      <c r="U17" s="723"/>
      <c r="V17" s="723"/>
      <c r="W17" s="723"/>
      <c r="X17" s="723"/>
      <c r="Y17" s="723"/>
      <c r="Z17" s="723"/>
      <c r="AA17" s="723"/>
      <c r="AB17" s="723"/>
      <c r="AC17" s="723"/>
      <c r="AD17" s="723"/>
      <c r="AE17" s="723"/>
      <c r="AF17" s="723"/>
      <c r="AG17" s="723"/>
      <c r="AH17" s="723"/>
      <c r="AI17" s="723"/>
      <c r="AJ17" s="723"/>
      <c r="AK17" s="723"/>
      <c r="AL17" s="718"/>
      <c r="AM17" s="719"/>
      <c r="AN17" s="719"/>
      <c r="AO17" s="719"/>
      <c r="AP17" s="720"/>
      <c r="AQ17" s="723"/>
      <c r="AR17" s="723"/>
      <c r="AS17" s="723"/>
      <c r="AT17" s="723"/>
      <c r="AU17" s="723"/>
      <c r="AV17" s="723"/>
      <c r="AW17" s="723"/>
      <c r="AX17" s="723"/>
      <c r="AY17" s="723"/>
      <c r="AZ17" s="723"/>
      <c r="BA17" s="723"/>
    </row>
    <row r="18" spans="1:53">
      <c r="A18" s="736"/>
      <c r="B18" s="736"/>
      <c r="C18" s="720"/>
      <c r="D18" s="720"/>
      <c r="E18" s="720"/>
      <c r="F18" s="720"/>
      <c r="G18" s="720"/>
      <c r="H18" s="720"/>
      <c r="I18" s="720"/>
      <c r="J18" s="720"/>
      <c r="K18" s="720"/>
      <c r="L18" s="720"/>
      <c r="M18" s="720"/>
      <c r="N18" s="720"/>
      <c r="O18" s="720"/>
      <c r="P18" s="720"/>
      <c r="Q18" s="720"/>
      <c r="R18" s="723"/>
      <c r="S18" s="723"/>
      <c r="T18" s="723"/>
      <c r="U18" s="723"/>
      <c r="V18" s="723"/>
      <c r="W18" s="723"/>
      <c r="X18" s="723"/>
      <c r="Y18" s="723"/>
      <c r="Z18" s="723"/>
      <c r="AA18" s="723"/>
      <c r="AB18" s="723"/>
      <c r="AC18" s="723"/>
      <c r="AD18" s="723"/>
      <c r="AE18" s="723"/>
      <c r="AF18" s="723"/>
      <c r="AG18" s="723"/>
      <c r="AH18" s="723"/>
      <c r="AI18" s="723"/>
      <c r="AJ18" s="723"/>
      <c r="AK18" s="723"/>
      <c r="AL18" s="718"/>
      <c r="AM18" s="719"/>
      <c r="AN18" s="719"/>
      <c r="AO18" s="719"/>
      <c r="AP18" s="720"/>
      <c r="AQ18" s="723"/>
      <c r="AR18" s="723"/>
      <c r="AS18" s="723"/>
      <c r="AT18" s="723"/>
      <c r="AU18" s="723"/>
      <c r="AV18" s="723"/>
      <c r="AW18" s="723"/>
      <c r="AX18" s="723"/>
      <c r="AY18" s="723"/>
      <c r="AZ18" s="723"/>
      <c r="BA18" s="723"/>
    </row>
    <row r="19" spans="1:53">
      <c r="A19" s="719"/>
      <c r="B19" s="719"/>
      <c r="C19" s="720"/>
      <c r="D19" s="720"/>
      <c r="E19" s="720"/>
      <c r="F19" s="720"/>
      <c r="G19" s="720"/>
      <c r="H19" s="720"/>
      <c r="I19" s="720"/>
      <c r="J19" s="720"/>
      <c r="K19" s="720"/>
      <c r="L19" s="720"/>
      <c r="M19" s="720"/>
      <c r="N19" s="720"/>
      <c r="O19" s="720"/>
      <c r="P19" s="720"/>
      <c r="Q19" s="720"/>
      <c r="R19" s="720"/>
      <c r="S19" s="720"/>
      <c r="T19" s="720"/>
      <c r="U19" s="720"/>
      <c r="V19" s="720"/>
      <c r="W19" s="720"/>
      <c r="X19" s="720"/>
      <c r="Y19" s="720"/>
      <c r="Z19" s="720"/>
      <c r="AA19" s="720"/>
      <c r="AB19" s="720"/>
      <c r="AC19" s="720"/>
      <c r="AD19" s="720"/>
      <c r="AE19" s="720"/>
      <c r="AF19" s="720"/>
      <c r="AG19" s="720"/>
      <c r="AH19" s="720"/>
      <c r="AI19" s="720"/>
      <c r="AJ19" s="720"/>
      <c r="AK19" s="720"/>
      <c r="AL19" s="718"/>
      <c r="AM19" s="718"/>
      <c r="AN19" s="718"/>
      <c r="AO19" s="718"/>
      <c r="AP19" s="720"/>
      <c r="AQ19" s="720"/>
      <c r="AR19" s="720"/>
      <c r="AS19" s="720"/>
      <c r="AT19" s="720"/>
      <c r="AU19" s="720"/>
      <c r="AV19" s="720"/>
      <c r="AW19" s="720"/>
      <c r="AX19" s="720"/>
      <c r="AY19" s="720"/>
      <c r="AZ19" s="720"/>
      <c r="BA19" s="720"/>
    </row>
    <row r="20" spans="1:53">
      <c r="A20" s="719"/>
      <c r="B20" s="719"/>
      <c r="C20" s="720"/>
      <c r="D20" s="720"/>
      <c r="E20" s="720"/>
      <c r="F20" s="720"/>
      <c r="G20" s="720"/>
      <c r="H20" s="720"/>
      <c r="I20" s="720"/>
      <c r="J20" s="720"/>
      <c r="K20" s="720"/>
      <c r="L20" s="720"/>
      <c r="M20" s="720"/>
      <c r="N20" s="720"/>
      <c r="O20" s="720"/>
      <c r="P20" s="720"/>
      <c r="Q20" s="720"/>
      <c r="R20" s="720"/>
      <c r="S20" s="720"/>
      <c r="T20" s="720"/>
      <c r="U20" s="720"/>
      <c r="V20" s="720"/>
      <c r="W20" s="720"/>
      <c r="X20" s="720"/>
      <c r="Y20" s="720"/>
      <c r="Z20" s="720"/>
      <c r="AA20" s="720"/>
      <c r="AB20" s="720"/>
      <c r="AC20" s="720"/>
      <c r="AD20" s="720"/>
      <c r="AE20" s="720"/>
      <c r="AF20" s="720"/>
      <c r="AG20" s="720"/>
      <c r="AH20" s="720"/>
      <c r="AI20" s="720"/>
      <c r="AJ20" s="720"/>
      <c r="AK20" s="720"/>
      <c r="AL20" s="718"/>
      <c r="AM20" s="718"/>
      <c r="AN20" s="718"/>
      <c r="AO20" s="718"/>
      <c r="AP20" s="720"/>
      <c r="AQ20" s="720"/>
      <c r="AR20" s="720"/>
      <c r="AS20" s="720"/>
      <c r="AT20" s="720"/>
      <c r="AU20" s="720"/>
      <c r="AV20" s="720"/>
      <c r="AW20" s="720"/>
      <c r="AX20" s="720"/>
      <c r="AY20" s="720"/>
      <c r="AZ20" s="720"/>
      <c r="BA20" s="720"/>
    </row>
    <row r="21" spans="1:53" ht="13.5" customHeight="1">
      <c r="A21" s="719"/>
      <c r="B21" s="719"/>
      <c r="C21" s="720"/>
      <c r="D21" s="720"/>
      <c r="E21" s="720"/>
      <c r="F21" s="720"/>
      <c r="G21" s="720"/>
      <c r="H21" s="720"/>
      <c r="I21" s="720"/>
      <c r="J21" s="720"/>
      <c r="K21" s="720"/>
      <c r="L21" s="720"/>
      <c r="M21" s="720"/>
      <c r="N21" s="720"/>
      <c r="O21" s="720"/>
      <c r="P21" s="720"/>
      <c r="Q21" s="720"/>
      <c r="R21" s="723"/>
      <c r="S21" s="723"/>
      <c r="T21" s="723"/>
      <c r="U21" s="723"/>
      <c r="V21" s="723"/>
      <c r="W21" s="723"/>
      <c r="X21" s="723"/>
      <c r="Y21" s="723"/>
      <c r="Z21" s="723"/>
      <c r="AA21" s="723"/>
      <c r="AB21" s="723"/>
      <c r="AC21" s="723"/>
      <c r="AD21" s="723"/>
      <c r="AE21" s="723"/>
      <c r="AF21" s="723"/>
      <c r="AG21" s="723"/>
      <c r="AH21" s="723"/>
      <c r="AI21" s="723"/>
      <c r="AJ21" s="723"/>
      <c r="AK21" s="723"/>
      <c r="AL21" s="718"/>
      <c r="AM21" s="718"/>
      <c r="AN21" s="718"/>
      <c r="AO21" s="718"/>
      <c r="AP21" s="720"/>
      <c r="AQ21" s="720"/>
      <c r="AR21" s="720"/>
      <c r="AS21" s="720"/>
      <c r="AT21" s="720"/>
      <c r="AU21" s="720"/>
      <c r="AV21" s="720"/>
      <c r="AW21" s="720"/>
      <c r="AX21" s="720"/>
      <c r="AY21" s="720"/>
      <c r="AZ21" s="720"/>
      <c r="BA21" s="720"/>
    </row>
    <row r="22" spans="1:53">
      <c r="A22" s="719"/>
      <c r="B22" s="719"/>
      <c r="C22" s="720"/>
      <c r="D22" s="720"/>
      <c r="E22" s="720"/>
      <c r="F22" s="720"/>
      <c r="G22" s="720"/>
      <c r="H22" s="720"/>
      <c r="I22" s="720"/>
      <c r="J22" s="720"/>
      <c r="K22" s="720"/>
      <c r="L22" s="720"/>
      <c r="M22" s="720"/>
      <c r="N22" s="720"/>
      <c r="O22" s="720"/>
      <c r="P22" s="720"/>
      <c r="Q22" s="720"/>
      <c r="R22" s="720"/>
      <c r="S22" s="720"/>
      <c r="T22" s="720"/>
      <c r="U22" s="720"/>
      <c r="V22" s="720"/>
      <c r="W22" s="720"/>
      <c r="X22" s="720"/>
      <c r="Y22" s="720"/>
      <c r="Z22" s="720"/>
      <c r="AA22" s="720"/>
      <c r="AB22" s="720"/>
      <c r="AC22" s="720"/>
      <c r="AD22" s="720"/>
      <c r="AE22" s="720"/>
      <c r="AF22" s="720"/>
      <c r="AG22" s="720"/>
      <c r="AH22" s="720"/>
      <c r="AI22" s="720"/>
      <c r="AJ22" s="720"/>
      <c r="AK22" s="720"/>
      <c r="AL22" s="718"/>
      <c r="AM22" s="718"/>
      <c r="AN22" s="718"/>
      <c r="AO22" s="718"/>
      <c r="AP22" s="720"/>
      <c r="AQ22" s="720"/>
      <c r="AR22" s="720"/>
      <c r="AS22" s="720"/>
      <c r="AT22" s="720"/>
      <c r="AU22" s="720"/>
      <c r="AV22" s="720"/>
      <c r="AW22" s="720"/>
      <c r="AX22" s="720"/>
      <c r="AY22" s="720"/>
      <c r="AZ22" s="720"/>
      <c r="BA22" s="720"/>
    </row>
    <row r="23" spans="1:53">
      <c r="A23" s="719"/>
      <c r="B23" s="719"/>
      <c r="C23" s="720"/>
      <c r="D23" s="720"/>
      <c r="E23" s="720"/>
      <c r="F23" s="720"/>
      <c r="G23" s="720"/>
      <c r="H23" s="720"/>
      <c r="I23" s="720"/>
      <c r="J23" s="720"/>
      <c r="K23" s="720"/>
      <c r="L23" s="720"/>
      <c r="M23" s="720"/>
      <c r="N23" s="720"/>
      <c r="O23" s="720"/>
      <c r="P23" s="720"/>
      <c r="Q23" s="720"/>
      <c r="R23" s="723"/>
      <c r="S23" s="723"/>
      <c r="T23" s="723"/>
      <c r="U23" s="723"/>
      <c r="V23" s="723"/>
      <c r="W23" s="723"/>
      <c r="X23" s="723"/>
      <c r="Y23" s="723"/>
      <c r="Z23" s="723"/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18"/>
      <c r="AM23" s="718"/>
      <c r="AN23" s="718"/>
      <c r="AO23" s="718"/>
      <c r="AP23" s="720"/>
      <c r="AQ23" s="720"/>
      <c r="AR23" s="720"/>
      <c r="AS23" s="720"/>
      <c r="AT23" s="720"/>
      <c r="AU23" s="720"/>
      <c r="AV23" s="720"/>
      <c r="AW23" s="720"/>
      <c r="AX23" s="720"/>
      <c r="AY23" s="720"/>
      <c r="AZ23" s="720"/>
      <c r="BA23" s="720"/>
    </row>
    <row r="24" spans="1:53">
      <c r="A24" s="719"/>
      <c r="B24" s="719"/>
      <c r="C24" s="720"/>
      <c r="D24" s="720"/>
      <c r="E24" s="720"/>
      <c r="F24" s="720"/>
      <c r="G24" s="720"/>
      <c r="H24" s="720"/>
      <c r="I24" s="720"/>
      <c r="J24" s="720"/>
      <c r="K24" s="720"/>
      <c r="L24" s="720"/>
      <c r="M24" s="720"/>
      <c r="N24" s="720"/>
      <c r="O24" s="720"/>
      <c r="P24" s="720"/>
      <c r="Q24" s="720"/>
      <c r="R24" s="720"/>
      <c r="S24" s="720"/>
      <c r="T24" s="720"/>
      <c r="U24" s="720"/>
      <c r="V24" s="720"/>
      <c r="W24" s="720"/>
      <c r="X24" s="720"/>
      <c r="Y24" s="720"/>
      <c r="Z24" s="720"/>
      <c r="AA24" s="720"/>
      <c r="AB24" s="720"/>
      <c r="AC24" s="720"/>
      <c r="AD24" s="720"/>
      <c r="AE24" s="720"/>
      <c r="AF24" s="720"/>
      <c r="AG24" s="720"/>
      <c r="AH24" s="720"/>
      <c r="AI24" s="720"/>
      <c r="AJ24" s="720"/>
      <c r="AK24" s="720"/>
      <c r="AL24" s="718"/>
      <c r="AM24" s="718"/>
      <c r="AN24" s="718"/>
      <c r="AO24" s="718"/>
      <c r="AP24" s="720"/>
      <c r="AQ24" s="720"/>
      <c r="AR24" s="720"/>
      <c r="AS24" s="720"/>
      <c r="AT24" s="720"/>
      <c r="AU24" s="720"/>
      <c r="AV24" s="720"/>
      <c r="AW24" s="720"/>
      <c r="AX24" s="720"/>
      <c r="AY24" s="720"/>
      <c r="AZ24" s="720"/>
      <c r="BA24" s="720"/>
    </row>
    <row r="25" spans="1:53">
      <c r="A25" s="719"/>
      <c r="B25" s="719"/>
      <c r="C25" s="720"/>
      <c r="D25" s="720"/>
      <c r="E25" s="720"/>
      <c r="F25" s="720"/>
      <c r="G25" s="720"/>
      <c r="H25" s="720"/>
      <c r="I25" s="720"/>
      <c r="J25" s="720"/>
      <c r="K25" s="720"/>
      <c r="L25" s="720"/>
      <c r="M25" s="720"/>
      <c r="N25" s="720"/>
      <c r="O25" s="720"/>
      <c r="P25" s="720"/>
      <c r="Q25" s="720"/>
      <c r="R25" s="720"/>
      <c r="S25" s="720"/>
      <c r="T25" s="720"/>
      <c r="U25" s="720"/>
      <c r="V25" s="720"/>
      <c r="W25" s="720"/>
      <c r="X25" s="720"/>
      <c r="Y25" s="720"/>
      <c r="Z25" s="720"/>
      <c r="AA25" s="720"/>
      <c r="AB25" s="720"/>
      <c r="AC25" s="720"/>
      <c r="AD25" s="720"/>
      <c r="AE25" s="720"/>
      <c r="AF25" s="720"/>
      <c r="AG25" s="720"/>
      <c r="AH25" s="720"/>
      <c r="AI25" s="720"/>
      <c r="AJ25" s="720"/>
      <c r="AK25" s="720"/>
      <c r="AL25" s="718"/>
      <c r="AM25" s="719"/>
      <c r="AN25" s="719"/>
      <c r="AO25" s="719"/>
      <c r="AP25" s="720"/>
      <c r="AQ25" s="720"/>
      <c r="AR25" s="720"/>
      <c r="AS25" s="720"/>
      <c r="AT25" s="720"/>
      <c r="AU25" s="720"/>
      <c r="AV25" s="720"/>
      <c r="AW25" s="720"/>
      <c r="AX25" s="720"/>
      <c r="AY25" s="720"/>
      <c r="AZ25" s="720"/>
      <c r="BA25" s="720"/>
    </row>
    <row r="26" spans="1:53">
      <c r="A26" s="719"/>
      <c r="B26" s="719"/>
      <c r="C26" s="720"/>
      <c r="D26" s="720"/>
      <c r="E26" s="720"/>
      <c r="F26" s="720"/>
      <c r="G26" s="720"/>
      <c r="H26" s="720"/>
      <c r="I26" s="720"/>
      <c r="J26" s="720"/>
      <c r="K26" s="720"/>
      <c r="L26" s="720"/>
      <c r="M26" s="720"/>
      <c r="N26" s="720"/>
      <c r="O26" s="720"/>
      <c r="P26" s="720"/>
      <c r="Q26" s="720"/>
      <c r="R26" s="720"/>
      <c r="S26" s="720"/>
      <c r="T26" s="720"/>
      <c r="U26" s="720"/>
      <c r="V26" s="720"/>
      <c r="W26" s="720"/>
      <c r="X26" s="720"/>
      <c r="Y26" s="720"/>
      <c r="Z26" s="720"/>
      <c r="AA26" s="720"/>
      <c r="AB26" s="720"/>
      <c r="AC26" s="720"/>
      <c r="AD26" s="720"/>
      <c r="AE26" s="720"/>
      <c r="AF26" s="720"/>
      <c r="AG26" s="720"/>
      <c r="AH26" s="720"/>
      <c r="AI26" s="720"/>
      <c r="AJ26" s="720"/>
      <c r="AK26" s="720"/>
      <c r="AL26" s="718"/>
      <c r="AM26" s="719"/>
      <c r="AN26" s="719"/>
      <c r="AO26" s="719"/>
      <c r="AP26" s="720"/>
      <c r="AQ26" s="720"/>
      <c r="AR26" s="720"/>
      <c r="AS26" s="720"/>
      <c r="AT26" s="720"/>
      <c r="AU26" s="720"/>
      <c r="AV26" s="720"/>
      <c r="AW26" s="720"/>
      <c r="AX26" s="720"/>
      <c r="AY26" s="720"/>
      <c r="AZ26" s="720"/>
      <c r="BA26" s="720"/>
    </row>
    <row r="27" spans="1:53">
      <c r="A27" s="719"/>
      <c r="B27" s="719"/>
      <c r="C27" s="720"/>
      <c r="D27" s="720"/>
      <c r="E27" s="720"/>
      <c r="F27" s="720"/>
      <c r="G27" s="720"/>
      <c r="H27" s="720"/>
      <c r="I27" s="720"/>
      <c r="J27" s="720"/>
      <c r="K27" s="720"/>
      <c r="L27" s="720"/>
      <c r="M27" s="720"/>
      <c r="N27" s="720"/>
      <c r="O27" s="720"/>
      <c r="P27" s="720"/>
      <c r="Q27" s="720"/>
      <c r="R27" s="720"/>
      <c r="S27" s="720"/>
      <c r="T27" s="720"/>
      <c r="U27" s="720"/>
      <c r="V27" s="720"/>
      <c r="W27" s="720"/>
      <c r="X27" s="720"/>
      <c r="Y27" s="720"/>
      <c r="Z27" s="720"/>
      <c r="AA27" s="720"/>
      <c r="AB27" s="720"/>
      <c r="AC27" s="720"/>
      <c r="AD27" s="720"/>
      <c r="AE27" s="720"/>
      <c r="AF27" s="720"/>
      <c r="AG27" s="720"/>
      <c r="AH27" s="720"/>
      <c r="AI27" s="720"/>
      <c r="AJ27" s="720"/>
      <c r="AK27" s="720"/>
      <c r="AL27" s="718"/>
      <c r="AM27" s="719"/>
      <c r="AN27" s="719"/>
      <c r="AO27" s="719"/>
      <c r="AP27" s="720"/>
      <c r="AQ27" s="720"/>
      <c r="AR27" s="720"/>
      <c r="AS27" s="720"/>
      <c r="AT27" s="720"/>
      <c r="AU27" s="720"/>
      <c r="AV27" s="720"/>
      <c r="AW27" s="720"/>
      <c r="AX27" s="720"/>
      <c r="AY27" s="720"/>
      <c r="AZ27" s="720"/>
      <c r="BA27" s="720"/>
    </row>
    <row r="28" spans="1:53">
      <c r="A28" s="719"/>
      <c r="B28" s="719"/>
      <c r="C28" s="720"/>
      <c r="D28" s="720"/>
      <c r="E28" s="720"/>
      <c r="F28" s="720"/>
      <c r="G28" s="720"/>
      <c r="H28" s="720"/>
      <c r="I28" s="720"/>
      <c r="J28" s="720"/>
      <c r="K28" s="720"/>
      <c r="L28" s="720"/>
      <c r="M28" s="720"/>
      <c r="N28" s="720"/>
      <c r="O28" s="720"/>
      <c r="P28" s="720"/>
      <c r="Q28" s="720"/>
      <c r="R28" s="720"/>
      <c r="S28" s="720"/>
      <c r="T28" s="720"/>
      <c r="U28" s="720"/>
      <c r="V28" s="720"/>
      <c r="W28" s="720"/>
      <c r="X28" s="720"/>
      <c r="Y28" s="720"/>
      <c r="Z28" s="720"/>
      <c r="AA28" s="720"/>
      <c r="AB28" s="720"/>
      <c r="AC28" s="720"/>
      <c r="AD28" s="720"/>
      <c r="AE28" s="720"/>
      <c r="AF28" s="720"/>
      <c r="AG28" s="720"/>
      <c r="AH28" s="720"/>
      <c r="AI28" s="720"/>
      <c r="AJ28" s="720"/>
      <c r="AK28" s="720"/>
      <c r="AL28" s="718"/>
      <c r="AM28" s="719"/>
      <c r="AN28" s="719"/>
      <c r="AO28" s="719"/>
      <c r="AP28" s="720"/>
      <c r="AQ28" s="720"/>
      <c r="AR28" s="720"/>
      <c r="AS28" s="720"/>
      <c r="AT28" s="720"/>
      <c r="AU28" s="720"/>
      <c r="AV28" s="720"/>
      <c r="AW28" s="720"/>
      <c r="AX28" s="720"/>
      <c r="AY28" s="720"/>
      <c r="AZ28" s="720"/>
      <c r="BA28" s="720"/>
    </row>
    <row r="29" spans="1:53">
      <c r="A29" s="719"/>
      <c r="B29" s="719"/>
      <c r="C29" s="720"/>
      <c r="D29" s="720"/>
      <c r="E29" s="720"/>
      <c r="F29" s="720"/>
      <c r="G29" s="720"/>
      <c r="H29" s="720"/>
      <c r="I29" s="720"/>
      <c r="J29" s="720"/>
      <c r="K29" s="720"/>
      <c r="L29" s="720"/>
      <c r="M29" s="720"/>
      <c r="N29" s="720"/>
      <c r="O29" s="720"/>
      <c r="P29" s="720"/>
      <c r="Q29" s="720"/>
      <c r="R29" s="720"/>
      <c r="S29" s="720"/>
      <c r="T29" s="720"/>
      <c r="U29" s="720"/>
      <c r="V29" s="720"/>
      <c r="W29" s="720"/>
      <c r="X29" s="720"/>
      <c r="Y29" s="720"/>
      <c r="Z29" s="720"/>
      <c r="AA29" s="720"/>
      <c r="AB29" s="720"/>
      <c r="AC29" s="720"/>
      <c r="AD29" s="720"/>
      <c r="AE29" s="720"/>
      <c r="AF29" s="720"/>
      <c r="AG29" s="720"/>
      <c r="AH29" s="720"/>
      <c r="AI29" s="720"/>
      <c r="AJ29" s="720"/>
      <c r="AK29" s="720"/>
      <c r="AL29" s="718"/>
      <c r="AM29" s="719"/>
      <c r="AN29" s="719"/>
      <c r="AO29" s="719"/>
      <c r="AP29" s="720"/>
      <c r="AQ29" s="720"/>
      <c r="AR29" s="720"/>
      <c r="AS29" s="720"/>
      <c r="AT29" s="720"/>
      <c r="AU29" s="720"/>
      <c r="AV29" s="720"/>
      <c r="AW29" s="720"/>
      <c r="AX29" s="720"/>
      <c r="AY29" s="720"/>
      <c r="AZ29" s="720"/>
      <c r="BA29" s="720"/>
    </row>
    <row r="30" spans="1:53">
      <c r="A30" s="719"/>
      <c r="B30" s="719"/>
      <c r="C30" s="720"/>
      <c r="D30" s="720"/>
      <c r="E30" s="720"/>
      <c r="F30" s="720"/>
      <c r="G30" s="720"/>
      <c r="H30" s="720"/>
      <c r="I30" s="720"/>
      <c r="J30" s="720"/>
      <c r="K30" s="720"/>
      <c r="L30" s="720"/>
      <c r="M30" s="720"/>
      <c r="N30" s="720"/>
      <c r="O30" s="720"/>
      <c r="P30" s="720"/>
      <c r="Q30" s="720"/>
      <c r="R30" s="720"/>
      <c r="S30" s="720"/>
      <c r="T30" s="720"/>
      <c r="U30" s="720"/>
      <c r="V30" s="720"/>
      <c r="W30" s="720"/>
      <c r="X30" s="720"/>
      <c r="Y30" s="720"/>
      <c r="Z30" s="720"/>
      <c r="AA30" s="720"/>
      <c r="AB30" s="720"/>
      <c r="AC30" s="720"/>
      <c r="AD30" s="720"/>
      <c r="AE30" s="720"/>
      <c r="AF30" s="720"/>
      <c r="AG30" s="720"/>
      <c r="AH30" s="720"/>
      <c r="AI30" s="720"/>
      <c r="AJ30" s="720"/>
      <c r="AK30" s="720"/>
      <c r="AL30" s="719"/>
      <c r="AM30" s="719"/>
      <c r="AN30" s="719"/>
      <c r="AO30" s="719"/>
      <c r="AP30" s="720"/>
      <c r="AQ30" s="720"/>
      <c r="AR30" s="720"/>
      <c r="AS30" s="720"/>
      <c r="AT30" s="720"/>
      <c r="AU30" s="720"/>
      <c r="AV30" s="720"/>
      <c r="AW30" s="720"/>
      <c r="AX30" s="720"/>
      <c r="AY30" s="720"/>
      <c r="AZ30" s="720"/>
      <c r="BA30" s="720"/>
    </row>
    <row r="31" spans="1:53">
      <c r="A31" s="719"/>
      <c r="B31" s="719"/>
      <c r="C31" s="720"/>
      <c r="D31" s="720"/>
      <c r="E31" s="720"/>
      <c r="F31" s="720"/>
      <c r="G31" s="720"/>
      <c r="H31" s="720"/>
      <c r="I31" s="720"/>
      <c r="J31" s="720"/>
      <c r="K31" s="720"/>
      <c r="L31" s="720"/>
      <c r="M31" s="720"/>
      <c r="N31" s="720"/>
      <c r="O31" s="720"/>
      <c r="P31" s="720"/>
      <c r="Q31" s="720"/>
      <c r="R31" s="720"/>
      <c r="S31" s="720"/>
      <c r="T31" s="720"/>
      <c r="U31" s="720"/>
      <c r="V31" s="720"/>
      <c r="W31" s="720"/>
      <c r="X31" s="720"/>
      <c r="Y31" s="720"/>
      <c r="Z31" s="720"/>
      <c r="AA31" s="720"/>
      <c r="AB31" s="720"/>
      <c r="AC31" s="720"/>
      <c r="AD31" s="720"/>
      <c r="AE31" s="720"/>
      <c r="AF31" s="720"/>
      <c r="AG31" s="720"/>
      <c r="AH31" s="720"/>
      <c r="AI31" s="720"/>
      <c r="AJ31" s="720"/>
      <c r="AK31" s="720"/>
      <c r="AL31" s="719"/>
      <c r="AM31" s="719"/>
      <c r="AN31" s="719"/>
      <c r="AO31" s="719"/>
      <c r="AP31" s="720"/>
      <c r="AQ31" s="720"/>
      <c r="AR31" s="720"/>
      <c r="AS31" s="720"/>
      <c r="AT31" s="720"/>
      <c r="AU31" s="720"/>
      <c r="AV31" s="720"/>
      <c r="AW31" s="720"/>
      <c r="AX31" s="720"/>
      <c r="AY31" s="720"/>
      <c r="AZ31" s="720"/>
      <c r="BA31" s="720"/>
    </row>
    <row r="32" spans="1:53">
      <c r="A32" s="719"/>
      <c r="B32" s="719"/>
      <c r="C32" s="720"/>
      <c r="D32" s="720"/>
      <c r="E32" s="720"/>
      <c r="F32" s="720"/>
      <c r="G32" s="720"/>
      <c r="H32" s="720"/>
      <c r="I32" s="720"/>
      <c r="J32" s="720"/>
      <c r="K32" s="720"/>
      <c r="L32" s="720"/>
      <c r="M32" s="720"/>
      <c r="N32" s="720"/>
      <c r="O32" s="720"/>
      <c r="P32" s="720"/>
      <c r="Q32" s="720"/>
      <c r="R32" s="720"/>
      <c r="S32" s="720"/>
      <c r="T32" s="720"/>
      <c r="U32" s="720"/>
      <c r="V32" s="720"/>
      <c r="W32" s="720"/>
      <c r="X32" s="720"/>
      <c r="Y32" s="720"/>
      <c r="Z32" s="720"/>
      <c r="AA32" s="720"/>
      <c r="AB32" s="720"/>
      <c r="AC32" s="720"/>
      <c r="AD32" s="720"/>
      <c r="AE32" s="720"/>
      <c r="AF32" s="720"/>
      <c r="AG32" s="720"/>
      <c r="AH32" s="720"/>
      <c r="AI32" s="720"/>
      <c r="AJ32" s="720"/>
      <c r="AK32" s="720"/>
      <c r="AL32" s="719"/>
      <c r="AM32" s="719"/>
      <c r="AN32" s="719"/>
      <c r="AO32" s="719"/>
      <c r="AP32" s="720"/>
      <c r="AQ32" s="720"/>
      <c r="AR32" s="720"/>
      <c r="AS32" s="720"/>
      <c r="AT32" s="720"/>
      <c r="AU32" s="720"/>
      <c r="AV32" s="720"/>
      <c r="AW32" s="720"/>
      <c r="AX32" s="720"/>
      <c r="AY32" s="720"/>
      <c r="AZ32" s="720"/>
      <c r="BA32" s="720"/>
    </row>
    <row r="33" spans="1:53">
      <c r="A33" s="719"/>
      <c r="B33" s="719"/>
      <c r="C33" s="720"/>
      <c r="D33" s="720"/>
      <c r="E33" s="720"/>
      <c r="F33" s="720"/>
      <c r="G33" s="720"/>
      <c r="H33" s="720"/>
      <c r="I33" s="720"/>
      <c r="J33" s="720"/>
      <c r="K33" s="720"/>
      <c r="L33" s="720"/>
      <c r="M33" s="720"/>
      <c r="N33" s="720"/>
      <c r="O33" s="720"/>
      <c r="P33" s="720"/>
      <c r="Q33" s="720"/>
      <c r="R33" s="720"/>
      <c r="S33" s="720"/>
      <c r="T33" s="720"/>
      <c r="U33" s="720"/>
      <c r="V33" s="720"/>
      <c r="W33" s="720"/>
      <c r="X33" s="720"/>
      <c r="Y33" s="720"/>
      <c r="Z33" s="720"/>
      <c r="AA33" s="720"/>
      <c r="AB33" s="720"/>
      <c r="AC33" s="720"/>
      <c r="AD33" s="720"/>
      <c r="AE33" s="720"/>
      <c r="AF33" s="720"/>
      <c r="AG33" s="720"/>
      <c r="AH33" s="720"/>
      <c r="AI33" s="720"/>
      <c r="AJ33" s="720"/>
      <c r="AK33" s="720"/>
      <c r="AL33" s="719"/>
      <c r="AM33" s="719"/>
      <c r="AN33" s="719"/>
      <c r="AO33" s="719"/>
      <c r="AP33" s="720"/>
      <c r="AQ33" s="720"/>
      <c r="AR33" s="720"/>
      <c r="AS33" s="720"/>
      <c r="AT33" s="720"/>
      <c r="AU33" s="720"/>
      <c r="AV33" s="720"/>
      <c r="AW33" s="720"/>
      <c r="AX33" s="720"/>
      <c r="AY33" s="720"/>
      <c r="AZ33" s="720"/>
      <c r="BA33" s="720"/>
    </row>
    <row r="34" spans="1:53">
      <c r="A34" s="719"/>
      <c r="B34" s="719"/>
      <c r="C34" s="720"/>
      <c r="D34" s="720"/>
      <c r="E34" s="720"/>
      <c r="F34" s="720"/>
      <c r="G34" s="720"/>
      <c r="H34" s="720"/>
      <c r="I34" s="720"/>
      <c r="J34" s="720"/>
      <c r="K34" s="720"/>
      <c r="L34" s="720"/>
      <c r="M34" s="720"/>
      <c r="N34" s="720"/>
      <c r="O34" s="720"/>
      <c r="P34" s="720"/>
      <c r="Q34" s="720"/>
      <c r="R34" s="720"/>
      <c r="S34" s="720"/>
      <c r="T34" s="720"/>
      <c r="U34" s="720"/>
      <c r="V34" s="720"/>
      <c r="W34" s="720"/>
      <c r="X34" s="720"/>
      <c r="Y34" s="720"/>
      <c r="Z34" s="720"/>
      <c r="AA34" s="720"/>
      <c r="AB34" s="720"/>
      <c r="AC34" s="720"/>
      <c r="AD34" s="720"/>
      <c r="AE34" s="720"/>
      <c r="AF34" s="720"/>
      <c r="AG34" s="720"/>
      <c r="AH34" s="720"/>
      <c r="AI34" s="720"/>
      <c r="AJ34" s="720"/>
      <c r="AK34" s="720"/>
      <c r="AL34" s="719"/>
      <c r="AM34" s="719"/>
      <c r="AN34" s="719"/>
      <c r="AO34" s="719"/>
      <c r="AP34" s="720"/>
      <c r="AQ34" s="720"/>
      <c r="AR34" s="720"/>
      <c r="AS34" s="720"/>
      <c r="AT34" s="720"/>
      <c r="AU34" s="720"/>
      <c r="AV34" s="720"/>
      <c r="AW34" s="720"/>
      <c r="AX34" s="720"/>
      <c r="AY34" s="720"/>
      <c r="AZ34" s="720"/>
      <c r="BA34" s="720"/>
    </row>
  </sheetData>
  <mergeCells count="229">
    <mergeCell ref="AK1:AM1"/>
    <mergeCell ref="AT3:AW3"/>
    <mergeCell ref="AN1:AP1"/>
    <mergeCell ref="AQ1:AS1"/>
    <mergeCell ref="AT1:AW1"/>
    <mergeCell ref="A6:B6"/>
    <mergeCell ref="C6:P6"/>
    <mergeCell ref="Q6:AK6"/>
    <mergeCell ref="AL6:AO6"/>
    <mergeCell ref="AX1:BA1"/>
    <mergeCell ref="A2:H2"/>
    <mergeCell ref="I2:L2"/>
    <mergeCell ref="M2:W2"/>
    <mergeCell ref="AK2:AM2"/>
    <mergeCell ref="AN2:AP2"/>
    <mergeCell ref="AP6:AR6"/>
    <mergeCell ref="AS6:AU6"/>
    <mergeCell ref="AT2:AW2"/>
    <mergeCell ref="AX2:BA3"/>
    <mergeCell ref="A3:H3"/>
    <mergeCell ref="I3:L3"/>
    <mergeCell ref="M3:W3"/>
    <mergeCell ref="X3:Z3"/>
    <mergeCell ref="AA3:AP3"/>
    <mergeCell ref="AQ3:AS3"/>
    <mergeCell ref="AV6:BA6"/>
    <mergeCell ref="AQ2:AS2"/>
    <mergeCell ref="A1:H1"/>
    <mergeCell ref="I1:L1"/>
    <mergeCell ref="A5:BA5"/>
    <mergeCell ref="M1:W1"/>
    <mergeCell ref="X1:Z2"/>
    <mergeCell ref="AA1:AJ2"/>
    <mergeCell ref="A8:B8"/>
    <mergeCell ref="A14:B14"/>
    <mergeCell ref="A34:B34"/>
    <mergeCell ref="A20:B20"/>
    <mergeCell ref="A21:B21"/>
    <mergeCell ref="A22:B22"/>
    <mergeCell ref="A29:B29"/>
    <mergeCell ref="A30:B30"/>
    <mergeCell ref="A31:B31"/>
    <mergeCell ref="A27:B27"/>
    <mergeCell ref="A28:B28"/>
    <mergeCell ref="A32:B32"/>
    <mergeCell ref="A33:B33"/>
    <mergeCell ref="A15:B15"/>
    <mergeCell ref="A16:B16"/>
    <mergeCell ref="A17:B17"/>
    <mergeCell ref="A18:B18"/>
    <mergeCell ref="A19:B19"/>
    <mergeCell ref="A23:B23"/>
    <mergeCell ref="A24:B24"/>
    <mergeCell ref="A25:B25"/>
    <mergeCell ref="A26:B26"/>
    <mergeCell ref="A9:B9"/>
    <mergeCell ref="A10:B10"/>
    <mergeCell ref="A11:B11"/>
    <mergeCell ref="A12:B12"/>
    <mergeCell ref="A13:B13"/>
    <mergeCell ref="A7:B7"/>
    <mergeCell ref="C33:P33"/>
    <mergeCell ref="C27:P27"/>
    <mergeCell ref="C28:P28"/>
    <mergeCell ref="C24:P24"/>
    <mergeCell ref="C25:P25"/>
    <mergeCell ref="C26:P26"/>
    <mergeCell ref="C29:P29"/>
    <mergeCell ref="C22:P22"/>
    <mergeCell ref="C23:P23"/>
    <mergeCell ref="C7:P7"/>
    <mergeCell ref="C8:P8"/>
    <mergeCell ref="C9:P9"/>
    <mergeCell ref="C10:P10"/>
    <mergeCell ref="C18:P18"/>
    <mergeCell ref="C19:P19"/>
    <mergeCell ref="C20:P20"/>
    <mergeCell ref="C21:P21"/>
    <mergeCell ref="C11:P11"/>
    <mergeCell ref="C12:P12"/>
    <mergeCell ref="C13:P13"/>
    <mergeCell ref="C34:P34"/>
    <mergeCell ref="Q7:AK7"/>
    <mergeCell ref="Q8:AK8"/>
    <mergeCell ref="Q9:AK9"/>
    <mergeCell ref="Q10:AK10"/>
    <mergeCell ref="Q11:AK11"/>
    <mergeCell ref="Q12:AK12"/>
    <mergeCell ref="Q19:AK19"/>
    <mergeCell ref="Q20:AK20"/>
    <mergeCell ref="Q21:AK21"/>
    <mergeCell ref="Q13:AK13"/>
    <mergeCell ref="Q34:AK34"/>
    <mergeCell ref="Q30:AK30"/>
    <mergeCell ref="Q31:AK31"/>
    <mergeCell ref="Q32:AK32"/>
    <mergeCell ref="Q33:AK33"/>
    <mergeCell ref="Q23:AK23"/>
    <mergeCell ref="C17:P17"/>
    <mergeCell ref="C14:P14"/>
    <mergeCell ref="C15:P15"/>
    <mergeCell ref="C16:P16"/>
    <mergeCell ref="C30:P30"/>
    <mergeCell ref="C31:P31"/>
    <mergeCell ref="C32:P32"/>
    <mergeCell ref="AL29:AO29"/>
    <mergeCell ref="AL27:AO27"/>
    <mergeCell ref="AL28:AO28"/>
    <mergeCell ref="Q29:AK29"/>
    <mergeCell ref="Q27:AK27"/>
    <mergeCell ref="Q28:AK28"/>
    <mergeCell ref="AL7:AO7"/>
    <mergeCell ref="AL8:AO8"/>
    <mergeCell ref="AL17:AO17"/>
    <mergeCell ref="AL18:AO18"/>
    <mergeCell ref="AL19:AO19"/>
    <mergeCell ref="AL9:AO9"/>
    <mergeCell ref="AL10:AO10"/>
    <mergeCell ref="AL11:AO11"/>
    <mergeCell ref="AL12:AO12"/>
    <mergeCell ref="AL13:AO13"/>
    <mergeCell ref="AL21:AO21"/>
    <mergeCell ref="Q17:AK17"/>
    <mergeCell ref="Q18:AK18"/>
    <mergeCell ref="Q22:AK22"/>
    <mergeCell ref="Q14:AK14"/>
    <mergeCell ref="AL14:AO14"/>
    <mergeCell ref="Q15:AK15"/>
    <mergeCell ref="AL15:AO15"/>
    <mergeCell ref="AL32:AO32"/>
    <mergeCell ref="AL33:AO33"/>
    <mergeCell ref="AL34:AO34"/>
    <mergeCell ref="AP7:AR7"/>
    <mergeCell ref="AP8:AR8"/>
    <mergeCell ref="AP9:AR9"/>
    <mergeCell ref="AP10:AR10"/>
    <mergeCell ref="AP18:AR18"/>
    <mergeCell ref="AP19:AR19"/>
    <mergeCell ref="AP20:AR20"/>
    <mergeCell ref="AP21:AR21"/>
    <mergeCell ref="AP11:AR11"/>
    <mergeCell ref="AP12:AR12"/>
    <mergeCell ref="AP13:AR13"/>
    <mergeCell ref="AP17:AR17"/>
    <mergeCell ref="AP22:AR22"/>
    <mergeCell ref="AP23:AR23"/>
    <mergeCell ref="AL30:AO30"/>
    <mergeCell ref="AL31:AO31"/>
    <mergeCell ref="AL20:AO20"/>
    <mergeCell ref="AP26:AR26"/>
    <mergeCell ref="AP29:AR29"/>
    <mergeCell ref="AP30:AR30"/>
    <mergeCell ref="AP33:AR33"/>
    <mergeCell ref="AS34:AU34"/>
    <mergeCell ref="AP34:AR34"/>
    <mergeCell ref="AS7:AU7"/>
    <mergeCell ref="AS8:AU8"/>
    <mergeCell ref="AS9:AU9"/>
    <mergeCell ref="AS10:AU10"/>
    <mergeCell ref="AS11:AU11"/>
    <mergeCell ref="AS12:AU12"/>
    <mergeCell ref="AS19:AU19"/>
    <mergeCell ref="AS20:AU20"/>
    <mergeCell ref="AS21:AU21"/>
    <mergeCell ref="AS13:AU13"/>
    <mergeCell ref="AS17:AU17"/>
    <mergeCell ref="AS18:AU18"/>
    <mergeCell ref="AS22:AU22"/>
    <mergeCell ref="AS23:AU23"/>
    <mergeCell ref="AS24:AU24"/>
    <mergeCell ref="AS29:AU29"/>
    <mergeCell ref="AS27:AU27"/>
    <mergeCell ref="AS32:AU32"/>
    <mergeCell ref="AS33:AU33"/>
    <mergeCell ref="AP24:AR24"/>
    <mergeCell ref="AP25:AR25"/>
    <mergeCell ref="AP32:AR32"/>
    <mergeCell ref="AV7:BA7"/>
    <mergeCell ref="AV8:BA8"/>
    <mergeCell ref="AV9:BA9"/>
    <mergeCell ref="AV10:BA10"/>
    <mergeCell ref="AV11:BA11"/>
    <mergeCell ref="AV12:BA12"/>
    <mergeCell ref="AV34:BA34"/>
    <mergeCell ref="AV24:BA24"/>
    <mergeCell ref="AV25:BA25"/>
    <mergeCell ref="AV26:BA26"/>
    <mergeCell ref="AV29:BA29"/>
    <mergeCell ref="AV30:BA30"/>
    <mergeCell ref="AV31:BA31"/>
    <mergeCell ref="AV27:BA27"/>
    <mergeCell ref="AV28:BA28"/>
    <mergeCell ref="AV32:BA32"/>
    <mergeCell ref="AV33:BA33"/>
    <mergeCell ref="AV13:BA13"/>
    <mergeCell ref="AV22:BA22"/>
    <mergeCell ref="AV23:BA23"/>
    <mergeCell ref="AV17:BA17"/>
    <mergeCell ref="AV18:BA18"/>
    <mergeCell ref="AV19:BA19"/>
    <mergeCell ref="AV16:BA16"/>
    <mergeCell ref="AV20:BA20"/>
    <mergeCell ref="AV21:BA21"/>
    <mergeCell ref="AV14:BA14"/>
    <mergeCell ref="AV15:BA15"/>
    <mergeCell ref="AS28:AU28"/>
    <mergeCell ref="AS30:AU30"/>
    <mergeCell ref="AS31:AU31"/>
    <mergeCell ref="AS25:AU25"/>
    <mergeCell ref="AP31:AR31"/>
    <mergeCell ref="AP27:AR27"/>
    <mergeCell ref="AP28:AR28"/>
    <mergeCell ref="AS16:AU16"/>
    <mergeCell ref="AP15:AR15"/>
    <mergeCell ref="AS26:AU26"/>
    <mergeCell ref="AS14:AU14"/>
    <mergeCell ref="AS15:AU15"/>
    <mergeCell ref="AL22:AO22"/>
    <mergeCell ref="AL23:AO23"/>
    <mergeCell ref="AL24:AO24"/>
    <mergeCell ref="AL25:AO25"/>
    <mergeCell ref="AL26:AO26"/>
    <mergeCell ref="Q24:AK24"/>
    <mergeCell ref="Q25:AK25"/>
    <mergeCell ref="Q26:AK26"/>
    <mergeCell ref="AP14:AR14"/>
    <mergeCell ref="Q16:AK16"/>
    <mergeCell ref="AL16:AO16"/>
    <mergeCell ref="AP16:AR16"/>
  </mergeCells>
  <phoneticPr fontId="5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>
    <oddFooter>&amp;L&amp;"-,太字"&amp;12©2016 Amazing-Activity Corporation All Rights Reserved&amp;C- &amp;P &amp; -&amp;R&amp;F_&amp;A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B1A54-81B2-48BE-B1DB-4F5E02549265}">
  <dimension ref="A1:DX245"/>
  <sheetViews>
    <sheetView showGridLines="0" topLeftCell="A5" zoomScaleNormal="100" zoomScaleSheetLayoutView="100" workbookViewId="0">
      <pane ySplit="2" topLeftCell="A7" activePane="bottomLeft" state="frozen"/>
      <selection activeCell="A5" sqref="A5"/>
      <selection pane="bottomLeft" activeCell="A7" sqref="A7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128" width="2.6328125" style="595" customWidth="1"/>
    <col min="129" max="16384" width="9" style="35"/>
  </cols>
  <sheetData>
    <row r="1" spans="1:72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72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46177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72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化学物質データ申請確認画面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r1.3</v>
      </c>
      <c r="AW3" s="761"/>
      <c r="AX3" s="761"/>
      <c r="AY3" s="761"/>
      <c r="AZ3" s="752"/>
      <c r="BA3" s="753"/>
      <c r="BB3" s="753"/>
      <c r="BC3" s="754"/>
    </row>
    <row r="4" spans="1:72" ht="5.9" customHeight="1"/>
    <row r="5" spans="1:72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6" t="s">
        <v>24</v>
      </c>
      <c r="BC5" s="787"/>
      <c r="BD5" s="28"/>
    </row>
    <row r="6" spans="1:72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72" ht="32" customHeight="1">
      <c r="A7" s="540"/>
      <c r="B7" s="566"/>
      <c r="C7" s="575"/>
      <c r="D7" s="576"/>
      <c r="E7" s="568"/>
      <c r="F7" s="568"/>
      <c r="G7" s="568"/>
      <c r="H7" s="579"/>
      <c r="I7" s="579"/>
      <c r="J7" s="792"/>
      <c r="K7" s="792"/>
      <c r="L7" s="792"/>
      <c r="M7" s="792"/>
      <c r="N7" s="582"/>
      <c r="O7" s="583"/>
      <c r="P7" s="582"/>
      <c r="Q7" s="579"/>
      <c r="R7" s="579"/>
      <c r="S7" s="579"/>
      <c r="T7" s="580"/>
      <c r="U7" s="580"/>
      <c r="V7" s="580"/>
      <c r="W7" s="580"/>
      <c r="X7" s="580"/>
      <c r="Y7" s="583"/>
      <c r="Z7" s="580"/>
      <c r="AA7" s="579"/>
      <c r="AB7" s="583"/>
      <c r="AC7" s="580"/>
      <c r="AD7" s="579"/>
      <c r="AE7" s="583"/>
      <c r="AF7" s="579"/>
      <c r="AG7" s="579"/>
      <c r="AH7" s="583"/>
      <c r="AI7" s="579"/>
      <c r="AJ7" s="579"/>
      <c r="AK7" s="584"/>
      <c r="AL7" s="579"/>
      <c r="AM7" s="579"/>
      <c r="AN7" s="579"/>
      <c r="AO7" s="579"/>
      <c r="AP7" s="579"/>
      <c r="AQ7" s="579"/>
      <c r="AR7" s="579"/>
      <c r="AS7" s="579"/>
      <c r="AT7" s="568"/>
      <c r="AU7" s="568"/>
      <c r="AV7" s="568"/>
      <c r="AW7" s="568"/>
      <c r="AX7" s="568"/>
      <c r="AY7" s="568"/>
      <c r="AZ7" s="569"/>
      <c r="BA7" s="569"/>
      <c r="BB7" s="551"/>
      <c r="BC7" s="552"/>
      <c r="BD7" s="538"/>
      <c r="BE7" s="596"/>
      <c r="BF7" s="596"/>
      <c r="BG7" s="596"/>
      <c r="BH7" s="598"/>
      <c r="BI7" s="596"/>
      <c r="BJ7" s="596"/>
      <c r="BK7" s="596"/>
      <c r="BL7" s="596"/>
      <c r="BM7" s="596"/>
      <c r="BN7" s="596"/>
      <c r="BO7" s="596"/>
      <c r="BP7" s="596"/>
      <c r="BQ7" s="596"/>
      <c r="BR7" s="596"/>
      <c r="BS7" s="596"/>
      <c r="BT7" s="596"/>
    </row>
    <row r="8" spans="1:72" ht="21" customHeight="1">
      <c r="A8" s="540"/>
      <c r="B8" s="589"/>
      <c r="C8" s="594" t="s">
        <v>374</v>
      </c>
      <c r="D8" s="590"/>
      <c r="E8" s="591"/>
      <c r="F8" s="591"/>
      <c r="G8" s="591"/>
      <c r="H8" s="585"/>
      <c r="I8" s="585"/>
      <c r="J8" s="791"/>
      <c r="K8" s="791"/>
      <c r="L8" s="791"/>
      <c r="M8" s="791"/>
      <c r="N8" s="588"/>
      <c r="O8" s="587"/>
      <c r="P8" s="588"/>
      <c r="Q8" s="585"/>
      <c r="R8" s="585"/>
      <c r="S8" s="585"/>
      <c r="T8" s="586"/>
      <c r="U8" s="586"/>
      <c r="V8" s="586"/>
      <c r="W8" s="586"/>
      <c r="X8" s="586"/>
      <c r="Y8" s="587"/>
      <c r="Z8" s="586"/>
      <c r="AA8" s="585"/>
      <c r="AB8" s="587"/>
      <c r="AC8" s="586"/>
      <c r="AD8" s="585"/>
      <c r="AE8" s="587"/>
      <c r="AF8" s="585"/>
      <c r="AG8" s="585"/>
      <c r="AH8" s="587"/>
      <c r="AI8" s="585"/>
      <c r="AJ8" s="585"/>
      <c r="AK8" s="592"/>
      <c r="AL8" s="585"/>
      <c r="AM8" s="585"/>
      <c r="AN8" s="585"/>
      <c r="AO8" s="585"/>
      <c r="AP8" s="585"/>
      <c r="AQ8" s="585"/>
      <c r="AR8" s="585"/>
      <c r="AS8" s="585"/>
      <c r="AT8" s="591"/>
      <c r="AU8" s="591"/>
      <c r="AV8" s="591"/>
      <c r="AW8" s="591"/>
      <c r="AX8" s="591"/>
      <c r="AY8" s="591"/>
      <c r="AZ8" s="593"/>
      <c r="BA8" s="569"/>
      <c r="BB8" s="551"/>
      <c r="BC8" s="552"/>
      <c r="BD8" s="538"/>
      <c r="BE8" s="576"/>
      <c r="BF8" s="788" t="s">
        <v>300</v>
      </c>
      <c r="BG8" s="789"/>
      <c r="BH8" s="790"/>
      <c r="BI8" s="596"/>
      <c r="BJ8" s="596"/>
      <c r="BK8" s="596"/>
      <c r="BL8" s="596"/>
      <c r="BM8" s="597"/>
      <c r="BN8" s="597"/>
      <c r="BO8" s="597"/>
      <c r="BP8" s="597"/>
      <c r="BQ8" s="597"/>
      <c r="BR8" s="597"/>
      <c r="BS8" s="596"/>
      <c r="BT8" s="596"/>
    </row>
    <row r="9" spans="1:72" ht="12.5" customHeight="1">
      <c r="A9" s="540"/>
      <c r="B9" s="566"/>
      <c r="C9" s="575"/>
      <c r="D9" s="576"/>
      <c r="E9" s="568"/>
      <c r="F9" s="568"/>
      <c r="G9" s="568"/>
      <c r="H9" s="579"/>
      <c r="I9" s="579"/>
      <c r="J9" s="579"/>
      <c r="K9" s="579"/>
      <c r="L9" s="579"/>
      <c r="M9" s="579"/>
      <c r="N9" s="579"/>
      <c r="O9" s="579"/>
      <c r="P9" s="579"/>
      <c r="Q9" s="579"/>
      <c r="R9" s="579"/>
      <c r="S9" s="579"/>
      <c r="T9" s="579"/>
      <c r="U9" s="579"/>
      <c r="V9" s="579"/>
      <c r="W9" s="579"/>
      <c r="X9" s="579"/>
      <c r="Y9" s="579"/>
      <c r="Z9" s="579"/>
      <c r="AA9" s="579"/>
      <c r="AB9" s="579"/>
      <c r="AC9" s="579"/>
      <c r="AD9" s="579"/>
      <c r="AE9" s="579"/>
      <c r="AF9" s="579"/>
      <c r="AG9" s="579"/>
      <c r="AH9" s="579"/>
      <c r="AI9" s="579"/>
      <c r="AJ9" s="579"/>
      <c r="AK9" s="579"/>
      <c r="AL9" s="579"/>
      <c r="AM9" s="579"/>
      <c r="AN9" s="579"/>
      <c r="AO9" s="579"/>
      <c r="AP9" s="579"/>
      <c r="AQ9" s="579"/>
      <c r="AR9" s="579"/>
      <c r="AS9" s="581"/>
      <c r="AT9" s="577"/>
      <c r="AU9" s="577"/>
      <c r="AV9" s="577"/>
      <c r="AW9" s="577"/>
      <c r="AX9" s="577"/>
      <c r="AY9" s="577"/>
      <c r="AZ9" s="569"/>
      <c r="BA9" s="569"/>
      <c r="BB9" s="551"/>
      <c r="BC9" s="552"/>
      <c r="BD9" s="538"/>
      <c r="BE9" s="596"/>
      <c r="BF9" s="680" t="s">
        <v>400</v>
      </c>
      <c r="BG9" s="681"/>
      <c r="BH9" s="682"/>
      <c r="BI9" s="682"/>
      <c r="BJ9" s="682"/>
      <c r="BK9" s="682"/>
      <c r="BL9" s="682"/>
      <c r="BM9" s="683"/>
      <c r="BN9" s="683"/>
      <c r="BO9" s="683"/>
      <c r="BP9" s="683"/>
      <c r="BQ9" s="683"/>
      <c r="BR9" s="683"/>
      <c r="BS9" s="683"/>
      <c r="BT9" s="684"/>
    </row>
    <row r="10" spans="1:72" ht="24" customHeight="1">
      <c r="A10" s="540"/>
      <c r="B10" s="619"/>
      <c r="C10" s="559"/>
      <c r="D10" s="559"/>
      <c r="E10" s="559"/>
      <c r="F10" s="559"/>
      <c r="G10" s="559"/>
      <c r="H10" s="559"/>
      <c r="I10" s="559"/>
      <c r="J10" s="559"/>
      <c r="K10" s="559"/>
      <c r="L10" s="559"/>
      <c r="M10" s="559"/>
      <c r="N10" s="559"/>
      <c r="O10" s="559"/>
      <c r="P10" s="559"/>
      <c r="Q10" s="559"/>
      <c r="R10" s="559"/>
      <c r="S10" s="559"/>
      <c r="T10" s="560"/>
      <c r="U10" s="560"/>
      <c r="V10" s="560"/>
      <c r="W10" s="653" t="s">
        <v>415</v>
      </c>
      <c r="X10" s="558"/>
      <c r="Y10" s="558"/>
      <c r="Z10" s="560"/>
      <c r="AA10" s="560"/>
      <c r="AB10" s="562"/>
      <c r="AC10" s="560"/>
      <c r="AD10" s="563"/>
      <c r="AE10" s="563"/>
      <c r="AF10" s="563"/>
      <c r="AG10" s="563"/>
      <c r="AH10" s="563"/>
      <c r="AI10" s="559"/>
      <c r="AJ10" s="560"/>
      <c r="AK10" s="560"/>
      <c r="AL10" s="560"/>
      <c r="AM10" s="560"/>
      <c r="AN10" s="564"/>
      <c r="AO10" s="561"/>
      <c r="AP10" s="561"/>
      <c r="AQ10" s="560"/>
      <c r="AR10" s="560"/>
      <c r="AS10" s="560"/>
      <c r="AT10" s="614"/>
      <c r="AU10" s="615"/>
      <c r="AV10" s="616"/>
      <c r="AW10" s="616"/>
      <c r="AX10" s="616"/>
      <c r="AY10" s="617"/>
      <c r="AZ10" s="618"/>
      <c r="BA10" s="543"/>
      <c r="BB10" s="536"/>
      <c r="BC10" s="537"/>
      <c r="BD10" s="538"/>
      <c r="BE10" s="576"/>
      <c r="BF10" s="685"/>
      <c r="BG10" s="576" t="s">
        <v>401</v>
      </c>
      <c r="BH10" s="576"/>
      <c r="BI10" s="576"/>
      <c r="BJ10" s="597"/>
      <c r="BK10" s="597"/>
      <c r="BL10" s="597"/>
      <c r="BM10" s="596"/>
      <c r="BN10" s="596"/>
      <c r="BO10" s="596"/>
      <c r="BP10" s="596"/>
      <c r="BQ10" s="596"/>
      <c r="BR10" s="596"/>
      <c r="BS10" s="596"/>
      <c r="BT10" s="686"/>
    </row>
    <row r="11" spans="1:72" ht="12" customHeight="1">
      <c r="A11" s="540"/>
      <c r="B11" s="548"/>
      <c r="C11" s="806" t="s">
        <v>414</v>
      </c>
      <c r="D11" s="807"/>
      <c r="E11" s="807"/>
      <c r="F11" s="807"/>
      <c r="G11" s="807"/>
      <c r="H11" s="807"/>
      <c r="I11" s="807"/>
      <c r="J11" s="544"/>
      <c r="K11" s="545"/>
      <c r="L11" s="544"/>
      <c r="M11" s="550"/>
      <c r="N11" s="550"/>
      <c r="O11" s="547"/>
      <c r="P11" s="550"/>
      <c r="Q11" s="547"/>
      <c r="R11" s="550"/>
      <c r="S11" s="539"/>
      <c r="T11" s="538"/>
      <c r="U11" s="538"/>
      <c r="V11" s="538"/>
      <c r="W11" s="538"/>
      <c r="X11" s="538"/>
      <c r="Y11" s="549"/>
      <c r="Z11" s="545"/>
      <c r="AA11" s="544"/>
      <c r="AB11" s="545"/>
      <c r="AC11" s="544"/>
      <c r="AD11" s="550"/>
      <c r="AE11" s="550"/>
      <c r="AF11" s="547"/>
      <c r="AG11" s="550"/>
      <c r="AH11" s="550"/>
      <c r="AI11" s="546"/>
      <c r="AJ11" s="550"/>
      <c r="AK11" s="547"/>
      <c r="AL11" s="538"/>
      <c r="AM11" s="538"/>
      <c r="AN11" s="538"/>
      <c r="AO11" s="538"/>
      <c r="AP11" s="538"/>
      <c r="AQ11" s="538"/>
      <c r="AR11" s="538"/>
      <c r="AS11" s="544"/>
      <c r="AT11" s="546"/>
      <c r="AU11" s="544"/>
      <c r="AV11" s="547"/>
      <c r="AW11" s="547"/>
      <c r="AX11" s="547"/>
      <c r="AY11" s="542"/>
      <c r="AZ11" s="543"/>
      <c r="BA11" s="543"/>
      <c r="BB11" s="536"/>
      <c r="BC11" s="537"/>
      <c r="BD11" s="538"/>
      <c r="BE11" s="596"/>
      <c r="BF11" s="687"/>
      <c r="BG11" s="576"/>
      <c r="BH11" s="576" t="s">
        <v>416</v>
      </c>
      <c r="BI11" s="688"/>
      <c r="BJ11" s="597"/>
      <c r="BK11" s="597"/>
      <c r="BL11" s="597"/>
      <c r="BM11" s="596"/>
      <c r="BN11" s="596"/>
      <c r="BO11" s="596"/>
      <c r="BP11" s="596"/>
      <c r="BQ11" s="596"/>
      <c r="BR11" s="596"/>
      <c r="BS11" s="596"/>
      <c r="BT11" s="686"/>
    </row>
    <row r="12" spans="1:72" ht="12.5" customHeight="1">
      <c r="A12" s="540"/>
      <c r="B12" s="541"/>
      <c r="C12" s="808"/>
      <c r="D12" s="808"/>
      <c r="E12" s="808"/>
      <c r="F12" s="808"/>
      <c r="G12" s="808"/>
      <c r="H12" s="808"/>
      <c r="I12" s="808"/>
      <c r="J12" s="544"/>
      <c r="K12" s="545"/>
      <c r="L12" s="544"/>
      <c r="M12" s="550"/>
      <c r="N12" s="550"/>
      <c r="O12" s="547"/>
      <c r="P12" s="550"/>
      <c r="Q12" s="547"/>
      <c r="R12" s="550"/>
      <c r="S12" s="539"/>
      <c r="T12" s="538"/>
      <c r="U12" s="538"/>
      <c r="V12" s="538"/>
      <c r="W12" s="538"/>
      <c r="X12" s="538"/>
      <c r="Y12" s="549"/>
      <c r="Z12" s="545"/>
      <c r="AA12" s="544"/>
      <c r="AB12" s="545"/>
      <c r="AC12" s="544"/>
      <c r="AD12" s="550"/>
      <c r="AE12" s="550"/>
      <c r="AF12" s="547"/>
      <c r="AG12" s="550"/>
      <c r="AH12" s="550"/>
      <c r="AI12" s="546"/>
      <c r="AJ12" s="550"/>
      <c r="AK12" s="547"/>
      <c r="AL12" s="538"/>
      <c r="AM12" s="538"/>
      <c r="AN12" s="538"/>
      <c r="AO12" s="538"/>
      <c r="AP12" s="538"/>
      <c r="AQ12" s="538"/>
      <c r="AR12" s="538"/>
      <c r="AS12" s="544"/>
      <c r="AT12" s="546"/>
      <c r="AU12" s="544"/>
      <c r="AV12" s="547"/>
      <c r="AW12" s="547"/>
      <c r="AX12" s="547"/>
      <c r="AY12" s="542"/>
      <c r="AZ12" s="543"/>
      <c r="BA12" s="543"/>
      <c r="BB12" s="536"/>
      <c r="BC12" s="537"/>
      <c r="BD12" s="538"/>
      <c r="BE12" s="596"/>
      <c r="BF12" s="687"/>
      <c r="BG12" s="576"/>
      <c r="BH12" s="576" t="s">
        <v>417</v>
      </c>
      <c r="BI12" s="688"/>
      <c r="BJ12" s="576"/>
      <c r="BK12" s="597"/>
      <c r="BL12" s="597"/>
      <c r="BM12" s="596"/>
      <c r="BN12" s="596"/>
      <c r="BO12" s="596"/>
      <c r="BP12" s="596"/>
      <c r="BQ12" s="596"/>
      <c r="BR12" s="596"/>
      <c r="BS12" s="596"/>
      <c r="BT12" s="686"/>
    </row>
    <row r="13" spans="1:72" ht="12.5" customHeight="1">
      <c r="A13" s="540"/>
      <c r="B13" s="566"/>
      <c r="C13" s="572"/>
      <c r="D13" s="568"/>
      <c r="E13" s="568"/>
      <c r="F13" s="565"/>
      <c r="G13" s="565"/>
      <c r="H13" s="579"/>
      <c r="I13" s="579"/>
      <c r="J13" s="579"/>
      <c r="K13" s="579"/>
      <c r="L13" s="579"/>
      <c r="M13" s="579"/>
      <c r="N13" s="579"/>
      <c r="O13" s="579"/>
      <c r="P13" s="579"/>
      <c r="Q13" s="579"/>
      <c r="R13" s="579"/>
      <c r="S13" s="579"/>
      <c r="T13" s="579"/>
      <c r="U13" s="579"/>
      <c r="V13" s="579"/>
      <c r="W13" s="579"/>
      <c r="X13" s="579"/>
      <c r="Y13" s="579"/>
      <c r="Z13" s="579"/>
      <c r="AA13" s="579"/>
      <c r="AB13" s="579"/>
      <c r="AC13" s="579"/>
      <c r="AD13" s="579"/>
      <c r="AE13" s="579"/>
      <c r="AF13" s="579"/>
      <c r="AG13" s="579"/>
      <c r="AH13" s="579"/>
      <c r="AI13" s="579"/>
      <c r="AJ13" s="579"/>
      <c r="AK13" s="579"/>
      <c r="AL13" s="579"/>
      <c r="AM13" s="579"/>
      <c r="AN13" s="579"/>
      <c r="AO13" s="579"/>
      <c r="AP13" s="579"/>
      <c r="AQ13" s="579"/>
      <c r="AR13" s="579"/>
      <c r="AS13" s="580"/>
      <c r="AT13" s="571"/>
      <c r="AU13" s="565"/>
      <c r="AV13" s="568"/>
      <c r="AW13" s="568"/>
      <c r="AX13" s="568"/>
      <c r="AY13" s="565"/>
      <c r="AZ13" s="569"/>
      <c r="BA13" s="569"/>
      <c r="BB13" s="536"/>
      <c r="BC13" s="537"/>
      <c r="BD13" s="538"/>
      <c r="BE13" s="596"/>
      <c r="BF13" s="689"/>
      <c r="BG13" s="596"/>
      <c r="BH13" s="598"/>
      <c r="BI13" s="596"/>
      <c r="BJ13" s="596"/>
      <c r="BK13" s="596"/>
      <c r="BL13" s="596"/>
      <c r="BM13" s="596"/>
      <c r="BN13" s="596"/>
      <c r="BO13" s="596"/>
      <c r="BP13" s="596"/>
      <c r="BQ13" s="596"/>
      <c r="BR13" s="596"/>
      <c r="BS13" s="596"/>
      <c r="BT13" s="686"/>
    </row>
    <row r="14" spans="1:72" ht="12.5" customHeight="1">
      <c r="A14" s="540"/>
      <c r="B14" s="566"/>
      <c r="C14" s="809" t="s">
        <v>434</v>
      </c>
      <c r="D14" s="810"/>
      <c r="E14" s="810"/>
      <c r="F14" s="810"/>
      <c r="G14" s="810"/>
      <c r="H14" s="810"/>
      <c r="I14" s="810"/>
      <c r="J14" s="810"/>
      <c r="K14" s="810"/>
      <c r="L14" s="810"/>
      <c r="M14" s="810"/>
      <c r="N14" s="810"/>
      <c r="O14" s="810"/>
      <c r="P14" s="810"/>
      <c r="Q14" s="810"/>
      <c r="R14" s="810"/>
      <c r="S14" s="810"/>
      <c r="T14" s="810"/>
      <c r="U14" s="810"/>
      <c r="V14" s="810"/>
      <c r="W14" s="810"/>
      <c r="X14" s="810"/>
      <c r="Y14" s="810"/>
      <c r="Z14" s="810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569"/>
      <c r="BA14" s="569"/>
      <c r="BB14" s="536"/>
      <c r="BC14" s="537"/>
      <c r="BD14" s="538"/>
      <c r="BE14" s="598"/>
      <c r="BF14" s="687" t="s">
        <v>727</v>
      </c>
      <c r="BG14" s="596"/>
      <c r="BH14" s="596"/>
      <c r="BI14" s="596"/>
      <c r="BJ14" s="596"/>
      <c r="BK14" s="596"/>
      <c r="BL14" s="596"/>
      <c r="BM14" s="596"/>
      <c r="BN14" s="596"/>
      <c r="BO14" s="596"/>
      <c r="BP14" s="596"/>
      <c r="BQ14" s="596"/>
      <c r="BR14" s="596"/>
      <c r="BS14" s="596"/>
      <c r="BT14" s="686"/>
    </row>
    <row r="15" spans="1:72" ht="12.5" customHeight="1">
      <c r="A15" s="540"/>
      <c r="B15" s="566"/>
      <c r="C15" s="810"/>
      <c r="D15" s="810"/>
      <c r="E15" s="810"/>
      <c r="F15" s="810"/>
      <c r="G15" s="810"/>
      <c r="H15" s="810"/>
      <c r="I15" s="810"/>
      <c r="J15" s="810"/>
      <c r="K15" s="810"/>
      <c r="L15" s="810"/>
      <c r="M15" s="810"/>
      <c r="N15" s="810"/>
      <c r="O15" s="810"/>
      <c r="P15" s="810"/>
      <c r="Q15" s="810"/>
      <c r="R15" s="810"/>
      <c r="S15" s="810"/>
      <c r="T15" s="810"/>
      <c r="U15" s="810"/>
      <c r="V15" s="810"/>
      <c r="W15" s="810"/>
      <c r="X15" s="810"/>
      <c r="Y15" s="810"/>
      <c r="Z15" s="810"/>
      <c r="AA15" s="810"/>
      <c r="AB15" s="810"/>
      <c r="AC15" s="810"/>
      <c r="AD15" s="810"/>
      <c r="AE15" s="810"/>
      <c r="AF15" s="810"/>
      <c r="AG15" s="810"/>
      <c r="AH15" s="810"/>
      <c r="AI15" s="810"/>
      <c r="AJ15" s="810"/>
      <c r="AK15" s="810"/>
      <c r="AL15" s="810"/>
      <c r="AM15" s="810"/>
      <c r="AN15" s="810"/>
      <c r="AO15" s="810"/>
      <c r="AP15" s="810"/>
      <c r="AQ15" s="810"/>
      <c r="AR15" s="810"/>
      <c r="AS15" s="810"/>
      <c r="AT15" s="810"/>
      <c r="AU15" s="810"/>
      <c r="AV15" s="810"/>
      <c r="AW15" s="810"/>
      <c r="AX15" s="810"/>
      <c r="AY15" s="810"/>
      <c r="AZ15" s="569"/>
      <c r="BA15" s="569"/>
      <c r="BB15" s="536"/>
      <c r="BC15" s="537"/>
      <c r="BD15" s="538"/>
      <c r="BE15" s="596"/>
      <c r="BF15" s="689" t="s">
        <v>728</v>
      </c>
      <c r="BG15" s="576"/>
      <c r="BH15" s="576"/>
      <c r="BI15" s="596"/>
      <c r="BJ15" s="596"/>
      <c r="BK15" s="596"/>
      <c r="BL15" s="596"/>
      <c r="BM15" s="596"/>
      <c r="BN15" s="596"/>
      <c r="BO15" s="596"/>
      <c r="BP15" s="596"/>
      <c r="BQ15" s="596"/>
      <c r="BR15" s="596"/>
      <c r="BS15" s="596"/>
      <c r="BT15" s="686"/>
    </row>
    <row r="16" spans="1:72" ht="12.5" customHeight="1">
      <c r="A16" s="540"/>
      <c r="B16" s="566"/>
      <c r="C16" s="810"/>
      <c r="D16" s="810"/>
      <c r="E16" s="810"/>
      <c r="F16" s="810"/>
      <c r="G16" s="810"/>
      <c r="H16" s="810"/>
      <c r="I16" s="810"/>
      <c r="J16" s="810"/>
      <c r="K16" s="810"/>
      <c r="L16" s="810"/>
      <c r="M16" s="810"/>
      <c r="N16" s="810"/>
      <c r="O16" s="810"/>
      <c r="P16" s="810"/>
      <c r="Q16" s="810"/>
      <c r="R16" s="810"/>
      <c r="S16" s="810"/>
      <c r="T16" s="810"/>
      <c r="U16" s="810"/>
      <c r="V16" s="810"/>
      <c r="W16" s="810"/>
      <c r="X16" s="810"/>
      <c r="Y16" s="810"/>
      <c r="Z16" s="810"/>
      <c r="AA16" s="810"/>
      <c r="AB16" s="810"/>
      <c r="AC16" s="810"/>
      <c r="AD16" s="810"/>
      <c r="AE16" s="810"/>
      <c r="AF16" s="810"/>
      <c r="AG16" s="810"/>
      <c r="AH16" s="810"/>
      <c r="AI16" s="810"/>
      <c r="AJ16" s="810"/>
      <c r="AK16" s="810"/>
      <c r="AL16" s="810"/>
      <c r="AM16" s="810"/>
      <c r="AN16" s="810"/>
      <c r="AO16" s="810"/>
      <c r="AP16" s="810"/>
      <c r="AQ16" s="810"/>
      <c r="AR16" s="810"/>
      <c r="AS16" s="810"/>
      <c r="AT16" s="810"/>
      <c r="AU16" s="810"/>
      <c r="AV16" s="810"/>
      <c r="AW16" s="810"/>
      <c r="AX16" s="810"/>
      <c r="AY16" s="810"/>
      <c r="AZ16" s="569"/>
      <c r="BA16" s="569"/>
      <c r="BB16" s="536"/>
      <c r="BC16" s="537"/>
      <c r="BD16" s="538"/>
      <c r="BE16" s="596"/>
      <c r="BF16" s="689" t="s">
        <v>729</v>
      </c>
      <c r="BG16" s="576"/>
      <c r="BH16" s="576"/>
      <c r="BI16" s="596"/>
      <c r="BJ16" s="596"/>
      <c r="BK16" s="596"/>
      <c r="BL16" s="596"/>
      <c r="BM16" s="596"/>
      <c r="BN16" s="596"/>
      <c r="BO16" s="596"/>
      <c r="BP16" s="596"/>
      <c r="BQ16" s="596"/>
      <c r="BR16" s="596"/>
      <c r="BS16" s="596"/>
      <c r="BT16" s="686"/>
    </row>
    <row r="17" spans="1:72" ht="12.5" customHeight="1">
      <c r="A17" s="540"/>
      <c r="B17" s="566"/>
      <c r="C17" s="572"/>
      <c r="D17" s="568"/>
      <c r="E17" s="568"/>
      <c r="F17" s="565"/>
      <c r="G17" s="565"/>
      <c r="H17" s="579"/>
      <c r="I17" s="579"/>
      <c r="J17" s="579"/>
      <c r="K17" s="579"/>
      <c r="L17" s="579"/>
      <c r="M17" s="579"/>
      <c r="N17" s="579"/>
      <c r="O17" s="579"/>
      <c r="P17" s="579"/>
      <c r="Q17" s="579"/>
      <c r="R17" s="579"/>
      <c r="S17" s="579"/>
      <c r="T17" s="579"/>
      <c r="U17" s="579"/>
      <c r="V17" s="579"/>
      <c r="W17" s="579"/>
      <c r="X17" s="579"/>
      <c r="Y17" s="579"/>
      <c r="Z17" s="579"/>
      <c r="AA17" s="579"/>
      <c r="AB17" s="579"/>
      <c r="AC17" s="579"/>
      <c r="AD17" s="579"/>
      <c r="AE17" s="579"/>
      <c r="AF17" s="579"/>
      <c r="AG17" s="579"/>
      <c r="AH17" s="579"/>
      <c r="AI17" s="579"/>
      <c r="AJ17" s="579"/>
      <c r="AK17" s="579"/>
      <c r="AL17" s="579"/>
      <c r="AM17" s="579"/>
      <c r="AN17" s="579"/>
      <c r="AO17" s="579"/>
      <c r="AP17" s="579"/>
      <c r="AQ17" s="579"/>
      <c r="AR17" s="579"/>
      <c r="AS17" s="580"/>
      <c r="AT17" s="571"/>
      <c r="AU17" s="565"/>
      <c r="AV17" s="568"/>
      <c r="AW17" s="568"/>
      <c r="AX17" s="568"/>
      <c r="AY17" s="565"/>
      <c r="AZ17" s="569"/>
      <c r="BA17" s="569"/>
      <c r="BB17" s="536"/>
      <c r="BC17" s="537"/>
      <c r="BD17" s="538"/>
      <c r="BE17" s="596"/>
      <c r="BF17" s="690"/>
      <c r="BG17" s="691"/>
      <c r="BH17" s="691"/>
      <c r="BI17" s="692"/>
      <c r="BJ17" s="692"/>
      <c r="BK17" s="692"/>
      <c r="BL17" s="692"/>
      <c r="BM17" s="692"/>
      <c r="BN17" s="692"/>
      <c r="BO17" s="692"/>
      <c r="BP17" s="692"/>
      <c r="BQ17" s="692"/>
      <c r="BR17" s="692"/>
      <c r="BS17" s="692"/>
      <c r="BT17" s="693"/>
    </row>
    <row r="18" spans="1:72" ht="12.5" customHeight="1">
      <c r="A18" s="540"/>
      <c r="B18" s="566"/>
      <c r="C18" s="565"/>
      <c r="D18" s="568"/>
      <c r="E18" s="765" t="s">
        <v>421</v>
      </c>
      <c r="F18" s="766"/>
      <c r="G18" s="766"/>
      <c r="H18" s="766"/>
      <c r="I18" s="766"/>
      <c r="J18" s="766"/>
      <c r="K18" s="766"/>
      <c r="L18" s="766"/>
      <c r="M18" s="766"/>
      <c r="N18" s="766"/>
      <c r="O18" s="767"/>
      <c r="P18" s="765" t="s">
        <v>422</v>
      </c>
      <c r="Q18" s="766"/>
      <c r="R18" s="766"/>
      <c r="S18" s="766"/>
      <c r="T18" s="766"/>
      <c r="U18" s="766"/>
      <c r="V18" s="766"/>
      <c r="W18" s="766"/>
      <c r="X18" s="766"/>
      <c r="Y18" s="766"/>
      <c r="Z18" s="766"/>
      <c r="AA18" s="767"/>
      <c r="AB18" s="765" t="s">
        <v>423</v>
      </c>
      <c r="AC18" s="766"/>
      <c r="AD18" s="766"/>
      <c r="AE18" s="766"/>
      <c r="AF18" s="766"/>
      <c r="AG18" s="766"/>
      <c r="AH18" s="766"/>
      <c r="AI18" s="766"/>
      <c r="AJ18" s="766"/>
      <c r="AK18" s="766"/>
      <c r="AL18" s="766"/>
      <c r="AM18" s="766"/>
      <c r="AN18" s="766"/>
      <c r="AO18" s="766"/>
      <c r="AP18" s="766"/>
      <c r="AQ18" s="766"/>
      <c r="AR18" s="766"/>
      <c r="AS18" s="766"/>
      <c r="AT18" s="766"/>
      <c r="AU18" s="766"/>
      <c r="AV18" s="766"/>
      <c r="AW18" s="767"/>
      <c r="AX18" s="568"/>
      <c r="AY18" s="565"/>
      <c r="AZ18" s="569"/>
      <c r="BA18" s="569"/>
      <c r="BB18" s="536"/>
      <c r="BC18" s="537"/>
      <c r="BD18" s="538"/>
      <c r="BE18" s="596"/>
      <c r="BF18" s="596"/>
      <c r="BG18" s="596"/>
      <c r="BH18" s="596"/>
      <c r="BI18" s="596"/>
      <c r="BJ18" s="596"/>
      <c r="BK18" s="596"/>
      <c r="BL18" s="596"/>
      <c r="BM18" s="596"/>
      <c r="BN18" s="596"/>
      <c r="BO18" s="596"/>
      <c r="BP18" s="596"/>
      <c r="BQ18" s="596"/>
      <c r="BR18" s="596"/>
      <c r="BS18" s="596"/>
      <c r="BT18" s="596"/>
    </row>
    <row r="19" spans="1:72" ht="21" customHeight="1">
      <c r="A19" s="540"/>
      <c r="B19" s="566"/>
      <c r="C19" s="565"/>
      <c r="D19" s="565"/>
      <c r="E19" s="768" t="s">
        <v>424</v>
      </c>
      <c r="F19" s="769"/>
      <c r="G19" s="769"/>
      <c r="H19" s="769"/>
      <c r="I19" s="769"/>
      <c r="J19" s="769"/>
      <c r="K19" s="769"/>
      <c r="L19" s="769"/>
      <c r="M19" s="769"/>
      <c r="N19" s="769"/>
      <c r="O19" s="770"/>
      <c r="P19" s="768" t="s">
        <v>559</v>
      </c>
      <c r="Q19" s="769"/>
      <c r="R19" s="769"/>
      <c r="S19" s="769"/>
      <c r="T19" s="769"/>
      <c r="U19" s="769"/>
      <c r="V19" s="769"/>
      <c r="W19" s="769"/>
      <c r="X19" s="769"/>
      <c r="Y19" s="769"/>
      <c r="Z19" s="769"/>
      <c r="AA19" s="770"/>
      <c r="AB19" s="768" t="s">
        <v>425</v>
      </c>
      <c r="AC19" s="769"/>
      <c r="AD19" s="769"/>
      <c r="AE19" s="769"/>
      <c r="AF19" s="769"/>
      <c r="AG19" s="769"/>
      <c r="AH19" s="769"/>
      <c r="AI19" s="769"/>
      <c r="AJ19" s="769"/>
      <c r="AK19" s="769"/>
      <c r="AL19" s="769"/>
      <c r="AM19" s="769"/>
      <c r="AN19" s="769"/>
      <c r="AO19" s="769"/>
      <c r="AP19" s="769"/>
      <c r="AQ19" s="769"/>
      <c r="AR19" s="769"/>
      <c r="AS19" s="769"/>
      <c r="AT19" s="769"/>
      <c r="AU19" s="769"/>
      <c r="AV19" s="769"/>
      <c r="AW19" s="770"/>
      <c r="AX19" s="568"/>
      <c r="AY19" s="565"/>
      <c r="AZ19" s="569"/>
      <c r="BA19" s="569"/>
      <c r="BB19" s="536"/>
      <c r="BC19" s="537"/>
      <c r="BD19" s="538"/>
      <c r="BE19" s="596"/>
      <c r="BF19" s="596"/>
      <c r="BG19" s="596"/>
      <c r="BH19" s="596"/>
      <c r="BI19" s="596"/>
      <c r="BJ19" s="596"/>
      <c r="BK19" s="596"/>
      <c r="BL19" s="596"/>
      <c r="BM19" s="596"/>
      <c r="BN19" s="596"/>
      <c r="BO19" s="596"/>
      <c r="BP19" s="596"/>
      <c r="BQ19" s="596"/>
      <c r="BR19" s="596"/>
      <c r="BS19" s="596"/>
      <c r="BT19" s="596"/>
    </row>
    <row r="20" spans="1:72" ht="33.5" customHeight="1">
      <c r="A20" s="540"/>
      <c r="B20" s="566"/>
      <c r="C20" s="565"/>
      <c r="D20" s="565"/>
      <c r="E20" s="768" t="s">
        <v>396</v>
      </c>
      <c r="F20" s="769"/>
      <c r="G20" s="769"/>
      <c r="H20" s="769"/>
      <c r="I20" s="769"/>
      <c r="J20" s="769"/>
      <c r="K20" s="769"/>
      <c r="L20" s="769"/>
      <c r="M20" s="769"/>
      <c r="N20" s="769"/>
      <c r="O20" s="770"/>
      <c r="P20" s="771" t="s">
        <v>426</v>
      </c>
      <c r="Q20" s="772"/>
      <c r="R20" s="772"/>
      <c r="S20" s="772"/>
      <c r="T20" s="772"/>
      <c r="U20" s="772"/>
      <c r="V20" s="772"/>
      <c r="W20" s="772"/>
      <c r="X20" s="772"/>
      <c r="Y20" s="772"/>
      <c r="Z20" s="772"/>
      <c r="AA20" s="773"/>
      <c r="AB20" s="771" t="s">
        <v>427</v>
      </c>
      <c r="AC20" s="772"/>
      <c r="AD20" s="772"/>
      <c r="AE20" s="772"/>
      <c r="AF20" s="772"/>
      <c r="AG20" s="772"/>
      <c r="AH20" s="772"/>
      <c r="AI20" s="772"/>
      <c r="AJ20" s="772"/>
      <c r="AK20" s="772"/>
      <c r="AL20" s="772"/>
      <c r="AM20" s="772"/>
      <c r="AN20" s="772"/>
      <c r="AO20" s="772"/>
      <c r="AP20" s="772"/>
      <c r="AQ20" s="772"/>
      <c r="AR20" s="772"/>
      <c r="AS20" s="772"/>
      <c r="AT20" s="772"/>
      <c r="AU20" s="772"/>
      <c r="AV20" s="772"/>
      <c r="AW20" s="773"/>
      <c r="AX20" s="568"/>
      <c r="AY20" s="565"/>
      <c r="AZ20" s="569"/>
      <c r="BA20" s="569"/>
      <c r="BB20" s="536"/>
      <c r="BC20" s="537"/>
      <c r="BD20" s="538"/>
      <c r="BE20" s="596"/>
      <c r="BF20" s="596"/>
      <c r="BG20" s="596"/>
      <c r="BH20" s="596"/>
      <c r="BI20" s="596"/>
      <c r="BJ20" s="596"/>
      <c r="BK20" s="596"/>
      <c r="BL20" s="596"/>
      <c r="BM20" s="596"/>
      <c r="BN20" s="596"/>
      <c r="BO20" s="596"/>
      <c r="BP20" s="596"/>
      <c r="BQ20" s="596"/>
      <c r="BR20" s="596"/>
      <c r="BS20" s="596"/>
      <c r="BT20" s="596"/>
    </row>
    <row r="21" spans="1:72" ht="27.5" customHeight="1">
      <c r="A21" s="540"/>
      <c r="B21" s="566"/>
      <c r="C21" s="565"/>
      <c r="D21" s="565"/>
      <c r="E21" s="771" t="s">
        <v>428</v>
      </c>
      <c r="F21" s="772"/>
      <c r="G21" s="772"/>
      <c r="H21" s="772"/>
      <c r="I21" s="772"/>
      <c r="J21" s="772"/>
      <c r="K21" s="772"/>
      <c r="L21" s="772"/>
      <c r="M21" s="772"/>
      <c r="N21" s="772"/>
      <c r="O21" s="773"/>
      <c r="P21" s="768" t="s">
        <v>429</v>
      </c>
      <c r="Q21" s="769"/>
      <c r="R21" s="769"/>
      <c r="S21" s="769"/>
      <c r="T21" s="769"/>
      <c r="U21" s="769"/>
      <c r="V21" s="769"/>
      <c r="W21" s="769"/>
      <c r="X21" s="769"/>
      <c r="Y21" s="769"/>
      <c r="Z21" s="769"/>
      <c r="AA21" s="770"/>
      <c r="AB21" s="768" t="s">
        <v>430</v>
      </c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70"/>
      <c r="AX21" s="568"/>
      <c r="AY21" s="565"/>
      <c r="AZ21" s="569"/>
      <c r="BA21" s="569"/>
      <c r="BB21" s="536"/>
      <c r="BC21" s="537"/>
      <c r="BD21" s="538"/>
      <c r="BE21" s="596"/>
      <c r="BF21" s="596"/>
      <c r="BG21" s="596"/>
      <c r="BH21" s="596"/>
      <c r="BI21" s="596"/>
      <c r="BJ21" s="596"/>
      <c r="BK21" s="596"/>
      <c r="BL21" s="596"/>
      <c r="BM21" s="596"/>
      <c r="BN21" s="596"/>
      <c r="BO21" s="596"/>
      <c r="BP21" s="596"/>
      <c r="BQ21" s="596"/>
      <c r="BR21" s="596"/>
      <c r="BS21" s="596"/>
      <c r="BT21" s="596"/>
    </row>
    <row r="22" spans="1:72" ht="26" customHeight="1">
      <c r="A22" s="540"/>
      <c r="B22" s="566"/>
      <c r="C22" s="565"/>
      <c r="D22" s="565"/>
      <c r="E22" s="771" t="s">
        <v>431</v>
      </c>
      <c r="F22" s="772"/>
      <c r="G22" s="772"/>
      <c r="H22" s="772"/>
      <c r="I22" s="772"/>
      <c r="J22" s="772"/>
      <c r="K22" s="772"/>
      <c r="L22" s="772"/>
      <c r="M22" s="772"/>
      <c r="N22" s="772"/>
      <c r="O22" s="773"/>
      <c r="P22" s="768" t="s">
        <v>432</v>
      </c>
      <c r="Q22" s="769"/>
      <c r="R22" s="769"/>
      <c r="S22" s="769"/>
      <c r="T22" s="769"/>
      <c r="U22" s="769"/>
      <c r="V22" s="769"/>
      <c r="W22" s="769"/>
      <c r="X22" s="769"/>
      <c r="Y22" s="769"/>
      <c r="Z22" s="769"/>
      <c r="AA22" s="770"/>
      <c r="AB22" s="768" t="s">
        <v>433</v>
      </c>
      <c r="AC22" s="769"/>
      <c r="AD22" s="769"/>
      <c r="AE22" s="769"/>
      <c r="AF22" s="769"/>
      <c r="AG22" s="769"/>
      <c r="AH22" s="769"/>
      <c r="AI22" s="769"/>
      <c r="AJ22" s="769"/>
      <c r="AK22" s="769"/>
      <c r="AL22" s="769"/>
      <c r="AM22" s="769"/>
      <c r="AN22" s="769"/>
      <c r="AO22" s="769"/>
      <c r="AP22" s="769"/>
      <c r="AQ22" s="769"/>
      <c r="AR22" s="769"/>
      <c r="AS22" s="769"/>
      <c r="AT22" s="769"/>
      <c r="AU22" s="769"/>
      <c r="AV22" s="769"/>
      <c r="AW22" s="770"/>
      <c r="AX22" s="568"/>
      <c r="AY22" s="565"/>
      <c r="AZ22" s="569"/>
      <c r="BA22" s="569"/>
      <c r="BB22" s="536"/>
      <c r="BC22" s="537"/>
      <c r="BD22" s="538"/>
      <c r="BE22" s="596"/>
      <c r="BF22" s="596"/>
      <c r="BG22" s="596"/>
      <c r="BH22" s="596"/>
      <c r="BI22" s="596"/>
      <c r="BJ22" s="596"/>
      <c r="BK22" s="596"/>
      <c r="BL22" s="596"/>
      <c r="BM22" s="596"/>
      <c r="BN22" s="596"/>
      <c r="BO22" s="596"/>
      <c r="BP22" s="596"/>
      <c r="BQ22" s="596"/>
      <c r="BR22" s="596"/>
      <c r="BS22" s="596"/>
      <c r="BT22" s="596"/>
    </row>
    <row r="23" spans="1:72" ht="12.5" customHeight="1">
      <c r="A23" s="540"/>
      <c r="B23" s="566"/>
      <c r="C23" s="565"/>
      <c r="D23" s="565"/>
      <c r="E23" s="571"/>
      <c r="F23" s="567"/>
      <c r="G23" s="565"/>
      <c r="H23" s="579"/>
      <c r="I23" s="579"/>
      <c r="J23" s="579"/>
      <c r="K23" s="579"/>
      <c r="L23" s="579"/>
      <c r="M23" s="579"/>
      <c r="N23" s="579"/>
      <c r="O23" s="579"/>
      <c r="P23" s="579"/>
      <c r="Q23" s="579"/>
      <c r="R23" s="579"/>
      <c r="S23" s="579"/>
      <c r="T23" s="579"/>
      <c r="U23" s="579"/>
      <c r="V23" s="579"/>
      <c r="W23" s="579"/>
      <c r="X23" s="579"/>
      <c r="Y23" s="579"/>
      <c r="Z23" s="579"/>
      <c r="AA23" s="579"/>
      <c r="AB23" s="579"/>
      <c r="AC23" s="579"/>
      <c r="AD23" s="579"/>
      <c r="AE23" s="579"/>
      <c r="AF23" s="579"/>
      <c r="AG23" s="579"/>
      <c r="AH23" s="579"/>
      <c r="AI23" s="579"/>
      <c r="AJ23" s="579"/>
      <c r="AK23" s="579"/>
      <c r="AL23" s="579"/>
      <c r="AM23" s="579"/>
      <c r="AN23" s="579"/>
      <c r="AO23" s="579"/>
      <c r="AP23" s="579"/>
      <c r="AQ23" s="579"/>
      <c r="AR23" s="579"/>
      <c r="AS23" s="580"/>
      <c r="AT23" s="571"/>
      <c r="AU23" s="565"/>
      <c r="AV23" s="568"/>
      <c r="AW23" s="568"/>
      <c r="AX23" s="568"/>
      <c r="AY23" s="565"/>
      <c r="AZ23" s="569"/>
      <c r="BA23" s="569"/>
      <c r="BB23" s="536"/>
      <c r="BC23" s="537"/>
      <c r="BD23" s="538"/>
      <c r="BE23" s="596"/>
      <c r="BF23" s="596"/>
      <c r="BG23" s="596"/>
      <c r="BH23" s="596"/>
      <c r="BI23" s="596"/>
      <c r="BJ23" s="596"/>
      <c r="BK23" s="596"/>
      <c r="BL23" s="596"/>
      <c r="BM23" s="596"/>
      <c r="BN23" s="596"/>
      <c r="BO23" s="596"/>
      <c r="BP23" s="596"/>
      <c r="BQ23" s="596"/>
      <c r="BR23" s="596"/>
      <c r="BS23" s="596"/>
      <c r="BT23" s="596"/>
    </row>
    <row r="24" spans="1:72" ht="12.5" customHeight="1">
      <c r="A24" s="540"/>
      <c r="B24" s="566"/>
      <c r="C24" s="570"/>
      <c r="D24" s="565"/>
      <c r="E24" s="565"/>
      <c r="F24" s="565"/>
      <c r="G24" s="565"/>
      <c r="H24" s="579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9"/>
      <c r="Z24" s="579"/>
      <c r="AA24" s="579"/>
      <c r="AB24" s="579"/>
      <c r="AC24" s="579"/>
      <c r="AD24" s="579"/>
      <c r="AE24" s="579"/>
      <c r="AF24" s="579"/>
      <c r="AG24" s="579"/>
      <c r="AH24" s="579"/>
      <c r="AI24" s="579"/>
      <c r="AJ24" s="579"/>
      <c r="AK24" s="579"/>
      <c r="AL24" s="579"/>
      <c r="AM24" s="579"/>
      <c r="AN24" s="579"/>
      <c r="AO24" s="579"/>
      <c r="AP24" s="579"/>
      <c r="AQ24" s="579"/>
      <c r="AR24" s="579"/>
      <c r="AS24" s="580"/>
      <c r="AT24" s="571"/>
      <c r="AU24" s="565"/>
      <c r="AV24" s="568"/>
      <c r="AW24" s="568"/>
      <c r="AX24" s="568"/>
      <c r="AY24" s="565"/>
      <c r="AZ24" s="569"/>
      <c r="BA24" s="569"/>
      <c r="BB24" s="536"/>
      <c r="BC24" s="537"/>
      <c r="BD24" s="538"/>
      <c r="BE24" s="596"/>
      <c r="BF24" s="596"/>
      <c r="BG24" s="596"/>
      <c r="BH24" s="598"/>
      <c r="BI24" s="596"/>
      <c r="BJ24" s="596"/>
      <c r="BK24" s="596"/>
      <c r="BL24" s="596"/>
      <c r="BM24" s="596"/>
      <c r="BN24" s="596"/>
      <c r="BO24" s="596"/>
      <c r="BP24" s="596"/>
      <c r="BQ24" s="596"/>
      <c r="BR24" s="596"/>
      <c r="BS24" s="596"/>
      <c r="BT24" s="596"/>
    </row>
    <row r="25" spans="1:72" ht="12.5" customHeight="1">
      <c r="A25" s="540"/>
      <c r="B25" s="566"/>
      <c r="C25" s="575"/>
      <c r="D25" s="576"/>
      <c r="E25" s="568"/>
      <c r="F25" s="568"/>
      <c r="G25" s="568"/>
      <c r="H25" s="579"/>
      <c r="I25" s="579"/>
      <c r="J25" s="579"/>
      <c r="K25" s="579"/>
      <c r="L25" s="579"/>
      <c r="M25" s="579"/>
      <c r="N25" s="579"/>
      <c r="O25" s="579"/>
      <c r="P25" s="579"/>
      <c r="Q25" s="579"/>
      <c r="R25" s="579"/>
      <c r="S25" s="579"/>
      <c r="T25" s="579"/>
      <c r="U25" s="579"/>
      <c r="V25" s="579"/>
      <c r="W25" s="579"/>
      <c r="X25" s="579"/>
      <c r="Y25" s="579"/>
      <c r="Z25" s="579"/>
      <c r="AA25" s="579"/>
      <c r="AB25" s="579"/>
      <c r="AC25" s="579"/>
      <c r="AD25" s="579"/>
      <c r="AE25" s="579"/>
      <c r="AF25" s="579"/>
      <c r="AG25" s="579"/>
      <c r="AH25" s="579"/>
      <c r="AI25" s="579"/>
      <c r="AJ25" s="579"/>
      <c r="AK25" s="579"/>
      <c r="AL25" s="579"/>
      <c r="AM25" s="579"/>
      <c r="AN25" s="579"/>
      <c r="AO25" s="579"/>
      <c r="AP25" s="579"/>
      <c r="AQ25" s="579"/>
      <c r="AR25" s="579"/>
      <c r="AS25" s="581"/>
      <c r="AT25" s="577"/>
      <c r="AU25" s="577"/>
      <c r="AV25" s="577"/>
      <c r="AW25" s="577"/>
      <c r="AX25" s="577"/>
      <c r="AY25" s="577"/>
      <c r="AZ25" s="569"/>
      <c r="BA25" s="569"/>
      <c r="BB25" s="551"/>
      <c r="BC25" s="552"/>
      <c r="BD25" s="538"/>
      <c r="BE25" s="596"/>
      <c r="BF25" s="596"/>
      <c r="BG25" s="596"/>
      <c r="BH25" s="598"/>
      <c r="BI25" s="596"/>
      <c r="BJ25" s="596"/>
      <c r="BK25" s="596"/>
      <c r="BL25" s="596"/>
      <c r="BM25" s="596"/>
      <c r="BN25" s="596"/>
      <c r="BO25" s="596"/>
      <c r="BP25" s="596"/>
      <c r="BQ25" s="596"/>
      <c r="BR25" s="596"/>
      <c r="BS25" s="596"/>
      <c r="BT25" s="596"/>
    </row>
    <row r="26" spans="1:72" ht="12.5" customHeight="1">
      <c r="A26" s="540"/>
      <c r="B26" s="566"/>
      <c r="C26" s="565"/>
      <c r="D26" s="565"/>
      <c r="E26" s="813" t="s">
        <v>402</v>
      </c>
      <c r="F26" s="813"/>
      <c r="G26" s="813"/>
      <c r="H26" s="813"/>
      <c r="I26" s="813"/>
      <c r="J26" s="813"/>
      <c r="K26" s="813"/>
      <c r="L26" s="813"/>
      <c r="M26" s="813"/>
      <c r="N26" s="813"/>
      <c r="O26" s="813"/>
      <c r="P26" s="813"/>
      <c r="Q26" s="813"/>
      <c r="R26" s="814">
        <v>123456</v>
      </c>
      <c r="S26" s="814"/>
      <c r="T26" s="814"/>
      <c r="U26" s="814"/>
      <c r="V26" s="814"/>
      <c r="W26" s="814"/>
      <c r="X26" s="814"/>
      <c r="Y26" s="814"/>
      <c r="Z26" s="814"/>
      <c r="AA26" s="814"/>
      <c r="AB26" s="814"/>
      <c r="AC26" s="814"/>
      <c r="AD26" s="814"/>
      <c r="AE26" s="814"/>
      <c r="AF26" s="814"/>
      <c r="AG26" s="814"/>
      <c r="AH26" s="814"/>
      <c r="AI26" s="814"/>
      <c r="AJ26" s="579"/>
      <c r="AK26" s="579"/>
      <c r="AL26" s="579"/>
      <c r="AM26" s="579"/>
      <c r="AN26" s="579"/>
      <c r="AO26" s="579"/>
      <c r="AP26" s="579"/>
      <c r="AQ26" s="579"/>
      <c r="AR26" s="579"/>
      <c r="AS26" s="580"/>
      <c r="AT26" s="571"/>
      <c r="AU26" s="565"/>
      <c r="AV26" s="568"/>
      <c r="AW26" s="568"/>
      <c r="AX26" s="568"/>
      <c r="AY26" s="565"/>
      <c r="AZ26" s="569"/>
      <c r="BA26" s="569"/>
      <c r="BB26" s="536"/>
      <c r="BC26" s="537"/>
      <c r="BD26" s="539"/>
      <c r="BE26" s="596"/>
      <c r="BF26" s="596"/>
      <c r="BG26" s="596"/>
      <c r="BH26" s="596"/>
      <c r="BI26" s="596"/>
      <c r="BJ26" s="596"/>
      <c r="BK26" s="596"/>
      <c r="BL26" s="596"/>
      <c r="BM26" s="596"/>
      <c r="BN26" s="596"/>
      <c r="BO26" s="596"/>
      <c r="BP26" s="596"/>
      <c r="BQ26" s="596"/>
      <c r="BR26" s="596"/>
      <c r="BS26" s="596"/>
      <c r="BT26" s="596"/>
    </row>
    <row r="27" spans="1:72" ht="12.5" customHeight="1">
      <c r="A27" s="540"/>
      <c r="B27" s="566"/>
      <c r="C27" s="575"/>
      <c r="D27" s="576"/>
      <c r="E27" s="813"/>
      <c r="F27" s="813"/>
      <c r="G27" s="813"/>
      <c r="H27" s="813"/>
      <c r="I27" s="813"/>
      <c r="J27" s="813"/>
      <c r="K27" s="813"/>
      <c r="L27" s="813"/>
      <c r="M27" s="813"/>
      <c r="N27" s="813"/>
      <c r="O27" s="813"/>
      <c r="P27" s="813"/>
      <c r="Q27" s="813"/>
      <c r="R27" s="814"/>
      <c r="S27" s="814"/>
      <c r="T27" s="814"/>
      <c r="U27" s="814"/>
      <c r="V27" s="814"/>
      <c r="W27" s="814"/>
      <c r="X27" s="814"/>
      <c r="Y27" s="814"/>
      <c r="Z27" s="814"/>
      <c r="AA27" s="814"/>
      <c r="AB27" s="814"/>
      <c r="AC27" s="814"/>
      <c r="AD27" s="814"/>
      <c r="AE27" s="814"/>
      <c r="AF27" s="814"/>
      <c r="AG27" s="814"/>
      <c r="AH27" s="814"/>
      <c r="AI27" s="814"/>
      <c r="AJ27" s="579"/>
      <c r="AK27" s="579"/>
      <c r="AL27" s="579"/>
      <c r="AM27" s="579"/>
      <c r="AN27" s="579"/>
      <c r="AO27" s="579"/>
      <c r="AP27" s="579"/>
      <c r="AQ27" s="579"/>
      <c r="AR27" s="579"/>
      <c r="AS27" s="579"/>
      <c r="AT27" s="573"/>
      <c r="AU27" s="568"/>
      <c r="AV27" s="568"/>
      <c r="AW27" s="568"/>
      <c r="AX27" s="568"/>
      <c r="AY27" s="568"/>
      <c r="AZ27" s="569"/>
      <c r="BA27" s="569"/>
      <c r="BB27" s="551"/>
      <c r="BC27" s="552"/>
      <c r="BD27" s="538"/>
      <c r="BE27" s="596"/>
      <c r="BF27" s="596"/>
      <c r="BG27" s="596"/>
      <c r="BH27" s="598"/>
      <c r="BI27" s="596"/>
      <c r="BJ27" s="596"/>
      <c r="BK27" s="596"/>
      <c r="BL27" s="596"/>
      <c r="BM27" s="596"/>
      <c r="BN27" s="596"/>
      <c r="BO27" s="596"/>
      <c r="BP27" s="596"/>
      <c r="BQ27" s="596"/>
      <c r="BR27" s="596"/>
      <c r="BS27" s="596"/>
      <c r="BT27" s="596"/>
    </row>
    <row r="28" spans="1:72" ht="12.5" customHeight="1">
      <c r="A28" s="540"/>
      <c r="B28" s="566"/>
      <c r="C28" s="575"/>
      <c r="D28" s="576"/>
      <c r="E28" s="813"/>
      <c r="F28" s="813"/>
      <c r="G28" s="813"/>
      <c r="H28" s="813"/>
      <c r="I28" s="813"/>
      <c r="J28" s="813"/>
      <c r="K28" s="813"/>
      <c r="L28" s="813"/>
      <c r="M28" s="813"/>
      <c r="N28" s="813"/>
      <c r="O28" s="813"/>
      <c r="P28" s="813"/>
      <c r="Q28" s="813"/>
      <c r="R28" s="814"/>
      <c r="S28" s="814"/>
      <c r="T28" s="814"/>
      <c r="U28" s="814"/>
      <c r="V28" s="814"/>
      <c r="W28" s="814"/>
      <c r="X28" s="814"/>
      <c r="Y28" s="814"/>
      <c r="Z28" s="814"/>
      <c r="AA28" s="814"/>
      <c r="AB28" s="814"/>
      <c r="AC28" s="814"/>
      <c r="AD28" s="814"/>
      <c r="AE28" s="814"/>
      <c r="AF28" s="814"/>
      <c r="AG28" s="814"/>
      <c r="AH28" s="814"/>
      <c r="AI28" s="814"/>
      <c r="AJ28" s="579"/>
      <c r="AK28" s="579"/>
      <c r="AL28" s="579"/>
      <c r="AM28" s="579"/>
      <c r="AN28" s="579"/>
      <c r="AO28" s="579"/>
      <c r="AP28" s="579"/>
      <c r="AQ28" s="579"/>
      <c r="AR28" s="579"/>
      <c r="AS28" s="579"/>
      <c r="AT28" s="573"/>
      <c r="AU28" s="568"/>
      <c r="AV28" s="568"/>
      <c r="AW28" s="568"/>
      <c r="AX28" s="568"/>
      <c r="AY28" s="568"/>
      <c r="AZ28" s="569"/>
      <c r="BA28" s="569"/>
      <c r="BB28" s="551"/>
      <c r="BC28" s="552"/>
      <c r="BD28" s="538"/>
      <c r="BE28" s="596"/>
      <c r="BF28" s="596"/>
      <c r="BG28" s="596"/>
      <c r="BH28" s="596"/>
      <c r="BI28" s="596"/>
      <c r="BJ28" s="596"/>
      <c r="BK28" s="596"/>
      <c r="BL28" s="596"/>
      <c r="BM28" s="596"/>
      <c r="BN28" s="596"/>
      <c r="BO28" s="596"/>
      <c r="BP28" s="596"/>
      <c r="BQ28" s="596"/>
      <c r="BR28" s="596"/>
      <c r="BS28" s="596"/>
      <c r="BT28" s="596"/>
    </row>
    <row r="29" spans="1:72" ht="12.5" customHeight="1">
      <c r="A29" s="540"/>
      <c r="B29" s="566"/>
      <c r="C29" s="575"/>
      <c r="D29" s="576"/>
      <c r="E29" s="813" t="s">
        <v>403</v>
      </c>
      <c r="F29" s="813"/>
      <c r="G29" s="813"/>
      <c r="H29" s="813"/>
      <c r="I29" s="813"/>
      <c r="J29" s="813"/>
      <c r="K29" s="813"/>
      <c r="L29" s="813"/>
      <c r="M29" s="813"/>
      <c r="N29" s="813"/>
      <c r="O29" s="813"/>
      <c r="P29" s="813"/>
      <c r="Q29" s="813"/>
      <c r="R29" s="814" t="s">
        <v>375</v>
      </c>
      <c r="S29" s="814"/>
      <c r="T29" s="814"/>
      <c r="U29" s="814"/>
      <c r="V29" s="814"/>
      <c r="W29" s="814"/>
      <c r="X29" s="814"/>
      <c r="Y29" s="814"/>
      <c r="Z29" s="814"/>
      <c r="AA29" s="814"/>
      <c r="AB29" s="814"/>
      <c r="AC29" s="814"/>
      <c r="AD29" s="814"/>
      <c r="AE29" s="814"/>
      <c r="AF29" s="814"/>
      <c r="AG29" s="814"/>
      <c r="AH29" s="814"/>
      <c r="AI29" s="814"/>
      <c r="AJ29" s="579"/>
      <c r="AK29" s="579"/>
      <c r="AL29" s="579"/>
      <c r="AM29" s="579"/>
      <c r="AN29" s="579"/>
      <c r="AO29" s="579"/>
      <c r="AP29" s="579"/>
      <c r="AQ29" s="579"/>
      <c r="AR29" s="579"/>
      <c r="AS29" s="581"/>
      <c r="AT29" s="577"/>
      <c r="AU29" s="577"/>
      <c r="AV29" s="577"/>
      <c r="AW29" s="577"/>
      <c r="AX29" s="577"/>
      <c r="AY29" s="577"/>
      <c r="AZ29" s="569"/>
      <c r="BA29" s="569"/>
      <c r="BB29" s="551"/>
      <c r="BC29" s="552"/>
      <c r="BD29" s="538"/>
      <c r="BE29" s="596"/>
      <c r="BF29" s="596"/>
      <c r="BG29" s="596"/>
      <c r="BH29" s="598"/>
      <c r="BI29" s="596"/>
      <c r="BJ29" s="596"/>
      <c r="BK29" s="596"/>
      <c r="BL29" s="596"/>
      <c r="BM29" s="596"/>
      <c r="BN29" s="596"/>
      <c r="BO29" s="596"/>
      <c r="BP29" s="596"/>
      <c r="BQ29" s="596"/>
      <c r="BR29" s="596"/>
      <c r="BS29" s="596"/>
      <c r="BT29" s="596"/>
    </row>
    <row r="30" spans="1:72" ht="12.5" customHeight="1">
      <c r="A30" s="540"/>
      <c r="B30" s="566"/>
      <c r="C30" s="565"/>
      <c r="D30" s="565"/>
      <c r="E30" s="813"/>
      <c r="F30" s="813"/>
      <c r="G30" s="813"/>
      <c r="H30" s="813"/>
      <c r="I30" s="813"/>
      <c r="J30" s="813"/>
      <c r="K30" s="813"/>
      <c r="L30" s="813"/>
      <c r="M30" s="813"/>
      <c r="N30" s="813"/>
      <c r="O30" s="813"/>
      <c r="P30" s="813"/>
      <c r="Q30" s="813"/>
      <c r="R30" s="814"/>
      <c r="S30" s="814"/>
      <c r="T30" s="814"/>
      <c r="U30" s="814"/>
      <c r="V30" s="814"/>
      <c r="W30" s="814"/>
      <c r="X30" s="814"/>
      <c r="Y30" s="814"/>
      <c r="Z30" s="814"/>
      <c r="AA30" s="814"/>
      <c r="AB30" s="814"/>
      <c r="AC30" s="814"/>
      <c r="AD30" s="814"/>
      <c r="AE30" s="814"/>
      <c r="AF30" s="814"/>
      <c r="AG30" s="814"/>
      <c r="AH30" s="814"/>
      <c r="AI30" s="814"/>
      <c r="AJ30" s="579"/>
      <c r="AK30" s="579"/>
      <c r="AL30" s="579"/>
      <c r="AM30" s="579"/>
      <c r="AN30" s="579"/>
      <c r="AO30" s="579"/>
      <c r="AP30" s="579"/>
      <c r="AQ30" s="579"/>
      <c r="AR30" s="579"/>
      <c r="AS30" s="580"/>
      <c r="AT30" s="571"/>
      <c r="AU30" s="565"/>
      <c r="AV30" s="568"/>
      <c r="AW30" s="568"/>
      <c r="AX30" s="568"/>
      <c r="AY30" s="565"/>
      <c r="AZ30" s="569"/>
      <c r="BA30" s="569"/>
      <c r="BB30" s="536"/>
      <c r="BC30" s="537"/>
      <c r="BD30" s="539"/>
      <c r="BE30" s="596"/>
      <c r="BF30" s="596"/>
      <c r="BG30" s="596"/>
      <c r="BH30" s="598"/>
      <c r="BI30" s="596"/>
      <c r="BJ30" s="596"/>
      <c r="BK30" s="596"/>
      <c r="BL30" s="596"/>
      <c r="BM30" s="596"/>
      <c r="BN30" s="596"/>
      <c r="BO30" s="596"/>
      <c r="BP30" s="596"/>
      <c r="BQ30" s="596"/>
      <c r="BR30" s="596"/>
      <c r="BS30" s="596"/>
      <c r="BT30" s="596"/>
    </row>
    <row r="31" spans="1:72" ht="12.5" customHeight="1">
      <c r="A31" s="540"/>
      <c r="B31" s="566"/>
      <c r="C31" s="575"/>
      <c r="D31" s="576"/>
      <c r="E31" s="568"/>
      <c r="F31" s="568"/>
      <c r="G31" s="568"/>
      <c r="H31" s="579"/>
      <c r="I31" s="579"/>
      <c r="J31" s="579"/>
      <c r="K31" s="579"/>
      <c r="L31" s="579"/>
      <c r="M31" s="579"/>
      <c r="N31" s="579"/>
      <c r="O31" s="579"/>
      <c r="P31" s="579"/>
      <c r="Q31" s="579"/>
      <c r="R31" s="579"/>
      <c r="S31" s="579"/>
      <c r="T31" s="579"/>
      <c r="U31" s="579"/>
      <c r="V31" s="579"/>
      <c r="W31" s="579"/>
      <c r="X31" s="579"/>
      <c r="Y31" s="579"/>
      <c r="Z31" s="579"/>
      <c r="AA31" s="579"/>
      <c r="AB31" s="579"/>
      <c r="AC31" s="579"/>
      <c r="AD31" s="579"/>
      <c r="AE31" s="579"/>
      <c r="AF31" s="579"/>
      <c r="AG31" s="579"/>
      <c r="AH31" s="579"/>
      <c r="AI31" s="579"/>
      <c r="AJ31" s="579"/>
      <c r="AK31" s="579"/>
      <c r="AL31" s="579"/>
      <c r="AM31" s="579"/>
      <c r="AN31" s="579"/>
      <c r="AO31" s="579"/>
      <c r="AP31" s="579"/>
      <c r="AQ31" s="579"/>
      <c r="AR31" s="579"/>
      <c r="AS31" s="579"/>
      <c r="AT31" s="573"/>
      <c r="AU31" s="568"/>
      <c r="AV31" s="568"/>
      <c r="AW31" s="568"/>
      <c r="AX31" s="568"/>
      <c r="AY31" s="568"/>
      <c r="AZ31" s="569"/>
      <c r="BA31" s="569"/>
      <c r="BB31" s="551"/>
      <c r="BC31" s="552"/>
      <c r="BD31" s="538"/>
      <c r="BE31" s="596"/>
      <c r="BF31" s="596"/>
      <c r="BG31" s="596"/>
      <c r="BH31" s="596"/>
      <c r="BI31" s="596"/>
      <c r="BJ31" s="596"/>
      <c r="BK31" s="596"/>
      <c r="BL31" s="596"/>
      <c r="BM31" s="596"/>
      <c r="BN31" s="596"/>
      <c r="BO31" s="596"/>
      <c r="BP31" s="596"/>
      <c r="BQ31" s="596"/>
      <c r="BR31" s="596"/>
      <c r="BS31" s="596"/>
      <c r="BT31" s="596"/>
    </row>
    <row r="32" spans="1:72" ht="12.5" customHeight="1">
      <c r="A32" s="540"/>
      <c r="B32" s="566"/>
      <c r="C32" s="575"/>
      <c r="D32" s="576"/>
      <c r="E32" s="568"/>
      <c r="F32" s="568"/>
      <c r="G32" s="568"/>
      <c r="H32" s="579"/>
      <c r="I32" s="579"/>
      <c r="J32" s="579"/>
      <c r="K32" s="579"/>
      <c r="L32" s="579"/>
      <c r="M32" s="579"/>
      <c r="N32" s="579"/>
      <c r="O32" s="579"/>
      <c r="P32" s="579"/>
      <c r="Q32" s="579"/>
      <c r="R32" s="579"/>
      <c r="S32" s="579"/>
      <c r="T32" s="579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  <c r="AE32" s="579"/>
      <c r="AF32" s="579"/>
      <c r="AG32" s="579"/>
      <c r="AH32" s="579"/>
      <c r="AI32" s="579"/>
      <c r="AJ32" s="579"/>
      <c r="AK32" s="579"/>
      <c r="AL32" s="579"/>
      <c r="AM32" s="579"/>
      <c r="AN32" s="579"/>
      <c r="AO32" s="579"/>
      <c r="AP32" s="579"/>
      <c r="AQ32" s="579"/>
      <c r="AR32" s="579"/>
      <c r="AS32" s="581"/>
      <c r="AT32" s="577"/>
      <c r="AU32" s="577"/>
      <c r="AV32" s="577"/>
      <c r="AW32" s="577"/>
      <c r="AX32" s="577"/>
      <c r="AY32" s="577"/>
      <c r="AZ32" s="569"/>
      <c r="BA32" s="569"/>
      <c r="BB32" s="551"/>
      <c r="BC32" s="552"/>
      <c r="BD32" s="538"/>
      <c r="BE32" s="596"/>
      <c r="BF32" s="596"/>
      <c r="BG32" s="596"/>
      <c r="BH32" s="598"/>
      <c r="BI32" s="596"/>
      <c r="BJ32" s="596"/>
      <c r="BK32" s="596"/>
      <c r="BL32" s="596"/>
      <c r="BM32" s="596"/>
      <c r="BN32" s="596"/>
      <c r="BO32" s="596"/>
      <c r="BP32" s="596"/>
      <c r="BQ32" s="596"/>
      <c r="BR32" s="596"/>
      <c r="BS32" s="596"/>
      <c r="BT32" s="596"/>
    </row>
    <row r="33" spans="1:72" ht="17.5" customHeight="1">
      <c r="A33" s="540"/>
      <c r="B33" s="566"/>
      <c r="C33" s="565"/>
      <c r="D33" s="565"/>
      <c r="E33" s="804"/>
      <c r="F33" s="804"/>
      <c r="G33" s="811" t="s">
        <v>404</v>
      </c>
      <c r="H33" s="800"/>
      <c r="I33" s="800"/>
      <c r="J33" s="800" t="s">
        <v>376</v>
      </c>
      <c r="K33" s="800"/>
      <c r="L33" s="800"/>
      <c r="M33" s="811" t="s">
        <v>438</v>
      </c>
      <c r="N33" s="811"/>
      <c r="O33" s="811"/>
      <c r="P33" s="799" t="s">
        <v>439</v>
      </c>
      <c r="Q33" s="811"/>
      <c r="R33" s="811"/>
      <c r="S33" s="799" t="s">
        <v>440</v>
      </c>
      <c r="T33" s="800"/>
      <c r="U33" s="800"/>
      <c r="V33" s="802" t="s">
        <v>441</v>
      </c>
      <c r="W33" s="802"/>
      <c r="X33" s="802"/>
      <c r="Y33" s="802" t="s">
        <v>442</v>
      </c>
      <c r="Z33" s="802"/>
      <c r="AA33" s="802"/>
      <c r="AB33" s="802" t="s">
        <v>443</v>
      </c>
      <c r="AC33" s="802"/>
      <c r="AD33" s="802"/>
      <c r="AE33" s="797" t="s">
        <v>435</v>
      </c>
      <c r="AF33" s="797"/>
      <c r="AG33" s="797"/>
      <c r="AH33" s="797" t="s">
        <v>377</v>
      </c>
      <c r="AI33" s="797"/>
      <c r="AJ33" s="797"/>
      <c r="AK33" s="797" t="s">
        <v>436</v>
      </c>
      <c r="AL33" s="797"/>
      <c r="AM33" s="797"/>
      <c r="AN33" s="797" t="s">
        <v>444</v>
      </c>
      <c r="AO33" s="797"/>
      <c r="AP33" s="797"/>
      <c r="AQ33" s="579"/>
      <c r="AR33" s="579"/>
      <c r="AS33" s="580"/>
      <c r="AT33" s="571"/>
      <c r="AU33" s="565"/>
      <c r="AV33" s="568"/>
      <c r="AW33" s="568"/>
      <c r="AX33" s="568"/>
      <c r="AY33" s="565"/>
      <c r="AZ33" s="569"/>
      <c r="BA33" s="569"/>
      <c r="BB33" s="536"/>
      <c r="BC33" s="537"/>
      <c r="BD33" s="539"/>
      <c r="BE33" s="596"/>
      <c r="BF33" s="596"/>
      <c r="BG33" s="596"/>
      <c r="BH33" s="598"/>
      <c r="BI33" s="596"/>
      <c r="BJ33" s="596"/>
      <c r="BK33" s="596"/>
      <c r="BL33" s="596"/>
      <c r="BM33" s="596"/>
      <c r="BN33" s="596"/>
      <c r="BO33" s="596"/>
      <c r="BP33" s="596"/>
      <c r="BQ33" s="596"/>
      <c r="BR33" s="596"/>
      <c r="BS33" s="596"/>
      <c r="BT33" s="596"/>
    </row>
    <row r="34" spans="1:72" ht="17.5" customHeight="1">
      <c r="A34" s="540"/>
      <c r="B34" s="566"/>
      <c r="C34" s="575"/>
      <c r="D34" s="576"/>
      <c r="E34" s="805"/>
      <c r="F34" s="805"/>
      <c r="G34" s="812"/>
      <c r="H34" s="801"/>
      <c r="I34" s="801"/>
      <c r="J34" s="801"/>
      <c r="K34" s="801"/>
      <c r="L34" s="801"/>
      <c r="M34" s="812"/>
      <c r="N34" s="812"/>
      <c r="O34" s="812"/>
      <c r="P34" s="812"/>
      <c r="Q34" s="812"/>
      <c r="R34" s="812"/>
      <c r="S34" s="801"/>
      <c r="T34" s="801"/>
      <c r="U34" s="801"/>
      <c r="V34" s="803"/>
      <c r="W34" s="803"/>
      <c r="X34" s="803"/>
      <c r="Y34" s="803"/>
      <c r="Z34" s="803"/>
      <c r="AA34" s="803"/>
      <c r="AB34" s="803"/>
      <c r="AC34" s="803"/>
      <c r="AD34" s="803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579"/>
      <c r="AR34" s="579"/>
      <c r="AS34" s="579"/>
      <c r="AT34" s="573"/>
      <c r="AU34" s="568"/>
      <c r="AV34" s="568"/>
      <c r="AW34" s="568"/>
      <c r="AX34" s="568"/>
      <c r="AY34" s="568"/>
      <c r="AZ34" s="569"/>
      <c r="BA34" s="569"/>
      <c r="BB34" s="551"/>
      <c r="BC34" s="552"/>
      <c r="BD34" s="538"/>
      <c r="BE34" s="596"/>
      <c r="BF34" s="596"/>
      <c r="BG34" s="596"/>
      <c r="BH34" s="596"/>
      <c r="BI34" s="596"/>
      <c r="BJ34" s="596"/>
      <c r="BK34" s="596"/>
      <c r="BL34" s="596"/>
      <c r="BM34" s="596"/>
      <c r="BN34" s="596"/>
      <c r="BO34" s="596"/>
      <c r="BP34" s="596"/>
      <c r="BQ34" s="596"/>
      <c r="BR34" s="596"/>
      <c r="BS34" s="596"/>
      <c r="BT34" s="596"/>
    </row>
    <row r="35" spans="1:72" ht="17.5" customHeight="1">
      <c r="A35" s="540"/>
      <c r="B35" s="566"/>
      <c r="C35" s="575"/>
      <c r="D35" s="576"/>
      <c r="E35" s="805"/>
      <c r="F35" s="805"/>
      <c r="G35" s="801"/>
      <c r="H35" s="801"/>
      <c r="I35" s="801"/>
      <c r="J35" s="801"/>
      <c r="K35" s="801"/>
      <c r="L35" s="801"/>
      <c r="M35" s="812"/>
      <c r="N35" s="812"/>
      <c r="O35" s="812"/>
      <c r="P35" s="812"/>
      <c r="Q35" s="812"/>
      <c r="R35" s="812"/>
      <c r="S35" s="801"/>
      <c r="T35" s="801"/>
      <c r="U35" s="801"/>
      <c r="V35" s="803"/>
      <c r="W35" s="803"/>
      <c r="X35" s="803"/>
      <c r="Y35" s="803"/>
      <c r="Z35" s="803"/>
      <c r="AA35" s="803"/>
      <c r="AB35" s="803"/>
      <c r="AC35" s="803"/>
      <c r="AD35" s="803"/>
      <c r="AE35" s="798"/>
      <c r="AF35" s="798"/>
      <c r="AG35" s="798"/>
      <c r="AH35" s="798"/>
      <c r="AI35" s="798"/>
      <c r="AJ35" s="798"/>
      <c r="AK35" s="798"/>
      <c r="AL35" s="798"/>
      <c r="AM35" s="798"/>
      <c r="AN35" s="798"/>
      <c r="AO35" s="798"/>
      <c r="AP35" s="798"/>
      <c r="AQ35" s="579"/>
      <c r="AR35" s="579"/>
      <c r="AS35" s="579"/>
      <c r="AT35" s="573"/>
      <c r="AU35" s="568"/>
      <c r="AV35" s="568"/>
      <c r="AW35" s="568"/>
      <c r="AX35" s="568"/>
      <c r="AY35" s="568"/>
      <c r="AZ35" s="569"/>
      <c r="BA35" s="569"/>
      <c r="BB35" s="551"/>
      <c r="BC35" s="552"/>
      <c r="BD35" s="538"/>
      <c r="BE35" s="596"/>
      <c r="BF35" s="596"/>
      <c r="BG35" s="596"/>
      <c r="BH35" s="598"/>
      <c r="BI35" s="596"/>
      <c r="BJ35" s="596"/>
      <c r="BK35" s="596"/>
      <c r="BL35" s="596"/>
      <c r="BM35" s="596"/>
      <c r="BN35" s="596"/>
      <c r="BO35" s="596"/>
      <c r="BP35" s="596"/>
      <c r="BQ35" s="596"/>
      <c r="BR35" s="596"/>
      <c r="BS35" s="596"/>
      <c r="BT35" s="596"/>
    </row>
    <row r="36" spans="1:72" ht="12.5" customHeight="1">
      <c r="A36" s="540"/>
      <c r="B36" s="566"/>
      <c r="C36" s="575"/>
      <c r="D36" s="576"/>
      <c r="E36" s="774" t="s">
        <v>378</v>
      </c>
      <c r="F36" s="774"/>
      <c r="G36" s="776" t="s">
        <v>379</v>
      </c>
      <c r="H36" s="776"/>
      <c r="I36" s="776"/>
      <c r="J36" s="815" t="s">
        <v>384</v>
      </c>
      <c r="K36" s="776"/>
      <c r="L36" s="776"/>
      <c r="M36" s="815" t="s">
        <v>408</v>
      </c>
      <c r="N36" s="776"/>
      <c r="O36" s="776"/>
      <c r="P36" s="815" t="s">
        <v>405</v>
      </c>
      <c r="Q36" s="776"/>
      <c r="R36" s="776"/>
      <c r="S36" s="775" t="s">
        <v>390</v>
      </c>
      <c r="T36" s="776"/>
      <c r="U36" s="776"/>
      <c r="V36" s="777" t="s">
        <v>394</v>
      </c>
      <c r="W36" s="778"/>
      <c r="X36" s="779"/>
      <c r="Y36" s="777" t="s">
        <v>394</v>
      </c>
      <c r="Z36" s="778"/>
      <c r="AA36" s="779"/>
      <c r="AB36" s="777" t="s">
        <v>394</v>
      </c>
      <c r="AC36" s="778"/>
      <c r="AD36" s="779"/>
      <c r="AE36" s="777" t="s">
        <v>394</v>
      </c>
      <c r="AF36" s="778"/>
      <c r="AG36" s="779"/>
      <c r="AH36" s="777" t="s">
        <v>394</v>
      </c>
      <c r="AI36" s="778"/>
      <c r="AJ36" s="779"/>
      <c r="AK36" s="777" t="s">
        <v>394</v>
      </c>
      <c r="AL36" s="778"/>
      <c r="AM36" s="779"/>
      <c r="AN36" s="777" t="s">
        <v>394</v>
      </c>
      <c r="AO36" s="778"/>
      <c r="AP36" s="779"/>
      <c r="AQ36" s="579"/>
      <c r="AR36" s="579"/>
      <c r="AS36" s="581"/>
      <c r="AT36" s="577"/>
      <c r="AU36" s="577"/>
      <c r="AV36" s="577"/>
      <c r="AW36" s="577"/>
      <c r="AX36" s="577"/>
      <c r="AY36" s="577"/>
      <c r="AZ36" s="569"/>
      <c r="BA36" s="569"/>
      <c r="BB36" s="551"/>
      <c r="BC36" s="552"/>
      <c r="BD36" s="538"/>
      <c r="BE36" s="596"/>
      <c r="BF36" s="596"/>
      <c r="BG36" s="596"/>
      <c r="BH36" s="598"/>
      <c r="BI36" s="596"/>
      <c r="BJ36" s="596"/>
      <c r="BK36" s="596"/>
      <c r="BL36" s="596"/>
      <c r="BM36" s="596"/>
      <c r="BN36" s="596"/>
      <c r="BO36" s="596"/>
      <c r="BP36" s="596"/>
      <c r="BQ36" s="596"/>
      <c r="BR36" s="596"/>
      <c r="BS36" s="596"/>
      <c r="BT36" s="596"/>
    </row>
    <row r="37" spans="1:72" ht="12.5" customHeight="1">
      <c r="A37" s="540"/>
      <c r="B37" s="566"/>
      <c r="C37" s="565"/>
      <c r="D37" s="565"/>
      <c r="E37" s="774"/>
      <c r="F37" s="774"/>
      <c r="G37" s="776"/>
      <c r="H37" s="776"/>
      <c r="I37" s="776"/>
      <c r="J37" s="815"/>
      <c r="K37" s="776"/>
      <c r="L37" s="776"/>
      <c r="M37" s="776"/>
      <c r="N37" s="776"/>
      <c r="O37" s="776"/>
      <c r="P37" s="815"/>
      <c r="Q37" s="776"/>
      <c r="R37" s="776"/>
      <c r="S37" s="775"/>
      <c r="T37" s="776"/>
      <c r="U37" s="776"/>
      <c r="V37" s="780"/>
      <c r="W37" s="781"/>
      <c r="X37" s="782"/>
      <c r="Y37" s="780"/>
      <c r="Z37" s="781"/>
      <c r="AA37" s="782"/>
      <c r="AB37" s="780"/>
      <c r="AC37" s="781"/>
      <c r="AD37" s="782"/>
      <c r="AE37" s="780"/>
      <c r="AF37" s="781"/>
      <c r="AG37" s="782"/>
      <c r="AH37" s="780"/>
      <c r="AI37" s="781"/>
      <c r="AJ37" s="782"/>
      <c r="AK37" s="780"/>
      <c r="AL37" s="781"/>
      <c r="AM37" s="782"/>
      <c r="AN37" s="780"/>
      <c r="AO37" s="781"/>
      <c r="AP37" s="782"/>
      <c r="AQ37" s="579"/>
      <c r="AR37" s="579"/>
      <c r="AS37" s="580"/>
      <c r="AT37" s="571"/>
      <c r="AU37" s="565"/>
      <c r="AV37" s="568"/>
      <c r="AW37" s="568"/>
      <c r="AX37" s="568"/>
      <c r="AY37" s="565"/>
      <c r="AZ37" s="569"/>
      <c r="BA37" s="569"/>
      <c r="BB37" s="536"/>
      <c r="BC37" s="537"/>
      <c r="BD37" s="539"/>
      <c r="BE37" s="596"/>
      <c r="BF37" s="596"/>
      <c r="BG37" s="596"/>
      <c r="BH37" s="596"/>
      <c r="BI37" s="596"/>
      <c r="BJ37" s="596"/>
      <c r="BK37" s="596"/>
      <c r="BL37" s="596"/>
      <c r="BM37" s="596"/>
      <c r="BN37" s="596"/>
      <c r="BO37" s="596"/>
      <c r="BP37" s="596"/>
      <c r="BQ37" s="596"/>
      <c r="BR37" s="596"/>
      <c r="BS37" s="596"/>
      <c r="BT37" s="596"/>
    </row>
    <row r="38" spans="1:72" ht="12.5" customHeight="1">
      <c r="A38" s="540"/>
      <c r="B38" s="566"/>
      <c r="C38" s="565"/>
      <c r="D38" s="565"/>
      <c r="E38" s="774"/>
      <c r="F38" s="774"/>
      <c r="G38" s="776"/>
      <c r="H38" s="776"/>
      <c r="I38" s="776"/>
      <c r="J38" s="776"/>
      <c r="K38" s="776"/>
      <c r="L38" s="776"/>
      <c r="M38" s="776"/>
      <c r="N38" s="776"/>
      <c r="O38" s="776"/>
      <c r="P38" s="776"/>
      <c r="Q38" s="776"/>
      <c r="R38" s="776"/>
      <c r="S38" s="776"/>
      <c r="T38" s="776"/>
      <c r="U38" s="776"/>
      <c r="V38" s="783"/>
      <c r="W38" s="784"/>
      <c r="X38" s="785"/>
      <c r="Y38" s="783"/>
      <c r="Z38" s="784"/>
      <c r="AA38" s="785"/>
      <c r="AB38" s="783"/>
      <c r="AC38" s="784"/>
      <c r="AD38" s="785"/>
      <c r="AE38" s="783"/>
      <c r="AF38" s="784"/>
      <c r="AG38" s="785"/>
      <c r="AH38" s="783"/>
      <c r="AI38" s="784"/>
      <c r="AJ38" s="785"/>
      <c r="AK38" s="783"/>
      <c r="AL38" s="784"/>
      <c r="AM38" s="785"/>
      <c r="AN38" s="783"/>
      <c r="AO38" s="784"/>
      <c r="AP38" s="785"/>
      <c r="AQ38" s="579"/>
      <c r="AR38" s="579"/>
      <c r="AS38" s="580"/>
      <c r="AT38" s="571"/>
      <c r="AU38" s="565"/>
      <c r="AV38" s="568"/>
      <c r="AW38" s="568"/>
      <c r="AX38" s="568"/>
      <c r="AY38" s="565"/>
      <c r="AZ38" s="569"/>
      <c r="BA38" s="569"/>
      <c r="BB38" s="536"/>
      <c r="BC38" s="537"/>
      <c r="BD38" s="539"/>
      <c r="BE38" s="596"/>
      <c r="BF38" s="596"/>
      <c r="BG38" s="596"/>
      <c r="BH38" s="598"/>
      <c r="BI38" s="596"/>
      <c r="BJ38" s="596"/>
      <c r="BK38" s="596"/>
      <c r="BL38" s="596"/>
      <c r="BM38" s="596"/>
      <c r="BN38" s="596"/>
      <c r="BO38" s="596"/>
      <c r="BP38" s="596"/>
      <c r="BQ38" s="596"/>
      <c r="BR38" s="596"/>
      <c r="BS38" s="596"/>
      <c r="BT38" s="596"/>
    </row>
    <row r="39" spans="1:72" ht="12.5" customHeight="1">
      <c r="A39" s="540"/>
      <c r="B39" s="566"/>
      <c r="C39" s="575"/>
      <c r="D39" s="576"/>
      <c r="E39" s="774"/>
      <c r="F39" s="774"/>
      <c r="G39" s="776" t="s">
        <v>379</v>
      </c>
      <c r="H39" s="776"/>
      <c r="I39" s="776"/>
      <c r="J39" s="815" t="s">
        <v>384</v>
      </c>
      <c r="K39" s="776"/>
      <c r="L39" s="776"/>
      <c r="M39" s="815" t="s">
        <v>408</v>
      </c>
      <c r="N39" s="776"/>
      <c r="O39" s="776"/>
      <c r="P39" s="815" t="s">
        <v>405</v>
      </c>
      <c r="Q39" s="776"/>
      <c r="R39" s="776"/>
      <c r="S39" s="775" t="s">
        <v>390</v>
      </c>
      <c r="T39" s="776"/>
      <c r="U39" s="776"/>
      <c r="V39" s="777" t="s">
        <v>394</v>
      </c>
      <c r="W39" s="778"/>
      <c r="X39" s="779"/>
      <c r="Y39" s="777" t="s">
        <v>394</v>
      </c>
      <c r="Z39" s="778"/>
      <c r="AA39" s="779"/>
      <c r="AB39" s="777" t="s">
        <v>394</v>
      </c>
      <c r="AC39" s="778"/>
      <c r="AD39" s="779"/>
      <c r="AE39" s="777" t="s">
        <v>394</v>
      </c>
      <c r="AF39" s="778"/>
      <c r="AG39" s="779"/>
      <c r="AH39" s="777" t="s">
        <v>394</v>
      </c>
      <c r="AI39" s="778"/>
      <c r="AJ39" s="779"/>
      <c r="AK39" s="777" t="s">
        <v>394</v>
      </c>
      <c r="AL39" s="778"/>
      <c r="AM39" s="779"/>
      <c r="AN39" s="777" t="s">
        <v>394</v>
      </c>
      <c r="AO39" s="778"/>
      <c r="AP39" s="779"/>
      <c r="AQ39" s="579"/>
      <c r="AR39" s="579"/>
      <c r="AS39" s="579"/>
      <c r="AT39" s="573"/>
      <c r="AU39" s="568"/>
      <c r="AV39" s="568"/>
      <c r="AW39" s="568"/>
      <c r="AX39" s="568"/>
      <c r="AY39" s="568"/>
      <c r="AZ39" s="569"/>
      <c r="BA39" s="569"/>
      <c r="BB39" s="551"/>
      <c r="BC39" s="552"/>
      <c r="BD39" s="538"/>
      <c r="BE39" s="596"/>
      <c r="BF39" s="596"/>
      <c r="BG39" s="596"/>
      <c r="BH39" s="598"/>
      <c r="BI39" s="596"/>
      <c r="BJ39" s="596"/>
      <c r="BK39" s="596"/>
      <c r="BL39" s="596"/>
      <c r="BM39" s="596"/>
      <c r="BN39" s="596"/>
      <c r="BO39" s="596"/>
      <c r="BP39" s="596"/>
      <c r="BQ39" s="596"/>
      <c r="BR39" s="596"/>
      <c r="BS39" s="596"/>
      <c r="BT39" s="596"/>
    </row>
    <row r="40" spans="1:72" ht="12.5" customHeight="1">
      <c r="A40" s="540"/>
      <c r="B40" s="566"/>
      <c r="C40" s="575"/>
      <c r="D40" s="576"/>
      <c r="E40" s="774"/>
      <c r="F40" s="774"/>
      <c r="G40" s="776"/>
      <c r="H40" s="776"/>
      <c r="I40" s="776"/>
      <c r="J40" s="815"/>
      <c r="K40" s="776"/>
      <c r="L40" s="776"/>
      <c r="M40" s="776"/>
      <c r="N40" s="776"/>
      <c r="O40" s="776"/>
      <c r="P40" s="815"/>
      <c r="Q40" s="776"/>
      <c r="R40" s="776"/>
      <c r="S40" s="775"/>
      <c r="T40" s="776"/>
      <c r="U40" s="776"/>
      <c r="V40" s="780"/>
      <c r="W40" s="781"/>
      <c r="X40" s="782"/>
      <c r="Y40" s="780"/>
      <c r="Z40" s="781"/>
      <c r="AA40" s="782"/>
      <c r="AB40" s="780"/>
      <c r="AC40" s="781"/>
      <c r="AD40" s="782"/>
      <c r="AE40" s="780"/>
      <c r="AF40" s="781"/>
      <c r="AG40" s="782"/>
      <c r="AH40" s="780"/>
      <c r="AI40" s="781"/>
      <c r="AJ40" s="782"/>
      <c r="AK40" s="780"/>
      <c r="AL40" s="781"/>
      <c r="AM40" s="782"/>
      <c r="AN40" s="780"/>
      <c r="AO40" s="781"/>
      <c r="AP40" s="782"/>
      <c r="AQ40" s="579"/>
      <c r="AR40" s="579"/>
      <c r="AS40" s="581"/>
      <c r="AT40" s="577"/>
      <c r="AU40" s="577"/>
      <c r="AV40" s="577"/>
      <c r="AW40" s="577"/>
      <c r="AX40" s="577"/>
      <c r="AY40" s="577"/>
      <c r="AZ40" s="569"/>
      <c r="BA40" s="569"/>
      <c r="BB40" s="551"/>
      <c r="BC40" s="552"/>
      <c r="BD40" s="538"/>
      <c r="BE40" s="596"/>
      <c r="BF40" s="596"/>
      <c r="BG40" s="596"/>
      <c r="BH40" s="598"/>
      <c r="BI40" s="596"/>
      <c r="BJ40" s="596"/>
      <c r="BK40" s="596"/>
      <c r="BL40" s="596"/>
      <c r="BM40" s="596"/>
      <c r="BN40" s="596"/>
      <c r="BO40" s="596"/>
      <c r="BP40" s="596"/>
      <c r="BQ40" s="596"/>
      <c r="BR40" s="596"/>
      <c r="BS40" s="596"/>
      <c r="BT40" s="596"/>
    </row>
    <row r="41" spans="1:72" ht="12.5" customHeight="1">
      <c r="A41" s="540"/>
      <c r="B41" s="566"/>
      <c r="C41" s="575"/>
      <c r="D41" s="576"/>
      <c r="E41" s="774"/>
      <c r="F41" s="774"/>
      <c r="G41" s="776"/>
      <c r="H41" s="776"/>
      <c r="I41" s="776"/>
      <c r="J41" s="776"/>
      <c r="K41" s="776"/>
      <c r="L41" s="776"/>
      <c r="M41" s="776"/>
      <c r="N41" s="776"/>
      <c r="O41" s="776"/>
      <c r="P41" s="776"/>
      <c r="Q41" s="776"/>
      <c r="R41" s="776"/>
      <c r="S41" s="776"/>
      <c r="T41" s="776"/>
      <c r="U41" s="776"/>
      <c r="V41" s="783"/>
      <c r="W41" s="784"/>
      <c r="X41" s="785"/>
      <c r="Y41" s="783"/>
      <c r="Z41" s="784"/>
      <c r="AA41" s="785"/>
      <c r="AB41" s="783"/>
      <c r="AC41" s="784"/>
      <c r="AD41" s="785"/>
      <c r="AE41" s="783"/>
      <c r="AF41" s="784"/>
      <c r="AG41" s="785"/>
      <c r="AH41" s="783"/>
      <c r="AI41" s="784"/>
      <c r="AJ41" s="785"/>
      <c r="AK41" s="783"/>
      <c r="AL41" s="784"/>
      <c r="AM41" s="785"/>
      <c r="AN41" s="783"/>
      <c r="AO41" s="784"/>
      <c r="AP41" s="785"/>
      <c r="AQ41" s="579"/>
      <c r="AR41" s="579"/>
      <c r="AS41" s="581"/>
      <c r="AT41" s="577"/>
      <c r="AU41" s="577"/>
      <c r="AV41" s="577"/>
      <c r="AW41" s="577"/>
      <c r="AX41" s="577"/>
      <c r="AY41" s="577"/>
      <c r="AZ41" s="569"/>
      <c r="BA41" s="569"/>
      <c r="BB41" s="551"/>
      <c r="BC41" s="552"/>
      <c r="BD41" s="538"/>
      <c r="BE41" s="596"/>
      <c r="BF41" s="596"/>
      <c r="BG41" s="596"/>
      <c r="BH41" s="596"/>
      <c r="BI41" s="596"/>
      <c r="BJ41" s="596"/>
      <c r="BK41" s="596"/>
      <c r="BL41" s="596"/>
      <c r="BM41" s="596"/>
      <c r="BN41" s="596"/>
      <c r="BO41" s="596"/>
      <c r="BP41" s="596"/>
      <c r="BQ41" s="596"/>
      <c r="BR41" s="596"/>
      <c r="BS41" s="596"/>
      <c r="BT41" s="596"/>
    </row>
    <row r="42" spans="1:72" ht="12.5" customHeight="1">
      <c r="A42" s="540"/>
      <c r="B42" s="566"/>
      <c r="C42" s="575"/>
      <c r="D42" s="576"/>
      <c r="E42" s="774" t="s">
        <v>378</v>
      </c>
      <c r="F42" s="774"/>
      <c r="G42" s="776" t="s">
        <v>380</v>
      </c>
      <c r="H42" s="776"/>
      <c r="I42" s="776"/>
      <c r="J42" s="815" t="s">
        <v>385</v>
      </c>
      <c r="K42" s="776"/>
      <c r="L42" s="776"/>
      <c r="M42" s="815" t="s">
        <v>407</v>
      </c>
      <c r="N42" s="776"/>
      <c r="O42" s="776"/>
      <c r="P42" s="815" t="s">
        <v>405</v>
      </c>
      <c r="Q42" s="776"/>
      <c r="R42" s="776"/>
      <c r="S42" s="775" t="s">
        <v>391</v>
      </c>
      <c r="T42" s="776"/>
      <c r="U42" s="776"/>
      <c r="V42" s="815" t="s">
        <v>395</v>
      </c>
      <c r="W42" s="776"/>
      <c r="X42" s="776"/>
      <c r="Y42" s="815" t="s">
        <v>395</v>
      </c>
      <c r="Z42" s="776"/>
      <c r="AA42" s="776"/>
      <c r="AB42" s="777" t="s">
        <v>394</v>
      </c>
      <c r="AC42" s="778"/>
      <c r="AD42" s="779"/>
      <c r="AE42" s="777" t="s">
        <v>394</v>
      </c>
      <c r="AF42" s="778"/>
      <c r="AG42" s="779"/>
      <c r="AH42" s="776" t="s">
        <v>396</v>
      </c>
      <c r="AI42" s="776"/>
      <c r="AJ42" s="776"/>
      <c r="AK42" s="777" t="s">
        <v>394</v>
      </c>
      <c r="AL42" s="778"/>
      <c r="AM42" s="779"/>
      <c r="AN42" s="777" t="s">
        <v>394</v>
      </c>
      <c r="AO42" s="778"/>
      <c r="AP42" s="779"/>
      <c r="AQ42" s="579"/>
      <c r="AR42" s="579"/>
      <c r="AS42" s="581"/>
      <c r="AT42" s="577"/>
      <c r="AU42" s="577"/>
      <c r="AV42" s="577"/>
      <c r="AW42" s="577"/>
      <c r="AX42" s="577"/>
      <c r="AY42" s="577"/>
      <c r="AZ42" s="569"/>
      <c r="BA42" s="569"/>
      <c r="BB42" s="551"/>
      <c r="BC42" s="552"/>
      <c r="BD42" s="538"/>
      <c r="BE42" s="596"/>
      <c r="BF42" s="596"/>
      <c r="BG42" s="596"/>
      <c r="BH42" s="598"/>
      <c r="BI42" s="596"/>
      <c r="BJ42" s="596"/>
      <c r="BK42" s="596"/>
      <c r="BL42" s="596"/>
      <c r="BM42" s="596"/>
      <c r="BN42" s="596"/>
      <c r="BO42" s="596"/>
      <c r="BP42" s="596"/>
      <c r="BQ42" s="596"/>
      <c r="BR42" s="596"/>
      <c r="BS42" s="596"/>
      <c r="BT42" s="596"/>
    </row>
    <row r="43" spans="1:72" ht="12.5" customHeight="1">
      <c r="A43" s="540"/>
      <c r="B43" s="566"/>
      <c r="C43" s="565"/>
      <c r="D43" s="565"/>
      <c r="E43" s="774"/>
      <c r="F43" s="774"/>
      <c r="G43" s="776"/>
      <c r="H43" s="776"/>
      <c r="I43" s="776"/>
      <c r="J43" s="815"/>
      <c r="K43" s="776"/>
      <c r="L43" s="776"/>
      <c r="M43" s="815"/>
      <c r="N43" s="776"/>
      <c r="O43" s="776"/>
      <c r="P43" s="815"/>
      <c r="Q43" s="776"/>
      <c r="R43" s="776"/>
      <c r="S43" s="775"/>
      <c r="T43" s="776"/>
      <c r="U43" s="776"/>
      <c r="V43" s="815"/>
      <c r="W43" s="776"/>
      <c r="X43" s="776"/>
      <c r="Y43" s="815"/>
      <c r="Z43" s="776"/>
      <c r="AA43" s="776"/>
      <c r="AB43" s="780"/>
      <c r="AC43" s="781"/>
      <c r="AD43" s="782"/>
      <c r="AE43" s="780"/>
      <c r="AF43" s="781"/>
      <c r="AG43" s="782"/>
      <c r="AH43" s="776"/>
      <c r="AI43" s="776"/>
      <c r="AJ43" s="776"/>
      <c r="AK43" s="780"/>
      <c r="AL43" s="781"/>
      <c r="AM43" s="782"/>
      <c r="AN43" s="780"/>
      <c r="AO43" s="781"/>
      <c r="AP43" s="782"/>
      <c r="AQ43" s="579"/>
      <c r="AR43" s="579"/>
      <c r="AS43" s="580"/>
      <c r="AT43" s="571"/>
      <c r="AU43" s="565"/>
      <c r="AV43" s="568"/>
      <c r="AW43" s="568"/>
      <c r="AX43" s="568"/>
      <c r="AY43" s="565"/>
      <c r="AZ43" s="569"/>
      <c r="BA43" s="569"/>
      <c r="BB43" s="536"/>
      <c r="BC43" s="537"/>
      <c r="BD43" s="539"/>
      <c r="BE43" s="596"/>
      <c r="BF43" s="596"/>
      <c r="BG43" s="596"/>
      <c r="BH43" s="598"/>
      <c r="BI43" s="596"/>
      <c r="BJ43" s="596"/>
      <c r="BK43" s="596"/>
      <c r="BL43" s="596"/>
      <c r="BM43" s="596"/>
      <c r="BN43" s="596"/>
      <c r="BO43" s="596"/>
      <c r="BP43" s="596"/>
      <c r="BQ43" s="596"/>
      <c r="BR43" s="596"/>
      <c r="BS43" s="596"/>
      <c r="BT43" s="596"/>
    </row>
    <row r="44" spans="1:72" ht="12.5" customHeight="1">
      <c r="A44" s="540"/>
      <c r="B44" s="566"/>
      <c r="C44" s="565"/>
      <c r="D44" s="565"/>
      <c r="E44" s="774"/>
      <c r="F44" s="774"/>
      <c r="G44" s="776"/>
      <c r="H44" s="776"/>
      <c r="I44" s="776"/>
      <c r="J44" s="776"/>
      <c r="K44" s="776"/>
      <c r="L44" s="776"/>
      <c r="M44" s="776"/>
      <c r="N44" s="776"/>
      <c r="O44" s="776"/>
      <c r="P44" s="776"/>
      <c r="Q44" s="776"/>
      <c r="R44" s="776"/>
      <c r="S44" s="776"/>
      <c r="T44" s="776"/>
      <c r="U44" s="776"/>
      <c r="V44" s="776"/>
      <c r="W44" s="776"/>
      <c r="X44" s="776"/>
      <c r="Y44" s="776"/>
      <c r="Z44" s="776"/>
      <c r="AA44" s="776"/>
      <c r="AB44" s="783"/>
      <c r="AC44" s="784"/>
      <c r="AD44" s="785"/>
      <c r="AE44" s="783"/>
      <c r="AF44" s="784"/>
      <c r="AG44" s="785"/>
      <c r="AH44" s="776"/>
      <c r="AI44" s="776"/>
      <c r="AJ44" s="776"/>
      <c r="AK44" s="783"/>
      <c r="AL44" s="784"/>
      <c r="AM44" s="785"/>
      <c r="AN44" s="783"/>
      <c r="AO44" s="784"/>
      <c r="AP44" s="785"/>
      <c r="AQ44" s="579"/>
      <c r="AR44" s="579"/>
      <c r="AS44" s="580"/>
      <c r="AT44" s="571"/>
      <c r="AU44" s="565"/>
      <c r="AV44" s="568"/>
      <c r="AW44" s="568"/>
      <c r="AX44" s="568"/>
      <c r="AY44" s="565"/>
      <c r="AZ44" s="569"/>
      <c r="BA44" s="569"/>
      <c r="BB44" s="536"/>
      <c r="BC44" s="537"/>
      <c r="BD44" s="539"/>
      <c r="BE44" s="596"/>
      <c r="BF44" s="596"/>
      <c r="BG44" s="596"/>
      <c r="BH44" s="598"/>
      <c r="BI44" s="596"/>
      <c r="BJ44" s="596"/>
      <c r="BK44" s="596"/>
      <c r="BL44" s="596"/>
      <c r="BM44" s="596"/>
      <c r="BN44" s="596"/>
      <c r="BO44" s="596"/>
      <c r="BP44" s="596"/>
      <c r="BQ44" s="596"/>
      <c r="BR44" s="596"/>
      <c r="BS44" s="596"/>
      <c r="BT44" s="596"/>
    </row>
    <row r="45" spans="1:72" ht="12.5" customHeight="1">
      <c r="A45" s="540"/>
      <c r="B45" s="566"/>
      <c r="C45" s="575"/>
      <c r="D45" s="576"/>
      <c r="E45" s="774" t="s">
        <v>378</v>
      </c>
      <c r="F45" s="774"/>
      <c r="G45" s="776" t="s">
        <v>381</v>
      </c>
      <c r="H45" s="776"/>
      <c r="I45" s="776"/>
      <c r="J45" s="815" t="s">
        <v>386</v>
      </c>
      <c r="K45" s="776"/>
      <c r="L45" s="776"/>
      <c r="M45" s="815" t="s">
        <v>406</v>
      </c>
      <c r="N45" s="776"/>
      <c r="O45" s="776"/>
      <c r="P45" s="815" t="s">
        <v>410</v>
      </c>
      <c r="Q45" s="776"/>
      <c r="R45" s="776"/>
      <c r="S45" s="776" t="s">
        <v>299</v>
      </c>
      <c r="T45" s="776"/>
      <c r="U45" s="776"/>
      <c r="V45" s="815" t="s">
        <v>395</v>
      </c>
      <c r="W45" s="776"/>
      <c r="X45" s="776"/>
      <c r="Y45" s="776" t="s">
        <v>394</v>
      </c>
      <c r="Z45" s="776"/>
      <c r="AA45" s="776"/>
      <c r="AB45" s="776" t="s">
        <v>394</v>
      </c>
      <c r="AC45" s="776"/>
      <c r="AD45" s="776"/>
      <c r="AE45" s="776" t="s">
        <v>394</v>
      </c>
      <c r="AF45" s="776"/>
      <c r="AG45" s="776"/>
      <c r="AH45" s="776" t="s">
        <v>396</v>
      </c>
      <c r="AI45" s="776"/>
      <c r="AJ45" s="776"/>
      <c r="AK45" s="776" t="s">
        <v>396</v>
      </c>
      <c r="AL45" s="776"/>
      <c r="AM45" s="776"/>
      <c r="AN45" s="776" t="s">
        <v>396</v>
      </c>
      <c r="AO45" s="776"/>
      <c r="AP45" s="776"/>
      <c r="AQ45" s="579"/>
      <c r="AR45" s="579"/>
      <c r="AS45" s="579"/>
      <c r="AT45" s="573"/>
      <c r="AU45" s="568"/>
      <c r="AV45" s="568"/>
      <c r="AW45" s="568"/>
      <c r="AX45" s="568"/>
      <c r="AY45" s="568"/>
      <c r="AZ45" s="569"/>
      <c r="BA45" s="569"/>
      <c r="BB45" s="551"/>
      <c r="BC45" s="552"/>
      <c r="BD45" s="538"/>
      <c r="BE45" s="596"/>
      <c r="BF45" s="596"/>
      <c r="BG45" s="596"/>
      <c r="BH45" s="596"/>
      <c r="BI45" s="596"/>
      <c r="BJ45" s="596"/>
      <c r="BK45" s="596"/>
      <c r="BL45" s="596"/>
      <c r="BM45" s="596"/>
      <c r="BN45" s="596"/>
      <c r="BO45" s="596"/>
      <c r="BP45" s="596"/>
      <c r="BQ45" s="596"/>
      <c r="BR45" s="596"/>
      <c r="BS45" s="596"/>
      <c r="BT45" s="596"/>
    </row>
    <row r="46" spans="1:72" ht="12.5" customHeight="1">
      <c r="A46" s="540"/>
      <c r="B46" s="566"/>
      <c r="C46" s="575"/>
      <c r="D46" s="576"/>
      <c r="E46" s="774"/>
      <c r="F46" s="774"/>
      <c r="G46" s="776"/>
      <c r="H46" s="776"/>
      <c r="I46" s="776"/>
      <c r="J46" s="815"/>
      <c r="K46" s="776"/>
      <c r="L46" s="776"/>
      <c r="M46" s="815"/>
      <c r="N46" s="776"/>
      <c r="O46" s="776"/>
      <c r="P46" s="815"/>
      <c r="Q46" s="776"/>
      <c r="R46" s="776"/>
      <c r="S46" s="776"/>
      <c r="T46" s="776"/>
      <c r="U46" s="776"/>
      <c r="V46" s="815"/>
      <c r="W46" s="776"/>
      <c r="X46" s="776"/>
      <c r="Y46" s="776"/>
      <c r="Z46" s="776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579"/>
      <c r="AR46" s="579"/>
      <c r="AS46" s="581"/>
      <c r="AT46" s="577"/>
      <c r="AU46" s="577"/>
      <c r="AV46" s="577"/>
      <c r="AW46" s="577"/>
      <c r="AX46" s="577"/>
      <c r="AY46" s="577"/>
      <c r="AZ46" s="569"/>
      <c r="BA46" s="569"/>
      <c r="BB46" s="551"/>
      <c r="BC46" s="552"/>
      <c r="BD46" s="538"/>
      <c r="BE46" s="596"/>
      <c r="BF46" s="596"/>
      <c r="BG46" s="596"/>
      <c r="BH46" s="598"/>
      <c r="BI46" s="596"/>
      <c r="BJ46" s="596"/>
      <c r="BK46" s="596"/>
      <c r="BL46" s="596"/>
      <c r="BM46" s="596"/>
      <c r="BN46" s="596"/>
      <c r="BO46" s="596"/>
      <c r="BP46" s="596"/>
      <c r="BQ46" s="596"/>
      <c r="BR46" s="596"/>
      <c r="BS46" s="596"/>
      <c r="BT46" s="596"/>
    </row>
    <row r="47" spans="1:72" ht="12.5" customHeight="1">
      <c r="A47" s="540"/>
      <c r="B47" s="566"/>
      <c r="C47" s="575"/>
      <c r="D47" s="576"/>
      <c r="E47" s="774"/>
      <c r="F47" s="774"/>
      <c r="G47" s="776"/>
      <c r="H47" s="776"/>
      <c r="I47" s="776"/>
      <c r="J47" s="776"/>
      <c r="K47" s="776"/>
      <c r="L47" s="776"/>
      <c r="M47" s="776"/>
      <c r="N47" s="776"/>
      <c r="O47" s="776"/>
      <c r="P47" s="776"/>
      <c r="Q47" s="776"/>
      <c r="R47" s="776"/>
      <c r="S47" s="776"/>
      <c r="T47" s="776"/>
      <c r="U47" s="776"/>
      <c r="V47" s="776"/>
      <c r="W47" s="776"/>
      <c r="X47" s="776"/>
      <c r="Y47" s="776"/>
      <c r="Z47" s="776"/>
      <c r="AA47" s="776"/>
      <c r="AB47" s="776"/>
      <c r="AC47" s="776"/>
      <c r="AD47" s="776"/>
      <c r="AE47" s="776"/>
      <c r="AF47" s="776"/>
      <c r="AG47" s="776"/>
      <c r="AH47" s="776"/>
      <c r="AI47" s="776"/>
      <c r="AJ47" s="776"/>
      <c r="AK47" s="776"/>
      <c r="AL47" s="776"/>
      <c r="AM47" s="776"/>
      <c r="AN47" s="776"/>
      <c r="AO47" s="776"/>
      <c r="AP47" s="776"/>
      <c r="AQ47" s="579"/>
      <c r="AR47" s="579"/>
      <c r="AS47" s="581"/>
      <c r="AT47" s="577"/>
      <c r="AU47" s="577"/>
      <c r="AV47" s="577"/>
      <c r="AW47" s="577"/>
      <c r="AX47" s="577"/>
      <c r="AY47" s="577"/>
      <c r="AZ47" s="569"/>
      <c r="BA47" s="569"/>
      <c r="BB47" s="551"/>
      <c r="BC47" s="552"/>
      <c r="BD47" s="538"/>
      <c r="BE47" s="596"/>
      <c r="BF47" s="596"/>
      <c r="BG47" s="596"/>
      <c r="BH47" s="598"/>
      <c r="BI47" s="596"/>
      <c r="BJ47" s="596"/>
      <c r="BK47" s="596"/>
      <c r="BL47" s="596"/>
      <c r="BM47" s="596"/>
      <c r="BN47" s="596"/>
      <c r="BO47" s="596"/>
      <c r="BP47" s="596"/>
      <c r="BQ47" s="596"/>
      <c r="BR47" s="596"/>
      <c r="BS47" s="596"/>
      <c r="BT47" s="596"/>
    </row>
    <row r="48" spans="1:72" ht="12.5" customHeight="1">
      <c r="A48" s="540"/>
      <c r="B48" s="566"/>
      <c r="C48" s="575"/>
      <c r="D48" s="576"/>
      <c r="E48" s="774" t="s">
        <v>378</v>
      </c>
      <c r="F48" s="774"/>
      <c r="G48" s="776" t="s">
        <v>382</v>
      </c>
      <c r="H48" s="776"/>
      <c r="I48" s="776"/>
      <c r="J48" s="815" t="s">
        <v>387</v>
      </c>
      <c r="K48" s="776"/>
      <c r="L48" s="776"/>
      <c r="M48" s="815" t="s">
        <v>406</v>
      </c>
      <c r="N48" s="776"/>
      <c r="O48" s="776"/>
      <c r="P48" s="815" t="s">
        <v>410</v>
      </c>
      <c r="Q48" s="776"/>
      <c r="R48" s="776"/>
      <c r="S48" s="775" t="s">
        <v>393</v>
      </c>
      <c r="T48" s="776"/>
      <c r="U48" s="776"/>
      <c r="V48" s="776" t="s">
        <v>394</v>
      </c>
      <c r="W48" s="776"/>
      <c r="X48" s="776"/>
      <c r="Y48" s="815" t="s">
        <v>395</v>
      </c>
      <c r="Z48" s="776"/>
      <c r="AA48" s="776"/>
      <c r="AB48" s="776" t="s">
        <v>394</v>
      </c>
      <c r="AC48" s="776"/>
      <c r="AD48" s="776"/>
      <c r="AE48" s="776" t="s">
        <v>394</v>
      </c>
      <c r="AF48" s="776"/>
      <c r="AG48" s="776"/>
      <c r="AH48" s="776" t="s">
        <v>394</v>
      </c>
      <c r="AI48" s="776"/>
      <c r="AJ48" s="776"/>
      <c r="AK48" s="776" t="s">
        <v>394</v>
      </c>
      <c r="AL48" s="776"/>
      <c r="AM48" s="776"/>
      <c r="AN48" s="776" t="s">
        <v>394</v>
      </c>
      <c r="AO48" s="776"/>
      <c r="AP48" s="776"/>
      <c r="AQ48" s="579"/>
      <c r="AR48" s="579"/>
      <c r="AS48" s="581"/>
      <c r="AT48" s="577"/>
      <c r="AU48" s="577"/>
      <c r="AV48" s="577"/>
      <c r="AW48" s="577"/>
      <c r="AX48" s="577"/>
      <c r="AY48" s="577"/>
      <c r="AZ48" s="569"/>
      <c r="BA48" s="569"/>
      <c r="BB48" s="551"/>
      <c r="BC48" s="552"/>
      <c r="BD48" s="538"/>
      <c r="BE48" s="596"/>
      <c r="BF48" s="596"/>
      <c r="BG48" s="596"/>
      <c r="BH48" s="598"/>
      <c r="BI48" s="596"/>
      <c r="BJ48" s="596"/>
      <c r="BK48" s="596"/>
      <c r="BL48" s="596"/>
      <c r="BM48" s="596"/>
      <c r="BN48" s="596"/>
      <c r="BO48" s="596"/>
      <c r="BP48" s="596"/>
      <c r="BQ48" s="596"/>
      <c r="BR48" s="596"/>
      <c r="BS48" s="596"/>
      <c r="BT48" s="596"/>
    </row>
    <row r="49" spans="1:72" ht="12.5" customHeight="1">
      <c r="A49" s="540"/>
      <c r="B49" s="566"/>
      <c r="C49" s="575"/>
      <c r="D49" s="576"/>
      <c r="E49" s="774"/>
      <c r="F49" s="774"/>
      <c r="G49" s="776"/>
      <c r="H49" s="776"/>
      <c r="I49" s="776"/>
      <c r="J49" s="815"/>
      <c r="K49" s="776"/>
      <c r="L49" s="776"/>
      <c r="M49" s="815"/>
      <c r="N49" s="776"/>
      <c r="O49" s="776"/>
      <c r="P49" s="815"/>
      <c r="Q49" s="776"/>
      <c r="R49" s="776"/>
      <c r="S49" s="775"/>
      <c r="T49" s="776"/>
      <c r="U49" s="776"/>
      <c r="V49" s="776"/>
      <c r="W49" s="776"/>
      <c r="X49" s="776"/>
      <c r="Y49" s="815"/>
      <c r="Z49" s="776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579"/>
      <c r="AR49" s="579"/>
      <c r="AS49" s="581"/>
      <c r="AT49" s="577"/>
      <c r="AU49" s="577"/>
      <c r="AV49" s="577"/>
      <c r="AW49" s="577"/>
      <c r="AX49" s="577"/>
      <c r="AY49" s="577"/>
      <c r="AZ49" s="569"/>
      <c r="BA49" s="569"/>
      <c r="BB49" s="551"/>
      <c r="BC49" s="552"/>
      <c r="BD49" s="538"/>
      <c r="BE49" s="596"/>
      <c r="BF49" s="596"/>
      <c r="BG49" s="596"/>
      <c r="BH49" s="596"/>
      <c r="BI49" s="596"/>
      <c r="BJ49" s="596"/>
      <c r="BK49" s="596"/>
      <c r="BL49" s="596"/>
      <c r="BM49" s="596"/>
      <c r="BN49" s="596"/>
      <c r="BO49" s="596"/>
      <c r="BP49" s="596"/>
      <c r="BQ49" s="596"/>
      <c r="BR49" s="596"/>
      <c r="BS49" s="596"/>
      <c r="BT49" s="596"/>
    </row>
    <row r="50" spans="1:72" ht="12.5" customHeight="1">
      <c r="A50" s="540"/>
      <c r="B50" s="566"/>
      <c r="C50" s="565"/>
      <c r="D50" s="565"/>
      <c r="E50" s="774"/>
      <c r="F50" s="774"/>
      <c r="G50" s="776"/>
      <c r="H50" s="776"/>
      <c r="I50" s="776"/>
      <c r="J50" s="776"/>
      <c r="K50" s="776"/>
      <c r="L50" s="776"/>
      <c r="M50" s="776"/>
      <c r="N50" s="776"/>
      <c r="O50" s="776"/>
      <c r="P50" s="776"/>
      <c r="Q50" s="776"/>
      <c r="R50" s="776"/>
      <c r="S50" s="776"/>
      <c r="T50" s="776"/>
      <c r="U50" s="776"/>
      <c r="V50" s="776"/>
      <c r="W50" s="776"/>
      <c r="X50" s="776"/>
      <c r="Y50" s="776"/>
      <c r="Z50" s="776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579"/>
      <c r="AR50" s="579"/>
      <c r="AS50" s="580"/>
      <c r="AT50" s="571"/>
      <c r="AU50" s="565"/>
      <c r="AV50" s="568"/>
      <c r="AW50" s="568"/>
      <c r="AX50" s="568"/>
      <c r="AY50" s="565"/>
      <c r="AZ50" s="569"/>
      <c r="BA50" s="569"/>
      <c r="BB50" s="536"/>
      <c r="BC50" s="537"/>
      <c r="BD50" s="539"/>
      <c r="BE50" s="596"/>
      <c r="BF50" s="596"/>
      <c r="BG50" s="596"/>
      <c r="BH50" s="598"/>
      <c r="BI50" s="596"/>
      <c r="BJ50" s="596"/>
      <c r="BK50" s="596"/>
      <c r="BL50" s="596"/>
      <c r="BM50" s="596"/>
      <c r="BN50" s="596"/>
      <c r="BO50" s="596"/>
      <c r="BP50" s="596"/>
      <c r="BQ50" s="596"/>
      <c r="BR50" s="596"/>
      <c r="BS50" s="596"/>
      <c r="BT50" s="596"/>
    </row>
    <row r="51" spans="1:72" ht="12.5" customHeight="1">
      <c r="A51" s="540"/>
      <c r="B51" s="566"/>
      <c r="C51" s="575"/>
      <c r="D51" s="576"/>
      <c r="E51" s="774"/>
      <c r="F51" s="774"/>
      <c r="G51" s="776" t="s">
        <v>383</v>
      </c>
      <c r="H51" s="776"/>
      <c r="I51" s="776"/>
      <c r="J51" s="815" t="s">
        <v>388</v>
      </c>
      <c r="K51" s="776"/>
      <c r="L51" s="776"/>
      <c r="M51" s="815" t="s">
        <v>409</v>
      </c>
      <c r="N51" s="776"/>
      <c r="O51" s="776"/>
      <c r="P51" s="815" t="s">
        <v>411</v>
      </c>
      <c r="Q51" s="776"/>
      <c r="R51" s="776"/>
      <c r="S51" s="775" t="s">
        <v>392</v>
      </c>
      <c r="T51" s="776"/>
      <c r="U51" s="776"/>
      <c r="V51" s="776" t="s">
        <v>396</v>
      </c>
      <c r="W51" s="776"/>
      <c r="X51" s="776"/>
      <c r="Y51" s="776" t="s">
        <v>396</v>
      </c>
      <c r="Z51" s="776"/>
      <c r="AA51" s="776"/>
      <c r="AB51" s="776" t="s">
        <v>396</v>
      </c>
      <c r="AC51" s="776"/>
      <c r="AD51" s="776"/>
      <c r="AE51" s="776" t="s">
        <v>396</v>
      </c>
      <c r="AF51" s="776"/>
      <c r="AG51" s="776"/>
      <c r="AH51" s="776" t="s">
        <v>396</v>
      </c>
      <c r="AI51" s="776"/>
      <c r="AJ51" s="776"/>
      <c r="AK51" s="776" t="s">
        <v>396</v>
      </c>
      <c r="AL51" s="776"/>
      <c r="AM51" s="776"/>
      <c r="AN51" s="776" t="s">
        <v>396</v>
      </c>
      <c r="AO51" s="776"/>
      <c r="AP51" s="776"/>
      <c r="AQ51" s="579"/>
      <c r="AR51" s="579"/>
      <c r="AS51" s="581"/>
      <c r="AT51" s="577"/>
      <c r="AU51" s="577"/>
      <c r="AV51" s="577"/>
      <c r="AW51" s="577"/>
      <c r="AX51" s="577"/>
      <c r="AY51" s="577"/>
      <c r="AZ51" s="569"/>
      <c r="BA51" s="569"/>
      <c r="BB51" s="551"/>
      <c r="BC51" s="552"/>
      <c r="BD51" s="538"/>
      <c r="BE51" s="596"/>
      <c r="BF51" s="596"/>
      <c r="BG51" s="596"/>
      <c r="BH51" s="598"/>
      <c r="BI51" s="596"/>
      <c r="BJ51" s="596"/>
      <c r="BK51" s="596"/>
      <c r="BL51" s="596"/>
      <c r="BM51" s="596"/>
      <c r="BN51" s="596"/>
      <c r="BO51" s="596"/>
      <c r="BP51" s="596"/>
      <c r="BQ51" s="596"/>
      <c r="BR51" s="596"/>
      <c r="BS51" s="596"/>
      <c r="BT51" s="596"/>
    </row>
    <row r="52" spans="1:72" ht="12.5" customHeight="1">
      <c r="A52" s="540"/>
      <c r="B52" s="566"/>
      <c r="C52" s="565"/>
      <c r="D52" s="565"/>
      <c r="E52" s="774"/>
      <c r="F52" s="774"/>
      <c r="G52" s="776"/>
      <c r="H52" s="776"/>
      <c r="I52" s="776"/>
      <c r="J52" s="815"/>
      <c r="K52" s="776"/>
      <c r="L52" s="776"/>
      <c r="M52" s="815"/>
      <c r="N52" s="776"/>
      <c r="O52" s="776"/>
      <c r="P52" s="776"/>
      <c r="Q52" s="776"/>
      <c r="R52" s="776"/>
      <c r="S52" s="775"/>
      <c r="T52" s="776"/>
      <c r="U52" s="776"/>
      <c r="V52" s="776"/>
      <c r="W52" s="776"/>
      <c r="X52" s="776"/>
      <c r="Y52" s="776"/>
      <c r="Z52" s="776"/>
      <c r="AA52" s="776"/>
      <c r="AB52" s="776"/>
      <c r="AC52" s="776"/>
      <c r="AD52" s="776"/>
      <c r="AE52" s="776"/>
      <c r="AF52" s="776"/>
      <c r="AG52" s="776"/>
      <c r="AH52" s="776"/>
      <c r="AI52" s="776"/>
      <c r="AJ52" s="776"/>
      <c r="AK52" s="776"/>
      <c r="AL52" s="776"/>
      <c r="AM52" s="776"/>
      <c r="AN52" s="776"/>
      <c r="AO52" s="776"/>
      <c r="AP52" s="776"/>
      <c r="AQ52" s="579"/>
      <c r="AR52" s="579"/>
      <c r="AS52" s="580"/>
      <c r="AT52" s="571"/>
      <c r="AU52" s="565"/>
      <c r="AV52" s="568"/>
      <c r="AW52" s="568"/>
      <c r="AX52" s="568"/>
      <c r="AY52" s="565"/>
      <c r="AZ52" s="569"/>
      <c r="BA52" s="569"/>
      <c r="BB52" s="536"/>
      <c r="BC52" s="537"/>
      <c r="BD52" s="539"/>
      <c r="BE52" s="596"/>
      <c r="BF52" s="596"/>
      <c r="BG52" s="596"/>
      <c r="BH52" s="598"/>
      <c r="BI52" s="596"/>
      <c r="BJ52" s="596"/>
      <c r="BK52" s="596"/>
      <c r="BL52" s="596"/>
      <c r="BM52" s="596"/>
      <c r="BN52" s="596"/>
      <c r="BO52" s="596"/>
      <c r="BP52" s="596"/>
      <c r="BQ52" s="596"/>
      <c r="BR52" s="596"/>
      <c r="BS52" s="596"/>
      <c r="BT52" s="596"/>
    </row>
    <row r="53" spans="1:72" ht="12.5" customHeight="1">
      <c r="A53" s="540"/>
      <c r="B53" s="566"/>
      <c r="C53" s="565"/>
      <c r="D53" s="565"/>
      <c r="E53" s="774"/>
      <c r="F53" s="774"/>
      <c r="G53" s="776"/>
      <c r="H53" s="776"/>
      <c r="I53" s="776"/>
      <c r="J53" s="776"/>
      <c r="K53" s="776"/>
      <c r="L53" s="776"/>
      <c r="M53" s="776"/>
      <c r="N53" s="776"/>
      <c r="O53" s="776"/>
      <c r="P53" s="776"/>
      <c r="Q53" s="776"/>
      <c r="R53" s="776"/>
      <c r="S53" s="776"/>
      <c r="T53" s="776"/>
      <c r="U53" s="776"/>
      <c r="V53" s="776"/>
      <c r="W53" s="776"/>
      <c r="X53" s="776"/>
      <c r="Y53" s="776"/>
      <c r="Z53" s="776"/>
      <c r="AA53" s="776"/>
      <c r="AB53" s="776"/>
      <c r="AC53" s="776"/>
      <c r="AD53" s="776"/>
      <c r="AE53" s="776"/>
      <c r="AF53" s="776"/>
      <c r="AG53" s="776"/>
      <c r="AH53" s="776"/>
      <c r="AI53" s="776"/>
      <c r="AJ53" s="776"/>
      <c r="AK53" s="776"/>
      <c r="AL53" s="776"/>
      <c r="AM53" s="776"/>
      <c r="AN53" s="776"/>
      <c r="AO53" s="776"/>
      <c r="AP53" s="776"/>
      <c r="AQ53" s="579"/>
      <c r="AR53" s="579"/>
      <c r="AS53" s="580"/>
      <c r="AT53" s="571"/>
      <c r="AU53" s="565"/>
      <c r="AV53" s="568"/>
      <c r="AW53" s="568"/>
      <c r="AX53" s="568"/>
      <c r="AY53" s="565"/>
      <c r="AZ53" s="569"/>
      <c r="BA53" s="569"/>
      <c r="BB53" s="536"/>
      <c r="BC53" s="537"/>
      <c r="BD53" s="539"/>
      <c r="BE53" s="596"/>
      <c r="BF53" s="596"/>
      <c r="BG53" s="596"/>
      <c r="BH53" s="598"/>
      <c r="BI53" s="596"/>
      <c r="BJ53" s="596"/>
      <c r="BK53" s="596"/>
      <c r="BL53" s="596"/>
      <c r="BM53" s="596"/>
      <c r="BN53" s="596"/>
      <c r="BO53" s="596"/>
      <c r="BP53" s="596"/>
      <c r="BQ53" s="596"/>
      <c r="BR53" s="596"/>
      <c r="BS53" s="596"/>
      <c r="BT53" s="596"/>
    </row>
    <row r="54" spans="1:72" ht="12.5" customHeight="1">
      <c r="A54" s="540"/>
      <c r="B54" s="566"/>
      <c r="C54" s="575"/>
      <c r="D54" s="576"/>
      <c r="E54" s="774"/>
      <c r="F54" s="774"/>
      <c r="G54" s="776" t="s">
        <v>299</v>
      </c>
      <c r="H54" s="776"/>
      <c r="I54" s="776"/>
      <c r="J54" s="815" t="s">
        <v>389</v>
      </c>
      <c r="K54" s="776"/>
      <c r="L54" s="776"/>
      <c r="M54" s="776" t="s">
        <v>299</v>
      </c>
      <c r="N54" s="776"/>
      <c r="O54" s="776"/>
      <c r="P54" s="776" t="s">
        <v>299</v>
      </c>
      <c r="Q54" s="776"/>
      <c r="R54" s="776"/>
      <c r="S54" s="776" t="s">
        <v>299</v>
      </c>
      <c r="T54" s="776"/>
      <c r="U54" s="776"/>
      <c r="V54" s="776"/>
      <c r="W54" s="776"/>
      <c r="X54" s="776"/>
      <c r="Y54" s="776"/>
      <c r="Z54" s="776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579"/>
      <c r="AR54" s="579"/>
      <c r="AS54" s="579"/>
      <c r="AT54" s="573"/>
      <c r="AU54" s="568"/>
      <c r="AV54" s="568"/>
      <c r="AW54" s="568"/>
      <c r="AX54" s="568"/>
      <c r="AY54" s="568"/>
      <c r="AZ54" s="569"/>
      <c r="BA54" s="569"/>
      <c r="BB54" s="551"/>
      <c r="BC54" s="552"/>
      <c r="BD54" s="538"/>
      <c r="BE54" s="596"/>
      <c r="BF54" s="596"/>
      <c r="BG54" s="596"/>
      <c r="BH54" s="598"/>
      <c r="BI54" s="596"/>
      <c r="BJ54" s="596"/>
      <c r="BK54" s="596"/>
      <c r="BL54" s="596"/>
      <c r="BM54" s="596"/>
      <c r="BN54" s="596"/>
      <c r="BO54" s="596"/>
      <c r="BP54" s="596"/>
      <c r="BQ54" s="596"/>
      <c r="BR54" s="596"/>
      <c r="BS54" s="596"/>
      <c r="BT54" s="596"/>
    </row>
    <row r="55" spans="1:72" ht="12.5" customHeight="1">
      <c r="A55" s="540"/>
      <c r="B55" s="566"/>
      <c r="C55" s="575"/>
      <c r="D55" s="576"/>
      <c r="E55" s="774"/>
      <c r="F55" s="774"/>
      <c r="G55" s="776"/>
      <c r="H55" s="776"/>
      <c r="I55" s="776"/>
      <c r="J55" s="815"/>
      <c r="K55" s="776"/>
      <c r="L55" s="776"/>
      <c r="M55" s="776"/>
      <c r="N55" s="776"/>
      <c r="O55" s="776"/>
      <c r="P55" s="776"/>
      <c r="Q55" s="776"/>
      <c r="R55" s="776"/>
      <c r="S55" s="776"/>
      <c r="T55" s="776"/>
      <c r="U55" s="776"/>
      <c r="V55" s="776"/>
      <c r="W55" s="776"/>
      <c r="X55" s="776"/>
      <c r="Y55" s="776"/>
      <c r="Z55" s="776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579"/>
      <c r="AR55" s="579"/>
      <c r="AS55" s="581"/>
      <c r="AT55" s="577"/>
      <c r="AU55" s="577"/>
      <c r="AV55" s="577"/>
      <c r="AW55" s="577"/>
      <c r="AX55" s="577"/>
      <c r="AY55" s="577"/>
      <c r="AZ55" s="569"/>
      <c r="BA55" s="569"/>
      <c r="BB55" s="551"/>
      <c r="BC55" s="552"/>
      <c r="BD55" s="538"/>
      <c r="BE55" s="596"/>
      <c r="BF55" s="596"/>
      <c r="BG55" s="596"/>
      <c r="BH55" s="598"/>
      <c r="BI55" s="596"/>
      <c r="BJ55" s="596"/>
      <c r="BK55" s="596"/>
      <c r="BL55" s="596"/>
      <c r="BM55" s="596"/>
      <c r="BN55" s="596"/>
      <c r="BO55" s="596"/>
      <c r="BP55" s="596"/>
      <c r="BQ55" s="596"/>
      <c r="BR55" s="596"/>
      <c r="BS55" s="596"/>
      <c r="BT55" s="596"/>
    </row>
    <row r="56" spans="1:72" ht="12.5" customHeight="1">
      <c r="A56" s="540"/>
      <c r="B56" s="566"/>
      <c r="C56" s="575"/>
      <c r="D56" s="576"/>
      <c r="E56" s="774"/>
      <c r="F56" s="774"/>
      <c r="G56" s="776"/>
      <c r="H56" s="776"/>
      <c r="I56" s="776"/>
      <c r="J56" s="776"/>
      <c r="K56" s="776"/>
      <c r="L56" s="776"/>
      <c r="M56" s="776"/>
      <c r="N56" s="776"/>
      <c r="O56" s="776"/>
      <c r="P56" s="776"/>
      <c r="Q56" s="776"/>
      <c r="R56" s="776"/>
      <c r="S56" s="776"/>
      <c r="T56" s="776"/>
      <c r="U56" s="776"/>
      <c r="V56" s="776"/>
      <c r="W56" s="776"/>
      <c r="X56" s="776"/>
      <c r="Y56" s="776"/>
      <c r="Z56" s="776"/>
      <c r="AA56" s="776"/>
      <c r="AB56" s="776"/>
      <c r="AC56" s="776"/>
      <c r="AD56" s="776"/>
      <c r="AE56" s="776"/>
      <c r="AF56" s="776"/>
      <c r="AG56" s="776"/>
      <c r="AH56" s="776"/>
      <c r="AI56" s="776"/>
      <c r="AJ56" s="776"/>
      <c r="AK56" s="776"/>
      <c r="AL56" s="776"/>
      <c r="AM56" s="776"/>
      <c r="AN56" s="776"/>
      <c r="AO56" s="776"/>
      <c r="AP56" s="776"/>
      <c r="AQ56" s="579"/>
      <c r="AR56" s="579"/>
      <c r="AS56" s="581"/>
      <c r="AT56" s="577"/>
      <c r="AU56" s="577"/>
      <c r="AV56" s="577"/>
      <c r="AW56" s="577"/>
      <c r="AX56" s="577"/>
      <c r="AY56" s="577"/>
      <c r="AZ56" s="569"/>
      <c r="BA56" s="569"/>
      <c r="BB56" s="551"/>
      <c r="BC56" s="552"/>
      <c r="BD56" s="538"/>
      <c r="BE56" s="596"/>
      <c r="BF56" s="596"/>
      <c r="BG56" s="596"/>
      <c r="BH56" s="598"/>
      <c r="BI56" s="596"/>
      <c r="BJ56" s="596"/>
      <c r="BK56" s="596"/>
      <c r="BL56" s="596"/>
      <c r="BM56" s="596"/>
      <c r="BN56" s="596"/>
      <c r="BO56" s="596"/>
      <c r="BP56" s="596"/>
      <c r="BQ56" s="596"/>
      <c r="BR56" s="596"/>
      <c r="BS56" s="596"/>
      <c r="BT56" s="596"/>
    </row>
    <row r="57" spans="1:72" ht="12.5" customHeight="1">
      <c r="A57" s="540"/>
      <c r="B57" s="566"/>
      <c r="C57" s="565"/>
      <c r="D57" s="565"/>
      <c r="E57" s="565"/>
      <c r="F57" s="565"/>
      <c r="G57" s="565"/>
      <c r="H57" s="579"/>
      <c r="I57" s="579"/>
      <c r="J57" s="579"/>
      <c r="K57" s="579"/>
      <c r="L57" s="579"/>
      <c r="M57" s="579"/>
      <c r="N57" s="579"/>
      <c r="O57" s="579"/>
      <c r="P57" s="579"/>
      <c r="Q57" s="579"/>
      <c r="R57" s="579"/>
      <c r="S57" s="579"/>
      <c r="T57" s="579"/>
      <c r="U57" s="579"/>
      <c r="V57" s="579"/>
      <c r="W57" s="579"/>
      <c r="X57" s="579"/>
      <c r="Y57" s="579"/>
      <c r="Z57" s="579"/>
      <c r="AA57" s="579"/>
      <c r="AB57" s="579"/>
      <c r="AC57" s="579"/>
      <c r="AD57" s="579"/>
      <c r="AE57" s="579"/>
      <c r="AF57" s="579"/>
      <c r="AG57" s="579"/>
      <c r="AH57" s="579"/>
      <c r="AI57" s="579"/>
      <c r="AJ57" s="579"/>
      <c r="AK57" s="579"/>
      <c r="AL57" s="579"/>
      <c r="AM57" s="579"/>
      <c r="AN57" s="579"/>
      <c r="AO57" s="579"/>
      <c r="AP57" s="579"/>
      <c r="AQ57" s="579"/>
      <c r="AR57" s="579"/>
      <c r="AS57" s="580"/>
      <c r="AT57" s="571"/>
      <c r="AU57" s="565"/>
      <c r="AV57" s="568"/>
      <c r="AW57" s="568"/>
      <c r="AX57" s="568"/>
      <c r="AY57" s="565"/>
      <c r="AZ57" s="569"/>
      <c r="BA57" s="569"/>
      <c r="BB57" s="536"/>
      <c r="BC57" s="537"/>
      <c r="BD57" s="539"/>
      <c r="BE57" s="596"/>
      <c r="BF57" s="596"/>
      <c r="BG57" s="596"/>
      <c r="BH57" s="598"/>
      <c r="BI57" s="596"/>
      <c r="BJ57" s="596"/>
      <c r="BK57" s="596"/>
      <c r="BL57" s="596"/>
      <c r="BM57" s="596"/>
      <c r="BN57" s="596"/>
      <c r="BO57" s="596"/>
      <c r="BP57" s="596"/>
      <c r="BQ57" s="596"/>
      <c r="BR57" s="596"/>
      <c r="BS57" s="596"/>
      <c r="BT57" s="596"/>
    </row>
    <row r="58" spans="1:72" ht="12.5" customHeight="1">
      <c r="A58" s="540"/>
      <c r="B58" s="566"/>
      <c r="C58" s="575"/>
      <c r="D58" s="576"/>
      <c r="E58" s="568"/>
      <c r="F58" s="568"/>
      <c r="G58" s="568"/>
      <c r="H58" s="579"/>
      <c r="I58" s="579"/>
      <c r="J58" s="579"/>
      <c r="K58" s="579"/>
      <c r="L58" s="579"/>
      <c r="M58" s="579"/>
      <c r="N58" s="579"/>
      <c r="O58" s="579"/>
      <c r="P58" s="579"/>
      <c r="Q58" s="579"/>
      <c r="R58" s="579"/>
      <c r="S58" s="579"/>
      <c r="T58" s="579"/>
      <c r="U58" s="579"/>
      <c r="V58" s="579"/>
      <c r="W58" s="579"/>
      <c r="X58" s="579"/>
      <c r="Y58" s="579"/>
      <c r="Z58" s="579"/>
      <c r="AA58" s="579"/>
      <c r="AB58" s="579"/>
      <c r="AC58" s="579"/>
      <c r="AD58" s="579"/>
      <c r="AE58" s="579"/>
      <c r="AF58" s="579"/>
      <c r="AG58" s="579"/>
      <c r="AH58" s="579"/>
      <c r="AI58" s="579"/>
      <c r="AJ58" s="579"/>
      <c r="AK58" s="579"/>
      <c r="AL58" s="579"/>
      <c r="AM58" s="579"/>
      <c r="AN58" s="579"/>
      <c r="AO58" s="579"/>
      <c r="AP58" s="579"/>
      <c r="AQ58" s="579"/>
      <c r="AR58" s="579"/>
      <c r="AS58" s="579"/>
      <c r="AT58" s="573"/>
      <c r="AU58" s="568"/>
      <c r="AV58" s="568"/>
      <c r="AW58" s="568"/>
      <c r="AX58" s="568"/>
      <c r="AY58" s="568"/>
      <c r="AZ58" s="569"/>
      <c r="BA58" s="569"/>
      <c r="BB58" s="551"/>
      <c r="BC58" s="552"/>
      <c r="BD58" s="538"/>
      <c r="BE58" s="596"/>
      <c r="BF58" s="596"/>
      <c r="BG58" s="596"/>
      <c r="BH58" s="598"/>
      <c r="BI58" s="596"/>
      <c r="BJ58" s="596"/>
      <c r="BK58" s="596"/>
      <c r="BL58" s="596"/>
      <c r="BM58" s="596"/>
      <c r="BN58" s="596"/>
      <c r="BO58" s="596"/>
      <c r="BP58" s="596"/>
      <c r="BQ58" s="596"/>
      <c r="BR58" s="596"/>
      <c r="BS58" s="596"/>
      <c r="BT58" s="596"/>
    </row>
    <row r="59" spans="1:72" ht="12.5" customHeight="1">
      <c r="A59" s="540"/>
      <c r="B59" s="566"/>
      <c r="C59" s="575"/>
      <c r="D59" s="576"/>
      <c r="E59" s="568"/>
      <c r="F59" s="568"/>
      <c r="G59" s="568"/>
      <c r="H59" s="579"/>
      <c r="I59" s="579"/>
      <c r="J59" s="579"/>
      <c r="K59" s="579"/>
      <c r="L59" s="579"/>
      <c r="M59" s="579"/>
      <c r="N59" s="579"/>
      <c r="O59" s="579"/>
      <c r="P59" s="579"/>
      <c r="Q59" s="579"/>
      <c r="R59" s="579"/>
      <c r="S59" s="579"/>
      <c r="T59" s="579"/>
      <c r="U59" s="579"/>
      <c r="V59" s="579"/>
      <c r="W59" s="579"/>
      <c r="X59" s="579"/>
      <c r="Y59" s="579"/>
      <c r="Z59" s="579"/>
      <c r="AA59" s="579"/>
      <c r="AB59" s="579"/>
      <c r="AC59" s="579"/>
      <c r="AD59" s="579"/>
      <c r="AE59" s="579"/>
      <c r="AF59" s="579"/>
      <c r="AG59" s="579"/>
      <c r="AH59" s="579"/>
      <c r="AI59" s="579"/>
      <c r="AJ59" s="579"/>
      <c r="AK59" s="579"/>
      <c r="AL59" s="579"/>
      <c r="AM59" s="579"/>
      <c r="AN59" s="579"/>
      <c r="AO59" s="579"/>
      <c r="AP59" s="579"/>
      <c r="AQ59" s="579"/>
      <c r="AR59" s="579"/>
      <c r="AS59" s="581"/>
      <c r="AT59" s="577"/>
      <c r="AU59" s="577"/>
      <c r="AV59" s="577"/>
      <c r="AW59" s="577"/>
      <c r="AX59" s="577"/>
      <c r="AY59" s="577"/>
      <c r="AZ59" s="569"/>
      <c r="BA59" s="569"/>
      <c r="BB59" s="551"/>
      <c r="BC59" s="552"/>
      <c r="BD59" s="538"/>
      <c r="BE59" s="596"/>
      <c r="BF59" s="596"/>
      <c r="BG59" s="596"/>
      <c r="BH59" s="598"/>
      <c r="BI59" s="596"/>
      <c r="BJ59" s="596"/>
      <c r="BK59" s="596"/>
      <c r="BL59" s="596"/>
      <c r="BM59" s="596"/>
      <c r="BN59" s="596"/>
      <c r="BO59" s="596"/>
      <c r="BP59" s="596"/>
      <c r="BQ59" s="596"/>
      <c r="BR59" s="596"/>
      <c r="BS59" s="596"/>
      <c r="BT59" s="596"/>
    </row>
    <row r="60" spans="1:72" ht="12.5" customHeight="1">
      <c r="A60" s="540"/>
      <c r="B60" s="566"/>
      <c r="C60" s="575"/>
      <c r="D60" s="576"/>
      <c r="E60" s="568"/>
      <c r="F60" s="568"/>
      <c r="G60" s="568"/>
      <c r="H60" s="579"/>
      <c r="I60" s="579"/>
      <c r="J60" s="792"/>
      <c r="K60" s="792"/>
      <c r="L60" s="792"/>
      <c r="M60" s="792"/>
      <c r="N60" s="582"/>
      <c r="O60" s="583"/>
      <c r="P60" s="582"/>
      <c r="Q60" s="579"/>
      <c r="R60" s="579"/>
      <c r="S60" s="579"/>
      <c r="T60" s="580"/>
      <c r="U60" s="580"/>
      <c r="V60" s="580"/>
      <c r="W60" s="580"/>
      <c r="X60" s="580"/>
      <c r="Y60" s="583"/>
      <c r="Z60" s="580"/>
      <c r="AA60" s="579"/>
      <c r="AB60" s="583"/>
      <c r="AC60" s="580"/>
      <c r="AD60" s="579"/>
      <c r="AE60" s="583"/>
      <c r="AF60" s="579"/>
      <c r="AG60" s="579"/>
      <c r="AH60" s="583"/>
      <c r="AI60" s="579"/>
      <c r="AJ60" s="579"/>
      <c r="AK60" s="584"/>
      <c r="AL60" s="579"/>
      <c r="AM60" s="579"/>
      <c r="AN60" s="579"/>
      <c r="AO60" s="579"/>
      <c r="AP60" s="579"/>
      <c r="AQ60" s="579"/>
      <c r="AR60" s="579"/>
      <c r="AS60" s="579"/>
      <c r="AT60" s="568"/>
      <c r="AU60" s="568"/>
      <c r="AV60" s="568"/>
      <c r="AW60" s="568"/>
      <c r="AX60" s="568"/>
      <c r="AY60" s="568"/>
      <c r="AZ60" s="569"/>
      <c r="BA60" s="569"/>
      <c r="BB60" s="551"/>
      <c r="BC60" s="552"/>
      <c r="BD60" s="538"/>
      <c r="BE60" s="596"/>
      <c r="BF60" s="596"/>
      <c r="BG60" s="596"/>
      <c r="BH60" s="598"/>
      <c r="BI60" s="596"/>
      <c r="BJ60" s="596"/>
      <c r="BK60" s="596"/>
      <c r="BL60" s="596"/>
      <c r="BM60" s="596"/>
      <c r="BN60" s="596"/>
      <c r="BO60" s="596"/>
      <c r="BP60" s="596"/>
      <c r="BQ60" s="596"/>
      <c r="BR60" s="596"/>
      <c r="BS60" s="596"/>
      <c r="BT60" s="596"/>
    </row>
    <row r="61" spans="1:72" ht="12.5" customHeight="1">
      <c r="A61" s="540"/>
      <c r="B61" s="566"/>
      <c r="C61" s="575"/>
      <c r="D61" s="576"/>
      <c r="E61" s="568"/>
      <c r="F61" s="568"/>
      <c r="G61" s="568"/>
      <c r="H61" s="579"/>
      <c r="I61" s="579"/>
      <c r="J61" s="579"/>
      <c r="K61" s="579"/>
      <c r="L61" s="579"/>
      <c r="M61" s="579"/>
      <c r="N61" s="579"/>
      <c r="O61" s="579"/>
      <c r="P61" s="579"/>
      <c r="Q61" s="579"/>
      <c r="R61" s="579"/>
      <c r="S61" s="579"/>
      <c r="T61" s="579"/>
      <c r="U61" s="579"/>
      <c r="V61" s="579"/>
      <c r="W61" s="579"/>
      <c r="X61" s="579"/>
      <c r="Y61" s="579"/>
      <c r="Z61" s="579"/>
      <c r="AA61" s="579"/>
      <c r="AB61" s="579"/>
      <c r="AC61" s="579"/>
      <c r="AD61" s="579"/>
      <c r="AE61" s="579"/>
      <c r="AF61" s="579"/>
      <c r="AG61" s="579"/>
      <c r="AH61" s="579"/>
      <c r="AI61" s="579"/>
      <c r="AJ61" s="579"/>
      <c r="AK61" s="579"/>
      <c r="AL61" s="579"/>
      <c r="AM61" s="579"/>
      <c r="AN61" s="579"/>
      <c r="AO61" s="579"/>
      <c r="AP61" s="579"/>
      <c r="AQ61" s="579"/>
      <c r="AR61" s="579"/>
      <c r="AS61" s="579"/>
      <c r="AT61" s="573"/>
      <c r="AU61" s="568"/>
      <c r="AV61" s="568"/>
      <c r="AW61" s="568"/>
      <c r="AX61" s="568"/>
      <c r="AY61" s="568"/>
      <c r="AZ61" s="569"/>
      <c r="BA61" s="569"/>
      <c r="BB61" s="551"/>
      <c r="BC61" s="552"/>
      <c r="BD61" s="538"/>
      <c r="BE61" s="596"/>
      <c r="BF61" s="596"/>
      <c r="BG61" s="596"/>
      <c r="BH61" s="598"/>
      <c r="BI61" s="596"/>
      <c r="BJ61" s="596"/>
      <c r="BK61" s="596"/>
      <c r="BL61" s="596"/>
      <c r="BM61" s="596"/>
      <c r="BN61" s="596"/>
      <c r="BO61" s="596"/>
      <c r="BP61" s="596"/>
      <c r="BQ61" s="596"/>
      <c r="BR61" s="596"/>
      <c r="BS61" s="596"/>
      <c r="BT61" s="596"/>
    </row>
    <row r="62" spans="1:72" ht="12.5" customHeight="1">
      <c r="A62" s="540"/>
      <c r="B62" s="566"/>
      <c r="C62" s="575"/>
      <c r="D62" s="576"/>
      <c r="E62" s="568"/>
      <c r="F62" s="568"/>
      <c r="G62" s="568"/>
      <c r="H62" s="579"/>
      <c r="I62" s="579"/>
      <c r="J62" s="579"/>
      <c r="K62" s="579"/>
      <c r="L62" s="579"/>
      <c r="M62" s="579"/>
      <c r="N62" s="579"/>
      <c r="O62" s="579"/>
      <c r="P62" s="579"/>
      <c r="Q62" s="579"/>
      <c r="R62" s="579"/>
      <c r="S62" s="579"/>
      <c r="T62" s="579"/>
      <c r="U62" s="579"/>
      <c r="V62" s="579"/>
      <c r="W62" s="579"/>
      <c r="X62" s="579"/>
      <c r="Y62" s="579"/>
      <c r="Z62" s="579"/>
      <c r="AA62" s="579"/>
      <c r="AB62" s="579"/>
      <c r="AC62" s="579"/>
      <c r="AD62" s="579"/>
      <c r="AE62" s="579"/>
      <c r="AF62" s="579"/>
      <c r="AG62" s="579"/>
      <c r="AH62" s="579"/>
      <c r="AI62" s="579"/>
      <c r="AJ62" s="579"/>
      <c r="AK62" s="579"/>
      <c r="AL62" s="579"/>
      <c r="AM62" s="579"/>
      <c r="AN62" s="579"/>
      <c r="AO62" s="579"/>
      <c r="AP62" s="579"/>
      <c r="AQ62" s="579"/>
      <c r="AR62" s="579"/>
      <c r="AS62" s="581"/>
      <c r="AT62" s="577"/>
      <c r="AU62" s="577"/>
      <c r="AV62" s="577"/>
      <c r="AW62" s="577"/>
      <c r="AX62" s="577"/>
      <c r="AY62" s="577"/>
      <c r="AZ62" s="569"/>
      <c r="BA62" s="569"/>
      <c r="BB62" s="551"/>
      <c r="BC62" s="552"/>
      <c r="BD62" s="538"/>
      <c r="BE62" s="596"/>
      <c r="BF62" s="596"/>
      <c r="BG62" s="596"/>
      <c r="BH62" s="598"/>
      <c r="BI62" s="596"/>
      <c r="BJ62" s="596"/>
      <c r="BK62" s="596"/>
      <c r="BL62" s="596"/>
      <c r="BM62" s="596"/>
      <c r="BN62" s="596"/>
      <c r="BO62" s="596"/>
      <c r="BP62" s="596"/>
      <c r="BQ62" s="596"/>
      <c r="BR62" s="596"/>
      <c r="BS62" s="596"/>
      <c r="BT62" s="596"/>
    </row>
    <row r="63" spans="1:72" ht="12.5" customHeight="1">
      <c r="A63" s="540"/>
      <c r="B63" s="566"/>
      <c r="C63" s="575"/>
      <c r="D63" s="576"/>
      <c r="E63" s="568"/>
      <c r="F63" s="568"/>
      <c r="G63" s="568"/>
      <c r="H63" s="579"/>
      <c r="I63" s="579"/>
      <c r="J63" s="792"/>
      <c r="K63" s="792"/>
      <c r="L63" s="792"/>
      <c r="M63" s="792"/>
      <c r="N63" s="582"/>
      <c r="O63" s="583"/>
      <c r="P63" s="582"/>
      <c r="Q63" s="579"/>
      <c r="R63" s="579"/>
      <c r="S63" s="579"/>
      <c r="T63" s="580"/>
      <c r="U63" s="580"/>
      <c r="V63" s="580"/>
      <c r="W63" s="580"/>
      <c r="X63" s="580"/>
      <c r="Y63" s="583"/>
      <c r="Z63" s="580"/>
      <c r="AA63" s="579"/>
      <c r="AB63" s="583"/>
      <c r="AC63" s="580"/>
      <c r="AD63" s="579"/>
      <c r="AE63" s="583"/>
      <c r="AF63" s="579"/>
      <c r="AG63" s="579"/>
      <c r="AH63" s="583"/>
      <c r="AI63" s="579"/>
      <c r="AJ63" s="579"/>
      <c r="AK63" s="584"/>
      <c r="AL63" s="579"/>
      <c r="AM63" s="579"/>
      <c r="AN63" s="579"/>
      <c r="AO63" s="579"/>
      <c r="AP63" s="579"/>
      <c r="AQ63" s="579"/>
      <c r="AR63" s="579"/>
      <c r="AS63" s="579"/>
      <c r="AT63" s="568"/>
      <c r="AU63" s="568"/>
      <c r="AV63" s="568"/>
      <c r="AW63" s="568"/>
      <c r="AX63" s="568"/>
      <c r="AY63" s="568"/>
      <c r="AZ63" s="569"/>
      <c r="BA63" s="569"/>
      <c r="BB63" s="551"/>
      <c r="BC63" s="552"/>
      <c r="BD63" s="538"/>
      <c r="BE63" s="596"/>
      <c r="BF63" s="596"/>
      <c r="BG63" s="596"/>
      <c r="BH63" s="598"/>
      <c r="BI63" s="596"/>
      <c r="BJ63" s="596"/>
      <c r="BK63" s="596"/>
      <c r="BL63" s="596"/>
      <c r="BM63" s="596"/>
      <c r="BN63" s="596"/>
      <c r="BO63" s="596"/>
      <c r="BP63" s="596"/>
      <c r="BQ63" s="596"/>
      <c r="BR63" s="596"/>
      <c r="BS63" s="596"/>
      <c r="BT63" s="596"/>
    </row>
    <row r="64" spans="1:72" ht="12.5" customHeight="1">
      <c r="A64" s="540"/>
      <c r="B64" s="566"/>
      <c r="C64" s="575"/>
      <c r="D64" s="576"/>
      <c r="E64" s="568"/>
      <c r="F64" s="568"/>
      <c r="G64" s="568"/>
      <c r="H64" s="579"/>
      <c r="I64" s="579"/>
      <c r="J64" s="579"/>
      <c r="K64" s="579"/>
      <c r="L64" s="579"/>
      <c r="M64" s="579"/>
      <c r="N64" s="579"/>
      <c r="O64" s="579"/>
      <c r="P64" s="579"/>
      <c r="Q64" s="579"/>
      <c r="R64" s="579"/>
      <c r="S64" s="579"/>
      <c r="T64" s="579"/>
      <c r="U64" s="579"/>
      <c r="V64" s="579"/>
      <c r="W64" s="579"/>
      <c r="X64" s="579"/>
      <c r="Y64" s="579"/>
      <c r="Z64" s="579"/>
      <c r="AA64" s="579"/>
      <c r="AB64" s="579"/>
      <c r="AC64" s="579"/>
      <c r="AD64" s="579"/>
      <c r="AE64" s="579"/>
      <c r="AF64" s="579"/>
      <c r="AG64" s="579"/>
      <c r="AH64" s="579"/>
      <c r="AI64" s="579"/>
      <c r="AJ64" s="579"/>
      <c r="AK64" s="579"/>
      <c r="AL64" s="579"/>
      <c r="AM64" s="579"/>
      <c r="AN64" s="579"/>
      <c r="AO64" s="579"/>
      <c r="AP64" s="579"/>
      <c r="AQ64" s="579"/>
      <c r="AR64" s="579"/>
      <c r="AS64" s="581"/>
      <c r="AT64" s="577"/>
      <c r="AU64" s="577"/>
      <c r="AV64" s="577"/>
      <c r="AW64" s="577"/>
      <c r="AX64" s="577"/>
      <c r="AY64" s="577"/>
      <c r="AZ64" s="569"/>
      <c r="BA64" s="569"/>
      <c r="BB64" s="551"/>
      <c r="BC64" s="552"/>
      <c r="BD64" s="538"/>
      <c r="BE64" s="596"/>
      <c r="BF64" s="596"/>
      <c r="BG64" s="596"/>
      <c r="BH64" s="598"/>
      <c r="BI64" s="596"/>
      <c r="BJ64" s="596"/>
      <c r="BK64" s="596"/>
      <c r="BL64" s="596"/>
      <c r="BM64" s="596"/>
      <c r="BN64" s="596"/>
      <c r="BO64" s="596"/>
      <c r="BP64" s="596"/>
      <c r="BQ64" s="596"/>
      <c r="BR64" s="596"/>
      <c r="BS64" s="596"/>
      <c r="BT64" s="596"/>
    </row>
    <row r="65" spans="1:72" ht="12.5" customHeight="1">
      <c r="A65" s="540"/>
      <c r="B65" s="566"/>
      <c r="C65" s="575"/>
      <c r="D65" s="576"/>
      <c r="E65" s="625" t="s">
        <v>397</v>
      </c>
      <c r="F65" s="568"/>
      <c r="G65" s="568"/>
      <c r="H65" s="579"/>
      <c r="I65" s="579"/>
      <c r="J65" s="579"/>
      <c r="K65" s="579"/>
      <c r="L65" s="579"/>
      <c r="M65" s="579"/>
      <c r="N65" s="579"/>
      <c r="O65" s="579"/>
      <c r="P65" s="579"/>
      <c r="Q65" s="579"/>
      <c r="R65" s="579"/>
      <c r="S65" s="579"/>
      <c r="T65" s="579"/>
      <c r="U65" s="579"/>
      <c r="V65" s="579"/>
      <c r="W65" s="579"/>
      <c r="X65" s="579"/>
      <c r="Y65" s="579"/>
      <c r="Z65" s="579"/>
      <c r="AA65" s="579"/>
      <c r="AB65" s="579"/>
      <c r="AC65" s="579"/>
      <c r="AD65" s="579"/>
      <c r="AE65" s="579"/>
      <c r="AF65" s="579"/>
      <c r="AG65" s="579"/>
      <c r="AH65" s="579"/>
      <c r="AI65" s="579"/>
      <c r="AJ65" s="579"/>
      <c r="AK65" s="579"/>
      <c r="AL65" s="579"/>
      <c r="AM65" s="579"/>
      <c r="AN65" s="579"/>
      <c r="AO65" s="579"/>
      <c r="AP65" s="579"/>
      <c r="AQ65" s="579"/>
      <c r="AR65" s="579"/>
      <c r="AS65" s="579"/>
      <c r="AT65" s="573"/>
      <c r="AU65" s="568"/>
      <c r="AV65" s="568"/>
      <c r="AW65" s="568"/>
      <c r="AX65" s="568"/>
      <c r="AY65" s="568"/>
      <c r="AZ65" s="569"/>
      <c r="BA65" s="569"/>
      <c r="BB65" s="551"/>
      <c r="BC65" s="552"/>
      <c r="BD65" s="538"/>
      <c r="BE65" s="596"/>
      <c r="BF65" s="596"/>
      <c r="BG65" s="596"/>
      <c r="BH65" s="598"/>
      <c r="BI65" s="596"/>
      <c r="BJ65" s="596"/>
      <c r="BK65" s="596"/>
      <c r="BL65" s="596"/>
      <c r="BM65" s="596"/>
      <c r="BN65" s="596"/>
      <c r="BO65" s="596"/>
      <c r="BP65" s="596"/>
      <c r="BQ65" s="596"/>
      <c r="BR65" s="596"/>
      <c r="BS65" s="596"/>
      <c r="BT65" s="596"/>
    </row>
    <row r="66" spans="1:72" ht="12.5" customHeight="1">
      <c r="A66" s="540"/>
      <c r="B66" s="566"/>
      <c r="C66" s="575"/>
      <c r="D66" s="576"/>
      <c r="E66" s="568" t="s">
        <v>412</v>
      </c>
      <c r="F66" s="568"/>
      <c r="G66" s="568"/>
      <c r="H66" s="579"/>
      <c r="I66" s="579"/>
      <c r="J66" s="579"/>
      <c r="K66" s="579"/>
      <c r="L66" s="579"/>
      <c r="M66" s="579"/>
      <c r="N66" s="579"/>
      <c r="O66" s="579"/>
      <c r="P66" s="579"/>
      <c r="Q66" s="579"/>
      <c r="R66" s="579"/>
      <c r="S66" s="579"/>
      <c r="T66" s="579"/>
      <c r="U66" s="579"/>
      <c r="V66" s="579"/>
      <c r="W66" s="579"/>
      <c r="X66" s="579"/>
      <c r="Y66" s="579"/>
      <c r="Z66" s="579"/>
      <c r="AA66" s="579"/>
      <c r="AB66" s="579"/>
      <c r="AC66" s="579"/>
      <c r="AD66" s="579"/>
      <c r="AE66" s="579"/>
      <c r="AF66" s="579"/>
      <c r="AG66" s="579"/>
      <c r="AH66" s="579"/>
      <c r="AI66" s="579"/>
      <c r="AJ66" s="579"/>
      <c r="AK66" s="579"/>
      <c r="AL66" s="579"/>
      <c r="AM66" s="579"/>
      <c r="AN66" s="579"/>
      <c r="AO66" s="579"/>
      <c r="AP66" s="579"/>
      <c r="AQ66" s="579"/>
      <c r="AR66" s="579"/>
      <c r="AS66" s="581"/>
      <c r="AT66" s="577"/>
      <c r="AU66" s="577"/>
      <c r="AV66" s="577"/>
      <c r="AW66" s="577"/>
      <c r="AX66" s="577"/>
      <c r="AY66" s="577"/>
      <c r="AZ66" s="569"/>
      <c r="BA66" s="569"/>
      <c r="BB66" s="551"/>
      <c r="BC66" s="552"/>
      <c r="BD66" s="538"/>
      <c r="BE66" s="596"/>
      <c r="BF66" s="596"/>
      <c r="BG66" s="596"/>
      <c r="BH66" s="598"/>
      <c r="BI66" s="596"/>
      <c r="BJ66" s="596"/>
      <c r="BK66" s="596"/>
      <c r="BL66" s="596"/>
      <c r="BM66" s="596"/>
      <c r="BN66" s="596"/>
      <c r="BO66" s="596"/>
      <c r="BP66" s="596"/>
      <c r="BQ66" s="596"/>
      <c r="BR66" s="596"/>
      <c r="BS66" s="597"/>
      <c r="BT66" s="596"/>
    </row>
    <row r="67" spans="1:72" ht="12.5" customHeight="1">
      <c r="A67" s="540"/>
      <c r="B67" s="566"/>
      <c r="C67" s="575"/>
      <c r="D67" s="576"/>
      <c r="E67" s="568"/>
      <c r="F67" s="568"/>
      <c r="G67" s="568"/>
      <c r="H67" s="579"/>
      <c r="I67" s="579"/>
      <c r="J67" s="792"/>
      <c r="K67" s="792"/>
      <c r="L67" s="792"/>
      <c r="M67" s="792"/>
      <c r="N67" s="582"/>
      <c r="O67" s="583"/>
      <c r="P67" s="582"/>
      <c r="Q67" s="579"/>
      <c r="R67" s="579"/>
      <c r="S67" s="579"/>
      <c r="T67" s="580"/>
      <c r="U67" s="580"/>
      <c r="V67" s="580"/>
      <c r="W67" s="580"/>
      <c r="X67" s="580"/>
      <c r="Y67" s="583"/>
      <c r="Z67" s="580"/>
      <c r="AA67" s="579"/>
      <c r="AB67" s="583"/>
      <c r="AC67" s="580"/>
      <c r="AD67" s="579"/>
      <c r="AE67" s="583"/>
      <c r="AF67" s="579"/>
      <c r="AG67" s="579"/>
      <c r="AH67" s="583"/>
      <c r="AI67" s="579"/>
      <c r="AJ67" s="579"/>
      <c r="AK67" s="584"/>
      <c r="AL67" s="579"/>
      <c r="AM67" s="579"/>
      <c r="AN67" s="579"/>
      <c r="AO67" s="579"/>
      <c r="AP67" s="579"/>
      <c r="AQ67" s="579"/>
      <c r="AR67" s="579"/>
      <c r="AS67" s="579"/>
      <c r="AT67" s="568"/>
      <c r="AU67" s="568"/>
      <c r="AV67" s="568"/>
      <c r="AW67" s="568"/>
      <c r="AX67" s="568"/>
      <c r="AY67" s="568"/>
      <c r="AZ67" s="569"/>
      <c r="BA67" s="569"/>
      <c r="BB67" s="551"/>
      <c r="BC67" s="552"/>
      <c r="BD67" s="538"/>
      <c r="BE67" s="596"/>
      <c r="BF67" s="596"/>
      <c r="BG67" s="596"/>
      <c r="BH67" s="598"/>
      <c r="BI67" s="596"/>
      <c r="BJ67" s="596"/>
      <c r="BK67" s="596"/>
      <c r="BL67" s="596"/>
      <c r="BM67" s="596"/>
      <c r="BN67" s="596"/>
      <c r="BO67" s="596"/>
      <c r="BP67" s="596"/>
      <c r="BQ67" s="596"/>
      <c r="BR67" s="596"/>
      <c r="BS67" s="597"/>
      <c r="BT67" s="596"/>
    </row>
    <row r="68" spans="1:72" ht="12.5" customHeight="1">
      <c r="A68" s="540"/>
      <c r="B68" s="566"/>
      <c r="C68" s="567"/>
      <c r="D68" s="567"/>
      <c r="E68" s="626"/>
      <c r="F68" s="626"/>
      <c r="G68" s="626"/>
      <c r="H68" s="626"/>
      <c r="I68" s="626"/>
      <c r="J68" s="626"/>
      <c r="K68" s="626"/>
      <c r="L68" s="626"/>
      <c r="M68" s="626"/>
      <c r="N68" s="626"/>
      <c r="O68" s="626"/>
      <c r="P68" s="626"/>
      <c r="Q68" s="626"/>
      <c r="R68" s="626"/>
      <c r="S68" s="626"/>
      <c r="T68" s="567"/>
      <c r="U68" s="567"/>
      <c r="V68" s="567"/>
      <c r="W68" s="567"/>
      <c r="X68" s="567"/>
      <c r="Y68" s="567"/>
      <c r="Z68" s="567"/>
      <c r="AA68" s="567"/>
      <c r="AB68" s="567"/>
      <c r="AC68" s="567"/>
      <c r="AD68" s="567"/>
      <c r="AE68" s="567"/>
      <c r="AF68" s="567"/>
      <c r="AG68" s="567"/>
      <c r="AH68" s="567"/>
      <c r="AI68" s="567"/>
      <c r="AJ68" s="567"/>
      <c r="AK68" s="567"/>
      <c r="AL68" s="567"/>
      <c r="AM68" s="567"/>
      <c r="AN68" s="567"/>
      <c r="AO68" s="567"/>
      <c r="AP68" s="567"/>
      <c r="AQ68" s="567"/>
      <c r="AR68" s="567"/>
      <c r="AS68" s="567"/>
      <c r="AT68" s="567"/>
      <c r="AU68" s="567"/>
      <c r="AV68" s="567"/>
      <c r="AW68" s="567"/>
      <c r="AX68" s="567"/>
      <c r="AY68" s="567"/>
      <c r="AZ68" s="569"/>
      <c r="BA68" s="569"/>
      <c r="BB68" s="551"/>
      <c r="BC68" s="552"/>
      <c r="BD68" s="538"/>
      <c r="BE68" s="596"/>
      <c r="BF68" s="596"/>
      <c r="BG68" s="596"/>
      <c r="BH68" s="598"/>
      <c r="BI68" s="596"/>
      <c r="BJ68" s="596"/>
      <c r="BK68" s="596"/>
      <c r="BL68" s="596"/>
      <c r="BM68" s="596"/>
      <c r="BN68" s="596"/>
      <c r="BO68" s="596"/>
      <c r="BP68" s="596"/>
      <c r="BQ68" s="596"/>
      <c r="BR68" s="596"/>
      <c r="BS68" s="597"/>
      <c r="BT68" s="596"/>
    </row>
    <row r="69" spans="1:72" ht="12.5" customHeight="1">
      <c r="A69" s="540"/>
      <c r="B69" s="566"/>
      <c r="C69" s="575"/>
      <c r="D69" s="576"/>
      <c r="E69" s="627"/>
      <c r="F69" s="627"/>
      <c r="G69" s="632" t="s">
        <v>398</v>
      </c>
      <c r="H69" s="631"/>
      <c r="I69" s="631"/>
      <c r="J69" s="631"/>
      <c r="K69" s="631"/>
      <c r="L69" s="631"/>
      <c r="M69" s="631"/>
      <c r="N69" s="631"/>
      <c r="O69" s="631"/>
      <c r="P69" s="631"/>
      <c r="Q69" s="628"/>
      <c r="R69" s="628"/>
      <c r="S69" s="628"/>
      <c r="T69" s="579"/>
      <c r="U69" s="579"/>
      <c r="V69" s="579"/>
      <c r="W69" s="579"/>
      <c r="X69" s="579"/>
      <c r="Y69" s="579"/>
      <c r="Z69" s="579"/>
      <c r="AA69" s="579"/>
      <c r="AB69" s="579"/>
      <c r="AC69" s="579"/>
      <c r="AD69" s="579"/>
      <c r="AE69" s="579"/>
      <c r="AF69" s="579"/>
      <c r="AG69" s="579"/>
      <c r="AH69" s="579"/>
      <c r="AI69" s="579"/>
      <c r="AJ69" s="579"/>
      <c r="AK69" s="579"/>
      <c r="AL69" s="579"/>
      <c r="AM69" s="579"/>
      <c r="AN69" s="579"/>
      <c r="AO69" s="579"/>
      <c r="AP69" s="579"/>
      <c r="AQ69" s="579"/>
      <c r="AR69" s="579"/>
      <c r="AS69" s="579"/>
      <c r="AT69" s="573"/>
      <c r="AU69" s="568"/>
      <c r="AV69" s="568"/>
      <c r="AW69" s="568"/>
      <c r="AX69" s="568"/>
      <c r="AY69" s="568"/>
      <c r="AZ69" s="569"/>
      <c r="BA69" s="569"/>
      <c r="BB69" s="551"/>
      <c r="BC69" s="552"/>
      <c r="BD69" s="538"/>
      <c r="BE69" s="596"/>
      <c r="BF69" s="596"/>
      <c r="BG69" s="596"/>
      <c r="BH69" s="596"/>
      <c r="BI69" s="596"/>
      <c r="BJ69" s="596"/>
      <c r="BK69" s="596"/>
      <c r="BL69" s="596"/>
      <c r="BM69" s="596"/>
      <c r="BN69" s="596"/>
      <c r="BO69" s="596"/>
      <c r="BP69" s="596"/>
      <c r="BQ69" s="596"/>
      <c r="BR69" s="596"/>
      <c r="BS69" s="597"/>
      <c r="BT69" s="596"/>
    </row>
    <row r="70" spans="1:72" ht="12.5" customHeight="1">
      <c r="A70" s="540"/>
      <c r="B70" s="566"/>
      <c r="C70" s="575"/>
      <c r="D70" s="576"/>
      <c r="E70" s="627"/>
      <c r="F70" s="627"/>
      <c r="G70" s="627"/>
      <c r="H70" s="628"/>
      <c r="I70" s="628"/>
      <c r="J70" s="631" t="s">
        <v>399</v>
      </c>
      <c r="K70" s="631"/>
      <c r="L70" s="631"/>
      <c r="M70" s="631"/>
      <c r="N70" s="628"/>
      <c r="O70" s="628"/>
      <c r="P70" s="628"/>
      <c r="Q70" s="628"/>
      <c r="R70" s="628"/>
      <c r="S70" s="628"/>
      <c r="T70" s="579"/>
      <c r="U70" s="579"/>
      <c r="V70" s="579"/>
      <c r="W70" s="579"/>
      <c r="X70" s="579"/>
      <c r="Y70" s="579"/>
      <c r="Z70" s="579"/>
      <c r="AA70" s="579"/>
      <c r="AB70" s="579"/>
      <c r="AC70" s="579"/>
      <c r="AD70" s="579"/>
      <c r="AE70" s="579"/>
      <c r="AF70" s="579"/>
      <c r="AG70" s="579"/>
      <c r="AH70" s="579"/>
      <c r="AI70" s="579"/>
      <c r="AJ70" s="579"/>
      <c r="AK70" s="579"/>
      <c r="AL70" s="579"/>
      <c r="AM70" s="579"/>
      <c r="AN70" s="579"/>
      <c r="AO70" s="579"/>
      <c r="AP70" s="579"/>
      <c r="AQ70" s="579"/>
      <c r="AR70" s="579"/>
      <c r="AS70" s="581"/>
      <c r="AT70" s="577"/>
      <c r="AU70" s="577"/>
      <c r="AV70" s="577"/>
      <c r="AW70" s="577"/>
      <c r="AX70" s="577"/>
      <c r="AY70" s="577"/>
      <c r="AZ70" s="569"/>
      <c r="BA70" s="569"/>
      <c r="BB70" s="551"/>
      <c r="BC70" s="552"/>
      <c r="BD70" s="538"/>
      <c r="BE70" s="596"/>
      <c r="BF70" s="596"/>
      <c r="BG70" s="596"/>
      <c r="BH70" s="596"/>
      <c r="BI70" s="596"/>
      <c r="BJ70" s="596"/>
      <c r="BK70" s="596"/>
      <c r="BL70" s="596"/>
      <c r="BM70" s="596"/>
      <c r="BN70" s="596"/>
      <c r="BO70" s="596"/>
      <c r="BP70" s="596"/>
      <c r="BQ70" s="596"/>
      <c r="BR70" s="596"/>
      <c r="BS70" s="596"/>
      <c r="BT70" s="596"/>
    </row>
    <row r="71" spans="1:72" ht="12.5" customHeight="1">
      <c r="A71" s="540"/>
      <c r="B71" s="566"/>
      <c r="C71" s="575"/>
      <c r="D71" s="576"/>
      <c r="E71" s="764" t="s">
        <v>437</v>
      </c>
      <c r="F71" s="764"/>
      <c r="G71" s="764"/>
      <c r="H71" s="764"/>
      <c r="I71" s="764"/>
      <c r="J71" s="764"/>
      <c r="K71" s="764"/>
      <c r="L71" s="764"/>
      <c r="M71" s="764"/>
      <c r="N71" s="764"/>
      <c r="O71" s="764"/>
      <c r="P71" s="764"/>
      <c r="Q71" s="764"/>
      <c r="R71" s="764"/>
      <c r="S71" s="764"/>
      <c r="T71" s="579"/>
      <c r="U71" s="579"/>
      <c r="V71" s="579"/>
      <c r="W71" s="579"/>
      <c r="X71" s="579"/>
      <c r="Y71" s="579"/>
      <c r="Z71" s="579"/>
      <c r="AA71" s="579"/>
      <c r="AB71" s="579"/>
      <c r="AC71" s="579"/>
      <c r="AD71" s="579"/>
      <c r="AE71" s="579"/>
      <c r="AF71" s="579"/>
      <c r="AG71" s="579"/>
      <c r="AH71" s="579"/>
      <c r="AI71" s="579"/>
      <c r="AJ71" s="579"/>
      <c r="AK71" s="579"/>
      <c r="AL71" s="579"/>
      <c r="AM71" s="579"/>
      <c r="AN71" s="579"/>
      <c r="AO71" s="579"/>
      <c r="AP71" s="579"/>
      <c r="AQ71" s="579"/>
      <c r="AR71" s="579"/>
      <c r="AS71" s="579"/>
      <c r="AT71" s="573"/>
      <c r="AU71" s="568"/>
      <c r="AV71" s="568"/>
      <c r="AW71" s="568"/>
      <c r="AX71" s="568"/>
      <c r="AY71" s="568"/>
      <c r="AZ71" s="569"/>
      <c r="BA71" s="569"/>
      <c r="BB71" s="551"/>
      <c r="BC71" s="552"/>
      <c r="BD71" s="538"/>
      <c r="BE71" s="596"/>
      <c r="BF71" s="596"/>
      <c r="BG71" s="596"/>
      <c r="BH71" s="596"/>
      <c r="BI71" s="596"/>
      <c r="BJ71" s="596"/>
      <c r="BK71" s="596"/>
      <c r="BL71" s="596"/>
      <c r="BM71" s="597"/>
      <c r="BN71" s="597"/>
      <c r="BO71" s="597"/>
      <c r="BP71" s="597"/>
      <c r="BQ71" s="597"/>
      <c r="BR71" s="597"/>
      <c r="BS71" s="596"/>
      <c r="BT71" s="596"/>
    </row>
    <row r="72" spans="1:72" ht="12.5" customHeight="1">
      <c r="A72" s="540"/>
      <c r="B72" s="566"/>
      <c r="C72" s="575"/>
      <c r="D72" s="576"/>
      <c r="E72" s="627"/>
      <c r="F72" s="627"/>
      <c r="G72" s="627"/>
      <c r="H72" s="628"/>
      <c r="I72" s="628"/>
      <c r="J72" s="631" t="s">
        <v>413</v>
      </c>
      <c r="K72" s="631"/>
      <c r="L72" s="631"/>
      <c r="M72" s="631"/>
      <c r="N72" s="628"/>
      <c r="O72" s="628"/>
      <c r="P72" s="628"/>
      <c r="Q72" s="628"/>
      <c r="R72" s="628"/>
      <c r="S72" s="628"/>
      <c r="T72" s="579"/>
      <c r="U72" s="579"/>
      <c r="V72" s="579"/>
      <c r="W72" s="579"/>
      <c r="X72" s="579"/>
      <c r="Y72" s="579"/>
      <c r="Z72" s="579"/>
      <c r="AA72" s="579"/>
      <c r="AB72" s="579"/>
      <c r="AC72" s="579"/>
      <c r="AD72" s="579"/>
      <c r="AE72" s="579"/>
      <c r="AF72" s="579"/>
      <c r="AG72" s="579"/>
      <c r="AH72" s="579"/>
      <c r="AI72" s="579"/>
      <c r="AJ72" s="579"/>
      <c r="AK72" s="579"/>
      <c r="AL72" s="579"/>
      <c r="AM72" s="579"/>
      <c r="AN72" s="579"/>
      <c r="AO72" s="579"/>
      <c r="AP72" s="579"/>
      <c r="AQ72" s="579"/>
      <c r="AR72" s="579"/>
      <c r="AS72" s="581"/>
      <c r="AT72" s="577"/>
      <c r="AU72" s="577"/>
      <c r="AV72" s="577"/>
      <c r="AW72" s="577"/>
      <c r="AX72" s="577"/>
      <c r="AY72" s="577"/>
      <c r="AZ72" s="569"/>
      <c r="BA72" s="569"/>
      <c r="BB72" s="551"/>
      <c r="BC72" s="552"/>
      <c r="BD72" s="538"/>
      <c r="BE72" s="596"/>
      <c r="BF72" s="596"/>
      <c r="BG72" s="596"/>
      <c r="BH72" s="598"/>
      <c r="BI72" s="596"/>
      <c r="BJ72" s="596"/>
      <c r="BK72" s="596"/>
      <c r="BL72" s="596"/>
      <c r="BM72" s="597"/>
      <c r="BN72" s="597"/>
      <c r="BO72" s="597"/>
      <c r="BP72" s="597"/>
      <c r="BQ72" s="597"/>
      <c r="BR72" s="597"/>
      <c r="BS72" s="596"/>
      <c r="BT72" s="596"/>
    </row>
    <row r="73" spans="1:72" ht="12.5" customHeight="1">
      <c r="A73" s="540"/>
      <c r="B73" s="566"/>
      <c r="C73" s="575"/>
      <c r="D73" s="576"/>
      <c r="E73" s="627"/>
      <c r="F73" s="627"/>
      <c r="G73" s="627"/>
      <c r="H73" s="628"/>
      <c r="I73" s="628"/>
      <c r="J73" s="633"/>
      <c r="K73" s="633"/>
      <c r="L73" s="633"/>
      <c r="M73" s="633"/>
      <c r="N73" s="629"/>
      <c r="O73" s="630"/>
      <c r="P73" s="629"/>
      <c r="Q73" s="628"/>
      <c r="R73" s="628"/>
      <c r="S73" s="628"/>
      <c r="T73" s="580"/>
      <c r="U73" s="580"/>
      <c r="V73" s="580"/>
      <c r="W73" s="580"/>
      <c r="X73" s="580"/>
      <c r="Y73" s="583"/>
      <c r="Z73" s="580"/>
      <c r="AA73" s="579"/>
      <c r="AB73" s="583"/>
      <c r="AC73" s="580"/>
      <c r="AD73" s="579"/>
      <c r="AE73" s="583"/>
      <c r="AF73" s="579"/>
      <c r="AG73" s="579"/>
      <c r="AH73" s="583"/>
      <c r="AI73" s="579"/>
      <c r="AJ73" s="579"/>
      <c r="AK73" s="584"/>
      <c r="AL73" s="579"/>
      <c r="AM73" s="579"/>
      <c r="AN73" s="579"/>
      <c r="AO73" s="579"/>
      <c r="AP73" s="579"/>
      <c r="AQ73" s="579"/>
      <c r="AR73" s="579"/>
      <c r="AS73" s="579"/>
      <c r="AT73" s="568"/>
      <c r="AU73" s="568"/>
      <c r="AV73" s="568"/>
      <c r="AW73" s="568"/>
      <c r="AX73" s="568"/>
      <c r="AY73" s="568"/>
      <c r="AZ73" s="569"/>
      <c r="BA73" s="569"/>
      <c r="BB73" s="551"/>
      <c r="BC73" s="552"/>
      <c r="BD73" s="538"/>
      <c r="BE73" s="596"/>
      <c r="BF73" s="596"/>
      <c r="BG73" s="596"/>
      <c r="BH73" s="598"/>
      <c r="BI73" s="596"/>
      <c r="BJ73" s="596"/>
      <c r="BK73" s="596"/>
      <c r="BL73" s="596"/>
      <c r="BM73" s="597"/>
      <c r="BN73" s="597"/>
      <c r="BO73" s="597"/>
      <c r="BP73" s="597"/>
      <c r="BQ73" s="597"/>
      <c r="BR73" s="597"/>
      <c r="BS73" s="596"/>
      <c r="BT73" s="596"/>
    </row>
    <row r="74" spans="1:72" ht="12.5" customHeight="1">
      <c r="A74" s="540"/>
      <c r="B74" s="566"/>
      <c r="C74" s="575"/>
      <c r="D74" s="576"/>
      <c r="E74" s="627"/>
      <c r="F74" s="627"/>
      <c r="G74" s="627"/>
      <c r="H74" s="628"/>
      <c r="I74" s="628"/>
      <c r="J74" s="816"/>
      <c r="K74" s="816"/>
      <c r="L74" s="816"/>
      <c r="M74" s="816"/>
      <c r="N74" s="629"/>
      <c r="O74" s="630"/>
      <c r="P74" s="629"/>
      <c r="Q74" s="628"/>
      <c r="R74" s="628"/>
      <c r="S74" s="628"/>
      <c r="T74" s="580"/>
      <c r="U74" s="580"/>
      <c r="V74" s="580"/>
      <c r="W74" s="580"/>
      <c r="X74" s="580"/>
      <c r="Y74" s="583"/>
      <c r="Z74" s="580"/>
      <c r="AA74" s="579"/>
      <c r="AB74" s="583"/>
      <c r="AC74" s="580"/>
      <c r="AD74" s="579"/>
      <c r="AE74" s="583"/>
      <c r="AF74" s="579"/>
      <c r="AG74" s="579"/>
      <c r="AH74" s="583"/>
      <c r="AI74" s="579"/>
      <c r="AJ74" s="579"/>
      <c r="AK74" s="584"/>
      <c r="AL74" s="579"/>
      <c r="AM74" s="579"/>
      <c r="AN74" s="579"/>
      <c r="AO74" s="579"/>
      <c r="AP74" s="579"/>
      <c r="AQ74" s="579"/>
      <c r="AR74" s="579"/>
      <c r="AS74" s="579"/>
      <c r="AT74" s="568"/>
      <c r="AU74" s="568"/>
      <c r="AV74" s="568"/>
      <c r="AW74" s="568"/>
      <c r="AX74" s="568"/>
      <c r="AY74" s="568"/>
      <c r="AZ74" s="569"/>
      <c r="BA74" s="569"/>
      <c r="BB74" s="551"/>
      <c r="BC74" s="552"/>
      <c r="BD74" s="538"/>
      <c r="BE74" s="596"/>
      <c r="BF74" s="596"/>
      <c r="BG74" s="596"/>
      <c r="BH74" s="596"/>
      <c r="BI74" s="596"/>
      <c r="BJ74" s="596"/>
      <c r="BK74" s="596"/>
      <c r="BL74" s="596"/>
      <c r="BM74" s="596"/>
      <c r="BN74" s="596"/>
      <c r="BO74" s="596"/>
      <c r="BP74" s="596"/>
      <c r="BQ74" s="596"/>
      <c r="BR74" s="596"/>
      <c r="BS74" s="596"/>
      <c r="BT74" s="596"/>
    </row>
    <row r="75" spans="1:72" ht="12.5" customHeight="1">
      <c r="A75" s="540"/>
      <c r="B75" s="566"/>
      <c r="C75" s="567"/>
      <c r="D75" s="567"/>
      <c r="E75" s="626"/>
      <c r="F75" s="626"/>
      <c r="G75" s="626"/>
      <c r="H75" s="626"/>
      <c r="I75" s="626"/>
      <c r="J75" s="626"/>
      <c r="K75" s="626"/>
      <c r="L75" s="626"/>
      <c r="M75" s="626"/>
      <c r="N75" s="626"/>
      <c r="O75" s="626"/>
      <c r="P75" s="626"/>
      <c r="Q75" s="626"/>
      <c r="R75" s="626"/>
      <c r="S75" s="626"/>
      <c r="T75" s="567"/>
      <c r="U75" s="567"/>
      <c r="V75" s="567"/>
      <c r="W75" s="567"/>
      <c r="X75" s="567"/>
      <c r="Y75" s="567"/>
      <c r="Z75" s="567"/>
      <c r="AA75" s="567"/>
      <c r="AB75" s="567"/>
      <c r="AC75" s="567"/>
      <c r="AD75" s="567"/>
      <c r="AE75" s="567"/>
      <c r="AF75" s="567"/>
      <c r="AG75" s="567"/>
      <c r="AH75" s="567"/>
      <c r="AI75" s="567"/>
      <c r="AJ75" s="567"/>
      <c r="AK75" s="567"/>
      <c r="AL75" s="567"/>
      <c r="AM75" s="567"/>
      <c r="AN75" s="567"/>
      <c r="AO75" s="567"/>
      <c r="AP75" s="567"/>
      <c r="AQ75" s="567"/>
      <c r="AR75" s="567"/>
      <c r="AS75" s="567"/>
      <c r="AT75" s="567"/>
      <c r="AU75" s="567"/>
      <c r="AV75" s="567"/>
      <c r="AW75" s="567"/>
      <c r="AX75" s="567"/>
      <c r="AY75" s="567"/>
      <c r="AZ75" s="569"/>
      <c r="BA75" s="569"/>
      <c r="BB75" s="551"/>
      <c r="BC75" s="552"/>
      <c r="BD75" s="538"/>
      <c r="BE75" s="596"/>
      <c r="BF75" s="596"/>
      <c r="BG75" s="596"/>
      <c r="BH75" s="596"/>
      <c r="BI75" s="596"/>
      <c r="BJ75" s="596"/>
      <c r="BK75" s="596"/>
      <c r="BL75" s="596"/>
      <c r="BM75" s="596"/>
      <c r="BN75" s="596"/>
      <c r="BO75" s="596"/>
      <c r="BP75" s="596"/>
      <c r="BQ75" s="596"/>
      <c r="BR75" s="596"/>
      <c r="BS75" s="596"/>
      <c r="BT75" s="596"/>
    </row>
    <row r="76" spans="1:72" ht="12.5" customHeight="1">
      <c r="A76" s="540"/>
      <c r="B76" s="566"/>
      <c r="C76" s="575"/>
      <c r="D76" s="576"/>
      <c r="E76" s="626"/>
      <c r="F76" s="626"/>
      <c r="G76" s="626"/>
      <c r="H76" s="626"/>
      <c r="I76" s="626"/>
      <c r="J76" s="626"/>
      <c r="K76" s="626"/>
      <c r="L76" s="626"/>
      <c r="M76" s="626"/>
      <c r="N76" s="626"/>
      <c r="O76" s="626"/>
      <c r="P76" s="626"/>
      <c r="Q76" s="626"/>
      <c r="R76" s="626"/>
      <c r="S76" s="626"/>
      <c r="T76" s="579"/>
      <c r="U76" s="579"/>
      <c r="V76" s="579"/>
      <c r="W76" s="579"/>
      <c r="X76" s="579"/>
      <c r="Y76" s="579"/>
      <c r="Z76" s="579"/>
      <c r="AA76" s="579"/>
      <c r="AB76" s="579"/>
      <c r="AC76" s="579"/>
      <c r="AD76" s="579"/>
      <c r="AE76" s="579"/>
      <c r="AF76" s="579"/>
      <c r="AG76" s="579"/>
      <c r="AH76" s="579"/>
      <c r="AI76" s="579"/>
      <c r="AJ76" s="579"/>
      <c r="AK76" s="579"/>
      <c r="AL76" s="579"/>
      <c r="AM76" s="579"/>
      <c r="AN76" s="579"/>
      <c r="AO76" s="579"/>
      <c r="AP76" s="579"/>
      <c r="AQ76" s="579"/>
      <c r="AR76" s="579"/>
      <c r="AS76" s="579"/>
      <c r="AT76" s="573"/>
      <c r="AU76" s="568"/>
      <c r="AV76" s="568"/>
      <c r="AW76" s="568"/>
      <c r="AX76" s="568"/>
      <c r="AY76" s="568"/>
      <c r="AZ76" s="569"/>
      <c r="BA76" s="569"/>
      <c r="BB76" s="551"/>
      <c r="BC76" s="552"/>
      <c r="BD76" s="538"/>
      <c r="BE76" s="596"/>
      <c r="BF76" s="596"/>
      <c r="BG76" s="596"/>
      <c r="BH76" s="598"/>
      <c r="BI76" s="596"/>
      <c r="BJ76" s="596"/>
      <c r="BK76" s="596"/>
      <c r="BL76" s="596"/>
      <c r="BM76" s="596"/>
      <c r="BN76" s="596"/>
      <c r="BO76" s="596"/>
      <c r="BP76" s="596"/>
      <c r="BQ76" s="596"/>
      <c r="BR76" s="596"/>
      <c r="BS76" s="596"/>
      <c r="BT76" s="596"/>
    </row>
    <row r="77" spans="1:72" ht="12.5" customHeight="1">
      <c r="A77" s="540"/>
      <c r="B77" s="566"/>
      <c r="C77" s="575"/>
      <c r="D77" s="576"/>
      <c r="E77" s="568"/>
      <c r="F77" s="568"/>
      <c r="G77" s="568"/>
      <c r="H77" s="579"/>
      <c r="I77" s="579"/>
      <c r="J77" s="579"/>
      <c r="K77" s="579"/>
      <c r="L77" s="579"/>
      <c r="M77" s="579"/>
      <c r="N77" s="579"/>
      <c r="O77" s="579"/>
      <c r="P77" s="579"/>
      <c r="Q77" s="579"/>
      <c r="R77" s="579"/>
      <c r="S77" s="579"/>
      <c r="T77" s="579"/>
      <c r="U77" s="579"/>
      <c r="V77" s="579"/>
      <c r="W77" s="579"/>
      <c r="X77" s="579"/>
      <c r="Y77" s="579"/>
      <c r="Z77" s="579"/>
      <c r="AA77" s="579"/>
      <c r="AB77" s="579"/>
      <c r="AC77" s="579"/>
      <c r="AD77" s="579"/>
      <c r="AE77" s="579"/>
      <c r="AF77" s="579"/>
      <c r="AG77" s="579"/>
      <c r="AH77" s="579"/>
      <c r="AI77" s="579"/>
      <c r="AJ77" s="579"/>
      <c r="AK77" s="579"/>
      <c r="AL77" s="579"/>
      <c r="AM77" s="579"/>
      <c r="AN77" s="579"/>
      <c r="AO77" s="579"/>
      <c r="AP77" s="579"/>
      <c r="AQ77" s="579"/>
      <c r="AR77" s="579"/>
      <c r="AS77" s="581"/>
      <c r="AT77" s="577"/>
      <c r="AU77" s="577"/>
      <c r="AV77" s="577"/>
      <c r="AW77" s="577"/>
      <c r="AX77" s="577"/>
      <c r="AY77" s="577"/>
      <c r="AZ77" s="569"/>
      <c r="BA77" s="569"/>
      <c r="BB77" s="551"/>
      <c r="BC77" s="552"/>
      <c r="BD77" s="538"/>
      <c r="BE77" s="596"/>
      <c r="BF77" s="596"/>
      <c r="BG77" s="596"/>
      <c r="BH77" s="596"/>
      <c r="BI77" s="596"/>
      <c r="BJ77" s="596"/>
      <c r="BK77" s="596"/>
      <c r="BL77" s="596"/>
      <c r="BM77" s="596"/>
      <c r="BN77" s="596"/>
      <c r="BO77" s="596"/>
      <c r="BP77" s="596"/>
      <c r="BQ77" s="596"/>
      <c r="BR77" s="596"/>
      <c r="BS77" s="596"/>
      <c r="BT77" s="596"/>
    </row>
    <row r="78" spans="1:72" ht="12.5" customHeight="1">
      <c r="A78" s="540"/>
      <c r="B78" s="566"/>
      <c r="C78" s="575"/>
      <c r="D78" s="576"/>
      <c r="E78" s="568"/>
      <c r="F78" s="568"/>
      <c r="G78" s="568"/>
      <c r="H78" s="579"/>
      <c r="I78" s="579"/>
      <c r="J78" s="792"/>
      <c r="K78" s="792"/>
      <c r="L78" s="792"/>
      <c r="M78" s="792"/>
      <c r="N78" s="582"/>
      <c r="O78" s="583"/>
      <c r="P78" s="582"/>
      <c r="Q78" s="579"/>
      <c r="R78" s="579"/>
      <c r="S78" s="579"/>
      <c r="T78" s="580"/>
      <c r="U78" s="580"/>
      <c r="V78" s="580"/>
      <c r="W78" s="580"/>
      <c r="X78" s="580"/>
      <c r="Y78" s="583"/>
      <c r="Z78" s="580"/>
      <c r="AA78" s="579"/>
      <c r="AB78" s="583"/>
      <c r="AC78" s="580"/>
      <c r="AD78" s="579"/>
      <c r="AE78" s="583"/>
      <c r="AF78" s="579"/>
      <c r="AG78" s="579"/>
      <c r="AH78" s="583"/>
      <c r="AI78" s="579"/>
      <c r="AJ78" s="579"/>
      <c r="AK78" s="584"/>
      <c r="AL78" s="579"/>
      <c r="AM78" s="579"/>
      <c r="AN78" s="579"/>
      <c r="AO78" s="579"/>
      <c r="AP78" s="579"/>
      <c r="AQ78" s="579"/>
      <c r="AR78" s="579"/>
      <c r="AS78" s="579"/>
      <c r="AT78" s="568"/>
      <c r="AU78" s="568"/>
      <c r="AV78" s="568"/>
      <c r="AW78" s="568"/>
      <c r="AX78" s="568"/>
      <c r="AY78" s="568"/>
      <c r="AZ78" s="569"/>
      <c r="BA78" s="569"/>
      <c r="BB78" s="551"/>
      <c r="BC78" s="552"/>
      <c r="BD78" s="538"/>
      <c r="BE78" s="596"/>
      <c r="BF78" s="596"/>
      <c r="BG78" s="596"/>
      <c r="BH78" s="596"/>
      <c r="BI78" s="596"/>
      <c r="BJ78" s="596"/>
      <c r="BK78" s="596"/>
      <c r="BL78" s="596"/>
      <c r="BM78" s="596"/>
      <c r="BN78" s="596"/>
      <c r="BO78" s="596"/>
      <c r="BP78" s="596"/>
      <c r="BQ78" s="596"/>
      <c r="BR78" s="596"/>
      <c r="BS78" s="596"/>
      <c r="BT78" s="596"/>
    </row>
    <row r="79" spans="1:72" ht="12.5" customHeight="1">
      <c r="A79" s="540"/>
      <c r="B79" s="566"/>
      <c r="C79" s="567"/>
      <c r="D79" s="567"/>
      <c r="E79" s="567"/>
      <c r="F79" s="567"/>
      <c r="G79" s="567"/>
      <c r="H79" s="567"/>
      <c r="I79" s="567"/>
      <c r="J79" s="567"/>
      <c r="K79" s="567"/>
      <c r="L79" s="567"/>
      <c r="M79" s="567"/>
      <c r="N79" s="567"/>
      <c r="O79" s="567"/>
      <c r="P79" s="567"/>
      <c r="Q79" s="567"/>
      <c r="R79" s="567"/>
      <c r="S79" s="567"/>
      <c r="T79" s="567"/>
      <c r="U79" s="567"/>
      <c r="V79" s="567"/>
      <c r="W79" s="567"/>
      <c r="X79" s="567"/>
      <c r="Y79" s="567"/>
      <c r="Z79" s="567"/>
      <c r="AA79" s="567"/>
      <c r="AB79" s="567"/>
      <c r="AC79" s="567"/>
      <c r="AD79" s="567"/>
      <c r="AE79" s="567"/>
      <c r="AF79" s="567"/>
      <c r="AG79" s="567"/>
      <c r="AH79" s="567"/>
      <c r="AI79" s="567"/>
      <c r="AJ79" s="567"/>
      <c r="AK79" s="567"/>
      <c r="AL79" s="567"/>
      <c r="AM79" s="567"/>
      <c r="AN79" s="567"/>
      <c r="AO79" s="567"/>
      <c r="AP79" s="567"/>
      <c r="AQ79" s="567"/>
      <c r="AR79" s="567"/>
      <c r="AS79" s="567"/>
      <c r="AT79" s="567"/>
      <c r="AU79" s="567"/>
      <c r="AV79" s="567"/>
      <c r="AW79" s="567"/>
      <c r="AX79" s="567"/>
      <c r="AY79" s="567"/>
      <c r="AZ79" s="569"/>
      <c r="BA79" s="569"/>
      <c r="BB79" s="551"/>
      <c r="BC79" s="552"/>
      <c r="BD79" s="538"/>
      <c r="BE79" s="596"/>
      <c r="BF79" s="596"/>
      <c r="BG79" s="596"/>
      <c r="BH79" s="596"/>
      <c r="BI79" s="596"/>
      <c r="BJ79" s="596"/>
      <c r="BK79" s="596"/>
      <c r="BL79" s="596"/>
      <c r="BM79" s="596"/>
      <c r="BN79" s="596"/>
      <c r="BO79" s="596"/>
      <c r="BP79" s="596"/>
      <c r="BQ79" s="596"/>
      <c r="BR79" s="596"/>
      <c r="BS79" s="596"/>
      <c r="BT79" s="596"/>
    </row>
    <row r="80" spans="1:72" ht="12.5" customHeight="1">
      <c r="A80" s="540"/>
      <c r="B80" s="574"/>
      <c r="C80" s="567"/>
      <c r="D80" s="567"/>
      <c r="E80" s="567"/>
      <c r="F80" s="567"/>
      <c r="G80" s="567"/>
      <c r="H80" s="567"/>
      <c r="I80" s="567"/>
      <c r="J80" s="567"/>
      <c r="K80" s="567"/>
      <c r="L80" s="567"/>
      <c r="M80" s="567"/>
      <c r="N80" s="567"/>
      <c r="O80" s="567"/>
      <c r="P80" s="567"/>
      <c r="Q80" s="567"/>
      <c r="R80" s="567"/>
      <c r="S80" s="567"/>
      <c r="T80" s="567"/>
      <c r="U80" s="567"/>
      <c r="V80" s="567"/>
      <c r="W80" s="567"/>
      <c r="X80" s="567"/>
      <c r="Y80" s="567"/>
      <c r="Z80" s="567"/>
      <c r="AA80" s="567"/>
      <c r="AB80" s="567"/>
      <c r="AC80" s="567"/>
      <c r="AD80" s="567"/>
      <c r="AE80" s="567"/>
      <c r="AF80" s="567"/>
      <c r="AG80" s="567"/>
      <c r="AH80" s="567"/>
      <c r="AI80" s="567"/>
      <c r="AJ80" s="567"/>
      <c r="AK80" s="567"/>
      <c r="AL80" s="567"/>
      <c r="AM80" s="567"/>
      <c r="AN80" s="567"/>
      <c r="AO80" s="567"/>
      <c r="AP80" s="567"/>
      <c r="AQ80" s="567"/>
      <c r="AR80" s="567"/>
      <c r="AS80" s="567"/>
      <c r="AT80" s="567"/>
      <c r="AU80" s="567"/>
      <c r="AV80" s="567"/>
      <c r="AW80" s="567"/>
      <c r="AX80" s="567"/>
      <c r="AY80" s="567"/>
      <c r="AZ80" s="569"/>
      <c r="BA80" s="569"/>
      <c r="BB80" s="536"/>
      <c r="BC80" s="537"/>
      <c r="BD80" s="538"/>
      <c r="BE80" s="596"/>
      <c r="BF80" s="596"/>
      <c r="BG80" s="596"/>
      <c r="BH80" s="596"/>
      <c r="BI80" s="596"/>
      <c r="BJ80" s="596"/>
      <c r="BK80" s="596"/>
      <c r="BL80" s="596"/>
      <c r="BM80" s="596"/>
      <c r="BN80" s="596"/>
      <c r="BO80" s="596"/>
      <c r="BP80" s="596"/>
      <c r="BQ80" s="596"/>
      <c r="BR80" s="596"/>
      <c r="BS80" s="596"/>
      <c r="BT80" s="596"/>
    </row>
    <row r="81" spans="1:72" ht="13.5">
      <c r="A81" s="540"/>
      <c r="B81" s="620"/>
      <c r="C81" s="621"/>
      <c r="D81" s="621"/>
      <c r="E81" s="621"/>
      <c r="F81" s="621"/>
      <c r="G81" s="621"/>
      <c r="H81" s="621"/>
      <c r="I81" s="621"/>
      <c r="J81" s="621"/>
      <c r="K81" s="621"/>
      <c r="L81" s="621"/>
      <c r="M81" s="621"/>
      <c r="N81" s="621"/>
      <c r="O81" s="621"/>
      <c r="P81" s="621"/>
      <c r="Q81" s="621"/>
      <c r="R81" s="621"/>
      <c r="S81" s="622"/>
      <c r="T81" s="622"/>
      <c r="U81" s="622"/>
      <c r="V81" s="622"/>
      <c r="W81" s="621"/>
      <c r="X81" s="621"/>
      <c r="Y81" s="622"/>
      <c r="Z81" s="623"/>
      <c r="AA81" s="621"/>
      <c r="AB81" s="621"/>
      <c r="AC81" s="621"/>
      <c r="AD81" s="622"/>
      <c r="AE81" s="622"/>
      <c r="AF81" s="622"/>
      <c r="AG81" s="622"/>
      <c r="AH81" s="622"/>
      <c r="AI81" s="622"/>
      <c r="AJ81" s="622"/>
      <c r="AK81" s="622"/>
      <c r="AL81" s="622"/>
      <c r="AM81" s="622"/>
      <c r="AN81" s="622"/>
      <c r="AO81" s="622"/>
      <c r="AP81" s="622"/>
      <c r="AQ81" s="622"/>
      <c r="AR81" s="622"/>
      <c r="AS81" s="622"/>
      <c r="AT81" s="622"/>
      <c r="AU81" s="622"/>
      <c r="AV81" s="622"/>
      <c r="AW81" s="622"/>
      <c r="AX81" s="622"/>
      <c r="AY81" s="624"/>
      <c r="AZ81" s="578"/>
      <c r="BA81" s="569"/>
      <c r="BB81" s="551"/>
      <c r="BC81" s="552"/>
      <c r="BD81" s="553"/>
      <c r="BE81" s="596"/>
      <c r="BF81" s="596"/>
      <c r="BG81" s="596"/>
      <c r="BH81" s="596"/>
      <c r="BI81" s="596"/>
      <c r="BJ81" s="596"/>
      <c r="BK81" s="596"/>
      <c r="BL81" s="596"/>
      <c r="BM81" s="596"/>
      <c r="BN81" s="596"/>
      <c r="BO81" s="596"/>
      <c r="BP81" s="596"/>
      <c r="BQ81" s="596"/>
      <c r="BR81" s="596"/>
      <c r="BS81" s="596"/>
      <c r="BT81" s="596"/>
    </row>
    <row r="82" spans="1:72" ht="15">
      <c r="A82" s="554"/>
      <c r="B82" s="599"/>
      <c r="C82" s="600"/>
      <c r="D82" s="600"/>
      <c r="E82" s="600"/>
      <c r="F82" s="600"/>
      <c r="G82" s="600"/>
      <c r="H82" s="600"/>
      <c r="I82" s="600"/>
      <c r="J82" s="600"/>
      <c r="K82" s="600"/>
      <c r="L82" s="600"/>
      <c r="M82" s="600"/>
      <c r="N82" s="600"/>
      <c r="O82" s="600"/>
      <c r="P82" s="600"/>
      <c r="Q82" s="600"/>
      <c r="R82" s="600"/>
      <c r="S82" s="601"/>
      <c r="T82" s="601"/>
      <c r="U82" s="601"/>
      <c r="V82" s="601"/>
      <c r="W82" s="600"/>
      <c r="X82" s="600"/>
      <c r="Y82" s="601"/>
      <c r="Z82" s="601"/>
      <c r="AA82" s="600"/>
      <c r="AB82" s="600"/>
      <c r="AC82" s="600"/>
      <c r="AD82" s="601"/>
      <c r="AE82" s="601"/>
      <c r="AF82" s="601"/>
      <c r="AG82" s="601"/>
      <c r="AH82" s="601"/>
      <c r="AI82" s="601"/>
      <c r="AJ82" s="601"/>
      <c r="AK82" s="601"/>
      <c r="AL82" s="601"/>
      <c r="AM82" s="601"/>
      <c r="AN82" s="601"/>
      <c r="AO82" s="601"/>
      <c r="AP82" s="601"/>
      <c r="AQ82" s="601"/>
      <c r="AR82" s="601"/>
      <c r="AS82" s="601"/>
      <c r="AT82" s="601"/>
      <c r="AU82" s="601"/>
      <c r="AV82" s="601"/>
      <c r="AW82" s="601"/>
      <c r="AX82" s="601"/>
      <c r="AY82" s="599"/>
      <c r="AZ82" s="599"/>
      <c r="BA82" s="578"/>
      <c r="BB82" s="603"/>
      <c r="BC82" s="552"/>
      <c r="BD82" s="553"/>
      <c r="BE82" s="596"/>
      <c r="BF82" s="596"/>
      <c r="BG82" s="596"/>
      <c r="BH82" s="596"/>
      <c r="BI82" s="596"/>
      <c r="BJ82" s="596"/>
      <c r="BK82" s="596"/>
      <c r="BL82" s="596"/>
      <c r="BM82" s="596"/>
      <c r="BN82" s="596"/>
      <c r="BO82" s="596"/>
      <c r="BP82" s="596"/>
      <c r="BQ82" s="596"/>
      <c r="BR82" s="596"/>
      <c r="BS82" s="596"/>
      <c r="BT82" s="596"/>
    </row>
    <row r="83" spans="1:72" ht="12.5" customHeight="1">
      <c r="A83" s="540"/>
      <c r="B83" s="634"/>
      <c r="C83" s="635"/>
      <c r="D83" s="636"/>
      <c r="E83" s="637"/>
      <c r="F83" s="637"/>
      <c r="G83" s="637"/>
      <c r="H83" s="638"/>
      <c r="I83" s="638"/>
      <c r="J83" s="817"/>
      <c r="K83" s="817"/>
      <c r="L83" s="817"/>
      <c r="M83" s="817"/>
      <c r="N83" s="639"/>
      <c r="O83" s="640"/>
      <c r="P83" s="639"/>
      <c r="Q83" s="638"/>
      <c r="R83" s="638"/>
      <c r="S83" s="638"/>
      <c r="T83" s="641"/>
      <c r="U83" s="641"/>
      <c r="V83" s="641"/>
      <c r="W83" s="641"/>
      <c r="X83" s="641"/>
      <c r="Y83" s="640"/>
      <c r="Z83" s="641"/>
      <c r="AA83" s="638"/>
      <c r="AB83" s="640"/>
      <c r="AC83" s="641"/>
      <c r="AD83" s="638"/>
      <c r="AE83" s="640"/>
      <c r="AF83" s="638"/>
      <c r="AG83" s="638"/>
      <c r="AH83" s="640"/>
      <c r="AI83" s="638"/>
      <c r="AJ83" s="638"/>
      <c r="AK83" s="642"/>
      <c r="AL83" s="638"/>
      <c r="AM83" s="638"/>
      <c r="AN83" s="638"/>
      <c r="AO83" s="638"/>
      <c r="AP83" s="638"/>
      <c r="AQ83" s="638"/>
      <c r="AR83" s="638"/>
      <c r="AS83" s="638"/>
      <c r="AT83" s="637"/>
      <c r="AU83" s="637"/>
      <c r="AV83" s="637"/>
      <c r="AW83" s="637"/>
      <c r="AX83" s="637"/>
      <c r="AY83" s="637"/>
      <c r="AZ83" s="602"/>
      <c r="BA83" s="569"/>
      <c r="BB83" s="551"/>
      <c r="BC83" s="552"/>
      <c r="BD83" s="538"/>
      <c r="BE83" s="596"/>
      <c r="BF83" s="596"/>
      <c r="BG83" s="596"/>
      <c r="BH83" s="596"/>
      <c r="BI83" s="596"/>
      <c r="BJ83" s="596"/>
      <c r="BK83" s="596"/>
      <c r="BL83" s="596"/>
      <c r="BM83" s="596"/>
      <c r="BN83" s="596"/>
      <c r="BO83" s="596"/>
      <c r="BP83" s="596"/>
      <c r="BQ83" s="596"/>
      <c r="BR83" s="596"/>
      <c r="BS83" s="596"/>
      <c r="BT83" s="596"/>
    </row>
    <row r="84" spans="1:72" ht="12.5" customHeight="1">
      <c r="A84" s="540"/>
      <c r="B84" s="567"/>
      <c r="C84" s="575"/>
      <c r="D84" s="576"/>
      <c r="E84" s="568"/>
      <c r="F84" s="568"/>
      <c r="G84" s="568"/>
      <c r="H84" s="579"/>
      <c r="I84" s="579"/>
      <c r="J84" s="792"/>
      <c r="K84" s="792"/>
      <c r="L84" s="792"/>
      <c r="M84" s="792"/>
      <c r="N84" s="582"/>
      <c r="O84" s="583"/>
      <c r="P84" s="582"/>
      <c r="Q84" s="579"/>
      <c r="R84" s="579"/>
      <c r="S84" s="579"/>
      <c r="T84" s="580"/>
      <c r="U84" s="580"/>
      <c r="V84" s="580"/>
      <c r="W84" s="580"/>
      <c r="X84" s="580"/>
      <c r="Y84" s="583"/>
      <c r="Z84" s="580"/>
      <c r="AA84" s="579"/>
      <c r="AB84" s="583"/>
      <c r="AC84" s="580"/>
      <c r="AD84" s="579"/>
      <c r="AE84" s="583"/>
      <c r="AF84" s="579"/>
      <c r="AG84" s="579"/>
      <c r="AH84" s="583"/>
      <c r="AI84" s="579"/>
      <c r="AJ84" s="579"/>
      <c r="AK84" s="584"/>
      <c r="AL84" s="579"/>
      <c r="AM84" s="579"/>
      <c r="AN84" s="579"/>
      <c r="AO84" s="579"/>
      <c r="AP84" s="579"/>
      <c r="AQ84" s="579"/>
      <c r="AR84" s="579"/>
      <c r="AS84" s="579"/>
      <c r="AT84" s="568"/>
      <c r="AU84" s="568"/>
      <c r="AV84" s="568"/>
      <c r="AW84" s="568"/>
      <c r="AX84" s="568"/>
      <c r="AY84" s="568"/>
      <c r="AZ84" s="565"/>
      <c r="BA84" s="569"/>
      <c r="BB84" s="551"/>
      <c r="BC84" s="552"/>
      <c r="BD84" s="538"/>
      <c r="BE84" s="596"/>
      <c r="BF84" s="596"/>
      <c r="BG84" s="596"/>
      <c r="BH84" s="596"/>
      <c r="BI84" s="596"/>
      <c r="BJ84" s="596"/>
      <c r="BK84" s="596"/>
      <c r="BL84" s="596"/>
      <c r="BM84" s="596"/>
      <c r="BN84" s="596"/>
      <c r="BO84" s="596"/>
      <c r="BP84" s="596"/>
      <c r="BQ84" s="596"/>
      <c r="BR84" s="596"/>
      <c r="BS84" s="596"/>
      <c r="BT84" s="596"/>
    </row>
    <row r="85" spans="1:72" ht="12.5" customHeight="1">
      <c r="A85" s="540"/>
      <c r="B85" s="567"/>
      <c r="C85" s="575"/>
      <c r="D85" s="576"/>
      <c r="E85" s="568"/>
      <c r="F85" s="568"/>
      <c r="G85" s="568"/>
      <c r="H85" s="579"/>
      <c r="I85" s="579"/>
      <c r="J85" s="792"/>
      <c r="K85" s="792"/>
      <c r="L85" s="792"/>
      <c r="M85" s="792"/>
      <c r="N85" s="582"/>
      <c r="O85" s="583"/>
      <c r="P85" s="582"/>
      <c r="Q85" s="579"/>
      <c r="R85" s="579"/>
      <c r="S85" s="579"/>
      <c r="T85" s="580"/>
      <c r="U85" s="580"/>
      <c r="V85" s="580"/>
      <c r="W85" s="580"/>
      <c r="X85" s="580"/>
      <c r="Y85" s="583"/>
      <c r="Z85" s="580"/>
      <c r="AA85" s="579"/>
      <c r="AB85" s="583"/>
      <c r="AC85" s="580"/>
      <c r="AD85" s="579"/>
      <c r="AE85" s="583"/>
      <c r="AF85" s="579"/>
      <c r="AG85" s="579"/>
      <c r="AH85" s="583"/>
      <c r="AI85" s="579"/>
      <c r="AJ85" s="579"/>
      <c r="AK85" s="584"/>
      <c r="AL85" s="579"/>
      <c r="AM85" s="579"/>
      <c r="AN85" s="579"/>
      <c r="AO85" s="579"/>
      <c r="AP85" s="579"/>
      <c r="AQ85" s="579"/>
      <c r="AR85" s="579"/>
      <c r="AS85" s="579"/>
      <c r="AT85" s="568"/>
      <c r="AU85" s="568"/>
      <c r="AV85" s="568"/>
      <c r="AW85" s="568"/>
      <c r="AX85" s="568"/>
      <c r="AY85" s="568"/>
      <c r="AZ85" s="565"/>
      <c r="BA85" s="569"/>
      <c r="BB85" s="551"/>
      <c r="BC85" s="552"/>
      <c r="BD85" s="538"/>
      <c r="BE85" s="596"/>
      <c r="BF85" s="596"/>
      <c r="BG85" s="596"/>
      <c r="BH85" s="596"/>
      <c r="BI85" s="596"/>
      <c r="BJ85" s="596"/>
      <c r="BK85" s="596"/>
      <c r="BL85" s="596"/>
      <c r="BM85" s="596"/>
      <c r="BN85" s="596"/>
      <c r="BO85" s="596"/>
      <c r="BP85" s="596"/>
      <c r="BQ85" s="596"/>
      <c r="BR85" s="596"/>
      <c r="BS85" s="596"/>
      <c r="BT85" s="596"/>
    </row>
    <row r="86" spans="1:72" ht="12.5" customHeight="1">
      <c r="A86" s="540"/>
      <c r="B86" s="567"/>
      <c r="C86" s="575"/>
      <c r="D86" s="576"/>
      <c r="E86" s="568"/>
      <c r="F86" s="568"/>
      <c r="G86" s="568"/>
      <c r="H86" s="579"/>
      <c r="I86" s="579"/>
      <c r="J86" s="792"/>
      <c r="K86" s="792"/>
      <c r="L86" s="792"/>
      <c r="M86" s="792"/>
      <c r="N86" s="582"/>
      <c r="O86" s="583"/>
      <c r="P86" s="582"/>
      <c r="Q86" s="579"/>
      <c r="R86" s="579"/>
      <c r="S86" s="579"/>
      <c r="T86" s="580"/>
      <c r="U86" s="580"/>
      <c r="V86" s="580"/>
      <c r="W86" s="580"/>
      <c r="X86" s="580"/>
      <c r="Y86" s="583"/>
      <c r="Z86" s="580"/>
      <c r="AA86" s="579"/>
      <c r="AB86" s="583"/>
      <c r="AC86" s="580"/>
      <c r="AD86" s="579"/>
      <c r="AE86" s="583"/>
      <c r="AF86" s="579"/>
      <c r="AG86" s="579"/>
      <c r="AH86" s="583"/>
      <c r="AI86" s="579"/>
      <c r="AJ86" s="579"/>
      <c r="AK86" s="584"/>
      <c r="AL86" s="579"/>
      <c r="AM86" s="579"/>
      <c r="AN86" s="579"/>
      <c r="AO86" s="579"/>
      <c r="AP86" s="579"/>
      <c r="AQ86" s="579"/>
      <c r="AR86" s="579"/>
      <c r="AS86" s="579"/>
      <c r="AT86" s="568"/>
      <c r="AU86" s="568"/>
      <c r="AV86" s="568"/>
      <c r="AW86" s="568"/>
      <c r="AX86" s="568"/>
      <c r="AY86" s="568"/>
      <c r="AZ86" s="565"/>
      <c r="BA86" s="569"/>
      <c r="BB86" s="551"/>
      <c r="BC86" s="552"/>
      <c r="BD86" s="538"/>
      <c r="BE86" s="596"/>
      <c r="BF86" s="596"/>
      <c r="BG86" s="596"/>
      <c r="BH86" s="596"/>
      <c r="BI86" s="596"/>
      <c r="BJ86" s="596"/>
      <c r="BK86" s="596"/>
      <c r="BL86" s="596"/>
      <c r="BM86" s="596"/>
      <c r="BN86" s="596"/>
      <c r="BO86" s="596"/>
      <c r="BP86" s="596"/>
      <c r="BQ86" s="596"/>
      <c r="BR86" s="596"/>
      <c r="BS86" s="596"/>
      <c r="BT86" s="596"/>
    </row>
    <row r="87" spans="1:72" ht="12.5" customHeight="1">
      <c r="A87" s="540"/>
      <c r="B87" s="567"/>
      <c r="C87" s="575"/>
      <c r="D87" s="576"/>
      <c r="E87" s="568"/>
      <c r="F87" s="568"/>
      <c r="G87" s="568"/>
      <c r="H87" s="579"/>
      <c r="I87" s="579"/>
      <c r="J87" s="792"/>
      <c r="K87" s="792"/>
      <c r="L87" s="792"/>
      <c r="M87" s="792"/>
      <c r="N87" s="582"/>
      <c r="O87" s="583"/>
      <c r="P87" s="582"/>
      <c r="Q87" s="579"/>
      <c r="R87" s="579"/>
      <c r="S87" s="579"/>
      <c r="T87" s="580"/>
      <c r="U87" s="580"/>
      <c r="V87" s="580"/>
      <c r="W87" s="580"/>
      <c r="X87" s="580"/>
      <c r="Y87" s="583"/>
      <c r="Z87" s="580"/>
      <c r="AA87" s="579"/>
      <c r="AB87" s="583"/>
      <c r="AC87" s="580"/>
      <c r="AD87" s="579"/>
      <c r="AE87" s="583"/>
      <c r="AF87" s="579"/>
      <c r="AG87" s="579"/>
      <c r="AH87" s="583"/>
      <c r="AI87" s="579"/>
      <c r="AJ87" s="579"/>
      <c r="AK87" s="584"/>
      <c r="AL87" s="579"/>
      <c r="AM87" s="579"/>
      <c r="AN87" s="579"/>
      <c r="AO87" s="579"/>
      <c r="AP87" s="579"/>
      <c r="AQ87" s="579"/>
      <c r="AR87" s="579"/>
      <c r="AS87" s="579"/>
      <c r="AT87" s="568"/>
      <c r="AU87" s="568"/>
      <c r="AV87" s="568"/>
      <c r="AW87" s="568"/>
      <c r="AX87" s="568"/>
      <c r="AY87" s="568"/>
      <c r="AZ87" s="565"/>
      <c r="BA87" s="569"/>
      <c r="BB87" s="551"/>
      <c r="BC87" s="552"/>
      <c r="BD87" s="538"/>
      <c r="BE87" s="596"/>
      <c r="BF87" s="596"/>
      <c r="BG87" s="596"/>
      <c r="BH87" s="596"/>
      <c r="BI87" s="596"/>
      <c r="BJ87" s="596"/>
      <c r="BK87" s="596"/>
      <c r="BL87" s="596"/>
      <c r="BM87" s="596"/>
      <c r="BN87" s="596"/>
      <c r="BO87" s="596"/>
      <c r="BP87" s="596"/>
      <c r="BQ87" s="596"/>
      <c r="BR87" s="596"/>
      <c r="BS87" s="596"/>
      <c r="BT87" s="596"/>
    </row>
    <row r="88" spans="1:72" ht="12.5" customHeight="1">
      <c r="A88" s="540"/>
      <c r="B88" s="567"/>
      <c r="C88" s="575"/>
      <c r="D88" s="576"/>
      <c r="E88" s="568"/>
      <c r="F88" s="568"/>
      <c r="G88" s="568"/>
      <c r="H88" s="579"/>
      <c r="I88" s="579"/>
      <c r="J88" s="792"/>
      <c r="K88" s="792"/>
      <c r="L88" s="792"/>
      <c r="M88" s="792"/>
      <c r="N88" s="582"/>
      <c r="O88" s="583"/>
      <c r="P88" s="582"/>
      <c r="Q88" s="579"/>
      <c r="R88" s="579"/>
      <c r="S88" s="579"/>
      <c r="T88" s="580"/>
      <c r="U88" s="580"/>
      <c r="V88" s="580"/>
      <c r="W88" s="580"/>
      <c r="X88" s="580"/>
      <c r="Y88" s="583"/>
      <c r="Z88" s="580"/>
      <c r="AA88" s="579"/>
      <c r="AB88" s="583"/>
      <c r="AC88" s="580"/>
      <c r="AD88" s="579"/>
      <c r="AE88" s="583"/>
      <c r="AF88" s="579"/>
      <c r="AG88" s="579"/>
      <c r="AH88" s="583"/>
      <c r="AI88" s="579"/>
      <c r="AJ88" s="579"/>
      <c r="AK88" s="584"/>
      <c r="AL88" s="579"/>
      <c r="AM88" s="579"/>
      <c r="AN88" s="579"/>
      <c r="AO88" s="579"/>
      <c r="AP88" s="579"/>
      <c r="AQ88" s="579"/>
      <c r="AR88" s="579"/>
      <c r="AS88" s="579"/>
      <c r="AT88" s="568"/>
      <c r="AU88" s="568"/>
      <c r="AV88" s="568"/>
      <c r="AW88" s="568"/>
      <c r="AX88" s="568"/>
      <c r="AY88" s="568"/>
      <c r="AZ88" s="565"/>
      <c r="BA88" s="569"/>
      <c r="BB88" s="551"/>
      <c r="BC88" s="552"/>
      <c r="BD88" s="538"/>
      <c r="BE88" s="596"/>
      <c r="BF88" s="596"/>
      <c r="BG88" s="596"/>
      <c r="BH88" s="596"/>
      <c r="BI88" s="596"/>
      <c r="BJ88" s="596"/>
      <c r="BK88" s="596"/>
      <c r="BL88" s="596"/>
      <c r="BM88" s="596"/>
      <c r="BN88" s="596"/>
      <c r="BO88" s="596"/>
      <c r="BP88" s="596"/>
      <c r="BQ88" s="596"/>
      <c r="BR88" s="596"/>
      <c r="BS88" s="596"/>
      <c r="BT88" s="596"/>
    </row>
    <row r="89" spans="1:72" ht="12.5" customHeight="1">
      <c r="A89" s="540"/>
      <c r="B89" s="567"/>
      <c r="C89" s="575"/>
      <c r="D89" s="576"/>
      <c r="E89" s="568"/>
      <c r="F89" s="568"/>
      <c r="G89" s="568"/>
      <c r="H89" s="579"/>
      <c r="I89" s="579"/>
      <c r="J89" s="792"/>
      <c r="K89" s="792"/>
      <c r="L89" s="792"/>
      <c r="M89" s="792"/>
      <c r="N89" s="582"/>
      <c r="O89" s="583"/>
      <c r="P89" s="582"/>
      <c r="Q89" s="579"/>
      <c r="R89" s="579"/>
      <c r="S89" s="579"/>
      <c r="T89" s="580"/>
      <c r="U89" s="580"/>
      <c r="V89" s="580"/>
      <c r="W89" s="580"/>
      <c r="X89" s="580"/>
      <c r="Y89" s="583"/>
      <c r="Z89" s="580"/>
      <c r="AA89" s="579"/>
      <c r="AB89" s="583"/>
      <c r="AC89" s="580"/>
      <c r="AD89" s="579"/>
      <c r="AE89" s="583"/>
      <c r="AF89" s="579"/>
      <c r="AG89" s="579"/>
      <c r="AH89" s="583"/>
      <c r="AI89" s="579"/>
      <c r="AJ89" s="579"/>
      <c r="AK89" s="584"/>
      <c r="AL89" s="579"/>
      <c r="AM89" s="579"/>
      <c r="AN89" s="579"/>
      <c r="AO89" s="579"/>
      <c r="AP89" s="579"/>
      <c r="AQ89" s="579"/>
      <c r="AR89" s="579"/>
      <c r="AS89" s="579"/>
      <c r="AT89" s="568"/>
      <c r="AU89" s="568"/>
      <c r="AV89" s="568"/>
      <c r="AW89" s="568"/>
      <c r="AX89" s="568"/>
      <c r="AY89" s="568"/>
      <c r="AZ89" s="565"/>
      <c r="BA89" s="569"/>
      <c r="BB89" s="551"/>
      <c r="BC89" s="552"/>
      <c r="BD89" s="538"/>
      <c r="BE89" s="596"/>
      <c r="BF89" s="596"/>
      <c r="BG89" s="596"/>
      <c r="BH89" s="596"/>
      <c r="BI89" s="596"/>
      <c r="BJ89" s="596"/>
      <c r="BK89" s="596"/>
      <c r="BL89" s="596"/>
      <c r="BM89" s="596"/>
      <c r="BN89" s="596"/>
      <c r="BO89" s="596"/>
      <c r="BP89" s="596"/>
      <c r="BQ89" s="596"/>
      <c r="BR89" s="596"/>
      <c r="BS89" s="596"/>
      <c r="BT89" s="596"/>
    </row>
    <row r="90" spans="1:72" ht="12.5" customHeight="1">
      <c r="A90" s="540"/>
      <c r="B90" s="567"/>
      <c r="C90" s="575"/>
      <c r="D90" s="576"/>
      <c r="E90" s="568"/>
      <c r="F90" s="568"/>
      <c r="G90" s="568"/>
      <c r="H90" s="579"/>
      <c r="I90" s="579"/>
      <c r="J90" s="792"/>
      <c r="K90" s="792"/>
      <c r="L90" s="792"/>
      <c r="M90" s="792"/>
      <c r="N90" s="582"/>
      <c r="O90" s="583"/>
      <c r="P90" s="582"/>
      <c r="Q90" s="579"/>
      <c r="R90" s="579"/>
      <c r="S90" s="579"/>
      <c r="T90" s="580"/>
      <c r="U90" s="580"/>
      <c r="V90" s="580"/>
      <c r="W90" s="580"/>
      <c r="X90" s="580"/>
      <c r="Y90" s="583"/>
      <c r="Z90" s="580"/>
      <c r="AA90" s="579"/>
      <c r="AB90" s="583"/>
      <c r="AC90" s="580"/>
      <c r="AD90" s="579"/>
      <c r="AE90" s="583"/>
      <c r="AF90" s="579"/>
      <c r="AG90" s="579"/>
      <c r="AH90" s="583"/>
      <c r="AI90" s="579"/>
      <c r="AJ90" s="579"/>
      <c r="AK90" s="584"/>
      <c r="AL90" s="579"/>
      <c r="AM90" s="579"/>
      <c r="AN90" s="579"/>
      <c r="AO90" s="579"/>
      <c r="AP90" s="579"/>
      <c r="AQ90" s="579"/>
      <c r="AR90" s="579"/>
      <c r="AS90" s="579"/>
      <c r="AT90" s="568"/>
      <c r="AU90" s="568"/>
      <c r="AV90" s="568"/>
      <c r="AW90" s="568"/>
      <c r="AX90" s="568"/>
      <c r="AY90" s="568"/>
      <c r="AZ90" s="565"/>
      <c r="BA90" s="569"/>
      <c r="BB90" s="551"/>
      <c r="BC90" s="552"/>
      <c r="BD90" s="538"/>
      <c r="BE90" s="596"/>
      <c r="BF90" s="596"/>
      <c r="BG90" s="596"/>
      <c r="BH90" s="596"/>
      <c r="BI90" s="596"/>
      <c r="BJ90" s="596"/>
      <c r="BK90" s="596"/>
      <c r="BL90" s="596"/>
      <c r="BM90" s="596"/>
      <c r="BN90" s="596"/>
      <c r="BO90" s="596"/>
      <c r="BP90" s="596"/>
      <c r="BQ90" s="596"/>
      <c r="BR90" s="596"/>
      <c r="BS90" s="596"/>
      <c r="BT90" s="596"/>
    </row>
    <row r="91" spans="1:72" ht="12.5" customHeight="1">
      <c r="A91" s="540"/>
      <c r="B91" s="567"/>
      <c r="C91" s="575"/>
      <c r="D91" s="576"/>
      <c r="E91" s="568"/>
      <c r="F91" s="568"/>
      <c r="G91" s="568"/>
      <c r="H91" s="579"/>
      <c r="I91" s="579"/>
      <c r="J91" s="792"/>
      <c r="K91" s="792"/>
      <c r="L91" s="792"/>
      <c r="M91" s="792"/>
      <c r="N91" s="582"/>
      <c r="O91" s="583"/>
      <c r="P91" s="582"/>
      <c r="Q91" s="579"/>
      <c r="R91" s="579"/>
      <c r="S91" s="579"/>
      <c r="T91" s="580"/>
      <c r="U91" s="580"/>
      <c r="V91" s="580"/>
      <c r="W91" s="580"/>
      <c r="X91" s="580"/>
      <c r="Y91" s="583"/>
      <c r="Z91" s="580"/>
      <c r="AA91" s="579"/>
      <c r="AB91" s="583"/>
      <c r="AC91" s="580"/>
      <c r="AD91" s="579"/>
      <c r="AE91" s="583"/>
      <c r="AF91" s="579"/>
      <c r="AG91" s="579"/>
      <c r="AH91" s="583"/>
      <c r="AI91" s="579"/>
      <c r="AJ91" s="579"/>
      <c r="AK91" s="584"/>
      <c r="AL91" s="579"/>
      <c r="AM91" s="579"/>
      <c r="AN91" s="579"/>
      <c r="AO91" s="579"/>
      <c r="AP91" s="579"/>
      <c r="AQ91" s="579"/>
      <c r="AR91" s="579"/>
      <c r="AS91" s="579"/>
      <c r="AT91" s="568"/>
      <c r="AU91" s="568"/>
      <c r="AV91" s="568"/>
      <c r="AW91" s="568"/>
      <c r="AX91" s="568"/>
      <c r="AY91" s="568"/>
      <c r="AZ91" s="565"/>
      <c r="BA91" s="569"/>
      <c r="BB91" s="551"/>
      <c r="BC91" s="552"/>
      <c r="BD91" s="538"/>
      <c r="BE91" s="596"/>
      <c r="BF91" s="596"/>
      <c r="BG91" s="596"/>
      <c r="BH91" s="596"/>
      <c r="BI91" s="596"/>
      <c r="BJ91" s="596"/>
      <c r="BK91" s="596"/>
      <c r="BL91" s="596"/>
      <c r="BM91" s="596"/>
      <c r="BN91" s="596"/>
      <c r="BO91" s="596"/>
      <c r="BP91" s="596"/>
      <c r="BQ91" s="596"/>
      <c r="BR91" s="596"/>
      <c r="BS91" s="596"/>
      <c r="BT91" s="596"/>
    </row>
    <row r="92" spans="1:72" ht="12.5" customHeight="1">
      <c r="A92" s="540"/>
      <c r="B92" s="567"/>
      <c r="C92" s="575"/>
      <c r="D92" s="576"/>
      <c r="E92" s="568"/>
      <c r="F92" s="568"/>
      <c r="G92" s="568"/>
      <c r="H92" s="579"/>
      <c r="I92" s="579"/>
      <c r="J92" s="792"/>
      <c r="K92" s="792"/>
      <c r="L92" s="792"/>
      <c r="M92" s="792"/>
      <c r="N92" s="582"/>
      <c r="O92" s="583"/>
      <c r="P92" s="582"/>
      <c r="Q92" s="579"/>
      <c r="R92" s="579"/>
      <c r="S92" s="579"/>
      <c r="T92" s="580"/>
      <c r="U92" s="580"/>
      <c r="V92" s="580"/>
      <c r="W92" s="580"/>
      <c r="X92" s="580"/>
      <c r="Y92" s="583"/>
      <c r="Z92" s="580"/>
      <c r="AA92" s="579"/>
      <c r="AB92" s="583"/>
      <c r="AC92" s="580"/>
      <c r="AD92" s="579"/>
      <c r="AE92" s="583"/>
      <c r="AF92" s="579"/>
      <c r="AG92" s="579"/>
      <c r="AH92" s="583"/>
      <c r="AI92" s="579"/>
      <c r="AJ92" s="579"/>
      <c r="AK92" s="584"/>
      <c r="AL92" s="579"/>
      <c r="AM92" s="579"/>
      <c r="AN92" s="579"/>
      <c r="AO92" s="579"/>
      <c r="AP92" s="579"/>
      <c r="AQ92" s="579"/>
      <c r="AR92" s="579"/>
      <c r="AS92" s="579"/>
      <c r="AT92" s="568"/>
      <c r="AU92" s="568"/>
      <c r="AV92" s="568"/>
      <c r="AW92" s="568"/>
      <c r="AX92" s="568"/>
      <c r="AY92" s="568"/>
      <c r="AZ92" s="565"/>
      <c r="BA92" s="569"/>
      <c r="BB92" s="551"/>
      <c r="BC92" s="552"/>
      <c r="BD92" s="538"/>
      <c r="BE92" s="596"/>
      <c r="BF92" s="596"/>
      <c r="BG92" s="596"/>
      <c r="BH92" s="596"/>
      <c r="BI92" s="596"/>
      <c r="BJ92" s="596"/>
      <c r="BK92" s="596"/>
      <c r="BL92" s="596"/>
      <c r="BM92" s="596"/>
      <c r="BN92" s="596"/>
      <c r="BO92" s="596"/>
      <c r="BP92" s="596"/>
      <c r="BQ92" s="596"/>
      <c r="BR92" s="596"/>
      <c r="BS92" s="596"/>
      <c r="BT92" s="596"/>
    </row>
    <row r="93" spans="1:72" ht="12.5" customHeight="1">
      <c r="A93" s="540"/>
      <c r="B93" s="567"/>
      <c r="C93" s="575"/>
      <c r="D93" s="576"/>
      <c r="E93" s="568"/>
      <c r="F93" s="568"/>
      <c r="G93" s="568"/>
      <c r="H93" s="579"/>
      <c r="I93" s="579"/>
      <c r="J93" s="792"/>
      <c r="K93" s="792"/>
      <c r="L93" s="792"/>
      <c r="M93" s="792"/>
      <c r="N93" s="582"/>
      <c r="O93" s="583"/>
      <c r="P93" s="582"/>
      <c r="Q93" s="579"/>
      <c r="R93" s="579"/>
      <c r="S93" s="579"/>
      <c r="T93" s="580"/>
      <c r="U93" s="580"/>
      <c r="V93" s="580"/>
      <c r="W93" s="580"/>
      <c r="X93" s="580"/>
      <c r="Y93" s="583"/>
      <c r="Z93" s="580"/>
      <c r="AA93" s="579"/>
      <c r="AB93" s="583"/>
      <c r="AC93" s="580"/>
      <c r="AD93" s="579"/>
      <c r="AE93" s="583"/>
      <c r="AF93" s="579"/>
      <c r="AG93" s="579"/>
      <c r="AH93" s="583"/>
      <c r="AI93" s="579"/>
      <c r="AJ93" s="579"/>
      <c r="AK93" s="584"/>
      <c r="AL93" s="579"/>
      <c r="AM93" s="579"/>
      <c r="AN93" s="579"/>
      <c r="AO93" s="579"/>
      <c r="AP93" s="579"/>
      <c r="AQ93" s="579"/>
      <c r="AR93" s="579"/>
      <c r="AS93" s="579"/>
      <c r="AT93" s="568"/>
      <c r="AU93" s="568"/>
      <c r="AV93" s="568"/>
      <c r="AW93" s="568"/>
      <c r="AX93" s="568"/>
      <c r="AY93" s="568"/>
      <c r="AZ93" s="565"/>
      <c r="BA93" s="569"/>
      <c r="BB93" s="551"/>
      <c r="BC93" s="552"/>
      <c r="BD93" s="538"/>
      <c r="BE93" s="596"/>
      <c r="BF93" s="596"/>
      <c r="BG93" s="596"/>
      <c r="BH93" s="596"/>
      <c r="BI93" s="596"/>
      <c r="BJ93" s="596"/>
      <c r="BK93" s="596"/>
      <c r="BL93" s="596"/>
      <c r="BM93" s="596"/>
      <c r="BN93" s="596"/>
      <c r="BO93" s="596"/>
      <c r="BP93" s="596"/>
      <c r="BQ93" s="596"/>
      <c r="BR93" s="596"/>
      <c r="BS93" s="596"/>
      <c r="BT93" s="596"/>
    </row>
    <row r="94" spans="1:72" ht="12.5" customHeight="1">
      <c r="A94" s="540"/>
      <c r="B94" s="567"/>
      <c r="C94" s="575"/>
      <c r="D94" s="576"/>
      <c r="E94" s="568"/>
      <c r="F94" s="568"/>
      <c r="G94" s="568"/>
      <c r="H94" s="579"/>
      <c r="I94" s="579"/>
      <c r="J94" s="792"/>
      <c r="K94" s="792"/>
      <c r="L94" s="792"/>
      <c r="M94" s="792"/>
      <c r="N94" s="582"/>
      <c r="O94" s="583"/>
      <c r="P94" s="582"/>
      <c r="Q94" s="579"/>
      <c r="R94" s="579"/>
      <c r="S94" s="579"/>
      <c r="T94" s="580"/>
      <c r="U94" s="580"/>
      <c r="V94" s="580"/>
      <c r="W94" s="580"/>
      <c r="X94" s="580"/>
      <c r="Y94" s="583"/>
      <c r="Z94" s="580"/>
      <c r="AA94" s="579"/>
      <c r="AB94" s="583"/>
      <c r="AC94" s="580"/>
      <c r="AD94" s="579"/>
      <c r="AE94" s="583"/>
      <c r="AF94" s="579"/>
      <c r="AG94" s="579"/>
      <c r="AH94" s="583"/>
      <c r="AI94" s="579"/>
      <c r="AJ94" s="579"/>
      <c r="AK94" s="584"/>
      <c r="AL94" s="579"/>
      <c r="AM94" s="579"/>
      <c r="AN94" s="579"/>
      <c r="AO94" s="579"/>
      <c r="AP94" s="579"/>
      <c r="AQ94" s="579"/>
      <c r="AR94" s="579"/>
      <c r="AS94" s="579"/>
      <c r="AT94" s="568"/>
      <c r="AU94" s="568"/>
      <c r="AV94" s="568"/>
      <c r="AW94" s="568"/>
      <c r="AX94" s="568"/>
      <c r="AY94" s="568"/>
      <c r="AZ94" s="565"/>
      <c r="BA94" s="569"/>
      <c r="BB94" s="551"/>
      <c r="BC94" s="552"/>
      <c r="BD94" s="538"/>
      <c r="BE94" s="596"/>
      <c r="BF94" s="596"/>
      <c r="BG94" s="596"/>
      <c r="BH94" s="596"/>
      <c r="BI94" s="596"/>
      <c r="BJ94" s="596"/>
      <c r="BK94" s="596"/>
      <c r="BL94" s="596"/>
      <c r="BM94" s="596"/>
      <c r="BN94" s="596"/>
      <c r="BO94" s="596"/>
      <c r="BP94" s="596"/>
      <c r="BQ94" s="596"/>
      <c r="BR94" s="596"/>
      <c r="BS94" s="596"/>
      <c r="BT94" s="596"/>
    </row>
    <row r="95" spans="1:72" ht="12.5" customHeight="1">
      <c r="A95" s="540"/>
      <c r="B95" s="567"/>
      <c r="C95" s="575"/>
      <c r="D95" s="576"/>
      <c r="E95" s="568"/>
      <c r="F95" s="568"/>
      <c r="G95" s="568"/>
      <c r="H95" s="579"/>
      <c r="I95" s="579"/>
      <c r="J95" s="792"/>
      <c r="K95" s="792"/>
      <c r="L95" s="792"/>
      <c r="M95" s="792"/>
      <c r="N95" s="582"/>
      <c r="O95" s="583"/>
      <c r="P95" s="582"/>
      <c r="Q95" s="579"/>
      <c r="R95" s="579"/>
      <c r="S95" s="579"/>
      <c r="T95" s="580"/>
      <c r="U95" s="580"/>
      <c r="V95" s="580"/>
      <c r="W95" s="580"/>
      <c r="X95" s="580"/>
      <c r="Y95" s="583"/>
      <c r="Z95" s="580"/>
      <c r="AA95" s="579"/>
      <c r="AB95" s="583"/>
      <c r="AC95" s="580"/>
      <c r="AD95" s="579"/>
      <c r="AE95" s="583"/>
      <c r="AF95" s="579"/>
      <c r="AG95" s="579"/>
      <c r="AH95" s="583"/>
      <c r="AI95" s="579"/>
      <c r="AJ95" s="579"/>
      <c r="AK95" s="584"/>
      <c r="AL95" s="579"/>
      <c r="AM95" s="579"/>
      <c r="AN95" s="579"/>
      <c r="AO95" s="579"/>
      <c r="AP95" s="579"/>
      <c r="AQ95" s="579"/>
      <c r="AR95" s="579"/>
      <c r="AS95" s="579"/>
      <c r="AT95" s="568"/>
      <c r="AU95" s="568"/>
      <c r="AV95" s="568"/>
      <c r="AW95" s="568"/>
      <c r="AX95" s="568"/>
      <c r="AY95" s="568"/>
      <c r="AZ95" s="565"/>
      <c r="BA95" s="569"/>
      <c r="BB95" s="551"/>
      <c r="BC95" s="552"/>
      <c r="BD95" s="538"/>
      <c r="BE95" s="596"/>
      <c r="BF95" s="596"/>
      <c r="BG95" s="596"/>
      <c r="BH95" s="596"/>
      <c r="BI95" s="596"/>
      <c r="BJ95" s="596"/>
      <c r="BK95" s="596"/>
      <c r="BL95" s="596"/>
      <c r="BM95" s="596"/>
      <c r="BN95" s="596"/>
      <c r="BO95" s="596"/>
      <c r="BP95" s="596"/>
      <c r="BQ95" s="596"/>
      <c r="BR95" s="596"/>
      <c r="BS95" s="596"/>
      <c r="BT95" s="596"/>
    </row>
    <row r="96" spans="1:72" ht="12.5" customHeight="1">
      <c r="A96" s="540"/>
      <c r="B96" s="567"/>
      <c r="C96" s="575"/>
      <c r="D96" s="576"/>
      <c r="E96" s="568"/>
      <c r="F96" s="568"/>
      <c r="G96" s="568"/>
      <c r="H96" s="579"/>
      <c r="I96" s="579"/>
      <c r="J96" s="792"/>
      <c r="K96" s="792"/>
      <c r="L96" s="792"/>
      <c r="M96" s="792"/>
      <c r="N96" s="582"/>
      <c r="O96" s="583"/>
      <c r="P96" s="582"/>
      <c r="Q96" s="579"/>
      <c r="R96" s="579"/>
      <c r="S96" s="579"/>
      <c r="T96" s="580"/>
      <c r="U96" s="580"/>
      <c r="V96" s="580"/>
      <c r="W96" s="580"/>
      <c r="X96" s="580"/>
      <c r="Y96" s="583"/>
      <c r="Z96" s="580"/>
      <c r="AA96" s="579"/>
      <c r="AB96" s="583"/>
      <c r="AC96" s="580"/>
      <c r="AD96" s="579"/>
      <c r="AE96" s="583"/>
      <c r="AF96" s="579"/>
      <c r="AG96" s="579"/>
      <c r="AH96" s="583"/>
      <c r="AI96" s="579"/>
      <c r="AJ96" s="579"/>
      <c r="AK96" s="584"/>
      <c r="AL96" s="579"/>
      <c r="AM96" s="579"/>
      <c r="AN96" s="579"/>
      <c r="AO96" s="579"/>
      <c r="AP96" s="579"/>
      <c r="AQ96" s="579"/>
      <c r="AR96" s="579"/>
      <c r="AS96" s="579"/>
      <c r="AT96" s="568"/>
      <c r="AU96" s="568"/>
      <c r="AV96" s="568"/>
      <c r="AW96" s="568"/>
      <c r="AX96" s="568"/>
      <c r="AY96" s="568"/>
      <c r="AZ96" s="565"/>
      <c r="BA96" s="569"/>
      <c r="BB96" s="551"/>
      <c r="BC96" s="552"/>
      <c r="BD96" s="538"/>
      <c r="BE96" s="596"/>
      <c r="BF96" s="596"/>
      <c r="BG96" s="596"/>
      <c r="BH96" s="596"/>
      <c r="BI96" s="596"/>
      <c r="BJ96" s="596"/>
      <c r="BK96" s="596"/>
      <c r="BL96" s="596"/>
      <c r="BM96" s="596"/>
      <c r="BN96" s="596"/>
      <c r="BO96" s="596"/>
      <c r="BP96" s="596"/>
      <c r="BQ96" s="596"/>
      <c r="BR96" s="596"/>
      <c r="BS96" s="596"/>
      <c r="BT96" s="596"/>
    </row>
    <row r="97" spans="1:72" ht="12.5" customHeight="1">
      <c r="A97" s="540"/>
      <c r="B97" s="567"/>
      <c r="C97" s="575"/>
      <c r="D97" s="576"/>
      <c r="E97" s="568"/>
      <c r="F97" s="568"/>
      <c r="G97" s="568"/>
      <c r="H97" s="579"/>
      <c r="I97" s="579"/>
      <c r="J97" s="792"/>
      <c r="K97" s="792"/>
      <c r="L97" s="792"/>
      <c r="M97" s="792"/>
      <c r="N97" s="582"/>
      <c r="O97" s="583"/>
      <c r="P97" s="582"/>
      <c r="Q97" s="579"/>
      <c r="R97" s="579"/>
      <c r="S97" s="579"/>
      <c r="T97" s="580"/>
      <c r="U97" s="580"/>
      <c r="V97" s="580"/>
      <c r="W97" s="580"/>
      <c r="X97" s="580"/>
      <c r="Y97" s="583"/>
      <c r="Z97" s="580"/>
      <c r="AA97" s="579"/>
      <c r="AB97" s="583"/>
      <c r="AC97" s="580"/>
      <c r="AD97" s="579"/>
      <c r="AE97" s="583"/>
      <c r="AF97" s="579"/>
      <c r="AG97" s="579"/>
      <c r="AH97" s="583"/>
      <c r="AI97" s="579"/>
      <c r="AJ97" s="579"/>
      <c r="AK97" s="584"/>
      <c r="AL97" s="579"/>
      <c r="AM97" s="579"/>
      <c r="AN97" s="579"/>
      <c r="AO97" s="579"/>
      <c r="AP97" s="579"/>
      <c r="AQ97" s="579"/>
      <c r="AR97" s="579"/>
      <c r="AS97" s="579"/>
      <c r="AT97" s="568"/>
      <c r="AU97" s="568"/>
      <c r="AV97" s="568"/>
      <c r="AW97" s="568"/>
      <c r="AX97" s="568"/>
      <c r="AY97" s="568"/>
      <c r="AZ97" s="565"/>
      <c r="BA97" s="569"/>
      <c r="BB97" s="551"/>
      <c r="BC97" s="552"/>
      <c r="BD97" s="538"/>
      <c r="BE97" s="596"/>
      <c r="BF97" s="596"/>
      <c r="BG97" s="596"/>
      <c r="BH97" s="596"/>
      <c r="BI97" s="596"/>
      <c r="BJ97" s="596"/>
      <c r="BK97" s="596"/>
      <c r="BL97" s="596"/>
      <c r="BM97" s="596"/>
      <c r="BN97" s="596"/>
      <c r="BO97" s="596"/>
      <c r="BP97" s="596"/>
      <c r="BQ97" s="596"/>
      <c r="BR97" s="596"/>
      <c r="BS97" s="596"/>
      <c r="BT97" s="596"/>
    </row>
    <row r="98" spans="1:72" ht="12.5" customHeight="1">
      <c r="A98" s="540"/>
      <c r="B98" s="567"/>
      <c r="C98" s="575"/>
      <c r="D98" s="576"/>
      <c r="E98" s="568"/>
      <c r="F98" s="568"/>
      <c r="G98" s="568"/>
      <c r="H98" s="579"/>
      <c r="I98" s="579"/>
      <c r="J98" s="792"/>
      <c r="K98" s="792"/>
      <c r="L98" s="792"/>
      <c r="M98" s="792"/>
      <c r="N98" s="582"/>
      <c r="O98" s="583"/>
      <c r="P98" s="582"/>
      <c r="Q98" s="579"/>
      <c r="R98" s="579"/>
      <c r="S98" s="579"/>
      <c r="T98" s="580"/>
      <c r="U98" s="580"/>
      <c r="V98" s="580"/>
      <c r="W98" s="580"/>
      <c r="X98" s="580"/>
      <c r="Y98" s="583"/>
      <c r="Z98" s="580"/>
      <c r="AA98" s="579"/>
      <c r="AB98" s="583"/>
      <c r="AC98" s="580"/>
      <c r="AD98" s="579"/>
      <c r="AE98" s="583"/>
      <c r="AF98" s="579"/>
      <c r="AG98" s="579"/>
      <c r="AH98" s="583"/>
      <c r="AI98" s="579"/>
      <c r="AJ98" s="579"/>
      <c r="AK98" s="584"/>
      <c r="AL98" s="579"/>
      <c r="AM98" s="579"/>
      <c r="AN98" s="579"/>
      <c r="AO98" s="579"/>
      <c r="AP98" s="579"/>
      <c r="AQ98" s="579"/>
      <c r="AR98" s="579"/>
      <c r="AS98" s="579"/>
      <c r="AT98" s="568"/>
      <c r="AU98" s="568"/>
      <c r="AV98" s="568"/>
      <c r="AW98" s="568"/>
      <c r="AX98" s="568"/>
      <c r="AY98" s="568"/>
      <c r="AZ98" s="565"/>
      <c r="BA98" s="569"/>
      <c r="BB98" s="551"/>
      <c r="BC98" s="552"/>
      <c r="BD98" s="538"/>
      <c r="BE98" s="596"/>
      <c r="BF98" s="596"/>
      <c r="BG98" s="596"/>
      <c r="BH98" s="596"/>
      <c r="BI98" s="596"/>
      <c r="BJ98" s="596"/>
      <c r="BK98" s="596"/>
      <c r="BL98" s="596"/>
      <c r="BM98" s="596"/>
      <c r="BN98" s="596"/>
      <c r="BO98" s="596"/>
      <c r="BP98" s="596"/>
      <c r="BQ98" s="596"/>
      <c r="BR98" s="596"/>
      <c r="BS98" s="596"/>
      <c r="BT98" s="596"/>
    </row>
    <row r="99" spans="1:72" ht="12.5" customHeight="1">
      <c r="A99" s="540"/>
      <c r="B99" s="567"/>
      <c r="C99" s="575"/>
      <c r="D99" s="576"/>
      <c r="E99" s="568"/>
      <c r="F99" s="568"/>
      <c r="G99" s="568"/>
      <c r="H99" s="579"/>
      <c r="I99" s="579"/>
      <c r="J99" s="792"/>
      <c r="K99" s="792"/>
      <c r="L99" s="792"/>
      <c r="M99" s="792"/>
      <c r="N99" s="582"/>
      <c r="O99" s="583"/>
      <c r="P99" s="582"/>
      <c r="Q99" s="579"/>
      <c r="R99" s="579"/>
      <c r="S99" s="579"/>
      <c r="T99" s="580"/>
      <c r="U99" s="580"/>
      <c r="V99" s="580"/>
      <c r="W99" s="580"/>
      <c r="X99" s="580"/>
      <c r="Y99" s="583"/>
      <c r="Z99" s="580"/>
      <c r="AA99" s="579"/>
      <c r="AB99" s="583"/>
      <c r="AC99" s="580"/>
      <c r="AD99" s="579"/>
      <c r="AE99" s="583"/>
      <c r="AF99" s="579"/>
      <c r="AG99" s="579"/>
      <c r="AH99" s="583"/>
      <c r="AI99" s="579"/>
      <c r="AJ99" s="579"/>
      <c r="AK99" s="584"/>
      <c r="AL99" s="579"/>
      <c r="AM99" s="579"/>
      <c r="AN99" s="579"/>
      <c r="AO99" s="579"/>
      <c r="AP99" s="579"/>
      <c r="AQ99" s="579"/>
      <c r="AR99" s="579"/>
      <c r="AS99" s="579"/>
      <c r="AT99" s="568"/>
      <c r="AU99" s="568"/>
      <c r="AV99" s="568"/>
      <c r="AW99" s="568"/>
      <c r="AX99" s="568"/>
      <c r="AY99" s="568"/>
      <c r="AZ99" s="565"/>
      <c r="BA99" s="569"/>
      <c r="BB99" s="551"/>
      <c r="BC99" s="552"/>
      <c r="BD99" s="538"/>
      <c r="BE99" s="596"/>
      <c r="BF99" s="596"/>
      <c r="BG99" s="596"/>
      <c r="BH99" s="596"/>
      <c r="BI99" s="596"/>
      <c r="BJ99" s="596"/>
      <c r="BK99" s="596"/>
      <c r="BL99" s="596"/>
      <c r="BM99" s="596"/>
      <c r="BN99" s="596"/>
      <c r="BO99" s="596"/>
      <c r="BP99" s="596"/>
      <c r="BQ99" s="596"/>
      <c r="BR99" s="596"/>
      <c r="BS99" s="596"/>
      <c r="BT99" s="596"/>
    </row>
    <row r="100" spans="1:72" ht="12.5" customHeight="1">
      <c r="A100" s="540"/>
      <c r="B100" s="567"/>
      <c r="C100" s="575"/>
      <c r="D100" s="576"/>
      <c r="E100" s="568"/>
      <c r="F100" s="568"/>
      <c r="G100" s="568"/>
      <c r="H100" s="579"/>
      <c r="I100" s="579"/>
      <c r="J100" s="792"/>
      <c r="K100" s="792"/>
      <c r="L100" s="792"/>
      <c r="M100" s="792"/>
      <c r="N100" s="582"/>
      <c r="O100" s="583"/>
      <c r="P100" s="582"/>
      <c r="Q100" s="579"/>
      <c r="R100" s="579"/>
      <c r="S100" s="579"/>
      <c r="T100" s="580"/>
      <c r="U100" s="580"/>
      <c r="V100" s="580"/>
      <c r="W100" s="580"/>
      <c r="X100" s="580"/>
      <c r="Y100" s="583"/>
      <c r="Z100" s="580"/>
      <c r="AA100" s="579"/>
      <c r="AB100" s="583"/>
      <c r="AC100" s="580"/>
      <c r="AD100" s="579"/>
      <c r="AE100" s="583"/>
      <c r="AF100" s="579"/>
      <c r="AG100" s="579"/>
      <c r="AH100" s="583"/>
      <c r="AI100" s="579"/>
      <c r="AJ100" s="579"/>
      <c r="AK100" s="584"/>
      <c r="AL100" s="579"/>
      <c r="AM100" s="579"/>
      <c r="AN100" s="579"/>
      <c r="AO100" s="579"/>
      <c r="AP100" s="579"/>
      <c r="AQ100" s="579"/>
      <c r="AR100" s="579"/>
      <c r="AS100" s="579"/>
      <c r="AT100" s="568"/>
      <c r="AU100" s="568"/>
      <c r="AV100" s="568"/>
      <c r="AW100" s="568"/>
      <c r="AX100" s="568"/>
      <c r="AY100" s="568"/>
      <c r="AZ100" s="565"/>
      <c r="BA100" s="569"/>
      <c r="BB100" s="551"/>
      <c r="BC100" s="552"/>
      <c r="BD100" s="538"/>
      <c r="BE100" s="596"/>
      <c r="BF100" s="596"/>
      <c r="BG100" s="596"/>
      <c r="BH100" s="596"/>
      <c r="BI100" s="596"/>
      <c r="BJ100" s="596"/>
      <c r="BK100" s="596"/>
      <c r="BL100" s="596"/>
      <c r="BM100" s="596"/>
      <c r="BN100" s="596"/>
      <c r="BO100" s="596"/>
      <c r="BP100" s="596"/>
      <c r="BQ100" s="596"/>
      <c r="BR100" s="596"/>
      <c r="BS100" s="596"/>
      <c r="BT100" s="596"/>
    </row>
    <row r="101" spans="1:72" ht="12.5" customHeight="1">
      <c r="A101" s="540"/>
      <c r="B101" s="567"/>
      <c r="C101" s="575"/>
      <c r="D101" s="576"/>
      <c r="E101" s="568"/>
      <c r="F101" s="568"/>
      <c r="G101" s="568"/>
      <c r="H101" s="579"/>
      <c r="I101" s="579"/>
      <c r="J101" s="792"/>
      <c r="K101" s="792"/>
      <c r="L101" s="792"/>
      <c r="M101" s="792"/>
      <c r="N101" s="582"/>
      <c r="O101" s="583"/>
      <c r="P101" s="582"/>
      <c r="Q101" s="579"/>
      <c r="R101" s="579"/>
      <c r="S101" s="579"/>
      <c r="T101" s="580"/>
      <c r="U101" s="580"/>
      <c r="V101" s="580"/>
      <c r="W101" s="580"/>
      <c r="X101" s="580"/>
      <c r="Y101" s="583"/>
      <c r="Z101" s="580"/>
      <c r="AA101" s="579"/>
      <c r="AB101" s="583"/>
      <c r="AC101" s="580"/>
      <c r="AD101" s="579"/>
      <c r="AE101" s="583"/>
      <c r="AF101" s="579"/>
      <c r="AG101" s="579"/>
      <c r="AH101" s="583"/>
      <c r="AI101" s="579"/>
      <c r="AJ101" s="579"/>
      <c r="AK101" s="584"/>
      <c r="AL101" s="579"/>
      <c r="AM101" s="579"/>
      <c r="AN101" s="579"/>
      <c r="AO101" s="579"/>
      <c r="AP101" s="579"/>
      <c r="AQ101" s="579"/>
      <c r="AR101" s="579"/>
      <c r="AS101" s="579"/>
      <c r="AT101" s="568"/>
      <c r="AU101" s="568"/>
      <c r="AV101" s="568"/>
      <c r="AW101" s="568"/>
      <c r="AX101" s="568"/>
      <c r="AY101" s="568"/>
      <c r="AZ101" s="565"/>
      <c r="BA101" s="569"/>
      <c r="BB101" s="551"/>
      <c r="BC101" s="552"/>
      <c r="BD101" s="538"/>
      <c r="BE101" s="596"/>
      <c r="BF101" s="596"/>
      <c r="BG101" s="596"/>
      <c r="BH101" s="596"/>
      <c r="BI101" s="596"/>
      <c r="BJ101" s="596"/>
      <c r="BK101" s="596"/>
      <c r="BL101" s="596"/>
      <c r="BM101" s="596"/>
      <c r="BN101" s="596"/>
      <c r="BO101" s="596"/>
      <c r="BP101" s="596"/>
      <c r="BQ101" s="596"/>
      <c r="BR101" s="596"/>
      <c r="BS101" s="596"/>
      <c r="BT101" s="596"/>
    </row>
    <row r="102" spans="1:72" ht="12.5" customHeight="1">
      <c r="A102" s="540"/>
      <c r="B102" s="567"/>
      <c r="C102" s="575"/>
      <c r="D102" s="576"/>
      <c r="E102" s="568"/>
      <c r="F102" s="568"/>
      <c r="G102" s="568"/>
      <c r="H102" s="579"/>
      <c r="I102" s="579"/>
      <c r="J102" s="792"/>
      <c r="K102" s="792"/>
      <c r="L102" s="792"/>
      <c r="M102" s="792"/>
      <c r="N102" s="582"/>
      <c r="O102" s="583"/>
      <c r="P102" s="582"/>
      <c r="Q102" s="579"/>
      <c r="R102" s="579"/>
      <c r="S102" s="579"/>
      <c r="T102" s="580"/>
      <c r="U102" s="580"/>
      <c r="V102" s="580"/>
      <c r="W102" s="580"/>
      <c r="X102" s="580"/>
      <c r="Y102" s="583"/>
      <c r="Z102" s="580"/>
      <c r="AA102" s="579"/>
      <c r="AB102" s="583"/>
      <c r="AC102" s="580"/>
      <c r="AD102" s="579"/>
      <c r="AE102" s="583"/>
      <c r="AF102" s="579"/>
      <c r="AG102" s="579"/>
      <c r="AH102" s="583"/>
      <c r="AI102" s="579"/>
      <c r="AJ102" s="579"/>
      <c r="AK102" s="584"/>
      <c r="AL102" s="579"/>
      <c r="AM102" s="579"/>
      <c r="AN102" s="579"/>
      <c r="AO102" s="579"/>
      <c r="AP102" s="579"/>
      <c r="AQ102" s="579"/>
      <c r="AR102" s="579"/>
      <c r="AS102" s="579"/>
      <c r="AT102" s="568"/>
      <c r="AU102" s="568"/>
      <c r="AV102" s="568"/>
      <c r="AW102" s="568"/>
      <c r="AX102" s="568"/>
      <c r="AY102" s="568"/>
      <c r="AZ102" s="565"/>
      <c r="BA102" s="569"/>
      <c r="BB102" s="551"/>
      <c r="BC102" s="552"/>
      <c r="BD102" s="538"/>
      <c r="BE102" s="596"/>
      <c r="BF102" s="596"/>
      <c r="BG102" s="596"/>
      <c r="BH102" s="596"/>
      <c r="BI102" s="596"/>
      <c r="BJ102" s="596"/>
      <c r="BK102" s="596"/>
      <c r="BL102" s="596"/>
      <c r="BM102" s="596"/>
      <c r="BN102" s="596"/>
      <c r="BO102" s="596"/>
      <c r="BP102" s="596"/>
      <c r="BQ102" s="596"/>
      <c r="BR102" s="596"/>
      <c r="BS102" s="596"/>
      <c r="BT102" s="596"/>
    </row>
    <row r="103" spans="1:72" ht="12.5" customHeight="1">
      <c r="A103" s="540"/>
      <c r="B103" s="567"/>
      <c r="C103" s="575"/>
      <c r="D103" s="576"/>
      <c r="E103" s="568"/>
      <c r="F103" s="568"/>
      <c r="G103" s="568"/>
      <c r="H103" s="579"/>
      <c r="I103" s="579"/>
      <c r="J103" s="792"/>
      <c r="K103" s="792"/>
      <c r="L103" s="792"/>
      <c r="M103" s="792"/>
      <c r="N103" s="582"/>
      <c r="O103" s="583"/>
      <c r="P103" s="582"/>
      <c r="Q103" s="579"/>
      <c r="R103" s="579"/>
      <c r="S103" s="579"/>
      <c r="T103" s="580"/>
      <c r="U103" s="580"/>
      <c r="V103" s="580"/>
      <c r="W103" s="580"/>
      <c r="X103" s="580"/>
      <c r="Y103" s="583"/>
      <c r="Z103" s="580"/>
      <c r="AA103" s="579"/>
      <c r="AB103" s="583"/>
      <c r="AC103" s="580"/>
      <c r="AD103" s="579"/>
      <c r="AE103" s="583"/>
      <c r="AF103" s="579"/>
      <c r="AG103" s="579"/>
      <c r="AH103" s="583"/>
      <c r="AI103" s="579"/>
      <c r="AJ103" s="579"/>
      <c r="AK103" s="584"/>
      <c r="AL103" s="579"/>
      <c r="AM103" s="579"/>
      <c r="AN103" s="579"/>
      <c r="AO103" s="579"/>
      <c r="AP103" s="579"/>
      <c r="AQ103" s="579"/>
      <c r="AR103" s="579"/>
      <c r="AS103" s="579"/>
      <c r="AT103" s="568"/>
      <c r="AU103" s="568"/>
      <c r="AV103" s="568"/>
      <c r="AW103" s="568"/>
      <c r="AX103" s="568"/>
      <c r="AY103" s="568"/>
      <c r="AZ103" s="565"/>
      <c r="BA103" s="569"/>
      <c r="BB103" s="551"/>
      <c r="BC103" s="552"/>
      <c r="BD103" s="538"/>
      <c r="BE103" s="596"/>
      <c r="BF103" s="596"/>
      <c r="BG103" s="596"/>
      <c r="BH103" s="596"/>
      <c r="BI103" s="596"/>
      <c r="BJ103" s="596"/>
      <c r="BK103" s="596"/>
      <c r="BL103" s="596"/>
      <c r="BM103" s="596"/>
      <c r="BN103" s="596"/>
      <c r="BO103" s="596"/>
      <c r="BP103" s="596"/>
      <c r="BQ103" s="596"/>
      <c r="BR103" s="596"/>
      <c r="BS103" s="596"/>
      <c r="BT103" s="596"/>
    </row>
    <row r="104" spans="1:72" ht="12.5" customHeight="1">
      <c r="A104" s="540"/>
      <c r="B104" s="567"/>
      <c r="C104" s="575"/>
      <c r="D104" s="576"/>
      <c r="E104" s="568"/>
      <c r="F104" s="568"/>
      <c r="G104" s="568"/>
      <c r="H104" s="579"/>
      <c r="I104" s="579"/>
      <c r="J104" s="792"/>
      <c r="K104" s="792"/>
      <c r="L104" s="792"/>
      <c r="M104" s="792"/>
      <c r="N104" s="582"/>
      <c r="O104" s="583"/>
      <c r="P104" s="582"/>
      <c r="Q104" s="579"/>
      <c r="R104" s="579"/>
      <c r="S104" s="579"/>
      <c r="T104" s="580"/>
      <c r="U104" s="580"/>
      <c r="V104" s="580"/>
      <c r="W104" s="580"/>
      <c r="X104" s="580"/>
      <c r="Y104" s="583"/>
      <c r="Z104" s="580"/>
      <c r="AA104" s="579"/>
      <c r="AB104" s="583"/>
      <c r="AC104" s="580"/>
      <c r="AD104" s="579"/>
      <c r="AE104" s="583"/>
      <c r="AF104" s="579"/>
      <c r="AG104" s="579"/>
      <c r="AH104" s="583"/>
      <c r="AI104" s="579"/>
      <c r="AJ104" s="579"/>
      <c r="AK104" s="584"/>
      <c r="AL104" s="579"/>
      <c r="AM104" s="579"/>
      <c r="AN104" s="579"/>
      <c r="AO104" s="579"/>
      <c r="AP104" s="579"/>
      <c r="AQ104" s="579"/>
      <c r="AR104" s="579"/>
      <c r="AS104" s="579"/>
      <c r="AT104" s="568"/>
      <c r="AU104" s="568"/>
      <c r="AV104" s="568"/>
      <c r="AW104" s="568"/>
      <c r="AX104" s="568"/>
      <c r="AY104" s="568"/>
      <c r="AZ104" s="565"/>
      <c r="BA104" s="569"/>
      <c r="BB104" s="551"/>
      <c r="BC104" s="552"/>
      <c r="BD104" s="538"/>
      <c r="BE104" s="596"/>
      <c r="BF104" s="596"/>
      <c r="BG104" s="596"/>
      <c r="BH104" s="596"/>
      <c r="BI104" s="596"/>
      <c r="BJ104" s="596"/>
      <c r="BK104" s="596"/>
      <c r="BL104" s="596"/>
      <c r="BM104" s="596"/>
      <c r="BN104" s="596"/>
      <c r="BO104" s="596"/>
      <c r="BP104" s="596"/>
      <c r="BQ104" s="596"/>
      <c r="BR104" s="596"/>
      <c r="BS104" s="596"/>
      <c r="BT104" s="596"/>
    </row>
    <row r="105" spans="1:72" ht="12.5" customHeight="1">
      <c r="A105" s="540"/>
      <c r="B105" s="567"/>
      <c r="C105" s="575"/>
      <c r="D105" s="576"/>
      <c r="E105" s="568"/>
      <c r="F105" s="568"/>
      <c r="G105" s="568"/>
      <c r="H105" s="579"/>
      <c r="I105" s="579"/>
      <c r="J105" s="792"/>
      <c r="K105" s="792"/>
      <c r="L105" s="792"/>
      <c r="M105" s="792"/>
      <c r="N105" s="582"/>
      <c r="O105" s="583"/>
      <c r="P105" s="582"/>
      <c r="Q105" s="579"/>
      <c r="R105" s="579"/>
      <c r="S105" s="579"/>
      <c r="T105" s="580"/>
      <c r="U105" s="580"/>
      <c r="V105" s="580"/>
      <c r="W105" s="580"/>
      <c r="X105" s="580"/>
      <c r="Y105" s="583"/>
      <c r="Z105" s="580"/>
      <c r="AA105" s="579"/>
      <c r="AB105" s="583"/>
      <c r="AC105" s="580"/>
      <c r="AD105" s="579"/>
      <c r="AE105" s="583"/>
      <c r="AF105" s="579"/>
      <c r="AG105" s="579"/>
      <c r="AH105" s="583"/>
      <c r="AI105" s="579"/>
      <c r="AJ105" s="579"/>
      <c r="AK105" s="584"/>
      <c r="AL105" s="579"/>
      <c r="AM105" s="579"/>
      <c r="AN105" s="579"/>
      <c r="AO105" s="579"/>
      <c r="AP105" s="579"/>
      <c r="AQ105" s="579"/>
      <c r="AR105" s="579"/>
      <c r="AS105" s="579"/>
      <c r="AT105" s="568"/>
      <c r="AU105" s="568"/>
      <c r="AV105" s="568"/>
      <c r="AW105" s="568"/>
      <c r="AX105" s="568"/>
      <c r="AY105" s="568"/>
      <c r="AZ105" s="565"/>
      <c r="BA105" s="569"/>
      <c r="BB105" s="551"/>
      <c r="BC105" s="552"/>
      <c r="BD105" s="538"/>
      <c r="BE105" s="596"/>
      <c r="BF105" s="596"/>
      <c r="BG105" s="596"/>
      <c r="BH105" s="596"/>
      <c r="BI105" s="596"/>
      <c r="BJ105" s="596"/>
      <c r="BK105" s="596"/>
      <c r="BL105" s="596"/>
      <c r="BM105" s="596"/>
      <c r="BN105" s="596"/>
      <c r="BO105" s="596"/>
      <c r="BP105" s="596"/>
      <c r="BQ105" s="596"/>
      <c r="BR105" s="596"/>
      <c r="BS105" s="596"/>
      <c r="BT105" s="596"/>
    </row>
    <row r="106" spans="1:72" ht="12.5" customHeight="1">
      <c r="A106" s="540"/>
      <c r="B106" s="567"/>
      <c r="C106" s="575"/>
      <c r="D106" s="576"/>
      <c r="E106" s="568"/>
      <c r="F106" s="568"/>
      <c r="G106" s="568"/>
      <c r="H106" s="579"/>
      <c r="I106" s="579"/>
      <c r="J106" s="792"/>
      <c r="K106" s="792"/>
      <c r="L106" s="792"/>
      <c r="M106" s="792"/>
      <c r="N106" s="582"/>
      <c r="O106" s="583"/>
      <c r="P106" s="582"/>
      <c r="Q106" s="579"/>
      <c r="R106" s="579"/>
      <c r="S106" s="579"/>
      <c r="T106" s="580"/>
      <c r="U106" s="580"/>
      <c r="V106" s="580"/>
      <c r="W106" s="580"/>
      <c r="X106" s="580"/>
      <c r="Y106" s="583"/>
      <c r="Z106" s="580"/>
      <c r="AA106" s="579"/>
      <c r="AB106" s="583"/>
      <c r="AC106" s="580"/>
      <c r="AD106" s="579"/>
      <c r="AE106" s="583"/>
      <c r="AF106" s="579"/>
      <c r="AG106" s="579"/>
      <c r="AH106" s="583"/>
      <c r="AI106" s="579"/>
      <c r="AJ106" s="579"/>
      <c r="AK106" s="584"/>
      <c r="AL106" s="579"/>
      <c r="AM106" s="579"/>
      <c r="AN106" s="579"/>
      <c r="AO106" s="579"/>
      <c r="AP106" s="579"/>
      <c r="AQ106" s="579"/>
      <c r="AR106" s="579"/>
      <c r="AS106" s="579"/>
      <c r="AT106" s="568"/>
      <c r="AU106" s="568"/>
      <c r="AV106" s="568"/>
      <c r="AW106" s="568"/>
      <c r="AX106" s="568"/>
      <c r="AY106" s="568"/>
      <c r="AZ106" s="565"/>
      <c r="BA106" s="569"/>
      <c r="BB106" s="551"/>
      <c r="BC106" s="552"/>
      <c r="BD106" s="538"/>
      <c r="BE106" s="596"/>
      <c r="BF106" s="596"/>
      <c r="BG106" s="596"/>
      <c r="BH106" s="596"/>
      <c r="BI106" s="596"/>
      <c r="BJ106" s="596"/>
      <c r="BK106" s="596"/>
      <c r="BL106" s="596"/>
      <c r="BM106" s="596"/>
      <c r="BN106" s="596"/>
      <c r="BO106" s="596"/>
      <c r="BP106" s="596"/>
      <c r="BQ106" s="596"/>
      <c r="BR106" s="596"/>
      <c r="BS106" s="596"/>
      <c r="BT106" s="596"/>
    </row>
    <row r="107" spans="1:72" ht="12.5" customHeight="1">
      <c r="A107" s="540"/>
      <c r="B107" s="567"/>
      <c r="C107" s="575"/>
      <c r="D107" s="576"/>
      <c r="E107" s="568"/>
      <c r="F107" s="568"/>
      <c r="G107" s="568"/>
      <c r="H107" s="579"/>
      <c r="I107" s="579"/>
      <c r="J107" s="792"/>
      <c r="K107" s="792"/>
      <c r="L107" s="792"/>
      <c r="M107" s="792"/>
      <c r="N107" s="582"/>
      <c r="O107" s="583"/>
      <c r="P107" s="582"/>
      <c r="Q107" s="579"/>
      <c r="R107" s="579"/>
      <c r="S107" s="579"/>
      <c r="T107" s="580"/>
      <c r="U107" s="580"/>
      <c r="V107" s="580"/>
      <c r="W107" s="580"/>
      <c r="X107" s="580"/>
      <c r="Y107" s="583"/>
      <c r="Z107" s="580"/>
      <c r="AA107" s="579"/>
      <c r="AB107" s="583"/>
      <c r="AC107" s="580"/>
      <c r="AD107" s="579"/>
      <c r="AE107" s="583"/>
      <c r="AF107" s="579"/>
      <c r="AG107" s="579"/>
      <c r="AH107" s="583"/>
      <c r="AI107" s="579"/>
      <c r="AJ107" s="579"/>
      <c r="AK107" s="584"/>
      <c r="AL107" s="579"/>
      <c r="AM107" s="579"/>
      <c r="AN107" s="579"/>
      <c r="AO107" s="579"/>
      <c r="AP107" s="579"/>
      <c r="AQ107" s="579"/>
      <c r="AR107" s="579"/>
      <c r="AS107" s="579"/>
      <c r="AT107" s="568"/>
      <c r="AU107" s="568"/>
      <c r="AV107" s="568"/>
      <c r="AW107" s="568"/>
      <c r="AX107" s="568"/>
      <c r="AY107" s="568"/>
      <c r="AZ107" s="565"/>
      <c r="BA107" s="569"/>
      <c r="BB107" s="551"/>
      <c r="BC107" s="552"/>
      <c r="BD107" s="538"/>
      <c r="BE107" s="596"/>
      <c r="BF107" s="596"/>
      <c r="BG107" s="596"/>
      <c r="BH107" s="596"/>
      <c r="BI107" s="596"/>
      <c r="BJ107" s="596"/>
      <c r="BK107" s="596"/>
      <c r="BL107" s="596"/>
      <c r="BM107" s="596"/>
      <c r="BN107" s="596"/>
      <c r="BO107" s="596"/>
      <c r="BP107" s="596"/>
      <c r="BQ107" s="596"/>
      <c r="BR107" s="596"/>
      <c r="BS107" s="596"/>
      <c r="BT107" s="596"/>
    </row>
    <row r="108" spans="1:72" ht="12.5" customHeight="1">
      <c r="A108" s="540"/>
      <c r="B108" s="567"/>
      <c r="C108" s="575"/>
      <c r="D108" s="576"/>
      <c r="E108" s="568"/>
      <c r="F108" s="568"/>
      <c r="G108" s="568"/>
      <c r="H108" s="579"/>
      <c r="I108" s="579"/>
      <c r="J108" s="792"/>
      <c r="K108" s="792"/>
      <c r="L108" s="792"/>
      <c r="M108" s="792"/>
      <c r="N108" s="582"/>
      <c r="O108" s="583"/>
      <c r="P108" s="582"/>
      <c r="Q108" s="579"/>
      <c r="R108" s="579"/>
      <c r="S108" s="579"/>
      <c r="T108" s="580"/>
      <c r="U108" s="580"/>
      <c r="V108" s="580"/>
      <c r="W108" s="580"/>
      <c r="X108" s="580"/>
      <c r="Y108" s="583"/>
      <c r="Z108" s="580"/>
      <c r="AA108" s="579"/>
      <c r="AB108" s="583"/>
      <c r="AC108" s="580"/>
      <c r="AD108" s="579"/>
      <c r="AE108" s="583"/>
      <c r="AF108" s="579"/>
      <c r="AG108" s="579"/>
      <c r="AH108" s="583"/>
      <c r="AI108" s="579"/>
      <c r="AJ108" s="579"/>
      <c r="AK108" s="584"/>
      <c r="AL108" s="579"/>
      <c r="AM108" s="579"/>
      <c r="AN108" s="579"/>
      <c r="AO108" s="579"/>
      <c r="AP108" s="579"/>
      <c r="AQ108" s="579"/>
      <c r="AR108" s="579"/>
      <c r="AS108" s="579"/>
      <c r="AT108" s="568"/>
      <c r="AU108" s="568"/>
      <c r="AV108" s="568"/>
      <c r="AW108" s="568"/>
      <c r="AX108" s="568"/>
      <c r="AY108" s="568"/>
      <c r="AZ108" s="565"/>
      <c r="BA108" s="569"/>
      <c r="BB108" s="551"/>
      <c r="BC108" s="552"/>
      <c r="BD108" s="538"/>
      <c r="BE108" s="596"/>
      <c r="BF108" s="596"/>
      <c r="BG108" s="596"/>
      <c r="BH108" s="596"/>
      <c r="BI108" s="596"/>
      <c r="BJ108" s="596"/>
      <c r="BK108" s="596"/>
      <c r="BL108" s="596"/>
      <c r="BM108" s="596"/>
      <c r="BN108" s="596"/>
      <c r="BO108" s="596"/>
      <c r="BP108" s="596"/>
      <c r="BQ108" s="596"/>
      <c r="BR108" s="596"/>
      <c r="BS108" s="596"/>
      <c r="BT108" s="596"/>
    </row>
    <row r="109" spans="1:72" ht="12.5" customHeight="1">
      <c r="A109" s="540"/>
      <c r="B109" s="567"/>
      <c r="C109" s="575"/>
      <c r="D109" s="576"/>
      <c r="E109" s="568"/>
      <c r="F109" s="568"/>
      <c r="G109" s="568"/>
      <c r="H109" s="579"/>
      <c r="I109" s="579"/>
      <c r="J109" s="654"/>
      <c r="K109" s="654"/>
      <c r="L109" s="654"/>
      <c r="M109" s="654"/>
      <c r="N109" s="582"/>
      <c r="O109" s="583"/>
      <c r="P109" s="582"/>
      <c r="Q109" s="579"/>
      <c r="R109" s="579"/>
      <c r="S109" s="579"/>
      <c r="T109" s="580"/>
      <c r="U109" s="580"/>
      <c r="V109" s="580"/>
      <c r="W109" s="580"/>
      <c r="X109" s="580"/>
      <c r="Y109" s="583"/>
      <c r="Z109" s="580"/>
      <c r="AA109" s="579"/>
      <c r="AB109" s="583"/>
      <c r="AC109" s="580"/>
      <c r="AD109" s="579"/>
      <c r="AE109" s="583"/>
      <c r="AF109" s="579"/>
      <c r="AG109" s="579"/>
      <c r="AH109" s="583"/>
      <c r="AI109" s="579"/>
      <c r="AJ109" s="579"/>
      <c r="AK109" s="584"/>
      <c r="AL109" s="579"/>
      <c r="AM109" s="579"/>
      <c r="AN109" s="579"/>
      <c r="AO109" s="579"/>
      <c r="AP109" s="579"/>
      <c r="AQ109" s="579"/>
      <c r="AR109" s="579"/>
      <c r="AS109" s="579"/>
      <c r="AT109" s="568"/>
      <c r="AU109" s="568"/>
      <c r="AV109" s="568"/>
      <c r="AW109" s="568"/>
      <c r="AX109" s="568"/>
      <c r="AY109" s="568"/>
      <c r="AZ109" s="565"/>
      <c r="BA109" s="569"/>
      <c r="BB109" s="551"/>
      <c r="BC109" s="552"/>
      <c r="BD109" s="538"/>
      <c r="BE109" s="596"/>
      <c r="BF109" s="596"/>
      <c r="BG109" s="596"/>
      <c r="BH109" s="596"/>
      <c r="BI109" s="596"/>
      <c r="BJ109" s="596"/>
      <c r="BK109" s="596"/>
      <c r="BL109" s="596"/>
      <c r="BM109" s="596"/>
      <c r="BN109" s="596"/>
      <c r="BO109" s="596"/>
      <c r="BP109" s="596"/>
      <c r="BQ109" s="596"/>
      <c r="BR109" s="596"/>
      <c r="BS109" s="596"/>
      <c r="BT109" s="596"/>
    </row>
    <row r="110" spans="1:72" ht="12.5" customHeight="1">
      <c r="A110" s="540"/>
      <c r="B110" s="567"/>
      <c r="C110" s="575"/>
      <c r="D110" s="576"/>
      <c r="E110" s="568"/>
      <c r="F110" s="568"/>
      <c r="G110" s="568"/>
      <c r="H110" s="579"/>
      <c r="I110" s="579"/>
      <c r="J110" s="654"/>
      <c r="K110" s="654"/>
      <c r="L110" s="654"/>
      <c r="M110" s="654"/>
      <c r="N110" s="582"/>
      <c r="O110" s="583"/>
      <c r="P110" s="582"/>
      <c r="Q110" s="579"/>
      <c r="R110" s="579"/>
      <c r="S110" s="579"/>
      <c r="T110" s="580"/>
      <c r="U110" s="580"/>
      <c r="V110" s="580"/>
      <c r="W110" s="580"/>
      <c r="X110" s="580"/>
      <c r="Y110" s="583"/>
      <c r="Z110" s="580"/>
      <c r="AA110" s="579"/>
      <c r="AB110" s="583"/>
      <c r="AC110" s="580"/>
      <c r="AD110" s="579"/>
      <c r="AE110" s="583"/>
      <c r="AF110" s="579"/>
      <c r="AG110" s="579"/>
      <c r="AH110" s="583"/>
      <c r="AI110" s="579"/>
      <c r="AJ110" s="579"/>
      <c r="AK110" s="584"/>
      <c r="AL110" s="579"/>
      <c r="AM110" s="579"/>
      <c r="AN110" s="579"/>
      <c r="AO110" s="579"/>
      <c r="AP110" s="579"/>
      <c r="AQ110" s="579"/>
      <c r="AR110" s="579"/>
      <c r="AS110" s="579"/>
      <c r="AT110" s="568"/>
      <c r="AU110" s="568"/>
      <c r="AV110" s="568"/>
      <c r="AW110" s="568"/>
      <c r="AX110" s="568"/>
      <c r="AY110" s="568"/>
      <c r="AZ110" s="565"/>
      <c r="BA110" s="569"/>
      <c r="BB110" s="551"/>
      <c r="BC110" s="552"/>
      <c r="BD110" s="538"/>
      <c r="BE110" s="596"/>
      <c r="BF110" s="596"/>
      <c r="BG110" s="596"/>
      <c r="BH110" s="596"/>
      <c r="BI110" s="596"/>
      <c r="BJ110" s="596"/>
      <c r="BK110" s="596"/>
      <c r="BL110" s="596"/>
      <c r="BM110" s="596"/>
      <c r="BN110" s="596"/>
      <c r="BO110" s="596"/>
      <c r="BP110" s="596"/>
      <c r="BQ110" s="596"/>
      <c r="BR110" s="596"/>
      <c r="BS110" s="596"/>
      <c r="BT110" s="596"/>
    </row>
    <row r="111" spans="1:72" ht="12.5" customHeight="1">
      <c r="A111" s="540"/>
      <c r="B111" s="567"/>
      <c r="C111" s="575"/>
      <c r="D111" s="576"/>
      <c r="E111" s="568"/>
      <c r="F111" s="568"/>
      <c r="G111" s="568"/>
      <c r="H111" s="579"/>
      <c r="I111" s="579"/>
      <c r="J111" s="654"/>
      <c r="K111" s="654"/>
      <c r="L111" s="654"/>
      <c r="M111" s="654"/>
      <c r="N111" s="582"/>
      <c r="O111" s="583"/>
      <c r="P111" s="582"/>
      <c r="Q111" s="579"/>
      <c r="R111" s="579"/>
      <c r="S111" s="579"/>
      <c r="T111" s="580"/>
      <c r="U111" s="580"/>
      <c r="V111" s="580"/>
      <c r="W111" s="580"/>
      <c r="X111" s="580"/>
      <c r="Y111" s="583"/>
      <c r="Z111" s="580"/>
      <c r="AA111" s="579"/>
      <c r="AB111" s="583"/>
      <c r="AC111" s="580"/>
      <c r="AD111" s="579"/>
      <c r="AE111" s="583"/>
      <c r="AF111" s="579"/>
      <c r="AG111" s="579"/>
      <c r="AH111" s="583"/>
      <c r="AI111" s="579"/>
      <c r="AJ111" s="579"/>
      <c r="AK111" s="584"/>
      <c r="AL111" s="579"/>
      <c r="AM111" s="579"/>
      <c r="AN111" s="579"/>
      <c r="AO111" s="579"/>
      <c r="AP111" s="579"/>
      <c r="AQ111" s="579"/>
      <c r="AR111" s="579"/>
      <c r="AS111" s="579"/>
      <c r="AT111" s="568"/>
      <c r="AU111" s="568"/>
      <c r="AV111" s="568"/>
      <c r="AW111" s="568"/>
      <c r="AX111" s="568"/>
      <c r="AY111" s="568"/>
      <c r="AZ111" s="565"/>
      <c r="BA111" s="569"/>
      <c r="BB111" s="551"/>
      <c r="BC111" s="552"/>
      <c r="BD111" s="538"/>
      <c r="BE111" s="596"/>
      <c r="BF111" s="596"/>
      <c r="BG111" s="596"/>
      <c r="BH111" s="596"/>
      <c r="BI111" s="596"/>
      <c r="BJ111" s="596"/>
      <c r="BK111" s="596"/>
      <c r="BL111" s="596"/>
      <c r="BM111" s="596"/>
      <c r="BN111" s="596"/>
      <c r="BO111" s="596"/>
      <c r="BP111" s="596"/>
      <c r="BQ111" s="596"/>
      <c r="BR111" s="596"/>
      <c r="BS111" s="596"/>
      <c r="BT111" s="596"/>
    </row>
    <row r="112" spans="1:72" ht="12.5" customHeight="1">
      <c r="A112" s="540"/>
      <c r="B112" s="567"/>
      <c r="C112" s="575"/>
      <c r="D112" s="576"/>
      <c r="E112" s="568"/>
      <c r="F112" s="568"/>
      <c r="G112" s="568"/>
      <c r="H112" s="579"/>
      <c r="I112" s="579"/>
      <c r="J112" s="654"/>
      <c r="K112" s="654"/>
      <c r="L112" s="654"/>
      <c r="M112" s="654"/>
      <c r="N112" s="582"/>
      <c r="O112" s="583"/>
      <c r="P112" s="582"/>
      <c r="Q112" s="579"/>
      <c r="R112" s="579"/>
      <c r="S112" s="579"/>
      <c r="T112" s="580"/>
      <c r="U112" s="580"/>
      <c r="V112" s="580"/>
      <c r="W112" s="580"/>
      <c r="X112" s="580"/>
      <c r="Y112" s="583"/>
      <c r="Z112" s="580"/>
      <c r="AA112" s="579"/>
      <c r="AB112" s="583"/>
      <c r="AC112" s="580"/>
      <c r="AD112" s="579"/>
      <c r="AE112" s="583"/>
      <c r="AF112" s="579"/>
      <c r="AG112" s="579"/>
      <c r="AH112" s="583"/>
      <c r="AI112" s="579"/>
      <c r="AJ112" s="579"/>
      <c r="AK112" s="584"/>
      <c r="AL112" s="579"/>
      <c r="AM112" s="579"/>
      <c r="AN112" s="579"/>
      <c r="AO112" s="579"/>
      <c r="AP112" s="579"/>
      <c r="AQ112" s="579"/>
      <c r="AR112" s="579"/>
      <c r="AS112" s="579"/>
      <c r="AT112" s="568"/>
      <c r="AU112" s="568"/>
      <c r="AV112" s="568"/>
      <c r="AW112" s="568"/>
      <c r="AX112" s="568"/>
      <c r="AY112" s="568"/>
      <c r="AZ112" s="565"/>
      <c r="BA112" s="569"/>
      <c r="BB112" s="551"/>
      <c r="BC112" s="552"/>
      <c r="BD112" s="538"/>
      <c r="BE112" s="596"/>
      <c r="BF112" s="596"/>
      <c r="BG112" s="596"/>
      <c r="BH112" s="596"/>
      <c r="BI112" s="596"/>
      <c r="BJ112" s="596"/>
      <c r="BK112" s="596"/>
      <c r="BL112" s="596"/>
      <c r="BM112" s="596"/>
      <c r="BN112" s="596"/>
      <c r="BO112" s="596"/>
      <c r="BP112" s="596"/>
      <c r="BQ112" s="596"/>
      <c r="BR112" s="596"/>
      <c r="BS112" s="596"/>
      <c r="BT112" s="596"/>
    </row>
    <row r="113" spans="1:72" ht="12.5" customHeight="1">
      <c r="A113" s="540"/>
      <c r="B113" s="567"/>
      <c r="C113" s="575"/>
      <c r="D113" s="576"/>
      <c r="E113" s="568"/>
      <c r="F113" s="568"/>
      <c r="G113" s="568"/>
      <c r="H113" s="579"/>
      <c r="I113" s="579"/>
      <c r="J113" s="654"/>
      <c r="K113" s="654"/>
      <c r="L113" s="654"/>
      <c r="M113" s="654"/>
      <c r="N113" s="582"/>
      <c r="O113" s="583"/>
      <c r="P113" s="582"/>
      <c r="Q113" s="579"/>
      <c r="R113" s="579"/>
      <c r="S113" s="579"/>
      <c r="T113" s="580"/>
      <c r="U113" s="580"/>
      <c r="V113" s="580"/>
      <c r="W113" s="580"/>
      <c r="X113" s="580"/>
      <c r="Y113" s="583"/>
      <c r="Z113" s="580"/>
      <c r="AA113" s="579"/>
      <c r="AB113" s="583"/>
      <c r="AC113" s="580"/>
      <c r="AD113" s="579"/>
      <c r="AE113" s="583"/>
      <c r="AF113" s="579"/>
      <c r="AG113" s="579"/>
      <c r="AH113" s="583"/>
      <c r="AI113" s="579"/>
      <c r="AJ113" s="579"/>
      <c r="AK113" s="584"/>
      <c r="AL113" s="579"/>
      <c r="AM113" s="579"/>
      <c r="AN113" s="579"/>
      <c r="AO113" s="579"/>
      <c r="AP113" s="579"/>
      <c r="AQ113" s="579"/>
      <c r="AR113" s="579"/>
      <c r="AS113" s="579"/>
      <c r="AT113" s="568"/>
      <c r="AU113" s="568"/>
      <c r="AV113" s="568"/>
      <c r="AW113" s="568"/>
      <c r="AX113" s="568"/>
      <c r="AY113" s="568"/>
      <c r="AZ113" s="565"/>
      <c r="BA113" s="569"/>
      <c r="BB113" s="551"/>
      <c r="BC113" s="552"/>
      <c r="BD113" s="538"/>
      <c r="BE113" s="596"/>
      <c r="BF113" s="596"/>
      <c r="BG113" s="596"/>
      <c r="BH113" s="596"/>
      <c r="BI113" s="596"/>
      <c r="BJ113" s="596"/>
      <c r="BK113" s="596"/>
      <c r="BL113" s="596"/>
      <c r="BM113" s="596"/>
      <c r="BN113" s="596"/>
      <c r="BO113" s="596"/>
      <c r="BP113" s="596"/>
      <c r="BQ113" s="596"/>
      <c r="BR113" s="596"/>
      <c r="BS113" s="596"/>
      <c r="BT113" s="596"/>
    </row>
    <row r="114" spans="1:72" ht="13.5">
      <c r="A114" s="540"/>
      <c r="B114" s="567"/>
      <c r="C114" s="575"/>
      <c r="D114" s="576"/>
      <c r="E114" s="568"/>
      <c r="F114" s="568"/>
      <c r="G114" s="568"/>
      <c r="H114" s="579"/>
      <c r="I114" s="579"/>
      <c r="J114" s="654"/>
      <c r="K114" s="654"/>
      <c r="L114" s="654"/>
      <c r="M114" s="654"/>
      <c r="N114" s="582"/>
      <c r="O114" s="583"/>
      <c r="P114" s="582"/>
      <c r="Q114" s="579"/>
      <c r="R114" s="579"/>
      <c r="S114" s="579"/>
      <c r="T114" s="580"/>
      <c r="U114" s="580"/>
      <c r="V114" s="580"/>
      <c r="W114" s="580"/>
      <c r="X114" s="580"/>
      <c r="Y114" s="583"/>
      <c r="Z114" s="580"/>
      <c r="AA114" s="579"/>
      <c r="AB114" s="583"/>
      <c r="AC114" s="580"/>
      <c r="AD114" s="579"/>
      <c r="AE114" s="583"/>
      <c r="AF114" s="579"/>
      <c r="AG114" s="579"/>
      <c r="AH114" s="583"/>
      <c r="AI114" s="579"/>
      <c r="AJ114" s="579"/>
      <c r="AK114" s="584"/>
      <c r="AL114" s="579"/>
      <c r="AM114" s="579"/>
      <c r="AN114" s="579"/>
      <c r="AO114" s="579"/>
      <c r="AP114" s="579"/>
      <c r="AQ114" s="579"/>
      <c r="AR114" s="579"/>
      <c r="AS114" s="579"/>
      <c r="AT114" s="568"/>
      <c r="AU114" s="568"/>
      <c r="AV114" s="568"/>
      <c r="AW114" s="568"/>
      <c r="AX114" s="568"/>
      <c r="AY114" s="568"/>
      <c r="AZ114" s="565"/>
      <c r="BA114" s="569"/>
      <c r="BB114" s="551"/>
      <c r="BC114" s="552"/>
      <c r="BD114" s="553"/>
      <c r="BE114" s="596"/>
      <c r="BF114" s="596"/>
      <c r="BG114" s="596"/>
      <c r="BH114" s="596"/>
      <c r="BI114" s="596"/>
      <c r="BJ114" s="596"/>
      <c r="BK114" s="596"/>
      <c r="BL114" s="596"/>
      <c r="BM114" s="596"/>
      <c r="BN114" s="596"/>
      <c r="BO114" s="596"/>
      <c r="BP114" s="596"/>
      <c r="BQ114" s="596"/>
      <c r="BR114" s="596"/>
      <c r="BS114" s="596"/>
      <c r="BT114" s="596"/>
    </row>
    <row r="115" spans="1:72" ht="13.5">
      <c r="A115" s="540"/>
      <c r="B115" s="567"/>
      <c r="C115" s="575"/>
      <c r="D115" s="576"/>
      <c r="E115" s="568"/>
      <c r="F115" s="568"/>
      <c r="G115" s="568"/>
      <c r="H115" s="579"/>
      <c r="I115" s="579"/>
      <c r="J115" s="654"/>
      <c r="K115" s="654"/>
      <c r="L115" s="654"/>
      <c r="M115" s="654"/>
      <c r="N115" s="582"/>
      <c r="O115" s="583"/>
      <c r="P115" s="582"/>
      <c r="Q115" s="579"/>
      <c r="R115" s="579"/>
      <c r="S115" s="579"/>
      <c r="T115" s="580"/>
      <c r="U115" s="580"/>
      <c r="V115" s="580"/>
      <c r="W115" s="580"/>
      <c r="X115" s="580"/>
      <c r="Y115" s="583"/>
      <c r="Z115" s="580"/>
      <c r="AA115" s="579"/>
      <c r="AB115" s="583"/>
      <c r="AC115" s="580"/>
      <c r="AD115" s="579"/>
      <c r="AE115" s="583"/>
      <c r="AF115" s="579"/>
      <c r="AG115" s="579"/>
      <c r="AH115" s="583"/>
      <c r="AI115" s="579"/>
      <c r="AJ115" s="579"/>
      <c r="AK115" s="584"/>
      <c r="AL115" s="579"/>
      <c r="AM115" s="579"/>
      <c r="AN115" s="579"/>
      <c r="AO115" s="579"/>
      <c r="AP115" s="579"/>
      <c r="AQ115" s="579"/>
      <c r="AR115" s="579"/>
      <c r="AS115" s="579"/>
      <c r="AT115" s="568"/>
      <c r="AU115" s="568"/>
      <c r="AV115" s="568"/>
      <c r="AW115" s="568"/>
      <c r="AX115" s="568"/>
      <c r="AY115" s="568"/>
      <c r="AZ115" s="565"/>
      <c r="BA115" s="569"/>
      <c r="BB115" s="551"/>
      <c r="BC115" s="552"/>
      <c r="BD115" s="553"/>
      <c r="BE115" s="596"/>
      <c r="BF115" s="596"/>
      <c r="BG115" s="596"/>
      <c r="BH115" s="596"/>
      <c r="BI115" s="596"/>
      <c r="BJ115" s="596"/>
      <c r="BK115" s="596"/>
      <c r="BL115" s="596"/>
      <c r="BM115" s="596"/>
      <c r="BN115" s="596"/>
      <c r="BO115" s="596"/>
      <c r="BP115" s="596"/>
      <c r="BQ115" s="596"/>
      <c r="BR115" s="596"/>
      <c r="BS115" s="596"/>
      <c r="BT115" s="596"/>
    </row>
    <row r="116" spans="1:72" ht="13.5">
      <c r="A116" s="540"/>
      <c r="B116" s="567"/>
      <c r="C116" s="575"/>
      <c r="D116" s="576"/>
      <c r="E116" s="568"/>
      <c r="F116" s="568"/>
      <c r="G116" s="568"/>
      <c r="H116" s="579"/>
      <c r="I116" s="579"/>
      <c r="J116" s="654"/>
      <c r="K116" s="654"/>
      <c r="L116" s="654"/>
      <c r="M116" s="654"/>
      <c r="N116" s="582"/>
      <c r="O116" s="583"/>
      <c r="P116" s="582"/>
      <c r="Q116" s="579"/>
      <c r="R116" s="579"/>
      <c r="S116" s="579"/>
      <c r="T116" s="580"/>
      <c r="U116" s="580"/>
      <c r="V116" s="580"/>
      <c r="W116" s="580"/>
      <c r="X116" s="580"/>
      <c r="Y116" s="583"/>
      <c r="Z116" s="580"/>
      <c r="AA116" s="579"/>
      <c r="AB116" s="583"/>
      <c r="AC116" s="580"/>
      <c r="AD116" s="579"/>
      <c r="AE116" s="583"/>
      <c r="AF116" s="579"/>
      <c r="AG116" s="579"/>
      <c r="AH116" s="583"/>
      <c r="AI116" s="579"/>
      <c r="AJ116" s="579"/>
      <c r="AK116" s="584"/>
      <c r="AL116" s="579"/>
      <c r="AM116" s="579"/>
      <c r="AN116" s="579"/>
      <c r="AO116" s="579"/>
      <c r="AP116" s="579"/>
      <c r="AQ116" s="579"/>
      <c r="AR116" s="579"/>
      <c r="AS116" s="579"/>
      <c r="AT116" s="568"/>
      <c r="AU116" s="568"/>
      <c r="AV116" s="568"/>
      <c r="AW116" s="568"/>
      <c r="AX116" s="568"/>
      <c r="AY116" s="568"/>
      <c r="AZ116" s="565"/>
      <c r="BA116" s="569"/>
      <c r="BB116" s="551"/>
      <c r="BC116" s="552"/>
      <c r="BD116" s="553"/>
      <c r="BE116" s="596"/>
      <c r="BF116" s="596"/>
      <c r="BG116" s="596"/>
      <c r="BH116" s="596"/>
      <c r="BI116" s="596"/>
      <c r="BJ116" s="596"/>
      <c r="BK116" s="596"/>
      <c r="BL116" s="596"/>
      <c r="BM116" s="596"/>
      <c r="BN116" s="596"/>
      <c r="BO116" s="596"/>
      <c r="BP116" s="596"/>
      <c r="BQ116" s="596"/>
      <c r="BR116" s="596"/>
      <c r="BS116" s="596"/>
      <c r="BT116" s="596"/>
    </row>
    <row r="117" spans="1:72" ht="13.5">
      <c r="A117" s="540"/>
      <c r="B117" s="567"/>
      <c r="C117" s="575"/>
      <c r="D117" s="576"/>
      <c r="E117" s="568"/>
      <c r="F117" s="568"/>
      <c r="G117" s="568"/>
      <c r="H117" s="579"/>
      <c r="I117" s="579"/>
      <c r="J117" s="654"/>
      <c r="K117" s="654"/>
      <c r="L117" s="654"/>
      <c r="M117" s="654"/>
      <c r="N117" s="582"/>
      <c r="O117" s="583"/>
      <c r="P117" s="582"/>
      <c r="Q117" s="579"/>
      <c r="R117" s="579"/>
      <c r="S117" s="579"/>
      <c r="T117" s="580"/>
      <c r="U117" s="580"/>
      <c r="V117" s="580"/>
      <c r="W117" s="580"/>
      <c r="X117" s="580"/>
      <c r="Y117" s="583"/>
      <c r="Z117" s="580"/>
      <c r="AA117" s="579"/>
      <c r="AB117" s="583"/>
      <c r="AC117" s="580"/>
      <c r="AD117" s="579"/>
      <c r="AE117" s="583"/>
      <c r="AF117" s="579"/>
      <c r="AG117" s="579"/>
      <c r="AH117" s="583"/>
      <c r="AI117" s="579"/>
      <c r="AJ117" s="579"/>
      <c r="AK117" s="584"/>
      <c r="AL117" s="579"/>
      <c r="AM117" s="579"/>
      <c r="AN117" s="579"/>
      <c r="AO117" s="579"/>
      <c r="AP117" s="579"/>
      <c r="AQ117" s="579"/>
      <c r="AR117" s="579"/>
      <c r="AS117" s="579"/>
      <c r="AT117" s="568"/>
      <c r="AU117" s="568"/>
      <c r="AV117" s="568"/>
      <c r="AW117" s="568"/>
      <c r="AX117" s="568"/>
      <c r="AY117" s="568"/>
      <c r="AZ117" s="565"/>
      <c r="BA117" s="569"/>
      <c r="BB117" s="551"/>
      <c r="BC117" s="552"/>
      <c r="BD117" s="553"/>
      <c r="BE117" s="596"/>
      <c r="BF117" s="596"/>
      <c r="BG117" s="596"/>
      <c r="BH117" s="596"/>
      <c r="BI117" s="596"/>
      <c r="BJ117" s="596"/>
      <c r="BK117" s="596"/>
      <c r="BL117" s="596"/>
      <c r="BM117" s="596"/>
      <c r="BN117" s="596"/>
      <c r="BO117" s="596"/>
      <c r="BP117" s="596"/>
      <c r="BQ117" s="596"/>
      <c r="BR117" s="596"/>
      <c r="BS117" s="596"/>
      <c r="BT117" s="596"/>
    </row>
    <row r="118" spans="1:72" ht="13.5">
      <c r="A118" s="554"/>
      <c r="B118" s="643"/>
      <c r="C118" s="644"/>
      <c r="D118" s="645"/>
      <c r="E118" s="646"/>
      <c r="F118" s="646"/>
      <c r="G118" s="646"/>
      <c r="H118" s="647"/>
      <c r="I118" s="647"/>
      <c r="J118" s="648"/>
      <c r="K118" s="648"/>
      <c r="L118" s="648"/>
      <c r="M118" s="648"/>
      <c r="N118" s="649"/>
      <c r="O118" s="650"/>
      <c r="P118" s="649"/>
      <c r="Q118" s="647"/>
      <c r="R118" s="647"/>
      <c r="S118" s="647"/>
      <c r="T118" s="651"/>
      <c r="U118" s="651"/>
      <c r="V118" s="651"/>
      <c r="W118" s="651"/>
      <c r="X118" s="651"/>
      <c r="Y118" s="650"/>
      <c r="Z118" s="651"/>
      <c r="AA118" s="647"/>
      <c r="AB118" s="650"/>
      <c r="AC118" s="651"/>
      <c r="AD118" s="647"/>
      <c r="AE118" s="650"/>
      <c r="AF118" s="647"/>
      <c r="AG118" s="647"/>
      <c r="AH118" s="650"/>
      <c r="AI118" s="647"/>
      <c r="AJ118" s="647"/>
      <c r="AK118" s="652"/>
      <c r="AL118" s="647"/>
      <c r="AM118" s="647"/>
      <c r="AN118" s="647"/>
      <c r="AO118" s="647"/>
      <c r="AP118" s="647"/>
      <c r="AQ118" s="647"/>
      <c r="AR118" s="647"/>
      <c r="AS118" s="647"/>
      <c r="AT118" s="646"/>
      <c r="AU118" s="646"/>
      <c r="AV118" s="646"/>
      <c r="AW118" s="646"/>
      <c r="AX118" s="646"/>
      <c r="AY118" s="646"/>
      <c r="AZ118" s="599"/>
      <c r="BA118" s="578"/>
      <c r="BB118" s="555"/>
      <c r="BC118" s="556"/>
      <c r="BD118" s="553"/>
      <c r="BE118" s="596"/>
      <c r="BF118" s="596"/>
      <c r="BG118" s="596"/>
      <c r="BH118" s="596"/>
      <c r="BI118" s="596"/>
      <c r="BJ118" s="596"/>
      <c r="BK118" s="596"/>
      <c r="BL118" s="596"/>
      <c r="BM118" s="596"/>
      <c r="BN118" s="596"/>
      <c r="BO118" s="596"/>
      <c r="BP118" s="596"/>
      <c r="BQ118" s="596"/>
      <c r="BR118" s="596"/>
      <c r="BS118" s="596"/>
      <c r="BT118" s="596"/>
    </row>
    <row r="119" spans="1:72" ht="15">
      <c r="A119" s="539"/>
      <c r="B119" s="539"/>
      <c r="C119" s="539"/>
      <c r="D119" s="539"/>
      <c r="E119" s="539"/>
      <c r="F119" s="539"/>
      <c r="G119" s="539"/>
      <c r="H119" s="539"/>
      <c r="I119" s="539"/>
      <c r="J119" s="539"/>
      <c r="K119" s="539"/>
      <c r="L119" s="539"/>
      <c r="M119" s="539"/>
      <c r="N119" s="539"/>
      <c r="O119" s="539"/>
      <c r="P119" s="539"/>
      <c r="Q119" s="539"/>
      <c r="R119" s="539"/>
      <c r="S119" s="557"/>
      <c r="T119" s="557"/>
      <c r="U119" s="557"/>
      <c r="V119" s="557"/>
      <c r="W119" s="539"/>
      <c r="X119" s="539"/>
      <c r="Y119" s="557"/>
      <c r="Z119" s="557"/>
      <c r="AA119" s="539"/>
      <c r="AB119" s="539"/>
      <c r="AC119" s="539"/>
      <c r="AD119" s="557"/>
      <c r="AE119" s="557"/>
      <c r="AF119" s="557"/>
      <c r="AG119" s="557"/>
      <c r="AH119" s="557"/>
      <c r="AI119" s="557"/>
      <c r="AJ119" s="557"/>
      <c r="AK119" s="557"/>
      <c r="AL119" s="557"/>
      <c r="AM119" s="557"/>
      <c r="AN119" s="557"/>
      <c r="AO119" s="557"/>
      <c r="AP119" s="557"/>
      <c r="AQ119" s="557"/>
      <c r="AR119" s="557"/>
      <c r="AS119" s="557"/>
      <c r="AT119" s="557"/>
      <c r="AU119" s="557"/>
      <c r="AV119" s="557"/>
      <c r="AW119" s="557"/>
      <c r="AX119" s="557"/>
      <c r="AY119" s="557"/>
      <c r="AZ119" s="557"/>
      <c r="BA119" s="557"/>
      <c r="BB119" s="557"/>
      <c r="BC119" s="557"/>
      <c r="BD119" s="553"/>
      <c r="BE119" s="596"/>
      <c r="BF119" s="596"/>
      <c r="BG119" s="596"/>
      <c r="BH119" s="596"/>
      <c r="BI119" s="596"/>
      <c r="BJ119" s="596"/>
      <c r="BK119" s="596"/>
      <c r="BL119" s="596"/>
      <c r="BM119" s="596"/>
      <c r="BN119" s="596"/>
      <c r="BO119" s="596"/>
      <c r="BP119" s="596"/>
      <c r="BQ119" s="596"/>
      <c r="BR119" s="596"/>
      <c r="BS119" s="596"/>
      <c r="BT119" s="596"/>
    </row>
    <row r="120" spans="1:72" ht="15">
      <c r="A120" s="539"/>
      <c r="B120" s="539"/>
      <c r="C120" s="539"/>
      <c r="D120" s="539"/>
      <c r="E120" s="539"/>
      <c r="F120" s="539"/>
      <c r="G120" s="539"/>
      <c r="H120" s="539"/>
      <c r="I120" s="539"/>
      <c r="J120" s="539"/>
      <c r="K120" s="539"/>
      <c r="L120" s="539"/>
      <c r="M120" s="539"/>
      <c r="N120" s="539"/>
      <c r="O120" s="539"/>
      <c r="P120" s="539"/>
      <c r="Q120" s="539"/>
      <c r="R120" s="539"/>
      <c r="S120" s="557"/>
      <c r="T120" s="557"/>
      <c r="U120" s="557"/>
      <c r="V120" s="557"/>
      <c r="W120" s="539"/>
      <c r="X120" s="539"/>
      <c r="Y120" s="557"/>
      <c r="Z120" s="557"/>
      <c r="AA120" s="539"/>
      <c r="AB120" s="539"/>
      <c r="AC120" s="539"/>
      <c r="AD120" s="557"/>
      <c r="AE120" s="557"/>
      <c r="AF120" s="557"/>
      <c r="AG120" s="557"/>
      <c r="AH120" s="557"/>
      <c r="AI120" s="557"/>
      <c r="AJ120" s="557"/>
      <c r="AK120" s="557"/>
      <c r="AL120" s="557"/>
      <c r="AM120" s="557"/>
      <c r="AN120" s="557"/>
      <c r="AO120" s="557"/>
      <c r="AP120" s="557"/>
      <c r="AQ120" s="557"/>
      <c r="AR120" s="557"/>
      <c r="AS120" s="557"/>
      <c r="AT120" s="557"/>
      <c r="AU120" s="557"/>
      <c r="AV120" s="557"/>
      <c r="AW120" s="557"/>
      <c r="AX120" s="557"/>
      <c r="AY120" s="557"/>
      <c r="AZ120" s="557"/>
      <c r="BA120" s="557"/>
      <c r="BB120" s="557"/>
      <c r="BC120" s="557"/>
      <c r="BD120" s="553"/>
      <c r="BE120" s="596"/>
      <c r="BF120" s="596"/>
      <c r="BG120" s="596"/>
      <c r="BH120" s="596"/>
      <c r="BI120" s="596"/>
      <c r="BJ120" s="596"/>
      <c r="BK120" s="596"/>
      <c r="BL120" s="596"/>
      <c r="BM120" s="596"/>
      <c r="BN120" s="596"/>
      <c r="BO120" s="596"/>
      <c r="BP120" s="596"/>
      <c r="BQ120" s="596"/>
      <c r="BR120" s="596"/>
      <c r="BS120" s="596"/>
      <c r="BT120" s="596"/>
    </row>
    <row r="121" spans="1:72" ht="15">
      <c r="A121" s="539"/>
      <c r="B121" s="539"/>
      <c r="C121" s="539"/>
      <c r="D121" s="539"/>
      <c r="E121" s="539"/>
      <c r="F121" s="539"/>
      <c r="G121" s="539"/>
      <c r="H121" s="539"/>
      <c r="I121" s="539"/>
      <c r="J121" s="539"/>
      <c r="K121" s="539"/>
      <c r="L121" s="539"/>
      <c r="M121" s="539"/>
      <c r="N121" s="539"/>
      <c r="O121" s="539"/>
      <c r="P121" s="539"/>
      <c r="Q121" s="539"/>
      <c r="R121" s="539"/>
      <c r="S121" s="557"/>
      <c r="T121" s="557"/>
      <c r="U121" s="557"/>
      <c r="V121" s="557"/>
      <c r="W121" s="539"/>
      <c r="X121" s="539"/>
      <c r="Y121" s="557"/>
      <c r="Z121" s="557"/>
      <c r="AA121" s="539"/>
      <c r="AB121" s="539"/>
      <c r="AC121" s="539"/>
      <c r="AD121" s="557"/>
      <c r="AE121" s="557"/>
      <c r="AF121" s="557"/>
      <c r="AG121" s="557"/>
      <c r="AH121" s="557"/>
      <c r="AI121" s="557"/>
      <c r="AJ121" s="557"/>
      <c r="AK121" s="557"/>
      <c r="AL121" s="557"/>
      <c r="AM121" s="557"/>
      <c r="AN121" s="557"/>
      <c r="AO121" s="557"/>
      <c r="AP121" s="557"/>
      <c r="AQ121" s="557"/>
      <c r="AR121" s="557"/>
      <c r="AS121" s="557"/>
      <c r="AT121" s="557"/>
      <c r="AU121" s="557"/>
      <c r="AV121" s="557"/>
      <c r="AW121" s="557"/>
      <c r="AX121" s="557"/>
      <c r="AY121" s="557"/>
      <c r="AZ121" s="557"/>
      <c r="BA121" s="557"/>
      <c r="BB121" s="557"/>
      <c r="BC121" s="557"/>
      <c r="BD121" s="553"/>
      <c r="BE121" s="596"/>
      <c r="BF121" s="596"/>
      <c r="BG121" s="596"/>
      <c r="BH121" s="596"/>
      <c r="BI121" s="596"/>
      <c r="BJ121" s="596"/>
      <c r="BK121" s="596"/>
      <c r="BL121" s="596"/>
      <c r="BM121" s="596"/>
      <c r="BN121" s="596"/>
      <c r="BO121" s="596"/>
      <c r="BP121" s="596"/>
      <c r="BQ121" s="596"/>
      <c r="BR121" s="596"/>
      <c r="BS121" s="596"/>
      <c r="BT121" s="596"/>
    </row>
    <row r="122" spans="1:72" ht="15">
      <c r="A122" s="539"/>
      <c r="B122" s="539"/>
      <c r="C122" s="539"/>
      <c r="D122" s="539"/>
      <c r="E122" s="539"/>
      <c r="F122" s="539"/>
      <c r="G122" s="539"/>
      <c r="H122" s="539"/>
      <c r="I122" s="539"/>
      <c r="J122" s="539"/>
      <c r="K122" s="539"/>
      <c r="L122" s="539"/>
      <c r="M122" s="539"/>
      <c r="N122" s="539"/>
      <c r="O122" s="539"/>
      <c r="P122" s="539"/>
      <c r="Q122" s="539"/>
      <c r="R122" s="539"/>
      <c r="S122" s="557"/>
      <c r="T122" s="557"/>
      <c r="U122" s="557"/>
      <c r="V122" s="557"/>
      <c r="W122" s="539"/>
      <c r="X122" s="539"/>
      <c r="Y122" s="557"/>
      <c r="Z122" s="557"/>
      <c r="AA122" s="539"/>
      <c r="AB122" s="539"/>
      <c r="AC122" s="539"/>
      <c r="AD122" s="557"/>
      <c r="AE122" s="557"/>
      <c r="AF122" s="557"/>
      <c r="AG122" s="557"/>
      <c r="AH122" s="557"/>
      <c r="AI122" s="557"/>
      <c r="AJ122" s="557"/>
      <c r="AK122" s="557"/>
      <c r="AL122" s="557"/>
      <c r="AM122" s="557"/>
      <c r="AN122" s="557"/>
      <c r="AO122" s="557"/>
      <c r="AP122" s="557"/>
      <c r="AQ122" s="557"/>
      <c r="AR122" s="557"/>
      <c r="AS122" s="557"/>
      <c r="AT122" s="557"/>
      <c r="AU122" s="557"/>
      <c r="AV122" s="557"/>
      <c r="AW122" s="557"/>
      <c r="AX122" s="557"/>
      <c r="AY122" s="557"/>
      <c r="AZ122" s="557"/>
      <c r="BA122" s="557"/>
      <c r="BB122" s="557"/>
      <c r="BC122" s="557"/>
      <c r="BD122" s="553"/>
      <c r="BE122" s="596"/>
      <c r="BF122" s="596"/>
      <c r="BG122" s="596"/>
      <c r="BH122" s="596"/>
      <c r="BI122" s="596"/>
      <c r="BJ122" s="596"/>
      <c r="BK122" s="596"/>
      <c r="BL122" s="596"/>
      <c r="BM122" s="596"/>
      <c r="BN122" s="596"/>
      <c r="BO122" s="596"/>
      <c r="BP122" s="596"/>
      <c r="BQ122" s="596"/>
      <c r="BR122" s="596"/>
      <c r="BS122" s="596"/>
      <c r="BT122" s="596"/>
    </row>
    <row r="123" spans="1:72" ht="15">
      <c r="A123" s="539"/>
      <c r="B123" s="539"/>
      <c r="C123" s="539"/>
      <c r="D123" s="539"/>
      <c r="E123" s="539"/>
      <c r="F123" s="539"/>
      <c r="G123" s="539"/>
      <c r="H123" s="539"/>
      <c r="I123" s="539"/>
      <c r="J123" s="539"/>
      <c r="K123" s="539"/>
      <c r="L123" s="539"/>
      <c r="M123" s="539"/>
      <c r="N123" s="539"/>
      <c r="O123" s="539"/>
      <c r="P123" s="539"/>
      <c r="Q123" s="539"/>
      <c r="R123" s="539"/>
      <c r="S123" s="557"/>
      <c r="T123" s="557"/>
      <c r="U123" s="557"/>
      <c r="V123" s="557"/>
      <c r="W123" s="539"/>
      <c r="X123" s="539"/>
      <c r="Y123" s="557"/>
      <c r="Z123" s="557"/>
      <c r="AA123" s="539"/>
      <c r="AB123" s="539"/>
      <c r="AC123" s="539"/>
      <c r="AD123" s="557"/>
      <c r="AE123" s="557"/>
      <c r="AF123" s="557"/>
      <c r="AG123" s="557"/>
      <c r="AH123" s="557"/>
      <c r="AI123" s="557"/>
      <c r="AJ123" s="557"/>
      <c r="AK123" s="557"/>
      <c r="AL123" s="557"/>
      <c r="AM123" s="557"/>
      <c r="AN123" s="557"/>
      <c r="AO123" s="557"/>
      <c r="AP123" s="557"/>
      <c r="AQ123" s="557"/>
      <c r="AR123" s="557"/>
      <c r="AS123" s="557"/>
      <c r="AT123" s="557"/>
      <c r="AU123" s="557"/>
      <c r="AV123" s="557"/>
      <c r="AW123" s="557"/>
      <c r="AX123" s="557"/>
      <c r="AY123" s="557"/>
      <c r="AZ123" s="557"/>
      <c r="BA123" s="557"/>
      <c r="BB123" s="557"/>
      <c r="BC123" s="557"/>
      <c r="BD123" s="553"/>
      <c r="BE123" s="596"/>
      <c r="BF123" s="596"/>
      <c r="BG123" s="596"/>
      <c r="BH123" s="596"/>
      <c r="BI123" s="596"/>
      <c r="BJ123" s="596"/>
      <c r="BK123" s="596"/>
      <c r="BL123" s="596"/>
      <c r="BM123" s="596"/>
      <c r="BN123" s="596"/>
      <c r="BO123" s="596"/>
      <c r="BP123" s="596"/>
      <c r="BQ123" s="596"/>
      <c r="BR123" s="596"/>
      <c r="BS123" s="596"/>
      <c r="BT123" s="596"/>
    </row>
    <row r="124" spans="1:72" ht="15">
      <c r="A124" s="539"/>
      <c r="B124" s="539"/>
      <c r="C124" s="539"/>
      <c r="D124" s="539"/>
      <c r="E124" s="539"/>
      <c r="F124" s="539"/>
      <c r="G124" s="539"/>
      <c r="H124" s="539"/>
      <c r="I124" s="539"/>
      <c r="J124" s="539"/>
      <c r="K124" s="539"/>
      <c r="L124" s="539"/>
      <c r="M124" s="539"/>
      <c r="N124" s="539"/>
      <c r="O124" s="539"/>
      <c r="P124" s="539"/>
      <c r="Q124" s="539"/>
      <c r="R124" s="539"/>
      <c r="S124" s="557"/>
      <c r="T124" s="557"/>
      <c r="U124" s="557"/>
      <c r="V124" s="557"/>
      <c r="W124" s="539"/>
      <c r="X124" s="539"/>
      <c r="Y124" s="557"/>
      <c r="Z124" s="557"/>
      <c r="AA124" s="539"/>
      <c r="AB124" s="539"/>
      <c r="AC124" s="539"/>
      <c r="AD124" s="557"/>
      <c r="AE124" s="557"/>
      <c r="AF124" s="557"/>
      <c r="AG124" s="557"/>
      <c r="AH124" s="557"/>
      <c r="AI124" s="557"/>
      <c r="AJ124" s="557"/>
      <c r="AK124" s="557"/>
      <c r="AL124" s="557"/>
      <c r="AM124" s="557"/>
      <c r="AN124" s="557"/>
      <c r="AO124" s="557"/>
      <c r="AP124" s="557"/>
      <c r="AQ124" s="557"/>
      <c r="AR124" s="557"/>
      <c r="AS124" s="557"/>
      <c r="AT124" s="557"/>
      <c r="AU124" s="557"/>
      <c r="AV124" s="557"/>
      <c r="AW124" s="557"/>
      <c r="AX124" s="557"/>
      <c r="AY124" s="557"/>
      <c r="AZ124" s="557"/>
      <c r="BA124" s="557"/>
      <c r="BB124" s="557"/>
      <c r="BC124" s="557"/>
      <c r="BD124" s="553"/>
      <c r="BE124" s="596"/>
      <c r="BF124" s="596"/>
      <c r="BG124" s="596"/>
      <c r="BH124" s="596"/>
      <c r="BI124" s="596"/>
      <c r="BJ124" s="596"/>
      <c r="BK124" s="596"/>
      <c r="BL124" s="596"/>
      <c r="BM124" s="596"/>
      <c r="BN124" s="596"/>
      <c r="BO124" s="596"/>
      <c r="BP124" s="596"/>
      <c r="BQ124" s="596"/>
      <c r="BR124" s="596"/>
      <c r="BS124" s="596"/>
      <c r="BT124" s="596"/>
    </row>
    <row r="125" spans="1:72" ht="15">
      <c r="A125" s="539"/>
      <c r="B125" s="539"/>
      <c r="C125" s="539"/>
      <c r="D125" s="539"/>
      <c r="E125" s="539"/>
      <c r="F125" s="539"/>
      <c r="G125" s="539"/>
      <c r="H125" s="539"/>
      <c r="I125" s="539"/>
      <c r="J125" s="539"/>
      <c r="K125" s="539"/>
      <c r="L125" s="539"/>
      <c r="M125" s="539"/>
      <c r="N125" s="539"/>
      <c r="O125" s="539"/>
      <c r="P125" s="539"/>
      <c r="Q125" s="539"/>
      <c r="R125" s="539"/>
      <c r="S125" s="557"/>
      <c r="T125" s="557"/>
      <c r="U125" s="557"/>
      <c r="V125" s="557"/>
      <c r="W125" s="539"/>
      <c r="X125" s="539"/>
      <c r="Y125" s="557"/>
      <c r="Z125" s="557"/>
      <c r="AA125" s="539"/>
      <c r="AB125" s="539"/>
      <c r="AC125" s="539"/>
      <c r="AD125" s="557"/>
      <c r="AE125" s="557"/>
      <c r="AF125" s="557"/>
      <c r="AG125" s="557"/>
      <c r="AH125" s="557"/>
      <c r="AI125" s="557"/>
      <c r="AJ125" s="557"/>
      <c r="AK125" s="557"/>
      <c r="AL125" s="557"/>
      <c r="AM125" s="557"/>
      <c r="AN125" s="557"/>
      <c r="AO125" s="557"/>
      <c r="AP125" s="557"/>
      <c r="AQ125" s="557"/>
      <c r="AR125" s="557"/>
      <c r="AS125" s="557"/>
      <c r="AT125" s="557"/>
      <c r="AU125" s="557"/>
      <c r="AV125" s="557"/>
      <c r="AW125" s="557"/>
      <c r="AX125" s="557"/>
      <c r="AY125" s="557"/>
      <c r="AZ125" s="557"/>
      <c r="BA125" s="557"/>
      <c r="BB125" s="557"/>
      <c r="BC125" s="557"/>
      <c r="BD125" s="553"/>
      <c r="BE125" s="596"/>
      <c r="BF125" s="596"/>
      <c r="BG125" s="596"/>
      <c r="BH125" s="596"/>
      <c r="BI125" s="596"/>
      <c r="BJ125" s="596"/>
      <c r="BK125" s="596"/>
      <c r="BL125" s="596"/>
      <c r="BM125" s="596"/>
      <c r="BN125" s="596"/>
      <c r="BO125" s="596"/>
      <c r="BP125" s="596"/>
      <c r="BQ125" s="596"/>
      <c r="BR125" s="596"/>
      <c r="BS125" s="596"/>
      <c r="BT125" s="596"/>
    </row>
    <row r="126" spans="1:72" ht="15">
      <c r="A126" s="539"/>
      <c r="B126" s="539"/>
      <c r="C126" s="539"/>
      <c r="D126" s="539"/>
      <c r="E126" s="539"/>
      <c r="F126" s="539"/>
      <c r="G126" s="539"/>
      <c r="H126" s="539"/>
      <c r="I126" s="539"/>
      <c r="J126" s="539"/>
      <c r="K126" s="539"/>
      <c r="L126" s="539"/>
      <c r="M126" s="539"/>
      <c r="N126" s="539"/>
      <c r="O126" s="539"/>
      <c r="P126" s="539"/>
      <c r="Q126" s="539"/>
      <c r="R126" s="539"/>
      <c r="S126" s="557"/>
      <c r="T126" s="557"/>
      <c r="U126" s="557"/>
      <c r="V126" s="557"/>
      <c r="W126" s="539"/>
      <c r="X126" s="539"/>
      <c r="Y126" s="557"/>
      <c r="Z126" s="557"/>
      <c r="AA126" s="539"/>
      <c r="AB126" s="539"/>
      <c r="AC126" s="539"/>
      <c r="AD126" s="557"/>
      <c r="AE126" s="557"/>
      <c r="AF126" s="557"/>
      <c r="AG126" s="557"/>
      <c r="AH126" s="557"/>
      <c r="AI126" s="557"/>
      <c r="AJ126" s="557"/>
      <c r="AK126" s="557"/>
      <c r="AL126" s="557"/>
      <c r="AM126" s="557"/>
      <c r="AN126" s="557"/>
      <c r="AO126" s="557"/>
      <c r="AP126" s="557"/>
      <c r="AQ126" s="557"/>
      <c r="AR126" s="557"/>
      <c r="AS126" s="557"/>
      <c r="AT126" s="557"/>
      <c r="AU126" s="557"/>
      <c r="AV126" s="557"/>
      <c r="AW126" s="557"/>
      <c r="AX126" s="557"/>
      <c r="AY126" s="557"/>
      <c r="AZ126" s="557"/>
      <c r="BA126" s="557"/>
      <c r="BB126" s="557"/>
      <c r="BC126" s="557"/>
      <c r="BD126" s="553"/>
      <c r="BE126" s="596"/>
      <c r="BF126" s="596"/>
      <c r="BG126" s="596"/>
      <c r="BH126" s="596"/>
      <c r="BI126" s="596"/>
      <c r="BJ126" s="596"/>
      <c r="BK126" s="596"/>
      <c r="BL126" s="596"/>
      <c r="BM126" s="596"/>
      <c r="BN126" s="596"/>
      <c r="BO126" s="596"/>
      <c r="BP126" s="596"/>
      <c r="BQ126" s="596"/>
      <c r="BR126" s="596"/>
      <c r="BS126" s="596"/>
      <c r="BT126" s="596"/>
    </row>
    <row r="127" spans="1:72" ht="15">
      <c r="A127" s="539"/>
      <c r="B127" s="539"/>
      <c r="C127" s="539"/>
      <c r="D127" s="539"/>
      <c r="E127" s="539"/>
      <c r="F127" s="539"/>
      <c r="G127" s="539"/>
      <c r="H127" s="539"/>
      <c r="I127" s="539"/>
      <c r="J127" s="539"/>
      <c r="K127" s="539"/>
      <c r="L127" s="539"/>
      <c r="M127" s="539"/>
      <c r="N127" s="539"/>
      <c r="O127" s="539"/>
      <c r="P127" s="539"/>
      <c r="Q127" s="539"/>
      <c r="R127" s="539"/>
      <c r="S127" s="557"/>
      <c r="T127" s="557"/>
      <c r="U127" s="557"/>
      <c r="V127" s="557"/>
      <c r="W127" s="539"/>
      <c r="X127" s="539"/>
      <c r="Y127" s="557"/>
      <c r="Z127" s="557"/>
      <c r="AA127" s="539"/>
      <c r="AB127" s="539"/>
      <c r="AC127" s="539"/>
      <c r="AD127" s="557"/>
      <c r="AE127" s="557"/>
      <c r="AF127" s="557"/>
      <c r="AG127" s="557"/>
      <c r="AH127" s="557"/>
      <c r="AI127" s="557"/>
      <c r="AJ127" s="557"/>
      <c r="AK127" s="557"/>
      <c r="AL127" s="557"/>
      <c r="AM127" s="557"/>
      <c r="AN127" s="557"/>
      <c r="AO127" s="557"/>
      <c r="AP127" s="557"/>
      <c r="AQ127" s="557"/>
      <c r="AR127" s="557"/>
      <c r="AS127" s="557"/>
      <c r="AT127" s="557"/>
      <c r="AU127" s="557"/>
      <c r="AV127" s="557"/>
      <c r="AW127" s="557"/>
      <c r="AX127" s="557"/>
      <c r="AY127" s="557"/>
      <c r="AZ127" s="557"/>
      <c r="BA127" s="557"/>
      <c r="BB127" s="557"/>
      <c r="BC127" s="557"/>
      <c r="BD127" s="553"/>
      <c r="BE127" s="596"/>
      <c r="BF127" s="596"/>
      <c r="BG127" s="596"/>
      <c r="BH127" s="596"/>
      <c r="BI127" s="596"/>
      <c r="BJ127" s="596"/>
      <c r="BK127" s="596"/>
      <c r="BL127" s="596"/>
      <c r="BM127" s="596"/>
      <c r="BN127" s="596"/>
      <c r="BO127" s="596"/>
      <c r="BP127" s="596"/>
      <c r="BQ127" s="596"/>
      <c r="BR127" s="596"/>
      <c r="BS127" s="596"/>
      <c r="BT127" s="596"/>
    </row>
    <row r="128" spans="1:72" ht="15">
      <c r="A128" s="539"/>
      <c r="B128" s="539"/>
      <c r="C128" s="539"/>
      <c r="D128" s="539"/>
      <c r="E128" s="539"/>
      <c r="F128" s="539"/>
      <c r="G128" s="539"/>
      <c r="H128" s="539"/>
      <c r="I128" s="539"/>
      <c r="J128" s="539"/>
      <c r="K128" s="539"/>
      <c r="L128" s="539"/>
      <c r="M128" s="539"/>
      <c r="N128" s="539"/>
      <c r="O128" s="539"/>
      <c r="P128" s="539"/>
      <c r="Q128" s="539"/>
      <c r="R128" s="539"/>
      <c r="S128" s="557"/>
      <c r="T128" s="557"/>
      <c r="U128" s="557"/>
      <c r="V128" s="557"/>
      <c r="W128" s="539"/>
      <c r="X128" s="539"/>
      <c r="Y128" s="557"/>
      <c r="Z128" s="557"/>
      <c r="AA128" s="539"/>
      <c r="AB128" s="539"/>
      <c r="AC128" s="539"/>
      <c r="AD128" s="557"/>
      <c r="AE128" s="557"/>
      <c r="AF128" s="557"/>
      <c r="AG128" s="557"/>
      <c r="AH128" s="557"/>
      <c r="AI128" s="557"/>
      <c r="AJ128" s="557"/>
      <c r="AK128" s="557"/>
      <c r="AL128" s="557"/>
      <c r="AM128" s="557"/>
      <c r="AN128" s="557"/>
      <c r="AO128" s="557"/>
      <c r="AP128" s="557"/>
      <c r="AQ128" s="557"/>
      <c r="AR128" s="557"/>
      <c r="AS128" s="557"/>
      <c r="AT128" s="557"/>
      <c r="AU128" s="557"/>
      <c r="AV128" s="557"/>
      <c r="AW128" s="557"/>
      <c r="AX128" s="557"/>
      <c r="AY128" s="557"/>
      <c r="AZ128" s="557"/>
      <c r="BA128" s="557"/>
      <c r="BB128" s="557"/>
      <c r="BC128" s="557"/>
      <c r="BD128" s="553"/>
      <c r="BE128" s="596"/>
      <c r="BF128" s="596"/>
      <c r="BG128" s="596"/>
      <c r="BH128" s="596"/>
      <c r="BI128" s="596"/>
      <c r="BJ128" s="596"/>
      <c r="BK128" s="596"/>
      <c r="BL128" s="596"/>
      <c r="BM128" s="596"/>
      <c r="BN128" s="596"/>
      <c r="BO128" s="596"/>
      <c r="BP128" s="596"/>
      <c r="BQ128" s="596"/>
      <c r="BR128" s="596"/>
      <c r="BS128" s="596"/>
      <c r="BT128" s="596"/>
    </row>
    <row r="129" spans="1:72" ht="15">
      <c r="A129" s="539"/>
      <c r="B129" s="539"/>
      <c r="C129" s="539"/>
      <c r="D129" s="539"/>
      <c r="E129" s="539"/>
      <c r="F129" s="539"/>
      <c r="G129" s="539"/>
      <c r="H129" s="539"/>
      <c r="I129" s="539"/>
      <c r="J129" s="539"/>
      <c r="K129" s="539"/>
      <c r="L129" s="539"/>
      <c r="M129" s="539"/>
      <c r="N129" s="539"/>
      <c r="O129" s="539"/>
      <c r="P129" s="539"/>
      <c r="Q129" s="539"/>
      <c r="R129" s="539"/>
      <c r="S129" s="557"/>
      <c r="T129" s="557"/>
      <c r="U129" s="557"/>
      <c r="V129" s="557"/>
      <c r="W129" s="539"/>
      <c r="X129" s="539"/>
      <c r="Y129" s="557"/>
      <c r="Z129" s="557"/>
      <c r="AA129" s="539"/>
      <c r="AB129" s="539"/>
      <c r="AC129" s="539"/>
      <c r="AD129" s="557"/>
      <c r="AE129" s="557"/>
      <c r="AF129" s="557"/>
      <c r="AG129" s="557"/>
      <c r="AH129" s="557"/>
      <c r="AI129" s="557"/>
      <c r="AJ129" s="557"/>
      <c r="AK129" s="557"/>
      <c r="AL129" s="557"/>
      <c r="AM129" s="557"/>
      <c r="AN129" s="557"/>
      <c r="AO129" s="557"/>
      <c r="AP129" s="557"/>
      <c r="AQ129" s="557"/>
      <c r="AR129" s="557"/>
      <c r="AS129" s="557"/>
      <c r="AT129" s="557"/>
      <c r="AU129" s="557"/>
      <c r="AV129" s="557"/>
      <c r="AW129" s="557"/>
      <c r="AX129" s="557"/>
      <c r="AY129" s="557"/>
      <c r="AZ129" s="557"/>
      <c r="BA129" s="557"/>
      <c r="BB129" s="557"/>
      <c r="BC129" s="557"/>
      <c r="BD129" s="553"/>
      <c r="BE129" s="596"/>
      <c r="BF129" s="596"/>
      <c r="BG129" s="596"/>
      <c r="BH129" s="596"/>
      <c r="BI129" s="596"/>
      <c r="BJ129" s="596"/>
      <c r="BK129" s="596"/>
      <c r="BL129" s="596"/>
      <c r="BM129" s="596"/>
      <c r="BN129" s="596"/>
      <c r="BO129" s="596"/>
      <c r="BP129" s="596"/>
      <c r="BQ129" s="596"/>
      <c r="BR129" s="596"/>
      <c r="BS129" s="596"/>
      <c r="BT129" s="596"/>
    </row>
    <row r="130" spans="1:72" ht="15">
      <c r="A130" s="539"/>
      <c r="B130" s="539"/>
      <c r="C130" s="539"/>
      <c r="D130" s="539"/>
      <c r="E130" s="539"/>
      <c r="F130" s="539"/>
      <c r="G130" s="539"/>
      <c r="H130" s="539"/>
      <c r="I130" s="539"/>
      <c r="J130" s="539"/>
      <c r="K130" s="539"/>
      <c r="L130" s="539"/>
      <c r="M130" s="539"/>
      <c r="N130" s="539"/>
      <c r="O130" s="539"/>
      <c r="P130" s="539"/>
      <c r="Q130" s="539"/>
      <c r="R130" s="539"/>
      <c r="S130" s="557"/>
      <c r="T130" s="557"/>
      <c r="U130" s="557"/>
      <c r="V130" s="557"/>
      <c r="W130" s="539"/>
      <c r="X130" s="539"/>
      <c r="Y130" s="557"/>
      <c r="Z130" s="557"/>
      <c r="AA130" s="539"/>
      <c r="AB130" s="539"/>
      <c r="AC130" s="539"/>
      <c r="AD130" s="557"/>
      <c r="AE130" s="557"/>
      <c r="AF130" s="557"/>
      <c r="AG130" s="557"/>
      <c r="AH130" s="557"/>
      <c r="AI130" s="557"/>
      <c r="AJ130" s="557"/>
      <c r="AK130" s="557"/>
      <c r="AL130" s="557"/>
      <c r="AM130" s="557"/>
      <c r="AN130" s="557"/>
      <c r="AO130" s="557"/>
      <c r="AP130" s="557"/>
      <c r="AQ130" s="557"/>
      <c r="AR130" s="557"/>
      <c r="AS130" s="557"/>
      <c r="AT130" s="557"/>
      <c r="AU130" s="557"/>
      <c r="AV130" s="557"/>
      <c r="AW130" s="557"/>
      <c r="AX130" s="557"/>
      <c r="AY130" s="557"/>
      <c r="AZ130" s="557"/>
      <c r="BA130" s="557"/>
      <c r="BB130" s="557"/>
      <c r="BC130" s="557"/>
      <c r="BD130" s="553"/>
      <c r="BE130" s="596"/>
      <c r="BF130" s="596"/>
      <c r="BG130" s="596"/>
      <c r="BH130" s="596"/>
      <c r="BI130" s="596"/>
      <c r="BJ130" s="596"/>
      <c r="BK130" s="596"/>
      <c r="BL130" s="596"/>
      <c r="BM130" s="596"/>
      <c r="BN130" s="596"/>
      <c r="BO130" s="596"/>
      <c r="BP130" s="596"/>
      <c r="BQ130" s="596"/>
      <c r="BR130" s="596"/>
      <c r="BS130" s="596"/>
      <c r="BT130" s="596"/>
    </row>
    <row r="131" spans="1:72" ht="15">
      <c r="A131" s="539"/>
      <c r="B131" s="539"/>
      <c r="C131" s="539"/>
      <c r="D131" s="539"/>
      <c r="E131" s="539"/>
      <c r="F131" s="539"/>
      <c r="G131" s="539"/>
      <c r="H131" s="539"/>
      <c r="I131" s="539"/>
      <c r="J131" s="539"/>
      <c r="K131" s="539"/>
      <c r="L131" s="539"/>
      <c r="M131" s="539"/>
      <c r="N131" s="539"/>
      <c r="O131" s="539"/>
      <c r="P131" s="539"/>
      <c r="Q131" s="539"/>
      <c r="R131" s="539"/>
      <c r="S131" s="557"/>
      <c r="T131" s="557"/>
      <c r="U131" s="557"/>
      <c r="V131" s="557"/>
      <c r="W131" s="539"/>
      <c r="X131" s="539"/>
      <c r="Y131" s="557"/>
      <c r="Z131" s="557"/>
      <c r="AA131" s="539"/>
      <c r="AB131" s="539"/>
      <c r="AC131" s="539"/>
      <c r="AD131" s="557"/>
      <c r="AE131" s="557"/>
      <c r="AF131" s="557"/>
      <c r="AG131" s="557"/>
      <c r="AH131" s="557"/>
      <c r="AI131" s="557"/>
      <c r="AJ131" s="557"/>
      <c r="AK131" s="557"/>
      <c r="AL131" s="557"/>
      <c r="AM131" s="557"/>
      <c r="AN131" s="557"/>
      <c r="AO131" s="557"/>
      <c r="AP131" s="557"/>
      <c r="AQ131" s="557"/>
      <c r="AR131" s="557"/>
      <c r="AS131" s="557"/>
      <c r="AT131" s="557"/>
      <c r="AU131" s="557"/>
      <c r="AV131" s="557"/>
      <c r="AW131" s="557"/>
      <c r="AX131" s="557"/>
      <c r="AY131" s="557"/>
      <c r="AZ131" s="557"/>
      <c r="BA131" s="557"/>
      <c r="BB131" s="557"/>
      <c r="BC131" s="557"/>
      <c r="BD131" s="553"/>
      <c r="BE131" s="596"/>
      <c r="BF131" s="596"/>
      <c r="BG131" s="596"/>
      <c r="BH131" s="596"/>
      <c r="BI131" s="596"/>
      <c r="BJ131" s="596"/>
      <c r="BK131" s="596"/>
      <c r="BL131" s="596"/>
      <c r="BM131" s="596"/>
      <c r="BN131" s="596"/>
      <c r="BO131" s="596"/>
      <c r="BP131" s="596"/>
      <c r="BQ131" s="596"/>
      <c r="BR131" s="596"/>
      <c r="BS131" s="596"/>
      <c r="BT131" s="596"/>
    </row>
    <row r="132" spans="1:72" ht="15">
      <c r="A132" s="539"/>
      <c r="B132" s="539"/>
      <c r="C132" s="539"/>
      <c r="D132" s="539"/>
      <c r="E132" s="539"/>
      <c r="F132" s="539"/>
      <c r="G132" s="539"/>
      <c r="H132" s="539"/>
      <c r="I132" s="539"/>
      <c r="J132" s="539"/>
      <c r="K132" s="539"/>
      <c r="L132" s="539"/>
      <c r="M132" s="539"/>
      <c r="N132" s="539"/>
      <c r="O132" s="539"/>
      <c r="P132" s="539"/>
      <c r="Q132" s="539"/>
      <c r="R132" s="539"/>
      <c r="S132" s="557"/>
      <c r="T132" s="557"/>
      <c r="U132" s="557"/>
      <c r="V132" s="557"/>
      <c r="W132" s="539"/>
      <c r="X132" s="539"/>
      <c r="Y132" s="557"/>
      <c r="Z132" s="557"/>
      <c r="AA132" s="539"/>
      <c r="AB132" s="539"/>
      <c r="AC132" s="539"/>
      <c r="AD132" s="557"/>
      <c r="AE132" s="557"/>
      <c r="AF132" s="557"/>
      <c r="AG132" s="557"/>
      <c r="AH132" s="557"/>
      <c r="AI132" s="557"/>
      <c r="AJ132" s="557"/>
      <c r="AK132" s="557"/>
      <c r="AL132" s="557"/>
      <c r="AM132" s="557"/>
      <c r="AN132" s="557"/>
      <c r="AO132" s="557"/>
      <c r="AP132" s="557"/>
      <c r="AQ132" s="557"/>
      <c r="AR132" s="557"/>
      <c r="AS132" s="557"/>
      <c r="AT132" s="557"/>
      <c r="AU132" s="557"/>
      <c r="AV132" s="557"/>
      <c r="AW132" s="557"/>
      <c r="AX132" s="557"/>
      <c r="AY132" s="557"/>
      <c r="AZ132" s="557"/>
      <c r="BA132" s="557"/>
      <c r="BB132" s="557"/>
      <c r="BC132" s="557"/>
      <c r="BD132" s="553"/>
      <c r="BE132" s="596"/>
      <c r="BF132" s="596"/>
      <c r="BG132" s="596"/>
      <c r="BH132" s="596"/>
      <c r="BI132" s="596"/>
      <c r="BJ132" s="596"/>
      <c r="BK132" s="596"/>
      <c r="BL132" s="596"/>
      <c r="BM132" s="596"/>
      <c r="BN132" s="596"/>
      <c r="BO132" s="596"/>
      <c r="BP132" s="596"/>
      <c r="BQ132" s="596"/>
      <c r="BR132" s="596"/>
      <c r="BS132" s="596"/>
      <c r="BT132" s="596"/>
    </row>
    <row r="133" spans="1:72" ht="15">
      <c r="A133" s="539"/>
      <c r="B133" s="539"/>
      <c r="C133" s="539"/>
      <c r="D133" s="539"/>
      <c r="E133" s="539"/>
      <c r="F133" s="539"/>
      <c r="G133" s="539"/>
      <c r="H133" s="539"/>
      <c r="I133" s="539"/>
      <c r="J133" s="539"/>
      <c r="K133" s="539"/>
      <c r="L133" s="539"/>
      <c r="M133" s="539"/>
      <c r="N133" s="539"/>
      <c r="O133" s="539"/>
      <c r="P133" s="539"/>
      <c r="Q133" s="539"/>
      <c r="R133" s="539"/>
      <c r="S133" s="557"/>
      <c r="T133" s="557"/>
      <c r="U133" s="557"/>
      <c r="V133" s="557"/>
      <c r="W133" s="539"/>
      <c r="X133" s="539"/>
      <c r="Y133" s="557"/>
      <c r="Z133" s="557"/>
      <c r="AA133" s="539"/>
      <c r="AB133" s="539"/>
      <c r="AC133" s="539"/>
      <c r="AD133" s="557"/>
      <c r="AE133" s="557"/>
      <c r="AF133" s="557"/>
      <c r="AG133" s="557"/>
      <c r="AH133" s="557"/>
      <c r="AI133" s="557"/>
      <c r="AJ133" s="557"/>
      <c r="AK133" s="557"/>
      <c r="AL133" s="557"/>
      <c r="AM133" s="557"/>
      <c r="AN133" s="557"/>
      <c r="AO133" s="557"/>
      <c r="AP133" s="557"/>
      <c r="AQ133" s="557"/>
      <c r="AR133" s="557"/>
      <c r="AS133" s="557"/>
      <c r="AT133" s="557"/>
      <c r="AU133" s="557"/>
      <c r="AV133" s="557"/>
      <c r="AW133" s="557"/>
      <c r="AX133" s="557"/>
      <c r="AY133" s="557"/>
      <c r="AZ133" s="557"/>
      <c r="BA133" s="557"/>
      <c r="BB133" s="557"/>
      <c r="BC133" s="557"/>
      <c r="BD133" s="553"/>
      <c r="BE133" s="596"/>
      <c r="BF133" s="596"/>
      <c r="BG133" s="596"/>
      <c r="BH133" s="596"/>
      <c r="BI133" s="596"/>
      <c r="BJ133" s="596"/>
      <c r="BK133" s="596"/>
      <c r="BL133" s="596"/>
      <c r="BM133" s="596"/>
      <c r="BN133" s="596"/>
      <c r="BO133" s="596"/>
      <c r="BP133" s="596"/>
      <c r="BQ133" s="596"/>
      <c r="BR133" s="596"/>
      <c r="BS133" s="596"/>
      <c r="BT133" s="596"/>
    </row>
    <row r="134" spans="1:72" ht="15">
      <c r="A134" s="539"/>
      <c r="B134" s="539"/>
      <c r="C134" s="539"/>
      <c r="D134" s="539"/>
      <c r="E134" s="539"/>
      <c r="F134" s="539"/>
      <c r="G134" s="539"/>
      <c r="H134" s="539"/>
      <c r="I134" s="539"/>
      <c r="J134" s="539"/>
      <c r="K134" s="539"/>
      <c r="L134" s="539"/>
      <c r="M134" s="539"/>
      <c r="N134" s="539"/>
      <c r="O134" s="539"/>
      <c r="P134" s="539"/>
      <c r="Q134" s="539"/>
      <c r="R134" s="539"/>
      <c r="S134" s="557"/>
      <c r="T134" s="557"/>
      <c r="U134" s="557"/>
      <c r="V134" s="557"/>
      <c r="W134" s="539"/>
      <c r="X134" s="539"/>
      <c r="Y134" s="557"/>
      <c r="Z134" s="557"/>
      <c r="AA134" s="539"/>
      <c r="AB134" s="539"/>
      <c r="AC134" s="539"/>
      <c r="AD134" s="557"/>
      <c r="AE134" s="557"/>
      <c r="AF134" s="557"/>
      <c r="AG134" s="557"/>
      <c r="AH134" s="557"/>
      <c r="AI134" s="557"/>
      <c r="AJ134" s="557"/>
      <c r="AK134" s="557"/>
      <c r="AL134" s="557"/>
      <c r="AM134" s="557"/>
      <c r="AN134" s="557"/>
      <c r="AO134" s="557"/>
      <c r="AP134" s="557"/>
      <c r="AQ134" s="557"/>
      <c r="AR134" s="557"/>
      <c r="AS134" s="557"/>
      <c r="AT134" s="557"/>
      <c r="AU134" s="557"/>
      <c r="AV134" s="557"/>
      <c r="AW134" s="557"/>
      <c r="AX134" s="557"/>
      <c r="AY134" s="557"/>
      <c r="AZ134" s="557"/>
      <c r="BA134" s="557"/>
      <c r="BB134" s="557"/>
      <c r="BC134" s="557"/>
      <c r="BD134" s="553"/>
      <c r="BE134" s="596"/>
      <c r="BF134" s="596"/>
      <c r="BG134" s="596"/>
      <c r="BH134" s="596"/>
      <c r="BI134" s="596"/>
      <c r="BJ134" s="596"/>
      <c r="BK134" s="596"/>
      <c r="BL134" s="596"/>
      <c r="BM134" s="596"/>
      <c r="BN134" s="596"/>
      <c r="BO134" s="596"/>
      <c r="BP134" s="596"/>
      <c r="BQ134" s="596"/>
      <c r="BR134" s="596"/>
      <c r="BS134" s="596"/>
      <c r="BT134" s="596"/>
    </row>
    <row r="135" spans="1:72" ht="15">
      <c r="A135" s="539"/>
      <c r="B135" s="539"/>
      <c r="C135" s="539"/>
      <c r="D135" s="539"/>
      <c r="E135" s="539"/>
      <c r="F135" s="539"/>
      <c r="G135" s="539"/>
      <c r="H135" s="539"/>
      <c r="I135" s="539"/>
      <c r="J135" s="539"/>
      <c r="K135" s="539"/>
      <c r="L135" s="539"/>
      <c r="M135" s="539"/>
      <c r="N135" s="539"/>
      <c r="O135" s="539"/>
      <c r="P135" s="539"/>
      <c r="Q135" s="539"/>
      <c r="R135" s="539"/>
      <c r="S135" s="557"/>
      <c r="T135" s="557"/>
      <c r="U135" s="557"/>
      <c r="V135" s="557"/>
      <c r="W135" s="539"/>
      <c r="X135" s="539"/>
      <c r="Y135" s="557"/>
      <c r="Z135" s="557"/>
      <c r="AA135" s="539"/>
      <c r="AB135" s="539"/>
      <c r="AC135" s="539"/>
      <c r="AD135" s="557"/>
      <c r="AE135" s="557"/>
      <c r="AF135" s="557"/>
      <c r="AG135" s="557"/>
      <c r="AH135" s="557"/>
      <c r="AI135" s="557"/>
      <c r="AJ135" s="557"/>
      <c r="AK135" s="557"/>
      <c r="AL135" s="557"/>
      <c r="AM135" s="557"/>
      <c r="AN135" s="557"/>
      <c r="AO135" s="557"/>
      <c r="AP135" s="557"/>
      <c r="AQ135" s="557"/>
      <c r="AR135" s="557"/>
      <c r="AS135" s="557"/>
      <c r="AT135" s="557"/>
      <c r="AU135" s="557"/>
      <c r="AV135" s="557"/>
      <c r="AW135" s="557"/>
      <c r="AX135" s="557"/>
      <c r="AY135" s="557"/>
      <c r="AZ135" s="557"/>
      <c r="BA135" s="557"/>
      <c r="BB135" s="557"/>
      <c r="BC135" s="557"/>
      <c r="BD135" s="553"/>
      <c r="BE135" s="596"/>
      <c r="BF135" s="596"/>
      <c r="BG135" s="596"/>
      <c r="BH135" s="596"/>
      <c r="BI135" s="596"/>
      <c r="BJ135" s="596"/>
      <c r="BK135" s="596"/>
      <c r="BL135" s="596"/>
      <c r="BM135" s="596"/>
      <c r="BN135" s="596"/>
      <c r="BO135" s="596"/>
      <c r="BP135" s="596"/>
      <c r="BQ135" s="596"/>
      <c r="BR135" s="596"/>
      <c r="BS135" s="596"/>
      <c r="BT135" s="596"/>
    </row>
    <row r="136" spans="1:72" ht="15">
      <c r="A136" s="539"/>
      <c r="B136" s="539"/>
      <c r="C136" s="539"/>
      <c r="D136" s="539"/>
      <c r="E136" s="539"/>
      <c r="F136" s="539"/>
      <c r="G136" s="539"/>
      <c r="H136" s="539"/>
      <c r="I136" s="539"/>
      <c r="J136" s="539"/>
      <c r="K136" s="539"/>
      <c r="L136" s="539"/>
      <c r="M136" s="539"/>
      <c r="N136" s="539"/>
      <c r="O136" s="539"/>
      <c r="P136" s="539"/>
      <c r="Q136" s="539"/>
      <c r="R136" s="539"/>
      <c r="S136" s="557"/>
      <c r="T136" s="557"/>
      <c r="U136" s="557"/>
      <c r="V136" s="557"/>
      <c r="W136" s="539"/>
      <c r="X136" s="539"/>
      <c r="Y136" s="557"/>
      <c r="Z136" s="557"/>
      <c r="AA136" s="539"/>
      <c r="AB136" s="539"/>
      <c r="AC136" s="539"/>
      <c r="AD136" s="557"/>
      <c r="AE136" s="557"/>
      <c r="AF136" s="557"/>
      <c r="AG136" s="557"/>
      <c r="AH136" s="557"/>
      <c r="AI136" s="557"/>
      <c r="AJ136" s="557"/>
      <c r="AK136" s="557"/>
      <c r="AL136" s="557"/>
      <c r="AM136" s="557"/>
      <c r="AN136" s="557"/>
      <c r="AO136" s="557"/>
      <c r="AP136" s="557"/>
      <c r="AQ136" s="557"/>
      <c r="AR136" s="557"/>
      <c r="AS136" s="557"/>
      <c r="AT136" s="557"/>
      <c r="AU136" s="557"/>
      <c r="AV136" s="557"/>
      <c r="AW136" s="557"/>
      <c r="AX136" s="557"/>
      <c r="AY136" s="557"/>
      <c r="AZ136" s="557"/>
      <c r="BA136" s="557"/>
      <c r="BB136" s="557"/>
      <c r="BC136" s="557"/>
      <c r="BD136" s="553"/>
      <c r="BE136" s="596"/>
      <c r="BF136" s="596"/>
      <c r="BG136" s="596"/>
      <c r="BH136" s="596"/>
      <c r="BI136" s="596"/>
      <c r="BJ136" s="596"/>
      <c r="BK136" s="596"/>
      <c r="BL136" s="596"/>
      <c r="BM136" s="596"/>
      <c r="BN136" s="596"/>
      <c r="BO136" s="596"/>
      <c r="BP136" s="596"/>
      <c r="BQ136" s="596"/>
      <c r="BR136" s="596"/>
      <c r="BS136" s="596"/>
      <c r="BT136" s="596"/>
    </row>
    <row r="137" spans="1:72" ht="15">
      <c r="A137" s="539"/>
      <c r="B137" s="539"/>
      <c r="C137" s="539"/>
      <c r="D137" s="539"/>
      <c r="E137" s="539"/>
      <c r="F137" s="539"/>
      <c r="G137" s="539"/>
      <c r="H137" s="539"/>
      <c r="I137" s="539"/>
      <c r="J137" s="539"/>
      <c r="K137" s="539"/>
      <c r="L137" s="539"/>
      <c r="M137" s="539"/>
      <c r="N137" s="539"/>
      <c r="O137" s="539"/>
      <c r="P137" s="539"/>
      <c r="Q137" s="539"/>
      <c r="R137" s="539"/>
      <c r="S137" s="557"/>
      <c r="T137" s="557"/>
      <c r="U137" s="557"/>
      <c r="V137" s="557"/>
      <c r="W137" s="539"/>
      <c r="X137" s="539"/>
      <c r="Y137" s="557"/>
      <c r="Z137" s="557"/>
      <c r="AA137" s="539"/>
      <c r="AB137" s="539"/>
      <c r="AC137" s="539"/>
      <c r="AD137" s="557"/>
      <c r="AE137" s="557"/>
      <c r="AF137" s="557"/>
      <c r="AG137" s="557"/>
      <c r="AH137" s="557"/>
      <c r="AI137" s="557"/>
      <c r="AJ137" s="557"/>
      <c r="AK137" s="557"/>
      <c r="AL137" s="557"/>
      <c r="AM137" s="557"/>
      <c r="AN137" s="557"/>
      <c r="AO137" s="557"/>
      <c r="AP137" s="557"/>
      <c r="AQ137" s="557"/>
      <c r="AR137" s="557"/>
      <c r="AS137" s="557"/>
      <c r="AT137" s="557"/>
      <c r="AU137" s="557"/>
      <c r="AV137" s="557"/>
      <c r="AW137" s="557"/>
      <c r="AX137" s="557"/>
      <c r="AY137" s="557"/>
      <c r="AZ137" s="557"/>
      <c r="BA137" s="557"/>
      <c r="BB137" s="557"/>
      <c r="BC137" s="557"/>
      <c r="BD137" s="553"/>
      <c r="BE137" s="596"/>
      <c r="BF137" s="596"/>
      <c r="BG137" s="596"/>
      <c r="BH137" s="596"/>
      <c r="BI137" s="596"/>
      <c r="BJ137" s="596"/>
      <c r="BK137" s="596"/>
      <c r="BL137" s="596"/>
      <c r="BM137" s="596"/>
      <c r="BN137" s="596"/>
      <c r="BO137" s="596"/>
      <c r="BP137" s="596"/>
      <c r="BQ137" s="596"/>
      <c r="BR137" s="596"/>
      <c r="BS137" s="596"/>
      <c r="BT137" s="596"/>
    </row>
    <row r="138" spans="1:72" ht="15">
      <c r="A138" s="539"/>
      <c r="B138" s="539"/>
      <c r="C138" s="539"/>
      <c r="D138" s="539"/>
      <c r="E138" s="539"/>
      <c r="F138" s="539"/>
      <c r="G138" s="539"/>
      <c r="H138" s="539"/>
      <c r="I138" s="539"/>
      <c r="J138" s="539"/>
      <c r="K138" s="539"/>
      <c r="L138" s="539"/>
      <c r="M138" s="539"/>
      <c r="N138" s="539"/>
      <c r="O138" s="539"/>
      <c r="P138" s="539"/>
      <c r="Q138" s="539"/>
      <c r="R138" s="539"/>
      <c r="S138" s="557"/>
      <c r="T138" s="557"/>
      <c r="U138" s="557"/>
      <c r="V138" s="557"/>
      <c r="W138" s="539"/>
      <c r="X138" s="539"/>
      <c r="Y138" s="557"/>
      <c r="Z138" s="557"/>
      <c r="AA138" s="539"/>
      <c r="AB138" s="539"/>
      <c r="AC138" s="539"/>
      <c r="AD138" s="557"/>
      <c r="AE138" s="557"/>
      <c r="AF138" s="557"/>
      <c r="AG138" s="557"/>
      <c r="AH138" s="557"/>
      <c r="AI138" s="557"/>
      <c r="AJ138" s="557"/>
      <c r="AK138" s="557"/>
      <c r="AL138" s="557"/>
      <c r="AM138" s="557"/>
      <c r="AN138" s="557"/>
      <c r="AO138" s="557"/>
      <c r="AP138" s="557"/>
      <c r="AQ138" s="557"/>
      <c r="AR138" s="557"/>
      <c r="AS138" s="557"/>
      <c r="AT138" s="557"/>
      <c r="AU138" s="557"/>
      <c r="AV138" s="557"/>
      <c r="AW138" s="557"/>
      <c r="AX138" s="557"/>
      <c r="AY138" s="557"/>
      <c r="AZ138" s="557"/>
      <c r="BA138" s="557"/>
      <c r="BB138" s="557"/>
      <c r="BC138" s="557"/>
      <c r="BD138" s="553"/>
    </row>
    <row r="139" spans="1:72" ht="15">
      <c r="A139" s="539"/>
      <c r="B139" s="539"/>
      <c r="C139" s="539"/>
      <c r="D139" s="539"/>
      <c r="E139" s="539"/>
      <c r="F139" s="539"/>
      <c r="G139" s="539"/>
      <c r="H139" s="539"/>
      <c r="I139" s="539"/>
      <c r="J139" s="539"/>
      <c r="K139" s="539"/>
      <c r="L139" s="539"/>
      <c r="M139" s="539"/>
      <c r="N139" s="539"/>
      <c r="O139" s="539"/>
      <c r="P139" s="539"/>
      <c r="Q139" s="539"/>
      <c r="R139" s="539"/>
      <c r="S139" s="557"/>
      <c r="T139" s="557"/>
      <c r="U139" s="557"/>
      <c r="V139" s="557"/>
      <c r="W139" s="539"/>
      <c r="X139" s="539"/>
      <c r="Y139" s="557"/>
      <c r="Z139" s="557"/>
      <c r="AA139" s="539"/>
      <c r="AB139" s="539"/>
      <c r="AC139" s="539"/>
      <c r="AD139" s="557"/>
      <c r="AE139" s="557"/>
      <c r="AF139" s="557"/>
      <c r="AG139" s="557"/>
      <c r="AH139" s="557"/>
      <c r="AI139" s="557"/>
      <c r="AJ139" s="557"/>
      <c r="AK139" s="557"/>
      <c r="AL139" s="557"/>
      <c r="AM139" s="557"/>
      <c r="AN139" s="557"/>
      <c r="AO139" s="557"/>
      <c r="AP139" s="557"/>
      <c r="AQ139" s="557"/>
      <c r="AR139" s="557"/>
      <c r="AS139" s="557"/>
      <c r="AT139" s="557"/>
      <c r="AU139" s="557"/>
      <c r="AV139" s="557"/>
      <c r="AW139" s="557"/>
      <c r="AX139" s="557"/>
      <c r="AY139" s="557"/>
      <c r="AZ139" s="557"/>
      <c r="BA139" s="557"/>
      <c r="BB139" s="557"/>
      <c r="BC139" s="557"/>
      <c r="BD139" s="553"/>
    </row>
    <row r="140" spans="1:72" ht="15">
      <c r="A140" s="539"/>
      <c r="B140" s="539"/>
      <c r="C140" s="539"/>
      <c r="D140" s="539"/>
      <c r="E140" s="539"/>
      <c r="F140" s="539"/>
      <c r="G140" s="539"/>
      <c r="H140" s="539"/>
      <c r="I140" s="539"/>
      <c r="J140" s="539"/>
      <c r="K140" s="539"/>
      <c r="L140" s="539"/>
      <c r="M140" s="539"/>
      <c r="N140" s="539"/>
      <c r="O140" s="539"/>
      <c r="P140" s="539"/>
      <c r="Q140" s="539"/>
      <c r="R140" s="539"/>
      <c r="S140" s="557"/>
      <c r="T140" s="557"/>
      <c r="U140" s="557"/>
      <c r="V140" s="557"/>
      <c r="W140" s="539"/>
      <c r="X140" s="539"/>
      <c r="Y140" s="557"/>
      <c r="Z140" s="557"/>
      <c r="AA140" s="539"/>
      <c r="AB140" s="539"/>
      <c r="AC140" s="539"/>
      <c r="AD140" s="557"/>
      <c r="AE140" s="557"/>
      <c r="AF140" s="557"/>
      <c r="AG140" s="557"/>
      <c r="AH140" s="557"/>
      <c r="AI140" s="557"/>
      <c r="AJ140" s="557"/>
      <c r="AK140" s="557"/>
      <c r="AL140" s="557"/>
      <c r="AM140" s="557"/>
      <c r="AN140" s="557"/>
      <c r="AO140" s="557"/>
      <c r="AP140" s="557"/>
      <c r="AQ140" s="557"/>
      <c r="AR140" s="557"/>
      <c r="AS140" s="557"/>
      <c r="AT140" s="557"/>
      <c r="AU140" s="557"/>
      <c r="AV140" s="557"/>
      <c r="AW140" s="557"/>
      <c r="AX140" s="557"/>
      <c r="AY140" s="557"/>
      <c r="AZ140" s="557"/>
      <c r="BA140" s="557"/>
      <c r="BB140" s="557"/>
      <c r="BC140" s="557"/>
      <c r="BD140" s="553"/>
    </row>
    <row r="141" spans="1:72" ht="15">
      <c r="A141" s="539"/>
      <c r="B141" s="539"/>
      <c r="C141" s="539"/>
      <c r="D141" s="539"/>
      <c r="E141" s="539"/>
      <c r="F141" s="539"/>
      <c r="G141" s="539"/>
      <c r="H141" s="539"/>
      <c r="I141" s="539"/>
      <c r="J141" s="539"/>
      <c r="K141" s="539"/>
      <c r="L141" s="539"/>
      <c r="M141" s="539"/>
      <c r="N141" s="539"/>
      <c r="O141" s="539"/>
      <c r="P141" s="539"/>
      <c r="Q141" s="539"/>
      <c r="R141" s="539"/>
      <c r="S141" s="557"/>
      <c r="T141" s="557"/>
      <c r="U141" s="557"/>
      <c r="V141" s="557"/>
      <c r="W141" s="539"/>
      <c r="X141" s="539"/>
      <c r="Y141" s="557"/>
      <c r="Z141" s="557"/>
      <c r="AA141" s="539"/>
      <c r="AB141" s="539"/>
      <c r="AC141" s="539"/>
      <c r="AD141" s="557"/>
      <c r="AE141" s="557"/>
      <c r="AF141" s="557"/>
      <c r="AG141" s="557"/>
      <c r="AH141" s="557"/>
      <c r="AI141" s="557"/>
      <c r="AJ141" s="557"/>
      <c r="AK141" s="557"/>
      <c r="AL141" s="557"/>
      <c r="AM141" s="557"/>
      <c r="AN141" s="557"/>
      <c r="AO141" s="557"/>
      <c r="AP141" s="557"/>
      <c r="AQ141" s="557"/>
      <c r="AR141" s="557"/>
      <c r="AS141" s="557"/>
      <c r="AT141" s="557"/>
      <c r="AU141" s="557"/>
      <c r="AV141" s="557"/>
      <c r="AW141" s="557"/>
      <c r="AX141" s="557"/>
      <c r="AY141" s="557"/>
      <c r="AZ141" s="557"/>
      <c r="BA141" s="557"/>
      <c r="BB141" s="557"/>
      <c r="BC141" s="557"/>
      <c r="BD141" s="553"/>
    </row>
    <row r="142" spans="1:72" ht="15">
      <c r="A142" s="539"/>
      <c r="B142" s="539"/>
      <c r="C142" s="539"/>
      <c r="D142" s="539"/>
      <c r="E142" s="539"/>
      <c r="F142" s="539"/>
      <c r="G142" s="539"/>
      <c r="H142" s="539"/>
      <c r="I142" s="539"/>
      <c r="J142" s="539"/>
      <c r="K142" s="539"/>
      <c r="L142" s="539"/>
      <c r="M142" s="539"/>
      <c r="N142" s="539"/>
      <c r="O142" s="539"/>
      <c r="P142" s="539"/>
      <c r="Q142" s="539"/>
      <c r="R142" s="539"/>
      <c r="S142" s="557"/>
      <c r="T142" s="557"/>
      <c r="U142" s="557"/>
      <c r="V142" s="557"/>
      <c r="W142" s="539"/>
      <c r="X142" s="539"/>
      <c r="Y142" s="557"/>
      <c r="Z142" s="557"/>
      <c r="AA142" s="539"/>
      <c r="AB142" s="539"/>
      <c r="AC142" s="539"/>
      <c r="AD142" s="557"/>
      <c r="AE142" s="557"/>
      <c r="AF142" s="557"/>
      <c r="AG142" s="557"/>
      <c r="AH142" s="557"/>
      <c r="AI142" s="557"/>
      <c r="AJ142" s="557"/>
      <c r="AK142" s="557"/>
      <c r="AL142" s="557"/>
      <c r="AM142" s="557"/>
      <c r="AN142" s="557"/>
      <c r="AO142" s="557"/>
      <c r="AP142" s="557"/>
      <c r="AQ142" s="557"/>
      <c r="AR142" s="557"/>
      <c r="AS142" s="557"/>
      <c r="AT142" s="557"/>
      <c r="AU142" s="557"/>
      <c r="AV142" s="557"/>
      <c r="AW142" s="557"/>
      <c r="AX142" s="557"/>
      <c r="AY142" s="557"/>
      <c r="AZ142" s="557"/>
      <c r="BA142" s="557"/>
      <c r="BB142" s="557"/>
      <c r="BC142" s="557"/>
      <c r="BD142" s="553"/>
    </row>
    <row r="143" spans="1:72" ht="15">
      <c r="A143" s="539"/>
      <c r="B143" s="539"/>
      <c r="C143" s="539"/>
      <c r="D143" s="539"/>
      <c r="E143" s="539"/>
      <c r="F143" s="539"/>
      <c r="G143" s="539"/>
      <c r="H143" s="539"/>
      <c r="I143" s="539"/>
      <c r="J143" s="539"/>
      <c r="K143" s="539"/>
      <c r="L143" s="539"/>
      <c r="M143" s="539"/>
      <c r="N143" s="539"/>
      <c r="O143" s="539"/>
      <c r="P143" s="539"/>
      <c r="Q143" s="539"/>
      <c r="R143" s="539"/>
      <c r="S143" s="557"/>
      <c r="T143" s="557"/>
      <c r="U143" s="557"/>
      <c r="V143" s="557"/>
      <c r="W143" s="539"/>
      <c r="X143" s="539"/>
      <c r="Y143" s="557"/>
      <c r="Z143" s="557"/>
      <c r="AA143" s="539"/>
      <c r="AB143" s="539"/>
      <c r="AC143" s="539"/>
      <c r="AD143" s="557"/>
      <c r="AE143" s="557"/>
      <c r="AF143" s="557"/>
      <c r="AG143" s="557"/>
      <c r="AH143" s="557"/>
      <c r="AI143" s="557"/>
      <c r="AJ143" s="557"/>
      <c r="AK143" s="557"/>
      <c r="AL143" s="557"/>
      <c r="AM143" s="557"/>
      <c r="AN143" s="557"/>
      <c r="AO143" s="557"/>
      <c r="AP143" s="557"/>
      <c r="AQ143" s="557"/>
      <c r="AR143" s="557"/>
      <c r="AS143" s="557"/>
      <c r="AT143" s="557"/>
      <c r="AU143" s="557"/>
      <c r="AV143" s="557"/>
      <c r="AW143" s="557"/>
      <c r="AX143" s="557"/>
      <c r="AY143" s="557"/>
      <c r="AZ143" s="557"/>
      <c r="BA143" s="557"/>
      <c r="BB143" s="557"/>
      <c r="BC143" s="557"/>
      <c r="BD143" s="553"/>
    </row>
    <row r="144" spans="1:72" ht="15">
      <c r="A144" s="539"/>
      <c r="B144" s="539"/>
      <c r="C144" s="539"/>
      <c r="D144" s="539"/>
      <c r="E144" s="539"/>
      <c r="F144" s="539"/>
      <c r="G144" s="539"/>
      <c r="H144" s="539"/>
      <c r="I144" s="539"/>
      <c r="J144" s="539"/>
      <c r="K144" s="539"/>
      <c r="L144" s="539"/>
      <c r="M144" s="539"/>
      <c r="N144" s="539"/>
      <c r="O144" s="539"/>
      <c r="P144" s="539"/>
      <c r="Q144" s="539"/>
      <c r="R144" s="539"/>
      <c r="S144" s="557"/>
      <c r="T144" s="557"/>
      <c r="U144" s="557"/>
      <c r="V144" s="557"/>
      <c r="W144" s="539"/>
      <c r="X144" s="539"/>
      <c r="Y144" s="557"/>
      <c r="Z144" s="557"/>
      <c r="AA144" s="539"/>
      <c r="AB144" s="539"/>
      <c r="AC144" s="539"/>
      <c r="AD144" s="557"/>
      <c r="AE144" s="557"/>
      <c r="AF144" s="557"/>
      <c r="AG144" s="557"/>
      <c r="AH144" s="557"/>
      <c r="AI144" s="557"/>
      <c r="AJ144" s="557"/>
      <c r="AK144" s="557"/>
      <c r="AL144" s="557"/>
      <c r="AM144" s="557"/>
      <c r="AN144" s="557"/>
      <c r="AO144" s="557"/>
      <c r="AP144" s="557"/>
      <c r="AQ144" s="557"/>
      <c r="AR144" s="557"/>
      <c r="AS144" s="557"/>
      <c r="AT144" s="557"/>
      <c r="AU144" s="557"/>
      <c r="AV144" s="557"/>
      <c r="AW144" s="557"/>
      <c r="AX144" s="557"/>
      <c r="AY144" s="557"/>
      <c r="AZ144" s="557"/>
      <c r="BA144" s="557"/>
      <c r="BB144" s="557"/>
      <c r="BC144" s="557"/>
      <c r="BD144" s="553"/>
    </row>
    <row r="145" spans="1:72" ht="15">
      <c r="A145" s="539"/>
      <c r="B145" s="539"/>
      <c r="C145" s="539"/>
      <c r="D145" s="539"/>
      <c r="E145" s="539"/>
      <c r="F145" s="539"/>
      <c r="G145" s="539"/>
      <c r="H145" s="539"/>
      <c r="I145" s="539"/>
      <c r="J145" s="539"/>
      <c r="K145" s="539"/>
      <c r="L145" s="539"/>
      <c r="M145" s="539"/>
      <c r="N145" s="539"/>
      <c r="O145" s="539"/>
      <c r="P145" s="539"/>
      <c r="Q145" s="539"/>
      <c r="R145" s="539"/>
      <c r="S145" s="557"/>
      <c r="T145" s="557"/>
      <c r="U145" s="557"/>
      <c r="V145" s="557"/>
      <c r="W145" s="539"/>
      <c r="X145" s="539"/>
      <c r="Y145" s="557"/>
      <c r="Z145" s="557"/>
      <c r="AA145" s="539"/>
      <c r="AB145" s="539"/>
      <c r="AC145" s="539"/>
      <c r="AD145" s="557"/>
      <c r="AE145" s="557"/>
      <c r="AF145" s="557"/>
      <c r="AG145" s="557"/>
      <c r="AH145" s="557"/>
      <c r="AI145" s="557"/>
      <c r="AJ145" s="557"/>
      <c r="AK145" s="557"/>
      <c r="AL145" s="557"/>
      <c r="AM145" s="557"/>
      <c r="AN145" s="557"/>
      <c r="AO145" s="557"/>
      <c r="AP145" s="557"/>
      <c r="AQ145" s="557"/>
      <c r="AR145" s="557"/>
      <c r="AS145" s="557"/>
      <c r="AT145" s="557"/>
      <c r="AU145" s="557"/>
      <c r="AV145" s="557"/>
      <c r="AW145" s="557"/>
      <c r="AX145" s="557"/>
      <c r="AY145" s="557"/>
      <c r="AZ145" s="557"/>
      <c r="BA145" s="557"/>
      <c r="BB145" s="557"/>
      <c r="BC145" s="557"/>
      <c r="BD145" s="553"/>
    </row>
    <row r="146" spans="1:72" ht="15">
      <c r="A146" s="539"/>
      <c r="B146" s="539"/>
      <c r="C146" s="539"/>
      <c r="D146" s="539"/>
      <c r="E146" s="539"/>
      <c r="F146" s="539"/>
      <c r="G146" s="539"/>
      <c r="H146" s="539"/>
      <c r="I146" s="539"/>
      <c r="J146" s="539"/>
      <c r="K146" s="539"/>
      <c r="L146" s="539"/>
      <c r="M146" s="539"/>
      <c r="N146" s="539"/>
      <c r="O146" s="539"/>
      <c r="P146" s="539"/>
      <c r="Q146" s="539"/>
      <c r="R146" s="539"/>
      <c r="S146" s="557"/>
      <c r="T146" s="557"/>
      <c r="U146" s="557"/>
      <c r="V146" s="557"/>
      <c r="W146" s="539"/>
      <c r="X146" s="539"/>
      <c r="Y146" s="557"/>
      <c r="Z146" s="557"/>
      <c r="AA146" s="539"/>
      <c r="AB146" s="539"/>
      <c r="AC146" s="539"/>
      <c r="AD146" s="557"/>
      <c r="AE146" s="557"/>
      <c r="AF146" s="557"/>
      <c r="AG146" s="557"/>
      <c r="AH146" s="557"/>
      <c r="AI146" s="557"/>
      <c r="AJ146" s="557"/>
      <c r="AK146" s="557"/>
      <c r="AL146" s="557"/>
      <c r="AM146" s="557"/>
      <c r="AN146" s="557"/>
      <c r="AO146" s="557"/>
      <c r="AP146" s="557"/>
      <c r="AQ146" s="557"/>
      <c r="AR146" s="557"/>
      <c r="AS146" s="557"/>
      <c r="AT146" s="557"/>
      <c r="AU146" s="557"/>
      <c r="AV146" s="557"/>
      <c r="AW146" s="557"/>
      <c r="AX146" s="557"/>
      <c r="AY146" s="557"/>
      <c r="AZ146" s="557"/>
      <c r="BA146" s="557"/>
      <c r="BB146" s="557"/>
      <c r="BC146" s="557"/>
      <c r="BD146" s="553"/>
      <c r="BE146" s="596"/>
      <c r="BF146" s="596"/>
      <c r="BG146" s="596"/>
      <c r="BH146" s="596"/>
      <c r="BI146" s="596"/>
      <c r="BJ146" s="596"/>
      <c r="BK146" s="596"/>
      <c r="BL146" s="596"/>
      <c r="BM146" s="596"/>
      <c r="BN146" s="596"/>
      <c r="BO146" s="596"/>
      <c r="BP146" s="596"/>
      <c r="BQ146" s="596"/>
      <c r="BR146" s="596"/>
      <c r="BS146" s="596"/>
      <c r="BT146" s="596"/>
    </row>
    <row r="147" spans="1:72" ht="15">
      <c r="A147" s="539"/>
      <c r="B147" s="539"/>
      <c r="C147" s="539"/>
      <c r="D147" s="539"/>
      <c r="E147" s="539"/>
      <c r="F147" s="539"/>
      <c r="G147" s="539"/>
      <c r="H147" s="539"/>
      <c r="I147" s="539"/>
      <c r="J147" s="539"/>
      <c r="K147" s="539"/>
      <c r="L147" s="539"/>
      <c r="M147" s="539"/>
      <c r="N147" s="539"/>
      <c r="O147" s="539"/>
      <c r="P147" s="539"/>
      <c r="Q147" s="539"/>
      <c r="R147" s="539"/>
      <c r="S147" s="557"/>
      <c r="T147" s="557"/>
      <c r="U147" s="557"/>
      <c r="V147" s="557"/>
      <c r="W147" s="539"/>
      <c r="X147" s="539"/>
      <c r="Y147" s="557"/>
      <c r="Z147" s="557"/>
      <c r="AA147" s="539"/>
      <c r="AB147" s="539"/>
      <c r="AC147" s="539"/>
      <c r="AD147" s="557"/>
      <c r="AE147" s="557"/>
      <c r="AF147" s="557"/>
      <c r="AG147" s="557"/>
      <c r="AH147" s="557"/>
      <c r="AI147" s="557"/>
      <c r="AJ147" s="557"/>
      <c r="AK147" s="557"/>
      <c r="AL147" s="557"/>
      <c r="AM147" s="557"/>
      <c r="AN147" s="557"/>
      <c r="AO147" s="557"/>
      <c r="AP147" s="557"/>
      <c r="AQ147" s="557"/>
      <c r="AR147" s="557"/>
      <c r="AS147" s="557"/>
      <c r="AT147" s="557"/>
      <c r="AU147" s="557"/>
      <c r="AV147" s="557"/>
      <c r="AW147" s="557"/>
      <c r="AX147" s="557"/>
      <c r="AY147" s="557"/>
      <c r="AZ147" s="557"/>
      <c r="BA147" s="557"/>
      <c r="BB147" s="557"/>
      <c r="BC147" s="557"/>
      <c r="BD147" s="553"/>
      <c r="BE147" s="596"/>
      <c r="BF147" s="596"/>
      <c r="BG147" s="596"/>
      <c r="BH147" s="596"/>
      <c r="BI147" s="596"/>
      <c r="BJ147" s="596"/>
      <c r="BK147" s="596"/>
      <c r="BL147" s="596"/>
      <c r="BM147" s="596"/>
      <c r="BN147" s="596"/>
      <c r="BO147" s="596"/>
      <c r="BP147" s="596"/>
      <c r="BQ147" s="596"/>
      <c r="BR147" s="596"/>
      <c r="BS147" s="596"/>
      <c r="BT147" s="596"/>
    </row>
    <row r="148" spans="1:72" ht="15">
      <c r="A148" s="539"/>
      <c r="B148" s="539"/>
      <c r="C148" s="539"/>
      <c r="D148" s="539"/>
      <c r="E148" s="539"/>
      <c r="F148" s="539"/>
      <c r="G148" s="539"/>
      <c r="H148" s="539"/>
      <c r="I148" s="539"/>
      <c r="J148" s="539"/>
      <c r="K148" s="539"/>
      <c r="L148" s="539"/>
      <c r="M148" s="539"/>
      <c r="N148" s="539"/>
      <c r="O148" s="539"/>
      <c r="P148" s="539"/>
      <c r="Q148" s="539"/>
      <c r="R148" s="539"/>
      <c r="S148" s="557"/>
      <c r="T148" s="557"/>
      <c r="U148" s="557"/>
      <c r="V148" s="557"/>
      <c r="W148" s="539"/>
      <c r="X148" s="539"/>
      <c r="Y148" s="557"/>
      <c r="Z148" s="557"/>
      <c r="AA148" s="539"/>
      <c r="AB148" s="539"/>
      <c r="AC148" s="539"/>
      <c r="AD148" s="557"/>
      <c r="AE148" s="557"/>
      <c r="AF148" s="557"/>
      <c r="AG148" s="557"/>
      <c r="AH148" s="557"/>
      <c r="AI148" s="557"/>
      <c r="AJ148" s="557"/>
      <c r="AK148" s="557"/>
      <c r="AL148" s="557"/>
      <c r="AM148" s="557"/>
      <c r="AN148" s="557"/>
      <c r="AO148" s="557"/>
      <c r="AP148" s="557"/>
      <c r="AQ148" s="557"/>
      <c r="AR148" s="557"/>
      <c r="AS148" s="557"/>
      <c r="AT148" s="557"/>
      <c r="AU148" s="557"/>
      <c r="AV148" s="557"/>
      <c r="AW148" s="557"/>
      <c r="AX148" s="557"/>
      <c r="AY148" s="557"/>
      <c r="AZ148" s="557"/>
      <c r="BA148" s="557"/>
      <c r="BB148" s="557"/>
      <c r="BC148" s="557"/>
      <c r="BD148" s="553"/>
      <c r="BE148" s="596"/>
      <c r="BF148" s="596"/>
      <c r="BG148" s="596"/>
      <c r="BH148" s="596"/>
      <c r="BI148" s="596"/>
      <c r="BJ148" s="596"/>
      <c r="BK148" s="596"/>
      <c r="BL148" s="596"/>
      <c r="BM148" s="596"/>
      <c r="BN148" s="596"/>
      <c r="BO148" s="596"/>
      <c r="BP148" s="596"/>
      <c r="BQ148" s="596"/>
      <c r="BR148" s="596"/>
      <c r="BS148" s="596"/>
      <c r="BT148" s="596"/>
    </row>
    <row r="149" spans="1:72" ht="15">
      <c r="A149" s="539"/>
      <c r="B149" s="539"/>
      <c r="C149" s="539"/>
      <c r="D149" s="539"/>
      <c r="E149" s="539"/>
      <c r="F149" s="539"/>
      <c r="G149" s="539"/>
      <c r="H149" s="539"/>
      <c r="I149" s="539"/>
      <c r="J149" s="539"/>
      <c r="K149" s="539"/>
      <c r="L149" s="539"/>
      <c r="M149" s="539"/>
      <c r="N149" s="539"/>
      <c r="O149" s="539"/>
      <c r="P149" s="539"/>
      <c r="Q149" s="539"/>
      <c r="R149" s="539"/>
      <c r="S149" s="557"/>
      <c r="T149" s="557"/>
      <c r="U149" s="557"/>
      <c r="V149" s="557"/>
      <c r="W149" s="539"/>
      <c r="X149" s="539"/>
      <c r="Y149" s="557"/>
      <c r="Z149" s="557"/>
      <c r="AA149" s="539"/>
      <c r="AB149" s="539"/>
      <c r="AC149" s="539"/>
      <c r="AD149" s="557"/>
      <c r="AE149" s="557"/>
      <c r="AF149" s="557"/>
      <c r="AG149" s="557"/>
      <c r="AH149" s="557"/>
      <c r="AI149" s="557"/>
      <c r="AJ149" s="557"/>
      <c r="AK149" s="557"/>
      <c r="AL149" s="557"/>
      <c r="AM149" s="557"/>
      <c r="AN149" s="557"/>
      <c r="AO149" s="557"/>
      <c r="AP149" s="557"/>
      <c r="AQ149" s="557"/>
      <c r="AR149" s="557"/>
      <c r="AS149" s="557"/>
      <c r="AT149" s="557"/>
      <c r="AU149" s="557"/>
      <c r="AV149" s="557"/>
      <c r="AW149" s="557"/>
      <c r="AX149" s="557"/>
      <c r="AY149" s="557"/>
      <c r="AZ149" s="557"/>
      <c r="BA149" s="557"/>
      <c r="BB149" s="557"/>
      <c r="BC149" s="557"/>
      <c r="BD149" s="553"/>
      <c r="BE149" s="596"/>
      <c r="BF149" s="596"/>
      <c r="BG149" s="596"/>
      <c r="BH149" s="596"/>
      <c r="BI149" s="596"/>
      <c r="BJ149" s="596"/>
      <c r="BK149" s="596"/>
      <c r="BL149" s="596"/>
      <c r="BM149" s="596"/>
      <c r="BN149" s="596"/>
      <c r="BO149" s="596"/>
      <c r="BP149" s="596"/>
      <c r="BQ149" s="596"/>
      <c r="BR149" s="596"/>
      <c r="BS149" s="596"/>
      <c r="BT149" s="596"/>
    </row>
    <row r="150" spans="1:72" ht="15">
      <c r="A150" s="539"/>
      <c r="B150" s="539"/>
      <c r="C150" s="539"/>
      <c r="D150" s="539"/>
      <c r="E150" s="539"/>
      <c r="F150" s="539"/>
      <c r="G150" s="539"/>
      <c r="H150" s="539"/>
      <c r="I150" s="539"/>
      <c r="J150" s="539"/>
      <c r="K150" s="539"/>
      <c r="L150" s="539"/>
      <c r="M150" s="539"/>
      <c r="N150" s="539"/>
      <c r="O150" s="539"/>
      <c r="P150" s="539"/>
      <c r="Q150" s="539"/>
      <c r="R150" s="539"/>
      <c r="S150" s="557"/>
      <c r="T150" s="557"/>
      <c r="U150" s="557"/>
      <c r="V150" s="557"/>
      <c r="W150" s="539"/>
      <c r="X150" s="539"/>
      <c r="Y150" s="557"/>
      <c r="Z150" s="557"/>
      <c r="AA150" s="539"/>
      <c r="AB150" s="539"/>
      <c r="AC150" s="539"/>
      <c r="AD150" s="557"/>
      <c r="AE150" s="557"/>
      <c r="AF150" s="557"/>
      <c r="AG150" s="557"/>
      <c r="AH150" s="557"/>
      <c r="AI150" s="557"/>
      <c r="AJ150" s="557"/>
      <c r="AK150" s="557"/>
      <c r="AL150" s="557"/>
      <c r="AM150" s="557"/>
      <c r="AN150" s="557"/>
      <c r="AO150" s="557"/>
      <c r="AP150" s="557"/>
      <c r="AQ150" s="557"/>
      <c r="AR150" s="557"/>
      <c r="AS150" s="557"/>
      <c r="AT150" s="557"/>
      <c r="AU150" s="557"/>
      <c r="AV150" s="557"/>
      <c r="AW150" s="557"/>
      <c r="AX150" s="557"/>
      <c r="AY150" s="557"/>
      <c r="AZ150" s="557"/>
      <c r="BA150" s="557"/>
      <c r="BB150" s="557"/>
      <c r="BC150" s="557"/>
      <c r="BD150" s="553"/>
      <c r="BE150" s="596"/>
      <c r="BF150" s="596"/>
      <c r="BG150" s="596"/>
      <c r="BH150" s="596"/>
      <c r="BI150" s="596"/>
      <c r="BJ150" s="596"/>
      <c r="BK150" s="596"/>
      <c r="BL150" s="596"/>
      <c r="BM150" s="596"/>
      <c r="BN150" s="596"/>
      <c r="BO150" s="596"/>
      <c r="BP150" s="596"/>
      <c r="BQ150" s="596"/>
      <c r="BR150" s="596"/>
      <c r="BS150" s="596"/>
      <c r="BT150" s="596"/>
    </row>
    <row r="151" spans="1:72" ht="15">
      <c r="A151" s="539"/>
      <c r="B151" s="539"/>
      <c r="C151" s="539"/>
      <c r="D151" s="539"/>
      <c r="E151" s="539"/>
      <c r="F151" s="539"/>
      <c r="G151" s="539"/>
      <c r="H151" s="539"/>
      <c r="I151" s="539"/>
      <c r="J151" s="539"/>
      <c r="K151" s="539"/>
      <c r="L151" s="539"/>
      <c r="M151" s="539"/>
      <c r="N151" s="539"/>
      <c r="O151" s="539"/>
      <c r="P151" s="539"/>
      <c r="Q151" s="539"/>
      <c r="R151" s="539"/>
      <c r="S151" s="557"/>
      <c r="T151" s="557"/>
      <c r="U151" s="557"/>
      <c r="V151" s="557"/>
      <c r="W151" s="539"/>
      <c r="X151" s="539"/>
      <c r="Y151" s="557"/>
      <c r="Z151" s="557"/>
      <c r="AA151" s="539"/>
      <c r="AB151" s="539"/>
      <c r="AC151" s="539"/>
      <c r="AD151" s="557"/>
      <c r="AE151" s="557"/>
      <c r="AF151" s="557"/>
      <c r="AG151" s="557"/>
      <c r="AH151" s="557"/>
      <c r="AI151" s="557"/>
      <c r="AJ151" s="557"/>
      <c r="AK151" s="557"/>
      <c r="AL151" s="557"/>
      <c r="AM151" s="557"/>
      <c r="AN151" s="557"/>
      <c r="AO151" s="557"/>
      <c r="AP151" s="557"/>
      <c r="AQ151" s="557"/>
      <c r="AR151" s="557"/>
      <c r="AS151" s="557"/>
      <c r="AT151" s="557"/>
      <c r="AU151" s="557"/>
      <c r="AV151" s="557"/>
      <c r="AW151" s="557"/>
      <c r="AX151" s="557"/>
      <c r="AY151" s="557"/>
      <c r="AZ151" s="557"/>
      <c r="BA151" s="557"/>
      <c r="BB151" s="557"/>
      <c r="BC151" s="557"/>
      <c r="BD151" s="553"/>
      <c r="BE151" s="596"/>
      <c r="BF151" s="596"/>
      <c r="BG151" s="596"/>
      <c r="BH151" s="596"/>
      <c r="BI151" s="596"/>
      <c r="BJ151" s="596"/>
      <c r="BK151" s="596"/>
      <c r="BL151" s="596"/>
      <c r="BM151" s="596"/>
      <c r="BN151" s="596"/>
      <c r="BO151" s="596"/>
      <c r="BP151" s="596"/>
      <c r="BQ151" s="596"/>
      <c r="BR151" s="596"/>
      <c r="BS151" s="596"/>
      <c r="BT151" s="596"/>
    </row>
    <row r="152" spans="1:72" ht="15">
      <c r="A152" s="539"/>
      <c r="B152" s="539"/>
      <c r="C152" s="539"/>
      <c r="D152" s="539"/>
      <c r="E152" s="539"/>
      <c r="F152" s="539"/>
      <c r="G152" s="539"/>
      <c r="H152" s="539"/>
      <c r="I152" s="539"/>
      <c r="J152" s="539"/>
      <c r="K152" s="539"/>
      <c r="L152" s="539"/>
      <c r="M152" s="539"/>
      <c r="N152" s="539"/>
      <c r="O152" s="539"/>
      <c r="P152" s="539"/>
      <c r="Q152" s="539"/>
      <c r="R152" s="539"/>
      <c r="S152" s="557"/>
      <c r="T152" s="557"/>
      <c r="U152" s="557"/>
      <c r="V152" s="557"/>
      <c r="W152" s="539"/>
      <c r="X152" s="539"/>
      <c r="Y152" s="557"/>
      <c r="Z152" s="557"/>
      <c r="AA152" s="539"/>
      <c r="AB152" s="539"/>
      <c r="AC152" s="539"/>
      <c r="AD152" s="557"/>
      <c r="AE152" s="557"/>
      <c r="AF152" s="557"/>
      <c r="AG152" s="557"/>
      <c r="AH152" s="557"/>
      <c r="AI152" s="557"/>
      <c r="AJ152" s="557"/>
      <c r="AK152" s="557"/>
      <c r="AL152" s="557"/>
      <c r="AM152" s="557"/>
      <c r="AN152" s="557"/>
      <c r="AO152" s="557"/>
      <c r="AP152" s="557"/>
      <c r="AQ152" s="557"/>
      <c r="AR152" s="557"/>
      <c r="AS152" s="557"/>
      <c r="AT152" s="557"/>
      <c r="AU152" s="557"/>
      <c r="AV152" s="557"/>
      <c r="AW152" s="557"/>
      <c r="AX152" s="557"/>
      <c r="AY152" s="557"/>
      <c r="AZ152" s="557"/>
      <c r="BA152" s="557"/>
      <c r="BB152" s="557"/>
      <c r="BC152" s="557"/>
      <c r="BD152" s="553"/>
      <c r="BE152" s="596"/>
      <c r="BF152" s="596"/>
      <c r="BG152" s="596"/>
      <c r="BH152" s="596"/>
      <c r="BI152" s="596"/>
      <c r="BJ152" s="596"/>
      <c r="BK152" s="596"/>
      <c r="BL152" s="596"/>
      <c r="BM152" s="596"/>
      <c r="BN152" s="596"/>
      <c r="BO152" s="596"/>
      <c r="BP152" s="596"/>
      <c r="BQ152" s="596"/>
      <c r="BR152" s="596"/>
      <c r="BS152" s="596"/>
      <c r="BT152" s="596"/>
    </row>
    <row r="153" spans="1:72" ht="15">
      <c r="A153" s="539"/>
      <c r="B153" s="539"/>
      <c r="C153" s="539"/>
      <c r="D153" s="539"/>
      <c r="E153" s="539"/>
      <c r="F153" s="539"/>
      <c r="G153" s="539"/>
      <c r="H153" s="539"/>
      <c r="I153" s="539"/>
      <c r="J153" s="539"/>
      <c r="K153" s="539"/>
      <c r="L153" s="539"/>
      <c r="M153" s="539"/>
      <c r="N153" s="539"/>
      <c r="O153" s="539"/>
      <c r="P153" s="539"/>
      <c r="Q153" s="539"/>
      <c r="R153" s="539"/>
      <c r="S153" s="557"/>
      <c r="T153" s="557"/>
      <c r="U153" s="557"/>
      <c r="V153" s="557"/>
      <c r="W153" s="539"/>
      <c r="X153" s="539"/>
      <c r="Y153" s="557"/>
      <c r="Z153" s="557"/>
      <c r="AA153" s="539"/>
      <c r="AB153" s="539"/>
      <c r="AC153" s="539"/>
      <c r="AD153" s="557"/>
      <c r="AE153" s="557"/>
      <c r="AF153" s="557"/>
      <c r="AG153" s="557"/>
      <c r="AH153" s="557"/>
      <c r="AI153" s="557"/>
      <c r="AJ153" s="557"/>
      <c r="AK153" s="557"/>
      <c r="AL153" s="557"/>
      <c r="AM153" s="557"/>
      <c r="AN153" s="557"/>
      <c r="AO153" s="557"/>
      <c r="AP153" s="557"/>
      <c r="AQ153" s="557"/>
      <c r="AR153" s="557"/>
      <c r="AS153" s="557"/>
      <c r="AT153" s="557"/>
      <c r="AU153" s="557"/>
      <c r="AV153" s="557"/>
      <c r="AW153" s="557"/>
      <c r="AX153" s="557"/>
      <c r="AY153" s="557"/>
      <c r="AZ153" s="557"/>
      <c r="BA153" s="557"/>
      <c r="BB153" s="557"/>
      <c r="BC153" s="557"/>
      <c r="BD153" s="553"/>
      <c r="BE153" s="596"/>
      <c r="BF153" s="596"/>
      <c r="BG153" s="596"/>
      <c r="BH153" s="596"/>
      <c r="BI153" s="596"/>
      <c r="BJ153" s="596"/>
      <c r="BK153" s="596"/>
      <c r="BL153" s="596"/>
      <c r="BM153" s="596"/>
      <c r="BN153" s="596"/>
      <c r="BO153" s="596"/>
      <c r="BP153" s="596"/>
      <c r="BQ153" s="596"/>
      <c r="BR153" s="596"/>
      <c r="BS153" s="596"/>
      <c r="BT153" s="596"/>
    </row>
    <row r="154" spans="1:72" ht="15">
      <c r="A154" s="539"/>
      <c r="B154" s="539"/>
      <c r="C154" s="539"/>
      <c r="D154" s="539"/>
      <c r="E154" s="539"/>
      <c r="F154" s="539"/>
      <c r="G154" s="539"/>
      <c r="H154" s="539"/>
      <c r="I154" s="539"/>
      <c r="J154" s="539"/>
      <c r="K154" s="539"/>
      <c r="L154" s="539"/>
      <c r="M154" s="539"/>
      <c r="N154" s="539"/>
      <c r="O154" s="539"/>
      <c r="P154" s="539"/>
      <c r="Q154" s="539"/>
      <c r="R154" s="539"/>
      <c r="S154" s="557"/>
      <c r="T154" s="557"/>
      <c r="U154" s="557"/>
      <c r="V154" s="557"/>
      <c r="W154" s="539"/>
      <c r="X154" s="539"/>
      <c r="Y154" s="557"/>
      <c r="Z154" s="557"/>
      <c r="AA154" s="539"/>
      <c r="AB154" s="539"/>
      <c r="AC154" s="539"/>
      <c r="AD154" s="557"/>
      <c r="AE154" s="557"/>
      <c r="AF154" s="557"/>
      <c r="AG154" s="557"/>
      <c r="AH154" s="557"/>
      <c r="AI154" s="557"/>
      <c r="AJ154" s="557"/>
      <c r="AK154" s="557"/>
      <c r="AL154" s="557"/>
      <c r="AM154" s="557"/>
      <c r="AN154" s="557"/>
      <c r="AO154" s="557"/>
      <c r="AP154" s="557"/>
      <c r="AQ154" s="557"/>
      <c r="AR154" s="557"/>
      <c r="AS154" s="557"/>
      <c r="AT154" s="557"/>
      <c r="AU154" s="557"/>
      <c r="AV154" s="557"/>
      <c r="AW154" s="557"/>
      <c r="AX154" s="557"/>
      <c r="AY154" s="557"/>
      <c r="AZ154" s="557"/>
      <c r="BA154" s="557"/>
      <c r="BB154" s="557"/>
      <c r="BC154" s="557"/>
      <c r="BD154" s="553"/>
      <c r="BE154" s="596"/>
      <c r="BF154" s="596"/>
      <c r="BG154" s="596"/>
      <c r="BH154" s="596"/>
      <c r="BI154" s="596"/>
      <c r="BJ154" s="596"/>
      <c r="BK154" s="596"/>
      <c r="BL154" s="596"/>
      <c r="BM154" s="596"/>
      <c r="BN154" s="596"/>
      <c r="BO154" s="596"/>
      <c r="BP154" s="596"/>
      <c r="BQ154" s="596"/>
      <c r="BR154" s="596"/>
      <c r="BS154" s="596"/>
      <c r="BT154" s="596"/>
    </row>
    <row r="155" spans="1:72" ht="15">
      <c r="A155" s="539"/>
      <c r="B155" s="539"/>
      <c r="C155" s="539"/>
      <c r="D155" s="539"/>
      <c r="E155" s="539"/>
      <c r="F155" s="539"/>
      <c r="G155" s="539"/>
      <c r="H155" s="539"/>
      <c r="I155" s="539"/>
      <c r="J155" s="539"/>
      <c r="K155" s="539"/>
      <c r="L155" s="539"/>
      <c r="M155" s="539"/>
      <c r="N155" s="539"/>
      <c r="O155" s="539"/>
      <c r="P155" s="539"/>
      <c r="Q155" s="539"/>
      <c r="R155" s="539"/>
      <c r="S155" s="557"/>
      <c r="T155" s="557"/>
      <c r="U155" s="557"/>
      <c r="V155" s="557"/>
      <c r="W155" s="539"/>
      <c r="X155" s="539"/>
      <c r="Y155" s="557"/>
      <c r="Z155" s="557"/>
      <c r="AA155" s="539"/>
      <c r="AB155" s="539"/>
      <c r="AC155" s="539"/>
      <c r="AD155" s="557"/>
      <c r="AE155" s="557"/>
      <c r="AF155" s="557"/>
      <c r="AG155" s="557"/>
      <c r="AH155" s="557"/>
      <c r="AI155" s="557"/>
      <c r="AJ155" s="557"/>
      <c r="AK155" s="557"/>
      <c r="AL155" s="557"/>
      <c r="AM155" s="557"/>
      <c r="AN155" s="557"/>
      <c r="AO155" s="557"/>
      <c r="AP155" s="557"/>
      <c r="AQ155" s="557"/>
      <c r="AR155" s="557"/>
      <c r="AS155" s="557"/>
      <c r="AT155" s="557"/>
      <c r="AU155" s="557"/>
      <c r="AV155" s="557"/>
      <c r="AW155" s="557"/>
      <c r="AX155" s="557"/>
      <c r="AY155" s="557"/>
      <c r="AZ155" s="557"/>
      <c r="BA155" s="557"/>
      <c r="BB155" s="557"/>
      <c r="BC155" s="557"/>
      <c r="BD155" s="553"/>
      <c r="BE155" s="596"/>
      <c r="BF155" s="596"/>
      <c r="BG155" s="596"/>
      <c r="BH155" s="596"/>
      <c r="BI155" s="596"/>
      <c r="BJ155" s="596"/>
      <c r="BK155" s="596"/>
      <c r="BL155" s="596"/>
      <c r="BM155" s="596"/>
      <c r="BN155" s="596"/>
      <c r="BO155" s="596"/>
      <c r="BP155" s="596"/>
      <c r="BQ155" s="596"/>
      <c r="BR155" s="596"/>
      <c r="BS155" s="596"/>
      <c r="BT155" s="596"/>
    </row>
    <row r="156" spans="1:72" ht="15">
      <c r="A156" s="539"/>
      <c r="B156" s="539"/>
      <c r="C156" s="539"/>
      <c r="D156" s="539"/>
      <c r="E156" s="539"/>
      <c r="F156" s="539"/>
      <c r="G156" s="539"/>
      <c r="H156" s="539"/>
      <c r="I156" s="539"/>
      <c r="J156" s="539"/>
      <c r="K156" s="539"/>
      <c r="L156" s="539"/>
      <c r="M156" s="539"/>
      <c r="N156" s="539"/>
      <c r="O156" s="539"/>
      <c r="P156" s="539"/>
      <c r="Q156" s="539"/>
      <c r="R156" s="539"/>
      <c r="S156" s="557"/>
      <c r="T156" s="557"/>
      <c r="U156" s="557"/>
      <c r="V156" s="557"/>
      <c r="W156" s="539"/>
      <c r="X156" s="539"/>
      <c r="Y156" s="557"/>
      <c r="Z156" s="557"/>
      <c r="AA156" s="539"/>
      <c r="AB156" s="539"/>
      <c r="AC156" s="539"/>
      <c r="AD156" s="557"/>
      <c r="AE156" s="557"/>
      <c r="AF156" s="557"/>
      <c r="AG156" s="557"/>
      <c r="AH156" s="557"/>
      <c r="AI156" s="557"/>
      <c r="AJ156" s="557"/>
      <c r="AK156" s="557"/>
      <c r="AL156" s="557"/>
      <c r="AM156" s="557"/>
      <c r="AN156" s="557"/>
      <c r="AO156" s="557"/>
      <c r="AP156" s="557"/>
      <c r="AQ156" s="557"/>
      <c r="AR156" s="557"/>
      <c r="AS156" s="557"/>
      <c r="AT156" s="557"/>
      <c r="AU156" s="557"/>
      <c r="AV156" s="557"/>
      <c r="AW156" s="557"/>
      <c r="AX156" s="557"/>
      <c r="AY156" s="557"/>
      <c r="AZ156" s="557"/>
      <c r="BA156" s="557"/>
      <c r="BB156" s="557"/>
      <c r="BC156" s="557"/>
      <c r="BD156" s="553"/>
      <c r="BE156" s="596"/>
      <c r="BF156" s="596"/>
      <c r="BG156" s="596"/>
      <c r="BH156" s="596"/>
      <c r="BI156" s="596"/>
      <c r="BJ156" s="596"/>
      <c r="BK156" s="596"/>
      <c r="BL156" s="596"/>
      <c r="BM156" s="596"/>
      <c r="BN156" s="596"/>
      <c r="BO156" s="596"/>
      <c r="BP156" s="596"/>
      <c r="BQ156" s="596"/>
      <c r="BR156" s="596"/>
      <c r="BS156" s="596"/>
      <c r="BT156" s="596"/>
    </row>
    <row r="157" spans="1:72" ht="15">
      <c r="A157" s="539"/>
      <c r="B157" s="539"/>
      <c r="C157" s="539"/>
      <c r="D157" s="539"/>
      <c r="E157" s="539"/>
      <c r="F157" s="539"/>
      <c r="G157" s="539"/>
      <c r="H157" s="539"/>
      <c r="I157" s="539"/>
      <c r="J157" s="539"/>
      <c r="K157" s="539"/>
      <c r="L157" s="539"/>
      <c r="M157" s="539"/>
      <c r="N157" s="539"/>
      <c r="O157" s="539"/>
      <c r="P157" s="539"/>
      <c r="Q157" s="539"/>
      <c r="R157" s="539"/>
      <c r="S157" s="557"/>
      <c r="T157" s="557"/>
      <c r="U157" s="557"/>
      <c r="V157" s="557"/>
      <c r="W157" s="539"/>
      <c r="X157" s="539"/>
      <c r="Y157" s="557"/>
      <c r="Z157" s="557"/>
      <c r="AA157" s="539"/>
      <c r="AB157" s="539"/>
      <c r="AC157" s="539"/>
      <c r="AD157" s="557"/>
      <c r="AE157" s="557"/>
      <c r="AF157" s="557"/>
      <c r="AG157" s="557"/>
      <c r="AH157" s="557"/>
      <c r="AI157" s="557"/>
      <c r="AJ157" s="557"/>
      <c r="AK157" s="557"/>
      <c r="AL157" s="557"/>
      <c r="AM157" s="557"/>
      <c r="AN157" s="557"/>
      <c r="AO157" s="557"/>
      <c r="AP157" s="557"/>
      <c r="AQ157" s="557"/>
      <c r="AR157" s="557"/>
      <c r="AS157" s="557"/>
      <c r="AT157" s="557"/>
      <c r="AU157" s="557"/>
      <c r="AV157" s="557"/>
      <c r="AW157" s="557"/>
      <c r="AX157" s="557"/>
      <c r="AY157" s="557"/>
      <c r="AZ157" s="557"/>
      <c r="BA157" s="557"/>
      <c r="BB157" s="557"/>
      <c r="BC157" s="557"/>
      <c r="BD157" s="553"/>
      <c r="BE157" s="596"/>
      <c r="BF157" s="596"/>
      <c r="BG157" s="596"/>
      <c r="BH157" s="596"/>
      <c r="BI157" s="596"/>
      <c r="BJ157" s="596"/>
      <c r="BK157" s="596"/>
      <c r="BL157" s="596"/>
      <c r="BM157" s="596"/>
      <c r="BN157" s="596"/>
      <c r="BO157" s="596"/>
      <c r="BP157" s="596"/>
      <c r="BQ157" s="596"/>
      <c r="BR157" s="596"/>
      <c r="BS157" s="596"/>
      <c r="BT157" s="596"/>
    </row>
    <row r="158" spans="1:72" ht="15">
      <c r="A158" s="539"/>
      <c r="B158" s="539"/>
      <c r="C158" s="539"/>
      <c r="D158" s="539"/>
      <c r="E158" s="539"/>
      <c r="F158" s="539"/>
      <c r="G158" s="539"/>
      <c r="H158" s="539"/>
      <c r="I158" s="539"/>
      <c r="J158" s="539"/>
      <c r="K158" s="539"/>
      <c r="L158" s="539"/>
      <c r="M158" s="539"/>
      <c r="N158" s="539"/>
      <c r="O158" s="539"/>
      <c r="P158" s="539"/>
      <c r="Q158" s="539"/>
      <c r="R158" s="539"/>
      <c r="S158" s="557"/>
      <c r="T158" s="557"/>
      <c r="U158" s="557"/>
      <c r="V158" s="557"/>
      <c r="W158" s="539"/>
      <c r="X158" s="539"/>
      <c r="Y158" s="557"/>
      <c r="Z158" s="557"/>
      <c r="AA158" s="539"/>
      <c r="AB158" s="539"/>
      <c r="AC158" s="539"/>
      <c r="AD158" s="557"/>
      <c r="AE158" s="557"/>
      <c r="AF158" s="557"/>
      <c r="AG158" s="557"/>
      <c r="AH158" s="557"/>
      <c r="AI158" s="557"/>
      <c r="AJ158" s="557"/>
      <c r="AK158" s="557"/>
      <c r="AL158" s="557"/>
      <c r="AM158" s="557"/>
      <c r="AN158" s="557"/>
      <c r="AO158" s="557"/>
      <c r="AP158" s="557"/>
      <c r="AQ158" s="557"/>
      <c r="AR158" s="557"/>
      <c r="AS158" s="557"/>
      <c r="AT158" s="557"/>
      <c r="AU158" s="557"/>
      <c r="AV158" s="557"/>
      <c r="AW158" s="557"/>
      <c r="AX158" s="557"/>
      <c r="AY158" s="557"/>
      <c r="AZ158" s="557"/>
      <c r="BA158" s="557"/>
      <c r="BB158" s="557"/>
      <c r="BC158" s="557"/>
      <c r="BD158" s="553"/>
      <c r="BE158" s="596"/>
      <c r="BF158" s="596"/>
      <c r="BG158" s="596"/>
      <c r="BH158" s="596"/>
      <c r="BI158" s="596"/>
      <c r="BJ158" s="596"/>
      <c r="BK158" s="596"/>
      <c r="BL158" s="596"/>
      <c r="BM158" s="596"/>
      <c r="BN158" s="596"/>
      <c r="BO158" s="596"/>
      <c r="BP158" s="596"/>
      <c r="BQ158" s="596"/>
      <c r="BR158" s="596"/>
      <c r="BS158" s="596"/>
      <c r="BT158" s="596"/>
    </row>
    <row r="159" spans="1:72" ht="15">
      <c r="A159" s="539"/>
      <c r="B159" s="539"/>
      <c r="C159" s="539"/>
      <c r="D159" s="539"/>
      <c r="E159" s="539"/>
      <c r="F159" s="539"/>
      <c r="G159" s="539"/>
      <c r="H159" s="539"/>
      <c r="I159" s="539"/>
      <c r="J159" s="539"/>
      <c r="K159" s="539"/>
      <c r="L159" s="539"/>
      <c r="M159" s="539"/>
      <c r="N159" s="539"/>
      <c r="O159" s="539"/>
      <c r="P159" s="539"/>
      <c r="Q159" s="539"/>
      <c r="R159" s="539"/>
      <c r="S159" s="557"/>
      <c r="T159" s="557"/>
      <c r="U159" s="557"/>
      <c r="V159" s="557"/>
      <c r="W159" s="539"/>
      <c r="X159" s="539"/>
      <c r="Y159" s="557"/>
      <c r="Z159" s="557"/>
      <c r="AA159" s="539"/>
      <c r="AB159" s="539"/>
      <c r="AC159" s="539"/>
      <c r="AD159" s="557"/>
      <c r="AE159" s="557"/>
      <c r="AF159" s="557"/>
      <c r="AG159" s="557"/>
      <c r="AH159" s="557"/>
      <c r="AI159" s="557"/>
      <c r="AJ159" s="557"/>
      <c r="AK159" s="557"/>
      <c r="AL159" s="557"/>
      <c r="AM159" s="557"/>
      <c r="AN159" s="557"/>
      <c r="AO159" s="557"/>
      <c r="AP159" s="557"/>
      <c r="AQ159" s="557"/>
      <c r="AR159" s="557"/>
      <c r="AS159" s="557"/>
      <c r="AT159" s="557"/>
      <c r="AU159" s="557"/>
      <c r="AV159" s="557"/>
      <c r="AW159" s="557"/>
      <c r="AX159" s="557"/>
      <c r="AY159" s="557"/>
      <c r="AZ159" s="557"/>
      <c r="BA159" s="557"/>
      <c r="BB159" s="557"/>
      <c r="BC159" s="557"/>
      <c r="BD159" s="553"/>
      <c r="BE159" s="596"/>
      <c r="BF159" s="596"/>
      <c r="BG159" s="596"/>
      <c r="BH159" s="596"/>
      <c r="BI159" s="596"/>
      <c r="BJ159" s="596"/>
      <c r="BK159" s="596"/>
      <c r="BL159" s="596"/>
      <c r="BM159" s="596"/>
      <c r="BN159" s="596"/>
      <c r="BO159" s="596"/>
      <c r="BP159" s="596"/>
      <c r="BQ159" s="596"/>
      <c r="BR159" s="596"/>
      <c r="BS159" s="596"/>
      <c r="BT159" s="596"/>
    </row>
    <row r="160" spans="1:72" ht="15">
      <c r="A160" s="539"/>
      <c r="B160" s="539"/>
      <c r="C160" s="539"/>
      <c r="D160" s="539"/>
      <c r="E160" s="539"/>
      <c r="F160" s="539"/>
      <c r="G160" s="539"/>
      <c r="H160" s="539"/>
      <c r="I160" s="539"/>
      <c r="J160" s="539"/>
      <c r="K160" s="539"/>
      <c r="L160" s="539"/>
      <c r="M160" s="539"/>
      <c r="N160" s="539"/>
      <c r="O160" s="539"/>
      <c r="P160" s="539"/>
      <c r="Q160" s="539"/>
      <c r="R160" s="539"/>
      <c r="S160" s="557"/>
      <c r="T160" s="557"/>
      <c r="U160" s="557"/>
      <c r="V160" s="557"/>
      <c r="W160" s="539"/>
      <c r="X160" s="539"/>
      <c r="Y160" s="557"/>
      <c r="Z160" s="557"/>
      <c r="AA160" s="539"/>
      <c r="AB160" s="539"/>
      <c r="AC160" s="539"/>
      <c r="AD160" s="557"/>
      <c r="AE160" s="557"/>
      <c r="AF160" s="557"/>
      <c r="AG160" s="557"/>
      <c r="AH160" s="557"/>
      <c r="AI160" s="557"/>
      <c r="AJ160" s="557"/>
      <c r="AK160" s="557"/>
      <c r="AL160" s="557"/>
      <c r="AM160" s="557"/>
      <c r="AN160" s="557"/>
      <c r="AO160" s="557"/>
      <c r="AP160" s="557"/>
      <c r="AQ160" s="557"/>
      <c r="AR160" s="557"/>
      <c r="AS160" s="557"/>
      <c r="AT160" s="557"/>
      <c r="AU160" s="557"/>
      <c r="AV160" s="557"/>
      <c r="AW160" s="557"/>
      <c r="AX160" s="557"/>
      <c r="AY160" s="557"/>
      <c r="AZ160" s="557"/>
      <c r="BA160" s="557"/>
      <c r="BB160" s="557"/>
      <c r="BC160" s="557"/>
      <c r="BD160" s="553"/>
      <c r="BE160" s="596"/>
      <c r="BF160" s="596"/>
      <c r="BG160" s="596"/>
      <c r="BH160" s="596"/>
      <c r="BI160" s="596"/>
      <c r="BJ160" s="596"/>
      <c r="BK160" s="596"/>
      <c r="BL160" s="596"/>
      <c r="BM160" s="596"/>
      <c r="BN160" s="596"/>
      <c r="BO160" s="596"/>
      <c r="BP160" s="596"/>
      <c r="BQ160" s="596"/>
      <c r="BR160" s="596"/>
      <c r="BS160" s="596"/>
      <c r="BT160" s="596"/>
    </row>
    <row r="161" spans="1:72" ht="15">
      <c r="A161" s="539"/>
      <c r="B161" s="539"/>
      <c r="C161" s="539"/>
      <c r="D161" s="539"/>
      <c r="E161" s="539"/>
      <c r="F161" s="539"/>
      <c r="G161" s="539"/>
      <c r="H161" s="539"/>
      <c r="I161" s="539"/>
      <c r="J161" s="539"/>
      <c r="K161" s="539"/>
      <c r="L161" s="539"/>
      <c r="M161" s="539"/>
      <c r="N161" s="539"/>
      <c r="O161" s="539"/>
      <c r="P161" s="539"/>
      <c r="Q161" s="539"/>
      <c r="R161" s="539"/>
      <c r="S161" s="557"/>
      <c r="T161" s="557"/>
      <c r="U161" s="557"/>
      <c r="V161" s="557"/>
      <c r="W161" s="539"/>
      <c r="X161" s="539"/>
      <c r="Y161" s="557"/>
      <c r="Z161" s="557"/>
      <c r="AA161" s="539"/>
      <c r="AB161" s="539"/>
      <c r="AC161" s="539"/>
      <c r="AD161" s="557"/>
      <c r="AE161" s="557"/>
      <c r="AF161" s="557"/>
      <c r="AG161" s="557"/>
      <c r="AH161" s="557"/>
      <c r="AI161" s="557"/>
      <c r="AJ161" s="557"/>
      <c r="AK161" s="557"/>
      <c r="AL161" s="557"/>
      <c r="AM161" s="557"/>
      <c r="AN161" s="557"/>
      <c r="AO161" s="557"/>
      <c r="AP161" s="557"/>
      <c r="AQ161" s="557"/>
      <c r="AR161" s="557"/>
      <c r="AS161" s="557"/>
      <c r="AT161" s="557"/>
      <c r="AU161" s="557"/>
      <c r="AV161" s="557"/>
      <c r="AW161" s="557"/>
      <c r="AX161" s="557"/>
      <c r="AY161" s="557"/>
      <c r="AZ161" s="557"/>
      <c r="BA161" s="557"/>
      <c r="BB161" s="557"/>
      <c r="BC161" s="557"/>
      <c r="BD161" s="553"/>
      <c r="BE161" s="596"/>
      <c r="BF161" s="596"/>
      <c r="BG161" s="596"/>
      <c r="BH161" s="596"/>
      <c r="BI161" s="596"/>
      <c r="BJ161" s="596"/>
      <c r="BK161" s="596"/>
      <c r="BL161" s="596"/>
      <c r="BM161" s="596"/>
      <c r="BN161" s="596"/>
      <c r="BO161" s="596"/>
      <c r="BP161" s="596"/>
      <c r="BQ161" s="596"/>
      <c r="BR161" s="596"/>
      <c r="BS161" s="596"/>
      <c r="BT161" s="596"/>
    </row>
    <row r="162" spans="1:72" ht="15">
      <c r="A162" s="539"/>
      <c r="B162" s="539"/>
      <c r="C162" s="539"/>
      <c r="D162" s="539"/>
      <c r="E162" s="539"/>
      <c r="F162" s="539"/>
      <c r="G162" s="539"/>
      <c r="H162" s="539"/>
      <c r="I162" s="539"/>
      <c r="J162" s="539"/>
      <c r="K162" s="539"/>
      <c r="L162" s="539"/>
      <c r="M162" s="539"/>
      <c r="N162" s="539"/>
      <c r="O162" s="539"/>
      <c r="P162" s="539"/>
      <c r="Q162" s="539"/>
      <c r="R162" s="539"/>
      <c r="S162" s="557"/>
      <c r="T162" s="557"/>
      <c r="U162" s="557"/>
      <c r="V162" s="557"/>
      <c r="W162" s="539"/>
      <c r="X162" s="539"/>
      <c r="Y162" s="557"/>
      <c r="Z162" s="557"/>
      <c r="AA162" s="539"/>
      <c r="AB162" s="539"/>
      <c r="AC162" s="539"/>
      <c r="AD162" s="557"/>
      <c r="AE162" s="557"/>
      <c r="AF162" s="557"/>
      <c r="AG162" s="557"/>
      <c r="AH162" s="557"/>
      <c r="AI162" s="557"/>
      <c r="AJ162" s="557"/>
      <c r="AK162" s="557"/>
      <c r="AL162" s="557"/>
      <c r="AM162" s="557"/>
      <c r="AN162" s="557"/>
      <c r="AO162" s="557"/>
      <c r="AP162" s="557"/>
      <c r="AQ162" s="557"/>
      <c r="AR162" s="557"/>
      <c r="AS162" s="557"/>
      <c r="AT162" s="557"/>
      <c r="AU162" s="557"/>
      <c r="AV162" s="557"/>
      <c r="AW162" s="557"/>
      <c r="AX162" s="557"/>
      <c r="AY162" s="557"/>
      <c r="AZ162" s="557"/>
      <c r="BA162" s="557"/>
      <c r="BB162" s="557"/>
      <c r="BC162" s="557"/>
      <c r="BD162" s="553"/>
      <c r="BE162" s="596"/>
      <c r="BF162" s="596"/>
      <c r="BG162" s="596"/>
      <c r="BH162" s="596"/>
      <c r="BI162" s="596"/>
      <c r="BJ162" s="596"/>
      <c r="BK162" s="596"/>
      <c r="BL162" s="596"/>
      <c r="BM162" s="596"/>
      <c r="BN162" s="596"/>
      <c r="BO162" s="596"/>
      <c r="BP162" s="596"/>
      <c r="BQ162" s="596"/>
      <c r="BR162" s="596"/>
      <c r="BS162" s="596"/>
      <c r="BT162" s="596"/>
    </row>
    <row r="163" spans="1:72" ht="15">
      <c r="A163" s="539"/>
      <c r="B163" s="539"/>
      <c r="C163" s="539"/>
      <c r="D163" s="539"/>
      <c r="E163" s="539"/>
      <c r="F163" s="539"/>
      <c r="G163" s="539"/>
      <c r="H163" s="539"/>
      <c r="I163" s="539"/>
      <c r="J163" s="539"/>
      <c r="K163" s="539"/>
      <c r="L163" s="539"/>
      <c r="M163" s="539"/>
      <c r="N163" s="539"/>
      <c r="O163" s="539"/>
      <c r="P163" s="539"/>
      <c r="Q163" s="539"/>
      <c r="R163" s="539"/>
      <c r="S163" s="557"/>
      <c r="T163" s="557"/>
      <c r="U163" s="557"/>
      <c r="V163" s="557"/>
      <c r="W163" s="539"/>
      <c r="X163" s="539"/>
      <c r="Y163" s="557"/>
      <c r="Z163" s="557"/>
      <c r="AA163" s="539"/>
      <c r="AB163" s="539"/>
      <c r="AC163" s="539"/>
      <c r="AD163" s="557"/>
      <c r="AE163" s="557"/>
      <c r="AF163" s="557"/>
      <c r="AG163" s="557"/>
      <c r="AH163" s="557"/>
      <c r="AI163" s="557"/>
      <c r="AJ163" s="557"/>
      <c r="AK163" s="557"/>
      <c r="AL163" s="557"/>
      <c r="AM163" s="557"/>
      <c r="AN163" s="557"/>
      <c r="AO163" s="557"/>
      <c r="AP163" s="557"/>
      <c r="AQ163" s="557"/>
      <c r="AR163" s="557"/>
      <c r="AS163" s="557"/>
      <c r="AT163" s="557"/>
      <c r="AU163" s="557"/>
      <c r="AV163" s="557"/>
      <c r="AW163" s="557"/>
      <c r="AX163" s="557"/>
      <c r="AY163" s="557"/>
      <c r="AZ163" s="557"/>
      <c r="BA163" s="557"/>
      <c r="BB163" s="557"/>
      <c r="BC163" s="557"/>
      <c r="BD163" s="553"/>
      <c r="BE163" s="596"/>
      <c r="BF163" s="596"/>
      <c r="BG163" s="596"/>
      <c r="BH163" s="596"/>
      <c r="BI163" s="596"/>
      <c r="BJ163" s="596"/>
      <c r="BK163" s="596"/>
      <c r="BL163" s="596"/>
      <c r="BM163" s="596"/>
      <c r="BN163" s="596"/>
      <c r="BO163" s="596"/>
      <c r="BP163" s="596"/>
      <c r="BQ163" s="596"/>
      <c r="BR163" s="596"/>
      <c r="BS163" s="596"/>
      <c r="BT163" s="596"/>
    </row>
    <row r="164" spans="1:72" ht="15">
      <c r="A164" s="539"/>
      <c r="B164" s="539"/>
      <c r="C164" s="539"/>
      <c r="D164" s="539"/>
      <c r="E164" s="539"/>
      <c r="F164" s="539"/>
      <c r="G164" s="539"/>
      <c r="H164" s="539"/>
      <c r="I164" s="539"/>
      <c r="J164" s="539"/>
      <c r="K164" s="539"/>
      <c r="L164" s="539"/>
      <c r="M164" s="539"/>
      <c r="N164" s="539"/>
      <c r="O164" s="539"/>
      <c r="P164" s="539"/>
      <c r="Q164" s="539"/>
      <c r="R164" s="539"/>
      <c r="S164" s="557"/>
      <c r="T164" s="557"/>
      <c r="U164" s="557"/>
      <c r="V164" s="557"/>
      <c r="W164" s="539"/>
      <c r="X164" s="539"/>
      <c r="Y164" s="557"/>
      <c r="Z164" s="557"/>
      <c r="AA164" s="539"/>
      <c r="AB164" s="539"/>
      <c r="AC164" s="539"/>
      <c r="AD164" s="557"/>
      <c r="AE164" s="557"/>
      <c r="AF164" s="557"/>
      <c r="AG164" s="557"/>
      <c r="AH164" s="557"/>
      <c r="AI164" s="557"/>
      <c r="AJ164" s="557"/>
      <c r="AK164" s="557"/>
      <c r="AL164" s="557"/>
      <c r="AM164" s="557"/>
      <c r="AN164" s="557"/>
      <c r="AO164" s="557"/>
      <c r="AP164" s="557"/>
      <c r="AQ164" s="557"/>
      <c r="AR164" s="557"/>
      <c r="AS164" s="557"/>
      <c r="AT164" s="557"/>
      <c r="AU164" s="557"/>
      <c r="AV164" s="557"/>
      <c r="AW164" s="557"/>
      <c r="AX164" s="557"/>
      <c r="AY164" s="557"/>
      <c r="AZ164" s="557"/>
      <c r="BA164" s="557"/>
      <c r="BB164" s="557"/>
      <c r="BC164" s="557"/>
      <c r="BD164" s="553"/>
      <c r="BE164" s="596"/>
      <c r="BF164" s="596"/>
      <c r="BG164" s="596"/>
      <c r="BH164" s="596"/>
      <c r="BI164" s="596"/>
      <c r="BJ164" s="596"/>
      <c r="BK164" s="596"/>
      <c r="BL164" s="596"/>
      <c r="BM164" s="596"/>
      <c r="BN164" s="596"/>
      <c r="BO164" s="596"/>
      <c r="BP164" s="596"/>
      <c r="BQ164" s="596"/>
      <c r="BR164" s="596"/>
      <c r="BS164" s="596"/>
      <c r="BT164" s="596"/>
    </row>
    <row r="165" spans="1:72" ht="15">
      <c r="A165" s="539"/>
      <c r="B165" s="539"/>
      <c r="C165" s="539"/>
      <c r="D165" s="539"/>
      <c r="E165" s="539"/>
      <c r="F165" s="539"/>
      <c r="G165" s="539"/>
      <c r="H165" s="539"/>
      <c r="I165" s="539"/>
      <c r="J165" s="539"/>
      <c r="K165" s="539"/>
      <c r="L165" s="539"/>
      <c r="M165" s="539"/>
      <c r="N165" s="539"/>
      <c r="O165" s="539"/>
      <c r="P165" s="539"/>
      <c r="Q165" s="539"/>
      <c r="R165" s="539"/>
      <c r="S165" s="557"/>
      <c r="T165" s="557"/>
      <c r="U165" s="557"/>
      <c r="V165" s="557"/>
      <c r="W165" s="539"/>
      <c r="X165" s="539"/>
      <c r="Y165" s="557"/>
      <c r="Z165" s="557"/>
      <c r="AA165" s="539"/>
      <c r="AB165" s="539"/>
      <c r="AC165" s="539"/>
      <c r="AD165" s="557"/>
      <c r="AE165" s="557"/>
      <c r="AF165" s="557"/>
      <c r="AG165" s="557"/>
      <c r="AH165" s="557"/>
      <c r="AI165" s="557"/>
      <c r="AJ165" s="557"/>
      <c r="AK165" s="557"/>
      <c r="AL165" s="557"/>
      <c r="AM165" s="557"/>
      <c r="AN165" s="557"/>
      <c r="AO165" s="557"/>
      <c r="AP165" s="557"/>
      <c r="AQ165" s="557"/>
      <c r="AR165" s="557"/>
      <c r="AS165" s="557"/>
      <c r="AT165" s="557"/>
      <c r="AU165" s="557"/>
      <c r="AV165" s="557"/>
      <c r="AW165" s="557"/>
      <c r="AX165" s="557"/>
      <c r="AY165" s="557"/>
      <c r="AZ165" s="557"/>
      <c r="BA165" s="557"/>
      <c r="BB165" s="557"/>
      <c r="BC165" s="557"/>
      <c r="BD165" s="553"/>
      <c r="BE165" s="596"/>
      <c r="BF165" s="596"/>
      <c r="BG165" s="596"/>
      <c r="BH165" s="596"/>
      <c r="BI165" s="596"/>
      <c r="BJ165" s="596"/>
      <c r="BK165" s="596"/>
      <c r="BL165" s="596"/>
      <c r="BM165" s="596"/>
      <c r="BN165" s="596"/>
      <c r="BO165" s="596"/>
      <c r="BP165" s="596"/>
      <c r="BQ165" s="596"/>
      <c r="BR165" s="596"/>
      <c r="BS165" s="596"/>
      <c r="BT165" s="596"/>
    </row>
    <row r="166" spans="1:72" ht="15">
      <c r="A166" s="539"/>
      <c r="B166" s="539"/>
      <c r="C166" s="539"/>
      <c r="D166" s="539"/>
      <c r="E166" s="539"/>
      <c r="F166" s="539"/>
      <c r="G166" s="539"/>
      <c r="H166" s="539"/>
      <c r="I166" s="539"/>
      <c r="J166" s="539"/>
      <c r="K166" s="539"/>
      <c r="L166" s="539"/>
      <c r="M166" s="539"/>
      <c r="N166" s="539"/>
      <c r="O166" s="539"/>
      <c r="P166" s="539"/>
      <c r="Q166" s="539"/>
      <c r="R166" s="539"/>
      <c r="S166" s="557"/>
      <c r="T166" s="557"/>
      <c r="U166" s="557"/>
      <c r="V166" s="557"/>
      <c r="W166" s="539"/>
      <c r="X166" s="539"/>
      <c r="Y166" s="557"/>
      <c r="Z166" s="557"/>
      <c r="AA166" s="539"/>
      <c r="AB166" s="539"/>
      <c r="AC166" s="539"/>
      <c r="AD166" s="557"/>
      <c r="AE166" s="557"/>
      <c r="AF166" s="557"/>
      <c r="AG166" s="557"/>
      <c r="AH166" s="557"/>
      <c r="AI166" s="557"/>
      <c r="AJ166" s="557"/>
      <c r="AK166" s="557"/>
      <c r="AL166" s="557"/>
      <c r="AM166" s="557"/>
      <c r="AN166" s="557"/>
      <c r="AO166" s="557"/>
      <c r="AP166" s="557"/>
      <c r="AQ166" s="557"/>
      <c r="AR166" s="557"/>
      <c r="AS166" s="557"/>
      <c r="AT166" s="557"/>
      <c r="AU166" s="557"/>
      <c r="AV166" s="557"/>
      <c r="AW166" s="557"/>
      <c r="AX166" s="557"/>
      <c r="AY166" s="557"/>
      <c r="AZ166" s="557"/>
      <c r="BA166" s="557"/>
      <c r="BB166" s="557"/>
      <c r="BC166" s="557"/>
      <c r="BD166" s="553"/>
      <c r="BE166" s="596"/>
      <c r="BF166" s="596"/>
      <c r="BG166" s="596"/>
      <c r="BH166" s="596"/>
      <c r="BI166" s="596"/>
      <c r="BJ166" s="596"/>
      <c r="BK166" s="596"/>
      <c r="BL166" s="596"/>
      <c r="BM166" s="596"/>
      <c r="BN166" s="596"/>
      <c r="BO166" s="596"/>
      <c r="BP166" s="596"/>
      <c r="BQ166" s="596"/>
      <c r="BR166" s="596"/>
      <c r="BS166" s="596"/>
      <c r="BT166" s="596"/>
    </row>
    <row r="167" spans="1:72" ht="15">
      <c r="A167" s="539"/>
      <c r="B167" s="539"/>
      <c r="C167" s="539"/>
      <c r="D167" s="539"/>
      <c r="E167" s="539"/>
      <c r="F167" s="539"/>
      <c r="G167" s="539"/>
      <c r="H167" s="539"/>
      <c r="I167" s="539"/>
      <c r="J167" s="539"/>
      <c r="K167" s="539"/>
      <c r="L167" s="539"/>
      <c r="M167" s="539"/>
      <c r="N167" s="539"/>
      <c r="O167" s="539"/>
      <c r="P167" s="539"/>
      <c r="Q167" s="539"/>
      <c r="R167" s="539"/>
      <c r="S167" s="557"/>
      <c r="T167" s="557"/>
      <c r="U167" s="557"/>
      <c r="V167" s="557"/>
      <c r="W167" s="539"/>
      <c r="X167" s="539"/>
      <c r="Y167" s="557"/>
      <c r="Z167" s="557"/>
      <c r="AA167" s="539"/>
      <c r="AB167" s="539"/>
      <c r="AC167" s="539"/>
      <c r="AD167" s="557"/>
      <c r="AE167" s="557"/>
      <c r="AF167" s="557"/>
      <c r="AG167" s="557"/>
      <c r="AH167" s="557"/>
      <c r="AI167" s="557"/>
      <c r="AJ167" s="557"/>
      <c r="AK167" s="557"/>
      <c r="AL167" s="557"/>
      <c r="AM167" s="557"/>
      <c r="AN167" s="557"/>
      <c r="AO167" s="557"/>
      <c r="AP167" s="557"/>
      <c r="AQ167" s="557"/>
      <c r="AR167" s="557"/>
      <c r="AS167" s="557"/>
      <c r="AT167" s="557"/>
      <c r="AU167" s="557"/>
      <c r="AV167" s="557"/>
      <c r="AW167" s="557"/>
      <c r="AX167" s="557"/>
      <c r="AY167" s="557"/>
      <c r="AZ167" s="557"/>
      <c r="BA167" s="557"/>
      <c r="BB167" s="557"/>
      <c r="BC167" s="557"/>
      <c r="BD167" s="553"/>
      <c r="BE167" s="596"/>
      <c r="BF167" s="596"/>
      <c r="BG167" s="596"/>
      <c r="BH167" s="596"/>
      <c r="BI167" s="596"/>
      <c r="BJ167" s="596"/>
      <c r="BK167" s="596"/>
      <c r="BL167" s="596"/>
      <c r="BM167" s="596"/>
      <c r="BN167" s="596"/>
      <c r="BO167" s="596"/>
      <c r="BP167" s="596"/>
      <c r="BQ167" s="596"/>
      <c r="BR167" s="596"/>
      <c r="BS167" s="596"/>
      <c r="BT167" s="596"/>
    </row>
    <row r="168" spans="1:72" ht="15">
      <c r="A168" s="539"/>
      <c r="B168" s="539"/>
      <c r="C168" s="539"/>
      <c r="D168" s="539"/>
      <c r="E168" s="539"/>
      <c r="F168" s="539"/>
      <c r="G168" s="539"/>
      <c r="H168" s="539"/>
      <c r="I168" s="539"/>
      <c r="J168" s="539"/>
      <c r="K168" s="539"/>
      <c r="L168" s="539"/>
      <c r="M168" s="539"/>
      <c r="N168" s="539"/>
      <c r="O168" s="539"/>
      <c r="P168" s="539"/>
      <c r="Q168" s="539"/>
      <c r="R168" s="539"/>
      <c r="S168" s="557"/>
      <c r="T168" s="557"/>
      <c r="U168" s="557"/>
      <c r="V168" s="557"/>
      <c r="W168" s="539"/>
      <c r="X168" s="539"/>
      <c r="Y168" s="557"/>
      <c r="Z168" s="557"/>
      <c r="AA168" s="539"/>
      <c r="AB168" s="539"/>
      <c r="AC168" s="539"/>
      <c r="AD168" s="557"/>
      <c r="AE168" s="557"/>
      <c r="AF168" s="557"/>
      <c r="AG168" s="557"/>
      <c r="AH168" s="557"/>
      <c r="AI168" s="557"/>
      <c r="AJ168" s="557"/>
      <c r="AK168" s="557"/>
      <c r="AL168" s="557"/>
      <c r="AM168" s="557"/>
      <c r="AN168" s="557"/>
      <c r="AO168" s="557"/>
      <c r="AP168" s="557"/>
      <c r="AQ168" s="557"/>
      <c r="AR168" s="557"/>
      <c r="AS168" s="557"/>
      <c r="AT168" s="557"/>
      <c r="AU168" s="557"/>
      <c r="AV168" s="557"/>
      <c r="AW168" s="557"/>
      <c r="AX168" s="557"/>
      <c r="AY168" s="557"/>
      <c r="AZ168" s="557"/>
      <c r="BA168" s="557"/>
      <c r="BB168" s="557"/>
      <c r="BC168" s="557"/>
      <c r="BD168" s="553"/>
      <c r="BE168" s="596"/>
      <c r="BF168" s="596"/>
      <c r="BG168" s="596"/>
      <c r="BH168" s="596"/>
      <c r="BI168" s="596"/>
      <c r="BJ168" s="596"/>
      <c r="BK168" s="596"/>
      <c r="BL168" s="596"/>
      <c r="BM168" s="596"/>
      <c r="BN168" s="596"/>
      <c r="BO168" s="596"/>
      <c r="BP168" s="596"/>
      <c r="BQ168" s="596"/>
      <c r="BR168" s="596"/>
      <c r="BS168" s="596"/>
      <c r="BT168" s="596"/>
    </row>
    <row r="169" spans="1:72" ht="15">
      <c r="A169" s="539"/>
      <c r="B169" s="539"/>
      <c r="C169" s="539"/>
      <c r="D169" s="539"/>
      <c r="E169" s="539"/>
      <c r="F169" s="539"/>
      <c r="G169" s="539"/>
      <c r="H169" s="539"/>
      <c r="I169" s="539"/>
      <c r="J169" s="539"/>
      <c r="K169" s="539"/>
      <c r="L169" s="539"/>
      <c r="M169" s="539"/>
      <c r="N169" s="539"/>
      <c r="O169" s="539"/>
      <c r="P169" s="539"/>
      <c r="Q169" s="539"/>
      <c r="R169" s="539"/>
      <c r="S169" s="557"/>
      <c r="T169" s="557"/>
      <c r="U169" s="557"/>
      <c r="V169" s="557"/>
      <c r="W169" s="539"/>
      <c r="X169" s="539"/>
      <c r="Y169" s="557"/>
      <c r="Z169" s="557"/>
      <c r="AA169" s="539"/>
      <c r="AB169" s="539"/>
      <c r="AC169" s="539"/>
      <c r="AD169" s="557"/>
      <c r="AE169" s="557"/>
      <c r="AF169" s="557"/>
      <c r="AG169" s="557"/>
      <c r="AH169" s="557"/>
      <c r="AI169" s="557"/>
      <c r="AJ169" s="557"/>
      <c r="AK169" s="557"/>
      <c r="AL169" s="557"/>
      <c r="AM169" s="557"/>
      <c r="AN169" s="557"/>
      <c r="AO169" s="557"/>
      <c r="AP169" s="557"/>
      <c r="AQ169" s="557"/>
      <c r="AR169" s="557"/>
      <c r="AS169" s="557"/>
      <c r="AT169" s="557"/>
      <c r="AU169" s="557"/>
      <c r="AV169" s="557"/>
      <c r="AW169" s="557"/>
      <c r="AX169" s="557"/>
      <c r="AY169" s="557"/>
      <c r="AZ169" s="557"/>
      <c r="BA169" s="557"/>
      <c r="BB169" s="557"/>
      <c r="BC169" s="557"/>
      <c r="BD169" s="553"/>
      <c r="BE169" s="596"/>
      <c r="BF169" s="596"/>
      <c r="BG169" s="596"/>
      <c r="BH169" s="596"/>
      <c r="BI169" s="596"/>
      <c r="BJ169" s="596"/>
      <c r="BK169" s="596"/>
      <c r="BL169" s="596"/>
      <c r="BM169" s="596"/>
      <c r="BN169" s="596"/>
      <c r="BO169" s="596"/>
      <c r="BP169" s="596"/>
      <c r="BQ169" s="596"/>
      <c r="BR169" s="596"/>
      <c r="BS169" s="596"/>
      <c r="BT169" s="596"/>
    </row>
    <row r="170" spans="1:72" ht="15">
      <c r="A170" s="539"/>
      <c r="B170" s="539"/>
      <c r="C170" s="539"/>
      <c r="D170" s="539"/>
      <c r="E170" s="539"/>
      <c r="F170" s="539"/>
      <c r="G170" s="539"/>
      <c r="H170" s="539"/>
      <c r="I170" s="539"/>
      <c r="J170" s="539"/>
      <c r="K170" s="539"/>
      <c r="L170" s="539"/>
      <c r="M170" s="539"/>
      <c r="N170" s="539"/>
      <c r="O170" s="539"/>
      <c r="P170" s="539"/>
      <c r="Q170" s="539"/>
      <c r="R170" s="539"/>
      <c r="S170" s="557"/>
      <c r="T170" s="557"/>
      <c r="U170" s="557"/>
      <c r="V170" s="557"/>
      <c r="W170" s="539"/>
      <c r="X170" s="539"/>
      <c r="Y170" s="557"/>
      <c r="Z170" s="557"/>
      <c r="AA170" s="539"/>
      <c r="AB170" s="539"/>
      <c r="AC170" s="539"/>
      <c r="AD170" s="557"/>
      <c r="AE170" s="557"/>
      <c r="AF170" s="557"/>
      <c r="AG170" s="557"/>
      <c r="AH170" s="557"/>
      <c r="AI170" s="557"/>
      <c r="AJ170" s="557"/>
      <c r="AK170" s="557"/>
      <c r="AL170" s="557"/>
      <c r="AM170" s="557"/>
      <c r="AN170" s="557"/>
      <c r="AO170" s="557"/>
      <c r="AP170" s="557"/>
      <c r="AQ170" s="557"/>
      <c r="AR170" s="557"/>
      <c r="AS170" s="557"/>
      <c r="AT170" s="557"/>
      <c r="AU170" s="557"/>
      <c r="AV170" s="557"/>
      <c r="AW170" s="557"/>
      <c r="AX170" s="557"/>
      <c r="AY170" s="557"/>
      <c r="AZ170" s="557"/>
      <c r="BA170" s="557"/>
      <c r="BB170" s="557"/>
      <c r="BC170" s="557"/>
      <c r="BD170" s="553"/>
      <c r="BE170" s="596"/>
      <c r="BF170" s="596"/>
      <c r="BG170" s="596"/>
      <c r="BH170" s="596"/>
      <c r="BI170" s="596"/>
      <c r="BJ170" s="596"/>
      <c r="BK170" s="596"/>
      <c r="BL170" s="596"/>
      <c r="BM170" s="596"/>
      <c r="BN170" s="596"/>
      <c r="BO170" s="596"/>
      <c r="BP170" s="596"/>
      <c r="BQ170" s="596"/>
      <c r="BR170" s="596"/>
      <c r="BS170" s="596"/>
      <c r="BT170" s="596"/>
    </row>
    <row r="171" spans="1:72" ht="15">
      <c r="A171" s="539"/>
      <c r="B171" s="539"/>
      <c r="C171" s="539"/>
      <c r="D171" s="539"/>
      <c r="E171" s="539"/>
      <c r="F171" s="539"/>
      <c r="G171" s="539"/>
      <c r="H171" s="539"/>
      <c r="I171" s="539"/>
      <c r="J171" s="539"/>
      <c r="K171" s="539"/>
      <c r="L171" s="539"/>
      <c r="M171" s="539"/>
      <c r="N171" s="539"/>
      <c r="O171" s="539"/>
      <c r="P171" s="539"/>
      <c r="Q171" s="539"/>
      <c r="R171" s="539"/>
      <c r="S171" s="557"/>
      <c r="T171" s="557"/>
      <c r="U171" s="557"/>
      <c r="V171" s="557"/>
      <c r="W171" s="539"/>
      <c r="X171" s="539"/>
      <c r="Y171" s="557"/>
      <c r="Z171" s="557"/>
      <c r="AA171" s="539"/>
      <c r="AB171" s="539"/>
      <c r="AC171" s="539"/>
      <c r="AD171" s="557"/>
      <c r="AE171" s="557"/>
      <c r="AF171" s="557"/>
      <c r="AG171" s="557"/>
      <c r="AH171" s="557"/>
      <c r="AI171" s="557"/>
      <c r="AJ171" s="557"/>
      <c r="AK171" s="557"/>
      <c r="AL171" s="557"/>
      <c r="AM171" s="557"/>
      <c r="AN171" s="557"/>
      <c r="AO171" s="557"/>
      <c r="AP171" s="557"/>
      <c r="AQ171" s="557"/>
      <c r="AR171" s="557"/>
      <c r="AS171" s="557"/>
      <c r="AT171" s="557"/>
      <c r="AU171" s="557"/>
      <c r="AV171" s="557"/>
      <c r="AW171" s="557"/>
      <c r="AX171" s="557"/>
      <c r="AY171" s="557"/>
      <c r="AZ171" s="557"/>
      <c r="BA171" s="557"/>
      <c r="BB171" s="557"/>
      <c r="BC171" s="557"/>
      <c r="BD171" s="553"/>
      <c r="BE171" s="596"/>
      <c r="BF171" s="596"/>
      <c r="BG171" s="596"/>
      <c r="BH171" s="596"/>
      <c r="BI171" s="596"/>
      <c r="BJ171" s="596"/>
      <c r="BK171" s="596"/>
      <c r="BL171" s="596"/>
      <c r="BM171" s="596"/>
      <c r="BN171" s="596"/>
      <c r="BO171" s="596"/>
      <c r="BP171" s="596"/>
      <c r="BQ171" s="596"/>
      <c r="BR171" s="596"/>
      <c r="BS171" s="596"/>
      <c r="BT171" s="596"/>
    </row>
    <row r="172" spans="1:72" ht="15">
      <c r="A172" s="539"/>
      <c r="B172" s="539"/>
      <c r="C172" s="539"/>
      <c r="D172" s="539"/>
      <c r="E172" s="539"/>
      <c r="F172" s="539"/>
      <c r="G172" s="539"/>
      <c r="H172" s="539"/>
      <c r="I172" s="539"/>
      <c r="J172" s="539"/>
      <c r="K172" s="539"/>
      <c r="L172" s="539"/>
      <c r="M172" s="539"/>
      <c r="N172" s="539"/>
      <c r="O172" s="539"/>
      <c r="P172" s="539"/>
      <c r="Q172" s="539"/>
      <c r="R172" s="539"/>
      <c r="S172" s="557"/>
      <c r="T172" s="557"/>
      <c r="U172" s="557"/>
      <c r="V172" s="557"/>
      <c r="W172" s="539"/>
      <c r="X172" s="539"/>
      <c r="Y172" s="557"/>
      <c r="Z172" s="557"/>
      <c r="AA172" s="539"/>
      <c r="AB172" s="539"/>
      <c r="AC172" s="539"/>
      <c r="AD172" s="557"/>
      <c r="AE172" s="557"/>
      <c r="AF172" s="557"/>
      <c r="AG172" s="557"/>
      <c r="AH172" s="557"/>
      <c r="AI172" s="557"/>
      <c r="AJ172" s="557"/>
      <c r="AK172" s="557"/>
      <c r="AL172" s="557"/>
      <c r="AM172" s="557"/>
      <c r="AN172" s="557"/>
      <c r="AO172" s="557"/>
      <c r="AP172" s="557"/>
      <c r="AQ172" s="557"/>
      <c r="AR172" s="557"/>
      <c r="AS172" s="557"/>
      <c r="AT172" s="557"/>
      <c r="AU172" s="557"/>
      <c r="AV172" s="557"/>
      <c r="AW172" s="557"/>
      <c r="AX172" s="557"/>
      <c r="AY172" s="557"/>
      <c r="AZ172" s="557"/>
      <c r="BA172" s="557"/>
      <c r="BB172" s="557"/>
      <c r="BC172" s="557"/>
      <c r="BD172" s="553"/>
      <c r="BE172" s="596"/>
      <c r="BF172" s="596"/>
      <c r="BG172" s="596"/>
      <c r="BH172" s="596"/>
      <c r="BI172" s="596"/>
      <c r="BJ172" s="596"/>
      <c r="BK172" s="596"/>
      <c r="BL172" s="596"/>
      <c r="BM172" s="596"/>
      <c r="BN172" s="596"/>
      <c r="BO172" s="596"/>
      <c r="BP172" s="596"/>
      <c r="BQ172" s="596"/>
      <c r="BR172" s="596"/>
      <c r="BS172" s="596"/>
      <c r="BT172" s="596"/>
    </row>
    <row r="173" spans="1:72" ht="15">
      <c r="A173" s="539"/>
      <c r="B173" s="539"/>
      <c r="C173" s="539"/>
      <c r="D173" s="539"/>
      <c r="E173" s="539"/>
      <c r="F173" s="539"/>
      <c r="G173" s="539"/>
      <c r="H173" s="539"/>
      <c r="I173" s="539"/>
      <c r="J173" s="539"/>
      <c r="K173" s="539"/>
      <c r="L173" s="539"/>
      <c r="M173" s="539"/>
      <c r="N173" s="539"/>
      <c r="O173" s="539"/>
      <c r="P173" s="539"/>
      <c r="Q173" s="539"/>
      <c r="R173" s="539"/>
      <c r="S173" s="557"/>
      <c r="T173" s="557"/>
      <c r="U173" s="557"/>
      <c r="V173" s="557"/>
      <c r="W173" s="539"/>
      <c r="X173" s="539"/>
      <c r="Y173" s="557"/>
      <c r="Z173" s="557"/>
      <c r="AA173" s="539"/>
      <c r="AB173" s="539"/>
      <c r="AC173" s="539"/>
      <c r="AD173" s="557"/>
      <c r="AE173" s="557"/>
      <c r="AF173" s="557"/>
      <c r="AG173" s="557"/>
      <c r="AH173" s="557"/>
      <c r="AI173" s="557"/>
      <c r="AJ173" s="557"/>
      <c r="AK173" s="557"/>
      <c r="AL173" s="557"/>
      <c r="AM173" s="557"/>
      <c r="AN173" s="557"/>
      <c r="AO173" s="557"/>
      <c r="AP173" s="557"/>
      <c r="AQ173" s="557"/>
      <c r="AR173" s="557"/>
      <c r="AS173" s="557"/>
      <c r="AT173" s="557"/>
      <c r="AU173" s="557"/>
      <c r="AV173" s="557"/>
      <c r="AW173" s="557"/>
      <c r="AX173" s="557"/>
      <c r="AY173" s="557"/>
      <c r="AZ173" s="557"/>
      <c r="BA173" s="557"/>
      <c r="BB173" s="557"/>
      <c r="BC173" s="557"/>
      <c r="BD173" s="553"/>
      <c r="BE173" s="596"/>
      <c r="BF173" s="596"/>
      <c r="BG173" s="596"/>
      <c r="BH173" s="596"/>
      <c r="BI173" s="596"/>
      <c r="BJ173" s="596"/>
      <c r="BK173" s="596"/>
      <c r="BL173" s="596"/>
      <c r="BM173" s="596"/>
      <c r="BN173" s="596"/>
      <c r="BO173" s="596"/>
      <c r="BP173" s="596"/>
      <c r="BQ173" s="596"/>
      <c r="BR173" s="596"/>
      <c r="BS173" s="596"/>
      <c r="BT173" s="596"/>
    </row>
    <row r="174" spans="1:72" ht="15">
      <c r="A174" s="539"/>
      <c r="B174" s="539"/>
      <c r="C174" s="539"/>
      <c r="D174" s="539"/>
      <c r="E174" s="539"/>
      <c r="F174" s="539"/>
      <c r="G174" s="539"/>
      <c r="H174" s="539"/>
      <c r="I174" s="539"/>
      <c r="J174" s="539"/>
      <c r="K174" s="539"/>
      <c r="L174" s="539"/>
      <c r="M174" s="539"/>
      <c r="N174" s="539"/>
      <c r="O174" s="539"/>
      <c r="P174" s="539"/>
      <c r="Q174" s="539"/>
      <c r="R174" s="539"/>
      <c r="S174" s="557"/>
      <c r="T174" s="557"/>
      <c r="U174" s="557"/>
      <c r="V174" s="557"/>
      <c r="W174" s="539"/>
      <c r="X174" s="539"/>
      <c r="Y174" s="557"/>
      <c r="Z174" s="557"/>
      <c r="AA174" s="539"/>
      <c r="AB174" s="539"/>
      <c r="AC174" s="539"/>
      <c r="AD174" s="557"/>
      <c r="AE174" s="557"/>
      <c r="AF174" s="557"/>
      <c r="AG174" s="557"/>
      <c r="AH174" s="557"/>
      <c r="AI174" s="557"/>
      <c r="AJ174" s="557"/>
      <c r="AK174" s="557"/>
      <c r="AL174" s="557"/>
      <c r="AM174" s="557"/>
      <c r="AN174" s="557"/>
      <c r="AO174" s="557"/>
      <c r="AP174" s="557"/>
      <c r="AQ174" s="557"/>
      <c r="AR174" s="557"/>
      <c r="AS174" s="557"/>
      <c r="AT174" s="557"/>
      <c r="AU174" s="557"/>
      <c r="AV174" s="557"/>
      <c r="AW174" s="557"/>
      <c r="AX174" s="557"/>
      <c r="AY174" s="557"/>
      <c r="AZ174" s="557"/>
      <c r="BA174" s="557"/>
      <c r="BB174" s="557"/>
      <c r="BC174" s="557"/>
      <c r="BD174" s="553"/>
      <c r="BE174" s="596"/>
      <c r="BF174" s="596"/>
      <c r="BG174" s="596"/>
      <c r="BH174" s="596"/>
      <c r="BI174" s="596"/>
      <c r="BJ174" s="596"/>
      <c r="BK174" s="596"/>
      <c r="BL174" s="596"/>
      <c r="BM174" s="596"/>
      <c r="BN174" s="596"/>
      <c r="BO174" s="596"/>
      <c r="BP174" s="596"/>
      <c r="BQ174" s="596"/>
      <c r="BR174" s="596"/>
      <c r="BS174" s="596"/>
      <c r="BT174" s="596"/>
    </row>
    <row r="175" spans="1:72" ht="15">
      <c r="A175" s="539"/>
      <c r="B175" s="539"/>
      <c r="C175" s="539"/>
      <c r="D175" s="539"/>
      <c r="E175" s="539"/>
      <c r="F175" s="539"/>
      <c r="G175" s="539"/>
      <c r="H175" s="539"/>
      <c r="I175" s="539"/>
      <c r="J175" s="539"/>
      <c r="K175" s="539"/>
      <c r="L175" s="539"/>
      <c r="M175" s="539"/>
      <c r="N175" s="539"/>
      <c r="O175" s="539"/>
      <c r="P175" s="539"/>
      <c r="Q175" s="539"/>
      <c r="R175" s="539"/>
      <c r="S175" s="557"/>
      <c r="T175" s="557"/>
      <c r="U175" s="557"/>
      <c r="V175" s="557"/>
      <c r="W175" s="539"/>
      <c r="X175" s="539"/>
      <c r="Y175" s="557"/>
      <c r="Z175" s="557"/>
      <c r="AA175" s="539"/>
      <c r="AB175" s="539"/>
      <c r="AC175" s="539"/>
      <c r="AD175" s="557"/>
      <c r="AE175" s="557"/>
      <c r="AF175" s="557"/>
      <c r="AG175" s="557"/>
      <c r="AH175" s="557"/>
      <c r="AI175" s="557"/>
      <c r="AJ175" s="557"/>
      <c r="AK175" s="557"/>
      <c r="AL175" s="557"/>
      <c r="AM175" s="557"/>
      <c r="AN175" s="557"/>
      <c r="AO175" s="557"/>
      <c r="AP175" s="557"/>
      <c r="AQ175" s="557"/>
      <c r="AR175" s="557"/>
      <c r="AS175" s="557"/>
      <c r="AT175" s="557"/>
      <c r="AU175" s="557"/>
      <c r="AV175" s="557"/>
      <c r="AW175" s="557"/>
      <c r="AX175" s="557"/>
      <c r="AY175" s="557"/>
      <c r="AZ175" s="557"/>
      <c r="BA175" s="557"/>
      <c r="BB175" s="557"/>
      <c r="BC175" s="557"/>
      <c r="BD175" s="553"/>
      <c r="BE175" s="596"/>
      <c r="BF175" s="596"/>
      <c r="BG175" s="596"/>
      <c r="BH175" s="596"/>
      <c r="BI175" s="596"/>
      <c r="BJ175" s="596"/>
      <c r="BK175" s="596"/>
      <c r="BL175" s="596"/>
      <c r="BM175" s="596"/>
      <c r="BN175" s="596"/>
      <c r="BO175" s="596"/>
      <c r="BP175" s="596"/>
      <c r="BQ175" s="596"/>
      <c r="BR175" s="596"/>
      <c r="BS175" s="596"/>
      <c r="BT175" s="596"/>
    </row>
    <row r="176" spans="1:72" ht="15">
      <c r="A176" s="539"/>
      <c r="B176" s="539"/>
      <c r="C176" s="539"/>
      <c r="D176" s="539"/>
      <c r="E176" s="539"/>
      <c r="F176" s="539"/>
      <c r="G176" s="539"/>
      <c r="H176" s="539"/>
      <c r="I176" s="539"/>
      <c r="J176" s="539"/>
      <c r="K176" s="539"/>
      <c r="L176" s="539"/>
      <c r="M176" s="539"/>
      <c r="N176" s="539"/>
      <c r="O176" s="539"/>
      <c r="P176" s="539"/>
      <c r="Q176" s="539"/>
      <c r="R176" s="539"/>
      <c r="S176" s="557"/>
      <c r="T176" s="557"/>
      <c r="U176" s="557"/>
      <c r="V176" s="557"/>
      <c r="W176" s="539"/>
      <c r="X176" s="539"/>
      <c r="Y176" s="557"/>
      <c r="Z176" s="557"/>
      <c r="AA176" s="539"/>
      <c r="AB176" s="539"/>
      <c r="AC176" s="539"/>
      <c r="AD176" s="557"/>
      <c r="AE176" s="557"/>
      <c r="AF176" s="557"/>
      <c r="AG176" s="557"/>
      <c r="AH176" s="557"/>
      <c r="AI176" s="557"/>
      <c r="AJ176" s="557"/>
      <c r="AK176" s="557"/>
      <c r="AL176" s="557"/>
      <c r="AM176" s="557"/>
      <c r="AN176" s="557"/>
      <c r="AO176" s="557"/>
      <c r="AP176" s="557"/>
      <c r="AQ176" s="557"/>
      <c r="AR176" s="557"/>
      <c r="AS176" s="557"/>
      <c r="AT176" s="557"/>
      <c r="AU176" s="557"/>
      <c r="AV176" s="557"/>
      <c r="AW176" s="557"/>
      <c r="AX176" s="557"/>
      <c r="AY176" s="557"/>
      <c r="AZ176" s="557"/>
      <c r="BA176" s="557"/>
      <c r="BB176" s="557"/>
      <c r="BC176" s="557"/>
      <c r="BD176" s="553"/>
      <c r="BE176" s="596"/>
      <c r="BF176" s="596"/>
      <c r="BG176" s="596"/>
      <c r="BH176" s="596"/>
      <c r="BI176" s="596"/>
      <c r="BJ176" s="596"/>
      <c r="BK176" s="596"/>
      <c r="BL176" s="596"/>
      <c r="BM176" s="596"/>
      <c r="BN176" s="596"/>
      <c r="BO176" s="596"/>
      <c r="BP176" s="596"/>
      <c r="BQ176" s="596"/>
      <c r="BR176" s="596"/>
      <c r="BS176" s="596"/>
      <c r="BT176" s="596"/>
    </row>
    <row r="177" spans="1:72" ht="15">
      <c r="A177" s="539"/>
      <c r="B177" s="539"/>
      <c r="C177" s="539"/>
      <c r="D177" s="539"/>
      <c r="E177" s="539"/>
      <c r="F177" s="539"/>
      <c r="G177" s="539"/>
      <c r="H177" s="539"/>
      <c r="I177" s="539"/>
      <c r="J177" s="539"/>
      <c r="K177" s="539"/>
      <c r="L177" s="539"/>
      <c r="M177" s="539"/>
      <c r="N177" s="539"/>
      <c r="O177" s="539"/>
      <c r="P177" s="539"/>
      <c r="Q177" s="539"/>
      <c r="R177" s="539"/>
      <c r="S177" s="557"/>
      <c r="T177" s="557"/>
      <c r="U177" s="557"/>
      <c r="V177" s="557"/>
      <c r="W177" s="539"/>
      <c r="X177" s="539"/>
      <c r="Y177" s="557"/>
      <c r="Z177" s="557"/>
      <c r="AA177" s="539"/>
      <c r="AB177" s="539"/>
      <c r="AC177" s="539"/>
      <c r="AD177" s="557"/>
      <c r="AE177" s="557"/>
      <c r="AF177" s="557"/>
      <c r="AG177" s="557"/>
      <c r="AH177" s="557"/>
      <c r="AI177" s="557"/>
      <c r="AJ177" s="557"/>
      <c r="AK177" s="557"/>
      <c r="AL177" s="557"/>
      <c r="AM177" s="557"/>
      <c r="AN177" s="557"/>
      <c r="AO177" s="557"/>
      <c r="AP177" s="557"/>
      <c r="AQ177" s="557"/>
      <c r="AR177" s="557"/>
      <c r="AS177" s="557"/>
      <c r="AT177" s="557"/>
      <c r="AU177" s="557"/>
      <c r="AV177" s="557"/>
      <c r="AW177" s="557"/>
      <c r="AX177" s="557"/>
      <c r="AY177" s="557"/>
      <c r="AZ177" s="557"/>
      <c r="BA177" s="557"/>
      <c r="BB177" s="557"/>
      <c r="BC177" s="557"/>
      <c r="BD177" s="553"/>
      <c r="BE177" s="596"/>
      <c r="BF177" s="596"/>
      <c r="BG177" s="596"/>
      <c r="BH177" s="596"/>
      <c r="BI177" s="596"/>
      <c r="BJ177" s="596"/>
      <c r="BK177" s="596"/>
      <c r="BL177" s="596"/>
      <c r="BM177" s="596"/>
      <c r="BN177" s="596"/>
      <c r="BO177" s="596"/>
      <c r="BP177" s="596"/>
      <c r="BQ177" s="596"/>
      <c r="BR177" s="596"/>
      <c r="BS177" s="596"/>
      <c r="BT177" s="596"/>
    </row>
    <row r="178" spans="1:72" ht="15">
      <c r="A178" s="539"/>
      <c r="B178" s="539"/>
      <c r="C178" s="539"/>
      <c r="D178" s="539"/>
      <c r="E178" s="539"/>
      <c r="F178" s="539"/>
      <c r="G178" s="539"/>
      <c r="H178" s="539"/>
      <c r="I178" s="539"/>
      <c r="J178" s="539"/>
      <c r="K178" s="539"/>
      <c r="L178" s="539"/>
      <c r="M178" s="539"/>
      <c r="N178" s="539"/>
      <c r="O178" s="539"/>
      <c r="P178" s="539"/>
      <c r="Q178" s="539"/>
      <c r="R178" s="539"/>
      <c r="S178" s="557"/>
      <c r="T178" s="557"/>
      <c r="U178" s="557"/>
      <c r="V178" s="557"/>
      <c r="W178" s="539"/>
      <c r="X178" s="539"/>
      <c r="Y178" s="557"/>
      <c r="Z178" s="557"/>
      <c r="AA178" s="539"/>
      <c r="AB178" s="539"/>
      <c r="AC178" s="539"/>
      <c r="AD178" s="557"/>
      <c r="AE178" s="557"/>
      <c r="AF178" s="557"/>
      <c r="AG178" s="557"/>
      <c r="AH178" s="557"/>
      <c r="AI178" s="557"/>
      <c r="AJ178" s="557"/>
      <c r="AK178" s="557"/>
      <c r="AL178" s="557"/>
      <c r="AM178" s="557"/>
      <c r="AN178" s="557"/>
      <c r="AO178" s="557"/>
      <c r="AP178" s="557"/>
      <c r="AQ178" s="557"/>
      <c r="AR178" s="557"/>
      <c r="AS178" s="557"/>
      <c r="AT178" s="557"/>
      <c r="AU178" s="557"/>
      <c r="AV178" s="557"/>
      <c r="AW178" s="557"/>
      <c r="AX178" s="557"/>
      <c r="AY178" s="557"/>
      <c r="AZ178" s="557"/>
      <c r="BA178" s="557"/>
      <c r="BB178" s="557"/>
      <c r="BC178" s="557"/>
      <c r="BD178" s="553"/>
      <c r="BE178" s="596"/>
      <c r="BF178" s="596"/>
      <c r="BG178" s="596"/>
      <c r="BH178" s="596"/>
      <c r="BI178" s="596"/>
      <c r="BJ178" s="596"/>
      <c r="BK178" s="596"/>
      <c r="BL178" s="596"/>
      <c r="BM178" s="596"/>
      <c r="BN178" s="596"/>
      <c r="BO178" s="596"/>
      <c r="BP178" s="596"/>
      <c r="BQ178" s="596"/>
      <c r="BR178" s="596"/>
      <c r="BS178" s="596"/>
      <c r="BT178" s="596"/>
    </row>
    <row r="179" spans="1:72" ht="15">
      <c r="A179" s="539"/>
      <c r="B179" s="539"/>
      <c r="C179" s="539"/>
      <c r="D179" s="539"/>
      <c r="E179" s="539"/>
      <c r="F179" s="539"/>
      <c r="G179" s="539"/>
      <c r="H179" s="539"/>
      <c r="I179" s="539"/>
      <c r="J179" s="539"/>
      <c r="K179" s="539"/>
      <c r="L179" s="539"/>
      <c r="M179" s="539"/>
      <c r="N179" s="539"/>
      <c r="O179" s="539"/>
      <c r="P179" s="539"/>
      <c r="Q179" s="539"/>
      <c r="R179" s="539"/>
      <c r="S179" s="557"/>
      <c r="T179" s="557"/>
      <c r="U179" s="557"/>
      <c r="V179" s="557"/>
      <c r="W179" s="539"/>
      <c r="X179" s="539"/>
      <c r="Y179" s="557"/>
      <c r="Z179" s="557"/>
      <c r="AA179" s="539"/>
      <c r="AB179" s="539"/>
      <c r="AC179" s="539"/>
      <c r="AD179" s="557"/>
      <c r="AE179" s="557"/>
      <c r="AF179" s="557"/>
      <c r="AG179" s="557"/>
      <c r="AH179" s="557"/>
      <c r="AI179" s="557"/>
      <c r="AJ179" s="557"/>
      <c r="AK179" s="557"/>
      <c r="AL179" s="557"/>
      <c r="AM179" s="557"/>
      <c r="AN179" s="557"/>
      <c r="AO179" s="557"/>
      <c r="AP179" s="557"/>
      <c r="AQ179" s="557"/>
      <c r="AR179" s="557"/>
      <c r="AS179" s="557"/>
      <c r="AT179" s="557"/>
      <c r="AU179" s="557"/>
      <c r="AV179" s="557"/>
      <c r="AW179" s="557"/>
      <c r="AX179" s="557"/>
      <c r="AY179" s="557"/>
      <c r="AZ179" s="557"/>
      <c r="BA179" s="557"/>
      <c r="BB179" s="557"/>
      <c r="BC179" s="557"/>
      <c r="BD179" s="553"/>
      <c r="BE179" s="596"/>
      <c r="BF179" s="596"/>
      <c r="BG179" s="596"/>
      <c r="BH179" s="596"/>
      <c r="BI179" s="596"/>
      <c r="BJ179" s="596"/>
      <c r="BK179" s="596"/>
      <c r="BL179" s="596"/>
      <c r="BM179" s="596"/>
      <c r="BN179" s="596"/>
      <c r="BO179" s="596"/>
      <c r="BP179" s="596"/>
      <c r="BQ179" s="596"/>
      <c r="BR179" s="596"/>
      <c r="BS179" s="596"/>
      <c r="BT179" s="596"/>
    </row>
    <row r="180" spans="1:72" ht="15">
      <c r="A180" s="539"/>
      <c r="B180" s="539"/>
      <c r="C180" s="539"/>
      <c r="D180" s="539"/>
      <c r="E180" s="539"/>
      <c r="F180" s="539"/>
      <c r="G180" s="539"/>
      <c r="H180" s="539"/>
      <c r="I180" s="539"/>
      <c r="J180" s="539"/>
      <c r="K180" s="539"/>
      <c r="L180" s="539"/>
      <c r="M180" s="539"/>
      <c r="N180" s="539"/>
      <c r="O180" s="539"/>
      <c r="P180" s="539"/>
      <c r="Q180" s="539"/>
      <c r="R180" s="539"/>
      <c r="S180" s="557"/>
      <c r="T180" s="557"/>
      <c r="U180" s="557"/>
      <c r="V180" s="557"/>
      <c r="W180" s="539"/>
      <c r="X180" s="539"/>
      <c r="Y180" s="557"/>
      <c r="Z180" s="557"/>
      <c r="AA180" s="539"/>
      <c r="AB180" s="539"/>
      <c r="AC180" s="539"/>
      <c r="AD180" s="557"/>
      <c r="AE180" s="557"/>
      <c r="AF180" s="557"/>
      <c r="AG180" s="557"/>
      <c r="AH180" s="557"/>
      <c r="AI180" s="557"/>
      <c r="AJ180" s="557"/>
      <c r="AK180" s="557"/>
      <c r="AL180" s="557"/>
      <c r="AM180" s="557"/>
      <c r="AN180" s="557"/>
      <c r="AO180" s="557"/>
      <c r="AP180" s="557"/>
      <c r="AQ180" s="557"/>
      <c r="AR180" s="557"/>
      <c r="AS180" s="557"/>
      <c r="AT180" s="557"/>
      <c r="AU180" s="557"/>
      <c r="AV180" s="557"/>
      <c r="AW180" s="557"/>
      <c r="AX180" s="557"/>
      <c r="AY180" s="557"/>
      <c r="AZ180" s="557"/>
      <c r="BA180" s="557"/>
      <c r="BB180" s="557"/>
      <c r="BC180" s="557"/>
      <c r="BD180" s="553"/>
      <c r="BE180" s="596"/>
      <c r="BF180" s="596"/>
      <c r="BG180" s="596"/>
      <c r="BH180" s="596"/>
      <c r="BI180" s="596"/>
      <c r="BJ180" s="596"/>
      <c r="BK180" s="596"/>
      <c r="BL180" s="596"/>
      <c r="BM180" s="596"/>
      <c r="BN180" s="596"/>
      <c r="BO180" s="596"/>
      <c r="BP180" s="596"/>
      <c r="BQ180" s="596"/>
      <c r="BR180" s="596"/>
      <c r="BS180" s="596"/>
      <c r="BT180" s="596"/>
    </row>
    <row r="181" spans="1:72" ht="15">
      <c r="A181" s="539"/>
      <c r="B181" s="539"/>
      <c r="C181" s="539"/>
      <c r="D181" s="539"/>
      <c r="E181" s="539"/>
      <c r="F181" s="539"/>
      <c r="G181" s="539"/>
      <c r="H181" s="539"/>
      <c r="I181" s="539"/>
      <c r="J181" s="539"/>
      <c r="K181" s="539"/>
      <c r="L181" s="539"/>
      <c r="M181" s="539"/>
      <c r="N181" s="539"/>
      <c r="O181" s="539"/>
      <c r="P181" s="539"/>
      <c r="Q181" s="539"/>
      <c r="R181" s="539"/>
      <c r="S181" s="557"/>
      <c r="T181" s="557"/>
      <c r="U181" s="557"/>
      <c r="V181" s="557"/>
      <c r="W181" s="539"/>
      <c r="X181" s="539"/>
      <c r="Y181" s="557"/>
      <c r="Z181" s="557"/>
      <c r="AA181" s="539"/>
      <c r="AB181" s="539"/>
      <c r="AC181" s="539"/>
      <c r="AD181" s="557"/>
      <c r="AE181" s="557"/>
      <c r="AF181" s="557"/>
      <c r="AG181" s="557"/>
      <c r="AH181" s="557"/>
      <c r="AI181" s="557"/>
      <c r="AJ181" s="557"/>
      <c r="AK181" s="557"/>
      <c r="AL181" s="557"/>
      <c r="AM181" s="557"/>
      <c r="AN181" s="557"/>
      <c r="AO181" s="557"/>
      <c r="AP181" s="557"/>
      <c r="AQ181" s="557"/>
      <c r="AR181" s="557"/>
      <c r="AS181" s="557"/>
      <c r="AT181" s="557"/>
      <c r="AU181" s="557"/>
      <c r="AV181" s="557"/>
      <c r="AW181" s="557"/>
      <c r="AX181" s="557"/>
      <c r="AY181" s="557"/>
      <c r="AZ181" s="557"/>
      <c r="BA181" s="557"/>
      <c r="BB181" s="557"/>
      <c r="BC181" s="557"/>
      <c r="BD181" s="553"/>
      <c r="BE181" s="596"/>
      <c r="BF181" s="596"/>
      <c r="BG181" s="596"/>
      <c r="BH181" s="596"/>
      <c r="BI181" s="596"/>
      <c r="BJ181" s="596"/>
      <c r="BK181" s="596"/>
      <c r="BL181" s="596"/>
      <c r="BM181" s="596"/>
      <c r="BN181" s="596"/>
      <c r="BO181" s="596"/>
      <c r="BP181" s="596"/>
      <c r="BQ181" s="596"/>
      <c r="BR181" s="596"/>
      <c r="BS181" s="596"/>
      <c r="BT181" s="596"/>
    </row>
    <row r="182" spans="1:72" ht="15">
      <c r="A182" s="539"/>
      <c r="B182" s="539"/>
      <c r="C182" s="539"/>
      <c r="D182" s="539"/>
      <c r="E182" s="539"/>
      <c r="F182" s="539"/>
      <c r="G182" s="539"/>
      <c r="H182" s="539"/>
      <c r="I182" s="539"/>
      <c r="J182" s="539"/>
      <c r="K182" s="539"/>
      <c r="L182" s="539"/>
      <c r="M182" s="539"/>
      <c r="N182" s="539"/>
      <c r="O182" s="539"/>
      <c r="P182" s="539"/>
      <c r="Q182" s="539"/>
      <c r="R182" s="539"/>
      <c r="S182" s="557"/>
      <c r="T182" s="557"/>
      <c r="U182" s="557"/>
      <c r="V182" s="557"/>
      <c r="W182" s="539"/>
      <c r="X182" s="539"/>
      <c r="Y182" s="557"/>
      <c r="Z182" s="557"/>
      <c r="AA182" s="539"/>
      <c r="AB182" s="539"/>
      <c r="AC182" s="539"/>
      <c r="AD182" s="557"/>
      <c r="AE182" s="557"/>
      <c r="AF182" s="557"/>
      <c r="AG182" s="557"/>
      <c r="AH182" s="557"/>
      <c r="AI182" s="557"/>
      <c r="AJ182" s="557"/>
      <c r="AK182" s="557"/>
      <c r="AL182" s="557"/>
      <c r="AM182" s="557"/>
      <c r="AN182" s="557"/>
      <c r="AO182" s="557"/>
      <c r="AP182" s="557"/>
      <c r="AQ182" s="557"/>
      <c r="AR182" s="557"/>
      <c r="AS182" s="557"/>
      <c r="AT182" s="557"/>
      <c r="AU182" s="557"/>
      <c r="AV182" s="557"/>
      <c r="AW182" s="557"/>
      <c r="AX182" s="557"/>
      <c r="AY182" s="557"/>
      <c r="AZ182" s="557"/>
      <c r="BA182" s="557"/>
      <c r="BB182" s="557"/>
      <c r="BC182" s="557"/>
      <c r="BD182" s="553"/>
      <c r="BE182" s="596"/>
      <c r="BF182" s="596"/>
      <c r="BG182" s="596"/>
      <c r="BH182" s="596"/>
      <c r="BI182" s="596"/>
      <c r="BJ182" s="596"/>
      <c r="BK182" s="596"/>
      <c r="BL182" s="596"/>
      <c r="BM182" s="596"/>
      <c r="BN182" s="596"/>
      <c r="BO182" s="596"/>
      <c r="BP182" s="596"/>
      <c r="BQ182" s="596"/>
      <c r="BR182" s="596"/>
      <c r="BS182" s="596"/>
      <c r="BT182" s="596"/>
    </row>
    <row r="183" spans="1:72" ht="15">
      <c r="A183" s="539"/>
      <c r="B183" s="539"/>
      <c r="C183" s="539"/>
      <c r="D183" s="539"/>
      <c r="E183" s="539"/>
      <c r="F183" s="539"/>
      <c r="G183" s="539"/>
      <c r="H183" s="539"/>
      <c r="I183" s="539"/>
      <c r="J183" s="539"/>
      <c r="K183" s="539"/>
      <c r="L183" s="539"/>
      <c r="M183" s="539"/>
      <c r="N183" s="539"/>
      <c r="O183" s="539"/>
      <c r="P183" s="539"/>
      <c r="Q183" s="539"/>
      <c r="R183" s="539"/>
      <c r="S183" s="557"/>
      <c r="T183" s="557"/>
      <c r="U183" s="557"/>
      <c r="V183" s="557"/>
      <c r="W183" s="539"/>
      <c r="X183" s="539"/>
      <c r="Y183" s="557"/>
      <c r="Z183" s="557"/>
      <c r="AA183" s="539"/>
      <c r="AB183" s="539"/>
      <c r="AC183" s="539"/>
      <c r="AD183" s="557"/>
      <c r="AE183" s="557"/>
      <c r="AF183" s="557"/>
      <c r="AG183" s="557"/>
      <c r="AH183" s="557"/>
      <c r="AI183" s="557"/>
      <c r="AJ183" s="557"/>
      <c r="AK183" s="557"/>
      <c r="AL183" s="557"/>
      <c r="AM183" s="557"/>
      <c r="AN183" s="557"/>
      <c r="AO183" s="557"/>
      <c r="AP183" s="557"/>
      <c r="AQ183" s="557"/>
      <c r="AR183" s="557"/>
      <c r="AS183" s="557"/>
      <c r="AT183" s="557"/>
      <c r="AU183" s="557"/>
      <c r="AV183" s="557"/>
      <c r="AW183" s="557"/>
      <c r="AX183" s="557"/>
      <c r="AY183" s="557"/>
      <c r="AZ183" s="557"/>
      <c r="BA183" s="557"/>
      <c r="BB183" s="557"/>
      <c r="BC183" s="557"/>
      <c r="BD183" s="553"/>
      <c r="BE183" s="596"/>
      <c r="BF183" s="596"/>
      <c r="BG183" s="596"/>
      <c r="BH183" s="596"/>
      <c r="BI183" s="596"/>
      <c r="BJ183" s="596"/>
      <c r="BK183" s="596"/>
      <c r="BL183" s="596"/>
      <c r="BM183" s="596"/>
      <c r="BN183" s="596"/>
      <c r="BO183" s="596"/>
      <c r="BP183" s="596"/>
      <c r="BQ183" s="596"/>
      <c r="BR183" s="596"/>
      <c r="BS183" s="596"/>
      <c r="BT183" s="596"/>
    </row>
    <row r="184" spans="1:72" ht="15">
      <c r="A184" s="539"/>
      <c r="B184" s="539"/>
      <c r="C184" s="539"/>
      <c r="D184" s="539"/>
      <c r="E184" s="539"/>
      <c r="F184" s="539"/>
      <c r="G184" s="539"/>
      <c r="H184" s="539"/>
      <c r="I184" s="539"/>
      <c r="J184" s="539"/>
      <c r="K184" s="539"/>
      <c r="L184" s="539"/>
      <c r="M184" s="539"/>
      <c r="N184" s="539"/>
      <c r="O184" s="539"/>
      <c r="P184" s="539"/>
      <c r="Q184" s="539"/>
      <c r="R184" s="539"/>
      <c r="S184" s="557"/>
      <c r="T184" s="557"/>
      <c r="U184" s="557"/>
      <c r="V184" s="557"/>
      <c r="W184" s="539"/>
      <c r="X184" s="539"/>
      <c r="Y184" s="557"/>
      <c r="Z184" s="557"/>
      <c r="AA184" s="539"/>
      <c r="AB184" s="539"/>
      <c r="AC184" s="539"/>
      <c r="AD184" s="557"/>
      <c r="AE184" s="557"/>
      <c r="AF184" s="557"/>
      <c r="AG184" s="557"/>
      <c r="AH184" s="557"/>
      <c r="AI184" s="557"/>
      <c r="AJ184" s="557"/>
      <c r="AK184" s="557"/>
      <c r="AL184" s="557"/>
      <c r="AM184" s="557"/>
      <c r="AN184" s="557"/>
      <c r="AO184" s="557"/>
      <c r="AP184" s="557"/>
      <c r="AQ184" s="557"/>
      <c r="AR184" s="557"/>
      <c r="AS184" s="557"/>
      <c r="AT184" s="557"/>
      <c r="AU184" s="557"/>
      <c r="AV184" s="557"/>
      <c r="AW184" s="557"/>
      <c r="AX184" s="557"/>
      <c r="AY184" s="557"/>
      <c r="AZ184" s="557"/>
      <c r="BA184" s="557"/>
      <c r="BB184" s="557"/>
      <c r="BC184" s="557"/>
      <c r="BD184" s="553"/>
      <c r="BE184" s="596"/>
      <c r="BF184" s="596"/>
      <c r="BG184" s="596"/>
      <c r="BH184" s="596"/>
      <c r="BI184" s="596"/>
      <c r="BJ184" s="596"/>
      <c r="BK184" s="596"/>
      <c r="BL184" s="596"/>
      <c r="BM184" s="596"/>
      <c r="BN184" s="596"/>
      <c r="BO184" s="596"/>
      <c r="BP184" s="596"/>
      <c r="BQ184" s="596"/>
      <c r="BR184" s="596"/>
      <c r="BS184" s="596"/>
      <c r="BT184" s="596"/>
    </row>
    <row r="185" spans="1:72" ht="15">
      <c r="A185" s="539"/>
      <c r="B185" s="539"/>
      <c r="C185" s="539"/>
      <c r="D185" s="539"/>
      <c r="E185" s="539"/>
      <c r="F185" s="539"/>
      <c r="G185" s="539"/>
      <c r="H185" s="539"/>
      <c r="I185" s="539"/>
      <c r="J185" s="539"/>
      <c r="K185" s="539"/>
      <c r="L185" s="539"/>
      <c r="M185" s="539"/>
      <c r="N185" s="539"/>
      <c r="O185" s="539"/>
      <c r="P185" s="539"/>
      <c r="Q185" s="539"/>
      <c r="R185" s="539"/>
      <c r="S185" s="557"/>
      <c r="T185" s="557"/>
      <c r="U185" s="557"/>
      <c r="V185" s="557"/>
      <c r="W185" s="539"/>
      <c r="X185" s="539"/>
      <c r="Y185" s="557"/>
      <c r="Z185" s="557"/>
      <c r="AA185" s="539"/>
      <c r="AB185" s="539"/>
      <c r="AC185" s="539"/>
      <c r="AD185" s="557"/>
      <c r="AE185" s="557"/>
      <c r="AF185" s="557"/>
      <c r="AG185" s="557"/>
      <c r="AH185" s="557"/>
      <c r="AI185" s="557"/>
      <c r="AJ185" s="557"/>
      <c r="AK185" s="557"/>
      <c r="AL185" s="557"/>
      <c r="AM185" s="557"/>
      <c r="AN185" s="557"/>
      <c r="AO185" s="557"/>
      <c r="AP185" s="557"/>
      <c r="AQ185" s="557"/>
      <c r="AR185" s="557"/>
      <c r="AS185" s="557"/>
      <c r="AT185" s="557"/>
      <c r="AU185" s="557"/>
      <c r="AV185" s="557"/>
      <c r="AW185" s="557"/>
      <c r="AX185" s="557"/>
      <c r="AY185" s="557"/>
      <c r="AZ185" s="557"/>
      <c r="BA185" s="557"/>
      <c r="BB185" s="557"/>
      <c r="BC185" s="557"/>
      <c r="BD185" s="553"/>
      <c r="BE185" s="596"/>
      <c r="BF185" s="596"/>
      <c r="BG185" s="596"/>
      <c r="BH185" s="596"/>
      <c r="BI185" s="596"/>
      <c r="BJ185" s="596"/>
      <c r="BK185" s="596"/>
      <c r="BL185" s="596"/>
      <c r="BM185" s="596"/>
      <c r="BN185" s="596"/>
      <c r="BO185" s="596"/>
      <c r="BP185" s="596"/>
      <c r="BQ185" s="596"/>
      <c r="BR185" s="596"/>
      <c r="BS185" s="596"/>
      <c r="BT185" s="596"/>
    </row>
    <row r="186" spans="1:72" ht="15">
      <c r="A186" s="539"/>
      <c r="B186" s="539"/>
      <c r="C186" s="539"/>
      <c r="D186" s="539"/>
      <c r="E186" s="539"/>
      <c r="F186" s="539"/>
      <c r="G186" s="539"/>
      <c r="H186" s="539"/>
      <c r="I186" s="539"/>
      <c r="J186" s="539"/>
      <c r="K186" s="539"/>
      <c r="L186" s="539"/>
      <c r="M186" s="539"/>
      <c r="N186" s="539"/>
      <c r="O186" s="539"/>
      <c r="P186" s="539"/>
      <c r="Q186" s="539"/>
      <c r="R186" s="539"/>
      <c r="S186" s="557"/>
      <c r="T186" s="557"/>
      <c r="U186" s="557"/>
      <c r="V186" s="557"/>
      <c r="W186" s="539"/>
      <c r="X186" s="539"/>
      <c r="Y186" s="557"/>
      <c r="Z186" s="557"/>
      <c r="AA186" s="539"/>
      <c r="AB186" s="539"/>
      <c r="AC186" s="539"/>
      <c r="AD186" s="557"/>
      <c r="AE186" s="557"/>
      <c r="AF186" s="557"/>
      <c r="AG186" s="557"/>
      <c r="AH186" s="557"/>
      <c r="AI186" s="557"/>
      <c r="AJ186" s="557"/>
      <c r="AK186" s="557"/>
      <c r="AL186" s="557"/>
      <c r="AM186" s="557"/>
      <c r="AN186" s="557"/>
      <c r="AO186" s="557"/>
      <c r="AP186" s="557"/>
      <c r="AQ186" s="557"/>
      <c r="AR186" s="557"/>
      <c r="AS186" s="557"/>
      <c r="AT186" s="557"/>
      <c r="AU186" s="557"/>
      <c r="AV186" s="557"/>
      <c r="AW186" s="557"/>
      <c r="AX186" s="557"/>
      <c r="AY186" s="557"/>
      <c r="AZ186" s="557"/>
      <c r="BA186" s="557"/>
      <c r="BB186" s="557"/>
      <c r="BC186" s="557"/>
      <c r="BD186" s="553"/>
      <c r="BE186" s="596"/>
      <c r="BF186" s="596"/>
      <c r="BG186" s="596"/>
      <c r="BH186" s="596"/>
      <c r="BI186" s="596"/>
      <c r="BJ186" s="596"/>
      <c r="BK186" s="596"/>
      <c r="BL186" s="596"/>
      <c r="BM186" s="596"/>
      <c r="BN186" s="596"/>
      <c r="BO186" s="596"/>
      <c r="BP186" s="596"/>
      <c r="BQ186" s="596"/>
      <c r="BR186" s="596"/>
      <c r="BS186" s="596"/>
      <c r="BT186" s="596"/>
    </row>
    <row r="187" spans="1:72" ht="15">
      <c r="A187" s="539"/>
      <c r="B187" s="539"/>
      <c r="C187" s="539"/>
      <c r="D187" s="539"/>
      <c r="E187" s="539"/>
      <c r="F187" s="539"/>
      <c r="G187" s="539"/>
      <c r="H187" s="539"/>
      <c r="I187" s="539"/>
      <c r="J187" s="539"/>
      <c r="K187" s="539"/>
      <c r="L187" s="539"/>
      <c r="M187" s="539"/>
      <c r="N187" s="539"/>
      <c r="O187" s="539"/>
      <c r="P187" s="539"/>
      <c r="Q187" s="539"/>
      <c r="R187" s="539"/>
      <c r="S187" s="557"/>
      <c r="T187" s="557"/>
      <c r="U187" s="557"/>
      <c r="V187" s="557"/>
      <c r="W187" s="539"/>
      <c r="X187" s="539"/>
      <c r="Y187" s="557"/>
      <c r="Z187" s="557"/>
      <c r="AA187" s="539"/>
      <c r="AB187" s="539"/>
      <c r="AC187" s="539"/>
      <c r="AD187" s="557"/>
      <c r="AE187" s="557"/>
      <c r="AF187" s="557"/>
      <c r="AG187" s="557"/>
      <c r="AH187" s="557"/>
      <c r="AI187" s="557"/>
      <c r="AJ187" s="557"/>
      <c r="AK187" s="557"/>
      <c r="AL187" s="557"/>
      <c r="AM187" s="557"/>
      <c r="AN187" s="557"/>
      <c r="AO187" s="557"/>
      <c r="AP187" s="557"/>
      <c r="AQ187" s="557"/>
      <c r="AR187" s="557"/>
      <c r="AS187" s="557"/>
      <c r="AT187" s="557"/>
      <c r="AU187" s="557"/>
      <c r="AV187" s="557"/>
      <c r="AW187" s="557"/>
      <c r="AX187" s="557"/>
      <c r="AY187" s="557"/>
      <c r="AZ187" s="557"/>
      <c r="BA187" s="557"/>
      <c r="BB187" s="557"/>
      <c r="BC187" s="557"/>
      <c r="BD187" s="553"/>
      <c r="BE187" s="596"/>
      <c r="BF187" s="596"/>
      <c r="BG187" s="596"/>
      <c r="BH187" s="596"/>
      <c r="BI187" s="596"/>
      <c r="BJ187" s="596"/>
      <c r="BK187" s="596"/>
      <c r="BL187" s="596"/>
      <c r="BM187" s="596"/>
      <c r="BN187" s="596"/>
      <c r="BO187" s="596"/>
      <c r="BP187" s="596"/>
      <c r="BQ187" s="596"/>
      <c r="BR187" s="596"/>
      <c r="BS187" s="596"/>
      <c r="BT187" s="596"/>
    </row>
    <row r="188" spans="1:72" ht="15">
      <c r="A188" s="539"/>
      <c r="B188" s="539"/>
      <c r="C188" s="539"/>
      <c r="D188" s="539"/>
      <c r="E188" s="539"/>
      <c r="F188" s="539"/>
      <c r="G188" s="539"/>
      <c r="H188" s="539"/>
      <c r="I188" s="539"/>
      <c r="J188" s="539"/>
      <c r="K188" s="539"/>
      <c r="L188" s="539"/>
      <c r="M188" s="539"/>
      <c r="N188" s="539"/>
      <c r="O188" s="539"/>
      <c r="P188" s="539"/>
      <c r="Q188" s="539"/>
      <c r="R188" s="539"/>
      <c r="S188" s="557"/>
      <c r="T188" s="557"/>
      <c r="U188" s="557"/>
      <c r="V188" s="557"/>
      <c r="W188" s="539"/>
      <c r="X188" s="539"/>
      <c r="Y188" s="557"/>
      <c r="Z188" s="557"/>
      <c r="AA188" s="539"/>
      <c r="AB188" s="539"/>
      <c r="AC188" s="539"/>
      <c r="AD188" s="557"/>
      <c r="AE188" s="557"/>
      <c r="AF188" s="557"/>
      <c r="AG188" s="557"/>
      <c r="AH188" s="557"/>
      <c r="AI188" s="557"/>
      <c r="AJ188" s="557"/>
      <c r="AK188" s="557"/>
      <c r="AL188" s="557"/>
      <c r="AM188" s="557"/>
      <c r="AN188" s="557"/>
      <c r="AO188" s="557"/>
      <c r="AP188" s="557"/>
      <c r="AQ188" s="557"/>
      <c r="AR188" s="557"/>
      <c r="AS188" s="557"/>
      <c r="AT188" s="557"/>
      <c r="AU188" s="557"/>
      <c r="AV188" s="557"/>
      <c r="AW188" s="557"/>
      <c r="AX188" s="557"/>
      <c r="AY188" s="557"/>
      <c r="AZ188" s="557"/>
      <c r="BA188" s="557"/>
      <c r="BB188" s="557"/>
      <c r="BC188" s="557"/>
      <c r="BD188" s="553"/>
      <c r="BE188" s="596"/>
      <c r="BF188" s="596"/>
      <c r="BG188" s="596"/>
      <c r="BH188" s="596"/>
      <c r="BI188" s="596"/>
      <c r="BJ188" s="596"/>
      <c r="BK188" s="596"/>
      <c r="BL188" s="596"/>
      <c r="BM188" s="596"/>
      <c r="BN188" s="596"/>
      <c r="BO188" s="596"/>
      <c r="BP188" s="596"/>
      <c r="BQ188" s="596"/>
      <c r="BR188" s="596"/>
      <c r="BS188" s="596"/>
      <c r="BT188" s="596"/>
    </row>
    <row r="189" spans="1:72" ht="15">
      <c r="A189" s="539"/>
      <c r="B189" s="539"/>
      <c r="C189" s="539"/>
      <c r="D189" s="539"/>
      <c r="E189" s="539"/>
      <c r="F189" s="539"/>
      <c r="G189" s="539"/>
      <c r="H189" s="539"/>
      <c r="I189" s="539"/>
      <c r="J189" s="539"/>
      <c r="K189" s="539"/>
      <c r="L189" s="539"/>
      <c r="M189" s="539"/>
      <c r="N189" s="539"/>
      <c r="O189" s="539"/>
      <c r="P189" s="539"/>
      <c r="Q189" s="539"/>
      <c r="R189" s="539"/>
      <c r="S189" s="557"/>
      <c r="T189" s="557"/>
      <c r="U189" s="557"/>
      <c r="V189" s="557"/>
      <c r="W189" s="539"/>
      <c r="X189" s="539"/>
      <c r="Y189" s="557"/>
      <c r="Z189" s="557"/>
      <c r="AA189" s="539"/>
      <c r="AB189" s="539"/>
      <c r="AC189" s="539"/>
      <c r="AD189" s="557"/>
      <c r="AE189" s="557"/>
      <c r="AF189" s="557"/>
      <c r="AG189" s="557"/>
      <c r="AH189" s="557"/>
      <c r="AI189" s="557"/>
      <c r="AJ189" s="557"/>
      <c r="AK189" s="557"/>
      <c r="AL189" s="557"/>
      <c r="AM189" s="557"/>
      <c r="AN189" s="557"/>
      <c r="AO189" s="557"/>
      <c r="AP189" s="557"/>
      <c r="AQ189" s="557"/>
      <c r="AR189" s="557"/>
      <c r="AS189" s="557"/>
      <c r="AT189" s="557"/>
      <c r="AU189" s="557"/>
      <c r="AV189" s="557"/>
      <c r="AW189" s="557"/>
      <c r="AX189" s="557"/>
      <c r="AY189" s="557"/>
      <c r="AZ189" s="557"/>
      <c r="BA189" s="557"/>
      <c r="BB189" s="557"/>
      <c r="BC189" s="557"/>
      <c r="BD189" s="553"/>
      <c r="BE189" s="596"/>
      <c r="BF189" s="596"/>
      <c r="BG189" s="596"/>
      <c r="BH189" s="596"/>
      <c r="BI189" s="596"/>
      <c r="BJ189" s="596"/>
      <c r="BK189" s="596"/>
      <c r="BL189" s="596"/>
      <c r="BM189" s="596"/>
      <c r="BN189" s="596"/>
      <c r="BO189" s="596"/>
      <c r="BP189" s="596"/>
      <c r="BQ189" s="596"/>
      <c r="BR189" s="596"/>
      <c r="BS189" s="596"/>
      <c r="BT189" s="596"/>
    </row>
    <row r="190" spans="1:72" ht="15">
      <c r="A190" s="539"/>
      <c r="B190" s="539"/>
      <c r="C190" s="539"/>
      <c r="D190" s="539"/>
      <c r="E190" s="539"/>
      <c r="F190" s="539"/>
      <c r="G190" s="539"/>
      <c r="H190" s="539"/>
      <c r="I190" s="539"/>
      <c r="J190" s="539"/>
      <c r="K190" s="539"/>
      <c r="L190" s="539"/>
      <c r="M190" s="539"/>
      <c r="N190" s="539"/>
      <c r="O190" s="539"/>
      <c r="P190" s="539"/>
      <c r="Q190" s="539"/>
      <c r="R190" s="539"/>
      <c r="S190" s="557"/>
      <c r="T190" s="557"/>
      <c r="U190" s="557"/>
      <c r="V190" s="557"/>
      <c r="W190" s="539"/>
      <c r="X190" s="539"/>
      <c r="Y190" s="557"/>
      <c r="Z190" s="557"/>
      <c r="AA190" s="539"/>
      <c r="AB190" s="539"/>
      <c r="AC190" s="539"/>
      <c r="AD190" s="557"/>
      <c r="AE190" s="557"/>
      <c r="AF190" s="557"/>
      <c r="AG190" s="557"/>
      <c r="AH190" s="557"/>
      <c r="AI190" s="557"/>
      <c r="AJ190" s="557"/>
      <c r="AK190" s="557"/>
      <c r="AL190" s="557"/>
      <c r="AM190" s="557"/>
      <c r="AN190" s="557"/>
      <c r="AO190" s="557"/>
      <c r="AP190" s="557"/>
      <c r="AQ190" s="557"/>
      <c r="AR190" s="557"/>
      <c r="AS190" s="557"/>
      <c r="AT190" s="557"/>
      <c r="AU190" s="557"/>
      <c r="AV190" s="557"/>
      <c r="AW190" s="557"/>
      <c r="AX190" s="557"/>
      <c r="AY190" s="557"/>
      <c r="AZ190" s="557"/>
      <c r="BA190" s="557"/>
      <c r="BB190" s="557"/>
      <c r="BC190" s="557"/>
      <c r="BD190" s="553"/>
      <c r="BE190" s="596"/>
      <c r="BF190" s="596"/>
      <c r="BG190" s="596"/>
      <c r="BH190" s="596"/>
      <c r="BI190" s="596"/>
      <c r="BJ190" s="596"/>
      <c r="BK190" s="596"/>
      <c r="BL190" s="596"/>
      <c r="BM190" s="596"/>
      <c r="BN190" s="596"/>
      <c r="BO190" s="596"/>
      <c r="BP190" s="596"/>
      <c r="BQ190" s="596"/>
      <c r="BR190" s="596"/>
      <c r="BS190" s="596"/>
      <c r="BT190" s="596"/>
    </row>
    <row r="191" spans="1:72" ht="15">
      <c r="A191" s="539"/>
      <c r="B191" s="539"/>
      <c r="C191" s="539"/>
      <c r="D191" s="539"/>
      <c r="E191" s="539"/>
      <c r="F191" s="539"/>
      <c r="G191" s="539"/>
      <c r="H191" s="539"/>
      <c r="I191" s="539"/>
      <c r="J191" s="539"/>
      <c r="K191" s="539"/>
      <c r="L191" s="539"/>
      <c r="M191" s="539"/>
      <c r="N191" s="539"/>
      <c r="O191" s="539"/>
      <c r="P191" s="539"/>
      <c r="Q191" s="539"/>
      <c r="R191" s="539"/>
      <c r="S191" s="557"/>
      <c r="T191" s="557"/>
      <c r="U191" s="557"/>
      <c r="V191" s="557"/>
      <c r="W191" s="539"/>
      <c r="X191" s="539"/>
      <c r="Y191" s="557"/>
      <c r="Z191" s="557"/>
      <c r="AA191" s="539"/>
      <c r="AB191" s="539"/>
      <c r="AC191" s="539"/>
      <c r="AD191" s="557"/>
      <c r="AE191" s="557"/>
      <c r="AF191" s="557"/>
      <c r="AG191" s="557"/>
      <c r="AH191" s="557"/>
      <c r="AI191" s="557"/>
      <c r="AJ191" s="557"/>
      <c r="AK191" s="557"/>
      <c r="AL191" s="557"/>
      <c r="AM191" s="557"/>
      <c r="AN191" s="557"/>
      <c r="AO191" s="557"/>
      <c r="AP191" s="557"/>
      <c r="AQ191" s="557"/>
      <c r="AR191" s="557"/>
      <c r="AS191" s="557"/>
      <c r="AT191" s="557"/>
      <c r="AU191" s="557"/>
      <c r="AV191" s="557"/>
      <c r="AW191" s="557"/>
      <c r="AX191" s="557"/>
      <c r="AY191" s="557"/>
      <c r="AZ191" s="557"/>
      <c r="BA191" s="557"/>
      <c r="BB191" s="557"/>
      <c r="BC191" s="557"/>
      <c r="BD191" s="553"/>
      <c r="BE191" s="596"/>
      <c r="BF191" s="596"/>
      <c r="BG191" s="596"/>
      <c r="BH191" s="596"/>
      <c r="BI191" s="596"/>
      <c r="BJ191" s="596"/>
      <c r="BK191" s="596"/>
      <c r="BL191" s="596"/>
      <c r="BM191" s="596"/>
      <c r="BN191" s="596"/>
      <c r="BO191" s="596"/>
      <c r="BP191" s="596"/>
      <c r="BQ191" s="596"/>
      <c r="BR191" s="596"/>
      <c r="BS191" s="596"/>
      <c r="BT191" s="596"/>
    </row>
    <row r="192" spans="1:72" ht="15">
      <c r="A192" s="539"/>
      <c r="B192" s="539"/>
      <c r="C192" s="539"/>
      <c r="D192" s="539"/>
      <c r="E192" s="539"/>
      <c r="F192" s="539"/>
      <c r="G192" s="539"/>
      <c r="H192" s="539"/>
      <c r="I192" s="539"/>
      <c r="J192" s="539"/>
      <c r="K192" s="539"/>
      <c r="L192" s="539"/>
      <c r="M192" s="539"/>
      <c r="N192" s="539"/>
      <c r="O192" s="539"/>
      <c r="P192" s="539"/>
      <c r="Q192" s="539"/>
      <c r="R192" s="539"/>
      <c r="S192" s="557"/>
      <c r="T192" s="557"/>
      <c r="U192" s="557"/>
      <c r="V192" s="557"/>
      <c r="W192" s="539"/>
      <c r="X192" s="539"/>
      <c r="Y192" s="557"/>
      <c r="Z192" s="557"/>
      <c r="AA192" s="539"/>
      <c r="AB192" s="539"/>
      <c r="AC192" s="539"/>
      <c r="AD192" s="557"/>
      <c r="AE192" s="557"/>
      <c r="AF192" s="557"/>
      <c r="AG192" s="557"/>
      <c r="AH192" s="557"/>
      <c r="AI192" s="557"/>
      <c r="AJ192" s="557"/>
      <c r="AK192" s="557"/>
      <c r="AL192" s="557"/>
      <c r="AM192" s="557"/>
      <c r="AN192" s="557"/>
      <c r="AO192" s="557"/>
      <c r="AP192" s="557"/>
      <c r="AQ192" s="557"/>
      <c r="AR192" s="557"/>
      <c r="AS192" s="557"/>
      <c r="AT192" s="557"/>
      <c r="AU192" s="557"/>
      <c r="AV192" s="557"/>
      <c r="AW192" s="557"/>
      <c r="AX192" s="557"/>
      <c r="AY192" s="557"/>
      <c r="AZ192" s="557"/>
      <c r="BA192" s="557"/>
      <c r="BB192" s="557"/>
      <c r="BC192" s="557"/>
      <c r="BD192" s="553"/>
      <c r="BE192" s="596"/>
      <c r="BF192" s="596"/>
      <c r="BG192" s="596"/>
      <c r="BH192" s="596"/>
      <c r="BI192" s="596"/>
      <c r="BJ192" s="596"/>
      <c r="BK192" s="596"/>
      <c r="BL192" s="596"/>
      <c r="BM192" s="596"/>
      <c r="BN192" s="596"/>
      <c r="BO192" s="596"/>
      <c r="BP192" s="596"/>
      <c r="BQ192" s="596"/>
      <c r="BR192" s="596"/>
      <c r="BS192" s="596"/>
      <c r="BT192" s="596"/>
    </row>
    <row r="193" spans="1:72" ht="15">
      <c r="A193" s="539"/>
      <c r="B193" s="539"/>
      <c r="C193" s="539"/>
      <c r="D193" s="539"/>
      <c r="E193" s="539"/>
      <c r="F193" s="539"/>
      <c r="G193" s="539"/>
      <c r="H193" s="539"/>
      <c r="I193" s="539"/>
      <c r="J193" s="539"/>
      <c r="K193" s="539"/>
      <c r="L193" s="539"/>
      <c r="M193" s="539"/>
      <c r="N193" s="539"/>
      <c r="O193" s="539"/>
      <c r="P193" s="539"/>
      <c r="Q193" s="539"/>
      <c r="R193" s="539"/>
      <c r="S193" s="557"/>
      <c r="T193" s="557"/>
      <c r="U193" s="557"/>
      <c r="V193" s="557"/>
      <c r="W193" s="539"/>
      <c r="X193" s="539"/>
      <c r="Y193" s="557"/>
      <c r="Z193" s="557"/>
      <c r="AA193" s="539"/>
      <c r="AB193" s="539"/>
      <c r="AC193" s="539"/>
      <c r="AD193" s="557"/>
      <c r="AE193" s="557"/>
      <c r="AF193" s="557"/>
      <c r="AG193" s="557"/>
      <c r="AH193" s="557"/>
      <c r="AI193" s="557"/>
      <c r="AJ193" s="557"/>
      <c r="AK193" s="557"/>
      <c r="AL193" s="557"/>
      <c r="AM193" s="557"/>
      <c r="AN193" s="557"/>
      <c r="AO193" s="557"/>
      <c r="AP193" s="557"/>
      <c r="AQ193" s="557"/>
      <c r="AR193" s="557"/>
      <c r="AS193" s="557"/>
      <c r="AT193" s="557"/>
      <c r="AU193" s="557"/>
      <c r="AV193" s="557"/>
      <c r="AW193" s="557"/>
      <c r="AX193" s="557"/>
      <c r="AY193" s="557"/>
      <c r="AZ193" s="557"/>
      <c r="BA193" s="557"/>
      <c r="BB193" s="557"/>
      <c r="BC193" s="557"/>
      <c r="BD193" s="553"/>
      <c r="BE193" s="596"/>
      <c r="BF193" s="596"/>
      <c r="BG193" s="596"/>
      <c r="BH193" s="596"/>
      <c r="BI193" s="596"/>
      <c r="BJ193" s="596"/>
      <c r="BK193" s="596"/>
      <c r="BL193" s="596"/>
      <c r="BM193" s="596"/>
      <c r="BN193" s="596"/>
      <c r="BO193" s="596"/>
      <c r="BP193" s="596"/>
      <c r="BQ193" s="596"/>
      <c r="BR193" s="596"/>
      <c r="BS193" s="596"/>
      <c r="BT193" s="596"/>
    </row>
    <row r="194" spans="1:72" ht="15">
      <c r="A194" s="539"/>
      <c r="B194" s="539"/>
      <c r="C194" s="539"/>
      <c r="D194" s="539"/>
      <c r="E194" s="539"/>
      <c r="F194" s="539"/>
      <c r="G194" s="539"/>
      <c r="H194" s="539"/>
      <c r="I194" s="539"/>
      <c r="J194" s="539"/>
      <c r="K194" s="539"/>
      <c r="L194" s="539"/>
      <c r="M194" s="539"/>
      <c r="N194" s="539"/>
      <c r="O194" s="539"/>
      <c r="P194" s="539"/>
      <c r="Q194" s="539"/>
      <c r="R194" s="539"/>
      <c r="S194" s="557"/>
      <c r="T194" s="557"/>
      <c r="U194" s="557"/>
      <c r="V194" s="557"/>
      <c r="W194" s="539"/>
      <c r="X194" s="539"/>
      <c r="Y194" s="557"/>
      <c r="Z194" s="557"/>
      <c r="AA194" s="539"/>
      <c r="AB194" s="539"/>
      <c r="AC194" s="539"/>
      <c r="AD194" s="557"/>
      <c r="AE194" s="557"/>
      <c r="AF194" s="557"/>
      <c r="AG194" s="557"/>
      <c r="AH194" s="557"/>
      <c r="AI194" s="557"/>
      <c r="AJ194" s="557"/>
      <c r="AK194" s="557"/>
      <c r="AL194" s="557"/>
      <c r="AM194" s="557"/>
      <c r="AN194" s="557"/>
      <c r="AO194" s="557"/>
      <c r="AP194" s="557"/>
      <c r="AQ194" s="557"/>
      <c r="AR194" s="557"/>
      <c r="AS194" s="557"/>
      <c r="AT194" s="557"/>
      <c r="AU194" s="557"/>
      <c r="AV194" s="557"/>
      <c r="AW194" s="557"/>
      <c r="AX194" s="557"/>
      <c r="AY194" s="557"/>
      <c r="AZ194" s="557"/>
      <c r="BA194" s="557"/>
      <c r="BB194" s="557"/>
      <c r="BC194" s="557"/>
      <c r="BD194" s="553"/>
      <c r="BE194" s="596"/>
      <c r="BF194" s="596"/>
      <c r="BG194" s="596"/>
      <c r="BH194" s="596"/>
      <c r="BI194" s="596"/>
      <c r="BJ194" s="596"/>
      <c r="BK194" s="596"/>
      <c r="BL194" s="596"/>
      <c r="BM194" s="596"/>
      <c r="BN194" s="596"/>
      <c r="BO194" s="596"/>
      <c r="BP194" s="596"/>
      <c r="BQ194" s="596"/>
      <c r="BR194" s="596"/>
      <c r="BS194" s="596"/>
      <c r="BT194" s="596"/>
    </row>
    <row r="195" spans="1:72" ht="15">
      <c r="A195" s="539"/>
      <c r="B195" s="539"/>
      <c r="C195" s="539"/>
      <c r="D195" s="539"/>
      <c r="E195" s="539"/>
      <c r="F195" s="539"/>
      <c r="G195" s="539"/>
      <c r="H195" s="539"/>
      <c r="I195" s="539"/>
      <c r="J195" s="539"/>
      <c r="K195" s="539"/>
      <c r="L195" s="539"/>
      <c r="M195" s="539"/>
      <c r="N195" s="539"/>
      <c r="O195" s="539"/>
      <c r="P195" s="539"/>
      <c r="Q195" s="539"/>
      <c r="R195" s="539"/>
      <c r="S195" s="557"/>
      <c r="T195" s="557"/>
      <c r="U195" s="557"/>
      <c r="V195" s="557"/>
      <c r="W195" s="539"/>
      <c r="X195" s="539"/>
      <c r="Y195" s="557"/>
      <c r="Z195" s="557"/>
      <c r="AA195" s="539"/>
      <c r="AB195" s="539"/>
      <c r="AC195" s="539"/>
      <c r="AD195" s="557"/>
      <c r="AE195" s="557"/>
      <c r="AF195" s="557"/>
      <c r="AG195" s="557"/>
      <c r="AH195" s="557"/>
      <c r="AI195" s="557"/>
      <c r="AJ195" s="557"/>
      <c r="AK195" s="557"/>
      <c r="AL195" s="557"/>
      <c r="AM195" s="557"/>
      <c r="AN195" s="557"/>
      <c r="AO195" s="557"/>
      <c r="AP195" s="557"/>
      <c r="AQ195" s="557"/>
      <c r="AR195" s="557"/>
      <c r="AS195" s="557"/>
      <c r="AT195" s="557"/>
      <c r="AU195" s="557"/>
      <c r="AV195" s="557"/>
      <c r="AW195" s="557"/>
      <c r="AX195" s="557"/>
      <c r="AY195" s="557"/>
      <c r="AZ195" s="557"/>
      <c r="BA195" s="557"/>
      <c r="BB195" s="557"/>
      <c r="BC195" s="557"/>
      <c r="BD195" s="553"/>
      <c r="BE195" s="596"/>
      <c r="BF195" s="596"/>
      <c r="BG195" s="596"/>
      <c r="BH195" s="596"/>
      <c r="BI195" s="596"/>
      <c r="BJ195" s="596"/>
      <c r="BK195" s="596"/>
      <c r="BL195" s="596"/>
      <c r="BM195" s="596"/>
      <c r="BN195" s="596"/>
      <c r="BO195" s="596"/>
      <c r="BP195" s="596"/>
      <c r="BQ195" s="596"/>
      <c r="BR195" s="596"/>
      <c r="BS195" s="596"/>
      <c r="BT195" s="596"/>
    </row>
    <row r="196" spans="1:72" ht="15">
      <c r="A196" s="539"/>
      <c r="B196" s="539"/>
      <c r="C196" s="539"/>
      <c r="D196" s="539"/>
      <c r="E196" s="539"/>
      <c r="F196" s="539"/>
      <c r="G196" s="539"/>
      <c r="H196" s="539"/>
      <c r="I196" s="539"/>
      <c r="J196" s="539"/>
      <c r="K196" s="539"/>
      <c r="L196" s="539"/>
      <c r="M196" s="539"/>
      <c r="N196" s="539"/>
      <c r="O196" s="539"/>
      <c r="P196" s="539"/>
      <c r="Q196" s="539"/>
      <c r="R196" s="539"/>
      <c r="S196" s="557"/>
      <c r="T196" s="557"/>
      <c r="U196" s="557"/>
      <c r="V196" s="557"/>
      <c r="W196" s="539"/>
      <c r="X196" s="539"/>
      <c r="Y196" s="557"/>
      <c r="Z196" s="557"/>
      <c r="AA196" s="539"/>
      <c r="AB196" s="539"/>
      <c r="AC196" s="539"/>
      <c r="AD196" s="557"/>
      <c r="AE196" s="557"/>
      <c r="AF196" s="557"/>
      <c r="AG196" s="557"/>
      <c r="AH196" s="557"/>
      <c r="AI196" s="557"/>
      <c r="AJ196" s="557"/>
      <c r="AK196" s="557"/>
      <c r="AL196" s="557"/>
      <c r="AM196" s="557"/>
      <c r="AN196" s="557"/>
      <c r="AO196" s="557"/>
      <c r="AP196" s="557"/>
      <c r="AQ196" s="557"/>
      <c r="AR196" s="557"/>
      <c r="AS196" s="557"/>
      <c r="AT196" s="557"/>
      <c r="AU196" s="557"/>
      <c r="AV196" s="557"/>
      <c r="AW196" s="557"/>
      <c r="AX196" s="557"/>
      <c r="AY196" s="557"/>
      <c r="AZ196" s="557"/>
      <c r="BA196" s="557"/>
      <c r="BB196" s="557"/>
      <c r="BC196" s="557"/>
      <c r="BD196" s="553"/>
      <c r="BE196" s="596"/>
      <c r="BF196" s="596"/>
      <c r="BG196" s="596"/>
      <c r="BH196" s="596"/>
      <c r="BI196" s="596"/>
      <c r="BJ196" s="596"/>
      <c r="BK196" s="596"/>
      <c r="BL196" s="596"/>
      <c r="BM196" s="596"/>
      <c r="BN196" s="596"/>
      <c r="BO196" s="596"/>
      <c r="BP196" s="596"/>
      <c r="BQ196" s="596"/>
      <c r="BR196" s="596"/>
      <c r="BS196" s="596"/>
      <c r="BT196" s="596"/>
    </row>
    <row r="197" spans="1:72" ht="15">
      <c r="A197" s="539"/>
      <c r="B197" s="539"/>
      <c r="C197" s="539"/>
      <c r="D197" s="539"/>
      <c r="E197" s="539"/>
      <c r="F197" s="539"/>
      <c r="G197" s="539"/>
      <c r="H197" s="539"/>
      <c r="I197" s="539"/>
      <c r="J197" s="539"/>
      <c r="K197" s="539"/>
      <c r="L197" s="539"/>
      <c r="M197" s="539"/>
      <c r="N197" s="539"/>
      <c r="O197" s="539"/>
      <c r="P197" s="539"/>
      <c r="Q197" s="539"/>
      <c r="R197" s="539"/>
      <c r="S197" s="557"/>
      <c r="T197" s="557"/>
      <c r="U197" s="557"/>
      <c r="V197" s="557"/>
      <c r="W197" s="539"/>
      <c r="X197" s="539"/>
      <c r="Y197" s="557"/>
      <c r="Z197" s="557"/>
      <c r="AA197" s="539"/>
      <c r="AB197" s="539"/>
      <c r="AC197" s="539"/>
      <c r="AD197" s="557"/>
      <c r="AE197" s="557"/>
      <c r="AF197" s="557"/>
      <c r="AG197" s="557"/>
      <c r="AH197" s="557"/>
      <c r="AI197" s="557"/>
      <c r="AJ197" s="557"/>
      <c r="AK197" s="557"/>
      <c r="AL197" s="557"/>
      <c r="AM197" s="557"/>
      <c r="AN197" s="557"/>
      <c r="AO197" s="557"/>
      <c r="AP197" s="557"/>
      <c r="AQ197" s="557"/>
      <c r="AR197" s="557"/>
      <c r="AS197" s="557"/>
      <c r="AT197" s="557"/>
      <c r="AU197" s="557"/>
      <c r="AV197" s="557"/>
      <c r="AW197" s="557"/>
      <c r="AX197" s="557"/>
      <c r="AY197" s="557"/>
      <c r="AZ197" s="557"/>
      <c r="BA197" s="557"/>
      <c r="BB197" s="557"/>
      <c r="BC197" s="557"/>
      <c r="BD197" s="553"/>
      <c r="BE197" s="596"/>
      <c r="BF197" s="596"/>
      <c r="BG197" s="596"/>
      <c r="BH197" s="596"/>
      <c r="BI197" s="596"/>
      <c r="BJ197" s="596"/>
      <c r="BK197" s="596"/>
      <c r="BL197" s="596"/>
      <c r="BM197" s="596"/>
      <c r="BN197" s="596"/>
      <c r="BO197" s="596"/>
      <c r="BP197" s="596"/>
      <c r="BQ197" s="596"/>
      <c r="BR197" s="596"/>
      <c r="BS197" s="596"/>
      <c r="BT197" s="596"/>
    </row>
    <row r="198" spans="1:72" ht="15">
      <c r="A198" s="539"/>
      <c r="B198" s="539"/>
      <c r="C198" s="539"/>
      <c r="D198" s="539"/>
      <c r="E198" s="539"/>
      <c r="F198" s="539"/>
      <c r="G198" s="539"/>
      <c r="H198" s="539"/>
      <c r="I198" s="539"/>
      <c r="J198" s="539"/>
      <c r="K198" s="539"/>
      <c r="L198" s="539"/>
      <c r="M198" s="539"/>
      <c r="N198" s="539"/>
      <c r="O198" s="539"/>
      <c r="P198" s="539"/>
      <c r="Q198" s="539"/>
      <c r="R198" s="539"/>
      <c r="S198" s="557"/>
      <c r="T198" s="557"/>
      <c r="U198" s="557"/>
      <c r="V198" s="557"/>
      <c r="W198" s="539"/>
      <c r="X198" s="539"/>
      <c r="Y198" s="557"/>
      <c r="Z198" s="557"/>
      <c r="AA198" s="539"/>
      <c r="AB198" s="539"/>
      <c r="AC198" s="539"/>
      <c r="AD198" s="557"/>
      <c r="AE198" s="557"/>
      <c r="AF198" s="557"/>
      <c r="AG198" s="557"/>
      <c r="AH198" s="557"/>
      <c r="AI198" s="557"/>
      <c r="AJ198" s="557"/>
      <c r="AK198" s="557"/>
      <c r="AL198" s="557"/>
      <c r="AM198" s="557"/>
      <c r="AN198" s="557"/>
      <c r="AO198" s="557"/>
      <c r="AP198" s="557"/>
      <c r="AQ198" s="557"/>
      <c r="AR198" s="557"/>
      <c r="AS198" s="557"/>
      <c r="AT198" s="557"/>
      <c r="AU198" s="557"/>
      <c r="AV198" s="557"/>
      <c r="AW198" s="557"/>
      <c r="AX198" s="557"/>
      <c r="AY198" s="557"/>
      <c r="AZ198" s="557"/>
      <c r="BA198" s="557"/>
      <c r="BB198" s="557"/>
      <c r="BC198" s="557"/>
      <c r="BD198" s="553"/>
      <c r="BE198" s="596"/>
      <c r="BF198" s="596"/>
      <c r="BG198" s="596"/>
      <c r="BH198" s="596"/>
      <c r="BI198" s="596"/>
      <c r="BJ198" s="596"/>
      <c r="BK198" s="596"/>
      <c r="BL198" s="596"/>
      <c r="BM198" s="596"/>
      <c r="BN198" s="596"/>
      <c r="BO198" s="596"/>
      <c r="BP198" s="596"/>
      <c r="BQ198" s="596"/>
      <c r="BR198" s="596"/>
      <c r="BS198" s="596"/>
      <c r="BT198" s="596"/>
    </row>
    <row r="199" spans="1:72" ht="15">
      <c r="A199" s="539"/>
      <c r="B199" s="539"/>
      <c r="C199" s="539"/>
      <c r="D199" s="539"/>
      <c r="E199" s="539"/>
      <c r="F199" s="539"/>
      <c r="G199" s="539"/>
      <c r="H199" s="539"/>
      <c r="I199" s="539"/>
      <c r="J199" s="539"/>
      <c r="K199" s="539"/>
      <c r="L199" s="539"/>
      <c r="M199" s="539"/>
      <c r="N199" s="539"/>
      <c r="O199" s="539"/>
      <c r="P199" s="539"/>
      <c r="Q199" s="539"/>
      <c r="R199" s="539"/>
      <c r="S199" s="557"/>
      <c r="T199" s="557"/>
      <c r="U199" s="557"/>
      <c r="V199" s="557"/>
      <c r="W199" s="539"/>
      <c r="X199" s="539"/>
      <c r="Y199" s="557"/>
      <c r="Z199" s="557"/>
      <c r="AA199" s="539"/>
      <c r="AB199" s="539"/>
      <c r="AC199" s="539"/>
      <c r="AD199" s="557"/>
      <c r="AE199" s="557"/>
      <c r="AF199" s="557"/>
      <c r="AG199" s="557"/>
      <c r="AH199" s="557"/>
      <c r="AI199" s="557"/>
      <c r="AJ199" s="557"/>
      <c r="AK199" s="557"/>
      <c r="AL199" s="557"/>
      <c r="AM199" s="557"/>
      <c r="AN199" s="557"/>
      <c r="AO199" s="557"/>
      <c r="AP199" s="557"/>
      <c r="AQ199" s="557"/>
      <c r="AR199" s="557"/>
      <c r="AS199" s="557"/>
      <c r="AT199" s="557"/>
      <c r="AU199" s="557"/>
      <c r="AV199" s="557"/>
      <c r="AW199" s="557"/>
      <c r="AX199" s="557"/>
      <c r="AY199" s="557"/>
      <c r="AZ199" s="557"/>
      <c r="BA199" s="557"/>
      <c r="BB199" s="557"/>
      <c r="BC199" s="557"/>
      <c r="BD199" s="553"/>
      <c r="BE199" s="596"/>
      <c r="BF199" s="596"/>
      <c r="BG199" s="596"/>
      <c r="BH199" s="596"/>
      <c r="BI199" s="596"/>
      <c r="BJ199" s="596"/>
      <c r="BK199" s="596"/>
      <c r="BL199" s="596"/>
      <c r="BM199" s="596"/>
      <c r="BN199" s="596"/>
      <c r="BO199" s="596"/>
      <c r="BP199" s="596"/>
      <c r="BQ199" s="596"/>
      <c r="BR199" s="596"/>
      <c r="BS199" s="596"/>
      <c r="BT199" s="596"/>
    </row>
    <row r="200" spans="1:72" ht="15">
      <c r="A200" s="539"/>
      <c r="B200" s="539"/>
      <c r="C200" s="539"/>
      <c r="D200" s="539"/>
      <c r="E200" s="539"/>
      <c r="F200" s="539"/>
      <c r="G200" s="539"/>
      <c r="H200" s="539"/>
      <c r="I200" s="539"/>
      <c r="J200" s="539"/>
      <c r="K200" s="539"/>
      <c r="L200" s="539"/>
      <c r="M200" s="539"/>
      <c r="N200" s="539"/>
      <c r="O200" s="539"/>
      <c r="P200" s="539"/>
      <c r="Q200" s="539"/>
      <c r="R200" s="539"/>
      <c r="S200" s="557"/>
      <c r="T200" s="557"/>
      <c r="U200" s="557"/>
      <c r="V200" s="557"/>
      <c r="W200" s="539"/>
      <c r="X200" s="539"/>
      <c r="Y200" s="557"/>
      <c r="Z200" s="557"/>
      <c r="AA200" s="539"/>
      <c r="AB200" s="539"/>
      <c r="AC200" s="539"/>
      <c r="AD200" s="557"/>
      <c r="AE200" s="557"/>
      <c r="AF200" s="557"/>
      <c r="AG200" s="557"/>
      <c r="AH200" s="557"/>
      <c r="AI200" s="557"/>
      <c r="AJ200" s="557"/>
      <c r="AK200" s="557"/>
      <c r="AL200" s="557"/>
      <c r="AM200" s="557"/>
      <c r="AN200" s="557"/>
      <c r="AO200" s="557"/>
      <c r="AP200" s="557"/>
      <c r="AQ200" s="557"/>
      <c r="AR200" s="557"/>
      <c r="AS200" s="557"/>
      <c r="AT200" s="557"/>
      <c r="AU200" s="557"/>
      <c r="AV200" s="557"/>
      <c r="AW200" s="557"/>
      <c r="AX200" s="557"/>
      <c r="AY200" s="557"/>
      <c r="AZ200" s="557"/>
      <c r="BA200" s="557"/>
      <c r="BB200" s="557"/>
      <c r="BC200" s="557"/>
      <c r="BD200" s="553"/>
      <c r="BE200" s="596"/>
      <c r="BF200" s="596"/>
      <c r="BG200" s="596"/>
      <c r="BH200" s="596"/>
      <c r="BI200" s="596"/>
      <c r="BJ200" s="596"/>
      <c r="BK200" s="596"/>
      <c r="BL200" s="596"/>
      <c r="BM200" s="596"/>
      <c r="BN200" s="596"/>
      <c r="BO200" s="596"/>
      <c r="BP200" s="596"/>
      <c r="BQ200" s="596"/>
      <c r="BR200" s="596"/>
      <c r="BS200" s="596"/>
      <c r="BT200" s="596"/>
    </row>
    <row r="201" spans="1:72" ht="15">
      <c r="A201" s="539"/>
      <c r="B201" s="539"/>
      <c r="C201" s="539"/>
      <c r="D201" s="539"/>
      <c r="E201" s="539"/>
      <c r="F201" s="539"/>
      <c r="G201" s="539"/>
      <c r="H201" s="539"/>
      <c r="I201" s="539"/>
      <c r="J201" s="539"/>
      <c r="K201" s="539"/>
      <c r="L201" s="539"/>
      <c r="M201" s="539"/>
      <c r="N201" s="539"/>
      <c r="O201" s="539"/>
      <c r="P201" s="539"/>
      <c r="Q201" s="539"/>
      <c r="R201" s="539"/>
      <c r="S201" s="557"/>
      <c r="T201" s="557"/>
      <c r="U201" s="557"/>
      <c r="V201" s="557"/>
      <c r="W201" s="539"/>
      <c r="X201" s="539"/>
      <c r="Y201" s="557"/>
      <c r="Z201" s="557"/>
      <c r="AA201" s="539"/>
      <c r="AB201" s="539"/>
      <c r="AC201" s="539"/>
      <c r="AD201" s="557"/>
      <c r="AE201" s="557"/>
      <c r="AF201" s="557"/>
      <c r="AG201" s="557"/>
      <c r="AH201" s="557"/>
      <c r="AI201" s="557"/>
      <c r="AJ201" s="557"/>
      <c r="AK201" s="557"/>
      <c r="AL201" s="557"/>
      <c r="AM201" s="557"/>
      <c r="AN201" s="557"/>
      <c r="AO201" s="557"/>
      <c r="AP201" s="557"/>
      <c r="AQ201" s="557"/>
      <c r="AR201" s="557"/>
      <c r="AS201" s="557"/>
      <c r="AT201" s="557"/>
      <c r="AU201" s="557"/>
      <c r="AV201" s="557"/>
      <c r="AW201" s="557"/>
      <c r="AX201" s="557"/>
      <c r="AY201" s="557"/>
      <c r="AZ201" s="557"/>
      <c r="BA201" s="557"/>
      <c r="BB201" s="557"/>
      <c r="BC201" s="557"/>
      <c r="BD201" s="553"/>
      <c r="BE201" s="596"/>
      <c r="BF201" s="596"/>
      <c r="BG201" s="596"/>
      <c r="BH201" s="596"/>
      <c r="BI201" s="596"/>
      <c r="BJ201" s="596"/>
      <c r="BK201" s="596"/>
      <c r="BL201" s="596"/>
      <c r="BM201" s="596"/>
      <c r="BN201" s="596"/>
      <c r="BO201" s="596"/>
      <c r="BP201" s="596"/>
      <c r="BQ201" s="596"/>
      <c r="BR201" s="596"/>
      <c r="BS201" s="596"/>
      <c r="BT201" s="596"/>
    </row>
    <row r="202" spans="1:72" ht="15">
      <c r="A202" s="539"/>
      <c r="B202" s="539"/>
      <c r="C202" s="539"/>
      <c r="D202" s="539"/>
      <c r="E202" s="539"/>
      <c r="F202" s="539"/>
      <c r="G202" s="539"/>
      <c r="H202" s="539"/>
      <c r="I202" s="539"/>
      <c r="J202" s="539"/>
      <c r="K202" s="539"/>
      <c r="L202" s="539"/>
      <c r="M202" s="539"/>
      <c r="N202" s="539"/>
      <c r="O202" s="539"/>
      <c r="P202" s="539"/>
      <c r="Q202" s="539"/>
      <c r="R202" s="539"/>
      <c r="S202" s="557"/>
      <c r="T202" s="557"/>
      <c r="U202" s="557"/>
      <c r="V202" s="557"/>
      <c r="W202" s="539"/>
      <c r="X202" s="539"/>
      <c r="Y202" s="557"/>
      <c r="Z202" s="557"/>
      <c r="AA202" s="539"/>
      <c r="AB202" s="539"/>
      <c r="AC202" s="539"/>
      <c r="AD202" s="557"/>
      <c r="AE202" s="557"/>
      <c r="AF202" s="557"/>
      <c r="AG202" s="557"/>
      <c r="AH202" s="557"/>
      <c r="AI202" s="557"/>
      <c r="AJ202" s="557"/>
      <c r="AK202" s="557"/>
      <c r="AL202" s="557"/>
      <c r="AM202" s="557"/>
      <c r="AN202" s="557"/>
      <c r="AO202" s="557"/>
      <c r="AP202" s="557"/>
      <c r="AQ202" s="557"/>
      <c r="AR202" s="557"/>
      <c r="AS202" s="557"/>
      <c r="AT202" s="557"/>
      <c r="AU202" s="557"/>
      <c r="AV202" s="557"/>
      <c r="AW202" s="557"/>
      <c r="AX202" s="557"/>
      <c r="AY202" s="557"/>
      <c r="AZ202" s="557"/>
      <c r="BA202" s="557"/>
      <c r="BB202" s="557"/>
      <c r="BC202" s="557"/>
      <c r="BD202" s="553"/>
      <c r="BE202" s="596"/>
      <c r="BF202" s="596"/>
      <c r="BG202" s="596"/>
      <c r="BH202" s="596"/>
      <c r="BI202" s="596"/>
      <c r="BJ202" s="596"/>
      <c r="BK202" s="596"/>
      <c r="BL202" s="596"/>
      <c r="BM202" s="596"/>
      <c r="BN202" s="596"/>
      <c r="BO202" s="596"/>
      <c r="BP202" s="596"/>
      <c r="BQ202" s="596"/>
      <c r="BR202" s="596"/>
      <c r="BS202" s="596"/>
      <c r="BT202" s="596"/>
    </row>
    <row r="203" spans="1:72" ht="15">
      <c r="A203" s="539"/>
      <c r="B203" s="539"/>
      <c r="C203" s="539"/>
      <c r="D203" s="539"/>
      <c r="E203" s="539"/>
      <c r="F203" s="539"/>
      <c r="G203" s="539"/>
      <c r="H203" s="539"/>
      <c r="I203" s="539"/>
      <c r="J203" s="539"/>
      <c r="K203" s="539"/>
      <c r="L203" s="539"/>
      <c r="M203" s="539"/>
      <c r="N203" s="539"/>
      <c r="O203" s="539"/>
      <c r="P203" s="539"/>
      <c r="Q203" s="539"/>
      <c r="R203" s="539"/>
      <c r="S203" s="557"/>
      <c r="T203" s="557"/>
      <c r="U203" s="557"/>
      <c r="V203" s="557"/>
      <c r="W203" s="539"/>
      <c r="X203" s="539"/>
      <c r="Y203" s="557"/>
      <c r="Z203" s="557"/>
      <c r="AA203" s="539"/>
      <c r="AB203" s="539"/>
      <c r="AC203" s="539"/>
      <c r="AD203" s="557"/>
      <c r="AE203" s="557"/>
      <c r="AF203" s="557"/>
      <c r="AG203" s="557"/>
      <c r="AH203" s="557"/>
      <c r="AI203" s="557"/>
      <c r="AJ203" s="557"/>
      <c r="AK203" s="557"/>
      <c r="AL203" s="557"/>
      <c r="AM203" s="557"/>
      <c r="AN203" s="557"/>
      <c r="AO203" s="557"/>
      <c r="AP203" s="557"/>
      <c r="AQ203" s="557"/>
      <c r="AR203" s="557"/>
      <c r="AS203" s="557"/>
      <c r="AT203" s="557"/>
      <c r="AU203" s="557"/>
      <c r="AV203" s="557"/>
      <c r="AW203" s="557"/>
      <c r="AX203" s="557"/>
      <c r="AY203" s="557"/>
      <c r="AZ203" s="557"/>
      <c r="BA203" s="557"/>
      <c r="BB203" s="557"/>
      <c r="BC203" s="557"/>
      <c r="BD203" s="553"/>
      <c r="BE203" s="596"/>
      <c r="BF203" s="596"/>
      <c r="BG203" s="596"/>
      <c r="BH203" s="596"/>
      <c r="BI203" s="596"/>
      <c r="BJ203" s="596"/>
      <c r="BK203" s="596"/>
      <c r="BL203" s="596"/>
      <c r="BM203" s="596"/>
      <c r="BN203" s="596"/>
      <c r="BO203" s="596"/>
      <c r="BP203" s="596"/>
      <c r="BQ203" s="596"/>
      <c r="BR203" s="596"/>
      <c r="BS203" s="596"/>
      <c r="BT203" s="596"/>
    </row>
    <row r="204" spans="1:72" ht="15">
      <c r="A204" s="539"/>
      <c r="B204" s="539"/>
      <c r="C204" s="539"/>
      <c r="D204" s="539"/>
      <c r="E204" s="539"/>
      <c r="F204" s="539"/>
      <c r="G204" s="539"/>
      <c r="H204" s="539"/>
      <c r="I204" s="539"/>
      <c r="J204" s="539"/>
      <c r="K204" s="539"/>
      <c r="L204" s="539"/>
      <c r="M204" s="539"/>
      <c r="N204" s="539"/>
      <c r="O204" s="539"/>
      <c r="P204" s="539"/>
      <c r="Q204" s="539"/>
      <c r="R204" s="539"/>
      <c r="S204" s="557"/>
      <c r="T204" s="557"/>
      <c r="U204" s="557"/>
      <c r="V204" s="557"/>
      <c r="W204" s="539"/>
      <c r="X204" s="539"/>
      <c r="Y204" s="557"/>
      <c r="Z204" s="557"/>
      <c r="AA204" s="539"/>
      <c r="AB204" s="539"/>
      <c r="AC204" s="539"/>
      <c r="AD204" s="557"/>
      <c r="AE204" s="557"/>
      <c r="AF204" s="557"/>
      <c r="AG204" s="557"/>
      <c r="AH204" s="557"/>
      <c r="AI204" s="557"/>
      <c r="AJ204" s="557"/>
      <c r="AK204" s="557"/>
      <c r="AL204" s="557"/>
      <c r="AM204" s="557"/>
      <c r="AN204" s="557"/>
      <c r="AO204" s="557"/>
      <c r="AP204" s="557"/>
      <c r="AQ204" s="557"/>
      <c r="AR204" s="557"/>
      <c r="AS204" s="557"/>
      <c r="AT204" s="557"/>
      <c r="AU204" s="557"/>
      <c r="AV204" s="557"/>
      <c r="AW204" s="557"/>
      <c r="AX204" s="557"/>
      <c r="AY204" s="557"/>
      <c r="AZ204" s="557"/>
      <c r="BA204" s="557"/>
      <c r="BB204" s="557"/>
      <c r="BC204" s="557"/>
      <c r="BD204" s="553"/>
      <c r="BE204" s="596"/>
      <c r="BF204" s="596"/>
      <c r="BG204" s="596"/>
      <c r="BH204" s="596"/>
      <c r="BI204" s="596"/>
      <c r="BJ204" s="596"/>
      <c r="BK204" s="596"/>
      <c r="BL204" s="596"/>
      <c r="BM204" s="596"/>
      <c r="BN204" s="596"/>
      <c r="BO204" s="596"/>
      <c r="BP204" s="596"/>
      <c r="BQ204" s="596"/>
      <c r="BR204" s="596"/>
      <c r="BS204" s="596"/>
      <c r="BT204" s="596"/>
    </row>
    <row r="205" spans="1:72" ht="15">
      <c r="A205" s="539"/>
      <c r="B205" s="539"/>
      <c r="C205" s="539"/>
      <c r="D205" s="539"/>
      <c r="E205" s="539"/>
      <c r="F205" s="539"/>
      <c r="G205" s="539"/>
      <c r="H205" s="539"/>
      <c r="I205" s="539"/>
      <c r="J205" s="539"/>
      <c r="K205" s="539"/>
      <c r="L205" s="539"/>
      <c r="M205" s="539"/>
      <c r="N205" s="539"/>
      <c r="O205" s="539"/>
      <c r="P205" s="539"/>
      <c r="Q205" s="539"/>
      <c r="R205" s="539"/>
      <c r="S205" s="557"/>
      <c r="T205" s="557"/>
      <c r="U205" s="557"/>
      <c r="V205" s="557"/>
      <c r="W205" s="539"/>
      <c r="X205" s="539"/>
      <c r="Y205" s="557"/>
      <c r="Z205" s="557"/>
      <c r="AA205" s="539"/>
      <c r="AB205" s="539"/>
      <c r="AC205" s="539"/>
      <c r="AD205" s="557"/>
      <c r="AE205" s="557"/>
      <c r="AF205" s="557"/>
      <c r="AG205" s="557"/>
      <c r="AH205" s="557"/>
      <c r="AI205" s="557"/>
      <c r="AJ205" s="557"/>
      <c r="AK205" s="557"/>
      <c r="AL205" s="557"/>
      <c r="AM205" s="557"/>
      <c r="AN205" s="557"/>
      <c r="AO205" s="557"/>
      <c r="AP205" s="557"/>
      <c r="AQ205" s="557"/>
      <c r="AR205" s="557"/>
      <c r="AS205" s="557"/>
      <c r="AT205" s="557"/>
      <c r="AU205" s="557"/>
      <c r="AV205" s="557"/>
      <c r="AW205" s="557"/>
      <c r="AX205" s="557"/>
      <c r="AY205" s="557"/>
      <c r="AZ205" s="557"/>
      <c r="BA205" s="557"/>
      <c r="BB205" s="557"/>
      <c r="BC205" s="557"/>
      <c r="BD205" s="553"/>
      <c r="BE205" s="596"/>
      <c r="BF205" s="596"/>
      <c r="BG205" s="596"/>
      <c r="BH205" s="596"/>
      <c r="BI205" s="596"/>
      <c r="BJ205" s="596"/>
      <c r="BK205" s="596"/>
      <c r="BL205" s="596"/>
      <c r="BM205" s="596"/>
      <c r="BN205" s="596"/>
      <c r="BO205" s="596"/>
      <c r="BP205" s="596"/>
      <c r="BQ205" s="596"/>
      <c r="BR205" s="596"/>
      <c r="BS205" s="596"/>
      <c r="BT205" s="596"/>
    </row>
    <row r="206" spans="1:72" ht="15">
      <c r="A206" s="539"/>
      <c r="B206" s="539"/>
      <c r="C206" s="539"/>
      <c r="D206" s="539"/>
      <c r="E206" s="539"/>
      <c r="F206" s="539"/>
      <c r="G206" s="539"/>
      <c r="H206" s="539"/>
      <c r="I206" s="539"/>
      <c r="J206" s="539"/>
      <c r="K206" s="539"/>
      <c r="L206" s="539"/>
      <c r="M206" s="539"/>
      <c r="N206" s="539"/>
      <c r="O206" s="539"/>
      <c r="P206" s="539"/>
      <c r="Q206" s="539"/>
      <c r="R206" s="539"/>
      <c r="S206" s="557"/>
      <c r="T206" s="557"/>
      <c r="U206" s="557"/>
      <c r="V206" s="557"/>
      <c r="W206" s="539"/>
      <c r="X206" s="539"/>
      <c r="Y206" s="557"/>
      <c r="Z206" s="557"/>
      <c r="AA206" s="539"/>
      <c r="AB206" s="539"/>
      <c r="AC206" s="539"/>
      <c r="AD206" s="557"/>
      <c r="AE206" s="557"/>
      <c r="AF206" s="557"/>
      <c r="AG206" s="557"/>
      <c r="AH206" s="557"/>
      <c r="AI206" s="557"/>
      <c r="AJ206" s="557"/>
      <c r="AK206" s="557"/>
      <c r="AL206" s="557"/>
      <c r="AM206" s="557"/>
      <c r="AN206" s="557"/>
      <c r="AO206" s="557"/>
      <c r="AP206" s="557"/>
      <c r="AQ206" s="557"/>
      <c r="AR206" s="557"/>
      <c r="AS206" s="557"/>
      <c r="AT206" s="557"/>
      <c r="AU206" s="557"/>
      <c r="AV206" s="557"/>
      <c r="AW206" s="557"/>
      <c r="AX206" s="557"/>
      <c r="AY206" s="557"/>
      <c r="AZ206" s="557"/>
      <c r="BA206" s="557"/>
      <c r="BB206" s="557"/>
      <c r="BC206" s="557"/>
      <c r="BD206" s="553"/>
      <c r="BE206" s="596"/>
      <c r="BF206" s="596"/>
      <c r="BG206" s="596"/>
      <c r="BH206" s="596"/>
      <c r="BI206" s="596"/>
      <c r="BJ206" s="596"/>
      <c r="BK206" s="596"/>
      <c r="BL206" s="596"/>
      <c r="BM206" s="596"/>
      <c r="BN206" s="596"/>
      <c r="BO206" s="596"/>
      <c r="BP206" s="596"/>
      <c r="BQ206" s="596"/>
      <c r="BR206" s="596"/>
      <c r="BS206" s="596"/>
      <c r="BT206" s="596"/>
    </row>
    <row r="207" spans="1:72" ht="15">
      <c r="A207" s="539"/>
      <c r="B207" s="539"/>
      <c r="C207" s="539"/>
      <c r="D207" s="539"/>
      <c r="E207" s="539"/>
      <c r="F207" s="539"/>
      <c r="G207" s="539"/>
      <c r="H207" s="539"/>
      <c r="I207" s="539"/>
      <c r="J207" s="539"/>
      <c r="K207" s="539"/>
      <c r="L207" s="539"/>
      <c r="M207" s="539"/>
      <c r="N207" s="539"/>
      <c r="O207" s="539"/>
      <c r="P207" s="539"/>
      <c r="Q207" s="539"/>
      <c r="R207" s="539"/>
      <c r="S207" s="557"/>
      <c r="T207" s="557"/>
      <c r="U207" s="557"/>
      <c r="V207" s="557"/>
      <c r="W207" s="539"/>
      <c r="X207" s="539"/>
      <c r="Y207" s="557"/>
      <c r="Z207" s="557"/>
      <c r="AA207" s="539"/>
      <c r="AB207" s="539"/>
      <c r="AC207" s="539"/>
      <c r="AD207" s="557"/>
      <c r="AE207" s="557"/>
      <c r="AF207" s="557"/>
      <c r="AG207" s="557"/>
      <c r="AH207" s="557"/>
      <c r="AI207" s="557"/>
      <c r="AJ207" s="557"/>
      <c r="AK207" s="557"/>
      <c r="AL207" s="557"/>
      <c r="AM207" s="557"/>
      <c r="AN207" s="557"/>
      <c r="AO207" s="557"/>
      <c r="AP207" s="557"/>
      <c r="AQ207" s="557"/>
      <c r="AR207" s="557"/>
      <c r="AS207" s="557"/>
      <c r="AT207" s="557"/>
      <c r="AU207" s="557"/>
      <c r="AV207" s="557"/>
      <c r="AW207" s="557"/>
      <c r="AX207" s="557"/>
      <c r="AY207" s="557"/>
      <c r="AZ207" s="557"/>
      <c r="BA207" s="557"/>
      <c r="BB207" s="557"/>
      <c r="BC207" s="557"/>
      <c r="BD207" s="553"/>
      <c r="BE207" s="596"/>
      <c r="BF207" s="596"/>
      <c r="BG207" s="596"/>
      <c r="BH207" s="596"/>
      <c r="BI207" s="596"/>
      <c r="BJ207" s="596"/>
      <c r="BK207" s="596"/>
      <c r="BL207" s="596"/>
      <c r="BM207" s="596"/>
      <c r="BN207" s="596"/>
      <c r="BO207" s="596"/>
      <c r="BP207" s="596"/>
      <c r="BQ207" s="596"/>
      <c r="BR207" s="596"/>
      <c r="BS207" s="596"/>
      <c r="BT207" s="596"/>
    </row>
    <row r="208" spans="1:72" ht="15">
      <c r="A208" s="539"/>
      <c r="B208" s="539"/>
      <c r="C208" s="539"/>
      <c r="D208" s="539"/>
      <c r="E208" s="539"/>
      <c r="F208" s="539"/>
      <c r="G208" s="539"/>
      <c r="H208" s="539"/>
      <c r="I208" s="539"/>
      <c r="J208" s="539"/>
      <c r="K208" s="539"/>
      <c r="L208" s="539"/>
      <c r="M208" s="539"/>
      <c r="N208" s="539"/>
      <c r="O208" s="539"/>
      <c r="P208" s="539"/>
      <c r="Q208" s="539"/>
      <c r="R208" s="539"/>
      <c r="S208" s="557"/>
      <c r="T208" s="557"/>
      <c r="U208" s="557"/>
      <c r="V208" s="557"/>
      <c r="W208" s="539"/>
      <c r="X208" s="539"/>
      <c r="Y208" s="557"/>
      <c r="Z208" s="557"/>
      <c r="AA208" s="539"/>
      <c r="AB208" s="539"/>
      <c r="AC208" s="539"/>
      <c r="AD208" s="557"/>
      <c r="AE208" s="557"/>
      <c r="AF208" s="557"/>
      <c r="AG208" s="557"/>
      <c r="AH208" s="557"/>
      <c r="AI208" s="557"/>
      <c r="AJ208" s="557"/>
      <c r="AK208" s="557"/>
      <c r="AL208" s="557"/>
      <c r="AM208" s="557"/>
      <c r="AN208" s="557"/>
      <c r="AO208" s="557"/>
      <c r="AP208" s="557"/>
      <c r="AQ208" s="557"/>
      <c r="AR208" s="557"/>
      <c r="AS208" s="557"/>
      <c r="AT208" s="557"/>
      <c r="AU208" s="557"/>
      <c r="AV208" s="557"/>
      <c r="AW208" s="557"/>
      <c r="AX208" s="557"/>
      <c r="AY208" s="557"/>
      <c r="AZ208" s="557"/>
      <c r="BA208" s="557"/>
      <c r="BB208" s="557"/>
      <c r="BC208" s="557"/>
      <c r="BD208" s="553"/>
      <c r="BE208" s="596"/>
      <c r="BF208" s="596"/>
      <c r="BG208" s="596"/>
      <c r="BH208" s="596"/>
      <c r="BI208" s="596"/>
      <c r="BJ208" s="596"/>
      <c r="BK208" s="596"/>
      <c r="BL208" s="596"/>
      <c r="BM208" s="596"/>
      <c r="BN208" s="596"/>
      <c r="BO208" s="596"/>
      <c r="BP208" s="596"/>
      <c r="BQ208" s="596"/>
      <c r="BR208" s="596"/>
      <c r="BS208" s="596"/>
      <c r="BT208" s="596"/>
    </row>
    <row r="209" spans="1:72" ht="15">
      <c r="A209" s="539"/>
      <c r="B209" s="539"/>
      <c r="C209" s="539"/>
      <c r="D209" s="539"/>
      <c r="E209" s="539"/>
      <c r="F209" s="539"/>
      <c r="G209" s="539"/>
      <c r="H209" s="539"/>
      <c r="I209" s="539"/>
      <c r="J209" s="539"/>
      <c r="K209" s="539"/>
      <c r="L209" s="539"/>
      <c r="M209" s="539"/>
      <c r="N209" s="539"/>
      <c r="O209" s="539"/>
      <c r="P209" s="539"/>
      <c r="Q209" s="539"/>
      <c r="R209" s="539"/>
      <c r="S209" s="557"/>
      <c r="T209" s="557"/>
      <c r="U209" s="557"/>
      <c r="V209" s="557"/>
      <c r="W209" s="539"/>
      <c r="X209" s="539"/>
      <c r="Y209" s="557"/>
      <c r="Z209" s="557"/>
      <c r="AA209" s="539"/>
      <c r="AB209" s="539"/>
      <c r="AC209" s="539"/>
      <c r="AD209" s="557"/>
      <c r="AE209" s="557"/>
      <c r="AF209" s="557"/>
      <c r="AG209" s="557"/>
      <c r="AH209" s="557"/>
      <c r="AI209" s="557"/>
      <c r="AJ209" s="557"/>
      <c r="AK209" s="557"/>
      <c r="AL209" s="557"/>
      <c r="AM209" s="557"/>
      <c r="AN209" s="557"/>
      <c r="AO209" s="557"/>
      <c r="AP209" s="557"/>
      <c r="AQ209" s="557"/>
      <c r="AR209" s="557"/>
      <c r="AS209" s="557"/>
      <c r="AT209" s="557"/>
      <c r="AU209" s="557"/>
      <c r="AV209" s="557"/>
      <c r="AW209" s="557"/>
      <c r="AX209" s="557"/>
      <c r="AY209" s="557"/>
      <c r="AZ209" s="557"/>
      <c r="BA209" s="557"/>
      <c r="BB209" s="557"/>
      <c r="BC209" s="557"/>
      <c r="BD209" s="553"/>
      <c r="BE209" s="596"/>
      <c r="BF209" s="596"/>
      <c r="BG209" s="596"/>
      <c r="BH209" s="596"/>
      <c r="BI209" s="596"/>
      <c r="BJ209" s="596"/>
      <c r="BK209" s="596"/>
      <c r="BL209" s="596"/>
      <c r="BM209" s="596"/>
      <c r="BN209" s="596"/>
      <c r="BO209" s="596"/>
      <c r="BP209" s="596"/>
      <c r="BQ209" s="596"/>
      <c r="BR209" s="596"/>
      <c r="BS209" s="596"/>
      <c r="BT209" s="596"/>
    </row>
    <row r="210" spans="1:72" ht="15">
      <c r="A210" s="539"/>
      <c r="B210" s="539"/>
      <c r="C210" s="539"/>
      <c r="D210" s="539"/>
      <c r="E210" s="539"/>
      <c r="F210" s="539"/>
      <c r="G210" s="539"/>
      <c r="H210" s="539"/>
      <c r="I210" s="539"/>
      <c r="J210" s="539"/>
      <c r="K210" s="539"/>
      <c r="L210" s="539"/>
      <c r="M210" s="539"/>
      <c r="N210" s="539"/>
      <c r="O210" s="539"/>
      <c r="P210" s="539"/>
      <c r="Q210" s="539"/>
      <c r="R210" s="539"/>
      <c r="S210" s="557"/>
      <c r="T210" s="557"/>
      <c r="U210" s="557"/>
      <c r="V210" s="557"/>
      <c r="W210" s="539"/>
      <c r="X210" s="539"/>
      <c r="Y210" s="557"/>
      <c r="Z210" s="557"/>
      <c r="AA210" s="539"/>
      <c r="AB210" s="539"/>
      <c r="AC210" s="539"/>
      <c r="AD210" s="557"/>
      <c r="AE210" s="557"/>
      <c r="AF210" s="557"/>
      <c r="AG210" s="557"/>
      <c r="AH210" s="557"/>
      <c r="AI210" s="557"/>
      <c r="AJ210" s="557"/>
      <c r="AK210" s="557"/>
      <c r="AL210" s="557"/>
      <c r="AM210" s="557"/>
      <c r="AN210" s="557"/>
      <c r="AO210" s="557"/>
      <c r="AP210" s="557"/>
      <c r="AQ210" s="557"/>
      <c r="AR210" s="557"/>
      <c r="AS210" s="557"/>
      <c r="AT210" s="557"/>
      <c r="AU210" s="557"/>
      <c r="AV210" s="557"/>
      <c r="AW210" s="557"/>
      <c r="AX210" s="557"/>
      <c r="AY210" s="557"/>
      <c r="AZ210" s="557"/>
      <c r="BA210" s="557"/>
      <c r="BB210" s="557"/>
      <c r="BC210" s="557"/>
      <c r="BD210" s="553"/>
      <c r="BE210" s="596"/>
      <c r="BF210" s="596"/>
      <c r="BG210" s="596"/>
      <c r="BH210" s="596"/>
      <c r="BI210" s="596"/>
      <c r="BJ210" s="596"/>
      <c r="BK210" s="596"/>
      <c r="BL210" s="596"/>
      <c r="BM210" s="596"/>
      <c r="BN210" s="596"/>
      <c r="BO210" s="596"/>
      <c r="BP210" s="596"/>
      <c r="BQ210" s="596"/>
      <c r="BR210" s="596"/>
      <c r="BS210" s="596"/>
      <c r="BT210" s="596"/>
    </row>
    <row r="211" spans="1:72" ht="15">
      <c r="A211" s="539"/>
      <c r="B211" s="539"/>
      <c r="C211" s="539"/>
      <c r="D211" s="539"/>
      <c r="E211" s="539"/>
      <c r="F211" s="539"/>
      <c r="G211" s="539"/>
      <c r="H211" s="539"/>
      <c r="I211" s="539"/>
      <c r="J211" s="539"/>
      <c r="K211" s="539"/>
      <c r="L211" s="539"/>
      <c r="M211" s="539"/>
      <c r="N211" s="539"/>
      <c r="O211" s="539"/>
      <c r="P211" s="539"/>
      <c r="Q211" s="539"/>
      <c r="R211" s="539"/>
      <c r="S211" s="557"/>
      <c r="T211" s="557"/>
      <c r="U211" s="557"/>
      <c r="V211" s="557"/>
      <c r="W211" s="539"/>
      <c r="X211" s="539"/>
      <c r="Y211" s="557"/>
      <c r="Z211" s="557"/>
      <c r="AA211" s="539"/>
      <c r="AB211" s="539"/>
      <c r="AC211" s="539"/>
      <c r="AD211" s="557"/>
      <c r="AE211" s="557"/>
      <c r="AF211" s="557"/>
      <c r="AG211" s="557"/>
      <c r="AH211" s="557"/>
      <c r="AI211" s="557"/>
      <c r="AJ211" s="557"/>
      <c r="AK211" s="557"/>
      <c r="AL211" s="557"/>
      <c r="AM211" s="557"/>
      <c r="AN211" s="557"/>
      <c r="AO211" s="557"/>
      <c r="AP211" s="557"/>
      <c r="AQ211" s="557"/>
      <c r="AR211" s="557"/>
      <c r="AS211" s="557"/>
      <c r="AT211" s="557"/>
      <c r="AU211" s="557"/>
      <c r="AV211" s="557"/>
      <c r="AW211" s="557"/>
      <c r="AX211" s="557"/>
      <c r="AY211" s="557"/>
      <c r="AZ211" s="557"/>
      <c r="BA211" s="557"/>
      <c r="BB211" s="557"/>
      <c r="BC211" s="557"/>
      <c r="BD211" s="553"/>
      <c r="BE211" s="596"/>
      <c r="BF211" s="596"/>
      <c r="BG211" s="596"/>
      <c r="BH211" s="596"/>
      <c r="BI211" s="596"/>
      <c r="BJ211" s="596"/>
      <c r="BK211" s="596"/>
      <c r="BL211" s="596"/>
      <c r="BM211" s="596"/>
      <c r="BN211" s="596"/>
      <c r="BO211" s="596"/>
      <c r="BP211" s="596"/>
      <c r="BQ211" s="596"/>
      <c r="BR211" s="596"/>
      <c r="BS211" s="596"/>
      <c r="BT211" s="596"/>
    </row>
    <row r="212" spans="1:72" ht="15">
      <c r="A212" s="539"/>
      <c r="B212" s="539"/>
      <c r="C212" s="539"/>
      <c r="D212" s="539"/>
      <c r="E212" s="539"/>
      <c r="F212" s="539"/>
      <c r="G212" s="539"/>
      <c r="H212" s="539"/>
      <c r="I212" s="539"/>
      <c r="J212" s="539"/>
      <c r="K212" s="539"/>
      <c r="L212" s="539"/>
      <c r="M212" s="539"/>
      <c r="N212" s="539"/>
      <c r="O212" s="539"/>
      <c r="P212" s="539"/>
      <c r="Q212" s="539"/>
      <c r="R212" s="539"/>
      <c r="S212" s="557"/>
      <c r="T212" s="557"/>
      <c r="U212" s="557"/>
      <c r="V212" s="557"/>
      <c r="W212" s="539"/>
      <c r="X212" s="539"/>
      <c r="Y212" s="557"/>
      <c r="Z212" s="557"/>
      <c r="AA212" s="539"/>
      <c r="AB212" s="539"/>
      <c r="AC212" s="539"/>
      <c r="AD212" s="557"/>
      <c r="AE212" s="557"/>
      <c r="AF212" s="557"/>
      <c r="AG212" s="557"/>
      <c r="AH212" s="557"/>
      <c r="AI212" s="557"/>
      <c r="AJ212" s="557"/>
      <c r="AK212" s="557"/>
      <c r="AL212" s="557"/>
      <c r="AM212" s="557"/>
      <c r="AN212" s="557"/>
      <c r="AO212" s="557"/>
      <c r="AP212" s="557"/>
      <c r="AQ212" s="557"/>
      <c r="AR212" s="557"/>
      <c r="AS212" s="557"/>
      <c r="AT212" s="557"/>
      <c r="AU212" s="557"/>
      <c r="AV212" s="557"/>
      <c r="AW212" s="557"/>
      <c r="AX212" s="557"/>
      <c r="AY212" s="557"/>
      <c r="AZ212" s="557"/>
      <c r="BA212" s="557"/>
      <c r="BB212" s="557"/>
      <c r="BC212" s="557"/>
      <c r="BD212" s="553"/>
      <c r="BE212" s="596"/>
      <c r="BF212" s="596"/>
      <c r="BG212" s="596"/>
      <c r="BH212" s="596"/>
      <c r="BI212" s="596"/>
      <c r="BJ212" s="596"/>
      <c r="BK212" s="596"/>
      <c r="BL212" s="596"/>
      <c r="BM212" s="596"/>
      <c r="BN212" s="596"/>
      <c r="BO212" s="596"/>
      <c r="BP212" s="596"/>
      <c r="BQ212" s="596"/>
      <c r="BR212" s="596"/>
      <c r="BS212" s="596"/>
      <c r="BT212" s="596"/>
    </row>
    <row r="213" spans="1:72" ht="15">
      <c r="A213" s="539"/>
      <c r="B213" s="539"/>
      <c r="C213" s="539"/>
      <c r="D213" s="539"/>
      <c r="E213" s="539"/>
      <c r="F213" s="539"/>
      <c r="G213" s="539"/>
      <c r="H213" s="539"/>
      <c r="I213" s="539"/>
      <c r="J213" s="539"/>
      <c r="K213" s="539"/>
      <c r="L213" s="539"/>
      <c r="M213" s="539"/>
      <c r="N213" s="539"/>
      <c r="O213" s="539"/>
      <c r="P213" s="539"/>
      <c r="Q213" s="539"/>
      <c r="R213" s="539"/>
      <c r="S213" s="557"/>
      <c r="T213" s="557"/>
      <c r="U213" s="557"/>
      <c r="V213" s="557"/>
      <c r="W213" s="539"/>
      <c r="X213" s="539"/>
      <c r="Y213" s="557"/>
      <c r="Z213" s="557"/>
      <c r="AA213" s="539"/>
      <c r="AB213" s="539"/>
      <c r="AC213" s="539"/>
      <c r="AD213" s="557"/>
      <c r="AE213" s="557"/>
      <c r="AF213" s="557"/>
      <c r="AG213" s="557"/>
      <c r="AH213" s="557"/>
      <c r="AI213" s="557"/>
      <c r="AJ213" s="557"/>
      <c r="AK213" s="557"/>
      <c r="AL213" s="557"/>
      <c r="AM213" s="557"/>
      <c r="AN213" s="557"/>
      <c r="AO213" s="557"/>
      <c r="AP213" s="557"/>
      <c r="AQ213" s="557"/>
      <c r="AR213" s="557"/>
      <c r="AS213" s="557"/>
      <c r="AT213" s="557"/>
      <c r="AU213" s="557"/>
      <c r="AV213" s="557"/>
      <c r="AW213" s="557"/>
      <c r="AX213" s="557"/>
      <c r="AY213" s="557"/>
      <c r="AZ213" s="557"/>
      <c r="BA213" s="557"/>
      <c r="BB213" s="557"/>
      <c r="BC213" s="557"/>
      <c r="BD213" s="553"/>
      <c r="BE213" s="596"/>
      <c r="BF213" s="596"/>
      <c r="BG213" s="596"/>
      <c r="BH213" s="596"/>
      <c r="BI213" s="596"/>
      <c r="BJ213" s="596"/>
      <c r="BK213" s="596"/>
      <c r="BL213" s="596"/>
      <c r="BM213" s="596"/>
      <c r="BN213" s="596"/>
      <c r="BO213" s="596"/>
      <c r="BP213" s="596"/>
      <c r="BQ213" s="596"/>
      <c r="BR213" s="596"/>
      <c r="BS213" s="596"/>
      <c r="BT213" s="596"/>
    </row>
    <row r="214" spans="1:72" ht="15">
      <c r="A214" s="539"/>
      <c r="B214" s="539"/>
      <c r="C214" s="539"/>
      <c r="D214" s="539"/>
      <c r="E214" s="539"/>
      <c r="F214" s="539"/>
      <c r="G214" s="539"/>
      <c r="H214" s="539"/>
      <c r="I214" s="539"/>
      <c r="J214" s="539"/>
      <c r="K214" s="539"/>
      <c r="L214" s="539"/>
      <c r="M214" s="539"/>
      <c r="N214" s="539"/>
      <c r="O214" s="539"/>
      <c r="P214" s="539"/>
      <c r="Q214" s="539"/>
      <c r="R214" s="539"/>
      <c r="S214" s="557"/>
      <c r="T214" s="557"/>
      <c r="U214" s="557"/>
      <c r="V214" s="557"/>
      <c r="W214" s="539"/>
      <c r="X214" s="539"/>
      <c r="Y214" s="557"/>
      <c r="Z214" s="557"/>
      <c r="AA214" s="539"/>
      <c r="AB214" s="539"/>
      <c r="AC214" s="539"/>
      <c r="AD214" s="557"/>
      <c r="AE214" s="557"/>
      <c r="AF214" s="557"/>
      <c r="AG214" s="557"/>
      <c r="AH214" s="557"/>
      <c r="AI214" s="557"/>
      <c r="AJ214" s="557"/>
      <c r="AK214" s="557"/>
      <c r="AL214" s="557"/>
      <c r="AM214" s="557"/>
      <c r="AN214" s="557"/>
      <c r="AO214" s="557"/>
      <c r="AP214" s="557"/>
      <c r="AQ214" s="557"/>
      <c r="AR214" s="557"/>
      <c r="AS214" s="557"/>
      <c r="AT214" s="557"/>
      <c r="AU214" s="557"/>
      <c r="AV214" s="557"/>
      <c r="AW214" s="557"/>
      <c r="AX214" s="557"/>
      <c r="AY214" s="557"/>
      <c r="AZ214" s="557"/>
      <c r="BA214" s="557"/>
      <c r="BB214" s="557"/>
      <c r="BC214" s="557"/>
      <c r="BD214" s="553"/>
      <c r="BE214" s="596"/>
      <c r="BF214" s="596"/>
      <c r="BG214" s="596"/>
      <c r="BH214" s="596"/>
      <c r="BI214" s="596"/>
      <c r="BJ214" s="596"/>
      <c r="BK214" s="596"/>
      <c r="BL214" s="596"/>
      <c r="BM214" s="596"/>
      <c r="BN214" s="596"/>
      <c r="BO214" s="596"/>
      <c r="BP214" s="596"/>
      <c r="BQ214" s="596"/>
      <c r="BR214" s="596"/>
      <c r="BS214" s="596"/>
      <c r="BT214" s="596"/>
    </row>
    <row r="215" spans="1:72" ht="15">
      <c r="A215" s="539"/>
      <c r="B215" s="539"/>
      <c r="C215" s="539"/>
      <c r="D215" s="539"/>
      <c r="E215" s="539"/>
      <c r="F215" s="539"/>
      <c r="G215" s="539"/>
      <c r="H215" s="539"/>
      <c r="I215" s="539"/>
      <c r="J215" s="539"/>
      <c r="K215" s="539"/>
      <c r="L215" s="539"/>
      <c r="M215" s="539"/>
      <c r="N215" s="539"/>
      <c r="O215" s="539"/>
      <c r="P215" s="539"/>
      <c r="Q215" s="539"/>
      <c r="R215" s="539"/>
      <c r="S215" s="557"/>
      <c r="T215" s="557"/>
      <c r="U215" s="557"/>
      <c r="V215" s="557"/>
      <c r="W215" s="539"/>
      <c r="X215" s="539"/>
      <c r="Y215" s="557"/>
      <c r="Z215" s="557"/>
      <c r="AA215" s="539"/>
      <c r="AB215" s="539"/>
      <c r="AC215" s="539"/>
      <c r="AD215" s="557"/>
      <c r="AE215" s="557"/>
      <c r="AF215" s="557"/>
      <c r="AG215" s="557"/>
      <c r="AH215" s="557"/>
      <c r="AI215" s="557"/>
      <c r="AJ215" s="557"/>
      <c r="AK215" s="557"/>
      <c r="AL215" s="557"/>
      <c r="AM215" s="557"/>
      <c r="AN215" s="557"/>
      <c r="AO215" s="557"/>
      <c r="AP215" s="557"/>
      <c r="AQ215" s="557"/>
      <c r="AR215" s="557"/>
      <c r="AS215" s="557"/>
      <c r="AT215" s="557"/>
      <c r="AU215" s="557"/>
      <c r="AV215" s="557"/>
      <c r="AW215" s="557"/>
      <c r="AX215" s="557"/>
      <c r="AY215" s="557"/>
      <c r="AZ215" s="557"/>
      <c r="BA215" s="557"/>
      <c r="BB215" s="557"/>
      <c r="BC215" s="557"/>
      <c r="BD215" s="553"/>
      <c r="BE215" s="596"/>
      <c r="BF215" s="596"/>
      <c r="BG215" s="596"/>
      <c r="BH215" s="596"/>
      <c r="BI215" s="596"/>
      <c r="BJ215" s="596"/>
      <c r="BK215" s="596"/>
      <c r="BL215" s="596"/>
      <c r="BM215" s="596"/>
      <c r="BN215" s="596"/>
      <c r="BO215" s="596"/>
      <c r="BP215" s="596"/>
      <c r="BQ215" s="596"/>
      <c r="BR215" s="596"/>
      <c r="BS215" s="596"/>
      <c r="BT215" s="596"/>
    </row>
    <row r="216" spans="1:72" ht="15">
      <c r="A216" s="539"/>
      <c r="B216" s="539"/>
      <c r="C216" s="539"/>
      <c r="D216" s="539"/>
      <c r="E216" s="539"/>
      <c r="F216" s="539"/>
      <c r="G216" s="539"/>
      <c r="H216" s="539"/>
      <c r="I216" s="539"/>
      <c r="J216" s="539"/>
      <c r="K216" s="539"/>
      <c r="L216" s="539"/>
      <c r="M216" s="539"/>
      <c r="N216" s="539"/>
      <c r="O216" s="539"/>
      <c r="P216" s="539"/>
      <c r="Q216" s="539"/>
      <c r="R216" s="539"/>
      <c r="S216" s="557"/>
      <c r="T216" s="557"/>
      <c r="U216" s="557"/>
      <c r="V216" s="557"/>
      <c r="W216" s="539"/>
      <c r="X216" s="539"/>
      <c r="Y216" s="557"/>
      <c r="Z216" s="557"/>
      <c r="AA216" s="539"/>
      <c r="AB216" s="539"/>
      <c r="AC216" s="539"/>
      <c r="AD216" s="557"/>
      <c r="AE216" s="557"/>
      <c r="AF216" s="557"/>
      <c r="AG216" s="557"/>
      <c r="AH216" s="557"/>
      <c r="AI216" s="557"/>
      <c r="AJ216" s="557"/>
      <c r="AK216" s="557"/>
      <c r="AL216" s="557"/>
      <c r="AM216" s="557"/>
      <c r="AN216" s="557"/>
      <c r="AO216" s="557"/>
      <c r="AP216" s="557"/>
      <c r="AQ216" s="557"/>
      <c r="AR216" s="557"/>
      <c r="AS216" s="557"/>
      <c r="AT216" s="557"/>
      <c r="AU216" s="557"/>
      <c r="AV216" s="557"/>
      <c r="AW216" s="557"/>
      <c r="AX216" s="557"/>
      <c r="AY216" s="557"/>
      <c r="AZ216" s="557"/>
      <c r="BA216" s="557"/>
      <c r="BB216" s="557"/>
      <c r="BC216" s="557"/>
      <c r="BD216" s="553"/>
      <c r="BE216" s="596"/>
      <c r="BF216" s="596"/>
      <c r="BG216" s="596"/>
      <c r="BH216" s="596"/>
      <c r="BI216" s="596"/>
      <c r="BJ216" s="596"/>
      <c r="BK216" s="596"/>
      <c r="BL216" s="596"/>
      <c r="BM216" s="596"/>
      <c r="BN216" s="596"/>
      <c r="BO216" s="596"/>
      <c r="BP216" s="596"/>
      <c r="BQ216" s="596"/>
      <c r="BR216" s="596"/>
      <c r="BS216" s="596"/>
      <c r="BT216" s="596"/>
    </row>
    <row r="217" spans="1:72" ht="15">
      <c r="A217" s="539"/>
      <c r="B217" s="539"/>
      <c r="C217" s="539"/>
      <c r="D217" s="539"/>
      <c r="E217" s="539"/>
      <c r="F217" s="539"/>
      <c r="G217" s="539"/>
      <c r="H217" s="539"/>
      <c r="I217" s="539"/>
      <c r="J217" s="539"/>
      <c r="K217" s="539"/>
      <c r="L217" s="539"/>
      <c r="M217" s="539"/>
      <c r="N217" s="539"/>
      <c r="O217" s="539"/>
      <c r="P217" s="539"/>
      <c r="Q217" s="539"/>
      <c r="R217" s="539"/>
      <c r="S217" s="557"/>
      <c r="T217" s="557"/>
      <c r="U217" s="557"/>
      <c r="V217" s="557"/>
      <c r="W217" s="539"/>
      <c r="X217" s="539"/>
      <c r="Y217" s="557"/>
      <c r="Z217" s="557"/>
      <c r="AA217" s="539"/>
      <c r="AB217" s="539"/>
      <c r="AC217" s="539"/>
      <c r="AD217" s="557"/>
      <c r="AE217" s="557"/>
      <c r="AF217" s="557"/>
      <c r="AG217" s="557"/>
      <c r="AH217" s="557"/>
      <c r="AI217" s="557"/>
      <c r="AJ217" s="557"/>
      <c r="AK217" s="557"/>
      <c r="AL217" s="557"/>
      <c r="AM217" s="557"/>
      <c r="AN217" s="557"/>
      <c r="AO217" s="557"/>
      <c r="AP217" s="557"/>
      <c r="AQ217" s="557"/>
      <c r="AR217" s="557"/>
      <c r="AS217" s="557"/>
      <c r="AT217" s="557"/>
      <c r="AU217" s="557"/>
      <c r="AV217" s="557"/>
      <c r="AW217" s="557"/>
      <c r="AX217" s="557"/>
      <c r="AY217" s="557"/>
      <c r="AZ217" s="557"/>
      <c r="BA217" s="557"/>
      <c r="BB217" s="557"/>
      <c r="BC217" s="557"/>
      <c r="BD217" s="553"/>
      <c r="BE217" s="596"/>
      <c r="BF217" s="596"/>
      <c r="BG217" s="596"/>
      <c r="BH217" s="596"/>
      <c r="BI217" s="596"/>
      <c r="BJ217" s="596"/>
      <c r="BK217" s="596"/>
      <c r="BL217" s="596"/>
      <c r="BM217" s="596"/>
      <c r="BN217" s="596"/>
      <c r="BO217" s="596"/>
      <c r="BP217" s="596"/>
      <c r="BQ217" s="596"/>
      <c r="BR217" s="596"/>
      <c r="BS217" s="596"/>
      <c r="BT217" s="596"/>
    </row>
    <row r="218" spans="1:72" ht="15">
      <c r="A218" s="539"/>
      <c r="B218" s="539"/>
      <c r="C218" s="539"/>
      <c r="D218" s="539"/>
      <c r="E218" s="539"/>
      <c r="F218" s="539"/>
      <c r="G218" s="539"/>
      <c r="H218" s="539"/>
      <c r="I218" s="539"/>
      <c r="J218" s="539"/>
      <c r="K218" s="539"/>
      <c r="L218" s="539"/>
      <c r="M218" s="539"/>
      <c r="N218" s="539"/>
      <c r="O218" s="539"/>
      <c r="P218" s="539"/>
      <c r="Q218" s="539"/>
      <c r="R218" s="539"/>
      <c r="S218" s="557"/>
      <c r="T218" s="557"/>
      <c r="U218" s="557"/>
      <c r="V218" s="557"/>
      <c r="W218" s="539"/>
      <c r="X218" s="539"/>
      <c r="Y218" s="557"/>
      <c r="Z218" s="557"/>
      <c r="AA218" s="539"/>
      <c r="AB218" s="539"/>
      <c r="AC218" s="539"/>
      <c r="AD218" s="557"/>
      <c r="AE218" s="557"/>
      <c r="AF218" s="557"/>
      <c r="AG218" s="557"/>
      <c r="AH218" s="557"/>
      <c r="AI218" s="557"/>
      <c r="AJ218" s="557"/>
      <c r="AK218" s="557"/>
      <c r="AL218" s="557"/>
      <c r="AM218" s="557"/>
      <c r="AN218" s="557"/>
      <c r="AO218" s="557"/>
      <c r="AP218" s="557"/>
      <c r="AQ218" s="557"/>
      <c r="AR218" s="557"/>
      <c r="AS218" s="557"/>
      <c r="AT218" s="557"/>
      <c r="AU218" s="557"/>
      <c r="AV218" s="557"/>
      <c r="AW218" s="557"/>
      <c r="AX218" s="557"/>
      <c r="AY218" s="557"/>
      <c r="AZ218" s="557"/>
      <c r="BA218" s="557"/>
      <c r="BB218" s="557"/>
      <c r="BC218" s="557"/>
      <c r="BD218" s="553"/>
      <c r="BE218" s="596"/>
      <c r="BF218" s="596"/>
      <c r="BG218" s="596"/>
      <c r="BH218" s="596"/>
      <c r="BI218" s="596"/>
      <c r="BJ218" s="596"/>
      <c r="BK218" s="596"/>
      <c r="BL218" s="596"/>
      <c r="BM218" s="596"/>
      <c r="BN218" s="596"/>
      <c r="BO218" s="596"/>
      <c r="BP218" s="596"/>
      <c r="BQ218" s="596"/>
      <c r="BR218" s="596"/>
      <c r="BS218" s="596"/>
      <c r="BT218" s="596"/>
    </row>
    <row r="219" spans="1:72" ht="15">
      <c r="A219" s="539"/>
      <c r="B219" s="539"/>
      <c r="C219" s="539"/>
      <c r="D219" s="539"/>
      <c r="E219" s="539"/>
      <c r="F219" s="539"/>
      <c r="G219" s="539"/>
      <c r="H219" s="539"/>
      <c r="I219" s="539"/>
      <c r="J219" s="539"/>
      <c r="K219" s="539"/>
      <c r="L219" s="539"/>
      <c r="M219" s="539"/>
      <c r="N219" s="539"/>
      <c r="O219" s="539"/>
      <c r="P219" s="539"/>
      <c r="Q219" s="539"/>
      <c r="R219" s="539"/>
      <c r="S219" s="557"/>
      <c r="T219" s="557"/>
      <c r="U219" s="557"/>
      <c r="V219" s="557"/>
      <c r="W219" s="539"/>
      <c r="X219" s="539"/>
      <c r="Y219" s="557"/>
      <c r="Z219" s="557"/>
      <c r="AA219" s="539"/>
      <c r="AB219" s="539"/>
      <c r="AC219" s="539"/>
      <c r="AD219" s="557"/>
      <c r="AE219" s="557"/>
      <c r="AF219" s="557"/>
      <c r="AG219" s="557"/>
      <c r="AH219" s="557"/>
      <c r="AI219" s="557"/>
      <c r="AJ219" s="557"/>
      <c r="AK219" s="557"/>
      <c r="AL219" s="557"/>
      <c r="AM219" s="557"/>
      <c r="AN219" s="557"/>
      <c r="AO219" s="557"/>
      <c r="AP219" s="557"/>
      <c r="AQ219" s="557"/>
      <c r="AR219" s="557"/>
      <c r="AS219" s="557"/>
      <c r="AT219" s="557"/>
      <c r="AU219" s="557"/>
      <c r="AV219" s="557"/>
      <c r="AW219" s="557"/>
      <c r="AX219" s="557"/>
      <c r="AY219" s="557"/>
      <c r="AZ219" s="557"/>
      <c r="BA219" s="557"/>
      <c r="BB219" s="557"/>
      <c r="BC219" s="557"/>
      <c r="BD219" s="553"/>
      <c r="BE219" s="596"/>
      <c r="BF219" s="596"/>
      <c r="BG219" s="596"/>
      <c r="BH219" s="596"/>
      <c r="BI219" s="596"/>
      <c r="BJ219" s="596"/>
      <c r="BK219" s="596"/>
      <c r="BL219" s="596"/>
      <c r="BM219" s="596"/>
      <c r="BN219" s="596"/>
      <c r="BO219" s="596"/>
      <c r="BP219" s="596"/>
      <c r="BQ219" s="596"/>
      <c r="BR219" s="596"/>
      <c r="BS219" s="596"/>
      <c r="BT219" s="596"/>
    </row>
    <row r="220" spans="1:72" ht="15">
      <c r="A220" s="539"/>
      <c r="B220" s="539"/>
      <c r="C220" s="539"/>
      <c r="D220" s="539"/>
      <c r="E220" s="539"/>
      <c r="F220" s="539"/>
      <c r="G220" s="539"/>
      <c r="H220" s="539"/>
      <c r="I220" s="539"/>
      <c r="J220" s="539"/>
      <c r="K220" s="539"/>
      <c r="L220" s="539"/>
      <c r="M220" s="539"/>
      <c r="N220" s="539"/>
      <c r="O220" s="539"/>
      <c r="P220" s="539"/>
      <c r="Q220" s="539"/>
      <c r="R220" s="539"/>
      <c r="S220" s="557"/>
      <c r="T220" s="557"/>
      <c r="U220" s="557"/>
      <c r="V220" s="557"/>
      <c r="W220" s="539"/>
      <c r="X220" s="539"/>
      <c r="Y220" s="557"/>
      <c r="Z220" s="557"/>
      <c r="AA220" s="539"/>
      <c r="AB220" s="539"/>
      <c r="AC220" s="539"/>
      <c r="AD220" s="557"/>
      <c r="AE220" s="557"/>
      <c r="AF220" s="557"/>
      <c r="AG220" s="557"/>
      <c r="AH220" s="557"/>
      <c r="AI220" s="557"/>
      <c r="AJ220" s="557"/>
      <c r="AK220" s="557"/>
      <c r="AL220" s="557"/>
      <c r="AM220" s="557"/>
      <c r="AN220" s="557"/>
      <c r="AO220" s="557"/>
      <c r="AP220" s="557"/>
      <c r="AQ220" s="557"/>
      <c r="AR220" s="557"/>
      <c r="AS220" s="557"/>
      <c r="AT220" s="557"/>
      <c r="AU220" s="557"/>
      <c r="AV220" s="557"/>
      <c r="AW220" s="557"/>
      <c r="AX220" s="557"/>
      <c r="AY220" s="557"/>
      <c r="AZ220" s="557"/>
      <c r="BA220" s="557"/>
      <c r="BB220" s="557"/>
      <c r="BC220" s="557"/>
      <c r="BD220" s="553"/>
      <c r="BE220" s="596"/>
      <c r="BF220" s="596"/>
      <c r="BG220" s="596"/>
      <c r="BH220" s="596"/>
      <c r="BI220" s="596"/>
      <c r="BJ220" s="596"/>
      <c r="BK220" s="596"/>
      <c r="BL220" s="596"/>
      <c r="BM220" s="596"/>
      <c r="BN220" s="596"/>
      <c r="BO220" s="596"/>
      <c r="BP220" s="596"/>
      <c r="BQ220" s="596"/>
      <c r="BR220" s="596"/>
      <c r="BS220" s="596"/>
      <c r="BT220" s="596"/>
    </row>
    <row r="221" spans="1:72" ht="15">
      <c r="A221" s="539"/>
      <c r="B221" s="539"/>
      <c r="C221" s="539"/>
      <c r="D221" s="539"/>
      <c r="E221" s="539"/>
      <c r="F221" s="539"/>
      <c r="G221" s="539"/>
      <c r="H221" s="539"/>
      <c r="I221" s="539"/>
      <c r="J221" s="539"/>
      <c r="K221" s="539"/>
      <c r="L221" s="539"/>
      <c r="M221" s="539"/>
      <c r="N221" s="539"/>
      <c r="O221" s="539"/>
      <c r="P221" s="539"/>
      <c r="Q221" s="539"/>
      <c r="R221" s="539"/>
      <c r="S221" s="557"/>
      <c r="T221" s="557"/>
      <c r="U221" s="557"/>
      <c r="V221" s="557"/>
      <c r="W221" s="539"/>
      <c r="X221" s="539"/>
      <c r="Y221" s="557"/>
      <c r="Z221" s="557"/>
      <c r="AA221" s="539"/>
      <c r="AB221" s="539"/>
      <c r="AC221" s="539"/>
      <c r="AD221" s="557"/>
      <c r="AE221" s="557"/>
      <c r="AF221" s="557"/>
      <c r="AG221" s="557"/>
      <c r="AH221" s="557"/>
      <c r="AI221" s="557"/>
      <c r="AJ221" s="557"/>
      <c r="AK221" s="557"/>
      <c r="AL221" s="557"/>
      <c r="AM221" s="557"/>
      <c r="AN221" s="557"/>
      <c r="AO221" s="557"/>
      <c r="AP221" s="557"/>
      <c r="AQ221" s="557"/>
      <c r="AR221" s="557"/>
      <c r="AS221" s="557"/>
      <c r="AT221" s="557"/>
      <c r="AU221" s="557"/>
      <c r="AV221" s="557"/>
      <c r="AW221" s="557"/>
      <c r="AX221" s="557"/>
      <c r="AY221" s="557"/>
      <c r="AZ221" s="557"/>
      <c r="BA221" s="557"/>
      <c r="BB221" s="557"/>
      <c r="BC221" s="557"/>
      <c r="BD221" s="553"/>
      <c r="BE221" s="596"/>
      <c r="BF221" s="596"/>
      <c r="BG221" s="596"/>
      <c r="BH221" s="596"/>
      <c r="BI221" s="596"/>
      <c r="BJ221" s="596"/>
      <c r="BK221" s="596"/>
      <c r="BL221" s="596"/>
      <c r="BM221" s="596"/>
      <c r="BN221" s="596"/>
      <c r="BO221" s="596"/>
      <c r="BP221" s="596"/>
      <c r="BQ221" s="596"/>
      <c r="BR221" s="596"/>
      <c r="BS221" s="596"/>
      <c r="BT221" s="596"/>
    </row>
    <row r="222" spans="1:72" ht="15">
      <c r="A222" s="539"/>
      <c r="B222" s="539"/>
      <c r="C222" s="539"/>
      <c r="D222" s="539"/>
      <c r="E222" s="539"/>
      <c r="F222" s="539"/>
      <c r="G222" s="539"/>
      <c r="H222" s="539"/>
      <c r="I222" s="539"/>
      <c r="J222" s="539"/>
      <c r="K222" s="539"/>
      <c r="L222" s="539"/>
      <c r="M222" s="539"/>
      <c r="N222" s="539"/>
      <c r="O222" s="539"/>
      <c r="P222" s="539"/>
      <c r="Q222" s="539"/>
      <c r="R222" s="539"/>
      <c r="S222" s="557"/>
      <c r="T222" s="557"/>
      <c r="U222" s="557"/>
      <c r="V222" s="557"/>
      <c r="W222" s="539"/>
      <c r="X222" s="539"/>
      <c r="Y222" s="557"/>
      <c r="Z222" s="557"/>
      <c r="AA222" s="539"/>
      <c r="AB222" s="539"/>
      <c r="AC222" s="539"/>
      <c r="AD222" s="557"/>
      <c r="AE222" s="557"/>
      <c r="AF222" s="557"/>
      <c r="AG222" s="557"/>
      <c r="AH222" s="557"/>
      <c r="AI222" s="557"/>
      <c r="AJ222" s="557"/>
      <c r="AK222" s="557"/>
      <c r="AL222" s="557"/>
      <c r="AM222" s="557"/>
      <c r="AN222" s="557"/>
      <c r="AO222" s="557"/>
      <c r="AP222" s="557"/>
      <c r="AQ222" s="557"/>
      <c r="AR222" s="557"/>
      <c r="AS222" s="557"/>
      <c r="AT222" s="557"/>
      <c r="AU222" s="557"/>
      <c r="AV222" s="557"/>
      <c r="AW222" s="557"/>
      <c r="AX222" s="557"/>
      <c r="AY222" s="557"/>
      <c r="AZ222" s="557"/>
      <c r="BA222" s="557"/>
      <c r="BB222" s="557"/>
      <c r="BC222" s="557"/>
      <c r="BD222" s="553"/>
      <c r="BE222" s="596"/>
      <c r="BF222" s="596"/>
      <c r="BG222" s="596"/>
      <c r="BH222" s="596"/>
      <c r="BI222" s="596"/>
      <c r="BJ222" s="596"/>
      <c r="BK222" s="596"/>
      <c r="BL222" s="596"/>
      <c r="BM222" s="596"/>
      <c r="BN222" s="596"/>
      <c r="BO222" s="596"/>
      <c r="BP222" s="596"/>
      <c r="BQ222" s="596"/>
      <c r="BR222" s="596"/>
      <c r="BS222" s="596"/>
      <c r="BT222" s="596"/>
    </row>
    <row r="223" spans="1:72" ht="15">
      <c r="A223" s="539"/>
      <c r="B223" s="539"/>
      <c r="C223" s="539"/>
      <c r="D223" s="539"/>
      <c r="E223" s="539"/>
      <c r="F223" s="539"/>
      <c r="G223" s="539"/>
      <c r="H223" s="539"/>
      <c r="I223" s="539"/>
      <c r="J223" s="539"/>
      <c r="K223" s="539"/>
      <c r="L223" s="539"/>
      <c r="M223" s="539"/>
      <c r="N223" s="539"/>
      <c r="O223" s="539"/>
      <c r="P223" s="539"/>
      <c r="Q223" s="539"/>
      <c r="R223" s="539"/>
      <c r="S223" s="557"/>
      <c r="T223" s="557"/>
      <c r="U223" s="557"/>
      <c r="V223" s="557"/>
      <c r="W223" s="539"/>
      <c r="X223" s="539"/>
      <c r="Y223" s="557"/>
      <c r="Z223" s="557"/>
      <c r="AA223" s="539"/>
      <c r="AB223" s="539"/>
      <c r="AC223" s="539"/>
      <c r="AD223" s="557"/>
      <c r="AE223" s="557"/>
      <c r="AF223" s="557"/>
      <c r="AG223" s="557"/>
      <c r="AH223" s="557"/>
      <c r="AI223" s="557"/>
      <c r="AJ223" s="557"/>
      <c r="AK223" s="557"/>
      <c r="AL223" s="557"/>
      <c r="AM223" s="557"/>
      <c r="AN223" s="557"/>
      <c r="AO223" s="557"/>
      <c r="AP223" s="557"/>
      <c r="AQ223" s="557"/>
      <c r="AR223" s="557"/>
      <c r="AS223" s="557"/>
      <c r="AT223" s="557"/>
      <c r="AU223" s="557"/>
      <c r="AV223" s="557"/>
      <c r="AW223" s="557"/>
      <c r="AX223" s="557"/>
      <c r="AY223" s="557"/>
      <c r="AZ223" s="557"/>
      <c r="BA223" s="557"/>
      <c r="BB223" s="557"/>
      <c r="BC223" s="557"/>
      <c r="BD223" s="553"/>
      <c r="BE223" s="596"/>
      <c r="BF223" s="596"/>
      <c r="BG223" s="596"/>
      <c r="BH223" s="596"/>
      <c r="BI223" s="596"/>
      <c r="BJ223" s="596"/>
      <c r="BK223" s="596"/>
      <c r="BL223" s="596"/>
      <c r="BM223" s="596"/>
      <c r="BN223" s="596"/>
      <c r="BO223" s="596"/>
      <c r="BP223" s="596"/>
      <c r="BQ223" s="596"/>
      <c r="BR223" s="596"/>
      <c r="BS223" s="596"/>
      <c r="BT223" s="596"/>
    </row>
    <row r="224" spans="1:72" ht="15">
      <c r="A224" s="539"/>
      <c r="B224" s="539"/>
      <c r="C224" s="539"/>
      <c r="D224" s="539"/>
      <c r="E224" s="539"/>
      <c r="F224" s="539"/>
      <c r="G224" s="539"/>
      <c r="H224" s="539"/>
      <c r="I224" s="539"/>
      <c r="J224" s="539"/>
      <c r="K224" s="539"/>
      <c r="L224" s="539"/>
      <c r="M224" s="539"/>
      <c r="N224" s="539"/>
      <c r="O224" s="539"/>
      <c r="P224" s="539"/>
      <c r="Q224" s="539"/>
      <c r="R224" s="539"/>
      <c r="S224" s="557"/>
      <c r="T224" s="557"/>
      <c r="U224" s="557"/>
      <c r="V224" s="557"/>
      <c r="W224" s="539"/>
      <c r="X224" s="539"/>
      <c r="Y224" s="557"/>
      <c r="Z224" s="557"/>
      <c r="AA224" s="539"/>
      <c r="AB224" s="539"/>
      <c r="AC224" s="539"/>
      <c r="AD224" s="557"/>
      <c r="AE224" s="557"/>
      <c r="AF224" s="557"/>
      <c r="AG224" s="557"/>
      <c r="AH224" s="557"/>
      <c r="AI224" s="557"/>
      <c r="AJ224" s="557"/>
      <c r="AK224" s="557"/>
      <c r="AL224" s="557"/>
      <c r="AM224" s="557"/>
      <c r="AN224" s="557"/>
      <c r="AO224" s="557"/>
      <c r="AP224" s="557"/>
      <c r="AQ224" s="557"/>
      <c r="AR224" s="557"/>
      <c r="AS224" s="557"/>
      <c r="AT224" s="557"/>
      <c r="AU224" s="557"/>
      <c r="AV224" s="557"/>
      <c r="AW224" s="557"/>
      <c r="AX224" s="557"/>
      <c r="AY224" s="557"/>
      <c r="AZ224" s="557"/>
      <c r="BA224" s="557"/>
      <c r="BB224" s="557"/>
      <c r="BC224" s="557"/>
      <c r="BD224" s="553"/>
      <c r="BE224" s="596"/>
      <c r="BF224" s="596"/>
      <c r="BG224" s="596"/>
      <c r="BH224" s="596"/>
      <c r="BI224" s="596"/>
      <c r="BJ224" s="596"/>
      <c r="BK224" s="596"/>
      <c r="BL224" s="596"/>
      <c r="BM224" s="596"/>
      <c r="BN224" s="596"/>
      <c r="BO224" s="596"/>
      <c r="BP224" s="596"/>
      <c r="BQ224" s="596"/>
      <c r="BR224" s="596"/>
      <c r="BS224" s="596"/>
      <c r="BT224" s="596"/>
    </row>
    <row r="225" spans="1:72" ht="15">
      <c r="A225" s="539"/>
      <c r="B225" s="539"/>
      <c r="C225" s="539"/>
      <c r="D225" s="539"/>
      <c r="E225" s="539"/>
      <c r="F225" s="539"/>
      <c r="G225" s="539"/>
      <c r="H225" s="539"/>
      <c r="I225" s="539"/>
      <c r="J225" s="539"/>
      <c r="K225" s="539"/>
      <c r="L225" s="539"/>
      <c r="M225" s="539"/>
      <c r="N225" s="539"/>
      <c r="O225" s="539"/>
      <c r="P225" s="539"/>
      <c r="Q225" s="539"/>
      <c r="R225" s="539"/>
      <c r="S225" s="557"/>
      <c r="T225" s="557"/>
      <c r="U225" s="557"/>
      <c r="V225" s="557"/>
      <c r="W225" s="539"/>
      <c r="X225" s="539"/>
      <c r="Y225" s="557"/>
      <c r="Z225" s="557"/>
      <c r="AA225" s="539"/>
      <c r="AB225" s="539"/>
      <c r="AC225" s="539"/>
      <c r="AD225" s="557"/>
      <c r="AE225" s="557"/>
      <c r="AF225" s="557"/>
      <c r="AG225" s="557"/>
      <c r="AH225" s="557"/>
      <c r="AI225" s="557"/>
      <c r="AJ225" s="557"/>
      <c r="AK225" s="557"/>
      <c r="AL225" s="557"/>
      <c r="AM225" s="557"/>
      <c r="AN225" s="557"/>
      <c r="AO225" s="557"/>
      <c r="AP225" s="557"/>
      <c r="AQ225" s="557"/>
      <c r="AR225" s="557"/>
      <c r="AS225" s="557"/>
      <c r="AT225" s="557"/>
      <c r="AU225" s="557"/>
      <c r="AV225" s="557"/>
      <c r="AW225" s="557"/>
      <c r="AX225" s="557"/>
      <c r="AY225" s="557"/>
      <c r="AZ225" s="557"/>
      <c r="BA225" s="557"/>
      <c r="BB225" s="557"/>
      <c r="BC225" s="557"/>
      <c r="BD225" s="553"/>
      <c r="BE225" s="596"/>
      <c r="BF225" s="596"/>
      <c r="BG225" s="596"/>
      <c r="BH225" s="596"/>
      <c r="BI225" s="596"/>
      <c r="BJ225" s="596"/>
      <c r="BK225" s="596"/>
      <c r="BL225" s="596"/>
      <c r="BM225" s="596"/>
      <c r="BN225" s="596"/>
      <c r="BO225" s="596"/>
      <c r="BP225" s="596"/>
      <c r="BQ225" s="596"/>
      <c r="BR225" s="596"/>
      <c r="BS225" s="596"/>
      <c r="BT225" s="596"/>
    </row>
    <row r="226" spans="1:72" ht="15">
      <c r="A226" s="539"/>
      <c r="B226" s="539"/>
      <c r="C226" s="539"/>
      <c r="D226" s="539"/>
      <c r="E226" s="539"/>
      <c r="F226" s="539"/>
      <c r="G226" s="539"/>
      <c r="H226" s="539"/>
      <c r="I226" s="539"/>
      <c r="J226" s="539"/>
      <c r="K226" s="539"/>
      <c r="L226" s="539"/>
      <c r="M226" s="539"/>
      <c r="N226" s="539"/>
      <c r="O226" s="539"/>
      <c r="P226" s="539"/>
      <c r="Q226" s="539"/>
      <c r="R226" s="539"/>
      <c r="S226" s="557"/>
      <c r="T226" s="557"/>
      <c r="U226" s="557"/>
      <c r="V226" s="557"/>
      <c r="W226" s="539"/>
      <c r="X226" s="539"/>
      <c r="Y226" s="557"/>
      <c r="Z226" s="557"/>
      <c r="AA226" s="539"/>
      <c r="AB226" s="539"/>
      <c r="AC226" s="539"/>
      <c r="AD226" s="557"/>
      <c r="AE226" s="557"/>
      <c r="AF226" s="557"/>
      <c r="AG226" s="557"/>
      <c r="AH226" s="557"/>
      <c r="AI226" s="557"/>
      <c r="AJ226" s="557"/>
      <c r="AK226" s="557"/>
      <c r="AL226" s="557"/>
      <c r="AM226" s="557"/>
      <c r="AN226" s="557"/>
      <c r="AO226" s="557"/>
      <c r="AP226" s="557"/>
      <c r="AQ226" s="557"/>
      <c r="AR226" s="557"/>
      <c r="AS226" s="557"/>
      <c r="AT226" s="557"/>
      <c r="AU226" s="557"/>
      <c r="AV226" s="557"/>
      <c r="AW226" s="557"/>
      <c r="AX226" s="557"/>
      <c r="AY226" s="557"/>
      <c r="AZ226" s="557"/>
      <c r="BA226" s="557"/>
      <c r="BB226" s="557"/>
      <c r="BC226" s="557"/>
      <c r="BD226" s="553"/>
      <c r="BE226" s="596"/>
      <c r="BF226" s="596"/>
      <c r="BG226" s="596"/>
      <c r="BH226" s="596"/>
      <c r="BI226" s="596"/>
      <c r="BJ226" s="596"/>
      <c r="BK226" s="596"/>
      <c r="BL226" s="596"/>
      <c r="BM226" s="596"/>
      <c r="BN226" s="596"/>
      <c r="BO226" s="596"/>
      <c r="BP226" s="596"/>
      <c r="BQ226" s="596"/>
      <c r="BR226" s="596"/>
      <c r="BS226" s="596"/>
      <c r="BT226" s="596"/>
    </row>
    <row r="227" spans="1:72" ht="15">
      <c r="A227" s="539"/>
      <c r="B227" s="539"/>
      <c r="C227" s="539"/>
      <c r="D227" s="539"/>
      <c r="E227" s="539"/>
      <c r="F227" s="539"/>
      <c r="G227" s="539"/>
      <c r="H227" s="539"/>
      <c r="I227" s="539"/>
      <c r="J227" s="539"/>
      <c r="K227" s="539"/>
      <c r="L227" s="539"/>
      <c r="M227" s="539"/>
      <c r="N227" s="539"/>
      <c r="O227" s="539"/>
      <c r="P227" s="539"/>
      <c r="Q227" s="539"/>
      <c r="R227" s="539"/>
      <c r="S227" s="557"/>
      <c r="T227" s="557"/>
      <c r="U227" s="557"/>
      <c r="V227" s="557"/>
      <c r="W227" s="539"/>
      <c r="X227" s="539"/>
      <c r="Y227" s="557"/>
      <c r="Z227" s="557"/>
      <c r="AA227" s="539"/>
      <c r="AB227" s="539"/>
      <c r="AC227" s="539"/>
      <c r="AD227" s="557"/>
      <c r="AE227" s="557"/>
      <c r="AF227" s="557"/>
      <c r="AG227" s="557"/>
      <c r="AH227" s="557"/>
      <c r="AI227" s="557"/>
      <c r="AJ227" s="557"/>
      <c r="AK227" s="557"/>
      <c r="AL227" s="557"/>
      <c r="AM227" s="557"/>
      <c r="AN227" s="557"/>
      <c r="AO227" s="557"/>
      <c r="AP227" s="557"/>
      <c r="AQ227" s="557"/>
      <c r="AR227" s="557"/>
      <c r="AS227" s="557"/>
      <c r="AT227" s="557"/>
      <c r="AU227" s="557"/>
      <c r="AV227" s="557"/>
      <c r="AW227" s="557"/>
      <c r="AX227" s="557"/>
      <c r="AY227" s="557"/>
      <c r="AZ227" s="557"/>
      <c r="BA227" s="557"/>
      <c r="BB227" s="557"/>
      <c r="BC227" s="557"/>
      <c r="BD227" s="553"/>
      <c r="BE227" s="596"/>
      <c r="BF227" s="596"/>
      <c r="BG227" s="596"/>
      <c r="BH227" s="596"/>
      <c r="BI227" s="596"/>
      <c r="BJ227" s="596"/>
      <c r="BK227" s="596"/>
      <c r="BL227" s="596"/>
      <c r="BM227" s="596"/>
      <c r="BN227" s="596"/>
      <c r="BO227" s="596"/>
      <c r="BP227" s="596"/>
      <c r="BQ227" s="596"/>
      <c r="BR227" s="596"/>
      <c r="BS227" s="596"/>
      <c r="BT227" s="596"/>
    </row>
    <row r="228" spans="1:72" ht="15">
      <c r="A228" s="539"/>
      <c r="B228" s="539"/>
      <c r="C228" s="539"/>
      <c r="D228" s="539"/>
      <c r="E228" s="539"/>
      <c r="F228" s="539"/>
      <c r="G228" s="539"/>
      <c r="H228" s="539"/>
      <c r="I228" s="539"/>
      <c r="J228" s="539"/>
      <c r="K228" s="539"/>
      <c r="L228" s="539"/>
      <c r="M228" s="539"/>
      <c r="N228" s="539"/>
      <c r="O228" s="539"/>
      <c r="P228" s="539"/>
      <c r="Q228" s="539"/>
      <c r="R228" s="539"/>
      <c r="S228" s="557"/>
      <c r="T228" s="557"/>
      <c r="U228" s="557"/>
      <c r="V228" s="557"/>
      <c r="W228" s="539"/>
      <c r="X228" s="539"/>
      <c r="Y228" s="557"/>
      <c r="Z228" s="557"/>
      <c r="AA228" s="539"/>
      <c r="AB228" s="539"/>
      <c r="AC228" s="539"/>
      <c r="AD228" s="557"/>
      <c r="AE228" s="557"/>
      <c r="AF228" s="557"/>
      <c r="AG228" s="557"/>
      <c r="AH228" s="557"/>
      <c r="AI228" s="557"/>
      <c r="AJ228" s="557"/>
      <c r="AK228" s="557"/>
      <c r="AL228" s="557"/>
      <c r="AM228" s="557"/>
      <c r="AN228" s="557"/>
      <c r="AO228" s="557"/>
      <c r="AP228" s="557"/>
      <c r="AQ228" s="557"/>
      <c r="AR228" s="557"/>
      <c r="AS228" s="557"/>
      <c r="AT228" s="557"/>
      <c r="AU228" s="557"/>
      <c r="AV228" s="557"/>
      <c r="AW228" s="557"/>
      <c r="AX228" s="557"/>
      <c r="AY228" s="557"/>
      <c r="AZ228" s="557"/>
      <c r="BA228" s="557"/>
      <c r="BB228" s="557"/>
      <c r="BC228" s="557"/>
      <c r="BD228" s="553"/>
      <c r="BE228" s="596"/>
      <c r="BF228" s="596"/>
      <c r="BG228" s="596"/>
      <c r="BH228" s="596"/>
      <c r="BI228" s="596"/>
      <c r="BJ228" s="596"/>
      <c r="BK228" s="596"/>
      <c r="BL228" s="596"/>
      <c r="BM228" s="596"/>
      <c r="BN228" s="596"/>
      <c r="BO228" s="596"/>
      <c r="BP228" s="596"/>
      <c r="BQ228" s="596"/>
      <c r="BR228" s="596"/>
      <c r="BS228" s="596"/>
      <c r="BT228" s="596"/>
    </row>
    <row r="229" spans="1:72" ht="15">
      <c r="A229" s="539"/>
      <c r="B229" s="539"/>
      <c r="C229" s="539"/>
      <c r="D229" s="539"/>
      <c r="E229" s="539"/>
      <c r="F229" s="539"/>
      <c r="G229" s="539"/>
      <c r="H229" s="539"/>
      <c r="I229" s="539"/>
      <c r="J229" s="539"/>
      <c r="K229" s="539"/>
      <c r="L229" s="539"/>
      <c r="M229" s="539"/>
      <c r="N229" s="539"/>
      <c r="O229" s="539"/>
      <c r="P229" s="539"/>
      <c r="Q229" s="539"/>
      <c r="R229" s="539"/>
      <c r="S229" s="557"/>
      <c r="T229" s="557"/>
      <c r="U229" s="557"/>
      <c r="V229" s="557"/>
      <c r="W229" s="539"/>
      <c r="X229" s="539"/>
      <c r="Y229" s="557"/>
      <c r="Z229" s="557"/>
      <c r="AA229" s="539"/>
      <c r="AB229" s="539"/>
      <c r="AC229" s="539"/>
      <c r="AD229" s="557"/>
      <c r="AE229" s="557"/>
      <c r="AF229" s="557"/>
      <c r="AG229" s="557"/>
      <c r="AH229" s="557"/>
      <c r="AI229" s="557"/>
      <c r="AJ229" s="557"/>
      <c r="AK229" s="557"/>
      <c r="AL229" s="557"/>
      <c r="AM229" s="557"/>
      <c r="AN229" s="557"/>
      <c r="AO229" s="557"/>
      <c r="AP229" s="557"/>
      <c r="AQ229" s="557"/>
      <c r="AR229" s="557"/>
      <c r="AS229" s="557"/>
      <c r="AT229" s="557"/>
      <c r="AU229" s="557"/>
      <c r="AV229" s="557"/>
      <c r="AW229" s="557"/>
      <c r="AX229" s="557"/>
      <c r="AY229" s="557"/>
      <c r="AZ229" s="557"/>
      <c r="BA229" s="557"/>
      <c r="BB229" s="557"/>
      <c r="BC229" s="557"/>
      <c r="BD229" s="553"/>
      <c r="BE229" s="596"/>
      <c r="BF229" s="596"/>
      <c r="BG229" s="596"/>
      <c r="BH229" s="596"/>
      <c r="BI229" s="596"/>
      <c r="BJ229" s="596"/>
      <c r="BK229" s="596"/>
      <c r="BL229" s="596"/>
      <c r="BM229" s="596"/>
      <c r="BN229" s="596"/>
      <c r="BO229" s="596"/>
      <c r="BP229" s="596"/>
      <c r="BQ229" s="596"/>
      <c r="BR229" s="596"/>
      <c r="BS229" s="596"/>
      <c r="BT229" s="596"/>
    </row>
    <row r="230" spans="1:72" ht="15">
      <c r="A230" s="539"/>
      <c r="B230" s="539"/>
      <c r="C230" s="539"/>
      <c r="D230" s="539"/>
      <c r="E230" s="539"/>
      <c r="F230" s="539"/>
      <c r="G230" s="539"/>
      <c r="H230" s="539"/>
      <c r="I230" s="539"/>
      <c r="J230" s="539"/>
      <c r="K230" s="539"/>
      <c r="L230" s="539"/>
      <c r="M230" s="539"/>
      <c r="N230" s="539"/>
      <c r="O230" s="539"/>
      <c r="P230" s="539"/>
      <c r="Q230" s="539"/>
      <c r="R230" s="539"/>
      <c r="S230" s="557"/>
      <c r="T230" s="557"/>
      <c r="U230" s="557"/>
      <c r="V230" s="557"/>
      <c r="W230" s="539"/>
      <c r="X230" s="539"/>
      <c r="Y230" s="557"/>
      <c r="Z230" s="557"/>
      <c r="AA230" s="539"/>
      <c r="AB230" s="539"/>
      <c r="AC230" s="539"/>
      <c r="AD230" s="557"/>
      <c r="AE230" s="557"/>
      <c r="AF230" s="557"/>
      <c r="AG230" s="557"/>
      <c r="AH230" s="557"/>
      <c r="AI230" s="557"/>
      <c r="AJ230" s="557"/>
      <c r="AK230" s="557"/>
      <c r="AL230" s="557"/>
      <c r="AM230" s="557"/>
      <c r="AN230" s="557"/>
      <c r="AO230" s="557"/>
      <c r="AP230" s="557"/>
      <c r="AQ230" s="557"/>
      <c r="AR230" s="557"/>
      <c r="AS230" s="557"/>
      <c r="AT230" s="557"/>
      <c r="AU230" s="557"/>
      <c r="AV230" s="557"/>
      <c r="AW230" s="557"/>
      <c r="AX230" s="557"/>
      <c r="AY230" s="557"/>
      <c r="AZ230" s="557"/>
      <c r="BA230" s="557"/>
      <c r="BB230" s="557"/>
      <c r="BC230" s="557"/>
      <c r="BD230" s="553"/>
      <c r="BE230" s="596"/>
      <c r="BF230" s="596"/>
      <c r="BG230" s="596"/>
      <c r="BH230" s="596"/>
      <c r="BI230" s="596"/>
      <c r="BJ230" s="596"/>
      <c r="BK230" s="596"/>
      <c r="BL230" s="596"/>
      <c r="BM230" s="596"/>
      <c r="BN230" s="596"/>
      <c r="BO230" s="596"/>
      <c r="BP230" s="596"/>
      <c r="BQ230" s="596"/>
      <c r="BR230" s="596"/>
      <c r="BS230" s="596"/>
      <c r="BT230" s="596"/>
    </row>
    <row r="231" spans="1:72" ht="15">
      <c r="A231" s="539"/>
      <c r="B231" s="539"/>
      <c r="C231" s="539"/>
      <c r="D231" s="539"/>
      <c r="E231" s="539"/>
      <c r="F231" s="539"/>
      <c r="G231" s="539"/>
      <c r="H231" s="539"/>
      <c r="I231" s="539"/>
      <c r="J231" s="539"/>
      <c r="K231" s="539"/>
      <c r="L231" s="539"/>
      <c r="M231" s="539"/>
      <c r="N231" s="539"/>
      <c r="O231" s="539"/>
      <c r="P231" s="539"/>
      <c r="Q231" s="539"/>
      <c r="R231" s="539"/>
      <c r="S231" s="557"/>
      <c r="T231" s="557"/>
      <c r="U231" s="557"/>
      <c r="V231" s="557"/>
      <c r="W231" s="539"/>
      <c r="X231" s="539"/>
      <c r="Y231" s="557"/>
      <c r="Z231" s="557"/>
      <c r="AA231" s="539"/>
      <c r="AB231" s="539"/>
      <c r="AC231" s="539"/>
      <c r="AD231" s="557"/>
      <c r="AE231" s="557"/>
      <c r="AF231" s="557"/>
      <c r="AG231" s="557"/>
      <c r="AH231" s="557"/>
      <c r="AI231" s="557"/>
      <c r="AJ231" s="557"/>
      <c r="AK231" s="557"/>
      <c r="AL231" s="557"/>
      <c r="AM231" s="557"/>
      <c r="AN231" s="557"/>
      <c r="AO231" s="557"/>
      <c r="AP231" s="557"/>
      <c r="AQ231" s="557"/>
      <c r="AR231" s="557"/>
      <c r="AS231" s="557"/>
      <c r="AT231" s="557"/>
      <c r="AU231" s="557"/>
      <c r="AV231" s="557"/>
      <c r="AW231" s="557"/>
      <c r="AX231" s="557"/>
      <c r="AY231" s="557"/>
      <c r="AZ231" s="557"/>
      <c r="BA231" s="557"/>
      <c r="BB231" s="557"/>
      <c r="BC231" s="557"/>
      <c r="BD231" s="553"/>
      <c r="BE231" s="596"/>
      <c r="BF231" s="596"/>
      <c r="BG231" s="596"/>
      <c r="BH231" s="596"/>
      <c r="BI231" s="596"/>
      <c r="BJ231" s="596"/>
      <c r="BK231" s="596"/>
      <c r="BL231" s="596"/>
      <c r="BM231" s="596"/>
      <c r="BN231" s="596"/>
      <c r="BO231" s="596"/>
      <c r="BP231" s="596"/>
      <c r="BQ231" s="596"/>
      <c r="BR231" s="596"/>
      <c r="BS231" s="596"/>
      <c r="BT231" s="596"/>
    </row>
    <row r="232" spans="1:72" ht="15">
      <c r="A232" s="539"/>
      <c r="B232" s="539"/>
      <c r="C232" s="539"/>
      <c r="D232" s="539"/>
      <c r="E232" s="539"/>
      <c r="F232" s="539"/>
      <c r="G232" s="539"/>
      <c r="H232" s="539"/>
      <c r="I232" s="539"/>
      <c r="J232" s="539"/>
      <c r="K232" s="539"/>
      <c r="L232" s="539"/>
      <c r="M232" s="539"/>
      <c r="N232" s="539"/>
      <c r="O232" s="539"/>
      <c r="P232" s="539"/>
      <c r="Q232" s="539"/>
      <c r="R232" s="539"/>
      <c r="S232" s="557"/>
      <c r="T232" s="557"/>
      <c r="U232" s="557"/>
      <c r="V232" s="557"/>
      <c r="W232" s="539"/>
      <c r="X232" s="539"/>
      <c r="Y232" s="557"/>
      <c r="Z232" s="557"/>
      <c r="AA232" s="539"/>
      <c r="AB232" s="539"/>
      <c r="AC232" s="539"/>
      <c r="AD232" s="557"/>
      <c r="AE232" s="557"/>
      <c r="AF232" s="557"/>
      <c r="AG232" s="557"/>
      <c r="AH232" s="557"/>
      <c r="AI232" s="557"/>
      <c r="AJ232" s="557"/>
      <c r="AK232" s="557"/>
      <c r="AL232" s="557"/>
      <c r="AM232" s="557"/>
      <c r="AN232" s="557"/>
      <c r="AO232" s="557"/>
      <c r="AP232" s="557"/>
      <c r="AQ232" s="557"/>
      <c r="AR232" s="557"/>
      <c r="AS232" s="557"/>
      <c r="AT232" s="557"/>
      <c r="AU232" s="557"/>
      <c r="AV232" s="557"/>
      <c r="AW232" s="557"/>
      <c r="AX232" s="557"/>
      <c r="AY232" s="557"/>
      <c r="AZ232" s="557"/>
      <c r="BA232" s="557"/>
      <c r="BB232" s="557"/>
      <c r="BC232" s="557"/>
      <c r="BD232" s="553"/>
      <c r="BE232" s="596"/>
      <c r="BF232" s="596"/>
      <c r="BG232" s="596"/>
      <c r="BH232" s="596"/>
      <c r="BI232" s="596"/>
      <c r="BJ232" s="596"/>
      <c r="BK232" s="596"/>
      <c r="BL232" s="596"/>
      <c r="BM232" s="596"/>
      <c r="BN232" s="596"/>
      <c r="BO232" s="596"/>
      <c r="BP232" s="596"/>
      <c r="BQ232" s="596"/>
      <c r="BR232" s="596"/>
      <c r="BS232" s="596"/>
      <c r="BT232" s="596"/>
    </row>
    <row r="233" spans="1:72" ht="15">
      <c r="A233" s="539"/>
      <c r="B233" s="539"/>
      <c r="C233" s="539"/>
      <c r="D233" s="539"/>
      <c r="E233" s="539"/>
      <c r="F233" s="539"/>
      <c r="G233" s="539"/>
      <c r="H233" s="539"/>
      <c r="I233" s="539"/>
      <c r="J233" s="539"/>
      <c r="K233" s="539"/>
      <c r="L233" s="539"/>
      <c r="M233" s="539"/>
      <c r="N233" s="539"/>
      <c r="O233" s="539"/>
      <c r="P233" s="539"/>
      <c r="Q233" s="539"/>
      <c r="R233" s="539"/>
      <c r="S233" s="557"/>
      <c r="T233" s="557"/>
      <c r="U233" s="557"/>
      <c r="V233" s="557"/>
      <c r="W233" s="539"/>
      <c r="X233" s="539"/>
      <c r="Y233" s="557"/>
      <c r="Z233" s="557"/>
      <c r="AA233" s="539"/>
      <c r="AB233" s="539"/>
      <c r="AC233" s="539"/>
      <c r="AD233" s="557"/>
      <c r="AE233" s="557"/>
      <c r="AF233" s="557"/>
      <c r="AG233" s="557"/>
      <c r="AH233" s="557"/>
      <c r="AI233" s="557"/>
      <c r="AJ233" s="557"/>
      <c r="AK233" s="557"/>
      <c r="AL233" s="557"/>
      <c r="AM233" s="557"/>
      <c r="AN233" s="557"/>
      <c r="AO233" s="557"/>
      <c r="AP233" s="557"/>
      <c r="AQ233" s="557"/>
      <c r="AR233" s="557"/>
      <c r="AS233" s="557"/>
      <c r="AT233" s="557"/>
      <c r="AU233" s="557"/>
      <c r="AV233" s="557"/>
      <c r="AW233" s="557"/>
      <c r="AX233" s="557"/>
      <c r="AY233" s="557"/>
      <c r="AZ233" s="557"/>
      <c r="BA233" s="557"/>
      <c r="BB233" s="557"/>
      <c r="BC233" s="557"/>
      <c r="BD233" s="553"/>
      <c r="BE233" s="596"/>
      <c r="BF233" s="596"/>
      <c r="BG233" s="596"/>
      <c r="BH233" s="596"/>
      <c r="BI233" s="596"/>
      <c r="BJ233" s="596"/>
      <c r="BK233" s="596"/>
      <c r="BL233" s="596"/>
      <c r="BM233" s="596"/>
      <c r="BN233" s="596"/>
      <c r="BO233" s="596"/>
      <c r="BP233" s="596"/>
      <c r="BQ233" s="596"/>
      <c r="BR233" s="596"/>
      <c r="BS233" s="596"/>
      <c r="BT233" s="596"/>
    </row>
    <row r="234" spans="1:72" ht="15">
      <c r="A234" s="539"/>
      <c r="B234" s="539"/>
      <c r="C234" s="539"/>
      <c r="D234" s="539"/>
      <c r="E234" s="539"/>
      <c r="F234" s="539"/>
      <c r="G234" s="539"/>
      <c r="H234" s="539"/>
      <c r="I234" s="539"/>
      <c r="J234" s="539"/>
      <c r="K234" s="539"/>
      <c r="L234" s="539"/>
      <c r="M234" s="539"/>
      <c r="N234" s="539"/>
      <c r="O234" s="539"/>
      <c r="P234" s="539"/>
      <c r="Q234" s="539"/>
      <c r="R234" s="539"/>
      <c r="S234" s="557"/>
      <c r="T234" s="557"/>
      <c r="U234" s="557"/>
      <c r="V234" s="557"/>
      <c r="W234" s="539"/>
      <c r="X234" s="539"/>
      <c r="Y234" s="557"/>
      <c r="Z234" s="557"/>
      <c r="AA234" s="539"/>
      <c r="AB234" s="539"/>
      <c r="AC234" s="539"/>
      <c r="AD234" s="557"/>
      <c r="AE234" s="557"/>
      <c r="AF234" s="557"/>
      <c r="AG234" s="557"/>
      <c r="AH234" s="557"/>
      <c r="AI234" s="557"/>
      <c r="AJ234" s="557"/>
      <c r="AK234" s="557"/>
      <c r="AL234" s="557"/>
      <c r="AM234" s="557"/>
      <c r="AN234" s="557"/>
      <c r="AO234" s="557"/>
      <c r="AP234" s="557"/>
      <c r="AQ234" s="557"/>
      <c r="AR234" s="557"/>
      <c r="AS234" s="557"/>
      <c r="AT234" s="557"/>
      <c r="AU234" s="557"/>
      <c r="AV234" s="557"/>
      <c r="AW234" s="557"/>
      <c r="AX234" s="557"/>
      <c r="AY234" s="557"/>
      <c r="AZ234" s="557"/>
      <c r="BA234" s="557"/>
      <c r="BB234" s="557"/>
      <c r="BC234" s="557"/>
      <c r="BD234" s="553"/>
      <c r="BE234" s="596"/>
      <c r="BF234" s="596"/>
      <c r="BG234" s="596"/>
      <c r="BH234" s="596"/>
      <c r="BI234" s="596"/>
      <c r="BJ234" s="596"/>
      <c r="BK234" s="596"/>
      <c r="BL234" s="596"/>
      <c r="BM234" s="596"/>
      <c r="BN234" s="596"/>
      <c r="BO234" s="596"/>
      <c r="BP234" s="596"/>
      <c r="BQ234" s="596"/>
      <c r="BR234" s="596"/>
      <c r="BS234" s="596"/>
      <c r="BT234" s="596"/>
    </row>
    <row r="235" spans="1:72" ht="15">
      <c r="A235" s="539"/>
      <c r="B235" s="539"/>
      <c r="C235" s="539"/>
      <c r="D235" s="539"/>
      <c r="E235" s="539"/>
      <c r="F235" s="539"/>
      <c r="G235" s="539"/>
      <c r="H235" s="539"/>
      <c r="I235" s="539"/>
      <c r="J235" s="539"/>
      <c r="K235" s="539"/>
      <c r="L235" s="539"/>
      <c r="M235" s="539"/>
      <c r="N235" s="539"/>
      <c r="O235" s="539"/>
      <c r="P235" s="539"/>
      <c r="Q235" s="539"/>
      <c r="R235" s="539"/>
      <c r="S235" s="557"/>
      <c r="T235" s="557"/>
      <c r="U235" s="557"/>
      <c r="V235" s="557"/>
      <c r="W235" s="539"/>
      <c r="X235" s="539"/>
      <c r="Y235" s="557"/>
      <c r="Z235" s="557"/>
      <c r="AA235" s="539"/>
      <c r="AB235" s="539"/>
      <c r="AC235" s="539"/>
      <c r="AD235" s="557"/>
      <c r="AE235" s="557"/>
      <c r="AF235" s="557"/>
      <c r="AG235" s="557"/>
      <c r="AH235" s="557"/>
      <c r="AI235" s="557"/>
      <c r="AJ235" s="557"/>
      <c r="AK235" s="557"/>
      <c r="AL235" s="557"/>
      <c r="AM235" s="557"/>
      <c r="AN235" s="557"/>
      <c r="AO235" s="557"/>
      <c r="AP235" s="557"/>
      <c r="AQ235" s="557"/>
      <c r="AR235" s="557"/>
      <c r="AS235" s="557"/>
      <c r="AT235" s="557"/>
      <c r="AU235" s="557"/>
      <c r="AV235" s="557"/>
      <c r="AW235" s="557"/>
      <c r="AX235" s="557"/>
      <c r="AY235" s="557"/>
      <c r="AZ235" s="557"/>
      <c r="BA235" s="557"/>
      <c r="BB235" s="557"/>
      <c r="BC235" s="557"/>
      <c r="BD235" s="553"/>
      <c r="BE235" s="596"/>
      <c r="BF235" s="596"/>
      <c r="BG235" s="596"/>
      <c r="BH235" s="596"/>
      <c r="BI235" s="596"/>
      <c r="BJ235" s="596"/>
      <c r="BK235" s="596"/>
      <c r="BL235" s="596"/>
      <c r="BM235" s="596"/>
      <c r="BN235" s="596"/>
      <c r="BO235" s="596"/>
      <c r="BP235" s="596"/>
      <c r="BQ235" s="596"/>
      <c r="BR235" s="596"/>
      <c r="BS235" s="596"/>
      <c r="BT235" s="596"/>
    </row>
    <row r="236" spans="1:72" ht="15">
      <c r="A236" s="539"/>
      <c r="B236" s="539"/>
      <c r="C236" s="539"/>
      <c r="D236" s="539"/>
      <c r="E236" s="539"/>
      <c r="F236" s="539"/>
      <c r="G236" s="539"/>
      <c r="H236" s="539"/>
      <c r="I236" s="539"/>
      <c r="J236" s="539"/>
      <c r="K236" s="539"/>
      <c r="L236" s="539"/>
      <c r="M236" s="539"/>
      <c r="N236" s="539"/>
      <c r="O236" s="539"/>
      <c r="P236" s="539"/>
      <c r="Q236" s="539"/>
      <c r="R236" s="539"/>
      <c r="S236" s="557"/>
      <c r="T236" s="557"/>
      <c r="U236" s="557"/>
      <c r="V236" s="557"/>
      <c r="W236" s="539"/>
      <c r="X236" s="539"/>
      <c r="Y236" s="557"/>
      <c r="Z236" s="557"/>
      <c r="AA236" s="539"/>
      <c r="AB236" s="539"/>
      <c r="AC236" s="539"/>
      <c r="AD236" s="557"/>
      <c r="AE236" s="557"/>
      <c r="AF236" s="557"/>
      <c r="AG236" s="557"/>
      <c r="AH236" s="557"/>
      <c r="AI236" s="557"/>
      <c r="AJ236" s="557"/>
      <c r="AK236" s="557"/>
      <c r="AL236" s="557"/>
      <c r="AM236" s="557"/>
      <c r="AN236" s="557"/>
      <c r="AO236" s="557"/>
      <c r="AP236" s="557"/>
      <c r="AQ236" s="557"/>
      <c r="AR236" s="557"/>
      <c r="AS236" s="557"/>
      <c r="AT236" s="557"/>
      <c r="AU236" s="557"/>
      <c r="AV236" s="557"/>
      <c r="AW236" s="557"/>
      <c r="AX236" s="557"/>
      <c r="AY236" s="557"/>
      <c r="AZ236" s="557"/>
      <c r="BA236" s="557"/>
      <c r="BB236" s="557"/>
      <c r="BC236" s="557"/>
      <c r="BD236" s="553"/>
      <c r="BE236" s="596"/>
      <c r="BF236" s="596"/>
      <c r="BG236" s="596"/>
      <c r="BH236" s="596"/>
      <c r="BI236" s="596"/>
      <c r="BJ236" s="596"/>
      <c r="BK236" s="596"/>
      <c r="BL236" s="596"/>
      <c r="BM236" s="596"/>
      <c r="BN236" s="596"/>
      <c r="BO236" s="596"/>
      <c r="BP236" s="596"/>
      <c r="BQ236" s="596"/>
      <c r="BR236" s="596"/>
      <c r="BS236" s="596"/>
      <c r="BT236" s="596"/>
    </row>
    <row r="237" spans="1:72" ht="15">
      <c r="A237" s="539"/>
      <c r="B237" s="539"/>
      <c r="C237" s="539"/>
      <c r="D237" s="539"/>
      <c r="E237" s="539"/>
      <c r="F237" s="539"/>
      <c r="G237" s="539"/>
      <c r="H237" s="539"/>
      <c r="I237" s="539"/>
      <c r="J237" s="539"/>
      <c r="K237" s="539"/>
      <c r="L237" s="539"/>
      <c r="M237" s="539"/>
      <c r="N237" s="539"/>
      <c r="O237" s="539"/>
      <c r="P237" s="539"/>
      <c r="Q237" s="539"/>
      <c r="R237" s="539"/>
      <c r="S237" s="557"/>
      <c r="T237" s="557"/>
      <c r="U237" s="557"/>
      <c r="V237" s="557"/>
      <c r="W237" s="539"/>
      <c r="X237" s="539"/>
      <c r="Y237" s="557"/>
      <c r="Z237" s="557"/>
      <c r="AA237" s="539"/>
      <c r="AB237" s="539"/>
      <c r="AC237" s="539"/>
      <c r="AD237" s="557"/>
      <c r="AE237" s="557"/>
      <c r="AF237" s="557"/>
      <c r="AG237" s="557"/>
      <c r="AH237" s="557"/>
      <c r="AI237" s="557"/>
      <c r="AJ237" s="557"/>
      <c r="AK237" s="557"/>
      <c r="AL237" s="557"/>
      <c r="AM237" s="557"/>
      <c r="AN237" s="557"/>
      <c r="AO237" s="557"/>
      <c r="AP237" s="557"/>
      <c r="AQ237" s="557"/>
      <c r="AR237" s="557"/>
      <c r="AS237" s="557"/>
      <c r="AT237" s="557"/>
      <c r="AU237" s="557"/>
      <c r="AV237" s="557"/>
      <c r="AW237" s="557"/>
      <c r="AX237" s="557"/>
      <c r="AY237" s="557"/>
      <c r="AZ237" s="557"/>
      <c r="BA237" s="557"/>
      <c r="BB237" s="557"/>
      <c r="BC237" s="557"/>
      <c r="BD237" s="553"/>
      <c r="BE237" s="596"/>
      <c r="BF237" s="596"/>
      <c r="BG237" s="596"/>
      <c r="BH237" s="596"/>
      <c r="BI237" s="596"/>
      <c r="BJ237" s="596"/>
      <c r="BK237" s="596"/>
      <c r="BL237" s="596"/>
      <c r="BM237" s="596"/>
      <c r="BN237" s="596"/>
      <c r="BO237" s="596"/>
      <c r="BP237" s="596"/>
      <c r="BQ237" s="596"/>
      <c r="BR237" s="596"/>
      <c r="BS237" s="596"/>
      <c r="BT237" s="596"/>
    </row>
    <row r="238" spans="1:72" ht="15">
      <c r="A238" s="539"/>
      <c r="B238" s="539"/>
      <c r="C238" s="539"/>
      <c r="D238" s="539"/>
      <c r="E238" s="539"/>
      <c r="F238" s="539"/>
      <c r="G238" s="539"/>
      <c r="H238" s="539"/>
      <c r="I238" s="539"/>
      <c r="J238" s="539"/>
      <c r="K238" s="539"/>
      <c r="L238" s="539"/>
      <c r="M238" s="539"/>
      <c r="N238" s="539"/>
      <c r="O238" s="539"/>
      <c r="P238" s="539"/>
      <c r="Q238" s="539"/>
      <c r="R238" s="539"/>
      <c r="S238" s="557"/>
      <c r="T238" s="557"/>
      <c r="U238" s="557"/>
      <c r="V238" s="557"/>
      <c r="W238" s="539"/>
      <c r="X238" s="539"/>
      <c r="Y238" s="557"/>
      <c r="Z238" s="557"/>
      <c r="AA238" s="539"/>
      <c r="AB238" s="539"/>
      <c r="AC238" s="539"/>
      <c r="AD238" s="557"/>
      <c r="AE238" s="557"/>
      <c r="AF238" s="557"/>
      <c r="AG238" s="557"/>
      <c r="AH238" s="557"/>
      <c r="AI238" s="557"/>
      <c r="AJ238" s="557"/>
      <c r="AK238" s="557"/>
      <c r="AL238" s="557"/>
      <c r="AM238" s="557"/>
      <c r="AN238" s="557"/>
      <c r="AO238" s="557"/>
      <c r="AP238" s="557"/>
      <c r="AQ238" s="557"/>
      <c r="AR238" s="557"/>
      <c r="AS238" s="557"/>
      <c r="AT238" s="557"/>
      <c r="AU238" s="557"/>
      <c r="AV238" s="557"/>
      <c r="AW238" s="557"/>
      <c r="AX238" s="557"/>
      <c r="AY238" s="557"/>
      <c r="AZ238" s="557"/>
      <c r="BA238" s="557"/>
      <c r="BB238" s="557"/>
      <c r="BC238" s="557"/>
      <c r="BD238" s="553"/>
      <c r="BE238" s="596"/>
      <c r="BF238" s="596"/>
      <c r="BG238" s="596"/>
      <c r="BH238" s="596"/>
      <c r="BI238" s="596"/>
      <c r="BJ238" s="596"/>
      <c r="BK238" s="596"/>
      <c r="BL238" s="596"/>
      <c r="BM238" s="596"/>
      <c r="BN238" s="596"/>
      <c r="BO238" s="596"/>
      <c r="BP238" s="596"/>
      <c r="BQ238" s="596"/>
      <c r="BR238" s="596"/>
      <c r="BS238" s="596"/>
      <c r="BT238" s="596"/>
    </row>
    <row r="239" spans="1:72" ht="15">
      <c r="A239" s="539"/>
      <c r="B239" s="539"/>
      <c r="C239" s="539"/>
      <c r="D239" s="539"/>
      <c r="E239" s="539"/>
      <c r="F239" s="539"/>
      <c r="G239" s="539"/>
      <c r="H239" s="539"/>
      <c r="I239" s="539"/>
      <c r="J239" s="539"/>
      <c r="K239" s="539"/>
      <c r="L239" s="539"/>
      <c r="M239" s="539"/>
      <c r="N239" s="539"/>
      <c r="O239" s="539"/>
      <c r="P239" s="539"/>
      <c r="Q239" s="539"/>
      <c r="R239" s="539"/>
      <c r="S239" s="557"/>
      <c r="T239" s="557"/>
      <c r="U239" s="557"/>
      <c r="V239" s="557"/>
      <c r="W239" s="539"/>
      <c r="X239" s="539"/>
      <c r="Y239" s="557"/>
      <c r="Z239" s="557"/>
      <c r="AA239" s="539"/>
      <c r="AB239" s="539"/>
      <c r="AC239" s="539"/>
      <c r="AD239" s="557"/>
      <c r="AE239" s="557"/>
      <c r="AF239" s="557"/>
      <c r="AG239" s="557"/>
      <c r="AH239" s="557"/>
      <c r="AI239" s="557"/>
      <c r="AJ239" s="557"/>
      <c r="AK239" s="557"/>
      <c r="AL239" s="557"/>
      <c r="AM239" s="557"/>
      <c r="AN239" s="557"/>
      <c r="AO239" s="557"/>
      <c r="AP239" s="557"/>
      <c r="AQ239" s="557"/>
      <c r="AR239" s="557"/>
      <c r="AS239" s="557"/>
      <c r="AT239" s="557"/>
      <c r="AU239" s="557"/>
      <c r="AV239" s="557"/>
      <c r="AW239" s="557"/>
      <c r="AX239" s="557"/>
      <c r="AY239" s="557"/>
      <c r="AZ239" s="557"/>
      <c r="BA239" s="557"/>
      <c r="BB239" s="557"/>
      <c r="BC239" s="557"/>
      <c r="BD239" s="553"/>
      <c r="BE239" s="596"/>
      <c r="BF239" s="596"/>
      <c r="BG239" s="596"/>
      <c r="BH239" s="596"/>
      <c r="BI239" s="596"/>
      <c r="BJ239" s="596"/>
      <c r="BK239" s="596"/>
      <c r="BL239" s="596"/>
      <c r="BM239" s="596"/>
      <c r="BN239" s="596"/>
      <c r="BO239" s="596"/>
      <c r="BP239" s="596"/>
      <c r="BQ239" s="596"/>
      <c r="BR239" s="596"/>
      <c r="BS239" s="596"/>
      <c r="BT239" s="596"/>
    </row>
    <row r="240" spans="1:72" ht="15">
      <c r="A240" s="539"/>
      <c r="B240" s="539"/>
      <c r="C240" s="539"/>
      <c r="D240" s="539"/>
      <c r="E240" s="539"/>
      <c r="F240" s="539"/>
      <c r="G240" s="539"/>
      <c r="H240" s="539"/>
      <c r="I240" s="539"/>
      <c r="J240" s="539"/>
      <c r="K240" s="539"/>
      <c r="L240" s="539"/>
      <c r="M240" s="539"/>
      <c r="N240" s="539"/>
      <c r="O240" s="539"/>
      <c r="P240" s="539"/>
      <c r="Q240" s="539"/>
      <c r="R240" s="539"/>
      <c r="S240" s="557"/>
      <c r="T240" s="557"/>
      <c r="U240" s="557"/>
      <c r="V240" s="557"/>
      <c r="W240" s="539"/>
      <c r="X240" s="539"/>
      <c r="Y240" s="557"/>
      <c r="Z240" s="557"/>
      <c r="AA240" s="539"/>
      <c r="AB240" s="539"/>
      <c r="AC240" s="539"/>
      <c r="AD240" s="557"/>
      <c r="AE240" s="557"/>
      <c r="AF240" s="557"/>
      <c r="AG240" s="557"/>
      <c r="AH240" s="557"/>
      <c r="AI240" s="557"/>
      <c r="AJ240" s="557"/>
      <c r="AK240" s="557"/>
      <c r="AL240" s="557"/>
      <c r="AM240" s="557"/>
      <c r="AN240" s="557"/>
      <c r="AO240" s="557"/>
      <c r="AP240" s="557"/>
      <c r="AQ240" s="557"/>
      <c r="AR240" s="557"/>
      <c r="AS240" s="557"/>
      <c r="AT240" s="557"/>
      <c r="AU240" s="557"/>
      <c r="AV240" s="557"/>
      <c r="AW240" s="557"/>
      <c r="AX240" s="557"/>
      <c r="AY240" s="557"/>
      <c r="AZ240" s="557"/>
      <c r="BA240" s="557"/>
      <c r="BB240" s="557"/>
      <c r="BC240" s="557"/>
      <c r="BD240" s="553"/>
      <c r="BE240" s="596"/>
      <c r="BF240" s="596"/>
      <c r="BG240" s="596"/>
      <c r="BH240" s="596"/>
      <c r="BI240" s="596"/>
      <c r="BJ240" s="596"/>
      <c r="BK240" s="596"/>
      <c r="BL240" s="596"/>
      <c r="BM240" s="596"/>
      <c r="BN240" s="596"/>
      <c r="BO240" s="596"/>
      <c r="BP240" s="596"/>
      <c r="BQ240" s="596"/>
      <c r="BR240" s="596"/>
      <c r="BS240" s="596"/>
      <c r="BT240" s="596"/>
    </row>
    <row r="241" spans="1:72" ht="15">
      <c r="A241" s="539"/>
      <c r="B241" s="539"/>
      <c r="C241" s="539"/>
      <c r="D241" s="539"/>
      <c r="E241" s="539"/>
      <c r="F241" s="539"/>
      <c r="G241" s="539"/>
      <c r="H241" s="539"/>
      <c r="I241" s="539"/>
      <c r="J241" s="539"/>
      <c r="K241" s="539"/>
      <c r="L241" s="539"/>
      <c r="M241" s="539"/>
      <c r="N241" s="539"/>
      <c r="O241" s="539"/>
      <c r="P241" s="539"/>
      <c r="Q241" s="539"/>
      <c r="R241" s="539"/>
      <c r="S241" s="557"/>
      <c r="T241" s="557"/>
      <c r="U241" s="557"/>
      <c r="V241" s="557"/>
      <c r="W241" s="539"/>
      <c r="X241" s="539"/>
      <c r="Y241" s="557"/>
      <c r="Z241" s="557"/>
      <c r="AA241" s="539"/>
      <c r="AB241" s="539"/>
      <c r="AC241" s="539"/>
      <c r="AD241" s="557"/>
      <c r="AE241" s="557"/>
      <c r="AF241" s="557"/>
      <c r="AG241" s="557"/>
      <c r="AH241" s="557"/>
      <c r="AI241" s="557"/>
      <c r="AJ241" s="557"/>
      <c r="AK241" s="557"/>
      <c r="AL241" s="557"/>
      <c r="AM241" s="557"/>
      <c r="AN241" s="557"/>
      <c r="AO241" s="557"/>
      <c r="AP241" s="557"/>
      <c r="AQ241" s="557"/>
      <c r="AR241" s="557"/>
      <c r="AS241" s="557"/>
      <c r="AT241" s="557"/>
      <c r="AU241" s="557"/>
      <c r="AV241" s="557"/>
      <c r="AW241" s="557"/>
      <c r="AX241" s="557"/>
      <c r="AY241" s="557"/>
      <c r="AZ241" s="557"/>
      <c r="BA241" s="557"/>
      <c r="BB241" s="557"/>
      <c r="BC241" s="557"/>
      <c r="BD241" s="553"/>
      <c r="BE241" s="596"/>
      <c r="BF241" s="596"/>
      <c r="BG241" s="596"/>
      <c r="BH241" s="596"/>
      <c r="BI241" s="596"/>
      <c r="BJ241" s="596"/>
      <c r="BK241" s="596"/>
      <c r="BL241" s="596"/>
      <c r="BM241" s="596"/>
      <c r="BN241" s="596"/>
      <c r="BO241" s="596"/>
      <c r="BP241" s="596"/>
      <c r="BQ241" s="596"/>
      <c r="BR241" s="596"/>
      <c r="BS241" s="596"/>
      <c r="BT241" s="596"/>
    </row>
    <row r="242" spans="1:72" ht="15">
      <c r="A242" s="539"/>
      <c r="B242" s="539"/>
      <c r="C242" s="539"/>
      <c r="D242" s="539"/>
      <c r="E242" s="539"/>
      <c r="F242" s="539"/>
      <c r="G242" s="539"/>
      <c r="H242" s="539"/>
      <c r="I242" s="539"/>
      <c r="J242" s="539"/>
      <c r="K242" s="539"/>
      <c r="L242" s="539"/>
      <c r="M242" s="539"/>
      <c r="N242" s="539"/>
      <c r="O242" s="539"/>
      <c r="P242" s="539"/>
      <c r="Q242" s="539"/>
      <c r="R242" s="539"/>
      <c r="S242" s="557"/>
      <c r="T242" s="557"/>
      <c r="U242" s="557"/>
      <c r="V242" s="557"/>
      <c r="W242" s="539"/>
      <c r="X242" s="539"/>
      <c r="Y242" s="557"/>
      <c r="Z242" s="557"/>
      <c r="AA242" s="539"/>
      <c r="AB242" s="539"/>
      <c r="AC242" s="539"/>
      <c r="AD242" s="557"/>
      <c r="AE242" s="557"/>
      <c r="AF242" s="557"/>
      <c r="AG242" s="557"/>
      <c r="AH242" s="557"/>
      <c r="AI242" s="557"/>
      <c r="AJ242" s="557"/>
      <c r="AK242" s="557"/>
      <c r="AL242" s="557"/>
      <c r="AM242" s="557"/>
      <c r="AN242" s="557"/>
      <c r="AO242" s="557"/>
      <c r="AP242" s="557"/>
      <c r="AQ242" s="557"/>
      <c r="AR242" s="557"/>
      <c r="AS242" s="557"/>
      <c r="AT242" s="557"/>
      <c r="AU242" s="557"/>
      <c r="AV242" s="557"/>
      <c r="AW242" s="557"/>
      <c r="AX242" s="557"/>
      <c r="AY242" s="557"/>
      <c r="AZ242" s="557"/>
      <c r="BA242" s="557"/>
      <c r="BB242" s="557"/>
      <c r="BC242" s="557"/>
      <c r="BD242" s="553"/>
      <c r="BE242" s="596"/>
      <c r="BF242" s="596"/>
      <c r="BG242" s="596"/>
      <c r="BH242" s="596"/>
      <c r="BI242" s="596"/>
      <c r="BJ242" s="596"/>
      <c r="BK242" s="596"/>
      <c r="BL242" s="596"/>
      <c r="BM242" s="596"/>
      <c r="BN242" s="596"/>
      <c r="BO242" s="596"/>
      <c r="BP242" s="596"/>
      <c r="BQ242" s="596"/>
      <c r="BR242" s="596"/>
      <c r="BS242" s="596"/>
      <c r="BT242" s="596"/>
    </row>
    <row r="243" spans="1:72" ht="15">
      <c r="A243" s="539"/>
      <c r="B243" s="539"/>
      <c r="C243" s="539"/>
      <c r="D243" s="539"/>
      <c r="E243" s="539"/>
      <c r="F243" s="539"/>
      <c r="G243" s="539"/>
      <c r="H243" s="539"/>
      <c r="I243" s="539"/>
      <c r="J243" s="539"/>
      <c r="K243" s="539"/>
      <c r="L243" s="539"/>
      <c r="M243" s="539"/>
      <c r="N243" s="539"/>
      <c r="O243" s="539"/>
      <c r="P243" s="539"/>
      <c r="Q243" s="539"/>
      <c r="R243" s="539"/>
      <c r="S243" s="557"/>
      <c r="T243" s="557"/>
      <c r="U243" s="557"/>
      <c r="V243" s="557"/>
      <c r="W243" s="539"/>
      <c r="X243" s="539"/>
      <c r="Y243" s="557"/>
      <c r="Z243" s="557"/>
      <c r="AA243" s="539"/>
      <c r="AB243" s="539"/>
      <c r="AC243" s="539"/>
      <c r="AD243" s="557"/>
      <c r="AE243" s="557"/>
      <c r="AF243" s="557"/>
      <c r="AG243" s="557"/>
      <c r="AH243" s="557"/>
      <c r="AI243" s="557"/>
      <c r="AJ243" s="557"/>
      <c r="AK243" s="557"/>
      <c r="AL243" s="557"/>
      <c r="AM243" s="557"/>
      <c r="AN243" s="557"/>
      <c r="AO243" s="557"/>
      <c r="AP243" s="557"/>
      <c r="AQ243" s="557"/>
      <c r="AR243" s="557"/>
      <c r="AS243" s="557"/>
      <c r="AT243" s="557"/>
      <c r="AU243" s="557"/>
      <c r="AV243" s="557"/>
      <c r="AW243" s="557"/>
      <c r="AX243" s="557"/>
      <c r="AY243" s="557"/>
      <c r="AZ243" s="557"/>
      <c r="BA243" s="557"/>
      <c r="BB243" s="557"/>
      <c r="BC243" s="557"/>
      <c r="BD243" s="553"/>
      <c r="BE243" s="596"/>
      <c r="BF243" s="596"/>
      <c r="BG243" s="596"/>
      <c r="BH243" s="596"/>
      <c r="BI243" s="596"/>
      <c r="BJ243" s="596"/>
      <c r="BK243" s="596"/>
      <c r="BL243" s="596"/>
      <c r="BM243" s="596"/>
      <c r="BN243" s="596"/>
      <c r="BO243" s="596"/>
      <c r="BP243" s="596"/>
      <c r="BQ243" s="596"/>
      <c r="BR243" s="596"/>
      <c r="BS243" s="596"/>
      <c r="BT243" s="596"/>
    </row>
    <row r="244" spans="1:72" ht="15">
      <c r="A244" s="539"/>
      <c r="B244" s="539"/>
      <c r="C244" s="539"/>
      <c r="D244" s="539"/>
      <c r="E244" s="539"/>
      <c r="F244" s="539"/>
      <c r="G244" s="539"/>
      <c r="H244" s="539"/>
      <c r="I244" s="539"/>
      <c r="J244" s="539"/>
      <c r="K244" s="539"/>
      <c r="L244" s="539"/>
      <c r="M244" s="539"/>
      <c r="N244" s="539"/>
      <c r="O244" s="539"/>
      <c r="P244" s="539"/>
      <c r="Q244" s="539"/>
      <c r="R244" s="539"/>
      <c r="S244" s="557"/>
      <c r="T244" s="557"/>
      <c r="U244" s="557"/>
      <c r="V244" s="557"/>
      <c r="W244" s="539"/>
      <c r="X244" s="539"/>
      <c r="Y244" s="557"/>
      <c r="Z244" s="557"/>
      <c r="AA244" s="539"/>
      <c r="AB244" s="539"/>
      <c r="AC244" s="539"/>
      <c r="AD244" s="557"/>
      <c r="AE244" s="557"/>
      <c r="AF244" s="557"/>
      <c r="AG244" s="557"/>
      <c r="AH244" s="557"/>
      <c r="AI244" s="557"/>
      <c r="AJ244" s="557"/>
      <c r="AK244" s="557"/>
      <c r="AL244" s="557"/>
      <c r="AM244" s="557"/>
      <c r="AN244" s="557"/>
      <c r="AO244" s="557"/>
      <c r="AP244" s="557"/>
      <c r="AQ244" s="557"/>
      <c r="AR244" s="557"/>
      <c r="AS244" s="557"/>
      <c r="AT244" s="557"/>
      <c r="AU244" s="557"/>
      <c r="AV244" s="557"/>
      <c r="AW244" s="557"/>
      <c r="AX244" s="557"/>
      <c r="AY244" s="557"/>
      <c r="AZ244" s="557"/>
      <c r="BA244" s="557"/>
      <c r="BB244" s="557"/>
      <c r="BC244" s="557"/>
      <c r="BD244" s="553"/>
      <c r="BE244" s="596"/>
      <c r="BF244" s="596"/>
      <c r="BG244" s="596"/>
      <c r="BH244" s="596"/>
      <c r="BI244" s="596"/>
      <c r="BJ244" s="596"/>
      <c r="BK244" s="596"/>
      <c r="BL244" s="596"/>
      <c r="BM244" s="596"/>
      <c r="BN244" s="596"/>
      <c r="BO244" s="596"/>
      <c r="BP244" s="596"/>
      <c r="BQ244" s="596"/>
      <c r="BR244" s="596"/>
      <c r="BS244" s="596"/>
      <c r="BT244" s="596"/>
    </row>
    <row r="245" spans="1:72" ht="15">
      <c r="A245" s="539"/>
      <c r="B245" s="539"/>
      <c r="C245" s="539"/>
      <c r="D245" s="539"/>
      <c r="E245" s="539"/>
      <c r="F245" s="539"/>
      <c r="G245" s="539"/>
      <c r="H245" s="539"/>
      <c r="I245" s="539"/>
      <c r="J245" s="539"/>
      <c r="K245" s="539"/>
      <c r="L245" s="539"/>
      <c r="M245" s="539"/>
      <c r="N245" s="539"/>
      <c r="O245" s="539"/>
      <c r="P245" s="539"/>
      <c r="Q245" s="539"/>
      <c r="R245" s="539"/>
      <c r="S245" s="557"/>
      <c r="T245" s="557"/>
      <c r="U245" s="557"/>
      <c r="V245" s="557"/>
      <c r="W245" s="539"/>
      <c r="X245" s="539"/>
      <c r="Y245" s="557"/>
      <c r="Z245" s="557"/>
      <c r="AA245" s="539"/>
      <c r="AB245" s="539"/>
      <c r="AC245" s="539"/>
      <c r="AD245" s="557"/>
      <c r="AE245" s="557"/>
      <c r="AF245" s="557"/>
      <c r="AG245" s="557"/>
      <c r="AH245" s="557"/>
      <c r="AI245" s="557"/>
      <c r="AJ245" s="557"/>
      <c r="AK245" s="557"/>
      <c r="AL245" s="557"/>
      <c r="AM245" s="557"/>
      <c r="AN245" s="557"/>
      <c r="AO245" s="557"/>
      <c r="AP245" s="557"/>
      <c r="AQ245" s="557"/>
      <c r="AR245" s="557"/>
      <c r="AS245" s="557"/>
      <c r="AT245" s="557"/>
      <c r="AU245" s="557"/>
      <c r="AV245" s="557"/>
      <c r="AW245" s="557"/>
      <c r="AX245" s="557"/>
      <c r="AY245" s="557"/>
      <c r="AZ245" s="557"/>
      <c r="BA245" s="557"/>
      <c r="BB245" s="557"/>
      <c r="BC245" s="557"/>
      <c r="BD245" s="553"/>
      <c r="BE245" s="596"/>
      <c r="BF245" s="596"/>
      <c r="BG245" s="596"/>
      <c r="BH245" s="596"/>
      <c r="BI245" s="596"/>
      <c r="BJ245" s="596"/>
      <c r="BK245" s="596"/>
      <c r="BL245" s="596"/>
      <c r="BM245" s="596"/>
      <c r="BN245" s="596"/>
      <c r="BO245" s="596"/>
      <c r="BP245" s="596"/>
      <c r="BQ245" s="596"/>
      <c r="BR245" s="596"/>
      <c r="BS245" s="596"/>
      <c r="BT245" s="596"/>
    </row>
  </sheetData>
  <mergeCells count="187">
    <mergeCell ref="J105:M105"/>
    <mergeCell ref="J106:M106"/>
    <mergeCell ref="J107:M107"/>
    <mergeCell ref="J108:M108"/>
    <mergeCell ref="J100:M100"/>
    <mergeCell ref="J101:M101"/>
    <mergeCell ref="J102:M102"/>
    <mergeCell ref="J103:M103"/>
    <mergeCell ref="J104:M104"/>
    <mergeCell ref="J95:M95"/>
    <mergeCell ref="J96:M96"/>
    <mergeCell ref="J97:M97"/>
    <mergeCell ref="J98:M98"/>
    <mergeCell ref="J99:M99"/>
    <mergeCell ref="J90:M90"/>
    <mergeCell ref="J91:M91"/>
    <mergeCell ref="J92:M92"/>
    <mergeCell ref="J93:M93"/>
    <mergeCell ref="J94:M94"/>
    <mergeCell ref="J85:M85"/>
    <mergeCell ref="J86:M86"/>
    <mergeCell ref="J87:M87"/>
    <mergeCell ref="J88:M88"/>
    <mergeCell ref="J89:M89"/>
    <mergeCell ref="AE51:AG53"/>
    <mergeCell ref="AE54:AG56"/>
    <mergeCell ref="AB36:AD38"/>
    <mergeCell ref="AB39:AD41"/>
    <mergeCell ref="AB42:AD44"/>
    <mergeCell ref="J74:M74"/>
    <mergeCell ref="J63:M63"/>
    <mergeCell ref="J67:M67"/>
    <mergeCell ref="AB45:AD47"/>
    <mergeCell ref="AB48:AD50"/>
    <mergeCell ref="Y42:AA44"/>
    <mergeCell ref="Y45:AA47"/>
    <mergeCell ref="Y48:AA50"/>
    <mergeCell ref="J83:M83"/>
    <mergeCell ref="J84:M84"/>
    <mergeCell ref="M48:O50"/>
    <mergeCell ref="V36:X38"/>
    <mergeCell ref="V39:X41"/>
    <mergeCell ref="V42:X44"/>
    <mergeCell ref="AN51:AP53"/>
    <mergeCell ref="AN54:AP56"/>
    <mergeCell ref="J60:M60"/>
    <mergeCell ref="AH51:AJ53"/>
    <mergeCell ref="AH54:AJ56"/>
    <mergeCell ref="V51:X53"/>
    <mergeCell ref="V54:X56"/>
    <mergeCell ref="S51:U53"/>
    <mergeCell ref="S54:U56"/>
    <mergeCell ref="Y51:AA53"/>
    <mergeCell ref="Y54:AA56"/>
    <mergeCell ref="M51:O53"/>
    <mergeCell ref="M54:O56"/>
    <mergeCell ref="P54:R56"/>
    <mergeCell ref="AK36:AM38"/>
    <mergeCell ref="AK39:AM41"/>
    <mergeCell ref="AK42:AM44"/>
    <mergeCell ref="AK45:AM47"/>
    <mergeCell ref="AK48:AM50"/>
    <mergeCell ref="AK51:AM53"/>
    <mergeCell ref="AK54:AM56"/>
    <mergeCell ref="AB51:AD53"/>
    <mergeCell ref="AB54:AD56"/>
    <mergeCell ref="AE36:AG38"/>
    <mergeCell ref="AE39:AG41"/>
    <mergeCell ref="AE42:AG44"/>
    <mergeCell ref="AE45:AG47"/>
    <mergeCell ref="AE48:AG50"/>
    <mergeCell ref="AH36:AJ38"/>
    <mergeCell ref="V45:X47"/>
    <mergeCell ref="V48:X50"/>
    <mergeCell ref="P51:R53"/>
    <mergeCell ref="AH39:AJ41"/>
    <mergeCell ref="AH42:AJ44"/>
    <mergeCell ref="AH45:AJ47"/>
    <mergeCell ref="AH48:AJ50"/>
    <mergeCell ref="P45:R47"/>
    <mergeCell ref="P48:R50"/>
    <mergeCell ref="J36:L38"/>
    <mergeCell ref="M36:O38"/>
    <mergeCell ref="G36:I38"/>
    <mergeCell ref="P36:R38"/>
    <mergeCell ref="G51:I53"/>
    <mergeCell ref="G54:I56"/>
    <mergeCell ref="J39:L41"/>
    <mergeCell ref="J42:L44"/>
    <mergeCell ref="J45:L47"/>
    <mergeCell ref="M39:O41"/>
    <mergeCell ref="P42:R44"/>
    <mergeCell ref="G39:I41"/>
    <mergeCell ref="G42:I44"/>
    <mergeCell ref="P39:R41"/>
    <mergeCell ref="J48:L50"/>
    <mergeCell ref="J51:L53"/>
    <mergeCell ref="J54:L56"/>
    <mergeCell ref="M42:O44"/>
    <mergeCell ref="M45:O47"/>
    <mergeCell ref="G33:I35"/>
    <mergeCell ref="E18:O18"/>
    <mergeCell ref="P18:AA18"/>
    <mergeCell ref="E22:O22"/>
    <mergeCell ref="P22:AA22"/>
    <mergeCell ref="E26:Q28"/>
    <mergeCell ref="E29:Q30"/>
    <mergeCell ref="R26:AI28"/>
    <mergeCell ref="R29:AI30"/>
    <mergeCell ref="J78:M78"/>
    <mergeCell ref="A5:BA5"/>
    <mergeCell ref="AH33:AJ35"/>
    <mergeCell ref="AK33:AM35"/>
    <mergeCell ref="AN33:AP35"/>
    <mergeCell ref="S33:U35"/>
    <mergeCell ref="V33:X35"/>
    <mergeCell ref="Y33:AA35"/>
    <mergeCell ref="AB33:AD35"/>
    <mergeCell ref="AE33:AG35"/>
    <mergeCell ref="E33:F35"/>
    <mergeCell ref="E54:F56"/>
    <mergeCell ref="E42:F44"/>
    <mergeCell ref="E45:F47"/>
    <mergeCell ref="E48:F50"/>
    <mergeCell ref="E51:F53"/>
    <mergeCell ref="G45:I47"/>
    <mergeCell ref="G48:I50"/>
    <mergeCell ref="C11:I12"/>
    <mergeCell ref="C14:AY16"/>
    <mergeCell ref="S36:U38"/>
    <mergeCell ref="S39:U41"/>
    <mergeCell ref="P33:R35"/>
    <mergeCell ref="M33:O35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BB5:BC5"/>
    <mergeCell ref="AV2:AY2"/>
    <mergeCell ref="AZ2:BC3"/>
    <mergeCell ref="A3:H3"/>
    <mergeCell ref="I3:L3"/>
    <mergeCell ref="M3:W3"/>
    <mergeCell ref="X3:Z3"/>
    <mergeCell ref="BF8:BH8"/>
    <mergeCell ref="AB22:AW22"/>
    <mergeCell ref="AA3:AR3"/>
    <mergeCell ref="AS3:AU3"/>
    <mergeCell ref="AV3:AY3"/>
    <mergeCell ref="J8:M8"/>
    <mergeCell ref="J7:M7"/>
    <mergeCell ref="E71:S71"/>
    <mergeCell ref="AB18:AW18"/>
    <mergeCell ref="E19:O19"/>
    <mergeCell ref="P19:AA19"/>
    <mergeCell ref="AB19:AW19"/>
    <mergeCell ref="E20:O20"/>
    <mergeCell ref="P20:AA20"/>
    <mergeCell ref="AB20:AW20"/>
    <mergeCell ref="E21:O21"/>
    <mergeCell ref="P21:AA21"/>
    <mergeCell ref="AB21:AW21"/>
    <mergeCell ref="E39:F41"/>
    <mergeCell ref="E36:F38"/>
    <mergeCell ref="S42:U44"/>
    <mergeCell ref="S45:U47"/>
    <mergeCell ref="S48:U50"/>
    <mergeCell ref="AN36:AP38"/>
    <mergeCell ref="AN39:AP41"/>
    <mergeCell ref="AN42:AP44"/>
    <mergeCell ref="AN45:AP47"/>
    <mergeCell ref="AN48:AP50"/>
    <mergeCell ref="Y36:AA38"/>
    <mergeCell ref="Y39:AA41"/>
    <mergeCell ref="J33:L35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A669-EFC7-466B-8D95-2F2BB5683DD5}">
  <sheetPr>
    <pageSetUpPr fitToPage="1"/>
  </sheetPr>
  <dimension ref="A1:BZ32"/>
  <sheetViews>
    <sheetView showGridLines="0" view="pageBreakPreview" zoomScale="90" zoomScaleNormal="70" zoomScaleSheetLayoutView="90" workbookViewId="0">
      <selection sqref="A1:I1"/>
    </sheetView>
  </sheetViews>
  <sheetFormatPr defaultColWidth="2.54296875" defaultRowHeight="15"/>
  <cols>
    <col min="1" max="10" width="2.54296875" style="606" customWidth="1"/>
    <col min="11" max="16" width="3.26953125" style="606" customWidth="1"/>
    <col min="17" max="27" width="2.54296875" style="606"/>
    <col min="28" max="43" width="2.453125" style="679"/>
    <col min="44" max="52" width="2.54296875" style="606"/>
    <col min="53" max="53" width="2.54296875" style="606" customWidth="1"/>
    <col min="54" max="239" width="2.54296875" style="606"/>
    <col min="240" max="240" width="4" style="606" customWidth="1"/>
    <col min="241" max="272" width="2.54296875" style="606"/>
    <col min="273" max="273" width="2.54296875" style="606" customWidth="1"/>
    <col min="274" max="495" width="2.54296875" style="606"/>
    <col min="496" max="496" width="4" style="606" customWidth="1"/>
    <col min="497" max="528" width="2.54296875" style="606"/>
    <col min="529" max="529" width="2.54296875" style="606" customWidth="1"/>
    <col min="530" max="751" width="2.54296875" style="606"/>
    <col min="752" max="752" width="4" style="606" customWidth="1"/>
    <col min="753" max="784" width="2.54296875" style="606"/>
    <col min="785" max="785" width="2.54296875" style="606" customWidth="1"/>
    <col min="786" max="1007" width="2.54296875" style="606"/>
    <col min="1008" max="1008" width="4" style="606" customWidth="1"/>
    <col min="1009" max="1040" width="2.54296875" style="606"/>
    <col min="1041" max="1041" width="2.54296875" style="606" customWidth="1"/>
    <col min="1042" max="1263" width="2.54296875" style="606"/>
    <col min="1264" max="1264" width="4" style="606" customWidth="1"/>
    <col min="1265" max="1296" width="2.54296875" style="606"/>
    <col min="1297" max="1297" width="2.54296875" style="606" customWidth="1"/>
    <col min="1298" max="1519" width="2.54296875" style="606"/>
    <col min="1520" max="1520" width="4" style="606" customWidth="1"/>
    <col min="1521" max="1552" width="2.54296875" style="606"/>
    <col min="1553" max="1553" width="2.54296875" style="606" customWidth="1"/>
    <col min="1554" max="1775" width="2.54296875" style="606"/>
    <col min="1776" max="1776" width="4" style="606" customWidth="1"/>
    <col min="1777" max="1808" width="2.54296875" style="606"/>
    <col min="1809" max="1809" width="2.54296875" style="606" customWidth="1"/>
    <col min="1810" max="2031" width="2.54296875" style="606"/>
    <col min="2032" max="2032" width="4" style="606" customWidth="1"/>
    <col min="2033" max="2064" width="2.54296875" style="606"/>
    <col min="2065" max="2065" width="2.54296875" style="606" customWidth="1"/>
    <col min="2066" max="2287" width="2.54296875" style="606"/>
    <col min="2288" max="2288" width="4" style="606" customWidth="1"/>
    <col min="2289" max="2320" width="2.54296875" style="606"/>
    <col min="2321" max="2321" width="2.54296875" style="606" customWidth="1"/>
    <col min="2322" max="2543" width="2.54296875" style="606"/>
    <col min="2544" max="2544" width="4" style="606" customWidth="1"/>
    <col min="2545" max="2576" width="2.54296875" style="606"/>
    <col min="2577" max="2577" width="2.54296875" style="606" customWidth="1"/>
    <col min="2578" max="2799" width="2.54296875" style="606"/>
    <col min="2800" max="2800" width="4" style="606" customWidth="1"/>
    <col min="2801" max="2832" width="2.54296875" style="606"/>
    <col min="2833" max="2833" width="2.54296875" style="606" customWidth="1"/>
    <col min="2834" max="3055" width="2.54296875" style="606"/>
    <col min="3056" max="3056" width="4" style="606" customWidth="1"/>
    <col min="3057" max="3088" width="2.54296875" style="606"/>
    <col min="3089" max="3089" width="2.54296875" style="606" customWidth="1"/>
    <col min="3090" max="3311" width="2.54296875" style="606"/>
    <col min="3312" max="3312" width="4" style="606" customWidth="1"/>
    <col min="3313" max="3344" width="2.54296875" style="606"/>
    <col min="3345" max="3345" width="2.54296875" style="606" customWidth="1"/>
    <col min="3346" max="3567" width="2.54296875" style="606"/>
    <col min="3568" max="3568" width="4" style="606" customWidth="1"/>
    <col min="3569" max="3600" width="2.54296875" style="606"/>
    <col min="3601" max="3601" width="2.54296875" style="606" customWidth="1"/>
    <col min="3602" max="3823" width="2.54296875" style="606"/>
    <col min="3824" max="3824" width="4" style="606" customWidth="1"/>
    <col min="3825" max="3856" width="2.54296875" style="606"/>
    <col min="3857" max="3857" width="2.54296875" style="606" customWidth="1"/>
    <col min="3858" max="4079" width="2.54296875" style="606"/>
    <col min="4080" max="4080" width="4" style="606" customWidth="1"/>
    <col min="4081" max="4112" width="2.54296875" style="606"/>
    <col min="4113" max="4113" width="2.54296875" style="606" customWidth="1"/>
    <col min="4114" max="4335" width="2.54296875" style="606"/>
    <col min="4336" max="4336" width="4" style="606" customWidth="1"/>
    <col min="4337" max="4368" width="2.54296875" style="606"/>
    <col min="4369" max="4369" width="2.54296875" style="606" customWidth="1"/>
    <col min="4370" max="4591" width="2.54296875" style="606"/>
    <col min="4592" max="4592" width="4" style="606" customWidth="1"/>
    <col min="4593" max="4624" width="2.54296875" style="606"/>
    <col min="4625" max="4625" width="2.54296875" style="606" customWidth="1"/>
    <col min="4626" max="4847" width="2.54296875" style="606"/>
    <col min="4848" max="4848" width="4" style="606" customWidth="1"/>
    <col min="4849" max="4880" width="2.54296875" style="606"/>
    <col min="4881" max="4881" width="2.54296875" style="606" customWidth="1"/>
    <col min="4882" max="5103" width="2.54296875" style="606"/>
    <col min="5104" max="5104" width="4" style="606" customWidth="1"/>
    <col min="5105" max="5136" width="2.54296875" style="606"/>
    <col min="5137" max="5137" width="2.54296875" style="606" customWidth="1"/>
    <col min="5138" max="5359" width="2.54296875" style="606"/>
    <col min="5360" max="5360" width="4" style="606" customWidth="1"/>
    <col min="5361" max="5392" width="2.54296875" style="606"/>
    <col min="5393" max="5393" width="2.54296875" style="606" customWidth="1"/>
    <col min="5394" max="5615" width="2.54296875" style="606"/>
    <col min="5616" max="5616" width="4" style="606" customWidth="1"/>
    <col min="5617" max="5648" width="2.54296875" style="606"/>
    <col min="5649" max="5649" width="2.54296875" style="606" customWidth="1"/>
    <col min="5650" max="5871" width="2.54296875" style="606"/>
    <col min="5872" max="5872" width="4" style="606" customWidth="1"/>
    <col min="5873" max="5904" width="2.54296875" style="606"/>
    <col min="5905" max="5905" width="2.54296875" style="606" customWidth="1"/>
    <col min="5906" max="6127" width="2.54296875" style="606"/>
    <col min="6128" max="6128" width="4" style="606" customWidth="1"/>
    <col min="6129" max="6160" width="2.54296875" style="606"/>
    <col min="6161" max="6161" width="2.54296875" style="606" customWidth="1"/>
    <col min="6162" max="6383" width="2.54296875" style="606"/>
    <col min="6384" max="6384" width="4" style="606" customWidth="1"/>
    <col min="6385" max="6416" width="2.54296875" style="606"/>
    <col min="6417" max="6417" width="2.54296875" style="606" customWidth="1"/>
    <col min="6418" max="6639" width="2.54296875" style="606"/>
    <col min="6640" max="6640" width="4" style="606" customWidth="1"/>
    <col min="6641" max="6672" width="2.54296875" style="606"/>
    <col min="6673" max="6673" width="2.54296875" style="606" customWidth="1"/>
    <col min="6674" max="6895" width="2.54296875" style="606"/>
    <col min="6896" max="6896" width="4" style="606" customWidth="1"/>
    <col min="6897" max="6928" width="2.54296875" style="606"/>
    <col min="6929" max="6929" width="2.54296875" style="606" customWidth="1"/>
    <col min="6930" max="7151" width="2.54296875" style="606"/>
    <col min="7152" max="7152" width="4" style="606" customWidth="1"/>
    <col min="7153" max="7184" width="2.54296875" style="606"/>
    <col min="7185" max="7185" width="2.54296875" style="606" customWidth="1"/>
    <col min="7186" max="7407" width="2.54296875" style="606"/>
    <col min="7408" max="7408" width="4" style="606" customWidth="1"/>
    <col min="7409" max="7440" width="2.54296875" style="606"/>
    <col min="7441" max="7441" width="2.54296875" style="606" customWidth="1"/>
    <col min="7442" max="7663" width="2.54296875" style="606"/>
    <col min="7664" max="7664" width="4" style="606" customWidth="1"/>
    <col min="7665" max="7696" width="2.54296875" style="606"/>
    <col min="7697" max="7697" width="2.54296875" style="606" customWidth="1"/>
    <col min="7698" max="7919" width="2.54296875" style="606"/>
    <col min="7920" max="7920" width="4" style="606" customWidth="1"/>
    <col min="7921" max="7952" width="2.54296875" style="606"/>
    <col min="7953" max="7953" width="2.54296875" style="606" customWidth="1"/>
    <col min="7954" max="8175" width="2.54296875" style="606"/>
    <col min="8176" max="8176" width="4" style="606" customWidth="1"/>
    <col min="8177" max="8208" width="2.54296875" style="606"/>
    <col min="8209" max="8209" width="2.54296875" style="606" customWidth="1"/>
    <col min="8210" max="8431" width="2.54296875" style="606"/>
    <col min="8432" max="8432" width="4" style="606" customWidth="1"/>
    <col min="8433" max="8464" width="2.54296875" style="606"/>
    <col min="8465" max="8465" width="2.54296875" style="606" customWidth="1"/>
    <col min="8466" max="8687" width="2.54296875" style="606"/>
    <col min="8688" max="8688" width="4" style="606" customWidth="1"/>
    <col min="8689" max="8720" width="2.54296875" style="606"/>
    <col min="8721" max="8721" width="2.54296875" style="606" customWidth="1"/>
    <col min="8722" max="8943" width="2.54296875" style="606"/>
    <col min="8944" max="8944" width="4" style="606" customWidth="1"/>
    <col min="8945" max="8976" width="2.54296875" style="606"/>
    <col min="8977" max="8977" width="2.54296875" style="606" customWidth="1"/>
    <col min="8978" max="9199" width="2.54296875" style="606"/>
    <col min="9200" max="9200" width="4" style="606" customWidth="1"/>
    <col min="9201" max="9232" width="2.54296875" style="606"/>
    <col min="9233" max="9233" width="2.54296875" style="606" customWidth="1"/>
    <col min="9234" max="9455" width="2.54296875" style="606"/>
    <col min="9456" max="9456" width="4" style="606" customWidth="1"/>
    <col min="9457" max="9488" width="2.54296875" style="606"/>
    <col min="9489" max="9489" width="2.54296875" style="606" customWidth="1"/>
    <col min="9490" max="9711" width="2.54296875" style="606"/>
    <col min="9712" max="9712" width="4" style="606" customWidth="1"/>
    <col min="9713" max="9744" width="2.54296875" style="606"/>
    <col min="9745" max="9745" width="2.54296875" style="606" customWidth="1"/>
    <col min="9746" max="9967" width="2.54296875" style="606"/>
    <col min="9968" max="9968" width="4" style="606" customWidth="1"/>
    <col min="9969" max="10000" width="2.54296875" style="606"/>
    <col min="10001" max="10001" width="2.54296875" style="606" customWidth="1"/>
    <col min="10002" max="10223" width="2.54296875" style="606"/>
    <col min="10224" max="10224" width="4" style="606" customWidth="1"/>
    <col min="10225" max="10256" width="2.54296875" style="606"/>
    <col min="10257" max="10257" width="2.54296875" style="606" customWidth="1"/>
    <col min="10258" max="10479" width="2.54296875" style="606"/>
    <col min="10480" max="10480" width="4" style="606" customWidth="1"/>
    <col min="10481" max="10512" width="2.54296875" style="606"/>
    <col min="10513" max="10513" width="2.54296875" style="606" customWidth="1"/>
    <col min="10514" max="10735" width="2.54296875" style="606"/>
    <col min="10736" max="10736" width="4" style="606" customWidth="1"/>
    <col min="10737" max="10768" width="2.54296875" style="606"/>
    <col min="10769" max="10769" width="2.54296875" style="606" customWidth="1"/>
    <col min="10770" max="10991" width="2.54296875" style="606"/>
    <col min="10992" max="10992" width="4" style="606" customWidth="1"/>
    <col min="10993" max="11024" width="2.54296875" style="606"/>
    <col min="11025" max="11025" width="2.54296875" style="606" customWidth="1"/>
    <col min="11026" max="11247" width="2.54296875" style="606"/>
    <col min="11248" max="11248" width="4" style="606" customWidth="1"/>
    <col min="11249" max="11280" width="2.54296875" style="606"/>
    <col min="11281" max="11281" width="2.54296875" style="606" customWidth="1"/>
    <col min="11282" max="11503" width="2.54296875" style="606"/>
    <col min="11504" max="11504" width="4" style="606" customWidth="1"/>
    <col min="11505" max="11536" width="2.54296875" style="606"/>
    <col min="11537" max="11537" width="2.54296875" style="606" customWidth="1"/>
    <col min="11538" max="11759" width="2.54296875" style="606"/>
    <col min="11760" max="11760" width="4" style="606" customWidth="1"/>
    <col min="11761" max="11792" width="2.54296875" style="606"/>
    <col min="11793" max="11793" width="2.54296875" style="606" customWidth="1"/>
    <col min="11794" max="12015" width="2.54296875" style="606"/>
    <col min="12016" max="12016" width="4" style="606" customWidth="1"/>
    <col min="12017" max="12048" width="2.54296875" style="606"/>
    <col min="12049" max="12049" width="2.54296875" style="606" customWidth="1"/>
    <col min="12050" max="12271" width="2.54296875" style="606"/>
    <col min="12272" max="12272" width="4" style="606" customWidth="1"/>
    <col min="12273" max="12304" width="2.54296875" style="606"/>
    <col min="12305" max="12305" width="2.54296875" style="606" customWidth="1"/>
    <col min="12306" max="12527" width="2.54296875" style="606"/>
    <col min="12528" max="12528" width="4" style="606" customWidth="1"/>
    <col min="12529" max="12560" width="2.54296875" style="606"/>
    <col min="12561" max="12561" width="2.54296875" style="606" customWidth="1"/>
    <col min="12562" max="12783" width="2.54296875" style="606"/>
    <col min="12784" max="12784" width="4" style="606" customWidth="1"/>
    <col min="12785" max="12816" width="2.54296875" style="606"/>
    <col min="12817" max="12817" width="2.54296875" style="606" customWidth="1"/>
    <col min="12818" max="13039" width="2.54296875" style="606"/>
    <col min="13040" max="13040" width="4" style="606" customWidth="1"/>
    <col min="13041" max="13072" width="2.54296875" style="606"/>
    <col min="13073" max="13073" width="2.54296875" style="606" customWidth="1"/>
    <col min="13074" max="13295" width="2.54296875" style="606"/>
    <col min="13296" max="13296" width="4" style="606" customWidth="1"/>
    <col min="13297" max="13328" width="2.54296875" style="606"/>
    <col min="13329" max="13329" width="2.54296875" style="606" customWidth="1"/>
    <col min="13330" max="13551" width="2.54296875" style="606"/>
    <col min="13552" max="13552" width="4" style="606" customWidth="1"/>
    <col min="13553" max="13584" width="2.54296875" style="606"/>
    <col min="13585" max="13585" width="2.54296875" style="606" customWidth="1"/>
    <col min="13586" max="13807" width="2.54296875" style="606"/>
    <col min="13808" max="13808" width="4" style="606" customWidth="1"/>
    <col min="13809" max="13840" width="2.54296875" style="606"/>
    <col min="13841" max="13841" width="2.54296875" style="606" customWidth="1"/>
    <col min="13842" max="14063" width="2.54296875" style="606"/>
    <col min="14064" max="14064" width="4" style="606" customWidth="1"/>
    <col min="14065" max="14096" width="2.54296875" style="606"/>
    <col min="14097" max="14097" width="2.54296875" style="606" customWidth="1"/>
    <col min="14098" max="14319" width="2.54296875" style="606"/>
    <col min="14320" max="14320" width="4" style="606" customWidth="1"/>
    <col min="14321" max="14352" width="2.54296875" style="606"/>
    <col min="14353" max="14353" width="2.54296875" style="606" customWidth="1"/>
    <col min="14354" max="14575" width="2.54296875" style="606"/>
    <col min="14576" max="14576" width="4" style="606" customWidth="1"/>
    <col min="14577" max="14608" width="2.54296875" style="606"/>
    <col min="14609" max="14609" width="2.54296875" style="606" customWidth="1"/>
    <col min="14610" max="14831" width="2.54296875" style="606"/>
    <col min="14832" max="14832" width="4" style="606" customWidth="1"/>
    <col min="14833" max="14864" width="2.54296875" style="606"/>
    <col min="14865" max="14865" width="2.54296875" style="606" customWidth="1"/>
    <col min="14866" max="15087" width="2.54296875" style="606"/>
    <col min="15088" max="15088" width="4" style="606" customWidth="1"/>
    <col min="15089" max="15120" width="2.54296875" style="606"/>
    <col min="15121" max="15121" width="2.54296875" style="606" customWidth="1"/>
    <col min="15122" max="15343" width="2.54296875" style="606"/>
    <col min="15344" max="15344" width="4" style="606" customWidth="1"/>
    <col min="15345" max="15376" width="2.54296875" style="606"/>
    <col min="15377" max="15377" width="2.54296875" style="606" customWidth="1"/>
    <col min="15378" max="15599" width="2.54296875" style="606"/>
    <col min="15600" max="15600" width="4" style="606" customWidth="1"/>
    <col min="15601" max="15632" width="2.54296875" style="606"/>
    <col min="15633" max="15633" width="2.54296875" style="606" customWidth="1"/>
    <col min="15634" max="15855" width="2.54296875" style="606"/>
    <col min="15856" max="15856" width="4" style="606" customWidth="1"/>
    <col min="15857" max="15888" width="2.54296875" style="606"/>
    <col min="15889" max="15889" width="2.54296875" style="606" customWidth="1"/>
    <col min="15890" max="16111" width="2.54296875" style="606"/>
    <col min="16112" max="16112" width="4" style="606" customWidth="1"/>
    <col min="16113" max="16144" width="2.54296875" style="606"/>
    <col min="16145" max="16145" width="2.54296875" style="606" customWidth="1"/>
    <col min="16146" max="16384" width="2.54296875" style="606"/>
  </cols>
  <sheetData>
    <row r="1" spans="1:78" ht="12.75" customHeight="1">
      <c r="A1" s="844" t="s">
        <v>306</v>
      </c>
      <c r="B1" s="844"/>
      <c r="C1" s="844"/>
      <c r="D1" s="844"/>
      <c r="E1" s="844"/>
      <c r="F1" s="844"/>
      <c r="G1" s="844"/>
      <c r="H1" s="844"/>
      <c r="I1" s="844"/>
      <c r="J1" s="604"/>
      <c r="K1" s="604"/>
      <c r="L1" s="604"/>
      <c r="M1" s="604"/>
      <c r="N1" s="604"/>
      <c r="O1" s="604"/>
      <c r="P1" s="604"/>
      <c r="Q1" s="604"/>
      <c r="R1" s="604"/>
      <c r="S1" s="604"/>
      <c r="T1" s="604"/>
      <c r="U1" s="604"/>
      <c r="V1" s="604"/>
      <c r="W1" s="604"/>
      <c r="X1" s="604"/>
      <c r="Y1" s="604"/>
      <c r="Z1" s="604"/>
      <c r="AA1" s="604"/>
      <c r="AB1" s="676"/>
      <c r="AC1" s="676"/>
      <c r="AD1" s="676"/>
      <c r="AE1" s="676"/>
      <c r="AF1" s="676"/>
      <c r="AG1" s="676"/>
      <c r="AH1" s="676"/>
      <c r="AI1" s="676"/>
      <c r="AJ1" s="676"/>
      <c r="AK1" s="676"/>
      <c r="AL1" s="676"/>
      <c r="AM1" s="676"/>
      <c r="AN1" s="676"/>
      <c r="AO1" s="676"/>
      <c r="AP1" s="676"/>
      <c r="AQ1" s="676"/>
      <c r="AR1" s="604"/>
      <c r="AS1" s="604"/>
      <c r="AT1" s="604"/>
      <c r="AU1" s="604"/>
      <c r="AV1" s="604"/>
      <c r="AW1" s="604"/>
      <c r="AX1" s="604"/>
      <c r="AY1" s="604"/>
      <c r="AZ1" s="604"/>
      <c r="BA1" s="604"/>
      <c r="BB1" s="604"/>
      <c r="BC1" s="604"/>
      <c r="BD1" s="604"/>
      <c r="BE1" s="604"/>
      <c r="BF1" s="604"/>
      <c r="BG1" s="604"/>
      <c r="BH1" s="604"/>
      <c r="BI1" s="604"/>
      <c r="BJ1" s="604"/>
      <c r="BK1" s="604"/>
      <c r="BL1" s="604"/>
      <c r="BM1" s="604"/>
      <c r="BN1" s="604"/>
      <c r="BO1" s="604"/>
      <c r="BP1" s="604"/>
      <c r="BQ1" s="604"/>
      <c r="BR1" s="604"/>
      <c r="BS1" s="604"/>
      <c r="BT1" s="604"/>
      <c r="BU1" s="604"/>
      <c r="BV1" s="604"/>
      <c r="BW1" s="604"/>
      <c r="BX1" s="604"/>
      <c r="BY1" s="605"/>
      <c r="BZ1" s="605"/>
    </row>
    <row r="2" spans="1:78" ht="12.75" customHeight="1">
      <c r="A2" s="845" t="s">
        <v>307</v>
      </c>
      <c r="B2" s="845"/>
      <c r="C2" s="845"/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6"/>
      <c r="R2" s="846"/>
      <c r="S2" s="846"/>
      <c r="T2" s="846"/>
      <c r="U2" s="846"/>
      <c r="V2" s="846"/>
      <c r="W2" s="846"/>
      <c r="X2" s="846"/>
      <c r="Y2" s="846"/>
      <c r="Z2" s="846"/>
      <c r="AA2" s="846"/>
      <c r="AB2" s="846"/>
      <c r="AC2" s="846"/>
      <c r="AD2" s="846"/>
      <c r="AE2" s="846"/>
      <c r="AF2" s="846"/>
      <c r="AG2" s="846"/>
      <c r="AH2" s="846"/>
      <c r="AI2" s="846"/>
      <c r="AJ2" s="846"/>
      <c r="AK2" s="846"/>
      <c r="AL2" s="846"/>
      <c r="AM2" s="846"/>
      <c r="AN2" s="846"/>
      <c r="AO2" s="846"/>
      <c r="AP2" s="846"/>
      <c r="AQ2" s="846"/>
      <c r="AR2" s="846"/>
      <c r="AS2" s="846"/>
      <c r="AT2" s="846"/>
      <c r="AU2" s="846"/>
      <c r="AV2" s="846"/>
      <c r="AW2" s="846"/>
      <c r="AX2" s="846"/>
      <c r="AY2" s="846"/>
      <c r="AZ2" s="846"/>
      <c r="BA2" s="846"/>
      <c r="BB2" s="846"/>
      <c r="BC2" s="846"/>
      <c r="BD2" s="846"/>
      <c r="BE2" s="846"/>
      <c r="BF2" s="846"/>
      <c r="BG2" s="846"/>
      <c r="BH2" s="846"/>
      <c r="BI2" s="846"/>
      <c r="BJ2" s="846"/>
      <c r="BK2" s="846"/>
      <c r="BL2" s="846"/>
      <c r="BM2" s="846"/>
      <c r="BN2" s="846"/>
      <c r="BO2" s="846"/>
      <c r="BP2" s="846"/>
      <c r="BQ2" s="846"/>
      <c r="BR2" s="846"/>
      <c r="BS2" s="846"/>
      <c r="BT2" s="846"/>
      <c r="BU2" s="846"/>
      <c r="BV2" s="846"/>
      <c r="BW2" s="846"/>
      <c r="BX2" s="846"/>
      <c r="BY2" s="846"/>
      <c r="BZ2" s="846"/>
    </row>
    <row r="3" spans="1:78" ht="27.75" customHeight="1">
      <c r="A3" s="848" t="s">
        <v>308</v>
      </c>
      <c r="B3" s="849"/>
      <c r="C3" s="849" t="s">
        <v>309</v>
      </c>
      <c r="D3" s="849"/>
      <c r="E3" s="849"/>
      <c r="F3" s="849"/>
      <c r="G3" s="849"/>
      <c r="H3" s="849"/>
      <c r="I3" s="849"/>
      <c r="J3" s="849"/>
      <c r="K3" s="849"/>
      <c r="L3" s="849"/>
      <c r="M3" s="849"/>
      <c r="N3" s="849"/>
      <c r="O3" s="849"/>
      <c r="P3" s="849"/>
      <c r="Q3" s="850" t="s">
        <v>310</v>
      </c>
      <c r="R3" s="851"/>
      <c r="S3" s="851"/>
      <c r="T3" s="851"/>
      <c r="U3" s="851"/>
      <c r="V3" s="851"/>
      <c r="W3" s="851"/>
      <c r="X3" s="851"/>
      <c r="Y3" s="851"/>
      <c r="Z3" s="851"/>
      <c r="AA3" s="852"/>
      <c r="AB3" s="856" t="s">
        <v>561</v>
      </c>
      <c r="AC3" s="857"/>
      <c r="AD3" s="857"/>
      <c r="AE3" s="857"/>
      <c r="AF3" s="857"/>
      <c r="AG3" s="857"/>
      <c r="AH3" s="857"/>
      <c r="AI3" s="856" t="s">
        <v>562</v>
      </c>
      <c r="AJ3" s="857"/>
      <c r="AK3" s="857"/>
      <c r="AL3" s="857"/>
      <c r="AM3" s="857"/>
      <c r="AN3" s="857"/>
      <c r="AO3" s="857"/>
      <c r="AP3" s="857"/>
      <c r="AQ3" s="857"/>
      <c r="AR3" s="848" t="s">
        <v>311</v>
      </c>
      <c r="AS3" s="848"/>
      <c r="AT3" s="848"/>
      <c r="AU3" s="848"/>
      <c r="AV3" s="848"/>
      <c r="AW3" s="848"/>
      <c r="AX3" s="848"/>
      <c r="AY3" s="848"/>
      <c r="AZ3" s="848"/>
      <c r="BA3" s="848"/>
      <c r="BB3" s="848"/>
      <c r="BC3" s="848"/>
      <c r="BD3" s="848"/>
      <c r="BE3" s="848"/>
      <c r="BF3" s="848"/>
      <c r="BG3" s="848"/>
      <c r="BH3" s="848"/>
      <c r="BI3" s="848"/>
      <c r="BJ3" s="848"/>
      <c r="BK3" s="848"/>
      <c r="BL3" s="848"/>
      <c r="BM3" s="848"/>
      <c r="BN3" s="848"/>
      <c r="BO3" s="848"/>
      <c r="BP3" s="848"/>
      <c r="BQ3" s="848"/>
      <c r="BR3" s="848"/>
      <c r="BS3" s="848"/>
      <c r="BT3" s="848"/>
      <c r="BU3" s="848"/>
      <c r="BV3" s="848"/>
      <c r="BW3" s="848"/>
      <c r="BX3" s="848"/>
      <c r="BY3" s="848"/>
      <c r="BZ3" s="848"/>
    </row>
    <row r="4" spans="1:78" ht="27.75" customHeight="1">
      <c r="A4" s="849"/>
      <c r="B4" s="849"/>
      <c r="C4" s="847" t="s">
        <v>312</v>
      </c>
      <c r="D4" s="847"/>
      <c r="E4" s="847"/>
      <c r="F4" s="847"/>
      <c r="G4" s="847"/>
      <c r="H4" s="847"/>
      <c r="I4" s="847"/>
      <c r="J4" s="847" t="s">
        <v>313</v>
      </c>
      <c r="K4" s="847"/>
      <c r="L4" s="847"/>
      <c r="M4" s="847"/>
      <c r="N4" s="847"/>
      <c r="O4" s="847"/>
      <c r="P4" s="847"/>
      <c r="Q4" s="853"/>
      <c r="R4" s="854"/>
      <c r="S4" s="854"/>
      <c r="T4" s="854"/>
      <c r="U4" s="854"/>
      <c r="V4" s="854"/>
      <c r="W4" s="854"/>
      <c r="X4" s="854"/>
      <c r="Y4" s="854"/>
      <c r="Z4" s="854"/>
      <c r="AA4" s="855"/>
      <c r="AB4" s="858"/>
      <c r="AC4" s="859"/>
      <c r="AD4" s="859"/>
      <c r="AE4" s="859"/>
      <c r="AF4" s="859"/>
      <c r="AG4" s="859"/>
      <c r="AH4" s="859"/>
      <c r="AI4" s="858"/>
      <c r="AJ4" s="859"/>
      <c r="AK4" s="859"/>
      <c r="AL4" s="859"/>
      <c r="AM4" s="859"/>
      <c r="AN4" s="859"/>
      <c r="AO4" s="859"/>
      <c r="AP4" s="859"/>
      <c r="AQ4" s="859"/>
      <c r="AR4" s="848"/>
      <c r="AS4" s="848"/>
      <c r="AT4" s="848"/>
      <c r="AU4" s="848"/>
      <c r="AV4" s="848"/>
      <c r="AW4" s="848"/>
      <c r="AX4" s="848"/>
      <c r="AY4" s="848"/>
      <c r="AZ4" s="848"/>
      <c r="BA4" s="848"/>
      <c r="BB4" s="848"/>
      <c r="BC4" s="848"/>
      <c r="BD4" s="848"/>
      <c r="BE4" s="848"/>
      <c r="BF4" s="848"/>
      <c r="BG4" s="848"/>
      <c r="BH4" s="848"/>
      <c r="BI4" s="848"/>
      <c r="BJ4" s="848"/>
      <c r="BK4" s="848"/>
      <c r="BL4" s="848"/>
      <c r="BM4" s="848"/>
      <c r="BN4" s="848"/>
      <c r="BO4" s="848"/>
      <c r="BP4" s="848"/>
      <c r="BQ4" s="848"/>
      <c r="BR4" s="848"/>
      <c r="BS4" s="848"/>
      <c r="BT4" s="848"/>
      <c r="BU4" s="848"/>
      <c r="BV4" s="848"/>
      <c r="BW4" s="848"/>
      <c r="BX4" s="848"/>
      <c r="BY4" s="848"/>
      <c r="BZ4" s="848"/>
    </row>
    <row r="5" spans="1:78" ht="15" customHeight="1">
      <c r="A5" s="818" t="s">
        <v>722</v>
      </c>
      <c r="B5" s="819"/>
      <c r="C5" s="820" t="s">
        <v>723</v>
      </c>
      <c r="D5" s="821"/>
      <c r="E5" s="821"/>
      <c r="F5" s="821"/>
      <c r="G5" s="821"/>
      <c r="H5" s="821"/>
      <c r="I5" s="822"/>
      <c r="J5" s="823"/>
      <c r="K5" s="824"/>
      <c r="L5" s="824"/>
      <c r="M5" s="824"/>
      <c r="N5" s="824"/>
      <c r="O5" s="824"/>
      <c r="P5" s="825"/>
      <c r="Q5" s="826"/>
      <c r="R5" s="827"/>
      <c r="S5" s="827"/>
      <c r="T5" s="827"/>
      <c r="U5" s="827"/>
      <c r="V5" s="827"/>
      <c r="W5" s="827"/>
      <c r="X5" s="827"/>
      <c r="Y5" s="827"/>
      <c r="Z5" s="827"/>
      <c r="AA5" s="828"/>
      <c r="AB5" s="829"/>
      <c r="AC5" s="830"/>
      <c r="AD5" s="830"/>
      <c r="AE5" s="830"/>
      <c r="AF5" s="830"/>
      <c r="AG5" s="830"/>
      <c r="AH5" s="830"/>
      <c r="AI5" s="829"/>
      <c r="AJ5" s="830"/>
      <c r="AK5" s="830"/>
      <c r="AL5" s="830"/>
      <c r="AM5" s="830"/>
      <c r="AN5" s="830"/>
      <c r="AO5" s="830"/>
      <c r="AP5" s="830"/>
      <c r="AQ5" s="830"/>
      <c r="AR5" s="831"/>
      <c r="AS5" s="827"/>
      <c r="AT5" s="827"/>
      <c r="AU5" s="827"/>
      <c r="AV5" s="827"/>
      <c r="AW5" s="827"/>
      <c r="AX5" s="827"/>
      <c r="AY5" s="827"/>
      <c r="AZ5" s="827"/>
      <c r="BA5" s="827"/>
      <c r="BB5" s="827"/>
      <c r="BC5" s="827"/>
      <c r="BD5" s="827"/>
      <c r="BE5" s="827"/>
      <c r="BF5" s="827"/>
      <c r="BG5" s="827"/>
      <c r="BH5" s="827"/>
      <c r="BI5" s="827"/>
      <c r="BJ5" s="827"/>
      <c r="BK5" s="827"/>
      <c r="BL5" s="827"/>
      <c r="BM5" s="827"/>
      <c r="BN5" s="827"/>
      <c r="BO5" s="827"/>
      <c r="BP5" s="827"/>
      <c r="BQ5" s="827"/>
      <c r="BR5" s="827"/>
      <c r="BS5" s="827"/>
      <c r="BT5" s="827"/>
      <c r="BU5" s="827"/>
      <c r="BV5" s="827"/>
      <c r="BW5" s="827"/>
      <c r="BX5" s="827"/>
      <c r="BY5" s="827"/>
      <c r="BZ5" s="828"/>
    </row>
    <row r="6" spans="1:78" ht="25.5" customHeight="1">
      <c r="A6" s="818" t="s">
        <v>724</v>
      </c>
      <c r="B6" s="819"/>
      <c r="C6" s="820"/>
      <c r="D6" s="821"/>
      <c r="E6" s="821"/>
      <c r="F6" s="821"/>
      <c r="G6" s="821"/>
      <c r="H6" s="821"/>
      <c r="I6" s="822"/>
      <c r="J6" s="823" t="s">
        <v>725</v>
      </c>
      <c r="K6" s="824"/>
      <c r="L6" s="824"/>
      <c r="M6" s="824"/>
      <c r="N6" s="824"/>
      <c r="O6" s="824"/>
      <c r="P6" s="825"/>
      <c r="Q6" s="826" t="s">
        <v>305</v>
      </c>
      <c r="R6" s="827"/>
      <c r="S6" s="827"/>
      <c r="T6" s="827"/>
      <c r="U6" s="827"/>
      <c r="V6" s="827"/>
      <c r="W6" s="827"/>
      <c r="X6" s="827"/>
      <c r="Y6" s="827"/>
      <c r="Z6" s="827"/>
      <c r="AA6" s="828"/>
      <c r="AB6" s="829"/>
      <c r="AC6" s="830"/>
      <c r="AD6" s="830"/>
      <c r="AE6" s="830"/>
      <c r="AF6" s="830"/>
      <c r="AG6" s="830"/>
      <c r="AH6" s="830"/>
      <c r="AI6" s="829"/>
      <c r="AJ6" s="830"/>
      <c r="AK6" s="830"/>
      <c r="AL6" s="830"/>
      <c r="AM6" s="830"/>
      <c r="AN6" s="830"/>
      <c r="AO6" s="830"/>
      <c r="AP6" s="830"/>
      <c r="AQ6" s="830"/>
      <c r="AR6" s="832" t="s">
        <v>726</v>
      </c>
      <c r="AS6" s="830"/>
      <c r="AT6" s="830"/>
      <c r="AU6" s="830"/>
      <c r="AV6" s="830"/>
      <c r="AW6" s="830"/>
      <c r="AX6" s="830"/>
      <c r="AY6" s="830"/>
      <c r="AZ6" s="830"/>
      <c r="BA6" s="830"/>
      <c r="BB6" s="830"/>
      <c r="BC6" s="830"/>
      <c r="BD6" s="830"/>
      <c r="BE6" s="830"/>
      <c r="BF6" s="830"/>
      <c r="BG6" s="830"/>
      <c r="BH6" s="830"/>
      <c r="BI6" s="830"/>
      <c r="BJ6" s="830"/>
      <c r="BK6" s="830"/>
      <c r="BL6" s="830"/>
      <c r="BM6" s="830"/>
      <c r="BN6" s="830"/>
      <c r="BO6" s="830"/>
      <c r="BP6" s="830"/>
      <c r="BQ6" s="830"/>
      <c r="BR6" s="830"/>
      <c r="BS6" s="830"/>
      <c r="BT6" s="830"/>
      <c r="BU6" s="830"/>
      <c r="BV6" s="830"/>
      <c r="BW6" s="830"/>
      <c r="BX6" s="830"/>
      <c r="BY6" s="830"/>
      <c r="BZ6" s="833"/>
    </row>
    <row r="7" spans="1:78">
      <c r="A7" s="818" t="s">
        <v>314</v>
      </c>
      <c r="B7" s="819"/>
      <c r="C7" s="838" t="s">
        <v>315</v>
      </c>
      <c r="D7" s="839"/>
      <c r="E7" s="839"/>
      <c r="F7" s="839"/>
      <c r="G7" s="839"/>
      <c r="H7" s="839"/>
      <c r="I7" s="840"/>
      <c r="J7" s="841"/>
      <c r="K7" s="842"/>
      <c r="L7" s="842"/>
      <c r="M7" s="842"/>
      <c r="N7" s="842"/>
      <c r="O7" s="842"/>
      <c r="P7" s="843"/>
      <c r="Q7" s="826"/>
      <c r="R7" s="827"/>
      <c r="S7" s="827"/>
      <c r="T7" s="827"/>
      <c r="U7" s="827"/>
      <c r="V7" s="827"/>
      <c r="W7" s="827"/>
      <c r="X7" s="827"/>
      <c r="Y7" s="827"/>
      <c r="Z7" s="827"/>
      <c r="AA7" s="828"/>
      <c r="AB7" s="829"/>
      <c r="AC7" s="830"/>
      <c r="AD7" s="830"/>
      <c r="AE7" s="830"/>
      <c r="AF7" s="830"/>
      <c r="AG7" s="830"/>
      <c r="AH7" s="830"/>
      <c r="AI7" s="829"/>
      <c r="AJ7" s="830"/>
      <c r="AK7" s="830"/>
      <c r="AL7" s="830"/>
      <c r="AM7" s="830"/>
      <c r="AN7" s="830"/>
      <c r="AO7" s="830"/>
      <c r="AP7" s="830"/>
      <c r="AQ7" s="830"/>
      <c r="AR7" s="831"/>
      <c r="AS7" s="827"/>
      <c r="AT7" s="827"/>
      <c r="AU7" s="827"/>
      <c r="AV7" s="827"/>
      <c r="AW7" s="827"/>
      <c r="AX7" s="827"/>
      <c r="AY7" s="827"/>
      <c r="AZ7" s="827"/>
      <c r="BA7" s="827"/>
      <c r="BB7" s="827"/>
      <c r="BC7" s="827"/>
      <c r="BD7" s="827"/>
      <c r="BE7" s="827"/>
      <c r="BF7" s="827"/>
      <c r="BG7" s="827"/>
      <c r="BH7" s="827"/>
      <c r="BI7" s="827"/>
      <c r="BJ7" s="827"/>
      <c r="BK7" s="827"/>
      <c r="BL7" s="827"/>
      <c r="BM7" s="827"/>
      <c r="BN7" s="827"/>
      <c r="BO7" s="827"/>
      <c r="BP7" s="827"/>
      <c r="BQ7" s="827"/>
      <c r="BR7" s="827"/>
      <c r="BS7" s="827"/>
      <c r="BT7" s="827"/>
      <c r="BU7" s="827"/>
      <c r="BV7" s="827"/>
      <c r="BW7" s="827"/>
      <c r="BX7" s="827"/>
      <c r="BY7" s="827"/>
      <c r="BZ7" s="828"/>
    </row>
    <row r="8" spans="1:78">
      <c r="A8" s="818" t="s">
        <v>316</v>
      </c>
      <c r="B8" s="819"/>
      <c r="C8" s="838"/>
      <c r="D8" s="839"/>
      <c r="E8" s="839"/>
      <c r="F8" s="839"/>
      <c r="G8" s="839"/>
      <c r="H8" s="839"/>
      <c r="I8" s="840"/>
      <c r="J8" s="841" t="s">
        <v>317</v>
      </c>
      <c r="K8" s="842"/>
      <c r="L8" s="842"/>
      <c r="M8" s="842"/>
      <c r="N8" s="842"/>
      <c r="O8" s="842"/>
      <c r="P8" s="843"/>
      <c r="Q8" s="826" t="s">
        <v>305</v>
      </c>
      <c r="R8" s="827"/>
      <c r="S8" s="827"/>
      <c r="T8" s="827"/>
      <c r="U8" s="827"/>
      <c r="V8" s="827"/>
      <c r="W8" s="827"/>
      <c r="X8" s="827"/>
      <c r="Y8" s="827"/>
      <c r="Z8" s="827"/>
      <c r="AA8" s="828"/>
      <c r="AB8" s="829"/>
      <c r="AC8" s="830"/>
      <c r="AD8" s="830"/>
      <c r="AE8" s="830"/>
      <c r="AF8" s="830"/>
      <c r="AG8" s="830"/>
      <c r="AH8" s="830"/>
      <c r="AI8" s="829"/>
      <c r="AJ8" s="830"/>
      <c r="AK8" s="830"/>
      <c r="AL8" s="830"/>
      <c r="AM8" s="830"/>
      <c r="AN8" s="830"/>
      <c r="AO8" s="830"/>
      <c r="AP8" s="830"/>
      <c r="AQ8" s="830"/>
      <c r="AR8" s="831"/>
      <c r="AS8" s="827"/>
      <c r="AT8" s="827"/>
      <c r="AU8" s="827"/>
      <c r="AV8" s="827"/>
      <c r="AW8" s="827"/>
      <c r="AX8" s="827"/>
      <c r="AY8" s="827"/>
      <c r="AZ8" s="827"/>
      <c r="BA8" s="827"/>
      <c r="BB8" s="827"/>
      <c r="BC8" s="827"/>
      <c r="BD8" s="827"/>
      <c r="BE8" s="827"/>
      <c r="BF8" s="827"/>
      <c r="BG8" s="827"/>
      <c r="BH8" s="827"/>
      <c r="BI8" s="827"/>
      <c r="BJ8" s="827"/>
      <c r="BK8" s="827"/>
      <c r="BL8" s="827"/>
      <c r="BM8" s="827"/>
      <c r="BN8" s="827"/>
      <c r="BO8" s="827"/>
      <c r="BP8" s="827"/>
      <c r="BQ8" s="827"/>
      <c r="BR8" s="827"/>
      <c r="BS8" s="827"/>
      <c r="BT8" s="827"/>
      <c r="BU8" s="827"/>
      <c r="BV8" s="827"/>
      <c r="BW8" s="827"/>
      <c r="BX8" s="827"/>
      <c r="BY8" s="827"/>
      <c r="BZ8" s="828"/>
    </row>
    <row r="9" spans="1:78" ht="15.75" customHeight="1">
      <c r="A9" s="818" t="s">
        <v>321</v>
      </c>
      <c r="B9" s="819"/>
      <c r="C9" s="863" t="s">
        <v>322</v>
      </c>
      <c r="D9" s="864"/>
      <c r="E9" s="864"/>
      <c r="F9" s="864"/>
      <c r="G9" s="864"/>
      <c r="H9" s="864"/>
      <c r="I9" s="865"/>
      <c r="J9" s="866"/>
      <c r="K9" s="866"/>
      <c r="L9" s="866"/>
      <c r="M9" s="866"/>
      <c r="N9" s="866"/>
      <c r="O9" s="866"/>
      <c r="P9" s="866"/>
      <c r="Q9" s="826" t="s">
        <v>318</v>
      </c>
      <c r="R9" s="827"/>
      <c r="S9" s="827"/>
      <c r="T9" s="827"/>
      <c r="U9" s="827"/>
      <c r="V9" s="827"/>
      <c r="W9" s="827"/>
      <c r="X9" s="827"/>
      <c r="Y9" s="827"/>
      <c r="Z9" s="827"/>
      <c r="AA9" s="828"/>
      <c r="AB9" s="829"/>
      <c r="AC9" s="830"/>
      <c r="AD9" s="830"/>
      <c r="AE9" s="830"/>
      <c r="AF9" s="830"/>
      <c r="AG9" s="830"/>
      <c r="AH9" s="830"/>
      <c r="AI9" s="829"/>
      <c r="AJ9" s="830"/>
      <c r="AK9" s="830"/>
      <c r="AL9" s="830"/>
      <c r="AM9" s="830"/>
      <c r="AN9" s="830"/>
      <c r="AO9" s="830"/>
      <c r="AP9" s="830"/>
      <c r="AQ9" s="830"/>
      <c r="AR9" s="860"/>
      <c r="AS9" s="861"/>
      <c r="AT9" s="861"/>
      <c r="AU9" s="861"/>
      <c r="AV9" s="861"/>
      <c r="AW9" s="861"/>
      <c r="AX9" s="861"/>
      <c r="AY9" s="861"/>
      <c r="AZ9" s="861"/>
      <c r="BA9" s="861"/>
      <c r="BB9" s="861"/>
      <c r="BC9" s="861"/>
      <c r="BD9" s="861"/>
      <c r="BE9" s="861"/>
      <c r="BF9" s="861"/>
      <c r="BG9" s="861"/>
      <c r="BH9" s="861"/>
      <c r="BI9" s="861"/>
      <c r="BJ9" s="861"/>
      <c r="BK9" s="861"/>
      <c r="BL9" s="861"/>
      <c r="BM9" s="861"/>
      <c r="BN9" s="861"/>
      <c r="BO9" s="861"/>
      <c r="BP9" s="861"/>
      <c r="BQ9" s="861"/>
      <c r="BR9" s="861"/>
      <c r="BS9" s="861"/>
      <c r="BT9" s="861"/>
      <c r="BU9" s="861"/>
      <c r="BV9" s="861"/>
      <c r="BW9" s="861"/>
      <c r="BX9" s="861"/>
      <c r="BY9" s="861"/>
      <c r="BZ9" s="862"/>
    </row>
    <row r="10" spans="1:78" ht="44.5" customHeight="1">
      <c r="A10" s="818" t="s">
        <v>323</v>
      </c>
      <c r="B10" s="819"/>
      <c r="C10" s="607"/>
      <c r="D10" s="608"/>
      <c r="E10" s="608"/>
      <c r="F10" s="608"/>
      <c r="G10" s="608"/>
      <c r="H10" s="608"/>
      <c r="I10" s="609"/>
      <c r="J10" s="870" t="s">
        <v>324</v>
      </c>
      <c r="K10" s="871"/>
      <c r="L10" s="871"/>
      <c r="M10" s="871"/>
      <c r="N10" s="871"/>
      <c r="O10" s="871"/>
      <c r="P10" s="872"/>
      <c r="Q10" s="867" t="s">
        <v>325</v>
      </c>
      <c r="R10" s="868"/>
      <c r="S10" s="868"/>
      <c r="T10" s="868"/>
      <c r="U10" s="868"/>
      <c r="V10" s="868"/>
      <c r="W10" s="868"/>
      <c r="X10" s="868"/>
      <c r="Y10" s="868"/>
      <c r="Z10" s="868"/>
      <c r="AA10" s="869"/>
      <c r="AB10" s="835"/>
      <c r="AC10" s="836"/>
      <c r="AD10" s="836"/>
      <c r="AE10" s="836"/>
      <c r="AF10" s="836"/>
      <c r="AG10" s="836"/>
      <c r="AH10" s="836"/>
      <c r="AI10" s="835" t="s">
        <v>563</v>
      </c>
      <c r="AJ10" s="836"/>
      <c r="AK10" s="836"/>
      <c r="AL10" s="836"/>
      <c r="AM10" s="836"/>
      <c r="AN10" s="836"/>
      <c r="AO10" s="836"/>
      <c r="AP10" s="836"/>
      <c r="AQ10" s="836"/>
      <c r="AR10" s="831"/>
      <c r="AS10" s="827"/>
      <c r="AT10" s="827"/>
      <c r="AU10" s="827"/>
      <c r="AV10" s="827"/>
      <c r="AW10" s="827"/>
      <c r="AX10" s="827"/>
      <c r="AY10" s="827"/>
      <c r="AZ10" s="827"/>
      <c r="BA10" s="827"/>
      <c r="BB10" s="827"/>
      <c r="BC10" s="827"/>
      <c r="BD10" s="827"/>
      <c r="BE10" s="827"/>
      <c r="BF10" s="827"/>
      <c r="BG10" s="827"/>
      <c r="BH10" s="827"/>
      <c r="BI10" s="827"/>
      <c r="BJ10" s="827"/>
      <c r="BK10" s="827"/>
      <c r="BL10" s="827"/>
      <c r="BM10" s="827"/>
      <c r="BN10" s="827"/>
      <c r="BO10" s="827"/>
      <c r="BP10" s="827"/>
      <c r="BQ10" s="827"/>
      <c r="BR10" s="827"/>
      <c r="BS10" s="827"/>
      <c r="BT10" s="827"/>
      <c r="BU10" s="827"/>
      <c r="BV10" s="827"/>
      <c r="BW10" s="827"/>
      <c r="BX10" s="827"/>
      <c r="BY10" s="827"/>
      <c r="BZ10" s="828"/>
    </row>
    <row r="11" spans="1:78" ht="31.75" customHeight="1">
      <c r="A11" s="818" t="s">
        <v>326</v>
      </c>
      <c r="B11" s="819"/>
      <c r="C11" s="607"/>
      <c r="D11" s="608"/>
      <c r="E11" s="608"/>
      <c r="F11" s="608"/>
      <c r="G11" s="608"/>
      <c r="H11" s="608"/>
      <c r="I11" s="609"/>
      <c r="J11" s="870" t="s">
        <v>327</v>
      </c>
      <c r="K11" s="871"/>
      <c r="L11" s="871"/>
      <c r="M11" s="871"/>
      <c r="N11" s="871"/>
      <c r="O11" s="871"/>
      <c r="P11" s="872"/>
      <c r="Q11" s="867" t="s">
        <v>305</v>
      </c>
      <c r="R11" s="868"/>
      <c r="S11" s="868"/>
      <c r="T11" s="868"/>
      <c r="U11" s="868"/>
      <c r="V11" s="868"/>
      <c r="W11" s="868"/>
      <c r="X11" s="868"/>
      <c r="Y11" s="868"/>
      <c r="Z11" s="868"/>
      <c r="AA11" s="869"/>
      <c r="AB11" s="835"/>
      <c r="AC11" s="836"/>
      <c r="AD11" s="836"/>
      <c r="AE11" s="836"/>
      <c r="AF11" s="836"/>
      <c r="AG11" s="836"/>
      <c r="AH11" s="836"/>
      <c r="AI11" s="835"/>
      <c r="AJ11" s="836"/>
      <c r="AK11" s="836"/>
      <c r="AL11" s="836"/>
      <c r="AM11" s="836"/>
      <c r="AN11" s="836"/>
      <c r="AO11" s="836"/>
      <c r="AP11" s="836"/>
      <c r="AQ11" s="836"/>
      <c r="AR11" s="612"/>
      <c r="AS11" s="610"/>
      <c r="AT11" s="610"/>
      <c r="AU11" s="610"/>
      <c r="AV11" s="610"/>
      <c r="AW11" s="610"/>
      <c r="AX11" s="610"/>
      <c r="AY11" s="610"/>
      <c r="AZ11" s="610"/>
      <c r="BA11" s="610"/>
      <c r="BB11" s="610"/>
      <c r="BC11" s="610"/>
      <c r="BD11" s="610"/>
      <c r="BE11" s="610"/>
      <c r="BF11" s="610"/>
      <c r="BG11" s="610"/>
      <c r="BH11" s="610"/>
      <c r="BI11" s="610"/>
      <c r="BJ11" s="610"/>
      <c r="BK11" s="610"/>
      <c r="BL11" s="610"/>
      <c r="BM11" s="610"/>
      <c r="BN11" s="610"/>
      <c r="BO11" s="610"/>
      <c r="BP11" s="610"/>
      <c r="BQ11" s="610"/>
      <c r="BR11" s="610"/>
      <c r="BS11" s="610"/>
      <c r="BT11" s="610"/>
      <c r="BU11" s="610"/>
      <c r="BV11" s="610"/>
      <c r="BW11" s="610"/>
      <c r="BX11" s="610"/>
      <c r="BY11" s="610"/>
      <c r="BZ11" s="613"/>
    </row>
    <row r="12" spans="1:78" ht="33.75" customHeight="1">
      <c r="A12" s="818" t="s">
        <v>328</v>
      </c>
      <c r="B12" s="819"/>
      <c r="C12" s="607"/>
      <c r="D12" s="608"/>
      <c r="E12" s="608"/>
      <c r="F12" s="608"/>
      <c r="G12" s="608"/>
      <c r="H12" s="608"/>
      <c r="I12" s="609"/>
      <c r="J12" s="870" t="s">
        <v>320</v>
      </c>
      <c r="K12" s="871"/>
      <c r="L12" s="871"/>
      <c r="M12" s="871"/>
      <c r="N12" s="871"/>
      <c r="O12" s="871"/>
      <c r="P12" s="872"/>
      <c r="Q12" s="867" t="s">
        <v>564</v>
      </c>
      <c r="R12" s="868"/>
      <c r="S12" s="868"/>
      <c r="T12" s="868"/>
      <c r="U12" s="868"/>
      <c r="V12" s="868"/>
      <c r="W12" s="868"/>
      <c r="X12" s="868"/>
      <c r="Y12" s="868"/>
      <c r="Z12" s="868"/>
      <c r="AA12" s="869"/>
      <c r="AB12" s="829"/>
      <c r="AC12" s="830"/>
      <c r="AD12" s="830"/>
      <c r="AE12" s="830"/>
      <c r="AF12" s="830"/>
      <c r="AG12" s="830"/>
      <c r="AH12" s="830"/>
      <c r="AI12" s="835" t="s">
        <v>563</v>
      </c>
      <c r="AJ12" s="836"/>
      <c r="AK12" s="836"/>
      <c r="AL12" s="836"/>
      <c r="AM12" s="836"/>
      <c r="AN12" s="836"/>
      <c r="AO12" s="836"/>
      <c r="AP12" s="836"/>
      <c r="AQ12" s="836"/>
      <c r="AR12" s="612"/>
      <c r="AS12" s="610"/>
      <c r="AT12" s="610"/>
      <c r="AU12" s="610"/>
      <c r="AV12" s="610"/>
      <c r="AW12" s="610"/>
      <c r="AX12" s="610"/>
      <c r="AY12" s="610"/>
      <c r="AZ12" s="610"/>
      <c r="BA12" s="610"/>
      <c r="BB12" s="610"/>
      <c r="BC12" s="610"/>
      <c r="BD12" s="610"/>
      <c r="BE12" s="610"/>
      <c r="BF12" s="610"/>
      <c r="BG12" s="610"/>
      <c r="BH12" s="610"/>
      <c r="BI12" s="610"/>
      <c r="BJ12" s="610"/>
      <c r="BK12" s="610"/>
      <c r="BL12" s="610"/>
      <c r="BM12" s="610"/>
      <c r="BN12" s="610"/>
      <c r="BO12" s="610"/>
      <c r="BP12" s="610"/>
      <c r="BQ12" s="610"/>
      <c r="BR12" s="610"/>
      <c r="BS12" s="610"/>
      <c r="BT12" s="610"/>
      <c r="BU12" s="610"/>
      <c r="BV12" s="610"/>
      <c r="BW12" s="610"/>
      <c r="BX12" s="610"/>
      <c r="BY12" s="610"/>
      <c r="BZ12" s="613"/>
    </row>
    <row r="13" spans="1:78" ht="35.5" customHeight="1">
      <c r="A13" s="818" t="s">
        <v>329</v>
      </c>
      <c r="B13" s="819"/>
      <c r="C13" s="607"/>
      <c r="D13" s="608"/>
      <c r="E13" s="608"/>
      <c r="F13" s="608"/>
      <c r="G13" s="608"/>
      <c r="H13" s="608"/>
      <c r="I13" s="609"/>
      <c r="J13" s="870" t="s">
        <v>319</v>
      </c>
      <c r="K13" s="871"/>
      <c r="L13" s="871"/>
      <c r="M13" s="871"/>
      <c r="N13" s="871"/>
      <c r="O13" s="871"/>
      <c r="P13" s="872"/>
      <c r="Q13" s="867" t="s">
        <v>330</v>
      </c>
      <c r="R13" s="868"/>
      <c r="S13" s="868"/>
      <c r="T13" s="868"/>
      <c r="U13" s="868"/>
      <c r="V13" s="868"/>
      <c r="W13" s="868"/>
      <c r="X13" s="868"/>
      <c r="Y13" s="868"/>
      <c r="Z13" s="868"/>
      <c r="AA13" s="869"/>
      <c r="AB13" s="835"/>
      <c r="AC13" s="836"/>
      <c r="AD13" s="836"/>
      <c r="AE13" s="836"/>
      <c r="AF13" s="836"/>
      <c r="AG13" s="836"/>
      <c r="AH13" s="836"/>
      <c r="AI13" s="835" t="s">
        <v>563</v>
      </c>
      <c r="AJ13" s="836"/>
      <c r="AK13" s="836"/>
      <c r="AL13" s="836"/>
      <c r="AM13" s="836"/>
      <c r="AN13" s="836"/>
      <c r="AO13" s="836"/>
      <c r="AP13" s="836"/>
      <c r="AQ13" s="836"/>
      <c r="AR13" s="612"/>
      <c r="AS13" s="610"/>
      <c r="AT13" s="610"/>
      <c r="AU13" s="610"/>
      <c r="AV13" s="610"/>
      <c r="AW13" s="610"/>
      <c r="AX13" s="610"/>
      <c r="AY13" s="610"/>
      <c r="AZ13" s="610"/>
      <c r="BA13" s="610"/>
      <c r="BB13" s="610"/>
      <c r="BC13" s="610"/>
      <c r="BD13" s="610"/>
      <c r="BE13" s="610"/>
      <c r="BF13" s="610"/>
      <c r="BG13" s="610"/>
      <c r="BH13" s="610"/>
      <c r="BI13" s="610"/>
      <c r="BJ13" s="610"/>
      <c r="BK13" s="610"/>
      <c r="BL13" s="610"/>
      <c r="BM13" s="610"/>
      <c r="BN13" s="610"/>
      <c r="BO13" s="610"/>
      <c r="BP13" s="610"/>
      <c r="BQ13" s="610"/>
      <c r="BR13" s="610"/>
      <c r="BS13" s="610"/>
      <c r="BT13" s="610"/>
      <c r="BU13" s="610"/>
      <c r="BV13" s="610"/>
      <c r="BW13" s="610"/>
      <c r="BX13" s="610"/>
      <c r="BY13" s="610"/>
      <c r="BZ13" s="613"/>
    </row>
    <row r="14" spans="1:78" ht="26.5" customHeight="1">
      <c r="A14" s="818" t="s">
        <v>331</v>
      </c>
      <c r="B14" s="819"/>
      <c r="C14" s="607"/>
      <c r="D14" s="608"/>
      <c r="E14" s="608"/>
      <c r="F14" s="608"/>
      <c r="G14" s="608"/>
      <c r="H14" s="608"/>
      <c r="I14" s="609"/>
      <c r="J14" s="870" t="s">
        <v>332</v>
      </c>
      <c r="K14" s="871"/>
      <c r="L14" s="871"/>
      <c r="M14" s="871"/>
      <c r="N14" s="871"/>
      <c r="O14" s="871"/>
      <c r="P14" s="872"/>
      <c r="Q14" s="867" t="s">
        <v>318</v>
      </c>
      <c r="R14" s="868"/>
      <c r="S14" s="868"/>
      <c r="T14" s="868"/>
      <c r="U14" s="868"/>
      <c r="V14" s="868"/>
      <c r="W14" s="868"/>
      <c r="X14" s="868"/>
      <c r="Y14" s="868"/>
      <c r="Z14" s="868"/>
      <c r="AA14" s="869"/>
      <c r="AB14" s="835"/>
      <c r="AC14" s="836"/>
      <c r="AD14" s="836"/>
      <c r="AE14" s="836"/>
      <c r="AF14" s="836"/>
      <c r="AG14" s="836"/>
      <c r="AH14" s="836"/>
      <c r="AI14" s="835"/>
      <c r="AJ14" s="836"/>
      <c r="AK14" s="836"/>
      <c r="AL14" s="836"/>
      <c r="AM14" s="836"/>
      <c r="AN14" s="836"/>
      <c r="AO14" s="836"/>
      <c r="AP14" s="836"/>
      <c r="AQ14" s="836"/>
      <c r="AR14" s="612"/>
      <c r="AS14" s="610"/>
      <c r="AT14" s="610"/>
      <c r="AU14" s="610"/>
      <c r="AV14" s="610"/>
      <c r="AW14" s="610"/>
      <c r="AX14" s="610"/>
      <c r="AY14" s="610"/>
      <c r="AZ14" s="610"/>
      <c r="BA14" s="610"/>
      <c r="BB14" s="610"/>
      <c r="BC14" s="610"/>
      <c r="BD14" s="610"/>
      <c r="BE14" s="610"/>
      <c r="BF14" s="610"/>
      <c r="BG14" s="610"/>
      <c r="BH14" s="610"/>
      <c r="BI14" s="610"/>
      <c r="BJ14" s="610"/>
      <c r="BK14" s="610"/>
      <c r="BL14" s="610"/>
      <c r="BM14" s="610"/>
      <c r="BN14" s="610"/>
      <c r="BO14" s="610"/>
      <c r="BP14" s="610"/>
      <c r="BQ14" s="610"/>
      <c r="BR14" s="610"/>
      <c r="BS14" s="610"/>
      <c r="BT14" s="610"/>
      <c r="BU14" s="610"/>
      <c r="BV14" s="610"/>
      <c r="BW14" s="610"/>
      <c r="BX14" s="610"/>
      <c r="BY14" s="610"/>
      <c r="BZ14" s="613"/>
    </row>
    <row r="15" spans="1:78" ht="30" customHeight="1">
      <c r="A15" s="818" t="s">
        <v>333</v>
      </c>
      <c r="B15" s="819"/>
      <c r="C15" s="607"/>
      <c r="D15" s="608"/>
      <c r="E15" s="608"/>
      <c r="F15" s="608"/>
      <c r="G15" s="608"/>
      <c r="H15" s="608"/>
      <c r="I15" s="609"/>
      <c r="J15" s="870" t="s">
        <v>334</v>
      </c>
      <c r="K15" s="871"/>
      <c r="L15" s="871"/>
      <c r="M15" s="871"/>
      <c r="N15" s="871"/>
      <c r="O15" s="871"/>
      <c r="P15" s="872"/>
      <c r="Q15" s="867" t="s">
        <v>335</v>
      </c>
      <c r="R15" s="868"/>
      <c r="S15" s="868"/>
      <c r="T15" s="868"/>
      <c r="U15" s="868"/>
      <c r="V15" s="868"/>
      <c r="W15" s="868"/>
      <c r="X15" s="868"/>
      <c r="Y15" s="868"/>
      <c r="Z15" s="868"/>
      <c r="AA15" s="869"/>
      <c r="AB15" s="829"/>
      <c r="AC15" s="830"/>
      <c r="AD15" s="830"/>
      <c r="AE15" s="830"/>
      <c r="AF15" s="830"/>
      <c r="AG15" s="830"/>
      <c r="AH15" s="830"/>
      <c r="AI15" s="829" t="s">
        <v>565</v>
      </c>
      <c r="AJ15" s="830"/>
      <c r="AK15" s="830"/>
      <c r="AL15" s="830"/>
      <c r="AM15" s="830"/>
      <c r="AN15" s="830"/>
      <c r="AO15" s="830"/>
      <c r="AP15" s="830"/>
      <c r="AQ15" s="830"/>
      <c r="AR15" s="831" t="s">
        <v>336</v>
      </c>
      <c r="AS15" s="827"/>
      <c r="AT15" s="827"/>
      <c r="AU15" s="827"/>
      <c r="AV15" s="827"/>
      <c r="AW15" s="827"/>
      <c r="AX15" s="827"/>
      <c r="AY15" s="827"/>
      <c r="AZ15" s="827"/>
      <c r="BA15" s="827"/>
      <c r="BB15" s="827"/>
      <c r="BC15" s="827"/>
      <c r="BD15" s="827"/>
      <c r="BE15" s="827"/>
      <c r="BF15" s="827"/>
      <c r="BG15" s="827"/>
      <c r="BH15" s="827"/>
      <c r="BI15" s="827"/>
      <c r="BJ15" s="827"/>
      <c r="BK15" s="827"/>
      <c r="BL15" s="827"/>
      <c r="BM15" s="827"/>
      <c r="BN15" s="827"/>
      <c r="BO15" s="827"/>
      <c r="BP15" s="827"/>
      <c r="BQ15" s="827"/>
      <c r="BR15" s="827"/>
      <c r="BS15" s="827"/>
      <c r="BT15" s="827"/>
      <c r="BU15" s="827"/>
      <c r="BV15" s="827"/>
      <c r="BW15" s="827"/>
      <c r="BX15" s="827"/>
      <c r="BY15" s="827"/>
      <c r="BZ15" s="828"/>
    </row>
    <row r="16" spans="1:78" ht="246.5" customHeight="1">
      <c r="A16" s="818" t="s">
        <v>337</v>
      </c>
      <c r="B16" s="819"/>
      <c r="C16" s="607"/>
      <c r="D16" s="608"/>
      <c r="E16" s="608"/>
      <c r="F16" s="608"/>
      <c r="G16" s="608"/>
      <c r="H16" s="608"/>
      <c r="I16" s="609"/>
      <c r="J16" s="870" t="s">
        <v>301</v>
      </c>
      <c r="K16" s="871"/>
      <c r="L16" s="871"/>
      <c r="M16" s="871"/>
      <c r="N16" s="871"/>
      <c r="O16" s="871"/>
      <c r="P16" s="872"/>
      <c r="Q16" s="867" t="s">
        <v>338</v>
      </c>
      <c r="R16" s="868"/>
      <c r="S16" s="868"/>
      <c r="T16" s="868"/>
      <c r="U16" s="868"/>
      <c r="V16" s="868"/>
      <c r="W16" s="868"/>
      <c r="X16" s="868"/>
      <c r="Y16" s="868"/>
      <c r="Z16" s="868"/>
      <c r="AA16" s="869"/>
      <c r="AB16" s="829"/>
      <c r="AC16" s="830"/>
      <c r="AD16" s="830"/>
      <c r="AE16" s="830"/>
      <c r="AF16" s="830"/>
      <c r="AG16" s="830"/>
      <c r="AH16" s="830"/>
      <c r="AI16" s="829" t="s">
        <v>566</v>
      </c>
      <c r="AJ16" s="830"/>
      <c r="AK16" s="830"/>
      <c r="AL16" s="830"/>
      <c r="AM16" s="830"/>
      <c r="AN16" s="830"/>
      <c r="AO16" s="830"/>
      <c r="AP16" s="830"/>
      <c r="AQ16" s="830"/>
      <c r="AR16" s="873" t="s">
        <v>339</v>
      </c>
      <c r="AS16" s="874"/>
      <c r="AT16" s="874"/>
      <c r="AU16" s="874"/>
      <c r="AV16" s="874"/>
      <c r="AW16" s="874"/>
      <c r="AX16" s="874"/>
      <c r="AY16" s="874"/>
      <c r="AZ16" s="874"/>
      <c r="BA16" s="874"/>
      <c r="BB16" s="874"/>
      <c r="BC16" s="874"/>
      <c r="BD16" s="874"/>
      <c r="BE16" s="874"/>
      <c r="BF16" s="874"/>
      <c r="BG16" s="874"/>
      <c r="BH16" s="874"/>
      <c r="BI16" s="874"/>
      <c r="BJ16" s="874"/>
      <c r="BK16" s="874"/>
      <c r="BL16" s="874"/>
      <c r="BM16" s="874"/>
      <c r="BN16" s="874"/>
      <c r="BO16" s="874"/>
      <c r="BP16" s="874"/>
      <c r="BQ16" s="874"/>
      <c r="BR16" s="874"/>
      <c r="BS16" s="874"/>
      <c r="BT16" s="874"/>
      <c r="BU16" s="874"/>
      <c r="BV16" s="874"/>
      <c r="BW16" s="874"/>
      <c r="BX16" s="874"/>
      <c r="BY16" s="874"/>
      <c r="BZ16" s="875"/>
    </row>
    <row r="17" spans="1:78" ht="72.5" customHeight="1">
      <c r="A17" s="818" t="s">
        <v>340</v>
      </c>
      <c r="B17" s="819"/>
      <c r="C17" s="607"/>
      <c r="D17" s="608"/>
      <c r="E17" s="608"/>
      <c r="F17" s="608"/>
      <c r="G17" s="608"/>
      <c r="H17" s="608"/>
      <c r="I17" s="609"/>
      <c r="J17" s="870" t="s">
        <v>341</v>
      </c>
      <c r="K17" s="871"/>
      <c r="L17" s="871"/>
      <c r="M17" s="871"/>
      <c r="N17" s="871"/>
      <c r="O17" s="871"/>
      <c r="P17" s="872"/>
      <c r="Q17" s="867" t="s">
        <v>342</v>
      </c>
      <c r="R17" s="868"/>
      <c r="S17" s="868"/>
      <c r="T17" s="868"/>
      <c r="U17" s="868"/>
      <c r="V17" s="868"/>
      <c r="W17" s="868"/>
      <c r="X17" s="868"/>
      <c r="Y17" s="868"/>
      <c r="Z17" s="868"/>
      <c r="AA17" s="869"/>
      <c r="AB17" s="677"/>
      <c r="AC17" s="678"/>
      <c r="AD17" s="678"/>
      <c r="AE17" s="678"/>
      <c r="AF17" s="678"/>
      <c r="AG17" s="678"/>
      <c r="AH17" s="678"/>
      <c r="AI17" s="829" t="s">
        <v>567</v>
      </c>
      <c r="AJ17" s="830"/>
      <c r="AK17" s="830"/>
      <c r="AL17" s="830"/>
      <c r="AM17" s="830"/>
      <c r="AN17" s="830"/>
      <c r="AO17" s="830"/>
      <c r="AP17" s="830"/>
      <c r="AQ17" s="830"/>
      <c r="AR17" s="873" t="s">
        <v>343</v>
      </c>
      <c r="AS17" s="874"/>
      <c r="AT17" s="874"/>
      <c r="AU17" s="874"/>
      <c r="AV17" s="874"/>
      <c r="AW17" s="874"/>
      <c r="AX17" s="874"/>
      <c r="AY17" s="874"/>
      <c r="AZ17" s="874"/>
      <c r="BA17" s="874"/>
      <c r="BB17" s="874"/>
      <c r="BC17" s="874"/>
      <c r="BD17" s="874"/>
      <c r="BE17" s="874"/>
      <c r="BF17" s="874"/>
      <c r="BG17" s="874"/>
      <c r="BH17" s="874"/>
      <c r="BI17" s="874"/>
      <c r="BJ17" s="874"/>
      <c r="BK17" s="874"/>
      <c r="BL17" s="874"/>
      <c r="BM17" s="874"/>
      <c r="BN17" s="874"/>
      <c r="BO17" s="874"/>
      <c r="BP17" s="874"/>
      <c r="BQ17" s="874"/>
      <c r="BR17" s="874"/>
      <c r="BS17" s="874"/>
      <c r="BT17" s="874"/>
      <c r="BU17" s="874"/>
      <c r="BV17" s="874"/>
      <c r="BW17" s="874"/>
      <c r="BX17" s="874"/>
      <c r="BY17" s="874"/>
      <c r="BZ17" s="875"/>
    </row>
    <row r="18" spans="1:78" ht="40.5" customHeight="1">
      <c r="A18" s="818" t="s">
        <v>344</v>
      </c>
      <c r="B18" s="819"/>
      <c r="C18" s="607"/>
      <c r="D18" s="608"/>
      <c r="E18" s="608"/>
      <c r="F18" s="608"/>
      <c r="G18" s="608"/>
      <c r="H18" s="608"/>
      <c r="I18" s="609"/>
      <c r="J18" s="870" t="s">
        <v>302</v>
      </c>
      <c r="K18" s="871"/>
      <c r="L18" s="871"/>
      <c r="M18" s="871"/>
      <c r="N18" s="871"/>
      <c r="O18" s="871"/>
      <c r="P18" s="872"/>
      <c r="Q18" s="867" t="s">
        <v>345</v>
      </c>
      <c r="R18" s="868"/>
      <c r="S18" s="868"/>
      <c r="T18" s="868"/>
      <c r="U18" s="868"/>
      <c r="V18" s="868"/>
      <c r="W18" s="868"/>
      <c r="X18" s="868"/>
      <c r="Y18" s="868"/>
      <c r="Z18" s="868"/>
      <c r="AA18" s="869"/>
      <c r="AB18" s="677"/>
      <c r="AC18" s="678"/>
      <c r="AD18" s="678"/>
      <c r="AE18" s="678"/>
      <c r="AF18" s="678"/>
      <c r="AG18" s="678"/>
      <c r="AH18" s="678"/>
      <c r="AI18" s="829" t="s">
        <v>568</v>
      </c>
      <c r="AJ18" s="830"/>
      <c r="AK18" s="830"/>
      <c r="AL18" s="830"/>
      <c r="AM18" s="830"/>
      <c r="AN18" s="830"/>
      <c r="AO18" s="830"/>
      <c r="AP18" s="830"/>
      <c r="AQ18" s="830"/>
      <c r="AR18" s="831" t="s">
        <v>346</v>
      </c>
      <c r="AS18" s="827"/>
      <c r="AT18" s="827"/>
      <c r="AU18" s="827"/>
      <c r="AV18" s="827"/>
      <c r="AW18" s="827"/>
      <c r="AX18" s="827"/>
      <c r="AY18" s="827"/>
      <c r="AZ18" s="827"/>
      <c r="BA18" s="827"/>
      <c r="BB18" s="827"/>
      <c r="BC18" s="827"/>
      <c r="BD18" s="827"/>
      <c r="BE18" s="827"/>
      <c r="BF18" s="827"/>
      <c r="BG18" s="827"/>
      <c r="BH18" s="827"/>
      <c r="BI18" s="827"/>
      <c r="BJ18" s="827"/>
      <c r="BK18" s="827"/>
      <c r="BL18" s="827"/>
      <c r="BM18" s="827"/>
      <c r="BN18" s="827"/>
      <c r="BO18" s="827"/>
      <c r="BP18" s="827"/>
      <c r="BQ18" s="827"/>
      <c r="BR18" s="827"/>
      <c r="BS18" s="827"/>
      <c r="BT18" s="827"/>
      <c r="BU18" s="827"/>
      <c r="BV18" s="827"/>
      <c r="BW18" s="827"/>
      <c r="BX18" s="827"/>
      <c r="BY18" s="827"/>
      <c r="BZ18" s="828"/>
    </row>
    <row r="19" spans="1:78" ht="133.5" customHeight="1">
      <c r="A19" s="818" t="s">
        <v>347</v>
      </c>
      <c r="B19" s="819"/>
      <c r="C19" s="607"/>
      <c r="D19" s="608"/>
      <c r="E19" s="608"/>
      <c r="F19" s="608"/>
      <c r="G19" s="608"/>
      <c r="H19" s="608"/>
      <c r="I19" s="609"/>
      <c r="J19" s="870" t="s">
        <v>303</v>
      </c>
      <c r="K19" s="871"/>
      <c r="L19" s="871"/>
      <c r="M19" s="871"/>
      <c r="N19" s="871"/>
      <c r="O19" s="871"/>
      <c r="P19" s="872"/>
      <c r="Q19" s="867" t="s">
        <v>348</v>
      </c>
      <c r="R19" s="868"/>
      <c r="S19" s="868"/>
      <c r="T19" s="868"/>
      <c r="U19" s="868"/>
      <c r="V19" s="868"/>
      <c r="W19" s="868"/>
      <c r="X19" s="868"/>
      <c r="Y19" s="868"/>
      <c r="Z19" s="868"/>
      <c r="AA19" s="869"/>
      <c r="AB19" s="876"/>
      <c r="AC19" s="877"/>
      <c r="AD19" s="877"/>
      <c r="AE19" s="877"/>
      <c r="AF19" s="877"/>
      <c r="AG19" s="877"/>
      <c r="AH19" s="878"/>
      <c r="AI19" s="829" t="s">
        <v>569</v>
      </c>
      <c r="AJ19" s="830"/>
      <c r="AK19" s="830"/>
      <c r="AL19" s="830"/>
      <c r="AM19" s="830"/>
      <c r="AN19" s="830"/>
      <c r="AO19" s="830"/>
      <c r="AP19" s="830"/>
      <c r="AQ19" s="830"/>
      <c r="AR19" s="831" t="s">
        <v>346</v>
      </c>
      <c r="AS19" s="827"/>
      <c r="AT19" s="827"/>
      <c r="AU19" s="827"/>
      <c r="AV19" s="827"/>
      <c r="AW19" s="827"/>
      <c r="AX19" s="827"/>
      <c r="AY19" s="827"/>
      <c r="AZ19" s="827"/>
      <c r="BA19" s="827"/>
      <c r="BB19" s="827"/>
      <c r="BC19" s="827"/>
      <c r="BD19" s="827"/>
      <c r="BE19" s="827"/>
      <c r="BF19" s="827"/>
      <c r="BG19" s="827"/>
      <c r="BH19" s="827"/>
      <c r="BI19" s="827"/>
      <c r="BJ19" s="827"/>
      <c r="BK19" s="827"/>
      <c r="BL19" s="827"/>
      <c r="BM19" s="827"/>
      <c r="BN19" s="827"/>
      <c r="BO19" s="827"/>
      <c r="BP19" s="827"/>
      <c r="BQ19" s="827"/>
      <c r="BR19" s="827"/>
      <c r="BS19" s="827"/>
      <c r="BT19" s="827"/>
      <c r="BU19" s="827"/>
      <c r="BV19" s="827"/>
      <c r="BW19" s="827"/>
      <c r="BX19" s="827"/>
      <c r="BY19" s="827"/>
      <c r="BZ19" s="828"/>
    </row>
    <row r="20" spans="1:78" ht="30.75" customHeight="1">
      <c r="A20" s="818" t="s">
        <v>349</v>
      </c>
      <c r="B20" s="819"/>
      <c r="C20" s="607"/>
      <c r="D20" s="608"/>
      <c r="E20" s="608"/>
      <c r="F20" s="608"/>
      <c r="G20" s="608"/>
      <c r="H20" s="608"/>
      <c r="I20" s="609"/>
      <c r="J20" s="870" t="s">
        <v>304</v>
      </c>
      <c r="K20" s="871"/>
      <c r="L20" s="871"/>
      <c r="M20" s="871"/>
      <c r="N20" s="871"/>
      <c r="O20" s="871"/>
      <c r="P20" s="872"/>
      <c r="Q20" s="867" t="s">
        <v>350</v>
      </c>
      <c r="R20" s="868"/>
      <c r="S20" s="868"/>
      <c r="T20" s="868"/>
      <c r="U20" s="868"/>
      <c r="V20" s="868"/>
      <c r="W20" s="868"/>
      <c r="X20" s="868"/>
      <c r="Y20" s="868"/>
      <c r="Z20" s="868"/>
      <c r="AA20" s="869"/>
      <c r="AB20" s="876"/>
      <c r="AC20" s="877"/>
      <c r="AD20" s="877"/>
      <c r="AE20" s="877"/>
      <c r="AF20" s="877"/>
      <c r="AG20" s="877"/>
      <c r="AH20" s="878"/>
      <c r="AI20" s="829" t="s">
        <v>570</v>
      </c>
      <c r="AJ20" s="830"/>
      <c r="AK20" s="830"/>
      <c r="AL20" s="830"/>
      <c r="AM20" s="830"/>
      <c r="AN20" s="830"/>
      <c r="AO20" s="830"/>
      <c r="AP20" s="830"/>
      <c r="AQ20" s="830"/>
      <c r="AR20" s="831" t="s">
        <v>351</v>
      </c>
      <c r="AS20" s="827"/>
      <c r="AT20" s="827"/>
      <c r="AU20" s="827"/>
      <c r="AV20" s="827"/>
      <c r="AW20" s="827"/>
      <c r="AX20" s="827"/>
      <c r="AY20" s="827"/>
      <c r="AZ20" s="827"/>
      <c r="BA20" s="827"/>
      <c r="BB20" s="827"/>
      <c r="BC20" s="827"/>
      <c r="BD20" s="827"/>
      <c r="BE20" s="827"/>
      <c r="BF20" s="827"/>
      <c r="BG20" s="827"/>
      <c r="BH20" s="827"/>
      <c r="BI20" s="827"/>
      <c r="BJ20" s="827"/>
      <c r="BK20" s="827"/>
      <c r="BL20" s="827"/>
      <c r="BM20" s="827"/>
      <c r="BN20" s="827"/>
      <c r="BO20" s="827"/>
      <c r="BP20" s="827"/>
      <c r="BQ20" s="827"/>
      <c r="BR20" s="827"/>
      <c r="BS20" s="827"/>
      <c r="BT20" s="827"/>
      <c r="BU20" s="827"/>
      <c r="BV20" s="827"/>
      <c r="BW20" s="827"/>
      <c r="BX20" s="827"/>
      <c r="BY20" s="827"/>
      <c r="BZ20" s="828"/>
    </row>
    <row r="21" spans="1:78" ht="46.5" customHeight="1">
      <c r="A21" s="818" t="s">
        <v>352</v>
      </c>
      <c r="B21" s="819"/>
      <c r="C21" s="838"/>
      <c r="D21" s="839"/>
      <c r="E21" s="839"/>
      <c r="F21" s="839"/>
      <c r="G21" s="839"/>
      <c r="H21" s="839"/>
      <c r="I21" s="840"/>
      <c r="J21" s="870" t="s">
        <v>353</v>
      </c>
      <c r="K21" s="871"/>
      <c r="L21" s="871"/>
      <c r="M21" s="871"/>
      <c r="N21" s="871"/>
      <c r="O21" s="871"/>
      <c r="P21" s="872"/>
      <c r="Q21" s="879" t="s">
        <v>354</v>
      </c>
      <c r="R21" s="880"/>
      <c r="S21" s="880"/>
      <c r="T21" s="880"/>
      <c r="U21" s="880"/>
      <c r="V21" s="880"/>
      <c r="W21" s="880"/>
      <c r="X21" s="880"/>
      <c r="Y21" s="880"/>
      <c r="Z21" s="880"/>
      <c r="AA21" s="881"/>
      <c r="AB21" s="677"/>
      <c r="AC21" s="678"/>
      <c r="AD21" s="678"/>
      <c r="AE21" s="678"/>
      <c r="AF21" s="678"/>
      <c r="AG21" s="678"/>
      <c r="AH21" s="678"/>
      <c r="AI21" s="835" t="s">
        <v>563</v>
      </c>
      <c r="AJ21" s="836"/>
      <c r="AK21" s="836"/>
      <c r="AL21" s="836"/>
      <c r="AM21" s="836"/>
      <c r="AN21" s="836"/>
      <c r="AO21" s="836"/>
      <c r="AP21" s="836"/>
      <c r="AQ21" s="836"/>
      <c r="AR21" s="831" t="s">
        <v>721</v>
      </c>
      <c r="AS21" s="827"/>
      <c r="AT21" s="827"/>
      <c r="AU21" s="827"/>
      <c r="AV21" s="827"/>
      <c r="AW21" s="827"/>
      <c r="AX21" s="827"/>
      <c r="AY21" s="827"/>
      <c r="AZ21" s="827"/>
      <c r="BA21" s="827"/>
      <c r="BB21" s="827"/>
      <c r="BC21" s="827"/>
      <c r="BD21" s="827"/>
      <c r="BE21" s="827"/>
      <c r="BF21" s="827"/>
      <c r="BG21" s="827"/>
      <c r="BH21" s="827"/>
      <c r="BI21" s="827"/>
      <c r="BJ21" s="827"/>
      <c r="BK21" s="827"/>
      <c r="BL21" s="827"/>
      <c r="BM21" s="827"/>
      <c r="BN21" s="827"/>
      <c r="BO21" s="827"/>
      <c r="BP21" s="827"/>
      <c r="BQ21" s="827"/>
      <c r="BR21" s="827"/>
      <c r="BS21" s="827"/>
      <c r="BT21" s="827"/>
      <c r="BU21" s="827"/>
      <c r="BV21" s="827"/>
      <c r="BW21" s="827"/>
      <c r="BX21" s="827"/>
      <c r="BY21" s="827"/>
      <c r="BZ21" s="828"/>
    </row>
    <row r="22" spans="1:78" ht="167.5" customHeight="1">
      <c r="A22" s="818" t="s">
        <v>355</v>
      </c>
      <c r="B22" s="819"/>
      <c r="C22" s="841"/>
      <c r="D22" s="842"/>
      <c r="E22" s="842"/>
      <c r="F22" s="842"/>
      <c r="G22" s="842"/>
      <c r="H22" s="842"/>
      <c r="I22" s="843"/>
      <c r="J22" s="870" t="s">
        <v>356</v>
      </c>
      <c r="K22" s="871"/>
      <c r="L22" s="871"/>
      <c r="M22" s="871"/>
      <c r="N22" s="871"/>
      <c r="O22" s="871"/>
      <c r="P22" s="872"/>
      <c r="Q22" s="879" t="s">
        <v>357</v>
      </c>
      <c r="R22" s="880"/>
      <c r="S22" s="880"/>
      <c r="T22" s="880"/>
      <c r="U22" s="880"/>
      <c r="V22" s="880"/>
      <c r="W22" s="880"/>
      <c r="X22" s="880"/>
      <c r="Y22" s="880"/>
      <c r="Z22" s="880"/>
      <c r="AA22" s="881"/>
      <c r="AB22" s="829"/>
      <c r="AC22" s="830"/>
      <c r="AD22" s="830"/>
      <c r="AE22" s="830"/>
      <c r="AF22" s="830"/>
      <c r="AG22" s="830"/>
      <c r="AH22" s="830"/>
      <c r="AI22" s="829"/>
      <c r="AJ22" s="830"/>
      <c r="AK22" s="830"/>
      <c r="AL22" s="830"/>
      <c r="AM22" s="830"/>
      <c r="AN22" s="830"/>
      <c r="AO22" s="830"/>
      <c r="AP22" s="830"/>
      <c r="AQ22" s="830"/>
      <c r="AR22" s="831" t="s">
        <v>558</v>
      </c>
      <c r="AS22" s="827"/>
      <c r="AT22" s="827"/>
      <c r="AU22" s="827"/>
      <c r="AV22" s="827"/>
      <c r="AW22" s="827"/>
      <c r="AX22" s="827"/>
      <c r="AY22" s="827"/>
      <c r="AZ22" s="827"/>
      <c r="BA22" s="827"/>
      <c r="BB22" s="827"/>
      <c r="BC22" s="827"/>
      <c r="BD22" s="827"/>
      <c r="BE22" s="827"/>
      <c r="BF22" s="827"/>
      <c r="BG22" s="827"/>
      <c r="BH22" s="827"/>
      <c r="BI22" s="827"/>
      <c r="BJ22" s="827"/>
      <c r="BK22" s="827"/>
      <c r="BL22" s="827"/>
      <c r="BM22" s="827"/>
      <c r="BN22" s="827"/>
      <c r="BO22" s="827"/>
      <c r="BP22" s="827"/>
      <c r="BQ22" s="827"/>
      <c r="BR22" s="827"/>
      <c r="BS22" s="827"/>
      <c r="BT22" s="827"/>
      <c r="BU22" s="827"/>
      <c r="BV22" s="827"/>
      <c r="BW22" s="827"/>
      <c r="BX22" s="827"/>
      <c r="BY22" s="827"/>
      <c r="BZ22" s="828"/>
    </row>
    <row r="23" spans="1:78" ht="15.75" customHeight="1">
      <c r="A23" s="818" t="s">
        <v>358</v>
      </c>
      <c r="B23" s="819"/>
      <c r="C23" s="870"/>
      <c r="D23" s="871"/>
      <c r="E23" s="871"/>
      <c r="F23" s="871"/>
      <c r="G23" s="871"/>
      <c r="H23" s="871"/>
      <c r="I23" s="872"/>
      <c r="J23" s="870" t="s">
        <v>359</v>
      </c>
      <c r="K23" s="871"/>
      <c r="L23" s="871"/>
      <c r="M23" s="871"/>
      <c r="N23" s="871"/>
      <c r="O23" s="871"/>
      <c r="P23" s="872"/>
      <c r="Q23" s="879" t="s">
        <v>318</v>
      </c>
      <c r="R23" s="880"/>
      <c r="S23" s="880"/>
      <c r="T23" s="880"/>
      <c r="U23" s="880"/>
      <c r="V23" s="880"/>
      <c r="W23" s="880"/>
      <c r="X23" s="880"/>
      <c r="Y23" s="880"/>
      <c r="Z23" s="880"/>
      <c r="AA23" s="881"/>
      <c r="AB23" s="829"/>
      <c r="AC23" s="830"/>
      <c r="AD23" s="830"/>
      <c r="AE23" s="830"/>
      <c r="AF23" s="830"/>
      <c r="AG23" s="830"/>
      <c r="AH23" s="830"/>
      <c r="AI23" s="829"/>
      <c r="AJ23" s="830"/>
      <c r="AK23" s="830"/>
      <c r="AL23" s="830"/>
      <c r="AM23" s="830"/>
      <c r="AN23" s="830"/>
      <c r="AO23" s="830"/>
      <c r="AP23" s="830"/>
      <c r="AQ23" s="830"/>
      <c r="AR23" s="831"/>
      <c r="AS23" s="827"/>
      <c r="AT23" s="827"/>
      <c r="AU23" s="827"/>
      <c r="AV23" s="827"/>
      <c r="AW23" s="827"/>
      <c r="AX23" s="827"/>
      <c r="AY23" s="827"/>
      <c r="AZ23" s="827"/>
      <c r="BA23" s="827"/>
      <c r="BB23" s="827"/>
      <c r="BC23" s="827"/>
      <c r="BD23" s="827"/>
      <c r="BE23" s="827"/>
      <c r="BF23" s="827"/>
      <c r="BG23" s="827"/>
      <c r="BH23" s="827"/>
      <c r="BI23" s="827"/>
      <c r="BJ23" s="827"/>
      <c r="BK23" s="827"/>
      <c r="BL23" s="827"/>
      <c r="BM23" s="827"/>
      <c r="BN23" s="827"/>
      <c r="BO23" s="827"/>
      <c r="BP23" s="827"/>
      <c r="BQ23" s="827"/>
      <c r="BR23" s="827"/>
      <c r="BS23" s="827"/>
      <c r="BT23" s="827"/>
      <c r="BU23" s="827"/>
      <c r="BV23" s="827"/>
      <c r="BW23" s="827"/>
      <c r="BX23" s="827"/>
      <c r="BY23" s="827"/>
      <c r="BZ23" s="828"/>
    </row>
    <row r="24" spans="1:78" ht="60.5" customHeight="1">
      <c r="A24" s="860">
        <v>2.15</v>
      </c>
      <c r="B24" s="882"/>
      <c r="C24" s="870"/>
      <c r="D24" s="871"/>
      <c r="E24" s="871"/>
      <c r="F24" s="871"/>
      <c r="G24" s="871"/>
      <c r="H24" s="871"/>
      <c r="I24" s="872"/>
      <c r="J24" s="870" t="s">
        <v>360</v>
      </c>
      <c r="K24" s="871"/>
      <c r="L24" s="871"/>
      <c r="M24" s="871"/>
      <c r="N24" s="871"/>
      <c r="O24" s="871"/>
      <c r="P24" s="872"/>
      <c r="Q24" s="879" t="s">
        <v>318</v>
      </c>
      <c r="R24" s="880"/>
      <c r="S24" s="880"/>
      <c r="T24" s="880"/>
      <c r="U24" s="880"/>
      <c r="V24" s="880"/>
      <c r="W24" s="880"/>
      <c r="X24" s="880"/>
      <c r="Y24" s="880"/>
      <c r="Z24" s="880"/>
      <c r="AA24" s="881"/>
      <c r="AB24" s="829"/>
      <c r="AC24" s="830"/>
      <c r="AD24" s="830"/>
      <c r="AE24" s="830"/>
      <c r="AF24" s="830"/>
      <c r="AG24" s="830"/>
      <c r="AH24" s="830"/>
      <c r="AI24" s="829"/>
      <c r="AJ24" s="830"/>
      <c r="AK24" s="830"/>
      <c r="AL24" s="830"/>
      <c r="AM24" s="830"/>
      <c r="AN24" s="830"/>
      <c r="AO24" s="830"/>
      <c r="AP24" s="830"/>
      <c r="AQ24" s="830"/>
      <c r="AR24" s="831" t="s">
        <v>450</v>
      </c>
      <c r="AS24" s="827"/>
      <c r="AT24" s="827"/>
      <c r="AU24" s="827"/>
      <c r="AV24" s="827"/>
      <c r="AW24" s="827"/>
      <c r="AX24" s="827"/>
      <c r="AY24" s="827"/>
      <c r="AZ24" s="827"/>
      <c r="BA24" s="827"/>
      <c r="BB24" s="827"/>
      <c r="BC24" s="827"/>
      <c r="BD24" s="827"/>
      <c r="BE24" s="827"/>
      <c r="BF24" s="827"/>
      <c r="BG24" s="827"/>
      <c r="BH24" s="827"/>
      <c r="BI24" s="827"/>
      <c r="BJ24" s="827"/>
      <c r="BK24" s="827"/>
      <c r="BL24" s="827"/>
      <c r="BM24" s="827"/>
      <c r="BN24" s="827"/>
      <c r="BO24" s="827"/>
      <c r="BP24" s="827"/>
      <c r="BQ24" s="827"/>
      <c r="BR24" s="827"/>
      <c r="BS24" s="827"/>
      <c r="BT24" s="827"/>
      <c r="BU24" s="827"/>
      <c r="BV24" s="827"/>
      <c r="BW24" s="827"/>
      <c r="BX24" s="827"/>
      <c r="BY24" s="827"/>
      <c r="BZ24" s="828"/>
    </row>
    <row r="25" spans="1:78" ht="36" customHeight="1">
      <c r="A25" s="860">
        <v>2.16</v>
      </c>
      <c r="B25" s="882"/>
      <c r="C25" s="607"/>
      <c r="D25" s="608"/>
      <c r="E25" s="608"/>
      <c r="F25" s="608"/>
      <c r="G25" s="608"/>
      <c r="H25" s="608"/>
      <c r="I25" s="609"/>
      <c r="J25" s="870" t="s">
        <v>361</v>
      </c>
      <c r="K25" s="871"/>
      <c r="L25" s="871"/>
      <c r="M25" s="871"/>
      <c r="N25" s="871"/>
      <c r="O25" s="871"/>
      <c r="P25" s="872"/>
      <c r="Q25" s="867" t="s">
        <v>305</v>
      </c>
      <c r="R25" s="868"/>
      <c r="S25" s="868"/>
      <c r="T25" s="868"/>
      <c r="U25" s="868"/>
      <c r="V25" s="868"/>
      <c r="W25" s="868"/>
      <c r="X25" s="868"/>
      <c r="Y25" s="868"/>
      <c r="Z25" s="868"/>
      <c r="AA25" s="883"/>
      <c r="AB25" s="829"/>
      <c r="AC25" s="830"/>
      <c r="AD25" s="830"/>
      <c r="AE25" s="830"/>
      <c r="AF25" s="830"/>
      <c r="AG25" s="830"/>
      <c r="AH25" s="830"/>
      <c r="AI25" s="829"/>
      <c r="AJ25" s="830"/>
      <c r="AK25" s="830"/>
      <c r="AL25" s="830"/>
      <c r="AM25" s="830"/>
      <c r="AN25" s="830"/>
      <c r="AO25" s="830"/>
      <c r="AP25" s="830"/>
      <c r="AQ25" s="830"/>
      <c r="AR25" s="826" t="s">
        <v>560</v>
      </c>
      <c r="AS25" s="827"/>
      <c r="AT25" s="827"/>
      <c r="AU25" s="827"/>
      <c r="AV25" s="827"/>
      <c r="AW25" s="827"/>
      <c r="AX25" s="827"/>
      <c r="AY25" s="827"/>
      <c r="AZ25" s="827"/>
      <c r="BA25" s="827"/>
      <c r="BB25" s="827"/>
      <c r="BC25" s="827"/>
      <c r="BD25" s="827"/>
      <c r="BE25" s="827"/>
      <c r="BF25" s="827"/>
      <c r="BG25" s="827"/>
      <c r="BH25" s="827"/>
      <c r="BI25" s="827"/>
      <c r="BJ25" s="827"/>
      <c r="BK25" s="827"/>
      <c r="BL25" s="827"/>
      <c r="BM25" s="827"/>
      <c r="BN25" s="827"/>
      <c r="BO25" s="827"/>
      <c r="BP25" s="827"/>
      <c r="BQ25" s="827"/>
      <c r="BR25" s="827"/>
      <c r="BS25" s="827"/>
      <c r="BT25" s="827"/>
      <c r="BU25" s="827"/>
      <c r="BV25" s="827"/>
      <c r="BW25" s="827"/>
      <c r="BX25" s="827"/>
      <c r="BY25" s="827"/>
      <c r="BZ25" s="828"/>
    </row>
    <row r="26" spans="1:78" ht="71.5" customHeight="1">
      <c r="A26" s="818" t="s">
        <v>362</v>
      </c>
      <c r="B26" s="819"/>
      <c r="C26" s="607"/>
      <c r="D26" s="608"/>
      <c r="E26" s="608"/>
      <c r="F26" s="608"/>
      <c r="G26" s="608"/>
      <c r="H26" s="608"/>
      <c r="I26" s="609"/>
      <c r="J26" s="870" t="s">
        <v>363</v>
      </c>
      <c r="K26" s="871"/>
      <c r="L26" s="871"/>
      <c r="M26" s="871"/>
      <c r="N26" s="871"/>
      <c r="O26" s="871"/>
      <c r="P26" s="872"/>
      <c r="Q26" s="867" t="s">
        <v>305</v>
      </c>
      <c r="R26" s="868"/>
      <c r="S26" s="868"/>
      <c r="T26" s="868"/>
      <c r="U26" s="868"/>
      <c r="V26" s="868"/>
      <c r="W26" s="868"/>
      <c r="X26" s="868"/>
      <c r="Y26" s="868"/>
      <c r="Z26" s="868"/>
      <c r="AA26" s="883"/>
      <c r="AB26" s="835"/>
      <c r="AC26" s="836"/>
      <c r="AD26" s="836"/>
      <c r="AE26" s="836"/>
      <c r="AF26" s="836"/>
      <c r="AG26" s="836"/>
      <c r="AH26" s="836"/>
      <c r="AI26" s="835"/>
      <c r="AJ26" s="836"/>
      <c r="AK26" s="836"/>
      <c r="AL26" s="836"/>
      <c r="AM26" s="836"/>
      <c r="AN26" s="836"/>
      <c r="AO26" s="836"/>
      <c r="AP26" s="836"/>
      <c r="AQ26" s="836"/>
      <c r="AR26" s="826" t="s">
        <v>367</v>
      </c>
      <c r="AS26" s="827"/>
      <c r="AT26" s="827"/>
      <c r="AU26" s="827"/>
      <c r="AV26" s="827"/>
      <c r="AW26" s="827"/>
      <c r="AX26" s="827"/>
      <c r="AY26" s="827"/>
      <c r="AZ26" s="827"/>
      <c r="BA26" s="827"/>
      <c r="BB26" s="827"/>
      <c r="BC26" s="827"/>
      <c r="BD26" s="827"/>
      <c r="BE26" s="827"/>
      <c r="BF26" s="827"/>
      <c r="BG26" s="827"/>
      <c r="BH26" s="827"/>
      <c r="BI26" s="827"/>
      <c r="BJ26" s="827"/>
      <c r="BK26" s="827"/>
      <c r="BL26" s="827"/>
      <c r="BM26" s="827"/>
      <c r="BN26" s="827"/>
      <c r="BO26" s="827"/>
      <c r="BP26" s="827"/>
      <c r="BQ26" s="827"/>
      <c r="BR26" s="827"/>
      <c r="BS26" s="827"/>
      <c r="BT26" s="827"/>
      <c r="BU26" s="827"/>
      <c r="BV26" s="827"/>
      <c r="BW26" s="827"/>
      <c r="BX26" s="827"/>
      <c r="BY26" s="827"/>
      <c r="BZ26" s="828"/>
    </row>
    <row r="27" spans="1:78" ht="36" customHeight="1">
      <c r="A27" s="818" t="s">
        <v>364</v>
      </c>
      <c r="B27" s="819"/>
      <c r="C27" s="607"/>
      <c r="D27" s="608"/>
      <c r="E27" s="608"/>
      <c r="F27" s="608"/>
      <c r="G27" s="608"/>
      <c r="H27" s="608"/>
      <c r="I27" s="609"/>
      <c r="J27" s="870" t="s">
        <v>365</v>
      </c>
      <c r="K27" s="871"/>
      <c r="L27" s="871"/>
      <c r="M27" s="871"/>
      <c r="N27" s="871"/>
      <c r="O27" s="871"/>
      <c r="P27" s="872"/>
      <c r="Q27" s="867" t="s">
        <v>305</v>
      </c>
      <c r="R27" s="868"/>
      <c r="S27" s="868"/>
      <c r="T27" s="868"/>
      <c r="U27" s="868"/>
      <c r="V27" s="868"/>
      <c r="W27" s="868"/>
      <c r="X27" s="868"/>
      <c r="Y27" s="868"/>
      <c r="Z27" s="868"/>
      <c r="AA27" s="869"/>
      <c r="AB27" s="835"/>
      <c r="AC27" s="836"/>
      <c r="AD27" s="836"/>
      <c r="AE27" s="836"/>
      <c r="AF27" s="836"/>
      <c r="AG27" s="836"/>
      <c r="AH27" s="836"/>
      <c r="AI27" s="835"/>
      <c r="AJ27" s="836"/>
      <c r="AK27" s="836"/>
      <c r="AL27" s="836"/>
      <c r="AM27" s="836"/>
      <c r="AN27" s="836"/>
      <c r="AO27" s="836"/>
      <c r="AP27" s="836"/>
      <c r="AQ27" s="836"/>
      <c r="AR27" s="831" t="s">
        <v>366</v>
      </c>
      <c r="AS27" s="827"/>
      <c r="AT27" s="827"/>
      <c r="AU27" s="827"/>
      <c r="AV27" s="827"/>
      <c r="AW27" s="827"/>
      <c r="AX27" s="827"/>
      <c r="AY27" s="827"/>
      <c r="AZ27" s="827"/>
      <c r="BA27" s="827"/>
      <c r="BB27" s="827"/>
      <c r="BC27" s="827"/>
      <c r="BD27" s="827"/>
      <c r="BE27" s="827"/>
      <c r="BF27" s="827"/>
      <c r="BG27" s="827"/>
      <c r="BH27" s="827"/>
      <c r="BI27" s="827"/>
      <c r="BJ27" s="827"/>
      <c r="BK27" s="827"/>
      <c r="BL27" s="827"/>
      <c r="BM27" s="827"/>
      <c r="BN27" s="827"/>
      <c r="BO27" s="827"/>
      <c r="BP27" s="827"/>
      <c r="BQ27" s="827"/>
      <c r="BR27" s="827"/>
      <c r="BS27" s="827"/>
      <c r="BT27" s="827"/>
      <c r="BU27" s="827"/>
      <c r="BV27" s="827"/>
      <c r="BW27" s="827"/>
      <c r="BX27" s="827"/>
      <c r="BY27" s="827"/>
      <c r="BZ27" s="828"/>
    </row>
    <row r="28" spans="1:78" ht="36" customHeight="1">
      <c r="A28" s="818"/>
      <c r="B28" s="819"/>
      <c r="C28" s="607"/>
      <c r="D28" s="608"/>
      <c r="E28" s="608"/>
      <c r="F28" s="608"/>
      <c r="G28" s="608"/>
      <c r="H28" s="608"/>
      <c r="I28" s="609"/>
      <c r="J28" s="870"/>
      <c r="K28" s="871"/>
      <c r="L28" s="871"/>
      <c r="M28" s="871"/>
      <c r="N28" s="871"/>
      <c r="O28" s="871"/>
      <c r="P28" s="872"/>
      <c r="Q28" s="867" t="s">
        <v>305</v>
      </c>
      <c r="R28" s="868"/>
      <c r="S28" s="868"/>
      <c r="T28" s="868"/>
      <c r="U28" s="868"/>
      <c r="V28" s="868"/>
      <c r="W28" s="868"/>
      <c r="X28" s="868"/>
      <c r="Y28" s="868"/>
      <c r="Z28" s="868"/>
      <c r="AA28" s="883"/>
      <c r="AB28" s="835"/>
      <c r="AC28" s="836"/>
      <c r="AD28" s="836"/>
      <c r="AE28" s="836"/>
      <c r="AF28" s="836"/>
      <c r="AG28" s="836"/>
      <c r="AH28" s="836"/>
      <c r="AI28" s="835"/>
      <c r="AJ28" s="836"/>
      <c r="AK28" s="836"/>
      <c r="AL28" s="836"/>
      <c r="AM28" s="836"/>
      <c r="AN28" s="836"/>
      <c r="AO28" s="836"/>
      <c r="AP28" s="836"/>
      <c r="AQ28" s="836"/>
      <c r="AR28" s="826"/>
      <c r="AS28" s="827"/>
      <c r="AT28" s="827"/>
      <c r="AU28" s="827"/>
      <c r="AV28" s="827"/>
      <c r="AW28" s="827"/>
      <c r="AX28" s="827"/>
      <c r="AY28" s="827"/>
      <c r="AZ28" s="827"/>
      <c r="BA28" s="827"/>
      <c r="BB28" s="827"/>
      <c r="BC28" s="827"/>
      <c r="BD28" s="827"/>
      <c r="BE28" s="827"/>
      <c r="BF28" s="827"/>
      <c r="BG28" s="827"/>
      <c r="BH28" s="827"/>
      <c r="BI28" s="827"/>
      <c r="BJ28" s="827"/>
      <c r="BK28" s="827"/>
      <c r="BL28" s="827"/>
      <c r="BM28" s="827"/>
      <c r="BN28" s="827"/>
      <c r="BO28" s="827"/>
      <c r="BP28" s="827"/>
      <c r="BQ28" s="827"/>
      <c r="BR28" s="827"/>
      <c r="BS28" s="827"/>
      <c r="BT28" s="827"/>
      <c r="BU28" s="827"/>
      <c r="BV28" s="827"/>
      <c r="BW28" s="827"/>
      <c r="BX28" s="827"/>
      <c r="BY28" s="827"/>
      <c r="BZ28" s="828"/>
    </row>
    <row r="29" spans="1:78" ht="36" customHeight="1">
      <c r="A29" s="818"/>
      <c r="B29" s="819"/>
      <c r="C29" s="607"/>
      <c r="D29" s="608"/>
      <c r="E29" s="608"/>
      <c r="F29" s="608"/>
      <c r="G29" s="608"/>
      <c r="H29" s="608"/>
      <c r="I29" s="609"/>
      <c r="J29" s="870"/>
      <c r="K29" s="871"/>
      <c r="L29" s="871"/>
      <c r="M29" s="871"/>
      <c r="N29" s="871"/>
      <c r="O29" s="871"/>
      <c r="P29" s="872"/>
      <c r="Q29" s="884"/>
      <c r="R29" s="885"/>
      <c r="S29" s="885"/>
      <c r="T29" s="885"/>
      <c r="U29" s="885"/>
      <c r="V29" s="885"/>
      <c r="W29" s="885"/>
      <c r="X29" s="885"/>
      <c r="Y29" s="885"/>
      <c r="Z29" s="885"/>
      <c r="AA29" s="611"/>
      <c r="AB29" s="835"/>
      <c r="AC29" s="836"/>
      <c r="AD29" s="836"/>
      <c r="AE29" s="836"/>
      <c r="AF29" s="836"/>
      <c r="AG29" s="836"/>
      <c r="AH29" s="836"/>
      <c r="AI29" s="835"/>
      <c r="AJ29" s="836"/>
      <c r="AK29" s="836"/>
      <c r="AL29" s="836"/>
      <c r="AM29" s="836"/>
      <c r="AN29" s="836"/>
      <c r="AO29" s="836"/>
      <c r="AP29" s="836"/>
      <c r="AQ29" s="836"/>
      <c r="AR29" s="826"/>
      <c r="AS29" s="827"/>
      <c r="AT29" s="827"/>
      <c r="AU29" s="827"/>
      <c r="AV29" s="827"/>
      <c r="AW29" s="827"/>
      <c r="AX29" s="827"/>
      <c r="AY29" s="827"/>
      <c r="AZ29" s="827"/>
      <c r="BA29" s="827"/>
      <c r="BB29" s="827"/>
      <c r="BC29" s="827"/>
      <c r="BD29" s="827"/>
      <c r="BE29" s="827"/>
      <c r="BF29" s="827"/>
      <c r="BG29" s="827"/>
      <c r="BH29" s="827"/>
      <c r="BI29" s="827"/>
      <c r="BJ29" s="827"/>
      <c r="BK29" s="827"/>
      <c r="BL29" s="827"/>
      <c r="BM29" s="827"/>
      <c r="BN29" s="827"/>
      <c r="BO29" s="827"/>
      <c r="BP29" s="827"/>
      <c r="BQ29" s="827"/>
      <c r="BR29" s="827"/>
      <c r="BS29" s="827"/>
      <c r="BT29" s="827"/>
      <c r="BU29" s="827"/>
      <c r="BV29" s="827"/>
      <c r="BW29" s="827"/>
      <c r="BX29" s="827"/>
      <c r="BY29" s="827"/>
      <c r="BZ29" s="828"/>
    </row>
    <row r="30" spans="1:78">
      <c r="A30" s="604"/>
      <c r="B30" s="604"/>
      <c r="C30" s="604"/>
      <c r="D30" s="604"/>
      <c r="E30" s="604"/>
      <c r="F30" s="604"/>
      <c r="G30" s="604"/>
      <c r="H30" s="604"/>
      <c r="I30" s="604"/>
      <c r="J30" s="604"/>
      <c r="K30" s="604"/>
      <c r="L30" s="604"/>
      <c r="M30" s="604"/>
      <c r="N30" s="604"/>
      <c r="O30" s="604"/>
      <c r="P30" s="604"/>
      <c r="Q30" s="604"/>
      <c r="R30" s="604"/>
      <c r="S30" s="604"/>
      <c r="T30" s="604"/>
      <c r="U30" s="604"/>
      <c r="V30" s="604"/>
      <c r="W30" s="604"/>
      <c r="X30" s="604"/>
      <c r="Y30" s="604"/>
      <c r="Z30" s="604"/>
      <c r="AA30" s="604"/>
      <c r="AB30" s="837"/>
      <c r="AC30" s="837"/>
      <c r="AD30" s="837"/>
      <c r="AE30" s="837"/>
      <c r="AF30" s="837"/>
      <c r="AG30" s="837"/>
      <c r="AH30" s="837"/>
      <c r="AI30" s="837"/>
      <c r="AJ30" s="837"/>
      <c r="AK30" s="837"/>
      <c r="AL30" s="837"/>
      <c r="AM30" s="837"/>
      <c r="AN30" s="837"/>
      <c r="AO30" s="837"/>
      <c r="AP30" s="837"/>
      <c r="AQ30" s="837"/>
      <c r="AR30" s="604"/>
      <c r="AS30" s="604"/>
      <c r="AT30" s="604"/>
      <c r="AU30" s="604"/>
      <c r="AV30" s="604"/>
      <c r="AW30" s="604"/>
      <c r="AX30" s="604"/>
      <c r="AY30" s="604"/>
      <c r="AZ30" s="604"/>
      <c r="BA30" s="604"/>
      <c r="BB30" s="604"/>
      <c r="BC30" s="604"/>
      <c r="BD30" s="604"/>
      <c r="BE30" s="604"/>
      <c r="BF30" s="604"/>
      <c r="BG30" s="604"/>
      <c r="BH30" s="604"/>
      <c r="BI30" s="604"/>
      <c r="BJ30" s="604"/>
      <c r="BK30" s="604"/>
      <c r="BL30" s="604"/>
      <c r="BM30" s="604"/>
      <c r="BN30" s="604"/>
      <c r="BO30" s="604"/>
      <c r="BP30" s="604"/>
      <c r="BQ30" s="604"/>
      <c r="BR30" s="604"/>
      <c r="BS30" s="604"/>
      <c r="BT30" s="604"/>
      <c r="BU30" s="604"/>
      <c r="BV30" s="604"/>
      <c r="BW30" s="604"/>
      <c r="BX30" s="604"/>
      <c r="BY30" s="604"/>
      <c r="BZ30" s="604"/>
    </row>
    <row r="31" spans="1:78">
      <c r="AB31" s="834"/>
      <c r="AC31" s="834"/>
      <c r="AD31" s="834"/>
      <c r="AE31" s="834"/>
      <c r="AF31" s="834"/>
      <c r="AG31" s="834"/>
      <c r="AH31" s="834"/>
      <c r="AI31" s="834"/>
      <c r="AJ31" s="834"/>
      <c r="AK31" s="834"/>
      <c r="AL31" s="834"/>
      <c r="AM31" s="834"/>
      <c r="AN31" s="834"/>
      <c r="AO31" s="834"/>
      <c r="AP31" s="834"/>
      <c r="AQ31" s="834"/>
    </row>
    <row r="32" spans="1:78">
      <c r="AB32" s="676"/>
      <c r="AC32" s="676"/>
      <c r="AD32" s="676"/>
      <c r="AE32" s="676"/>
      <c r="AF32" s="676"/>
      <c r="AG32" s="676"/>
      <c r="AH32" s="676"/>
      <c r="AI32" s="676"/>
      <c r="AJ32" s="676"/>
      <c r="AK32" s="676"/>
      <c r="AL32" s="676"/>
      <c r="AM32" s="676"/>
      <c r="AN32" s="676"/>
      <c r="AO32" s="676"/>
      <c r="AP32" s="676"/>
      <c r="AQ32" s="676"/>
    </row>
  </sheetData>
  <mergeCells count="167">
    <mergeCell ref="A27:B27"/>
    <mergeCell ref="J27:P27"/>
    <mergeCell ref="A26:B26"/>
    <mergeCell ref="J26:P26"/>
    <mergeCell ref="AR25:BZ25"/>
    <mergeCell ref="AR26:BZ26"/>
    <mergeCell ref="AR28:BZ28"/>
    <mergeCell ref="AR29:BZ29"/>
    <mergeCell ref="A29:B29"/>
    <mergeCell ref="J29:P29"/>
    <mergeCell ref="Q29:Z29"/>
    <mergeCell ref="A28:B28"/>
    <mergeCell ref="J28:P28"/>
    <mergeCell ref="Q28:AA28"/>
    <mergeCell ref="Q27:AA27"/>
    <mergeCell ref="AR27:BZ27"/>
    <mergeCell ref="Q26:AA26"/>
    <mergeCell ref="AR24:BZ24"/>
    <mergeCell ref="Q24:AA24"/>
    <mergeCell ref="A24:B24"/>
    <mergeCell ref="C24:I24"/>
    <mergeCell ref="J24:P24"/>
    <mergeCell ref="AB24:AH24"/>
    <mergeCell ref="AI24:AQ24"/>
    <mergeCell ref="Q25:AA25"/>
    <mergeCell ref="A25:B25"/>
    <mergeCell ref="J25:P25"/>
    <mergeCell ref="AB25:AH25"/>
    <mergeCell ref="AI25:AQ25"/>
    <mergeCell ref="AR22:BZ22"/>
    <mergeCell ref="Q22:AA22"/>
    <mergeCell ref="A22:B22"/>
    <mergeCell ref="C22:I22"/>
    <mergeCell ref="J22:P22"/>
    <mergeCell ref="AB22:AH22"/>
    <mergeCell ref="AI22:AQ22"/>
    <mergeCell ref="Q23:AA23"/>
    <mergeCell ref="AR23:BZ23"/>
    <mergeCell ref="A23:B23"/>
    <mergeCell ref="C23:I23"/>
    <mergeCell ref="J23:P23"/>
    <mergeCell ref="AB23:AH23"/>
    <mergeCell ref="AI23:AQ23"/>
    <mergeCell ref="Q21:AA21"/>
    <mergeCell ref="AR21:BZ21"/>
    <mergeCell ref="AR20:BZ20"/>
    <mergeCell ref="A21:B21"/>
    <mergeCell ref="C21:I21"/>
    <mergeCell ref="J21:P21"/>
    <mergeCell ref="A20:B20"/>
    <mergeCell ref="J20:P20"/>
    <mergeCell ref="Q20:AA20"/>
    <mergeCell ref="AB20:AH20"/>
    <mergeCell ref="AI20:AQ20"/>
    <mergeCell ref="AI21:AQ21"/>
    <mergeCell ref="Q19:AA19"/>
    <mergeCell ref="AR19:BZ19"/>
    <mergeCell ref="AR18:BZ18"/>
    <mergeCell ref="A19:B19"/>
    <mergeCell ref="J19:P19"/>
    <mergeCell ref="A18:B18"/>
    <mergeCell ref="J18:P18"/>
    <mergeCell ref="Q18:AA18"/>
    <mergeCell ref="AI18:AQ18"/>
    <mergeCell ref="AB19:AH19"/>
    <mergeCell ref="AI19:AQ19"/>
    <mergeCell ref="Q15:AA15"/>
    <mergeCell ref="AR15:BZ15"/>
    <mergeCell ref="A15:B15"/>
    <mergeCell ref="J15:P15"/>
    <mergeCell ref="AB15:AH15"/>
    <mergeCell ref="AI15:AQ15"/>
    <mergeCell ref="Q17:AA17"/>
    <mergeCell ref="AR17:BZ17"/>
    <mergeCell ref="AR16:BZ16"/>
    <mergeCell ref="A17:B17"/>
    <mergeCell ref="J17:P17"/>
    <mergeCell ref="A16:B16"/>
    <mergeCell ref="J16:P16"/>
    <mergeCell ref="Q16:AA16"/>
    <mergeCell ref="AB16:AH16"/>
    <mergeCell ref="AI16:AQ16"/>
    <mergeCell ref="AI17:AQ17"/>
    <mergeCell ref="Q13:AA13"/>
    <mergeCell ref="A13:B13"/>
    <mergeCell ref="J13:P13"/>
    <mergeCell ref="AB13:AH13"/>
    <mergeCell ref="AI13:AQ13"/>
    <mergeCell ref="Q14:AA14"/>
    <mergeCell ref="A14:B14"/>
    <mergeCell ref="J14:P14"/>
    <mergeCell ref="AB14:AH14"/>
    <mergeCell ref="AI14:AQ14"/>
    <mergeCell ref="Q12:AA12"/>
    <mergeCell ref="Q11:AA11"/>
    <mergeCell ref="A12:B12"/>
    <mergeCell ref="J12:P12"/>
    <mergeCell ref="A11:B11"/>
    <mergeCell ref="J11:P11"/>
    <mergeCell ref="AB11:AH11"/>
    <mergeCell ref="AI11:AQ11"/>
    <mergeCell ref="AB12:AH12"/>
    <mergeCell ref="AI12:AQ12"/>
    <mergeCell ref="Q9:AA9"/>
    <mergeCell ref="AR9:BZ9"/>
    <mergeCell ref="A9:B9"/>
    <mergeCell ref="C9:I9"/>
    <mergeCell ref="J9:P9"/>
    <mergeCell ref="AB9:AH9"/>
    <mergeCell ref="AI9:AQ9"/>
    <mergeCell ref="Q10:AA10"/>
    <mergeCell ref="AR10:BZ10"/>
    <mergeCell ref="A10:B10"/>
    <mergeCell ref="J10:P10"/>
    <mergeCell ref="AB10:AH10"/>
    <mergeCell ref="AI10:AQ10"/>
    <mergeCell ref="A1:I1"/>
    <mergeCell ref="A2:P2"/>
    <mergeCell ref="Q2:BZ2"/>
    <mergeCell ref="C4:I4"/>
    <mergeCell ref="J4:P4"/>
    <mergeCell ref="AR3:BZ4"/>
    <mergeCell ref="A3:B4"/>
    <mergeCell ref="C3:P3"/>
    <mergeCell ref="Q3:AA4"/>
    <mergeCell ref="AB3:AH4"/>
    <mergeCell ref="AI3:AQ4"/>
    <mergeCell ref="Q7:AA7"/>
    <mergeCell ref="AR7:BZ7"/>
    <mergeCell ref="A7:B7"/>
    <mergeCell ref="C7:I7"/>
    <mergeCell ref="J7:P7"/>
    <mergeCell ref="AB7:AH7"/>
    <mergeCell ref="AI7:AQ7"/>
    <mergeCell ref="AR8:BZ8"/>
    <mergeCell ref="Q8:AA8"/>
    <mergeCell ref="A8:B8"/>
    <mergeCell ref="C8:I8"/>
    <mergeCell ref="J8:P8"/>
    <mergeCell ref="AB8:AH8"/>
    <mergeCell ref="AI8:AQ8"/>
    <mergeCell ref="AB31:AH31"/>
    <mergeCell ref="AI31:AQ31"/>
    <mergeCell ref="AB26:AH26"/>
    <mergeCell ref="AI26:AQ26"/>
    <mergeCell ref="AB27:AH27"/>
    <mergeCell ref="AI27:AQ27"/>
    <mergeCell ref="AB28:AH28"/>
    <mergeCell ref="AI28:AQ28"/>
    <mergeCell ref="AB29:AH29"/>
    <mergeCell ref="AI29:AQ29"/>
    <mergeCell ref="AB30:AH30"/>
    <mergeCell ref="AI30:AQ30"/>
    <mergeCell ref="A5:B5"/>
    <mergeCell ref="C5:I5"/>
    <mergeCell ref="J5:P5"/>
    <mergeCell ref="Q5:AA5"/>
    <mergeCell ref="AB5:AH5"/>
    <mergeCell ref="AI5:AQ5"/>
    <mergeCell ref="AR5:BZ5"/>
    <mergeCell ref="A6:B6"/>
    <mergeCell ref="C6:I6"/>
    <mergeCell ref="J6:P6"/>
    <mergeCell ref="Q6:AA6"/>
    <mergeCell ref="AB6:AH6"/>
    <mergeCell ref="AI6:AQ6"/>
    <mergeCell ref="AR6:BZ6"/>
  </mergeCells>
  <phoneticPr fontId="57"/>
  <conditionalFormatting sqref="Q5:Q29">
    <cfRule type="expression" dxfId="42" priority="4" stopIfTrue="1">
      <formula>FIND("○",#REF!)</formula>
    </cfRule>
  </conditionalFormatting>
  <conditionalFormatting sqref="AB5:AB31">
    <cfRule type="expression" dxfId="41" priority="3" stopIfTrue="1">
      <formula>FIND("○",#REF!)</formula>
    </cfRule>
  </conditionalFormatting>
  <conditionalFormatting sqref="AI5:AI31">
    <cfRule type="expression" dxfId="40" priority="2" stopIfTrue="1">
      <formula>FIND("○",#REF!)</formula>
    </cfRule>
  </conditionalFormatting>
  <conditionalFormatting sqref="AR5:AR29">
    <cfRule type="expression" dxfId="39" priority="1" stopIfTrue="1">
      <formula>FIND("○",#REF!)</formula>
    </cfRule>
  </conditionalFormatting>
  <dataValidations count="4">
    <dataValidation type="list" allowBlank="1" showInputMessage="1" showErrorMessage="1" sqref="U65545:X65545 IM65545:IP65545 SI65545:SL65545 ACE65545:ACH65545 AMA65545:AMD65545 AVW65545:AVZ65545 BFS65545:BFV65545 BPO65545:BPR65545 BZK65545:BZN65545 CJG65545:CJJ65545 CTC65545:CTF65545 DCY65545:DDB65545 DMU65545:DMX65545 DWQ65545:DWT65545 EGM65545:EGP65545 EQI65545:EQL65545 FAE65545:FAH65545 FKA65545:FKD65545 FTW65545:FTZ65545 GDS65545:GDV65545 GNO65545:GNR65545 GXK65545:GXN65545 HHG65545:HHJ65545 HRC65545:HRF65545 IAY65545:IBB65545 IKU65545:IKX65545 IUQ65545:IUT65545 JEM65545:JEP65545 JOI65545:JOL65545 JYE65545:JYH65545 KIA65545:KID65545 KRW65545:KRZ65545 LBS65545:LBV65545 LLO65545:LLR65545 LVK65545:LVN65545 MFG65545:MFJ65545 MPC65545:MPF65545 MYY65545:MZB65545 NIU65545:NIX65545 NSQ65545:NST65545 OCM65545:OCP65545 OMI65545:OML65545 OWE65545:OWH65545 PGA65545:PGD65545 PPW65545:PPZ65545 PZS65545:PZV65545 QJO65545:QJR65545 QTK65545:QTN65545 RDG65545:RDJ65545 RNC65545:RNF65545 RWY65545:RXB65545 SGU65545:SGX65545 SQQ65545:SQT65545 TAM65545:TAP65545 TKI65545:TKL65545 TUE65545:TUH65545 UEA65545:UED65545 UNW65545:UNZ65545 UXS65545:UXV65545 VHO65545:VHR65545 VRK65545:VRN65545 WBG65545:WBJ65545 WLC65545:WLF65545 WUY65545:WVB65545 U131081:X131081 IM131081:IP131081 SI131081:SL131081 ACE131081:ACH131081 AMA131081:AMD131081 AVW131081:AVZ131081 BFS131081:BFV131081 BPO131081:BPR131081 BZK131081:BZN131081 CJG131081:CJJ131081 CTC131081:CTF131081 DCY131081:DDB131081 DMU131081:DMX131081 DWQ131081:DWT131081 EGM131081:EGP131081 EQI131081:EQL131081 FAE131081:FAH131081 FKA131081:FKD131081 FTW131081:FTZ131081 GDS131081:GDV131081 GNO131081:GNR131081 GXK131081:GXN131081 HHG131081:HHJ131081 HRC131081:HRF131081 IAY131081:IBB131081 IKU131081:IKX131081 IUQ131081:IUT131081 JEM131081:JEP131081 JOI131081:JOL131081 JYE131081:JYH131081 KIA131081:KID131081 KRW131081:KRZ131081 LBS131081:LBV131081 LLO131081:LLR131081 LVK131081:LVN131081 MFG131081:MFJ131081 MPC131081:MPF131081 MYY131081:MZB131081 NIU131081:NIX131081 NSQ131081:NST131081 OCM131081:OCP131081 OMI131081:OML131081 OWE131081:OWH131081 PGA131081:PGD131081 PPW131081:PPZ131081 PZS131081:PZV131081 QJO131081:QJR131081 QTK131081:QTN131081 RDG131081:RDJ131081 RNC131081:RNF131081 RWY131081:RXB131081 SGU131081:SGX131081 SQQ131081:SQT131081 TAM131081:TAP131081 TKI131081:TKL131081 TUE131081:TUH131081 UEA131081:UED131081 UNW131081:UNZ131081 UXS131081:UXV131081 VHO131081:VHR131081 VRK131081:VRN131081 WBG131081:WBJ131081 WLC131081:WLF131081 WUY131081:WVB131081 U196617:X196617 IM196617:IP196617 SI196617:SL196617 ACE196617:ACH196617 AMA196617:AMD196617 AVW196617:AVZ196617 BFS196617:BFV196617 BPO196617:BPR196617 BZK196617:BZN196617 CJG196617:CJJ196617 CTC196617:CTF196617 DCY196617:DDB196617 DMU196617:DMX196617 DWQ196617:DWT196617 EGM196617:EGP196617 EQI196617:EQL196617 FAE196617:FAH196617 FKA196617:FKD196617 FTW196617:FTZ196617 GDS196617:GDV196617 GNO196617:GNR196617 GXK196617:GXN196617 HHG196617:HHJ196617 HRC196617:HRF196617 IAY196617:IBB196617 IKU196617:IKX196617 IUQ196617:IUT196617 JEM196617:JEP196617 JOI196617:JOL196617 JYE196617:JYH196617 KIA196617:KID196617 KRW196617:KRZ196617 LBS196617:LBV196617 LLO196617:LLR196617 LVK196617:LVN196617 MFG196617:MFJ196617 MPC196617:MPF196617 MYY196617:MZB196617 NIU196617:NIX196617 NSQ196617:NST196617 OCM196617:OCP196617 OMI196617:OML196617 OWE196617:OWH196617 PGA196617:PGD196617 PPW196617:PPZ196617 PZS196617:PZV196617 QJO196617:QJR196617 QTK196617:QTN196617 RDG196617:RDJ196617 RNC196617:RNF196617 RWY196617:RXB196617 SGU196617:SGX196617 SQQ196617:SQT196617 TAM196617:TAP196617 TKI196617:TKL196617 TUE196617:TUH196617 UEA196617:UED196617 UNW196617:UNZ196617 UXS196617:UXV196617 VHO196617:VHR196617 VRK196617:VRN196617 WBG196617:WBJ196617 WLC196617:WLF196617 WUY196617:WVB196617 U262153:X262153 IM262153:IP262153 SI262153:SL262153 ACE262153:ACH262153 AMA262153:AMD262153 AVW262153:AVZ262153 BFS262153:BFV262153 BPO262153:BPR262153 BZK262153:BZN262153 CJG262153:CJJ262153 CTC262153:CTF262153 DCY262153:DDB262153 DMU262153:DMX262153 DWQ262153:DWT262153 EGM262153:EGP262153 EQI262153:EQL262153 FAE262153:FAH262153 FKA262153:FKD262153 FTW262153:FTZ262153 GDS262153:GDV262153 GNO262153:GNR262153 GXK262153:GXN262153 HHG262153:HHJ262153 HRC262153:HRF262153 IAY262153:IBB262153 IKU262153:IKX262153 IUQ262153:IUT262153 JEM262153:JEP262153 JOI262153:JOL262153 JYE262153:JYH262153 KIA262153:KID262153 KRW262153:KRZ262153 LBS262153:LBV262153 LLO262153:LLR262153 LVK262153:LVN262153 MFG262153:MFJ262153 MPC262153:MPF262153 MYY262153:MZB262153 NIU262153:NIX262153 NSQ262153:NST262153 OCM262153:OCP262153 OMI262153:OML262153 OWE262153:OWH262153 PGA262153:PGD262153 PPW262153:PPZ262153 PZS262153:PZV262153 QJO262153:QJR262153 QTK262153:QTN262153 RDG262153:RDJ262153 RNC262153:RNF262153 RWY262153:RXB262153 SGU262153:SGX262153 SQQ262153:SQT262153 TAM262153:TAP262153 TKI262153:TKL262153 TUE262153:TUH262153 UEA262153:UED262153 UNW262153:UNZ262153 UXS262153:UXV262153 VHO262153:VHR262153 VRK262153:VRN262153 WBG262153:WBJ262153 WLC262153:WLF262153 WUY262153:WVB262153 U327689:X327689 IM327689:IP327689 SI327689:SL327689 ACE327689:ACH327689 AMA327689:AMD327689 AVW327689:AVZ327689 BFS327689:BFV327689 BPO327689:BPR327689 BZK327689:BZN327689 CJG327689:CJJ327689 CTC327689:CTF327689 DCY327689:DDB327689 DMU327689:DMX327689 DWQ327689:DWT327689 EGM327689:EGP327689 EQI327689:EQL327689 FAE327689:FAH327689 FKA327689:FKD327689 FTW327689:FTZ327689 GDS327689:GDV327689 GNO327689:GNR327689 GXK327689:GXN327689 HHG327689:HHJ327689 HRC327689:HRF327689 IAY327689:IBB327689 IKU327689:IKX327689 IUQ327689:IUT327689 JEM327689:JEP327689 JOI327689:JOL327689 JYE327689:JYH327689 KIA327689:KID327689 KRW327689:KRZ327689 LBS327689:LBV327689 LLO327689:LLR327689 LVK327689:LVN327689 MFG327689:MFJ327689 MPC327689:MPF327689 MYY327689:MZB327689 NIU327689:NIX327689 NSQ327689:NST327689 OCM327689:OCP327689 OMI327689:OML327689 OWE327689:OWH327689 PGA327689:PGD327689 PPW327689:PPZ327689 PZS327689:PZV327689 QJO327689:QJR327689 QTK327689:QTN327689 RDG327689:RDJ327689 RNC327689:RNF327689 RWY327689:RXB327689 SGU327689:SGX327689 SQQ327689:SQT327689 TAM327689:TAP327689 TKI327689:TKL327689 TUE327689:TUH327689 UEA327689:UED327689 UNW327689:UNZ327689 UXS327689:UXV327689 VHO327689:VHR327689 VRK327689:VRN327689 WBG327689:WBJ327689 WLC327689:WLF327689 WUY327689:WVB327689 U393225:X393225 IM393225:IP393225 SI393225:SL393225 ACE393225:ACH393225 AMA393225:AMD393225 AVW393225:AVZ393225 BFS393225:BFV393225 BPO393225:BPR393225 BZK393225:BZN393225 CJG393225:CJJ393225 CTC393225:CTF393225 DCY393225:DDB393225 DMU393225:DMX393225 DWQ393225:DWT393225 EGM393225:EGP393225 EQI393225:EQL393225 FAE393225:FAH393225 FKA393225:FKD393225 FTW393225:FTZ393225 GDS393225:GDV393225 GNO393225:GNR393225 GXK393225:GXN393225 HHG393225:HHJ393225 HRC393225:HRF393225 IAY393225:IBB393225 IKU393225:IKX393225 IUQ393225:IUT393225 JEM393225:JEP393225 JOI393225:JOL393225 JYE393225:JYH393225 KIA393225:KID393225 KRW393225:KRZ393225 LBS393225:LBV393225 LLO393225:LLR393225 LVK393225:LVN393225 MFG393225:MFJ393225 MPC393225:MPF393225 MYY393225:MZB393225 NIU393225:NIX393225 NSQ393225:NST393225 OCM393225:OCP393225 OMI393225:OML393225 OWE393225:OWH393225 PGA393225:PGD393225 PPW393225:PPZ393225 PZS393225:PZV393225 QJO393225:QJR393225 QTK393225:QTN393225 RDG393225:RDJ393225 RNC393225:RNF393225 RWY393225:RXB393225 SGU393225:SGX393225 SQQ393225:SQT393225 TAM393225:TAP393225 TKI393225:TKL393225 TUE393225:TUH393225 UEA393225:UED393225 UNW393225:UNZ393225 UXS393225:UXV393225 VHO393225:VHR393225 VRK393225:VRN393225 WBG393225:WBJ393225 WLC393225:WLF393225 WUY393225:WVB393225 U458761:X458761 IM458761:IP458761 SI458761:SL458761 ACE458761:ACH458761 AMA458761:AMD458761 AVW458761:AVZ458761 BFS458761:BFV458761 BPO458761:BPR458761 BZK458761:BZN458761 CJG458761:CJJ458761 CTC458761:CTF458761 DCY458761:DDB458761 DMU458761:DMX458761 DWQ458761:DWT458761 EGM458761:EGP458761 EQI458761:EQL458761 FAE458761:FAH458761 FKA458761:FKD458761 FTW458761:FTZ458761 GDS458761:GDV458761 GNO458761:GNR458761 GXK458761:GXN458761 HHG458761:HHJ458761 HRC458761:HRF458761 IAY458761:IBB458761 IKU458761:IKX458761 IUQ458761:IUT458761 JEM458761:JEP458761 JOI458761:JOL458761 JYE458761:JYH458761 KIA458761:KID458761 KRW458761:KRZ458761 LBS458761:LBV458761 LLO458761:LLR458761 LVK458761:LVN458761 MFG458761:MFJ458761 MPC458761:MPF458761 MYY458761:MZB458761 NIU458761:NIX458761 NSQ458761:NST458761 OCM458761:OCP458761 OMI458761:OML458761 OWE458761:OWH458761 PGA458761:PGD458761 PPW458761:PPZ458761 PZS458761:PZV458761 QJO458761:QJR458761 QTK458761:QTN458761 RDG458761:RDJ458761 RNC458761:RNF458761 RWY458761:RXB458761 SGU458761:SGX458761 SQQ458761:SQT458761 TAM458761:TAP458761 TKI458761:TKL458761 TUE458761:TUH458761 UEA458761:UED458761 UNW458761:UNZ458761 UXS458761:UXV458761 VHO458761:VHR458761 VRK458761:VRN458761 WBG458761:WBJ458761 WLC458761:WLF458761 WUY458761:WVB458761 U524297:X524297 IM524297:IP524297 SI524297:SL524297 ACE524297:ACH524297 AMA524297:AMD524297 AVW524297:AVZ524297 BFS524297:BFV524297 BPO524297:BPR524297 BZK524297:BZN524297 CJG524297:CJJ524297 CTC524297:CTF524297 DCY524297:DDB524297 DMU524297:DMX524297 DWQ524297:DWT524297 EGM524297:EGP524297 EQI524297:EQL524297 FAE524297:FAH524297 FKA524297:FKD524297 FTW524297:FTZ524297 GDS524297:GDV524297 GNO524297:GNR524297 GXK524297:GXN524297 HHG524297:HHJ524297 HRC524297:HRF524297 IAY524297:IBB524297 IKU524297:IKX524297 IUQ524297:IUT524297 JEM524297:JEP524297 JOI524297:JOL524297 JYE524297:JYH524297 KIA524297:KID524297 KRW524297:KRZ524297 LBS524297:LBV524297 LLO524297:LLR524297 LVK524297:LVN524297 MFG524297:MFJ524297 MPC524297:MPF524297 MYY524297:MZB524297 NIU524297:NIX524297 NSQ524297:NST524297 OCM524297:OCP524297 OMI524297:OML524297 OWE524297:OWH524297 PGA524297:PGD524297 PPW524297:PPZ524297 PZS524297:PZV524297 QJO524297:QJR524297 QTK524297:QTN524297 RDG524297:RDJ524297 RNC524297:RNF524297 RWY524297:RXB524297 SGU524297:SGX524297 SQQ524297:SQT524297 TAM524297:TAP524297 TKI524297:TKL524297 TUE524297:TUH524297 UEA524297:UED524297 UNW524297:UNZ524297 UXS524297:UXV524297 VHO524297:VHR524297 VRK524297:VRN524297 WBG524297:WBJ524297 WLC524297:WLF524297 WUY524297:WVB524297 U589833:X589833 IM589833:IP589833 SI589833:SL589833 ACE589833:ACH589833 AMA589833:AMD589833 AVW589833:AVZ589833 BFS589833:BFV589833 BPO589833:BPR589833 BZK589833:BZN589833 CJG589833:CJJ589833 CTC589833:CTF589833 DCY589833:DDB589833 DMU589833:DMX589833 DWQ589833:DWT589833 EGM589833:EGP589833 EQI589833:EQL589833 FAE589833:FAH589833 FKA589833:FKD589833 FTW589833:FTZ589833 GDS589833:GDV589833 GNO589833:GNR589833 GXK589833:GXN589833 HHG589833:HHJ589833 HRC589833:HRF589833 IAY589833:IBB589833 IKU589833:IKX589833 IUQ589833:IUT589833 JEM589833:JEP589833 JOI589833:JOL589833 JYE589833:JYH589833 KIA589833:KID589833 KRW589833:KRZ589833 LBS589833:LBV589833 LLO589833:LLR589833 LVK589833:LVN589833 MFG589833:MFJ589833 MPC589833:MPF589833 MYY589833:MZB589833 NIU589833:NIX589833 NSQ589833:NST589833 OCM589833:OCP589833 OMI589833:OML589833 OWE589833:OWH589833 PGA589833:PGD589833 PPW589833:PPZ589833 PZS589833:PZV589833 QJO589833:QJR589833 QTK589833:QTN589833 RDG589833:RDJ589833 RNC589833:RNF589833 RWY589833:RXB589833 SGU589833:SGX589833 SQQ589833:SQT589833 TAM589833:TAP589833 TKI589833:TKL589833 TUE589833:TUH589833 UEA589833:UED589833 UNW589833:UNZ589833 UXS589833:UXV589833 VHO589833:VHR589833 VRK589833:VRN589833 WBG589833:WBJ589833 WLC589833:WLF589833 WUY589833:WVB589833 U655369:X655369 IM655369:IP655369 SI655369:SL655369 ACE655369:ACH655369 AMA655369:AMD655369 AVW655369:AVZ655369 BFS655369:BFV655369 BPO655369:BPR655369 BZK655369:BZN655369 CJG655369:CJJ655369 CTC655369:CTF655369 DCY655369:DDB655369 DMU655369:DMX655369 DWQ655369:DWT655369 EGM655369:EGP655369 EQI655369:EQL655369 FAE655369:FAH655369 FKA655369:FKD655369 FTW655369:FTZ655369 GDS655369:GDV655369 GNO655369:GNR655369 GXK655369:GXN655369 HHG655369:HHJ655369 HRC655369:HRF655369 IAY655369:IBB655369 IKU655369:IKX655369 IUQ655369:IUT655369 JEM655369:JEP655369 JOI655369:JOL655369 JYE655369:JYH655369 KIA655369:KID655369 KRW655369:KRZ655369 LBS655369:LBV655369 LLO655369:LLR655369 LVK655369:LVN655369 MFG655369:MFJ655369 MPC655369:MPF655369 MYY655369:MZB655369 NIU655369:NIX655369 NSQ655369:NST655369 OCM655369:OCP655369 OMI655369:OML655369 OWE655369:OWH655369 PGA655369:PGD655369 PPW655369:PPZ655369 PZS655369:PZV655369 QJO655369:QJR655369 QTK655369:QTN655369 RDG655369:RDJ655369 RNC655369:RNF655369 RWY655369:RXB655369 SGU655369:SGX655369 SQQ655369:SQT655369 TAM655369:TAP655369 TKI655369:TKL655369 TUE655369:TUH655369 UEA655369:UED655369 UNW655369:UNZ655369 UXS655369:UXV655369 VHO655369:VHR655369 VRK655369:VRN655369 WBG655369:WBJ655369 WLC655369:WLF655369 WUY655369:WVB655369 U720905:X720905 IM720905:IP720905 SI720905:SL720905 ACE720905:ACH720905 AMA720905:AMD720905 AVW720905:AVZ720905 BFS720905:BFV720905 BPO720905:BPR720905 BZK720905:BZN720905 CJG720905:CJJ720905 CTC720905:CTF720905 DCY720905:DDB720905 DMU720905:DMX720905 DWQ720905:DWT720905 EGM720905:EGP720905 EQI720905:EQL720905 FAE720905:FAH720905 FKA720905:FKD720905 FTW720905:FTZ720905 GDS720905:GDV720905 GNO720905:GNR720905 GXK720905:GXN720905 HHG720905:HHJ720905 HRC720905:HRF720905 IAY720905:IBB720905 IKU720905:IKX720905 IUQ720905:IUT720905 JEM720905:JEP720905 JOI720905:JOL720905 JYE720905:JYH720905 KIA720905:KID720905 KRW720905:KRZ720905 LBS720905:LBV720905 LLO720905:LLR720905 LVK720905:LVN720905 MFG720905:MFJ720905 MPC720905:MPF720905 MYY720905:MZB720905 NIU720905:NIX720905 NSQ720905:NST720905 OCM720905:OCP720905 OMI720905:OML720905 OWE720905:OWH720905 PGA720905:PGD720905 PPW720905:PPZ720905 PZS720905:PZV720905 QJO720905:QJR720905 QTK720905:QTN720905 RDG720905:RDJ720905 RNC720905:RNF720905 RWY720905:RXB720905 SGU720905:SGX720905 SQQ720905:SQT720905 TAM720905:TAP720905 TKI720905:TKL720905 TUE720905:TUH720905 UEA720905:UED720905 UNW720905:UNZ720905 UXS720905:UXV720905 VHO720905:VHR720905 VRK720905:VRN720905 WBG720905:WBJ720905 WLC720905:WLF720905 WUY720905:WVB720905 U786441:X786441 IM786441:IP786441 SI786441:SL786441 ACE786441:ACH786441 AMA786441:AMD786441 AVW786441:AVZ786441 BFS786441:BFV786441 BPO786441:BPR786441 BZK786441:BZN786441 CJG786441:CJJ786441 CTC786441:CTF786441 DCY786441:DDB786441 DMU786441:DMX786441 DWQ786441:DWT786441 EGM786441:EGP786441 EQI786441:EQL786441 FAE786441:FAH786441 FKA786441:FKD786441 FTW786441:FTZ786441 GDS786441:GDV786441 GNO786441:GNR786441 GXK786441:GXN786441 HHG786441:HHJ786441 HRC786441:HRF786441 IAY786441:IBB786441 IKU786441:IKX786441 IUQ786441:IUT786441 JEM786441:JEP786441 JOI786441:JOL786441 JYE786441:JYH786441 KIA786441:KID786441 KRW786441:KRZ786441 LBS786441:LBV786441 LLO786441:LLR786441 LVK786441:LVN786441 MFG786441:MFJ786441 MPC786441:MPF786441 MYY786441:MZB786441 NIU786441:NIX786441 NSQ786441:NST786441 OCM786441:OCP786441 OMI786441:OML786441 OWE786441:OWH786441 PGA786441:PGD786441 PPW786441:PPZ786441 PZS786441:PZV786441 QJO786441:QJR786441 QTK786441:QTN786441 RDG786441:RDJ786441 RNC786441:RNF786441 RWY786441:RXB786441 SGU786441:SGX786441 SQQ786441:SQT786441 TAM786441:TAP786441 TKI786441:TKL786441 TUE786441:TUH786441 UEA786441:UED786441 UNW786441:UNZ786441 UXS786441:UXV786441 VHO786441:VHR786441 VRK786441:VRN786441 WBG786441:WBJ786441 WLC786441:WLF786441 WUY786441:WVB786441 U851977:X851977 IM851977:IP851977 SI851977:SL851977 ACE851977:ACH851977 AMA851977:AMD851977 AVW851977:AVZ851977 BFS851977:BFV851977 BPO851977:BPR851977 BZK851977:BZN851977 CJG851977:CJJ851977 CTC851977:CTF851977 DCY851977:DDB851977 DMU851977:DMX851977 DWQ851977:DWT851977 EGM851977:EGP851977 EQI851977:EQL851977 FAE851977:FAH851977 FKA851977:FKD851977 FTW851977:FTZ851977 GDS851977:GDV851977 GNO851977:GNR851977 GXK851977:GXN851977 HHG851977:HHJ851977 HRC851977:HRF851977 IAY851977:IBB851977 IKU851977:IKX851977 IUQ851977:IUT851977 JEM851977:JEP851977 JOI851977:JOL851977 JYE851977:JYH851977 KIA851977:KID851977 KRW851977:KRZ851977 LBS851977:LBV851977 LLO851977:LLR851977 LVK851977:LVN851977 MFG851977:MFJ851977 MPC851977:MPF851977 MYY851977:MZB851977 NIU851977:NIX851977 NSQ851977:NST851977 OCM851977:OCP851977 OMI851977:OML851977 OWE851977:OWH851977 PGA851977:PGD851977 PPW851977:PPZ851977 PZS851977:PZV851977 QJO851977:QJR851977 QTK851977:QTN851977 RDG851977:RDJ851977 RNC851977:RNF851977 RWY851977:RXB851977 SGU851977:SGX851977 SQQ851977:SQT851977 TAM851977:TAP851977 TKI851977:TKL851977 TUE851977:TUH851977 UEA851977:UED851977 UNW851977:UNZ851977 UXS851977:UXV851977 VHO851977:VHR851977 VRK851977:VRN851977 WBG851977:WBJ851977 WLC851977:WLF851977 WUY851977:WVB851977 U917513:X917513 IM917513:IP917513 SI917513:SL917513 ACE917513:ACH917513 AMA917513:AMD917513 AVW917513:AVZ917513 BFS917513:BFV917513 BPO917513:BPR917513 BZK917513:BZN917513 CJG917513:CJJ917513 CTC917513:CTF917513 DCY917513:DDB917513 DMU917513:DMX917513 DWQ917513:DWT917513 EGM917513:EGP917513 EQI917513:EQL917513 FAE917513:FAH917513 FKA917513:FKD917513 FTW917513:FTZ917513 GDS917513:GDV917513 GNO917513:GNR917513 GXK917513:GXN917513 HHG917513:HHJ917513 HRC917513:HRF917513 IAY917513:IBB917513 IKU917513:IKX917513 IUQ917513:IUT917513 JEM917513:JEP917513 JOI917513:JOL917513 JYE917513:JYH917513 KIA917513:KID917513 KRW917513:KRZ917513 LBS917513:LBV917513 LLO917513:LLR917513 LVK917513:LVN917513 MFG917513:MFJ917513 MPC917513:MPF917513 MYY917513:MZB917513 NIU917513:NIX917513 NSQ917513:NST917513 OCM917513:OCP917513 OMI917513:OML917513 OWE917513:OWH917513 PGA917513:PGD917513 PPW917513:PPZ917513 PZS917513:PZV917513 QJO917513:QJR917513 QTK917513:QTN917513 RDG917513:RDJ917513 RNC917513:RNF917513 RWY917513:RXB917513 SGU917513:SGX917513 SQQ917513:SQT917513 TAM917513:TAP917513 TKI917513:TKL917513 TUE917513:TUH917513 UEA917513:UED917513 UNW917513:UNZ917513 UXS917513:UXV917513 VHO917513:VHR917513 VRK917513:VRN917513 WBG917513:WBJ917513 WLC917513:WLF917513 WUY917513:WVB917513 U983049:X983049 IM983049:IP983049 SI983049:SL983049 ACE983049:ACH983049 AMA983049:AMD983049 AVW983049:AVZ983049 BFS983049:BFV983049 BPO983049:BPR983049 BZK983049:BZN983049 CJG983049:CJJ983049 CTC983049:CTF983049 DCY983049:DDB983049 DMU983049:DMX983049 DWQ983049:DWT983049 EGM983049:EGP983049 EQI983049:EQL983049 FAE983049:FAH983049 FKA983049:FKD983049 FTW983049:FTZ983049 GDS983049:GDV983049 GNO983049:GNR983049 GXK983049:GXN983049 HHG983049:HHJ983049 HRC983049:HRF983049 IAY983049:IBB983049 IKU983049:IKX983049 IUQ983049:IUT983049 JEM983049:JEP983049 JOI983049:JOL983049 JYE983049:JYH983049 KIA983049:KID983049 KRW983049:KRZ983049 LBS983049:LBV983049 LLO983049:LLR983049 LVK983049:LVN983049 MFG983049:MFJ983049 MPC983049:MPF983049 MYY983049:MZB983049 NIU983049:NIX983049 NSQ983049:NST983049 OCM983049:OCP983049 OMI983049:OML983049 OWE983049:OWH983049 PGA983049:PGD983049 PPW983049:PPZ983049 PZS983049:PZV983049 QJO983049:QJR983049 QTK983049:QTN983049 RDG983049:RDJ983049 RNC983049:RNF983049 RWY983049:RXB983049 SGU983049:SGX983049 SQQ983049:SQT983049 TAM983049:TAP983049 TKI983049:TKL983049 TUE983049:TUH983049 UEA983049:UED983049 UNW983049:UNZ983049 UXS983049:UXV983049 VHO983049:VHR983049 VRK983049:VRN983049 WBG983049:WBJ983049 WLC983049:WLF983049 WUY983049:WVB983049 IH983048:IK983048 SD983048:SG983048 ABZ983048:ACC983048 ALV983048:ALY983048 AVR983048:AVU983048 BFN983048:BFQ983048 BPJ983048:BPM983048 BZF983048:BZI983048 CJB983048:CJE983048 CSX983048:CTA983048 DCT983048:DCW983048 DMP983048:DMS983048 DWL983048:DWO983048 EGH983048:EGK983048 EQD983048:EQG983048 EZZ983048:FAC983048 FJV983048:FJY983048 FTR983048:FTU983048 GDN983048:GDQ983048 GNJ983048:GNM983048 GXF983048:GXI983048 HHB983048:HHE983048 HQX983048:HRA983048 IAT983048:IAW983048 IKP983048:IKS983048 IUL983048:IUO983048 JEH983048:JEK983048 JOD983048:JOG983048 JXZ983048:JYC983048 KHV983048:KHY983048 KRR983048:KRU983048 LBN983048:LBQ983048 LLJ983048:LLM983048 LVF983048:LVI983048 MFB983048:MFE983048 MOX983048:MPA983048 MYT983048:MYW983048 NIP983048:NIS983048 NSL983048:NSO983048 OCH983048:OCK983048 OMD983048:OMG983048 OVZ983048:OWC983048 PFV983048:PFY983048 PPR983048:PPU983048 PZN983048:PZQ983048 QJJ983048:QJM983048 QTF983048:QTI983048 RDB983048:RDE983048 RMX983048:RNA983048 RWT983048:RWW983048 SGP983048:SGS983048 SQL983048:SQO983048 TAH983048:TAK983048 TKD983048:TKG983048 TTZ983048:TUC983048 UDV983048:UDY983048 UNR983048:UNU983048 UXN983048:UXQ983048 VHJ983048:VHM983048 VRF983048:VRI983048 WBB983048:WBE983048 WKX983048:WLA983048 WUT983048:WUW983048 IH65544:IK65544 SD65544:SG65544 ABZ65544:ACC65544 ALV65544:ALY65544 AVR65544:AVU65544 BFN65544:BFQ65544 BPJ65544:BPM65544 BZF65544:BZI65544 CJB65544:CJE65544 CSX65544:CTA65544 DCT65544:DCW65544 DMP65544:DMS65544 DWL65544:DWO65544 EGH65544:EGK65544 EQD65544:EQG65544 EZZ65544:FAC65544 FJV65544:FJY65544 FTR65544:FTU65544 GDN65544:GDQ65544 GNJ65544:GNM65544 GXF65544:GXI65544 HHB65544:HHE65544 HQX65544:HRA65544 IAT65544:IAW65544 IKP65544:IKS65544 IUL65544:IUO65544 JEH65544:JEK65544 JOD65544:JOG65544 JXZ65544:JYC65544 KHV65544:KHY65544 KRR65544:KRU65544 LBN65544:LBQ65544 LLJ65544:LLM65544 LVF65544:LVI65544 MFB65544:MFE65544 MOX65544:MPA65544 MYT65544:MYW65544 NIP65544:NIS65544 NSL65544:NSO65544 OCH65544:OCK65544 OMD65544:OMG65544 OVZ65544:OWC65544 PFV65544:PFY65544 PPR65544:PPU65544 PZN65544:PZQ65544 QJJ65544:QJM65544 QTF65544:QTI65544 RDB65544:RDE65544 RMX65544:RNA65544 RWT65544:RWW65544 SGP65544:SGS65544 SQL65544:SQO65544 TAH65544:TAK65544 TKD65544:TKG65544 TTZ65544:TUC65544 UDV65544:UDY65544 UNR65544:UNU65544 UXN65544:UXQ65544 VHJ65544:VHM65544 VRF65544:VRI65544 WBB65544:WBE65544 WKX65544:WLA65544 WUT65544:WUW65544 IH131080:IK131080 SD131080:SG131080 ABZ131080:ACC131080 ALV131080:ALY131080 AVR131080:AVU131080 BFN131080:BFQ131080 BPJ131080:BPM131080 BZF131080:BZI131080 CJB131080:CJE131080 CSX131080:CTA131080 DCT131080:DCW131080 DMP131080:DMS131080 DWL131080:DWO131080 EGH131080:EGK131080 EQD131080:EQG131080 EZZ131080:FAC131080 FJV131080:FJY131080 FTR131080:FTU131080 GDN131080:GDQ131080 GNJ131080:GNM131080 GXF131080:GXI131080 HHB131080:HHE131080 HQX131080:HRA131080 IAT131080:IAW131080 IKP131080:IKS131080 IUL131080:IUO131080 JEH131080:JEK131080 JOD131080:JOG131080 JXZ131080:JYC131080 KHV131080:KHY131080 KRR131080:KRU131080 LBN131080:LBQ131080 LLJ131080:LLM131080 LVF131080:LVI131080 MFB131080:MFE131080 MOX131080:MPA131080 MYT131080:MYW131080 NIP131080:NIS131080 NSL131080:NSO131080 OCH131080:OCK131080 OMD131080:OMG131080 OVZ131080:OWC131080 PFV131080:PFY131080 PPR131080:PPU131080 PZN131080:PZQ131080 QJJ131080:QJM131080 QTF131080:QTI131080 RDB131080:RDE131080 RMX131080:RNA131080 RWT131080:RWW131080 SGP131080:SGS131080 SQL131080:SQO131080 TAH131080:TAK131080 TKD131080:TKG131080 TTZ131080:TUC131080 UDV131080:UDY131080 UNR131080:UNU131080 UXN131080:UXQ131080 VHJ131080:VHM131080 VRF131080:VRI131080 WBB131080:WBE131080 WKX131080:WLA131080 WUT131080:WUW131080 IH196616:IK196616 SD196616:SG196616 ABZ196616:ACC196616 ALV196616:ALY196616 AVR196616:AVU196616 BFN196616:BFQ196616 BPJ196616:BPM196616 BZF196616:BZI196616 CJB196616:CJE196616 CSX196616:CTA196616 DCT196616:DCW196616 DMP196616:DMS196616 DWL196616:DWO196616 EGH196616:EGK196616 EQD196616:EQG196616 EZZ196616:FAC196616 FJV196616:FJY196616 FTR196616:FTU196616 GDN196616:GDQ196616 GNJ196616:GNM196616 GXF196616:GXI196616 HHB196616:HHE196616 HQX196616:HRA196616 IAT196616:IAW196616 IKP196616:IKS196616 IUL196616:IUO196616 JEH196616:JEK196616 JOD196616:JOG196616 JXZ196616:JYC196616 KHV196616:KHY196616 KRR196616:KRU196616 LBN196616:LBQ196616 LLJ196616:LLM196616 LVF196616:LVI196616 MFB196616:MFE196616 MOX196616:MPA196616 MYT196616:MYW196616 NIP196616:NIS196616 NSL196616:NSO196616 OCH196616:OCK196616 OMD196616:OMG196616 OVZ196616:OWC196616 PFV196616:PFY196616 PPR196616:PPU196616 PZN196616:PZQ196616 QJJ196616:QJM196616 QTF196616:QTI196616 RDB196616:RDE196616 RMX196616:RNA196616 RWT196616:RWW196616 SGP196616:SGS196616 SQL196616:SQO196616 TAH196616:TAK196616 TKD196616:TKG196616 TTZ196616:TUC196616 UDV196616:UDY196616 UNR196616:UNU196616 UXN196616:UXQ196616 VHJ196616:VHM196616 VRF196616:VRI196616 WBB196616:WBE196616 WKX196616:WLA196616 WUT196616:WUW196616 IH262152:IK262152 SD262152:SG262152 ABZ262152:ACC262152 ALV262152:ALY262152 AVR262152:AVU262152 BFN262152:BFQ262152 BPJ262152:BPM262152 BZF262152:BZI262152 CJB262152:CJE262152 CSX262152:CTA262152 DCT262152:DCW262152 DMP262152:DMS262152 DWL262152:DWO262152 EGH262152:EGK262152 EQD262152:EQG262152 EZZ262152:FAC262152 FJV262152:FJY262152 FTR262152:FTU262152 GDN262152:GDQ262152 GNJ262152:GNM262152 GXF262152:GXI262152 HHB262152:HHE262152 HQX262152:HRA262152 IAT262152:IAW262152 IKP262152:IKS262152 IUL262152:IUO262152 JEH262152:JEK262152 JOD262152:JOG262152 JXZ262152:JYC262152 KHV262152:KHY262152 KRR262152:KRU262152 LBN262152:LBQ262152 LLJ262152:LLM262152 LVF262152:LVI262152 MFB262152:MFE262152 MOX262152:MPA262152 MYT262152:MYW262152 NIP262152:NIS262152 NSL262152:NSO262152 OCH262152:OCK262152 OMD262152:OMG262152 OVZ262152:OWC262152 PFV262152:PFY262152 PPR262152:PPU262152 PZN262152:PZQ262152 QJJ262152:QJM262152 QTF262152:QTI262152 RDB262152:RDE262152 RMX262152:RNA262152 RWT262152:RWW262152 SGP262152:SGS262152 SQL262152:SQO262152 TAH262152:TAK262152 TKD262152:TKG262152 TTZ262152:TUC262152 UDV262152:UDY262152 UNR262152:UNU262152 UXN262152:UXQ262152 VHJ262152:VHM262152 VRF262152:VRI262152 WBB262152:WBE262152 WKX262152:WLA262152 WUT262152:WUW262152 IH327688:IK327688 SD327688:SG327688 ABZ327688:ACC327688 ALV327688:ALY327688 AVR327688:AVU327688 BFN327688:BFQ327688 BPJ327688:BPM327688 BZF327688:BZI327688 CJB327688:CJE327688 CSX327688:CTA327688 DCT327688:DCW327688 DMP327688:DMS327688 DWL327688:DWO327688 EGH327688:EGK327688 EQD327688:EQG327688 EZZ327688:FAC327688 FJV327688:FJY327688 FTR327688:FTU327688 GDN327688:GDQ327688 GNJ327688:GNM327688 GXF327688:GXI327688 HHB327688:HHE327688 HQX327688:HRA327688 IAT327688:IAW327688 IKP327688:IKS327688 IUL327688:IUO327688 JEH327688:JEK327688 JOD327688:JOG327688 JXZ327688:JYC327688 KHV327688:KHY327688 KRR327688:KRU327688 LBN327688:LBQ327688 LLJ327688:LLM327688 LVF327688:LVI327688 MFB327688:MFE327688 MOX327688:MPA327688 MYT327688:MYW327688 NIP327688:NIS327688 NSL327688:NSO327688 OCH327688:OCK327688 OMD327688:OMG327688 OVZ327688:OWC327688 PFV327688:PFY327688 PPR327688:PPU327688 PZN327688:PZQ327688 QJJ327688:QJM327688 QTF327688:QTI327688 RDB327688:RDE327688 RMX327688:RNA327688 RWT327688:RWW327688 SGP327688:SGS327688 SQL327688:SQO327688 TAH327688:TAK327688 TKD327688:TKG327688 TTZ327688:TUC327688 UDV327688:UDY327688 UNR327688:UNU327688 UXN327688:UXQ327688 VHJ327688:VHM327688 VRF327688:VRI327688 WBB327688:WBE327688 WKX327688:WLA327688 WUT327688:WUW327688 IH393224:IK393224 SD393224:SG393224 ABZ393224:ACC393224 ALV393224:ALY393224 AVR393224:AVU393224 BFN393224:BFQ393224 BPJ393224:BPM393224 BZF393224:BZI393224 CJB393224:CJE393224 CSX393224:CTA393224 DCT393224:DCW393224 DMP393224:DMS393224 DWL393224:DWO393224 EGH393224:EGK393224 EQD393224:EQG393224 EZZ393224:FAC393224 FJV393224:FJY393224 FTR393224:FTU393224 GDN393224:GDQ393224 GNJ393224:GNM393224 GXF393224:GXI393224 HHB393224:HHE393224 HQX393224:HRA393224 IAT393224:IAW393224 IKP393224:IKS393224 IUL393224:IUO393224 JEH393224:JEK393224 JOD393224:JOG393224 JXZ393224:JYC393224 KHV393224:KHY393224 KRR393224:KRU393224 LBN393224:LBQ393224 LLJ393224:LLM393224 LVF393224:LVI393224 MFB393224:MFE393224 MOX393224:MPA393224 MYT393224:MYW393224 NIP393224:NIS393224 NSL393224:NSO393224 OCH393224:OCK393224 OMD393224:OMG393224 OVZ393224:OWC393224 PFV393224:PFY393224 PPR393224:PPU393224 PZN393224:PZQ393224 QJJ393224:QJM393224 QTF393224:QTI393224 RDB393224:RDE393224 RMX393224:RNA393224 RWT393224:RWW393224 SGP393224:SGS393224 SQL393224:SQO393224 TAH393224:TAK393224 TKD393224:TKG393224 TTZ393224:TUC393224 UDV393224:UDY393224 UNR393224:UNU393224 UXN393224:UXQ393224 VHJ393224:VHM393224 VRF393224:VRI393224 WBB393224:WBE393224 WKX393224:WLA393224 WUT393224:WUW393224 IH458760:IK458760 SD458760:SG458760 ABZ458760:ACC458760 ALV458760:ALY458760 AVR458760:AVU458760 BFN458760:BFQ458760 BPJ458760:BPM458760 BZF458760:BZI458760 CJB458760:CJE458760 CSX458760:CTA458760 DCT458760:DCW458760 DMP458760:DMS458760 DWL458760:DWO458760 EGH458760:EGK458760 EQD458760:EQG458760 EZZ458760:FAC458760 FJV458760:FJY458760 FTR458760:FTU458760 GDN458760:GDQ458760 GNJ458760:GNM458760 GXF458760:GXI458760 HHB458760:HHE458760 HQX458760:HRA458760 IAT458760:IAW458760 IKP458760:IKS458760 IUL458760:IUO458760 JEH458760:JEK458760 JOD458760:JOG458760 JXZ458760:JYC458760 KHV458760:KHY458760 KRR458760:KRU458760 LBN458760:LBQ458760 LLJ458760:LLM458760 LVF458760:LVI458760 MFB458760:MFE458760 MOX458760:MPA458760 MYT458760:MYW458760 NIP458760:NIS458760 NSL458760:NSO458760 OCH458760:OCK458760 OMD458760:OMG458760 OVZ458760:OWC458760 PFV458760:PFY458760 PPR458760:PPU458760 PZN458760:PZQ458760 QJJ458760:QJM458760 QTF458760:QTI458760 RDB458760:RDE458760 RMX458760:RNA458760 RWT458760:RWW458760 SGP458760:SGS458760 SQL458760:SQO458760 TAH458760:TAK458760 TKD458760:TKG458760 TTZ458760:TUC458760 UDV458760:UDY458760 UNR458760:UNU458760 UXN458760:UXQ458760 VHJ458760:VHM458760 VRF458760:VRI458760 WBB458760:WBE458760 WKX458760:WLA458760 WUT458760:WUW458760 IH524296:IK524296 SD524296:SG524296 ABZ524296:ACC524296 ALV524296:ALY524296 AVR524296:AVU524296 BFN524296:BFQ524296 BPJ524296:BPM524296 BZF524296:BZI524296 CJB524296:CJE524296 CSX524296:CTA524296 DCT524296:DCW524296 DMP524296:DMS524296 DWL524296:DWO524296 EGH524296:EGK524296 EQD524296:EQG524296 EZZ524296:FAC524296 FJV524296:FJY524296 FTR524296:FTU524296 GDN524296:GDQ524296 GNJ524296:GNM524296 GXF524296:GXI524296 HHB524296:HHE524296 HQX524296:HRA524296 IAT524296:IAW524296 IKP524296:IKS524296 IUL524296:IUO524296 JEH524296:JEK524296 JOD524296:JOG524296 JXZ524296:JYC524296 KHV524296:KHY524296 KRR524296:KRU524296 LBN524296:LBQ524296 LLJ524296:LLM524296 LVF524296:LVI524296 MFB524296:MFE524296 MOX524296:MPA524296 MYT524296:MYW524296 NIP524296:NIS524296 NSL524296:NSO524296 OCH524296:OCK524296 OMD524296:OMG524296 OVZ524296:OWC524296 PFV524296:PFY524296 PPR524296:PPU524296 PZN524296:PZQ524296 QJJ524296:QJM524296 QTF524296:QTI524296 RDB524296:RDE524296 RMX524296:RNA524296 RWT524296:RWW524296 SGP524296:SGS524296 SQL524296:SQO524296 TAH524296:TAK524296 TKD524296:TKG524296 TTZ524296:TUC524296 UDV524296:UDY524296 UNR524296:UNU524296 UXN524296:UXQ524296 VHJ524296:VHM524296 VRF524296:VRI524296 WBB524296:WBE524296 WKX524296:WLA524296 WUT524296:WUW524296 IH589832:IK589832 SD589832:SG589832 ABZ589832:ACC589832 ALV589832:ALY589832 AVR589832:AVU589832 BFN589832:BFQ589832 BPJ589832:BPM589832 BZF589832:BZI589832 CJB589832:CJE589832 CSX589832:CTA589832 DCT589832:DCW589832 DMP589832:DMS589832 DWL589832:DWO589832 EGH589832:EGK589832 EQD589832:EQG589832 EZZ589832:FAC589832 FJV589832:FJY589832 FTR589832:FTU589832 GDN589832:GDQ589832 GNJ589832:GNM589832 GXF589832:GXI589832 HHB589832:HHE589832 HQX589832:HRA589832 IAT589832:IAW589832 IKP589832:IKS589832 IUL589832:IUO589832 JEH589832:JEK589832 JOD589832:JOG589832 JXZ589832:JYC589832 KHV589832:KHY589832 KRR589832:KRU589832 LBN589832:LBQ589832 LLJ589832:LLM589832 LVF589832:LVI589832 MFB589832:MFE589832 MOX589832:MPA589832 MYT589832:MYW589832 NIP589832:NIS589832 NSL589832:NSO589832 OCH589832:OCK589832 OMD589832:OMG589832 OVZ589832:OWC589832 PFV589832:PFY589832 PPR589832:PPU589832 PZN589832:PZQ589832 QJJ589832:QJM589832 QTF589832:QTI589832 RDB589832:RDE589832 RMX589832:RNA589832 RWT589832:RWW589832 SGP589832:SGS589832 SQL589832:SQO589832 TAH589832:TAK589832 TKD589832:TKG589832 TTZ589832:TUC589832 UDV589832:UDY589832 UNR589832:UNU589832 UXN589832:UXQ589832 VHJ589832:VHM589832 VRF589832:VRI589832 WBB589832:WBE589832 WKX589832:WLA589832 WUT589832:WUW589832 IH655368:IK655368 SD655368:SG655368 ABZ655368:ACC655368 ALV655368:ALY655368 AVR655368:AVU655368 BFN655368:BFQ655368 BPJ655368:BPM655368 BZF655368:BZI655368 CJB655368:CJE655368 CSX655368:CTA655368 DCT655368:DCW655368 DMP655368:DMS655368 DWL655368:DWO655368 EGH655368:EGK655368 EQD655368:EQG655368 EZZ655368:FAC655368 FJV655368:FJY655368 FTR655368:FTU655368 GDN655368:GDQ655368 GNJ655368:GNM655368 GXF655368:GXI655368 HHB655368:HHE655368 HQX655368:HRA655368 IAT655368:IAW655368 IKP655368:IKS655368 IUL655368:IUO655368 JEH655368:JEK655368 JOD655368:JOG655368 JXZ655368:JYC655368 KHV655368:KHY655368 KRR655368:KRU655368 LBN655368:LBQ655368 LLJ655368:LLM655368 LVF655368:LVI655368 MFB655368:MFE655368 MOX655368:MPA655368 MYT655368:MYW655368 NIP655368:NIS655368 NSL655368:NSO655368 OCH655368:OCK655368 OMD655368:OMG655368 OVZ655368:OWC655368 PFV655368:PFY655368 PPR655368:PPU655368 PZN655368:PZQ655368 QJJ655368:QJM655368 QTF655368:QTI655368 RDB655368:RDE655368 RMX655368:RNA655368 RWT655368:RWW655368 SGP655368:SGS655368 SQL655368:SQO655368 TAH655368:TAK655368 TKD655368:TKG655368 TTZ655368:TUC655368 UDV655368:UDY655368 UNR655368:UNU655368 UXN655368:UXQ655368 VHJ655368:VHM655368 VRF655368:VRI655368 WBB655368:WBE655368 WKX655368:WLA655368 WUT655368:WUW655368 IH720904:IK720904 SD720904:SG720904 ABZ720904:ACC720904 ALV720904:ALY720904 AVR720904:AVU720904 BFN720904:BFQ720904 BPJ720904:BPM720904 BZF720904:BZI720904 CJB720904:CJE720904 CSX720904:CTA720904 DCT720904:DCW720904 DMP720904:DMS720904 DWL720904:DWO720904 EGH720904:EGK720904 EQD720904:EQG720904 EZZ720904:FAC720904 FJV720904:FJY720904 FTR720904:FTU720904 GDN720904:GDQ720904 GNJ720904:GNM720904 GXF720904:GXI720904 HHB720904:HHE720904 HQX720904:HRA720904 IAT720904:IAW720904 IKP720904:IKS720904 IUL720904:IUO720904 JEH720904:JEK720904 JOD720904:JOG720904 JXZ720904:JYC720904 KHV720904:KHY720904 KRR720904:KRU720904 LBN720904:LBQ720904 LLJ720904:LLM720904 LVF720904:LVI720904 MFB720904:MFE720904 MOX720904:MPA720904 MYT720904:MYW720904 NIP720904:NIS720904 NSL720904:NSO720904 OCH720904:OCK720904 OMD720904:OMG720904 OVZ720904:OWC720904 PFV720904:PFY720904 PPR720904:PPU720904 PZN720904:PZQ720904 QJJ720904:QJM720904 QTF720904:QTI720904 RDB720904:RDE720904 RMX720904:RNA720904 RWT720904:RWW720904 SGP720904:SGS720904 SQL720904:SQO720904 TAH720904:TAK720904 TKD720904:TKG720904 TTZ720904:TUC720904 UDV720904:UDY720904 UNR720904:UNU720904 UXN720904:UXQ720904 VHJ720904:VHM720904 VRF720904:VRI720904 WBB720904:WBE720904 WKX720904:WLA720904 WUT720904:WUW720904 IH786440:IK786440 SD786440:SG786440 ABZ786440:ACC786440 ALV786440:ALY786440 AVR786440:AVU786440 BFN786440:BFQ786440 BPJ786440:BPM786440 BZF786440:BZI786440 CJB786440:CJE786440 CSX786440:CTA786440 DCT786440:DCW786440 DMP786440:DMS786440 DWL786440:DWO786440 EGH786440:EGK786440 EQD786440:EQG786440 EZZ786440:FAC786440 FJV786440:FJY786440 FTR786440:FTU786440 GDN786440:GDQ786440 GNJ786440:GNM786440 GXF786440:GXI786440 HHB786440:HHE786440 HQX786440:HRA786440 IAT786440:IAW786440 IKP786440:IKS786440 IUL786440:IUO786440 JEH786440:JEK786440 JOD786440:JOG786440 JXZ786440:JYC786440 KHV786440:KHY786440 KRR786440:KRU786440 LBN786440:LBQ786440 LLJ786440:LLM786440 LVF786440:LVI786440 MFB786440:MFE786440 MOX786440:MPA786440 MYT786440:MYW786440 NIP786440:NIS786440 NSL786440:NSO786440 OCH786440:OCK786440 OMD786440:OMG786440 OVZ786440:OWC786440 PFV786440:PFY786440 PPR786440:PPU786440 PZN786440:PZQ786440 QJJ786440:QJM786440 QTF786440:QTI786440 RDB786440:RDE786440 RMX786440:RNA786440 RWT786440:RWW786440 SGP786440:SGS786440 SQL786440:SQO786440 TAH786440:TAK786440 TKD786440:TKG786440 TTZ786440:TUC786440 UDV786440:UDY786440 UNR786440:UNU786440 UXN786440:UXQ786440 VHJ786440:VHM786440 VRF786440:VRI786440 WBB786440:WBE786440 WKX786440:WLA786440 WUT786440:WUW786440 IH851976:IK851976 SD851976:SG851976 ABZ851976:ACC851976 ALV851976:ALY851976 AVR851976:AVU851976 BFN851976:BFQ851976 BPJ851976:BPM851976 BZF851976:BZI851976 CJB851976:CJE851976 CSX851976:CTA851976 DCT851976:DCW851976 DMP851976:DMS851976 DWL851976:DWO851976 EGH851976:EGK851976 EQD851976:EQG851976 EZZ851976:FAC851976 FJV851976:FJY851976 FTR851976:FTU851976 GDN851976:GDQ851976 GNJ851976:GNM851976 GXF851976:GXI851976 HHB851976:HHE851976 HQX851976:HRA851976 IAT851976:IAW851976 IKP851976:IKS851976 IUL851976:IUO851976 JEH851976:JEK851976 JOD851976:JOG851976 JXZ851976:JYC851976 KHV851976:KHY851976 KRR851976:KRU851976 LBN851976:LBQ851976 LLJ851976:LLM851976 LVF851976:LVI851976 MFB851976:MFE851976 MOX851976:MPA851976 MYT851976:MYW851976 NIP851976:NIS851976 NSL851976:NSO851976 OCH851976:OCK851976 OMD851976:OMG851976 OVZ851976:OWC851976 PFV851976:PFY851976 PPR851976:PPU851976 PZN851976:PZQ851976 QJJ851976:QJM851976 QTF851976:QTI851976 RDB851976:RDE851976 RMX851976:RNA851976 RWT851976:RWW851976 SGP851976:SGS851976 SQL851976:SQO851976 TAH851976:TAK851976 TKD851976:TKG851976 TTZ851976:TUC851976 UDV851976:UDY851976 UNR851976:UNU851976 UXN851976:UXQ851976 VHJ851976:VHM851976 VRF851976:VRI851976 WBB851976:WBE851976 WKX851976:WLA851976 WUT851976:WUW851976 IH917512:IK917512 SD917512:SG917512 ABZ917512:ACC917512 ALV917512:ALY917512 AVR917512:AVU917512 BFN917512:BFQ917512 BPJ917512:BPM917512 BZF917512:BZI917512 CJB917512:CJE917512 CSX917512:CTA917512 DCT917512:DCW917512 DMP917512:DMS917512 DWL917512:DWO917512 EGH917512:EGK917512 EQD917512:EQG917512 EZZ917512:FAC917512 FJV917512:FJY917512 FTR917512:FTU917512 GDN917512:GDQ917512 GNJ917512:GNM917512 GXF917512:GXI917512 HHB917512:HHE917512 HQX917512:HRA917512 IAT917512:IAW917512 IKP917512:IKS917512 IUL917512:IUO917512 JEH917512:JEK917512 JOD917512:JOG917512 JXZ917512:JYC917512 KHV917512:KHY917512 KRR917512:KRU917512 LBN917512:LBQ917512 LLJ917512:LLM917512 LVF917512:LVI917512 MFB917512:MFE917512 MOX917512:MPA917512 MYT917512:MYW917512 NIP917512:NIS917512 NSL917512:NSO917512 OCH917512:OCK917512 OMD917512:OMG917512 OVZ917512:OWC917512 PFV917512:PFY917512 PPR917512:PPU917512 PZN917512:PZQ917512 QJJ917512:QJM917512 QTF917512:QTI917512 RDB917512:RDE917512 RMX917512:RNA917512 RWT917512:RWW917512 SGP917512:SGS917512 SQL917512:SQO917512 TAH917512:TAK917512 TKD917512:TKG917512 TTZ917512:TUC917512 UDV917512:UDY917512 UNR917512:UNU917512 UXN917512:UXQ917512 VHJ917512:VHM917512 VRF917512:VRI917512 WBB917512:WBE917512 WKX917512:WLA917512 WUT917512:WUW917512 Q917512:S917512 Q851976:S851976 Q786440:S786440 Q720904:S720904 Q655368:S655368 Q589832:S589832 Q524296:S524296 Q458760:S458760 Q393224:S393224 Q327688:S327688 Q262152:S262152 Q196616:S196616 Q131080:S131080 Q65544:S65544 Q983048:S983048 AF131082:AH131082 AF196618:AH196618 AF262154:AH262154 AF327690:AH327690 AF393226:AH393226 AF458762:AH458762 AF524298:AH524298 AF589834:AH589834 AF655370:AH655370 AF720906:AH720906 AF786442:AH786442 AF851978:AH851978 AF917514:AH917514 AF983050:AH983050 AB983049:AD983049 AB917513:AD917513 AB851977:AD851977 AB786441:AD786441 AB720905:AD720905 AB655369:AD655369 AB589833:AD589833 AB524297:AD524297 AB458761:AD458761 AB393225:AD393225 AB327689:AD327689 AB262153:AD262153 AB196617:AD196617 AB131081:AD131081 AB65545:AD65545 AF65546:AH65546 AO131082:AQ131082 AO196618:AQ196618 AO262154:AQ262154 AO327690:AQ327690 AO393226:AQ393226 AO458762:AQ458762 AO524298:AQ524298 AO589834:AQ589834 AO655370:AQ655370 AO720906:AQ720906 AO786442:AQ786442 AO851978:AQ851978 AO917514:AQ917514 AO983050:AQ983050 AI917513:AK917513 AI851977:AK851977 AI786441:AK786441 AI720905:AK720905 AI655369:AK655369 AI589833:AK589833 AI524297:AK524297 AI458761:AK458761 AI393225:AK393225 AI327689:AK327689 AI262153:AK262153 AI196617:AK196617 AI131081:AK131081 AI65545:AK65545 AO65546:AQ65546 AI983049:AK983049 AL131082:AM131082 AL196618:AM196618 AL262154:AM262154 AL327690:AM327690 AL393226:AM393226 AL458762:AM458762 AL524298:AM524298 AL589834:AM589834 AL655370:AM655370 AL720906:AM720906 AL786442:AM786442 AL851978:AM851978 AL917514:AM917514 AL983050:AM983050 AL65546:AM65546" xr:uid="{87090E45-91C1-418E-8188-C4A72504E6B6}">
      <formula1>"○, ○（オンライン処理設計書なし）"</formula1>
    </dataValidation>
    <dataValidation type="list" allowBlank="1" showInputMessage="1" showErrorMessage="1" sqref="V65551:Y65554 IN65551:IQ65554 SJ65551:SM65554 ACF65551:ACI65554 AMB65551:AME65554 AVX65551:AWA65554 BFT65551:BFW65554 BPP65551:BPS65554 BZL65551:BZO65554 CJH65551:CJK65554 CTD65551:CTG65554 DCZ65551:DDC65554 DMV65551:DMY65554 DWR65551:DWU65554 EGN65551:EGQ65554 EQJ65551:EQM65554 FAF65551:FAI65554 FKB65551:FKE65554 FTX65551:FUA65554 GDT65551:GDW65554 GNP65551:GNS65554 GXL65551:GXO65554 HHH65551:HHK65554 HRD65551:HRG65554 IAZ65551:IBC65554 IKV65551:IKY65554 IUR65551:IUU65554 JEN65551:JEQ65554 JOJ65551:JOM65554 JYF65551:JYI65554 KIB65551:KIE65554 KRX65551:KSA65554 LBT65551:LBW65554 LLP65551:LLS65554 LVL65551:LVO65554 MFH65551:MFK65554 MPD65551:MPG65554 MYZ65551:MZC65554 NIV65551:NIY65554 NSR65551:NSU65554 OCN65551:OCQ65554 OMJ65551:OMM65554 OWF65551:OWI65554 PGB65551:PGE65554 PPX65551:PQA65554 PZT65551:PZW65554 QJP65551:QJS65554 QTL65551:QTO65554 RDH65551:RDK65554 RND65551:RNG65554 RWZ65551:RXC65554 SGV65551:SGY65554 SQR65551:SQU65554 TAN65551:TAQ65554 TKJ65551:TKM65554 TUF65551:TUI65554 UEB65551:UEE65554 UNX65551:UOA65554 UXT65551:UXW65554 VHP65551:VHS65554 VRL65551:VRO65554 WBH65551:WBK65554 WLD65551:WLG65554 WUZ65551:WVC65554 V131087:Y131090 IN131087:IQ131090 SJ131087:SM131090 ACF131087:ACI131090 AMB131087:AME131090 AVX131087:AWA131090 BFT131087:BFW131090 BPP131087:BPS131090 BZL131087:BZO131090 CJH131087:CJK131090 CTD131087:CTG131090 DCZ131087:DDC131090 DMV131087:DMY131090 DWR131087:DWU131090 EGN131087:EGQ131090 EQJ131087:EQM131090 FAF131087:FAI131090 FKB131087:FKE131090 FTX131087:FUA131090 GDT131087:GDW131090 GNP131087:GNS131090 GXL131087:GXO131090 HHH131087:HHK131090 HRD131087:HRG131090 IAZ131087:IBC131090 IKV131087:IKY131090 IUR131087:IUU131090 JEN131087:JEQ131090 JOJ131087:JOM131090 JYF131087:JYI131090 KIB131087:KIE131090 KRX131087:KSA131090 LBT131087:LBW131090 LLP131087:LLS131090 LVL131087:LVO131090 MFH131087:MFK131090 MPD131087:MPG131090 MYZ131087:MZC131090 NIV131087:NIY131090 NSR131087:NSU131090 OCN131087:OCQ131090 OMJ131087:OMM131090 OWF131087:OWI131090 PGB131087:PGE131090 PPX131087:PQA131090 PZT131087:PZW131090 QJP131087:QJS131090 QTL131087:QTO131090 RDH131087:RDK131090 RND131087:RNG131090 RWZ131087:RXC131090 SGV131087:SGY131090 SQR131087:SQU131090 TAN131087:TAQ131090 TKJ131087:TKM131090 TUF131087:TUI131090 UEB131087:UEE131090 UNX131087:UOA131090 UXT131087:UXW131090 VHP131087:VHS131090 VRL131087:VRO131090 WBH131087:WBK131090 WLD131087:WLG131090 WUZ131087:WVC131090 V196623:Y196626 IN196623:IQ196626 SJ196623:SM196626 ACF196623:ACI196626 AMB196623:AME196626 AVX196623:AWA196626 BFT196623:BFW196626 BPP196623:BPS196626 BZL196623:BZO196626 CJH196623:CJK196626 CTD196623:CTG196626 DCZ196623:DDC196626 DMV196623:DMY196626 DWR196623:DWU196626 EGN196623:EGQ196626 EQJ196623:EQM196626 FAF196623:FAI196626 FKB196623:FKE196626 FTX196623:FUA196626 GDT196623:GDW196626 GNP196623:GNS196626 GXL196623:GXO196626 HHH196623:HHK196626 HRD196623:HRG196626 IAZ196623:IBC196626 IKV196623:IKY196626 IUR196623:IUU196626 JEN196623:JEQ196626 JOJ196623:JOM196626 JYF196623:JYI196626 KIB196623:KIE196626 KRX196623:KSA196626 LBT196623:LBW196626 LLP196623:LLS196626 LVL196623:LVO196626 MFH196623:MFK196626 MPD196623:MPG196626 MYZ196623:MZC196626 NIV196623:NIY196626 NSR196623:NSU196626 OCN196623:OCQ196626 OMJ196623:OMM196626 OWF196623:OWI196626 PGB196623:PGE196626 PPX196623:PQA196626 PZT196623:PZW196626 QJP196623:QJS196626 QTL196623:QTO196626 RDH196623:RDK196626 RND196623:RNG196626 RWZ196623:RXC196626 SGV196623:SGY196626 SQR196623:SQU196626 TAN196623:TAQ196626 TKJ196623:TKM196626 TUF196623:TUI196626 UEB196623:UEE196626 UNX196623:UOA196626 UXT196623:UXW196626 VHP196623:VHS196626 VRL196623:VRO196626 WBH196623:WBK196626 WLD196623:WLG196626 WUZ196623:WVC196626 V262159:Y262162 IN262159:IQ262162 SJ262159:SM262162 ACF262159:ACI262162 AMB262159:AME262162 AVX262159:AWA262162 BFT262159:BFW262162 BPP262159:BPS262162 BZL262159:BZO262162 CJH262159:CJK262162 CTD262159:CTG262162 DCZ262159:DDC262162 DMV262159:DMY262162 DWR262159:DWU262162 EGN262159:EGQ262162 EQJ262159:EQM262162 FAF262159:FAI262162 FKB262159:FKE262162 FTX262159:FUA262162 GDT262159:GDW262162 GNP262159:GNS262162 GXL262159:GXO262162 HHH262159:HHK262162 HRD262159:HRG262162 IAZ262159:IBC262162 IKV262159:IKY262162 IUR262159:IUU262162 JEN262159:JEQ262162 JOJ262159:JOM262162 JYF262159:JYI262162 KIB262159:KIE262162 KRX262159:KSA262162 LBT262159:LBW262162 LLP262159:LLS262162 LVL262159:LVO262162 MFH262159:MFK262162 MPD262159:MPG262162 MYZ262159:MZC262162 NIV262159:NIY262162 NSR262159:NSU262162 OCN262159:OCQ262162 OMJ262159:OMM262162 OWF262159:OWI262162 PGB262159:PGE262162 PPX262159:PQA262162 PZT262159:PZW262162 QJP262159:QJS262162 QTL262159:QTO262162 RDH262159:RDK262162 RND262159:RNG262162 RWZ262159:RXC262162 SGV262159:SGY262162 SQR262159:SQU262162 TAN262159:TAQ262162 TKJ262159:TKM262162 TUF262159:TUI262162 UEB262159:UEE262162 UNX262159:UOA262162 UXT262159:UXW262162 VHP262159:VHS262162 VRL262159:VRO262162 WBH262159:WBK262162 WLD262159:WLG262162 WUZ262159:WVC262162 V327695:Y327698 IN327695:IQ327698 SJ327695:SM327698 ACF327695:ACI327698 AMB327695:AME327698 AVX327695:AWA327698 BFT327695:BFW327698 BPP327695:BPS327698 BZL327695:BZO327698 CJH327695:CJK327698 CTD327695:CTG327698 DCZ327695:DDC327698 DMV327695:DMY327698 DWR327695:DWU327698 EGN327695:EGQ327698 EQJ327695:EQM327698 FAF327695:FAI327698 FKB327695:FKE327698 FTX327695:FUA327698 GDT327695:GDW327698 GNP327695:GNS327698 GXL327695:GXO327698 HHH327695:HHK327698 HRD327695:HRG327698 IAZ327695:IBC327698 IKV327695:IKY327698 IUR327695:IUU327698 JEN327695:JEQ327698 JOJ327695:JOM327698 JYF327695:JYI327698 KIB327695:KIE327698 KRX327695:KSA327698 LBT327695:LBW327698 LLP327695:LLS327698 LVL327695:LVO327698 MFH327695:MFK327698 MPD327695:MPG327698 MYZ327695:MZC327698 NIV327695:NIY327698 NSR327695:NSU327698 OCN327695:OCQ327698 OMJ327695:OMM327698 OWF327695:OWI327698 PGB327695:PGE327698 PPX327695:PQA327698 PZT327695:PZW327698 QJP327695:QJS327698 QTL327695:QTO327698 RDH327695:RDK327698 RND327695:RNG327698 RWZ327695:RXC327698 SGV327695:SGY327698 SQR327695:SQU327698 TAN327695:TAQ327698 TKJ327695:TKM327698 TUF327695:TUI327698 UEB327695:UEE327698 UNX327695:UOA327698 UXT327695:UXW327698 VHP327695:VHS327698 VRL327695:VRO327698 WBH327695:WBK327698 WLD327695:WLG327698 WUZ327695:WVC327698 V393231:Y393234 IN393231:IQ393234 SJ393231:SM393234 ACF393231:ACI393234 AMB393231:AME393234 AVX393231:AWA393234 BFT393231:BFW393234 BPP393231:BPS393234 BZL393231:BZO393234 CJH393231:CJK393234 CTD393231:CTG393234 DCZ393231:DDC393234 DMV393231:DMY393234 DWR393231:DWU393234 EGN393231:EGQ393234 EQJ393231:EQM393234 FAF393231:FAI393234 FKB393231:FKE393234 FTX393231:FUA393234 GDT393231:GDW393234 GNP393231:GNS393234 GXL393231:GXO393234 HHH393231:HHK393234 HRD393231:HRG393234 IAZ393231:IBC393234 IKV393231:IKY393234 IUR393231:IUU393234 JEN393231:JEQ393234 JOJ393231:JOM393234 JYF393231:JYI393234 KIB393231:KIE393234 KRX393231:KSA393234 LBT393231:LBW393234 LLP393231:LLS393234 LVL393231:LVO393234 MFH393231:MFK393234 MPD393231:MPG393234 MYZ393231:MZC393234 NIV393231:NIY393234 NSR393231:NSU393234 OCN393231:OCQ393234 OMJ393231:OMM393234 OWF393231:OWI393234 PGB393231:PGE393234 PPX393231:PQA393234 PZT393231:PZW393234 QJP393231:QJS393234 QTL393231:QTO393234 RDH393231:RDK393234 RND393231:RNG393234 RWZ393231:RXC393234 SGV393231:SGY393234 SQR393231:SQU393234 TAN393231:TAQ393234 TKJ393231:TKM393234 TUF393231:TUI393234 UEB393231:UEE393234 UNX393231:UOA393234 UXT393231:UXW393234 VHP393231:VHS393234 VRL393231:VRO393234 WBH393231:WBK393234 WLD393231:WLG393234 WUZ393231:WVC393234 V458767:Y458770 IN458767:IQ458770 SJ458767:SM458770 ACF458767:ACI458770 AMB458767:AME458770 AVX458767:AWA458770 BFT458767:BFW458770 BPP458767:BPS458770 BZL458767:BZO458770 CJH458767:CJK458770 CTD458767:CTG458770 DCZ458767:DDC458770 DMV458767:DMY458770 DWR458767:DWU458770 EGN458767:EGQ458770 EQJ458767:EQM458770 FAF458767:FAI458770 FKB458767:FKE458770 FTX458767:FUA458770 GDT458767:GDW458770 GNP458767:GNS458770 GXL458767:GXO458770 HHH458767:HHK458770 HRD458767:HRG458770 IAZ458767:IBC458770 IKV458767:IKY458770 IUR458767:IUU458770 JEN458767:JEQ458770 JOJ458767:JOM458770 JYF458767:JYI458770 KIB458767:KIE458770 KRX458767:KSA458770 LBT458767:LBW458770 LLP458767:LLS458770 LVL458767:LVO458770 MFH458767:MFK458770 MPD458767:MPG458770 MYZ458767:MZC458770 NIV458767:NIY458770 NSR458767:NSU458770 OCN458767:OCQ458770 OMJ458767:OMM458770 OWF458767:OWI458770 PGB458767:PGE458770 PPX458767:PQA458770 PZT458767:PZW458770 QJP458767:QJS458770 QTL458767:QTO458770 RDH458767:RDK458770 RND458767:RNG458770 RWZ458767:RXC458770 SGV458767:SGY458770 SQR458767:SQU458770 TAN458767:TAQ458770 TKJ458767:TKM458770 TUF458767:TUI458770 UEB458767:UEE458770 UNX458767:UOA458770 UXT458767:UXW458770 VHP458767:VHS458770 VRL458767:VRO458770 WBH458767:WBK458770 WLD458767:WLG458770 WUZ458767:WVC458770 V524303:Y524306 IN524303:IQ524306 SJ524303:SM524306 ACF524303:ACI524306 AMB524303:AME524306 AVX524303:AWA524306 BFT524303:BFW524306 BPP524303:BPS524306 BZL524303:BZO524306 CJH524303:CJK524306 CTD524303:CTG524306 DCZ524303:DDC524306 DMV524303:DMY524306 DWR524303:DWU524306 EGN524303:EGQ524306 EQJ524303:EQM524306 FAF524303:FAI524306 FKB524303:FKE524306 FTX524303:FUA524306 GDT524303:GDW524306 GNP524303:GNS524306 GXL524303:GXO524306 HHH524303:HHK524306 HRD524303:HRG524306 IAZ524303:IBC524306 IKV524303:IKY524306 IUR524303:IUU524306 JEN524303:JEQ524306 JOJ524303:JOM524306 JYF524303:JYI524306 KIB524303:KIE524306 KRX524303:KSA524306 LBT524303:LBW524306 LLP524303:LLS524306 LVL524303:LVO524306 MFH524303:MFK524306 MPD524303:MPG524306 MYZ524303:MZC524306 NIV524303:NIY524306 NSR524303:NSU524306 OCN524303:OCQ524306 OMJ524303:OMM524306 OWF524303:OWI524306 PGB524303:PGE524306 PPX524303:PQA524306 PZT524303:PZW524306 QJP524303:QJS524306 QTL524303:QTO524306 RDH524303:RDK524306 RND524303:RNG524306 RWZ524303:RXC524306 SGV524303:SGY524306 SQR524303:SQU524306 TAN524303:TAQ524306 TKJ524303:TKM524306 TUF524303:TUI524306 UEB524303:UEE524306 UNX524303:UOA524306 UXT524303:UXW524306 VHP524303:VHS524306 VRL524303:VRO524306 WBH524303:WBK524306 WLD524303:WLG524306 WUZ524303:WVC524306 V589839:Y589842 IN589839:IQ589842 SJ589839:SM589842 ACF589839:ACI589842 AMB589839:AME589842 AVX589839:AWA589842 BFT589839:BFW589842 BPP589839:BPS589842 BZL589839:BZO589842 CJH589839:CJK589842 CTD589839:CTG589842 DCZ589839:DDC589842 DMV589839:DMY589842 DWR589839:DWU589842 EGN589839:EGQ589842 EQJ589839:EQM589842 FAF589839:FAI589842 FKB589839:FKE589842 FTX589839:FUA589842 GDT589839:GDW589842 GNP589839:GNS589842 GXL589839:GXO589842 HHH589839:HHK589842 HRD589839:HRG589842 IAZ589839:IBC589842 IKV589839:IKY589842 IUR589839:IUU589842 JEN589839:JEQ589842 JOJ589839:JOM589842 JYF589839:JYI589842 KIB589839:KIE589842 KRX589839:KSA589842 LBT589839:LBW589842 LLP589839:LLS589842 LVL589839:LVO589842 MFH589839:MFK589842 MPD589839:MPG589842 MYZ589839:MZC589842 NIV589839:NIY589842 NSR589839:NSU589842 OCN589839:OCQ589842 OMJ589839:OMM589842 OWF589839:OWI589842 PGB589839:PGE589842 PPX589839:PQA589842 PZT589839:PZW589842 QJP589839:QJS589842 QTL589839:QTO589842 RDH589839:RDK589842 RND589839:RNG589842 RWZ589839:RXC589842 SGV589839:SGY589842 SQR589839:SQU589842 TAN589839:TAQ589842 TKJ589839:TKM589842 TUF589839:TUI589842 UEB589839:UEE589842 UNX589839:UOA589842 UXT589839:UXW589842 VHP589839:VHS589842 VRL589839:VRO589842 WBH589839:WBK589842 WLD589839:WLG589842 WUZ589839:WVC589842 V655375:Y655378 IN655375:IQ655378 SJ655375:SM655378 ACF655375:ACI655378 AMB655375:AME655378 AVX655375:AWA655378 BFT655375:BFW655378 BPP655375:BPS655378 BZL655375:BZO655378 CJH655375:CJK655378 CTD655375:CTG655378 DCZ655375:DDC655378 DMV655375:DMY655378 DWR655375:DWU655378 EGN655375:EGQ655378 EQJ655375:EQM655378 FAF655375:FAI655378 FKB655375:FKE655378 FTX655375:FUA655378 GDT655375:GDW655378 GNP655375:GNS655378 GXL655375:GXO655378 HHH655375:HHK655378 HRD655375:HRG655378 IAZ655375:IBC655378 IKV655375:IKY655378 IUR655375:IUU655378 JEN655375:JEQ655378 JOJ655375:JOM655378 JYF655375:JYI655378 KIB655375:KIE655378 KRX655375:KSA655378 LBT655375:LBW655378 LLP655375:LLS655378 LVL655375:LVO655378 MFH655375:MFK655378 MPD655375:MPG655378 MYZ655375:MZC655378 NIV655375:NIY655378 NSR655375:NSU655378 OCN655375:OCQ655378 OMJ655375:OMM655378 OWF655375:OWI655378 PGB655375:PGE655378 PPX655375:PQA655378 PZT655375:PZW655378 QJP655375:QJS655378 QTL655375:QTO655378 RDH655375:RDK655378 RND655375:RNG655378 RWZ655375:RXC655378 SGV655375:SGY655378 SQR655375:SQU655378 TAN655375:TAQ655378 TKJ655375:TKM655378 TUF655375:TUI655378 UEB655375:UEE655378 UNX655375:UOA655378 UXT655375:UXW655378 VHP655375:VHS655378 VRL655375:VRO655378 WBH655375:WBK655378 WLD655375:WLG655378 WUZ655375:WVC655378 V720911:Y720914 IN720911:IQ720914 SJ720911:SM720914 ACF720911:ACI720914 AMB720911:AME720914 AVX720911:AWA720914 BFT720911:BFW720914 BPP720911:BPS720914 BZL720911:BZO720914 CJH720911:CJK720914 CTD720911:CTG720914 DCZ720911:DDC720914 DMV720911:DMY720914 DWR720911:DWU720914 EGN720911:EGQ720914 EQJ720911:EQM720914 FAF720911:FAI720914 FKB720911:FKE720914 FTX720911:FUA720914 GDT720911:GDW720914 GNP720911:GNS720914 GXL720911:GXO720914 HHH720911:HHK720914 HRD720911:HRG720914 IAZ720911:IBC720914 IKV720911:IKY720914 IUR720911:IUU720914 JEN720911:JEQ720914 JOJ720911:JOM720914 JYF720911:JYI720914 KIB720911:KIE720914 KRX720911:KSA720914 LBT720911:LBW720914 LLP720911:LLS720914 LVL720911:LVO720914 MFH720911:MFK720914 MPD720911:MPG720914 MYZ720911:MZC720914 NIV720911:NIY720914 NSR720911:NSU720914 OCN720911:OCQ720914 OMJ720911:OMM720914 OWF720911:OWI720914 PGB720911:PGE720914 PPX720911:PQA720914 PZT720911:PZW720914 QJP720911:QJS720914 QTL720911:QTO720914 RDH720911:RDK720914 RND720911:RNG720914 RWZ720911:RXC720914 SGV720911:SGY720914 SQR720911:SQU720914 TAN720911:TAQ720914 TKJ720911:TKM720914 TUF720911:TUI720914 UEB720911:UEE720914 UNX720911:UOA720914 UXT720911:UXW720914 VHP720911:VHS720914 VRL720911:VRO720914 WBH720911:WBK720914 WLD720911:WLG720914 WUZ720911:WVC720914 V786447:Y786450 IN786447:IQ786450 SJ786447:SM786450 ACF786447:ACI786450 AMB786447:AME786450 AVX786447:AWA786450 BFT786447:BFW786450 BPP786447:BPS786450 BZL786447:BZO786450 CJH786447:CJK786450 CTD786447:CTG786450 DCZ786447:DDC786450 DMV786447:DMY786450 DWR786447:DWU786450 EGN786447:EGQ786450 EQJ786447:EQM786450 FAF786447:FAI786450 FKB786447:FKE786450 FTX786447:FUA786450 GDT786447:GDW786450 GNP786447:GNS786450 GXL786447:GXO786450 HHH786447:HHK786450 HRD786447:HRG786450 IAZ786447:IBC786450 IKV786447:IKY786450 IUR786447:IUU786450 JEN786447:JEQ786450 JOJ786447:JOM786450 JYF786447:JYI786450 KIB786447:KIE786450 KRX786447:KSA786450 LBT786447:LBW786450 LLP786447:LLS786450 LVL786447:LVO786450 MFH786447:MFK786450 MPD786447:MPG786450 MYZ786447:MZC786450 NIV786447:NIY786450 NSR786447:NSU786450 OCN786447:OCQ786450 OMJ786447:OMM786450 OWF786447:OWI786450 PGB786447:PGE786450 PPX786447:PQA786450 PZT786447:PZW786450 QJP786447:QJS786450 QTL786447:QTO786450 RDH786447:RDK786450 RND786447:RNG786450 RWZ786447:RXC786450 SGV786447:SGY786450 SQR786447:SQU786450 TAN786447:TAQ786450 TKJ786447:TKM786450 TUF786447:TUI786450 UEB786447:UEE786450 UNX786447:UOA786450 UXT786447:UXW786450 VHP786447:VHS786450 VRL786447:VRO786450 WBH786447:WBK786450 WLD786447:WLG786450 WUZ786447:WVC786450 V851983:Y851986 IN851983:IQ851986 SJ851983:SM851986 ACF851983:ACI851986 AMB851983:AME851986 AVX851983:AWA851986 BFT851983:BFW851986 BPP851983:BPS851986 BZL851983:BZO851986 CJH851983:CJK851986 CTD851983:CTG851986 DCZ851983:DDC851986 DMV851983:DMY851986 DWR851983:DWU851986 EGN851983:EGQ851986 EQJ851983:EQM851986 FAF851983:FAI851986 FKB851983:FKE851986 FTX851983:FUA851986 GDT851983:GDW851986 GNP851983:GNS851986 GXL851983:GXO851986 HHH851983:HHK851986 HRD851983:HRG851986 IAZ851983:IBC851986 IKV851983:IKY851986 IUR851983:IUU851986 JEN851983:JEQ851986 JOJ851983:JOM851986 JYF851983:JYI851986 KIB851983:KIE851986 KRX851983:KSA851986 LBT851983:LBW851986 LLP851983:LLS851986 LVL851983:LVO851986 MFH851983:MFK851986 MPD851983:MPG851986 MYZ851983:MZC851986 NIV851983:NIY851986 NSR851983:NSU851986 OCN851983:OCQ851986 OMJ851983:OMM851986 OWF851983:OWI851986 PGB851983:PGE851986 PPX851983:PQA851986 PZT851983:PZW851986 QJP851983:QJS851986 QTL851983:QTO851986 RDH851983:RDK851986 RND851983:RNG851986 RWZ851983:RXC851986 SGV851983:SGY851986 SQR851983:SQU851986 TAN851983:TAQ851986 TKJ851983:TKM851986 TUF851983:TUI851986 UEB851983:UEE851986 UNX851983:UOA851986 UXT851983:UXW851986 VHP851983:VHS851986 VRL851983:VRO851986 WBH851983:WBK851986 WLD851983:WLG851986 WUZ851983:WVC851986 V917519:Y917522 IN917519:IQ917522 SJ917519:SM917522 ACF917519:ACI917522 AMB917519:AME917522 AVX917519:AWA917522 BFT917519:BFW917522 BPP917519:BPS917522 BZL917519:BZO917522 CJH917519:CJK917522 CTD917519:CTG917522 DCZ917519:DDC917522 DMV917519:DMY917522 DWR917519:DWU917522 EGN917519:EGQ917522 EQJ917519:EQM917522 FAF917519:FAI917522 FKB917519:FKE917522 FTX917519:FUA917522 GDT917519:GDW917522 GNP917519:GNS917522 GXL917519:GXO917522 HHH917519:HHK917522 HRD917519:HRG917522 IAZ917519:IBC917522 IKV917519:IKY917522 IUR917519:IUU917522 JEN917519:JEQ917522 JOJ917519:JOM917522 JYF917519:JYI917522 KIB917519:KIE917522 KRX917519:KSA917522 LBT917519:LBW917522 LLP917519:LLS917522 LVL917519:LVO917522 MFH917519:MFK917522 MPD917519:MPG917522 MYZ917519:MZC917522 NIV917519:NIY917522 NSR917519:NSU917522 OCN917519:OCQ917522 OMJ917519:OMM917522 OWF917519:OWI917522 PGB917519:PGE917522 PPX917519:PQA917522 PZT917519:PZW917522 QJP917519:QJS917522 QTL917519:QTO917522 RDH917519:RDK917522 RND917519:RNG917522 RWZ917519:RXC917522 SGV917519:SGY917522 SQR917519:SQU917522 TAN917519:TAQ917522 TKJ917519:TKM917522 TUF917519:TUI917522 UEB917519:UEE917522 UNX917519:UOA917522 UXT917519:UXW917522 VHP917519:VHS917522 VRL917519:VRO917522 WBH917519:WBK917522 WLD917519:WLG917522 WUZ917519:WVC917522 V983055:Y983058 IN983055:IQ983058 SJ983055:SM983058 ACF983055:ACI983058 AMB983055:AME983058 AVX983055:AWA983058 BFT983055:BFW983058 BPP983055:BPS983058 BZL983055:BZO983058 CJH983055:CJK983058 CTD983055:CTG983058 DCZ983055:DDC983058 DMV983055:DMY983058 DWR983055:DWU983058 EGN983055:EGQ983058 EQJ983055:EQM983058 FAF983055:FAI983058 FKB983055:FKE983058 FTX983055:FUA983058 GDT983055:GDW983058 GNP983055:GNS983058 GXL983055:GXO983058 HHH983055:HHK983058 HRD983055:HRG983058 IAZ983055:IBC983058 IKV983055:IKY983058 IUR983055:IUU983058 JEN983055:JEQ983058 JOJ983055:JOM983058 JYF983055:JYI983058 KIB983055:KIE983058 KRX983055:KSA983058 LBT983055:LBW983058 LLP983055:LLS983058 LVL983055:LVO983058 MFH983055:MFK983058 MPD983055:MPG983058 MYZ983055:MZC983058 NIV983055:NIY983058 NSR983055:NSU983058 OCN983055:OCQ983058 OMJ983055:OMM983058 OWF983055:OWI983058 PGB983055:PGE983058 PPX983055:PQA983058 PZT983055:PZW983058 QJP983055:QJS983058 QTL983055:QTO983058 RDH983055:RDK983058 RND983055:RNG983058 RWZ983055:RXC983058 SGV983055:SGY983058 SQR983055:SQU983058 TAN983055:TAQ983058 TKJ983055:TKM983058 TUF983055:TUI983058 UEB983055:UEE983058 UNX983055:UOA983058 UXT983055:UXW983058 VHP983055:VHS983058 VRL983055:VRO983058 WBH983055:WBK983058 WLD983055:WLG983058 WUZ983055:WVC983058 Q65545:T65545 II65545:IL65545 SE65545:SH65545 ACA65545:ACD65545 ALW65545:ALZ65545 AVS65545:AVV65545 BFO65545:BFR65545 BPK65545:BPN65545 BZG65545:BZJ65545 CJC65545:CJF65545 CSY65545:CTB65545 DCU65545:DCX65545 DMQ65545:DMT65545 DWM65545:DWP65545 EGI65545:EGL65545 EQE65545:EQH65545 FAA65545:FAD65545 FJW65545:FJZ65545 FTS65545:FTV65545 GDO65545:GDR65545 GNK65545:GNN65545 GXG65545:GXJ65545 HHC65545:HHF65545 HQY65545:HRB65545 IAU65545:IAX65545 IKQ65545:IKT65545 IUM65545:IUP65545 JEI65545:JEL65545 JOE65545:JOH65545 JYA65545:JYD65545 KHW65545:KHZ65545 KRS65545:KRV65545 LBO65545:LBR65545 LLK65545:LLN65545 LVG65545:LVJ65545 MFC65545:MFF65545 MOY65545:MPB65545 MYU65545:MYX65545 NIQ65545:NIT65545 NSM65545:NSP65545 OCI65545:OCL65545 OME65545:OMH65545 OWA65545:OWD65545 PFW65545:PFZ65545 PPS65545:PPV65545 PZO65545:PZR65545 QJK65545:QJN65545 QTG65545:QTJ65545 RDC65545:RDF65545 RMY65545:RNB65545 RWU65545:RWX65545 SGQ65545:SGT65545 SQM65545:SQP65545 TAI65545:TAL65545 TKE65545:TKH65545 TUA65545:TUD65545 UDW65545:UDZ65545 UNS65545:UNV65545 UXO65545:UXR65545 VHK65545:VHN65545 VRG65545:VRJ65545 WBC65545:WBF65545 WKY65545:WLB65545 WUU65545:WUX65545 Q131081:T131081 II131081:IL131081 SE131081:SH131081 ACA131081:ACD131081 ALW131081:ALZ131081 AVS131081:AVV131081 BFO131081:BFR131081 BPK131081:BPN131081 BZG131081:BZJ131081 CJC131081:CJF131081 CSY131081:CTB131081 DCU131081:DCX131081 DMQ131081:DMT131081 DWM131081:DWP131081 EGI131081:EGL131081 EQE131081:EQH131081 FAA131081:FAD131081 FJW131081:FJZ131081 FTS131081:FTV131081 GDO131081:GDR131081 GNK131081:GNN131081 GXG131081:GXJ131081 HHC131081:HHF131081 HQY131081:HRB131081 IAU131081:IAX131081 IKQ131081:IKT131081 IUM131081:IUP131081 JEI131081:JEL131081 JOE131081:JOH131081 JYA131081:JYD131081 KHW131081:KHZ131081 KRS131081:KRV131081 LBO131081:LBR131081 LLK131081:LLN131081 LVG131081:LVJ131081 MFC131081:MFF131081 MOY131081:MPB131081 MYU131081:MYX131081 NIQ131081:NIT131081 NSM131081:NSP131081 OCI131081:OCL131081 OME131081:OMH131081 OWA131081:OWD131081 PFW131081:PFZ131081 PPS131081:PPV131081 PZO131081:PZR131081 QJK131081:QJN131081 QTG131081:QTJ131081 RDC131081:RDF131081 RMY131081:RNB131081 RWU131081:RWX131081 SGQ131081:SGT131081 SQM131081:SQP131081 TAI131081:TAL131081 TKE131081:TKH131081 TUA131081:TUD131081 UDW131081:UDZ131081 UNS131081:UNV131081 UXO131081:UXR131081 VHK131081:VHN131081 VRG131081:VRJ131081 WBC131081:WBF131081 WKY131081:WLB131081 WUU131081:WUX131081 Q196617:T196617 II196617:IL196617 SE196617:SH196617 ACA196617:ACD196617 ALW196617:ALZ196617 AVS196617:AVV196617 BFO196617:BFR196617 BPK196617:BPN196617 BZG196617:BZJ196617 CJC196617:CJF196617 CSY196617:CTB196617 DCU196617:DCX196617 DMQ196617:DMT196617 DWM196617:DWP196617 EGI196617:EGL196617 EQE196617:EQH196617 FAA196617:FAD196617 FJW196617:FJZ196617 FTS196617:FTV196617 GDO196617:GDR196617 GNK196617:GNN196617 GXG196617:GXJ196617 HHC196617:HHF196617 HQY196617:HRB196617 IAU196617:IAX196617 IKQ196617:IKT196617 IUM196617:IUP196617 JEI196617:JEL196617 JOE196617:JOH196617 JYA196617:JYD196617 KHW196617:KHZ196617 KRS196617:KRV196617 LBO196617:LBR196617 LLK196617:LLN196617 LVG196617:LVJ196617 MFC196617:MFF196617 MOY196617:MPB196617 MYU196617:MYX196617 NIQ196617:NIT196617 NSM196617:NSP196617 OCI196617:OCL196617 OME196617:OMH196617 OWA196617:OWD196617 PFW196617:PFZ196617 PPS196617:PPV196617 PZO196617:PZR196617 QJK196617:QJN196617 QTG196617:QTJ196617 RDC196617:RDF196617 RMY196617:RNB196617 RWU196617:RWX196617 SGQ196617:SGT196617 SQM196617:SQP196617 TAI196617:TAL196617 TKE196617:TKH196617 TUA196617:TUD196617 UDW196617:UDZ196617 UNS196617:UNV196617 UXO196617:UXR196617 VHK196617:VHN196617 VRG196617:VRJ196617 WBC196617:WBF196617 WKY196617:WLB196617 WUU196617:WUX196617 Q262153:T262153 II262153:IL262153 SE262153:SH262153 ACA262153:ACD262153 ALW262153:ALZ262153 AVS262153:AVV262153 BFO262153:BFR262153 BPK262153:BPN262153 BZG262153:BZJ262153 CJC262153:CJF262153 CSY262153:CTB262153 DCU262153:DCX262153 DMQ262153:DMT262153 DWM262153:DWP262153 EGI262153:EGL262153 EQE262153:EQH262153 FAA262153:FAD262153 FJW262153:FJZ262153 FTS262153:FTV262153 GDO262153:GDR262153 GNK262153:GNN262153 GXG262153:GXJ262153 HHC262153:HHF262153 HQY262153:HRB262153 IAU262153:IAX262153 IKQ262153:IKT262153 IUM262153:IUP262153 JEI262153:JEL262153 JOE262153:JOH262153 JYA262153:JYD262153 KHW262153:KHZ262153 KRS262153:KRV262153 LBO262153:LBR262153 LLK262153:LLN262153 LVG262153:LVJ262153 MFC262153:MFF262153 MOY262153:MPB262153 MYU262153:MYX262153 NIQ262153:NIT262153 NSM262153:NSP262153 OCI262153:OCL262153 OME262153:OMH262153 OWA262153:OWD262153 PFW262153:PFZ262153 PPS262153:PPV262153 PZO262153:PZR262153 QJK262153:QJN262153 QTG262153:QTJ262153 RDC262153:RDF262153 RMY262153:RNB262153 RWU262153:RWX262153 SGQ262153:SGT262153 SQM262153:SQP262153 TAI262153:TAL262153 TKE262153:TKH262153 TUA262153:TUD262153 UDW262153:UDZ262153 UNS262153:UNV262153 UXO262153:UXR262153 VHK262153:VHN262153 VRG262153:VRJ262153 WBC262153:WBF262153 WKY262153:WLB262153 WUU262153:WUX262153 Q327689:T327689 II327689:IL327689 SE327689:SH327689 ACA327689:ACD327689 ALW327689:ALZ327689 AVS327689:AVV327689 BFO327689:BFR327689 BPK327689:BPN327689 BZG327689:BZJ327689 CJC327689:CJF327689 CSY327689:CTB327689 DCU327689:DCX327689 DMQ327689:DMT327689 DWM327689:DWP327689 EGI327689:EGL327689 EQE327689:EQH327689 FAA327689:FAD327689 FJW327689:FJZ327689 FTS327689:FTV327689 GDO327689:GDR327689 GNK327689:GNN327689 GXG327689:GXJ327689 HHC327689:HHF327689 HQY327689:HRB327689 IAU327689:IAX327689 IKQ327689:IKT327689 IUM327689:IUP327689 JEI327689:JEL327689 JOE327689:JOH327689 JYA327689:JYD327689 KHW327689:KHZ327689 KRS327689:KRV327689 LBO327689:LBR327689 LLK327689:LLN327689 LVG327689:LVJ327689 MFC327689:MFF327689 MOY327689:MPB327689 MYU327689:MYX327689 NIQ327689:NIT327689 NSM327689:NSP327689 OCI327689:OCL327689 OME327689:OMH327689 OWA327689:OWD327689 PFW327689:PFZ327689 PPS327689:PPV327689 PZO327689:PZR327689 QJK327689:QJN327689 QTG327689:QTJ327689 RDC327689:RDF327689 RMY327689:RNB327689 RWU327689:RWX327689 SGQ327689:SGT327689 SQM327689:SQP327689 TAI327689:TAL327689 TKE327689:TKH327689 TUA327689:TUD327689 UDW327689:UDZ327689 UNS327689:UNV327689 UXO327689:UXR327689 VHK327689:VHN327689 VRG327689:VRJ327689 WBC327689:WBF327689 WKY327689:WLB327689 WUU327689:WUX327689 Q393225:T393225 II393225:IL393225 SE393225:SH393225 ACA393225:ACD393225 ALW393225:ALZ393225 AVS393225:AVV393225 BFO393225:BFR393225 BPK393225:BPN393225 BZG393225:BZJ393225 CJC393225:CJF393225 CSY393225:CTB393225 DCU393225:DCX393225 DMQ393225:DMT393225 DWM393225:DWP393225 EGI393225:EGL393225 EQE393225:EQH393225 FAA393225:FAD393225 FJW393225:FJZ393225 FTS393225:FTV393225 GDO393225:GDR393225 GNK393225:GNN393225 GXG393225:GXJ393225 HHC393225:HHF393225 HQY393225:HRB393225 IAU393225:IAX393225 IKQ393225:IKT393225 IUM393225:IUP393225 JEI393225:JEL393225 JOE393225:JOH393225 JYA393225:JYD393225 KHW393225:KHZ393225 KRS393225:KRV393225 LBO393225:LBR393225 LLK393225:LLN393225 LVG393225:LVJ393225 MFC393225:MFF393225 MOY393225:MPB393225 MYU393225:MYX393225 NIQ393225:NIT393225 NSM393225:NSP393225 OCI393225:OCL393225 OME393225:OMH393225 OWA393225:OWD393225 PFW393225:PFZ393225 PPS393225:PPV393225 PZO393225:PZR393225 QJK393225:QJN393225 QTG393225:QTJ393225 RDC393225:RDF393225 RMY393225:RNB393225 RWU393225:RWX393225 SGQ393225:SGT393225 SQM393225:SQP393225 TAI393225:TAL393225 TKE393225:TKH393225 TUA393225:TUD393225 UDW393225:UDZ393225 UNS393225:UNV393225 UXO393225:UXR393225 VHK393225:VHN393225 VRG393225:VRJ393225 WBC393225:WBF393225 WKY393225:WLB393225 WUU393225:WUX393225 Q458761:T458761 II458761:IL458761 SE458761:SH458761 ACA458761:ACD458761 ALW458761:ALZ458761 AVS458761:AVV458761 BFO458761:BFR458761 BPK458761:BPN458761 BZG458761:BZJ458761 CJC458761:CJF458761 CSY458761:CTB458761 DCU458761:DCX458761 DMQ458761:DMT458761 DWM458761:DWP458761 EGI458761:EGL458761 EQE458761:EQH458761 FAA458761:FAD458761 FJW458761:FJZ458761 FTS458761:FTV458761 GDO458761:GDR458761 GNK458761:GNN458761 GXG458761:GXJ458761 HHC458761:HHF458761 HQY458761:HRB458761 IAU458761:IAX458761 IKQ458761:IKT458761 IUM458761:IUP458761 JEI458761:JEL458761 JOE458761:JOH458761 JYA458761:JYD458761 KHW458761:KHZ458761 KRS458761:KRV458761 LBO458761:LBR458761 LLK458761:LLN458761 LVG458761:LVJ458761 MFC458761:MFF458761 MOY458761:MPB458761 MYU458761:MYX458761 NIQ458761:NIT458761 NSM458761:NSP458761 OCI458761:OCL458761 OME458761:OMH458761 OWA458761:OWD458761 PFW458761:PFZ458761 PPS458761:PPV458761 PZO458761:PZR458761 QJK458761:QJN458761 QTG458761:QTJ458761 RDC458761:RDF458761 RMY458761:RNB458761 RWU458761:RWX458761 SGQ458761:SGT458761 SQM458761:SQP458761 TAI458761:TAL458761 TKE458761:TKH458761 TUA458761:TUD458761 UDW458761:UDZ458761 UNS458761:UNV458761 UXO458761:UXR458761 VHK458761:VHN458761 VRG458761:VRJ458761 WBC458761:WBF458761 WKY458761:WLB458761 WUU458761:WUX458761 Q524297:T524297 II524297:IL524297 SE524297:SH524297 ACA524297:ACD524297 ALW524297:ALZ524297 AVS524297:AVV524297 BFO524297:BFR524297 BPK524297:BPN524297 BZG524297:BZJ524297 CJC524297:CJF524297 CSY524297:CTB524297 DCU524297:DCX524297 DMQ524297:DMT524297 DWM524297:DWP524297 EGI524297:EGL524297 EQE524297:EQH524297 FAA524297:FAD524297 FJW524297:FJZ524297 FTS524297:FTV524297 GDO524297:GDR524297 GNK524297:GNN524297 GXG524297:GXJ524297 HHC524297:HHF524297 HQY524297:HRB524297 IAU524297:IAX524297 IKQ524297:IKT524297 IUM524297:IUP524297 JEI524297:JEL524297 JOE524297:JOH524297 JYA524297:JYD524297 KHW524297:KHZ524297 KRS524297:KRV524297 LBO524297:LBR524297 LLK524297:LLN524297 LVG524297:LVJ524297 MFC524297:MFF524297 MOY524297:MPB524297 MYU524297:MYX524297 NIQ524297:NIT524297 NSM524297:NSP524297 OCI524297:OCL524297 OME524297:OMH524297 OWA524297:OWD524297 PFW524297:PFZ524297 PPS524297:PPV524297 PZO524297:PZR524297 QJK524297:QJN524297 QTG524297:QTJ524297 RDC524297:RDF524297 RMY524297:RNB524297 RWU524297:RWX524297 SGQ524297:SGT524297 SQM524297:SQP524297 TAI524297:TAL524297 TKE524297:TKH524297 TUA524297:TUD524297 UDW524297:UDZ524297 UNS524297:UNV524297 UXO524297:UXR524297 VHK524297:VHN524297 VRG524297:VRJ524297 WBC524297:WBF524297 WKY524297:WLB524297 WUU524297:WUX524297 Q589833:T589833 II589833:IL589833 SE589833:SH589833 ACA589833:ACD589833 ALW589833:ALZ589833 AVS589833:AVV589833 BFO589833:BFR589833 BPK589833:BPN589833 BZG589833:BZJ589833 CJC589833:CJF589833 CSY589833:CTB589833 DCU589833:DCX589833 DMQ589833:DMT589833 DWM589833:DWP589833 EGI589833:EGL589833 EQE589833:EQH589833 FAA589833:FAD589833 FJW589833:FJZ589833 FTS589833:FTV589833 GDO589833:GDR589833 GNK589833:GNN589833 GXG589833:GXJ589833 HHC589833:HHF589833 HQY589833:HRB589833 IAU589833:IAX589833 IKQ589833:IKT589833 IUM589833:IUP589833 JEI589833:JEL589833 JOE589833:JOH589833 JYA589833:JYD589833 KHW589833:KHZ589833 KRS589833:KRV589833 LBO589833:LBR589833 LLK589833:LLN589833 LVG589833:LVJ589833 MFC589833:MFF589833 MOY589833:MPB589833 MYU589833:MYX589833 NIQ589833:NIT589833 NSM589833:NSP589833 OCI589833:OCL589833 OME589833:OMH589833 OWA589833:OWD589833 PFW589833:PFZ589833 PPS589833:PPV589833 PZO589833:PZR589833 QJK589833:QJN589833 QTG589833:QTJ589833 RDC589833:RDF589833 RMY589833:RNB589833 RWU589833:RWX589833 SGQ589833:SGT589833 SQM589833:SQP589833 TAI589833:TAL589833 TKE589833:TKH589833 TUA589833:TUD589833 UDW589833:UDZ589833 UNS589833:UNV589833 UXO589833:UXR589833 VHK589833:VHN589833 VRG589833:VRJ589833 WBC589833:WBF589833 WKY589833:WLB589833 WUU589833:WUX589833 Q655369:T655369 II655369:IL655369 SE655369:SH655369 ACA655369:ACD655369 ALW655369:ALZ655369 AVS655369:AVV655369 BFO655369:BFR655369 BPK655369:BPN655369 BZG655369:BZJ655369 CJC655369:CJF655369 CSY655369:CTB655369 DCU655369:DCX655369 DMQ655369:DMT655369 DWM655369:DWP655369 EGI655369:EGL655369 EQE655369:EQH655369 FAA655369:FAD655369 FJW655369:FJZ655369 FTS655369:FTV655369 GDO655369:GDR655369 GNK655369:GNN655369 GXG655369:GXJ655369 HHC655369:HHF655369 HQY655369:HRB655369 IAU655369:IAX655369 IKQ655369:IKT655369 IUM655369:IUP655369 JEI655369:JEL655369 JOE655369:JOH655369 JYA655369:JYD655369 KHW655369:KHZ655369 KRS655369:KRV655369 LBO655369:LBR655369 LLK655369:LLN655369 LVG655369:LVJ655369 MFC655369:MFF655369 MOY655369:MPB655369 MYU655369:MYX655369 NIQ655369:NIT655369 NSM655369:NSP655369 OCI655369:OCL655369 OME655369:OMH655369 OWA655369:OWD655369 PFW655369:PFZ655369 PPS655369:PPV655369 PZO655369:PZR655369 QJK655369:QJN655369 QTG655369:QTJ655369 RDC655369:RDF655369 RMY655369:RNB655369 RWU655369:RWX655369 SGQ655369:SGT655369 SQM655369:SQP655369 TAI655369:TAL655369 TKE655369:TKH655369 TUA655369:TUD655369 UDW655369:UDZ655369 UNS655369:UNV655369 UXO655369:UXR655369 VHK655369:VHN655369 VRG655369:VRJ655369 WBC655369:WBF655369 WKY655369:WLB655369 WUU655369:WUX655369 Q720905:T720905 II720905:IL720905 SE720905:SH720905 ACA720905:ACD720905 ALW720905:ALZ720905 AVS720905:AVV720905 BFO720905:BFR720905 BPK720905:BPN720905 BZG720905:BZJ720905 CJC720905:CJF720905 CSY720905:CTB720905 DCU720905:DCX720905 DMQ720905:DMT720905 DWM720905:DWP720905 EGI720905:EGL720905 EQE720905:EQH720905 FAA720905:FAD720905 FJW720905:FJZ720905 FTS720905:FTV720905 GDO720905:GDR720905 GNK720905:GNN720905 GXG720905:GXJ720905 HHC720905:HHF720905 HQY720905:HRB720905 IAU720905:IAX720905 IKQ720905:IKT720905 IUM720905:IUP720905 JEI720905:JEL720905 JOE720905:JOH720905 JYA720905:JYD720905 KHW720905:KHZ720905 KRS720905:KRV720905 LBO720905:LBR720905 LLK720905:LLN720905 LVG720905:LVJ720905 MFC720905:MFF720905 MOY720905:MPB720905 MYU720905:MYX720905 NIQ720905:NIT720905 NSM720905:NSP720905 OCI720905:OCL720905 OME720905:OMH720905 OWA720905:OWD720905 PFW720905:PFZ720905 PPS720905:PPV720905 PZO720905:PZR720905 QJK720905:QJN720905 QTG720905:QTJ720905 RDC720905:RDF720905 RMY720905:RNB720905 RWU720905:RWX720905 SGQ720905:SGT720905 SQM720905:SQP720905 TAI720905:TAL720905 TKE720905:TKH720905 TUA720905:TUD720905 UDW720905:UDZ720905 UNS720905:UNV720905 UXO720905:UXR720905 VHK720905:VHN720905 VRG720905:VRJ720905 WBC720905:WBF720905 WKY720905:WLB720905 WUU720905:WUX720905 Q786441:T786441 II786441:IL786441 SE786441:SH786441 ACA786441:ACD786441 ALW786441:ALZ786441 AVS786441:AVV786441 BFO786441:BFR786441 BPK786441:BPN786441 BZG786441:BZJ786441 CJC786441:CJF786441 CSY786441:CTB786441 DCU786441:DCX786441 DMQ786441:DMT786441 DWM786441:DWP786441 EGI786441:EGL786441 EQE786441:EQH786441 FAA786441:FAD786441 FJW786441:FJZ786441 FTS786441:FTV786441 GDO786441:GDR786441 GNK786441:GNN786441 GXG786441:GXJ786441 HHC786441:HHF786441 HQY786441:HRB786441 IAU786441:IAX786441 IKQ786441:IKT786441 IUM786441:IUP786441 JEI786441:JEL786441 JOE786441:JOH786441 JYA786441:JYD786441 KHW786441:KHZ786441 KRS786441:KRV786441 LBO786441:LBR786441 LLK786441:LLN786441 LVG786441:LVJ786441 MFC786441:MFF786441 MOY786441:MPB786441 MYU786441:MYX786441 NIQ786441:NIT786441 NSM786441:NSP786441 OCI786441:OCL786441 OME786441:OMH786441 OWA786441:OWD786441 PFW786441:PFZ786441 PPS786441:PPV786441 PZO786441:PZR786441 QJK786441:QJN786441 QTG786441:QTJ786441 RDC786441:RDF786441 RMY786441:RNB786441 RWU786441:RWX786441 SGQ786441:SGT786441 SQM786441:SQP786441 TAI786441:TAL786441 TKE786441:TKH786441 TUA786441:TUD786441 UDW786441:UDZ786441 UNS786441:UNV786441 UXO786441:UXR786441 VHK786441:VHN786441 VRG786441:VRJ786441 WBC786441:WBF786441 WKY786441:WLB786441 WUU786441:WUX786441 Q851977:T851977 II851977:IL851977 SE851977:SH851977 ACA851977:ACD851977 ALW851977:ALZ851977 AVS851977:AVV851977 BFO851977:BFR851977 BPK851977:BPN851977 BZG851977:BZJ851977 CJC851977:CJF851977 CSY851977:CTB851977 DCU851977:DCX851977 DMQ851977:DMT851977 DWM851977:DWP851977 EGI851977:EGL851977 EQE851977:EQH851977 FAA851977:FAD851977 FJW851977:FJZ851977 FTS851977:FTV851977 GDO851977:GDR851977 GNK851977:GNN851977 GXG851977:GXJ851977 HHC851977:HHF851977 HQY851977:HRB851977 IAU851977:IAX851977 IKQ851977:IKT851977 IUM851977:IUP851977 JEI851977:JEL851977 JOE851977:JOH851977 JYA851977:JYD851977 KHW851977:KHZ851977 KRS851977:KRV851977 LBO851977:LBR851977 LLK851977:LLN851977 LVG851977:LVJ851977 MFC851977:MFF851977 MOY851977:MPB851977 MYU851977:MYX851977 NIQ851977:NIT851977 NSM851977:NSP851977 OCI851977:OCL851977 OME851977:OMH851977 OWA851977:OWD851977 PFW851977:PFZ851977 PPS851977:PPV851977 PZO851977:PZR851977 QJK851977:QJN851977 QTG851977:QTJ851977 RDC851977:RDF851977 RMY851977:RNB851977 RWU851977:RWX851977 SGQ851977:SGT851977 SQM851977:SQP851977 TAI851977:TAL851977 TKE851977:TKH851977 TUA851977:TUD851977 UDW851977:UDZ851977 UNS851977:UNV851977 UXO851977:UXR851977 VHK851977:VHN851977 VRG851977:VRJ851977 WBC851977:WBF851977 WKY851977:WLB851977 WUU851977:WUX851977 Q917513:T917513 II917513:IL917513 SE917513:SH917513 ACA917513:ACD917513 ALW917513:ALZ917513 AVS917513:AVV917513 BFO917513:BFR917513 BPK917513:BPN917513 BZG917513:BZJ917513 CJC917513:CJF917513 CSY917513:CTB917513 DCU917513:DCX917513 DMQ917513:DMT917513 DWM917513:DWP917513 EGI917513:EGL917513 EQE917513:EQH917513 FAA917513:FAD917513 FJW917513:FJZ917513 FTS917513:FTV917513 GDO917513:GDR917513 GNK917513:GNN917513 GXG917513:GXJ917513 HHC917513:HHF917513 HQY917513:HRB917513 IAU917513:IAX917513 IKQ917513:IKT917513 IUM917513:IUP917513 JEI917513:JEL917513 JOE917513:JOH917513 JYA917513:JYD917513 KHW917513:KHZ917513 KRS917513:KRV917513 LBO917513:LBR917513 LLK917513:LLN917513 LVG917513:LVJ917513 MFC917513:MFF917513 MOY917513:MPB917513 MYU917513:MYX917513 NIQ917513:NIT917513 NSM917513:NSP917513 OCI917513:OCL917513 OME917513:OMH917513 OWA917513:OWD917513 PFW917513:PFZ917513 PPS917513:PPV917513 PZO917513:PZR917513 QJK917513:QJN917513 QTG917513:QTJ917513 RDC917513:RDF917513 RMY917513:RNB917513 RWU917513:RWX917513 SGQ917513:SGT917513 SQM917513:SQP917513 TAI917513:TAL917513 TKE917513:TKH917513 TUA917513:TUD917513 UDW917513:UDZ917513 UNS917513:UNV917513 UXO917513:UXR917513 VHK917513:VHN917513 VRG917513:VRJ917513 WBC917513:WBF917513 WKY917513:WLB917513 WUU917513:WUX917513 Q983049:T983049 II983049:IL983049 SE983049:SH983049 ACA983049:ACD983049 ALW983049:ALZ983049 AVS983049:AVV983049 BFO983049:BFR983049 BPK983049:BPN983049 BZG983049:BZJ983049 CJC983049:CJF983049 CSY983049:CTB983049 DCU983049:DCX983049 DMQ983049:DMT983049 DWM983049:DWP983049 EGI983049:EGL983049 EQE983049:EQH983049 FAA983049:FAD983049 FJW983049:FJZ983049 FTS983049:FTV983049 GDO983049:GDR983049 GNK983049:GNN983049 GXG983049:GXJ983049 HHC983049:HHF983049 HQY983049:HRB983049 IAU983049:IAX983049 IKQ983049:IKT983049 IUM983049:IUP983049 JEI983049:JEL983049 JOE983049:JOH983049 JYA983049:JYD983049 KHW983049:KHZ983049 KRS983049:KRV983049 LBO983049:LBR983049 LLK983049:LLN983049 LVG983049:LVJ983049 MFC983049:MFF983049 MOY983049:MPB983049 MYU983049:MYX983049 NIQ983049:NIT983049 NSM983049:NSP983049 OCI983049:OCL983049 OME983049:OMH983049 OWA983049:OWD983049 PFW983049:PFZ983049 PPS983049:PPV983049 PZO983049:PZR983049 QJK983049:QJN983049 QTG983049:QTJ983049 RDC983049:RDF983049 RMY983049:RNB983049 RWU983049:RWX983049 SGQ983049:SGT983049 SQM983049:SQP983049 TAI983049:TAL983049 TKE983049:TKH983049 TUA983049:TUD983049 UDW983049:UDZ983049 UNS983049:UNV983049 UXO983049:UXR983049 VHK983049:VHN983049 VRG983049:VRJ983049 WBC983049:WBF983049 WKY983049:WLB983049 WUU983049:WUX983049 ID983048:IG983048 RZ983048:SC983048 ABV983048:ABY983048 ALR983048:ALU983048 AVN983048:AVQ983048 BFJ983048:BFM983048 BPF983048:BPI983048 BZB983048:BZE983048 CIX983048:CJA983048 CST983048:CSW983048 DCP983048:DCS983048 DML983048:DMO983048 DWH983048:DWK983048 EGD983048:EGG983048 EPZ983048:EQC983048 EZV983048:EZY983048 FJR983048:FJU983048 FTN983048:FTQ983048 GDJ983048:GDM983048 GNF983048:GNI983048 GXB983048:GXE983048 HGX983048:HHA983048 HQT983048:HQW983048 IAP983048:IAS983048 IKL983048:IKO983048 IUH983048:IUK983048 JED983048:JEG983048 JNZ983048:JOC983048 JXV983048:JXY983048 KHR983048:KHU983048 KRN983048:KRQ983048 LBJ983048:LBM983048 LLF983048:LLI983048 LVB983048:LVE983048 MEX983048:MFA983048 MOT983048:MOW983048 MYP983048:MYS983048 NIL983048:NIO983048 NSH983048:NSK983048 OCD983048:OCG983048 OLZ983048:OMC983048 OVV983048:OVY983048 PFR983048:PFU983048 PPN983048:PPQ983048 PZJ983048:PZM983048 QJF983048:QJI983048 QTB983048:QTE983048 RCX983048:RDA983048 RMT983048:RMW983048 RWP983048:RWS983048 SGL983048:SGO983048 SQH983048:SQK983048 TAD983048:TAG983048 TJZ983048:TKC983048 TTV983048:TTY983048 UDR983048:UDU983048 UNN983048:UNQ983048 UXJ983048:UXM983048 VHF983048:VHI983048 VRB983048:VRE983048 WAX983048:WBA983048 WKT983048:WKW983048 WUP983048:WUS983048 ID65544:IG65544 RZ65544:SC65544 ABV65544:ABY65544 ALR65544:ALU65544 AVN65544:AVQ65544 BFJ65544:BFM65544 BPF65544:BPI65544 BZB65544:BZE65544 CIX65544:CJA65544 CST65544:CSW65544 DCP65544:DCS65544 DML65544:DMO65544 DWH65544:DWK65544 EGD65544:EGG65544 EPZ65544:EQC65544 EZV65544:EZY65544 FJR65544:FJU65544 FTN65544:FTQ65544 GDJ65544:GDM65544 GNF65544:GNI65544 GXB65544:GXE65544 HGX65544:HHA65544 HQT65544:HQW65544 IAP65544:IAS65544 IKL65544:IKO65544 IUH65544:IUK65544 JED65544:JEG65544 JNZ65544:JOC65544 JXV65544:JXY65544 KHR65544:KHU65544 KRN65544:KRQ65544 LBJ65544:LBM65544 LLF65544:LLI65544 LVB65544:LVE65544 MEX65544:MFA65544 MOT65544:MOW65544 MYP65544:MYS65544 NIL65544:NIO65544 NSH65544:NSK65544 OCD65544:OCG65544 OLZ65544:OMC65544 OVV65544:OVY65544 PFR65544:PFU65544 PPN65544:PPQ65544 PZJ65544:PZM65544 QJF65544:QJI65544 QTB65544:QTE65544 RCX65544:RDA65544 RMT65544:RMW65544 RWP65544:RWS65544 SGL65544:SGO65544 SQH65544:SQK65544 TAD65544:TAG65544 TJZ65544:TKC65544 TTV65544:TTY65544 UDR65544:UDU65544 UNN65544:UNQ65544 UXJ65544:UXM65544 VHF65544:VHI65544 VRB65544:VRE65544 WAX65544:WBA65544 WKT65544:WKW65544 WUP65544:WUS65544 ID131080:IG131080 RZ131080:SC131080 ABV131080:ABY131080 ALR131080:ALU131080 AVN131080:AVQ131080 BFJ131080:BFM131080 BPF131080:BPI131080 BZB131080:BZE131080 CIX131080:CJA131080 CST131080:CSW131080 DCP131080:DCS131080 DML131080:DMO131080 DWH131080:DWK131080 EGD131080:EGG131080 EPZ131080:EQC131080 EZV131080:EZY131080 FJR131080:FJU131080 FTN131080:FTQ131080 GDJ131080:GDM131080 GNF131080:GNI131080 GXB131080:GXE131080 HGX131080:HHA131080 HQT131080:HQW131080 IAP131080:IAS131080 IKL131080:IKO131080 IUH131080:IUK131080 JED131080:JEG131080 JNZ131080:JOC131080 JXV131080:JXY131080 KHR131080:KHU131080 KRN131080:KRQ131080 LBJ131080:LBM131080 LLF131080:LLI131080 LVB131080:LVE131080 MEX131080:MFA131080 MOT131080:MOW131080 MYP131080:MYS131080 NIL131080:NIO131080 NSH131080:NSK131080 OCD131080:OCG131080 OLZ131080:OMC131080 OVV131080:OVY131080 PFR131080:PFU131080 PPN131080:PPQ131080 PZJ131080:PZM131080 QJF131080:QJI131080 QTB131080:QTE131080 RCX131080:RDA131080 RMT131080:RMW131080 RWP131080:RWS131080 SGL131080:SGO131080 SQH131080:SQK131080 TAD131080:TAG131080 TJZ131080:TKC131080 TTV131080:TTY131080 UDR131080:UDU131080 UNN131080:UNQ131080 UXJ131080:UXM131080 VHF131080:VHI131080 VRB131080:VRE131080 WAX131080:WBA131080 WKT131080:WKW131080 WUP131080:WUS131080 ID196616:IG196616 RZ196616:SC196616 ABV196616:ABY196616 ALR196616:ALU196616 AVN196616:AVQ196616 BFJ196616:BFM196616 BPF196616:BPI196616 BZB196616:BZE196616 CIX196616:CJA196616 CST196616:CSW196616 DCP196616:DCS196616 DML196616:DMO196616 DWH196616:DWK196616 EGD196616:EGG196616 EPZ196616:EQC196616 EZV196616:EZY196616 FJR196616:FJU196616 FTN196616:FTQ196616 GDJ196616:GDM196616 GNF196616:GNI196616 GXB196616:GXE196616 HGX196616:HHA196616 HQT196616:HQW196616 IAP196616:IAS196616 IKL196616:IKO196616 IUH196616:IUK196616 JED196616:JEG196616 JNZ196616:JOC196616 JXV196616:JXY196616 KHR196616:KHU196616 KRN196616:KRQ196616 LBJ196616:LBM196616 LLF196616:LLI196616 LVB196616:LVE196616 MEX196616:MFA196616 MOT196616:MOW196616 MYP196616:MYS196616 NIL196616:NIO196616 NSH196616:NSK196616 OCD196616:OCG196616 OLZ196616:OMC196616 OVV196616:OVY196616 PFR196616:PFU196616 PPN196616:PPQ196616 PZJ196616:PZM196616 QJF196616:QJI196616 QTB196616:QTE196616 RCX196616:RDA196616 RMT196616:RMW196616 RWP196616:RWS196616 SGL196616:SGO196616 SQH196616:SQK196616 TAD196616:TAG196616 TJZ196616:TKC196616 TTV196616:TTY196616 UDR196616:UDU196616 UNN196616:UNQ196616 UXJ196616:UXM196616 VHF196616:VHI196616 VRB196616:VRE196616 WAX196616:WBA196616 WKT196616:WKW196616 WUP196616:WUS196616 ID262152:IG262152 RZ262152:SC262152 ABV262152:ABY262152 ALR262152:ALU262152 AVN262152:AVQ262152 BFJ262152:BFM262152 BPF262152:BPI262152 BZB262152:BZE262152 CIX262152:CJA262152 CST262152:CSW262152 DCP262152:DCS262152 DML262152:DMO262152 DWH262152:DWK262152 EGD262152:EGG262152 EPZ262152:EQC262152 EZV262152:EZY262152 FJR262152:FJU262152 FTN262152:FTQ262152 GDJ262152:GDM262152 GNF262152:GNI262152 GXB262152:GXE262152 HGX262152:HHA262152 HQT262152:HQW262152 IAP262152:IAS262152 IKL262152:IKO262152 IUH262152:IUK262152 JED262152:JEG262152 JNZ262152:JOC262152 JXV262152:JXY262152 KHR262152:KHU262152 KRN262152:KRQ262152 LBJ262152:LBM262152 LLF262152:LLI262152 LVB262152:LVE262152 MEX262152:MFA262152 MOT262152:MOW262152 MYP262152:MYS262152 NIL262152:NIO262152 NSH262152:NSK262152 OCD262152:OCG262152 OLZ262152:OMC262152 OVV262152:OVY262152 PFR262152:PFU262152 PPN262152:PPQ262152 PZJ262152:PZM262152 QJF262152:QJI262152 QTB262152:QTE262152 RCX262152:RDA262152 RMT262152:RMW262152 RWP262152:RWS262152 SGL262152:SGO262152 SQH262152:SQK262152 TAD262152:TAG262152 TJZ262152:TKC262152 TTV262152:TTY262152 UDR262152:UDU262152 UNN262152:UNQ262152 UXJ262152:UXM262152 VHF262152:VHI262152 VRB262152:VRE262152 WAX262152:WBA262152 WKT262152:WKW262152 WUP262152:WUS262152 ID327688:IG327688 RZ327688:SC327688 ABV327688:ABY327688 ALR327688:ALU327688 AVN327688:AVQ327688 BFJ327688:BFM327688 BPF327688:BPI327688 BZB327688:BZE327688 CIX327688:CJA327688 CST327688:CSW327688 DCP327688:DCS327688 DML327688:DMO327688 DWH327688:DWK327688 EGD327688:EGG327688 EPZ327688:EQC327688 EZV327688:EZY327688 FJR327688:FJU327688 FTN327688:FTQ327688 GDJ327688:GDM327688 GNF327688:GNI327688 GXB327688:GXE327688 HGX327688:HHA327688 HQT327688:HQW327688 IAP327688:IAS327688 IKL327688:IKO327688 IUH327688:IUK327688 JED327688:JEG327688 JNZ327688:JOC327688 JXV327688:JXY327688 KHR327688:KHU327688 KRN327688:KRQ327688 LBJ327688:LBM327688 LLF327688:LLI327688 LVB327688:LVE327688 MEX327688:MFA327688 MOT327688:MOW327688 MYP327688:MYS327688 NIL327688:NIO327688 NSH327688:NSK327688 OCD327688:OCG327688 OLZ327688:OMC327688 OVV327688:OVY327688 PFR327688:PFU327688 PPN327688:PPQ327688 PZJ327688:PZM327688 QJF327688:QJI327688 QTB327688:QTE327688 RCX327688:RDA327688 RMT327688:RMW327688 RWP327688:RWS327688 SGL327688:SGO327688 SQH327688:SQK327688 TAD327688:TAG327688 TJZ327688:TKC327688 TTV327688:TTY327688 UDR327688:UDU327688 UNN327688:UNQ327688 UXJ327688:UXM327688 VHF327688:VHI327688 VRB327688:VRE327688 WAX327688:WBA327688 WKT327688:WKW327688 WUP327688:WUS327688 ID393224:IG393224 RZ393224:SC393224 ABV393224:ABY393224 ALR393224:ALU393224 AVN393224:AVQ393224 BFJ393224:BFM393224 BPF393224:BPI393224 BZB393224:BZE393224 CIX393224:CJA393224 CST393224:CSW393224 DCP393224:DCS393224 DML393224:DMO393224 DWH393224:DWK393224 EGD393224:EGG393224 EPZ393224:EQC393224 EZV393224:EZY393224 FJR393224:FJU393224 FTN393224:FTQ393224 GDJ393224:GDM393224 GNF393224:GNI393224 GXB393224:GXE393224 HGX393224:HHA393224 HQT393224:HQW393224 IAP393224:IAS393224 IKL393224:IKO393224 IUH393224:IUK393224 JED393224:JEG393224 JNZ393224:JOC393224 JXV393224:JXY393224 KHR393224:KHU393224 KRN393224:KRQ393224 LBJ393224:LBM393224 LLF393224:LLI393224 LVB393224:LVE393224 MEX393224:MFA393224 MOT393224:MOW393224 MYP393224:MYS393224 NIL393224:NIO393224 NSH393224:NSK393224 OCD393224:OCG393224 OLZ393224:OMC393224 OVV393224:OVY393224 PFR393224:PFU393224 PPN393224:PPQ393224 PZJ393224:PZM393224 QJF393224:QJI393224 QTB393224:QTE393224 RCX393224:RDA393224 RMT393224:RMW393224 RWP393224:RWS393224 SGL393224:SGO393224 SQH393224:SQK393224 TAD393224:TAG393224 TJZ393224:TKC393224 TTV393224:TTY393224 UDR393224:UDU393224 UNN393224:UNQ393224 UXJ393224:UXM393224 VHF393224:VHI393224 VRB393224:VRE393224 WAX393224:WBA393224 WKT393224:WKW393224 WUP393224:WUS393224 ID458760:IG458760 RZ458760:SC458760 ABV458760:ABY458760 ALR458760:ALU458760 AVN458760:AVQ458760 BFJ458760:BFM458760 BPF458760:BPI458760 BZB458760:BZE458760 CIX458760:CJA458760 CST458760:CSW458760 DCP458760:DCS458760 DML458760:DMO458760 DWH458760:DWK458760 EGD458760:EGG458760 EPZ458760:EQC458760 EZV458760:EZY458760 FJR458760:FJU458760 FTN458760:FTQ458760 GDJ458760:GDM458760 GNF458760:GNI458760 GXB458760:GXE458760 HGX458760:HHA458760 HQT458760:HQW458760 IAP458760:IAS458760 IKL458760:IKO458760 IUH458760:IUK458760 JED458760:JEG458760 JNZ458760:JOC458760 JXV458760:JXY458760 KHR458760:KHU458760 KRN458760:KRQ458760 LBJ458760:LBM458760 LLF458760:LLI458760 LVB458760:LVE458760 MEX458760:MFA458760 MOT458760:MOW458760 MYP458760:MYS458760 NIL458760:NIO458760 NSH458760:NSK458760 OCD458760:OCG458760 OLZ458760:OMC458760 OVV458760:OVY458760 PFR458760:PFU458760 PPN458760:PPQ458760 PZJ458760:PZM458760 QJF458760:QJI458760 QTB458760:QTE458760 RCX458760:RDA458760 RMT458760:RMW458760 RWP458760:RWS458760 SGL458760:SGO458760 SQH458760:SQK458760 TAD458760:TAG458760 TJZ458760:TKC458760 TTV458760:TTY458760 UDR458760:UDU458760 UNN458760:UNQ458760 UXJ458760:UXM458760 VHF458760:VHI458760 VRB458760:VRE458760 WAX458760:WBA458760 WKT458760:WKW458760 WUP458760:WUS458760 ID524296:IG524296 RZ524296:SC524296 ABV524296:ABY524296 ALR524296:ALU524296 AVN524296:AVQ524296 BFJ524296:BFM524296 BPF524296:BPI524296 BZB524296:BZE524296 CIX524296:CJA524296 CST524296:CSW524296 DCP524296:DCS524296 DML524296:DMO524296 DWH524296:DWK524296 EGD524296:EGG524296 EPZ524296:EQC524296 EZV524296:EZY524296 FJR524296:FJU524296 FTN524296:FTQ524296 GDJ524296:GDM524296 GNF524296:GNI524296 GXB524296:GXE524296 HGX524296:HHA524296 HQT524296:HQW524296 IAP524296:IAS524296 IKL524296:IKO524296 IUH524296:IUK524296 JED524296:JEG524296 JNZ524296:JOC524296 JXV524296:JXY524296 KHR524296:KHU524296 KRN524296:KRQ524296 LBJ524296:LBM524296 LLF524296:LLI524296 LVB524296:LVE524296 MEX524296:MFA524296 MOT524296:MOW524296 MYP524296:MYS524296 NIL524296:NIO524296 NSH524296:NSK524296 OCD524296:OCG524296 OLZ524296:OMC524296 OVV524296:OVY524296 PFR524296:PFU524296 PPN524296:PPQ524296 PZJ524296:PZM524296 QJF524296:QJI524296 QTB524296:QTE524296 RCX524296:RDA524296 RMT524296:RMW524296 RWP524296:RWS524296 SGL524296:SGO524296 SQH524296:SQK524296 TAD524296:TAG524296 TJZ524296:TKC524296 TTV524296:TTY524296 UDR524296:UDU524296 UNN524296:UNQ524296 UXJ524296:UXM524296 VHF524296:VHI524296 VRB524296:VRE524296 WAX524296:WBA524296 WKT524296:WKW524296 WUP524296:WUS524296 ID589832:IG589832 RZ589832:SC589832 ABV589832:ABY589832 ALR589832:ALU589832 AVN589832:AVQ589832 BFJ589832:BFM589832 BPF589832:BPI589832 BZB589832:BZE589832 CIX589832:CJA589832 CST589832:CSW589832 DCP589832:DCS589832 DML589832:DMO589832 DWH589832:DWK589832 EGD589832:EGG589832 EPZ589832:EQC589832 EZV589832:EZY589832 FJR589832:FJU589832 FTN589832:FTQ589832 GDJ589832:GDM589832 GNF589832:GNI589832 GXB589832:GXE589832 HGX589832:HHA589832 HQT589832:HQW589832 IAP589832:IAS589832 IKL589832:IKO589832 IUH589832:IUK589832 JED589832:JEG589832 JNZ589832:JOC589832 JXV589832:JXY589832 KHR589832:KHU589832 KRN589832:KRQ589832 LBJ589832:LBM589832 LLF589832:LLI589832 LVB589832:LVE589832 MEX589832:MFA589832 MOT589832:MOW589832 MYP589832:MYS589832 NIL589832:NIO589832 NSH589832:NSK589832 OCD589832:OCG589832 OLZ589832:OMC589832 OVV589832:OVY589832 PFR589832:PFU589832 PPN589832:PPQ589832 PZJ589832:PZM589832 QJF589832:QJI589832 QTB589832:QTE589832 RCX589832:RDA589832 RMT589832:RMW589832 RWP589832:RWS589832 SGL589832:SGO589832 SQH589832:SQK589832 TAD589832:TAG589832 TJZ589832:TKC589832 TTV589832:TTY589832 UDR589832:UDU589832 UNN589832:UNQ589832 UXJ589832:UXM589832 VHF589832:VHI589832 VRB589832:VRE589832 WAX589832:WBA589832 WKT589832:WKW589832 WUP589832:WUS589832 ID655368:IG655368 RZ655368:SC655368 ABV655368:ABY655368 ALR655368:ALU655368 AVN655368:AVQ655368 BFJ655368:BFM655368 BPF655368:BPI655368 BZB655368:BZE655368 CIX655368:CJA655368 CST655368:CSW655368 DCP655368:DCS655368 DML655368:DMO655368 DWH655368:DWK655368 EGD655368:EGG655368 EPZ655368:EQC655368 EZV655368:EZY655368 FJR655368:FJU655368 FTN655368:FTQ655368 GDJ655368:GDM655368 GNF655368:GNI655368 GXB655368:GXE655368 HGX655368:HHA655368 HQT655368:HQW655368 IAP655368:IAS655368 IKL655368:IKO655368 IUH655368:IUK655368 JED655368:JEG655368 JNZ655368:JOC655368 JXV655368:JXY655368 KHR655368:KHU655368 KRN655368:KRQ655368 LBJ655368:LBM655368 LLF655368:LLI655368 LVB655368:LVE655368 MEX655368:MFA655368 MOT655368:MOW655368 MYP655368:MYS655368 NIL655368:NIO655368 NSH655368:NSK655368 OCD655368:OCG655368 OLZ655368:OMC655368 OVV655368:OVY655368 PFR655368:PFU655368 PPN655368:PPQ655368 PZJ655368:PZM655368 QJF655368:QJI655368 QTB655368:QTE655368 RCX655368:RDA655368 RMT655368:RMW655368 RWP655368:RWS655368 SGL655368:SGO655368 SQH655368:SQK655368 TAD655368:TAG655368 TJZ655368:TKC655368 TTV655368:TTY655368 UDR655368:UDU655368 UNN655368:UNQ655368 UXJ655368:UXM655368 VHF655368:VHI655368 VRB655368:VRE655368 WAX655368:WBA655368 WKT655368:WKW655368 WUP655368:WUS655368 ID720904:IG720904 RZ720904:SC720904 ABV720904:ABY720904 ALR720904:ALU720904 AVN720904:AVQ720904 BFJ720904:BFM720904 BPF720904:BPI720904 BZB720904:BZE720904 CIX720904:CJA720904 CST720904:CSW720904 DCP720904:DCS720904 DML720904:DMO720904 DWH720904:DWK720904 EGD720904:EGG720904 EPZ720904:EQC720904 EZV720904:EZY720904 FJR720904:FJU720904 FTN720904:FTQ720904 GDJ720904:GDM720904 GNF720904:GNI720904 GXB720904:GXE720904 HGX720904:HHA720904 HQT720904:HQW720904 IAP720904:IAS720904 IKL720904:IKO720904 IUH720904:IUK720904 JED720904:JEG720904 JNZ720904:JOC720904 JXV720904:JXY720904 KHR720904:KHU720904 KRN720904:KRQ720904 LBJ720904:LBM720904 LLF720904:LLI720904 LVB720904:LVE720904 MEX720904:MFA720904 MOT720904:MOW720904 MYP720904:MYS720904 NIL720904:NIO720904 NSH720904:NSK720904 OCD720904:OCG720904 OLZ720904:OMC720904 OVV720904:OVY720904 PFR720904:PFU720904 PPN720904:PPQ720904 PZJ720904:PZM720904 QJF720904:QJI720904 QTB720904:QTE720904 RCX720904:RDA720904 RMT720904:RMW720904 RWP720904:RWS720904 SGL720904:SGO720904 SQH720904:SQK720904 TAD720904:TAG720904 TJZ720904:TKC720904 TTV720904:TTY720904 UDR720904:UDU720904 UNN720904:UNQ720904 UXJ720904:UXM720904 VHF720904:VHI720904 VRB720904:VRE720904 WAX720904:WBA720904 WKT720904:WKW720904 WUP720904:WUS720904 ID786440:IG786440 RZ786440:SC786440 ABV786440:ABY786440 ALR786440:ALU786440 AVN786440:AVQ786440 BFJ786440:BFM786440 BPF786440:BPI786440 BZB786440:BZE786440 CIX786440:CJA786440 CST786440:CSW786440 DCP786440:DCS786440 DML786440:DMO786440 DWH786440:DWK786440 EGD786440:EGG786440 EPZ786440:EQC786440 EZV786440:EZY786440 FJR786440:FJU786440 FTN786440:FTQ786440 GDJ786440:GDM786440 GNF786440:GNI786440 GXB786440:GXE786440 HGX786440:HHA786440 HQT786440:HQW786440 IAP786440:IAS786440 IKL786440:IKO786440 IUH786440:IUK786440 JED786440:JEG786440 JNZ786440:JOC786440 JXV786440:JXY786440 KHR786440:KHU786440 KRN786440:KRQ786440 LBJ786440:LBM786440 LLF786440:LLI786440 LVB786440:LVE786440 MEX786440:MFA786440 MOT786440:MOW786440 MYP786440:MYS786440 NIL786440:NIO786440 NSH786440:NSK786440 OCD786440:OCG786440 OLZ786440:OMC786440 OVV786440:OVY786440 PFR786440:PFU786440 PPN786440:PPQ786440 PZJ786440:PZM786440 QJF786440:QJI786440 QTB786440:QTE786440 RCX786440:RDA786440 RMT786440:RMW786440 RWP786440:RWS786440 SGL786440:SGO786440 SQH786440:SQK786440 TAD786440:TAG786440 TJZ786440:TKC786440 TTV786440:TTY786440 UDR786440:UDU786440 UNN786440:UNQ786440 UXJ786440:UXM786440 VHF786440:VHI786440 VRB786440:VRE786440 WAX786440:WBA786440 WKT786440:WKW786440 WUP786440:WUS786440 ID851976:IG851976 RZ851976:SC851976 ABV851976:ABY851976 ALR851976:ALU851976 AVN851976:AVQ851976 BFJ851976:BFM851976 BPF851976:BPI851976 BZB851976:BZE851976 CIX851976:CJA851976 CST851976:CSW851976 DCP851976:DCS851976 DML851976:DMO851976 DWH851976:DWK851976 EGD851976:EGG851976 EPZ851976:EQC851976 EZV851976:EZY851976 FJR851976:FJU851976 FTN851976:FTQ851976 GDJ851976:GDM851976 GNF851976:GNI851976 GXB851976:GXE851976 HGX851976:HHA851976 HQT851976:HQW851976 IAP851976:IAS851976 IKL851976:IKO851976 IUH851976:IUK851976 JED851976:JEG851976 JNZ851976:JOC851976 JXV851976:JXY851976 KHR851976:KHU851976 KRN851976:KRQ851976 LBJ851976:LBM851976 LLF851976:LLI851976 LVB851976:LVE851976 MEX851976:MFA851976 MOT851976:MOW851976 MYP851976:MYS851976 NIL851976:NIO851976 NSH851976:NSK851976 OCD851976:OCG851976 OLZ851976:OMC851976 OVV851976:OVY851976 PFR851976:PFU851976 PPN851976:PPQ851976 PZJ851976:PZM851976 QJF851976:QJI851976 QTB851976:QTE851976 RCX851976:RDA851976 RMT851976:RMW851976 RWP851976:RWS851976 SGL851976:SGO851976 SQH851976:SQK851976 TAD851976:TAG851976 TJZ851976:TKC851976 TTV851976:TTY851976 UDR851976:UDU851976 UNN851976:UNQ851976 UXJ851976:UXM851976 VHF851976:VHI851976 VRB851976:VRE851976 WAX851976:WBA851976 WKT851976:WKW851976 WUP851976:WUS851976 ID917512:IG917512 RZ917512:SC917512 ABV917512:ABY917512 ALR917512:ALU917512 AVN917512:AVQ917512 BFJ917512:BFM917512 BPF917512:BPI917512 BZB917512:BZE917512 CIX917512:CJA917512 CST917512:CSW917512 DCP917512:DCS917512 DML917512:DMO917512 DWH917512:DWK917512 EGD917512:EGG917512 EPZ917512:EQC917512 EZV917512:EZY917512 FJR917512:FJU917512 FTN917512:FTQ917512 GDJ917512:GDM917512 GNF917512:GNI917512 GXB917512:GXE917512 HGX917512:HHA917512 HQT917512:HQW917512 IAP917512:IAS917512 IKL917512:IKO917512 IUH917512:IUK917512 JED917512:JEG917512 JNZ917512:JOC917512 JXV917512:JXY917512 KHR917512:KHU917512 KRN917512:KRQ917512 LBJ917512:LBM917512 LLF917512:LLI917512 LVB917512:LVE917512 MEX917512:MFA917512 MOT917512:MOW917512 MYP917512:MYS917512 NIL917512:NIO917512 NSH917512:NSK917512 OCD917512:OCG917512 OLZ917512:OMC917512 OVV917512:OVY917512 PFR917512:PFU917512 PPN917512:PPQ917512 PZJ917512:PZM917512 QJF917512:QJI917512 QTB917512:QTE917512 RCX917512:RDA917512 RMT917512:RMW917512 RWP917512:RWS917512 SGL917512:SGO917512 SQH917512:SQK917512 TAD917512:TAG917512 TJZ917512:TKC917512 TTV917512:TTY917512 UDR917512:UDU917512 UNN917512:UNQ917512 UXJ917512:UXM917512 VHF917512:VHI917512 VRB917512:VRE917512 WAX917512:WBA917512 WKT917512:WKW917512 WUP917512:WUS917512 AG65552:AH65555 AG131088:AH131091 AG196624:AH196627 AG262160:AH262163 AG327696:AH327699 AG393232:AH393235 AG458768:AH458771 AG524304:AH524307 AG589840:AH589843 AG655376:AH655379 AG720912:AH720915 AG786448:AH786451 AG851984:AH851987 AG917520:AH917523 AG983056:AH983059 AB983050:AE983050 AB65546:AE65546 AB131082:AE131082 AB196618:AE196618 AB262154:AE262154 AB327690:AE327690 AB393226:AE393226 AB458762:AE458762 AB524298:AE524298 AB589834:AE589834 AB655370:AE655370 AB720906:AE720906 AB786442:AE786442 AB851978:AE851978 AB917514:AE917514 AP65552:AQ65555 AP131088:AQ131091 AP196624:AQ196627 AP262160:AQ262163 AP327696:AQ327699 AP393232:AQ393235 AP458768:AQ458771 AP524304:AQ524307 AP589840:AQ589843 AP655376:AQ655379 AP720912:AQ720915 AP786448:AQ786451 AP851984:AQ851987 AP917520:AQ917523 AP983056:AQ983059 AN65546 AN131082 AN196618 AN262154 AN327690 AN393226 AN458762 AN524298 AN589834 AN655370 AN720906 AN786442 AN851978 AN917514 AI917514:AK917514 AI851978:AK851978 AI786442:AK786442 AI720906:AK720906 AI655370:AK655370 AI589834:AK589834 AI524298:AK524298 AI458762:AK458762 AI393226:AK393226 AI327690:AK327690 AI262154:AK262154 AI196618:AK196618 AI131082:AK131082 AI65546:AK65546 AI983050:AK983050 AN983050 AM65552:AM65555 AM131088:AM131091 AM196624:AM196627 AM262160:AM262163 AM327696:AM327699 AM393232:AM393235 AM458768:AM458771 AM524304:AM524307 AM589840:AM589843 AM655376:AM655379 AM720912:AM720915 AM786448:AM786451 AM851984:AM851987 AM917520:AM917523 AM983056:AM983059" xr:uid="{1F41FD54-6119-4DAF-A90D-E246A62C70A7}">
      <formula1>"○"</formula1>
    </dataValidation>
    <dataValidation type="list" allowBlank="1" showInputMessage="1" showErrorMessage="1" sqref="WAD5:WAR29 VQH5:VQV29 VGL5:VGZ29 UWP5:UXD29 UMT5:UNH29 UCX5:UDL29 TTB5:TTP29 TJF5:TJT29 SZJ5:SZX29 SPN5:SQB29 SFR5:SGF29 RVV5:RWJ29 RLZ5:RMN29 RCD5:RCR29 QSH5:QSV29 QIL5:QIZ29 PYP5:PZD29 POT5:PPH29 PEX5:PFL29 OVB5:OVP29 OLF5:OLT29 OBJ5:OBX29 NRN5:NSB29 NHR5:NIF29 MXV5:MYJ29 MNZ5:MON29 MED5:MER29 LUH5:LUV29 LKL5:LKZ29 LAP5:LBD29 KQT5:KRH29 KGX5:KHL29 JXB5:JXP29 JNF5:JNT29 JDJ5:JDX29 ITN5:IUB29 IJR5:IKF29 HZV5:IAJ29 HPZ5:HQN29 HGD5:HGR29 GWH5:GWV29 GML5:GMZ29 GCP5:GDD29 FST5:FTH29 FIX5:FJL29 EZB5:EZP29 EPF5:EPT29 EFJ5:EFX29 DVN5:DWB29 DLR5:DMF29 DBV5:DCJ29 CRZ5:CSN29 CID5:CIR29 BYH5:BYV29 BOL5:BOZ29 BEP5:BFD29 AUT5:AVH29 AKX5:ALL29 ABB5:ABP29 RF5:RT29 HJ5:HX29 WTV5:WUJ29 WJZ5:WKN29 VQH983001:VQV983038 VGL983001:VGZ983038 UWP983001:UXD983038 UMT983001:UNH983038 UCX983001:UDL983038 TTB983001:TTP983038 TJF983001:TJT983038 SZJ983001:SZX983038 SPN983001:SQB983038 SFR983001:SGF983038 RVV983001:RWJ983038 RLZ983001:RMN983038 RCD983001:RCR983038 QSH983001:QSV983038 QIL983001:QIZ983038 PYP983001:PZD983038 POT983001:PPH983038 PEX983001:PFL983038 OVB983001:OVP983038 OLF983001:OLT983038 OBJ983001:OBX983038 NRN983001:NSB983038 NHR983001:NIF983038 MXV983001:MYJ983038 MNZ983001:MON983038 MED983001:MER983038 LUH983001:LUV983038 LKL983001:LKZ983038 LAP983001:LBD983038 KQT983001:KRH983038 KGX983001:KHL983038 JXB983001:JXP983038 JNF983001:JNT983038 JDJ983001:JDX983038 ITN983001:IUB983038 IJR983001:IKF983038 HZV983001:IAJ983038 HPZ983001:HQN983038 HGD983001:HGR983038 GWH983001:GWV983038 GML983001:GMZ983038 GCP983001:GDD983038 FST983001:FTH983038 FIX983001:FJL983038 EZB983001:EZP983038 EPF983001:EPT983038 EFJ983001:EFX983038 DVN983001:DWB983038 DLR983001:DMF983038 DBV983001:DCJ983038 CRZ983001:CSN983038 CID983001:CIR983038 BYH983001:BYV983038 BOL983001:BOZ983038 BEP983001:BFD983038 AUT983001:AVH983038 AKX983001:ALL983038 ABB983001:ABP983038 RF983001:RT983038 HJ983001:HX983038 WTV917465:WUJ917502 WJZ917465:WKN917502 WAD917465:WAR917502 VQH917465:VQV917502 VGL917465:VGZ917502 UWP917465:UXD917502 UMT917465:UNH917502 UCX917465:UDL917502 TTB917465:TTP917502 TJF917465:TJT917502 SZJ917465:SZX917502 SPN917465:SQB917502 SFR917465:SGF917502 RVV917465:RWJ917502 RLZ917465:RMN917502 RCD917465:RCR917502 QSH917465:QSV917502 QIL917465:QIZ917502 PYP917465:PZD917502 POT917465:PPH917502 PEX917465:PFL917502 OVB917465:OVP917502 OLF917465:OLT917502 OBJ917465:OBX917502 NRN917465:NSB917502 NHR917465:NIF917502 MXV917465:MYJ917502 MNZ917465:MON917502 MED917465:MER917502 LUH917465:LUV917502 LKL917465:LKZ917502 LAP917465:LBD917502 KQT917465:KRH917502 KGX917465:KHL917502 JXB917465:JXP917502 JNF917465:JNT917502 JDJ917465:JDX917502 ITN917465:IUB917502 IJR917465:IKF917502 HZV917465:IAJ917502 HPZ917465:HQN917502 HGD917465:HGR917502 GWH917465:GWV917502 GML917465:GMZ917502 GCP917465:GDD917502 FST917465:FTH917502 FIX917465:FJL917502 EZB917465:EZP917502 EPF917465:EPT917502 EFJ917465:EFX917502 DVN917465:DWB917502 DLR917465:DMF917502 DBV917465:DCJ917502 CRZ917465:CSN917502 CID917465:CIR917502 BYH917465:BYV917502 BOL917465:BOZ917502 BEP917465:BFD917502 AUT917465:AVH917502 AKX917465:ALL917502 ABB917465:ABP917502 RF917465:RT917502 HJ917465:HX917502 WTV851929:WUJ851966 WJZ851929:WKN851966 WAD851929:WAR851966 VQH851929:VQV851966 VGL851929:VGZ851966 UWP851929:UXD851966 UMT851929:UNH851966 UCX851929:UDL851966 TTB851929:TTP851966 TJF851929:TJT851966 SZJ851929:SZX851966 SPN851929:SQB851966 SFR851929:SGF851966 RVV851929:RWJ851966 RLZ851929:RMN851966 RCD851929:RCR851966 QSH851929:QSV851966 QIL851929:QIZ851966 PYP851929:PZD851966 POT851929:PPH851966 PEX851929:PFL851966 OVB851929:OVP851966 OLF851929:OLT851966 OBJ851929:OBX851966 NRN851929:NSB851966 NHR851929:NIF851966 MXV851929:MYJ851966 MNZ851929:MON851966 MED851929:MER851966 LUH851929:LUV851966 LKL851929:LKZ851966 LAP851929:LBD851966 KQT851929:KRH851966 KGX851929:KHL851966 JXB851929:JXP851966 JNF851929:JNT851966 JDJ851929:JDX851966 ITN851929:IUB851966 IJR851929:IKF851966 HZV851929:IAJ851966 HPZ851929:HQN851966 HGD851929:HGR851966 GWH851929:GWV851966 GML851929:GMZ851966 GCP851929:GDD851966 FST851929:FTH851966 FIX851929:FJL851966 EZB851929:EZP851966 EPF851929:EPT851966 EFJ851929:EFX851966 DVN851929:DWB851966 DLR851929:DMF851966 DBV851929:DCJ851966 CRZ851929:CSN851966 CID851929:CIR851966 BYH851929:BYV851966 BOL851929:BOZ851966 BEP851929:BFD851966 AUT851929:AVH851966 AKX851929:ALL851966 ABB851929:ABP851966 RF851929:RT851966 HJ851929:HX851966 WTV786393:WUJ786430 WJZ786393:WKN786430 WAD786393:WAR786430 VQH786393:VQV786430 VGL786393:VGZ786430 UWP786393:UXD786430 UMT786393:UNH786430 UCX786393:UDL786430 TTB786393:TTP786430 TJF786393:TJT786430 SZJ786393:SZX786430 SPN786393:SQB786430 SFR786393:SGF786430 RVV786393:RWJ786430 RLZ786393:RMN786430 RCD786393:RCR786430 QSH786393:QSV786430 QIL786393:QIZ786430 PYP786393:PZD786430 POT786393:PPH786430 PEX786393:PFL786430 OVB786393:OVP786430 OLF786393:OLT786430 OBJ786393:OBX786430 NRN786393:NSB786430 NHR786393:NIF786430 MXV786393:MYJ786430 MNZ786393:MON786430 MED786393:MER786430 LUH786393:LUV786430 LKL786393:LKZ786430 LAP786393:LBD786430 KQT786393:KRH786430 KGX786393:KHL786430 JXB786393:JXP786430 JNF786393:JNT786430 JDJ786393:JDX786430 ITN786393:IUB786430 IJR786393:IKF786430 HZV786393:IAJ786430 HPZ786393:HQN786430 HGD786393:HGR786430 GWH786393:GWV786430 GML786393:GMZ786430 GCP786393:GDD786430 FST786393:FTH786430 FIX786393:FJL786430 EZB786393:EZP786430 EPF786393:EPT786430 EFJ786393:EFX786430 DVN786393:DWB786430 DLR786393:DMF786430 DBV786393:DCJ786430 CRZ786393:CSN786430 CID786393:CIR786430 BYH786393:BYV786430 BOL786393:BOZ786430 BEP786393:BFD786430 AUT786393:AVH786430 AKX786393:ALL786430 ABB786393:ABP786430 RF786393:RT786430 HJ786393:HX786430 WTV720857:WUJ720894 WJZ720857:WKN720894 WAD720857:WAR720894 VQH720857:VQV720894 VGL720857:VGZ720894 UWP720857:UXD720894 UMT720857:UNH720894 UCX720857:UDL720894 TTB720857:TTP720894 TJF720857:TJT720894 SZJ720857:SZX720894 SPN720857:SQB720894 SFR720857:SGF720894 RVV720857:RWJ720894 RLZ720857:RMN720894 RCD720857:RCR720894 QSH720857:QSV720894 QIL720857:QIZ720894 PYP720857:PZD720894 POT720857:PPH720894 PEX720857:PFL720894 OVB720857:OVP720894 OLF720857:OLT720894 OBJ720857:OBX720894 NRN720857:NSB720894 NHR720857:NIF720894 MXV720857:MYJ720894 MNZ720857:MON720894 MED720857:MER720894 LUH720857:LUV720894 LKL720857:LKZ720894 LAP720857:LBD720894 KQT720857:KRH720894 KGX720857:KHL720894 JXB720857:JXP720894 JNF720857:JNT720894 JDJ720857:JDX720894 ITN720857:IUB720894 IJR720857:IKF720894 HZV720857:IAJ720894 HPZ720857:HQN720894 HGD720857:HGR720894 GWH720857:GWV720894 GML720857:GMZ720894 GCP720857:GDD720894 FST720857:FTH720894 FIX720857:FJL720894 EZB720857:EZP720894 EPF720857:EPT720894 EFJ720857:EFX720894 DVN720857:DWB720894 DLR720857:DMF720894 DBV720857:DCJ720894 CRZ720857:CSN720894 CID720857:CIR720894 BYH720857:BYV720894 BOL720857:BOZ720894 BEP720857:BFD720894 AUT720857:AVH720894 AKX720857:ALL720894 ABB720857:ABP720894 RF720857:RT720894 HJ720857:HX720894 WTV655321:WUJ655358 WJZ655321:WKN655358 WAD655321:WAR655358 VQH655321:VQV655358 VGL655321:VGZ655358 UWP655321:UXD655358 UMT655321:UNH655358 UCX655321:UDL655358 TTB655321:TTP655358 TJF655321:TJT655358 SZJ655321:SZX655358 SPN655321:SQB655358 SFR655321:SGF655358 RVV655321:RWJ655358 RLZ655321:RMN655358 RCD655321:RCR655358 QSH655321:QSV655358 QIL655321:QIZ655358 PYP655321:PZD655358 POT655321:PPH655358 PEX655321:PFL655358 OVB655321:OVP655358 OLF655321:OLT655358 OBJ655321:OBX655358 NRN655321:NSB655358 NHR655321:NIF655358 MXV655321:MYJ655358 MNZ655321:MON655358 MED655321:MER655358 LUH655321:LUV655358 LKL655321:LKZ655358 LAP655321:LBD655358 KQT655321:KRH655358 KGX655321:KHL655358 JXB655321:JXP655358 JNF655321:JNT655358 JDJ655321:JDX655358 ITN655321:IUB655358 IJR655321:IKF655358 HZV655321:IAJ655358 HPZ655321:HQN655358 HGD655321:HGR655358 GWH655321:GWV655358 GML655321:GMZ655358 GCP655321:GDD655358 FST655321:FTH655358 FIX655321:FJL655358 EZB655321:EZP655358 EPF655321:EPT655358 EFJ655321:EFX655358 DVN655321:DWB655358 DLR655321:DMF655358 DBV655321:DCJ655358 CRZ655321:CSN655358 CID655321:CIR655358 BYH655321:BYV655358 BOL655321:BOZ655358 BEP655321:BFD655358 AUT655321:AVH655358 AKX655321:ALL655358 ABB655321:ABP655358 RF655321:RT655358 HJ655321:HX655358 WTV589785:WUJ589822 WJZ589785:WKN589822 WAD589785:WAR589822 VQH589785:VQV589822 VGL589785:VGZ589822 UWP589785:UXD589822 UMT589785:UNH589822 UCX589785:UDL589822 TTB589785:TTP589822 TJF589785:TJT589822 SZJ589785:SZX589822 SPN589785:SQB589822 SFR589785:SGF589822 RVV589785:RWJ589822 RLZ589785:RMN589822 RCD589785:RCR589822 QSH589785:QSV589822 QIL589785:QIZ589822 PYP589785:PZD589822 POT589785:PPH589822 PEX589785:PFL589822 OVB589785:OVP589822 OLF589785:OLT589822 OBJ589785:OBX589822 NRN589785:NSB589822 NHR589785:NIF589822 MXV589785:MYJ589822 MNZ589785:MON589822 MED589785:MER589822 LUH589785:LUV589822 LKL589785:LKZ589822 LAP589785:LBD589822 KQT589785:KRH589822 KGX589785:KHL589822 JXB589785:JXP589822 JNF589785:JNT589822 JDJ589785:JDX589822 ITN589785:IUB589822 IJR589785:IKF589822 HZV589785:IAJ589822 HPZ589785:HQN589822 HGD589785:HGR589822 GWH589785:GWV589822 GML589785:GMZ589822 GCP589785:GDD589822 FST589785:FTH589822 FIX589785:FJL589822 EZB589785:EZP589822 EPF589785:EPT589822 EFJ589785:EFX589822 DVN589785:DWB589822 DLR589785:DMF589822 DBV589785:DCJ589822 CRZ589785:CSN589822 CID589785:CIR589822 BYH589785:BYV589822 BOL589785:BOZ589822 BEP589785:BFD589822 AUT589785:AVH589822 AKX589785:ALL589822 ABB589785:ABP589822 RF589785:RT589822 HJ589785:HX589822 WTV524249:WUJ524286 WJZ524249:WKN524286 WAD524249:WAR524286 VQH524249:VQV524286 VGL524249:VGZ524286 UWP524249:UXD524286 UMT524249:UNH524286 UCX524249:UDL524286 TTB524249:TTP524286 TJF524249:TJT524286 SZJ524249:SZX524286 SPN524249:SQB524286 SFR524249:SGF524286 RVV524249:RWJ524286 RLZ524249:RMN524286 RCD524249:RCR524286 QSH524249:QSV524286 QIL524249:QIZ524286 PYP524249:PZD524286 POT524249:PPH524286 PEX524249:PFL524286 OVB524249:OVP524286 OLF524249:OLT524286 OBJ524249:OBX524286 NRN524249:NSB524286 NHR524249:NIF524286 MXV524249:MYJ524286 MNZ524249:MON524286 MED524249:MER524286 LUH524249:LUV524286 LKL524249:LKZ524286 LAP524249:LBD524286 KQT524249:KRH524286 KGX524249:KHL524286 JXB524249:JXP524286 JNF524249:JNT524286 JDJ524249:JDX524286 ITN524249:IUB524286 IJR524249:IKF524286 HZV524249:IAJ524286 HPZ524249:HQN524286 HGD524249:HGR524286 GWH524249:GWV524286 GML524249:GMZ524286 GCP524249:GDD524286 FST524249:FTH524286 FIX524249:FJL524286 EZB524249:EZP524286 EPF524249:EPT524286 EFJ524249:EFX524286 DVN524249:DWB524286 DLR524249:DMF524286 DBV524249:DCJ524286 CRZ524249:CSN524286 CID524249:CIR524286 BYH524249:BYV524286 BOL524249:BOZ524286 BEP524249:BFD524286 AUT524249:AVH524286 AKX524249:ALL524286 ABB524249:ABP524286 RF524249:RT524286 HJ524249:HX524286 WTV458713:WUJ458750 WJZ458713:WKN458750 WAD458713:WAR458750 VQH458713:VQV458750 VGL458713:VGZ458750 UWP458713:UXD458750 UMT458713:UNH458750 UCX458713:UDL458750 TTB458713:TTP458750 TJF458713:TJT458750 SZJ458713:SZX458750 SPN458713:SQB458750 SFR458713:SGF458750 RVV458713:RWJ458750 RLZ458713:RMN458750 RCD458713:RCR458750 QSH458713:QSV458750 QIL458713:QIZ458750 PYP458713:PZD458750 POT458713:PPH458750 PEX458713:PFL458750 OVB458713:OVP458750 OLF458713:OLT458750 OBJ458713:OBX458750 NRN458713:NSB458750 NHR458713:NIF458750 MXV458713:MYJ458750 MNZ458713:MON458750 MED458713:MER458750 LUH458713:LUV458750 LKL458713:LKZ458750 LAP458713:LBD458750 KQT458713:KRH458750 KGX458713:KHL458750 JXB458713:JXP458750 JNF458713:JNT458750 JDJ458713:JDX458750 ITN458713:IUB458750 IJR458713:IKF458750 HZV458713:IAJ458750 HPZ458713:HQN458750 HGD458713:HGR458750 GWH458713:GWV458750 GML458713:GMZ458750 GCP458713:GDD458750 FST458713:FTH458750 FIX458713:FJL458750 EZB458713:EZP458750 EPF458713:EPT458750 EFJ458713:EFX458750 DVN458713:DWB458750 DLR458713:DMF458750 DBV458713:DCJ458750 CRZ458713:CSN458750 CID458713:CIR458750 BYH458713:BYV458750 BOL458713:BOZ458750 BEP458713:BFD458750 AUT458713:AVH458750 AKX458713:ALL458750 ABB458713:ABP458750 RF458713:RT458750 HJ458713:HX458750 WTV393177:WUJ393214 WJZ393177:WKN393214 WAD393177:WAR393214 VQH393177:VQV393214 VGL393177:VGZ393214 UWP393177:UXD393214 UMT393177:UNH393214 UCX393177:UDL393214 TTB393177:TTP393214 TJF393177:TJT393214 SZJ393177:SZX393214 SPN393177:SQB393214 SFR393177:SGF393214 RVV393177:RWJ393214 RLZ393177:RMN393214 RCD393177:RCR393214 QSH393177:QSV393214 QIL393177:QIZ393214 PYP393177:PZD393214 POT393177:PPH393214 PEX393177:PFL393214 OVB393177:OVP393214 OLF393177:OLT393214 OBJ393177:OBX393214 NRN393177:NSB393214 NHR393177:NIF393214 MXV393177:MYJ393214 MNZ393177:MON393214 MED393177:MER393214 LUH393177:LUV393214 LKL393177:LKZ393214 LAP393177:LBD393214 KQT393177:KRH393214 KGX393177:KHL393214 JXB393177:JXP393214 JNF393177:JNT393214 JDJ393177:JDX393214 ITN393177:IUB393214 IJR393177:IKF393214 HZV393177:IAJ393214 HPZ393177:HQN393214 HGD393177:HGR393214 GWH393177:GWV393214 GML393177:GMZ393214 GCP393177:GDD393214 FST393177:FTH393214 FIX393177:FJL393214 EZB393177:EZP393214 EPF393177:EPT393214 EFJ393177:EFX393214 DVN393177:DWB393214 DLR393177:DMF393214 DBV393177:DCJ393214 CRZ393177:CSN393214 CID393177:CIR393214 BYH393177:BYV393214 BOL393177:BOZ393214 BEP393177:BFD393214 AUT393177:AVH393214 AKX393177:ALL393214 ABB393177:ABP393214 RF393177:RT393214 HJ393177:HX393214 WTV327641:WUJ327678 WJZ327641:WKN327678 WAD327641:WAR327678 VQH327641:VQV327678 VGL327641:VGZ327678 UWP327641:UXD327678 UMT327641:UNH327678 UCX327641:UDL327678 TTB327641:TTP327678 TJF327641:TJT327678 SZJ327641:SZX327678 SPN327641:SQB327678 SFR327641:SGF327678 RVV327641:RWJ327678 RLZ327641:RMN327678 RCD327641:RCR327678 QSH327641:QSV327678 QIL327641:QIZ327678 PYP327641:PZD327678 POT327641:PPH327678 PEX327641:PFL327678 OVB327641:OVP327678 OLF327641:OLT327678 OBJ327641:OBX327678 NRN327641:NSB327678 NHR327641:NIF327678 MXV327641:MYJ327678 MNZ327641:MON327678 MED327641:MER327678 LUH327641:LUV327678 LKL327641:LKZ327678 LAP327641:LBD327678 KQT327641:KRH327678 KGX327641:KHL327678 JXB327641:JXP327678 JNF327641:JNT327678 JDJ327641:JDX327678 ITN327641:IUB327678 IJR327641:IKF327678 HZV327641:IAJ327678 HPZ327641:HQN327678 HGD327641:HGR327678 GWH327641:GWV327678 GML327641:GMZ327678 GCP327641:GDD327678 FST327641:FTH327678 FIX327641:FJL327678 EZB327641:EZP327678 EPF327641:EPT327678 EFJ327641:EFX327678 DVN327641:DWB327678 DLR327641:DMF327678 DBV327641:DCJ327678 CRZ327641:CSN327678 CID327641:CIR327678 BYH327641:BYV327678 BOL327641:BOZ327678 BEP327641:BFD327678 AUT327641:AVH327678 AKX327641:ALL327678 ABB327641:ABP327678 RF327641:RT327678 HJ327641:HX327678 WTV262105:WUJ262142 WJZ262105:WKN262142 WAD262105:WAR262142 VQH262105:VQV262142 VGL262105:VGZ262142 UWP262105:UXD262142 UMT262105:UNH262142 UCX262105:UDL262142 TTB262105:TTP262142 TJF262105:TJT262142 SZJ262105:SZX262142 SPN262105:SQB262142 SFR262105:SGF262142 RVV262105:RWJ262142 RLZ262105:RMN262142 RCD262105:RCR262142 QSH262105:QSV262142 QIL262105:QIZ262142 PYP262105:PZD262142 POT262105:PPH262142 PEX262105:PFL262142 OVB262105:OVP262142 OLF262105:OLT262142 OBJ262105:OBX262142 NRN262105:NSB262142 NHR262105:NIF262142 MXV262105:MYJ262142 MNZ262105:MON262142 MED262105:MER262142 LUH262105:LUV262142 LKL262105:LKZ262142 LAP262105:LBD262142 KQT262105:KRH262142 KGX262105:KHL262142 JXB262105:JXP262142 JNF262105:JNT262142 JDJ262105:JDX262142 ITN262105:IUB262142 IJR262105:IKF262142 HZV262105:IAJ262142 HPZ262105:HQN262142 HGD262105:HGR262142 GWH262105:GWV262142 GML262105:GMZ262142 GCP262105:GDD262142 FST262105:FTH262142 FIX262105:FJL262142 EZB262105:EZP262142 EPF262105:EPT262142 EFJ262105:EFX262142 DVN262105:DWB262142 DLR262105:DMF262142 DBV262105:DCJ262142 CRZ262105:CSN262142 CID262105:CIR262142 BYH262105:BYV262142 BOL262105:BOZ262142 BEP262105:BFD262142 AUT262105:AVH262142 AKX262105:ALL262142 ABB262105:ABP262142 RF262105:RT262142 HJ262105:HX262142 WTV196569:WUJ196606 WJZ196569:WKN196606 WAD196569:WAR196606 VQH196569:VQV196606 VGL196569:VGZ196606 UWP196569:UXD196606 UMT196569:UNH196606 UCX196569:UDL196606 TTB196569:TTP196606 TJF196569:TJT196606 SZJ196569:SZX196606 SPN196569:SQB196606 SFR196569:SGF196606 RVV196569:RWJ196606 RLZ196569:RMN196606 RCD196569:RCR196606 QSH196569:QSV196606 QIL196569:QIZ196606 PYP196569:PZD196606 POT196569:PPH196606 PEX196569:PFL196606 OVB196569:OVP196606 OLF196569:OLT196606 OBJ196569:OBX196606 NRN196569:NSB196606 NHR196569:NIF196606 MXV196569:MYJ196606 MNZ196569:MON196606 MED196569:MER196606 LUH196569:LUV196606 LKL196569:LKZ196606 LAP196569:LBD196606 KQT196569:KRH196606 KGX196569:KHL196606 JXB196569:JXP196606 JNF196569:JNT196606 JDJ196569:JDX196606 ITN196569:IUB196606 IJR196569:IKF196606 HZV196569:IAJ196606 HPZ196569:HQN196606 HGD196569:HGR196606 GWH196569:GWV196606 GML196569:GMZ196606 GCP196569:GDD196606 FST196569:FTH196606 FIX196569:FJL196606 EZB196569:EZP196606 EPF196569:EPT196606 EFJ196569:EFX196606 DVN196569:DWB196606 DLR196569:DMF196606 DBV196569:DCJ196606 CRZ196569:CSN196606 CID196569:CIR196606 BYH196569:BYV196606 BOL196569:BOZ196606 BEP196569:BFD196606 AUT196569:AVH196606 AKX196569:ALL196606 ABB196569:ABP196606 RF196569:RT196606 HJ196569:HX196606 WTV131033:WUJ131070 WJZ131033:WKN131070 WAD131033:WAR131070 VQH131033:VQV131070 VGL131033:VGZ131070 UWP131033:UXD131070 UMT131033:UNH131070 UCX131033:UDL131070 TTB131033:TTP131070 TJF131033:TJT131070 SZJ131033:SZX131070 SPN131033:SQB131070 SFR131033:SGF131070 RVV131033:RWJ131070 RLZ131033:RMN131070 RCD131033:RCR131070 QSH131033:QSV131070 QIL131033:QIZ131070 PYP131033:PZD131070 POT131033:PPH131070 PEX131033:PFL131070 OVB131033:OVP131070 OLF131033:OLT131070 OBJ131033:OBX131070 NRN131033:NSB131070 NHR131033:NIF131070 MXV131033:MYJ131070 MNZ131033:MON131070 MED131033:MER131070 LUH131033:LUV131070 LKL131033:LKZ131070 LAP131033:LBD131070 KQT131033:KRH131070 KGX131033:KHL131070 JXB131033:JXP131070 JNF131033:JNT131070 JDJ131033:JDX131070 ITN131033:IUB131070 IJR131033:IKF131070 HZV131033:IAJ131070 HPZ131033:HQN131070 HGD131033:HGR131070 GWH131033:GWV131070 GML131033:GMZ131070 GCP131033:GDD131070 FST131033:FTH131070 FIX131033:FJL131070 EZB131033:EZP131070 EPF131033:EPT131070 EFJ131033:EFX131070 DVN131033:DWB131070 DLR131033:DMF131070 DBV131033:DCJ131070 CRZ131033:CSN131070 CID131033:CIR131070 BYH131033:BYV131070 BOL131033:BOZ131070 BEP131033:BFD131070 AUT131033:AVH131070 AKX131033:ALL131070 ABB131033:ABP131070 RF131033:RT131070 HJ131033:HX131070 WTV65497:WUJ65534 WJZ65497:WKN65534 WAD65497:WAR65534 VQH65497:VQV65534 VGL65497:VGZ65534 UWP65497:UXD65534 UMT65497:UNH65534 UCX65497:UDL65534 TTB65497:TTP65534 TJF65497:TJT65534 SZJ65497:SZX65534 SPN65497:SQB65534 SFR65497:SGF65534 RVV65497:RWJ65534 RLZ65497:RMN65534 RCD65497:RCR65534 QSH65497:QSV65534 QIL65497:QIZ65534 PYP65497:PZD65534 POT65497:PPH65534 PEX65497:PFL65534 OVB65497:OVP65534 OLF65497:OLT65534 OBJ65497:OBX65534 NRN65497:NSB65534 NHR65497:NIF65534 MXV65497:MYJ65534 MNZ65497:MON65534 MED65497:MER65534 LUH65497:LUV65534 LKL65497:LKZ65534 LAP65497:LBD65534 KQT65497:KRH65534 KGX65497:KHL65534 JXB65497:JXP65534 JNF65497:JNT65534 JDJ65497:JDX65534 ITN65497:IUB65534 IJR65497:IKF65534 HZV65497:IAJ65534 HPZ65497:HQN65534 HGD65497:HGR65534 GWH65497:GWV65534 GML65497:GMZ65534 GCP65497:GDD65534 FST65497:FTH65534 FIX65497:FJL65534 EZB65497:EZP65534 EPF65497:EPT65534 EFJ65497:EFX65534 DVN65497:DWB65534 DLR65497:DMF65534 DBV65497:DCJ65534 CRZ65497:CSN65534 CID65497:CIR65534 BYH65497:BYV65534 BOL65497:BOZ65534 BEP65497:BFD65534 AUT65497:AVH65534 AKX65497:ALL65534 ABB65497:ABP65534 RF65497:RT65534 HJ65497:HX65534 WJZ983001:WKN983038 WAD983001:WAR983038 WTV983001:WUJ983038" xr:uid="{F9FA6065-A332-4F40-AADA-5EB35076845A}">
      <formula1>#REF!</formula1>
    </dataValidation>
    <dataValidation type="list" allowBlank="1" showInputMessage="1" showErrorMessage="1" sqref="HX983042:IE983047 RT983042:SA983047 ABP983042:ABW983047 ALL983042:ALS983047 AVH983042:AVO983047 BFD983042:BFK983047 BOZ983042:BPG983047 BYV983042:BZC983047 CIR983042:CIY983047 CSN983042:CSU983047 DCJ983042:DCQ983047 DMF983042:DMM983047 DWB983042:DWI983047 EFX983042:EGE983047 EPT983042:EQA983047 EZP983042:EZW983047 FJL983042:FJS983047 FTH983042:FTO983047 GDD983042:GDK983047 GMZ983042:GNG983047 GWV983042:GXC983047 HGR983042:HGY983047 HQN983042:HQU983047 IAJ983042:IAQ983047 IKF983042:IKM983047 IUB983042:IUI983047 JDX983042:JEE983047 JNT983042:JOA983047 JXP983042:JXW983047 KHL983042:KHS983047 KRH983042:KRO983047 LBD983042:LBK983047 LKZ983042:LLG983047 LUV983042:LVC983047 MER983042:MEY983047 MON983042:MOU983047 MYJ983042:MYQ983047 NIF983042:NIM983047 NSB983042:NSI983047 OBX983042:OCE983047 OLT983042:OMA983047 OVP983042:OVW983047 PFL983042:PFS983047 PPH983042:PPO983047 PZD983042:PZK983047 QIZ983042:QJG983047 QSV983042:QTC983047 RCR983042:RCY983047 RMN983042:RMU983047 RWJ983042:RWQ983047 SGF983042:SGM983047 SQB983042:SQI983047 SZX983042:TAE983047 TJT983042:TKA983047 TTP983042:TTW983047 UDL983042:UDS983047 UNH983042:UNO983047 UXD983042:UXK983047 VGZ983042:VHG983047 VQV983042:VRC983047 WAR983042:WAY983047 WKN983042:WKU983047 WUJ983042:WUQ983047 HX65538:IE65543 RT65538:SA65543 ABP65538:ABW65543 ALL65538:ALS65543 AVH65538:AVO65543 BFD65538:BFK65543 BOZ65538:BPG65543 BYV65538:BZC65543 CIR65538:CIY65543 CSN65538:CSU65543 DCJ65538:DCQ65543 DMF65538:DMM65543 DWB65538:DWI65543 EFX65538:EGE65543 EPT65538:EQA65543 EZP65538:EZW65543 FJL65538:FJS65543 FTH65538:FTO65543 GDD65538:GDK65543 GMZ65538:GNG65543 GWV65538:GXC65543 HGR65538:HGY65543 HQN65538:HQU65543 IAJ65538:IAQ65543 IKF65538:IKM65543 IUB65538:IUI65543 JDX65538:JEE65543 JNT65538:JOA65543 JXP65538:JXW65543 KHL65538:KHS65543 KRH65538:KRO65543 LBD65538:LBK65543 LKZ65538:LLG65543 LUV65538:LVC65543 MER65538:MEY65543 MON65538:MOU65543 MYJ65538:MYQ65543 NIF65538:NIM65543 NSB65538:NSI65543 OBX65538:OCE65543 OLT65538:OMA65543 OVP65538:OVW65543 PFL65538:PFS65543 PPH65538:PPO65543 PZD65538:PZK65543 QIZ65538:QJG65543 QSV65538:QTC65543 RCR65538:RCY65543 RMN65538:RMU65543 RWJ65538:RWQ65543 SGF65538:SGM65543 SQB65538:SQI65543 SZX65538:TAE65543 TJT65538:TKA65543 TTP65538:TTW65543 UDL65538:UDS65543 UNH65538:UNO65543 UXD65538:UXK65543 VGZ65538:VHG65543 VQV65538:VRC65543 WAR65538:WAY65543 WKN65538:WKU65543 WUJ65538:WUQ65543 HX131074:IE131079 RT131074:SA131079 ABP131074:ABW131079 ALL131074:ALS131079 AVH131074:AVO131079 BFD131074:BFK131079 BOZ131074:BPG131079 BYV131074:BZC131079 CIR131074:CIY131079 CSN131074:CSU131079 DCJ131074:DCQ131079 DMF131074:DMM131079 DWB131074:DWI131079 EFX131074:EGE131079 EPT131074:EQA131079 EZP131074:EZW131079 FJL131074:FJS131079 FTH131074:FTO131079 GDD131074:GDK131079 GMZ131074:GNG131079 GWV131074:GXC131079 HGR131074:HGY131079 HQN131074:HQU131079 IAJ131074:IAQ131079 IKF131074:IKM131079 IUB131074:IUI131079 JDX131074:JEE131079 JNT131074:JOA131079 JXP131074:JXW131079 KHL131074:KHS131079 KRH131074:KRO131079 LBD131074:LBK131079 LKZ131074:LLG131079 LUV131074:LVC131079 MER131074:MEY131079 MON131074:MOU131079 MYJ131074:MYQ131079 NIF131074:NIM131079 NSB131074:NSI131079 OBX131074:OCE131079 OLT131074:OMA131079 OVP131074:OVW131079 PFL131074:PFS131079 PPH131074:PPO131079 PZD131074:PZK131079 QIZ131074:QJG131079 QSV131074:QTC131079 RCR131074:RCY131079 RMN131074:RMU131079 RWJ131074:RWQ131079 SGF131074:SGM131079 SQB131074:SQI131079 SZX131074:TAE131079 TJT131074:TKA131079 TTP131074:TTW131079 UDL131074:UDS131079 UNH131074:UNO131079 UXD131074:UXK131079 VGZ131074:VHG131079 VQV131074:VRC131079 WAR131074:WAY131079 WKN131074:WKU131079 WUJ131074:WUQ131079 HX196610:IE196615 RT196610:SA196615 ABP196610:ABW196615 ALL196610:ALS196615 AVH196610:AVO196615 BFD196610:BFK196615 BOZ196610:BPG196615 BYV196610:BZC196615 CIR196610:CIY196615 CSN196610:CSU196615 DCJ196610:DCQ196615 DMF196610:DMM196615 DWB196610:DWI196615 EFX196610:EGE196615 EPT196610:EQA196615 EZP196610:EZW196615 FJL196610:FJS196615 FTH196610:FTO196615 GDD196610:GDK196615 GMZ196610:GNG196615 GWV196610:GXC196615 HGR196610:HGY196615 HQN196610:HQU196615 IAJ196610:IAQ196615 IKF196610:IKM196615 IUB196610:IUI196615 JDX196610:JEE196615 JNT196610:JOA196615 JXP196610:JXW196615 KHL196610:KHS196615 KRH196610:KRO196615 LBD196610:LBK196615 LKZ196610:LLG196615 LUV196610:LVC196615 MER196610:MEY196615 MON196610:MOU196615 MYJ196610:MYQ196615 NIF196610:NIM196615 NSB196610:NSI196615 OBX196610:OCE196615 OLT196610:OMA196615 OVP196610:OVW196615 PFL196610:PFS196615 PPH196610:PPO196615 PZD196610:PZK196615 QIZ196610:QJG196615 QSV196610:QTC196615 RCR196610:RCY196615 RMN196610:RMU196615 RWJ196610:RWQ196615 SGF196610:SGM196615 SQB196610:SQI196615 SZX196610:TAE196615 TJT196610:TKA196615 TTP196610:TTW196615 UDL196610:UDS196615 UNH196610:UNO196615 UXD196610:UXK196615 VGZ196610:VHG196615 VQV196610:VRC196615 WAR196610:WAY196615 WKN196610:WKU196615 WUJ196610:WUQ196615 HX262146:IE262151 RT262146:SA262151 ABP262146:ABW262151 ALL262146:ALS262151 AVH262146:AVO262151 BFD262146:BFK262151 BOZ262146:BPG262151 BYV262146:BZC262151 CIR262146:CIY262151 CSN262146:CSU262151 DCJ262146:DCQ262151 DMF262146:DMM262151 DWB262146:DWI262151 EFX262146:EGE262151 EPT262146:EQA262151 EZP262146:EZW262151 FJL262146:FJS262151 FTH262146:FTO262151 GDD262146:GDK262151 GMZ262146:GNG262151 GWV262146:GXC262151 HGR262146:HGY262151 HQN262146:HQU262151 IAJ262146:IAQ262151 IKF262146:IKM262151 IUB262146:IUI262151 JDX262146:JEE262151 JNT262146:JOA262151 JXP262146:JXW262151 KHL262146:KHS262151 KRH262146:KRO262151 LBD262146:LBK262151 LKZ262146:LLG262151 LUV262146:LVC262151 MER262146:MEY262151 MON262146:MOU262151 MYJ262146:MYQ262151 NIF262146:NIM262151 NSB262146:NSI262151 OBX262146:OCE262151 OLT262146:OMA262151 OVP262146:OVW262151 PFL262146:PFS262151 PPH262146:PPO262151 PZD262146:PZK262151 QIZ262146:QJG262151 QSV262146:QTC262151 RCR262146:RCY262151 RMN262146:RMU262151 RWJ262146:RWQ262151 SGF262146:SGM262151 SQB262146:SQI262151 SZX262146:TAE262151 TJT262146:TKA262151 TTP262146:TTW262151 UDL262146:UDS262151 UNH262146:UNO262151 UXD262146:UXK262151 VGZ262146:VHG262151 VQV262146:VRC262151 WAR262146:WAY262151 WKN262146:WKU262151 WUJ262146:WUQ262151 HX327682:IE327687 RT327682:SA327687 ABP327682:ABW327687 ALL327682:ALS327687 AVH327682:AVO327687 BFD327682:BFK327687 BOZ327682:BPG327687 BYV327682:BZC327687 CIR327682:CIY327687 CSN327682:CSU327687 DCJ327682:DCQ327687 DMF327682:DMM327687 DWB327682:DWI327687 EFX327682:EGE327687 EPT327682:EQA327687 EZP327682:EZW327687 FJL327682:FJS327687 FTH327682:FTO327687 GDD327682:GDK327687 GMZ327682:GNG327687 GWV327682:GXC327687 HGR327682:HGY327687 HQN327682:HQU327687 IAJ327682:IAQ327687 IKF327682:IKM327687 IUB327682:IUI327687 JDX327682:JEE327687 JNT327682:JOA327687 JXP327682:JXW327687 KHL327682:KHS327687 KRH327682:KRO327687 LBD327682:LBK327687 LKZ327682:LLG327687 LUV327682:LVC327687 MER327682:MEY327687 MON327682:MOU327687 MYJ327682:MYQ327687 NIF327682:NIM327687 NSB327682:NSI327687 OBX327682:OCE327687 OLT327682:OMA327687 OVP327682:OVW327687 PFL327682:PFS327687 PPH327682:PPO327687 PZD327682:PZK327687 QIZ327682:QJG327687 QSV327682:QTC327687 RCR327682:RCY327687 RMN327682:RMU327687 RWJ327682:RWQ327687 SGF327682:SGM327687 SQB327682:SQI327687 SZX327682:TAE327687 TJT327682:TKA327687 TTP327682:TTW327687 UDL327682:UDS327687 UNH327682:UNO327687 UXD327682:UXK327687 VGZ327682:VHG327687 VQV327682:VRC327687 WAR327682:WAY327687 WKN327682:WKU327687 WUJ327682:WUQ327687 HX393218:IE393223 RT393218:SA393223 ABP393218:ABW393223 ALL393218:ALS393223 AVH393218:AVO393223 BFD393218:BFK393223 BOZ393218:BPG393223 BYV393218:BZC393223 CIR393218:CIY393223 CSN393218:CSU393223 DCJ393218:DCQ393223 DMF393218:DMM393223 DWB393218:DWI393223 EFX393218:EGE393223 EPT393218:EQA393223 EZP393218:EZW393223 FJL393218:FJS393223 FTH393218:FTO393223 GDD393218:GDK393223 GMZ393218:GNG393223 GWV393218:GXC393223 HGR393218:HGY393223 HQN393218:HQU393223 IAJ393218:IAQ393223 IKF393218:IKM393223 IUB393218:IUI393223 JDX393218:JEE393223 JNT393218:JOA393223 JXP393218:JXW393223 KHL393218:KHS393223 KRH393218:KRO393223 LBD393218:LBK393223 LKZ393218:LLG393223 LUV393218:LVC393223 MER393218:MEY393223 MON393218:MOU393223 MYJ393218:MYQ393223 NIF393218:NIM393223 NSB393218:NSI393223 OBX393218:OCE393223 OLT393218:OMA393223 OVP393218:OVW393223 PFL393218:PFS393223 PPH393218:PPO393223 PZD393218:PZK393223 QIZ393218:QJG393223 QSV393218:QTC393223 RCR393218:RCY393223 RMN393218:RMU393223 RWJ393218:RWQ393223 SGF393218:SGM393223 SQB393218:SQI393223 SZX393218:TAE393223 TJT393218:TKA393223 TTP393218:TTW393223 UDL393218:UDS393223 UNH393218:UNO393223 UXD393218:UXK393223 VGZ393218:VHG393223 VQV393218:VRC393223 WAR393218:WAY393223 WKN393218:WKU393223 WUJ393218:WUQ393223 HX458754:IE458759 RT458754:SA458759 ABP458754:ABW458759 ALL458754:ALS458759 AVH458754:AVO458759 BFD458754:BFK458759 BOZ458754:BPG458759 BYV458754:BZC458759 CIR458754:CIY458759 CSN458754:CSU458759 DCJ458754:DCQ458759 DMF458754:DMM458759 DWB458754:DWI458759 EFX458754:EGE458759 EPT458754:EQA458759 EZP458754:EZW458759 FJL458754:FJS458759 FTH458754:FTO458759 GDD458754:GDK458759 GMZ458754:GNG458759 GWV458754:GXC458759 HGR458754:HGY458759 HQN458754:HQU458759 IAJ458754:IAQ458759 IKF458754:IKM458759 IUB458754:IUI458759 JDX458754:JEE458759 JNT458754:JOA458759 JXP458754:JXW458759 KHL458754:KHS458759 KRH458754:KRO458759 LBD458754:LBK458759 LKZ458754:LLG458759 LUV458754:LVC458759 MER458754:MEY458759 MON458754:MOU458759 MYJ458754:MYQ458759 NIF458754:NIM458759 NSB458754:NSI458759 OBX458754:OCE458759 OLT458754:OMA458759 OVP458754:OVW458759 PFL458754:PFS458759 PPH458754:PPO458759 PZD458754:PZK458759 QIZ458754:QJG458759 QSV458754:QTC458759 RCR458754:RCY458759 RMN458754:RMU458759 RWJ458754:RWQ458759 SGF458754:SGM458759 SQB458754:SQI458759 SZX458754:TAE458759 TJT458754:TKA458759 TTP458754:TTW458759 UDL458754:UDS458759 UNH458754:UNO458759 UXD458754:UXK458759 VGZ458754:VHG458759 VQV458754:VRC458759 WAR458754:WAY458759 WKN458754:WKU458759 WUJ458754:WUQ458759 HX524290:IE524295 RT524290:SA524295 ABP524290:ABW524295 ALL524290:ALS524295 AVH524290:AVO524295 BFD524290:BFK524295 BOZ524290:BPG524295 BYV524290:BZC524295 CIR524290:CIY524295 CSN524290:CSU524295 DCJ524290:DCQ524295 DMF524290:DMM524295 DWB524290:DWI524295 EFX524290:EGE524295 EPT524290:EQA524295 EZP524290:EZW524295 FJL524290:FJS524295 FTH524290:FTO524295 GDD524290:GDK524295 GMZ524290:GNG524295 GWV524290:GXC524295 HGR524290:HGY524295 HQN524290:HQU524295 IAJ524290:IAQ524295 IKF524290:IKM524295 IUB524290:IUI524295 JDX524290:JEE524295 JNT524290:JOA524295 JXP524290:JXW524295 KHL524290:KHS524295 KRH524290:KRO524295 LBD524290:LBK524295 LKZ524290:LLG524295 LUV524290:LVC524295 MER524290:MEY524295 MON524290:MOU524295 MYJ524290:MYQ524295 NIF524290:NIM524295 NSB524290:NSI524295 OBX524290:OCE524295 OLT524290:OMA524295 OVP524290:OVW524295 PFL524290:PFS524295 PPH524290:PPO524295 PZD524290:PZK524295 QIZ524290:QJG524295 QSV524290:QTC524295 RCR524290:RCY524295 RMN524290:RMU524295 RWJ524290:RWQ524295 SGF524290:SGM524295 SQB524290:SQI524295 SZX524290:TAE524295 TJT524290:TKA524295 TTP524290:TTW524295 UDL524290:UDS524295 UNH524290:UNO524295 UXD524290:UXK524295 VGZ524290:VHG524295 VQV524290:VRC524295 WAR524290:WAY524295 WKN524290:WKU524295 WUJ524290:WUQ524295 HX589826:IE589831 RT589826:SA589831 ABP589826:ABW589831 ALL589826:ALS589831 AVH589826:AVO589831 BFD589826:BFK589831 BOZ589826:BPG589831 BYV589826:BZC589831 CIR589826:CIY589831 CSN589826:CSU589831 DCJ589826:DCQ589831 DMF589826:DMM589831 DWB589826:DWI589831 EFX589826:EGE589831 EPT589826:EQA589831 EZP589826:EZW589831 FJL589826:FJS589831 FTH589826:FTO589831 GDD589826:GDK589831 GMZ589826:GNG589831 GWV589826:GXC589831 HGR589826:HGY589831 HQN589826:HQU589831 IAJ589826:IAQ589831 IKF589826:IKM589831 IUB589826:IUI589831 JDX589826:JEE589831 JNT589826:JOA589831 JXP589826:JXW589831 KHL589826:KHS589831 KRH589826:KRO589831 LBD589826:LBK589831 LKZ589826:LLG589831 LUV589826:LVC589831 MER589826:MEY589831 MON589826:MOU589831 MYJ589826:MYQ589831 NIF589826:NIM589831 NSB589826:NSI589831 OBX589826:OCE589831 OLT589826:OMA589831 OVP589826:OVW589831 PFL589826:PFS589831 PPH589826:PPO589831 PZD589826:PZK589831 QIZ589826:QJG589831 QSV589826:QTC589831 RCR589826:RCY589831 RMN589826:RMU589831 RWJ589826:RWQ589831 SGF589826:SGM589831 SQB589826:SQI589831 SZX589826:TAE589831 TJT589826:TKA589831 TTP589826:TTW589831 UDL589826:UDS589831 UNH589826:UNO589831 UXD589826:UXK589831 VGZ589826:VHG589831 VQV589826:VRC589831 WAR589826:WAY589831 WKN589826:WKU589831 WUJ589826:WUQ589831 HX655362:IE655367 RT655362:SA655367 ABP655362:ABW655367 ALL655362:ALS655367 AVH655362:AVO655367 BFD655362:BFK655367 BOZ655362:BPG655367 BYV655362:BZC655367 CIR655362:CIY655367 CSN655362:CSU655367 DCJ655362:DCQ655367 DMF655362:DMM655367 DWB655362:DWI655367 EFX655362:EGE655367 EPT655362:EQA655367 EZP655362:EZW655367 FJL655362:FJS655367 FTH655362:FTO655367 GDD655362:GDK655367 GMZ655362:GNG655367 GWV655362:GXC655367 HGR655362:HGY655367 HQN655362:HQU655367 IAJ655362:IAQ655367 IKF655362:IKM655367 IUB655362:IUI655367 JDX655362:JEE655367 JNT655362:JOA655367 JXP655362:JXW655367 KHL655362:KHS655367 KRH655362:KRO655367 LBD655362:LBK655367 LKZ655362:LLG655367 LUV655362:LVC655367 MER655362:MEY655367 MON655362:MOU655367 MYJ655362:MYQ655367 NIF655362:NIM655367 NSB655362:NSI655367 OBX655362:OCE655367 OLT655362:OMA655367 OVP655362:OVW655367 PFL655362:PFS655367 PPH655362:PPO655367 PZD655362:PZK655367 QIZ655362:QJG655367 QSV655362:QTC655367 RCR655362:RCY655367 RMN655362:RMU655367 RWJ655362:RWQ655367 SGF655362:SGM655367 SQB655362:SQI655367 SZX655362:TAE655367 TJT655362:TKA655367 TTP655362:TTW655367 UDL655362:UDS655367 UNH655362:UNO655367 UXD655362:UXK655367 VGZ655362:VHG655367 VQV655362:VRC655367 WAR655362:WAY655367 WKN655362:WKU655367 WUJ655362:WUQ655367 HX720898:IE720903 RT720898:SA720903 ABP720898:ABW720903 ALL720898:ALS720903 AVH720898:AVO720903 BFD720898:BFK720903 BOZ720898:BPG720903 BYV720898:BZC720903 CIR720898:CIY720903 CSN720898:CSU720903 DCJ720898:DCQ720903 DMF720898:DMM720903 DWB720898:DWI720903 EFX720898:EGE720903 EPT720898:EQA720903 EZP720898:EZW720903 FJL720898:FJS720903 FTH720898:FTO720903 GDD720898:GDK720903 GMZ720898:GNG720903 GWV720898:GXC720903 HGR720898:HGY720903 HQN720898:HQU720903 IAJ720898:IAQ720903 IKF720898:IKM720903 IUB720898:IUI720903 JDX720898:JEE720903 JNT720898:JOA720903 JXP720898:JXW720903 KHL720898:KHS720903 KRH720898:KRO720903 LBD720898:LBK720903 LKZ720898:LLG720903 LUV720898:LVC720903 MER720898:MEY720903 MON720898:MOU720903 MYJ720898:MYQ720903 NIF720898:NIM720903 NSB720898:NSI720903 OBX720898:OCE720903 OLT720898:OMA720903 OVP720898:OVW720903 PFL720898:PFS720903 PPH720898:PPO720903 PZD720898:PZK720903 QIZ720898:QJG720903 QSV720898:QTC720903 RCR720898:RCY720903 RMN720898:RMU720903 RWJ720898:RWQ720903 SGF720898:SGM720903 SQB720898:SQI720903 SZX720898:TAE720903 TJT720898:TKA720903 TTP720898:TTW720903 UDL720898:UDS720903 UNH720898:UNO720903 UXD720898:UXK720903 VGZ720898:VHG720903 VQV720898:VRC720903 WAR720898:WAY720903 WKN720898:WKU720903 WUJ720898:WUQ720903 HX786434:IE786439 RT786434:SA786439 ABP786434:ABW786439 ALL786434:ALS786439 AVH786434:AVO786439 BFD786434:BFK786439 BOZ786434:BPG786439 BYV786434:BZC786439 CIR786434:CIY786439 CSN786434:CSU786439 DCJ786434:DCQ786439 DMF786434:DMM786439 DWB786434:DWI786439 EFX786434:EGE786439 EPT786434:EQA786439 EZP786434:EZW786439 FJL786434:FJS786439 FTH786434:FTO786439 GDD786434:GDK786439 GMZ786434:GNG786439 GWV786434:GXC786439 HGR786434:HGY786439 HQN786434:HQU786439 IAJ786434:IAQ786439 IKF786434:IKM786439 IUB786434:IUI786439 JDX786434:JEE786439 JNT786434:JOA786439 JXP786434:JXW786439 KHL786434:KHS786439 KRH786434:KRO786439 LBD786434:LBK786439 LKZ786434:LLG786439 LUV786434:LVC786439 MER786434:MEY786439 MON786434:MOU786439 MYJ786434:MYQ786439 NIF786434:NIM786439 NSB786434:NSI786439 OBX786434:OCE786439 OLT786434:OMA786439 OVP786434:OVW786439 PFL786434:PFS786439 PPH786434:PPO786439 PZD786434:PZK786439 QIZ786434:QJG786439 QSV786434:QTC786439 RCR786434:RCY786439 RMN786434:RMU786439 RWJ786434:RWQ786439 SGF786434:SGM786439 SQB786434:SQI786439 SZX786434:TAE786439 TJT786434:TKA786439 TTP786434:TTW786439 UDL786434:UDS786439 UNH786434:UNO786439 UXD786434:UXK786439 VGZ786434:VHG786439 VQV786434:VRC786439 WAR786434:WAY786439 WKN786434:WKU786439 WUJ786434:WUQ786439 HX851970:IE851975 RT851970:SA851975 ABP851970:ABW851975 ALL851970:ALS851975 AVH851970:AVO851975 BFD851970:BFK851975 BOZ851970:BPG851975 BYV851970:BZC851975 CIR851970:CIY851975 CSN851970:CSU851975 DCJ851970:DCQ851975 DMF851970:DMM851975 DWB851970:DWI851975 EFX851970:EGE851975 EPT851970:EQA851975 EZP851970:EZW851975 FJL851970:FJS851975 FTH851970:FTO851975 GDD851970:GDK851975 GMZ851970:GNG851975 GWV851970:GXC851975 HGR851970:HGY851975 HQN851970:HQU851975 IAJ851970:IAQ851975 IKF851970:IKM851975 IUB851970:IUI851975 JDX851970:JEE851975 JNT851970:JOA851975 JXP851970:JXW851975 KHL851970:KHS851975 KRH851970:KRO851975 LBD851970:LBK851975 LKZ851970:LLG851975 LUV851970:LVC851975 MER851970:MEY851975 MON851970:MOU851975 MYJ851970:MYQ851975 NIF851970:NIM851975 NSB851970:NSI851975 OBX851970:OCE851975 OLT851970:OMA851975 OVP851970:OVW851975 PFL851970:PFS851975 PPH851970:PPO851975 PZD851970:PZK851975 QIZ851970:QJG851975 QSV851970:QTC851975 RCR851970:RCY851975 RMN851970:RMU851975 RWJ851970:RWQ851975 SGF851970:SGM851975 SQB851970:SQI851975 SZX851970:TAE851975 TJT851970:TKA851975 TTP851970:TTW851975 UDL851970:UDS851975 UNH851970:UNO851975 UXD851970:UXK851975 VGZ851970:VHG851975 VQV851970:VRC851975 WAR851970:WAY851975 WKN851970:WKU851975 WUJ851970:WUQ851975 HX917506:IE917511 RT917506:SA917511 ABP917506:ABW917511 ALL917506:ALS917511 AVH917506:AVO917511 BFD917506:BFK917511 BOZ917506:BPG917511 BYV917506:BZC917511 CIR917506:CIY917511 CSN917506:CSU917511 DCJ917506:DCQ917511 DMF917506:DMM917511 DWB917506:DWI917511 EFX917506:EGE917511 EPT917506:EQA917511 EZP917506:EZW917511 FJL917506:FJS917511 FTH917506:FTO917511 GDD917506:GDK917511 GMZ917506:GNG917511 GWV917506:GXC917511 HGR917506:HGY917511 HQN917506:HQU917511 IAJ917506:IAQ917511 IKF917506:IKM917511 IUB917506:IUI917511 JDX917506:JEE917511 JNT917506:JOA917511 JXP917506:JXW917511 KHL917506:KHS917511 KRH917506:KRO917511 LBD917506:LBK917511 LKZ917506:LLG917511 LUV917506:LVC917511 MER917506:MEY917511 MON917506:MOU917511 MYJ917506:MYQ917511 NIF917506:NIM917511 NSB917506:NSI917511 OBX917506:OCE917511 OLT917506:OMA917511 OVP917506:OVW917511 PFL917506:PFS917511 PPH917506:PPO917511 PZD917506:PZK917511 QIZ917506:QJG917511 QSV917506:QTC917511 RCR917506:RCY917511 RMN917506:RMU917511 RWJ917506:RWQ917511 SGF917506:SGM917511 SQB917506:SQI917511 SZX917506:TAE917511 TJT917506:TKA917511 TTP917506:TTW917511 UDL917506:UDS917511 UNH917506:UNO917511 UXD917506:UXK917511 VGZ917506:VHG917511 VQV917506:VRC917511 WAR917506:WAY917511 WKN917506:WKU917511 WUJ917506:WUQ917511" xr:uid="{845E1607-DDA4-4DAB-99EB-EF8F27A27D4E}">
      <formula1>"サーバ,クライアント"</formula1>
    </dataValidation>
  </dataValidations>
  <pageMargins left="0.7" right="0.7" top="0.75" bottom="0.75" header="0.3" footer="0.3"/>
  <pageSetup paperSize="9" scale="65" fitToHeight="0" orientation="landscape" r:id="rId1"/>
  <ignoredErrors>
    <ignoredError sqref="A5:B26 A27" numberStoredAsText="1"/>
  </ignoredError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040D2-E2DD-430D-830C-C81FDEB04A9D}">
  <sheetPr>
    <pageSetUpPr fitToPage="1"/>
  </sheetPr>
  <dimension ref="A1:CH366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46" width="2.7265625" style="657" customWidth="1"/>
    <col min="47" max="48" width="3.26953125" style="657" customWidth="1"/>
    <col min="49" max="86" width="2.7265625" style="657" customWidth="1"/>
    <col min="87" max="16384" width="2.54296875" style="657"/>
  </cols>
  <sheetData>
    <row r="1" spans="1:85" ht="13.75" customHeight="1">
      <c r="A1" s="942" t="s">
        <v>451</v>
      </c>
      <c r="B1" s="942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CG1" s="656"/>
    </row>
    <row r="2" spans="1:85">
      <c r="A2" s="658"/>
      <c r="B2" s="659"/>
      <c r="C2" s="659"/>
      <c r="D2" s="659"/>
      <c r="E2" s="659"/>
      <c r="F2" s="659"/>
      <c r="G2" s="659"/>
      <c r="H2" s="659"/>
      <c r="I2" s="659"/>
      <c r="J2" s="659"/>
      <c r="K2" s="659"/>
      <c r="L2" s="659"/>
      <c r="M2" s="659"/>
      <c r="N2" s="659"/>
      <c r="O2" s="659"/>
      <c r="P2" s="659"/>
      <c r="Q2" s="659"/>
      <c r="R2" s="659"/>
      <c r="S2" s="659"/>
      <c r="T2" s="659"/>
      <c r="U2" s="659"/>
      <c r="V2" s="659"/>
      <c r="W2" s="659"/>
      <c r="X2" s="659"/>
      <c r="Y2" s="659"/>
      <c r="Z2" s="659"/>
      <c r="AA2" s="659"/>
      <c r="AB2" s="659"/>
      <c r="AC2" s="659"/>
      <c r="AD2" s="659"/>
      <c r="AE2" s="659"/>
      <c r="AF2" s="659"/>
      <c r="AG2" s="659"/>
      <c r="AH2" s="659"/>
      <c r="AI2" s="659"/>
      <c r="AJ2" s="659"/>
      <c r="AK2" s="659"/>
      <c r="AL2" s="659"/>
      <c r="AM2" s="659"/>
      <c r="AN2" s="659"/>
      <c r="AO2" s="659"/>
      <c r="AP2" s="659"/>
      <c r="AQ2" s="659"/>
      <c r="AR2" s="659"/>
      <c r="AS2" s="659"/>
      <c r="AT2" s="659"/>
      <c r="AU2" s="659"/>
      <c r="AV2" s="659"/>
      <c r="AW2" s="659"/>
      <c r="AX2" s="659"/>
      <c r="AY2" s="659"/>
      <c r="AZ2" s="659"/>
      <c r="BA2" s="659"/>
      <c r="BB2" s="659"/>
      <c r="BC2" s="659"/>
      <c r="BD2" s="659"/>
      <c r="BE2" s="659"/>
      <c r="BF2" s="659"/>
      <c r="BG2" s="659"/>
      <c r="BH2" s="659"/>
      <c r="BI2" s="659"/>
      <c r="BJ2" s="659"/>
      <c r="BK2" s="659"/>
      <c r="BL2" s="659"/>
      <c r="BM2" s="659"/>
      <c r="BN2" s="659"/>
      <c r="BO2" s="659"/>
      <c r="BP2" s="659"/>
      <c r="BQ2" s="659"/>
      <c r="BR2" s="659"/>
      <c r="BS2" s="659"/>
      <c r="BT2" s="659"/>
      <c r="BU2" s="659"/>
      <c r="BV2" s="659"/>
      <c r="BW2" s="659"/>
      <c r="BX2" s="659"/>
      <c r="BY2" s="659"/>
      <c r="BZ2" s="659"/>
      <c r="CA2" s="659"/>
      <c r="CB2" s="659"/>
      <c r="CC2" s="659"/>
      <c r="CD2" s="659"/>
      <c r="CE2" s="659"/>
      <c r="CF2" s="659"/>
      <c r="CG2" s="660"/>
    </row>
    <row r="3" spans="1:85">
      <c r="A3" s="661"/>
      <c r="B3" s="662" t="s">
        <v>677</v>
      </c>
      <c r="CG3" s="656"/>
    </row>
    <row r="4" spans="1:85">
      <c r="A4" s="661"/>
      <c r="CG4" s="656"/>
    </row>
    <row r="5" spans="1:85">
      <c r="A5" s="661"/>
      <c r="E5" s="663" t="s">
        <v>452</v>
      </c>
      <c r="F5" s="663"/>
      <c r="G5" s="663"/>
      <c r="H5" s="663"/>
      <c r="J5" s="663"/>
      <c r="K5" s="663"/>
      <c r="L5" s="663"/>
      <c r="M5" s="663"/>
      <c r="N5" s="663"/>
      <c r="O5" s="663"/>
      <c r="P5" s="663"/>
      <c r="Q5" s="663"/>
      <c r="R5" s="663"/>
      <c r="S5" s="663"/>
      <c r="T5" s="663"/>
      <c r="U5" s="663"/>
      <c r="V5" s="663"/>
      <c r="W5" s="663"/>
      <c r="X5" s="663"/>
      <c r="Y5" s="663"/>
      <c r="Z5" s="663"/>
      <c r="AA5" s="663"/>
      <c r="AB5" s="663"/>
      <c r="AC5" s="663"/>
      <c r="AD5" s="663"/>
      <c r="AE5" s="663"/>
      <c r="AF5" s="663"/>
      <c r="AG5" s="663"/>
      <c r="AH5" s="663"/>
      <c r="AI5" s="663"/>
      <c r="AJ5" s="663"/>
      <c r="AK5" s="663"/>
      <c r="AL5" s="663"/>
      <c r="AM5" s="663"/>
      <c r="AN5" s="663"/>
      <c r="AO5" s="663"/>
      <c r="AP5" s="663"/>
      <c r="AQ5" s="663"/>
      <c r="AR5" s="663"/>
      <c r="AS5" s="663"/>
      <c r="AT5" s="663"/>
      <c r="AU5" s="663"/>
      <c r="CG5" s="656"/>
    </row>
    <row r="6" spans="1:85">
      <c r="A6" s="661"/>
      <c r="E6" s="663"/>
      <c r="F6" s="663"/>
      <c r="G6" s="663"/>
      <c r="H6" s="663"/>
      <c r="I6" s="663"/>
      <c r="J6" s="663"/>
      <c r="K6" s="663"/>
      <c r="L6" s="663"/>
      <c r="M6" s="663"/>
      <c r="N6" s="663"/>
      <c r="O6" s="663"/>
      <c r="P6" s="663"/>
      <c r="Q6" s="663"/>
      <c r="R6" s="663"/>
      <c r="S6" s="663"/>
      <c r="T6" s="663"/>
      <c r="U6" s="663"/>
      <c r="V6" s="663"/>
      <c r="W6" s="663"/>
      <c r="X6" s="663"/>
      <c r="Y6" s="663"/>
      <c r="Z6" s="663"/>
      <c r="AA6" s="663"/>
      <c r="AB6" s="663"/>
      <c r="AC6" s="663"/>
      <c r="AD6" s="663"/>
      <c r="AE6" s="663"/>
      <c r="AF6" s="663"/>
      <c r="AG6" s="663"/>
      <c r="AH6" s="663"/>
      <c r="AI6" s="663"/>
      <c r="AJ6" s="663"/>
      <c r="AK6" s="663"/>
      <c r="AL6" s="663"/>
      <c r="AM6" s="663"/>
      <c r="AN6" s="663"/>
      <c r="AO6" s="663"/>
      <c r="AP6" s="663"/>
      <c r="AQ6" s="663"/>
      <c r="AR6" s="663"/>
      <c r="AS6" s="663"/>
      <c r="AT6" s="663"/>
      <c r="AU6" s="663"/>
      <c r="CG6" s="656"/>
    </row>
    <row r="7" spans="1:85">
      <c r="A7" s="661"/>
      <c r="E7" s="663"/>
      <c r="F7" s="663"/>
      <c r="G7" s="663"/>
      <c r="H7" s="663"/>
      <c r="I7" s="663"/>
      <c r="J7" s="663"/>
      <c r="K7" s="663"/>
      <c r="L7" s="663"/>
      <c r="M7" s="663"/>
      <c r="N7" s="663"/>
      <c r="O7" s="663"/>
      <c r="P7" s="663"/>
      <c r="Q7" s="663"/>
      <c r="R7" s="663"/>
      <c r="S7" s="663"/>
      <c r="T7" s="663"/>
      <c r="U7" s="663"/>
      <c r="V7" s="663"/>
      <c r="W7" s="663"/>
      <c r="X7" s="663"/>
      <c r="Y7" s="663"/>
      <c r="Z7" s="663"/>
      <c r="AA7" s="663"/>
      <c r="AB7" s="663"/>
      <c r="AC7" s="663"/>
      <c r="AD7" s="663"/>
      <c r="AE7" s="663"/>
      <c r="AF7" s="663"/>
      <c r="AG7" s="663"/>
      <c r="AH7" s="663"/>
      <c r="AI7" s="663"/>
      <c r="AJ7" s="663"/>
      <c r="AK7" s="663"/>
      <c r="AL7" s="663"/>
      <c r="AM7" s="663"/>
      <c r="AN7" s="663"/>
      <c r="AO7" s="663"/>
      <c r="AP7" s="663"/>
      <c r="AQ7" s="663"/>
      <c r="AR7" s="663"/>
      <c r="AS7" s="663"/>
      <c r="AT7" s="663"/>
      <c r="AU7" s="663"/>
      <c r="CG7" s="656"/>
    </row>
    <row r="8" spans="1:85">
      <c r="A8" s="661"/>
      <c r="E8" s="663"/>
      <c r="F8" s="663"/>
      <c r="G8" s="663"/>
      <c r="H8" s="663"/>
      <c r="I8" s="663"/>
      <c r="J8" s="663"/>
      <c r="K8" s="663"/>
      <c r="L8" s="663"/>
      <c r="M8" s="663"/>
      <c r="N8" s="663"/>
      <c r="O8" s="663"/>
      <c r="P8" s="663"/>
      <c r="Q8" s="663"/>
      <c r="R8" s="663"/>
      <c r="S8" s="663"/>
      <c r="T8" s="663"/>
      <c r="U8" s="663"/>
      <c r="V8" s="663"/>
      <c r="W8" s="663"/>
      <c r="X8" s="663"/>
      <c r="Y8" s="663"/>
      <c r="Z8" s="663"/>
      <c r="AA8" s="663"/>
      <c r="AB8" s="663"/>
      <c r="AC8" s="663"/>
      <c r="AD8" s="663"/>
      <c r="AE8" s="663"/>
      <c r="AF8" s="663"/>
      <c r="AG8" s="663"/>
      <c r="AH8" s="663"/>
      <c r="AI8" s="663"/>
      <c r="AJ8" s="663"/>
      <c r="AK8" s="663"/>
      <c r="AL8" s="663"/>
      <c r="AM8" s="663"/>
      <c r="AN8" s="663"/>
      <c r="AO8" s="663"/>
      <c r="AP8" s="663"/>
      <c r="AQ8" s="663"/>
      <c r="AR8" s="663"/>
      <c r="AS8" s="663"/>
      <c r="AT8" s="663"/>
      <c r="AU8" s="663"/>
      <c r="CG8" s="656"/>
    </row>
    <row r="9" spans="1:85">
      <c r="A9" s="661"/>
      <c r="E9" s="663"/>
      <c r="F9" s="663"/>
      <c r="G9" s="663"/>
      <c r="H9" s="663"/>
      <c r="I9" s="663"/>
      <c r="J9" s="663"/>
      <c r="K9" s="663"/>
      <c r="L9" s="663"/>
      <c r="M9" s="663"/>
      <c r="N9" s="663"/>
      <c r="O9" s="663"/>
      <c r="P9" s="663"/>
      <c r="Q9" s="663"/>
      <c r="R9" s="663"/>
      <c r="S9" s="663"/>
      <c r="T9" s="663"/>
      <c r="U9" s="663"/>
      <c r="V9" s="663"/>
      <c r="W9" s="663"/>
      <c r="X9" s="663"/>
      <c r="Y9" s="663"/>
      <c r="Z9" s="663"/>
      <c r="AA9" s="663"/>
      <c r="AB9" s="663"/>
      <c r="AC9" s="663"/>
      <c r="AD9" s="663"/>
      <c r="AE9" s="663"/>
      <c r="AF9" s="663"/>
      <c r="AG9" s="663"/>
      <c r="AH9" s="663"/>
      <c r="AI9" s="663"/>
      <c r="AJ9" s="663"/>
      <c r="AK9" s="663"/>
      <c r="AL9" s="663"/>
      <c r="AM9" s="663"/>
      <c r="AN9" s="663"/>
      <c r="AO9" s="663"/>
      <c r="AP9" s="663"/>
      <c r="AQ9" s="663"/>
      <c r="AR9" s="663"/>
      <c r="AS9" s="663"/>
      <c r="AT9" s="663"/>
      <c r="AU9" s="663"/>
      <c r="CG9" s="656"/>
    </row>
    <row r="10" spans="1:85">
      <c r="A10" s="661"/>
      <c r="E10" s="663"/>
      <c r="F10" s="663"/>
      <c r="G10" s="663"/>
      <c r="H10" s="663"/>
      <c r="I10" s="663"/>
      <c r="J10" s="663"/>
      <c r="K10" s="663"/>
      <c r="L10" s="663"/>
      <c r="M10" s="663"/>
      <c r="N10" s="663"/>
      <c r="O10" s="663"/>
      <c r="P10" s="663"/>
      <c r="Q10" s="663"/>
      <c r="R10" s="663"/>
      <c r="S10" s="663"/>
      <c r="T10" s="663"/>
      <c r="U10" s="663"/>
      <c r="V10" s="663"/>
      <c r="W10" s="663"/>
      <c r="X10" s="663"/>
      <c r="Y10" s="663"/>
      <c r="Z10" s="663"/>
      <c r="AA10" s="663"/>
      <c r="AB10" s="663"/>
      <c r="AC10" s="663"/>
      <c r="AD10" s="663"/>
      <c r="AE10" s="663"/>
      <c r="AF10" s="663"/>
      <c r="AG10" s="663"/>
      <c r="AH10" s="663"/>
      <c r="AI10" s="663"/>
      <c r="AJ10" s="663"/>
      <c r="AK10" s="663"/>
      <c r="AL10" s="663"/>
      <c r="AM10" s="663"/>
      <c r="AN10" s="663"/>
      <c r="AO10" s="663"/>
      <c r="AP10" s="663"/>
      <c r="AQ10" s="663"/>
      <c r="AR10" s="663"/>
      <c r="AS10" s="663"/>
      <c r="AT10" s="663"/>
      <c r="AU10" s="663"/>
      <c r="CG10" s="656"/>
    </row>
    <row r="11" spans="1:85">
      <c r="A11" s="661"/>
      <c r="E11" s="663"/>
      <c r="F11" s="663"/>
      <c r="G11" s="663"/>
      <c r="H11" s="663"/>
      <c r="I11" s="663"/>
      <c r="J11" s="663"/>
      <c r="K11" s="663"/>
      <c r="L11" s="663"/>
      <c r="M11" s="663"/>
      <c r="N11" s="663"/>
      <c r="O11" s="663"/>
      <c r="P11" s="663"/>
      <c r="Q11" s="663"/>
      <c r="R11" s="663"/>
      <c r="S11" s="663"/>
      <c r="T11" s="663"/>
      <c r="U11" s="663"/>
      <c r="V11" s="663"/>
      <c r="W11" s="663"/>
      <c r="X11" s="663"/>
      <c r="Y11" s="663"/>
      <c r="Z11" s="663"/>
      <c r="AA11" s="663"/>
      <c r="AB11" s="663"/>
      <c r="AC11" s="663"/>
      <c r="AD11" s="663"/>
      <c r="AE11" s="663"/>
      <c r="AF11" s="663"/>
      <c r="AG11" s="663"/>
      <c r="AH11" s="663"/>
      <c r="AI11" s="663"/>
      <c r="AJ11" s="663"/>
      <c r="AK11" s="663"/>
      <c r="AL11" s="663"/>
      <c r="AM11" s="663"/>
      <c r="AN11" s="663"/>
      <c r="AO11" s="663"/>
      <c r="AP11" s="663"/>
      <c r="AQ11" s="663"/>
      <c r="AR11" s="663"/>
      <c r="AS11" s="663"/>
      <c r="AT11" s="663"/>
      <c r="AU11" s="663"/>
      <c r="CG11" s="656"/>
    </row>
    <row r="12" spans="1:85">
      <c r="A12" s="661"/>
      <c r="E12" s="663"/>
      <c r="F12" s="663"/>
      <c r="G12" s="663"/>
      <c r="H12" s="663"/>
      <c r="I12" s="663"/>
      <c r="J12" s="663"/>
      <c r="K12" s="663"/>
      <c r="L12" s="663"/>
      <c r="M12" s="663"/>
      <c r="N12" s="663"/>
      <c r="O12" s="663"/>
      <c r="P12" s="663"/>
      <c r="Q12" s="663"/>
      <c r="R12" s="663"/>
      <c r="S12" s="663"/>
      <c r="T12" s="663"/>
      <c r="U12" s="663"/>
      <c r="V12" s="663"/>
      <c r="W12" s="663"/>
      <c r="X12" s="663"/>
      <c r="Y12" s="663"/>
      <c r="Z12" s="663"/>
      <c r="AA12" s="663"/>
      <c r="AB12" s="663"/>
      <c r="AC12" s="663"/>
      <c r="AD12" s="663"/>
      <c r="AE12" s="663"/>
      <c r="AF12" s="663"/>
      <c r="AG12" s="663"/>
      <c r="AH12" s="663"/>
      <c r="AI12" s="663"/>
      <c r="AJ12" s="663"/>
      <c r="AK12" s="663"/>
      <c r="AL12" s="663"/>
      <c r="AM12" s="663"/>
      <c r="AN12" s="663"/>
      <c r="AO12" s="663"/>
      <c r="AP12" s="663"/>
      <c r="AQ12" s="663"/>
      <c r="AR12" s="663"/>
      <c r="AS12" s="663"/>
      <c r="AT12" s="663"/>
      <c r="AU12" s="663"/>
      <c r="CG12" s="656"/>
    </row>
    <row r="13" spans="1:85">
      <c r="A13" s="661"/>
      <c r="E13" s="663"/>
      <c r="F13" s="663"/>
      <c r="G13" s="663"/>
      <c r="H13" s="663"/>
      <c r="I13" s="663"/>
      <c r="J13" s="663"/>
      <c r="K13" s="663"/>
      <c r="L13" s="663"/>
      <c r="M13" s="663"/>
      <c r="N13" s="663"/>
      <c r="O13" s="663"/>
      <c r="P13" s="663"/>
      <c r="Q13" s="663"/>
      <c r="R13" s="663"/>
      <c r="S13" s="663"/>
      <c r="T13" s="663"/>
      <c r="U13" s="663"/>
      <c r="V13" s="663"/>
      <c r="W13" s="663"/>
      <c r="X13" s="663"/>
      <c r="Y13" s="663"/>
      <c r="Z13" s="663"/>
      <c r="AA13" s="663"/>
      <c r="AB13" s="663"/>
      <c r="AC13" s="663"/>
      <c r="AD13" s="663"/>
      <c r="AE13" s="663"/>
      <c r="AF13" s="663"/>
      <c r="AG13" s="663"/>
      <c r="AH13" s="663"/>
      <c r="AI13" s="663"/>
      <c r="AJ13" s="663"/>
      <c r="AK13" s="663"/>
      <c r="AL13" s="663"/>
      <c r="AM13" s="663"/>
      <c r="AN13" s="663"/>
      <c r="AO13" s="663"/>
      <c r="AP13" s="663"/>
      <c r="AQ13" s="663"/>
      <c r="AR13" s="663"/>
      <c r="AS13" s="663"/>
      <c r="AT13" s="663"/>
      <c r="AU13" s="663"/>
      <c r="CG13" s="656"/>
    </row>
    <row r="14" spans="1:85">
      <c r="A14" s="661"/>
      <c r="E14" s="663"/>
      <c r="F14" s="663"/>
      <c r="G14" s="663"/>
      <c r="H14" s="663"/>
      <c r="I14" s="663"/>
      <c r="J14" s="663"/>
      <c r="K14" s="663"/>
      <c r="L14" s="663"/>
      <c r="M14" s="663"/>
      <c r="N14" s="663"/>
      <c r="O14" s="663"/>
      <c r="P14" s="663"/>
      <c r="Q14" s="663"/>
      <c r="R14" s="663"/>
      <c r="S14" s="663"/>
      <c r="T14" s="663"/>
      <c r="U14" s="663"/>
      <c r="V14" s="663"/>
      <c r="W14" s="663"/>
      <c r="X14" s="663"/>
      <c r="Y14" s="663"/>
      <c r="Z14" s="663"/>
      <c r="AA14" s="663"/>
      <c r="AB14" s="663"/>
      <c r="AC14" s="663"/>
      <c r="AD14" s="663"/>
      <c r="AE14" s="663"/>
      <c r="AF14" s="663"/>
      <c r="AG14" s="663"/>
      <c r="AH14" s="663"/>
      <c r="AI14" s="663"/>
      <c r="AJ14" s="663"/>
      <c r="AK14" s="663"/>
      <c r="AL14" s="663"/>
      <c r="AM14" s="663"/>
      <c r="AN14" s="663"/>
      <c r="AO14" s="663"/>
      <c r="AP14" s="663"/>
      <c r="AQ14" s="663"/>
      <c r="AR14" s="663"/>
      <c r="AS14" s="663"/>
      <c r="AT14" s="663"/>
      <c r="AU14" s="663"/>
      <c r="CG14" s="656"/>
    </row>
    <row r="15" spans="1:85">
      <c r="A15" s="661"/>
      <c r="E15" s="663"/>
      <c r="F15" s="663"/>
      <c r="G15" s="663"/>
      <c r="H15" s="663"/>
      <c r="I15" s="663"/>
      <c r="J15" s="663"/>
      <c r="K15" s="663"/>
      <c r="L15" s="663"/>
      <c r="M15" s="663"/>
      <c r="N15" s="663"/>
      <c r="O15" s="663"/>
      <c r="P15" s="663"/>
      <c r="Q15" s="663"/>
      <c r="R15" s="663"/>
      <c r="S15" s="663"/>
      <c r="T15" s="663"/>
      <c r="U15" s="663"/>
      <c r="V15" s="663"/>
      <c r="W15" s="663"/>
      <c r="X15" s="663"/>
      <c r="Y15" s="663"/>
      <c r="Z15" s="663"/>
      <c r="AA15" s="663"/>
      <c r="AB15" s="663"/>
      <c r="AC15" s="663"/>
      <c r="AD15" s="663"/>
      <c r="AE15" s="663"/>
      <c r="AF15" s="663"/>
      <c r="AG15" s="663"/>
      <c r="AH15" s="663"/>
      <c r="AI15" s="663"/>
      <c r="AJ15" s="663"/>
      <c r="AK15" s="663"/>
      <c r="AL15" s="663"/>
      <c r="AM15" s="663"/>
      <c r="AN15" s="663"/>
      <c r="AO15" s="663"/>
      <c r="AP15" s="663"/>
      <c r="AQ15" s="663"/>
      <c r="AR15" s="663"/>
      <c r="AS15" s="663"/>
      <c r="AT15" s="663"/>
      <c r="AU15" s="663"/>
      <c r="CG15" s="656"/>
    </row>
    <row r="16" spans="1:85">
      <c r="A16" s="661"/>
      <c r="E16" s="663"/>
      <c r="F16" s="663"/>
      <c r="G16" s="663"/>
      <c r="H16" s="663"/>
      <c r="I16" s="663"/>
      <c r="J16" s="663"/>
      <c r="K16" s="663"/>
      <c r="L16" s="663"/>
      <c r="M16" s="663"/>
      <c r="N16" s="663"/>
      <c r="O16" s="663"/>
      <c r="P16" s="663"/>
      <c r="Q16" s="663"/>
      <c r="R16" s="663"/>
      <c r="S16" s="663"/>
      <c r="T16" s="663"/>
      <c r="U16" s="663"/>
      <c r="V16" s="663"/>
      <c r="W16" s="663"/>
      <c r="X16" s="663"/>
      <c r="Y16" s="663"/>
      <c r="Z16" s="663"/>
      <c r="AA16" s="663"/>
      <c r="AB16" s="663"/>
      <c r="AC16" s="663"/>
      <c r="AD16" s="663"/>
      <c r="AE16" s="663"/>
      <c r="AF16" s="663"/>
      <c r="AG16" s="663"/>
      <c r="AH16" s="663"/>
      <c r="AI16" s="663"/>
      <c r="AJ16" s="663"/>
      <c r="AK16" s="663"/>
      <c r="AL16" s="663"/>
      <c r="AM16" s="663"/>
      <c r="AN16" s="663"/>
      <c r="AO16" s="663"/>
      <c r="AP16" s="663"/>
      <c r="AQ16" s="663"/>
      <c r="AR16" s="663"/>
      <c r="AS16" s="663"/>
      <c r="AT16" s="663"/>
      <c r="AU16" s="663"/>
      <c r="CG16" s="656"/>
    </row>
    <row r="17" spans="1:85">
      <c r="A17" s="661"/>
      <c r="E17" s="663"/>
      <c r="F17" s="663"/>
      <c r="G17" s="663"/>
      <c r="H17" s="663"/>
      <c r="I17" s="663"/>
      <c r="J17" s="663"/>
      <c r="K17" s="663"/>
      <c r="L17" s="663"/>
      <c r="M17" s="663"/>
      <c r="N17" s="663"/>
      <c r="O17" s="663"/>
      <c r="P17" s="663"/>
      <c r="Q17" s="663"/>
      <c r="R17" s="663"/>
      <c r="S17" s="663"/>
      <c r="T17" s="663"/>
      <c r="U17" s="663"/>
      <c r="V17" s="663"/>
      <c r="W17" s="663"/>
      <c r="X17" s="663"/>
      <c r="Y17" s="663"/>
      <c r="Z17" s="663"/>
      <c r="AA17" s="663"/>
      <c r="AB17" s="663"/>
      <c r="AC17" s="663"/>
      <c r="AD17" s="663"/>
      <c r="AE17" s="663"/>
      <c r="AF17" s="663"/>
      <c r="AG17" s="663"/>
      <c r="AH17" s="663"/>
      <c r="AI17" s="663"/>
      <c r="AJ17" s="663"/>
      <c r="AK17" s="663"/>
      <c r="AL17" s="663"/>
      <c r="AM17" s="663"/>
      <c r="AN17" s="663"/>
      <c r="AO17" s="663"/>
      <c r="AP17" s="663"/>
      <c r="AQ17" s="663"/>
      <c r="AR17" s="663"/>
      <c r="AS17" s="663"/>
      <c r="AT17" s="663"/>
      <c r="AU17" s="663"/>
      <c r="CG17" s="656"/>
    </row>
    <row r="18" spans="1:85">
      <c r="A18" s="661"/>
      <c r="E18" s="663"/>
      <c r="F18" s="663"/>
      <c r="G18" s="663"/>
      <c r="H18" s="663"/>
      <c r="I18" s="663"/>
      <c r="J18" s="663"/>
      <c r="K18" s="663"/>
      <c r="L18" s="663"/>
      <c r="M18" s="663"/>
      <c r="N18" s="663"/>
      <c r="O18" s="663"/>
      <c r="P18" s="663"/>
      <c r="Q18" s="663"/>
      <c r="R18" s="663"/>
      <c r="S18" s="663"/>
      <c r="T18" s="663"/>
      <c r="U18" s="663"/>
      <c r="V18" s="663"/>
      <c r="W18" s="663"/>
      <c r="X18" s="663"/>
      <c r="Y18" s="663"/>
      <c r="Z18" s="663"/>
      <c r="AA18" s="663"/>
      <c r="AB18" s="663"/>
      <c r="AC18" s="663"/>
      <c r="AD18" s="663"/>
      <c r="AE18" s="663"/>
      <c r="AF18" s="663"/>
      <c r="AG18" s="663"/>
      <c r="AH18" s="663"/>
      <c r="AI18" s="663"/>
      <c r="AJ18" s="663"/>
      <c r="AK18" s="663"/>
      <c r="AL18" s="663"/>
      <c r="AM18" s="663"/>
      <c r="AN18" s="663"/>
      <c r="AO18" s="663"/>
      <c r="AP18" s="663"/>
      <c r="AQ18" s="663"/>
      <c r="AR18" s="663"/>
      <c r="AS18" s="663"/>
      <c r="AT18" s="663"/>
      <c r="AU18" s="663"/>
      <c r="CG18" s="656"/>
    </row>
    <row r="19" spans="1:85">
      <c r="A19" s="661"/>
      <c r="E19" s="663"/>
      <c r="F19" s="663"/>
      <c r="G19" s="663"/>
      <c r="H19" s="663"/>
      <c r="I19" s="663"/>
      <c r="J19" s="663"/>
      <c r="K19" s="663"/>
      <c r="L19" s="663"/>
      <c r="M19" s="663"/>
      <c r="N19" s="663"/>
      <c r="O19" s="663"/>
      <c r="P19" s="663"/>
      <c r="Q19" s="663"/>
      <c r="R19" s="663"/>
      <c r="S19" s="663"/>
      <c r="T19" s="663"/>
      <c r="U19" s="663"/>
      <c r="V19" s="663"/>
      <c r="W19" s="663"/>
      <c r="X19" s="663"/>
      <c r="Y19" s="663"/>
      <c r="Z19" s="663"/>
      <c r="AA19" s="663"/>
      <c r="AB19" s="663"/>
      <c r="AC19" s="663"/>
      <c r="AD19" s="663"/>
      <c r="AE19" s="663"/>
      <c r="AF19" s="663"/>
      <c r="AG19" s="663"/>
      <c r="AH19" s="663"/>
      <c r="AI19" s="663"/>
      <c r="AJ19" s="663"/>
      <c r="AK19" s="663"/>
      <c r="AL19" s="663"/>
      <c r="AM19" s="663"/>
      <c r="AN19" s="663"/>
      <c r="AO19" s="663"/>
      <c r="AP19" s="663"/>
      <c r="AQ19" s="663"/>
      <c r="AR19" s="663"/>
      <c r="AS19" s="663"/>
      <c r="AT19" s="663"/>
      <c r="AU19" s="663"/>
      <c r="CG19" s="656"/>
    </row>
    <row r="20" spans="1:85">
      <c r="A20" s="661"/>
      <c r="E20" s="663"/>
      <c r="F20" s="663"/>
      <c r="G20" s="663"/>
      <c r="H20" s="663"/>
      <c r="I20" s="663"/>
      <c r="J20" s="663"/>
      <c r="K20" s="663"/>
      <c r="L20" s="663"/>
      <c r="M20" s="663"/>
      <c r="N20" s="663"/>
      <c r="O20" s="663"/>
      <c r="P20" s="663"/>
      <c r="Q20" s="663"/>
      <c r="R20" s="663"/>
      <c r="S20" s="663"/>
      <c r="T20" s="663"/>
      <c r="U20" s="663"/>
      <c r="V20" s="663"/>
      <c r="W20" s="663"/>
      <c r="X20" s="663"/>
      <c r="Y20" s="663"/>
      <c r="Z20" s="663"/>
      <c r="AA20" s="663"/>
      <c r="AB20" s="663"/>
      <c r="AC20" s="663"/>
      <c r="AD20" s="663"/>
      <c r="AE20" s="663"/>
      <c r="AF20" s="663"/>
      <c r="AG20" s="663"/>
      <c r="AH20" s="663"/>
      <c r="AI20" s="663"/>
      <c r="AJ20" s="663"/>
      <c r="AK20" s="663"/>
      <c r="AL20" s="663"/>
      <c r="AM20" s="663"/>
      <c r="AN20" s="663"/>
      <c r="AO20" s="663"/>
      <c r="AP20" s="663"/>
      <c r="AQ20" s="663"/>
      <c r="AR20" s="663"/>
      <c r="AS20" s="663"/>
      <c r="AT20" s="663"/>
      <c r="AU20" s="663"/>
      <c r="CG20" s="656"/>
    </row>
    <row r="21" spans="1:85">
      <c r="A21" s="661"/>
      <c r="E21" s="663"/>
      <c r="F21" s="663"/>
      <c r="G21" s="663"/>
      <c r="H21" s="663"/>
      <c r="I21" s="663"/>
      <c r="J21" s="663"/>
      <c r="K21" s="663"/>
      <c r="L21" s="663"/>
      <c r="M21" s="663"/>
      <c r="N21" s="663"/>
      <c r="O21" s="663"/>
      <c r="P21" s="663"/>
      <c r="Q21" s="663"/>
      <c r="R21" s="663"/>
      <c r="S21" s="663"/>
      <c r="T21" s="663"/>
      <c r="U21" s="663"/>
      <c r="V21" s="663"/>
      <c r="W21" s="663"/>
      <c r="X21" s="663"/>
      <c r="Y21" s="663"/>
      <c r="Z21" s="663"/>
      <c r="AA21" s="663"/>
      <c r="AB21" s="663"/>
      <c r="AC21" s="663"/>
      <c r="AD21" s="663"/>
      <c r="AE21" s="663"/>
      <c r="AF21" s="663"/>
      <c r="AG21" s="663"/>
      <c r="AH21" s="663"/>
      <c r="AI21" s="663"/>
      <c r="AJ21" s="663"/>
      <c r="AK21" s="663"/>
      <c r="AL21" s="663"/>
      <c r="AM21" s="663"/>
      <c r="AN21" s="663"/>
      <c r="AO21" s="663"/>
      <c r="AP21" s="663"/>
      <c r="AQ21" s="663"/>
      <c r="AR21" s="663"/>
      <c r="AS21" s="663"/>
      <c r="AT21" s="663"/>
      <c r="AU21" s="663"/>
      <c r="CG21" s="656"/>
    </row>
    <row r="22" spans="1:85">
      <c r="A22" s="661"/>
      <c r="E22" s="663"/>
      <c r="F22" s="663"/>
      <c r="G22" s="663"/>
      <c r="H22" s="663"/>
      <c r="I22" s="663"/>
      <c r="J22" s="663"/>
      <c r="K22" s="663"/>
      <c r="L22" s="663"/>
      <c r="M22" s="663"/>
      <c r="N22" s="663"/>
      <c r="O22" s="663"/>
      <c r="P22" s="663"/>
      <c r="Q22" s="663"/>
      <c r="R22" s="663"/>
      <c r="S22" s="663"/>
      <c r="T22" s="663"/>
      <c r="U22" s="663"/>
      <c r="V22" s="663"/>
      <c r="W22" s="663"/>
      <c r="X22" s="663"/>
      <c r="Y22" s="663"/>
      <c r="Z22" s="663"/>
      <c r="AA22" s="663"/>
      <c r="AB22" s="663"/>
      <c r="AC22" s="663"/>
      <c r="AD22" s="663"/>
      <c r="AE22" s="663"/>
      <c r="AF22" s="663"/>
      <c r="AG22" s="663"/>
      <c r="AH22" s="663"/>
      <c r="AI22" s="663"/>
      <c r="AJ22" s="663"/>
      <c r="AK22" s="663"/>
      <c r="AL22" s="663"/>
      <c r="AM22" s="663"/>
      <c r="AN22" s="663"/>
      <c r="AO22" s="663"/>
      <c r="AP22" s="663"/>
      <c r="AQ22" s="663"/>
      <c r="AR22" s="663"/>
      <c r="AS22" s="663"/>
      <c r="AT22" s="663"/>
      <c r="AU22" s="663"/>
      <c r="CG22" s="656"/>
    </row>
    <row r="23" spans="1:85">
      <c r="A23" s="661"/>
      <c r="E23" s="663"/>
      <c r="F23" s="663"/>
      <c r="G23" s="663"/>
      <c r="H23" s="663"/>
      <c r="I23" s="663"/>
      <c r="J23" s="663"/>
      <c r="K23" s="663"/>
      <c r="L23" s="663"/>
      <c r="M23" s="663"/>
      <c r="N23" s="663"/>
      <c r="O23" s="663"/>
      <c r="P23" s="663"/>
      <c r="Q23" s="663"/>
      <c r="R23" s="663"/>
      <c r="S23" s="663"/>
      <c r="T23" s="663"/>
      <c r="U23" s="663"/>
      <c r="V23" s="663"/>
      <c r="W23" s="663"/>
      <c r="X23" s="663"/>
      <c r="Y23" s="663"/>
      <c r="Z23" s="663"/>
      <c r="AA23" s="663"/>
      <c r="AB23" s="663"/>
      <c r="AC23" s="663"/>
      <c r="AD23" s="663"/>
      <c r="AE23" s="663"/>
      <c r="AF23" s="663"/>
      <c r="AG23" s="663"/>
      <c r="AH23" s="663"/>
      <c r="AI23" s="663"/>
      <c r="AJ23" s="663"/>
      <c r="AK23" s="663"/>
      <c r="AL23" s="663"/>
      <c r="AM23" s="663"/>
      <c r="AN23" s="663"/>
      <c r="AO23" s="663"/>
      <c r="AP23" s="663"/>
      <c r="AQ23" s="663"/>
      <c r="AR23" s="663"/>
      <c r="AS23" s="663"/>
      <c r="AT23" s="663"/>
      <c r="AU23" s="663"/>
      <c r="CG23" s="656"/>
    </row>
    <row r="24" spans="1:85">
      <c r="A24" s="661"/>
      <c r="E24" s="663"/>
      <c r="F24" s="663"/>
      <c r="G24" s="663"/>
      <c r="H24" s="663"/>
      <c r="I24" s="663"/>
      <c r="J24" s="663"/>
      <c r="K24" s="663"/>
      <c r="L24" s="663"/>
      <c r="M24" s="663"/>
      <c r="N24" s="663"/>
      <c r="O24" s="663"/>
      <c r="P24" s="663"/>
      <c r="Q24" s="663"/>
      <c r="R24" s="663"/>
      <c r="S24" s="663"/>
      <c r="T24" s="663"/>
      <c r="U24" s="663"/>
      <c r="V24" s="663"/>
      <c r="W24" s="663"/>
      <c r="X24" s="663"/>
      <c r="Y24" s="663"/>
      <c r="Z24" s="663"/>
      <c r="AA24" s="663"/>
      <c r="AB24" s="663"/>
      <c r="AC24" s="663"/>
      <c r="AD24" s="663"/>
      <c r="AE24" s="663"/>
      <c r="AF24" s="663"/>
      <c r="AG24" s="663"/>
      <c r="AH24" s="663"/>
      <c r="AI24" s="663"/>
      <c r="AJ24" s="663"/>
      <c r="AK24" s="663"/>
      <c r="AL24" s="663"/>
      <c r="AM24" s="663"/>
      <c r="AN24" s="663"/>
      <c r="AO24" s="663"/>
      <c r="AP24" s="663"/>
      <c r="AQ24" s="663"/>
      <c r="AR24" s="663"/>
      <c r="AS24" s="663"/>
      <c r="AT24" s="663"/>
      <c r="AU24" s="663"/>
      <c r="CG24" s="656"/>
    </row>
    <row r="25" spans="1:85">
      <c r="A25" s="661"/>
      <c r="E25" s="663"/>
      <c r="F25" s="663"/>
      <c r="G25" s="663"/>
      <c r="H25" s="663"/>
      <c r="I25" s="663"/>
      <c r="J25" s="663"/>
      <c r="K25" s="663"/>
      <c r="L25" s="663"/>
      <c r="M25" s="663"/>
      <c r="N25" s="663"/>
      <c r="O25" s="663"/>
      <c r="P25" s="663"/>
      <c r="Q25" s="663"/>
      <c r="R25" s="663"/>
      <c r="S25" s="663"/>
      <c r="T25" s="663"/>
      <c r="U25" s="663"/>
      <c r="V25" s="663"/>
      <c r="W25" s="663"/>
      <c r="X25" s="663"/>
      <c r="Y25" s="663"/>
      <c r="Z25" s="663"/>
      <c r="AA25" s="663"/>
      <c r="AB25" s="663"/>
      <c r="AC25" s="663"/>
      <c r="AD25" s="663"/>
      <c r="AE25" s="663"/>
      <c r="AF25" s="663"/>
      <c r="AG25" s="663"/>
      <c r="AH25" s="663"/>
      <c r="AI25" s="663"/>
      <c r="AJ25" s="663"/>
      <c r="AK25" s="663"/>
      <c r="AL25" s="663"/>
      <c r="AM25" s="663"/>
      <c r="AN25" s="663"/>
      <c r="AO25" s="663"/>
      <c r="AP25" s="663"/>
      <c r="AQ25" s="663"/>
      <c r="AR25" s="663"/>
      <c r="AS25" s="663"/>
      <c r="AT25" s="663"/>
      <c r="AU25" s="663"/>
      <c r="CG25" s="656"/>
    </row>
    <row r="26" spans="1:85">
      <c r="A26" s="661"/>
      <c r="E26" s="663"/>
      <c r="F26" s="663"/>
      <c r="G26" s="663"/>
      <c r="H26" s="663"/>
      <c r="I26" s="663"/>
      <c r="J26" s="663"/>
      <c r="K26" s="663"/>
      <c r="L26" s="663"/>
      <c r="M26" s="663"/>
      <c r="N26" s="663"/>
      <c r="O26" s="663"/>
      <c r="P26" s="663"/>
      <c r="Q26" s="663"/>
      <c r="R26" s="663"/>
      <c r="S26" s="663"/>
      <c r="T26" s="663"/>
      <c r="U26" s="663"/>
      <c r="V26" s="663"/>
      <c r="W26" s="663"/>
      <c r="X26" s="663"/>
      <c r="Y26" s="663"/>
      <c r="Z26" s="663"/>
      <c r="AA26" s="663"/>
      <c r="AB26" s="663"/>
      <c r="AC26" s="663"/>
      <c r="AD26" s="663"/>
      <c r="AE26" s="663"/>
      <c r="AF26" s="663"/>
      <c r="AG26" s="663"/>
      <c r="AH26" s="663"/>
      <c r="AI26" s="663"/>
      <c r="AJ26" s="663"/>
      <c r="AK26" s="663"/>
      <c r="AL26" s="663"/>
      <c r="AM26" s="663"/>
      <c r="AN26" s="663"/>
      <c r="AO26" s="663"/>
      <c r="AP26" s="663"/>
      <c r="AQ26" s="663"/>
      <c r="AR26" s="663"/>
      <c r="AS26" s="663"/>
      <c r="AT26" s="663"/>
      <c r="AU26" s="663"/>
      <c r="CG26" s="656"/>
    </row>
    <row r="27" spans="1:85">
      <c r="A27" s="661"/>
      <c r="E27" s="663"/>
      <c r="F27" s="663"/>
      <c r="G27" s="663"/>
      <c r="H27" s="663"/>
      <c r="I27" s="663"/>
      <c r="J27" s="663"/>
      <c r="K27" s="663"/>
      <c r="L27" s="663"/>
      <c r="M27" s="663"/>
      <c r="N27" s="663"/>
      <c r="O27" s="663"/>
      <c r="P27" s="663"/>
      <c r="Q27" s="663"/>
      <c r="R27" s="663"/>
      <c r="S27" s="663"/>
      <c r="T27" s="663"/>
      <c r="U27" s="663"/>
      <c r="V27" s="663"/>
      <c r="W27" s="663"/>
      <c r="X27" s="663"/>
      <c r="Y27" s="663"/>
      <c r="Z27" s="663"/>
      <c r="AA27" s="663"/>
      <c r="AB27" s="663"/>
      <c r="AC27" s="663"/>
      <c r="AD27" s="663"/>
      <c r="AE27" s="663"/>
      <c r="AF27" s="663"/>
      <c r="AG27" s="663"/>
      <c r="AH27" s="663"/>
      <c r="AI27" s="663"/>
      <c r="AJ27" s="663"/>
      <c r="AK27" s="663"/>
      <c r="AL27" s="663"/>
      <c r="AM27" s="663"/>
      <c r="AN27" s="663"/>
      <c r="AO27" s="663"/>
      <c r="AP27" s="663"/>
      <c r="AQ27" s="663"/>
      <c r="AR27" s="663"/>
      <c r="AS27" s="663"/>
      <c r="AT27" s="663"/>
      <c r="AU27" s="663"/>
      <c r="CG27" s="656"/>
    </row>
    <row r="28" spans="1:85">
      <c r="A28" s="661"/>
      <c r="E28" s="663"/>
      <c r="F28" s="663"/>
      <c r="G28" s="663"/>
      <c r="H28" s="663"/>
      <c r="I28" s="663"/>
      <c r="J28" s="663"/>
      <c r="K28" s="663"/>
      <c r="L28" s="663"/>
      <c r="M28" s="663"/>
      <c r="N28" s="663"/>
      <c r="O28" s="663"/>
      <c r="P28" s="663"/>
      <c r="Q28" s="663"/>
      <c r="R28" s="663"/>
      <c r="S28" s="663"/>
      <c r="T28" s="663"/>
      <c r="U28" s="663"/>
      <c r="V28" s="663"/>
      <c r="W28" s="663"/>
      <c r="X28" s="663"/>
      <c r="Y28" s="663"/>
      <c r="Z28" s="663"/>
      <c r="AA28" s="663"/>
      <c r="AB28" s="663"/>
      <c r="AC28" s="663"/>
      <c r="AD28" s="663"/>
      <c r="AE28" s="663"/>
      <c r="AF28" s="663"/>
      <c r="AG28" s="663"/>
      <c r="AH28" s="663"/>
      <c r="AI28" s="663"/>
      <c r="AJ28" s="663"/>
      <c r="AK28" s="663"/>
      <c r="AL28" s="663"/>
      <c r="AM28" s="663"/>
      <c r="AN28" s="663"/>
      <c r="AO28" s="663"/>
      <c r="AP28" s="663"/>
      <c r="AQ28" s="663"/>
      <c r="AR28" s="663"/>
      <c r="AS28" s="663"/>
      <c r="AT28" s="663"/>
      <c r="AU28" s="663"/>
      <c r="CG28" s="656"/>
    </row>
    <row r="29" spans="1:85">
      <c r="A29" s="661"/>
      <c r="E29" s="663"/>
      <c r="F29" s="663"/>
      <c r="G29" s="663"/>
      <c r="H29" s="663"/>
      <c r="I29" s="663"/>
      <c r="J29" s="663"/>
      <c r="K29" s="663"/>
      <c r="L29" s="663"/>
      <c r="M29" s="663"/>
      <c r="N29" s="663"/>
      <c r="O29" s="663"/>
      <c r="P29" s="663"/>
      <c r="Q29" s="663"/>
      <c r="R29" s="663"/>
      <c r="S29" s="663"/>
      <c r="T29" s="663"/>
      <c r="U29" s="663"/>
      <c r="V29" s="663"/>
      <c r="W29" s="663"/>
      <c r="X29" s="663"/>
      <c r="Y29" s="663"/>
      <c r="Z29" s="663"/>
      <c r="AA29" s="663"/>
      <c r="AB29" s="663"/>
      <c r="AC29" s="663"/>
      <c r="AD29" s="663"/>
      <c r="AE29" s="663"/>
      <c r="AF29" s="663"/>
      <c r="AG29" s="663"/>
      <c r="AH29" s="663"/>
      <c r="AI29" s="663"/>
      <c r="AJ29" s="663"/>
      <c r="AK29" s="663"/>
      <c r="AL29" s="663"/>
      <c r="AM29" s="663"/>
      <c r="AN29" s="663"/>
      <c r="AO29" s="663"/>
      <c r="AP29" s="663"/>
      <c r="AQ29" s="663"/>
      <c r="AR29" s="663"/>
      <c r="AS29" s="663"/>
      <c r="AT29" s="663"/>
      <c r="AU29" s="663"/>
      <c r="CG29" s="656"/>
    </row>
    <row r="30" spans="1:85">
      <c r="A30" s="661"/>
      <c r="E30" s="663"/>
      <c r="F30" s="663"/>
      <c r="G30" s="663"/>
      <c r="H30" s="663"/>
      <c r="I30" s="663"/>
      <c r="J30" s="663"/>
      <c r="K30" s="663"/>
      <c r="L30" s="663"/>
      <c r="M30" s="663"/>
      <c r="N30" s="663"/>
      <c r="O30" s="663"/>
      <c r="P30" s="663"/>
      <c r="Q30" s="663"/>
      <c r="R30" s="663"/>
      <c r="S30" s="663"/>
      <c r="T30" s="663"/>
      <c r="U30" s="663"/>
      <c r="V30" s="663"/>
      <c r="W30" s="663"/>
      <c r="X30" s="663"/>
      <c r="Y30" s="663"/>
      <c r="Z30" s="663"/>
      <c r="AA30" s="663"/>
      <c r="AB30" s="663"/>
      <c r="AC30" s="663"/>
      <c r="AD30" s="663"/>
      <c r="AE30" s="663"/>
      <c r="AF30" s="663"/>
      <c r="AG30" s="663"/>
      <c r="AH30" s="663"/>
      <c r="AI30" s="663"/>
      <c r="AJ30" s="663"/>
      <c r="AK30" s="663"/>
      <c r="AL30" s="663"/>
      <c r="AM30" s="663"/>
      <c r="AN30" s="663"/>
      <c r="AO30" s="663"/>
      <c r="AP30" s="663"/>
      <c r="AQ30" s="663"/>
      <c r="AR30" s="663"/>
      <c r="AS30" s="663"/>
      <c r="AT30" s="663"/>
      <c r="AU30" s="663"/>
      <c r="CG30" s="656"/>
    </row>
    <row r="31" spans="1:85">
      <c r="A31" s="661"/>
      <c r="E31" s="663"/>
      <c r="F31" s="663"/>
      <c r="G31" s="663"/>
      <c r="H31" s="663"/>
      <c r="I31" s="663"/>
      <c r="J31" s="663"/>
      <c r="K31" s="663"/>
      <c r="L31" s="663"/>
      <c r="M31" s="663"/>
      <c r="N31" s="663"/>
      <c r="O31" s="663"/>
      <c r="P31" s="663"/>
      <c r="Q31" s="663"/>
      <c r="R31" s="663"/>
      <c r="S31" s="663"/>
      <c r="T31" s="663"/>
      <c r="U31" s="663"/>
      <c r="V31" s="663"/>
      <c r="W31" s="663"/>
      <c r="X31" s="663"/>
      <c r="Y31" s="663"/>
      <c r="Z31" s="663"/>
      <c r="AA31" s="663"/>
      <c r="AB31" s="663"/>
      <c r="AC31" s="663"/>
      <c r="AD31" s="663"/>
      <c r="AE31" s="663"/>
      <c r="AF31" s="663"/>
      <c r="AG31" s="663"/>
      <c r="AH31" s="663"/>
      <c r="AI31" s="663"/>
      <c r="AJ31" s="663"/>
      <c r="AK31" s="663"/>
      <c r="AL31" s="663"/>
      <c r="AM31" s="663"/>
      <c r="AN31" s="663"/>
      <c r="AO31" s="663"/>
      <c r="AP31" s="663"/>
      <c r="AQ31" s="663"/>
      <c r="AR31" s="663"/>
      <c r="AS31" s="663"/>
      <c r="AT31" s="663"/>
      <c r="AU31" s="663"/>
      <c r="CG31" s="656"/>
    </row>
    <row r="32" spans="1:85">
      <c r="A32" s="661"/>
      <c r="E32" s="663"/>
      <c r="F32" s="663"/>
      <c r="G32" s="663"/>
      <c r="H32" s="663"/>
      <c r="I32" s="663"/>
      <c r="J32" s="663"/>
      <c r="K32" s="663"/>
      <c r="L32" s="663"/>
      <c r="M32" s="663"/>
      <c r="N32" s="663"/>
      <c r="O32" s="663"/>
      <c r="P32" s="663"/>
      <c r="Q32" s="663"/>
      <c r="R32" s="663"/>
      <c r="S32" s="663"/>
      <c r="T32" s="663"/>
      <c r="U32" s="663"/>
      <c r="V32" s="663"/>
      <c r="W32" s="663"/>
      <c r="X32" s="663"/>
      <c r="Y32" s="663"/>
      <c r="Z32" s="663"/>
      <c r="AA32" s="663"/>
      <c r="AB32" s="663"/>
      <c r="AC32" s="663"/>
      <c r="AD32" s="663"/>
      <c r="AE32" s="663"/>
      <c r="AF32" s="663"/>
      <c r="AG32" s="663"/>
      <c r="AH32" s="663"/>
      <c r="AI32" s="663"/>
      <c r="AJ32" s="663"/>
      <c r="AK32" s="663"/>
      <c r="AL32" s="663"/>
      <c r="AM32" s="663"/>
      <c r="AN32" s="663"/>
      <c r="AO32" s="663"/>
      <c r="AP32" s="663"/>
      <c r="AQ32" s="663"/>
      <c r="AR32" s="663"/>
      <c r="AS32" s="663"/>
      <c r="AT32" s="663"/>
      <c r="AU32" s="663"/>
      <c r="CG32" s="656"/>
    </row>
    <row r="33" spans="1:85">
      <c r="A33" s="661"/>
      <c r="E33" s="663"/>
      <c r="F33" s="663"/>
      <c r="G33" s="663"/>
      <c r="H33" s="663"/>
      <c r="I33" s="663"/>
      <c r="J33" s="663"/>
      <c r="K33" s="663"/>
      <c r="L33" s="663"/>
      <c r="M33" s="663"/>
      <c r="N33" s="663"/>
      <c r="O33" s="663"/>
      <c r="P33" s="663"/>
      <c r="Q33" s="663"/>
      <c r="R33" s="663"/>
      <c r="S33" s="663"/>
      <c r="T33" s="663"/>
      <c r="U33" s="663"/>
      <c r="V33" s="663"/>
      <c r="W33" s="663"/>
      <c r="X33" s="663"/>
      <c r="Y33" s="663"/>
      <c r="Z33" s="663"/>
      <c r="AA33" s="663"/>
      <c r="AB33" s="663"/>
      <c r="AC33" s="663"/>
      <c r="AD33" s="663"/>
      <c r="AE33" s="663"/>
      <c r="AF33" s="663"/>
      <c r="AG33" s="663"/>
      <c r="AH33" s="663"/>
      <c r="AI33" s="663"/>
      <c r="AJ33" s="663"/>
      <c r="AK33" s="663"/>
      <c r="AL33" s="663"/>
      <c r="AM33" s="663"/>
      <c r="AN33" s="663"/>
      <c r="AO33" s="663"/>
      <c r="AP33" s="663"/>
      <c r="AQ33" s="663"/>
      <c r="AR33" s="663"/>
      <c r="AS33" s="663"/>
      <c r="AT33" s="663"/>
      <c r="AU33" s="663"/>
      <c r="CG33" s="656"/>
    </row>
    <row r="34" spans="1:85">
      <c r="A34" s="661"/>
      <c r="E34" s="663"/>
      <c r="F34" s="663"/>
      <c r="G34" s="663"/>
      <c r="H34" s="663"/>
      <c r="I34" s="663"/>
      <c r="J34" s="663"/>
      <c r="K34" s="663"/>
      <c r="L34" s="663"/>
      <c r="M34" s="663"/>
      <c r="N34" s="663"/>
      <c r="O34" s="663"/>
      <c r="P34" s="663"/>
      <c r="Q34" s="663"/>
      <c r="R34" s="663"/>
      <c r="S34" s="663"/>
      <c r="T34" s="663"/>
      <c r="U34" s="663"/>
      <c r="V34" s="663"/>
      <c r="W34" s="663"/>
      <c r="X34" s="663"/>
      <c r="Y34" s="663"/>
      <c r="Z34" s="663"/>
      <c r="AA34" s="663"/>
      <c r="AB34" s="663"/>
      <c r="AC34" s="663"/>
      <c r="AD34" s="663"/>
      <c r="AE34" s="663"/>
      <c r="AF34" s="663"/>
      <c r="AG34" s="663"/>
      <c r="AH34" s="663"/>
      <c r="AI34" s="663"/>
      <c r="AJ34" s="663"/>
      <c r="AK34" s="663"/>
      <c r="AL34" s="663"/>
      <c r="AM34" s="663"/>
      <c r="AN34" s="663"/>
      <c r="AO34" s="663"/>
      <c r="AP34" s="663"/>
      <c r="AQ34" s="663"/>
      <c r="AR34" s="663"/>
      <c r="AS34" s="663"/>
      <c r="AT34" s="663"/>
      <c r="AU34" s="663"/>
      <c r="CG34" s="656"/>
    </row>
    <row r="35" spans="1:85">
      <c r="A35" s="661"/>
      <c r="E35" s="663"/>
      <c r="F35" s="663"/>
      <c r="G35" s="663"/>
      <c r="H35" s="663"/>
      <c r="I35" s="663"/>
      <c r="J35" s="663"/>
      <c r="K35" s="663"/>
      <c r="L35" s="663"/>
      <c r="M35" s="663"/>
      <c r="N35" s="663"/>
      <c r="O35" s="663"/>
      <c r="P35" s="663"/>
      <c r="Q35" s="663"/>
      <c r="R35" s="663"/>
      <c r="S35" s="663"/>
      <c r="T35" s="663"/>
      <c r="U35" s="663"/>
      <c r="V35" s="663"/>
      <c r="W35" s="663"/>
      <c r="X35" s="663"/>
      <c r="Y35" s="663"/>
      <c r="Z35" s="663"/>
      <c r="AA35" s="663"/>
      <c r="AB35" s="663"/>
      <c r="AC35" s="663"/>
      <c r="AD35" s="663"/>
      <c r="AE35" s="663"/>
      <c r="AF35" s="663"/>
      <c r="AG35" s="663"/>
      <c r="AH35" s="663"/>
      <c r="AI35" s="663"/>
      <c r="AJ35" s="663"/>
      <c r="AK35" s="663"/>
      <c r="AL35" s="663"/>
      <c r="AM35" s="663"/>
      <c r="AN35" s="663"/>
      <c r="AO35" s="663"/>
      <c r="AP35" s="663"/>
      <c r="AQ35" s="663"/>
      <c r="AR35" s="663"/>
      <c r="AS35" s="663"/>
      <c r="AT35" s="663"/>
      <c r="AU35" s="663"/>
      <c r="CG35" s="656"/>
    </row>
    <row r="36" spans="1:85">
      <c r="A36" s="661"/>
      <c r="E36" s="663"/>
      <c r="F36" s="663"/>
      <c r="G36" s="663"/>
      <c r="H36" s="663"/>
      <c r="I36" s="663"/>
      <c r="J36" s="663"/>
      <c r="K36" s="663"/>
      <c r="L36" s="663"/>
      <c r="M36" s="663"/>
      <c r="N36" s="663"/>
      <c r="O36" s="663"/>
      <c r="P36" s="663"/>
      <c r="Q36" s="663"/>
      <c r="R36" s="663"/>
      <c r="S36" s="663"/>
      <c r="T36" s="663"/>
      <c r="U36" s="663"/>
      <c r="V36" s="663"/>
      <c r="W36" s="663"/>
      <c r="X36" s="663"/>
      <c r="Y36" s="663"/>
      <c r="Z36" s="663"/>
      <c r="AA36" s="663"/>
      <c r="AB36" s="663"/>
      <c r="AC36" s="663"/>
      <c r="AD36" s="663"/>
      <c r="AE36" s="663"/>
      <c r="AF36" s="663"/>
      <c r="AG36" s="663"/>
      <c r="AH36" s="663"/>
      <c r="AI36" s="663"/>
      <c r="AJ36" s="663"/>
      <c r="AK36" s="663"/>
      <c r="AL36" s="663"/>
      <c r="AM36" s="663"/>
      <c r="AN36" s="663"/>
      <c r="AO36" s="663"/>
      <c r="AP36" s="663"/>
      <c r="AQ36" s="663"/>
      <c r="AR36" s="663"/>
      <c r="AS36" s="663"/>
      <c r="AT36" s="663"/>
      <c r="AU36" s="663"/>
      <c r="CG36" s="656"/>
    </row>
    <row r="37" spans="1:85">
      <c r="A37" s="661"/>
      <c r="E37" s="663"/>
      <c r="F37" s="663"/>
      <c r="G37" s="663"/>
      <c r="H37" s="663"/>
      <c r="I37" s="663"/>
      <c r="J37" s="663"/>
      <c r="K37" s="663"/>
      <c r="L37" s="663"/>
      <c r="M37" s="663"/>
      <c r="N37" s="663"/>
      <c r="O37" s="663"/>
      <c r="P37" s="663"/>
      <c r="Q37" s="663"/>
      <c r="R37" s="663"/>
      <c r="S37" s="663"/>
      <c r="T37" s="663"/>
      <c r="U37" s="663"/>
      <c r="V37" s="663"/>
      <c r="W37" s="663"/>
      <c r="X37" s="663"/>
      <c r="Y37" s="663"/>
      <c r="Z37" s="663"/>
      <c r="AA37" s="663"/>
      <c r="AB37" s="663"/>
      <c r="AC37" s="663"/>
      <c r="AD37" s="663"/>
      <c r="AE37" s="663"/>
      <c r="AF37" s="663"/>
      <c r="AG37" s="663"/>
      <c r="AH37" s="663"/>
      <c r="AI37" s="663"/>
      <c r="AJ37" s="663"/>
      <c r="AK37" s="663"/>
      <c r="AL37" s="663"/>
      <c r="AM37" s="663"/>
      <c r="AN37" s="663"/>
      <c r="AO37" s="663"/>
      <c r="AP37" s="663"/>
      <c r="AQ37" s="663"/>
      <c r="AR37" s="663"/>
      <c r="AS37" s="663"/>
      <c r="AT37" s="663"/>
      <c r="AU37" s="663"/>
      <c r="CG37" s="656"/>
    </row>
    <row r="38" spans="1:85">
      <c r="A38" s="661"/>
      <c r="E38" s="663"/>
      <c r="F38" s="663"/>
      <c r="G38" s="663"/>
      <c r="H38" s="663"/>
      <c r="I38" s="663"/>
      <c r="J38" s="663"/>
      <c r="K38" s="663"/>
      <c r="L38" s="663"/>
      <c r="M38" s="663"/>
      <c r="N38" s="663"/>
      <c r="O38" s="663"/>
      <c r="P38" s="663"/>
      <c r="Q38" s="663"/>
      <c r="R38" s="663"/>
      <c r="S38" s="663"/>
      <c r="T38" s="663"/>
      <c r="U38" s="663"/>
      <c r="V38" s="663"/>
      <c r="W38" s="663"/>
      <c r="X38" s="663"/>
      <c r="Y38" s="663"/>
      <c r="Z38" s="663"/>
      <c r="AA38" s="663"/>
      <c r="AB38" s="663"/>
      <c r="AC38" s="663"/>
      <c r="AD38" s="663"/>
      <c r="AE38" s="663"/>
      <c r="AF38" s="663"/>
      <c r="AG38" s="663"/>
      <c r="AH38" s="663"/>
      <c r="AI38" s="663"/>
      <c r="AJ38" s="663"/>
      <c r="AK38" s="663"/>
      <c r="AL38" s="663"/>
      <c r="AM38" s="663"/>
      <c r="AN38" s="663"/>
      <c r="AO38" s="663"/>
      <c r="AP38" s="663"/>
      <c r="AQ38" s="663"/>
      <c r="AR38" s="663"/>
      <c r="AS38" s="663"/>
      <c r="AT38" s="663"/>
      <c r="AU38" s="663"/>
      <c r="CG38" s="656"/>
    </row>
    <row r="39" spans="1:85">
      <c r="A39" s="661"/>
      <c r="E39" s="663"/>
      <c r="F39" s="663"/>
      <c r="G39" s="663"/>
      <c r="H39" s="663"/>
      <c r="I39" s="663"/>
      <c r="J39" s="663"/>
      <c r="K39" s="663"/>
      <c r="L39" s="663"/>
      <c r="M39" s="663"/>
      <c r="N39" s="663"/>
      <c r="O39" s="663"/>
      <c r="P39" s="663"/>
      <c r="Q39" s="663"/>
      <c r="R39" s="663"/>
      <c r="S39" s="663"/>
      <c r="T39" s="663"/>
      <c r="U39" s="663"/>
      <c r="V39" s="663"/>
      <c r="W39" s="663"/>
      <c r="X39" s="663"/>
      <c r="Y39" s="663"/>
      <c r="Z39" s="663"/>
      <c r="AA39" s="663"/>
      <c r="AB39" s="663"/>
      <c r="AC39" s="663"/>
      <c r="AD39" s="663"/>
      <c r="AE39" s="663"/>
      <c r="AF39" s="663"/>
      <c r="AG39" s="663"/>
      <c r="AH39" s="663"/>
      <c r="AI39" s="663"/>
      <c r="AJ39" s="663"/>
      <c r="AK39" s="663"/>
      <c r="AL39" s="663"/>
      <c r="AM39" s="663"/>
      <c r="AN39" s="663"/>
      <c r="AO39" s="663"/>
      <c r="AP39" s="663"/>
      <c r="AQ39" s="663"/>
      <c r="AR39" s="663"/>
      <c r="AS39" s="663"/>
      <c r="AT39" s="663"/>
      <c r="AU39" s="663"/>
      <c r="CG39" s="656"/>
    </row>
    <row r="40" spans="1:85">
      <c r="A40" s="661"/>
      <c r="E40" s="663"/>
      <c r="F40" s="663"/>
      <c r="G40" s="663"/>
      <c r="H40" s="663"/>
      <c r="I40" s="663"/>
      <c r="J40" s="663"/>
      <c r="K40" s="663"/>
      <c r="L40" s="663"/>
      <c r="M40" s="663"/>
      <c r="N40" s="663"/>
      <c r="O40" s="663"/>
      <c r="P40" s="663"/>
      <c r="Q40" s="663"/>
      <c r="R40" s="663"/>
      <c r="S40" s="663"/>
      <c r="T40" s="663"/>
      <c r="U40" s="663"/>
      <c r="V40" s="663"/>
      <c r="W40" s="663"/>
      <c r="X40" s="663"/>
      <c r="Y40" s="663"/>
      <c r="Z40" s="663"/>
      <c r="AA40" s="663"/>
      <c r="AB40" s="663"/>
      <c r="AC40" s="663"/>
      <c r="AD40" s="663"/>
      <c r="AE40" s="663"/>
      <c r="AF40" s="663"/>
      <c r="AG40" s="663"/>
      <c r="AH40" s="663"/>
      <c r="AI40" s="663"/>
      <c r="AJ40" s="663"/>
      <c r="AK40" s="663"/>
      <c r="AL40" s="663"/>
      <c r="AM40" s="663"/>
      <c r="AN40" s="663"/>
      <c r="AO40" s="663"/>
      <c r="AP40" s="663"/>
      <c r="AQ40" s="663"/>
      <c r="AR40" s="663"/>
      <c r="AS40" s="663"/>
      <c r="AT40" s="663"/>
      <c r="AU40" s="663"/>
      <c r="CG40" s="656"/>
    </row>
    <row r="41" spans="1:85">
      <c r="A41" s="661"/>
      <c r="E41" s="663"/>
      <c r="F41" s="663"/>
      <c r="G41" s="663"/>
      <c r="H41" s="663"/>
      <c r="I41" s="663"/>
      <c r="J41" s="663"/>
      <c r="K41" s="663"/>
      <c r="L41" s="663"/>
      <c r="M41" s="663"/>
      <c r="N41" s="663"/>
      <c r="O41" s="663"/>
      <c r="P41" s="663"/>
      <c r="Q41" s="663"/>
      <c r="R41" s="663"/>
      <c r="S41" s="663"/>
      <c r="T41" s="663"/>
      <c r="U41" s="663"/>
      <c r="V41" s="663"/>
      <c r="W41" s="663"/>
      <c r="X41" s="663"/>
      <c r="Y41" s="663"/>
      <c r="Z41" s="663"/>
      <c r="AA41" s="663"/>
      <c r="AB41" s="663"/>
      <c r="AC41" s="663"/>
      <c r="AD41" s="663"/>
      <c r="AE41" s="663"/>
      <c r="AF41" s="663"/>
      <c r="AG41" s="663"/>
      <c r="AH41" s="663"/>
      <c r="AI41" s="663"/>
      <c r="AJ41" s="663"/>
      <c r="AK41" s="663"/>
      <c r="AL41" s="663"/>
      <c r="AM41" s="663"/>
      <c r="AN41" s="663"/>
      <c r="AO41" s="663"/>
      <c r="AP41" s="663"/>
      <c r="AQ41" s="663"/>
      <c r="AR41" s="663"/>
      <c r="AS41" s="663"/>
      <c r="AT41" s="663"/>
      <c r="AU41" s="663"/>
      <c r="CG41" s="656"/>
    </row>
    <row r="42" spans="1:85">
      <c r="A42" s="661"/>
      <c r="E42" s="663"/>
      <c r="F42" s="663"/>
      <c r="G42" s="663"/>
      <c r="H42" s="663"/>
      <c r="I42" s="663"/>
      <c r="J42" s="663"/>
      <c r="K42" s="663"/>
      <c r="L42" s="663"/>
      <c r="M42" s="663"/>
      <c r="N42" s="663"/>
      <c r="O42" s="663"/>
      <c r="P42" s="663"/>
      <c r="Q42" s="663"/>
      <c r="R42" s="663"/>
      <c r="S42" s="663"/>
      <c r="T42" s="663"/>
      <c r="U42" s="663"/>
      <c r="V42" s="663"/>
      <c r="W42" s="663"/>
      <c r="X42" s="663"/>
      <c r="Y42" s="663"/>
      <c r="Z42" s="663"/>
      <c r="AA42" s="663"/>
      <c r="AB42" s="663"/>
      <c r="AC42" s="663"/>
      <c r="AD42" s="663"/>
      <c r="AE42" s="663"/>
      <c r="AF42" s="663"/>
      <c r="AG42" s="663"/>
      <c r="AH42" s="663"/>
      <c r="AI42" s="663"/>
      <c r="AJ42" s="663"/>
      <c r="AK42" s="663"/>
      <c r="AL42" s="663"/>
      <c r="AM42" s="663"/>
      <c r="AN42" s="663"/>
      <c r="AO42" s="663"/>
      <c r="AP42" s="663"/>
      <c r="AQ42" s="663"/>
      <c r="AR42" s="663"/>
      <c r="AS42" s="663"/>
      <c r="AT42" s="663"/>
      <c r="AU42" s="663"/>
      <c r="CG42" s="656"/>
    </row>
    <row r="43" spans="1:85">
      <c r="A43" s="661"/>
      <c r="E43" s="663"/>
      <c r="F43" s="663"/>
      <c r="G43" s="663"/>
      <c r="H43" s="663"/>
      <c r="I43" s="663"/>
      <c r="J43" s="663"/>
      <c r="K43" s="663"/>
      <c r="L43" s="663"/>
      <c r="M43" s="663"/>
      <c r="N43" s="663"/>
      <c r="O43" s="663"/>
      <c r="P43" s="663"/>
      <c r="Q43" s="663"/>
      <c r="R43" s="663"/>
      <c r="S43" s="663"/>
      <c r="T43" s="663"/>
      <c r="U43" s="663"/>
      <c r="V43" s="663"/>
      <c r="W43" s="663"/>
      <c r="X43" s="663"/>
      <c r="Y43" s="663"/>
      <c r="Z43" s="663"/>
      <c r="AA43" s="663"/>
      <c r="AB43" s="663"/>
      <c r="AC43" s="663"/>
      <c r="AD43" s="663"/>
      <c r="AE43" s="663"/>
      <c r="AF43" s="663"/>
      <c r="AG43" s="663"/>
      <c r="AH43" s="663"/>
      <c r="AI43" s="663"/>
      <c r="AJ43" s="663"/>
      <c r="AK43" s="663"/>
      <c r="AL43" s="663"/>
      <c r="AM43" s="663"/>
      <c r="AN43" s="663"/>
      <c r="AO43" s="663"/>
      <c r="AP43" s="663"/>
      <c r="AQ43" s="663"/>
      <c r="AR43" s="663"/>
      <c r="AS43" s="663"/>
      <c r="AT43" s="663"/>
      <c r="AU43" s="663"/>
      <c r="CG43" s="656"/>
    </row>
    <row r="44" spans="1:85">
      <c r="A44" s="661"/>
      <c r="E44" s="663"/>
      <c r="F44" s="663"/>
      <c r="G44" s="663"/>
      <c r="H44" s="663"/>
      <c r="I44" s="663"/>
      <c r="J44" s="663"/>
      <c r="K44" s="663"/>
      <c r="L44" s="663"/>
      <c r="M44" s="663"/>
      <c r="N44" s="663"/>
      <c r="O44" s="663"/>
      <c r="P44" s="663"/>
      <c r="Q44" s="663"/>
      <c r="R44" s="663"/>
      <c r="S44" s="663"/>
      <c r="T44" s="663"/>
      <c r="U44" s="663"/>
      <c r="V44" s="663"/>
      <c r="W44" s="663"/>
      <c r="X44" s="663"/>
      <c r="Y44" s="663"/>
      <c r="Z44" s="663"/>
      <c r="AA44" s="663"/>
      <c r="AB44" s="663"/>
      <c r="AC44" s="663"/>
      <c r="AD44" s="663"/>
      <c r="AE44" s="663"/>
      <c r="AF44" s="663"/>
      <c r="AG44" s="663"/>
      <c r="AH44" s="663"/>
      <c r="AI44" s="663"/>
      <c r="AJ44" s="663"/>
      <c r="AK44" s="663"/>
      <c r="AL44" s="663"/>
      <c r="AM44" s="663"/>
      <c r="AN44" s="663"/>
      <c r="AO44" s="663"/>
      <c r="AP44" s="663"/>
      <c r="AQ44" s="663"/>
      <c r="AR44" s="663"/>
      <c r="AS44" s="663"/>
      <c r="AT44" s="663"/>
      <c r="AU44" s="663"/>
      <c r="CG44" s="656"/>
    </row>
    <row r="45" spans="1:85">
      <c r="A45" s="661"/>
      <c r="E45" s="663"/>
      <c r="F45" s="663"/>
      <c r="G45" s="663"/>
      <c r="H45" s="663"/>
      <c r="I45" s="663"/>
      <c r="J45" s="663"/>
      <c r="K45" s="663"/>
      <c r="L45" s="663"/>
      <c r="M45" s="663"/>
      <c r="N45" s="663"/>
      <c r="O45" s="663"/>
      <c r="P45" s="663"/>
      <c r="Q45" s="663"/>
      <c r="R45" s="663"/>
      <c r="S45" s="663"/>
      <c r="T45" s="663"/>
      <c r="U45" s="663"/>
      <c r="V45" s="663"/>
      <c r="W45" s="663"/>
      <c r="X45" s="663"/>
      <c r="Y45" s="663"/>
      <c r="Z45" s="663"/>
      <c r="AA45" s="663"/>
      <c r="AB45" s="663"/>
      <c r="AC45" s="663"/>
      <c r="AD45" s="663"/>
      <c r="AE45" s="663"/>
      <c r="AF45" s="663"/>
      <c r="AG45" s="663"/>
      <c r="AH45" s="663"/>
      <c r="AI45" s="663"/>
      <c r="AJ45" s="663"/>
      <c r="AK45" s="663"/>
      <c r="AL45" s="663"/>
      <c r="AM45" s="663"/>
      <c r="AN45" s="663"/>
      <c r="AO45" s="663"/>
      <c r="AP45" s="663"/>
      <c r="AQ45" s="663"/>
      <c r="AR45" s="663"/>
      <c r="AS45" s="663"/>
      <c r="AT45" s="663"/>
      <c r="AU45" s="663"/>
      <c r="CG45" s="656"/>
    </row>
    <row r="46" spans="1:85">
      <c r="A46" s="661"/>
      <c r="E46" s="663"/>
      <c r="F46" s="663"/>
      <c r="G46" s="663"/>
      <c r="H46" s="663"/>
      <c r="I46" s="663"/>
      <c r="J46" s="663"/>
      <c r="K46" s="663"/>
      <c r="L46" s="663"/>
      <c r="M46" s="663"/>
      <c r="N46" s="663"/>
      <c r="O46" s="663"/>
      <c r="P46" s="663"/>
      <c r="Q46" s="663"/>
      <c r="R46" s="663"/>
      <c r="S46" s="663"/>
      <c r="T46" s="663"/>
      <c r="U46" s="663"/>
      <c r="V46" s="663"/>
      <c r="W46" s="663"/>
      <c r="X46" s="663"/>
      <c r="Y46" s="663"/>
      <c r="Z46" s="663"/>
      <c r="AA46" s="663"/>
      <c r="AB46" s="663"/>
      <c r="AC46" s="663"/>
      <c r="AD46" s="663"/>
      <c r="AE46" s="663"/>
      <c r="AF46" s="663"/>
      <c r="AG46" s="663"/>
      <c r="AH46" s="663"/>
      <c r="AI46" s="663"/>
      <c r="AJ46" s="663"/>
      <c r="AK46" s="663"/>
      <c r="AL46" s="663"/>
      <c r="AM46" s="663"/>
      <c r="AN46" s="663"/>
      <c r="AO46" s="663"/>
      <c r="AP46" s="663"/>
      <c r="AQ46" s="663"/>
      <c r="AR46" s="663"/>
      <c r="AS46" s="663"/>
      <c r="AT46" s="663"/>
      <c r="AU46" s="663"/>
      <c r="CG46" s="656"/>
    </row>
    <row r="47" spans="1:85">
      <c r="A47" s="661"/>
      <c r="E47" s="663"/>
      <c r="F47" s="663"/>
      <c r="G47" s="663"/>
      <c r="H47" s="663"/>
      <c r="I47" s="663"/>
      <c r="J47" s="663"/>
      <c r="K47" s="663"/>
      <c r="L47" s="663"/>
      <c r="M47" s="663"/>
      <c r="N47" s="663"/>
      <c r="O47" s="663"/>
      <c r="P47" s="663"/>
      <c r="Q47" s="663"/>
      <c r="R47" s="663"/>
      <c r="S47" s="663"/>
      <c r="T47" s="663"/>
      <c r="U47" s="663"/>
      <c r="V47" s="663"/>
      <c r="W47" s="663"/>
      <c r="X47" s="663"/>
      <c r="Y47" s="663"/>
      <c r="Z47" s="663"/>
      <c r="AA47" s="663"/>
      <c r="AB47" s="663"/>
      <c r="AC47" s="663"/>
      <c r="AD47" s="663"/>
      <c r="AE47" s="663"/>
      <c r="AF47" s="663"/>
      <c r="AG47" s="663"/>
      <c r="AH47" s="663"/>
      <c r="AI47" s="663"/>
      <c r="AJ47" s="663"/>
      <c r="AK47" s="663"/>
      <c r="AL47" s="663"/>
      <c r="AM47" s="663"/>
      <c r="AN47" s="663"/>
      <c r="AO47" s="663"/>
      <c r="AP47" s="663"/>
      <c r="AQ47" s="663"/>
      <c r="AR47" s="663"/>
      <c r="AS47" s="663"/>
      <c r="AT47" s="663"/>
      <c r="AU47" s="663"/>
      <c r="CG47" s="656"/>
    </row>
    <row r="48" spans="1:85">
      <c r="A48" s="661"/>
      <c r="E48" s="663"/>
      <c r="F48" s="663"/>
      <c r="G48" s="663"/>
      <c r="H48" s="663"/>
      <c r="I48" s="663"/>
      <c r="J48" s="663"/>
      <c r="K48" s="663"/>
      <c r="L48" s="663"/>
      <c r="M48" s="663"/>
      <c r="N48" s="663"/>
      <c r="O48" s="663"/>
      <c r="P48" s="663"/>
      <c r="Q48" s="663"/>
      <c r="R48" s="663"/>
      <c r="S48" s="663"/>
      <c r="T48" s="663"/>
      <c r="U48" s="663"/>
      <c r="V48" s="663"/>
      <c r="W48" s="663"/>
      <c r="X48" s="663"/>
      <c r="Y48" s="663"/>
      <c r="Z48" s="663"/>
      <c r="AA48" s="663"/>
      <c r="AB48" s="663"/>
      <c r="AC48" s="663"/>
      <c r="AD48" s="663"/>
      <c r="AE48" s="663"/>
      <c r="AF48" s="663"/>
      <c r="AG48" s="663"/>
      <c r="AH48" s="663"/>
      <c r="AI48" s="663"/>
      <c r="AJ48" s="663"/>
      <c r="AK48" s="663"/>
      <c r="AL48" s="663"/>
      <c r="AM48" s="663"/>
      <c r="AN48" s="663"/>
      <c r="AO48" s="663"/>
      <c r="AP48" s="663"/>
      <c r="AQ48" s="663"/>
      <c r="AR48" s="663"/>
      <c r="AS48" s="663"/>
      <c r="AT48" s="663"/>
      <c r="AU48" s="663"/>
      <c r="CG48" s="656"/>
    </row>
    <row r="49" spans="1:85">
      <c r="A49" s="661"/>
      <c r="E49" s="663"/>
      <c r="F49" s="663"/>
      <c r="G49" s="663"/>
      <c r="H49" s="663"/>
      <c r="I49" s="663"/>
      <c r="J49" s="663"/>
      <c r="K49" s="663"/>
      <c r="L49" s="663"/>
      <c r="M49" s="663"/>
      <c r="N49" s="663"/>
      <c r="O49" s="663"/>
      <c r="P49" s="663"/>
      <c r="Q49" s="663"/>
      <c r="R49" s="663"/>
      <c r="S49" s="663"/>
      <c r="T49" s="663"/>
      <c r="U49" s="663"/>
      <c r="V49" s="663"/>
      <c r="W49" s="663"/>
      <c r="X49" s="663"/>
      <c r="Y49" s="663"/>
      <c r="Z49" s="663"/>
      <c r="AA49" s="663"/>
      <c r="AB49" s="663"/>
      <c r="AC49" s="663"/>
      <c r="AD49" s="663"/>
      <c r="AE49" s="663"/>
      <c r="AF49" s="663"/>
      <c r="AG49" s="663"/>
      <c r="AH49" s="663"/>
      <c r="AI49" s="663"/>
      <c r="AJ49" s="663"/>
      <c r="AK49" s="663"/>
      <c r="AL49" s="663"/>
      <c r="AM49" s="663"/>
      <c r="AN49" s="663"/>
      <c r="AO49" s="663"/>
      <c r="AP49" s="663"/>
      <c r="AQ49" s="663"/>
      <c r="AR49" s="663"/>
      <c r="AS49" s="663"/>
      <c r="AT49" s="663"/>
      <c r="AU49" s="663"/>
      <c r="CG49" s="656"/>
    </row>
    <row r="50" spans="1:85">
      <c r="A50" s="661"/>
      <c r="E50" s="663"/>
      <c r="F50" s="663"/>
      <c r="G50" s="663"/>
      <c r="H50" s="663"/>
      <c r="I50" s="663"/>
      <c r="J50" s="663"/>
      <c r="K50" s="663"/>
      <c r="L50" s="663"/>
      <c r="M50" s="663"/>
      <c r="N50" s="663"/>
      <c r="O50" s="663"/>
      <c r="P50" s="663"/>
      <c r="Q50" s="663"/>
      <c r="R50" s="663"/>
      <c r="S50" s="663"/>
      <c r="T50" s="663"/>
      <c r="U50" s="663"/>
      <c r="V50" s="663"/>
      <c r="W50" s="663"/>
      <c r="X50" s="663"/>
      <c r="Y50" s="663"/>
      <c r="Z50" s="663"/>
      <c r="AA50" s="663"/>
      <c r="AB50" s="663"/>
      <c r="AC50" s="663"/>
      <c r="AD50" s="663"/>
      <c r="AE50" s="663"/>
      <c r="AF50" s="663"/>
      <c r="AG50" s="663"/>
      <c r="AH50" s="663"/>
      <c r="AI50" s="663"/>
      <c r="AJ50" s="663"/>
      <c r="AK50" s="663"/>
      <c r="AL50" s="663"/>
      <c r="AM50" s="663"/>
      <c r="AN50" s="663"/>
      <c r="AO50" s="663"/>
      <c r="AP50" s="663"/>
      <c r="AQ50" s="663"/>
      <c r="AR50" s="663"/>
      <c r="AS50" s="663"/>
      <c r="AT50" s="663"/>
      <c r="AU50" s="663"/>
      <c r="CG50" s="656"/>
    </row>
    <row r="51" spans="1:85">
      <c r="A51" s="661"/>
      <c r="E51" s="663"/>
      <c r="F51" s="663"/>
      <c r="G51" s="663"/>
      <c r="H51" s="663"/>
      <c r="I51" s="663"/>
      <c r="J51" s="663"/>
      <c r="K51" s="663"/>
      <c r="L51" s="663"/>
      <c r="M51" s="663"/>
      <c r="N51" s="663"/>
      <c r="O51" s="663"/>
      <c r="P51" s="663"/>
      <c r="Q51" s="663"/>
      <c r="R51" s="663"/>
      <c r="S51" s="663"/>
      <c r="T51" s="663"/>
      <c r="U51" s="663"/>
      <c r="V51" s="663"/>
      <c r="W51" s="663"/>
      <c r="X51" s="663"/>
      <c r="Y51" s="663"/>
      <c r="Z51" s="663"/>
      <c r="AA51" s="663"/>
      <c r="AB51" s="663"/>
      <c r="AC51" s="663"/>
      <c r="AD51" s="663"/>
      <c r="AE51" s="663"/>
      <c r="AF51" s="663"/>
      <c r="AG51" s="663"/>
      <c r="AH51" s="663"/>
      <c r="AI51" s="663"/>
      <c r="AJ51" s="663"/>
      <c r="AK51" s="663"/>
      <c r="AL51" s="663"/>
      <c r="AM51" s="663"/>
      <c r="AN51" s="663"/>
      <c r="AO51" s="663"/>
      <c r="AP51" s="663"/>
      <c r="AQ51" s="663"/>
      <c r="AR51" s="663"/>
      <c r="AS51" s="663"/>
      <c r="AT51" s="663"/>
      <c r="AU51" s="663"/>
      <c r="CG51" s="656"/>
    </row>
    <row r="52" spans="1:85">
      <c r="A52" s="661"/>
      <c r="E52" s="663"/>
      <c r="F52" s="663"/>
      <c r="G52" s="663"/>
      <c r="H52" s="663"/>
      <c r="I52" s="663"/>
      <c r="J52" s="663"/>
      <c r="K52" s="663"/>
      <c r="L52" s="663"/>
      <c r="M52" s="663"/>
      <c r="N52" s="663"/>
      <c r="O52" s="663"/>
      <c r="P52" s="663"/>
      <c r="Q52" s="663"/>
      <c r="R52" s="663"/>
      <c r="S52" s="663"/>
      <c r="T52" s="663"/>
      <c r="U52" s="663"/>
      <c r="V52" s="663"/>
      <c r="W52" s="663"/>
      <c r="X52" s="663"/>
      <c r="Y52" s="663"/>
      <c r="Z52" s="663"/>
      <c r="AA52" s="663"/>
      <c r="AB52" s="663"/>
      <c r="AC52" s="663"/>
      <c r="AD52" s="663"/>
      <c r="AE52" s="663"/>
      <c r="AF52" s="663"/>
      <c r="AG52" s="663"/>
      <c r="AH52" s="663"/>
      <c r="AI52" s="663"/>
      <c r="AJ52" s="663"/>
      <c r="AK52" s="663"/>
      <c r="AL52" s="663"/>
      <c r="AM52" s="663"/>
      <c r="AN52" s="663"/>
      <c r="AO52" s="663"/>
      <c r="AP52" s="663"/>
      <c r="AQ52" s="663"/>
      <c r="AR52" s="663"/>
      <c r="AS52" s="663"/>
      <c r="AT52" s="663"/>
      <c r="AU52" s="663"/>
      <c r="CG52" s="656"/>
    </row>
    <row r="53" spans="1:85">
      <c r="A53" s="661"/>
      <c r="E53" s="663"/>
      <c r="F53" s="663"/>
      <c r="G53" s="663"/>
      <c r="H53" s="663"/>
      <c r="I53" s="663"/>
      <c r="J53" s="663"/>
      <c r="K53" s="663"/>
      <c r="L53" s="663"/>
      <c r="M53" s="663"/>
      <c r="N53" s="663"/>
      <c r="O53" s="663"/>
      <c r="P53" s="663"/>
      <c r="Q53" s="663"/>
      <c r="R53" s="663"/>
      <c r="S53" s="663"/>
      <c r="T53" s="663"/>
      <c r="U53" s="663"/>
      <c r="V53" s="663"/>
      <c r="W53" s="663"/>
      <c r="X53" s="663"/>
      <c r="Y53" s="663"/>
      <c r="Z53" s="663"/>
      <c r="AA53" s="663"/>
      <c r="AB53" s="663"/>
      <c r="AC53" s="663"/>
      <c r="AD53" s="663"/>
      <c r="AE53" s="663"/>
      <c r="AF53" s="663"/>
      <c r="AG53" s="663"/>
      <c r="AH53" s="663"/>
      <c r="AI53" s="663"/>
      <c r="AJ53" s="663"/>
      <c r="AK53" s="663"/>
      <c r="AL53" s="663"/>
      <c r="AM53" s="663"/>
      <c r="AN53" s="663"/>
      <c r="AO53" s="663"/>
      <c r="AP53" s="663"/>
      <c r="AQ53" s="663"/>
      <c r="AR53" s="663"/>
      <c r="AS53" s="663"/>
      <c r="AT53" s="663"/>
      <c r="AU53" s="663"/>
      <c r="CG53" s="656"/>
    </row>
    <row r="54" spans="1:85">
      <c r="A54" s="661"/>
      <c r="E54" s="663"/>
      <c r="F54" s="663"/>
      <c r="G54" s="663"/>
      <c r="H54" s="663"/>
      <c r="I54" s="663"/>
      <c r="J54" s="663"/>
      <c r="K54" s="663"/>
      <c r="L54" s="663"/>
      <c r="M54" s="663"/>
      <c r="N54" s="663"/>
      <c r="O54" s="663"/>
      <c r="P54" s="663"/>
      <c r="Q54" s="663"/>
      <c r="R54" s="663"/>
      <c r="S54" s="663"/>
      <c r="T54" s="663"/>
      <c r="U54" s="663"/>
      <c r="V54" s="663"/>
      <c r="W54" s="663"/>
      <c r="X54" s="663"/>
      <c r="Y54" s="663"/>
      <c r="Z54" s="663"/>
      <c r="AA54" s="663"/>
      <c r="AB54" s="663"/>
      <c r="AC54" s="663"/>
      <c r="AD54" s="663"/>
      <c r="AE54" s="663"/>
      <c r="AF54" s="663"/>
      <c r="AG54" s="663"/>
      <c r="AH54" s="663"/>
      <c r="AI54" s="663"/>
      <c r="AJ54" s="663"/>
      <c r="AK54" s="663"/>
      <c r="AL54" s="663"/>
      <c r="AM54" s="663"/>
      <c r="AN54" s="663"/>
      <c r="AO54" s="663"/>
      <c r="AP54" s="663"/>
      <c r="AQ54" s="663"/>
      <c r="AR54" s="663"/>
      <c r="AS54" s="663"/>
      <c r="AT54" s="663"/>
      <c r="AU54" s="663"/>
      <c r="CG54" s="656"/>
    </row>
    <row r="55" spans="1:85">
      <c r="A55" s="661"/>
      <c r="E55" s="663"/>
      <c r="F55" s="663"/>
      <c r="G55" s="663"/>
      <c r="H55" s="663"/>
      <c r="I55" s="663"/>
      <c r="J55" s="663"/>
      <c r="K55" s="663"/>
      <c r="L55" s="663"/>
      <c r="M55" s="663"/>
      <c r="N55" s="663"/>
      <c r="O55" s="663"/>
      <c r="P55" s="663"/>
      <c r="Q55" s="663"/>
      <c r="R55" s="663"/>
      <c r="S55" s="663"/>
      <c r="T55" s="663"/>
      <c r="U55" s="663"/>
      <c r="V55" s="663"/>
      <c r="W55" s="663"/>
      <c r="X55" s="663"/>
      <c r="Y55" s="663"/>
      <c r="Z55" s="663"/>
      <c r="AA55" s="663"/>
      <c r="AB55" s="663"/>
      <c r="AC55" s="663"/>
      <c r="AD55" s="663"/>
      <c r="AE55" s="663"/>
      <c r="AF55" s="663"/>
      <c r="AG55" s="663"/>
      <c r="AH55" s="663"/>
      <c r="AI55" s="663"/>
      <c r="AJ55" s="663"/>
      <c r="AK55" s="663"/>
      <c r="AL55" s="663"/>
      <c r="AM55" s="663"/>
      <c r="AN55" s="663"/>
      <c r="AO55" s="663"/>
      <c r="AP55" s="663"/>
      <c r="AQ55" s="663"/>
      <c r="AR55" s="663"/>
      <c r="AS55" s="663"/>
      <c r="AT55" s="663"/>
      <c r="AU55" s="663"/>
      <c r="CG55" s="656"/>
    </row>
    <row r="56" spans="1:85">
      <c r="A56" s="661"/>
      <c r="E56" s="663"/>
      <c r="F56" s="663"/>
      <c r="G56" s="663"/>
      <c r="H56" s="663"/>
      <c r="I56" s="663"/>
      <c r="J56" s="663"/>
      <c r="K56" s="663"/>
      <c r="L56" s="663"/>
      <c r="M56" s="663"/>
      <c r="N56" s="663"/>
      <c r="O56" s="663"/>
      <c r="P56" s="663"/>
      <c r="Q56" s="663"/>
      <c r="R56" s="663"/>
      <c r="S56" s="663"/>
      <c r="T56" s="663"/>
      <c r="U56" s="663"/>
      <c r="V56" s="663"/>
      <c r="W56" s="663"/>
      <c r="X56" s="663"/>
      <c r="Y56" s="663"/>
      <c r="Z56" s="663"/>
      <c r="AA56" s="663"/>
      <c r="AB56" s="663"/>
      <c r="AC56" s="663"/>
      <c r="AD56" s="663"/>
      <c r="AE56" s="663"/>
      <c r="AF56" s="663"/>
      <c r="AG56" s="663"/>
      <c r="AH56" s="663"/>
      <c r="AI56" s="663"/>
      <c r="AJ56" s="663"/>
      <c r="AK56" s="663"/>
      <c r="AL56" s="663"/>
      <c r="AM56" s="663"/>
      <c r="AN56" s="663"/>
      <c r="AO56" s="663"/>
      <c r="AP56" s="663"/>
      <c r="AQ56" s="663"/>
      <c r="AR56" s="663"/>
      <c r="AS56" s="663"/>
      <c r="AT56" s="663"/>
      <c r="AU56" s="663"/>
      <c r="CG56" s="656"/>
    </row>
    <row r="57" spans="1:85">
      <c r="A57" s="661"/>
      <c r="E57" s="663"/>
      <c r="F57" s="663"/>
      <c r="G57" s="663"/>
      <c r="H57" s="663"/>
      <c r="I57" s="663"/>
      <c r="J57" s="663"/>
      <c r="K57" s="663"/>
      <c r="L57" s="663"/>
      <c r="M57" s="663"/>
      <c r="N57" s="663"/>
      <c r="O57" s="663"/>
      <c r="P57" s="663"/>
      <c r="Q57" s="663"/>
      <c r="R57" s="663"/>
      <c r="S57" s="663"/>
      <c r="T57" s="663"/>
      <c r="U57" s="663"/>
      <c r="V57" s="663"/>
      <c r="W57" s="663"/>
      <c r="X57" s="663"/>
      <c r="Y57" s="663"/>
      <c r="Z57" s="663"/>
      <c r="AA57" s="663"/>
      <c r="AB57" s="663"/>
      <c r="AC57" s="663"/>
      <c r="AD57" s="663"/>
      <c r="AE57" s="663"/>
      <c r="AF57" s="663"/>
      <c r="AG57" s="663"/>
      <c r="AH57" s="663"/>
      <c r="AI57" s="663"/>
      <c r="AJ57" s="663"/>
      <c r="AK57" s="663"/>
      <c r="AL57" s="663"/>
      <c r="AM57" s="663"/>
      <c r="AN57" s="663"/>
      <c r="AO57" s="663"/>
      <c r="AP57" s="663"/>
      <c r="AQ57" s="663"/>
      <c r="AR57" s="663"/>
      <c r="AS57" s="663"/>
      <c r="AT57" s="663"/>
      <c r="AU57" s="663"/>
      <c r="CG57" s="656"/>
    </row>
    <row r="58" spans="1:85">
      <c r="A58" s="661"/>
      <c r="E58" s="663"/>
      <c r="F58" s="663"/>
      <c r="G58" s="663"/>
      <c r="H58" s="663"/>
      <c r="I58" s="663"/>
      <c r="J58" s="663"/>
      <c r="K58" s="663"/>
      <c r="L58" s="663"/>
      <c r="M58" s="663"/>
      <c r="N58" s="663"/>
      <c r="O58" s="663"/>
      <c r="P58" s="663"/>
      <c r="Q58" s="663"/>
      <c r="R58" s="663"/>
      <c r="S58" s="663"/>
      <c r="T58" s="663"/>
      <c r="U58" s="663"/>
      <c r="V58" s="663"/>
      <c r="W58" s="663"/>
      <c r="X58" s="663"/>
      <c r="Y58" s="663"/>
      <c r="Z58" s="663"/>
      <c r="AA58" s="663"/>
      <c r="AB58" s="663"/>
      <c r="AC58" s="663"/>
      <c r="AD58" s="663"/>
      <c r="AE58" s="663"/>
      <c r="AF58" s="663"/>
      <c r="AG58" s="663"/>
      <c r="AH58" s="663"/>
      <c r="AI58" s="663"/>
      <c r="AJ58" s="663"/>
      <c r="AK58" s="663"/>
      <c r="AL58" s="663"/>
      <c r="AM58" s="663"/>
      <c r="AN58" s="663"/>
      <c r="AO58" s="663"/>
      <c r="AP58" s="663"/>
      <c r="AQ58" s="663"/>
      <c r="AR58" s="663"/>
      <c r="AS58" s="663"/>
      <c r="AT58" s="663"/>
      <c r="AU58" s="663"/>
      <c r="CG58" s="656"/>
    </row>
    <row r="59" spans="1:85">
      <c r="A59" s="661"/>
      <c r="E59" s="663"/>
      <c r="F59" s="663"/>
      <c r="G59" s="663"/>
      <c r="H59" s="663"/>
      <c r="I59" s="663"/>
      <c r="J59" s="663"/>
      <c r="K59" s="663"/>
      <c r="L59" s="663"/>
      <c r="M59" s="663"/>
      <c r="N59" s="663"/>
      <c r="O59" s="663"/>
      <c r="P59" s="663"/>
      <c r="Q59" s="663"/>
      <c r="R59" s="663"/>
      <c r="S59" s="663"/>
      <c r="T59" s="663"/>
      <c r="U59" s="663"/>
      <c r="V59" s="663"/>
      <c r="W59" s="663"/>
      <c r="X59" s="663"/>
      <c r="Y59" s="663"/>
      <c r="Z59" s="663"/>
      <c r="AA59" s="663"/>
      <c r="AB59" s="663"/>
      <c r="AC59" s="663"/>
      <c r="AD59" s="663"/>
      <c r="AE59" s="663"/>
      <c r="AF59" s="663"/>
      <c r="AG59" s="663"/>
      <c r="AH59" s="663"/>
      <c r="AI59" s="663"/>
      <c r="AJ59" s="663"/>
      <c r="AK59" s="663"/>
      <c r="AL59" s="663"/>
      <c r="AM59" s="663"/>
      <c r="AN59" s="663"/>
      <c r="AO59" s="663"/>
      <c r="AP59" s="663"/>
      <c r="AQ59" s="663"/>
      <c r="AR59" s="663"/>
      <c r="AS59" s="663"/>
      <c r="AT59" s="663"/>
      <c r="AU59" s="663"/>
      <c r="CG59" s="656"/>
    </row>
    <row r="60" spans="1:85">
      <c r="A60" s="661"/>
      <c r="E60" s="663"/>
      <c r="F60" s="663"/>
      <c r="G60" s="663"/>
      <c r="H60" s="663"/>
      <c r="I60" s="663"/>
      <c r="J60" s="663"/>
      <c r="K60" s="663"/>
      <c r="L60" s="663"/>
      <c r="M60" s="663"/>
      <c r="N60" s="663"/>
      <c r="O60" s="663"/>
      <c r="P60" s="663"/>
      <c r="Q60" s="663"/>
      <c r="R60" s="663"/>
      <c r="S60" s="663"/>
      <c r="T60" s="663"/>
      <c r="U60" s="663"/>
      <c r="V60" s="663"/>
      <c r="W60" s="663"/>
      <c r="X60" s="663"/>
      <c r="Y60" s="663"/>
      <c r="Z60" s="663"/>
      <c r="AA60" s="663"/>
      <c r="AB60" s="663"/>
      <c r="AC60" s="663"/>
      <c r="AD60" s="663"/>
      <c r="AE60" s="663"/>
      <c r="AF60" s="663"/>
      <c r="AG60" s="663"/>
      <c r="AH60" s="663"/>
      <c r="AI60" s="663"/>
      <c r="AJ60" s="663"/>
      <c r="AK60" s="663"/>
      <c r="AL60" s="663"/>
      <c r="AM60" s="663"/>
      <c r="AN60" s="663"/>
      <c r="AO60" s="663"/>
      <c r="AP60" s="663"/>
      <c r="AQ60" s="663"/>
      <c r="AR60" s="663"/>
      <c r="AS60" s="663"/>
      <c r="AT60" s="663"/>
      <c r="AU60" s="663"/>
      <c r="CG60" s="656"/>
    </row>
    <row r="61" spans="1:85">
      <c r="A61" s="661"/>
      <c r="E61" s="663"/>
      <c r="F61" s="663"/>
      <c r="G61" s="663"/>
      <c r="H61" s="663"/>
      <c r="I61" s="663"/>
      <c r="J61" s="663"/>
      <c r="K61" s="663"/>
      <c r="L61" s="663"/>
      <c r="M61" s="663"/>
      <c r="N61" s="663"/>
      <c r="O61" s="663"/>
      <c r="P61" s="663"/>
      <c r="Q61" s="663"/>
      <c r="R61" s="663"/>
      <c r="S61" s="663"/>
      <c r="T61" s="663"/>
      <c r="U61" s="663"/>
      <c r="V61" s="663"/>
      <c r="W61" s="663"/>
      <c r="X61" s="663"/>
      <c r="Y61" s="663"/>
      <c r="Z61" s="663"/>
      <c r="AA61" s="663"/>
      <c r="AB61" s="663"/>
      <c r="AC61" s="663"/>
      <c r="AD61" s="663"/>
      <c r="AE61" s="663"/>
      <c r="AF61" s="663"/>
      <c r="AG61" s="663"/>
      <c r="AH61" s="663"/>
      <c r="AI61" s="663"/>
      <c r="AJ61" s="663"/>
      <c r="AK61" s="663"/>
      <c r="AL61" s="663"/>
      <c r="AM61" s="663"/>
      <c r="AN61" s="663"/>
      <c r="AO61" s="663"/>
      <c r="AP61" s="663"/>
      <c r="AQ61" s="663"/>
      <c r="AR61" s="663"/>
      <c r="AS61" s="663"/>
      <c r="AT61" s="663"/>
      <c r="AU61" s="663"/>
      <c r="CG61" s="656"/>
    </row>
    <row r="62" spans="1:85">
      <c r="A62" s="661"/>
      <c r="E62" s="663"/>
      <c r="F62" s="663"/>
      <c r="G62" s="663"/>
      <c r="H62" s="663"/>
      <c r="I62" s="663"/>
      <c r="J62" s="663"/>
      <c r="K62" s="663"/>
      <c r="L62" s="663"/>
      <c r="M62" s="663"/>
      <c r="N62" s="663"/>
      <c r="O62" s="663"/>
      <c r="P62" s="663"/>
      <c r="Q62" s="663"/>
      <c r="R62" s="663"/>
      <c r="S62" s="663"/>
      <c r="T62" s="663"/>
      <c r="U62" s="663"/>
      <c r="V62" s="663"/>
      <c r="W62" s="663"/>
      <c r="X62" s="663"/>
      <c r="Y62" s="663"/>
      <c r="Z62" s="663"/>
      <c r="AA62" s="663"/>
      <c r="AB62" s="663"/>
      <c r="AC62" s="663"/>
      <c r="AD62" s="663"/>
      <c r="AE62" s="663"/>
      <c r="AF62" s="663"/>
      <c r="AG62" s="663"/>
      <c r="AH62" s="663"/>
      <c r="AI62" s="663"/>
      <c r="AJ62" s="663"/>
      <c r="AK62" s="663"/>
      <c r="AL62" s="663"/>
      <c r="AM62" s="663"/>
      <c r="AN62" s="663"/>
      <c r="AO62" s="663"/>
      <c r="AP62" s="663"/>
      <c r="AQ62" s="663"/>
      <c r="AR62" s="663"/>
      <c r="AS62" s="663"/>
      <c r="AT62" s="663"/>
      <c r="AU62" s="663"/>
      <c r="CG62" s="656"/>
    </row>
    <row r="63" spans="1:85">
      <c r="A63" s="661"/>
      <c r="E63" s="663"/>
      <c r="F63" s="663"/>
      <c r="G63" s="663"/>
      <c r="H63" s="663"/>
      <c r="I63" s="663"/>
      <c r="J63" s="663"/>
      <c r="K63" s="663"/>
      <c r="L63" s="663"/>
      <c r="M63" s="663"/>
      <c r="N63" s="663"/>
      <c r="O63" s="663"/>
      <c r="P63" s="663"/>
      <c r="Q63" s="663"/>
      <c r="R63" s="663"/>
      <c r="S63" s="663"/>
      <c r="T63" s="663"/>
      <c r="U63" s="663"/>
      <c r="V63" s="663"/>
      <c r="W63" s="663"/>
      <c r="X63" s="663"/>
      <c r="Y63" s="663"/>
      <c r="Z63" s="663"/>
      <c r="AA63" s="663"/>
      <c r="AB63" s="663"/>
      <c r="AC63" s="663"/>
      <c r="AD63" s="663"/>
      <c r="AE63" s="663"/>
      <c r="AF63" s="663"/>
      <c r="AG63" s="663"/>
      <c r="AH63" s="663"/>
      <c r="AI63" s="663"/>
      <c r="AJ63" s="663"/>
      <c r="AK63" s="663"/>
      <c r="AL63" s="663"/>
      <c r="AM63" s="663"/>
      <c r="AN63" s="663"/>
      <c r="AO63" s="663"/>
      <c r="AP63" s="663"/>
      <c r="AQ63" s="663"/>
      <c r="AR63" s="663"/>
      <c r="AS63" s="663"/>
      <c r="AT63" s="663"/>
      <c r="AU63" s="663"/>
      <c r="CG63" s="656"/>
    </row>
    <row r="64" spans="1:85">
      <c r="A64" s="661"/>
      <c r="E64" s="663"/>
      <c r="F64" s="663"/>
      <c r="G64" s="663"/>
      <c r="H64" s="663"/>
      <c r="I64" s="663"/>
      <c r="J64" s="663"/>
      <c r="K64" s="663"/>
      <c r="L64" s="663"/>
      <c r="M64" s="663"/>
      <c r="N64" s="663"/>
      <c r="O64" s="663"/>
      <c r="P64" s="663"/>
      <c r="Q64" s="663"/>
      <c r="R64" s="663"/>
      <c r="S64" s="663"/>
      <c r="T64" s="663"/>
      <c r="U64" s="663"/>
      <c r="V64" s="663"/>
      <c r="W64" s="663"/>
      <c r="X64" s="663"/>
      <c r="Y64" s="663"/>
      <c r="Z64" s="663"/>
      <c r="AA64" s="663"/>
      <c r="AB64" s="663"/>
      <c r="AC64" s="663"/>
      <c r="AD64" s="663"/>
      <c r="AE64" s="663"/>
      <c r="AF64" s="663"/>
      <c r="AG64" s="663"/>
      <c r="AH64" s="663"/>
      <c r="AI64" s="663"/>
      <c r="AJ64" s="663"/>
      <c r="AK64" s="663"/>
      <c r="AL64" s="663"/>
      <c r="AM64" s="663"/>
      <c r="AN64" s="663"/>
      <c r="AO64" s="663"/>
      <c r="AP64" s="663"/>
      <c r="AQ64" s="663"/>
      <c r="AR64" s="663"/>
      <c r="AS64" s="663"/>
      <c r="AT64" s="663"/>
      <c r="AU64" s="663"/>
      <c r="CG64" s="656"/>
    </row>
    <row r="65" spans="1:85">
      <c r="A65" s="661"/>
      <c r="E65" s="663"/>
      <c r="F65" s="663"/>
      <c r="G65" s="663"/>
      <c r="H65" s="663"/>
      <c r="I65" s="663"/>
      <c r="J65" s="663"/>
      <c r="K65" s="663"/>
      <c r="L65" s="663"/>
      <c r="M65" s="663"/>
      <c r="N65" s="663"/>
      <c r="O65" s="663"/>
      <c r="P65" s="663"/>
      <c r="Q65" s="663"/>
      <c r="R65" s="663"/>
      <c r="S65" s="663"/>
      <c r="T65" s="663"/>
      <c r="U65" s="663"/>
      <c r="V65" s="663"/>
      <c r="W65" s="663"/>
      <c r="X65" s="663"/>
      <c r="Y65" s="663"/>
      <c r="Z65" s="663"/>
      <c r="AA65" s="663"/>
      <c r="AB65" s="663"/>
      <c r="AC65" s="663"/>
      <c r="AD65" s="663"/>
      <c r="AE65" s="663"/>
      <c r="AF65" s="663"/>
      <c r="AG65" s="663"/>
      <c r="AH65" s="663"/>
      <c r="AI65" s="663"/>
      <c r="AJ65" s="663"/>
      <c r="AK65" s="663"/>
      <c r="AL65" s="663"/>
      <c r="AM65" s="663"/>
      <c r="AN65" s="663"/>
      <c r="AO65" s="663"/>
      <c r="AP65" s="663"/>
      <c r="AQ65" s="663"/>
      <c r="AR65" s="663"/>
      <c r="AS65" s="663"/>
      <c r="AT65" s="663"/>
      <c r="AU65" s="663"/>
      <c r="CG65" s="656"/>
    </row>
    <row r="66" spans="1:85">
      <c r="A66" s="661"/>
      <c r="E66" s="663"/>
      <c r="F66" s="663"/>
      <c r="G66" s="663"/>
      <c r="H66" s="663"/>
      <c r="I66" s="663"/>
      <c r="J66" s="663"/>
      <c r="K66" s="663"/>
      <c r="L66" s="663"/>
      <c r="M66" s="663"/>
      <c r="N66" s="663"/>
      <c r="O66" s="663"/>
      <c r="P66" s="663"/>
      <c r="Q66" s="663"/>
      <c r="R66" s="663"/>
      <c r="S66" s="663"/>
      <c r="T66" s="663"/>
      <c r="U66" s="663"/>
      <c r="V66" s="663"/>
      <c r="W66" s="663"/>
      <c r="X66" s="663"/>
      <c r="Y66" s="663"/>
      <c r="Z66" s="663"/>
      <c r="AA66" s="663"/>
      <c r="AB66" s="663"/>
      <c r="AC66" s="663"/>
      <c r="AD66" s="663"/>
      <c r="AE66" s="663"/>
      <c r="AF66" s="663"/>
      <c r="AG66" s="663"/>
      <c r="AH66" s="663"/>
      <c r="AI66" s="663"/>
      <c r="AJ66" s="663"/>
      <c r="AK66" s="663"/>
      <c r="AL66" s="663"/>
      <c r="AM66" s="663"/>
      <c r="AN66" s="663"/>
      <c r="AO66" s="663"/>
      <c r="AP66" s="663"/>
      <c r="AQ66" s="663"/>
      <c r="AR66" s="663"/>
      <c r="AS66" s="663"/>
      <c r="AT66" s="663"/>
      <c r="AU66" s="663"/>
      <c r="CG66" s="656"/>
    </row>
    <row r="67" spans="1:85">
      <c r="A67" s="661"/>
      <c r="E67" s="663"/>
      <c r="F67" s="663"/>
      <c r="G67" s="663"/>
      <c r="H67" s="663"/>
      <c r="I67" s="663"/>
      <c r="J67" s="663"/>
      <c r="K67" s="663"/>
      <c r="L67" s="663"/>
      <c r="M67" s="663"/>
      <c r="N67" s="663"/>
      <c r="O67" s="663"/>
      <c r="P67" s="663"/>
      <c r="Q67" s="663"/>
      <c r="R67" s="663"/>
      <c r="S67" s="663"/>
      <c r="T67" s="663"/>
      <c r="U67" s="663"/>
      <c r="V67" s="663"/>
      <c r="W67" s="663"/>
      <c r="X67" s="663"/>
      <c r="Y67" s="663"/>
      <c r="Z67" s="663"/>
      <c r="AA67" s="663"/>
      <c r="AB67" s="663"/>
      <c r="AC67" s="663"/>
      <c r="AD67" s="663"/>
      <c r="AE67" s="663"/>
      <c r="AF67" s="663"/>
      <c r="AG67" s="663"/>
      <c r="AH67" s="663"/>
      <c r="AI67" s="663"/>
      <c r="AJ67" s="663"/>
      <c r="AK67" s="663"/>
      <c r="AL67" s="663"/>
      <c r="AM67" s="663"/>
      <c r="AN67" s="663"/>
      <c r="AO67" s="663"/>
      <c r="AP67" s="663"/>
      <c r="AQ67" s="663"/>
      <c r="AR67" s="663"/>
      <c r="AS67" s="663"/>
      <c r="AT67" s="663"/>
      <c r="AU67" s="663"/>
      <c r="CG67" s="656"/>
    </row>
    <row r="68" spans="1:85">
      <c r="A68" s="661"/>
      <c r="E68" s="663"/>
      <c r="F68" s="663"/>
      <c r="G68" s="663"/>
      <c r="H68" s="663"/>
      <c r="I68" s="663"/>
      <c r="J68" s="663"/>
      <c r="K68" s="663"/>
      <c r="L68" s="663"/>
      <c r="M68" s="663"/>
      <c r="N68" s="663"/>
      <c r="O68" s="663"/>
      <c r="P68" s="663"/>
      <c r="Q68" s="663"/>
      <c r="R68" s="663"/>
      <c r="S68" s="663"/>
      <c r="T68" s="663"/>
      <c r="U68" s="663"/>
      <c r="V68" s="663"/>
      <c r="W68" s="663"/>
      <c r="X68" s="663"/>
      <c r="Y68" s="663"/>
      <c r="Z68" s="663"/>
      <c r="AA68" s="663"/>
      <c r="AB68" s="663"/>
      <c r="AC68" s="663"/>
      <c r="AD68" s="663"/>
      <c r="AE68" s="663"/>
      <c r="AF68" s="663"/>
      <c r="AG68" s="663"/>
      <c r="AH68" s="663"/>
      <c r="AI68" s="663"/>
      <c r="AJ68" s="663"/>
      <c r="AK68" s="663"/>
      <c r="AL68" s="663"/>
      <c r="AM68" s="663"/>
      <c r="AN68" s="663"/>
      <c r="AO68" s="663"/>
      <c r="AP68" s="663"/>
      <c r="AQ68" s="663"/>
      <c r="AR68" s="663"/>
      <c r="AS68" s="663"/>
      <c r="AT68" s="663"/>
      <c r="AU68" s="663"/>
      <c r="CG68" s="656"/>
    </row>
    <row r="69" spans="1:85">
      <c r="A69" s="661"/>
      <c r="E69" s="663"/>
      <c r="F69" s="663"/>
      <c r="G69" s="663"/>
      <c r="H69" s="663"/>
      <c r="I69" s="663"/>
      <c r="J69" s="663"/>
      <c r="K69" s="663"/>
      <c r="L69" s="663"/>
      <c r="M69" s="663"/>
      <c r="N69" s="663"/>
      <c r="O69" s="663"/>
      <c r="P69" s="663"/>
      <c r="Q69" s="663"/>
      <c r="R69" s="663"/>
      <c r="S69" s="663"/>
      <c r="T69" s="663"/>
      <c r="U69" s="663"/>
      <c r="V69" s="663"/>
      <c r="W69" s="663"/>
      <c r="X69" s="663"/>
      <c r="Y69" s="663"/>
      <c r="Z69" s="663"/>
      <c r="AA69" s="663"/>
      <c r="AB69" s="663"/>
      <c r="AC69" s="663"/>
      <c r="AD69" s="663"/>
      <c r="AE69" s="663"/>
      <c r="AF69" s="663"/>
      <c r="AG69" s="663"/>
      <c r="AH69" s="663"/>
      <c r="AI69" s="663"/>
      <c r="AJ69" s="663"/>
      <c r="AK69" s="663"/>
      <c r="AL69" s="663"/>
      <c r="AM69" s="663"/>
      <c r="AN69" s="663"/>
      <c r="AO69" s="663"/>
      <c r="AP69" s="663"/>
      <c r="AQ69" s="663"/>
      <c r="AR69" s="663"/>
      <c r="AS69" s="663"/>
      <c r="AT69" s="663"/>
      <c r="AU69" s="663"/>
      <c r="CG69" s="656"/>
    </row>
    <row r="70" spans="1:85">
      <c r="A70" s="661"/>
      <c r="E70" s="663"/>
      <c r="F70" s="663"/>
      <c r="G70" s="663"/>
      <c r="H70" s="663"/>
      <c r="I70" s="663"/>
      <c r="J70" s="663"/>
      <c r="K70" s="663"/>
      <c r="L70" s="663"/>
      <c r="M70" s="663"/>
      <c r="N70" s="663"/>
      <c r="O70" s="663"/>
      <c r="P70" s="663"/>
      <c r="Q70" s="663"/>
      <c r="R70" s="663"/>
      <c r="S70" s="663"/>
      <c r="T70" s="663"/>
      <c r="U70" s="663"/>
      <c r="V70" s="663"/>
      <c r="W70" s="663"/>
      <c r="X70" s="663"/>
      <c r="Y70" s="663"/>
      <c r="Z70" s="663"/>
      <c r="AA70" s="663"/>
      <c r="AB70" s="663"/>
      <c r="AC70" s="663"/>
      <c r="AD70" s="663"/>
      <c r="AE70" s="663"/>
      <c r="AF70" s="663"/>
      <c r="AG70" s="663"/>
      <c r="AH70" s="663"/>
      <c r="AI70" s="663"/>
      <c r="AJ70" s="663"/>
      <c r="AK70" s="663"/>
      <c r="AL70" s="663"/>
      <c r="AM70" s="663"/>
      <c r="AN70" s="663"/>
      <c r="AO70" s="663"/>
      <c r="AP70" s="663"/>
      <c r="AQ70" s="663"/>
      <c r="AR70" s="663"/>
      <c r="AS70" s="663"/>
      <c r="AT70" s="663"/>
      <c r="AU70" s="663"/>
      <c r="CG70" s="656"/>
    </row>
    <row r="71" spans="1:85">
      <c r="A71" s="661"/>
      <c r="E71" s="663"/>
      <c r="F71" s="663"/>
      <c r="G71" s="663"/>
      <c r="H71" s="663"/>
      <c r="I71" s="663"/>
      <c r="J71" s="663"/>
      <c r="K71" s="663"/>
      <c r="L71" s="663"/>
      <c r="M71" s="663"/>
      <c r="N71" s="663"/>
      <c r="O71" s="663"/>
      <c r="P71" s="663"/>
      <c r="Q71" s="663"/>
      <c r="R71" s="663"/>
      <c r="S71" s="663"/>
      <c r="T71" s="663"/>
      <c r="U71" s="663"/>
      <c r="V71" s="663"/>
      <c r="W71" s="663"/>
      <c r="X71" s="663"/>
      <c r="Y71" s="663"/>
      <c r="Z71" s="663"/>
      <c r="AA71" s="663"/>
      <c r="AB71" s="663"/>
      <c r="AC71" s="663"/>
      <c r="AD71" s="663"/>
      <c r="AE71" s="663"/>
      <c r="AF71" s="663"/>
      <c r="AG71" s="663"/>
      <c r="AH71" s="663"/>
      <c r="AI71" s="663"/>
      <c r="AJ71" s="663"/>
      <c r="AK71" s="663"/>
      <c r="AL71" s="663"/>
      <c r="AM71" s="663"/>
      <c r="AN71" s="663"/>
      <c r="AO71" s="663"/>
      <c r="AP71" s="663"/>
      <c r="AQ71" s="663"/>
      <c r="AR71" s="663"/>
      <c r="AS71" s="663"/>
      <c r="AT71" s="663"/>
      <c r="AU71" s="663"/>
      <c r="CG71" s="656"/>
    </row>
    <row r="72" spans="1:85">
      <c r="A72" s="661"/>
      <c r="E72" s="663"/>
      <c r="F72" s="663"/>
      <c r="G72" s="663"/>
      <c r="H72" s="663"/>
      <c r="I72" s="663"/>
      <c r="J72" s="663"/>
      <c r="K72" s="663"/>
      <c r="L72" s="663"/>
      <c r="M72" s="663"/>
      <c r="N72" s="663"/>
      <c r="O72" s="663"/>
      <c r="P72" s="663"/>
      <c r="Q72" s="663"/>
      <c r="R72" s="663"/>
      <c r="S72" s="663"/>
      <c r="T72" s="663"/>
      <c r="U72" s="663"/>
      <c r="V72" s="663"/>
      <c r="W72" s="663"/>
      <c r="X72" s="663"/>
      <c r="Y72" s="663"/>
      <c r="Z72" s="663"/>
      <c r="AA72" s="663"/>
      <c r="AB72" s="663"/>
      <c r="AC72" s="663"/>
      <c r="AD72" s="663"/>
      <c r="AE72" s="663"/>
      <c r="AF72" s="663"/>
      <c r="AG72" s="663"/>
      <c r="AH72" s="663"/>
      <c r="AI72" s="663"/>
      <c r="AJ72" s="663"/>
      <c r="AK72" s="663"/>
      <c r="AL72" s="663"/>
      <c r="AM72" s="663"/>
      <c r="AN72" s="663"/>
      <c r="AO72" s="663"/>
      <c r="AP72" s="663"/>
      <c r="AQ72" s="663"/>
      <c r="AR72" s="663"/>
      <c r="AS72" s="663"/>
      <c r="AT72" s="663"/>
      <c r="AU72" s="663"/>
      <c r="CG72" s="656"/>
    </row>
    <row r="73" spans="1:85">
      <c r="A73" s="661"/>
      <c r="E73" s="663"/>
      <c r="F73" s="663"/>
      <c r="G73" s="663"/>
      <c r="H73" s="663"/>
      <c r="I73" s="663"/>
      <c r="J73" s="663"/>
      <c r="K73" s="663"/>
      <c r="L73" s="663"/>
      <c r="M73" s="663"/>
      <c r="N73" s="663"/>
      <c r="O73" s="663"/>
      <c r="P73" s="663"/>
      <c r="Q73" s="663"/>
      <c r="R73" s="663"/>
      <c r="S73" s="663"/>
      <c r="T73" s="663"/>
      <c r="U73" s="663"/>
      <c r="V73" s="663"/>
      <c r="W73" s="663"/>
      <c r="X73" s="663"/>
      <c r="Y73" s="663"/>
      <c r="Z73" s="663"/>
      <c r="AA73" s="663"/>
      <c r="AB73" s="663"/>
      <c r="AC73" s="663"/>
      <c r="AD73" s="663"/>
      <c r="AE73" s="663"/>
      <c r="AF73" s="663"/>
      <c r="AG73" s="663"/>
      <c r="AH73" s="663"/>
      <c r="AI73" s="663"/>
      <c r="AJ73" s="663"/>
      <c r="AK73" s="663"/>
      <c r="AL73" s="663"/>
      <c r="AM73" s="663"/>
      <c r="AN73" s="663"/>
      <c r="AO73" s="663"/>
      <c r="AP73" s="663"/>
      <c r="AQ73" s="663"/>
      <c r="AR73" s="663"/>
      <c r="AS73" s="663"/>
      <c r="AT73" s="663"/>
      <c r="AU73" s="663"/>
      <c r="CG73" s="656"/>
    </row>
    <row r="74" spans="1:85">
      <c r="A74" s="661"/>
      <c r="E74" s="663"/>
      <c r="F74" s="663"/>
      <c r="G74" s="663"/>
      <c r="H74" s="663"/>
      <c r="I74" s="663"/>
      <c r="J74" s="663"/>
      <c r="K74" s="663"/>
      <c r="L74" s="663"/>
      <c r="M74" s="663"/>
      <c r="N74" s="663"/>
      <c r="O74" s="663"/>
      <c r="P74" s="663"/>
      <c r="Q74" s="663"/>
      <c r="R74" s="663"/>
      <c r="S74" s="663"/>
      <c r="T74" s="663"/>
      <c r="U74" s="663"/>
      <c r="V74" s="663"/>
      <c r="W74" s="663"/>
      <c r="X74" s="663"/>
      <c r="Y74" s="663"/>
      <c r="Z74" s="663"/>
      <c r="AA74" s="663"/>
      <c r="AB74" s="663"/>
      <c r="AC74" s="663"/>
      <c r="AD74" s="663"/>
      <c r="AE74" s="663"/>
      <c r="AF74" s="663"/>
      <c r="AG74" s="663"/>
      <c r="AH74" s="663"/>
      <c r="AI74" s="663"/>
      <c r="AJ74" s="663"/>
      <c r="AK74" s="663"/>
      <c r="AL74" s="663"/>
      <c r="AM74" s="663"/>
      <c r="AN74" s="663"/>
      <c r="AO74" s="663"/>
      <c r="AP74" s="663"/>
      <c r="AQ74" s="663"/>
      <c r="AR74" s="663"/>
      <c r="AS74" s="663"/>
      <c r="AT74" s="663"/>
      <c r="AU74" s="663"/>
      <c r="CG74" s="656"/>
    </row>
    <row r="75" spans="1:85">
      <c r="A75" s="661"/>
      <c r="E75" s="663"/>
      <c r="F75" s="663"/>
      <c r="G75" s="663"/>
      <c r="H75" s="663"/>
      <c r="I75" s="663"/>
      <c r="J75" s="663"/>
      <c r="K75" s="663"/>
      <c r="L75" s="663"/>
      <c r="M75" s="663"/>
      <c r="N75" s="663"/>
      <c r="O75" s="663"/>
      <c r="P75" s="663"/>
      <c r="Q75" s="663"/>
      <c r="R75" s="663"/>
      <c r="S75" s="663"/>
      <c r="T75" s="663"/>
      <c r="U75" s="663"/>
      <c r="V75" s="663"/>
      <c r="W75" s="663"/>
      <c r="X75" s="663"/>
      <c r="Y75" s="663"/>
      <c r="Z75" s="663"/>
      <c r="AA75" s="663"/>
      <c r="AB75" s="663"/>
      <c r="AC75" s="663"/>
      <c r="AD75" s="663"/>
      <c r="AE75" s="663"/>
      <c r="AF75" s="663"/>
      <c r="AG75" s="663"/>
      <c r="AH75" s="663"/>
      <c r="AI75" s="663"/>
      <c r="AJ75" s="663"/>
      <c r="AK75" s="663"/>
      <c r="AL75" s="663"/>
      <c r="AM75" s="663"/>
      <c r="AN75" s="663"/>
      <c r="AO75" s="663"/>
      <c r="AP75" s="663"/>
      <c r="AQ75" s="663"/>
      <c r="AR75" s="663"/>
      <c r="AS75" s="663"/>
      <c r="AT75" s="663"/>
      <c r="AU75" s="663"/>
      <c r="CG75" s="656"/>
    </row>
    <row r="76" spans="1:85">
      <c r="A76" s="661"/>
      <c r="E76" s="663"/>
      <c r="F76" s="663"/>
      <c r="G76" s="663"/>
      <c r="H76" s="663"/>
      <c r="I76" s="663"/>
      <c r="J76" s="663"/>
      <c r="K76" s="663"/>
      <c r="L76" s="663"/>
      <c r="M76" s="663"/>
      <c r="N76" s="663"/>
      <c r="O76" s="663"/>
      <c r="P76" s="663"/>
      <c r="Q76" s="663"/>
      <c r="R76" s="663"/>
      <c r="S76" s="663"/>
      <c r="T76" s="663"/>
      <c r="U76" s="663"/>
      <c r="V76" s="663"/>
      <c r="W76" s="663"/>
      <c r="X76" s="663"/>
      <c r="Y76" s="663"/>
      <c r="Z76" s="663"/>
      <c r="AA76" s="663"/>
      <c r="AB76" s="663"/>
      <c r="AC76" s="663"/>
      <c r="AD76" s="663"/>
      <c r="AE76" s="663"/>
      <c r="AF76" s="663"/>
      <c r="AG76" s="663"/>
      <c r="AH76" s="663"/>
      <c r="AI76" s="663"/>
      <c r="AJ76" s="663"/>
      <c r="AK76" s="663"/>
      <c r="AL76" s="663"/>
      <c r="AM76" s="663"/>
      <c r="AN76" s="663"/>
      <c r="AO76" s="663"/>
      <c r="AP76" s="663"/>
      <c r="AQ76" s="663"/>
      <c r="AR76" s="663"/>
      <c r="AS76" s="663"/>
      <c r="AT76" s="663"/>
      <c r="AU76" s="663"/>
      <c r="CG76" s="656"/>
    </row>
    <row r="77" spans="1:85">
      <c r="A77" s="661"/>
      <c r="E77" s="663"/>
      <c r="F77" s="663"/>
      <c r="G77" s="663"/>
      <c r="H77" s="663"/>
      <c r="I77" s="663"/>
      <c r="J77" s="663"/>
      <c r="K77" s="663"/>
      <c r="L77" s="663"/>
      <c r="M77" s="663"/>
      <c r="N77" s="663"/>
      <c r="O77" s="663"/>
      <c r="P77" s="663"/>
      <c r="Q77" s="663"/>
      <c r="R77" s="663"/>
      <c r="S77" s="663"/>
      <c r="T77" s="663"/>
      <c r="U77" s="663"/>
      <c r="V77" s="663"/>
      <c r="W77" s="663"/>
      <c r="X77" s="663"/>
      <c r="Y77" s="663"/>
      <c r="Z77" s="663"/>
      <c r="AA77" s="663"/>
      <c r="AB77" s="663"/>
      <c r="AC77" s="663"/>
      <c r="AD77" s="663"/>
      <c r="AE77" s="663"/>
      <c r="AF77" s="663"/>
      <c r="AG77" s="663"/>
      <c r="AH77" s="663"/>
      <c r="AI77" s="663"/>
      <c r="AJ77" s="663"/>
      <c r="AK77" s="663"/>
      <c r="AL77" s="663"/>
      <c r="AM77" s="663"/>
      <c r="AN77" s="663"/>
      <c r="AO77" s="663"/>
      <c r="AP77" s="663"/>
      <c r="AQ77" s="663"/>
      <c r="AR77" s="663"/>
      <c r="AS77" s="663"/>
      <c r="AT77" s="663"/>
      <c r="AU77" s="663"/>
      <c r="CG77" s="656"/>
    </row>
    <row r="78" spans="1:85">
      <c r="A78" s="661"/>
      <c r="E78" s="663"/>
      <c r="F78" s="663"/>
      <c r="G78" s="663"/>
      <c r="H78" s="663"/>
      <c r="I78" s="663"/>
      <c r="J78" s="663"/>
      <c r="K78" s="663"/>
      <c r="L78" s="663"/>
      <c r="M78" s="663"/>
      <c r="N78" s="663"/>
      <c r="O78" s="663"/>
      <c r="P78" s="663"/>
      <c r="Q78" s="663"/>
      <c r="R78" s="663"/>
      <c r="S78" s="663"/>
      <c r="T78" s="663"/>
      <c r="U78" s="663"/>
      <c r="V78" s="663"/>
      <c r="W78" s="663"/>
      <c r="X78" s="663"/>
      <c r="Y78" s="663"/>
      <c r="Z78" s="663"/>
      <c r="AA78" s="663"/>
      <c r="AB78" s="663"/>
      <c r="AC78" s="663"/>
      <c r="AD78" s="663"/>
      <c r="AE78" s="663"/>
      <c r="AF78" s="663"/>
      <c r="AG78" s="663"/>
      <c r="AH78" s="663"/>
      <c r="AI78" s="663"/>
      <c r="AJ78" s="663"/>
      <c r="AK78" s="663"/>
      <c r="AL78" s="663"/>
      <c r="AM78" s="663"/>
      <c r="AN78" s="663"/>
      <c r="AO78" s="663"/>
      <c r="AP78" s="663"/>
      <c r="AQ78" s="663"/>
      <c r="AR78" s="663"/>
      <c r="AS78" s="663"/>
      <c r="AT78" s="663"/>
      <c r="AU78" s="663"/>
      <c r="CG78" s="656"/>
    </row>
    <row r="79" spans="1:85">
      <c r="A79" s="661"/>
      <c r="E79" s="663"/>
      <c r="F79" s="663"/>
      <c r="G79" s="663"/>
      <c r="H79" s="663"/>
      <c r="I79" s="663"/>
      <c r="J79" s="663"/>
      <c r="K79" s="663"/>
      <c r="L79" s="663"/>
      <c r="M79" s="663"/>
      <c r="N79" s="663"/>
      <c r="O79" s="663"/>
      <c r="P79" s="663"/>
      <c r="Q79" s="663"/>
      <c r="R79" s="663"/>
      <c r="S79" s="663"/>
      <c r="T79" s="663"/>
      <c r="U79" s="663"/>
      <c r="V79" s="663"/>
      <c r="W79" s="663"/>
      <c r="X79" s="663"/>
      <c r="Y79" s="663"/>
      <c r="Z79" s="663"/>
      <c r="AA79" s="663"/>
      <c r="AB79" s="663"/>
      <c r="AC79" s="663"/>
      <c r="AD79" s="663"/>
      <c r="AE79" s="663"/>
      <c r="AF79" s="663"/>
      <c r="AG79" s="663"/>
      <c r="AH79" s="663"/>
      <c r="AI79" s="663"/>
      <c r="AJ79" s="663"/>
      <c r="AK79" s="663"/>
      <c r="AL79" s="663"/>
      <c r="AM79" s="663"/>
      <c r="AN79" s="663"/>
      <c r="AO79" s="663"/>
      <c r="AP79" s="663"/>
      <c r="AQ79" s="663"/>
      <c r="AR79" s="663"/>
      <c r="AS79" s="663"/>
      <c r="AT79" s="663"/>
      <c r="AU79" s="663"/>
      <c r="CG79" s="656"/>
    </row>
    <row r="80" spans="1:85">
      <c r="A80" s="661"/>
      <c r="E80" s="663"/>
      <c r="F80" s="663"/>
      <c r="G80" s="663"/>
      <c r="H80" s="663"/>
      <c r="I80" s="663"/>
      <c r="J80" s="663"/>
      <c r="K80" s="663"/>
      <c r="L80" s="663"/>
      <c r="M80" s="663"/>
      <c r="N80" s="663"/>
      <c r="O80" s="663"/>
      <c r="P80" s="663"/>
      <c r="Q80" s="663"/>
      <c r="R80" s="663"/>
      <c r="S80" s="663"/>
      <c r="T80" s="663"/>
      <c r="U80" s="663"/>
      <c r="V80" s="663"/>
      <c r="W80" s="663"/>
      <c r="X80" s="663"/>
      <c r="Y80" s="663"/>
      <c r="Z80" s="663"/>
      <c r="AA80" s="663"/>
      <c r="AB80" s="663"/>
      <c r="AC80" s="663"/>
      <c r="AD80" s="663"/>
      <c r="AE80" s="663"/>
      <c r="AF80" s="663"/>
      <c r="AG80" s="663"/>
      <c r="AH80" s="663"/>
      <c r="AI80" s="663"/>
      <c r="AJ80" s="663"/>
      <c r="AK80" s="663"/>
      <c r="AL80" s="663"/>
      <c r="AM80" s="663"/>
      <c r="AN80" s="663"/>
      <c r="AO80" s="663"/>
      <c r="AP80" s="663"/>
      <c r="AQ80" s="663"/>
      <c r="AR80" s="663"/>
      <c r="AS80" s="663"/>
      <c r="AT80" s="663"/>
      <c r="AU80" s="663"/>
      <c r="CG80" s="656"/>
    </row>
    <row r="81" spans="1:85">
      <c r="A81" s="661"/>
      <c r="E81" s="663"/>
      <c r="F81" s="663"/>
      <c r="G81" s="663"/>
      <c r="H81" s="663"/>
      <c r="I81" s="663"/>
      <c r="J81" s="663"/>
      <c r="K81" s="663"/>
      <c r="L81" s="663"/>
      <c r="M81" s="663"/>
      <c r="N81" s="663"/>
      <c r="O81" s="663"/>
      <c r="P81" s="663"/>
      <c r="Q81" s="663"/>
      <c r="R81" s="663"/>
      <c r="S81" s="663"/>
      <c r="T81" s="663"/>
      <c r="U81" s="663"/>
      <c r="V81" s="663"/>
      <c r="W81" s="663"/>
      <c r="X81" s="663"/>
      <c r="Y81" s="663"/>
      <c r="Z81" s="663"/>
      <c r="AA81" s="663"/>
      <c r="AB81" s="663"/>
      <c r="AC81" s="663"/>
      <c r="AD81" s="663"/>
      <c r="AE81" s="663"/>
      <c r="AF81" s="663"/>
      <c r="AG81" s="663"/>
      <c r="AH81" s="663"/>
      <c r="AI81" s="663"/>
      <c r="AJ81" s="663"/>
      <c r="AK81" s="663"/>
      <c r="AL81" s="663"/>
      <c r="AM81" s="663"/>
      <c r="AN81" s="663"/>
      <c r="AO81" s="663"/>
      <c r="AP81" s="663"/>
      <c r="AQ81" s="663"/>
      <c r="AR81" s="663"/>
      <c r="AS81" s="663"/>
      <c r="AT81" s="663"/>
      <c r="AU81" s="663"/>
      <c r="CG81" s="656"/>
    </row>
    <row r="82" spans="1:85">
      <c r="A82" s="661"/>
      <c r="E82" s="663"/>
      <c r="F82" s="663"/>
      <c r="G82" s="663"/>
      <c r="H82" s="663"/>
      <c r="I82" s="663"/>
      <c r="J82" s="663"/>
      <c r="K82" s="663"/>
      <c r="L82" s="663"/>
      <c r="M82" s="663"/>
      <c r="N82" s="663"/>
      <c r="O82" s="663"/>
      <c r="P82" s="663"/>
      <c r="Q82" s="663"/>
      <c r="R82" s="663"/>
      <c r="S82" s="663"/>
      <c r="T82" s="663"/>
      <c r="U82" s="663"/>
      <c r="V82" s="663"/>
      <c r="W82" s="663"/>
      <c r="X82" s="663"/>
      <c r="Y82" s="663"/>
      <c r="Z82" s="663"/>
      <c r="AA82" s="663"/>
      <c r="AB82" s="663"/>
      <c r="AC82" s="663"/>
      <c r="AD82" s="663"/>
      <c r="AE82" s="663"/>
      <c r="AF82" s="663"/>
      <c r="AG82" s="663"/>
      <c r="AH82" s="663"/>
      <c r="AI82" s="663"/>
      <c r="AJ82" s="663"/>
      <c r="AK82" s="663"/>
      <c r="AL82" s="663"/>
      <c r="AM82" s="663"/>
      <c r="AN82" s="663"/>
      <c r="AO82" s="663"/>
      <c r="AP82" s="663"/>
      <c r="AQ82" s="663"/>
      <c r="AR82" s="663"/>
      <c r="AS82" s="663"/>
      <c r="AT82" s="663"/>
      <c r="AU82" s="663"/>
      <c r="CG82" s="656"/>
    </row>
    <row r="83" spans="1:85">
      <c r="A83" s="661"/>
      <c r="E83" s="663"/>
      <c r="F83" s="663"/>
      <c r="G83" s="663"/>
      <c r="H83" s="663"/>
      <c r="I83" s="663"/>
      <c r="J83" s="663"/>
      <c r="K83" s="663"/>
      <c r="L83" s="663"/>
      <c r="M83" s="663"/>
      <c r="N83" s="663"/>
      <c r="O83" s="663"/>
      <c r="P83" s="663"/>
      <c r="Q83" s="663"/>
      <c r="R83" s="663"/>
      <c r="S83" s="663"/>
      <c r="T83" s="663"/>
      <c r="U83" s="663"/>
      <c r="V83" s="663"/>
      <c r="W83" s="663"/>
      <c r="X83" s="663"/>
      <c r="Y83" s="663"/>
      <c r="Z83" s="663"/>
      <c r="AA83" s="663"/>
      <c r="AB83" s="663"/>
      <c r="AC83" s="663"/>
      <c r="AD83" s="663"/>
      <c r="AE83" s="663"/>
      <c r="AF83" s="663"/>
      <c r="AG83" s="663"/>
      <c r="AH83" s="663"/>
      <c r="AI83" s="663"/>
      <c r="AJ83" s="663"/>
      <c r="AK83" s="663"/>
      <c r="AL83" s="663"/>
      <c r="AM83" s="663"/>
      <c r="AN83" s="663"/>
      <c r="AO83" s="663"/>
      <c r="AP83" s="663"/>
      <c r="AQ83" s="663"/>
      <c r="AR83" s="663"/>
      <c r="AS83" s="663"/>
      <c r="AT83" s="663"/>
      <c r="AU83" s="663"/>
      <c r="CG83" s="656"/>
    </row>
    <row r="84" spans="1:85">
      <c r="A84" s="661"/>
      <c r="E84" s="663"/>
      <c r="F84" s="663"/>
      <c r="G84" s="663"/>
      <c r="H84" s="663"/>
      <c r="I84" s="663"/>
      <c r="J84" s="663"/>
      <c r="K84" s="663"/>
      <c r="L84" s="663"/>
      <c r="M84" s="663"/>
      <c r="N84" s="663"/>
      <c r="O84" s="663"/>
      <c r="P84" s="663"/>
      <c r="Q84" s="663"/>
      <c r="R84" s="663"/>
      <c r="S84" s="663"/>
      <c r="T84" s="663"/>
      <c r="U84" s="663"/>
      <c r="V84" s="663"/>
      <c r="W84" s="663"/>
      <c r="X84" s="663"/>
      <c r="Y84" s="663"/>
      <c r="Z84" s="663"/>
      <c r="AA84" s="663"/>
      <c r="AB84" s="663"/>
      <c r="AC84" s="663"/>
      <c r="AD84" s="663"/>
      <c r="AE84" s="663"/>
      <c r="AF84" s="663"/>
      <c r="AG84" s="663"/>
      <c r="AH84" s="663"/>
      <c r="AI84" s="663"/>
      <c r="AJ84" s="663"/>
      <c r="AK84" s="663"/>
      <c r="AL84" s="663"/>
      <c r="AM84" s="663"/>
      <c r="AN84" s="663"/>
      <c r="AO84" s="663"/>
      <c r="AP84" s="663"/>
      <c r="AQ84" s="663"/>
      <c r="AR84" s="663"/>
      <c r="AS84" s="663"/>
      <c r="AT84" s="663"/>
      <c r="AU84" s="663"/>
      <c r="CG84" s="656"/>
    </row>
    <row r="85" spans="1:85">
      <c r="A85" s="661"/>
      <c r="E85" s="663"/>
      <c r="F85" s="663"/>
      <c r="G85" s="663"/>
      <c r="H85" s="663"/>
      <c r="I85" s="663"/>
      <c r="J85" s="663"/>
      <c r="K85" s="663"/>
      <c r="L85" s="663"/>
      <c r="M85" s="663"/>
      <c r="N85" s="663"/>
      <c r="O85" s="663"/>
      <c r="P85" s="663"/>
      <c r="Q85" s="663"/>
      <c r="R85" s="663"/>
      <c r="S85" s="663"/>
      <c r="T85" s="663"/>
      <c r="U85" s="663"/>
      <c r="V85" s="663"/>
      <c r="W85" s="663"/>
      <c r="X85" s="663"/>
      <c r="Y85" s="663"/>
      <c r="Z85" s="663"/>
      <c r="AA85" s="663"/>
      <c r="AB85" s="663"/>
      <c r="AC85" s="663"/>
      <c r="AD85" s="663"/>
      <c r="AE85" s="663"/>
      <c r="AF85" s="663"/>
      <c r="AG85" s="663"/>
      <c r="AH85" s="663"/>
      <c r="AI85" s="663"/>
      <c r="AJ85" s="663"/>
      <c r="AK85" s="663"/>
      <c r="AL85" s="663"/>
      <c r="AM85" s="663"/>
      <c r="AN85" s="663"/>
      <c r="AO85" s="663"/>
      <c r="AP85" s="663"/>
      <c r="AQ85" s="663"/>
      <c r="AR85" s="663"/>
      <c r="AS85" s="663"/>
      <c r="AT85" s="663"/>
      <c r="AU85" s="663"/>
      <c r="CG85" s="656"/>
    </row>
    <row r="86" spans="1:85">
      <c r="A86" s="661"/>
      <c r="E86" s="663"/>
      <c r="F86" s="663"/>
      <c r="G86" s="663"/>
      <c r="H86" s="663"/>
      <c r="I86" s="663"/>
      <c r="J86" s="663"/>
      <c r="K86" s="663"/>
      <c r="L86" s="663"/>
      <c r="M86" s="663"/>
      <c r="N86" s="663"/>
      <c r="O86" s="663"/>
      <c r="P86" s="663"/>
      <c r="Q86" s="663"/>
      <c r="R86" s="663"/>
      <c r="S86" s="663"/>
      <c r="T86" s="663"/>
      <c r="U86" s="663"/>
      <c r="V86" s="663"/>
      <c r="W86" s="663"/>
      <c r="X86" s="663"/>
      <c r="Y86" s="663"/>
      <c r="Z86" s="663"/>
      <c r="AA86" s="663"/>
      <c r="AB86" s="663"/>
      <c r="AC86" s="663"/>
      <c r="AD86" s="663"/>
      <c r="AE86" s="663"/>
      <c r="AF86" s="663"/>
      <c r="AG86" s="663"/>
      <c r="AH86" s="663"/>
      <c r="AI86" s="663"/>
      <c r="AJ86" s="663"/>
      <c r="AK86" s="663"/>
      <c r="AL86" s="663"/>
      <c r="AM86" s="663"/>
      <c r="AN86" s="663"/>
      <c r="AO86" s="663"/>
      <c r="AP86" s="663"/>
      <c r="AQ86" s="663"/>
      <c r="AR86" s="663"/>
      <c r="AS86" s="663"/>
      <c r="AT86" s="663"/>
      <c r="AU86" s="663"/>
      <c r="CG86" s="656"/>
    </row>
    <row r="87" spans="1:85">
      <c r="A87" s="661"/>
      <c r="E87" s="663"/>
      <c r="F87" s="663"/>
      <c r="G87" s="663"/>
      <c r="H87" s="663"/>
      <c r="I87" s="663"/>
      <c r="J87" s="663"/>
      <c r="K87" s="663"/>
      <c r="L87" s="663"/>
      <c r="M87" s="663"/>
      <c r="N87" s="663"/>
      <c r="O87" s="663"/>
      <c r="P87" s="663"/>
      <c r="Q87" s="663"/>
      <c r="R87" s="663"/>
      <c r="S87" s="663"/>
      <c r="T87" s="663"/>
      <c r="U87" s="663"/>
      <c r="V87" s="663"/>
      <c r="W87" s="663"/>
      <c r="X87" s="663"/>
      <c r="Y87" s="663"/>
      <c r="Z87" s="663"/>
      <c r="AA87" s="663"/>
      <c r="AB87" s="663"/>
      <c r="AC87" s="663"/>
      <c r="AD87" s="663"/>
      <c r="AE87" s="663"/>
      <c r="AF87" s="663"/>
      <c r="AG87" s="663"/>
      <c r="AH87" s="663"/>
      <c r="AI87" s="663"/>
      <c r="AJ87" s="663"/>
      <c r="AK87" s="663"/>
      <c r="AL87" s="663"/>
      <c r="AM87" s="663"/>
      <c r="AN87" s="663"/>
      <c r="AO87" s="663"/>
      <c r="AP87" s="663"/>
      <c r="AQ87" s="663"/>
      <c r="AR87" s="663"/>
      <c r="AS87" s="663"/>
      <c r="AT87" s="663"/>
      <c r="AU87" s="663"/>
      <c r="CG87" s="656"/>
    </row>
    <row r="88" spans="1:85">
      <c r="A88" s="661"/>
      <c r="E88" s="663"/>
      <c r="F88" s="663"/>
      <c r="G88" s="663"/>
      <c r="H88" s="663"/>
      <c r="I88" s="663"/>
      <c r="J88" s="663"/>
      <c r="K88" s="663"/>
      <c r="L88" s="663"/>
      <c r="M88" s="663"/>
      <c r="N88" s="663"/>
      <c r="O88" s="663"/>
      <c r="P88" s="663"/>
      <c r="Q88" s="663"/>
      <c r="R88" s="663"/>
      <c r="S88" s="663"/>
      <c r="T88" s="663"/>
      <c r="U88" s="663"/>
      <c r="V88" s="663"/>
      <c r="W88" s="663"/>
      <c r="X88" s="663"/>
      <c r="Y88" s="663"/>
      <c r="Z88" s="663"/>
      <c r="AA88" s="663"/>
      <c r="AB88" s="663"/>
      <c r="AC88" s="663"/>
      <c r="AD88" s="663"/>
      <c r="AE88" s="663"/>
      <c r="AF88" s="663"/>
      <c r="AG88" s="663"/>
      <c r="AH88" s="663"/>
      <c r="AI88" s="663"/>
      <c r="AJ88" s="663"/>
      <c r="AK88" s="663"/>
      <c r="AL88" s="663"/>
      <c r="AM88" s="663"/>
      <c r="AN88" s="663"/>
      <c r="AO88" s="663"/>
      <c r="AP88" s="663"/>
      <c r="AQ88" s="663"/>
      <c r="AR88" s="663"/>
      <c r="AS88" s="663"/>
      <c r="AT88" s="663"/>
      <c r="AU88" s="663"/>
      <c r="CG88" s="656"/>
    </row>
    <row r="89" spans="1:85">
      <c r="A89" s="661"/>
      <c r="E89" s="663"/>
      <c r="F89" s="663"/>
      <c r="G89" s="663"/>
      <c r="H89" s="663"/>
      <c r="I89" s="663"/>
      <c r="J89" s="663"/>
      <c r="K89" s="663"/>
      <c r="L89" s="663"/>
      <c r="M89" s="663"/>
      <c r="N89" s="663"/>
      <c r="O89" s="663"/>
      <c r="P89" s="663"/>
      <c r="Q89" s="663"/>
      <c r="R89" s="663"/>
      <c r="S89" s="663"/>
      <c r="T89" s="663"/>
      <c r="U89" s="663"/>
      <c r="V89" s="663"/>
      <c r="W89" s="663"/>
      <c r="X89" s="663"/>
      <c r="Y89" s="663"/>
      <c r="Z89" s="663"/>
      <c r="AA89" s="663"/>
      <c r="AB89" s="663"/>
      <c r="AC89" s="663"/>
      <c r="AD89" s="663"/>
      <c r="AE89" s="663"/>
      <c r="AF89" s="663"/>
      <c r="AG89" s="663"/>
      <c r="AH89" s="663"/>
      <c r="AI89" s="663"/>
      <c r="AJ89" s="663"/>
      <c r="AK89" s="663"/>
      <c r="AL89" s="663"/>
      <c r="AM89" s="663"/>
      <c r="AN89" s="663"/>
      <c r="AO89" s="663"/>
      <c r="AP89" s="663"/>
      <c r="AQ89" s="663"/>
      <c r="AR89" s="663"/>
      <c r="AS89" s="663"/>
      <c r="AT89" s="663"/>
      <c r="AU89" s="663"/>
      <c r="CG89" s="656"/>
    </row>
    <row r="90" spans="1:85">
      <c r="A90" s="661"/>
      <c r="E90" s="663"/>
      <c r="F90" s="663"/>
      <c r="G90" s="663"/>
      <c r="H90" s="663"/>
      <c r="I90" s="663"/>
      <c r="J90" s="663"/>
      <c r="K90" s="663"/>
      <c r="L90" s="663"/>
      <c r="M90" s="663"/>
      <c r="N90" s="663"/>
      <c r="O90" s="663"/>
      <c r="P90" s="663"/>
      <c r="Q90" s="663"/>
      <c r="R90" s="663"/>
      <c r="S90" s="663"/>
      <c r="T90" s="663"/>
      <c r="U90" s="663"/>
      <c r="V90" s="663"/>
      <c r="W90" s="663"/>
      <c r="X90" s="663"/>
      <c r="Y90" s="663"/>
      <c r="Z90" s="663"/>
      <c r="AA90" s="663"/>
      <c r="AB90" s="663"/>
      <c r="AC90" s="663"/>
      <c r="AD90" s="663"/>
      <c r="AE90" s="663"/>
      <c r="AF90" s="663"/>
      <c r="AG90" s="663"/>
      <c r="AH90" s="663"/>
      <c r="AI90" s="663"/>
      <c r="AJ90" s="663"/>
      <c r="AK90" s="663"/>
      <c r="AL90" s="663"/>
      <c r="AM90" s="663"/>
      <c r="AN90" s="663"/>
      <c r="AO90" s="663"/>
      <c r="AP90" s="663"/>
      <c r="AQ90" s="663"/>
      <c r="AR90" s="663"/>
      <c r="AS90" s="663"/>
      <c r="AT90" s="663"/>
      <c r="AU90" s="663"/>
      <c r="CG90" s="656"/>
    </row>
    <row r="91" spans="1:85">
      <c r="A91" s="661"/>
      <c r="E91" s="663"/>
      <c r="F91" s="663"/>
      <c r="G91" s="663"/>
      <c r="H91" s="663"/>
      <c r="I91" s="663"/>
      <c r="J91" s="663"/>
      <c r="K91" s="663"/>
      <c r="L91" s="663"/>
      <c r="M91" s="663"/>
      <c r="N91" s="663"/>
      <c r="O91" s="663"/>
      <c r="P91" s="663"/>
      <c r="Q91" s="663"/>
      <c r="R91" s="663"/>
      <c r="S91" s="663"/>
      <c r="T91" s="663"/>
      <c r="U91" s="663"/>
      <c r="V91" s="663"/>
      <c r="W91" s="663"/>
      <c r="X91" s="663"/>
      <c r="Y91" s="663"/>
      <c r="Z91" s="663"/>
      <c r="AA91" s="663"/>
      <c r="AB91" s="663"/>
      <c r="AC91" s="663"/>
      <c r="AD91" s="663"/>
      <c r="AE91" s="663"/>
      <c r="AF91" s="663"/>
      <c r="AG91" s="663"/>
      <c r="AH91" s="663"/>
      <c r="AI91" s="663"/>
      <c r="AJ91" s="663"/>
      <c r="AK91" s="663"/>
      <c r="AL91" s="663"/>
      <c r="AM91" s="663"/>
      <c r="AN91" s="663"/>
      <c r="AO91" s="663"/>
      <c r="AP91" s="663"/>
      <c r="AQ91" s="663"/>
      <c r="AR91" s="663"/>
      <c r="AS91" s="663"/>
      <c r="AT91" s="663"/>
      <c r="AU91" s="663"/>
      <c r="CG91" s="656"/>
    </row>
    <row r="92" spans="1:85">
      <c r="A92" s="661"/>
      <c r="E92" s="657" t="s">
        <v>678</v>
      </c>
      <c r="I92" s="657" t="s">
        <v>453</v>
      </c>
      <c r="CG92" s="656"/>
    </row>
    <row r="93" spans="1:85">
      <c r="A93" s="661"/>
      <c r="CG93" s="656"/>
    </row>
    <row r="94" spans="1:85">
      <c r="A94" s="661"/>
      <c r="E94" s="657" t="s">
        <v>679</v>
      </c>
      <c r="F94" s="663"/>
      <c r="G94" s="663"/>
      <c r="I94" s="663" t="s">
        <v>454</v>
      </c>
      <c r="CG94" s="656"/>
    </row>
    <row r="95" spans="1:85">
      <c r="A95" s="661"/>
      <c r="E95" s="663"/>
      <c r="F95" s="663"/>
      <c r="G95" s="663"/>
      <c r="H95" s="663"/>
      <c r="I95" s="663"/>
      <c r="J95" s="663"/>
      <c r="K95" s="663"/>
      <c r="L95" s="663"/>
      <c r="M95" s="663"/>
      <c r="N95" s="663"/>
      <c r="O95" s="663"/>
      <c r="P95" s="663"/>
      <c r="Q95" s="663"/>
      <c r="R95" s="663"/>
      <c r="S95" s="663"/>
      <c r="T95" s="663"/>
      <c r="U95" s="663"/>
      <c r="V95" s="663"/>
      <c r="W95" s="663"/>
      <c r="X95" s="663"/>
      <c r="Y95" s="663"/>
      <c r="Z95" s="663"/>
      <c r="AA95" s="663"/>
      <c r="AB95" s="663"/>
      <c r="AC95" s="663"/>
      <c r="AD95" s="663"/>
      <c r="AE95" s="663"/>
      <c r="AF95" s="663"/>
      <c r="AG95" s="663"/>
      <c r="AH95" s="663"/>
      <c r="AI95" s="663"/>
      <c r="AJ95" s="663"/>
      <c r="AK95" s="663"/>
      <c r="AL95" s="663"/>
      <c r="AM95" s="663"/>
      <c r="AN95" s="663"/>
      <c r="AO95" s="663"/>
      <c r="AP95" s="663"/>
      <c r="AQ95" s="663"/>
      <c r="AR95" s="663"/>
      <c r="AS95" s="663"/>
      <c r="AT95" s="663"/>
      <c r="AU95" s="663"/>
      <c r="CG95" s="656"/>
    </row>
    <row r="96" spans="1:85">
      <c r="A96" s="661"/>
      <c r="E96" s="663"/>
      <c r="F96" s="886" t="s">
        <v>624</v>
      </c>
      <c r="G96" s="887"/>
      <c r="H96" s="887"/>
      <c r="I96" s="887"/>
      <c r="J96" s="887"/>
      <c r="K96" s="887"/>
      <c r="L96" s="887"/>
      <c r="M96" s="887"/>
      <c r="N96" s="888"/>
      <c r="O96" s="943" t="s">
        <v>625</v>
      </c>
      <c r="P96" s="905"/>
      <c r="Q96" s="905"/>
      <c r="R96" s="905"/>
      <c r="S96" s="905"/>
      <c r="T96" s="905"/>
      <c r="U96" s="905"/>
      <c r="V96" s="905"/>
      <c r="W96" s="905"/>
      <c r="X96" s="905"/>
      <c r="Y96" s="905"/>
      <c r="Z96" s="905"/>
      <c r="AA96" s="905"/>
      <c r="AB96" s="905"/>
      <c r="AC96" s="905"/>
      <c r="AD96" s="905"/>
      <c r="AE96" s="905"/>
      <c r="AF96" s="905"/>
      <c r="AG96" s="905"/>
      <c r="AH96" s="905"/>
      <c r="AI96" s="905"/>
      <c r="AJ96" s="905"/>
      <c r="AK96" s="905"/>
      <c r="AL96" s="905"/>
      <c r="AM96" s="905"/>
      <c r="AN96" s="905"/>
      <c r="AO96" s="905"/>
      <c r="AP96" s="905"/>
      <c r="AQ96" s="905"/>
      <c r="AR96" s="905"/>
      <c r="AS96" s="905"/>
      <c r="AT96" s="905"/>
      <c r="AU96" s="906"/>
      <c r="CG96" s="656"/>
    </row>
    <row r="97" spans="1:85">
      <c r="A97" s="661"/>
      <c r="E97" s="663"/>
      <c r="F97" s="944" t="s">
        <v>455</v>
      </c>
      <c r="G97" s="945"/>
      <c r="H97" s="945"/>
      <c r="I97" s="945"/>
      <c r="J97" s="945"/>
      <c r="K97" s="945"/>
      <c r="L97" s="945"/>
      <c r="M97" s="945"/>
      <c r="N97" s="946"/>
      <c r="O97" s="950" t="s">
        <v>626</v>
      </c>
      <c r="P97" s="951"/>
      <c r="Q97" s="951"/>
      <c r="R97" s="951"/>
      <c r="S97" s="951"/>
      <c r="T97" s="951"/>
      <c r="U97" s="951"/>
      <c r="V97" s="951"/>
      <c r="W97" s="951"/>
      <c r="X97" s="951"/>
      <c r="Y97" s="951"/>
      <c r="Z97" s="951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51"/>
      <c r="AN97" s="951"/>
      <c r="AO97" s="951"/>
      <c r="AP97" s="951"/>
      <c r="AQ97" s="951"/>
      <c r="AR97" s="951"/>
      <c r="AS97" s="951"/>
      <c r="AT97" s="951"/>
      <c r="AU97" s="952"/>
      <c r="CG97" s="656"/>
    </row>
    <row r="98" spans="1:85">
      <c r="A98" s="661"/>
      <c r="E98" s="663"/>
      <c r="F98" s="947"/>
      <c r="G98" s="948"/>
      <c r="H98" s="948"/>
      <c r="I98" s="948"/>
      <c r="J98" s="948"/>
      <c r="K98" s="948"/>
      <c r="L98" s="948"/>
      <c r="M98" s="948"/>
      <c r="N98" s="949"/>
      <c r="O98" s="950" t="s">
        <v>627</v>
      </c>
      <c r="P98" s="951"/>
      <c r="Q98" s="951"/>
      <c r="R98" s="951"/>
      <c r="S98" s="951"/>
      <c r="T98" s="951"/>
      <c r="U98" s="951"/>
      <c r="V98" s="951"/>
      <c r="W98" s="951"/>
      <c r="X98" s="951"/>
      <c r="Y98" s="951"/>
      <c r="Z98" s="951"/>
      <c r="AA98" s="951"/>
      <c r="AB98" s="951"/>
      <c r="AC98" s="951"/>
      <c r="AD98" s="951"/>
      <c r="AE98" s="951"/>
      <c r="AF98" s="951"/>
      <c r="AG98" s="951"/>
      <c r="AH98" s="951"/>
      <c r="AI98" s="951"/>
      <c r="AJ98" s="951"/>
      <c r="AK98" s="951"/>
      <c r="AL98" s="951"/>
      <c r="AM98" s="951"/>
      <c r="AN98" s="951"/>
      <c r="AO98" s="951"/>
      <c r="AP98" s="951"/>
      <c r="AQ98" s="951"/>
      <c r="AR98" s="951"/>
      <c r="AS98" s="951"/>
      <c r="AT98" s="951"/>
      <c r="AU98" s="952"/>
      <c r="CG98" s="656"/>
    </row>
    <row r="99" spans="1:85">
      <c r="A99" s="661"/>
      <c r="E99" s="663"/>
      <c r="F99" s="664" t="s">
        <v>456</v>
      </c>
      <c r="G99" s="664"/>
      <c r="H99" s="664"/>
      <c r="I99" s="664"/>
      <c r="J99" s="664"/>
      <c r="K99" s="664"/>
      <c r="L99" s="664"/>
      <c r="M99" s="664"/>
      <c r="N99" s="664"/>
      <c r="O99" s="665"/>
      <c r="P99" s="665"/>
      <c r="Q99" s="665"/>
      <c r="R99" s="665"/>
      <c r="S99" s="665"/>
      <c r="T99" s="665"/>
      <c r="U99" s="665"/>
      <c r="V99" s="665"/>
      <c r="W99" s="665"/>
      <c r="X99" s="665"/>
      <c r="Y99" s="665"/>
      <c r="Z99" s="665"/>
      <c r="AA99" s="665"/>
      <c r="AB99" s="665"/>
      <c r="AC99" s="665"/>
      <c r="AD99" s="665"/>
      <c r="AE99" s="665"/>
      <c r="AF99" s="665"/>
      <c r="AG99" s="665"/>
      <c r="AH99" s="665"/>
      <c r="AI99" s="665"/>
      <c r="AJ99" s="665"/>
      <c r="AK99" s="665"/>
      <c r="AL99" s="665"/>
      <c r="AM99" s="665"/>
      <c r="AN99" s="665"/>
      <c r="AO99" s="665"/>
      <c r="AP99" s="665"/>
      <c r="AQ99" s="665"/>
      <c r="AR99" s="665"/>
      <c r="AS99" s="665"/>
      <c r="AT99" s="665"/>
      <c r="AU99" s="665"/>
      <c r="CG99" s="656"/>
    </row>
    <row r="100" spans="1:85">
      <c r="A100" s="661"/>
      <c r="E100" s="663"/>
      <c r="F100" s="664" t="s">
        <v>457</v>
      </c>
      <c r="G100" s="664"/>
      <c r="H100" s="664"/>
      <c r="I100" s="664"/>
      <c r="J100" s="664"/>
      <c r="K100" s="664"/>
      <c r="L100" s="664"/>
      <c r="M100" s="664"/>
      <c r="N100" s="664"/>
      <c r="O100" s="665"/>
      <c r="P100" s="665"/>
      <c r="Q100" s="665"/>
      <c r="R100" s="665"/>
      <c r="S100" s="665"/>
      <c r="T100" s="665"/>
      <c r="U100" s="665"/>
      <c r="V100" s="665"/>
      <c r="W100" s="665"/>
      <c r="X100" s="665"/>
      <c r="Y100" s="665"/>
      <c r="Z100" s="665"/>
      <c r="AA100" s="665"/>
      <c r="AB100" s="665"/>
      <c r="AC100" s="665"/>
      <c r="AD100" s="665"/>
      <c r="AE100" s="665"/>
      <c r="AF100" s="665"/>
      <c r="AG100" s="665"/>
      <c r="AH100" s="665"/>
      <c r="AI100" s="665"/>
      <c r="AJ100" s="665"/>
      <c r="AK100" s="665"/>
      <c r="AL100" s="665"/>
      <c r="AM100" s="665"/>
      <c r="AN100" s="665"/>
      <c r="AO100" s="665"/>
      <c r="AP100" s="665"/>
      <c r="AQ100" s="665"/>
      <c r="AR100" s="665"/>
      <c r="AS100" s="665"/>
      <c r="AT100" s="665"/>
      <c r="AU100" s="665"/>
      <c r="CG100" s="656"/>
    </row>
    <row r="101" spans="1:85">
      <c r="A101" s="661"/>
      <c r="E101" s="663"/>
      <c r="F101" s="664"/>
      <c r="G101" s="664"/>
      <c r="H101" s="664" t="s">
        <v>458</v>
      </c>
      <c r="I101" s="664"/>
      <c r="J101" s="664"/>
      <c r="K101" s="664"/>
      <c r="L101" s="664"/>
      <c r="M101" s="664"/>
      <c r="N101" s="664"/>
      <c r="O101" s="665"/>
      <c r="P101" s="665"/>
      <c r="Q101" s="665"/>
      <c r="R101" s="665"/>
      <c r="S101" s="665"/>
      <c r="T101" s="665"/>
      <c r="U101" s="665"/>
      <c r="V101" s="665"/>
      <c r="W101" s="665"/>
      <c r="X101" s="665"/>
      <c r="Y101" s="665"/>
      <c r="Z101" s="665"/>
      <c r="AA101" s="665"/>
      <c r="AB101" s="665"/>
      <c r="AC101" s="665"/>
      <c r="AD101" s="665"/>
      <c r="AE101" s="665"/>
      <c r="AF101" s="665"/>
      <c r="AG101" s="665"/>
      <c r="AH101" s="665"/>
      <c r="AI101" s="665"/>
      <c r="AJ101" s="665"/>
      <c r="AK101" s="665"/>
      <c r="AL101" s="665"/>
      <c r="AM101" s="665"/>
      <c r="AN101" s="665"/>
      <c r="AO101" s="665"/>
      <c r="AP101" s="665"/>
      <c r="AQ101" s="665"/>
      <c r="AR101" s="665"/>
      <c r="AS101" s="665"/>
      <c r="AT101" s="665"/>
      <c r="AU101" s="665"/>
      <c r="CG101" s="656"/>
    </row>
    <row r="102" spans="1:85">
      <c r="A102" s="661"/>
      <c r="E102" s="663"/>
      <c r="F102" s="664"/>
      <c r="G102" s="664"/>
      <c r="H102" s="664" t="s">
        <v>459</v>
      </c>
      <c r="I102" s="664"/>
      <c r="J102" s="664"/>
      <c r="K102" s="664"/>
      <c r="L102" s="664"/>
      <c r="M102" s="664"/>
      <c r="N102" s="664"/>
      <c r="O102" s="665"/>
      <c r="P102" s="665"/>
      <c r="Q102" s="665"/>
      <c r="R102" s="665"/>
      <c r="S102" s="665"/>
      <c r="T102" s="665"/>
      <c r="U102" s="665"/>
      <c r="V102" s="665"/>
      <c r="W102" s="665"/>
      <c r="X102" s="665"/>
      <c r="Y102" s="665"/>
      <c r="Z102" s="665"/>
      <c r="AA102" s="665"/>
      <c r="AB102" s="665"/>
      <c r="AC102" s="665"/>
      <c r="AD102" s="665"/>
      <c r="AE102" s="665"/>
      <c r="AF102" s="665"/>
      <c r="AG102" s="665"/>
      <c r="AH102" s="665"/>
      <c r="AI102" s="665"/>
      <c r="AJ102" s="665"/>
      <c r="AK102" s="665"/>
      <c r="AL102" s="665"/>
      <c r="AM102" s="665"/>
      <c r="AN102" s="665"/>
      <c r="AO102" s="665"/>
      <c r="AP102" s="665"/>
      <c r="AQ102" s="665"/>
      <c r="AR102" s="665"/>
      <c r="AS102" s="665"/>
      <c r="AT102" s="665"/>
      <c r="AU102" s="665"/>
      <c r="CG102" s="656"/>
    </row>
    <row r="103" spans="1:85">
      <c r="A103" s="661"/>
      <c r="E103" s="663"/>
      <c r="F103" s="664"/>
      <c r="G103" s="664"/>
      <c r="H103" s="664" t="s">
        <v>460</v>
      </c>
      <c r="I103" s="664"/>
      <c r="J103" s="664"/>
      <c r="K103" s="664"/>
      <c r="L103" s="664"/>
      <c r="M103" s="664"/>
      <c r="N103" s="664"/>
      <c r="O103" s="665"/>
      <c r="P103" s="665"/>
      <c r="Q103" s="665"/>
      <c r="R103" s="665"/>
      <c r="S103" s="665"/>
      <c r="T103" s="665"/>
      <c r="U103" s="665"/>
      <c r="V103" s="665"/>
      <c r="W103" s="665"/>
      <c r="X103" s="665"/>
      <c r="Y103" s="665"/>
      <c r="Z103" s="665"/>
      <c r="AA103" s="665"/>
      <c r="AB103" s="665"/>
      <c r="AC103" s="665"/>
      <c r="AD103" s="665"/>
      <c r="AE103" s="665"/>
      <c r="AF103" s="665"/>
      <c r="AG103" s="665"/>
      <c r="AH103" s="665"/>
      <c r="AI103" s="665"/>
      <c r="AJ103" s="665"/>
      <c r="AK103" s="665"/>
      <c r="AL103" s="665"/>
      <c r="AM103" s="665"/>
      <c r="AN103" s="665"/>
      <c r="AO103" s="665"/>
      <c r="AP103" s="665"/>
      <c r="AQ103" s="665"/>
      <c r="AR103" s="665"/>
      <c r="AS103" s="665"/>
      <c r="AT103" s="665"/>
      <c r="AU103" s="665"/>
      <c r="CG103" s="656"/>
    </row>
    <row r="104" spans="1:85">
      <c r="A104" s="661"/>
      <c r="E104" s="663"/>
      <c r="F104" s="664"/>
      <c r="G104" s="664"/>
      <c r="H104" s="664" t="s">
        <v>461</v>
      </c>
      <c r="I104" s="664"/>
      <c r="J104" s="664"/>
      <c r="K104" s="664"/>
      <c r="L104" s="664"/>
      <c r="M104" s="664"/>
      <c r="N104" s="664"/>
      <c r="O104" s="665"/>
      <c r="P104" s="665"/>
      <c r="Q104" s="665"/>
      <c r="R104" s="665"/>
      <c r="S104" s="665"/>
      <c r="T104" s="665"/>
      <c r="U104" s="665"/>
      <c r="V104" s="665"/>
      <c r="W104" s="665"/>
      <c r="X104" s="665"/>
      <c r="Y104" s="665"/>
      <c r="Z104" s="665"/>
      <c r="AA104" s="665"/>
      <c r="AB104" s="665"/>
      <c r="AC104" s="665"/>
      <c r="AD104" s="665"/>
      <c r="AE104" s="665"/>
      <c r="AF104" s="665"/>
      <c r="AG104" s="665"/>
      <c r="AH104" s="665"/>
      <c r="AI104" s="665"/>
      <c r="AJ104" s="665"/>
      <c r="AK104" s="665"/>
      <c r="AL104" s="665"/>
      <c r="AM104" s="665"/>
      <c r="AN104" s="665"/>
      <c r="AO104" s="665"/>
      <c r="AP104" s="665"/>
      <c r="AQ104" s="665"/>
      <c r="AR104" s="665"/>
      <c r="AS104" s="665"/>
      <c r="AT104" s="665"/>
      <c r="AU104" s="665"/>
      <c r="CG104" s="656"/>
    </row>
    <row r="105" spans="1:85">
      <c r="A105" s="661"/>
      <c r="E105" s="663"/>
      <c r="F105" s="664"/>
      <c r="G105" s="664"/>
      <c r="H105" s="664" t="s">
        <v>462</v>
      </c>
      <c r="I105" s="664"/>
      <c r="J105" s="664"/>
      <c r="K105" s="664"/>
      <c r="L105" s="664"/>
      <c r="M105" s="664"/>
      <c r="N105" s="664"/>
      <c r="O105" s="665"/>
      <c r="P105" s="665"/>
      <c r="Q105" s="665"/>
      <c r="R105" s="665"/>
      <c r="S105" s="665"/>
      <c r="T105" s="665"/>
      <c r="U105" s="665"/>
      <c r="V105" s="665"/>
      <c r="W105" s="665"/>
      <c r="X105" s="665"/>
      <c r="Y105" s="665"/>
      <c r="Z105" s="665"/>
      <c r="AA105" s="665"/>
      <c r="AB105" s="665"/>
      <c r="AC105" s="665"/>
      <c r="AD105" s="665"/>
      <c r="AE105" s="665"/>
      <c r="AF105" s="665"/>
      <c r="AG105" s="665"/>
      <c r="AH105" s="665"/>
      <c r="AI105" s="665"/>
      <c r="AJ105" s="665"/>
      <c r="AK105" s="665"/>
      <c r="AL105" s="665"/>
      <c r="AM105" s="665"/>
      <c r="AN105" s="665"/>
      <c r="AO105" s="665"/>
      <c r="AP105" s="665"/>
      <c r="AQ105" s="665"/>
      <c r="AR105" s="665"/>
      <c r="AS105" s="665"/>
      <c r="AT105" s="665"/>
      <c r="AU105" s="665"/>
      <c r="CG105" s="656"/>
    </row>
    <row r="106" spans="1:85">
      <c r="A106" s="661"/>
      <c r="E106" s="663"/>
      <c r="F106" s="664"/>
      <c r="G106" s="664"/>
      <c r="H106" s="664" t="s">
        <v>463</v>
      </c>
      <c r="I106" s="664"/>
      <c r="J106" s="664"/>
      <c r="K106" s="664"/>
      <c r="L106" s="664"/>
      <c r="M106" s="664"/>
      <c r="N106" s="664"/>
      <c r="O106" s="665"/>
      <c r="P106" s="665"/>
      <c r="Q106" s="665"/>
      <c r="R106" s="665"/>
      <c r="S106" s="665"/>
      <c r="T106" s="665"/>
      <c r="U106" s="665"/>
      <c r="V106" s="665"/>
      <c r="W106" s="665"/>
      <c r="X106" s="665"/>
      <c r="Y106" s="665"/>
      <c r="Z106" s="665"/>
      <c r="AA106" s="665"/>
      <c r="AB106" s="665"/>
      <c r="AC106" s="665"/>
      <c r="AD106" s="665"/>
      <c r="AE106" s="665"/>
      <c r="AF106" s="665"/>
      <c r="AG106" s="665"/>
      <c r="AH106" s="665"/>
      <c r="AI106" s="665"/>
      <c r="AJ106" s="665"/>
      <c r="AK106" s="665"/>
      <c r="AL106" s="665"/>
      <c r="AM106" s="665"/>
      <c r="AN106" s="665"/>
      <c r="AO106" s="665"/>
      <c r="AP106" s="665"/>
      <c r="AQ106" s="665"/>
      <c r="AR106" s="665"/>
      <c r="AS106" s="665"/>
      <c r="AT106" s="665"/>
      <c r="AU106" s="665"/>
      <c r="CG106" s="656"/>
    </row>
    <row r="107" spans="1:85">
      <c r="A107" s="661"/>
      <c r="E107" s="663"/>
      <c r="F107" s="664"/>
      <c r="G107" s="664"/>
      <c r="H107" s="664"/>
      <c r="I107" s="664"/>
      <c r="J107" s="664"/>
      <c r="K107" s="664"/>
      <c r="L107" s="664"/>
      <c r="M107" s="664"/>
      <c r="N107" s="664"/>
      <c r="O107" s="665"/>
      <c r="P107" s="665"/>
      <c r="Q107" s="665"/>
      <c r="R107" s="665"/>
      <c r="S107" s="665"/>
      <c r="T107" s="665"/>
      <c r="U107" s="665"/>
      <c r="V107" s="665"/>
      <c r="W107" s="665"/>
      <c r="X107" s="665"/>
      <c r="Y107" s="665"/>
      <c r="Z107" s="665"/>
      <c r="AA107" s="665"/>
      <c r="AB107" s="665"/>
      <c r="AC107" s="665"/>
      <c r="AD107" s="665"/>
      <c r="AE107" s="665"/>
      <c r="AF107" s="665"/>
      <c r="AG107" s="665"/>
      <c r="AH107" s="665"/>
      <c r="AI107" s="665"/>
      <c r="AJ107" s="665"/>
      <c r="AK107" s="665"/>
      <c r="AL107" s="665"/>
      <c r="AM107" s="665"/>
      <c r="AN107" s="665"/>
      <c r="AO107" s="665"/>
      <c r="AP107" s="665"/>
      <c r="AQ107" s="665"/>
      <c r="AR107" s="665"/>
      <c r="AS107" s="665"/>
      <c r="AT107" s="665"/>
      <c r="AU107" s="665"/>
      <c r="CG107" s="656"/>
    </row>
    <row r="108" spans="1:85">
      <c r="A108" s="661"/>
      <c r="E108" s="663"/>
      <c r="F108" s="663" t="s">
        <v>680</v>
      </c>
      <c r="G108" s="663"/>
      <c r="H108" s="663"/>
      <c r="I108" s="663"/>
      <c r="J108" s="663"/>
      <c r="K108" s="663"/>
      <c r="L108" s="663"/>
      <c r="M108" s="663"/>
      <c r="N108" s="663"/>
      <c r="O108" s="663"/>
      <c r="P108" s="663"/>
      <c r="Q108" s="663"/>
      <c r="R108" s="663"/>
      <c r="S108" s="663"/>
      <c r="T108" s="663"/>
      <c r="U108" s="663"/>
      <c r="V108" s="663"/>
      <c r="W108" s="663"/>
      <c r="X108" s="663"/>
      <c r="Y108" s="663"/>
      <c r="Z108" s="663"/>
      <c r="AA108" s="663"/>
      <c r="AB108" s="663"/>
      <c r="AC108" s="663"/>
      <c r="AD108" s="663"/>
      <c r="AE108" s="663"/>
      <c r="AF108" s="663"/>
      <c r="AG108" s="663"/>
      <c r="AH108" s="663"/>
      <c r="AI108" s="663"/>
      <c r="AJ108" s="663"/>
      <c r="AK108" s="663"/>
      <c r="AL108" s="663"/>
      <c r="AM108" s="663"/>
      <c r="AN108" s="663"/>
      <c r="AO108" s="663"/>
      <c r="AP108" s="663"/>
      <c r="AQ108" s="663"/>
      <c r="AR108" s="663"/>
      <c r="AS108" s="663"/>
      <c r="AT108" s="663"/>
      <c r="AU108" s="663"/>
      <c r="CG108" s="656"/>
    </row>
    <row r="109" spans="1:85">
      <c r="A109" s="661"/>
      <c r="E109" s="663"/>
      <c r="F109" s="663"/>
      <c r="G109" s="663"/>
      <c r="H109" s="663"/>
      <c r="I109" s="663"/>
      <c r="J109" s="663"/>
      <c r="K109" s="663"/>
      <c r="L109" s="663"/>
      <c r="M109" s="663"/>
      <c r="N109" s="663"/>
      <c r="O109" s="663"/>
      <c r="P109" s="663"/>
      <c r="Q109" s="663"/>
      <c r="R109" s="663"/>
      <c r="S109" s="663"/>
      <c r="T109" s="663"/>
      <c r="U109" s="663"/>
      <c r="V109" s="663"/>
      <c r="W109" s="663"/>
      <c r="X109" s="663"/>
      <c r="Y109" s="663"/>
      <c r="Z109" s="663"/>
      <c r="AA109" s="663"/>
      <c r="AB109" s="663"/>
      <c r="AC109" s="663"/>
      <c r="AD109" s="663"/>
      <c r="AE109" s="663"/>
      <c r="AF109" s="663"/>
      <c r="AG109" s="663"/>
      <c r="AH109" s="663"/>
      <c r="AI109" s="663"/>
      <c r="AJ109" s="663"/>
      <c r="AK109" s="663"/>
      <c r="AL109" s="663"/>
      <c r="AM109" s="663"/>
      <c r="AN109" s="663"/>
      <c r="AO109" s="663"/>
      <c r="AP109" s="663"/>
      <c r="AQ109" s="663"/>
      <c r="AR109" s="663"/>
      <c r="AS109" s="663"/>
      <c r="AT109" s="663"/>
      <c r="AU109" s="663"/>
      <c r="CG109" s="656"/>
    </row>
    <row r="110" spans="1:85">
      <c r="A110" s="661"/>
      <c r="E110" s="663"/>
      <c r="F110" s="666" t="s">
        <v>368</v>
      </c>
      <c r="G110" s="953" t="s">
        <v>369</v>
      </c>
      <c r="H110" s="954"/>
      <c r="I110" s="954"/>
      <c r="J110" s="954"/>
      <c r="K110" s="954"/>
      <c r="L110" s="954"/>
      <c r="M110" s="954"/>
      <c r="N110" s="955"/>
      <c r="O110" s="953" t="s">
        <v>464</v>
      </c>
      <c r="P110" s="954"/>
      <c r="Q110" s="954"/>
      <c r="R110" s="954"/>
      <c r="S110" s="954"/>
      <c r="T110" s="954"/>
      <c r="U110" s="954"/>
      <c r="V110" s="954"/>
      <c r="W110" s="954"/>
      <c r="X110" s="954"/>
      <c r="Y110" s="954"/>
      <c r="Z110" s="954"/>
      <c r="AA110" s="955"/>
      <c r="AB110" s="663"/>
      <c r="AC110" s="663"/>
      <c r="AD110" s="663"/>
      <c r="AE110" s="663"/>
      <c r="AF110" s="663"/>
      <c r="AG110" s="663"/>
      <c r="AH110" s="663"/>
      <c r="AI110" s="663"/>
      <c r="AJ110" s="663"/>
      <c r="AK110" s="663"/>
      <c r="AL110" s="663"/>
      <c r="AM110" s="663"/>
      <c r="AN110" s="663"/>
      <c r="AO110" s="663"/>
      <c r="AP110" s="663"/>
      <c r="AQ110" s="663"/>
      <c r="AR110" s="663"/>
      <c r="AU110" s="663"/>
      <c r="AW110" s="663"/>
      <c r="CG110" s="656"/>
    </row>
    <row r="111" spans="1:85">
      <c r="A111" s="661"/>
      <c r="E111" s="663"/>
      <c r="F111" s="667">
        <v>1</v>
      </c>
      <c r="G111" s="889" t="s">
        <v>370</v>
      </c>
      <c r="H111" s="890"/>
      <c r="I111" s="890"/>
      <c r="J111" s="890"/>
      <c r="K111" s="890"/>
      <c r="L111" s="890"/>
      <c r="M111" s="890"/>
      <c r="N111" s="891"/>
      <c r="O111" s="889" t="s">
        <v>372</v>
      </c>
      <c r="P111" s="890"/>
      <c r="Q111" s="890"/>
      <c r="R111" s="890"/>
      <c r="S111" s="890"/>
      <c r="T111" s="890"/>
      <c r="U111" s="890"/>
      <c r="V111" s="890"/>
      <c r="W111" s="890"/>
      <c r="X111" s="890"/>
      <c r="Y111" s="890"/>
      <c r="Z111" s="890"/>
      <c r="AA111" s="891"/>
      <c r="AB111" s="663"/>
      <c r="AC111" s="663"/>
      <c r="AD111" s="663"/>
      <c r="AE111" s="663"/>
      <c r="AF111" s="663"/>
      <c r="AG111" s="663"/>
      <c r="AH111" s="663"/>
      <c r="AI111" s="663"/>
      <c r="AJ111" s="663"/>
      <c r="AK111" s="663"/>
      <c r="AL111" s="663"/>
      <c r="AM111" s="663"/>
      <c r="AN111" s="663"/>
      <c r="AO111" s="663"/>
      <c r="AP111" s="663"/>
      <c r="AQ111" s="663"/>
      <c r="AR111" s="663"/>
      <c r="AS111" s="663"/>
      <c r="AT111" s="663"/>
      <c r="AU111" s="663"/>
      <c r="BB111" s="668"/>
      <c r="CG111" s="656"/>
    </row>
    <row r="112" spans="1:85">
      <c r="A112" s="661"/>
      <c r="E112" s="663"/>
      <c r="F112" s="667">
        <v>2</v>
      </c>
      <c r="G112" s="889" t="s">
        <v>465</v>
      </c>
      <c r="H112" s="890"/>
      <c r="I112" s="890"/>
      <c r="J112" s="890"/>
      <c r="K112" s="890"/>
      <c r="L112" s="890"/>
      <c r="M112" s="890"/>
      <c r="N112" s="891"/>
      <c r="O112" s="889" t="s">
        <v>466</v>
      </c>
      <c r="P112" s="890"/>
      <c r="Q112" s="890"/>
      <c r="R112" s="890"/>
      <c r="S112" s="890"/>
      <c r="T112" s="890"/>
      <c r="U112" s="890"/>
      <c r="V112" s="890"/>
      <c r="W112" s="890"/>
      <c r="X112" s="890"/>
      <c r="Y112" s="890"/>
      <c r="Z112" s="890"/>
      <c r="AA112" s="891"/>
      <c r="AB112" s="663"/>
      <c r="AC112" s="663"/>
      <c r="AD112" s="663"/>
      <c r="AE112" s="663"/>
      <c r="AF112" s="663"/>
      <c r="AG112" s="663"/>
      <c r="AH112" s="663"/>
      <c r="AI112" s="663"/>
      <c r="AJ112" s="663"/>
      <c r="AK112" s="663"/>
      <c r="AL112" s="663"/>
      <c r="AM112" s="663"/>
      <c r="AN112" s="663"/>
      <c r="AO112" s="663"/>
      <c r="AP112" s="663"/>
      <c r="AQ112" s="663"/>
      <c r="AR112" s="663"/>
      <c r="AS112" s="663"/>
      <c r="AT112" s="663"/>
      <c r="AU112" s="663"/>
      <c r="BB112" s="668"/>
      <c r="CG112" s="656"/>
    </row>
    <row r="113" spans="1:85" ht="15.75" customHeight="1">
      <c r="A113" s="661"/>
      <c r="E113" s="663"/>
      <c r="F113" s="667">
        <v>3</v>
      </c>
      <c r="G113" s="889" t="s">
        <v>371</v>
      </c>
      <c r="H113" s="890"/>
      <c r="I113" s="890"/>
      <c r="J113" s="890"/>
      <c r="K113" s="890"/>
      <c r="L113" s="890"/>
      <c r="M113" s="890"/>
      <c r="N113" s="891"/>
      <c r="O113" s="921" t="s">
        <v>467</v>
      </c>
      <c r="P113" s="922"/>
      <c r="Q113" s="922"/>
      <c r="R113" s="922"/>
      <c r="S113" s="922"/>
      <c r="T113" s="922"/>
      <c r="U113" s="922"/>
      <c r="V113" s="922"/>
      <c r="W113" s="922"/>
      <c r="X113" s="922"/>
      <c r="Y113" s="922"/>
      <c r="Z113" s="922"/>
      <c r="AA113" s="923"/>
      <c r="AB113" s="663"/>
      <c r="AC113" s="663"/>
      <c r="AD113" s="663"/>
      <c r="AE113" s="663"/>
      <c r="AF113" s="663"/>
      <c r="AG113" s="663"/>
      <c r="AH113" s="663"/>
      <c r="AI113" s="663"/>
      <c r="AJ113" s="663"/>
      <c r="AK113" s="663"/>
      <c r="AL113" s="663"/>
      <c r="AM113" s="663"/>
      <c r="AN113" s="663"/>
      <c r="AO113" s="663"/>
      <c r="AP113" s="663"/>
      <c r="AQ113" s="663"/>
      <c r="AR113" s="663"/>
      <c r="AS113" s="663"/>
      <c r="AT113" s="663"/>
      <c r="AU113" s="663"/>
      <c r="BB113" s="669"/>
      <c r="CG113" s="656"/>
    </row>
    <row r="114" spans="1:85" ht="15.75" customHeight="1">
      <c r="A114" s="661"/>
      <c r="E114" s="663"/>
      <c r="F114" s="667">
        <v>4</v>
      </c>
      <c r="G114" s="889" t="s">
        <v>468</v>
      </c>
      <c r="H114" s="890"/>
      <c r="I114" s="890"/>
      <c r="J114" s="890"/>
      <c r="K114" s="890"/>
      <c r="L114" s="890"/>
      <c r="M114" s="890"/>
      <c r="N114" s="891"/>
      <c r="O114" s="921" t="s">
        <v>469</v>
      </c>
      <c r="P114" s="922"/>
      <c r="Q114" s="922"/>
      <c r="R114" s="922"/>
      <c r="S114" s="922"/>
      <c r="T114" s="922"/>
      <c r="U114" s="922"/>
      <c r="V114" s="922"/>
      <c r="W114" s="922"/>
      <c r="X114" s="922"/>
      <c r="Y114" s="922"/>
      <c r="Z114" s="922"/>
      <c r="AA114" s="923"/>
      <c r="AB114" s="663"/>
      <c r="AC114" s="663"/>
      <c r="AD114" s="663"/>
      <c r="AE114" s="663"/>
      <c r="AF114" s="663"/>
      <c r="AG114" s="663"/>
      <c r="AH114" s="663"/>
      <c r="AI114" s="663"/>
      <c r="AJ114" s="663"/>
      <c r="AK114" s="663"/>
      <c r="AL114" s="663"/>
      <c r="AM114" s="663"/>
      <c r="AN114" s="663"/>
      <c r="AO114" s="663"/>
      <c r="AP114" s="663"/>
      <c r="AQ114" s="663"/>
      <c r="AR114" s="663"/>
      <c r="AS114" s="663"/>
      <c r="AT114" s="663"/>
      <c r="AU114" s="663"/>
      <c r="CG114" s="656"/>
    </row>
    <row r="115" spans="1:85">
      <c r="A115" s="661"/>
      <c r="E115" s="663"/>
      <c r="F115" s="667">
        <v>5</v>
      </c>
      <c r="G115" s="889" t="s">
        <v>470</v>
      </c>
      <c r="H115" s="890"/>
      <c r="I115" s="890"/>
      <c r="J115" s="890"/>
      <c r="K115" s="890"/>
      <c r="L115" s="890"/>
      <c r="M115" s="890"/>
      <c r="N115" s="891"/>
      <c r="O115" s="921" t="s">
        <v>471</v>
      </c>
      <c r="P115" s="922"/>
      <c r="Q115" s="922"/>
      <c r="R115" s="922"/>
      <c r="S115" s="922"/>
      <c r="T115" s="922"/>
      <c r="U115" s="922"/>
      <c r="V115" s="922"/>
      <c r="W115" s="922"/>
      <c r="X115" s="922"/>
      <c r="Y115" s="922"/>
      <c r="Z115" s="922"/>
      <c r="AA115" s="923"/>
      <c r="AB115" s="663"/>
      <c r="AC115" s="663"/>
      <c r="AD115" s="663"/>
      <c r="AE115" s="663"/>
      <c r="AF115" s="663"/>
      <c r="AG115" s="663"/>
      <c r="AH115" s="663"/>
      <c r="AI115" s="663"/>
      <c r="AJ115" s="663"/>
      <c r="AK115" s="663"/>
      <c r="AL115" s="663"/>
      <c r="AM115" s="663"/>
      <c r="AN115" s="663"/>
      <c r="AO115" s="663"/>
      <c r="AP115" s="663"/>
      <c r="AQ115" s="663"/>
      <c r="AR115" s="663"/>
      <c r="AS115" s="663"/>
      <c r="AT115" s="663"/>
      <c r="AU115" s="663"/>
      <c r="CG115" s="656"/>
    </row>
    <row r="116" spans="1:85">
      <c r="A116" s="661"/>
      <c r="F116" s="667">
        <v>6</v>
      </c>
      <c r="G116" s="889" t="s">
        <v>472</v>
      </c>
      <c r="H116" s="890"/>
      <c r="I116" s="890"/>
      <c r="J116" s="890"/>
      <c r="K116" s="890"/>
      <c r="L116" s="890"/>
      <c r="M116" s="890"/>
      <c r="N116" s="891"/>
      <c r="O116" s="921" t="s">
        <v>373</v>
      </c>
      <c r="P116" s="922"/>
      <c r="Q116" s="922"/>
      <c r="R116" s="922"/>
      <c r="S116" s="922"/>
      <c r="T116" s="922"/>
      <c r="U116" s="922"/>
      <c r="V116" s="922"/>
      <c r="W116" s="922"/>
      <c r="X116" s="922"/>
      <c r="Y116" s="922"/>
      <c r="Z116" s="922"/>
      <c r="AA116" s="923"/>
      <c r="CG116" s="656"/>
    </row>
    <row r="117" spans="1:85">
      <c r="A117" s="661"/>
      <c r="F117" s="667">
        <v>7</v>
      </c>
      <c r="G117" s="889" t="s">
        <v>631</v>
      </c>
      <c r="H117" s="890"/>
      <c r="I117" s="890"/>
      <c r="J117" s="890"/>
      <c r="K117" s="890"/>
      <c r="L117" s="890"/>
      <c r="M117" s="890"/>
      <c r="N117" s="891"/>
      <c r="O117" s="921" t="s">
        <v>632</v>
      </c>
      <c r="P117" s="922"/>
      <c r="Q117" s="922"/>
      <c r="R117" s="922"/>
      <c r="S117" s="922"/>
      <c r="T117" s="922"/>
      <c r="U117" s="922"/>
      <c r="V117" s="922"/>
      <c r="W117" s="922"/>
      <c r="X117" s="922"/>
      <c r="Y117" s="922"/>
      <c r="Z117" s="922"/>
      <c r="AA117" s="923"/>
      <c r="CG117" s="656"/>
    </row>
    <row r="118" spans="1:85">
      <c r="A118" s="661"/>
      <c r="F118" s="670"/>
      <c r="G118" s="671"/>
      <c r="H118" s="671"/>
      <c r="I118" s="671"/>
      <c r="J118" s="671"/>
      <c r="K118" s="671"/>
      <c r="L118" s="671"/>
      <c r="M118" s="671"/>
      <c r="N118" s="671"/>
      <c r="O118" s="671"/>
      <c r="P118" s="671"/>
      <c r="Q118" s="671"/>
      <c r="R118" s="671"/>
      <c r="S118" s="671"/>
      <c r="T118" s="671"/>
      <c r="U118" s="671"/>
      <c r="V118" s="671"/>
      <c r="W118" s="671"/>
      <c r="X118" s="671"/>
      <c r="Y118" s="671"/>
      <c r="Z118" s="671"/>
      <c r="AA118" s="671"/>
      <c r="CG118" s="656"/>
    </row>
    <row r="119" spans="1:85">
      <c r="A119" s="661"/>
      <c r="F119" s="663" t="s">
        <v>681</v>
      </c>
      <c r="G119" s="663"/>
      <c r="J119" s="663"/>
      <c r="K119" s="663"/>
      <c r="L119" s="663"/>
      <c r="M119" s="663"/>
      <c r="N119" s="663"/>
      <c r="O119" s="663"/>
      <c r="P119" s="663"/>
      <c r="Q119" s="663"/>
      <c r="R119" s="663"/>
      <c r="S119" s="663"/>
      <c r="T119" s="663"/>
      <c r="U119" s="663"/>
      <c r="V119" s="663"/>
      <c r="W119" s="663"/>
      <c r="X119" s="663"/>
      <c r="Y119" s="663"/>
      <c r="Z119" s="663"/>
      <c r="AA119" s="663"/>
      <c r="AB119" s="663"/>
      <c r="AC119" s="663"/>
      <c r="AD119" s="663"/>
      <c r="AE119" s="663"/>
      <c r="AF119" s="663"/>
      <c r="AG119" s="663"/>
      <c r="AH119" s="663"/>
      <c r="AI119" s="663"/>
      <c r="AJ119" s="663"/>
      <c r="AK119" s="663"/>
      <c r="AL119" s="663"/>
      <c r="AM119" s="663"/>
      <c r="AN119" s="663"/>
      <c r="AO119" s="663"/>
      <c r="AP119" s="663"/>
      <c r="AQ119" s="663"/>
      <c r="AR119" s="663"/>
      <c r="AS119" s="663"/>
      <c r="AT119" s="663"/>
      <c r="AU119" s="663"/>
      <c r="CG119" s="656"/>
    </row>
    <row r="120" spans="1:85">
      <c r="A120" s="661"/>
      <c r="F120" s="663"/>
      <c r="G120" s="663"/>
      <c r="J120" s="663"/>
      <c r="K120" s="663"/>
      <c r="L120" s="663"/>
      <c r="M120" s="663"/>
      <c r="N120" s="663"/>
      <c r="O120" s="663"/>
      <c r="P120" s="663"/>
      <c r="Q120" s="663"/>
      <c r="R120" s="663"/>
      <c r="S120" s="663"/>
      <c r="T120" s="663"/>
      <c r="U120" s="663"/>
      <c r="V120" s="663"/>
      <c r="W120" s="663"/>
      <c r="X120" s="663"/>
      <c r="Y120" s="663"/>
      <c r="Z120" s="663"/>
      <c r="AA120" s="663"/>
      <c r="AB120" s="663"/>
      <c r="AC120" s="663"/>
      <c r="AD120" s="663"/>
      <c r="AE120" s="663"/>
      <c r="AF120" s="663"/>
      <c r="AG120" s="663"/>
      <c r="AH120" s="663"/>
      <c r="AI120" s="663"/>
      <c r="AJ120" s="663"/>
      <c r="AK120" s="663"/>
      <c r="AL120" s="663"/>
      <c r="AM120" s="663"/>
      <c r="AN120" s="663"/>
      <c r="AO120" s="663"/>
      <c r="AP120" s="663"/>
      <c r="AQ120" s="663"/>
      <c r="AR120" s="663"/>
      <c r="AS120" s="663"/>
      <c r="AT120" s="663"/>
      <c r="AU120" s="663"/>
      <c r="CG120" s="656"/>
    </row>
    <row r="121" spans="1:85">
      <c r="A121" s="661"/>
      <c r="F121" s="663"/>
      <c r="G121" s="663"/>
      <c r="J121" s="663"/>
      <c r="K121" s="663"/>
      <c r="L121" s="663"/>
      <c r="M121" s="663"/>
      <c r="N121" s="663"/>
      <c r="O121" s="663"/>
      <c r="P121" s="663"/>
      <c r="Q121" s="663"/>
      <c r="R121" s="663"/>
      <c r="S121" s="663"/>
      <c r="T121" s="663"/>
      <c r="U121" s="663"/>
      <c r="V121" s="663"/>
      <c r="W121" s="663"/>
      <c r="X121" s="663"/>
      <c r="Y121" s="663"/>
      <c r="Z121" s="663"/>
      <c r="AA121" s="663"/>
      <c r="AB121" s="663"/>
      <c r="AC121" s="663"/>
      <c r="AD121" s="663"/>
      <c r="AE121" s="663"/>
      <c r="AF121" s="663"/>
      <c r="AG121" s="663"/>
      <c r="AH121" s="663"/>
      <c r="AI121" s="663"/>
      <c r="AJ121" s="663"/>
      <c r="AK121" s="663"/>
      <c r="AL121" s="663"/>
      <c r="AM121" s="663"/>
      <c r="AN121" s="663"/>
      <c r="AO121" s="663"/>
      <c r="AP121" s="663"/>
      <c r="AQ121" s="663"/>
      <c r="AR121" s="663"/>
      <c r="AS121" s="663"/>
      <c r="AT121" s="663"/>
      <c r="AU121" s="663"/>
      <c r="CG121" s="656"/>
    </row>
    <row r="122" spans="1:85">
      <c r="A122" s="661"/>
      <c r="E122" s="663"/>
      <c r="F122" s="663"/>
      <c r="AC122" s="663"/>
      <c r="AD122" s="663"/>
      <c r="AE122" s="663"/>
      <c r="AF122" s="663"/>
      <c r="AG122" s="663"/>
      <c r="AH122" s="663"/>
      <c r="AI122" s="663"/>
      <c r="AJ122" s="663"/>
      <c r="AK122" s="663"/>
      <c r="AL122" s="663"/>
      <c r="AM122" s="663"/>
      <c r="AN122" s="663"/>
      <c r="AO122" s="663"/>
      <c r="AP122" s="663"/>
      <c r="AQ122" s="663"/>
      <c r="AR122" s="663"/>
      <c r="AS122" s="663"/>
      <c r="AT122" s="663"/>
      <c r="AU122" s="663"/>
      <c r="CG122" s="656"/>
    </row>
    <row r="123" spans="1:85">
      <c r="A123" s="661"/>
      <c r="E123" s="663"/>
      <c r="F123" s="663"/>
      <c r="AC123" s="663"/>
      <c r="AD123" s="663"/>
      <c r="AE123" s="663"/>
      <c r="AF123" s="663"/>
      <c r="AG123" s="663"/>
      <c r="AH123" s="663"/>
      <c r="AI123" s="663"/>
      <c r="AJ123" s="663"/>
      <c r="AK123" s="663"/>
      <c r="AL123" s="663"/>
      <c r="AM123" s="663"/>
      <c r="AN123" s="663"/>
      <c r="AO123" s="663"/>
      <c r="AP123" s="663"/>
      <c r="AQ123" s="663"/>
      <c r="AR123" s="663"/>
      <c r="AS123" s="663"/>
      <c r="AT123" s="663"/>
      <c r="AU123" s="663"/>
      <c r="CG123" s="656"/>
    </row>
    <row r="124" spans="1:85">
      <c r="A124" s="661"/>
      <c r="E124" s="663"/>
      <c r="F124" s="663"/>
      <c r="AC124" s="663"/>
      <c r="AD124" s="663"/>
      <c r="AE124" s="663"/>
      <c r="AF124" s="663"/>
      <c r="AG124" s="663"/>
      <c r="AH124" s="663"/>
      <c r="AI124" s="663"/>
      <c r="AJ124" s="663"/>
      <c r="AK124" s="663"/>
      <c r="AL124" s="663"/>
      <c r="AM124" s="663"/>
      <c r="AN124" s="663"/>
      <c r="AO124" s="663"/>
      <c r="AP124" s="663"/>
      <c r="AQ124" s="663"/>
      <c r="AR124" s="663"/>
      <c r="AS124" s="663"/>
      <c r="AT124" s="663"/>
      <c r="AU124" s="663"/>
      <c r="CG124" s="656"/>
    </row>
    <row r="125" spans="1:85">
      <c r="A125" s="661"/>
      <c r="E125" s="663"/>
      <c r="F125" s="663"/>
      <c r="AC125" s="663"/>
      <c r="AD125" s="663"/>
      <c r="AE125" s="663"/>
      <c r="AF125" s="663"/>
      <c r="AG125" s="663"/>
      <c r="AH125" s="663"/>
      <c r="AI125" s="663"/>
      <c r="AJ125" s="663"/>
      <c r="AK125" s="663"/>
      <c r="AL125" s="663"/>
      <c r="AM125" s="663"/>
      <c r="AN125" s="663"/>
      <c r="AO125" s="663"/>
      <c r="AP125" s="663"/>
      <c r="AQ125" s="663"/>
      <c r="AR125" s="663"/>
      <c r="AS125" s="663"/>
      <c r="AT125" s="663"/>
      <c r="AU125" s="663"/>
      <c r="CG125" s="656"/>
    </row>
    <row r="126" spans="1:85">
      <c r="A126" s="661"/>
      <c r="E126" s="663"/>
      <c r="F126" s="663"/>
      <c r="AC126" s="663"/>
      <c r="AD126" s="663"/>
      <c r="AE126" s="663"/>
      <c r="AF126" s="663"/>
      <c r="AG126" s="663"/>
      <c r="AH126" s="663"/>
      <c r="AI126" s="663"/>
      <c r="AJ126" s="663"/>
      <c r="AK126" s="663"/>
      <c r="AL126" s="663"/>
      <c r="AM126" s="663"/>
      <c r="AN126" s="663"/>
      <c r="AO126" s="663"/>
      <c r="AP126" s="663"/>
      <c r="AQ126" s="663"/>
      <c r="AR126" s="663"/>
      <c r="AS126" s="663"/>
      <c r="AT126" s="663"/>
      <c r="AU126" s="663"/>
      <c r="CG126" s="656"/>
    </row>
    <row r="127" spans="1:85">
      <c r="A127" s="661"/>
      <c r="E127" s="663"/>
      <c r="F127" s="663"/>
      <c r="AC127" s="663"/>
      <c r="AD127" s="663"/>
      <c r="AE127" s="663"/>
      <c r="AF127" s="663"/>
      <c r="AG127" s="663"/>
      <c r="AH127" s="663"/>
      <c r="AI127" s="663"/>
      <c r="AJ127" s="663"/>
      <c r="AK127" s="663"/>
      <c r="AL127" s="663"/>
      <c r="AM127" s="663"/>
      <c r="AN127" s="663"/>
      <c r="AO127" s="663"/>
      <c r="AP127" s="663"/>
      <c r="AQ127" s="663"/>
      <c r="AR127" s="663"/>
      <c r="AS127" s="663"/>
      <c r="AT127" s="663"/>
      <c r="AU127" s="663"/>
      <c r="CG127" s="656"/>
    </row>
    <row r="128" spans="1:85">
      <c r="A128" s="661"/>
      <c r="E128" s="663"/>
      <c r="F128" s="663"/>
      <c r="AC128" s="663"/>
      <c r="AD128" s="663"/>
      <c r="AE128" s="663"/>
      <c r="AF128" s="663"/>
      <c r="AG128" s="663"/>
      <c r="AH128" s="663"/>
      <c r="AI128" s="663"/>
      <c r="AJ128" s="663"/>
      <c r="AK128" s="663"/>
      <c r="AL128" s="663"/>
      <c r="AM128" s="663"/>
      <c r="AN128" s="663"/>
      <c r="AO128" s="663"/>
      <c r="AP128" s="663"/>
      <c r="AQ128" s="663"/>
      <c r="AR128" s="663"/>
      <c r="AS128" s="663"/>
      <c r="AT128" s="663"/>
      <c r="AU128" s="663"/>
      <c r="CG128" s="656"/>
    </row>
    <row r="129" spans="1:85">
      <c r="A129" s="661"/>
      <c r="CG129" s="656"/>
    </row>
    <row r="130" spans="1:85">
      <c r="A130" s="661"/>
      <c r="CG130" s="656"/>
    </row>
    <row r="131" spans="1:85">
      <c r="A131" s="661"/>
      <c r="CG131" s="656"/>
    </row>
    <row r="132" spans="1:85">
      <c r="A132" s="661"/>
      <c r="CG132" s="656"/>
    </row>
    <row r="133" spans="1:85">
      <c r="A133" s="661"/>
      <c r="CG133" s="656"/>
    </row>
    <row r="134" spans="1:85">
      <c r="A134" s="661"/>
      <c r="CG134" s="656"/>
    </row>
    <row r="135" spans="1:85">
      <c r="A135" s="661"/>
      <c r="CG135" s="656"/>
    </row>
    <row r="136" spans="1:85">
      <c r="A136" s="661"/>
      <c r="F136" s="670"/>
      <c r="G136" s="671"/>
      <c r="H136" s="671"/>
      <c r="I136" s="671"/>
      <c r="J136" s="671"/>
      <c r="K136" s="671"/>
      <c r="L136" s="671"/>
      <c r="M136" s="671"/>
      <c r="N136" s="671"/>
      <c r="O136" s="671"/>
      <c r="P136" s="671"/>
      <c r="Q136" s="671"/>
      <c r="R136" s="671"/>
      <c r="S136" s="671"/>
      <c r="T136" s="671"/>
      <c r="U136" s="671"/>
      <c r="V136" s="671"/>
      <c r="W136" s="671"/>
      <c r="X136" s="671"/>
      <c r="Y136" s="671"/>
      <c r="Z136" s="671"/>
      <c r="AA136" s="671"/>
      <c r="CG136" s="656"/>
    </row>
    <row r="137" spans="1:85">
      <c r="A137" s="661"/>
      <c r="F137" s="670"/>
      <c r="G137" s="671"/>
      <c r="H137" s="671"/>
      <c r="I137" s="671"/>
      <c r="J137" s="671"/>
      <c r="K137" s="671"/>
      <c r="L137" s="671"/>
      <c r="M137" s="671"/>
      <c r="N137" s="671"/>
      <c r="O137" s="671"/>
      <c r="P137" s="671"/>
      <c r="Q137" s="671"/>
      <c r="R137" s="671"/>
      <c r="S137" s="671"/>
      <c r="T137" s="671"/>
      <c r="U137" s="671"/>
      <c r="V137" s="671"/>
      <c r="W137" s="671"/>
      <c r="X137" s="671"/>
      <c r="Y137" s="671"/>
      <c r="Z137" s="671"/>
      <c r="AA137" s="671"/>
      <c r="CG137" s="656"/>
    </row>
    <row r="138" spans="1:85">
      <c r="A138" s="661"/>
      <c r="F138" s="670"/>
      <c r="G138" s="671"/>
      <c r="H138" s="671"/>
      <c r="I138" s="671"/>
      <c r="J138" s="671"/>
      <c r="K138" s="671"/>
      <c r="L138" s="671"/>
      <c r="M138" s="671"/>
      <c r="N138" s="671"/>
      <c r="O138" s="671"/>
      <c r="P138" s="671"/>
      <c r="Q138" s="671"/>
      <c r="R138" s="671"/>
      <c r="S138" s="671"/>
      <c r="T138" s="671"/>
      <c r="U138" s="671"/>
      <c r="V138" s="671"/>
      <c r="W138" s="671"/>
      <c r="X138" s="671"/>
      <c r="Y138" s="671"/>
      <c r="Z138" s="671"/>
      <c r="AA138" s="671"/>
      <c r="CG138" s="656"/>
    </row>
    <row r="139" spans="1:85">
      <c r="A139" s="661"/>
      <c r="F139" s="670"/>
      <c r="G139" s="671"/>
      <c r="H139" s="671"/>
      <c r="I139" s="671"/>
      <c r="J139" s="671"/>
      <c r="K139" s="671"/>
      <c r="L139" s="671"/>
      <c r="M139" s="671"/>
      <c r="N139" s="671"/>
      <c r="O139" s="671"/>
      <c r="P139" s="671"/>
      <c r="Q139" s="671"/>
      <c r="R139" s="671"/>
      <c r="S139" s="671"/>
      <c r="T139" s="671"/>
      <c r="U139" s="671"/>
      <c r="V139" s="671"/>
      <c r="W139" s="671"/>
      <c r="X139" s="671"/>
      <c r="Y139" s="671"/>
      <c r="Z139" s="671"/>
      <c r="AA139" s="671"/>
      <c r="CG139" s="656"/>
    </row>
    <row r="140" spans="1:85">
      <c r="A140" s="661"/>
      <c r="CG140" s="656"/>
    </row>
    <row r="141" spans="1:85">
      <c r="A141" s="661"/>
      <c r="CG141" s="656"/>
    </row>
    <row r="142" spans="1:85">
      <c r="A142" s="661"/>
      <c r="CG142" s="656"/>
    </row>
    <row r="143" spans="1:85">
      <c r="A143" s="661"/>
      <c r="CG143" s="656"/>
    </row>
    <row r="144" spans="1:85">
      <c r="A144" s="661"/>
      <c r="CG144" s="656"/>
    </row>
    <row r="145" spans="1:85" ht="16.5" customHeight="1">
      <c r="A145" s="661"/>
      <c r="CG145" s="656"/>
    </row>
    <row r="146" spans="1:85">
      <c r="A146" s="661"/>
      <c r="E146" s="657" t="s">
        <v>682</v>
      </c>
      <c r="F146" s="663"/>
      <c r="G146" s="663"/>
      <c r="I146" s="663" t="s">
        <v>473</v>
      </c>
      <c r="CG146" s="656"/>
    </row>
    <row r="147" spans="1:85">
      <c r="A147" s="661"/>
      <c r="F147" s="663"/>
      <c r="G147" s="663"/>
      <c r="I147" s="663"/>
      <c r="CG147" s="656"/>
    </row>
    <row r="148" spans="1:85">
      <c r="A148" s="661"/>
      <c r="F148" s="663" t="s">
        <v>683</v>
      </c>
      <c r="G148" s="663"/>
      <c r="I148" s="663"/>
      <c r="Y148" s="657" t="s">
        <v>474</v>
      </c>
      <c r="Z148" s="657" t="s">
        <v>475</v>
      </c>
      <c r="CG148" s="656"/>
    </row>
    <row r="149" spans="1:85">
      <c r="A149" s="661"/>
      <c r="F149" s="663" t="s">
        <v>684</v>
      </c>
      <c r="G149" s="663"/>
      <c r="I149" s="663"/>
      <c r="Y149" s="657" t="s">
        <v>474</v>
      </c>
      <c r="Z149" s="657" t="s">
        <v>476</v>
      </c>
      <c r="CG149" s="656"/>
    </row>
    <row r="150" spans="1:85">
      <c r="A150" s="661"/>
      <c r="F150" s="663"/>
      <c r="G150" s="663"/>
      <c r="I150" s="663"/>
      <c r="CG150" s="656"/>
    </row>
    <row r="151" spans="1:85">
      <c r="A151" s="661"/>
      <c r="F151" s="663"/>
      <c r="G151" s="663"/>
      <c r="I151" s="663"/>
      <c r="CG151" s="656"/>
    </row>
    <row r="152" spans="1:85">
      <c r="A152" s="661"/>
      <c r="F152" s="663"/>
      <c r="G152" s="663"/>
      <c r="I152" s="663"/>
      <c r="CG152" s="656"/>
    </row>
    <row r="153" spans="1:85">
      <c r="A153" s="661"/>
      <c r="E153" s="657" t="s">
        <v>685</v>
      </c>
      <c r="F153" s="663"/>
      <c r="G153" s="663"/>
      <c r="I153" s="663" t="s">
        <v>477</v>
      </c>
      <c r="CG153" s="656"/>
    </row>
    <row r="154" spans="1:85" ht="16.5" customHeight="1">
      <c r="A154" s="661"/>
      <c r="CG154" s="656"/>
    </row>
    <row r="155" spans="1:85">
      <c r="A155" s="661"/>
      <c r="E155" s="663"/>
      <c r="F155" s="886" t="s">
        <v>624</v>
      </c>
      <c r="G155" s="887"/>
      <c r="H155" s="887"/>
      <c r="I155" s="887"/>
      <c r="J155" s="887"/>
      <c r="K155" s="887"/>
      <c r="L155" s="887"/>
      <c r="M155" s="887"/>
      <c r="N155" s="888"/>
      <c r="O155" s="943" t="s">
        <v>628</v>
      </c>
      <c r="P155" s="905"/>
      <c r="Q155" s="905"/>
      <c r="R155" s="905"/>
      <c r="S155" s="905"/>
      <c r="T155" s="905"/>
      <c r="U155" s="905"/>
      <c r="V155" s="905"/>
      <c r="W155" s="905"/>
      <c r="X155" s="905"/>
      <c r="Y155" s="905"/>
      <c r="Z155" s="905"/>
      <c r="AA155" s="905"/>
      <c r="AB155" s="905"/>
      <c r="AC155" s="905"/>
      <c r="AD155" s="905"/>
      <c r="AE155" s="905"/>
      <c r="AF155" s="905"/>
      <c r="AG155" s="905"/>
      <c r="AH155" s="905"/>
      <c r="AI155" s="905"/>
      <c r="AJ155" s="905"/>
      <c r="AK155" s="905"/>
      <c r="AL155" s="905"/>
      <c r="AM155" s="905"/>
      <c r="AN155" s="905"/>
      <c r="AO155" s="905"/>
      <c r="AP155" s="905"/>
      <c r="AQ155" s="905"/>
      <c r="AR155" s="905"/>
      <c r="AS155" s="905"/>
      <c r="AT155" s="905"/>
      <c r="AU155" s="906"/>
      <c r="CG155" s="656"/>
    </row>
    <row r="156" spans="1:85">
      <c r="A156" s="661"/>
      <c r="E156" s="663"/>
      <c r="F156" s="956" t="s">
        <v>455</v>
      </c>
      <c r="G156" s="957"/>
      <c r="H156" s="957"/>
      <c r="I156" s="957"/>
      <c r="J156" s="957"/>
      <c r="K156" s="957"/>
      <c r="L156" s="957"/>
      <c r="M156" s="957"/>
      <c r="N156" s="958"/>
      <c r="O156" s="950" t="s">
        <v>686</v>
      </c>
      <c r="P156" s="951"/>
      <c r="Q156" s="951"/>
      <c r="R156" s="951"/>
      <c r="S156" s="951"/>
      <c r="T156" s="951"/>
      <c r="U156" s="951"/>
      <c r="V156" s="951"/>
      <c r="W156" s="951"/>
      <c r="X156" s="951"/>
      <c r="Y156" s="951"/>
      <c r="Z156" s="951"/>
      <c r="AA156" s="951"/>
      <c r="AB156" s="951"/>
      <c r="AC156" s="951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51"/>
      <c r="AO156" s="951"/>
      <c r="AP156" s="951"/>
      <c r="AQ156" s="951"/>
      <c r="AR156" s="951"/>
      <c r="AS156" s="951"/>
      <c r="AT156" s="951"/>
      <c r="AU156" s="952"/>
      <c r="CG156" s="656"/>
    </row>
    <row r="157" spans="1:85">
      <c r="A157" s="661"/>
      <c r="E157" s="663"/>
      <c r="F157" s="664"/>
      <c r="G157" s="664"/>
      <c r="H157" s="664"/>
      <c r="I157" s="664"/>
      <c r="J157" s="664"/>
      <c r="K157" s="664"/>
      <c r="L157" s="664"/>
      <c r="M157" s="664"/>
      <c r="N157" s="664"/>
      <c r="O157" s="665"/>
      <c r="P157" s="665"/>
      <c r="Q157" s="665"/>
      <c r="R157" s="665"/>
      <c r="S157" s="665"/>
      <c r="T157" s="665"/>
      <c r="U157" s="665"/>
      <c r="V157" s="665"/>
      <c r="W157" s="665"/>
      <c r="X157" s="665"/>
      <c r="Y157" s="665"/>
      <c r="Z157" s="665"/>
      <c r="AA157" s="665"/>
      <c r="AB157" s="665"/>
      <c r="AC157" s="665"/>
      <c r="AD157" s="665"/>
      <c r="AE157" s="665"/>
      <c r="AF157" s="665"/>
      <c r="AG157" s="665"/>
      <c r="AH157" s="665"/>
      <c r="AI157" s="665"/>
      <c r="AJ157" s="665"/>
      <c r="AK157" s="665"/>
      <c r="AL157" s="665"/>
      <c r="AM157" s="665"/>
      <c r="AN157" s="665"/>
      <c r="AO157" s="665"/>
      <c r="AP157" s="665"/>
      <c r="AQ157" s="665"/>
      <c r="AR157" s="665"/>
      <c r="AS157" s="665"/>
      <c r="AT157" s="665"/>
      <c r="AU157" s="665"/>
      <c r="CG157" s="656"/>
    </row>
    <row r="158" spans="1:85">
      <c r="A158" s="661"/>
      <c r="E158" s="663"/>
      <c r="F158" s="663" t="s">
        <v>687</v>
      </c>
      <c r="G158" s="663"/>
      <c r="H158" s="663"/>
      <c r="I158" s="663"/>
      <c r="J158" s="663"/>
      <c r="K158" s="663"/>
      <c r="L158" s="663"/>
      <c r="M158" s="663"/>
      <c r="N158" s="663"/>
      <c r="O158" s="663"/>
      <c r="P158" s="663"/>
      <c r="Q158" s="663"/>
      <c r="R158" s="663"/>
      <c r="S158" s="663"/>
      <c r="T158" s="663"/>
      <c r="U158" s="663"/>
      <c r="V158" s="663"/>
      <c r="W158" s="663"/>
      <c r="X158" s="663"/>
      <c r="Y158" s="663"/>
      <c r="Z158" s="663"/>
      <c r="AA158" s="663"/>
      <c r="AB158" s="663"/>
      <c r="AC158" s="663"/>
      <c r="AD158" s="663"/>
      <c r="AE158" s="663"/>
      <c r="AF158" s="663"/>
      <c r="AG158" s="663"/>
      <c r="AH158" s="663"/>
      <c r="AI158" s="663"/>
      <c r="AJ158" s="663"/>
      <c r="AK158" s="663"/>
      <c r="AL158" s="663"/>
      <c r="AM158" s="663"/>
      <c r="AN158" s="663"/>
      <c r="AO158" s="663"/>
      <c r="AP158" s="663"/>
      <c r="AQ158" s="663"/>
      <c r="AR158" s="663"/>
      <c r="AS158" s="663"/>
      <c r="AT158" s="663"/>
      <c r="AU158" s="663"/>
      <c r="CG158" s="656"/>
    </row>
    <row r="159" spans="1:85">
      <c r="A159" s="661"/>
      <c r="E159" s="663"/>
      <c r="F159" s="663"/>
      <c r="G159" s="663"/>
      <c r="H159" s="663"/>
      <c r="I159" s="663"/>
      <c r="J159" s="663"/>
      <c r="K159" s="663"/>
      <c r="L159" s="663"/>
      <c r="M159" s="663"/>
      <c r="N159" s="663"/>
      <c r="O159" s="663"/>
      <c r="P159" s="663"/>
      <c r="Q159" s="663"/>
      <c r="R159" s="663"/>
      <c r="S159" s="663"/>
      <c r="T159" s="663"/>
      <c r="U159" s="663"/>
      <c r="V159" s="663"/>
      <c r="W159" s="663"/>
      <c r="X159" s="663"/>
      <c r="Y159" s="663"/>
      <c r="Z159" s="663"/>
      <c r="AA159" s="663"/>
      <c r="AB159" s="663"/>
      <c r="AC159" s="663"/>
      <c r="AD159" s="663"/>
      <c r="AE159" s="663"/>
      <c r="AF159" s="663"/>
      <c r="AG159" s="663"/>
      <c r="AH159" s="663"/>
      <c r="AI159" s="663"/>
      <c r="AJ159" s="663"/>
      <c r="AK159" s="663"/>
      <c r="AL159" s="663"/>
      <c r="AM159" s="663"/>
      <c r="AN159" s="663"/>
      <c r="AO159" s="663"/>
      <c r="AP159" s="663"/>
      <c r="AQ159" s="663"/>
      <c r="AR159" s="663"/>
      <c r="AS159" s="663"/>
      <c r="AT159" s="663"/>
      <c r="AU159" s="663"/>
      <c r="CG159" s="656"/>
    </row>
    <row r="160" spans="1:85">
      <c r="A160" s="661"/>
      <c r="E160" s="663"/>
      <c r="F160" s="666" t="s">
        <v>368</v>
      </c>
      <c r="G160" s="953" t="s">
        <v>369</v>
      </c>
      <c r="H160" s="954"/>
      <c r="I160" s="954"/>
      <c r="J160" s="954"/>
      <c r="K160" s="954"/>
      <c r="L160" s="954"/>
      <c r="M160" s="954"/>
      <c r="N160" s="955"/>
      <c r="O160" s="953" t="s">
        <v>464</v>
      </c>
      <c r="P160" s="954"/>
      <c r="Q160" s="954"/>
      <c r="R160" s="954"/>
      <c r="S160" s="954"/>
      <c r="T160" s="954"/>
      <c r="U160" s="954"/>
      <c r="V160" s="954"/>
      <c r="W160" s="954"/>
      <c r="X160" s="954"/>
      <c r="Y160" s="954"/>
      <c r="Z160" s="954"/>
      <c r="AA160" s="955"/>
      <c r="AB160" s="663"/>
      <c r="AC160" s="663"/>
      <c r="AD160" s="663"/>
      <c r="AE160" s="663"/>
      <c r="AF160" s="663"/>
      <c r="AG160" s="663"/>
      <c r="AH160" s="663"/>
      <c r="AI160" s="663"/>
      <c r="AJ160" s="663"/>
      <c r="AK160" s="663"/>
      <c r="AL160" s="663"/>
      <c r="AM160" s="663"/>
      <c r="AN160" s="663"/>
      <c r="AO160" s="663"/>
      <c r="AP160" s="663"/>
      <c r="AQ160" s="663"/>
      <c r="AR160" s="663"/>
      <c r="AU160" s="663"/>
      <c r="AW160" s="663"/>
      <c r="CG160" s="656"/>
    </row>
    <row r="161" spans="1:85">
      <c r="A161" s="661"/>
      <c r="E161" s="663"/>
      <c r="F161" s="667">
        <v>1</v>
      </c>
      <c r="G161" s="889" t="s">
        <v>478</v>
      </c>
      <c r="H161" s="890"/>
      <c r="I161" s="890"/>
      <c r="J161" s="890"/>
      <c r="K161" s="890"/>
      <c r="L161" s="890"/>
      <c r="M161" s="890"/>
      <c r="N161" s="891"/>
      <c r="O161" s="889" t="s">
        <v>372</v>
      </c>
      <c r="P161" s="890"/>
      <c r="Q161" s="890"/>
      <c r="R161" s="890"/>
      <c r="S161" s="890"/>
      <c r="T161" s="890"/>
      <c r="U161" s="890"/>
      <c r="V161" s="890"/>
      <c r="W161" s="890"/>
      <c r="X161" s="890"/>
      <c r="Y161" s="890"/>
      <c r="Z161" s="890"/>
      <c r="AA161" s="891"/>
      <c r="AB161" s="663"/>
      <c r="AC161" s="663"/>
      <c r="AD161" s="663"/>
      <c r="AE161" s="663"/>
      <c r="AF161" s="663"/>
      <c r="AG161" s="663"/>
      <c r="AH161" s="663"/>
      <c r="AI161" s="663"/>
      <c r="AJ161" s="663"/>
      <c r="AK161" s="663"/>
      <c r="AL161" s="663"/>
      <c r="AM161" s="663"/>
      <c r="AN161" s="663"/>
      <c r="AO161" s="663"/>
      <c r="AP161" s="663"/>
      <c r="AQ161" s="663"/>
      <c r="AR161" s="663"/>
      <c r="AS161" s="663"/>
      <c r="AT161" s="663"/>
      <c r="AU161" s="663"/>
      <c r="BB161" s="668"/>
      <c r="CG161" s="656"/>
    </row>
    <row r="162" spans="1:85" ht="15.75" customHeight="1">
      <c r="A162" s="661"/>
      <c r="E162" s="663"/>
      <c r="F162" s="667">
        <v>2</v>
      </c>
      <c r="G162" s="889" t="s">
        <v>479</v>
      </c>
      <c r="H162" s="890"/>
      <c r="I162" s="890"/>
      <c r="J162" s="890"/>
      <c r="K162" s="890"/>
      <c r="L162" s="890"/>
      <c r="M162" s="890"/>
      <c r="N162" s="891"/>
      <c r="O162" s="921" t="s">
        <v>302</v>
      </c>
      <c r="P162" s="922"/>
      <c r="Q162" s="922"/>
      <c r="R162" s="922"/>
      <c r="S162" s="922"/>
      <c r="T162" s="922"/>
      <c r="U162" s="922"/>
      <c r="V162" s="922"/>
      <c r="W162" s="922"/>
      <c r="X162" s="922"/>
      <c r="Y162" s="922"/>
      <c r="Z162" s="922"/>
      <c r="AA162" s="923"/>
      <c r="AB162" s="663"/>
      <c r="AC162" s="663"/>
      <c r="AD162" s="663"/>
      <c r="AE162" s="663"/>
      <c r="AF162" s="663"/>
      <c r="AG162" s="663"/>
      <c r="AH162" s="663"/>
      <c r="AI162" s="663"/>
      <c r="AJ162" s="663"/>
      <c r="AK162" s="663"/>
      <c r="AL162" s="663"/>
      <c r="AM162" s="663"/>
      <c r="AN162" s="663"/>
      <c r="AO162" s="663"/>
      <c r="AP162" s="663"/>
      <c r="AQ162" s="663"/>
      <c r="AR162" s="663"/>
      <c r="AS162" s="663"/>
      <c r="AT162" s="663"/>
      <c r="AU162" s="663"/>
      <c r="CG162" s="656"/>
    </row>
    <row r="163" spans="1:85">
      <c r="A163" s="661"/>
      <c r="E163" s="663"/>
      <c r="F163" s="667">
        <v>3</v>
      </c>
      <c r="G163" s="889" t="s">
        <v>480</v>
      </c>
      <c r="H163" s="890"/>
      <c r="I163" s="890"/>
      <c r="J163" s="890"/>
      <c r="K163" s="890"/>
      <c r="L163" s="890"/>
      <c r="M163" s="890"/>
      <c r="N163" s="891"/>
      <c r="O163" s="921" t="s">
        <v>481</v>
      </c>
      <c r="P163" s="922"/>
      <c r="Q163" s="922"/>
      <c r="R163" s="922"/>
      <c r="S163" s="922"/>
      <c r="T163" s="922"/>
      <c r="U163" s="922"/>
      <c r="V163" s="922"/>
      <c r="W163" s="922"/>
      <c r="X163" s="922"/>
      <c r="Y163" s="922"/>
      <c r="Z163" s="922"/>
      <c r="AA163" s="923"/>
      <c r="AB163" s="663"/>
      <c r="AC163" s="663"/>
      <c r="AD163" s="663"/>
      <c r="AE163" s="663"/>
      <c r="AF163" s="663"/>
      <c r="AG163" s="663"/>
      <c r="AH163" s="663"/>
      <c r="AI163" s="663"/>
      <c r="AJ163" s="663"/>
      <c r="AK163" s="663"/>
      <c r="AL163" s="663"/>
      <c r="AM163" s="663"/>
      <c r="AN163" s="663"/>
      <c r="AO163" s="663"/>
      <c r="AP163" s="663"/>
      <c r="AQ163" s="663"/>
      <c r="AR163" s="663"/>
      <c r="AS163" s="663"/>
      <c r="AT163" s="663"/>
      <c r="AU163" s="663"/>
      <c r="CG163" s="656"/>
    </row>
    <row r="164" spans="1:85">
      <c r="A164" s="661"/>
      <c r="F164" s="667">
        <v>4</v>
      </c>
      <c r="G164" s="889" t="s">
        <v>482</v>
      </c>
      <c r="H164" s="890"/>
      <c r="I164" s="890"/>
      <c r="J164" s="890"/>
      <c r="K164" s="890"/>
      <c r="L164" s="890"/>
      <c r="M164" s="890"/>
      <c r="N164" s="891"/>
      <c r="O164" s="921" t="s">
        <v>483</v>
      </c>
      <c r="P164" s="922"/>
      <c r="Q164" s="922"/>
      <c r="R164" s="922"/>
      <c r="S164" s="922"/>
      <c r="T164" s="922"/>
      <c r="U164" s="922"/>
      <c r="V164" s="922"/>
      <c r="W164" s="922"/>
      <c r="X164" s="922"/>
      <c r="Y164" s="922"/>
      <c r="Z164" s="922"/>
      <c r="AA164" s="923"/>
      <c r="CG164" s="656"/>
    </row>
    <row r="165" spans="1:85">
      <c r="A165" s="661"/>
      <c r="F165" s="667">
        <v>5</v>
      </c>
      <c r="G165" s="889" t="s">
        <v>484</v>
      </c>
      <c r="H165" s="890"/>
      <c r="I165" s="890"/>
      <c r="J165" s="890"/>
      <c r="K165" s="890"/>
      <c r="L165" s="890"/>
      <c r="M165" s="890"/>
      <c r="N165" s="891"/>
      <c r="O165" s="921" t="s">
        <v>485</v>
      </c>
      <c r="P165" s="922"/>
      <c r="Q165" s="922"/>
      <c r="R165" s="922"/>
      <c r="S165" s="922"/>
      <c r="T165" s="922"/>
      <c r="U165" s="922"/>
      <c r="V165" s="922"/>
      <c r="W165" s="922"/>
      <c r="X165" s="922"/>
      <c r="Y165" s="922"/>
      <c r="Z165" s="922"/>
      <c r="AA165" s="923"/>
      <c r="CG165" s="656"/>
    </row>
    <row r="166" spans="1:85">
      <c r="A166" s="661"/>
      <c r="F166" s="667">
        <v>6</v>
      </c>
      <c r="G166" s="889" t="s">
        <v>486</v>
      </c>
      <c r="H166" s="890"/>
      <c r="I166" s="890"/>
      <c r="J166" s="890"/>
      <c r="K166" s="890"/>
      <c r="L166" s="890"/>
      <c r="M166" s="890"/>
      <c r="N166" s="891"/>
      <c r="O166" s="921" t="s">
        <v>487</v>
      </c>
      <c r="P166" s="922"/>
      <c r="Q166" s="922"/>
      <c r="R166" s="922"/>
      <c r="S166" s="922"/>
      <c r="T166" s="922"/>
      <c r="U166" s="922"/>
      <c r="V166" s="922"/>
      <c r="W166" s="922"/>
      <c r="X166" s="922"/>
      <c r="Y166" s="922"/>
      <c r="Z166" s="922"/>
      <c r="AA166" s="923"/>
      <c r="CG166" s="656"/>
    </row>
    <row r="167" spans="1:85">
      <c r="A167" s="661"/>
      <c r="F167" s="667">
        <v>7</v>
      </c>
      <c r="G167" s="889" t="s">
        <v>488</v>
      </c>
      <c r="H167" s="890"/>
      <c r="I167" s="890"/>
      <c r="J167" s="890"/>
      <c r="K167" s="890"/>
      <c r="L167" s="890"/>
      <c r="M167" s="890"/>
      <c r="N167" s="891"/>
      <c r="O167" s="921" t="s">
        <v>489</v>
      </c>
      <c r="P167" s="922"/>
      <c r="Q167" s="922"/>
      <c r="R167" s="922"/>
      <c r="S167" s="922"/>
      <c r="T167" s="922"/>
      <c r="U167" s="922"/>
      <c r="V167" s="922"/>
      <c r="W167" s="922"/>
      <c r="X167" s="922"/>
      <c r="Y167" s="922"/>
      <c r="Z167" s="922"/>
      <c r="AA167" s="923"/>
      <c r="CG167" s="656"/>
    </row>
    <row r="168" spans="1:85">
      <c r="A168" s="661"/>
      <c r="F168" s="667">
        <v>8</v>
      </c>
      <c r="G168" s="935" t="s">
        <v>490</v>
      </c>
      <c r="H168" s="936"/>
      <c r="I168" s="936"/>
      <c r="J168" s="936"/>
      <c r="K168" s="936"/>
      <c r="L168" s="936"/>
      <c r="M168" s="936"/>
      <c r="N168" s="937"/>
      <c r="O168" s="921" t="s">
        <v>491</v>
      </c>
      <c r="P168" s="922"/>
      <c r="Q168" s="922"/>
      <c r="R168" s="922"/>
      <c r="S168" s="922"/>
      <c r="T168" s="922"/>
      <c r="U168" s="922"/>
      <c r="V168" s="922"/>
      <c r="W168" s="922"/>
      <c r="X168" s="922"/>
      <c r="Y168" s="922"/>
      <c r="Z168" s="922"/>
      <c r="AA168" s="923"/>
      <c r="CG168" s="656"/>
    </row>
    <row r="169" spans="1:85" ht="16.5" customHeight="1">
      <c r="A169" s="661"/>
      <c r="CG169" s="656"/>
    </row>
    <row r="170" spans="1:85" ht="16.5" customHeight="1">
      <c r="A170" s="661"/>
      <c r="CG170" s="656"/>
    </row>
    <row r="171" spans="1:85">
      <c r="A171" s="661"/>
      <c r="E171" s="657" t="s">
        <v>688</v>
      </c>
      <c r="F171" s="663"/>
      <c r="G171" s="663"/>
      <c r="I171" s="663" t="s">
        <v>492</v>
      </c>
      <c r="CG171" s="656"/>
    </row>
    <row r="172" spans="1:85">
      <c r="A172" s="661"/>
      <c r="F172" s="663"/>
      <c r="G172" s="663"/>
      <c r="I172" s="663"/>
      <c r="CG172" s="656"/>
    </row>
    <row r="173" spans="1:85">
      <c r="A173" s="661"/>
      <c r="F173" s="657" t="s">
        <v>689</v>
      </c>
      <c r="G173" s="663"/>
      <c r="I173" s="663"/>
      <c r="CG173" s="656"/>
    </row>
    <row r="174" spans="1:85">
      <c r="A174" s="661"/>
      <c r="F174" s="657" t="s">
        <v>493</v>
      </c>
      <c r="G174" s="663"/>
      <c r="I174" s="663"/>
      <c r="CG174" s="656"/>
    </row>
    <row r="175" spans="1:85">
      <c r="A175" s="661"/>
      <c r="G175" s="663"/>
      <c r="I175" s="663"/>
      <c r="CG175" s="656"/>
    </row>
    <row r="176" spans="1:85">
      <c r="A176" s="661"/>
      <c r="E176" s="663"/>
      <c r="F176" s="663" t="s">
        <v>690</v>
      </c>
      <c r="G176" s="663"/>
      <c r="H176" s="663"/>
      <c r="I176" s="663"/>
      <c r="J176" s="663"/>
      <c r="K176" s="663"/>
      <c r="L176" s="663"/>
      <c r="M176" s="663"/>
      <c r="N176" s="663"/>
      <c r="O176" s="663"/>
      <c r="P176" s="663"/>
      <c r="Q176" s="663"/>
      <c r="R176" s="663"/>
      <c r="S176" s="663"/>
      <c r="T176" s="663"/>
      <c r="U176" s="663"/>
      <c r="V176" s="663"/>
      <c r="W176" s="663"/>
      <c r="X176" s="663"/>
      <c r="Y176" s="663"/>
      <c r="Z176" s="663"/>
      <c r="AA176" s="663"/>
      <c r="AB176" s="663"/>
      <c r="AC176" s="663"/>
      <c r="AD176" s="663"/>
      <c r="AE176" s="663"/>
      <c r="AF176" s="663"/>
      <c r="AG176" s="663"/>
      <c r="AH176" s="663"/>
      <c r="AI176" s="663"/>
      <c r="AJ176" s="663"/>
      <c r="AK176" s="663"/>
      <c r="AL176" s="663"/>
      <c r="AM176" s="663"/>
      <c r="AN176" s="663"/>
      <c r="AO176" s="663"/>
      <c r="AP176" s="663"/>
      <c r="AQ176" s="663"/>
      <c r="AR176" s="663"/>
      <c r="AS176" s="663"/>
      <c r="AT176" s="663"/>
      <c r="AU176" s="663"/>
      <c r="CG176" s="656"/>
    </row>
    <row r="177" spans="1:85">
      <c r="A177" s="661"/>
      <c r="E177" s="663"/>
      <c r="F177" s="663" t="s">
        <v>691</v>
      </c>
      <c r="G177" s="663"/>
      <c r="H177" s="663"/>
      <c r="I177" s="663"/>
      <c r="J177" s="663"/>
      <c r="K177" s="663"/>
      <c r="L177" s="663"/>
      <c r="M177" s="663"/>
      <c r="N177" s="663"/>
      <c r="O177" s="663"/>
      <c r="P177" s="663"/>
      <c r="Q177" s="663"/>
      <c r="R177" s="663"/>
      <c r="S177" s="663"/>
      <c r="T177" s="663"/>
      <c r="U177" s="663"/>
      <c r="V177" s="663"/>
      <c r="W177" s="663"/>
      <c r="X177" s="663"/>
      <c r="Y177" s="663"/>
      <c r="Z177" s="663"/>
      <c r="AA177" s="663"/>
      <c r="AB177" s="663"/>
      <c r="AC177" s="663"/>
      <c r="AD177" s="663"/>
      <c r="AE177" s="663"/>
      <c r="AF177" s="663"/>
      <c r="AG177" s="663"/>
      <c r="AH177" s="663" t="s">
        <v>474</v>
      </c>
      <c r="AI177" s="663" t="s">
        <v>494</v>
      </c>
      <c r="AJ177" s="663"/>
      <c r="AK177" s="663"/>
      <c r="AL177" s="663"/>
      <c r="AM177" s="663"/>
      <c r="AN177" s="663"/>
      <c r="AO177" s="663"/>
      <c r="AP177" s="663"/>
      <c r="AQ177" s="663"/>
      <c r="AR177" s="663"/>
      <c r="AS177" s="663"/>
      <c r="AT177" s="663"/>
      <c r="AU177" s="663"/>
      <c r="CG177" s="656"/>
    </row>
    <row r="178" spans="1:85">
      <c r="A178" s="661"/>
      <c r="E178" s="663"/>
      <c r="F178" s="663" t="s">
        <v>692</v>
      </c>
      <c r="G178" s="663"/>
      <c r="H178" s="663"/>
      <c r="I178" s="663"/>
      <c r="J178" s="663"/>
      <c r="K178" s="663"/>
      <c r="L178" s="663"/>
      <c r="M178" s="663"/>
      <c r="N178" s="663"/>
      <c r="O178" s="663"/>
      <c r="P178" s="663"/>
      <c r="Q178" s="663"/>
      <c r="R178" s="663"/>
      <c r="S178" s="663"/>
      <c r="T178" s="663"/>
      <c r="U178" s="663"/>
      <c r="V178" s="663"/>
      <c r="W178" s="663"/>
      <c r="X178" s="663"/>
      <c r="Y178" s="663"/>
      <c r="Z178" s="663"/>
      <c r="AA178" s="663"/>
      <c r="AB178" s="663"/>
      <c r="AC178" s="663"/>
      <c r="AD178" s="663"/>
      <c r="AE178" s="663"/>
      <c r="AF178" s="663"/>
      <c r="AG178" s="663"/>
      <c r="AH178" s="663" t="s">
        <v>474</v>
      </c>
      <c r="AI178" s="663" t="s">
        <v>495</v>
      </c>
      <c r="AJ178" s="663"/>
      <c r="AK178" s="663"/>
      <c r="AL178" s="663"/>
      <c r="AM178" s="663"/>
      <c r="AN178" s="663"/>
      <c r="AO178" s="663"/>
      <c r="AP178" s="663"/>
      <c r="AQ178" s="663"/>
      <c r="AR178" s="663"/>
      <c r="AS178" s="663"/>
      <c r="AT178" s="663"/>
      <c r="AU178" s="663"/>
      <c r="CG178" s="656"/>
    </row>
    <row r="179" spans="1:85">
      <c r="A179" s="661"/>
      <c r="F179" s="670"/>
      <c r="G179" s="671"/>
      <c r="H179" s="671"/>
      <c r="I179" s="671"/>
      <c r="J179" s="671"/>
      <c r="K179" s="671"/>
      <c r="L179" s="671"/>
      <c r="M179" s="671"/>
      <c r="N179" s="671"/>
      <c r="O179" s="671"/>
      <c r="P179" s="671"/>
      <c r="Q179" s="671"/>
      <c r="R179" s="671"/>
      <c r="S179" s="671"/>
      <c r="T179" s="671"/>
      <c r="U179" s="671"/>
      <c r="V179" s="671"/>
      <c r="W179" s="671"/>
      <c r="X179" s="671"/>
      <c r="Y179" s="671"/>
      <c r="Z179" s="671"/>
      <c r="AA179" s="671"/>
      <c r="CG179" s="656"/>
    </row>
    <row r="180" spans="1:85">
      <c r="A180" s="661"/>
      <c r="E180" s="657" t="s">
        <v>693</v>
      </c>
      <c r="CG180" s="656"/>
    </row>
    <row r="181" spans="1:85" hidden="1">
      <c r="A181" s="661"/>
      <c r="F181" s="663" t="s">
        <v>694</v>
      </c>
      <c r="CG181" s="656"/>
    </row>
    <row r="182" spans="1:85" ht="16.5" hidden="1" customHeight="1">
      <c r="A182" s="661"/>
      <c r="D182" s="655"/>
      <c r="F182" s="663"/>
      <c r="CG182" s="656"/>
    </row>
    <row r="183" spans="1:85" ht="16.5" hidden="1" customHeight="1">
      <c r="A183" s="661"/>
      <c r="H183" s="938" t="s">
        <v>496</v>
      </c>
      <c r="I183" s="939"/>
      <c r="J183" s="939"/>
      <c r="K183" s="939"/>
      <c r="L183" s="939"/>
      <c r="M183" s="939"/>
      <c r="N183" s="939"/>
      <c r="O183" s="939"/>
      <c r="P183" s="939"/>
      <c r="Q183" s="939"/>
      <c r="R183" s="939"/>
      <c r="S183" s="939"/>
      <c r="T183" s="939"/>
      <c r="U183" s="939"/>
      <c r="V183" s="939"/>
      <c r="W183" s="939"/>
      <c r="X183" s="939"/>
      <c r="Y183" s="939"/>
      <c r="Z183" s="939"/>
      <c r="AA183" s="939"/>
      <c r="AB183" s="939"/>
      <c r="AC183" s="939"/>
      <c r="AD183" s="939"/>
      <c r="AE183" s="939"/>
      <c r="AF183" s="939"/>
      <c r="AG183" s="939"/>
      <c r="AH183" s="939"/>
      <c r="AI183" s="939"/>
      <c r="AJ183" s="939"/>
      <c r="AK183" s="940"/>
      <c r="AL183" s="941" t="s">
        <v>497</v>
      </c>
      <c r="AM183" s="941"/>
      <c r="AN183" s="941"/>
      <c r="AO183" s="941"/>
      <c r="AP183" s="941"/>
      <c r="AQ183" s="941"/>
      <c r="AR183" s="941"/>
      <c r="AS183" s="941"/>
      <c r="AT183" s="941"/>
      <c r="AU183" s="941"/>
      <c r="AV183" s="941"/>
      <c r="AW183" s="941"/>
      <c r="AX183" s="941"/>
      <c r="CG183" s="656"/>
    </row>
    <row r="184" spans="1:85" ht="33.75" hidden="1" customHeight="1">
      <c r="A184" s="661"/>
      <c r="H184" s="932" t="s">
        <v>695</v>
      </c>
      <c r="I184" s="932"/>
      <c r="J184" s="932"/>
      <c r="K184" s="932"/>
      <c r="L184" s="932"/>
      <c r="M184" s="932"/>
      <c r="N184" s="932"/>
      <c r="O184" s="932"/>
      <c r="P184" s="932"/>
      <c r="Q184" s="932"/>
      <c r="R184" s="932"/>
      <c r="S184" s="932"/>
      <c r="T184" s="932"/>
      <c r="U184" s="932"/>
      <c r="V184" s="932"/>
      <c r="W184" s="932"/>
      <c r="X184" s="932"/>
      <c r="Y184" s="932"/>
      <c r="Z184" s="932"/>
      <c r="AA184" s="932"/>
      <c r="AB184" s="932"/>
      <c r="AC184" s="932"/>
      <c r="AD184" s="932"/>
      <c r="AE184" s="932"/>
      <c r="AF184" s="932"/>
      <c r="AG184" s="932"/>
      <c r="AH184" s="932"/>
      <c r="AI184" s="932"/>
      <c r="AJ184" s="932"/>
      <c r="AK184" s="932"/>
      <c r="AL184" s="928" t="s">
        <v>696</v>
      </c>
      <c r="AM184" s="928"/>
      <c r="AN184" s="928"/>
      <c r="AO184" s="928"/>
      <c r="AP184" s="928"/>
      <c r="AQ184" s="928"/>
      <c r="AR184" s="928" t="s">
        <v>697</v>
      </c>
      <c r="AS184" s="928"/>
      <c r="AT184" s="928"/>
      <c r="AU184" s="928"/>
      <c r="AV184" s="928"/>
      <c r="AW184" s="928"/>
      <c r="AX184" s="928"/>
      <c r="CG184" s="656"/>
    </row>
    <row r="185" spans="1:85" ht="16.5" hidden="1" customHeight="1">
      <c r="A185" s="661"/>
      <c r="H185" s="917" t="s">
        <v>629</v>
      </c>
      <c r="I185" s="917"/>
      <c r="J185" s="917"/>
      <c r="K185" s="917"/>
      <c r="L185" s="917"/>
      <c r="M185" s="917"/>
      <c r="N185" s="917"/>
      <c r="O185" s="917"/>
      <c r="P185" s="917"/>
      <c r="Q185" s="917"/>
      <c r="R185" s="917"/>
      <c r="S185" s="917"/>
      <c r="T185" s="917"/>
      <c r="U185" s="917"/>
      <c r="V185" s="917"/>
      <c r="W185" s="916" t="s">
        <v>498</v>
      </c>
      <c r="X185" s="916"/>
      <c r="Y185" s="916"/>
      <c r="Z185" s="916"/>
      <c r="AA185" s="916"/>
      <c r="AB185" s="916"/>
      <c r="AC185" s="916"/>
      <c r="AD185" s="916"/>
      <c r="AE185" s="916"/>
      <c r="AF185" s="916"/>
      <c r="AG185" s="916"/>
      <c r="AH185" s="916"/>
      <c r="AI185" s="916"/>
      <c r="AJ185" s="916"/>
      <c r="AK185" s="916"/>
      <c r="AL185" s="916" t="s">
        <v>499</v>
      </c>
      <c r="AM185" s="916"/>
      <c r="AN185" s="916"/>
      <c r="AO185" s="916"/>
      <c r="AP185" s="916"/>
      <c r="AQ185" s="916"/>
      <c r="AR185" s="916" t="s">
        <v>499</v>
      </c>
      <c r="AS185" s="916"/>
      <c r="AT185" s="916"/>
      <c r="AU185" s="916"/>
      <c r="AV185" s="916"/>
      <c r="AW185" s="916"/>
      <c r="AX185" s="916"/>
      <c r="CG185" s="656"/>
    </row>
    <row r="186" spans="1:85" ht="49.75" hidden="1" customHeight="1">
      <c r="A186" s="661"/>
      <c r="H186" s="917"/>
      <c r="I186" s="917"/>
      <c r="J186" s="917"/>
      <c r="K186" s="917"/>
      <c r="L186" s="917"/>
      <c r="M186" s="917"/>
      <c r="N186" s="917"/>
      <c r="O186" s="917"/>
      <c r="P186" s="917"/>
      <c r="Q186" s="917"/>
      <c r="R186" s="917"/>
      <c r="S186" s="917"/>
      <c r="T186" s="917"/>
      <c r="U186" s="917"/>
      <c r="V186" s="917"/>
      <c r="W186" s="920" t="s">
        <v>500</v>
      </c>
      <c r="X186" s="920"/>
      <c r="Y186" s="920"/>
      <c r="Z186" s="920"/>
      <c r="AA186" s="920"/>
      <c r="AB186" s="920"/>
      <c r="AC186" s="920"/>
      <c r="AD186" s="920"/>
      <c r="AE186" s="920"/>
      <c r="AF186" s="920"/>
      <c r="AG186" s="920"/>
      <c r="AH186" s="920"/>
      <c r="AI186" s="920"/>
      <c r="AJ186" s="920"/>
      <c r="AK186" s="920"/>
      <c r="AL186" s="916" t="s">
        <v>499</v>
      </c>
      <c r="AM186" s="916"/>
      <c r="AN186" s="916"/>
      <c r="AO186" s="916"/>
      <c r="AP186" s="916"/>
      <c r="AQ186" s="916"/>
      <c r="AR186" s="920" t="s">
        <v>501</v>
      </c>
      <c r="AS186" s="920"/>
      <c r="AT186" s="920"/>
      <c r="AU186" s="920"/>
      <c r="AV186" s="920"/>
      <c r="AW186" s="920"/>
      <c r="AX186" s="920"/>
      <c r="CG186" s="656"/>
    </row>
    <row r="187" spans="1:85" ht="16.5" hidden="1" customHeight="1">
      <c r="A187" s="661"/>
      <c r="H187" s="917" t="s">
        <v>630</v>
      </c>
      <c r="I187" s="917"/>
      <c r="J187" s="917"/>
      <c r="K187" s="917"/>
      <c r="L187" s="917"/>
      <c r="M187" s="917"/>
      <c r="N187" s="917"/>
      <c r="O187" s="917"/>
      <c r="P187" s="917"/>
      <c r="Q187" s="917"/>
      <c r="R187" s="917"/>
      <c r="S187" s="917"/>
      <c r="T187" s="917"/>
      <c r="U187" s="917"/>
      <c r="V187" s="917"/>
      <c r="W187" s="916"/>
      <c r="X187" s="916"/>
      <c r="Y187" s="916"/>
      <c r="Z187" s="916"/>
      <c r="AA187" s="916"/>
      <c r="AB187" s="916"/>
      <c r="AC187" s="916"/>
      <c r="AD187" s="916"/>
      <c r="AE187" s="916"/>
      <c r="AF187" s="916"/>
      <c r="AG187" s="916"/>
      <c r="AH187" s="916"/>
      <c r="AI187" s="916"/>
      <c r="AJ187" s="916"/>
      <c r="AK187" s="916"/>
      <c r="AL187" s="916" t="s">
        <v>499</v>
      </c>
      <c r="AM187" s="916"/>
      <c r="AN187" s="916"/>
      <c r="AO187" s="916"/>
      <c r="AP187" s="916"/>
      <c r="AQ187" s="916"/>
      <c r="AR187" s="916" t="s">
        <v>499</v>
      </c>
      <c r="AS187" s="916"/>
      <c r="AT187" s="916"/>
      <c r="AU187" s="916"/>
      <c r="AV187" s="916"/>
      <c r="AW187" s="916"/>
      <c r="AX187" s="916"/>
      <c r="CG187" s="656"/>
    </row>
    <row r="188" spans="1:85" ht="16.5" hidden="1" customHeight="1">
      <c r="A188" s="661"/>
      <c r="H188" s="917" t="s">
        <v>502</v>
      </c>
      <c r="I188" s="917"/>
      <c r="J188" s="917"/>
      <c r="K188" s="917"/>
      <c r="L188" s="917"/>
      <c r="M188" s="917"/>
      <c r="N188" s="917"/>
      <c r="O188" s="917"/>
      <c r="P188" s="917"/>
      <c r="Q188" s="917"/>
      <c r="R188" s="917"/>
      <c r="S188" s="917"/>
      <c r="T188" s="917"/>
      <c r="U188" s="917"/>
      <c r="V188" s="917"/>
      <c r="W188" s="916"/>
      <c r="X188" s="916"/>
      <c r="Y188" s="916"/>
      <c r="Z188" s="916"/>
      <c r="AA188" s="916"/>
      <c r="AB188" s="916"/>
      <c r="AC188" s="916"/>
      <c r="AD188" s="916"/>
      <c r="AE188" s="916"/>
      <c r="AF188" s="916"/>
      <c r="AG188" s="916"/>
      <c r="AH188" s="916"/>
      <c r="AI188" s="916"/>
      <c r="AJ188" s="916"/>
      <c r="AK188" s="916"/>
      <c r="AL188" s="916" t="s">
        <v>499</v>
      </c>
      <c r="AM188" s="916"/>
      <c r="AN188" s="916"/>
      <c r="AO188" s="916"/>
      <c r="AP188" s="916"/>
      <c r="AQ188" s="916"/>
      <c r="AR188" s="916" t="s">
        <v>499</v>
      </c>
      <c r="AS188" s="916"/>
      <c r="AT188" s="916"/>
      <c r="AU188" s="916"/>
      <c r="AV188" s="916"/>
      <c r="AW188" s="916"/>
      <c r="AX188" s="916"/>
      <c r="CG188" s="656"/>
    </row>
    <row r="189" spans="1:85" ht="16.5" hidden="1" customHeight="1">
      <c r="A189" s="661"/>
      <c r="CG189" s="656"/>
    </row>
    <row r="190" spans="1:85" ht="16.5" customHeight="1">
      <c r="A190" s="661"/>
      <c r="D190" s="655"/>
      <c r="F190" s="663" t="s">
        <v>698</v>
      </c>
      <c r="CG190" s="656"/>
    </row>
    <row r="191" spans="1:85" ht="16.5" customHeight="1">
      <c r="A191" s="661"/>
      <c r="D191" s="655"/>
      <c r="F191" s="663"/>
      <c r="CG191" s="656"/>
    </row>
    <row r="192" spans="1:85" ht="16.5" customHeight="1">
      <c r="A192" s="661"/>
      <c r="F192" s="931" t="s">
        <v>496</v>
      </c>
      <c r="G192" s="931"/>
      <c r="H192" s="931"/>
      <c r="I192" s="931"/>
      <c r="J192" s="931"/>
      <c r="K192" s="931"/>
      <c r="L192" s="931"/>
      <c r="M192" s="931"/>
      <c r="N192" s="931"/>
      <c r="O192" s="931"/>
      <c r="P192" s="931"/>
      <c r="Q192" s="931"/>
      <c r="R192" s="931"/>
      <c r="S192" s="931"/>
      <c r="T192" s="931"/>
      <c r="U192" s="931"/>
      <c r="V192" s="931"/>
      <c r="W192" s="931"/>
      <c r="X192" s="931"/>
      <c r="Y192" s="931"/>
      <c r="Z192" s="931"/>
      <c r="AA192" s="931"/>
      <c r="AB192" s="931"/>
      <c r="AC192" s="931"/>
      <c r="AD192" s="931"/>
      <c r="AE192" s="931"/>
      <c r="AF192" s="931"/>
      <c r="AG192" s="931"/>
      <c r="AH192" s="931"/>
      <c r="AI192" s="931"/>
      <c r="AJ192" s="931"/>
      <c r="AK192" s="931"/>
      <c r="AL192" s="931"/>
      <c r="AM192" s="931"/>
      <c r="AN192" s="931"/>
      <c r="AO192" s="931"/>
      <c r="AP192" s="931"/>
      <c r="AQ192" s="931"/>
      <c r="AR192" s="931"/>
      <c r="AS192" s="931"/>
      <c r="AT192" s="931"/>
      <c r="AU192" s="931"/>
      <c r="AV192" s="931"/>
      <c r="AW192" s="929" t="s">
        <v>497</v>
      </c>
      <c r="AX192" s="930"/>
      <c r="AY192" s="930"/>
      <c r="AZ192" s="930"/>
      <c r="BA192" s="930"/>
      <c r="BB192" s="930"/>
      <c r="BC192" s="930"/>
      <c r="BD192" s="930"/>
      <c r="BE192" s="930"/>
      <c r="BF192" s="930"/>
      <c r="BG192" s="930"/>
      <c r="BH192" s="930"/>
      <c r="BI192" s="930"/>
      <c r="CG192" s="656"/>
    </row>
    <row r="193" spans="1:86" ht="47" customHeight="1">
      <c r="A193" s="661"/>
      <c r="F193" s="932" t="s">
        <v>695</v>
      </c>
      <c r="G193" s="932"/>
      <c r="H193" s="932"/>
      <c r="I193" s="932"/>
      <c r="J193" s="932"/>
      <c r="K193" s="932"/>
      <c r="L193" s="932"/>
      <c r="M193" s="932"/>
      <c r="N193" s="932"/>
      <c r="O193" s="932"/>
      <c r="P193" s="932"/>
      <c r="Q193" s="932"/>
      <c r="R193" s="932"/>
      <c r="S193" s="932"/>
      <c r="T193" s="932"/>
      <c r="U193" s="932"/>
      <c r="V193" s="932"/>
      <c r="W193" s="932"/>
      <c r="X193" s="932"/>
      <c r="Y193" s="932"/>
      <c r="Z193" s="932"/>
      <c r="AA193" s="932"/>
      <c r="AB193" s="932"/>
      <c r="AC193" s="932"/>
      <c r="AD193" s="932"/>
      <c r="AE193" s="932"/>
      <c r="AF193" s="932"/>
      <c r="AG193" s="932"/>
      <c r="AH193" s="932"/>
      <c r="AI193" s="932"/>
      <c r="AJ193" s="932" t="s">
        <v>503</v>
      </c>
      <c r="AK193" s="932"/>
      <c r="AL193" s="932"/>
      <c r="AM193" s="933" t="s">
        <v>504</v>
      </c>
      <c r="AN193" s="933"/>
      <c r="AO193" s="933"/>
      <c r="AP193" s="933"/>
      <c r="AQ193" s="933"/>
      <c r="AR193" s="934" t="s">
        <v>505</v>
      </c>
      <c r="AS193" s="934"/>
      <c r="AT193" s="934"/>
      <c r="AU193" s="932" t="s">
        <v>506</v>
      </c>
      <c r="AV193" s="932"/>
      <c r="AW193" s="928" t="s">
        <v>696</v>
      </c>
      <c r="AX193" s="928"/>
      <c r="AY193" s="928"/>
      <c r="AZ193" s="928"/>
      <c r="BA193" s="928"/>
      <c r="BB193" s="928"/>
      <c r="BC193" s="928" t="s">
        <v>697</v>
      </c>
      <c r="BD193" s="928"/>
      <c r="BE193" s="928"/>
      <c r="BF193" s="928"/>
      <c r="BG193" s="928"/>
      <c r="BH193" s="928"/>
      <c r="BI193" s="928"/>
      <c r="CG193" s="656"/>
    </row>
    <row r="194" spans="1:86" ht="16.5" customHeight="1">
      <c r="A194" s="661"/>
      <c r="F194" s="917" t="s">
        <v>629</v>
      </c>
      <c r="G194" s="917"/>
      <c r="H194" s="917"/>
      <c r="I194" s="917"/>
      <c r="J194" s="917"/>
      <c r="K194" s="917"/>
      <c r="L194" s="917"/>
      <c r="M194" s="917"/>
      <c r="N194" s="917"/>
      <c r="O194" s="917"/>
      <c r="P194" s="917"/>
      <c r="Q194" s="917"/>
      <c r="R194" s="917"/>
      <c r="S194" s="917"/>
      <c r="T194" s="917"/>
      <c r="U194" s="916" t="s">
        <v>498</v>
      </c>
      <c r="V194" s="916"/>
      <c r="W194" s="916"/>
      <c r="X194" s="916"/>
      <c r="Y194" s="916"/>
      <c r="Z194" s="916"/>
      <c r="AA194" s="916"/>
      <c r="AB194" s="916"/>
      <c r="AC194" s="916"/>
      <c r="AD194" s="916"/>
      <c r="AE194" s="916"/>
      <c r="AF194" s="916"/>
      <c r="AG194" s="916"/>
      <c r="AH194" s="916"/>
      <c r="AI194" s="916"/>
      <c r="AJ194" s="925" t="s">
        <v>507</v>
      </c>
      <c r="AK194" s="926"/>
      <c r="AL194" s="927"/>
      <c r="AM194" s="919" t="s">
        <v>373</v>
      </c>
      <c r="AN194" s="919"/>
      <c r="AO194" s="919"/>
      <c r="AP194" s="919"/>
      <c r="AQ194" s="919"/>
      <c r="AR194" s="894" t="s">
        <v>508</v>
      </c>
      <c r="AS194" s="894"/>
      <c r="AT194" s="894"/>
      <c r="AU194" s="894" t="s">
        <v>509</v>
      </c>
      <c r="AV194" s="894"/>
      <c r="AW194" s="894" t="s">
        <v>510</v>
      </c>
      <c r="AX194" s="894"/>
      <c r="AY194" s="894"/>
      <c r="AZ194" s="894"/>
      <c r="BA194" s="894"/>
      <c r="BB194" s="894"/>
      <c r="BC194" s="916" t="s">
        <v>510</v>
      </c>
      <c r="BD194" s="916"/>
      <c r="BE194" s="916"/>
      <c r="BF194" s="916"/>
      <c r="BG194" s="916"/>
      <c r="BH194" s="916"/>
      <c r="BI194" s="916"/>
      <c r="CH194" s="656"/>
    </row>
    <row r="195" spans="1:86" ht="49.75" customHeight="1">
      <c r="A195" s="661"/>
      <c r="F195" s="917"/>
      <c r="G195" s="917"/>
      <c r="H195" s="917"/>
      <c r="I195" s="917"/>
      <c r="J195" s="917"/>
      <c r="K195" s="917"/>
      <c r="L195" s="917"/>
      <c r="M195" s="917"/>
      <c r="N195" s="917"/>
      <c r="O195" s="917"/>
      <c r="P195" s="917"/>
      <c r="Q195" s="917"/>
      <c r="R195" s="917"/>
      <c r="S195" s="917"/>
      <c r="T195" s="917"/>
      <c r="U195" s="920" t="s">
        <v>511</v>
      </c>
      <c r="V195" s="920"/>
      <c r="W195" s="920"/>
      <c r="X195" s="920"/>
      <c r="Y195" s="920"/>
      <c r="Z195" s="920"/>
      <c r="AA195" s="920"/>
      <c r="AB195" s="920"/>
      <c r="AC195" s="920"/>
      <c r="AD195" s="920"/>
      <c r="AE195" s="920"/>
      <c r="AF195" s="920"/>
      <c r="AG195" s="920"/>
      <c r="AH195" s="920"/>
      <c r="AI195" s="920"/>
      <c r="AJ195" s="918" t="s">
        <v>512</v>
      </c>
      <c r="AK195" s="918"/>
      <c r="AL195" s="918"/>
      <c r="AM195" s="919" t="s">
        <v>513</v>
      </c>
      <c r="AN195" s="919"/>
      <c r="AO195" s="919"/>
      <c r="AP195" s="919"/>
      <c r="AQ195" s="919"/>
      <c r="AR195" s="894" t="s">
        <v>508</v>
      </c>
      <c r="AS195" s="894"/>
      <c r="AT195" s="894"/>
      <c r="AU195" s="894" t="s">
        <v>514</v>
      </c>
      <c r="AV195" s="894"/>
      <c r="AW195" s="894" t="s">
        <v>515</v>
      </c>
      <c r="AX195" s="894"/>
      <c r="AY195" s="894"/>
      <c r="AZ195" s="894"/>
      <c r="BA195" s="894"/>
      <c r="BB195" s="894"/>
      <c r="BC195" s="920" t="s">
        <v>516</v>
      </c>
      <c r="BD195" s="920"/>
      <c r="BE195" s="920"/>
      <c r="BF195" s="920"/>
      <c r="BG195" s="920"/>
      <c r="BH195" s="920"/>
      <c r="BI195" s="920"/>
      <c r="CH195" s="656"/>
    </row>
    <row r="196" spans="1:86" ht="49.75" customHeight="1">
      <c r="A196" s="661"/>
      <c r="F196" s="917"/>
      <c r="G196" s="917"/>
      <c r="H196" s="917"/>
      <c r="I196" s="917"/>
      <c r="J196" s="917"/>
      <c r="K196" s="917"/>
      <c r="L196" s="917"/>
      <c r="M196" s="917"/>
      <c r="N196" s="917"/>
      <c r="O196" s="917"/>
      <c r="P196" s="917"/>
      <c r="Q196" s="917"/>
      <c r="R196" s="917"/>
      <c r="S196" s="917"/>
      <c r="T196" s="917"/>
      <c r="U196" s="920" t="s">
        <v>517</v>
      </c>
      <c r="V196" s="920"/>
      <c r="W196" s="920"/>
      <c r="X196" s="920"/>
      <c r="Y196" s="920"/>
      <c r="Z196" s="920"/>
      <c r="AA196" s="920"/>
      <c r="AB196" s="920"/>
      <c r="AC196" s="920"/>
      <c r="AD196" s="920"/>
      <c r="AE196" s="920"/>
      <c r="AF196" s="920"/>
      <c r="AG196" s="920"/>
      <c r="AH196" s="920"/>
      <c r="AI196" s="920"/>
      <c r="AJ196" s="918" t="s">
        <v>512</v>
      </c>
      <c r="AK196" s="918"/>
      <c r="AL196" s="918"/>
      <c r="AM196" s="919" t="s">
        <v>518</v>
      </c>
      <c r="AN196" s="919"/>
      <c r="AO196" s="919"/>
      <c r="AP196" s="919"/>
      <c r="AQ196" s="919"/>
      <c r="AR196" s="894" t="s">
        <v>519</v>
      </c>
      <c r="AS196" s="894"/>
      <c r="AT196" s="894"/>
      <c r="AU196" s="892" t="s">
        <v>520</v>
      </c>
      <c r="AV196" s="924"/>
      <c r="AW196" s="894" t="s">
        <v>521</v>
      </c>
      <c r="AX196" s="894"/>
      <c r="AY196" s="894"/>
      <c r="AZ196" s="894"/>
      <c r="BA196" s="894"/>
      <c r="BB196" s="894"/>
      <c r="BC196" s="920" t="s">
        <v>522</v>
      </c>
      <c r="BD196" s="920"/>
      <c r="BE196" s="920"/>
      <c r="BF196" s="920"/>
      <c r="BG196" s="920"/>
      <c r="BH196" s="920"/>
      <c r="BI196" s="920"/>
      <c r="CH196" s="656"/>
    </row>
    <row r="197" spans="1:86" ht="16.5" customHeight="1">
      <c r="A197" s="661"/>
      <c r="F197" s="917" t="s">
        <v>630</v>
      </c>
      <c r="G197" s="917"/>
      <c r="H197" s="917"/>
      <c r="I197" s="917"/>
      <c r="J197" s="917"/>
      <c r="K197" s="917"/>
      <c r="L197" s="917"/>
      <c r="M197" s="917"/>
      <c r="N197" s="917"/>
      <c r="O197" s="917"/>
      <c r="P197" s="917"/>
      <c r="Q197" s="917"/>
      <c r="R197" s="917"/>
      <c r="S197" s="917"/>
      <c r="T197" s="917"/>
      <c r="U197" s="916"/>
      <c r="V197" s="916"/>
      <c r="W197" s="916"/>
      <c r="X197" s="916"/>
      <c r="Y197" s="916"/>
      <c r="Z197" s="916"/>
      <c r="AA197" s="916"/>
      <c r="AB197" s="916"/>
      <c r="AC197" s="916"/>
      <c r="AD197" s="916"/>
      <c r="AE197" s="916"/>
      <c r="AF197" s="916"/>
      <c r="AG197" s="916"/>
      <c r="AH197" s="916"/>
      <c r="AI197" s="916"/>
      <c r="AJ197" s="918" t="s">
        <v>523</v>
      </c>
      <c r="AK197" s="918"/>
      <c r="AL197" s="918"/>
      <c r="AM197" s="919" t="s">
        <v>524</v>
      </c>
      <c r="AN197" s="919"/>
      <c r="AO197" s="919"/>
      <c r="AP197" s="919"/>
      <c r="AQ197" s="919"/>
      <c r="AR197" s="894" t="s">
        <v>508</v>
      </c>
      <c r="AS197" s="894"/>
      <c r="AT197" s="894"/>
      <c r="AU197" s="892" t="s">
        <v>525</v>
      </c>
      <c r="AV197" s="924"/>
      <c r="AW197" s="894" t="s">
        <v>526</v>
      </c>
      <c r="AX197" s="894"/>
      <c r="AY197" s="894"/>
      <c r="AZ197" s="894"/>
      <c r="BA197" s="894"/>
      <c r="BB197" s="894"/>
      <c r="BC197" s="916" t="s">
        <v>526</v>
      </c>
      <c r="BD197" s="916"/>
      <c r="BE197" s="916"/>
      <c r="BF197" s="916"/>
      <c r="BG197" s="916"/>
      <c r="BH197" s="916"/>
      <c r="BI197" s="916"/>
      <c r="CH197" s="656"/>
    </row>
    <row r="198" spans="1:86" ht="16.5" customHeight="1">
      <c r="A198" s="661"/>
      <c r="F198" s="917" t="s">
        <v>730</v>
      </c>
      <c r="G198" s="917"/>
      <c r="H198" s="917"/>
      <c r="I198" s="917"/>
      <c r="J198" s="917"/>
      <c r="K198" s="917"/>
      <c r="L198" s="917"/>
      <c r="M198" s="917"/>
      <c r="N198" s="917"/>
      <c r="O198" s="917"/>
      <c r="P198" s="917"/>
      <c r="Q198" s="917"/>
      <c r="R198" s="917"/>
      <c r="S198" s="917"/>
      <c r="T198" s="917"/>
      <c r="U198" s="916"/>
      <c r="V198" s="916"/>
      <c r="W198" s="916"/>
      <c r="X198" s="916"/>
      <c r="Y198" s="916"/>
      <c r="Z198" s="916"/>
      <c r="AA198" s="916"/>
      <c r="AB198" s="916"/>
      <c r="AC198" s="916"/>
      <c r="AD198" s="916"/>
      <c r="AE198" s="916"/>
      <c r="AF198" s="916"/>
      <c r="AG198" s="916"/>
      <c r="AH198" s="916"/>
      <c r="AI198" s="916"/>
      <c r="AJ198" s="918" t="s">
        <v>507</v>
      </c>
      <c r="AK198" s="918"/>
      <c r="AL198" s="918"/>
      <c r="AM198" s="919" t="s">
        <v>524</v>
      </c>
      <c r="AN198" s="919"/>
      <c r="AO198" s="919"/>
      <c r="AP198" s="919"/>
      <c r="AQ198" s="919"/>
      <c r="AR198" s="894" t="s">
        <v>508</v>
      </c>
      <c r="AS198" s="894"/>
      <c r="AT198" s="894"/>
      <c r="AU198" s="894" t="s">
        <v>527</v>
      </c>
      <c r="AV198" s="894"/>
      <c r="AW198" s="894" t="s">
        <v>528</v>
      </c>
      <c r="AX198" s="894"/>
      <c r="AY198" s="894"/>
      <c r="AZ198" s="894"/>
      <c r="BA198" s="894"/>
      <c r="BB198" s="894"/>
      <c r="BC198" s="916" t="s">
        <v>528</v>
      </c>
      <c r="BD198" s="916"/>
      <c r="BE198" s="916"/>
      <c r="BF198" s="916"/>
      <c r="BG198" s="916"/>
      <c r="BH198" s="916"/>
      <c r="BI198" s="916"/>
      <c r="CH198" s="656"/>
    </row>
    <row r="199" spans="1:86" ht="16.5" customHeight="1">
      <c r="A199" s="661"/>
      <c r="CG199" s="656"/>
    </row>
    <row r="200" spans="1:86">
      <c r="A200" s="661"/>
      <c r="E200" s="657" t="s">
        <v>699</v>
      </c>
      <c r="CG200" s="656"/>
    </row>
    <row r="201" spans="1:86">
      <c r="A201" s="661"/>
      <c r="CG201" s="656"/>
    </row>
    <row r="202" spans="1:86">
      <c r="A202" s="661"/>
      <c r="F202" s="657" t="s">
        <v>529</v>
      </c>
      <c r="CG202" s="656"/>
    </row>
    <row r="203" spans="1:86">
      <c r="A203" s="661"/>
      <c r="CG203" s="656"/>
    </row>
    <row r="204" spans="1:86">
      <c r="A204" s="661"/>
      <c r="B204" s="662" t="s">
        <v>702</v>
      </c>
      <c r="CG204" s="656"/>
    </row>
    <row r="205" spans="1:86">
      <c r="A205" s="661"/>
      <c r="B205" s="662"/>
      <c r="CG205" s="656"/>
    </row>
    <row r="206" spans="1:86">
      <c r="A206" s="661"/>
      <c r="E206" s="663" t="s">
        <v>703</v>
      </c>
      <c r="CG206" s="656"/>
    </row>
    <row r="207" spans="1:86">
      <c r="A207" s="661"/>
      <c r="E207" s="663"/>
      <c r="CG207" s="656"/>
    </row>
    <row r="208" spans="1:86">
      <c r="A208" s="661"/>
      <c r="F208" s="657" t="s">
        <v>530</v>
      </c>
      <c r="CG208" s="656"/>
    </row>
    <row r="209" spans="1:85">
      <c r="A209" s="661"/>
      <c r="E209" s="663"/>
      <c r="CG209" s="656"/>
    </row>
    <row r="210" spans="1:85">
      <c r="A210" s="661"/>
      <c r="B210" s="662"/>
      <c r="E210" s="657" t="s">
        <v>704</v>
      </c>
      <c r="CG210" s="656"/>
    </row>
    <row r="211" spans="1:85">
      <c r="A211" s="661"/>
      <c r="B211" s="662"/>
      <c r="F211" s="657" t="s">
        <v>700</v>
      </c>
      <c r="CG211" s="656"/>
    </row>
    <row r="212" spans="1:85">
      <c r="A212" s="661"/>
      <c r="B212" s="662"/>
      <c r="F212" s="657" t="s">
        <v>701</v>
      </c>
      <c r="CG212" s="656"/>
    </row>
    <row r="213" spans="1:85">
      <c r="A213" s="661"/>
      <c r="B213" s="662"/>
      <c r="CG213" s="656"/>
    </row>
    <row r="214" spans="1:85">
      <c r="A214" s="661"/>
      <c r="B214" s="662"/>
      <c r="CG214" s="656"/>
    </row>
    <row r="215" spans="1:85">
      <c r="A215" s="661"/>
      <c r="B215" s="662"/>
      <c r="E215" s="663" t="s">
        <v>705</v>
      </c>
      <c r="CG215" s="656"/>
    </row>
    <row r="216" spans="1:85">
      <c r="A216" s="661"/>
      <c r="F216" s="663"/>
      <c r="G216" s="663"/>
      <c r="J216" s="663"/>
      <c r="K216" s="663"/>
      <c r="L216" s="663"/>
      <c r="M216" s="663"/>
      <c r="N216" s="663"/>
      <c r="O216" s="663"/>
      <c r="P216" s="663"/>
      <c r="Q216" s="663"/>
      <c r="R216" s="663"/>
      <c r="S216" s="663"/>
      <c r="T216" s="663"/>
      <c r="U216" s="663"/>
      <c r="V216" s="663"/>
      <c r="W216" s="663"/>
      <c r="X216" s="663"/>
      <c r="Y216" s="663"/>
      <c r="Z216" s="663"/>
      <c r="AA216" s="663"/>
      <c r="AB216" s="663"/>
      <c r="AC216" s="663"/>
      <c r="AD216" s="663"/>
      <c r="AE216" s="663"/>
      <c r="AF216" s="663"/>
      <c r="AG216" s="663"/>
      <c r="AH216" s="663"/>
      <c r="AI216" s="663"/>
      <c r="AJ216" s="663"/>
      <c r="AK216" s="663"/>
      <c r="AL216" s="663"/>
      <c r="AM216" s="663"/>
      <c r="AN216" s="663"/>
      <c r="AO216" s="663"/>
      <c r="AP216" s="663"/>
      <c r="AQ216" s="663"/>
      <c r="AR216" s="663"/>
      <c r="AS216" s="663"/>
      <c r="AT216" s="663"/>
      <c r="AU216" s="663"/>
      <c r="CG216" s="656"/>
    </row>
    <row r="217" spans="1:85">
      <c r="A217" s="661"/>
      <c r="F217" s="663"/>
      <c r="G217" s="663"/>
      <c r="J217" s="663"/>
      <c r="K217" s="663"/>
      <c r="L217" s="663"/>
      <c r="M217" s="663"/>
      <c r="N217" s="663"/>
      <c r="O217" s="663"/>
      <c r="P217" s="663"/>
      <c r="Q217" s="663"/>
      <c r="R217" s="663"/>
      <c r="S217" s="663"/>
      <c r="T217" s="663"/>
      <c r="U217" s="663"/>
      <c r="V217" s="663"/>
      <c r="W217" s="663"/>
      <c r="X217" s="663"/>
      <c r="Y217" s="663"/>
      <c r="Z217" s="663"/>
      <c r="AA217" s="663"/>
      <c r="AB217" s="663"/>
      <c r="AC217" s="663"/>
      <c r="AD217" s="663"/>
      <c r="AE217" s="663"/>
      <c r="AF217" s="663"/>
      <c r="AG217" s="663"/>
      <c r="AH217" s="663"/>
      <c r="AI217" s="663"/>
      <c r="AJ217" s="663"/>
      <c r="AK217" s="663"/>
      <c r="AL217" s="663"/>
      <c r="AM217" s="663"/>
      <c r="AN217" s="663"/>
      <c r="AO217" s="663"/>
      <c r="AP217" s="663"/>
      <c r="AQ217" s="663"/>
      <c r="AR217" s="663"/>
      <c r="AS217" s="663"/>
      <c r="AT217" s="663"/>
      <c r="AU217" s="663"/>
      <c r="CG217" s="656"/>
    </row>
    <row r="218" spans="1:85">
      <c r="A218" s="661"/>
      <c r="E218" s="663"/>
      <c r="F218" s="663"/>
      <c r="AC218" s="663"/>
      <c r="AD218" s="663"/>
      <c r="AE218" s="663"/>
      <c r="AF218" s="663"/>
      <c r="AG218" s="663"/>
      <c r="AH218" s="663"/>
      <c r="AI218" s="663"/>
      <c r="AJ218" s="663"/>
      <c r="AK218" s="663"/>
      <c r="AL218" s="663"/>
      <c r="AM218" s="663"/>
      <c r="AN218" s="663"/>
      <c r="AO218" s="663"/>
      <c r="AP218" s="663"/>
      <c r="AQ218" s="663"/>
      <c r="AR218" s="663"/>
      <c r="AS218" s="663"/>
      <c r="AT218" s="663"/>
      <c r="AU218" s="663"/>
      <c r="CG218" s="656"/>
    </row>
    <row r="219" spans="1:85">
      <c r="A219" s="661"/>
      <c r="E219" s="663"/>
      <c r="F219" s="663"/>
      <c r="AC219" s="663"/>
      <c r="AD219" s="663"/>
      <c r="AE219" s="663"/>
      <c r="AF219" s="663"/>
      <c r="AG219" s="663"/>
      <c r="AH219" s="663"/>
      <c r="AI219" s="663"/>
      <c r="AJ219" s="663"/>
      <c r="AK219" s="663"/>
      <c r="AL219" s="663"/>
      <c r="AM219" s="663"/>
      <c r="AN219" s="663"/>
      <c r="AO219" s="663"/>
      <c r="AP219" s="663"/>
      <c r="AQ219" s="663"/>
      <c r="AR219" s="663"/>
      <c r="AS219" s="663"/>
      <c r="AT219" s="663"/>
      <c r="AU219" s="663"/>
      <c r="CG219" s="656"/>
    </row>
    <row r="220" spans="1:85">
      <c r="A220" s="661"/>
      <c r="E220" s="663"/>
      <c r="F220" s="663"/>
      <c r="AC220" s="663"/>
      <c r="AD220" s="663"/>
      <c r="AE220" s="663"/>
      <c r="AF220" s="663"/>
      <c r="AG220" s="663"/>
      <c r="AH220" s="663"/>
      <c r="AI220" s="663"/>
      <c r="AJ220" s="663"/>
      <c r="AK220" s="663"/>
      <c r="AL220" s="663"/>
      <c r="AM220" s="663"/>
      <c r="AN220" s="663"/>
      <c r="AO220" s="663"/>
      <c r="AP220" s="663"/>
      <c r="AQ220" s="663"/>
      <c r="AR220" s="663"/>
      <c r="AS220" s="663"/>
      <c r="AT220" s="663"/>
      <c r="AU220" s="663"/>
      <c r="CG220" s="656"/>
    </row>
    <row r="221" spans="1:85">
      <c r="A221" s="661"/>
      <c r="E221" s="663"/>
      <c r="F221" s="663"/>
      <c r="AC221" s="663"/>
      <c r="AD221" s="663"/>
      <c r="AE221" s="663"/>
      <c r="AF221" s="663"/>
      <c r="AG221" s="663"/>
      <c r="AH221" s="663"/>
      <c r="AI221" s="663"/>
      <c r="AJ221" s="663"/>
      <c r="AK221" s="663"/>
      <c r="AL221" s="663"/>
      <c r="AM221" s="663"/>
      <c r="AN221" s="663"/>
      <c r="AO221" s="663"/>
      <c r="AP221" s="663"/>
      <c r="AQ221" s="663"/>
      <c r="AR221" s="663"/>
      <c r="AS221" s="663"/>
      <c r="AT221" s="663"/>
      <c r="AU221" s="663"/>
      <c r="CG221" s="656"/>
    </row>
    <row r="222" spans="1:85">
      <c r="A222" s="661"/>
      <c r="E222" s="663"/>
      <c r="F222" s="663"/>
      <c r="AC222" s="663"/>
      <c r="AD222" s="663"/>
      <c r="AE222" s="663"/>
      <c r="AF222" s="663"/>
      <c r="AG222" s="663"/>
      <c r="AH222" s="663"/>
      <c r="AI222" s="663"/>
      <c r="AJ222" s="663"/>
      <c r="AK222" s="663"/>
      <c r="AL222" s="663"/>
      <c r="AM222" s="663"/>
      <c r="AN222" s="663"/>
      <c r="AO222" s="663"/>
      <c r="AP222" s="663"/>
      <c r="AQ222" s="663"/>
      <c r="AR222" s="663"/>
      <c r="AS222" s="663"/>
      <c r="AT222" s="663"/>
      <c r="AU222" s="663"/>
      <c r="CG222" s="656"/>
    </row>
    <row r="223" spans="1:85">
      <c r="A223" s="661"/>
      <c r="E223" s="663"/>
      <c r="F223" s="663"/>
      <c r="AC223" s="663"/>
      <c r="AD223" s="663"/>
      <c r="AE223" s="663"/>
      <c r="AF223" s="663"/>
      <c r="AG223" s="663"/>
      <c r="AH223" s="663"/>
      <c r="AI223" s="663"/>
      <c r="AJ223" s="663"/>
      <c r="AK223" s="663"/>
      <c r="AL223" s="663"/>
      <c r="AM223" s="663"/>
      <c r="AN223" s="663"/>
      <c r="AO223" s="663"/>
      <c r="AP223" s="663"/>
      <c r="AQ223" s="663"/>
      <c r="AR223" s="663"/>
      <c r="AS223" s="663"/>
      <c r="AT223" s="663"/>
      <c r="AU223" s="663"/>
      <c r="CG223" s="656"/>
    </row>
    <row r="224" spans="1:85">
      <c r="A224" s="661"/>
      <c r="E224" s="663"/>
      <c r="F224" s="663"/>
      <c r="AC224" s="663"/>
      <c r="AD224" s="663"/>
      <c r="AE224" s="663"/>
      <c r="AF224" s="663"/>
      <c r="AG224" s="663"/>
      <c r="AH224" s="663"/>
      <c r="AI224" s="663"/>
      <c r="AJ224" s="663"/>
      <c r="AK224" s="663"/>
      <c r="AL224" s="663"/>
      <c r="AM224" s="663"/>
      <c r="AN224" s="663"/>
      <c r="AO224" s="663"/>
      <c r="AP224" s="663"/>
      <c r="AQ224" s="663"/>
      <c r="AR224" s="663"/>
      <c r="AS224" s="663"/>
      <c r="AT224" s="663"/>
      <c r="AU224" s="663"/>
      <c r="CG224" s="656"/>
    </row>
    <row r="225" spans="1:85">
      <c r="A225" s="661"/>
      <c r="CG225" s="656"/>
    </row>
    <row r="226" spans="1:85">
      <c r="A226" s="661"/>
      <c r="CG226" s="656"/>
    </row>
    <row r="227" spans="1:85">
      <c r="A227" s="661"/>
      <c r="CG227" s="656"/>
    </row>
    <row r="228" spans="1:85">
      <c r="A228" s="661"/>
      <c r="CG228" s="656"/>
    </row>
    <row r="229" spans="1:85">
      <c r="A229" s="661"/>
      <c r="CG229" s="656"/>
    </row>
    <row r="230" spans="1:85">
      <c r="A230" s="661"/>
      <c r="CG230" s="656"/>
    </row>
    <row r="231" spans="1:85">
      <c r="A231" s="661"/>
      <c r="CG231" s="656"/>
    </row>
    <row r="232" spans="1:85">
      <c r="A232" s="661"/>
      <c r="F232" s="670"/>
      <c r="G232" s="671"/>
      <c r="H232" s="671"/>
      <c r="I232" s="671"/>
      <c r="J232" s="671"/>
      <c r="K232" s="671"/>
      <c r="L232" s="671"/>
      <c r="M232" s="671"/>
      <c r="N232" s="671"/>
      <c r="O232" s="671"/>
      <c r="P232" s="671"/>
      <c r="Q232" s="671"/>
      <c r="R232" s="671"/>
      <c r="S232" s="671"/>
      <c r="T232" s="671"/>
      <c r="U232" s="671"/>
      <c r="V232" s="671"/>
      <c r="W232" s="671"/>
      <c r="X232" s="671"/>
      <c r="Y232" s="671"/>
      <c r="Z232" s="671"/>
      <c r="AA232" s="671"/>
      <c r="CG232" s="656"/>
    </row>
    <row r="233" spans="1:85">
      <c r="A233" s="661"/>
      <c r="F233" s="670"/>
      <c r="G233" s="671"/>
      <c r="H233" s="671"/>
      <c r="I233" s="671"/>
      <c r="J233" s="671"/>
      <c r="K233" s="671"/>
      <c r="L233" s="671"/>
      <c r="M233" s="671"/>
      <c r="N233" s="671"/>
      <c r="O233" s="671"/>
      <c r="P233" s="671"/>
      <c r="Q233" s="671"/>
      <c r="R233" s="671"/>
      <c r="S233" s="671"/>
      <c r="T233" s="671"/>
      <c r="U233" s="671"/>
      <c r="V233" s="671"/>
      <c r="W233" s="671"/>
      <c r="X233" s="671"/>
      <c r="Y233" s="671"/>
      <c r="Z233" s="671"/>
      <c r="AA233" s="671"/>
      <c r="CG233" s="656"/>
    </row>
    <row r="234" spans="1:85">
      <c r="A234" s="661"/>
      <c r="F234" s="670"/>
      <c r="G234" s="671"/>
      <c r="H234" s="671"/>
      <c r="I234" s="671"/>
      <c r="J234" s="671"/>
      <c r="K234" s="671"/>
      <c r="L234" s="671"/>
      <c r="M234" s="671"/>
      <c r="N234" s="671"/>
      <c r="O234" s="671"/>
      <c r="P234" s="671"/>
      <c r="Q234" s="671"/>
      <c r="R234" s="671"/>
      <c r="S234" s="671"/>
      <c r="T234" s="671"/>
      <c r="U234" s="671"/>
      <c r="V234" s="671"/>
      <c r="W234" s="671"/>
      <c r="X234" s="671"/>
      <c r="Y234" s="671"/>
      <c r="Z234" s="671"/>
      <c r="AA234" s="671"/>
      <c r="CG234" s="656"/>
    </row>
    <row r="235" spans="1:85">
      <c r="A235" s="661"/>
      <c r="F235" s="670"/>
      <c r="G235" s="671"/>
      <c r="H235" s="671"/>
      <c r="I235" s="671"/>
      <c r="J235" s="671"/>
      <c r="K235" s="671"/>
      <c r="L235" s="671"/>
      <c r="M235" s="671"/>
      <c r="N235" s="671"/>
      <c r="O235" s="671"/>
      <c r="P235" s="671"/>
      <c r="Q235" s="671"/>
      <c r="R235" s="671"/>
      <c r="S235" s="671"/>
      <c r="T235" s="671"/>
      <c r="U235" s="671"/>
      <c r="V235" s="671"/>
      <c r="W235" s="671"/>
      <c r="X235" s="671"/>
      <c r="Y235" s="671"/>
      <c r="Z235" s="671"/>
      <c r="AA235" s="671"/>
      <c r="CG235" s="656"/>
    </row>
    <row r="236" spans="1:85">
      <c r="A236" s="661"/>
      <c r="CG236" s="656"/>
    </row>
    <row r="237" spans="1:85">
      <c r="A237" s="661"/>
      <c r="CG237" s="656"/>
    </row>
    <row r="238" spans="1:85">
      <c r="A238" s="661"/>
      <c r="CG238" s="656"/>
    </row>
    <row r="239" spans="1:85">
      <c r="A239" s="661"/>
      <c r="CG239" s="656"/>
    </row>
    <row r="240" spans="1:85">
      <c r="A240" s="661"/>
      <c r="CG240" s="656"/>
    </row>
    <row r="241" spans="1:85">
      <c r="A241" s="661"/>
      <c r="CG241" s="656"/>
    </row>
    <row r="242" spans="1:85" ht="16.5" customHeight="1">
      <c r="A242" s="661"/>
      <c r="E242" s="663" t="s">
        <v>706</v>
      </c>
      <c r="CG242" s="656"/>
    </row>
    <row r="243" spans="1:85" ht="16.5" customHeight="1">
      <c r="A243" s="661"/>
      <c r="CG243" s="656"/>
    </row>
    <row r="244" spans="1:85" ht="16.5" customHeight="1">
      <c r="A244" s="661"/>
      <c r="F244" s="657" t="s">
        <v>531</v>
      </c>
      <c r="CG244" s="656"/>
    </row>
    <row r="245" spans="1:85" ht="16.5" customHeight="1">
      <c r="A245" s="661"/>
      <c r="CG245" s="656"/>
    </row>
    <row r="246" spans="1:85" ht="16.5" customHeight="1">
      <c r="A246" s="661"/>
      <c r="CG246" s="656"/>
    </row>
    <row r="247" spans="1:85">
      <c r="A247" s="661"/>
      <c r="G247" s="657" t="s">
        <v>532</v>
      </c>
      <c r="CG247" s="656"/>
    </row>
    <row r="248" spans="1:85">
      <c r="A248" s="661"/>
      <c r="G248" s="657" t="s">
        <v>535</v>
      </c>
      <c r="CG248" s="656"/>
    </row>
    <row r="249" spans="1:85">
      <c r="A249" s="661"/>
      <c r="CG249" s="656"/>
    </row>
    <row r="250" spans="1:85">
      <c r="A250" s="661"/>
      <c r="B250" s="662" t="s">
        <v>707</v>
      </c>
      <c r="CG250" s="656"/>
    </row>
    <row r="251" spans="1:85">
      <c r="A251" s="661"/>
      <c r="CG251" s="656"/>
    </row>
    <row r="252" spans="1:85">
      <c r="A252" s="661"/>
      <c r="E252" s="663" t="s">
        <v>452</v>
      </c>
      <c r="CG252" s="656"/>
    </row>
    <row r="253" spans="1:85">
      <c r="A253" s="661"/>
      <c r="E253" s="663"/>
      <c r="F253" s="663"/>
      <c r="G253" s="663"/>
      <c r="H253" s="663"/>
      <c r="I253" s="663"/>
      <c r="J253" s="663"/>
      <c r="K253" s="663"/>
      <c r="L253" s="663"/>
      <c r="M253" s="663"/>
      <c r="N253" s="663"/>
      <c r="O253" s="663"/>
      <c r="P253" s="663"/>
      <c r="Q253" s="663"/>
      <c r="R253" s="663"/>
      <c r="S253" s="663"/>
      <c r="T253" s="663"/>
      <c r="U253" s="663"/>
      <c r="V253" s="663"/>
      <c r="W253" s="663"/>
      <c r="X253" s="663"/>
      <c r="Y253" s="663"/>
      <c r="Z253" s="663"/>
      <c r="AA253" s="663"/>
      <c r="AB253" s="663"/>
      <c r="AC253" s="663"/>
      <c r="AD253" s="663"/>
      <c r="AE253" s="663"/>
      <c r="AF253" s="663"/>
      <c r="AG253" s="663"/>
      <c r="AH253" s="663"/>
      <c r="AI253" s="663"/>
      <c r="AJ253" s="663"/>
      <c r="AK253" s="663"/>
      <c r="AL253" s="663"/>
      <c r="AM253" s="663"/>
      <c r="AN253" s="663"/>
      <c r="AO253" s="663"/>
      <c r="AP253" s="663"/>
      <c r="AQ253" s="663"/>
      <c r="AR253" s="663"/>
      <c r="AS253" s="663"/>
      <c r="AT253" s="663"/>
      <c r="AU253" s="663"/>
      <c r="CG253" s="656"/>
    </row>
    <row r="254" spans="1:85">
      <c r="A254" s="661"/>
      <c r="E254" s="663"/>
      <c r="F254" s="663"/>
      <c r="G254" s="663"/>
      <c r="H254" s="663"/>
      <c r="I254" s="663"/>
      <c r="J254" s="663"/>
      <c r="K254" s="663"/>
      <c r="L254" s="663"/>
      <c r="M254" s="663"/>
      <c r="N254" s="663"/>
      <c r="O254" s="663"/>
      <c r="P254" s="663"/>
      <c r="Q254" s="663"/>
      <c r="R254" s="663"/>
      <c r="S254" s="663"/>
      <c r="T254" s="663"/>
      <c r="U254" s="663"/>
      <c r="V254" s="663"/>
      <c r="W254" s="663"/>
      <c r="X254" s="663"/>
      <c r="Y254" s="663"/>
      <c r="Z254" s="663"/>
      <c r="AA254" s="663"/>
      <c r="AB254" s="663"/>
      <c r="AC254" s="663"/>
      <c r="AD254" s="663"/>
      <c r="AE254" s="663"/>
      <c r="AF254" s="663"/>
      <c r="AG254" s="663"/>
      <c r="AH254" s="663"/>
      <c r="AI254" s="663"/>
      <c r="AJ254" s="663"/>
      <c r="AK254" s="663"/>
      <c r="AL254" s="663"/>
      <c r="AM254" s="663"/>
      <c r="AN254" s="663"/>
      <c r="AO254" s="663"/>
      <c r="AP254" s="663"/>
      <c r="AQ254" s="663"/>
      <c r="AR254" s="663"/>
      <c r="AS254" s="663"/>
      <c r="AT254" s="663"/>
      <c r="AU254" s="663"/>
      <c r="CG254" s="656"/>
    </row>
    <row r="255" spans="1:85">
      <c r="A255" s="661"/>
      <c r="E255" s="663"/>
      <c r="F255" s="663"/>
      <c r="G255" s="663"/>
      <c r="H255" s="663"/>
      <c r="I255" s="663"/>
      <c r="J255" s="663"/>
      <c r="K255" s="663"/>
      <c r="L255" s="663"/>
      <c r="M255" s="663"/>
      <c r="N255" s="663"/>
      <c r="O255" s="663"/>
      <c r="P255" s="663"/>
      <c r="Q255" s="663"/>
      <c r="R255" s="663"/>
      <c r="S255" s="663"/>
      <c r="T255" s="663"/>
      <c r="U255" s="663"/>
      <c r="V255" s="663"/>
      <c r="W255" s="663"/>
      <c r="X255" s="663"/>
      <c r="Y255" s="663"/>
      <c r="Z255" s="663"/>
      <c r="AA255" s="663"/>
      <c r="AB255" s="663"/>
      <c r="AC255" s="663"/>
      <c r="AD255" s="663"/>
      <c r="AE255" s="663"/>
      <c r="AF255" s="663"/>
      <c r="AG255" s="663"/>
      <c r="AH255" s="663"/>
      <c r="AI255" s="663"/>
      <c r="AJ255" s="663"/>
      <c r="AK255" s="663"/>
      <c r="AL255" s="663"/>
      <c r="AM255" s="663"/>
      <c r="AN255" s="663"/>
      <c r="AO255" s="663"/>
      <c r="AP255" s="663"/>
      <c r="AQ255" s="663"/>
      <c r="AR255" s="663"/>
      <c r="AS255" s="663"/>
      <c r="AT255" s="663"/>
      <c r="AU255" s="663"/>
      <c r="CG255" s="656"/>
    </row>
    <row r="256" spans="1:85">
      <c r="A256" s="661"/>
      <c r="E256" s="663"/>
      <c r="F256" s="663"/>
      <c r="G256" s="663"/>
      <c r="H256" s="663"/>
      <c r="I256" s="663"/>
      <c r="J256" s="663"/>
      <c r="K256" s="663"/>
      <c r="L256" s="663"/>
      <c r="M256" s="663"/>
      <c r="N256" s="663"/>
      <c r="O256" s="663"/>
      <c r="P256" s="663"/>
      <c r="Q256" s="663"/>
      <c r="R256" s="663"/>
      <c r="S256" s="663"/>
      <c r="T256" s="663"/>
      <c r="U256" s="663"/>
      <c r="V256" s="663"/>
      <c r="W256" s="663"/>
      <c r="X256" s="663"/>
      <c r="Y256" s="663"/>
      <c r="Z256" s="663"/>
      <c r="AA256" s="663"/>
      <c r="AB256" s="663"/>
      <c r="AC256" s="663"/>
      <c r="AD256" s="663"/>
      <c r="AE256" s="663"/>
      <c r="AF256" s="663"/>
      <c r="AG256" s="663"/>
      <c r="AH256" s="663"/>
      <c r="AI256" s="663"/>
      <c r="AJ256" s="663"/>
      <c r="AK256" s="663"/>
      <c r="AL256" s="663"/>
      <c r="AM256" s="663"/>
      <c r="AN256" s="663"/>
      <c r="AO256" s="663"/>
      <c r="AP256" s="663"/>
      <c r="AQ256" s="663"/>
      <c r="AR256" s="663"/>
      <c r="AS256" s="663"/>
      <c r="AT256" s="663"/>
      <c r="AU256" s="663"/>
      <c r="CG256" s="656"/>
    </row>
    <row r="257" spans="1:85">
      <c r="A257" s="661"/>
      <c r="E257" s="663"/>
      <c r="F257" s="663"/>
      <c r="G257" s="663"/>
      <c r="H257" s="663"/>
      <c r="I257" s="663"/>
      <c r="J257" s="663"/>
      <c r="K257" s="663"/>
      <c r="L257" s="663"/>
      <c r="M257" s="663"/>
      <c r="N257" s="663"/>
      <c r="O257" s="663"/>
      <c r="P257" s="663"/>
      <c r="Q257" s="663"/>
      <c r="R257" s="663"/>
      <c r="S257" s="663"/>
      <c r="T257" s="663"/>
      <c r="U257" s="663"/>
      <c r="V257" s="663"/>
      <c r="W257" s="663"/>
      <c r="X257" s="663"/>
      <c r="Y257" s="663"/>
      <c r="Z257" s="663"/>
      <c r="AA257" s="663"/>
      <c r="AB257" s="663"/>
      <c r="AC257" s="663"/>
      <c r="AD257" s="663"/>
      <c r="AE257" s="663"/>
      <c r="AF257" s="663"/>
      <c r="AG257" s="663"/>
      <c r="AH257" s="663"/>
      <c r="AI257" s="663"/>
      <c r="AJ257" s="663"/>
      <c r="AK257" s="663"/>
      <c r="AL257" s="663"/>
      <c r="AM257" s="663"/>
      <c r="AN257" s="663"/>
      <c r="AO257" s="663"/>
      <c r="AP257" s="663"/>
      <c r="AQ257" s="663"/>
      <c r="AR257" s="663"/>
      <c r="AS257" s="663"/>
      <c r="AT257" s="663"/>
      <c r="AU257" s="663"/>
      <c r="CG257" s="656"/>
    </row>
    <row r="258" spans="1:85">
      <c r="A258" s="661"/>
      <c r="E258" s="663"/>
      <c r="F258" s="663"/>
      <c r="G258" s="663"/>
      <c r="H258" s="663"/>
      <c r="I258" s="663"/>
      <c r="J258" s="663"/>
      <c r="K258" s="663"/>
      <c r="L258" s="663"/>
      <c r="M258" s="663"/>
      <c r="N258" s="663"/>
      <c r="O258" s="663"/>
      <c r="P258" s="663"/>
      <c r="Q258" s="663"/>
      <c r="R258" s="663"/>
      <c r="S258" s="663"/>
      <c r="T258" s="663"/>
      <c r="U258" s="663"/>
      <c r="V258" s="663"/>
      <c r="W258" s="663"/>
      <c r="X258" s="663"/>
      <c r="Y258" s="663"/>
      <c r="Z258" s="663"/>
      <c r="AA258" s="663"/>
      <c r="AB258" s="663"/>
      <c r="AC258" s="663"/>
      <c r="AD258" s="663"/>
      <c r="AE258" s="663"/>
      <c r="AF258" s="663"/>
      <c r="AG258" s="663"/>
      <c r="AH258" s="663"/>
      <c r="AI258" s="663"/>
      <c r="AJ258" s="663"/>
      <c r="AK258" s="663"/>
      <c r="AL258" s="663"/>
      <c r="AM258" s="663"/>
      <c r="AN258" s="663"/>
      <c r="AO258" s="663"/>
      <c r="AP258" s="663"/>
      <c r="AQ258" s="663"/>
      <c r="AR258" s="663"/>
      <c r="AS258" s="663"/>
      <c r="AT258" s="663"/>
      <c r="AU258" s="663"/>
      <c r="CG258" s="656"/>
    </row>
    <row r="259" spans="1:85">
      <c r="A259" s="661"/>
      <c r="E259" s="663"/>
      <c r="F259" s="663"/>
      <c r="G259" s="663"/>
      <c r="H259" s="663"/>
      <c r="I259" s="663"/>
      <c r="J259" s="663"/>
      <c r="K259" s="663"/>
      <c r="L259" s="663"/>
      <c r="M259" s="663"/>
      <c r="N259" s="663"/>
      <c r="O259" s="663"/>
      <c r="P259" s="663"/>
      <c r="Q259" s="663"/>
      <c r="R259" s="663"/>
      <c r="S259" s="663"/>
      <c r="T259" s="663"/>
      <c r="U259" s="663"/>
      <c r="V259" s="663"/>
      <c r="W259" s="663"/>
      <c r="X259" s="663"/>
      <c r="Y259" s="663"/>
      <c r="Z259" s="663"/>
      <c r="AA259" s="663"/>
      <c r="AB259" s="663"/>
      <c r="AC259" s="663"/>
      <c r="AD259" s="663"/>
      <c r="AE259" s="663"/>
      <c r="AF259" s="663"/>
      <c r="AG259" s="663"/>
      <c r="AH259" s="663"/>
      <c r="AI259" s="663"/>
      <c r="AJ259" s="663"/>
      <c r="AK259" s="663"/>
      <c r="AL259" s="663"/>
      <c r="AM259" s="663"/>
      <c r="AN259" s="663"/>
      <c r="AO259" s="663"/>
      <c r="AP259" s="663"/>
      <c r="AQ259" s="663"/>
      <c r="AR259" s="663"/>
      <c r="AS259" s="663"/>
      <c r="AT259" s="663"/>
      <c r="AU259" s="663"/>
      <c r="CG259" s="656"/>
    </row>
    <row r="260" spans="1:85">
      <c r="A260" s="661"/>
      <c r="E260" s="663"/>
      <c r="F260" s="663"/>
      <c r="G260" s="663"/>
      <c r="H260" s="663"/>
      <c r="I260" s="663"/>
      <c r="J260" s="663"/>
      <c r="K260" s="663"/>
      <c r="L260" s="663"/>
      <c r="M260" s="663"/>
      <c r="N260" s="663"/>
      <c r="O260" s="663"/>
      <c r="P260" s="663"/>
      <c r="Q260" s="663"/>
      <c r="R260" s="663"/>
      <c r="S260" s="663"/>
      <c r="T260" s="663"/>
      <c r="U260" s="663"/>
      <c r="V260" s="663"/>
      <c r="W260" s="663"/>
      <c r="X260" s="663"/>
      <c r="Y260" s="663"/>
      <c r="Z260" s="663"/>
      <c r="AA260" s="663"/>
      <c r="AB260" s="663"/>
      <c r="AC260" s="663"/>
      <c r="AD260" s="663"/>
      <c r="AE260" s="663"/>
      <c r="AF260" s="663"/>
      <c r="AG260" s="663"/>
      <c r="AH260" s="663"/>
      <c r="AI260" s="663"/>
      <c r="AJ260" s="663"/>
      <c r="AK260" s="663"/>
      <c r="AL260" s="663"/>
      <c r="AM260" s="663"/>
      <c r="AN260" s="663"/>
      <c r="AO260" s="663"/>
      <c r="AP260" s="663"/>
      <c r="AQ260" s="663"/>
      <c r="AR260" s="663"/>
      <c r="AS260" s="663"/>
      <c r="AT260" s="663"/>
      <c r="AU260" s="663"/>
      <c r="CG260" s="656"/>
    </row>
    <row r="261" spans="1:85">
      <c r="A261" s="661"/>
      <c r="E261" s="663"/>
      <c r="F261" s="663"/>
      <c r="G261" s="663"/>
      <c r="H261" s="663"/>
      <c r="I261" s="663"/>
      <c r="J261" s="663"/>
      <c r="K261" s="663"/>
      <c r="L261" s="663"/>
      <c r="M261" s="663"/>
      <c r="N261" s="663"/>
      <c r="O261" s="663"/>
      <c r="P261" s="663"/>
      <c r="Q261" s="663"/>
      <c r="R261" s="663"/>
      <c r="S261" s="663"/>
      <c r="T261" s="663"/>
      <c r="U261" s="663"/>
      <c r="V261" s="663"/>
      <c r="W261" s="663"/>
      <c r="X261" s="663"/>
      <c r="Y261" s="663"/>
      <c r="Z261" s="663"/>
      <c r="AA261" s="663"/>
      <c r="AB261" s="663"/>
      <c r="AC261" s="663"/>
      <c r="AD261" s="663"/>
      <c r="AE261" s="663"/>
      <c r="AF261" s="663"/>
      <c r="AG261" s="663"/>
      <c r="AH261" s="663"/>
      <c r="AI261" s="663"/>
      <c r="AJ261" s="663"/>
      <c r="AK261" s="663"/>
      <c r="AL261" s="663"/>
      <c r="AM261" s="663"/>
      <c r="AN261" s="663"/>
      <c r="AO261" s="663"/>
      <c r="AP261" s="663"/>
      <c r="AQ261" s="663"/>
      <c r="AR261" s="663"/>
      <c r="AS261" s="663"/>
      <c r="AT261" s="663"/>
      <c r="AU261" s="663"/>
      <c r="CG261" s="656"/>
    </row>
    <row r="262" spans="1:85">
      <c r="A262" s="661"/>
      <c r="E262" s="663"/>
      <c r="F262" s="663"/>
      <c r="G262" s="663"/>
      <c r="H262" s="663"/>
      <c r="I262" s="663"/>
      <c r="J262" s="663"/>
      <c r="K262" s="663"/>
      <c r="L262" s="663"/>
      <c r="M262" s="663"/>
      <c r="N262" s="663"/>
      <c r="O262" s="663"/>
      <c r="P262" s="663"/>
      <c r="Q262" s="663"/>
      <c r="R262" s="663"/>
      <c r="S262" s="663"/>
      <c r="T262" s="663"/>
      <c r="U262" s="663"/>
      <c r="V262" s="663"/>
      <c r="W262" s="663"/>
      <c r="X262" s="663"/>
      <c r="Y262" s="663"/>
      <c r="Z262" s="663"/>
      <c r="AA262" s="663"/>
      <c r="AB262" s="663"/>
      <c r="AC262" s="663"/>
      <c r="AD262" s="663"/>
      <c r="AE262" s="663"/>
      <c r="AF262" s="663"/>
      <c r="AG262" s="663"/>
      <c r="AH262" s="663"/>
      <c r="AI262" s="663"/>
      <c r="AJ262" s="663"/>
      <c r="AK262" s="663"/>
      <c r="AL262" s="663"/>
      <c r="AM262" s="663"/>
      <c r="AN262" s="663"/>
      <c r="AO262" s="663"/>
      <c r="AP262" s="663"/>
      <c r="AQ262" s="663"/>
      <c r="AR262" s="663"/>
      <c r="AS262" s="663"/>
      <c r="AT262" s="663"/>
      <c r="AU262" s="663"/>
      <c r="CG262" s="656"/>
    </row>
    <row r="263" spans="1:85">
      <c r="A263" s="661"/>
      <c r="E263" s="663"/>
      <c r="F263" s="663"/>
      <c r="G263" s="663"/>
      <c r="H263" s="663"/>
      <c r="I263" s="663"/>
      <c r="J263" s="663"/>
      <c r="K263" s="663"/>
      <c r="L263" s="663"/>
      <c r="M263" s="663"/>
      <c r="N263" s="663"/>
      <c r="O263" s="663"/>
      <c r="P263" s="663"/>
      <c r="Q263" s="663"/>
      <c r="R263" s="663"/>
      <c r="S263" s="663"/>
      <c r="T263" s="663"/>
      <c r="U263" s="663"/>
      <c r="V263" s="663"/>
      <c r="W263" s="663"/>
      <c r="X263" s="663"/>
      <c r="Y263" s="663"/>
      <c r="Z263" s="663"/>
      <c r="AA263" s="663"/>
      <c r="AB263" s="663"/>
      <c r="AC263" s="663"/>
      <c r="AD263" s="663"/>
      <c r="AE263" s="663"/>
      <c r="AF263" s="663"/>
      <c r="AG263" s="663"/>
      <c r="AH263" s="663"/>
      <c r="AI263" s="663"/>
      <c r="AJ263" s="663"/>
      <c r="AK263" s="663"/>
      <c r="AL263" s="663"/>
      <c r="AM263" s="663"/>
      <c r="AN263" s="663"/>
      <c r="AO263" s="663"/>
      <c r="AP263" s="663"/>
      <c r="AQ263" s="663"/>
      <c r="AR263" s="663"/>
      <c r="AS263" s="663"/>
      <c r="AT263" s="663"/>
      <c r="AU263" s="663"/>
      <c r="CG263" s="656"/>
    </row>
    <row r="264" spans="1:85">
      <c r="A264" s="661"/>
      <c r="E264" s="663"/>
      <c r="F264" s="663"/>
      <c r="G264" s="663"/>
      <c r="H264" s="663"/>
      <c r="I264" s="663"/>
      <c r="J264" s="663"/>
      <c r="K264" s="663"/>
      <c r="L264" s="663"/>
      <c r="M264" s="663"/>
      <c r="N264" s="663"/>
      <c r="O264" s="663"/>
      <c r="P264" s="663"/>
      <c r="Q264" s="663"/>
      <c r="R264" s="663"/>
      <c r="S264" s="663"/>
      <c r="T264" s="663"/>
      <c r="U264" s="663"/>
      <c r="V264" s="663"/>
      <c r="W264" s="663"/>
      <c r="X264" s="663"/>
      <c r="Y264" s="663"/>
      <c r="Z264" s="663"/>
      <c r="AA264" s="663"/>
      <c r="AB264" s="663"/>
      <c r="AC264" s="663"/>
      <c r="AD264" s="663"/>
      <c r="AE264" s="663"/>
      <c r="AF264" s="663"/>
      <c r="AG264" s="663"/>
      <c r="AH264" s="663"/>
      <c r="AI264" s="663"/>
      <c r="AJ264" s="663"/>
      <c r="AK264" s="663"/>
      <c r="AL264" s="663"/>
      <c r="AM264" s="663"/>
      <c r="AN264" s="663"/>
      <c r="AO264" s="663"/>
      <c r="AP264" s="663"/>
      <c r="AQ264" s="663"/>
      <c r="AR264" s="663"/>
      <c r="AS264" s="663"/>
      <c r="AT264" s="663"/>
      <c r="AU264" s="663"/>
      <c r="CG264" s="656"/>
    </row>
    <row r="265" spans="1:85">
      <c r="A265" s="661"/>
      <c r="E265" s="663"/>
      <c r="F265" s="663"/>
      <c r="G265" s="663"/>
      <c r="H265" s="663"/>
      <c r="I265" s="663"/>
      <c r="J265" s="663"/>
      <c r="K265" s="663"/>
      <c r="L265" s="663"/>
      <c r="M265" s="663"/>
      <c r="N265" s="663"/>
      <c r="O265" s="663"/>
      <c r="P265" s="663"/>
      <c r="Q265" s="663"/>
      <c r="R265" s="663"/>
      <c r="S265" s="663"/>
      <c r="T265" s="663"/>
      <c r="U265" s="663"/>
      <c r="V265" s="663"/>
      <c r="W265" s="663"/>
      <c r="X265" s="663"/>
      <c r="Y265" s="663"/>
      <c r="Z265" s="663"/>
      <c r="AA265" s="663"/>
      <c r="AB265" s="663"/>
      <c r="AC265" s="663"/>
      <c r="AD265" s="663"/>
      <c r="AE265" s="663"/>
      <c r="AF265" s="663"/>
      <c r="AG265" s="663"/>
      <c r="AH265" s="663"/>
      <c r="AI265" s="663"/>
      <c r="AJ265" s="663"/>
      <c r="AK265" s="663"/>
      <c r="AL265" s="663"/>
      <c r="AM265" s="663"/>
      <c r="AN265" s="663"/>
      <c r="AO265" s="663"/>
      <c r="AP265" s="663"/>
      <c r="AQ265" s="663"/>
      <c r="AR265" s="663"/>
      <c r="AS265" s="663"/>
      <c r="AT265" s="663"/>
      <c r="AU265" s="663"/>
      <c r="CG265" s="656"/>
    </row>
    <row r="266" spans="1:85">
      <c r="A266" s="661"/>
      <c r="E266" s="663"/>
      <c r="F266" s="663"/>
      <c r="G266" s="663"/>
      <c r="H266" s="663"/>
      <c r="I266" s="663"/>
      <c r="J266" s="663"/>
      <c r="K266" s="663"/>
      <c r="L266" s="663"/>
      <c r="M266" s="663"/>
      <c r="N266" s="663"/>
      <c r="O266" s="663"/>
      <c r="P266" s="663"/>
      <c r="Q266" s="663"/>
      <c r="R266" s="663"/>
      <c r="S266" s="663"/>
      <c r="T266" s="663"/>
      <c r="U266" s="663"/>
      <c r="V266" s="663"/>
      <c r="W266" s="663"/>
      <c r="X266" s="663"/>
      <c r="Y266" s="663"/>
      <c r="Z266" s="663"/>
      <c r="AA266" s="663"/>
      <c r="AB266" s="663"/>
      <c r="AC266" s="663"/>
      <c r="AD266" s="663"/>
      <c r="AE266" s="663"/>
      <c r="AF266" s="663"/>
      <c r="AG266" s="663"/>
      <c r="AH266" s="663"/>
      <c r="AI266" s="663"/>
      <c r="AJ266" s="663"/>
      <c r="AK266" s="663"/>
      <c r="AL266" s="663"/>
      <c r="AM266" s="663"/>
      <c r="AN266" s="663"/>
      <c r="AO266" s="663"/>
      <c r="AP266" s="663"/>
      <c r="AQ266" s="663"/>
      <c r="AR266" s="663"/>
      <c r="AS266" s="663"/>
      <c r="AT266" s="663"/>
      <c r="AU266" s="663"/>
      <c r="CG266" s="656"/>
    </row>
    <row r="267" spans="1:85">
      <c r="A267" s="661"/>
      <c r="E267" s="663"/>
      <c r="F267" s="663"/>
      <c r="G267" s="663"/>
      <c r="H267" s="663"/>
      <c r="I267" s="663"/>
      <c r="J267" s="663"/>
      <c r="K267" s="663"/>
      <c r="L267" s="663"/>
      <c r="M267" s="663"/>
      <c r="N267" s="663"/>
      <c r="O267" s="663"/>
      <c r="P267" s="663"/>
      <c r="Q267" s="663"/>
      <c r="R267" s="663"/>
      <c r="S267" s="663"/>
      <c r="T267" s="663"/>
      <c r="U267" s="663"/>
      <c r="V267" s="663"/>
      <c r="W267" s="663"/>
      <c r="X267" s="663"/>
      <c r="Y267" s="663"/>
      <c r="Z267" s="663"/>
      <c r="AA267" s="663"/>
      <c r="AB267" s="663"/>
      <c r="AC267" s="663"/>
      <c r="AD267" s="663"/>
      <c r="AE267" s="663"/>
      <c r="AF267" s="663"/>
      <c r="AG267" s="663"/>
      <c r="AH267" s="663"/>
      <c r="AI267" s="663"/>
      <c r="AJ267" s="663"/>
      <c r="AK267" s="663"/>
      <c r="AL267" s="663"/>
      <c r="AM267" s="663"/>
      <c r="AN267" s="663"/>
      <c r="AO267" s="663"/>
      <c r="AP267" s="663"/>
      <c r="AQ267" s="663"/>
      <c r="AR267" s="663"/>
      <c r="AS267" s="663"/>
      <c r="AT267" s="663"/>
      <c r="AU267" s="663"/>
      <c r="CG267" s="656"/>
    </row>
    <row r="268" spans="1:85">
      <c r="A268" s="661"/>
      <c r="E268" s="663"/>
      <c r="F268" s="663"/>
      <c r="G268" s="663"/>
      <c r="H268" s="663"/>
      <c r="I268" s="663"/>
      <c r="J268" s="663"/>
      <c r="K268" s="663"/>
      <c r="L268" s="663"/>
      <c r="M268" s="663"/>
      <c r="N268" s="663"/>
      <c r="O268" s="663"/>
      <c r="P268" s="663"/>
      <c r="Q268" s="663"/>
      <c r="R268" s="663"/>
      <c r="S268" s="663"/>
      <c r="T268" s="663"/>
      <c r="U268" s="663"/>
      <c r="V268" s="663"/>
      <c r="W268" s="663"/>
      <c r="X268" s="663"/>
      <c r="Y268" s="663"/>
      <c r="Z268" s="663"/>
      <c r="AA268" s="663"/>
      <c r="AB268" s="663"/>
      <c r="AC268" s="663"/>
      <c r="AD268" s="663"/>
      <c r="AE268" s="663"/>
      <c r="AF268" s="663"/>
      <c r="AG268" s="663"/>
      <c r="AH268" s="663"/>
      <c r="AI268" s="663"/>
      <c r="AJ268" s="663"/>
      <c r="AK268" s="663"/>
      <c r="AL268" s="663"/>
      <c r="AM268" s="663"/>
      <c r="AN268" s="663"/>
      <c r="AO268" s="663"/>
      <c r="AP268" s="663"/>
      <c r="AQ268" s="663"/>
      <c r="AR268" s="663"/>
      <c r="AS268" s="663"/>
      <c r="AT268" s="663"/>
      <c r="AU268" s="663"/>
      <c r="CG268" s="656"/>
    </row>
    <row r="269" spans="1:85">
      <c r="A269" s="661"/>
      <c r="E269" s="663"/>
      <c r="F269" s="663"/>
      <c r="G269" s="663"/>
      <c r="H269" s="663"/>
      <c r="I269" s="663"/>
      <c r="J269" s="663"/>
      <c r="K269" s="663"/>
      <c r="L269" s="663"/>
      <c r="M269" s="663"/>
      <c r="N269" s="663"/>
      <c r="O269" s="663"/>
      <c r="P269" s="663"/>
      <c r="Q269" s="663"/>
      <c r="R269" s="663"/>
      <c r="S269" s="663"/>
      <c r="T269" s="663"/>
      <c r="U269" s="663"/>
      <c r="V269" s="663"/>
      <c r="W269" s="663"/>
      <c r="X269" s="663"/>
      <c r="Y269" s="663"/>
      <c r="Z269" s="663"/>
      <c r="AA269" s="663"/>
      <c r="AB269" s="663"/>
      <c r="AC269" s="663"/>
      <c r="AD269" s="663"/>
      <c r="AE269" s="663"/>
      <c r="AF269" s="663"/>
      <c r="AG269" s="663"/>
      <c r="AH269" s="663"/>
      <c r="AI269" s="663"/>
      <c r="AJ269" s="663"/>
      <c r="AK269" s="663"/>
      <c r="AL269" s="663"/>
      <c r="AM269" s="663"/>
      <c r="AN269" s="663"/>
      <c r="AO269" s="663"/>
      <c r="AP269" s="663"/>
      <c r="AQ269" s="663"/>
      <c r="AR269" s="663"/>
      <c r="AS269" s="663"/>
      <c r="AT269" s="663"/>
      <c r="AU269" s="663"/>
      <c r="CG269" s="656"/>
    </row>
    <row r="270" spans="1:85">
      <c r="A270" s="661"/>
      <c r="E270" s="663"/>
      <c r="F270" s="663"/>
      <c r="G270" s="663"/>
      <c r="H270" s="663"/>
      <c r="I270" s="663"/>
      <c r="J270" s="663"/>
      <c r="K270" s="663"/>
      <c r="L270" s="663"/>
      <c r="M270" s="663"/>
      <c r="N270" s="663"/>
      <c r="O270" s="663"/>
      <c r="P270" s="663"/>
      <c r="Q270" s="663"/>
      <c r="R270" s="663"/>
      <c r="S270" s="663"/>
      <c r="T270" s="663"/>
      <c r="U270" s="663"/>
      <c r="V270" s="663"/>
      <c r="W270" s="663"/>
      <c r="X270" s="663"/>
      <c r="Y270" s="663"/>
      <c r="Z270" s="663"/>
      <c r="AA270" s="663"/>
      <c r="AB270" s="663"/>
      <c r="AC270" s="663"/>
      <c r="AD270" s="663"/>
      <c r="AE270" s="663"/>
      <c r="AF270" s="663"/>
      <c r="AG270" s="663"/>
      <c r="AH270" s="663"/>
      <c r="AI270" s="663"/>
      <c r="AJ270" s="663"/>
      <c r="AK270" s="663"/>
      <c r="AL270" s="663"/>
      <c r="AM270" s="663"/>
      <c r="AN270" s="663"/>
      <c r="AO270" s="663"/>
      <c r="AP270" s="663"/>
      <c r="AQ270" s="663"/>
      <c r="AR270" s="663"/>
      <c r="AS270" s="663"/>
      <c r="AT270" s="663"/>
      <c r="AU270" s="663"/>
      <c r="CG270" s="656"/>
    </row>
    <row r="271" spans="1:85">
      <c r="A271" s="661"/>
      <c r="E271" s="663"/>
      <c r="F271" s="663"/>
      <c r="G271" s="663"/>
      <c r="H271" s="663"/>
      <c r="I271" s="663"/>
      <c r="J271" s="663"/>
      <c r="K271" s="663"/>
      <c r="L271" s="663"/>
      <c r="M271" s="663"/>
      <c r="N271" s="663"/>
      <c r="O271" s="663"/>
      <c r="P271" s="663"/>
      <c r="Q271" s="663"/>
      <c r="R271" s="663"/>
      <c r="S271" s="663"/>
      <c r="T271" s="663"/>
      <c r="U271" s="663"/>
      <c r="V271" s="663"/>
      <c r="W271" s="663"/>
      <c r="X271" s="663"/>
      <c r="Y271" s="663"/>
      <c r="Z271" s="663"/>
      <c r="AA271" s="663"/>
      <c r="AB271" s="663"/>
      <c r="AC271" s="663"/>
      <c r="AD271" s="663"/>
      <c r="AE271" s="663"/>
      <c r="AF271" s="663"/>
      <c r="AG271" s="663"/>
      <c r="AH271" s="663"/>
      <c r="AI271" s="663"/>
      <c r="AJ271" s="663"/>
      <c r="AK271" s="663"/>
      <c r="AL271" s="663"/>
      <c r="AM271" s="663"/>
      <c r="AN271" s="663"/>
      <c r="AO271" s="663"/>
      <c r="AP271" s="663"/>
      <c r="AQ271" s="663"/>
      <c r="AR271" s="663"/>
      <c r="AS271" s="663"/>
      <c r="AT271" s="663"/>
      <c r="AU271" s="663"/>
      <c r="CG271" s="656"/>
    </row>
    <row r="272" spans="1:85">
      <c r="A272" s="661"/>
      <c r="E272" s="663"/>
      <c r="F272" s="663"/>
      <c r="G272" s="663"/>
      <c r="H272" s="663"/>
      <c r="I272" s="663"/>
      <c r="J272" s="663"/>
      <c r="K272" s="663"/>
      <c r="L272" s="663"/>
      <c r="M272" s="663"/>
      <c r="N272" s="663"/>
      <c r="O272" s="663"/>
      <c r="P272" s="663"/>
      <c r="Q272" s="663"/>
      <c r="R272" s="663"/>
      <c r="S272" s="663"/>
      <c r="T272" s="663"/>
      <c r="U272" s="663"/>
      <c r="V272" s="663"/>
      <c r="W272" s="663"/>
      <c r="X272" s="663"/>
      <c r="Y272" s="663"/>
      <c r="Z272" s="663"/>
      <c r="AA272" s="663"/>
      <c r="AB272" s="663"/>
      <c r="AC272" s="663"/>
      <c r="AD272" s="663"/>
      <c r="AE272" s="663"/>
      <c r="AF272" s="663"/>
      <c r="AG272" s="663"/>
      <c r="AH272" s="663"/>
      <c r="AI272" s="663"/>
      <c r="AJ272" s="663"/>
      <c r="AK272" s="663"/>
      <c r="AL272" s="663"/>
      <c r="AM272" s="663"/>
      <c r="AN272" s="663"/>
      <c r="AO272" s="663"/>
      <c r="AP272" s="663"/>
      <c r="AQ272" s="663"/>
      <c r="AR272" s="663"/>
      <c r="AS272" s="663"/>
      <c r="AT272" s="663"/>
      <c r="AU272" s="663"/>
      <c r="CG272" s="656"/>
    </row>
    <row r="273" spans="1:85">
      <c r="A273" s="661"/>
      <c r="E273" s="663"/>
      <c r="F273" s="663"/>
      <c r="G273" s="663"/>
      <c r="H273" s="663"/>
      <c r="I273" s="663"/>
      <c r="J273" s="663"/>
      <c r="K273" s="663"/>
      <c r="L273" s="663"/>
      <c r="M273" s="663"/>
      <c r="N273" s="663"/>
      <c r="O273" s="663"/>
      <c r="P273" s="663"/>
      <c r="Q273" s="663"/>
      <c r="R273" s="663"/>
      <c r="S273" s="663"/>
      <c r="T273" s="663"/>
      <c r="U273" s="663"/>
      <c r="V273" s="663"/>
      <c r="W273" s="663"/>
      <c r="X273" s="663"/>
      <c r="Y273" s="663"/>
      <c r="Z273" s="663"/>
      <c r="AA273" s="663"/>
      <c r="AB273" s="663"/>
      <c r="AC273" s="663"/>
      <c r="AD273" s="663"/>
      <c r="AE273" s="663"/>
      <c r="AF273" s="663"/>
      <c r="AG273" s="663"/>
      <c r="AH273" s="663"/>
      <c r="AI273" s="663"/>
      <c r="AJ273" s="663"/>
      <c r="AK273" s="663"/>
      <c r="AL273" s="663"/>
      <c r="AM273" s="663"/>
      <c r="AN273" s="663"/>
      <c r="AO273" s="663"/>
      <c r="AP273" s="663"/>
      <c r="AQ273" s="663"/>
      <c r="AR273" s="663"/>
      <c r="AS273" s="663"/>
      <c r="AT273" s="663"/>
      <c r="AU273" s="663"/>
      <c r="CG273" s="656"/>
    </row>
    <row r="274" spans="1:85">
      <c r="A274" s="661"/>
      <c r="E274" s="663"/>
      <c r="F274" s="663"/>
      <c r="G274" s="663"/>
      <c r="H274" s="663"/>
      <c r="I274" s="663"/>
      <c r="J274" s="663"/>
      <c r="K274" s="663"/>
      <c r="L274" s="663"/>
      <c r="M274" s="663"/>
      <c r="N274" s="663"/>
      <c r="O274" s="663"/>
      <c r="P274" s="663"/>
      <c r="Q274" s="663"/>
      <c r="R274" s="663"/>
      <c r="S274" s="663"/>
      <c r="T274" s="663"/>
      <c r="U274" s="663"/>
      <c r="V274" s="663"/>
      <c r="W274" s="663"/>
      <c r="X274" s="663"/>
      <c r="Y274" s="663"/>
      <c r="Z274" s="663"/>
      <c r="AA274" s="663"/>
      <c r="AB274" s="663"/>
      <c r="AC274" s="663"/>
      <c r="AD274" s="663"/>
      <c r="AE274" s="663"/>
      <c r="AF274" s="663"/>
      <c r="AG274" s="663"/>
      <c r="AH274" s="663"/>
      <c r="AI274" s="663"/>
      <c r="AJ274" s="663"/>
      <c r="AK274" s="663"/>
      <c r="AL274" s="663"/>
      <c r="AM274" s="663"/>
      <c r="AN274" s="663"/>
      <c r="AO274" s="663"/>
      <c r="AP274" s="663"/>
      <c r="AQ274" s="663"/>
      <c r="AR274" s="663"/>
      <c r="AS274" s="663"/>
      <c r="AT274" s="663"/>
      <c r="AU274" s="663"/>
      <c r="CG274" s="656"/>
    </row>
    <row r="275" spans="1:85">
      <c r="A275" s="661"/>
      <c r="E275" s="663"/>
      <c r="F275" s="663"/>
      <c r="G275" s="663"/>
      <c r="H275" s="663"/>
      <c r="I275" s="663"/>
      <c r="J275" s="663"/>
      <c r="K275" s="663"/>
      <c r="L275" s="663"/>
      <c r="M275" s="663"/>
      <c r="N275" s="663"/>
      <c r="O275" s="663"/>
      <c r="P275" s="663"/>
      <c r="Q275" s="663"/>
      <c r="R275" s="663"/>
      <c r="S275" s="663"/>
      <c r="T275" s="663"/>
      <c r="U275" s="663"/>
      <c r="V275" s="663"/>
      <c r="W275" s="663"/>
      <c r="X275" s="663"/>
      <c r="Y275" s="663"/>
      <c r="Z275" s="663"/>
      <c r="AA275" s="663"/>
      <c r="AB275" s="663"/>
      <c r="AC275" s="663"/>
      <c r="AD275" s="663"/>
      <c r="AE275" s="663"/>
      <c r="AF275" s="663"/>
      <c r="AG275" s="663"/>
      <c r="AH275" s="663"/>
      <c r="AI275" s="663"/>
      <c r="AJ275" s="663"/>
      <c r="AK275" s="663"/>
      <c r="AL275" s="663"/>
      <c r="AM275" s="663"/>
      <c r="AN275" s="663"/>
      <c r="AO275" s="663"/>
      <c r="AP275" s="663"/>
      <c r="AQ275" s="663"/>
      <c r="AR275" s="663"/>
      <c r="AS275" s="663"/>
      <c r="AT275" s="663"/>
      <c r="AU275" s="663"/>
      <c r="CG275" s="656"/>
    </row>
    <row r="276" spans="1:85">
      <c r="A276" s="661"/>
      <c r="E276" s="663"/>
      <c r="F276" s="663"/>
      <c r="G276" s="663"/>
      <c r="H276" s="663"/>
      <c r="I276" s="663"/>
      <c r="J276" s="663"/>
      <c r="K276" s="663"/>
      <c r="L276" s="663"/>
      <c r="M276" s="663"/>
      <c r="N276" s="663"/>
      <c r="O276" s="663"/>
      <c r="P276" s="663"/>
      <c r="Q276" s="663"/>
      <c r="R276" s="663"/>
      <c r="S276" s="663"/>
      <c r="T276" s="663"/>
      <c r="U276" s="663"/>
      <c r="V276" s="663"/>
      <c r="W276" s="663"/>
      <c r="X276" s="663"/>
      <c r="Y276" s="663"/>
      <c r="Z276" s="663"/>
      <c r="AA276" s="663"/>
      <c r="AB276" s="663"/>
      <c r="AC276" s="663"/>
      <c r="AD276" s="663"/>
      <c r="AE276" s="663"/>
      <c r="AF276" s="663"/>
      <c r="AG276" s="663"/>
      <c r="AH276" s="663"/>
      <c r="AI276" s="663"/>
      <c r="AJ276" s="663"/>
      <c r="AK276" s="663"/>
      <c r="AL276" s="663"/>
      <c r="AM276" s="663"/>
      <c r="AN276" s="663"/>
      <c r="AO276" s="663"/>
      <c r="AP276" s="663"/>
      <c r="AQ276" s="663"/>
      <c r="AR276" s="663"/>
      <c r="AS276" s="663"/>
      <c r="AT276" s="663"/>
      <c r="AU276" s="663"/>
      <c r="CG276" s="656"/>
    </row>
    <row r="277" spans="1:85">
      <c r="A277" s="661"/>
      <c r="E277" s="663"/>
      <c r="F277" s="663"/>
      <c r="G277" s="663"/>
      <c r="H277" s="663"/>
      <c r="I277" s="663"/>
      <c r="J277" s="663"/>
      <c r="K277" s="663"/>
      <c r="L277" s="663"/>
      <c r="M277" s="663"/>
      <c r="N277" s="663"/>
      <c r="O277" s="663"/>
      <c r="P277" s="663"/>
      <c r="Q277" s="663"/>
      <c r="R277" s="663"/>
      <c r="S277" s="663"/>
      <c r="T277" s="663"/>
      <c r="U277" s="663"/>
      <c r="V277" s="663"/>
      <c r="W277" s="663"/>
      <c r="X277" s="663"/>
      <c r="Y277" s="663"/>
      <c r="Z277" s="663"/>
      <c r="AA277" s="663"/>
      <c r="AB277" s="663"/>
      <c r="AC277" s="663"/>
      <c r="AD277" s="663"/>
      <c r="AE277" s="663"/>
      <c r="AF277" s="663"/>
      <c r="AG277" s="663"/>
      <c r="AH277" s="663"/>
      <c r="AI277" s="663"/>
      <c r="AJ277" s="663"/>
      <c r="AK277" s="663"/>
      <c r="AL277" s="663"/>
      <c r="AM277" s="663"/>
      <c r="AN277" s="663"/>
      <c r="AO277" s="663"/>
      <c r="AP277" s="663"/>
      <c r="AQ277" s="663"/>
      <c r="AR277" s="663"/>
      <c r="AS277" s="663"/>
      <c r="AT277" s="663"/>
      <c r="AU277" s="663"/>
      <c r="CG277" s="656"/>
    </row>
    <row r="278" spans="1:85">
      <c r="A278" s="661"/>
      <c r="E278" s="663"/>
      <c r="F278" s="663"/>
      <c r="G278" s="663"/>
      <c r="H278" s="663"/>
      <c r="I278" s="663"/>
      <c r="J278" s="663"/>
      <c r="K278" s="663"/>
      <c r="L278" s="663"/>
      <c r="M278" s="663"/>
      <c r="N278" s="663"/>
      <c r="O278" s="663"/>
      <c r="P278" s="663"/>
      <c r="Q278" s="663"/>
      <c r="R278" s="663"/>
      <c r="S278" s="663"/>
      <c r="T278" s="663"/>
      <c r="U278" s="663"/>
      <c r="V278" s="663"/>
      <c r="W278" s="663"/>
      <c r="X278" s="663"/>
      <c r="Y278" s="663"/>
      <c r="Z278" s="663"/>
      <c r="AA278" s="663"/>
      <c r="AB278" s="663"/>
      <c r="AC278" s="663"/>
      <c r="AD278" s="663"/>
      <c r="AE278" s="663"/>
      <c r="AF278" s="663"/>
      <c r="AG278" s="663"/>
      <c r="AH278" s="663"/>
      <c r="AI278" s="663"/>
      <c r="AJ278" s="663"/>
      <c r="AK278" s="663"/>
      <c r="AL278" s="663"/>
      <c r="AM278" s="663"/>
      <c r="AN278" s="663"/>
      <c r="AO278" s="663"/>
      <c r="AP278" s="663"/>
      <c r="AQ278" s="663"/>
      <c r="AR278" s="663"/>
      <c r="AS278" s="663"/>
      <c r="AT278" s="663"/>
      <c r="AU278" s="663"/>
      <c r="CG278" s="656"/>
    </row>
    <row r="279" spans="1:85">
      <c r="A279" s="661"/>
      <c r="E279" s="663"/>
      <c r="F279" s="663"/>
      <c r="G279" s="663"/>
      <c r="H279" s="663"/>
      <c r="I279" s="663"/>
      <c r="J279" s="663"/>
      <c r="K279" s="663"/>
      <c r="L279" s="663"/>
      <c r="M279" s="663"/>
      <c r="N279" s="663"/>
      <c r="O279" s="663"/>
      <c r="P279" s="663"/>
      <c r="Q279" s="663"/>
      <c r="R279" s="663"/>
      <c r="S279" s="663"/>
      <c r="T279" s="663"/>
      <c r="U279" s="663"/>
      <c r="V279" s="663"/>
      <c r="W279" s="663"/>
      <c r="X279" s="663"/>
      <c r="Y279" s="663"/>
      <c r="Z279" s="663"/>
      <c r="AA279" s="663"/>
      <c r="AB279" s="663"/>
      <c r="AC279" s="663"/>
      <c r="AD279" s="663"/>
      <c r="AE279" s="663"/>
      <c r="AF279" s="663"/>
      <c r="AG279" s="663"/>
      <c r="AH279" s="663"/>
      <c r="AI279" s="663"/>
      <c r="AJ279" s="663"/>
      <c r="AK279" s="663"/>
      <c r="AL279" s="663"/>
      <c r="AM279" s="663"/>
      <c r="AN279" s="663"/>
      <c r="AO279" s="663"/>
      <c r="AP279" s="663"/>
      <c r="AQ279" s="663"/>
      <c r="AR279" s="663"/>
      <c r="AS279" s="663"/>
      <c r="AT279" s="663"/>
      <c r="AU279" s="663"/>
      <c r="CG279" s="656"/>
    </row>
    <row r="280" spans="1:85">
      <c r="A280" s="661"/>
      <c r="E280" s="663"/>
      <c r="F280" s="663"/>
      <c r="G280" s="663"/>
      <c r="H280" s="663"/>
      <c r="I280" s="663"/>
      <c r="J280" s="663"/>
      <c r="K280" s="663"/>
      <c r="L280" s="663"/>
      <c r="M280" s="663"/>
      <c r="N280" s="663"/>
      <c r="O280" s="663"/>
      <c r="P280" s="663"/>
      <c r="Q280" s="663"/>
      <c r="R280" s="663"/>
      <c r="S280" s="663"/>
      <c r="T280" s="663"/>
      <c r="U280" s="663"/>
      <c r="V280" s="663"/>
      <c r="W280" s="663"/>
      <c r="X280" s="663"/>
      <c r="Y280" s="663"/>
      <c r="Z280" s="663"/>
      <c r="AA280" s="663"/>
      <c r="AB280" s="663"/>
      <c r="AC280" s="663"/>
      <c r="AD280" s="663"/>
      <c r="AE280" s="663"/>
      <c r="AF280" s="663"/>
      <c r="AG280" s="663"/>
      <c r="AH280" s="663"/>
      <c r="AI280" s="663"/>
      <c r="AJ280" s="663"/>
      <c r="AK280" s="663"/>
      <c r="AL280" s="663"/>
      <c r="AM280" s="663"/>
      <c r="AN280" s="663"/>
      <c r="AO280" s="663"/>
      <c r="AP280" s="663"/>
      <c r="AQ280" s="663"/>
      <c r="AR280" s="663"/>
      <c r="AS280" s="663"/>
      <c r="AT280" s="663"/>
      <c r="AU280" s="663"/>
      <c r="CG280" s="656"/>
    </row>
    <row r="281" spans="1:85">
      <c r="A281" s="661"/>
      <c r="E281" s="663"/>
      <c r="F281" s="663"/>
      <c r="G281" s="663"/>
      <c r="H281" s="663"/>
      <c r="I281" s="663"/>
      <c r="J281" s="663"/>
      <c r="K281" s="663"/>
      <c r="L281" s="663"/>
      <c r="M281" s="663"/>
      <c r="N281" s="663"/>
      <c r="O281" s="663"/>
      <c r="P281" s="663"/>
      <c r="Q281" s="663"/>
      <c r="R281" s="663"/>
      <c r="S281" s="663"/>
      <c r="T281" s="663"/>
      <c r="U281" s="663"/>
      <c r="V281" s="663"/>
      <c r="W281" s="663"/>
      <c r="X281" s="663"/>
      <c r="Y281" s="663"/>
      <c r="Z281" s="663"/>
      <c r="AA281" s="663"/>
      <c r="AB281" s="663"/>
      <c r="AC281" s="663"/>
      <c r="AD281" s="663"/>
      <c r="AE281" s="663"/>
      <c r="AF281" s="663"/>
      <c r="AG281" s="663"/>
      <c r="AH281" s="663"/>
      <c r="AI281" s="663"/>
      <c r="AJ281" s="663"/>
      <c r="AK281" s="663"/>
      <c r="AL281" s="663"/>
      <c r="AM281" s="663"/>
      <c r="AN281" s="663"/>
      <c r="AO281" s="663"/>
      <c r="AP281" s="663"/>
      <c r="AQ281" s="663"/>
      <c r="AR281" s="663"/>
      <c r="AS281" s="663"/>
      <c r="AT281" s="663"/>
      <c r="AU281" s="663"/>
      <c r="CG281" s="656"/>
    </row>
    <row r="282" spans="1:85">
      <c r="A282" s="661"/>
      <c r="E282" s="663"/>
      <c r="F282" s="663"/>
      <c r="G282" s="663"/>
      <c r="H282" s="663"/>
      <c r="I282" s="663"/>
      <c r="J282" s="663"/>
      <c r="K282" s="663"/>
      <c r="L282" s="663"/>
      <c r="M282" s="663"/>
      <c r="N282" s="663"/>
      <c r="O282" s="663"/>
      <c r="P282" s="663"/>
      <c r="Q282" s="663"/>
      <c r="R282" s="663"/>
      <c r="S282" s="663"/>
      <c r="T282" s="663"/>
      <c r="U282" s="663"/>
      <c r="V282" s="663"/>
      <c r="W282" s="663"/>
      <c r="X282" s="663"/>
      <c r="Y282" s="663"/>
      <c r="Z282" s="663"/>
      <c r="AA282" s="663"/>
      <c r="AB282" s="663"/>
      <c r="AC282" s="663"/>
      <c r="AD282" s="663"/>
      <c r="AE282" s="663"/>
      <c r="AF282" s="663"/>
      <c r="AG282" s="663"/>
      <c r="AH282" s="663"/>
      <c r="AI282" s="663"/>
      <c r="AJ282" s="663"/>
      <c r="AK282" s="663"/>
      <c r="AL282" s="663"/>
      <c r="AM282" s="663"/>
      <c r="AN282" s="663"/>
      <c r="AO282" s="663"/>
      <c r="AP282" s="663"/>
      <c r="AQ282" s="663"/>
      <c r="AR282" s="663"/>
      <c r="AS282" s="663"/>
      <c r="AT282" s="663"/>
      <c r="AU282" s="663"/>
      <c r="CG282" s="656"/>
    </row>
    <row r="283" spans="1:85">
      <c r="A283" s="661"/>
      <c r="E283" s="663"/>
      <c r="F283" s="663"/>
      <c r="G283" s="663"/>
      <c r="H283" s="663"/>
      <c r="I283" s="663"/>
      <c r="J283" s="663"/>
      <c r="K283" s="663"/>
      <c r="L283" s="663"/>
      <c r="M283" s="663"/>
      <c r="N283" s="663"/>
      <c r="O283" s="663"/>
      <c r="P283" s="663"/>
      <c r="Q283" s="663"/>
      <c r="R283" s="663"/>
      <c r="S283" s="663"/>
      <c r="T283" s="663"/>
      <c r="U283" s="663"/>
      <c r="V283" s="663"/>
      <c r="W283" s="663"/>
      <c r="X283" s="663"/>
      <c r="Y283" s="663"/>
      <c r="Z283" s="663"/>
      <c r="AA283" s="663"/>
      <c r="AB283" s="663"/>
      <c r="AC283" s="663"/>
      <c r="AD283" s="663"/>
      <c r="AE283" s="663"/>
      <c r="AF283" s="663"/>
      <c r="AG283" s="663"/>
      <c r="AH283" s="663"/>
      <c r="AI283" s="663"/>
      <c r="AJ283" s="663"/>
      <c r="AK283" s="663"/>
      <c r="AL283" s="663"/>
      <c r="AM283" s="663"/>
      <c r="AN283" s="663"/>
      <c r="AO283" s="663"/>
      <c r="AP283" s="663"/>
      <c r="AQ283" s="663"/>
      <c r="AR283" s="663"/>
      <c r="AS283" s="663"/>
      <c r="AT283" s="663"/>
      <c r="AU283" s="663"/>
      <c r="CG283" s="656"/>
    </row>
    <row r="284" spans="1:85">
      <c r="A284" s="661"/>
      <c r="E284" s="663"/>
      <c r="F284" s="663"/>
      <c r="G284" s="663"/>
      <c r="H284" s="663"/>
      <c r="I284" s="663"/>
      <c r="J284" s="663"/>
      <c r="K284" s="663"/>
      <c r="L284" s="663"/>
      <c r="M284" s="663"/>
      <c r="N284" s="663"/>
      <c r="O284" s="663"/>
      <c r="P284" s="663"/>
      <c r="Q284" s="663"/>
      <c r="R284" s="663"/>
      <c r="S284" s="663"/>
      <c r="T284" s="663"/>
      <c r="U284" s="663"/>
      <c r="V284" s="663"/>
      <c r="W284" s="663"/>
      <c r="X284" s="663"/>
      <c r="Y284" s="663"/>
      <c r="Z284" s="663"/>
      <c r="AA284" s="663"/>
      <c r="AB284" s="663"/>
      <c r="AC284" s="663"/>
      <c r="AD284" s="663"/>
      <c r="AE284" s="663"/>
      <c r="AF284" s="663"/>
      <c r="AG284" s="663"/>
      <c r="AH284" s="663"/>
      <c r="AI284" s="663"/>
      <c r="AJ284" s="663"/>
      <c r="AK284" s="663"/>
      <c r="AL284" s="663"/>
      <c r="AM284" s="663"/>
      <c r="AN284" s="663"/>
      <c r="AO284" s="663"/>
      <c r="AP284" s="663"/>
      <c r="AQ284" s="663"/>
      <c r="AR284" s="663"/>
      <c r="AS284" s="663"/>
      <c r="AT284" s="663"/>
      <c r="AU284" s="663"/>
      <c r="CG284" s="656"/>
    </row>
    <row r="285" spans="1:85">
      <c r="A285" s="661"/>
      <c r="E285" s="663"/>
      <c r="F285" s="663"/>
      <c r="G285" s="663"/>
      <c r="H285" s="663"/>
      <c r="I285" s="663"/>
      <c r="J285" s="663"/>
      <c r="K285" s="663"/>
      <c r="L285" s="663"/>
      <c r="M285" s="663"/>
      <c r="N285" s="663"/>
      <c r="O285" s="663"/>
      <c r="P285" s="663"/>
      <c r="Q285" s="663"/>
      <c r="R285" s="663"/>
      <c r="S285" s="663"/>
      <c r="T285" s="663"/>
      <c r="U285" s="663"/>
      <c r="V285" s="663"/>
      <c r="W285" s="663"/>
      <c r="X285" s="663"/>
      <c r="Y285" s="663"/>
      <c r="Z285" s="663"/>
      <c r="AA285" s="663"/>
      <c r="AB285" s="663"/>
      <c r="AC285" s="663"/>
      <c r="AD285" s="663"/>
      <c r="AE285" s="663"/>
      <c r="AF285" s="663"/>
      <c r="AG285" s="663"/>
      <c r="AH285" s="663"/>
      <c r="AI285" s="663"/>
      <c r="AJ285" s="663"/>
      <c r="AK285" s="663"/>
      <c r="AL285" s="663"/>
      <c r="AM285" s="663"/>
      <c r="AN285" s="663"/>
      <c r="AO285" s="663"/>
      <c r="AP285" s="663"/>
      <c r="AQ285" s="663"/>
      <c r="AR285" s="663"/>
      <c r="AS285" s="663"/>
      <c r="AT285" s="663"/>
      <c r="AU285" s="663"/>
      <c r="CG285" s="656"/>
    </row>
    <row r="286" spans="1:85">
      <c r="A286" s="661"/>
      <c r="E286" s="663"/>
      <c r="F286" s="663"/>
      <c r="G286" s="663"/>
      <c r="H286" s="663"/>
      <c r="I286" s="663"/>
      <c r="J286" s="663"/>
      <c r="K286" s="663"/>
      <c r="L286" s="663"/>
      <c r="M286" s="663"/>
      <c r="N286" s="663"/>
      <c r="O286" s="663"/>
      <c r="P286" s="663"/>
      <c r="Q286" s="663"/>
      <c r="R286" s="663"/>
      <c r="S286" s="663"/>
      <c r="T286" s="663"/>
      <c r="U286" s="663"/>
      <c r="V286" s="663"/>
      <c r="W286" s="663"/>
      <c r="X286" s="663"/>
      <c r="Y286" s="663"/>
      <c r="Z286" s="663"/>
      <c r="AA286" s="663"/>
      <c r="AB286" s="663"/>
      <c r="AC286" s="663"/>
      <c r="AD286" s="663"/>
      <c r="AE286" s="663"/>
      <c r="AF286" s="663"/>
      <c r="AG286" s="663"/>
      <c r="AH286" s="663"/>
      <c r="AI286" s="663"/>
      <c r="AJ286" s="663"/>
      <c r="AK286" s="663"/>
      <c r="AL286" s="663"/>
      <c r="AM286" s="663"/>
      <c r="AN286" s="663"/>
      <c r="AO286" s="663"/>
      <c r="AP286" s="663"/>
      <c r="AQ286" s="663"/>
      <c r="AR286" s="663"/>
      <c r="AS286" s="663"/>
      <c r="AT286" s="663"/>
      <c r="AU286" s="663"/>
      <c r="CG286" s="656"/>
    </row>
    <row r="287" spans="1:85">
      <c r="A287" s="661"/>
      <c r="E287" s="663"/>
      <c r="F287" s="663"/>
      <c r="G287" s="663"/>
      <c r="H287" s="663"/>
      <c r="I287" s="663"/>
      <c r="J287" s="663"/>
      <c r="K287" s="663"/>
      <c r="L287" s="663"/>
      <c r="M287" s="663"/>
      <c r="N287" s="663"/>
      <c r="O287" s="663"/>
      <c r="P287" s="663"/>
      <c r="Q287" s="663"/>
      <c r="R287" s="663"/>
      <c r="S287" s="663"/>
      <c r="T287" s="663"/>
      <c r="U287" s="663"/>
      <c r="V287" s="663"/>
      <c r="W287" s="663"/>
      <c r="X287" s="663"/>
      <c r="Y287" s="663"/>
      <c r="Z287" s="663"/>
      <c r="AA287" s="663"/>
      <c r="AB287" s="663"/>
      <c r="AC287" s="663"/>
      <c r="AD287" s="663"/>
      <c r="AE287" s="663"/>
      <c r="AF287" s="663"/>
      <c r="AG287" s="663"/>
      <c r="AH287" s="663"/>
      <c r="AI287" s="663"/>
      <c r="AJ287" s="663"/>
      <c r="AK287" s="663"/>
      <c r="AL287" s="663"/>
      <c r="AM287" s="663"/>
      <c r="AN287" s="663"/>
      <c r="AO287" s="663"/>
      <c r="AP287" s="663"/>
      <c r="AQ287" s="663"/>
      <c r="AR287" s="663"/>
      <c r="AS287" s="663"/>
      <c r="AT287" s="663"/>
      <c r="AU287" s="663"/>
      <c r="CG287" s="656"/>
    </row>
    <row r="288" spans="1:85">
      <c r="A288" s="661"/>
      <c r="E288" s="663"/>
      <c r="CG288" s="656"/>
    </row>
    <row r="289" spans="1:85">
      <c r="A289" s="661"/>
      <c r="E289" s="663"/>
      <c r="CG289" s="656"/>
    </row>
    <row r="290" spans="1:85">
      <c r="A290" s="661"/>
      <c r="E290" s="663"/>
      <c r="CG290" s="656"/>
    </row>
    <row r="291" spans="1:85">
      <c r="A291" s="661"/>
      <c r="E291" s="663"/>
      <c r="CG291" s="656"/>
    </row>
    <row r="292" spans="1:85">
      <c r="A292" s="661"/>
      <c r="E292" s="663"/>
      <c r="CG292" s="656"/>
    </row>
    <row r="293" spans="1:85">
      <c r="A293" s="661"/>
      <c r="E293" s="663"/>
      <c r="CG293" s="656"/>
    </row>
    <row r="294" spans="1:85">
      <c r="A294" s="661"/>
      <c r="E294" s="663"/>
      <c r="CG294" s="656"/>
    </row>
    <row r="295" spans="1:85">
      <c r="A295" s="661"/>
      <c r="E295" s="663"/>
      <c r="CG295" s="656"/>
    </row>
    <row r="296" spans="1:85">
      <c r="A296" s="661"/>
      <c r="E296" s="663"/>
      <c r="CG296" s="656"/>
    </row>
    <row r="297" spans="1:85">
      <c r="A297" s="661"/>
      <c r="E297" s="663"/>
      <c r="CG297" s="656"/>
    </row>
    <row r="298" spans="1:85">
      <c r="A298" s="661"/>
      <c r="E298" s="663"/>
      <c r="CG298" s="656"/>
    </row>
    <row r="299" spans="1:85">
      <c r="A299" s="661"/>
      <c r="E299" s="663"/>
      <c r="CG299" s="656"/>
    </row>
    <row r="300" spans="1:85">
      <c r="A300" s="661"/>
      <c r="E300" s="663"/>
      <c r="CG300" s="656"/>
    </row>
    <row r="301" spans="1:85">
      <c r="A301" s="661"/>
      <c r="E301" s="663"/>
      <c r="CG301" s="656"/>
    </row>
    <row r="302" spans="1:85">
      <c r="A302" s="661"/>
      <c r="E302" s="657" t="s">
        <v>708</v>
      </c>
      <c r="I302" s="657" t="s">
        <v>536</v>
      </c>
      <c r="CG302" s="656"/>
    </row>
    <row r="303" spans="1:85">
      <c r="A303" s="661"/>
      <c r="CG303" s="656"/>
    </row>
    <row r="304" spans="1:85">
      <c r="A304" s="661"/>
      <c r="F304" s="657" t="s">
        <v>537</v>
      </c>
      <c r="CG304" s="656"/>
    </row>
    <row r="305" spans="1:85">
      <c r="A305" s="661"/>
      <c r="CG305" s="656"/>
    </row>
    <row r="306" spans="1:85">
      <c r="A306" s="661"/>
      <c r="E306" s="657" t="s">
        <v>709</v>
      </c>
      <c r="I306" s="657" t="s">
        <v>538</v>
      </c>
      <c r="CG306" s="656"/>
    </row>
    <row r="307" spans="1:85">
      <c r="A307" s="661"/>
      <c r="CG307" s="656"/>
    </row>
    <row r="308" spans="1:85">
      <c r="A308" s="661"/>
      <c r="F308" s="657" t="s">
        <v>539</v>
      </c>
      <c r="CG308" s="656"/>
    </row>
    <row r="309" spans="1:85">
      <c r="A309" s="661"/>
      <c r="CG309" s="656"/>
    </row>
    <row r="310" spans="1:85">
      <c r="A310" s="661"/>
      <c r="H310" s="913" t="s">
        <v>540</v>
      </c>
      <c r="I310" s="914"/>
      <c r="J310" s="914"/>
      <c r="K310" s="915" t="s">
        <v>533</v>
      </c>
      <c r="L310" s="915"/>
      <c r="M310" s="915"/>
      <c r="N310" s="915"/>
      <c r="O310" s="915"/>
      <c r="P310" s="915"/>
      <c r="Q310" s="915"/>
      <c r="R310" s="915"/>
      <c r="S310" s="915"/>
      <c r="T310" s="915"/>
      <c r="U310" s="915"/>
      <c r="V310" s="915" t="s">
        <v>541</v>
      </c>
      <c r="W310" s="915"/>
      <c r="X310" s="915"/>
      <c r="Y310" s="915"/>
      <c r="Z310" s="915"/>
      <c r="AA310" s="915"/>
      <c r="AB310" s="915"/>
      <c r="AC310" s="915"/>
      <c r="AD310" s="915"/>
      <c r="AE310" s="915"/>
      <c r="AF310" s="915" t="s">
        <v>534</v>
      </c>
      <c r="AG310" s="915"/>
      <c r="AH310" s="915"/>
      <c r="AI310" s="915"/>
      <c r="AJ310" s="915"/>
      <c r="AK310" s="915"/>
      <c r="AL310" s="915"/>
      <c r="AM310" s="915"/>
      <c r="AN310" s="915"/>
      <c r="AO310" s="915"/>
      <c r="AP310" s="915"/>
      <c r="AQ310" s="915"/>
      <c r="AR310" s="915"/>
      <c r="AS310" s="915"/>
      <c r="AT310" s="915"/>
      <c r="AU310" s="915"/>
      <c r="AV310" s="915"/>
      <c r="AW310" s="915"/>
      <c r="AX310" s="915"/>
      <c r="AY310" s="915"/>
      <c r="AZ310" s="915"/>
      <c r="BA310" s="915"/>
      <c r="BB310" s="915"/>
      <c r="BC310" s="915"/>
      <c r="BD310" s="915" t="s">
        <v>69</v>
      </c>
      <c r="BE310" s="915"/>
      <c r="BF310" s="915"/>
      <c r="BG310" s="915"/>
      <c r="BH310" s="915"/>
      <c r="BI310" s="915"/>
      <c r="BJ310" s="915"/>
      <c r="BK310" s="915"/>
      <c r="BL310" s="915"/>
      <c r="BM310" s="915"/>
      <c r="BN310" s="915"/>
      <c r="BO310" s="915"/>
      <c r="BP310" s="915"/>
      <c r="BQ310" s="915"/>
      <c r="BR310" s="915"/>
      <c r="BS310" s="915"/>
      <c r="BT310" s="915"/>
      <c r="BU310" s="915"/>
      <c r="BV310" s="915"/>
      <c r="BW310" s="915"/>
      <c r="BX310" s="915"/>
      <c r="BY310" s="915"/>
      <c r="BZ310" s="915"/>
      <c r="CA310" s="915"/>
      <c r="CG310" s="656"/>
    </row>
    <row r="311" spans="1:85">
      <c r="A311" s="661"/>
      <c r="H311" s="892">
        <v>1</v>
      </c>
      <c r="I311" s="893"/>
      <c r="J311" s="893"/>
      <c r="K311" s="894" t="s">
        <v>542</v>
      </c>
      <c r="L311" s="894"/>
      <c r="M311" s="894"/>
      <c r="N311" s="894"/>
      <c r="O311" s="894"/>
      <c r="P311" s="894"/>
      <c r="Q311" s="894"/>
      <c r="R311" s="894"/>
      <c r="S311" s="894"/>
      <c r="T311" s="894"/>
      <c r="U311" s="894"/>
      <c r="V311" s="894" t="s">
        <v>543</v>
      </c>
      <c r="W311" s="894"/>
      <c r="X311" s="894"/>
      <c r="Y311" s="894"/>
      <c r="Z311" s="894"/>
      <c r="AA311" s="894"/>
      <c r="AB311" s="894"/>
      <c r="AC311" s="894"/>
      <c r="AD311" s="894"/>
      <c r="AE311" s="894"/>
      <c r="AF311" s="916" t="s">
        <v>544</v>
      </c>
      <c r="AG311" s="916"/>
      <c r="AH311" s="916"/>
      <c r="AI311" s="916"/>
      <c r="AJ311" s="916"/>
      <c r="AK311" s="916"/>
      <c r="AL311" s="916"/>
      <c r="AM311" s="916"/>
      <c r="AN311" s="916"/>
      <c r="AO311" s="916"/>
      <c r="AP311" s="916"/>
      <c r="AQ311" s="916"/>
      <c r="AR311" s="916"/>
      <c r="AS311" s="916"/>
      <c r="AT311" s="916"/>
      <c r="AU311" s="916"/>
      <c r="AV311" s="916"/>
      <c r="AW311" s="916"/>
      <c r="AX311" s="916"/>
      <c r="AY311" s="916"/>
      <c r="AZ311" s="916"/>
      <c r="BA311" s="916"/>
      <c r="BB311" s="916"/>
      <c r="BC311" s="916"/>
      <c r="BD311" s="916" t="s">
        <v>545</v>
      </c>
      <c r="BE311" s="916"/>
      <c r="BF311" s="916"/>
      <c r="BG311" s="916"/>
      <c r="BH311" s="916"/>
      <c r="BI311" s="916"/>
      <c r="BJ311" s="916"/>
      <c r="BK311" s="916"/>
      <c r="BL311" s="916"/>
      <c r="BM311" s="916"/>
      <c r="BN311" s="916"/>
      <c r="BO311" s="916"/>
      <c r="BP311" s="916"/>
      <c r="BQ311" s="916"/>
      <c r="BR311" s="916"/>
      <c r="BS311" s="916"/>
      <c r="BT311" s="916"/>
      <c r="BU311" s="916"/>
      <c r="BV311" s="916"/>
      <c r="BW311" s="916"/>
      <c r="BX311" s="916"/>
      <c r="BY311" s="916"/>
      <c r="BZ311" s="916"/>
      <c r="CA311" s="916"/>
      <c r="CG311" s="656"/>
    </row>
    <row r="312" spans="1:85" ht="127.5" customHeight="1">
      <c r="A312" s="661"/>
      <c r="H312" s="892">
        <v>2</v>
      </c>
      <c r="I312" s="893"/>
      <c r="J312" s="893"/>
      <c r="K312" s="894" t="s">
        <v>546</v>
      </c>
      <c r="L312" s="894"/>
      <c r="M312" s="894"/>
      <c r="N312" s="894"/>
      <c r="O312" s="894"/>
      <c r="P312" s="894"/>
      <c r="Q312" s="894"/>
      <c r="R312" s="894"/>
      <c r="S312" s="894"/>
      <c r="T312" s="894"/>
      <c r="U312" s="894"/>
      <c r="V312" s="894" t="s">
        <v>547</v>
      </c>
      <c r="W312" s="894"/>
      <c r="X312" s="894"/>
      <c r="Y312" s="894"/>
      <c r="Z312" s="894"/>
      <c r="AA312" s="894"/>
      <c r="AB312" s="894"/>
      <c r="AC312" s="894"/>
      <c r="AD312" s="894"/>
      <c r="AE312" s="894"/>
      <c r="AF312" s="920" t="s">
        <v>548</v>
      </c>
      <c r="AG312" s="916"/>
      <c r="AH312" s="916"/>
      <c r="AI312" s="916"/>
      <c r="AJ312" s="916"/>
      <c r="AK312" s="916"/>
      <c r="AL312" s="916"/>
      <c r="AM312" s="916"/>
      <c r="AN312" s="916"/>
      <c r="AO312" s="916"/>
      <c r="AP312" s="916"/>
      <c r="AQ312" s="916"/>
      <c r="AR312" s="916"/>
      <c r="AS312" s="916"/>
      <c r="AT312" s="916"/>
      <c r="AU312" s="916"/>
      <c r="AV312" s="916"/>
      <c r="AW312" s="916"/>
      <c r="AX312" s="916"/>
      <c r="AY312" s="916"/>
      <c r="AZ312" s="916"/>
      <c r="BA312" s="916"/>
      <c r="BB312" s="916"/>
      <c r="BC312" s="916"/>
      <c r="BD312" s="921" t="s">
        <v>549</v>
      </c>
      <c r="BE312" s="922"/>
      <c r="BF312" s="922"/>
      <c r="BG312" s="922"/>
      <c r="BH312" s="922"/>
      <c r="BI312" s="922"/>
      <c r="BJ312" s="922"/>
      <c r="BK312" s="922"/>
      <c r="BL312" s="922"/>
      <c r="BM312" s="922"/>
      <c r="BN312" s="922"/>
      <c r="BO312" s="922"/>
      <c r="BP312" s="922"/>
      <c r="BQ312" s="922"/>
      <c r="BR312" s="922"/>
      <c r="BS312" s="922"/>
      <c r="BT312" s="922"/>
      <c r="BU312" s="922"/>
      <c r="BV312" s="922"/>
      <c r="BW312" s="922"/>
      <c r="BX312" s="922"/>
      <c r="BY312" s="922"/>
      <c r="BZ312" s="922"/>
      <c r="CA312" s="923"/>
      <c r="CG312" s="656"/>
    </row>
    <row r="313" spans="1:85" ht="15.75" customHeight="1">
      <c r="A313" s="661"/>
      <c r="H313" s="892">
        <v>3</v>
      </c>
      <c r="I313" s="893"/>
      <c r="J313" s="893"/>
      <c r="K313" s="894" t="s">
        <v>550</v>
      </c>
      <c r="L313" s="894"/>
      <c r="M313" s="894"/>
      <c r="N313" s="894"/>
      <c r="O313" s="894"/>
      <c r="P313" s="894"/>
      <c r="Q313" s="894"/>
      <c r="R313" s="894"/>
      <c r="S313" s="894"/>
      <c r="T313" s="894"/>
      <c r="U313" s="894"/>
      <c r="V313" s="895" t="s">
        <v>551</v>
      </c>
      <c r="W313" s="896"/>
      <c r="X313" s="896"/>
      <c r="Y313" s="896"/>
      <c r="Z313" s="896"/>
      <c r="AA313" s="896"/>
      <c r="AB313" s="896"/>
      <c r="AC313" s="896"/>
      <c r="AD313" s="896"/>
      <c r="AE313" s="897"/>
      <c r="AF313" s="904" t="s">
        <v>552</v>
      </c>
      <c r="AG313" s="905"/>
      <c r="AH313" s="905"/>
      <c r="AI313" s="905"/>
      <c r="AJ313" s="905"/>
      <c r="AK313" s="905"/>
      <c r="AL313" s="905"/>
      <c r="AM313" s="905"/>
      <c r="AN313" s="905"/>
      <c r="AO313" s="905"/>
      <c r="AP313" s="905"/>
      <c r="AQ313" s="905"/>
      <c r="AR313" s="905"/>
      <c r="AS313" s="905"/>
      <c r="AT313" s="905"/>
      <c r="AU313" s="905"/>
      <c r="AV313" s="905"/>
      <c r="AW313" s="905"/>
      <c r="AX313" s="905"/>
      <c r="AY313" s="905"/>
      <c r="AZ313" s="905"/>
      <c r="BA313" s="905"/>
      <c r="BB313" s="905"/>
      <c r="BC313" s="906"/>
      <c r="BD313" s="904"/>
      <c r="BE313" s="905"/>
      <c r="BF313" s="905"/>
      <c r="BG313" s="905"/>
      <c r="BH313" s="905"/>
      <c r="BI313" s="905"/>
      <c r="BJ313" s="905"/>
      <c r="BK313" s="905"/>
      <c r="BL313" s="905"/>
      <c r="BM313" s="905"/>
      <c r="BN313" s="905"/>
      <c r="BO313" s="905"/>
      <c r="BP313" s="905"/>
      <c r="BQ313" s="905"/>
      <c r="BR313" s="905"/>
      <c r="BS313" s="905"/>
      <c r="BT313" s="905"/>
      <c r="BU313" s="905"/>
      <c r="BV313" s="905"/>
      <c r="BW313" s="905"/>
      <c r="BX313" s="905"/>
      <c r="BY313" s="905"/>
      <c r="BZ313" s="905"/>
      <c r="CA313" s="906"/>
      <c r="CG313" s="656"/>
    </row>
    <row r="314" spans="1:85">
      <c r="A314" s="661"/>
      <c r="H314" s="892">
        <v>4</v>
      </c>
      <c r="I314" s="893"/>
      <c r="J314" s="893"/>
      <c r="K314" s="894" t="s">
        <v>553</v>
      </c>
      <c r="L314" s="894"/>
      <c r="M314" s="894"/>
      <c r="N314" s="894"/>
      <c r="O314" s="894"/>
      <c r="P314" s="894"/>
      <c r="Q314" s="894"/>
      <c r="R314" s="894"/>
      <c r="S314" s="894"/>
      <c r="T314" s="894"/>
      <c r="U314" s="894"/>
      <c r="V314" s="898"/>
      <c r="W314" s="899"/>
      <c r="X314" s="899"/>
      <c r="Y314" s="899"/>
      <c r="Z314" s="899"/>
      <c r="AA314" s="899"/>
      <c r="AB314" s="899"/>
      <c r="AC314" s="899"/>
      <c r="AD314" s="899"/>
      <c r="AE314" s="900"/>
      <c r="AF314" s="907"/>
      <c r="AG314" s="908"/>
      <c r="AH314" s="908"/>
      <c r="AI314" s="908"/>
      <c r="AJ314" s="908"/>
      <c r="AK314" s="908"/>
      <c r="AL314" s="908"/>
      <c r="AM314" s="908"/>
      <c r="AN314" s="908"/>
      <c r="AO314" s="908"/>
      <c r="AP314" s="908"/>
      <c r="AQ314" s="908"/>
      <c r="AR314" s="908"/>
      <c r="AS314" s="908"/>
      <c r="AT314" s="908"/>
      <c r="AU314" s="908"/>
      <c r="AV314" s="908"/>
      <c r="AW314" s="908"/>
      <c r="AX314" s="908"/>
      <c r="AY314" s="908"/>
      <c r="AZ314" s="908"/>
      <c r="BA314" s="908"/>
      <c r="BB314" s="908"/>
      <c r="BC314" s="909"/>
      <c r="BD314" s="907"/>
      <c r="BE314" s="908"/>
      <c r="BF314" s="908"/>
      <c r="BG314" s="908"/>
      <c r="BH314" s="908"/>
      <c r="BI314" s="908"/>
      <c r="BJ314" s="908"/>
      <c r="BK314" s="908"/>
      <c r="BL314" s="908"/>
      <c r="BM314" s="908"/>
      <c r="BN314" s="908"/>
      <c r="BO314" s="908"/>
      <c r="BP314" s="908"/>
      <c r="BQ314" s="908"/>
      <c r="BR314" s="908"/>
      <c r="BS314" s="908"/>
      <c r="BT314" s="908"/>
      <c r="BU314" s="908"/>
      <c r="BV314" s="908"/>
      <c r="BW314" s="908"/>
      <c r="BX314" s="908"/>
      <c r="BY314" s="908"/>
      <c r="BZ314" s="908"/>
      <c r="CA314" s="909"/>
      <c r="CG314" s="656"/>
    </row>
    <row r="315" spans="1:85">
      <c r="A315" s="661"/>
      <c r="H315" s="892">
        <v>5</v>
      </c>
      <c r="I315" s="893"/>
      <c r="J315" s="893"/>
      <c r="K315" s="894" t="s">
        <v>554</v>
      </c>
      <c r="L315" s="894"/>
      <c r="M315" s="894"/>
      <c r="N315" s="894"/>
      <c r="O315" s="894"/>
      <c r="P315" s="894"/>
      <c r="Q315" s="894"/>
      <c r="R315" s="894"/>
      <c r="S315" s="894"/>
      <c r="T315" s="894"/>
      <c r="U315" s="894"/>
      <c r="V315" s="898"/>
      <c r="W315" s="899"/>
      <c r="X315" s="899"/>
      <c r="Y315" s="899"/>
      <c r="Z315" s="899"/>
      <c r="AA315" s="899"/>
      <c r="AB315" s="899"/>
      <c r="AC315" s="899"/>
      <c r="AD315" s="899"/>
      <c r="AE315" s="900"/>
      <c r="AF315" s="907"/>
      <c r="AG315" s="908"/>
      <c r="AH315" s="908"/>
      <c r="AI315" s="908"/>
      <c r="AJ315" s="908"/>
      <c r="AK315" s="908"/>
      <c r="AL315" s="908"/>
      <c r="AM315" s="908"/>
      <c r="AN315" s="908"/>
      <c r="AO315" s="908"/>
      <c r="AP315" s="908"/>
      <c r="AQ315" s="908"/>
      <c r="AR315" s="908"/>
      <c r="AS315" s="908"/>
      <c r="AT315" s="908"/>
      <c r="AU315" s="908"/>
      <c r="AV315" s="908"/>
      <c r="AW315" s="908"/>
      <c r="AX315" s="908"/>
      <c r="AY315" s="908"/>
      <c r="AZ315" s="908"/>
      <c r="BA315" s="908"/>
      <c r="BB315" s="908"/>
      <c r="BC315" s="909"/>
      <c r="BD315" s="907"/>
      <c r="BE315" s="908"/>
      <c r="BF315" s="908"/>
      <c r="BG315" s="908"/>
      <c r="BH315" s="908"/>
      <c r="BI315" s="908"/>
      <c r="BJ315" s="908"/>
      <c r="BK315" s="908"/>
      <c r="BL315" s="908"/>
      <c r="BM315" s="908"/>
      <c r="BN315" s="908"/>
      <c r="BO315" s="908"/>
      <c r="BP315" s="908"/>
      <c r="BQ315" s="908"/>
      <c r="BR315" s="908"/>
      <c r="BS315" s="908"/>
      <c r="BT315" s="908"/>
      <c r="BU315" s="908"/>
      <c r="BV315" s="908"/>
      <c r="BW315" s="908"/>
      <c r="BX315" s="908"/>
      <c r="BY315" s="908"/>
      <c r="BZ315" s="908"/>
      <c r="CA315" s="909"/>
      <c r="CG315" s="656"/>
    </row>
    <row r="316" spans="1:85">
      <c r="A316" s="661"/>
      <c r="H316" s="892" t="s">
        <v>474</v>
      </c>
      <c r="I316" s="893"/>
      <c r="J316" s="893"/>
      <c r="K316" s="894" t="s">
        <v>474</v>
      </c>
      <c r="L316" s="894"/>
      <c r="M316" s="894"/>
      <c r="N316" s="894"/>
      <c r="O316" s="894"/>
      <c r="P316" s="894"/>
      <c r="Q316" s="894"/>
      <c r="R316" s="894"/>
      <c r="S316" s="894"/>
      <c r="T316" s="894"/>
      <c r="U316" s="894"/>
      <c r="V316" s="901"/>
      <c r="W316" s="902"/>
      <c r="X316" s="902"/>
      <c r="Y316" s="902"/>
      <c r="Z316" s="902"/>
      <c r="AA316" s="902"/>
      <c r="AB316" s="902"/>
      <c r="AC316" s="902"/>
      <c r="AD316" s="902"/>
      <c r="AE316" s="903"/>
      <c r="AF316" s="910"/>
      <c r="AG316" s="911"/>
      <c r="AH316" s="911"/>
      <c r="AI316" s="911"/>
      <c r="AJ316" s="911"/>
      <c r="AK316" s="911"/>
      <c r="AL316" s="911"/>
      <c r="AM316" s="911"/>
      <c r="AN316" s="911"/>
      <c r="AO316" s="911"/>
      <c r="AP316" s="911"/>
      <c r="AQ316" s="911"/>
      <c r="AR316" s="911"/>
      <c r="AS316" s="911"/>
      <c r="AT316" s="911"/>
      <c r="AU316" s="911"/>
      <c r="AV316" s="911"/>
      <c r="AW316" s="911"/>
      <c r="AX316" s="911"/>
      <c r="AY316" s="911"/>
      <c r="AZ316" s="911"/>
      <c r="BA316" s="911"/>
      <c r="BB316" s="911"/>
      <c r="BC316" s="912"/>
      <c r="BD316" s="910"/>
      <c r="BE316" s="911"/>
      <c r="BF316" s="911"/>
      <c r="BG316" s="911"/>
      <c r="BH316" s="911"/>
      <c r="BI316" s="911"/>
      <c r="BJ316" s="911"/>
      <c r="BK316" s="911"/>
      <c r="BL316" s="911"/>
      <c r="BM316" s="911"/>
      <c r="BN316" s="911"/>
      <c r="BO316" s="911"/>
      <c r="BP316" s="911"/>
      <c r="BQ316" s="911"/>
      <c r="BR316" s="911"/>
      <c r="BS316" s="911"/>
      <c r="BT316" s="911"/>
      <c r="BU316" s="911"/>
      <c r="BV316" s="911"/>
      <c r="BW316" s="911"/>
      <c r="BX316" s="911"/>
      <c r="BY316" s="911"/>
      <c r="BZ316" s="911"/>
      <c r="CA316" s="912"/>
      <c r="CG316" s="656"/>
    </row>
    <row r="317" spans="1:85">
      <c r="A317" s="661"/>
      <c r="H317" s="672"/>
      <c r="CG317" s="656"/>
    </row>
    <row r="318" spans="1:85">
      <c r="A318" s="661"/>
      <c r="CG318" s="656"/>
    </row>
    <row r="319" spans="1:85">
      <c r="A319" s="661"/>
      <c r="E319" s="657" t="s">
        <v>712</v>
      </c>
      <c r="I319" s="657" t="s">
        <v>555</v>
      </c>
      <c r="CG319" s="656"/>
    </row>
    <row r="320" spans="1:85">
      <c r="A320" s="661"/>
      <c r="F320" s="663" t="s">
        <v>713</v>
      </c>
      <c r="G320" s="663"/>
      <c r="I320" s="663"/>
      <c r="CG320" s="656"/>
    </row>
    <row r="321" spans="1:85">
      <c r="A321" s="661"/>
      <c r="F321" s="886" t="s">
        <v>710</v>
      </c>
      <c r="G321" s="887"/>
      <c r="H321" s="887"/>
      <c r="I321" s="887"/>
      <c r="J321" s="887"/>
      <c r="K321" s="887"/>
      <c r="L321" s="887"/>
      <c r="M321" s="887"/>
      <c r="N321" s="888"/>
      <c r="O321" s="889" t="s">
        <v>711</v>
      </c>
      <c r="P321" s="890"/>
      <c r="Q321" s="890"/>
      <c r="R321" s="890"/>
      <c r="S321" s="890"/>
      <c r="T321" s="890"/>
      <c r="U321" s="890"/>
      <c r="V321" s="890"/>
      <c r="W321" s="890"/>
      <c r="X321" s="890"/>
      <c r="Y321" s="890"/>
      <c r="Z321" s="890"/>
      <c r="AA321" s="890"/>
      <c r="AB321" s="890"/>
      <c r="AC321" s="890"/>
      <c r="AD321" s="890"/>
      <c r="AE321" s="890"/>
      <c r="AF321" s="890"/>
      <c r="AG321" s="890"/>
      <c r="AH321" s="890"/>
      <c r="AI321" s="890"/>
      <c r="AJ321" s="890"/>
      <c r="AK321" s="890"/>
      <c r="AL321" s="890"/>
      <c r="AM321" s="890"/>
      <c r="AN321" s="890"/>
      <c r="AO321" s="890"/>
      <c r="AP321" s="890"/>
      <c r="AQ321" s="890"/>
      <c r="AR321" s="890"/>
      <c r="AS321" s="890"/>
      <c r="AT321" s="890"/>
      <c r="AU321" s="891"/>
      <c r="CG321" s="656"/>
    </row>
    <row r="322" spans="1:85">
      <c r="A322" s="661"/>
      <c r="CG322" s="656"/>
    </row>
    <row r="323" spans="1:85">
      <c r="A323" s="661"/>
      <c r="F323" s="663" t="s">
        <v>714</v>
      </c>
      <c r="G323" s="663"/>
      <c r="I323" s="663"/>
      <c r="CG323" s="656"/>
    </row>
    <row r="324" spans="1:85">
      <c r="A324" s="661"/>
      <c r="F324" s="886" t="s">
        <v>533</v>
      </c>
      <c r="G324" s="887"/>
      <c r="H324" s="887"/>
      <c r="I324" s="887"/>
      <c r="J324" s="887"/>
      <c r="K324" s="887"/>
      <c r="L324" s="887"/>
      <c r="M324" s="887"/>
      <c r="N324" s="888"/>
      <c r="O324" s="889" t="s">
        <v>715</v>
      </c>
      <c r="P324" s="890"/>
      <c r="Q324" s="890"/>
      <c r="R324" s="890"/>
      <c r="S324" s="890"/>
      <c r="T324" s="890"/>
      <c r="U324" s="890"/>
      <c r="V324" s="890"/>
      <c r="W324" s="890"/>
      <c r="X324" s="890"/>
      <c r="Y324" s="890"/>
      <c r="Z324" s="890"/>
      <c r="AA324" s="890"/>
      <c r="AB324" s="890"/>
      <c r="AC324" s="890"/>
      <c r="AD324" s="890"/>
      <c r="AE324" s="890"/>
      <c r="AF324" s="890"/>
      <c r="AG324" s="890"/>
      <c r="AH324" s="890"/>
      <c r="AI324" s="890"/>
      <c r="AJ324" s="890"/>
      <c r="AK324" s="890"/>
      <c r="AL324" s="890"/>
      <c r="AM324" s="890"/>
      <c r="AN324" s="890"/>
      <c r="AO324" s="890"/>
      <c r="AP324" s="890"/>
      <c r="AQ324" s="890"/>
      <c r="AR324" s="890"/>
      <c r="AS324" s="890"/>
      <c r="AT324" s="890"/>
      <c r="AU324" s="891"/>
      <c r="CG324" s="656"/>
    </row>
    <row r="325" spans="1:85">
      <c r="A325" s="661"/>
      <c r="F325" s="886" t="s">
        <v>716</v>
      </c>
      <c r="G325" s="887"/>
      <c r="H325" s="887"/>
      <c r="I325" s="887"/>
      <c r="J325" s="887"/>
      <c r="K325" s="887"/>
      <c r="L325" s="887"/>
      <c r="M325" s="887"/>
      <c r="N325" s="888"/>
      <c r="O325" s="889" t="s">
        <v>718</v>
      </c>
      <c r="P325" s="890"/>
      <c r="Q325" s="890"/>
      <c r="R325" s="890"/>
      <c r="S325" s="890"/>
      <c r="T325" s="890"/>
      <c r="U325" s="890"/>
      <c r="V325" s="890"/>
      <c r="W325" s="890"/>
      <c r="X325" s="890"/>
      <c r="Y325" s="890"/>
      <c r="Z325" s="890"/>
      <c r="AA325" s="890"/>
      <c r="AB325" s="890"/>
      <c r="AC325" s="890"/>
      <c r="AD325" s="890"/>
      <c r="AE325" s="890"/>
      <c r="AF325" s="890"/>
      <c r="AG325" s="890"/>
      <c r="AH325" s="890"/>
      <c r="AI325" s="890"/>
      <c r="AJ325" s="890"/>
      <c r="AK325" s="890"/>
      <c r="AL325" s="890"/>
      <c r="AM325" s="890"/>
      <c r="AN325" s="890"/>
      <c r="AO325" s="890"/>
      <c r="AP325" s="890"/>
      <c r="AQ325" s="890"/>
      <c r="AR325" s="890"/>
      <c r="AS325" s="890"/>
      <c r="AT325" s="890"/>
      <c r="AU325" s="891"/>
      <c r="CG325" s="656"/>
    </row>
    <row r="326" spans="1:85">
      <c r="A326" s="661"/>
      <c r="F326" s="886" t="s">
        <v>717</v>
      </c>
      <c r="G326" s="887"/>
      <c r="H326" s="887"/>
      <c r="I326" s="887"/>
      <c r="J326" s="887"/>
      <c r="K326" s="887"/>
      <c r="L326" s="887"/>
      <c r="M326" s="887"/>
      <c r="N326" s="888"/>
      <c r="O326" s="889" t="s">
        <v>719</v>
      </c>
      <c r="P326" s="890"/>
      <c r="Q326" s="890"/>
      <c r="R326" s="890"/>
      <c r="S326" s="890"/>
      <c r="T326" s="890"/>
      <c r="U326" s="890"/>
      <c r="V326" s="890"/>
      <c r="W326" s="890"/>
      <c r="X326" s="890"/>
      <c r="Y326" s="890"/>
      <c r="Z326" s="890"/>
      <c r="AA326" s="890"/>
      <c r="AB326" s="890"/>
      <c r="AC326" s="890"/>
      <c r="AD326" s="890"/>
      <c r="AE326" s="890"/>
      <c r="AF326" s="890"/>
      <c r="AG326" s="890"/>
      <c r="AH326" s="890"/>
      <c r="AI326" s="890"/>
      <c r="AJ326" s="890"/>
      <c r="AK326" s="890"/>
      <c r="AL326" s="890"/>
      <c r="AM326" s="890"/>
      <c r="AN326" s="890"/>
      <c r="AO326" s="890"/>
      <c r="AP326" s="890"/>
      <c r="AQ326" s="890"/>
      <c r="AR326" s="890"/>
      <c r="AS326" s="890"/>
      <c r="AT326" s="890"/>
      <c r="AU326" s="891"/>
      <c r="CG326" s="656"/>
    </row>
    <row r="327" spans="1:85">
      <c r="A327" s="661"/>
      <c r="F327" s="886" t="s">
        <v>710</v>
      </c>
      <c r="G327" s="887"/>
      <c r="H327" s="887"/>
      <c r="I327" s="887"/>
      <c r="J327" s="887"/>
      <c r="K327" s="887"/>
      <c r="L327" s="887"/>
      <c r="M327" s="887"/>
      <c r="N327" s="888"/>
      <c r="O327" s="889" t="s">
        <v>720</v>
      </c>
      <c r="P327" s="890"/>
      <c r="Q327" s="890"/>
      <c r="R327" s="890"/>
      <c r="S327" s="890"/>
      <c r="T327" s="890"/>
      <c r="U327" s="890"/>
      <c r="V327" s="890"/>
      <c r="W327" s="890"/>
      <c r="X327" s="890"/>
      <c r="Y327" s="890"/>
      <c r="Z327" s="890"/>
      <c r="AA327" s="890"/>
      <c r="AB327" s="890"/>
      <c r="AC327" s="890"/>
      <c r="AD327" s="890"/>
      <c r="AE327" s="890"/>
      <c r="AF327" s="890"/>
      <c r="AG327" s="890"/>
      <c r="AH327" s="890"/>
      <c r="AI327" s="890"/>
      <c r="AJ327" s="890"/>
      <c r="AK327" s="890"/>
      <c r="AL327" s="890"/>
      <c r="AM327" s="890"/>
      <c r="AN327" s="890"/>
      <c r="AO327" s="890"/>
      <c r="AP327" s="890"/>
      <c r="AQ327" s="890"/>
      <c r="AR327" s="890"/>
      <c r="AS327" s="890"/>
      <c r="AT327" s="890"/>
      <c r="AU327" s="891"/>
      <c r="CG327" s="656"/>
    </row>
    <row r="328" spans="1:85">
      <c r="A328" s="661"/>
      <c r="CG328" s="656"/>
    </row>
    <row r="329" spans="1:85">
      <c r="A329" s="661"/>
      <c r="CG329" s="656"/>
    </row>
    <row r="330" spans="1:85">
      <c r="A330" s="661"/>
      <c r="F330" s="657" t="s">
        <v>556</v>
      </c>
      <c r="CG330" s="656"/>
    </row>
    <row r="331" spans="1:85">
      <c r="A331" s="661"/>
      <c r="F331" s="657" t="s">
        <v>557</v>
      </c>
      <c r="CG331" s="656"/>
    </row>
    <row r="332" spans="1:85">
      <c r="A332" s="661"/>
      <c r="F332" s="663"/>
      <c r="G332" s="663"/>
      <c r="I332" s="663"/>
      <c r="CG332" s="656"/>
    </row>
    <row r="333" spans="1:85">
      <c r="A333" s="661"/>
      <c r="CG333" s="656"/>
    </row>
    <row r="334" spans="1:85">
      <c r="A334" s="661"/>
      <c r="CG334" s="656"/>
    </row>
    <row r="335" spans="1:85">
      <c r="A335" s="661"/>
      <c r="F335" s="663"/>
      <c r="G335" s="663"/>
      <c r="I335" s="663"/>
      <c r="CG335" s="656"/>
    </row>
    <row r="336" spans="1:85">
      <c r="A336" s="661"/>
      <c r="CG336" s="656"/>
    </row>
    <row r="337" spans="1:85">
      <c r="A337" s="661"/>
      <c r="CG337" s="656"/>
    </row>
    <row r="338" spans="1:85">
      <c r="A338" s="661"/>
      <c r="F338" s="663"/>
      <c r="G338" s="663"/>
      <c r="I338" s="663"/>
      <c r="CG338" s="656"/>
    </row>
    <row r="339" spans="1:85">
      <c r="A339" s="661"/>
      <c r="CG339" s="656"/>
    </row>
    <row r="340" spans="1:85">
      <c r="A340" s="661"/>
      <c r="CG340" s="656"/>
    </row>
    <row r="341" spans="1:85">
      <c r="A341" s="661"/>
      <c r="F341" s="663"/>
      <c r="G341" s="663"/>
      <c r="I341" s="663"/>
      <c r="CG341" s="656"/>
    </row>
    <row r="342" spans="1:85">
      <c r="A342" s="661"/>
      <c r="CG342" s="656"/>
    </row>
    <row r="343" spans="1:85">
      <c r="A343" s="673"/>
      <c r="B343" s="674"/>
      <c r="C343" s="674"/>
      <c r="D343" s="674"/>
      <c r="E343" s="674"/>
      <c r="F343" s="674"/>
      <c r="G343" s="674"/>
      <c r="H343" s="674"/>
      <c r="I343" s="674"/>
      <c r="J343" s="674"/>
      <c r="K343" s="674"/>
      <c r="L343" s="674"/>
      <c r="M343" s="674"/>
      <c r="N343" s="674"/>
      <c r="O343" s="674"/>
      <c r="P343" s="674"/>
      <c r="Q343" s="674"/>
      <c r="R343" s="674"/>
      <c r="S343" s="674"/>
      <c r="T343" s="674"/>
      <c r="U343" s="674"/>
      <c r="V343" s="674"/>
      <c r="W343" s="674"/>
      <c r="X343" s="674"/>
      <c r="Y343" s="674"/>
      <c r="Z343" s="674"/>
      <c r="AA343" s="674"/>
      <c r="AB343" s="674"/>
      <c r="AC343" s="674"/>
      <c r="AD343" s="674"/>
      <c r="AE343" s="674"/>
      <c r="AF343" s="674"/>
      <c r="AG343" s="674"/>
      <c r="AH343" s="674"/>
      <c r="AI343" s="674"/>
      <c r="AJ343" s="674"/>
      <c r="AK343" s="674"/>
      <c r="AL343" s="674"/>
      <c r="AM343" s="674"/>
      <c r="AN343" s="674"/>
      <c r="AO343" s="674"/>
      <c r="AP343" s="674"/>
      <c r="AQ343" s="674"/>
      <c r="AR343" s="674"/>
      <c r="AS343" s="674"/>
      <c r="AT343" s="674"/>
      <c r="AU343" s="674"/>
      <c r="AV343" s="674"/>
      <c r="AW343" s="674"/>
      <c r="AX343" s="674"/>
      <c r="AY343" s="674"/>
      <c r="AZ343" s="674"/>
      <c r="BA343" s="674"/>
      <c r="BB343" s="674"/>
      <c r="BC343" s="674"/>
      <c r="BD343" s="674"/>
      <c r="BE343" s="674"/>
      <c r="BF343" s="674"/>
      <c r="BG343" s="674"/>
      <c r="BH343" s="674"/>
      <c r="BI343" s="674"/>
      <c r="BJ343" s="674"/>
      <c r="BK343" s="674"/>
      <c r="BL343" s="674"/>
      <c r="BM343" s="674"/>
      <c r="BN343" s="674"/>
      <c r="BO343" s="674"/>
      <c r="BP343" s="674"/>
      <c r="BQ343" s="674"/>
      <c r="BR343" s="674"/>
      <c r="BS343" s="674"/>
      <c r="BT343" s="674"/>
      <c r="BU343" s="674"/>
      <c r="BV343" s="674"/>
      <c r="BW343" s="674"/>
      <c r="BX343" s="674"/>
      <c r="BY343" s="674"/>
      <c r="BZ343" s="674"/>
      <c r="CA343" s="674"/>
      <c r="CB343" s="674"/>
      <c r="CC343" s="674"/>
      <c r="CD343" s="674"/>
      <c r="CE343" s="674"/>
      <c r="CF343" s="674"/>
      <c r="CG343" s="675"/>
    </row>
    <row r="344" spans="1:85">
      <c r="A344" s="661"/>
    </row>
    <row r="345" spans="1:85">
      <c r="A345" s="661"/>
    </row>
    <row r="346" spans="1:85">
      <c r="A346" s="661"/>
    </row>
    <row r="347" spans="1:85">
      <c r="A347" s="661"/>
    </row>
    <row r="348" spans="1:85">
      <c r="A348" s="661"/>
    </row>
    <row r="349" spans="1:85">
      <c r="A349" s="661"/>
    </row>
    <row r="350" spans="1:85">
      <c r="A350" s="661"/>
    </row>
    <row r="351" spans="1:85">
      <c r="A351" s="661"/>
    </row>
    <row r="352" spans="1:85">
      <c r="A352" s="661"/>
    </row>
    <row r="353" spans="1:1">
      <c r="A353" s="661"/>
    </row>
    <row r="354" spans="1:1">
      <c r="A354" s="661"/>
    </row>
    <row r="355" spans="1:1">
      <c r="A355" s="661"/>
    </row>
    <row r="356" spans="1:1">
      <c r="A356" s="661"/>
    </row>
    <row r="357" spans="1:1">
      <c r="A357" s="661"/>
    </row>
    <row r="358" spans="1:1">
      <c r="A358" s="661"/>
    </row>
    <row r="359" spans="1:1">
      <c r="A359" s="661"/>
    </row>
    <row r="360" spans="1:1">
      <c r="A360" s="661"/>
    </row>
    <row r="361" spans="1:1">
      <c r="A361" s="661"/>
    </row>
    <row r="362" spans="1:1">
      <c r="A362" s="661"/>
    </row>
    <row r="363" spans="1:1">
      <c r="A363" s="661"/>
    </row>
    <row r="364" spans="1:1">
      <c r="A364" s="661"/>
    </row>
    <row r="365" spans="1:1">
      <c r="A365" s="661"/>
    </row>
    <row r="366" spans="1:1">
      <c r="A366" s="661"/>
    </row>
  </sheetData>
  <mergeCells count="147">
    <mergeCell ref="AW196:BB196"/>
    <mergeCell ref="AW197:BB197"/>
    <mergeCell ref="AW198:BB198"/>
    <mergeCell ref="G110:N110"/>
    <mergeCell ref="O110:AA110"/>
    <mergeCell ref="G111:N111"/>
    <mergeCell ref="O111:AA111"/>
    <mergeCell ref="G112:N112"/>
    <mergeCell ref="O112:AA112"/>
    <mergeCell ref="F156:N156"/>
    <mergeCell ref="O156:AU156"/>
    <mergeCell ref="G163:N163"/>
    <mergeCell ref="O163:AA163"/>
    <mergeCell ref="G164:N164"/>
    <mergeCell ref="O164:AA164"/>
    <mergeCell ref="G165:N165"/>
    <mergeCell ref="O165:AA165"/>
    <mergeCell ref="G160:N160"/>
    <mergeCell ref="O160:AA160"/>
    <mergeCell ref="G161:N161"/>
    <mergeCell ref="O161:AA161"/>
    <mergeCell ref="G162:N162"/>
    <mergeCell ref="O162:AA162"/>
    <mergeCell ref="G166:N166"/>
    <mergeCell ref="A1:M1"/>
    <mergeCell ref="F96:N96"/>
    <mergeCell ref="O96:AU96"/>
    <mergeCell ref="F97:N98"/>
    <mergeCell ref="O97:AU97"/>
    <mergeCell ref="O98:AU98"/>
    <mergeCell ref="G116:N116"/>
    <mergeCell ref="O116:AA116"/>
    <mergeCell ref="F155:N155"/>
    <mergeCell ref="O155:AU155"/>
    <mergeCell ref="G113:N113"/>
    <mergeCell ref="O113:AA113"/>
    <mergeCell ref="G114:N114"/>
    <mergeCell ref="O114:AA114"/>
    <mergeCell ref="G115:N115"/>
    <mergeCell ref="O115:AA115"/>
    <mergeCell ref="G117:N117"/>
    <mergeCell ref="O117:AA117"/>
    <mergeCell ref="H185:V186"/>
    <mergeCell ref="W185:AK185"/>
    <mergeCell ref="AL185:AQ185"/>
    <mergeCell ref="AR185:AX185"/>
    <mergeCell ref="W186:AK186"/>
    <mergeCell ref="AL186:AQ186"/>
    <mergeCell ref="AR186:AX186"/>
    <mergeCell ref="O166:AA166"/>
    <mergeCell ref="G167:N167"/>
    <mergeCell ref="O167:AA167"/>
    <mergeCell ref="G168:N168"/>
    <mergeCell ref="O168:AA168"/>
    <mergeCell ref="H183:AK183"/>
    <mergeCell ref="AL183:AX183"/>
    <mergeCell ref="H184:AK184"/>
    <mergeCell ref="AL184:AQ184"/>
    <mergeCell ref="AR184:AX184"/>
    <mergeCell ref="BC193:BI193"/>
    <mergeCell ref="AW192:BI192"/>
    <mergeCell ref="AW194:BB194"/>
    <mergeCell ref="AW195:BB195"/>
    <mergeCell ref="H187:V187"/>
    <mergeCell ref="W187:AK187"/>
    <mergeCell ref="AL187:AQ187"/>
    <mergeCell ref="AR187:AX187"/>
    <mergeCell ref="H188:V188"/>
    <mergeCell ref="W188:AK188"/>
    <mergeCell ref="AL188:AQ188"/>
    <mergeCell ref="AR188:AX188"/>
    <mergeCell ref="AR194:AT194"/>
    <mergeCell ref="AU194:AV194"/>
    <mergeCell ref="F192:AV192"/>
    <mergeCell ref="F193:AI193"/>
    <mergeCell ref="AJ193:AL193"/>
    <mergeCell ref="AM193:AQ193"/>
    <mergeCell ref="AR193:AT193"/>
    <mergeCell ref="AU193:AV193"/>
    <mergeCell ref="AW193:BB193"/>
    <mergeCell ref="AU196:AV196"/>
    <mergeCell ref="BC196:BI196"/>
    <mergeCell ref="F197:T197"/>
    <mergeCell ref="U197:AI197"/>
    <mergeCell ref="AJ197:AL197"/>
    <mergeCell ref="AM197:AQ197"/>
    <mergeCell ref="AR197:AT197"/>
    <mergeCell ref="AU197:AV197"/>
    <mergeCell ref="F194:T196"/>
    <mergeCell ref="U196:AI196"/>
    <mergeCell ref="AJ196:AL196"/>
    <mergeCell ref="AM196:AQ196"/>
    <mergeCell ref="AR196:AT196"/>
    <mergeCell ref="BC197:BI197"/>
    <mergeCell ref="BC194:BI194"/>
    <mergeCell ref="U195:AI195"/>
    <mergeCell ref="AJ195:AL195"/>
    <mergeCell ref="AM195:AQ195"/>
    <mergeCell ref="AR195:AT195"/>
    <mergeCell ref="AU195:AV195"/>
    <mergeCell ref="BC195:BI195"/>
    <mergeCell ref="U194:AI194"/>
    <mergeCell ref="AJ194:AL194"/>
    <mergeCell ref="AM194:AQ194"/>
    <mergeCell ref="F198:T198"/>
    <mergeCell ref="U198:AI198"/>
    <mergeCell ref="AJ198:AL198"/>
    <mergeCell ref="AM198:AQ198"/>
    <mergeCell ref="AR198:AT198"/>
    <mergeCell ref="AU198:AV198"/>
    <mergeCell ref="BC198:BI198"/>
    <mergeCell ref="AF312:BC312"/>
    <mergeCell ref="BD312:CA312"/>
    <mergeCell ref="H313:J313"/>
    <mergeCell ref="K313:U313"/>
    <mergeCell ref="V313:AE316"/>
    <mergeCell ref="AF313:BC316"/>
    <mergeCell ref="BD313:CA316"/>
    <mergeCell ref="H310:J310"/>
    <mergeCell ref="K310:U310"/>
    <mergeCell ref="V310:AE310"/>
    <mergeCell ref="AF310:BC310"/>
    <mergeCell ref="BD310:CA310"/>
    <mergeCell ref="H311:J311"/>
    <mergeCell ref="K311:U311"/>
    <mergeCell ref="V311:AE311"/>
    <mergeCell ref="AF311:BC311"/>
    <mergeCell ref="BD311:CA311"/>
    <mergeCell ref="H314:J314"/>
    <mergeCell ref="K314:U314"/>
    <mergeCell ref="H315:J315"/>
    <mergeCell ref="K315:U315"/>
    <mergeCell ref="H316:J316"/>
    <mergeCell ref="K316:U316"/>
    <mergeCell ref="H312:J312"/>
    <mergeCell ref="K312:U312"/>
    <mergeCell ref="V312:AE312"/>
    <mergeCell ref="F327:N327"/>
    <mergeCell ref="O327:AU327"/>
    <mergeCell ref="F321:N321"/>
    <mergeCell ref="O321:AU321"/>
    <mergeCell ref="F324:N324"/>
    <mergeCell ref="O324:AU324"/>
    <mergeCell ref="F325:N325"/>
    <mergeCell ref="O325:AU325"/>
    <mergeCell ref="F326:N326"/>
    <mergeCell ref="O326:AU326"/>
  </mergeCells>
  <phoneticPr fontId="57"/>
  <dataValidations count="1">
    <dataValidation type="list" allowBlank="1" showInputMessage="1" showErrorMessage="1" sqref="WVZ983252:WWE983273 WMD983252:WMI983273 WCH983252:WCM983273 VSL983252:VSQ983273 VIP983252:VIU983273 UYT983252:UYY983273 UOX983252:UPC983273 UFB983252:UFG983273 TVF983252:TVK983273 TLJ983252:TLO983273 TBN983252:TBS983273 SRR983252:SRW983273 SHV983252:SIA983273 RXZ983252:RYE983273 ROD983252:ROI983273 REH983252:REM983273 QUL983252:QUQ983273 QKP983252:QKU983273 QAT983252:QAY983273 PQX983252:PRC983273 PHB983252:PHG983273 OXF983252:OXK983273 ONJ983252:ONO983273 ODN983252:ODS983273 NTR983252:NTW983273 NJV983252:NKA983273 MZZ983252:NAE983273 MQD983252:MQI983273 MGH983252:MGM983273 LWL983252:LWQ983273 LMP983252:LMU983273 LCT983252:LCY983273 KSX983252:KTC983273 KJB983252:KJG983273 JZF983252:JZK983273 JPJ983252:JPO983273 JFN983252:JFS983273 IVR983252:IVW983273 ILV983252:IMA983273 IBZ983252:ICE983273 HSD983252:HSI983273 HIH983252:HIM983273 GYL983252:GYQ983273 GOP983252:GOU983273 GET983252:GEY983273 FUX983252:FVC983273 FLB983252:FLG983273 FBF983252:FBK983273 ERJ983252:ERO983273 EHN983252:EHS983273 DXR983252:DXW983273 DNV983252:DOA983273 DDZ983252:DEE983273 CUD983252:CUI983273 CKH983252:CKM983273 CAL983252:CAQ983273 BQP983252:BQU983273 BGT983252:BGY983273 AWX983252:AXC983273 ANB983252:ANG983273 ADF983252:ADK983273 TJ983252:TO983273 JN983252:JS983273 J983276:O983297 WVZ917716:WWE917737 WMD917716:WMI917737 WCH917716:WCM917737 VSL917716:VSQ917737 VIP917716:VIU917737 UYT917716:UYY917737 UOX917716:UPC917737 UFB917716:UFG917737 TVF917716:TVK917737 TLJ917716:TLO917737 TBN917716:TBS917737 SRR917716:SRW917737 SHV917716:SIA917737 RXZ917716:RYE917737 ROD917716:ROI917737 REH917716:REM917737 QUL917716:QUQ917737 QKP917716:QKU917737 QAT917716:QAY917737 PQX917716:PRC917737 PHB917716:PHG917737 OXF917716:OXK917737 ONJ917716:ONO917737 ODN917716:ODS917737 NTR917716:NTW917737 NJV917716:NKA917737 MZZ917716:NAE917737 MQD917716:MQI917737 MGH917716:MGM917737 LWL917716:LWQ917737 LMP917716:LMU917737 LCT917716:LCY917737 KSX917716:KTC917737 KJB917716:KJG917737 JZF917716:JZK917737 JPJ917716:JPO917737 JFN917716:JFS917737 IVR917716:IVW917737 ILV917716:IMA917737 IBZ917716:ICE917737 HSD917716:HSI917737 HIH917716:HIM917737 GYL917716:GYQ917737 GOP917716:GOU917737 GET917716:GEY917737 FUX917716:FVC917737 FLB917716:FLG917737 FBF917716:FBK917737 ERJ917716:ERO917737 EHN917716:EHS917737 DXR917716:DXW917737 DNV917716:DOA917737 DDZ917716:DEE917737 CUD917716:CUI917737 CKH917716:CKM917737 CAL917716:CAQ917737 BQP917716:BQU917737 BGT917716:BGY917737 AWX917716:AXC917737 ANB917716:ANG917737 ADF917716:ADK917737 TJ917716:TO917737 JN917716:JS917737 J917740:O917761 WVZ852180:WWE852201 WMD852180:WMI852201 WCH852180:WCM852201 VSL852180:VSQ852201 VIP852180:VIU852201 UYT852180:UYY852201 UOX852180:UPC852201 UFB852180:UFG852201 TVF852180:TVK852201 TLJ852180:TLO852201 TBN852180:TBS852201 SRR852180:SRW852201 SHV852180:SIA852201 RXZ852180:RYE852201 ROD852180:ROI852201 REH852180:REM852201 QUL852180:QUQ852201 QKP852180:QKU852201 QAT852180:QAY852201 PQX852180:PRC852201 PHB852180:PHG852201 OXF852180:OXK852201 ONJ852180:ONO852201 ODN852180:ODS852201 NTR852180:NTW852201 NJV852180:NKA852201 MZZ852180:NAE852201 MQD852180:MQI852201 MGH852180:MGM852201 LWL852180:LWQ852201 LMP852180:LMU852201 LCT852180:LCY852201 KSX852180:KTC852201 KJB852180:KJG852201 JZF852180:JZK852201 JPJ852180:JPO852201 JFN852180:JFS852201 IVR852180:IVW852201 ILV852180:IMA852201 IBZ852180:ICE852201 HSD852180:HSI852201 HIH852180:HIM852201 GYL852180:GYQ852201 GOP852180:GOU852201 GET852180:GEY852201 FUX852180:FVC852201 FLB852180:FLG852201 FBF852180:FBK852201 ERJ852180:ERO852201 EHN852180:EHS852201 DXR852180:DXW852201 DNV852180:DOA852201 DDZ852180:DEE852201 CUD852180:CUI852201 CKH852180:CKM852201 CAL852180:CAQ852201 BQP852180:BQU852201 BGT852180:BGY852201 AWX852180:AXC852201 ANB852180:ANG852201 ADF852180:ADK852201 TJ852180:TO852201 JN852180:JS852201 J852204:O852225 WVZ786644:WWE786665 WMD786644:WMI786665 WCH786644:WCM786665 VSL786644:VSQ786665 VIP786644:VIU786665 UYT786644:UYY786665 UOX786644:UPC786665 UFB786644:UFG786665 TVF786644:TVK786665 TLJ786644:TLO786665 TBN786644:TBS786665 SRR786644:SRW786665 SHV786644:SIA786665 RXZ786644:RYE786665 ROD786644:ROI786665 REH786644:REM786665 QUL786644:QUQ786665 QKP786644:QKU786665 QAT786644:QAY786665 PQX786644:PRC786665 PHB786644:PHG786665 OXF786644:OXK786665 ONJ786644:ONO786665 ODN786644:ODS786665 NTR786644:NTW786665 NJV786644:NKA786665 MZZ786644:NAE786665 MQD786644:MQI786665 MGH786644:MGM786665 LWL786644:LWQ786665 LMP786644:LMU786665 LCT786644:LCY786665 KSX786644:KTC786665 KJB786644:KJG786665 JZF786644:JZK786665 JPJ786644:JPO786665 JFN786644:JFS786665 IVR786644:IVW786665 ILV786644:IMA786665 IBZ786644:ICE786665 HSD786644:HSI786665 HIH786644:HIM786665 GYL786644:GYQ786665 GOP786644:GOU786665 GET786644:GEY786665 FUX786644:FVC786665 FLB786644:FLG786665 FBF786644:FBK786665 ERJ786644:ERO786665 EHN786644:EHS786665 DXR786644:DXW786665 DNV786644:DOA786665 DDZ786644:DEE786665 CUD786644:CUI786665 CKH786644:CKM786665 CAL786644:CAQ786665 BQP786644:BQU786665 BGT786644:BGY786665 AWX786644:AXC786665 ANB786644:ANG786665 ADF786644:ADK786665 TJ786644:TO786665 JN786644:JS786665 J786668:O786689 WVZ721108:WWE721129 WMD721108:WMI721129 WCH721108:WCM721129 VSL721108:VSQ721129 VIP721108:VIU721129 UYT721108:UYY721129 UOX721108:UPC721129 UFB721108:UFG721129 TVF721108:TVK721129 TLJ721108:TLO721129 TBN721108:TBS721129 SRR721108:SRW721129 SHV721108:SIA721129 RXZ721108:RYE721129 ROD721108:ROI721129 REH721108:REM721129 QUL721108:QUQ721129 QKP721108:QKU721129 QAT721108:QAY721129 PQX721108:PRC721129 PHB721108:PHG721129 OXF721108:OXK721129 ONJ721108:ONO721129 ODN721108:ODS721129 NTR721108:NTW721129 NJV721108:NKA721129 MZZ721108:NAE721129 MQD721108:MQI721129 MGH721108:MGM721129 LWL721108:LWQ721129 LMP721108:LMU721129 LCT721108:LCY721129 KSX721108:KTC721129 KJB721108:KJG721129 JZF721108:JZK721129 JPJ721108:JPO721129 JFN721108:JFS721129 IVR721108:IVW721129 ILV721108:IMA721129 IBZ721108:ICE721129 HSD721108:HSI721129 HIH721108:HIM721129 GYL721108:GYQ721129 GOP721108:GOU721129 GET721108:GEY721129 FUX721108:FVC721129 FLB721108:FLG721129 FBF721108:FBK721129 ERJ721108:ERO721129 EHN721108:EHS721129 DXR721108:DXW721129 DNV721108:DOA721129 DDZ721108:DEE721129 CUD721108:CUI721129 CKH721108:CKM721129 CAL721108:CAQ721129 BQP721108:BQU721129 BGT721108:BGY721129 AWX721108:AXC721129 ANB721108:ANG721129 ADF721108:ADK721129 TJ721108:TO721129 JN721108:JS721129 J721132:O721153 WVZ655572:WWE655593 WMD655572:WMI655593 WCH655572:WCM655593 VSL655572:VSQ655593 VIP655572:VIU655593 UYT655572:UYY655593 UOX655572:UPC655593 UFB655572:UFG655593 TVF655572:TVK655593 TLJ655572:TLO655593 TBN655572:TBS655593 SRR655572:SRW655593 SHV655572:SIA655593 RXZ655572:RYE655593 ROD655572:ROI655593 REH655572:REM655593 QUL655572:QUQ655593 QKP655572:QKU655593 QAT655572:QAY655593 PQX655572:PRC655593 PHB655572:PHG655593 OXF655572:OXK655593 ONJ655572:ONO655593 ODN655572:ODS655593 NTR655572:NTW655593 NJV655572:NKA655593 MZZ655572:NAE655593 MQD655572:MQI655593 MGH655572:MGM655593 LWL655572:LWQ655593 LMP655572:LMU655593 LCT655572:LCY655593 KSX655572:KTC655593 KJB655572:KJG655593 JZF655572:JZK655593 JPJ655572:JPO655593 JFN655572:JFS655593 IVR655572:IVW655593 ILV655572:IMA655593 IBZ655572:ICE655593 HSD655572:HSI655593 HIH655572:HIM655593 GYL655572:GYQ655593 GOP655572:GOU655593 GET655572:GEY655593 FUX655572:FVC655593 FLB655572:FLG655593 FBF655572:FBK655593 ERJ655572:ERO655593 EHN655572:EHS655593 DXR655572:DXW655593 DNV655572:DOA655593 DDZ655572:DEE655593 CUD655572:CUI655593 CKH655572:CKM655593 CAL655572:CAQ655593 BQP655572:BQU655593 BGT655572:BGY655593 AWX655572:AXC655593 ANB655572:ANG655593 ADF655572:ADK655593 TJ655572:TO655593 JN655572:JS655593 J655596:O655617 WVZ590036:WWE590057 WMD590036:WMI590057 WCH590036:WCM590057 VSL590036:VSQ590057 VIP590036:VIU590057 UYT590036:UYY590057 UOX590036:UPC590057 UFB590036:UFG590057 TVF590036:TVK590057 TLJ590036:TLO590057 TBN590036:TBS590057 SRR590036:SRW590057 SHV590036:SIA590057 RXZ590036:RYE590057 ROD590036:ROI590057 REH590036:REM590057 QUL590036:QUQ590057 QKP590036:QKU590057 QAT590036:QAY590057 PQX590036:PRC590057 PHB590036:PHG590057 OXF590036:OXK590057 ONJ590036:ONO590057 ODN590036:ODS590057 NTR590036:NTW590057 NJV590036:NKA590057 MZZ590036:NAE590057 MQD590036:MQI590057 MGH590036:MGM590057 LWL590036:LWQ590057 LMP590036:LMU590057 LCT590036:LCY590057 KSX590036:KTC590057 KJB590036:KJG590057 JZF590036:JZK590057 JPJ590036:JPO590057 JFN590036:JFS590057 IVR590036:IVW590057 ILV590036:IMA590057 IBZ590036:ICE590057 HSD590036:HSI590057 HIH590036:HIM590057 GYL590036:GYQ590057 GOP590036:GOU590057 GET590036:GEY590057 FUX590036:FVC590057 FLB590036:FLG590057 FBF590036:FBK590057 ERJ590036:ERO590057 EHN590036:EHS590057 DXR590036:DXW590057 DNV590036:DOA590057 DDZ590036:DEE590057 CUD590036:CUI590057 CKH590036:CKM590057 CAL590036:CAQ590057 BQP590036:BQU590057 BGT590036:BGY590057 AWX590036:AXC590057 ANB590036:ANG590057 ADF590036:ADK590057 TJ590036:TO590057 JN590036:JS590057 J590060:O590081 WVZ524500:WWE524521 WMD524500:WMI524521 WCH524500:WCM524521 VSL524500:VSQ524521 VIP524500:VIU524521 UYT524500:UYY524521 UOX524500:UPC524521 UFB524500:UFG524521 TVF524500:TVK524521 TLJ524500:TLO524521 TBN524500:TBS524521 SRR524500:SRW524521 SHV524500:SIA524521 RXZ524500:RYE524521 ROD524500:ROI524521 REH524500:REM524521 QUL524500:QUQ524521 QKP524500:QKU524521 QAT524500:QAY524521 PQX524500:PRC524521 PHB524500:PHG524521 OXF524500:OXK524521 ONJ524500:ONO524521 ODN524500:ODS524521 NTR524500:NTW524521 NJV524500:NKA524521 MZZ524500:NAE524521 MQD524500:MQI524521 MGH524500:MGM524521 LWL524500:LWQ524521 LMP524500:LMU524521 LCT524500:LCY524521 KSX524500:KTC524521 KJB524500:KJG524521 JZF524500:JZK524521 JPJ524500:JPO524521 JFN524500:JFS524521 IVR524500:IVW524521 ILV524500:IMA524521 IBZ524500:ICE524521 HSD524500:HSI524521 HIH524500:HIM524521 GYL524500:GYQ524521 GOP524500:GOU524521 GET524500:GEY524521 FUX524500:FVC524521 FLB524500:FLG524521 FBF524500:FBK524521 ERJ524500:ERO524521 EHN524500:EHS524521 DXR524500:DXW524521 DNV524500:DOA524521 DDZ524500:DEE524521 CUD524500:CUI524521 CKH524500:CKM524521 CAL524500:CAQ524521 BQP524500:BQU524521 BGT524500:BGY524521 AWX524500:AXC524521 ANB524500:ANG524521 ADF524500:ADK524521 TJ524500:TO524521 JN524500:JS524521 J524524:O524545 WVZ458964:WWE458985 WMD458964:WMI458985 WCH458964:WCM458985 VSL458964:VSQ458985 VIP458964:VIU458985 UYT458964:UYY458985 UOX458964:UPC458985 UFB458964:UFG458985 TVF458964:TVK458985 TLJ458964:TLO458985 TBN458964:TBS458985 SRR458964:SRW458985 SHV458964:SIA458985 RXZ458964:RYE458985 ROD458964:ROI458985 REH458964:REM458985 QUL458964:QUQ458985 QKP458964:QKU458985 QAT458964:QAY458985 PQX458964:PRC458985 PHB458964:PHG458985 OXF458964:OXK458985 ONJ458964:ONO458985 ODN458964:ODS458985 NTR458964:NTW458985 NJV458964:NKA458985 MZZ458964:NAE458985 MQD458964:MQI458985 MGH458964:MGM458985 LWL458964:LWQ458985 LMP458964:LMU458985 LCT458964:LCY458985 KSX458964:KTC458985 KJB458964:KJG458985 JZF458964:JZK458985 JPJ458964:JPO458985 JFN458964:JFS458985 IVR458964:IVW458985 ILV458964:IMA458985 IBZ458964:ICE458985 HSD458964:HSI458985 HIH458964:HIM458985 GYL458964:GYQ458985 GOP458964:GOU458985 GET458964:GEY458985 FUX458964:FVC458985 FLB458964:FLG458985 FBF458964:FBK458985 ERJ458964:ERO458985 EHN458964:EHS458985 DXR458964:DXW458985 DNV458964:DOA458985 DDZ458964:DEE458985 CUD458964:CUI458985 CKH458964:CKM458985 CAL458964:CAQ458985 BQP458964:BQU458985 BGT458964:BGY458985 AWX458964:AXC458985 ANB458964:ANG458985 ADF458964:ADK458985 TJ458964:TO458985 JN458964:JS458985 J458988:O459009 WVZ393428:WWE393449 WMD393428:WMI393449 WCH393428:WCM393449 VSL393428:VSQ393449 VIP393428:VIU393449 UYT393428:UYY393449 UOX393428:UPC393449 UFB393428:UFG393449 TVF393428:TVK393449 TLJ393428:TLO393449 TBN393428:TBS393449 SRR393428:SRW393449 SHV393428:SIA393449 RXZ393428:RYE393449 ROD393428:ROI393449 REH393428:REM393449 QUL393428:QUQ393449 QKP393428:QKU393449 QAT393428:QAY393449 PQX393428:PRC393449 PHB393428:PHG393449 OXF393428:OXK393449 ONJ393428:ONO393449 ODN393428:ODS393449 NTR393428:NTW393449 NJV393428:NKA393449 MZZ393428:NAE393449 MQD393428:MQI393449 MGH393428:MGM393449 LWL393428:LWQ393449 LMP393428:LMU393449 LCT393428:LCY393449 KSX393428:KTC393449 KJB393428:KJG393449 JZF393428:JZK393449 JPJ393428:JPO393449 JFN393428:JFS393449 IVR393428:IVW393449 ILV393428:IMA393449 IBZ393428:ICE393449 HSD393428:HSI393449 HIH393428:HIM393449 GYL393428:GYQ393449 GOP393428:GOU393449 GET393428:GEY393449 FUX393428:FVC393449 FLB393428:FLG393449 FBF393428:FBK393449 ERJ393428:ERO393449 EHN393428:EHS393449 DXR393428:DXW393449 DNV393428:DOA393449 DDZ393428:DEE393449 CUD393428:CUI393449 CKH393428:CKM393449 CAL393428:CAQ393449 BQP393428:BQU393449 BGT393428:BGY393449 AWX393428:AXC393449 ANB393428:ANG393449 ADF393428:ADK393449 TJ393428:TO393449 JN393428:JS393449 J393452:O393473 WVZ327892:WWE327913 WMD327892:WMI327913 WCH327892:WCM327913 VSL327892:VSQ327913 VIP327892:VIU327913 UYT327892:UYY327913 UOX327892:UPC327913 UFB327892:UFG327913 TVF327892:TVK327913 TLJ327892:TLO327913 TBN327892:TBS327913 SRR327892:SRW327913 SHV327892:SIA327913 RXZ327892:RYE327913 ROD327892:ROI327913 REH327892:REM327913 QUL327892:QUQ327913 QKP327892:QKU327913 QAT327892:QAY327913 PQX327892:PRC327913 PHB327892:PHG327913 OXF327892:OXK327913 ONJ327892:ONO327913 ODN327892:ODS327913 NTR327892:NTW327913 NJV327892:NKA327913 MZZ327892:NAE327913 MQD327892:MQI327913 MGH327892:MGM327913 LWL327892:LWQ327913 LMP327892:LMU327913 LCT327892:LCY327913 KSX327892:KTC327913 KJB327892:KJG327913 JZF327892:JZK327913 JPJ327892:JPO327913 JFN327892:JFS327913 IVR327892:IVW327913 ILV327892:IMA327913 IBZ327892:ICE327913 HSD327892:HSI327913 HIH327892:HIM327913 GYL327892:GYQ327913 GOP327892:GOU327913 GET327892:GEY327913 FUX327892:FVC327913 FLB327892:FLG327913 FBF327892:FBK327913 ERJ327892:ERO327913 EHN327892:EHS327913 DXR327892:DXW327913 DNV327892:DOA327913 DDZ327892:DEE327913 CUD327892:CUI327913 CKH327892:CKM327913 CAL327892:CAQ327913 BQP327892:BQU327913 BGT327892:BGY327913 AWX327892:AXC327913 ANB327892:ANG327913 ADF327892:ADK327913 TJ327892:TO327913 JN327892:JS327913 J327916:O327937 WVZ262356:WWE262377 WMD262356:WMI262377 WCH262356:WCM262377 VSL262356:VSQ262377 VIP262356:VIU262377 UYT262356:UYY262377 UOX262356:UPC262377 UFB262356:UFG262377 TVF262356:TVK262377 TLJ262356:TLO262377 TBN262356:TBS262377 SRR262356:SRW262377 SHV262356:SIA262377 RXZ262356:RYE262377 ROD262356:ROI262377 REH262356:REM262377 QUL262356:QUQ262377 QKP262356:QKU262377 QAT262356:QAY262377 PQX262356:PRC262377 PHB262356:PHG262377 OXF262356:OXK262377 ONJ262356:ONO262377 ODN262356:ODS262377 NTR262356:NTW262377 NJV262356:NKA262377 MZZ262356:NAE262377 MQD262356:MQI262377 MGH262356:MGM262377 LWL262356:LWQ262377 LMP262356:LMU262377 LCT262356:LCY262377 KSX262356:KTC262377 KJB262356:KJG262377 JZF262356:JZK262377 JPJ262356:JPO262377 JFN262356:JFS262377 IVR262356:IVW262377 ILV262356:IMA262377 IBZ262356:ICE262377 HSD262356:HSI262377 HIH262356:HIM262377 GYL262356:GYQ262377 GOP262356:GOU262377 GET262356:GEY262377 FUX262356:FVC262377 FLB262356:FLG262377 FBF262356:FBK262377 ERJ262356:ERO262377 EHN262356:EHS262377 DXR262356:DXW262377 DNV262356:DOA262377 DDZ262356:DEE262377 CUD262356:CUI262377 CKH262356:CKM262377 CAL262356:CAQ262377 BQP262356:BQU262377 BGT262356:BGY262377 AWX262356:AXC262377 ANB262356:ANG262377 ADF262356:ADK262377 TJ262356:TO262377 JN262356:JS262377 J262380:O262401 WVZ196820:WWE196841 WMD196820:WMI196841 WCH196820:WCM196841 VSL196820:VSQ196841 VIP196820:VIU196841 UYT196820:UYY196841 UOX196820:UPC196841 UFB196820:UFG196841 TVF196820:TVK196841 TLJ196820:TLO196841 TBN196820:TBS196841 SRR196820:SRW196841 SHV196820:SIA196841 RXZ196820:RYE196841 ROD196820:ROI196841 REH196820:REM196841 QUL196820:QUQ196841 QKP196820:QKU196841 QAT196820:QAY196841 PQX196820:PRC196841 PHB196820:PHG196841 OXF196820:OXK196841 ONJ196820:ONO196841 ODN196820:ODS196841 NTR196820:NTW196841 NJV196820:NKA196841 MZZ196820:NAE196841 MQD196820:MQI196841 MGH196820:MGM196841 LWL196820:LWQ196841 LMP196820:LMU196841 LCT196820:LCY196841 KSX196820:KTC196841 KJB196820:KJG196841 JZF196820:JZK196841 JPJ196820:JPO196841 JFN196820:JFS196841 IVR196820:IVW196841 ILV196820:IMA196841 IBZ196820:ICE196841 HSD196820:HSI196841 HIH196820:HIM196841 GYL196820:GYQ196841 GOP196820:GOU196841 GET196820:GEY196841 FUX196820:FVC196841 FLB196820:FLG196841 FBF196820:FBK196841 ERJ196820:ERO196841 EHN196820:EHS196841 DXR196820:DXW196841 DNV196820:DOA196841 DDZ196820:DEE196841 CUD196820:CUI196841 CKH196820:CKM196841 CAL196820:CAQ196841 BQP196820:BQU196841 BGT196820:BGY196841 AWX196820:AXC196841 ANB196820:ANG196841 ADF196820:ADK196841 TJ196820:TO196841 JN196820:JS196841 J196844:O196865 WVZ131284:WWE131305 WMD131284:WMI131305 WCH131284:WCM131305 VSL131284:VSQ131305 VIP131284:VIU131305 UYT131284:UYY131305 UOX131284:UPC131305 UFB131284:UFG131305 TVF131284:TVK131305 TLJ131284:TLO131305 TBN131284:TBS131305 SRR131284:SRW131305 SHV131284:SIA131305 RXZ131284:RYE131305 ROD131284:ROI131305 REH131284:REM131305 QUL131284:QUQ131305 QKP131284:QKU131305 QAT131284:QAY131305 PQX131284:PRC131305 PHB131284:PHG131305 OXF131284:OXK131305 ONJ131284:ONO131305 ODN131284:ODS131305 NTR131284:NTW131305 NJV131284:NKA131305 MZZ131284:NAE131305 MQD131284:MQI131305 MGH131284:MGM131305 LWL131284:LWQ131305 LMP131284:LMU131305 LCT131284:LCY131305 KSX131284:KTC131305 KJB131284:KJG131305 JZF131284:JZK131305 JPJ131284:JPO131305 JFN131284:JFS131305 IVR131284:IVW131305 ILV131284:IMA131305 IBZ131284:ICE131305 HSD131284:HSI131305 HIH131284:HIM131305 GYL131284:GYQ131305 GOP131284:GOU131305 GET131284:GEY131305 FUX131284:FVC131305 FLB131284:FLG131305 FBF131284:FBK131305 ERJ131284:ERO131305 EHN131284:EHS131305 DXR131284:DXW131305 DNV131284:DOA131305 DDZ131284:DEE131305 CUD131284:CUI131305 CKH131284:CKM131305 CAL131284:CAQ131305 BQP131284:BQU131305 BGT131284:BGY131305 AWX131284:AXC131305 ANB131284:ANG131305 ADF131284:ADK131305 TJ131284:TO131305 JN131284:JS131305 J131308:O131329 WVZ65748:WWE65769 WMD65748:WMI65769 WCH65748:WCM65769 VSL65748:VSQ65769 VIP65748:VIU65769 UYT65748:UYY65769 UOX65748:UPC65769 UFB65748:UFG65769 TVF65748:TVK65769 TLJ65748:TLO65769 TBN65748:TBS65769 SRR65748:SRW65769 SHV65748:SIA65769 RXZ65748:RYE65769 ROD65748:ROI65769 REH65748:REM65769 QUL65748:QUQ65769 QKP65748:QKU65769 QAT65748:QAY65769 PQX65748:PRC65769 PHB65748:PHG65769 OXF65748:OXK65769 ONJ65748:ONO65769 ODN65748:ODS65769 NTR65748:NTW65769 NJV65748:NKA65769 MZZ65748:NAE65769 MQD65748:MQI65769 MGH65748:MGM65769 LWL65748:LWQ65769 LMP65748:LMU65769 LCT65748:LCY65769 KSX65748:KTC65769 KJB65748:KJG65769 JZF65748:JZK65769 JPJ65748:JPO65769 JFN65748:JFS65769 IVR65748:IVW65769 ILV65748:IMA65769 IBZ65748:ICE65769 HSD65748:HSI65769 HIH65748:HIM65769 GYL65748:GYQ65769 GOP65748:GOU65769 GET65748:GEY65769 FUX65748:FVC65769 FLB65748:FLG65769 FBF65748:FBK65769 ERJ65748:ERO65769 EHN65748:EHS65769 DXR65748:DXW65769 DNV65748:DOA65769 DDZ65748:DEE65769 CUD65748:CUI65769 CKH65748:CKM65769 CAL65748:CAQ65769 BQP65748:BQU65769 BGT65748:BGY65769 AWX65748:AXC65769 ANB65748:ANG65769 ADF65748:ADK65769 TJ65748:TO65769 JN65748:JS65769 J65772:O65793 WWN983252:WWU983273 WMR983252:WMY983273 WCV983252:WDC983273 VSZ983252:VTG983273 VJD983252:VJK983273 UZH983252:UZO983273 UPL983252:UPS983273 UFP983252:UFW983273 TVT983252:TWA983273 TLX983252:TME983273 TCB983252:TCI983273 SSF983252:SSM983273 SIJ983252:SIQ983273 RYN983252:RYU983273 ROR983252:ROY983273 REV983252:RFC983273 QUZ983252:QVG983273 QLD983252:QLK983273 QBH983252:QBO983273 PRL983252:PRS983273 PHP983252:PHW983273 OXT983252:OYA983273 ONX983252:OOE983273 OEB983252:OEI983273 NUF983252:NUM983273 NKJ983252:NKQ983273 NAN983252:NAU983273 MQR983252:MQY983273 MGV983252:MHC983273 LWZ983252:LXG983273 LND983252:LNK983273 LDH983252:LDO983273 KTL983252:KTS983273 KJP983252:KJW983273 JZT983252:KAA983273 JPX983252:JQE983273 JGB983252:JGI983273 IWF983252:IWM983273 IMJ983252:IMQ983273 ICN983252:ICU983273 HSR983252:HSY983273 HIV983252:HJC983273 GYZ983252:GZG983273 GPD983252:GPK983273 GFH983252:GFO983273 FVL983252:FVS983273 FLP983252:FLW983273 FBT983252:FCA983273 ERX983252:ESE983273 EIB983252:EII983273 DYF983252:DYM983273 DOJ983252:DOQ983273 DEN983252:DEU983273 CUR983252:CUY983273 CKV983252:CLC983273 CAZ983252:CBG983273 BRD983252:BRK983273 BHH983252:BHO983273 AXL983252:AXS983273 ANP983252:ANW983273 ADT983252:AEA983273 TX983252:UE983273 KB983252:KI983273 X983276:AE983297 WWN917716:WWU917737 WMR917716:WMY917737 WCV917716:WDC917737 VSZ917716:VTG917737 VJD917716:VJK917737 UZH917716:UZO917737 UPL917716:UPS917737 UFP917716:UFW917737 TVT917716:TWA917737 TLX917716:TME917737 TCB917716:TCI917737 SSF917716:SSM917737 SIJ917716:SIQ917737 RYN917716:RYU917737 ROR917716:ROY917737 REV917716:RFC917737 QUZ917716:QVG917737 QLD917716:QLK917737 QBH917716:QBO917737 PRL917716:PRS917737 PHP917716:PHW917737 OXT917716:OYA917737 ONX917716:OOE917737 OEB917716:OEI917737 NUF917716:NUM917737 NKJ917716:NKQ917737 NAN917716:NAU917737 MQR917716:MQY917737 MGV917716:MHC917737 LWZ917716:LXG917737 LND917716:LNK917737 LDH917716:LDO917737 KTL917716:KTS917737 KJP917716:KJW917737 JZT917716:KAA917737 JPX917716:JQE917737 JGB917716:JGI917737 IWF917716:IWM917737 IMJ917716:IMQ917737 ICN917716:ICU917737 HSR917716:HSY917737 HIV917716:HJC917737 GYZ917716:GZG917737 GPD917716:GPK917737 GFH917716:GFO917737 FVL917716:FVS917737 FLP917716:FLW917737 FBT917716:FCA917737 ERX917716:ESE917737 EIB917716:EII917737 DYF917716:DYM917737 DOJ917716:DOQ917737 DEN917716:DEU917737 CUR917716:CUY917737 CKV917716:CLC917737 CAZ917716:CBG917737 BRD917716:BRK917737 BHH917716:BHO917737 AXL917716:AXS917737 ANP917716:ANW917737 ADT917716:AEA917737 TX917716:UE917737 KB917716:KI917737 X917740:AE917761 WWN852180:WWU852201 WMR852180:WMY852201 WCV852180:WDC852201 VSZ852180:VTG852201 VJD852180:VJK852201 UZH852180:UZO852201 UPL852180:UPS852201 UFP852180:UFW852201 TVT852180:TWA852201 TLX852180:TME852201 TCB852180:TCI852201 SSF852180:SSM852201 SIJ852180:SIQ852201 RYN852180:RYU852201 ROR852180:ROY852201 REV852180:RFC852201 QUZ852180:QVG852201 QLD852180:QLK852201 QBH852180:QBO852201 PRL852180:PRS852201 PHP852180:PHW852201 OXT852180:OYA852201 ONX852180:OOE852201 OEB852180:OEI852201 NUF852180:NUM852201 NKJ852180:NKQ852201 NAN852180:NAU852201 MQR852180:MQY852201 MGV852180:MHC852201 LWZ852180:LXG852201 LND852180:LNK852201 LDH852180:LDO852201 KTL852180:KTS852201 KJP852180:KJW852201 JZT852180:KAA852201 JPX852180:JQE852201 JGB852180:JGI852201 IWF852180:IWM852201 IMJ852180:IMQ852201 ICN852180:ICU852201 HSR852180:HSY852201 HIV852180:HJC852201 GYZ852180:GZG852201 GPD852180:GPK852201 GFH852180:GFO852201 FVL852180:FVS852201 FLP852180:FLW852201 FBT852180:FCA852201 ERX852180:ESE852201 EIB852180:EII852201 DYF852180:DYM852201 DOJ852180:DOQ852201 DEN852180:DEU852201 CUR852180:CUY852201 CKV852180:CLC852201 CAZ852180:CBG852201 BRD852180:BRK852201 BHH852180:BHO852201 AXL852180:AXS852201 ANP852180:ANW852201 ADT852180:AEA852201 TX852180:UE852201 KB852180:KI852201 X852204:AE852225 WWN786644:WWU786665 WMR786644:WMY786665 WCV786644:WDC786665 VSZ786644:VTG786665 VJD786644:VJK786665 UZH786644:UZO786665 UPL786644:UPS786665 UFP786644:UFW786665 TVT786644:TWA786665 TLX786644:TME786665 TCB786644:TCI786665 SSF786644:SSM786665 SIJ786644:SIQ786665 RYN786644:RYU786665 ROR786644:ROY786665 REV786644:RFC786665 QUZ786644:QVG786665 QLD786644:QLK786665 QBH786644:QBO786665 PRL786644:PRS786665 PHP786644:PHW786665 OXT786644:OYA786665 ONX786644:OOE786665 OEB786644:OEI786665 NUF786644:NUM786665 NKJ786644:NKQ786665 NAN786644:NAU786665 MQR786644:MQY786665 MGV786644:MHC786665 LWZ786644:LXG786665 LND786644:LNK786665 LDH786644:LDO786665 KTL786644:KTS786665 KJP786644:KJW786665 JZT786644:KAA786665 JPX786644:JQE786665 JGB786644:JGI786665 IWF786644:IWM786665 IMJ786644:IMQ786665 ICN786644:ICU786665 HSR786644:HSY786665 HIV786644:HJC786665 GYZ786644:GZG786665 GPD786644:GPK786665 GFH786644:GFO786665 FVL786644:FVS786665 FLP786644:FLW786665 FBT786644:FCA786665 ERX786644:ESE786665 EIB786644:EII786665 DYF786644:DYM786665 DOJ786644:DOQ786665 DEN786644:DEU786665 CUR786644:CUY786665 CKV786644:CLC786665 CAZ786644:CBG786665 BRD786644:BRK786665 BHH786644:BHO786665 AXL786644:AXS786665 ANP786644:ANW786665 ADT786644:AEA786665 TX786644:UE786665 KB786644:KI786665 X786668:AE786689 WWN721108:WWU721129 WMR721108:WMY721129 WCV721108:WDC721129 VSZ721108:VTG721129 VJD721108:VJK721129 UZH721108:UZO721129 UPL721108:UPS721129 UFP721108:UFW721129 TVT721108:TWA721129 TLX721108:TME721129 TCB721108:TCI721129 SSF721108:SSM721129 SIJ721108:SIQ721129 RYN721108:RYU721129 ROR721108:ROY721129 REV721108:RFC721129 QUZ721108:QVG721129 QLD721108:QLK721129 QBH721108:QBO721129 PRL721108:PRS721129 PHP721108:PHW721129 OXT721108:OYA721129 ONX721108:OOE721129 OEB721108:OEI721129 NUF721108:NUM721129 NKJ721108:NKQ721129 NAN721108:NAU721129 MQR721108:MQY721129 MGV721108:MHC721129 LWZ721108:LXG721129 LND721108:LNK721129 LDH721108:LDO721129 KTL721108:KTS721129 KJP721108:KJW721129 JZT721108:KAA721129 JPX721108:JQE721129 JGB721108:JGI721129 IWF721108:IWM721129 IMJ721108:IMQ721129 ICN721108:ICU721129 HSR721108:HSY721129 HIV721108:HJC721129 GYZ721108:GZG721129 GPD721108:GPK721129 GFH721108:GFO721129 FVL721108:FVS721129 FLP721108:FLW721129 FBT721108:FCA721129 ERX721108:ESE721129 EIB721108:EII721129 DYF721108:DYM721129 DOJ721108:DOQ721129 DEN721108:DEU721129 CUR721108:CUY721129 CKV721108:CLC721129 CAZ721108:CBG721129 BRD721108:BRK721129 BHH721108:BHO721129 AXL721108:AXS721129 ANP721108:ANW721129 ADT721108:AEA721129 TX721108:UE721129 KB721108:KI721129 X721132:AE721153 WWN655572:WWU655593 WMR655572:WMY655593 WCV655572:WDC655593 VSZ655572:VTG655593 VJD655572:VJK655593 UZH655572:UZO655593 UPL655572:UPS655593 UFP655572:UFW655593 TVT655572:TWA655593 TLX655572:TME655593 TCB655572:TCI655593 SSF655572:SSM655593 SIJ655572:SIQ655593 RYN655572:RYU655593 ROR655572:ROY655593 REV655572:RFC655593 QUZ655572:QVG655593 QLD655572:QLK655593 QBH655572:QBO655593 PRL655572:PRS655593 PHP655572:PHW655593 OXT655572:OYA655593 ONX655572:OOE655593 OEB655572:OEI655593 NUF655572:NUM655593 NKJ655572:NKQ655593 NAN655572:NAU655593 MQR655572:MQY655593 MGV655572:MHC655593 LWZ655572:LXG655593 LND655572:LNK655593 LDH655572:LDO655593 KTL655572:KTS655593 KJP655572:KJW655593 JZT655572:KAA655593 JPX655572:JQE655593 JGB655572:JGI655593 IWF655572:IWM655593 IMJ655572:IMQ655593 ICN655572:ICU655593 HSR655572:HSY655593 HIV655572:HJC655593 GYZ655572:GZG655593 GPD655572:GPK655593 GFH655572:GFO655593 FVL655572:FVS655593 FLP655572:FLW655593 FBT655572:FCA655593 ERX655572:ESE655593 EIB655572:EII655593 DYF655572:DYM655593 DOJ655572:DOQ655593 DEN655572:DEU655593 CUR655572:CUY655593 CKV655572:CLC655593 CAZ655572:CBG655593 BRD655572:BRK655593 BHH655572:BHO655593 AXL655572:AXS655593 ANP655572:ANW655593 ADT655572:AEA655593 TX655572:UE655593 KB655572:KI655593 X655596:AE655617 WWN590036:WWU590057 WMR590036:WMY590057 WCV590036:WDC590057 VSZ590036:VTG590057 VJD590036:VJK590057 UZH590036:UZO590057 UPL590036:UPS590057 UFP590036:UFW590057 TVT590036:TWA590057 TLX590036:TME590057 TCB590036:TCI590057 SSF590036:SSM590057 SIJ590036:SIQ590057 RYN590036:RYU590057 ROR590036:ROY590057 REV590036:RFC590057 QUZ590036:QVG590057 QLD590036:QLK590057 QBH590036:QBO590057 PRL590036:PRS590057 PHP590036:PHW590057 OXT590036:OYA590057 ONX590036:OOE590057 OEB590036:OEI590057 NUF590036:NUM590057 NKJ590036:NKQ590057 NAN590036:NAU590057 MQR590036:MQY590057 MGV590036:MHC590057 LWZ590036:LXG590057 LND590036:LNK590057 LDH590036:LDO590057 KTL590036:KTS590057 KJP590036:KJW590057 JZT590036:KAA590057 JPX590036:JQE590057 JGB590036:JGI590057 IWF590036:IWM590057 IMJ590036:IMQ590057 ICN590036:ICU590057 HSR590036:HSY590057 HIV590036:HJC590057 GYZ590036:GZG590057 GPD590036:GPK590057 GFH590036:GFO590057 FVL590036:FVS590057 FLP590036:FLW590057 FBT590036:FCA590057 ERX590036:ESE590057 EIB590036:EII590057 DYF590036:DYM590057 DOJ590036:DOQ590057 DEN590036:DEU590057 CUR590036:CUY590057 CKV590036:CLC590057 CAZ590036:CBG590057 BRD590036:BRK590057 BHH590036:BHO590057 AXL590036:AXS590057 ANP590036:ANW590057 ADT590036:AEA590057 TX590036:UE590057 KB590036:KI590057 X590060:AE590081 WWN524500:WWU524521 WMR524500:WMY524521 WCV524500:WDC524521 VSZ524500:VTG524521 VJD524500:VJK524521 UZH524500:UZO524521 UPL524500:UPS524521 UFP524500:UFW524521 TVT524500:TWA524521 TLX524500:TME524521 TCB524500:TCI524521 SSF524500:SSM524521 SIJ524500:SIQ524521 RYN524500:RYU524521 ROR524500:ROY524521 REV524500:RFC524521 QUZ524500:QVG524521 QLD524500:QLK524521 QBH524500:QBO524521 PRL524500:PRS524521 PHP524500:PHW524521 OXT524500:OYA524521 ONX524500:OOE524521 OEB524500:OEI524521 NUF524500:NUM524521 NKJ524500:NKQ524521 NAN524500:NAU524521 MQR524500:MQY524521 MGV524500:MHC524521 LWZ524500:LXG524521 LND524500:LNK524521 LDH524500:LDO524521 KTL524500:KTS524521 KJP524500:KJW524521 JZT524500:KAA524521 JPX524500:JQE524521 JGB524500:JGI524521 IWF524500:IWM524521 IMJ524500:IMQ524521 ICN524500:ICU524521 HSR524500:HSY524521 HIV524500:HJC524521 GYZ524500:GZG524521 GPD524500:GPK524521 GFH524500:GFO524521 FVL524500:FVS524521 FLP524500:FLW524521 FBT524500:FCA524521 ERX524500:ESE524521 EIB524500:EII524521 DYF524500:DYM524521 DOJ524500:DOQ524521 DEN524500:DEU524521 CUR524500:CUY524521 CKV524500:CLC524521 CAZ524500:CBG524521 BRD524500:BRK524521 BHH524500:BHO524521 AXL524500:AXS524521 ANP524500:ANW524521 ADT524500:AEA524521 TX524500:UE524521 KB524500:KI524521 X524524:AE524545 WWN458964:WWU458985 WMR458964:WMY458985 WCV458964:WDC458985 VSZ458964:VTG458985 VJD458964:VJK458985 UZH458964:UZO458985 UPL458964:UPS458985 UFP458964:UFW458985 TVT458964:TWA458985 TLX458964:TME458985 TCB458964:TCI458985 SSF458964:SSM458985 SIJ458964:SIQ458985 RYN458964:RYU458985 ROR458964:ROY458985 REV458964:RFC458985 QUZ458964:QVG458985 QLD458964:QLK458985 QBH458964:QBO458985 PRL458964:PRS458985 PHP458964:PHW458985 OXT458964:OYA458985 ONX458964:OOE458985 OEB458964:OEI458985 NUF458964:NUM458985 NKJ458964:NKQ458985 NAN458964:NAU458985 MQR458964:MQY458985 MGV458964:MHC458985 LWZ458964:LXG458985 LND458964:LNK458985 LDH458964:LDO458985 KTL458964:KTS458985 KJP458964:KJW458985 JZT458964:KAA458985 JPX458964:JQE458985 JGB458964:JGI458985 IWF458964:IWM458985 IMJ458964:IMQ458985 ICN458964:ICU458985 HSR458964:HSY458985 HIV458964:HJC458985 GYZ458964:GZG458985 GPD458964:GPK458985 GFH458964:GFO458985 FVL458964:FVS458985 FLP458964:FLW458985 FBT458964:FCA458985 ERX458964:ESE458985 EIB458964:EII458985 DYF458964:DYM458985 DOJ458964:DOQ458985 DEN458964:DEU458985 CUR458964:CUY458985 CKV458964:CLC458985 CAZ458964:CBG458985 BRD458964:BRK458985 BHH458964:BHO458985 AXL458964:AXS458985 ANP458964:ANW458985 ADT458964:AEA458985 TX458964:UE458985 KB458964:KI458985 X458988:AE459009 WWN393428:WWU393449 WMR393428:WMY393449 WCV393428:WDC393449 VSZ393428:VTG393449 VJD393428:VJK393449 UZH393428:UZO393449 UPL393428:UPS393449 UFP393428:UFW393449 TVT393428:TWA393449 TLX393428:TME393449 TCB393428:TCI393449 SSF393428:SSM393449 SIJ393428:SIQ393449 RYN393428:RYU393449 ROR393428:ROY393449 REV393428:RFC393449 QUZ393428:QVG393449 QLD393428:QLK393449 QBH393428:QBO393449 PRL393428:PRS393449 PHP393428:PHW393449 OXT393428:OYA393449 ONX393428:OOE393449 OEB393428:OEI393449 NUF393428:NUM393449 NKJ393428:NKQ393449 NAN393428:NAU393449 MQR393428:MQY393449 MGV393428:MHC393449 LWZ393428:LXG393449 LND393428:LNK393449 LDH393428:LDO393449 KTL393428:KTS393449 KJP393428:KJW393449 JZT393428:KAA393449 JPX393428:JQE393449 JGB393428:JGI393449 IWF393428:IWM393449 IMJ393428:IMQ393449 ICN393428:ICU393449 HSR393428:HSY393449 HIV393428:HJC393449 GYZ393428:GZG393449 GPD393428:GPK393449 GFH393428:GFO393449 FVL393428:FVS393449 FLP393428:FLW393449 FBT393428:FCA393449 ERX393428:ESE393449 EIB393428:EII393449 DYF393428:DYM393449 DOJ393428:DOQ393449 DEN393428:DEU393449 CUR393428:CUY393449 CKV393428:CLC393449 CAZ393428:CBG393449 BRD393428:BRK393449 BHH393428:BHO393449 AXL393428:AXS393449 ANP393428:ANW393449 ADT393428:AEA393449 TX393428:UE393449 KB393428:KI393449 X393452:AE393473 WWN327892:WWU327913 WMR327892:WMY327913 WCV327892:WDC327913 VSZ327892:VTG327913 VJD327892:VJK327913 UZH327892:UZO327913 UPL327892:UPS327913 UFP327892:UFW327913 TVT327892:TWA327913 TLX327892:TME327913 TCB327892:TCI327913 SSF327892:SSM327913 SIJ327892:SIQ327913 RYN327892:RYU327913 ROR327892:ROY327913 REV327892:RFC327913 QUZ327892:QVG327913 QLD327892:QLK327913 QBH327892:QBO327913 PRL327892:PRS327913 PHP327892:PHW327913 OXT327892:OYA327913 ONX327892:OOE327913 OEB327892:OEI327913 NUF327892:NUM327913 NKJ327892:NKQ327913 NAN327892:NAU327913 MQR327892:MQY327913 MGV327892:MHC327913 LWZ327892:LXG327913 LND327892:LNK327913 LDH327892:LDO327913 KTL327892:KTS327913 KJP327892:KJW327913 JZT327892:KAA327913 JPX327892:JQE327913 JGB327892:JGI327913 IWF327892:IWM327913 IMJ327892:IMQ327913 ICN327892:ICU327913 HSR327892:HSY327913 HIV327892:HJC327913 GYZ327892:GZG327913 GPD327892:GPK327913 GFH327892:GFO327913 FVL327892:FVS327913 FLP327892:FLW327913 FBT327892:FCA327913 ERX327892:ESE327913 EIB327892:EII327913 DYF327892:DYM327913 DOJ327892:DOQ327913 DEN327892:DEU327913 CUR327892:CUY327913 CKV327892:CLC327913 CAZ327892:CBG327913 BRD327892:BRK327913 BHH327892:BHO327913 AXL327892:AXS327913 ANP327892:ANW327913 ADT327892:AEA327913 TX327892:UE327913 KB327892:KI327913 X327916:AE327937 WWN262356:WWU262377 WMR262356:WMY262377 WCV262356:WDC262377 VSZ262356:VTG262377 VJD262356:VJK262377 UZH262356:UZO262377 UPL262356:UPS262377 UFP262356:UFW262377 TVT262356:TWA262377 TLX262356:TME262377 TCB262356:TCI262377 SSF262356:SSM262377 SIJ262356:SIQ262377 RYN262356:RYU262377 ROR262356:ROY262377 REV262356:RFC262377 QUZ262356:QVG262377 QLD262356:QLK262377 QBH262356:QBO262377 PRL262356:PRS262377 PHP262356:PHW262377 OXT262356:OYA262377 ONX262356:OOE262377 OEB262356:OEI262377 NUF262356:NUM262377 NKJ262356:NKQ262377 NAN262356:NAU262377 MQR262356:MQY262377 MGV262356:MHC262377 LWZ262356:LXG262377 LND262356:LNK262377 LDH262356:LDO262377 KTL262356:KTS262377 KJP262356:KJW262377 JZT262356:KAA262377 JPX262356:JQE262377 JGB262356:JGI262377 IWF262356:IWM262377 IMJ262356:IMQ262377 ICN262356:ICU262377 HSR262356:HSY262377 HIV262356:HJC262377 GYZ262356:GZG262377 GPD262356:GPK262377 GFH262356:GFO262377 FVL262356:FVS262377 FLP262356:FLW262377 FBT262356:FCA262377 ERX262356:ESE262377 EIB262356:EII262377 DYF262356:DYM262377 DOJ262356:DOQ262377 DEN262356:DEU262377 CUR262356:CUY262377 CKV262356:CLC262377 CAZ262356:CBG262377 BRD262356:BRK262377 BHH262356:BHO262377 AXL262356:AXS262377 ANP262356:ANW262377 ADT262356:AEA262377 TX262356:UE262377 KB262356:KI262377 X262380:AE262401 WWN196820:WWU196841 WMR196820:WMY196841 WCV196820:WDC196841 VSZ196820:VTG196841 VJD196820:VJK196841 UZH196820:UZO196841 UPL196820:UPS196841 UFP196820:UFW196841 TVT196820:TWA196841 TLX196820:TME196841 TCB196820:TCI196841 SSF196820:SSM196841 SIJ196820:SIQ196841 RYN196820:RYU196841 ROR196820:ROY196841 REV196820:RFC196841 QUZ196820:QVG196841 QLD196820:QLK196841 QBH196820:QBO196841 PRL196820:PRS196841 PHP196820:PHW196841 OXT196820:OYA196841 ONX196820:OOE196841 OEB196820:OEI196841 NUF196820:NUM196841 NKJ196820:NKQ196841 NAN196820:NAU196841 MQR196820:MQY196841 MGV196820:MHC196841 LWZ196820:LXG196841 LND196820:LNK196841 LDH196820:LDO196841 KTL196820:KTS196841 KJP196820:KJW196841 JZT196820:KAA196841 JPX196820:JQE196841 JGB196820:JGI196841 IWF196820:IWM196841 IMJ196820:IMQ196841 ICN196820:ICU196841 HSR196820:HSY196841 HIV196820:HJC196841 GYZ196820:GZG196841 GPD196820:GPK196841 GFH196820:GFO196841 FVL196820:FVS196841 FLP196820:FLW196841 FBT196820:FCA196841 ERX196820:ESE196841 EIB196820:EII196841 DYF196820:DYM196841 DOJ196820:DOQ196841 DEN196820:DEU196841 CUR196820:CUY196841 CKV196820:CLC196841 CAZ196820:CBG196841 BRD196820:BRK196841 BHH196820:BHO196841 AXL196820:AXS196841 ANP196820:ANW196841 ADT196820:AEA196841 TX196820:UE196841 KB196820:KI196841 X196844:AE196865 WWN131284:WWU131305 WMR131284:WMY131305 WCV131284:WDC131305 VSZ131284:VTG131305 VJD131284:VJK131305 UZH131284:UZO131305 UPL131284:UPS131305 UFP131284:UFW131305 TVT131284:TWA131305 TLX131284:TME131305 TCB131284:TCI131305 SSF131284:SSM131305 SIJ131284:SIQ131305 RYN131284:RYU131305 ROR131284:ROY131305 REV131284:RFC131305 QUZ131284:QVG131305 QLD131284:QLK131305 QBH131284:QBO131305 PRL131284:PRS131305 PHP131284:PHW131305 OXT131284:OYA131305 ONX131284:OOE131305 OEB131284:OEI131305 NUF131284:NUM131305 NKJ131284:NKQ131305 NAN131284:NAU131305 MQR131284:MQY131305 MGV131284:MHC131305 LWZ131284:LXG131305 LND131284:LNK131305 LDH131284:LDO131305 KTL131284:KTS131305 KJP131284:KJW131305 JZT131284:KAA131305 JPX131284:JQE131305 JGB131284:JGI131305 IWF131284:IWM131305 IMJ131284:IMQ131305 ICN131284:ICU131305 HSR131284:HSY131305 HIV131284:HJC131305 GYZ131284:GZG131305 GPD131284:GPK131305 GFH131284:GFO131305 FVL131284:FVS131305 FLP131284:FLW131305 FBT131284:FCA131305 ERX131284:ESE131305 EIB131284:EII131305 DYF131284:DYM131305 DOJ131284:DOQ131305 DEN131284:DEU131305 CUR131284:CUY131305 CKV131284:CLC131305 CAZ131284:CBG131305 BRD131284:BRK131305 BHH131284:BHO131305 AXL131284:AXS131305 ANP131284:ANW131305 ADT131284:AEA131305 TX131284:UE131305 KB131284:KI131305 X131308:AE131329 WWN65748:WWU65769 WMR65748:WMY65769 WCV65748:WDC65769 VSZ65748:VTG65769 VJD65748:VJK65769 UZH65748:UZO65769 UPL65748:UPS65769 UFP65748:UFW65769 TVT65748:TWA65769 TLX65748:TME65769 TCB65748:TCI65769 SSF65748:SSM65769 SIJ65748:SIQ65769 RYN65748:RYU65769 ROR65748:ROY65769 REV65748:RFC65769 QUZ65748:QVG65769 QLD65748:QLK65769 QBH65748:QBO65769 PRL65748:PRS65769 PHP65748:PHW65769 OXT65748:OYA65769 ONX65748:OOE65769 OEB65748:OEI65769 NUF65748:NUM65769 NKJ65748:NKQ65769 NAN65748:NAU65769 MQR65748:MQY65769 MGV65748:MHC65769 LWZ65748:LXG65769 LND65748:LNK65769 LDH65748:LDO65769 KTL65748:KTS65769 KJP65748:KJW65769 JZT65748:KAA65769 JPX65748:JQE65769 JGB65748:JGI65769 IWF65748:IWM65769 IMJ65748:IMQ65769 ICN65748:ICU65769 HSR65748:HSY65769 HIV65748:HJC65769 GYZ65748:GZG65769 GPD65748:GPK65769 GFH65748:GFO65769 FVL65748:FVS65769 FLP65748:FLW65769 FBT65748:FCA65769 ERX65748:ESE65769 EIB65748:EII65769 DYF65748:DYM65769 DOJ65748:DOQ65769 DEN65748:DEU65769 CUR65748:CUY65769 CKV65748:CLC65769 CAZ65748:CBG65769 BRD65748:BRK65769 BHH65748:BHO65769 AXL65748:AXS65769 ANP65748:ANW65769 ADT65748:AEA65769 TX65748:UE65769 KB65748:KI65769 X65772:AE65793" xr:uid="{5BAE8EB8-437D-4DAC-BF06-6267FDCA4C2B}">
      <formula1>#REF!</formula1>
    </dataValidation>
  </dataValidations>
  <pageMargins left="0.7" right="0.7" top="0.75" bottom="0.75" header="0.3" footer="0.3"/>
  <pageSetup paperSize="9" scale="37" fitToHeight="0" orientation="portrait" r:id="rId1"/>
  <rowBreaks count="2" manualBreakCount="2">
    <brk id="241" min="21" max="85" man="1"/>
    <brk id="286" min="21" max="85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7CC5F-BD5C-4426-82AA-C846ACF5A5E5}">
  <sheetPr>
    <pageSetUpPr fitToPage="1"/>
  </sheetPr>
  <dimension ref="A1:AK35"/>
  <sheetViews>
    <sheetView showGridLines="0" view="pageBreakPreview" zoomScale="90" zoomScaleNormal="70" zoomScaleSheetLayoutView="90" workbookViewId="0">
      <selection sqref="A1:M1"/>
    </sheetView>
  </sheetViews>
  <sheetFormatPr defaultColWidth="2.54296875" defaultRowHeight="15"/>
  <cols>
    <col min="1" max="10" width="2.54296875" style="694" customWidth="1"/>
    <col min="11" max="16" width="3.26953125" style="694" customWidth="1"/>
    <col min="17" max="54" width="2.54296875" style="694" customWidth="1"/>
    <col min="55" max="16384" width="2.54296875" style="694"/>
  </cols>
  <sheetData>
    <row r="1" spans="1:37" ht="13.75" customHeight="1">
      <c r="A1" s="972" t="s">
        <v>633</v>
      </c>
      <c r="B1" s="972"/>
      <c r="C1" s="972"/>
      <c r="D1" s="972"/>
      <c r="E1" s="972"/>
      <c r="F1" s="972"/>
      <c r="G1" s="972"/>
      <c r="H1" s="972"/>
      <c r="I1" s="972"/>
      <c r="J1" s="972"/>
      <c r="K1" s="972"/>
      <c r="L1" s="972"/>
      <c r="M1" s="972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  <c r="AA1" s="695"/>
      <c r="AB1" s="695"/>
      <c r="AC1" s="695"/>
      <c r="AD1" s="695"/>
    </row>
    <row r="2" spans="1:37" ht="13.75" customHeight="1">
      <c r="A2" s="968" t="s">
        <v>634</v>
      </c>
      <c r="B2" s="968"/>
      <c r="C2" s="968"/>
      <c r="D2" s="968"/>
      <c r="E2" s="968"/>
      <c r="F2" s="968"/>
      <c r="G2" s="968"/>
      <c r="H2" s="968"/>
      <c r="I2" s="968"/>
      <c r="J2" s="968"/>
      <c r="K2" s="968"/>
      <c r="L2" s="968"/>
      <c r="M2" s="968"/>
      <c r="N2" s="968"/>
      <c r="O2" s="968"/>
      <c r="P2" s="968"/>
      <c r="Q2" s="968"/>
      <c r="R2" s="968"/>
      <c r="S2" s="968"/>
      <c r="T2" s="968"/>
      <c r="U2" s="968"/>
      <c r="V2" s="968"/>
      <c r="W2" s="968"/>
      <c r="X2" s="968"/>
      <c r="Y2" s="968"/>
      <c r="Z2" s="968"/>
      <c r="AA2" s="968"/>
      <c r="AB2" s="968"/>
      <c r="AC2" s="968"/>
      <c r="AD2" s="968"/>
      <c r="AE2" s="968"/>
      <c r="AF2" s="968"/>
      <c r="AG2" s="968"/>
      <c r="AH2" s="968"/>
      <c r="AI2" s="968"/>
      <c r="AJ2" s="968"/>
    </row>
    <row r="3" spans="1:37" ht="13.75" customHeight="1">
      <c r="A3" s="968"/>
      <c r="B3" s="968"/>
      <c r="C3" s="968"/>
      <c r="D3" s="968"/>
      <c r="E3" s="968"/>
      <c r="F3" s="968"/>
      <c r="G3" s="968"/>
      <c r="H3" s="968"/>
      <c r="I3" s="968"/>
      <c r="J3" s="968"/>
      <c r="K3" s="968"/>
      <c r="L3" s="968"/>
      <c r="M3" s="968"/>
      <c r="N3" s="968"/>
      <c r="O3" s="968"/>
      <c r="P3" s="968"/>
      <c r="Q3" s="968"/>
      <c r="R3" s="968"/>
      <c r="S3" s="968"/>
      <c r="T3" s="968"/>
      <c r="U3" s="968"/>
      <c r="V3" s="968"/>
      <c r="W3" s="968"/>
      <c r="X3" s="968"/>
      <c r="Y3" s="968"/>
      <c r="Z3" s="968"/>
      <c r="AA3" s="968"/>
      <c r="AB3" s="968"/>
      <c r="AC3" s="968"/>
      <c r="AD3" s="968"/>
      <c r="AE3" s="968"/>
      <c r="AF3" s="968"/>
      <c r="AG3" s="968"/>
      <c r="AH3" s="968"/>
      <c r="AI3" s="968"/>
      <c r="AJ3" s="968"/>
    </row>
    <row r="4" spans="1:37" ht="13.75" customHeight="1">
      <c r="A4" s="968"/>
      <c r="B4" s="968"/>
      <c r="C4" s="968"/>
      <c r="D4" s="968"/>
      <c r="E4" s="968"/>
      <c r="F4" s="968"/>
      <c r="G4" s="968"/>
      <c r="H4" s="968"/>
      <c r="I4" s="968"/>
      <c r="J4" s="968"/>
      <c r="K4" s="968"/>
      <c r="L4" s="968"/>
      <c r="M4" s="968"/>
      <c r="N4" s="968"/>
      <c r="O4" s="968"/>
      <c r="P4" s="968"/>
      <c r="Q4" s="968"/>
      <c r="R4" s="968"/>
      <c r="S4" s="968"/>
      <c r="T4" s="968"/>
      <c r="U4" s="968"/>
      <c r="V4" s="968"/>
      <c r="W4" s="968"/>
      <c r="X4" s="968"/>
      <c r="Y4" s="968"/>
      <c r="Z4" s="968"/>
      <c r="AA4" s="968"/>
      <c r="AB4" s="968"/>
      <c r="AC4" s="968"/>
      <c r="AD4" s="968"/>
      <c r="AE4" s="968"/>
      <c r="AF4" s="968"/>
      <c r="AG4" s="968"/>
      <c r="AH4" s="968"/>
      <c r="AI4" s="968"/>
      <c r="AJ4" s="968"/>
    </row>
    <row r="5" spans="1:37" ht="13.75" customHeight="1">
      <c r="A5" s="964" t="s">
        <v>635</v>
      </c>
      <c r="B5" s="964"/>
      <c r="C5" s="964"/>
      <c r="D5" s="964"/>
      <c r="E5" s="964"/>
      <c r="F5" s="964"/>
      <c r="G5" s="964"/>
      <c r="H5" s="964"/>
      <c r="I5" s="964"/>
      <c r="J5" s="968" t="s">
        <v>664</v>
      </c>
      <c r="K5" s="968"/>
      <c r="L5" s="968"/>
      <c r="M5" s="968"/>
      <c r="N5" s="968"/>
      <c r="O5" s="968"/>
      <c r="P5" s="968"/>
      <c r="Q5" s="968"/>
      <c r="R5" s="968"/>
      <c r="S5" s="968"/>
      <c r="T5" s="968"/>
      <c r="U5" s="968"/>
      <c r="V5" s="968"/>
      <c r="W5" s="968"/>
      <c r="X5" s="968"/>
      <c r="Y5" s="968"/>
      <c r="Z5" s="968"/>
      <c r="AA5" s="968"/>
      <c r="AB5" s="968"/>
      <c r="AC5" s="968"/>
      <c r="AD5" s="968"/>
      <c r="AE5" s="968"/>
      <c r="AF5" s="968"/>
      <c r="AG5" s="968"/>
      <c r="AH5" s="968"/>
      <c r="AI5" s="968"/>
      <c r="AJ5" s="968"/>
    </row>
    <row r="6" spans="1:37" ht="13.75" customHeight="1">
      <c r="A6" s="964" t="s">
        <v>636</v>
      </c>
      <c r="B6" s="964"/>
      <c r="C6" s="964"/>
      <c r="D6" s="964"/>
      <c r="E6" s="964"/>
      <c r="F6" s="964"/>
      <c r="G6" s="964"/>
      <c r="H6" s="964"/>
      <c r="I6" s="964"/>
      <c r="J6" s="973" t="s">
        <v>637</v>
      </c>
      <c r="K6" s="973"/>
      <c r="L6" s="973"/>
      <c r="M6" s="973"/>
      <c r="N6" s="973"/>
      <c r="O6" s="973"/>
      <c r="P6" s="973"/>
      <c r="Q6" s="973"/>
      <c r="R6" s="973"/>
      <c r="S6" s="973"/>
      <c r="T6" s="973"/>
      <c r="U6" s="973"/>
      <c r="V6" s="973"/>
      <c r="W6" s="973"/>
      <c r="X6" s="973"/>
      <c r="Y6" s="973"/>
      <c r="Z6" s="973"/>
      <c r="AA6" s="973"/>
      <c r="AB6" s="973"/>
      <c r="AC6" s="973"/>
      <c r="AD6" s="964" t="s">
        <v>638</v>
      </c>
      <c r="AE6" s="964"/>
      <c r="AF6" s="964"/>
      <c r="AG6" s="964"/>
      <c r="AH6" s="964"/>
      <c r="AI6" s="964"/>
      <c r="AJ6" s="964"/>
    </row>
    <row r="7" spans="1:37" ht="13.75" customHeight="1">
      <c r="A7" s="964"/>
      <c r="B7" s="964"/>
      <c r="C7" s="964"/>
      <c r="D7" s="964"/>
      <c r="E7" s="964"/>
      <c r="F7" s="964"/>
      <c r="G7" s="964"/>
      <c r="H7" s="964"/>
      <c r="I7" s="964"/>
      <c r="J7" s="973"/>
      <c r="K7" s="973"/>
      <c r="L7" s="973"/>
      <c r="M7" s="973"/>
      <c r="N7" s="973"/>
      <c r="O7" s="973"/>
      <c r="P7" s="973"/>
      <c r="Q7" s="973"/>
      <c r="R7" s="973"/>
      <c r="S7" s="973"/>
      <c r="T7" s="973"/>
      <c r="U7" s="973"/>
      <c r="V7" s="973"/>
      <c r="W7" s="973"/>
      <c r="X7" s="973"/>
      <c r="Y7" s="973"/>
      <c r="Z7" s="973"/>
      <c r="AA7" s="973"/>
      <c r="AB7" s="973"/>
      <c r="AC7" s="973"/>
      <c r="AD7" s="964"/>
      <c r="AE7" s="964"/>
      <c r="AF7" s="964"/>
      <c r="AG7" s="964"/>
      <c r="AH7" s="964"/>
      <c r="AI7" s="964"/>
      <c r="AJ7" s="964"/>
    </row>
    <row r="8" spans="1:37" ht="13.75" customHeight="1">
      <c r="A8" s="697" t="s">
        <v>368</v>
      </c>
      <c r="B8" s="964" t="s">
        <v>369</v>
      </c>
      <c r="C8" s="964"/>
      <c r="D8" s="964"/>
      <c r="E8" s="964"/>
      <c r="F8" s="964"/>
      <c r="G8" s="964"/>
      <c r="H8" s="964"/>
      <c r="I8" s="964"/>
      <c r="J8" s="973"/>
      <c r="K8" s="973"/>
      <c r="L8" s="973"/>
      <c r="M8" s="973"/>
      <c r="N8" s="973"/>
      <c r="O8" s="973"/>
      <c r="P8" s="973"/>
      <c r="Q8" s="973"/>
      <c r="R8" s="973"/>
      <c r="S8" s="973"/>
      <c r="T8" s="973"/>
      <c r="U8" s="973"/>
      <c r="V8" s="973"/>
      <c r="W8" s="973"/>
      <c r="X8" s="973"/>
      <c r="Y8" s="973"/>
      <c r="Z8" s="973"/>
      <c r="AA8" s="973"/>
      <c r="AB8" s="973"/>
      <c r="AC8" s="973"/>
      <c r="AD8" s="964"/>
      <c r="AE8" s="964"/>
      <c r="AF8" s="964"/>
      <c r="AG8" s="964"/>
      <c r="AH8" s="964"/>
      <c r="AI8" s="964"/>
      <c r="AJ8" s="964"/>
    </row>
    <row r="9" spans="1:37" ht="13.75" customHeight="1">
      <c r="A9" s="698"/>
      <c r="B9" s="966" t="s">
        <v>625</v>
      </c>
      <c r="C9" s="966"/>
      <c r="D9" s="966"/>
      <c r="E9" s="966"/>
      <c r="F9" s="966"/>
      <c r="G9" s="966"/>
      <c r="H9" s="966"/>
      <c r="I9" s="966"/>
      <c r="J9" s="964"/>
      <c r="K9" s="964"/>
      <c r="L9" s="964"/>
      <c r="M9" s="964"/>
      <c r="N9" s="964"/>
      <c r="O9" s="964"/>
      <c r="P9" s="964"/>
      <c r="Q9" s="964"/>
      <c r="R9" s="964"/>
      <c r="S9" s="964"/>
      <c r="T9" s="964"/>
      <c r="U9" s="964"/>
      <c r="V9" s="964"/>
      <c r="W9" s="964"/>
      <c r="X9" s="964"/>
      <c r="Y9" s="964"/>
      <c r="Z9" s="964"/>
      <c r="AA9" s="964"/>
      <c r="AB9" s="964"/>
      <c r="AC9" s="964"/>
      <c r="AD9" s="964"/>
      <c r="AE9" s="964"/>
      <c r="AF9" s="964"/>
      <c r="AG9" s="964"/>
      <c r="AH9" s="964"/>
      <c r="AI9" s="964"/>
      <c r="AJ9" s="964"/>
    </row>
    <row r="10" spans="1:37" ht="45" customHeight="1">
      <c r="A10" s="698">
        <v>1</v>
      </c>
      <c r="B10" s="959" t="s">
        <v>665</v>
      </c>
      <c r="C10" s="959"/>
      <c r="D10" s="959"/>
      <c r="E10" s="959"/>
      <c r="F10" s="959"/>
      <c r="G10" s="959"/>
      <c r="H10" s="959"/>
      <c r="I10" s="959"/>
      <c r="J10" s="965" t="s">
        <v>639</v>
      </c>
      <c r="K10" s="960"/>
      <c r="L10" s="960"/>
      <c r="M10" s="960"/>
      <c r="N10" s="960"/>
      <c r="O10" s="960"/>
      <c r="P10" s="960"/>
      <c r="Q10" s="960"/>
      <c r="R10" s="960"/>
      <c r="S10" s="960"/>
      <c r="T10" s="960"/>
      <c r="U10" s="960"/>
      <c r="V10" s="960"/>
      <c r="W10" s="960"/>
      <c r="X10" s="960"/>
      <c r="Y10" s="960"/>
      <c r="Z10" s="960"/>
      <c r="AA10" s="960"/>
      <c r="AB10" s="960"/>
      <c r="AC10" s="960"/>
      <c r="AD10" s="961" t="s">
        <v>640</v>
      </c>
      <c r="AE10" s="962"/>
      <c r="AF10" s="962"/>
      <c r="AG10" s="962"/>
      <c r="AH10" s="962"/>
      <c r="AI10" s="962"/>
      <c r="AJ10" s="963"/>
      <c r="AK10" s="695"/>
    </row>
    <row r="11" spans="1:37" ht="13.75" customHeight="1">
      <c r="A11" s="698">
        <v>2</v>
      </c>
      <c r="B11" s="959" t="s">
        <v>666</v>
      </c>
      <c r="C11" s="959"/>
      <c r="D11" s="959"/>
      <c r="E11" s="959"/>
      <c r="F11" s="959"/>
      <c r="G11" s="959"/>
      <c r="H11" s="959"/>
      <c r="I11" s="959"/>
      <c r="J11" s="960" t="s">
        <v>641</v>
      </c>
      <c r="K11" s="960"/>
      <c r="L11" s="960"/>
      <c r="M11" s="960"/>
      <c r="N11" s="960"/>
      <c r="O11" s="960"/>
      <c r="P11" s="960"/>
      <c r="Q11" s="960"/>
      <c r="R11" s="960"/>
      <c r="S11" s="960"/>
      <c r="T11" s="960"/>
      <c r="U11" s="960"/>
      <c r="V11" s="960"/>
      <c r="W11" s="960"/>
      <c r="X11" s="960"/>
      <c r="Y11" s="960"/>
      <c r="Z11" s="960"/>
      <c r="AA11" s="960"/>
      <c r="AB11" s="960"/>
      <c r="AC11" s="960"/>
      <c r="AD11" s="961"/>
      <c r="AE11" s="962"/>
      <c r="AF11" s="962"/>
      <c r="AG11" s="962"/>
      <c r="AH11" s="962"/>
      <c r="AI11" s="962"/>
      <c r="AJ11" s="963"/>
      <c r="AK11" s="695"/>
    </row>
    <row r="12" spans="1:37" ht="13.75" customHeight="1">
      <c r="A12" s="698">
        <v>3</v>
      </c>
      <c r="B12" s="959" t="s">
        <v>667</v>
      </c>
      <c r="C12" s="959"/>
      <c r="D12" s="959"/>
      <c r="E12" s="959"/>
      <c r="F12" s="959"/>
      <c r="G12" s="959"/>
      <c r="H12" s="959"/>
      <c r="I12" s="959"/>
      <c r="J12" s="960" t="s">
        <v>642</v>
      </c>
      <c r="K12" s="960"/>
      <c r="L12" s="960"/>
      <c r="M12" s="960"/>
      <c r="N12" s="960"/>
      <c r="O12" s="960"/>
      <c r="P12" s="960"/>
      <c r="Q12" s="960"/>
      <c r="R12" s="960"/>
      <c r="S12" s="960"/>
      <c r="T12" s="960"/>
      <c r="U12" s="960"/>
      <c r="V12" s="960"/>
      <c r="W12" s="960"/>
      <c r="X12" s="960"/>
      <c r="Y12" s="960"/>
      <c r="Z12" s="960"/>
      <c r="AA12" s="960"/>
      <c r="AB12" s="960"/>
      <c r="AC12" s="960"/>
      <c r="AD12" s="961"/>
      <c r="AE12" s="962"/>
      <c r="AF12" s="962"/>
      <c r="AG12" s="962"/>
      <c r="AH12" s="962"/>
      <c r="AI12" s="962"/>
      <c r="AJ12" s="963"/>
      <c r="AK12" s="695"/>
    </row>
    <row r="13" spans="1:37" ht="13.75" customHeight="1">
      <c r="A13" s="698">
        <v>4</v>
      </c>
      <c r="B13" s="959" t="s">
        <v>668</v>
      </c>
      <c r="C13" s="959"/>
      <c r="D13" s="959"/>
      <c r="E13" s="959"/>
      <c r="F13" s="959"/>
      <c r="G13" s="959"/>
      <c r="H13" s="959"/>
      <c r="I13" s="959"/>
      <c r="J13" s="960" t="s">
        <v>643</v>
      </c>
      <c r="K13" s="960"/>
      <c r="L13" s="960"/>
      <c r="M13" s="960"/>
      <c r="N13" s="960"/>
      <c r="O13" s="960"/>
      <c r="P13" s="960"/>
      <c r="Q13" s="960"/>
      <c r="R13" s="960"/>
      <c r="S13" s="960"/>
      <c r="T13" s="960"/>
      <c r="U13" s="960"/>
      <c r="V13" s="960"/>
      <c r="W13" s="960"/>
      <c r="X13" s="960"/>
      <c r="Y13" s="960"/>
      <c r="Z13" s="960"/>
      <c r="AA13" s="960"/>
      <c r="AB13" s="960"/>
      <c r="AC13" s="960"/>
      <c r="AD13" s="961" t="s">
        <v>644</v>
      </c>
      <c r="AE13" s="962"/>
      <c r="AF13" s="962"/>
      <c r="AG13" s="962"/>
      <c r="AH13" s="962"/>
      <c r="AI13" s="962"/>
      <c r="AJ13" s="963"/>
      <c r="AK13" s="695"/>
    </row>
    <row r="14" spans="1:37" ht="13.75" customHeight="1">
      <c r="A14" s="698">
        <v>5</v>
      </c>
      <c r="B14" s="959" t="s">
        <v>319</v>
      </c>
      <c r="C14" s="959"/>
      <c r="D14" s="959"/>
      <c r="E14" s="959"/>
      <c r="F14" s="959"/>
      <c r="G14" s="959"/>
      <c r="H14" s="959"/>
      <c r="I14" s="959"/>
      <c r="J14" s="960" t="s">
        <v>645</v>
      </c>
      <c r="K14" s="960"/>
      <c r="L14" s="960"/>
      <c r="M14" s="960"/>
      <c r="N14" s="960"/>
      <c r="O14" s="960"/>
      <c r="P14" s="960"/>
      <c r="Q14" s="960"/>
      <c r="R14" s="960"/>
      <c r="S14" s="960"/>
      <c r="T14" s="960"/>
      <c r="U14" s="960"/>
      <c r="V14" s="960"/>
      <c r="W14" s="960"/>
      <c r="X14" s="960"/>
      <c r="Y14" s="960"/>
      <c r="Z14" s="960"/>
      <c r="AA14" s="960"/>
      <c r="AB14" s="960"/>
      <c r="AC14" s="960"/>
      <c r="AD14" s="961" t="s">
        <v>646</v>
      </c>
      <c r="AE14" s="962"/>
      <c r="AF14" s="962"/>
      <c r="AG14" s="962"/>
      <c r="AH14" s="962"/>
      <c r="AI14" s="962"/>
      <c r="AJ14" s="963"/>
      <c r="AK14" s="695"/>
    </row>
    <row r="15" spans="1:37" ht="27" customHeight="1">
      <c r="A15" s="698">
        <v>6</v>
      </c>
      <c r="B15" s="959" t="s">
        <v>668</v>
      </c>
      <c r="C15" s="959"/>
      <c r="D15" s="959"/>
      <c r="E15" s="959"/>
      <c r="F15" s="959"/>
      <c r="G15" s="959"/>
      <c r="H15" s="959"/>
      <c r="I15" s="959"/>
      <c r="J15" s="960" t="s">
        <v>647</v>
      </c>
      <c r="K15" s="960"/>
      <c r="L15" s="960"/>
      <c r="M15" s="960"/>
      <c r="N15" s="960"/>
      <c r="O15" s="960"/>
      <c r="P15" s="960"/>
      <c r="Q15" s="960"/>
      <c r="R15" s="960"/>
      <c r="S15" s="960"/>
      <c r="T15" s="960"/>
      <c r="U15" s="960"/>
      <c r="V15" s="960"/>
      <c r="W15" s="960"/>
      <c r="X15" s="960"/>
      <c r="Y15" s="960"/>
      <c r="Z15" s="960"/>
      <c r="AA15" s="960"/>
      <c r="AB15" s="960"/>
      <c r="AC15" s="960"/>
      <c r="AD15" s="969" t="s">
        <v>648</v>
      </c>
      <c r="AE15" s="970"/>
      <c r="AF15" s="970"/>
      <c r="AG15" s="970"/>
      <c r="AH15" s="970"/>
      <c r="AI15" s="970"/>
      <c r="AJ15" s="971"/>
      <c r="AK15" s="695"/>
    </row>
    <row r="16" spans="1:37" ht="27.75" customHeight="1">
      <c r="A16" s="698">
        <v>7</v>
      </c>
      <c r="B16" s="959" t="s">
        <v>669</v>
      </c>
      <c r="C16" s="959"/>
      <c r="D16" s="959"/>
      <c r="E16" s="959"/>
      <c r="F16" s="959"/>
      <c r="G16" s="959"/>
      <c r="H16" s="959"/>
      <c r="I16" s="959"/>
      <c r="J16" s="968" t="s">
        <v>305</v>
      </c>
      <c r="K16" s="968"/>
      <c r="L16" s="968"/>
      <c r="M16" s="968"/>
      <c r="N16" s="968"/>
      <c r="O16" s="968"/>
      <c r="P16" s="968"/>
      <c r="Q16" s="968"/>
      <c r="R16" s="968"/>
      <c r="S16" s="968"/>
      <c r="T16" s="968"/>
      <c r="U16" s="968"/>
      <c r="V16" s="968"/>
      <c r="W16" s="968"/>
      <c r="X16" s="968"/>
      <c r="Y16" s="968"/>
      <c r="Z16" s="968"/>
      <c r="AA16" s="968"/>
      <c r="AB16" s="968"/>
      <c r="AC16" s="968"/>
      <c r="AD16" s="969" t="s">
        <v>649</v>
      </c>
      <c r="AE16" s="970"/>
      <c r="AF16" s="970"/>
      <c r="AG16" s="970"/>
      <c r="AH16" s="970"/>
      <c r="AI16" s="970"/>
      <c r="AJ16" s="971"/>
      <c r="AK16" s="695"/>
    </row>
    <row r="17" spans="1:37" ht="13.75" customHeight="1">
      <c r="A17" s="698">
        <v>8</v>
      </c>
      <c r="B17" s="959" t="s">
        <v>670</v>
      </c>
      <c r="C17" s="959"/>
      <c r="D17" s="959"/>
      <c r="E17" s="959"/>
      <c r="F17" s="959"/>
      <c r="G17" s="959"/>
      <c r="H17" s="959"/>
      <c r="I17" s="959"/>
      <c r="J17" s="968" t="s">
        <v>305</v>
      </c>
      <c r="K17" s="968"/>
      <c r="L17" s="968"/>
      <c r="M17" s="968"/>
      <c r="N17" s="968"/>
      <c r="O17" s="968"/>
      <c r="P17" s="968"/>
      <c r="Q17" s="968"/>
      <c r="R17" s="968"/>
      <c r="S17" s="968"/>
      <c r="T17" s="968"/>
      <c r="U17" s="968"/>
      <c r="V17" s="968"/>
      <c r="W17" s="968"/>
      <c r="X17" s="968"/>
      <c r="Y17" s="968"/>
      <c r="Z17" s="968"/>
      <c r="AA17" s="968"/>
      <c r="AB17" s="968"/>
      <c r="AC17" s="968"/>
      <c r="AD17" s="969" t="s">
        <v>650</v>
      </c>
      <c r="AE17" s="970"/>
      <c r="AF17" s="970"/>
      <c r="AG17" s="970"/>
      <c r="AH17" s="970"/>
      <c r="AI17" s="970"/>
      <c r="AJ17" s="971"/>
      <c r="AK17" s="695"/>
    </row>
    <row r="18" spans="1:37" ht="13.75" customHeight="1">
      <c r="A18" s="698">
        <v>9</v>
      </c>
      <c r="B18" s="959" t="s">
        <v>671</v>
      </c>
      <c r="C18" s="959"/>
      <c r="D18" s="959"/>
      <c r="E18" s="959"/>
      <c r="F18" s="959"/>
      <c r="G18" s="959"/>
      <c r="H18" s="959"/>
      <c r="I18" s="959"/>
      <c r="J18" s="968" t="s">
        <v>305</v>
      </c>
      <c r="K18" s="968"/>
      <c r="L18" s="968"/>
      <c r="M18" s="968"/>
      <c r="N18" s="968"/>
      <c r="O18" s="968"/>
      <c r="P18" s="968"/>
      <c r="Q18" s="968"/>
      <c r="R18" s="968"/>
      <c r="S18" s="968"/>
      <c r="T18" s="968"/>
      <c r="U18" s="968"/>
      <c r="V18" s="968"/>
      <c r="W18" s="968"/>
      <c r="X18" s="968"/>
      <c r="Y18" s="968"/>
      <c r="Z18" s="968"/>
      <c r="AA18" s="968"/>
      <c r="AB18" s="968"/>
      <c r="AC18" s="968"/>
      <c r="AD18" s="969" t="s">
        <v>650</v>
      </c>
      <c r="AE18" s="970"/>
      <c r="AF18" s="970"/>
      <c r="AG18" s="970"/>
      <c r="AH18" s="970"/>
      <c r="AI18" s="970"/>
      <c r="AJ18" s="971"/>
      <c r="AK18" s="695"/>
    </row>
    <row r="19" spans="1:37" ht="13.75" customHeight="1">
      <c r="A19" s="698">
        <v>10</v>
      </c>
      <c r="B19" s="959" t="s">
        <v>672</v>
      </c>
      <c r="C19" s="959"/>
      <c r="D19" s="959"/>
      <c r="E19" s="959"/>
      <c r="F19" s="959"/>
      <c r="G19" s="959"/>
      <c r="H19" s="959"/>
      <c r="I19" s="959"/>
      <c r="J19" s="968" t="s">
        <v>305</v>
      </c>
      <c r="K19" s="968"/>
      <c r="L19" s="968"/>
      <c r="M19" s="968"/>
      <c r="N19" s="968"/>
      <c r="O19" s="968"/>
      <c r="P19" s="968"/>
      <c r="Q19" s="968"/>
      <c r="R19" s="968"/>
      <c r="S19" s="968"/>
      <c r="T19" s="968"/>
      <c r="U19" s="968"/>
      <c r="V19" s="968"/>
      <c r="W19" s="968"/>
      <c r="X19" s="968"/>
      <c r="Y19" s="968"/>
      <c r="Z19" s="968"/>
      <c r="AA19" s="968"/>
      <c r="AB19" s="968"/>
      <c r="AC19" s="968"/>
      <c r="AD19" s="969" t="s">
        <v>650</v>
      </c>
      <c r="AE19" s="970"/>
      <c r="AF19" s="970"/>
      <c r="AG19" s="970"/>
      <c r="AH19" s="970"/>
      <c r="AI19" s="970"/>
      <c r="AJ19" s="971"/>
      <c r="AK19" s="695"/>
    </row>
    <row r="20" spans="1:37" ht="13.75" customHeight="1">
      <c r="A20" s="698"/>
      <c r="B20" s="959"/>
      <c r="C20" s="959"/>
      <c r="D20" s="959"/>
      <c r="E20" s="959"/>
      <c r="F20" s="959"/>
      <c r="G20" s="959"/>
      <c r="H20" s="959"/>
      <c r="I20" s="959"/>
      <c r="J20" s="960"/>
      <c r="K20" s="960"/>
      <c r="L20" s="960"/>
      <c r="M20" s="960"/>
      <c r="N20" s="960"/>
      <c r="O20" s="960"/>
      <c r="P20" s="960"/>
      <c r="Q20" s="960"/>
      <c r="R20" s="960"/>
      <c r="S20" s="960"/>
      <c r="T20" s="960"/>
      <c r="U20" s="960"/>
      <c r="V20" s="960"/>
      <c r="W20" s="960"/>
      <c r="X20" s="960"/>
      <c r="Y20" s="960"/>
      <c r="Z20" s="960"/>
      <c r="AA20" s="960"/>
      <c r="AB20" s="960"/>
      <c r="AC20" s="960"/>
      <c r="AD20" s="961"/>
      <c r="AE20" s="962"/>
      <c r="AF20" s="962"/>
      <c r="AG20" s="962"/>
      <c r="AH20" s="962"/>
      <c r="AI20" s="962"/>
      <c r="AJ20" s="963"/>
      <c r="AK20" s="695"/>
    </row>
    <row r="21" spans="1:37" ht="13.75" customHeight="1">
      <c r="A21" s="699"/>
      <c r="B21" s="959"/>
      <c r="C21" s="959"/>
      <c r="D21" s="959"/>
      <c r="E21" s="959"/>
      <c r="F21" s="959"/>
      <c r="G21" s="959"/>
      <c r="H21" s="959"/>
      <c r="I21" s="959"/>
      <c r="J21" s="960"/>
      <c r="K21" s="960"/>
      <c r="L21" s="960"/>
      <c r="M21" s="960"/>
      <c r="N21" s="960"/>
      <c r="O21" s="960"/>
      <c r="P21" s="960"/>
      <c r="Q21" s="960"/>
      <c r="R21" s="960"/>
      <c r="S21" s="960"/>
      <c r="T21" s="960"/>
      <c r="U21" s="960"/>
      <c r="V21" s="960"/>
      <c r="W21" s="960"/>
      <c r="X21" s="960"/>
      <c r="Y21" s="960"/>
      <c r="Z21" s="960"/>
      <c r="AA21" s="960"/>
      <c r="AB21" s="960"/>
      <c r="AC21" s="960"/>
      <c r="AD21" s="961"/>
      <c r="AE21" s="962"/>
      <c r="AF21" s="962"/>
      <c r="AG21" s="962"/>
      <c r="AH21" s="962"/>
      <c r="AI21" s="962"/>
      <c r="AJ21" s="963"/>
      <c r="AK21" s="695"/>
    </row>
    <row r="22" spans="1:37" ht="13.75" customHeight="1">
      <c r="A22" s="698"/>
      <c r="B22" s="966" t="s">
        <v>673</v>
      </c>
      <c r="C22" s="966"/>
      <c r="D22" s="966"/>
      <c r="E22" s="966"/>
      <c r="F22" s="966"/>
      <c r="G22" s="966"/>
      <c r="H22" s="966"/>
      <c r="I22" s="966"/>
      <c r="J22" s="967"/>
      <c r="K22" s="967"/>
      <c r="L22" s="967"/>
      <c r="M22" s="967"/>
      <c r="N22" s="967"/>
      <c r="O22" s="967"/>
      <c r="P22" s="967"/>
      <c r="Q22" s="967"/>
      <c r="R22" s="967"/>
      <c r="S22" s="967"/>
      <c r="T22" s="967"/>
      <c r="U22" s="967"/>
      <c r="V22" s="967"/>
      <c r="W22" s="967"/>
      <c r="X22" s="967"/>
      <c r="Y22" s="967"/>
      <c r="Z22" s="967"/>
      <c r="AA22" s="967"/>
      <c r="AB22" s="967"/>
      <c r="AC22" s="967"/>
      <c r="AD22" s="967"/>
      <c r="AE22" s="967"/>
      <c r="AF22" s="967"/>
      <c r="AG22" s="967"/>
      <c r="AH22" s="967"/>
      <c r="AI22" s="967"/>
      <c r="AJ22" s="967"/>
      <c r="AK22" s="695"/>
    </row>
    <row r="23" spans="1:37" ht="13.75" customHeight="1">
      <c r="A23" s="698">
        <v>1</v>
      </c>
      <c r="B23" s="959" t="s">
        <v>372</v>
      </c>
      <c r="C23" s="959"/>
      <c r="D23" s="959"/>
      <c r="E23" s="959"/>
      <c r="F23" s="959"/>
      <c r="G23" s="959"/>
      <c r="H23" s="959"/>
      <c r="I23" s="959"/>
      <c r="J23" s="960" t="s">
        <v>651</v>
      </c>
      <c r="K23" s="960"/>
      <c r="L23" s="960"/>
      <c r="M23" s="960"/>
      <c r="N23" s="960"/>
      <c r="O23" s="960"/>
      <c r="P23" s="960"/>
      <c r="Q23" s="960"/>
      <c r="R23" s="960"/>
      <c r="S23" s="960"/>
      <c r="T23" s="960"/>
      <c r="U23" s="960"/>
      <c r="V23" s="960"/>
      <c r="W23" s="960"/>
      <c r="X23" s="960"/>
      <c r="Y23" s="960"/>
      <c r="Z23" s="960"/>
      <c r="AA23" s="960"/>
      <c r="AB23" s="960"/>
      <c r="AC23" s="960"/>
      <c r="AD23" s="961" t="s">
        <v>652</v>
      </c>
      <c r="AE23" s="962"/>
      <c r="AF23" s="962"/>
      <c r="AG23" s="962"/>
      <c r="AH23" s="962"/>
      <c r="AI23" s="962"/>
      <c r="AJ23" s="963"/>
      <c r="AK23" s="695"/>
    </row>
    <row r="24" spans="1:37" ht="34.5" customHeight="1">
      <c r="A24" s="698">
        <v>2</v>
      </c>
      <c r="B24" s="959" t="s">
        <v>674</v>
      </c>
      <c r="C24" s="959"/>
      <c r="D24" s="959"/>
      <c r="E24" s="959"/>
      <c r="F24" s="959"/>
      <c r="G24" s="959"/>
      <c r="H24" s="959"/>
      <c r="I24" s="959"/>
      <c r="J24" s="960" t="s">
        <v>653</v>
      </c>
      <c r="K24" s="960"/>
      <c r="L24" s="960"/>
      <c r="M24" s="960"/>
      <c r="N24" s="960"/>
      <c r="O24" s="960"/>
      <c r="P24" s="960"/>
      <c r="Q24" s="960"/>
      <c r="R24" s="960"/>
      <c r="S24" s="960"/>
      <c r="T24" s="960"/>
      <c r="U24" s="960"/>
      <c r="V24" s="960"/>
      <c r="W24" s="960"/>
      <c r="X24" s="960"/>
      <c r="Y24" s="960"/>
      <c r="Z24" s="960"/>
      <c r="AA24" s="960"/>
      <c r="AB24" s="960"/>
      <c r="AC24" s="960"/>
      <c r="AD24" s="961" t="s">
        <v>654</v>
      </c>
      <c r="AE24" s="962"/>
      <c r="AF24" s="962"/>
      <c r="AG24" s="962"/>
      <c r="AH24" s="962"/>
      <c r="AI24" s="962"/>
      <c r="AJ24" s="963"/>
      <c r="AK24" s="695"/>
    </row>
    <row r="25" spans="1:37" ht="13.75" customHeight="1">
      <c r="A25" s="698">
        <v>3</v>
      </c>
      <c r="B25" s="959" t="s">
        <v>301</v>
      </c>
      <c r="C25" s="959"/>
      <c r="D25" s="959"/>
      <c r="E25" s="959"/>
      <c r="F25" s="959"/>
      <c r="G25" s="959"/>
      <c r="H25" s="959"/>
      <c r="I25" s="959"/>
      <c r="J25" s="960" t="s">
        <v>655</v>
      </c>
      <c r="K25" s="960"/>
      <c r="L25" s="960"/>
      <c r="M25" s="960"/>
      <c r="N25" s="960"/>
      <c r="O25" s="960"/>
      <c r="P25" s="960"/>
      <c r="Q25" s="960"/>
      <c r="R25" s="960"/>
      <c r="S25" s="960"/>
      <c r="T25" s="960"/>
      <c r="U25" s="960"/>
      <c r="V25" s="960"/>
      <c r="W25" s="960"/>
      <c r="X25" s="960"/>
      <c r="Y25" s="960"/>
      <c r="Z25" s="960"/>
      <c r="AA25" s="960"/>
      <c r="AB25" s="960"/>
      <c r="AC25" s="960"/>
      <c r="AD25" s="961" t="s">
        <v>656</v>
      </c>
      <c r="AE25" s="962"/>
      <c r="AF25" s="962"/>
      <c r="AG25" s="962"/>
      <c r="AH25" s="962"/>
      <c r="AI25" s="962"/>
      <c r="AJ25" s="963"/>
    </row>
    <row r="26" spans="1:37" ht="13.75" customHeight="1">
      <c r="A26" s="698">
        <v>4</v>
      </c>
      <c r="B26" s="959" t="s">
        <v>675</v>
      </c>
      <c r="C26" s="959"/>
      <c r="D26" s="959"/>
      <c r="E26" s="959"/>
      <c r="F26" s="959"/>
      <c r="G26" s="959"/>
      <c r="H26" s="959"/>
      <c r="I26" s="959"/>
      <c r="J26" s="960" t="s">
        <v>657</v>
      </c>
      <c r="K26" s="960"/>
      <c r="L26" s="960"/>
      <c r="M26" s="960"/>
      <c r="N26" s="960"/>
      <c r="O26" s="960"/>
      <c r="P26" s="960"/>
      <c r="Q26" s="960"/>
      <c r="R26" s="960"/>
      <c r="S26" s="960"/>
      <c r="T26" s="960"/>
      <c r="U26" s="960"/>
      <c r="V26" s="960"/>
      <c r="W26" s="960"/>
      <c r="X26" s="960"/>
      <c r="Y26" s="960"/>
      <c r="Z26" s="960"/>
      <c r="AA26" s="960"/>
      <c r="AB26" s="960"/>
      <c r="AC26" s="960"/>
      <c r="AD26" s="961" t="s">
        <v>656</v>
      </c>
      <c r="AE26" s="962"/>
      <c r="AF26" s="962"/>
      <c r="AG26" s="962"/>
      <c r="AH26" s="962"/>
      <c r="AI26" s="962"/>
      <c r="AJ26" s="963"/>
    </row>
    <row r="27" spans="1:37" ht="74.25" customHeight="1">
      <c r="A27" s="698">
        <v>5</v>
      </c>
      <c r="B27" s="959" t="s">
        <v>676</v>
      </c>
      <c r="C27" s="959"/>
      <c r="D27" s="959"/>
      <c r="E27" s="959"/>
      <c r="F27" s="959"/>
      <c r="G27" s="959"/>
      <c r="H27" s="959"/>
      <c r="I27" s="959"/>
      <c r="J27" s="965" t="s">
        <v>658</v>
      </c>
      <c r="K27" s="960"/>
      <c r="L27" s="960"/>
      <c r="M27" s="960"/>
      <c r="N27" s="960"/>
      <c r="O27" s="960"/>
      <c r="P27" s="960"/>
      <c r="Q27" s="960"/>
      <c r="R27" s="960"/>
      <c r="S27" s="960"/>
      <c r="T27" s="960"/>
      <c r="U27" s="960"/>
      <c r="V27" s="960"/>
      <c r="W27" s="960"/>
      <c r="X27" s="960"/>
      <c r="Y27" s="960"/>
      <c r="Z27" s="960"/>
      <c r="AA27" s="960"/>
      <c r="AB27" s="960"/>
      <c r="AC27" s="960"/>
      <c r="AD27" s="961" t="s">
        <v>656</v>
      </c>
      <c r="AE27" s="962"/>
      <c r="AF27" s="962"/>
      <c r="AG27" s="962"/>
      <c r="AH27" s="962"/>
      <c r="AI27" s="962"/>
      <c r="AJ27" s="963"/>
    </row>
    <row r="28" spans="1:37" ht="13.75" customHeight="1">
      <c r="A28" s="698">
        <v>6</v>
      </c>
      <c r="B28" s="959" t="s">
        <v>579</v>
      </c>
      <c r="C28" s="959"/>
      <c r="D28" s="959"/>
      <c r="E28" s="959"/>
      <c r="F28" s="959"/>
      <c r="G28" s="959"/>
      <c r="H28" s="959"/>
      <c r="I28" s="959"/>
      <c r="J28" s="960" t="s">
        <v>659</v>
      </c>
      <c r="K28" s="960"/>
      <c r="L28" s="960"/>
      <c r="M28" s="960"/>
      <c r="N28" s="960"/>
      <c r="O28" s="960"/>
      <c r="P28" s="960"/>
      <c r="Q28" s="960"/>
      <c r="R28" s="960"/>
      <c r="S28" s="960"/>
      <c r="T28" s="960"/>
      <c r="U28" s="960"/>
      <c r="V28" s="960"/>
      <c r="W28" s="960"/>
      <c r="X28" s="960"/>
      <c r="Y28" s="960"/>
      <c r="Z28" s="960"/>
      <c r="AA28" s="960"/>
      <c r="AB28" s="960"/>
      <c r="AC28" s="960"/>
      <c r="AD28" s="961" t="s">
        <v>656</v>
      </c>
      <c r="AE28" s="962"/>
      <c r="AF28" s="962"/>
      <c r="AG28" s="962"/>
      <c r="AH28" s="962"/>
      <c r="AI28" s="962"/>
      <c r="AJ28" s="963"/>
    </row>
    <row r="29" spans="1:37" ht="13.75" customHeight="1">
      <c r="A29" s="698"/>
      <c r="B29" s="959"/>
      <c r="C29" s="959"/>
      <c r="D29" s="959"/>
      <c r="E29" s="959"/>
      <c r="F29" s="959"/>
      <c r="G29" s="959"/>
      <c r="H29" s="959"/>
      <c r="I29" s="959"/>
      <c r="J29" s="960"/>
      <c r="K29" s="960"/>
      <c r="L29" s="960"/>
      <c r="M29" s="960"/>
      <c r="N29" s="960"/>
      <c r="O29" s="960"/>
      <c r="P29" s="960"/>
      <c r="Q29" s="960"/>
      <c r="R29" s="960"/>
      <c r="S29" s="960"/>
      <c r="T29" s="960"/>
      <c r="U29" s="960"/>
      <c r="V29" s="960"/>
      <c r="W29" s="960"/>
      <c r="X29" s="960"/>
      <c r="Y29" s="960"/>
      <c r="Z29" s="960"/>
      <c r="AA29" s="960"/>
      <c r="AB29" s="960"/>
      <c r="AC29" s="960"/>
      <c r="AD29" s="961"/>
      <c r="AE29" s="962"/>
      <c r="AF29" s="962"/>
      <c r="AG29" s="962"/>
      <c r="AH29" s="962"/>
      <c r="AI29" s="962"/>
      <c r="AJ29" s="963"/>
    </row>
    <row r="30" spans="1:37">
      <c r="A30" s="964" t="s">
        <v>22</v>
      </c>
      <c r="B30" s="964"/>
      <c r="C30" s="964"/>
      <c r="D30" s="964"/>
      <c r="E30" s="964"/>
      <c r="F30" s="964"/>
      <c r="G30" s="964"/>
      <c r="H30" s="964"/>
      <c r="I30" s="964"/>
      <c r="J30" s="700"/>
      <c r="K30" s="701"/>
      <c r="L30" s="701"/>
      <c r="M30" s="701"/>
      <c r="N30" s="701"/>
      <c r="O30" s="701"/>
      <c r="P30" s="701"/>
      <c r="Q30" s="701"/>
      <c r="R30" s="701"/>
      <c r="S30" s="701"/>
      <c r="T30" s="702"/>
      <c r="U30" s="702"/>
      <c r="V30" s="702"/>
      <c r="W30" s="702"/>
      <c r="X30" s="702"/>
      <c r="Y30" s="702"/>
      <c r="Z30" s="702"/>
      <c r="AA30" s="702"/>
      <c r="AB30" s="702"/>
      <c r="AC30" s="702"/>
      <c r="AD30" s="702"/>
      <c r="AE30" s="702"/>
      <c r="AF30" s="702"/>
      <c r="AG30" s="702"/>
      <c r="AH30" s="702"/>
      <c r="AI30" s="702"/>
      <c r="AJ30" s="703"/>
    </row>
    <row r="31" spans="1:37">
      <c r="A31" s="704" t="s">
        <v>660</v>
      </c>
      <c r="B31" s="701"/>
      <c r="C31" s="705" t="s">
        <v>661</v>
      </c>
      <c r="D31" s="701"/>
      <c r="E31" s="701"/>
      <c r="F31" s="701"/>
      <c r="G31" s="701"/>
      <c r="H31" s="701"/>
      <c r="I31" s="701"/>
      <c r="J31" s="705"/>
      <c r="K31" s="705"/>
      <c r="L31" s="705"/>
      <c r="M31" s="705"/>
      <c r="N31" s="705"/>
      <c r="O31" s="705"/>
      <c r="P31" s="705"/>
      <c r="Q31" s="705"/>
      <c r="R31" s="705"/>
      <c r="S31" s="705"/>
      <c r="T31" s="695"/>
      <c r="U31" s="695"/>
      <c r="V31" s="695"/>
      <c r="W31" s="695"/>
      <c r="X31" s="695"/>
      <c r="Y31" s="695"/>
      <c r="Z31" s="695"/>
      <c r="AA31" s="695"/>
      <c r="AB31" s="695"/>
      <c r="AC31" s="695"/>
      <c r="AD31" s="695"/>
      <c r="AE31" s="695"/>
      <c r="AF31" s="695"/>
      <c r="AG31" s="695"/>
      <c r="AH31" s="695"/>
      <c r="AI31" s="695"/>
      <c r="AJ31" s="706"/>
    </row>
    <row r="32" spans="1:37">
      <c r="A32" s="707"/>
      <c r="B32" s="705"/>
      <c r="C32" s="705" t="s">
        <v>662</v>
      </c>
      <c r="D32" s="705"/>
      <c r="E32" s="705"/>
      <c r="F32" s="705"/>
      <c r="G32" s="705"/>
      <c r="H32" s="705"/>
      <c r="I32" s="705"/>
      <c r="J32" s="705"/>
      <c r="K32" s="705"/>
      <c r="L32" s="705"/>
      <c r="M32" s="705"/>
      <c r="N32" s="705"/>
      <c r="O32" s="705"/>
      <c r="P32" s="705"/>
      <c r="Q32" s="705"/>
      <c r="R32" s="705"/>
      <c r="S32" s="705"/>
      <c r="T32" s="695"/>
      <c r="U32" s="695"/>
      <c r="V32" s="695"/>
      <c r="W32" s="695"/>
      <c r="X32" s="695"/>
      <c r="Y32" s="695"/>
      <c r="Z32" s="695"/>
      <c r="AA32" s="695"/>
      <c r="AB32" s="695"/>
      <c r="AC32" s="695"/>
      <c r="AD32" s="695"/>
      <c r="AE32" s="695"/>
      <c r="AF32" s="695"/>
      <c r="AG32" s="695"/>
      <c r="AH32" s="695"/>
      <c r="AI32" s="695"/>
      <c r="AJ32" s="706"/>
    </row>
    <row r="33" spans="1:36">
      <c r="A33" s="707"/>
      <c r="B33" s="705"/>
      <c r="C33" s="705" t="s">
        <v>663</v>
      </c>
      <c r="D33" s="705"/>
      <c r="E33" s="705"/>
      <c r="F33" s="705"/>
      <c r="G33" s="705"/>
      <c r="H33" s="705"/>
      <c r="I33" s="705"/>
      <c r="J33" s="705"/>
      <c r="K33" s="705"/>
      <c r="L33" s="705"/>
      <c r="M33" s="705"/>
      <c r="N33" s="705"/>
      <c r="O33" s="705"/>
      <c r="P33" s="705"/>
      <c r="Q33" s="705"/>
      <c r="R33" s="705"/>
      <c r="S33" s="705"/>
      <c r="T33" s="695"/>
      <c r="U33" s="695"/>
      <c r="V33" s="695"/>
      <c r="W33" s="695"/>
      <c r="X33" s="695"/>
      <c r="Y33" s="695"/>
      <c r="Z33" s="695"/>
      <c r="AA33" s="695"/>
      <c r="AB33" s="695"/>
      <c r="AC33" s="695"/>
      <c r="AD33" s="695"/>
      <c r="AE33" s="695"/>
      <c r="AF33" s="695"/>
      <c r="AG33" s="695"/>
      <c r="AH33" s="695"/>
      <c r="AI33" s="695"/>
      <c r="AJ33" s="706"/>
    </row>
    <row r="34" spans="1:36">
      <c r="A34" s="707"/>
      <c r="B34" s="705"/>
      <c r="C34" s="705"/>
      <c r="D34" s="705"/>
      <c r="E34" s="705"/>
      <c r="F34" s="705"/>
      <c r="G34" s="705"/>
      <c r="H34" s="705"/>
      <c r="I34" s="705"/>
      <c r="J34" s="705"/>
      <c r="K34" s="705"/>
      <c r="L34" s="705"/>
      <c r="M34" s="705"/>
      <c r="N34" s="705"/>
      <c r="O34" s="705"/>
      <c r="P34" s="705"/>
      <c r="Q34" s="705"/>
      <c r="R34" s="705"/>
      <c r="S34" s="705"/>
      <c r="T34" s="695"/>
      <c r="U34" s="695"/>
      <c r="V34" s="695"/>
      <c r="W34" s="695"/>
      <c r="X34" s="695"/>
      <c r="Y34" s="695"/>
      <c r="Z34" s="695"/>
      <c r="AA34" s="695"/>
      <c r="AB34" s="695"/>
      <c r="AC34" s="695"/>
      <c r="AD34" s="695"/>
      <c r="AE34" s="695"/>
      <c r="AF34" s="695"/>
      <c r="AG34" s="695"/>
      <c r="AH34" s="695"/>
      <c r="AI34" s="695"/>
      <c r="AJ34" s="706"/>
    </row>
    <row r="35" spans="1:36">
      <c r="A35" s="708"/>
      <c r="B35" s="709"/>
      <c r="C35" s="709"/>
      <c r="D35" s="709"/>
      <c r="E35" s="709"/>
      <c r="F35" s="709"/>
      <c r="G35" s="709"/>
      <c r="H35" s="709"/>
      <c r="I35" s="709"/>
      <c r="J35" s="709"/>
      <c r="K35" s="709"/>
      <c r="L35" s="709"/>
      <c r="M35" s="709"/>
      <c r="N35" s="709"/>
      <c r="O35" s="709"/>
      <c r="P35" s="709"/>
      <c r="Q35" s="709"/>
      <c r="R35" s="709"/>
      <c r="S35" s="709"/>
      <c r="T35" s="710"/>
      <c r="U35" s="710"/>
      <c r="V35" s="710"/>
      <c r="W35" s="710"/>
      <c r="X35" s="710"/>
      <c r="Y35" s="710"/>
      <c r="Z35" s="710"/>
      <c r="AA35" s="710"/>
      <c r="AB35" s="710"/>
      <c r="AC35" s="710"/>
      <c r="AD35" s="710"/>
      <c r="AE35" s="710"/>
      <c r="AF35" s="710"/>
      <c r="AG35" s="710"/>
      <c r="AH35" s="710"/>
      <c r="AI35" s="710"/>
      <c r="AJ35" s="711"/>
    </row>
  </sheetData>
  <mergeCells count="72">
    <mergeCell ref="A1:M1"/>
    <mergeCell ref="A2:AJ4"/>
    <mergeCell ref="A5:I5"/>
    <mergeCell ref="J5:AJ5"/>
    <mergeCell ref="A6:I7"/>
    <mergeCell ref="J6:AC8"/>
    <mergeCell ref="AD6:AJ8"/>
    <mergeCell ref="B8:I8"/>
    <mergeCell ref="B9:I9"/>
    <mergeCell ref="J9:AC9"/>
    <mergeCell ref="AD9:AJ9"/>
    <mergeCell ref="B10:I10"/>
    <mergeCell ref="J10:AC10"/>
    <mergeCell ref="AD10:AJ10"/>
    <mergeCell ref="B11:I11"/>
    <mergeCell ref="J11:AC11"/>
    <mergeCell ref="AD11:AJ11"/>
    <mergeCell ref="B12:I12"/>
    <mergeCell ref="J12:AC12"/>
    <mergeCell ref="AD12:AJ12"/>
    <mergeCell ref="B13:I13"/>
    <mergeCell ref="J13:AC13"/>
    <mergeCell ref="AD13:AJ13"/>
    <mergeCell ref="B14:I14"/>
    <mergeCell ref="J14:AC14"/>
    <mergeCell ref="AD14:AJ14"/>
    <mergeCell ref="B15:I15"/>
    <mergeCell ref="J15:AC15"/>
    <mergeCell ref="AD15:AJ15"/>
    <mergeCell ref="B16:I16"/>
    <mergeCell ref="J16:AC16"/>
    <mergeCell ref="AD16:AJ16"/>
    <mergeCell ref="B17:I17"/>
    <mergeCell ref="J17:AC17"/>
    <mergeCell ref="AD17:AJ17"/>
    <mergeCell ref="B18:I18"/>
    <mergeCell ref="J18:AC18"/>
    <mergeCell ref="AD18:AJ18"/>
    <mergeCell ref="B19:I19"/>
    <mergeCell ref="J19:AC19"/>
    <mergeCell ref="AD19:AJ19"/>
    <mergeCell ref="B20:I20"/>
    <mergeCell ref="J20:AC20"/>
    <mergeCell ref="AD20:AJ20"/>
    <mergeCell ref="B21:I21"/>
    <mergeCell ref="J21:AC21"/>
    <mergeCell ref="AD21:AJ21"/>
    <mergeCell ref="B22:I22"/>
    <mergeCell ref="J22:AC22"/>
    <mergeCell ref="AD22:AJ22"/>
    <mergeCell ref="B23:I23"/>
    <mergeCell ref="J23:AC23"/>
    <mergeCell ref="AD23:AJ23"/>
    <mergeCell ref="B24:I24"/>
    <mergeCell ref="J24:AC24"/>
    <mergeCell ref="AD24:AJ24"/>
    <mergeCell ref="B25:I25"/>
    <mergeCell ref="J25:AC25"/>
    <mergeCell ref="AD25:AJ25"/>
    <mergeCell ref="B26:I26"/>
    <mergeCell ref="J26:AC26"/>
    <mergeCell ref="AD26:AJ26"/>
    <mergeCell ref="B29:I29"/>
    <mergeCell ref="J29:AC29"/>
    <mergeCell ref="AD29:AJ29"/>
    <mergeCell ref="A30:I30"/>
    <mergeCell ref="B27:I27"/>
    <mergeCell ref="J27:AC27"/>
    <mergeCell ref="AD27:AJ27"/>
    <mergeCell ref="B28:I28"/>
    <mergeCell ref="J28:AC28"/>
    <mergeCell ref="AD28:AJ28"/>
  </mergeCells>
  <phoneticPr fontId="57"/>
  <dataValidations count="1">
    <dataValidation type="list" allowBlank="1" showInputMessage="1" showErrorMessage="1" sqref="WVR982940:WVW982961 WLV982940:WMA982961 WBZ982940:WCE982961 VSD982940:VSI982961 VIH982940:VIM982961 UYL982940:UYQ982961 UOP982940:UOU982961 UET982940:UEY982961 TUX982940:TVC982961 TLB982940:TLG982961 TBF982940:TBK982961 SRJ982940:SRO982961 SHN982940:SHS982961 RXR982940:RXW982961 RNV982940:ROA982961 RDZ982940:REE982961 QUD982940:QUI982961 QKH982940:QKM982961 QAL982940:QAQ982961 PQP982940:PQU982961 PGT982940:PGY982961 OWX982940:OXC982961 ONB982940:ONG982961 ODF982940:ODK982961 NTJ982940:NTO982961 NJN982940:NJS982961 MZR982940:MZW982961 MPV982940:MQA982961 MFZ982940:MGE982961 LWD982940:LWI982961 LMH982940:LMM982961 LCL982940:LCQ982961 KSP982940:KSU982961 KIT982940:KIY982961 JYX982940:JZC982961 JPB982940:JPG982961 JFF982940:JFK982961 IVJ982940:IVO982961 ILN982940:ILS982961 IBR982940:IBW982961 HRV982940:HSA982961 HHZ982940:HIE982961 GYD982940:GYI982961 GOH982940:GOM982961 GEL982940:GEQ982961 FUP982940:FUU982961 FKT982940:FKY982961 FAX982940:FBC982961 ERB982940:ERG982961 EHF982940:EHK982961 DXJ982940:DXO982961 DNN982940:DNS982961 DDR982940:DDW982961 CTV982940:CUA982961 CJZ982940:CKE982961 CAD982940:CAI982961 BQH982940:BQM982961 BGL982940:BGQ982961 AWP982940:AWU982961 AMT982940:AMY982961 ACX982940:ADC982961 TB982940:TG982961 JF982940:JK982961 J982940:O982961 WVR917404:WVW917425 WLV917404:WMA917425 WBZ917404:WCE917425 VSD917404:VSI917425 VIH917404:VIM917425 UYL917404:UYQ917425 UOP917404:UOU917425 UET917404:UEY917425 TUX917404:TVC917425 TLB917404:TLG917425 TBF917404:TBK917425 SRJ917404:SRO917425 SHN917404:SHS917425 RXR917404:RXW917425 RNV917404:ROA917425 RDZ917404:REE917425 QUD917404:QUI917425 QKH917404:QKM917425 QAL917404:QAQ917425 PQP917404:PQU917425 PGT917404:PGY917425 OWX917404:OXC917425 ONB917404:ONG917425 ODF917404:ODK917425 NTJ917404:NTO917425 NJN917404:NJS917425 MZR917404:MZW917425 MPV917404:MQA917425 MFZ917404:MGE917425 LWD917404:LWI917425 LMH917404:LMM917425 LCL917404:LCQ917425 KSP917404:KSU917425 KIT917404:KIY917425 JYX917404:JZC917425 JPB917404:JPG917425 JFF917404:JFK917425 IVJ917404:IVO917425 ILN917404:ILS917425 IBR917404:IBW917425 HRV917404:HSA917425 HHZ917404:HIE917425 GYD917404:GYI917425 GOH917404:GOM917425 GEL917404:GEQ917425 FUP917404:FUU917425 FKT917404:FKY917425 FAX917404:FBC917425 ERB917404:ERG917425 EHF917404:EHK917425 DXJ917404:DXO917425 DNN917404:DNS917425 DDR917404:DDW917425 CTV917404:CUA917425 CJZ917404:CKE917425 CAD917404:CAI917425 BQH917404:BQM917425 BGL917404:BGQ917425 AWP917404:AWU917425 AMT917404:AMY917425 ACX917404:ADC917425 TB917404:TG917425 JF917404:JK917425 J917404:O917425 WVR851868:WVW851889 WLV851868:WMA851889 WBZ851868:WCE851889 VSD851868:VSI851889 VIH851868:VIM851889 UYL851868:UYQ851889 UOP851868:UOU851889 UET851868:UEY851889 TUX851868:TVC851889 TLB851868:TLG851889 TBF851868:TBK851889 SRJ851868:SRO851889 SHN851868:SHS851889 RXR851868:RXW851889 RNV851868:ROA851889 RDZ851868:REE851889 QUD851868:QUI851889 QKH851868:QKM851889 QAL851868:QAQ851889 PQP851868:PQU851889 PGT851868:PGY851889 OWX851868:OXC851889 ONB851868:ONG851889 ODF851868:ODK851889 NTJ851868:NTO851889 NJN851868:NJS851889 MZR851868:MZW851889 MPV851868:MQA851889 MFZ851868:MGE851889 LWD851868:LWI851889 LMH851868:LMM851889 LCL851868:LCQ851889 KSP851868:KSU851889 KIT851868:KIY851889 JYX851868:JZC851889 JPB851868:JPG851889 JFF851868:JFK851889 IVJ851868:IVO851889 ILN851868:ILS851889 IBR851868:IBW851889 HRV851868:HSA851889 HHZ851868:HIE851889 GYD851868:GYI851889 GOH851868:GOM851889 GEL851868:GEQ851889 FUP851868:FUU851889 FKT851868:FKY851889 FAX851868:FBC851889 ERB851868:ERG851889 EHF851868:EHK851889 DXJ851868:DXO851889 DNN851868:DNS851889 DDR851868:DDW851889 CTV851868:CUA851889 CJZ851868:CKE851889 CAD851868:CAI851889 BQH851868:BQM851889 BGL851868:BGQ851889 AWP851868:AWU851889 AMT851868:AMY851889 ACX851868:ADC851889 TB851868:TG851889 JF851868:JK851889 J851868:O851889 WVR786332:WVW786353 WLV786332:WMA786353 WBZ786332:WCE786353 VSD786332:VSI786353 VIH786332:VIM786353 UYL786332:UYQ786353 UOP786332:UOU786353 UET786332:UEY786353 TUX786332:TVC786353 TLB786332:TLG786353 TBF786332:TBK786353 SRJ786332:SRO786353 SHN786332:SHS786353 RXR786332:RXW786353 RNV786332:ROA786353 RDZ786332:REE786353 QUD786332:QUI786353 QKH786332:QKM786353 QAL786332:QAQ786353 PQP786332:PQU786353 PGT786332:PGY786353 OWX786332:OXC786353 ONB786332:ONG786353 ODF786332:ODK786353 NTJ786332:NTO786353 NJN786332:NJS786353 MZR786332:MZW786353 MPV786332:MQA786353 MFZ786332:MGE786353 LWD786332:LWI786353 LMH786332:LMM786353 LCL786332:LCQ786353 KSP786332:KSU786353 KIT786332:KIY786353 JYX786332:JZC786353 JPB786332:JPG786353 JFF786332:JFK786353 IVJ786332:IVO786353 ILN786332:ILS786353 IBR786332:IBW786353 HRV786332:HSA786353 HHZ786332:HIE786353 GYD786332:GYI786353 GOH786332:GOM786353 GEL786332:GEQ786353 FUP786332:FUU786353 FKT786332:FKY786353 FAX786332:FBC786353 ERB786332:ERG786353 EHF786332:EHK786353 DXJ786332:DXO786353 DNN786332:DNS786353 DDR786332:DDW786353 CTV786332:CUA786353 CJZ786332:CKE786353 CAD786332:CAI786353 BQH786332:BQM786353 BGL786332:BGQ786353 AWP786332:AWU786353 AMT786332:AMY786353 ACX786332:ADC786353 TB786332:TG786353 JF786332:JK786353 J786332:O786353 WVR720796:WVW720817 WLV720796:WMA720817 WBZ720796:WCE720817 VSD720796:VSI720817 VIH720796:VIM720817 UYL720796:UYQ720817 UOP720796:UOU720817 UET720796:UEY720817 TUX720796:TVC720817 TLB720796:TLG720817 TBF720796:TBK720817 SRJ720796:SRO720817 SHN720796:SHS720817 RXR720796:RXW720817 RNV720796:ROA720817 RDZ720796:REE720817 QUD720796:QUI720817 QKH720796:QKM720817 QAL720796:QAQ720817 PQP720796:PQU720817 PGT720796:PGY720817 OWX720796:OXC720817 ONB720796:ONG720817 ODF720796:ODK720817 NTJ720796:NTO720817 NJN720796:NJS720817 MZR720796:MZW720817 MPV720796:MQA720817 MFZ720796:MGE720817 LWD720796:LWI720817 LMH720796:LMM720817 LCL720796:LCQ720817 KSP720796:KSU720817 KIT720796:KIY720817 JYX720796:JZC720817 JPB720796:JPG720817 JFF720796:JFK720817 IVJ720796:IVO720817 ILN720796:ILS720817 IBR720796:IBW720817 HRV720796:HSA720817 HHZ720796:HIE720817 GYD720796:GYI720817 GOH720796:GOM720817 GEL720796:GEQ720817 FUP720796:FUU720817 FKT720796:FKY720817 FAX720796:FBC720817 ERB720796:ERG720817 EHF720796:EHK720817 DXJ720796:DXO720817 DNN720796:DNS720817 DDR720796:DDW720817 CTV720796:CUA720817 CJZ720796:CKE720817 CAD720796:CAI720817 BQH720796:BQM720817 BGL720796:BGQ720817 AWP720796:AWU720817 AMT720796:AMY720817 ACX720796:ADC720817 TB720796:TG720817 JF720796:JK720817 J720796:O720817 WVR655260:WVW655281 WLV655260:WMA655281 WBZ655260:WCE655281 VSD655260:VSI655281 VIH655260:VIM655281 UYL655260:UYQ655281 UOP655260:UOU655281 UET655260:UEY655281 TUX655260:TVC655281 TLB655260:TLG655281 TBF655260:TBK655281 SRJ655260:SRO655281 SHN655260:SHS655281 RXR655260:RXW655281 RNV655260:ROA655281 RDZ655260:REE655281 QUD655260:QUI655281 QKH655260:QKM655281 QAL655260:QAQ655281 PQP655260:PQU655281 PGT655260:PGY655281 OWX655260:OXC655281 ONB655260:ONG655281 ODF655260:ODK655281 NTJ655260:NTO655281 NJN655260:NJS655281 MZR655260:MZW655281 MPV655260:MQA655281 MFZ655260:MGE655281 LWD655260:LWI655281 LMH655260:LMM655281 LCL655260:LCQ655281 KSP655260:KSU655281 KIT655260:KIY655281 JYX655260:JZC655281 JPB655260:JPG655281 JFF655260:JFK655281 IVJ655260:IVO655281 ILN655260:ILS655281 IBR655260:IBW655281 HRV655260:HSA655281 HHZ655260:HIE655281 GYD655260:GYI655281 GOH655260:GOM655281 GEL655260:GEQ655281 FUP655260:FUU655281 FKT655260:FKY655281 FAX655260:FBC655281 ERB655260:ERG655281 EHF655260:EHK655281 DXJ655260:DXO655281 DNN655260:DNS655281 DDR655260:DDW655281 CTV655260:CUA655281 CJZ655260:CKE655281 CAD655260:CAI655281 BQH655260:BQM655281 BGL655260:BGQ655281 AWP655260:AWU655281 AMT655260:AMY655281 ACX655260:ADC655281 TB655260:TG655281 JF655260:JK655281 J655260:O655281 WVR589724:WVW589745 WLV589724:WMA589745 WBZ589724:WCE589745 VSD589724:VSI589745 VIH589724:VIM589745 UYL589724:UYQ589745 UOP589724:UOU589745 UET589724:UEY589745 TUX589724:TVC589745 TLB589724:TLG589745 TBF589724:TBK589745 SRJ589724:SRO589745 SHN589724:SHS589745 RXR589724:RXW589745 RNV589724:ROA589745 RDZ589724:REE589745 QUD589724:QUI589745 QKH589724:QKM589745 QAL589724:QAQ589745 PQP589724:PQU589745 PGT589724:PGY589745 OWX589724:OXC589745 ONB589724:ONG589745 ODF589724:ODK589745 NTJ589724:NTO589745 NJN589724:NJS589745 MZR589724:MZW589745 MPV589724:MQA589745 MFZ589724:MGE589745 LWD589724:LWI589745 LMH589724:LMM589745 LCL589724:LCQ589745 KSP589724:KSU589745 KIT589724:KIY589745 JYX589724:JZC589745 JPB589724:JPG589745 JFF589724:JFK589745 IVJ589724:IVO589745 ILN589724:ILS589745 IBR589724:IBW589745 HRV589724:HSA589745 HHZ589724:HIE589745 GYD589724:GYI589745 GOH589724:GOM589745 GEL589724:GEQ589745 FUP589724:FUU589745 FKT589724:FKY589745 FAX589724:FBC589745 ERB589724:ERG589745 EHF589724:EHK589745 DXJ589724:DXO589745 DNN589724:DNS589745 DDR589724:DDW589745 CTV589724:CUA589745 CJZ589724:CKE589745 CAD589724:CAI589745 BQH589724:BQM589745 BGL589724:BGQ589745 AWP589724:AWU589745 AMT589724:AMY589745 ACX589724:ADC589745 TB589724:TG589745 JF589724:JK589745 J589724:O589745 WVR524188:WVW524209 WLV524188:WMA524209 WBZ524188:WCE524209 VSD524188:VSI524209 VIH524188:VIM524209 UYL524188:UYQ524209 UOP524188:UOU524209 UET524188:UEY524209 TUX524188:TVC524209 TLB524188:TLG524209 TBF524188:TBK524209 SRJ524188:SRO524209 SHN524188:SHS524209 RXR524188:RXW524209 RNV524188:ROA524209 RDZ524188:REE524209 QUD524188:QUI524209 QKH524188:QKM524209 QAL524188:QAQ524209 PQP524188:PQU524209 PGT524188:PGY524209 OWX524188:OXC524209 ONB524188:ONG524209 ODF524188:ODK524209 NTJ524188:NTO524209 NJN524188:NJS524209 MZR524188:MZW524209 MPV524188:MQA524209 MFZ524188:MGE524209 LWD524188:LWI524209 LMH524188:LMM524209 LCL524188:LCQ524209 KSP524188:KSU524209 KIT524188:KIY524209 JYX524188:JZC524209 JPB524188:JPG524209 JFF524188:JFK524209 IVJ524188:IVO524209 ILN524188:ILS524209 IBR524188:IBW524209 HRV524188:HSA524209 HHZ524188:HIE524209 GYD524188:GYI524209 GOH524188:GOM524209 GEL524188:GEQ524209 FUP524188:FUU524209 FKT524188:FKY524209 FAX524188:FBC524209 ERB524188:ERG524209 EHF524188:EHK524209 DXJ524188:DXO524209 DNN524188:DNS524209 DDR524188:DDW524209 CTV524188:CUA524209 CJZ524188:CKE524209 CAD524188:CAI524209 BQH524188:BQM524209 BGL524188:BGQ524209 AWP524188:AWU524209 AMT524188:AMY524209 ACX524188:ADC524209 TB524188:TG524209 JF524188:JK524209 J524188:O524209 WVR458652:WVW458673 WLV458652:WMA458673 WBZ458652:WCE458673 VSD458652:VSI458673 VIH458652:VIM458673 UYL458652:UYQ458673 UOP458652:UOU458673 UET458652:UEY458673 TUX458652:TVC458673 TLB458652:TLG458673 TBF458652:TBK458673 SRJ458652:SRO458673 SHN458652:SHS458673 RXR458652:RXW458673 RNV458652:ROA458673 RDZ458652:REE458673 QUD458652:QUI458673 QKH458652:QKM458673 QAL458652:QAQ458673 PQP458652:PQU458673 PGT458652:PGY458673 OWX458652:OXC458673 ONB458652:ONG458673 ODF458652:ODK458673 NTJ458652:NTO458673 NJN458652:NJS458673 MZR458652:MZW458673 MPV458652:MQA458673 MFZ458652:MGE458673 LWD458652:LWI458673 LMH458652:LMM458673 LCL458652:LCQ458673 KSP458652:KSU458673 KIT458652:KIY458673 JYX458652:JZC458673 JPB458652:JPG458673 JFF458652:JFK458673 IVJ458652:IVO458673 ILN458652:ILS458673 IBR458652:IBW458673 HRV458652:HSA458673 HHZ458652:HIE458673 GYD458652:GYI458673 GOH458652:GOM458673 GEL458652:GEQ458673 FUP458652:FUU458673 FKT458652:FKY458673 FAX458652:FBC458673 ERB458652:ERG458673 EHF458652:EHK458673 DXJ458652:DXO458673 DNN458652:DNS458673 DDR458652:DDW458673 CTV458652:CUA458673 CJZ458652:CKE458673 CAD458652:CAI458673 BQH458652:BQM458673 BGL458652:BGQ458673 AWP458652:AWU458673 AMT458652:AMY458673 ACX458652:ADC458673 TB458652:TG458673 JF458652:JK458673 J458652:O458673 WVR393116:WVW393137 WLV393116:WMA393137 WBZ393116:WCE393137 VSD393116:VSI393137 VIH393116:VIM393137 UYL393116:UYQ393137 UOP393116:UOU393137 UET393116:UEY393137 TUX393116:TVC393137 TLB393116:TLG393137 TBF393116:TBK393137 SRJ393116:SRO393137 SHN393116:SHS393137 RXR393116:RXW393137 RNV393116:ROA393137 RDZ393116:REE393137 QUD393116:QUI393137 QKH393116:QKM393137 QAL393116:QAQ393137 PQP393116:PQU393137 PGT393116:PGY393137 OWX393116:OXC393137 ONB393116:ONG393137 ODF393116:ODK393137 NTJ393116:NTO393137 NJN393116:NJS393137 MZR393116:MZW393137 MPV393116:MQA393137 MFZ393116:MGE393137 LWD393116:LWI393137 LMH393116:LMM393137 LCL393116:LCQ393137 KSP393116:KSU393137 KIT393116:KIY393137 JYX393116:JZC393137 JPB393116:JPG393137 JFF393116:JFK393137 IVJ393116:IVO393137 ILN393116:ILS393137 IBR393116:IBW393137 HRV393116:HSA393137 HHZ393116:HIE393137 GYD393116:GYI393137 GOH393116:GOM393137 GEL393116:GEQ393137 FUP393116:FUU393137 FKT393116:FKY393137 FAX393116:FBC393137 ERB393116:ERG393137 EHF393116:EHK393137 DXJ393116:DXO393137 DNN393116:DNS393137 DDR393116:DDW393137 CTV393116:CUA393137 CJZ393116:CKE393137 CAD393116:CAI393137 BQH393116:BQM393137 BGL393116:BGQ393137 AWP393116:AWU393137 AMT393116:AMY393137 ACX393116:ADC393137 TB393116:TG393137 JF393116:JK393137 J393116:O393137 WVR327580:WVW327601 WLV327580:WMA327601 WBZ327580:WCE327601 VSD327580:VSI327601 VIH327580:VIM327601 UYL327580:UYQ327601 UOP327580:UOU327601 UET327580:UEY327601 TUX327580:TVC327601 TLB327580:TLG327601 TBF327580:TBK327601 SRJ327580:SRO327601 SHN327580:SHS327601 RXR327580:RXW327601 RNV327580:ROA327601 RDZ327580:REE327601 QUD327580:QUI327601 QKH327580:QKM327601 QAL327580:QAQ327601 PQP327580:PQU327601 PGT327580:PGY327601 OWX327580:OXC327601 ONB327580:ONG327601 ODF327580:ODK327601 NTJ327580:NTO327601 NJN327580:NJS327601 MZR327580:MZW327601 MPV327580:MQA327601 MFZ327580:MGE327601 LWD327580:LWI327601 LMH327580:LMM327601 LCL327580:LCQ327601 KSP327580:KSU327601 KIT327580:KIY327601 JYX327580:JZC327601 JPB327580:JPG327601 JFF327580:JFK327601 IVJ327580:IVO327601 ILN327580:ILS327601 IBR327580:IBW327601 HRV327580:HSA327601 HHZ327580:HIE327601 GYD327580:GYI327601 GOH327580:GOM327601 GEL327580:GEQ327601 FUP327580:FUU327601 FKT327580:FKY327601 FAX327580:FBC327601 ERB327580:ERG327601 EHF327580:EHK327601 DXJ327580:DXO327601 DNN327580:DNS327601 DDR327580:DDW327601 CTV327580:CUA327601 CJZ327580:CKE327601 CAD327580:CAI327601 BQH327580:BQM327601 BGL327580:BGQ327601 AWP327580:AWU327601 AMT327580:AMY327601 ACX327580:ADC327601 TB327580:TG327601 JF327580:JK327601 J327580:O327601 WVR262044:WVW262065 WLV262044:WMA262065 WBZ262044:WCE262065 VSD262044:VSI262065 VIH262044:VIM262065 UYL262044:UYQ262065 UOP262044:UOU262065 UET262044:UEY262065 TUX262044:TVC262065 TLB262044:TLG262065 TBF262044:TBK262065 SRJ262044:SRO262065 SHN262044:SHS262065 RXR262044:RXW262065 RNV262044:ROA262065 RDZ262044:REE262065 QUD262044:QUI262065 QKH262044:QKM262065 QAL262044:QAQ262065 PQP262044:PQU262065 PGT262044:PGY262065 OWX262044:OXC262065 ONB262044:ONG262065 ODF262044:ODK262065 NTJ262044:NTO262065 NJN262044:NJS262065 MZR262044:MZW262065 MPV262044:MQA262065 MFZ262044:MGE262065 LWD262044:LWI262065 LMH262044:LMM262065 LCL262044:LCQ262065 KSP262044:KSU262065 KIT262044:KIY262065 JYX262044:JZC262065 JPB262044:JPG262065 JFF262044:JFK262065 IVJ262044:IVO262065 ILN262044:ILS262065 IBR262044:IBW262065 HRV262044:HSA262065 HHZ262044:HIE262065 GYD262044:GYI262065 GOH262044:GOM262065 GEL262044:GEQ262065 FUP262044:FUU262065 FKT262044:FKY262065 FAX262044:FBC262065 ERB262044:ERG262065 EHF262044:EHK262065 DXJ262044:DXO262065 DNN262044:DNS262065 DDR262044:DDW262065 CTV262044:CUA262065 CJZ262044:CKE262065 CAD262044:CAI262065 BQH262044:BQM262065 BGL262044:BGQ262065 AWP262044:AWU262065 AMT262044:AMY262065 ACX262044:ADC262065 TB262044:TG262065 JF262044:JK262065 J262044:O262065 WVR196508:WVW196529 WLV196508:WMA196529 WBZ196508:WCE196529 VSD196508:VSI196529 VIH196508:VIM196529 UYL196508:UYQ196529 UOP196508:UOU196529 UET196508:UEY196529 TUX196508:TVC196529 TLB196508:TLG196529 TBF196508:TBK196529 SRJ196508:SRO196529 SHN196508:SHS196529 RXR196508:RXW196529 RNV196508:ROA196529 RDZ196508:REE196529 QUD196508:QUI196529 QKH196508:QKM196529 QAL196508:QAQ196529 PQP196508:PQU196529 PGT196508:PGY196529 OWX196508:OXC196529 ONB196508:ONG196529 ODF196508:ODK196529 NTJ196508:NTO196529 NJN196508:NJS196529 MZR196508:MZW196529 MPV196508:MQA196529 MFZ196508:MGE196529 LWD196508:LWI196529 LMH196508:LMM196529 LCL196508:LCQ196529 KSP196508:KSU196529 KIT196508:KIY196529 JYX196508:JZC196529 JPB196508:JPG196529 JFF196508:JFK196529 IVJ196508:IVO196529 ILN196508:ILS196529 IBR196508:IBW196529 HRV196508:HSA196529 HHZ196508:HIE196529 GYD196508:GYI196529 GOH196508:GOM196529 GEL196508:GEQ196529 FUP196508:FUU196529 FKT196508:FKY196529 FAX196508:FBC196529 ERB196508:ERG196529 EHF196508:EHK196529 DXJ196508:DXO196529 DNN196508:DNS196529 DDR196508:DDW196529 CTV196508:CUA196529 CJZ196508:CKE196529 CAD196508:CAI196529 BQH196508:BQM196529 BGL196508:BGQ196529 AWP196508:AWU196529 AMT196508:AMY196529 ACX196508:ADC196529 TB196508:TG196529 JF196508:JK196529 J196508:O196529 WVR130972:WVW130993 WLV130972:WMA130993 WBZ130972:WCE130993 VSD130972:VSI130993 VIH130972:VIM130993 UYL130972:UYQ130993 UOP130972:UOU130993 UET130972:UEY130993 TUX130972:TVC130993 TLB130972:TLG130993 TBF130972:TBK130993 SRJ130972:SRO130993 SHN130972:SHS130993 RXR130972:RXW130993 RNV130972:ROA130993 RDZ130972:REE130993 QUD130972:QUI130993 QKH130972:QKM130993 QAL130972:QAQ130993 PQP130972:PQU130993 PGT130972:PGY130993 OWX130972:OXC130993 ONB130972:ONG130993 ODF130972:ODK130993 NTJ130972:NTO130993 NJN130972:NJS130993 MZR130972:MZW130993 MPV130972:MQA130993 MFZ130972:MGE130993 LWD130972:LWI130993 LMH130972:LMM130993 LCL130972:LCQ130993 KSP130972:KSU130993 KIT130972:KIY130993 JYX130972:JZC130993 JPB130972:JPG130993 JFF130972:JFK130993 IVJ130972:IVO130993 ILN130972:ILS130993 IBR130972:IBW130993 HRV130972:HSA130993 HHZ130972:HIE130993 GYD130972:GYI130993 GOH130972:GOM130993 GEL130972:GEQ130993 FUP130972:FUU130993 FKT130972:FKY130993 FAX130972:FBC130993 ERB130972:ERG130993 EHF130972:EHK130993 DXJ130972:DXO130993 DNN130972:DNS130993 DDR130972:DDW130993 CTV130972:CUA130993 CJZ130972:CKE130993 CAD130972:CAI130993 BQH130972:BQM130993 BGL130972:BGQ130993 AWP130972:AWU130993 AMT130972:AMY130993 ACX130972:ADC130993 TB130972:TG130993 JF130972:JK130993 J130972:O130993 WVR65436:WVW65457 WLV65436:WMA65457 WBZ65436:WCE65457 VSD65436:VSI65457 VIH65436:VIM65457 UYL65436:UYQ65457 UOP65436:UOU65457 UET65436:UEY65457 TUX65436:TVC65457 TLB65436:TLG65457 TBF65436:TBK65457 SRJ65436:SRO65457 SHN65436:SHS65457 RXR65436:RXW65457 RNV65436:ROA65457 RDZ65436:REE65457 QUD65436:QUI65457 QKH65436:QKM65457 QAL65436:QAQ65457 PQP65436:PQU65457 PGT65436:PGY65457 OWX65436:OXC65457 ONB65436:ONG65457 ODF65436:ODK65457 NTJ65436:NTO65457 NJN65436:NJS65457 MZR65436:MZW65457 MPV65436:MQA65457 MFZ65436:MGE65457 LWD65436:LWI65457 LMH65436:LMM65457 LCL65436:LCQ65457 KSP65436:KSU65457 KIT65436:KIY65457 JYX65436:JZC65457 JPB65436:JPG65457 JFF65436:JFK65457 IVJ65436:IVO65457 ILN65436:ILS65457 IBR65436:IBW65457 HRV65436:HSA65457 HHZ65436:HIE65457 GYD65436:GYI65457 GOH65436:GOM65457 GEL65436:GEQ65457 FUP65436:FUU65457 FKT65436:FKY65457 FAX65436:FBC65457 ERB65436:ERG65457 EHF65436:EHK65457 DXJ65436:DXO65457 DNN65436:DNS65457 DDR65436:DDW65457 CTV65436:CUA65457 CJZ65436:CKE65457 CAD65436:CAI65457 BQH65436:BQM65457 BGL65436:BGQ65457 AWP65436:AWU65457 AMT65436:AMY65457 ACX65436:ADC65457 TB65436:TG65457 JF65436:JK65457 J65436:O65457 WWF982940:WWM982961 WMJ982940:WMQ982961 WCN982940:WCU982961 VSR982940:VSY982961 VIV982940:VJC982961 UYZ982940:UZG982961 UPD982940:UPK982961 UFH982940:UFO982961 TVL982940:TVS982961 TLP982940:TLW982961 TBT982940:TCA982961 SRX982940:SSE982961 SIB982940:SII982961 RYF982940:RYM982961 ROJ982940:ROQ982961 REN982940:REU982961 QUR982940:QUY982961 QKV982940:QLC982961 QAZ982940:QBG982961 PRD982940:PRK982961 PHH982940:PHO982961 OXL982940:OXS982961 ONP982940:ONW982961 ODT982940:OEA982961 NTX982940:NUE982961 NKB982940:NKI982961 NAF982940:NAM982961 MQJ982940:MQQ982961 MGN982940:MGU982961 LWR982940:LWY982961 LMV982940:LNC982961 LCZ982940:LDG982961 KTD982940:KTK982961 KJH982940:KJO982961 JZL982940:JZS982961 JPP982940:JPW982961 JFT982940:JGA982961 IVX982940:IWE982961 IMB982940:IMI982961 ICF982940:ICM982961 HSJ982940:HSQ982961 HIN982940:HIU982961 GYR982940:GYY982961 GOV982940:GPC982961 GEZ982940:GFG982961 FVD982940:FVK982961 FLH982940:FLO982961 FBL982940:FBS982961 ERP982940:ERW982961 EHT982940:EIA982961 DXX982940:DYE982961 DOB982940:DOI982961 DEF982940:DEM982961 CUJ982940:CUQ982961 CKN982940:CKU982961 CAR982940:CAY982961 BQV982940:BRC982961 BGZ982940:BHG982961 AXD982940:AXK982961 ANH982940:ANO982961 ADL982940:ADS982961 TP982940:TW982961 JT982940:KA982961 X982940:AE982961 WWF917404:WWM917425 WMJ917404:WMQ917425 WCN917404:WCU917425 VSR917404:VSY917425 VIV917404:VJC917425 UYZ917404:UZG917425 UPD917404:UPK917425 UFH917404:UFO917425 TVL917404:TVS917425 TLP917404:TLW917425 TBT917404:TCA917425 SRX917404:SSE917425 SIB917404:SII917425 RYF917404:RYM917425 ROJ917404:ROQ917425 REN917404:REU917425 QUR917404:QUY917425 QKV917404:QLC917425 QAZ917404:QBG917425 PRD917404:PRK917425 PHH917404:PHO917425 OXL917404:OXS917425 ONP917404:ONW917425 ODT917404:OEA917425 NTX917404:NUE917425 NKB917404:NKI917425 NAF917404:NAM917425 MQJ917404:MQQ917425 MGN917404:MGU917425 LWR917404:LWY917425 LMV917404:LNC917425 LCZ917404:LDG917425 KTD917404:KTK917425 KJH917404:KJO917425 JZL917404:JZS917425 JPP917404:JPW917425 JFT917404:JGA917425 IVX917404:IWE917425 IMB917404:IMI917425 ICF917404:ICM917425 HSJ917404:HSQ917425 HIN917404:HIU917425 GYR917404:GYY917425 GOV917404:GPC917425 GEZ917404:GFG917425 FVD917404:FVK917425 FLH917404:FLO917425 FBL917404:FBS917425 ERP917404:ERW917425 EHT917404:EIA917425 DXX917404:DYE917425 DOB917404:DOI917425 DEF917404:DEM917425 CUJ917404:CUQ917425 CKN917404:CKU917425 CAR917404:CAY917425 BQV917404:BRC917425 BGZ917404:BHG917425 AXD917404:AXK917425 ANH917404:ANO917425 ADL917404:ADS917425 TP917404:TW917425 JT917404:KA917425 X917404:AE917425 WWF851868:WWM851889 WMJ851868:WMQ851889 WCN851868:WCU851889 VSR851868:VSY851889 VIV851868:VJC851889 UYZ851868:UZG851889 UPD851868:UPK851889 UFH851868:UFO851889 TVL851868:TVS851889 TLP851868:TLW851889 TBT851868:TCA851889 SRX851868:SSE851889 SIB851868:SII851889 RYF851868:RYM851889 ROJ851868:ROQ851889 REN851868:REU851889 QUR851868:QUY851889 QKV851868:QLC851889 QAZ851868:QBG851889 PRD851868:PRK851889 PHH851868:PHO851889 OXL851868:OXS851889 ONP851868:ONW851889 ODT851868:OEA851889 NTX851868:NUE851889 NKB851868:NKI851889 NAF851868:NAM851889 MQJ851868:MQQ851889 MGN851868:MGU851889 LWR851868:LWY851889 LMV851868:LNC851889 LCZ851868:LDG851889 KTD851868:KTK851889 KJH851868:KJO851889 JZL851868:JZS851889 JPP851868:JPW851889 JFT851868:JGA851889 IVX851868:IWE851889 IMB851868:IMI851889 ICF851868:ICM851889 HSJ851868:HSQ851889 HIN851868:HIU851889 GYR851868:GYY851889 GOV851868:GPC851889 GEZ851868:GFG851889 FVD851868:FVK851889 FLH851868:FLO851889 FBL851868:FBS851889 ERP851868:ERW851889 EHT851868:EIA851889 DXX851868:DYE851889 DOB851868:DOI851889 DEF851868:DEM851889 CUJ851868:CUQ851889 CKN851868:CKU851889 CAR851868:CAY851889 BQV851868:BRC851889 BGZ851868:BHG851889 AXD851868:AXK851889 ANH851868:ANO851889 ADL851868:ADS851889 TP851868:TW851889 JT851868:KA851889 X851868:AE851889 WWF786332:WWM786353 WMJ786332:WMQ786353 WCN786332:WCU786353 VSR786332:VSY786353 VIV786332:VJC786353 UYZ786332:UZG786353 UPD786332:UPK786353 UFH786332:UFO786353 TVL786332:TVS786353 TLP786332:TLW786353 TBT786332:TCA786353 SRX786332:SSE786353 SIB786332:SII786353 RYF786332:RYM786353 ROJ786332:ROQ786353 REN786332:REU786353 QUR786332:QUY786353 QKV786332:QLC786353 QAZ786332:QBG786353 PRD786332:PRK786353 PHH786332:PHO786353 OXL786332:OXS786353 ONP786332:ONW786353 ODT786332:OEA786353 NTX786332:NUE786353 NKB786332:NKI786353 NAF786332:NAM786353 MQJ786332:MQQ786353 MGN786332:MGU786353 LWR786332:LWY786353 LMV786332:LNC786353 LCZ786332:LDG786353 KTD786332:KTK786353 KJH786332:KJO786353 JZL786332:JZS786353 JPP786332:JPW786353 JFT786332:JGA786353 IVX786332:IWE786353 IMB786332:IMI786353 ICF786332:ICM786353 HSJ786332:HSQ786353 HIN786332:HIU786353 GYR786332:GYY786353 GOV786332:GPC786353 GEZ786332:GFG786353 FVD786332:FVK786353 FLH786332:FLO786353 FBL786332:FBS786353 ERP786332:ERW786353 EHT786332:EIA786353 DXX786332:DYE786353 DOB786332:DOI786353 DEF786332:DEM786353 CUJ786332:CUQ786353 CKN786332:CKU786353 CAR786332:CAY786353 BQV786332:BRC786353 BGZ786332:BHG786353 AXD786332:AXK786353 ANH786332:ANO786353 ADL786332:ADS786353 TP786332:TW786353 JT786332:KA786353 X786332:AE786353 WWF720796:WWM720817 WMJ720796:WMQ720817 WCN720796:WCU720817 VSR720796:VSY720817 VIV720796:VJC720817 UYZ720796:UZG720817 UPD720796:UPK720817 UFH720796:UFO720817 TVL720796:TVS720817 TLP720796:TLW720817 TBT720796:TCA720817 SRX720796:SSE720817 SIB720796:SII720817 RYF720796:RYM720817 ROJ720796:ROQ720817 REN720796:REU720817 QUR720796:QUY720817 QKV720796:QLC720817 QAZ720796:QBG720817 PRD720796:PRK720817 PHH720796:PHO720817 OXL720796:OXS720817 ONP720796:ONW720817 ODT720796:OEA720817 NTX720796:NUE720817 NKB720796:NKI720817 NAF720796:NAM720817 MQJ720796:MQQ720817 MGN720796:MGU720817 LWR720796:LWY720817 LMV720796:LNC720817 LCZ720796:LDG720817 KTD720796:KTK720817 KJH720796:KJO720817 JZL720796:JZS720817 JPP720796:JPW720817 JFT720796:JGA720817 IVX720796:IWE720817 IMB720796:IMI720817 ICF720796:ICM720817 HSJ720796:HSQ720817 HIN720796:HIU720817 GYR720796:GYY720817 GOV720796:GPC720817 GEZ720796:GFG720817 FVD720796:FVK720817 FLH720796:FLO720817 FBL720796:FBS720817 ERP720796:ERW720817 EHT720796:EIA720817 DXX720796:DYE720817 DOB720796:DOI720817 DEF720796:DEM720817 CUJ720796:CUQ720817 CKN720796:CKU720817 CAR720796:CAY720817 BQV720796:BRC720817 BGZ720796:BHG720817 AXD720796:AXK720817 ANH720796:ANO720817 ADL720796:ADS720817 TP720796:TW720817 JT720796:KA720817 X720796:AE720817 WWF655260:WWM655281 WMJ655260:WMQ655281 WCN655260:WCU655281 VSR655260:VSY655281 VIV655260:VJC655281 UYZ655260:UZG655281 UPD655260:UPK655281 UFH655260:UFO655281 TVL655260:TVS655281 TLP655260:TLW655281 TBT655260:TCA655281 SRX655260:SSE655281 SIB655260:SII655281 RYF655260:RYM655281 ROJ655260:ROQ655281 REN655260:REU655281 QUR655260:QUY655281 QKV655260:QLC655281 QAZ655260:QBG655281 PRD655260:PRK655281 PHH655260:PHO655281 OXL655260:OXS655281 ONP655260:ONW655281 ODT655260:OEA655281 NTX655260:NUE655281 NKB655260:NKI655281 NAF655260:NAM655281 MQJ655260:MQQ655281 MGN655260:MGU655281 LWR655260:LWY655281 LMV655260:LNC655281 LCZ655260:LDG655281 KTD655260:KTK655281 KJH655260:KJO655281 JZL655260:JZS655281 JPP655260:JPW655281 JFT655260:JGA655281 IVX655260:IWE655281 IMB655260:IMI655281 ICF655260:ICM655281 HSJ655260:HSQ655281 HIN655260:HIU655281 GYR655260:GYY655281 GOV655260:GPC655281 GEZ655260:GFG655281 FVD655260:FVK655281 FLH655260:FLO655281 FBL655260:FBS655281 ERP655260:ERW655281 EHT655260:EIA655281 DXX655260:DYE655281 DOB655260:DOI655281 DEF655260:DEM655281 CUJ655260:CUQ655281 CKN655260:CKU655281 CAR655260:CAY655281 BQV655260:BRC655281 BGZ655260:BHG655281 AXD655260:AXK655281 ANH655260:ANO655281 ADL655260:ADS655281 TP655260:TW655281 JT655260:KA655281 X655260:AE655281 WWF589724:WWM589745 WMJ589724:WMQ589745 WCN589724:WCU589745 VSR589724:VSY589745 VIV589724:VJC589745 UYZ589724:UZG589745 UPD589724:UPK589745 UFH589724:UFO589745 TVL589724:TVS589745 TLP589724:TLW589745 TBT589724:TCA589745 SRX589724:SSE589745 SIB589724:SII589745 RYF589724:RYM589745 ROJ589724:ROQ589745 REN589724:REU589745 QUR589724:QUY589745 QKV589724:QLC589745 QAZ589724:QBG589745 PRD589724:PRK589745 PHH589724:PHO589745 OXL589724:OXS589745 ONP589724:ONW589745 ODT589724:OEA589745 NTX589724:NUE589745 NKB589724:NKI589745 NAF589724:NAM589745 MQJ589724:MQQ589745 MGN589724:MGU589745 LWR589724:LWY589745 LMV589724:LNC589745 LCZ589724:LDG589745 KTD589724:KTK589745 KJH589724:KJO589745 JZL589724:JZS589745 JPP589724:JPW589745 JFT589724:JGA589745 IVX589724:IWE589745 IMB589724:IMI589745 ICF589724:ICM589745 HSJ589724:HSQ589745 HIN589724:HIU589745 GYR589724:GYY589745 GOV589724:GPC589745 GEZ589724:GFG589745 FVD589724:FVK589745 FLH589724:FLO589745 FBL589724:FBS589745 ERP589724:ERW589745 EHT589724:EIA589745 DXX589724:DYE589745 DOB589724:DOI589745 DEF589724:DEM589745 CUJ589724:CUQ589745 CKN589724:CKU589745 CAR589724:CAY589745 BQV589724:BRC589745 BGZ589724:BHG589745 AXD589724:AXK589745 ANH589724:ANO589745 ADL589724:ADS589745 TP589724:TW589745 JT589724:KA589745 X589724:AE589745 WWF524188:WWM524209 WMJ524188:WMQ524209 WCN524188:WCU524209 VSR524188:VSY524209 VIV524188:VJC524209 UYZ524188:UZG524209 UPD524188:UPK524209 UFH524188:UFO524209 TVL524188:TVS524209 TLP524188:TLW524209 TBT524188:TCA524209 SRX524188:SSE524209 SIB524188:SII524209 RYF524188:RYM524209 ROJ524188:ROQ524209 REN524188:REU524209 QUR524188:QUY524209 QKV524188:QLC524209 QAZ524188:QBG524209 PRD524188:PRK524209 PHH524188:PHO524209 OXL524188:OXS524209 ONP524188:ONW524209 ODT524188:OEA524209 NTX524188:NUE524209 NKB524188:NKI524209 NAF524188:NAM524209 MQJ524188:MQQ524209 MGN524188:MGU524209 LWR524188:LWY524209 LMV524188:LNC524209 LCZ524188:LDG524209 KTD524188:KTK524209 KJH524188:KJO524209 JZL524188:JZS524209 JPP524188:JPW524209 JFT524188:JGA524209 IVX524188:IWE524209 IMB524188:IMI524209 ICF524188:ICM524209 HSJ524188:HSQ524209 HIN524188:HIU524209 GYR524188:GYY524209 GOV524188:GPC524209 GEZ524188:GFG524209 FVD524188:FVK524209 FLH524188:FLO524209 FBL524188:FBS524209 ERP524188:ERW524209 EHT524188:EIA524209 DXX524188:DYE524209 DOB524188:DOI524209 DEF524188:DEM524209 CUJ524188:CUQ524209 CKN524188:CKU524209 CAR524188:CAY524209 BQV524188:BRC524209 BGZ524188:BHG524209 AXD524188:AXK524209 ANH524188:ANO524209 ADL524188:ADS524209 TP524188:TW524209 JT524188:KA524209 X524188:AE524209 WWF458652:WWM458673 WMJ458652:WMQ458673 WCN458652:WCU458673 VSR458652:VSY458673 VIV458652:VJC458673 UYZ458652:UZG458673 UPD458652:UPK458673 UFH458652:UFO458673 TVL458652:TVS458673 TLP458652:TLW458673 TBT458652:TCA458673 SRX458652:SSE458673 SIB458652:SII458673 RYF458652:RYM458673 ROJ458652:ROQ458673 REN458652:REU458673 QUR458652:QUY458673 QKV458652:QLC458673 QAZ458652:QBG458673 PRD458652:PRK458673 PHH458652:PHO458673 OXL458652:OXS458673 ONP458652:ONW458673 ODT458652:OEA458673 NTX458652:NUE458673 NKB458652:NKI458673 NAF458652:NAM458673 MQJ458652:MQQ458673 MGN458652:MGU458673 LWR458652:LWY458673 LMV458652:LNC458673 LCZ458652:LDG458673 KTD458652:KTK458673 KJH458652:KJO458673 JZL458652:JZS458673 JPP458652:JPW458673 JFT458652:JGA458673 IVX458652:IWE458673 IMB458652:IMI458673 ICF458652:ICM458673 HSJ458652:HSQ458673 HIN458652:HIU458673 GYR458652:GYY458673 GOV458652:GPC458673 GEZ458652:GFG458673 FVD458652:FVK458673 FLH458652:FLO458673 FBL458652:FBS458673 ERP458652:ERW458673 EHT458652:EIA458673 DXX458652:DYE458673 DOB458652:DOI458673 DEF458652:DEM458673 CUJ458652:CUQ458673 CKN458652:CKU458673 CAR458652:CAY458673 BQV458652:BRC458673 BGZ458652:BHG458673 AXD458652:AXK458673 ANH458652:ANO458673 ADL458652:ADS458673 TP458652:TW458673 JT458652:KA458673 X458652:AE458673 WWF393116:WWM393137 WMJ393116:WMQ393137 WCN393116:WCU393137 VSR393116:VSY393137 VIV393116:VJC393137 UYZ393116:UZG393137 UPD393116:UPK393137 UFH393116:UFO393137 TVL393116:TVS393137 TLP393116:TLW393137 TBT393116:TCA393137 SRX393116:SSE393137 SIB393116:SII393137 RYF393116:RYM393137 ROJ393116:ROQ393137 REN393116:REU393137 QUR393116:QUY393137 QKV393116:QLC393137 QAZ393116:QBG393137 PRD393116:PRK393137 PHH393116:PHO393137 OXL393116:OXS393137 ONP393116:ONW393137 ODT393116:OEA393137 NTX393116:NUE393137 NKB393116:NKI393137 NAF393116:NAM393137 MQJ393116:MQQ393137 MGN393116:MGU393137 LWR393116:LWY393137 LMV393116:LNC393137 LCZ393116:LDG393137 KTD393116:KTK393137 KJH393116:KJO393137 JZL393116:JZS393137 JPP393116:JPW393137 JFT393116:JGA393137 IVX393116:IWE393137 IMB393116:IMI393137 ICF393116:ICM393137 HSJ393116:HSQ393137 HIN393116:HIU393137 GYR393116:GYY393137 GOV393116:GPC393137 GEZ393116:GFG393137 FVD393116:FVK393137 FLH393116:FLO393137 FBL393116:FBS393137 ERP393116:ERW393137 EHT393116:EIA393137 DXX393116:DYE393137 DOB393116:DOI393137 DEF393116:DEM393137 CUJ393116:CUQ393137 CKN393116:CKU393137 CAR393116:CAY393137 BQV393116:BRC393137 BGZ393116:BHG393137 AXD393116:AXK393137 ANH393116:ANO393137 ADL393116:ADS393137 TP393116:TW393137 JT393116:KA393137 X393116:AE393137 WWF327580:WWM327601 WMJ327580:WMQ327601 WCN327580:WCU327601 VSR327580:VSY327601 VIV327580:VJC327601 UYZ327580:UZG327601 UPD327580:UPK327601 UFH327580:UFO327601 TVL327580:TVS327601 TLP327580:TLW327601 TBT327580:TCA327601 SRX327580:SSE327601 SIB327580:SII327601 RYF327580:RYM327601 ROJ327580:ROQ327601 REN327580:REU327601 QUR327580:QUY327601 QKV327580:QLC327601 QAZ327580:QBG327601 PRD327580:PRK327601 PHH327580:PHO327601 OXL327580:OXS327601 ONP327580:ONW327601 ODT327580:OEA327601 NTX327580:NUE327601 NKB327580:NKI327601 NAF327580:NAM327601 MQJ327580:MQQ327601 MGN327580:MGU327601 LWR327580:LWY327601 LMV327580:LNC327601 LCZ327580:LDG327601 KTD327580:KTK327601 KJH327580:KJO327601 JZL327580:JZS327601 JPP327580:JPW327601 JFT327580:JGA327601 IVX327580:IWE327601 IMB327580:IMI327601 ICF327580:ICM327601 HSJ327580:HSQ327601 HIN327580:HIU327601 GYR327580:GYY327601 GOV327580:GPC327601 GEZ327580:GFG327601 FVD327580:FVK327601 FLH327580:FLO327601 FBL327580:FBS327601 ERP327580:ERW327601 EHT327580:EIA327601 DXX327580:DYE327601 DOB327580:DOI327601 DEF327580:DEM327601 CUJ327580:CUQ327601 CKN327580:CKU327601 CAR327580:CAY327601 BQV327580:BRC327601 BGZ327580:BHG327601 AXD327580:AXK327601 ANH327580:ANO327601 ADL327580:ADS327601 TP327580:TW327601 JT327580:KA327601 X327580:AE327601 WWF262044:WWM262065 WMJ262044:WMQ262065 WCN262044:WCU262065 VSR262044:VSY262065 VIV262044:VJC262065 UYZ262044:UZG262065 UPD262044:UPK262065 UFH262044:UFO262065 TVL262044:TVS262065 TLP262044:TLW262065 TBT262044:TCA262065 SRX262044:SSE262065 SIB262044:SII262065 RYF262044:RYM262065 ROJ262044:ROQ262065 REN262044:REU262065 QUR262044:QUY262065 QKV262044:QLC262065 QAZ262044:QBG262065 PRD262044:PRK262065 PHH262044:PHO262065 OXL262044:OXS262065 ONP262044:ONW262065 ODT262044:OEA262065 NTX262044:NUE262065 NKB262044:NKI262065 NAF262044:NAM262065 MQJ262044:MQQ262065 MGN262044:MGU262065 LWR262044:LWY262065 LMV262044:LNC262065 LCZ262044:LDG262065 KTD262044:KTK262065 KJH262044:KJO262065 JZL262044:JZS262065 JPP262044:JPW262065 JFT262044:JGA262065 IVX262044:IWE262065 IMB262044:IMI262065 ICF262044:ICM262065 HSJ262044:HSQ262065 HIN262044:HIU262065 GYR262044:GYY262065 GOV262044:GPC262065 GEZ262044:GFG262065 FVD262044:FVK262065 FLH262044:FLO262065 FBL262044:FBS262065 ERP262044:ERW262065 EHT262044:EIA262065 DXX262044:DYE262065 DOB262044:DOI262065 DEF262044:DEM262065 CUJ262044:CUQ262065 CKN262044:CKU262065 CAR262044:CAY262065 BQV262044:BRC262065 BGZ262044:BHG262065 AXD262044:AXK262065 ANH262044:ANO262065 ADL262044:ADS262065 TP262044:TW262065 JT262044:KA262065 X262044:AE262065 WWF196508:WWM196529 WMJ196508:WMQ196529 WCN196508:WCU196529 VSR196508:VSY196529 VIV196508:VJC196529 UYZ196508:UZG196529 UPD196508:UPK196529 UFH196508:UFO196529 TVL196508:TVS196529 TLP196508:TLW196529 TBT196508:TCA196529 SRX196508:SSE196529 SIB196508:SII196529 RYF196508:RYM196529 ROJ196508:ROQ196529 REN196508:REU196529 QUR196508:QUY196529 QKV196508:QLC196529 QAZ196508:QBG196529 PRD196508:PRK196529 PHH196508:PHO196529 OXL196508:OXS196529 ONP196508:ONW196529 ODT196508:OEA196529 NTX196508:NUE196529 NKB196508:NKI196529 NAF196508:NAM196529 MQJ196508:MQQ196529 MGN196508:MGU196529 LWR196508:LWY196529 LMV196508:LNC196529 LCZ196508:LDG196529 KTD196508:KTK196529 KJH196508:KJO196529 JZL196508:JZS196529 JPP196508:JPW196529 JFT196508:JGA196529 IVX196508:IWE196529 IMB196508:IMI196529 ICF196508:ICM196529 HSJ196508:HSQ196529 HIN196508:HIU196529 GYR196508:GYY196529 GOV196508:GPC196529 GEZ196508:GFG196529 FVD196508:FVK196529 FLH196508:FLO196529 FBL196508:FBS196529 ERP196508:ERW196529 EHT196508:EIA196529 DXX196508:DYE196529 DOB196508:DOI196529 DEF196508:DEM196529 CUJ196508:CUQ196529 CKN196508:CKU196529 CAR196508:CAY196529 BQV196508:BRC196529 BGZ196508:BHG196529 AXD196508:AXK196529 ANH196508:ANO196529 ADL196508:ADS196529 TP196508:TW196529 JT196508:KA196529 X196508:AE196529 WWF130972:WWM130993 WMJ130972:WMQ130993 WCN130972:WCU130993 VSR130972:VSY130993 VIV130972:VJC130993 UYZ130972:UZG130993 UPD130972:UPK130993 UFH130972:UFO130993 TVL130972:TVS130993 TLP130972:TLW130993 TBT130972:TCA130993 SRX130972:SSE130993 SIB130972:SII130993 RYF130972:RYM130993 ROJ130972:ROQ130993 REN130972:REU130993 QUR130972:QUY130993 QKV130972:QLC130993 QAZ130972:QBG130993 PRD130972:PRK130993 PHH130972:PHO130993 OXL130972:OXS130993 ONP130972:ONW130993 ODT130972:OEA130993 NTX130972:NUE130993 NKB130972:NKI130993 NAF130972:NAM130993 MQJ130972:MQQ130993 MGN130972:MGU130993 LWR130972:LWY130993 LMV130972:LNC130993 LCZ130972:LDG130993 KTD130972:KTK130993 KJH130972:KJO130993 JZL130972:JZS130993 JPP130972:JPW130993 JFT130972:JGA130993 IVX130972:IWE130993 IMB130972:IMI130993 ICF130972:ICM130993 HSJ130972:HSQ130993 HIN130972:HIU130993 GYR130972:GYY130993 GOV130972:GPC130993 GEZ130972:GFG130993 FVD130972:FVK130993 FLH130972:FLO130993 FBL130972:FBS130993 ERP130972:ERW130993 EHT130972:EIA130993 DXX130972:DYE130993 DOB130972:DOI130993 DEF130972:DEM130993 CUJ130972:CUQ130993 CKN130972:CKU130993 CAR130972:CAY130993 BQV130972:BRC130993 BGZ130972:BHG130993 AXD130972:AXK130993 ANH130972:ANO130993 ADL130972:ADS130993 TP130972:TW130993 JT130972:KA130993 X130972:AE130993 WWF65436:WWM65457 WMJ65436:WMQ65457 WCN65436:WCU65457 VSR65436:VSY65457 VIV65436:VJC65457 UYZ65436:UZG65457 UPD65436:UPK65457 UFH65436:UFO65457 TVL65436:TVS65457 TLP65436:TLW65457 TBT65436:TCA65457 SRX65436:SSE65457 SIB65436:SII65457 RYF65436:RYM65457 ROJ65436:ROQ65457 REN65436:REU65457 QUR65436:QUY65457 QKV65436:QLC65457 QAZ65436:QBG65457 PRD65436:PRK65457 PHH65436:PHO65457 OXL65436:OXS65457 ONP65436:ONW65457 ODT65436:OEA65457 NTX65436:NUE65457 NKB65436:NKI65457 NAF65436:NAM65457 MQJ65436:MQQ65457 MGN65436:MGU65457 LWR65436:LWY65457 LMV65436:LNC65457 LCZ65436:LDG65457 KTD65436:KTK65457 KJH65436:KJO65457 JZL65436:JZS65457 JPP65436:JPW65457 JFT65436:JGA65457 IVX65436:IWE65457 IMB65436:IMI65457 ICF65436:ICM65457 HSJ65436:HSQ65457 HIN65436:HIU65457 GYR65436:GYY65457 GOV65436:GPC65457 GEZ65436:GFG65457 FVD65436:FVK65457 FLH65436:FLO65457 FBL65436:FBS65457 ERP65436:ERW65457 EHT65436:EIA65457 DXX65436:DYE65457 DOB65436:DOI65457 DEF65436:DEM65457 CUJ65436:CUQ65457 CKN65436:CKU65457 CAR65436:CAY65457 BQV65436:BRC65457 BGZ65436:BHG65457 AXD65436:AXK65457 ANH65436:ANO65457 ADL65436:ADS65457 TP65436:TW65457 JT65436:KA65457 X65436:AE65457" xr:uid="{C8C3ED1E-E5CC-4487-A42A-C5673A97D81B}">
      <formula1>#REF!</formula1>
    </dataValidation>
  </dataValidations>
  <pageMargins left="0.7" right="0.7" top="0.75" bottom="0.75" header="0.3" footer="0.3"/>
  <pageSetup paperSize="9" scale="20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C47F-A432-4FE1-87DC-DA820E87D824}">
  <sheetPr>
    <pageSetUpPr fitToPage="1"/>
  </sheetPr>
  <dimension ref="A1:DD33"/>
  <sheetViews>
    <sheetView showGridLines="0" view="pageBreakPreview" zoomScale="85" zoomScaleNormal="70" zoomScaleSheetLayoutView="85" workbookViewId="0">
      <selection sqref="A1:M1"/>
    </sheetView>
  </sheetViews>
  <sheetFormatPr defaultColWidth="2.54296875" defaultRowHeight="15"/>
  <cols>
    <col min="1" max="10" width="2.54296875" style="694" customWidth="1"/>
    <col min="11" max="16" width="3.26953125" style="694" customWidth="1"/>
    <col min="17" max="54" width="2.54296875" style="694" customWidth="1"/>
    <col min="55" max="16384" width="2.54296875" style="694"/>
  </cols>
  <sheetData>
    <row r="1" spans="1:108" ht="13.75" customHeight="1">
      <c r="A1" s="984" t="s">
        <v>571</v>
      </c>
      <c r="B1" s="984"/>
      <c r="C1" s="984"/>
      <c r="D1" s="984"/>
      <c r="E1" s="984"/>
      <c r="F1" s="984"/>
      <c r="G1" s="984"/>
      <c r="H1" s="984"/>
      <c r="I1" s="984"/>
      <c r="J1" s="984"/>
      <c r="K1" s="984"/>
      <c r="L1" s="984"/>
      <c r="M1" s="984"/>
      <c r="N1" s="695"/>
      <c r="O1" s="695"/>
      <c r="P1" s="695"/>
      <c r="Q1" s="695"/>
      <c r="R1" s="695"/>
      <c r="S1" s="695"/>
      <c r="T1" s="695"/>
      <c r="U1" s="695"/>
      <c r="V1" s="695"/>
      <c r="W1" s="695"/>
      <c r="X1" s="695"/>
      <c r="Y1" s="695"/>
      <c r="Z1" s="695"/>
      <c r="AA1" s="695"/>
      <c r="AB1" s="695"/>
      <c r="AC1" s="695"/>
      <c r="AD1" s="695"/>
    </row>
    <row r="2" spans="1:108" ht="13.75" customHeight="1">
      <c r="A2" s="985" t="s">
        <v>572</v>
      </c>
      <c r="B2" s="959"/>
      <c r="C2" s="959"/>
      <c r="D2" s="959"/>
      <c r="E2" s="959"/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  <c r="AA2" s="959"/>
      <c r="AB2" s="959"/>
      <c r="AC2" s="959"/>
    </row>
    <row r="3" spans="1:108" ht="13.75" customHeight="1">
      <c r="A3" s="959"/>
      <c r="B3" s="959"/>
      <c r="C3" s="959"/>
      <c r="D3" s="959"/>
      <c r="E3" s="959"/>
      <c r="F3" s="959"/>
      <c r="G3" s="959"/>
      <c r="H3" s="959"/>
      <c r="I3" s="959"/>
      <c r="J3" s="959"/>
      <c r="K3" s="959"/>
      <c r="L3" s="959"/>
      <c r="M3" s="959"/>
      <c r="N3" s="959"/>
      <c r="O3" s="959"/>
      <c r="P3" s="959"/>
      <c r="Q3" s="959"/>
      <c r="R3" s="959"/>
      <c r="S3" s="959"/>
      <c r="T3" s="959"/>
      <c r="U3" s="959"/>
      <c r="V3" s="959"/>
      <c r="W3" s="959"/>
      <c r="X3" s="959"/>
      <c r="Y3" s="959"/>
      <c r="Z3" s="959"/>
      <c r="AA3" s="959"/>
      <c r="AB3" s="959"/>
      <c r="AC3" s="959"/>
    </row>
    <row r="5" spans="1:108">
      <c r="B5" s="696" t="s">
        <v>573</v>
      </c>
    </row>
    <row r="7" spans="1:108">
      <c r="C7" s="696" t="s">
        <v>574</v>
      </c>
    </row>
    <row r="8" spans="1:108">
      <c r="C8" s="696"/>
    </row>
    <row r="9" spans="1:108">
      <c r="D9" s="694" t="s">
        <v>575</v>
      </c>
    </row>
    <row r="10" spans="1:108" ht="15.75" customHeight="1">
      <c r="D10" s="982" t="s">
        <v>576</v>
      </c>
      <c r="E10" s="982"/>
      <c r="F10" s="982"/>
      <c r="G10" s="982"/>
      <c r="H10" s="982"/>
      <c r="I10" s="982"/>
      <c r="J10" s="982"/>
      <c r="K10" s="982" t="s">
        <v>372</v>
      </c>
      <c r="L10" s="982"/>
      <c r="M10" s="982"/>
      <c r="N10" s="982"/>
      <c r="O10" s="982"/>
      <c r="P10" s="982"/>
      <c r="Q10" s="982"/>
      <c r="R10" s="982" t="s">
        <v>577</v>
      </c>
      <c r="S10" s="982"/>
      <c r="T10" s="982"/>
      <c r="U10" s="982"/>
      <c r="V10" s="982"/>
      <c r="W10" s="982"/>
      <c r="X10" s="982"/>
      <c r="Y10" s="982" t="s">
        <v>578</v>
      </c>
      <c r="Z10" s="982"/>
      <c r="AA10" s="982"/>
      <c r="AB10" s="982"/>
      <c r="AC10" s="982"/>
      <c r="AD10" s="982"/>
      <c r="AE10" s="982"/>
      <c r="AF10" s="982" t="s">
        <v>579</v>
      </c>
      <c r="AG10" s="982"/>
      <c r="AH10" s="982"/>
      <c r="AI10" s="982"/>
      <c r="AJ10" s="982"/>
      <c r="AK10" s="982"/>
      <c r="AL10" s="982"/>
      <c r="AM10" s="982" t="s">
        <v>580</v>
      </c>
      <c r="AN10" s="982"/>
      <c r="AO10" s="982"/>
      <c r="AP10" s="982"/>
      <c r="AQ10" s="982"/>
      <c r="AR10" s="982"/>
      <c r="AS10" s="982"/>
      <c r="AT10" s="983" t="s">
        <v>581</v>
      </c>
      <c r="AU10" s="983"/>
      <c r="AV10" s="983"/>
      <c r="AW10" s="983"/>
      <c r="AX10" s="983"/>
      <c r="AY10" s="983"/>
      <c r="AZ10" s="983"/>
      <c r="BA10" s="982" t="s">
        <v>582</v>
      </c>
      <c r="BB10" s="982"/>
      <c r="BC10" s="982"/>
      <c r="BD10" s="982"/>
      <c r="BE10" s="982"/>
      <c r="BF10" s="982"/>
      <c r="BG10" s="982"/>
      <c r="BH10" s="982" t="s">
        <v>583</v>
      </c>
      <c r="BI10" s="982"/>
      <c r="BJ10" s="982"/>
      <c r="BK10" s="982"/>
      <c r="BL10" s="982"/>
      <c r="BM10" s="982"/>
      <c r="BN10" s="982"/>
      <c r="BO10" s="982" t="s">
        <v>584</v>
      </c>
      <c r="BP10" s="982"/>
      <c r="BQ10" s="982"/>
      <c r="BR10" s="982"/>
      <c r="BS10" s="982"/>
      <c r="BT10" s="982"/>
      <c r="BU10" s="982"/>
      <c r="BV10" s="982" t="s">
        <v>585</v>
      </c>
      <c r="BW10" s="982"/>
      <c r="BX10" s="982"/>
      <c r="BY10" s="982"/>
      <c r="BZ10" s="982"/>
      <c r="CA10" s="982"/>
      <c r="CB10" s="982"/>
      <c r="CC10" s="982" t="s">
        <v>586</v>
      </c>
      <c r="CD10" s="982"/>
      <c r="CE10" s="982"/>
      <c r="CF10" s="982"/>
      <c r="CG10" s="982"/>
      <c r="CH10" s="982"/>
      <c r="CI10" s="982"/>
      <c r="CJ10" s="982" t="s">
        <v>587</v>
      </c>
      <c r="CK10" s="982"/>
      <c r="CL10" s="982"/>
      <c r="CM10" s="982"/>
      <c r="CN10" s="982"/>
      <c r="CO10" s="982"/>
      <c r="CP10" s="982"/>
      <c r="CQ10" s="982" t="s">
        <v>588</v>
      </c>
      <c r="CR10" s="982"/>
      <c r="CS10" s="982"/>
      <c r="CT10" s="982"/>
      <c r="CU10" s="982"/>
      <c r="CV10" s="982"/>
      <c r="CW10" s="982"/>
      <c r="CX10" s="982" t="s">
        <v>589</v>
      </c>
      <c r="CY10" s="982"/>
      <c r="CZ10" s="982"/>
      <c r="DA10" s="982"/>
      <c r="DB10" s="982"/>
      <c r="DC10" s="982"/>
      <c r="DD10" s="982"/>
    </row>
    <row r="11" spans="1:108" ht="15.75" customHeight="1">
      <c r="D11" s="974" t="s">
        <v>590</v>
      </c>
      <c r="E11" s="974"/>
      <c r="F11" s="974"/>
      <c r="G11" s="974"/>
      <c r="H11" s="974"/>
      <c r="I11" s="974"/>
      <c r="J11" s="974"/>
      <c r="K11" s="974" t="s">
        <v>591</v>
      </c>
      <c r="L11" s="974"/>
      <c r="M11" s="974"/>
      <c r="N11" s="974"/>
      <c r="O11" s="974"/>
      <c r="P11" s="974"/>
      <c r="Q11" s="974"/>
      <c r="R11" s="974" t="s">
        <v>592</v>
      </c>
      <c r="S11" s="974"/>
      <c r="T11" s="974"/>
      <c r="U11" s="974"/>
      <c r="V11" s="974"/>
      <c r="W11" s="974"/>
      <c r="X11" s="974"/>
      <c r="Y11" s="974" t="s">
        <v>593</v>
      </c>
      <c r="Z11" s="974"/>
      <c r="AA11" s="974"/>
      <c r="AB11" s="974"/>
      <c r="AC11" s="974"/>
      <c r="AD11" s="974"/>
      <c r="AE11" s="974"/>
      <c r="AF11" s="975" t="s">
        <v>594</v>
      </c>
      <c r="AG11" s="974"/>
      <c r="AH11" s="974"/>
      <c r="AI11" s="974"/>
      <c r="AJ11" s="974"/>
      <c r="AK11" s="974"/>
      <c r="AL11" s="974"/>
      <c r="AM11" s="974"/>
      <c r="AN11" s="974"/>
      <c r="AO11" s="974"/>
      <c r="AP11" s="974"/>
      <c r="AQ11" s="974"/>
      <c r="AR11" s="974"/>
      <c r="AS11" s="974"/>
      <c r="AT11" s="976" t="s">
        <v>595</v>
      </c>
      <c r="AU11" s="976"/>
      <c r="AV11" s="976"/>
      <c r="AW11" s="976"/>
      <c r="AX11" s="976"/>
      <c r="AY11" s="976"/>
      <c r="AZ11" s="976"/>
      <c r="BA11" s="974" t="s">
        <v>596</v>
      </c>
      <c r="BB11" s="974"/>
      <c r="BC11" s="974"/>
      <c r="BD11" s="974"/>
      <c r="BE11" s="974"/>
      <c r="BF11" s="974"/>
      <c r="BG11" s="974"/>
      <c r="BH11" s="974" t="s">
        <v>597</v>
      </c>
      <c r="BI11" s="974"/>
      <c r="BJ11" s="974"/>
      <c r="BK11" s="974"/>
      <c r="BL11" s="974"/>
      <c r="BM11" s="974"/>
      <c r="BN11" s="974"/>
      <c r="BO11" s="974" t="s">
        <v>598</v>
      </c>
      <c r="BP11" s="974"/>
      <c r="BQ11" s="974"/>
      <c r="BR11" s="974"/>
      <c r="BS11" s="974"/>
      <c r="BT11" s="974"/>
      <c r="BU11" s="974"/>
      <c r="BV11" s="974" t="s">
        <v>598</v>
      </c>
      <c r="BW11" s="974"/>
      <c r="BX11" s="974"/>
      <c r="BY11" s="974"/>
      <c r="BZ11" s="974"/>
      <c r="CA11" s="974"/>
      <c r="CB11" s="974"/>
      <c r="CC11" s="974" t="s">
        <v>598</v>
      </c>
      <c r="CD11" s="974"/>
      <c r="CE11" s="974"/>
      <c r="CF11" s="974"/>
      <c r="CG11" s="974"/>
      <c r="CH11" s="974"/>
      <c r="CI11" s="974"/>
      <c r="CJ11" s="974" t="s">
        <v>598</v>
      </c>
      <c r="CK11" s="974"/>
      <c r="CL11" s="974"/>
      <c r="CM11" s="974"/>
      <c r="CN11" s="974"/>
      <c r="CO11" s="974"/>
      <c r="CP11" s="974"/>
      <c r="CQ11" s="974" t="s">
        <v>598</v>
      </c>
      <c r="CR11" s="974"/>
      <c r="CS11" s="974"/>
      <c r="CT11" s="974"/>
      <c r="CU11" s="974"/>
      <c r="CV11" s="974"/>
      <c r="CW11" s="974"/>
      <c r="CX11" s="974" t="s">
        <v>598</v>
      </c>
      <c r="CY11" s="974"/>
      <c r="CZ11" s="974"/>
      <c r="DA11" s="974"/>
      <c r="DB11" s="974"/>
      <c r="DC11" s="974"/>
      <c r="DD11" s="974"/>
    </row>
    <row r="12" spans="1:108" ht="15.75" customHeight="1">
      <c r="D12" s="974" t="s">
        <v>590</v>
      </c>
      <c r="E12" s="974"/>
      <c r="F12" s="974"/>
      <c r="G12" s="974"/>
      <c r="H12" s="974"/>
      <c r="I12" s="974"/>
      <c r="J12" s="974"/>
      <c r="K12" s="974" t="s">
        <v>591</v>
      </c>
      <c r="L12" s="974"/>
      <c r="M12" s="974"/>
      <c r="N12" s="974"/>
      <c r="O12" s="974"/>
      <c r="P12" s="974"/>
      <c r="Q12" s="974"/>
      <c r="R12" s="974" t="s">
        <v>592</v>
      </c>
      <c r="S12" s="974"/>
      <c r="T12" s="974"/>
      <c r="U12" s="974"/>
      <c r="V12" s="974"/>
      <c r="W12" s="974"/>
      <c r="X12" s="974"/>
      <c r="Y12" s="974" t="s">
        <v>593</v>
      </c>
      <c r="Z12" s="974"/>
      <c r="AA12" s="974"/>
      <c r="AB12" s="974"/>
      <c r="AC12" s="974"/>
      <c r="AD12" s="974"/>
      <c r="AE12" s="974"/>
      <c r="AF12" s="975" t="s">
        <v>594</v>
      </c>
      <c r="AG12" s="974"/>
      <c r="AH12" s="974"/>
      <c r="AI12" s="974"/>
      <c r="AJ12" s="974"/>
      <c r="AK12" s="974"/>
      <c r="AL12" s="974"/>
      <c r="AM12" s="974" t="s">
        <v>599</v>
      </c>
      <c r="AN12" s="974"/>
      <c r="AO12" s="974"/>
      <c r="AP12" s="974"/>
      <c r="AQ12" s="974"/>
      <c r="AR12" s="974"/>
      <c r="AS12" s="974"/>
      <c r="AT12" s="974"/>
      <c r="AU12" s="974"/>
      <c r="AV12" s="974"/>
      <c r="AW12" s="974"/>
      <c r="AX12" s="974"/>
      <c r="AY12" s="974"/>
      <c r="AZ12" s="974"/>
      <c r="BA12" s="974"/>
      <c r="BB12" s="974"/>
      <c r="BC12" s="974"/>
      <c r="BD12" s="974"/>
      <c r="BE12" s="974"/>
      <c r="BF12" s="974"/>
      <c r="BG12" s="974"/>
      <c r="BH12" s="974"/>
      <c r="BI12" s="974"/>
      <c r="BJ12" s="974"/>
      <c r="BK12" s="974"/>
      <c r="BL12" s="974"/>
      <c r="BM12" s="974"/>
      <c r="BN12" s="974"/>
      <c r="BO12" s="974"/>
      <c r="BP12" s="974"/>
      <c r="BQ12" s="974"/>
      <c r="BR12" s="974"/>
      <c r="BS12" s="974"/>
      <c r="BT12" s="974"/>
      <c r="BU12" s="974"/>
      <c r="BV12" s="974"/>
      <c r="BW12" s="974"/>
      <c r="BX12" s="974"/>
      <c r="BY12" s="974"/>
      <c r="BZ12" s="974"/>
      <c r="CA12" s="974"/>
      <c r="CB12" s="974"/>
      <c r="CC12" s="974"/>
      <c r="CD12" s="974"/>
      <c r="CE12" s="974"/>
      <c r="CF12" s="974"/>
      <c r="CG12" s="974"/>
      <c r="CH12" s="974"/>
      <c r="CI12" s="974"/>
      <c r="CJ12" s="974"/>
      <c r="CK12" s="974"/>
      <c r="CL12" s="974"/>
      <c r="CM12" s="974"/>
      <c r="CN12" s="974"/>
      <c r="CO12" s="974"/>
      <c r="CP12" s="974"/>
      <c r="CQ12" s="974"/>
      <c r="CR12" s="974"/>
      <c r="CS12" s="974"/>
      <c r="CT12" s="974"/>
      <c r="CU12" s="974"/>
      <c r="CV12" s="974"/>
      <c r="CW12" s="974"/>
      <c r="CX12" s="974"/>
      <c r="CY12" s="974"/>
      <c r="CZ12" s="974"/>
      <c r="DA12" s="974"/>
      <c r="DB12" s="974"/>
      <c r="DC12" s="974"/>
      <c r="DD12" s="974"/>
    </row>
    <row r="13" spans="1:108" ht="15.75" customHeight="1">
      <c r="D13" s="974" t="s">
        <v>600</v>
      </c>
      <c r="E13" s="974"/>
      <c r="F13" s="974"/>
      <c r="G13" s="974"/>
      <c r="H13" s="974"/>
      <c r="I13" s="974"/>
      <c r="J13" s="974"/>
      <c r="K13" s="974" t="s">
        <v>601</v>
      </c>
      <c r="L13" s="974"/>
      <c r="M13" s="974"/>
      <c r="N13" s="974"/>
      <c r="O13" s="974"/>
      <c r="P13" s="974"/>
      <c r="Q13" s="974"/>
      <c r="R13" s="974" t="s">
        <v>602</v>
      </c>
      <c r="S13" s="974"/>
      <c r="T13" s="974"/>
      <c r="U13" s="974"/>
      <c r="V13" s="974"/>
      <c r="W13" s="974"/>
      <c r="X13" s="974"/>
      <c r="Y13" s="974" t="s">
        <v>603</v>
      </c>
      <c r="Z13" s="974"/>
      <c r="AA13" s="974"/>
      <c r="AB13" s="974"/>
      <c r="AC13" s="974"/>
      <c r="AD13" s="974"/>
      <c r="AE13" s="974"/>
      <c r="AF13" s="980" t="s">
        <v>604</v>
      </c>
      <c r="AG13" s="974"/>
      <c r="AH13" s="974"/>
      <c r="AI13" s="974"/>
      <c r="AJ13" s="974"/>
      <c r="AK13" s="974"/>
      <c r="AL13" s="974"/>
      <c r="AM13" s="974"/>
      <c r="AN13" s="974"/>
      <c r="AO13" s="974"/>
      <c r="AP13" s="974"/>
      <c r="AQ13" s="974"/>
      <c r="AR13" s="974"/>
      <c r="AS13" s="974"/>
      <c r="AT13" s="976" t="s">
        <v>595</v>
      </c>
      <c r="AU13" s="976"/>
      <c r="AV13" s="976"/>
      <c r="AW13" s="976"/>
      <c r="AX13" s="976"/>
      <c r="AY13" s="976"/>
      <c r="AZ13" s="976"/>
      <c r="BA13" s="974" t="s">
        <v>596</v>
      </c>
      <c r="BB13" s="974"/>
      <c r="BC13" s="974"/>
      <c r="BD13" s="974"/>
      <c r="BE13" s="974"/>
      <c r="BF13" s="974"/>
      <c r="BG13" s="974"/>
      <c r="BH13" s="974" t="s">
        <v>605</v>
      </c>
      <c r="BI13" s="974"/>
      <c r="BJ13" s="974"/>
      <c r="BK13" s="974"/>
      <c r="BL13" s="974"/>
      <c r="BM13" s="974"/>
      <c r="BN13" s="974"/>
      <c r="BO13" s="974" t="s">
        <v>605</v>
      </c>
      <c r="BP13" s="974"/>
      <c r="BQ13" s="974"/>
      <c r="BR13" s="974"/>
      <c r="BS13" s="974"/>
      <c r="BT13" s="974"/>
      <c r="BU13" s="974"/>
      <c r="BV13" s="974" t="s">
        <v>598</v>
      </c>
      <c r="BW13" s="974"/>
      <c r="BX13" s="974"/>
      <c r="BY13" s="974"/>
      <c r="BZ13" s="974"/>
      <c r="CA13" s="974"/>
      <c r="CB13" s="974"/>
      <c r="CC13" s="974" t="s">
        <v>598</v>
      </c>
      <c r="CD13" s="974"/>
      <c r="CE13" s="974"/>
      <c r="CF13" s="974"/>
      <c r="CG13" s="974"/>
      <c r="CH13" s="974"/>
      <c r="CI13" s="974"/>
      <c r="CJ13" s="974" t="s">
        <v>606</v>
      </c>
      <c r="CK13" s="974"/>
      <c r="CL13" s="974"/>
      <c r="CM13" s="974"/>
      <c r="CN13" s="974"/>
      <c r="CO13" s="974"/>
      <c r="CP13" s="974"/>
      <c r="CQ13" s="974" t="s">
        <v>598</v>
      </c>
      <c r="CR13" s="974"/>
      <c r="CS13" s="974"/>
      <c r="CT13" s="974"/>
      <c r="CU13" s="974"/>
      <c r="CV13" s="974"/>
      <c r="CW13" s="974"/>
      <c r="CX13" s="974" t="s">
        <v>598</v>
      </c>
      <c r="CY13" s="974"/>
      <c r="CZ13" s="974"/>
      <c r="DA13" s="974"/>
      <c r="DB13" s="974"/>
      <c r="DC13" s="974"/>
      <c r="DD13" s="974"/>
    </row>
    <row r="14" spans="1:108" ht="15.75" customHeight="1">
      <c r="D14" s="974" t="s">
        <v>607</v>
      </c>
      <c r="E14" s="974"/>
      <c r="F14" s="974"/>
      <c r="G14" s="974"/>
      <c r="H14" s="974"/>
      <c r="I14" s="974"/>
      <c r="J14" s="974"/>
      <c r="K14" s="974" t="s">
        <v>608</v>
      </c>
      <c r="L14" s="974"/>
      <c r="M14" s="974"/>
      <c r="N14" s="974"/>
      <c r="O14" s="974"/>
      <c r="P14" s="974"/>
      <c r="Q14" s="974"/>
      <c r="R14" s="974" t="s">
        <v>609</v>
      </c>
      <c r="S14" s="974"/>
      <c r="T14" s="974"/>
      <c r="U14" s="974"/>
      <c r="V14" s="974"/>
      <c r="W14" s="974"/>
      <c r="X14" s="974"/>
      <c r="Y14" s="974" t="s">
        <v>610</v>
      </c>
      <c r="Z14" s="974"/>
      <c r="AA14" s="974"/>
      <c r="AB14" s="974"/>
      <c r="AC14" s="974"/>
      <c r="AD14" s="974"/>
      <c r="AE14" s="974"/>
      <c r="AF14" s="975" t="s">
        <v>305</v>
      </c>
      <c r="AG14" s="974"/>
      <c r="AH14" s="974"/>
      <c r="AI14" s="974"/>
      <c r="AJ14" s="974"/>
      <c r="AK14" s="974"/>
      <c r="AL14" s="974"/>
      <c r="AM14" s="974"/>
      <c r="AN14" s="974"/>
      <c r="AO14" s="974"/>
      <c r="AP14" s="974"/>
      <c r="AQ14" s="974"/>
      <c r="AR14" s="974"/>
      <c r="AS14" s="974"/>
      <c r="AT14" s="976" t="s">
        <v>595</v>
      </c>
      <c r="AU14" s="976"/>
      <c r="AV14" s="976"/>
      <c r="AW14" s="976"/>
      <c r="AX14" s="976"/>
      <c r="AY14" s="976"/>
      <c r="AZ14" s="976"/>
      <c r="BA14" s="974" t="s">
        <v>596</v>
      </c>
      <c r="BB14" s="974"/>
      <c r="BC14" s="974"/>
      <c r="BD14" s="974"/>
      <c r="BE14" s="974"/>
      <c r="BF14" s="974"/>
      <c r="BG14" s="974"/>
      <c r="BH14" s="974" t="s">
        <v>598</v>
      </c>
      <c r="BI14" s="974"/>
      <c r="BJ14" s="974"/>
      <c r="BK14" s="974"/>
      <c r="BL14" s="974"/>
      <c r="BM14" s="974"/>
      <c r="BN14" s="974"/>
      <c r="BO14" s="974" t="s">
        <v>598</v>
      </c>
      <c r="BP14" s="974"/>
      <c r="BQ14" s="974"/>
      <c r="BR14" s="974"/>
      <c r="BS14" s="974"/>
      <c r="BT14" s="974"/>
      <c r="BU14" s="974"/>
      <c r="BV14" s="974" t="s">
        <v>598</v>
      </c>
      <c r="BW14" s="974"/>
      <c r="BX14" s="974"/>
      <c r="BY14" s="974"/>
      <c r="BZ14" s="974"/>
      <c r="CA14" s="974"/>
      <c r="CB14" s="974"/>
      <c r="CC14" s="974" t="s">
        <v>598</v>
      </c>
      <c r="CD14" s="974"/>
      <c r="CE14" s="974"/>
      <c r="CF14" s="974"/>
      <c r="CG14" s="974"/>
      <c r="CH14" s="974"/>
      <c r="CI14" s="974"/>
      <c r="CJ14" s="974" t="s">
        <v>606</v>
      </c>
      <c r="CK14" s="974"/>
      <c r="CL14" s="974"/>
      <c r="CM14" s="974"/>
      <c r="CN14" s="974"/>
      <c r="CO14" s="974"/>
      <c r="CP14" s="974"/>
      <c r="CQ14" s="974" t="s">
        <v>606</v>
      </c>
      <c r="CR14" s="974"/>
      <c r="CS14" s="974"/>
      <c r="CT14" s="974"/>
      <c r="CU14" s="974"/>
      <c r="CV14" s="974"/>
      <c r="CW14" s="974"/>
      <c r="CX14" s="974" t="s">
        <v>606</v>
      </c>
      <c r="CY14" s="974"/>
      <c r="CZ14" s="974"/>
      <c r="DA14" s="974"/>
      <c r="DB14" s="974"/>
      <c r="DC14" s="974"/>
      <c r="DD14" s="974"/>
    </row>
    <row r="15" spans="1:108" ht="15.75" customHeight="1">
      <c r="D15" s="974" t="s">
        <v>611</v>
      </c>
      <c r="E15" s="974"/>
      <c r="F15" s="974"/>
      <c r="G15" s="974"/>
      <c r="H15" s="974"/>
      <c r="I15" s="974"/>
      <c r="J15" s="974"/>
      <c r="K15" s="974" t="s">
        <v>612</v>
      </c>
      <c r="L15" s="974"/>
      <c r="M15" s="974"/>
      <c r="N15" s="974"/>
      <c r="O15" s="974"/>
      <c r="P15" s="974"/>
      <c r="Q15" s="974"/>
      <c r="R15" s="974" t="s">
        <v>613</v>
      </c>
      <c r="S15" s="974"/>
      <c r="T15" s="974"/>
      <c r="U15" s="974"/>
      <c r="V15" s="974"/>
      <c r="W15" s="974"/>
      <c r="X15" s="974"/>
      <c r="Y15" s="977" t="s">
        <v>614</v>
      </c>
      <c r="Z15" s="978"/>
      <c r="AA15" s="978"/>
      <c r="AB15" s="978"/>
      <c r="AC15" s="978"/>
      <c r="AD15" s="978"/>
      <c r="AE15" s="979"/>
      <c r="AF15" s="975" t="s">
        <v>305</v>
      </c>
      <c r="AG15" s="974"/>
      <c r="AH15" s="974"/>
      <c r="AI15" s="974"/>
      <c r="AJ15" s="974"/>
      <c r="AK15" s="974"/>
      <c r="AL15" s="974"/>
      <c r="AM15" s="974"/>
      <c r="AN15" s="974"/>
      <c r="AO15" s="974"/>
      <c r="AP15" s="974"/>
      <c r="AQ15" s="974"/>
      <c r="AR15" s="974"/>
      <c r="AS15" s="974"/>
      <c r="AT15" s="976" t="s">
        <v>595</v>
      </c>
      <c r="AU15" s="976"/>
      <c r="AV15" s="976"/>
      <c r="AW15" s="976"/>
      <c r="AX15" s="976"/>
      <c r="AY15" s="976"/>
      <c r="AZ15" s="976"/>
      <c r="BA15" s="974" t="s">
        <v>596</v>
      </c>
      <c r="BB15" s="974"/>
      <c r="BC15" s="974"/>
      <c r="BD15" s="974"/>
      <c r="BE15" s="974"/>
      <c r="BF15" s="974"/>
      <c r="BG15" s="974"/>
      <c r="BH15" s="974" t="s">
        <v>598</v>
      </c>
      <c r="BI15" s="974"/>
      <c r="BJ15" s="974"/>
      <c r="BK15" s="974"/>
      <c r="BL15" s="974"/>
      <c r="BM15" s="974"/>
      <c r="BN15" s="974"/>
      <c r="BO15" s="974" t="s">
        <v>598</v>
      </c>
      <c r="BP15" s="974"/>
      <c r="BQ15" s="974"/>
      <c r="BR15" s="974"/>
      <c r="BS15" s="974"/>
      <c r="BT15" s="974"/>
      <c r="BU15" s="974"/>
      <c r="BV15" s="974" t="s">
        <v>598</v>
      </c>
      <c r="BW15" s="974"/>
      <c r="BX15" s="974"/>
      <c r="BY15" s="974"/>
      <c r="BZ15" s="974"/>
      <c r="CA15" s="974"/>
      <c r="CB15" s="974"/>
      <c r="CC15" s="974" t="s">
        <v>598</v>
      </c>
      <c r="CD15" s="974"/>
      <c r="CE15" s="974"/>
      <c r="CF15" s="974"/>
      <c r="CG15" s="974"/>
      <c r="CH15" s="974"/>
      <c r="CI15" s="974"/>
      <c r="CJ15" s="974" t="s">
        <v>598</v>
      </c>
      <c r="CK15" s="974"/>
      <c r="CL15" s="974"/>
      <c r="CM15" s="974"/>
      <c r="CN15" s="974"/>
      <c r="CO15" s="974"/>
      <c r="CP15" s="974"/>
      <c r="CQ15" s="974" t="s">
        <v>598</v>
      </c>
      <c r="CR15" s="974"/>
      <c r="CS15" s="974"/>
      <c r="CT15" s="974"/>
      <c r="CU15" s="974"/>
      <c r="CV15" s="974"/>
      <c r="CW15" s="974"/>
      <c r="CX15" s="974" t="s">
        <v>598</v>
      </c>
      <c r="CY15" s="974"/>
      <c r="CZ15" s="974"/>
      <c r="DA15" s="974"/>
      <c r="DB15" s="974"/>
      <c r="DC15" s="974"/>
      <c r="DD15" s="974"/>
    </row>
    <row r="16" spans="1:108">
      <c r="D16" s="975" t="s">
        <v>305</v>
      </c>
      <c r="E16" s="974"/>
      <c r="F16" s="974"/>
      <c r="G16" s="974"/>
      <c r="H16" s="974"/>
      <c r="I16" s="974"/>
      <c r="J16" s="974"/>
      <c r="K16" s="974" t="s">
        <v>615</v>
      </c>
      <c r="L16" s="974"/>
      <c r="M16" s="974"/>
      <c r="N16" s="974"/>
      <c r="O16" s="974"/>
      <c r="P16" s="974"/>
      <c r="Q16" s="974"/>
      <c r="R16" s="975" t="s">
        <v>305</v>
      </c>
      <c r="S16" s="974"/>
      <c r="T16" s="974"/>
      <c r="U16" s="974"/>
      <c r="V16" s="974"/>
      <c r="W16" s="974"/>
      <c r="X16" s="974"/>
      <c r="Y16" s="975" t="s">
        <v>305</v>
      </c>
      <c r="Z16" s="974"/>
      <c r="AA16" s="974"/>
      <c r="AB16" s="974"/>
      <c r="AC16" s="974"/>
      <c r="AD16" s="974"/>
      <c r="AE16" s="974"/>
      <c r="AF16" s="975" t="s">
        <v>305</v>
      </c>
      <c r="AG16" s="974"/>
      <c r="AH16" s="974"/>
      <c r="AI16" s="974"/>
      <c r="AJ16" s="974"/>
      <c r="AK16" s="974"/>
      <c r="AL16" s="974"/>
      <c r="AM16" s="974" t="s">
        <v>616</v>
      </c>
      <c r="AN16" s="974"/>
      <c r="AO16" s="974"/>
      <c r="AP16" s="974"/>
      <c r="AQ16" s="974"/>
      <c r="AR16" s="974"/>
      <c r="AS16" s="974"/>
      <c r="AT16" s="976" t="s">
        <v>595</v>
      </c>
      <c r="AU16" s="976"/>
      <c r="AV16" s="976"/>
      <c r="AW16" s="976"/>
      <c r="AX16" s="976"/>
      <c r="AY16" s="976"/>
      <c r="AZ16" s="976"/>
      <c r="BA16" s="974" t="s">
        <v>596</v>
      </c>
      <c r="BB16" s="974"/>
      <c r="BC16" s="974"/>
      <c r="BD16" s="974"/>
      <c r="BE16" s="974"/>
      <c r="BF16" s="974"/>
      <c r="BG16" s="974"/>
      <c r="BH16" s="974" t="s">
        <v>606</v>
      </c>
      <c r="BI16" s="974"/>
      <c r="BJ16" s="974"/>
      <c r="BK16" s="974"/>
      <c r="BL16" s="974"/>
      <c r="BM16" s="974"/>
      <c r="BN16" s="974"/>
      <c r="BO16" s="974" t="s">
        <v>606</v>
      </c>
      <c r="BP16" s="974"/>
      <c r="BQ16" s="974"/>
      <c r="BR16" s="974"/>
      <c r="BS16" s="974"/>
      <c r="BT16" s="974"/>
      <c r="BU16" s="974"/>
      <c r="BV16" s="974" t="s">
        <v>606</v>
      </c>
      <c r="BW16" s="974"/>
      <c r="BX16" s="974"/>
      <c r="BY16" s="974"/>
      <c r="BZ16" s="974"/>
      <c r="CA16" s="974"/>
      <c r="CB16" s="974"/>
      <c r="CC16" s="974" t="s">
        <v>606</v>
      </c>
      <c r="CD16" s="974"/>
      <c r="CE16" s="974"/>
      <c r="CF16" s="974"/>
      <c r="CG16" s="974"/>
      <c r="CH16" s="974"/>
      <c r="CI16" s="974"/>
      <c r="CJ16" s="974" t="s">
        <v>606</v>
      </c>
      <c r="CK16" s="974"/>
      <c r="CL16" s="974"/>
      <c r="CM16" s="974"/>
      <c r="CN16" s="974"/>
      <c r="CO16" s="974"/>
      <c r="CP16" s="974"/>
      <c r="CQ16" s="974" t="s">
        <v>606</v>
      </c>
      <c r="CR16" s="974"/>
      <c r="CS16" s="974"/>
      <c r="CT16" s="974"/>
      <c r="CU16" s="974"/>
      <c r="CV16" s="974"/>
      <c r="CW16" s="974"/>
      <c r="CX16" s="974" t="s">
        <v>606</v>
      </c>
      <c r="CY16" s="974"/>
      <c r="CZ16" s="974"/>
      <c r="DA16" s="974"/>
      <c r="DB16" s="974"/>
      <c r="DC16" s="974"/>
      <c r="DD16" s="974"/>
    </row>
    <row r="19" spans="2:87">
      <c r="C19" s="696" t="s">
        <v>617</v>
      </c>
    </row>
    <row r="20" spans="2:87">
      <c r="C20" s="696"/>
    </row>
    <row r="21" spans="2:87">
      <c r="D21" s="694" t="s">
        <v>575</v>
      </c>
    </row>
    <row r="22" spans="2:87">
      <c r="D22" s="982" t="s">
        <v>576</v>
      </c>
      <c r="E22" s="982"/>
      <c r="F22" s="982"/>
      <c r="G22" s="982"/>
      <c r="H22" s="982"/>
      <c r="I22" s="982"/>
      <c r="J22" s="982"/>
      <c r="K22" s="981" t="s">
        <v>372</v>
      </c>
      <c r="L22" s="981"/>
      <c r="M22" s="981"/>
      <c r="N22" s="981"/>
      <c r="O22" s="981"/>
      <c r="P22" s="981"/>
      <c r="Q22" s="981"/>
      <c r="R22" s="982" t="s">
        <v>577</v>
      </c>
      <c r="S22" s="982"/>
      <c r="T22" s="982"/>
      <c r="U22" s="982"/>
      <c r="V22" s="982"/>
      <c r="W22" s="982"/>
      <c r="X22" s="982"/>
      <c r="Y22" s="982" t="s">
        <v>578</v>
      </c>
      <c r="Z22" s="982"/>
      <c r="AA22" s="982"/>
      <c r="AB22" s="982"/>
      <c r="AC22" s="982"/>
      <c r="AD22" s="982"/>
      <c r="AE22" s="982"/>
      <c r="AF22" s="982" t="s">
        <v>579</v>
      </c>
      <c r="AG22" s="982"/>
      <c r="AH22" s="982"/>
      <c r="AI22" s="982"/>
      <c r="AJ22" s="982"/>
      <c r="AK22" s="982"/>
      <c r="AL22" s="982"/>
      <c r="AM22" s="981" t="s">
        <v>580</v>
      </c>
      <c r="AN22" s="981"/>
      <c r="AO22" s="981"/>
      <c r="AP22" s="981"/>
      <c r="AQ22" s="981"/>
      <c r="AR22" s="981"/>
      <c r="AS22" s="981"/>
      <c r="AT22" s="983" t="s">
        <v>581</v>
      </c>
      <c r="AU22" s="983"/>
      <c r="AV22" s="983"/>
      <c r="AW22" s="983"/>
      <c r="AX22" s="983"/>
      <c r="AY22" s="983"/>
      <c r="AZ22" s="983"/>
      <c r="BA22" s="981" t="s">
        <v>582</v>
      </c>
      <c r="BB22" s="981"/>
      <c r="BC22" s="981"/>
      <c r="BD22" s="981"/>
      <c r="BE22" s="981"/>
      <c r="BF22" s="981"/>
      <c r="BG22" s="981"/>
      <c r="BH22" s="981" t="s">
        <v>583</v>
      </c>
      <c r="BI22" s="981"/>
      <c r="BJ22" s="981"/>
      <c r="BK22" s="981"/>
      <c r="BL22" s="981"/>
      <c r="BM22" s="981"/>
      <c r="BN22" s="981"/>
      <c r="BO22" s="981" t="s">
        <v>584</v>
      </c>
      <c r="BP22" s="981"/>
      <c r="BQ22" s="981"/>
      <c r="BR22" s="981"/>
      <c r="BS22" s="981"/>
      <c r="BT22" s="981"/>
      <c r="BU22" s="981"/>
      <c r="BV22" s="981" t="s">
        <v>585</v>
      </c>
      <c r="BW22" s="981"/>
      <c r="BX22" s="981"/>
      <c r="BY22" s="981"/>
      <c r="BZ22" s="981"/>
      <c r="CA22" s="981"/>
      <c r="CB22" s="981"/>
      <c r="CC22" s="981" t="s">
        <v>586</v>
      </c>
      <c r="CD22" s="981"/>
      <c r="CE22" s="981"/>
      <c r="CF22" s="981"/>
      <c r="CG22" s="981"/>
      <c r="CH22" s="981"/>
      <c r="CI22" s="981"/>
    </row>
    <row r="23" spans="2:87">
      <c r="D23" s="974" t="s">
        <v>590</v>
      </c>
      <c r="E23" s="974"/>
      <c r="F23" s="974"/>
      <c r="G23" s="974"/>
      <c r="H23" s="974"/>
      <c r="I23" s="974"/>
      <c r="J23" s="974"/>
      <c r="K23" s="974" t="s">
        <v>591</v>
      </c>
      <c r="L23" s="974"/>
      <c r="M23" s="974"/>
      <c r="N23" s="974"/>
      <c r="O23" s="974"/>
      <c r="P23" s="974"/>
      <c r="Q23" s="974"/>
      <c r="R23" s="974" t="s">
        <v>592</v>
      </c>
      <c r="S23" s="974"/>
      <c r="T23" s="974"/>
      <c r="U23" s="974"/>
      <c r="V23" s="974"/>
      <c r="W23" s="974"/>
      <c r="X23" s="974"/>
      <c r="Y23" s="974" t="s">
        <v>593</v>
      </c>
      <c r="Z23" s="974"/>
      <c r="AA23" s="974"/>
      <c r="AB23" s="974"/>
      <c r="AC23" s="974"/>
      <c r="AD23" s="974"/>
      <c r="AE23" s="974"/>
      <c r="AF23" s="975" t="s">
        <v>594</v>
      </c>
      <c r="AG23" s="974"/>
      <c r="AH23" s="974"/>
      <c r="AI23" s="974"/>
      <c r="AJ23" s="974"/>
      <c r="AK23" s="974"/>
      <c r="AL23" s="974"/>
      <c r="AM23" s="974"/>
      <c r="AN23" s="974"/>
      <c r="AO23" s="974"/>
      <c r="AP23" s="974"/>
      <c r="AQ23" s="974"/>
      <c r="AR23" s="974"/>
      <c r="AS23" s="974"/>
      <c r="AT23" s="976" t="s">
        <v>595</v>
      </c>
      <c r="AU23" s="976"/>
      <c r="AV23" s="976"/>
      <c r="AW23" s="976"/>
      <c r="AX23" s="976"/>
      <c r="AY23" s="976"/>
      <c r="AZ23" s="976"/>
      <c r="BA23" s="974" t="s">
        <v>596</v>
      </c>
      <c r="BB23" s="974"/>
      <c r="BC23" s="974"/>
      <c r="BD23" s="974"/>
      <c r="BE23" s="974"/>
      <c r="BF23" s="974"/>
      <c r="BG23" s="974"/>
      <c r="BH23" s="974" t="s">
        <v>598</v>
      </c>
      <c r="BI23" s="974"/>
      <c r="BJ23" s="974"/>
      <c r="BK23" s="974"/>
      <c r="BL23" s="974"/>
      <c r="BM23" s="974"/>
      <c r="BN23" s="974"/>
      <c r="BO23" s="974" t="s">
        <v>598</v>
      </c>
      <c r="BP23" s="974"/>
      <c r="BQ23" s="974"/>
      <c r="BR23" s="974"/>
      <c r="BS23" s="974"/>
      <c r="BT23" s="974"/>
      <c r="BU23" s="974"/>
      <c r="BV23" s="974" t="s">
        <v>598</v>
      </c>
      <c r="BW23" s="974"/>
      <c r="BX23" s="974"/>
      <c r="BY23" s="974"/>
      <c r="BZ23" s="974"/>
      <c r="CA23" s="974"/>
      <c r="CB23" s="974"/>
      <c r="CC23" s="974" t="s">
        <v>598</v>
      </c>
      <c r="CD23" s="974"/>
      <c r="CE23" s="974"/>
      <c r="CF23" s="974"/>
      <c r="CG23" s="974"/>
      <c r="CH23" s="974"/>
      <c r="CI23" s="974"/>
    </row>
    <row r="24" spans="2:87">
      <c r="D24" s="974" t="s">
        <v>590</v>
      </c>
      <c r="E24" s="974"/>
      <c r="F24" s="974"/>
      <c r="G24" s="974"/>
      <c r="H24" s="974"/>
      <c r="I24" s="974"/>
      <c r="J24" s="974"/>
      <c r="K24" s="974" t="s">
        <v>591</v>
      </c>
      <c r="L24" s="974"/>
      <c r="M24" s="974"/>
      <c r="N24" s="974"/>
      <c r="O24" s="974"/>
      <c r="P24" s="974"/>
      <c r="Q24" s="974"/>
      <c r="R24" s="974" t="s">
        <v>592</v>
      </c>
      <c r="S24" s="974"/>
      <c r="T24" s="974"/>
      <c r="U24" s="974"/>
      <c r="V24" s="974"/>
      <c r="W24" s="974"/>
      <c r="X24" s="974"/>
      <c r="Y24" s="974" t="s">
        <v>593</v>
      </c>
      <c r="Z24" s="974"/>
      <c r="AA24" s="974"/>
      <c r="AB24" s="974"/>
      <c r="AC24" s="974"/>
      <c r="AD24" s="974"/>
      <c r="AE24" s="974"/>
      <c r="AF24" s="975" t="s">
        <v>594</v>
      </c>
      <c r="AG24" s="974"/>
      <c r="AH24" s="974"/>
      <c r="AI24" s="974"/>
      <c r="AJ24" s="974"/>
      <c r="AK24" s="974"/>
      <c r="AL24" s="974"/>
      <c r="AM24" s="974" t="s">
        <v>618</v>
      </c>
      <c r="AN24" s="974"/>
      <c r="AO24" s="974"/>
      <c r="AP24" s="974"/>
      <c r="AQ24" s="974"/>
      <c r="AR24" s="974"/>
      <c r="AS24" s="974"/>
      <c r="AT24" s="974"/>
      <c r="AU24" s="974"/>
      <c r="AV24" s="974"/>
      <c r="AW24" s="974"/>
      <c r="AX24" s="974"/>
      <c r="AY24" s="974"/>
      <c r="AZ24" s="974"/>
      <c r="BA24" s="974"/>
      <c r="BB24" s="974"/>
      <c r="BC24" s="974"/>
      <c r="BD24" s="974"/>
      <c r="BE24" s="974"/>
      <c r="BF24" s="974"/>
      <c r="BG24" s="974"/>
      <c r="BH24" s="974"/>
      <c r="BI24" s="974"/>
      <c r="BJ24" s="974"/>
      <c r="BK24" s="974"/>
      <c r="BL24" s="974"/>
      <c r="BM24" s="974"/>
      <c r="BN24" s="974"/>
      <c r="BO24" s="974"/>
      <c r="BP24" s="974"/>
      <c r="BQ24" s="974"/>
      <c r="BR24" s="974"/>
      <c r="BS24" s="974"/>
      <c r="BT24" s="974"/>
      <c r="BU24" s="974"/>
      <c r="BV24" s="974"/>
      <c r="BW24" s="974"/>
      <c r="BX24" s="974"/>
      <c r="BY24" s="974"/>
      <c r="BZ24" s="974"/>
      <c r="CA24" s="974"/>
      <c r="CB24" s="974"/>
      <c r="CC24" s="974"/>
      <c r="CD24" s="974"/>
      <c r="CE24" s="974"/>
      <c r="CF24" s="974"/>
      <c r="CG24" s="974"/>
      <c r="CH24" s="974"/>
      <c r="CI24" s="974"/>
    </row>
    <row r="25" spans="2:87">
      <c r="D25" s="974" t="s">
        <v>600</v>
      </c>
      <c r="E25" s="974"/>
      <c r="F25" s="974"/>
      <c r="G25" s="974"/>
      <c r="H25" s="974"/>
      <c r="I25" s="974"/>
      <c r="J25" s="974"/>
      <c r="K25" s="974" t="s">
        <v>601</v>
      </c>
      <c r="L25" s="974"/>
      <c r="M25" s="974"/>
      <c r="N25" s="974"/>
      <c r="O25" s="974"/>
      <c r="P25" s="974"/>
      <c r="Q25" s="974"/>
      <c r="R25" s="974" t="s">
        <v>602</v>
      </c>
      <c r="S25" s="974"/>
      <c r="T25" s="974"/>
      <c r="U25" s="974"/>
      <c r="V25" s="974"/>
      <c r="W25" s="974"/>
      <c r="X25" s="974"/>
      <c r="Y25" s="974" t="s">
        <v>603</v>
      </c>
      <c r="Z25" s="974"/>
      <c r="AA25" s="974"/>
      <c r="AB25" s="974"/>
      <c r="AC25" s="974"/>
      <c r="AD25" s="974"/>
      <c r="AE25" s="974"/>
      <c r="AF25" s="980" t="s">
        <v>604</v>
      </c>
      <c r="AG25" s="974"/>
      <c r="AH25" s="974"/>
      <c r="AI25" s="974"/>
      <c r="AJ25" s="974"/>
      <c r="AK25" s="974"/>
      <c r="AL25" s="974"/>
      <c r="AM25" s="974"/>
      <c r="AN25" s="974"/>
      <c r="AO25" s="974"/>
      <c r="AP25" s="974"/>
      <c r="AQ25" s="974"/>
      <c r="AR25" s="974"/>
      <c r="AS25" s="974"/>
      <c r="AT25" s="976" t="s">
        <v>595</v>
      </c>
      <c r="AU25" s="976"/>
      <c r="AV25" s="976"/>
      <c r="AW25" s="976"/>
      <c r="AX25" s="976"/>
      <c r="AY25" s="976"/>
      <c r="AZ25" s="976"/>
      <c r="BA25" s="974" t="s">
        <v>596</v>
      </c>
      <c r="BB25" s="974"/>
      <c r="BC25" s="974"/>
      <c r="BD25" s="974"/>
      <c r="BE25" s="974"/>
      <c r="BF25" s="974"/>
      <c r="BG25" s="974"/>
      <c r="BH25" s="974" t="s">
        <v>605</v>
      </c>
      <c r="BI25" s="974"/>
      <c r="BJ25" s="974"/>
      <c r="BK25" s="974"/>
      <c r="BL25" s="974"/>
      <c r="BM25" s="974"/>
      <c r="BN25" s="974"/>
      <c r="BO25" s="974" t="s">
        <v>373</v>
      </c>
      <c r="BP25" s="974"/>
      <c r="BQ25" s="974"/>
      <c r="BR25" s="974"/>
      <c r="BS25" s="974"/>
      <c r="BT25" s="974"/>
      <c r="BU25" s="974"/>
      <c r="BV25" s="974" t="s">
        <v>598</v>
      </c>
      <c r="BW25" s="974"/>
      <c r="BX25" s="974"/>
      <c r="BY25" s="974"/>
      <c r="BZ25" s="974"/>
      <c r="CA25" s="974"/>
      <c r="CB25" s="974"/>
      <c r="CC25" s="974" t="s">
        <v>598</v>
      </c>
      <c r="CD25" s="974"/>
      <c r="CE25" s="974"/>
      <c r="CF25" s="974"/>
      <c r="CG25" s="974"/>
      <c r="CH25" s="974"/>
      <c r="CI25" s="974"/>
    </row>
    <row r="26" spans="2:87">
      <c r="D26" s="974" t="s">
        <v>607</v>
      </c>
      <c r="E26" s="974"/>
      <c r="F26" s="974"/>
      <c r="G26" s="974"/>
      <c r="H26" s="974"/>
      <c r="I26" s="974"/>
      <c r="J26" s="974"/>
      <c r="K26" s="974" t="s">
        <v>608</v>
      </c>
      <c r="L26" s="974"/>
      <c r="M26" s="974"/>
      <c r="N26" s="974"/>
      <c r="O26" s="974"/>
      <c r="P26" s="974"/>
      <c r="Q26" s="974"/>
      <c r="R26" s="974" t="s">
        <v>609</v>
      </c>
      <c r="S26" s="974"/>
      <c r="T26" s="974"/>
      <c r="U26" s="974"/>
      <c r="V26" s="974"/>
      <c r="W26" s="974"/>
      <c r="X26" s="974"/>
      <c r="Y26" s="974" t="s">
        <v>610</v>
      </c>
      <c r="Z26" s="974"/>
      <c r="AA26" s="974"/>
      <c r="AB26" s="974"/>
      <c r="AC26" s="974"/>
      <c r="AD26" s="974"/>
      <c r="AE26" s="974"/>
      <c r="AF26" s="975" t="s">
        <v>305</v>
      </c>
      <c r="AG26" s="974"/>
      <c r="AH26" s="974"/>
      <c r="AI26" s="974"/>
      <c r="AJ26" s="974"/>
      <c r="AK26" s="974"/>
      <c r="AL26" s="974"/>
      <c r="AM26" s="974"/>
      <c r="AN26" s="974"/>
      <c r="AO26" s="974"/>
      <c r="AP26" s="974"/>
      <c r="AQ26" s="974"/>
      <c r="AR26" s="974"/>
      <c r="AS26" s="974"/>
      <c r="AT26" s="976" t="s">
        <v>595</v>
      </c>
      <c r="AU26" s="976"/>
      <c r="AV26" s="976"/>
      <c r="AW26" s="976"/>
      <c r="AX26" s="976"/>
      <c r="AY26" s="976"/>
      <c r="AZ26" s="976"/>
      <c r="BA26" s="974" t="s">
        <v>596</v>
      </c>
      <c r="BB26" s="974"/>
      <c r="BC26" s="974"/>
      <c r="BD26" s="974"/>
      <c r="BE26" s="974"/>
      <c r="BF26" s="974"/>
      <c r="BG26" s="974"/>
      <c r="BH26" s="974" t="s">
        <v>598</v>
      </c>
      <c r="BI26" s="974"/>
      <c r="BJ26" s="974"/>
      <c r="BK26" s="974"/>
      <c r="BL26" s="974"/>
      <c r="BM26" s="974"/>
      <c r="BN26" s="974"/>
      <c r="BO26" s="974" t="s">
        <v>598</v>
      </c>
      <c r="BP26" s="974"/>
      <c r="BQ26" s="974"/>
      <c r="BR26" s="974"/>
      <c r="BS26" s="974"/>
      <c r="BT26" s="974"/>
      <c r="BU26" s="974"/>
      <c r="BV26" s="974" t="s">
        <v>598</v>
      </c>
      <c r="BW26" s="974"/>
      <c r="BX26" s="974"/>
      <c r="BY26" s="974"/>
      <c r="BZ26" s="974"/>
      <c r="CA26" s="974"/>
      <c r="CB26" s="974"/>
      <c r="CC26" s="974" t="s">
        <v>598</v>
      </c>
      <c r="CD26" s="974"/>
      <c r="CE26" s="974"/>
      <c r="CF26" s="974"/>
      <c r="CG26" s="974"/>
      <c r="CH26" s="974"/>
      <c r="CI26" s="974"/>
    </row>
    <row r="27" spans="2:87">
      <c r="D27" s="974" t="s">
        <v>611</v>
      </c>
      <c r="E27" s="974"/>
      <c r="F27" s="974"/>
      <c r="G27" s="974"/>
      <c r="H27" s="974"/>
      <c r="I27" s="974"/>
      <c r="J27" s="974"/>
      <c r="K27" s="974" t="s">
        <v>612</v>
      </c>
      <c r="L27" s="974"/>
      <c r="M27" s="974"/>
      <c r="N27" s="974"/>
      <c r="O27" s="974"/>
      <c r="P27" s="974"/>
      <c r="Q27" s="974"/>
      <c r="R27" s="974" t="s">
        <v>613</v>
      </c>
      <c r="S27" s="974"/>
      <c r="T27" s="974"/>
      <c r="U27" s="974"/>
      <c r="V27" s="974"/>
      <c r="W27" s="974"/>
      <c r="X27" s="974"/>
      <c r="Y27" s="977" t="s">
        <v>614</v>
      </c>
      <c r="Z27" s="978"/>
      <c r="AA27" s="978"/>
      <c r="AB27" s="978"/>
      <c r="AC27" s="978"/>
      <c r="AD27" s="978"/>
      <c r="AE27" s="979"/>
      <c r="AF27" s="975" t="s">
        <v>305</v>
      </c>
      <c r="AG27" s="974"/>
      <c r="AH27" s="974"/>
      <c r="AI27" s="974"/>
      <c r="AJ27" s="974"/>
      <c r="AK27" s="974"/>
      <c r="AL27" s="974"/>
      <c r="AM27" s="974"/>
      <c r="AN27" s="974"/>
      <c r="AO27" s="974"/>
      <c r="AP27" s="974"/>
      <c r="AQ27" s="974"/>
      <c r="AR27" s="974"/>
      <c r="AS27" s="974"/>
      <c r="AT27" s="976" t="s">
        <v>595</v>
      </c>
      <c r="AU27" s="976"/>
      <c r="AV27" s="976"/>
      <c r="AW27" s="976"/>
      <c r="AX27" s="976"/>
      <c r="AY27" s="976"/>
      <c r="AZ27" s="976"/>
      <c r="BA27" s="974" t="s">
        <v>596</v>
      </c>
      <c r="BB27" s="974"/>
      <c r="BC27" s="974"/>
      <c r="BD27" s="974"/>
      <c r="BE27" s="974"/>
      <c r="BF27" s="974"/>
      <c r="BG27" s="974"/>
      <c r="BH27" s="974" t="s">
        <v>598</v>
      </c>
      <c r="BI27" s="974"/>
      <c r="BJ27" s="974"/>
      <c r="BK27" s="974"/>
      <c r="BL27" s="974"/>
      <c r="BM27" s="974"/>
      <c r="BN27" s="974"/>
      <c r="BO27" s="974" t="s">
        <v>598</v>
      </c>
      <c r="BP27" s="974"/>
      <c r="BQ27" s="974"/>
      <c r="BR27" s="974"/>
      <c r="BS27" s="974"/>
      <c r="BT27" s="974"/>
      <c r="BU27" s="974"/>
      <c r="BV27" s="974" t="s">
        <v>598</v>
      </c>
      <c r="BW27" s="974"/>
      <c r="BX27" s="974"/>
      <c r="BY27" s="974"/>
      <c r="BZ27" s="974"/>
      <c r="CA27" s="974"/>
      <c r="CB27" s="974"/>
      <c r="CC27" s="974" t="s">
        <v>598</v>
      </c>
      <c r="CD27" s="974"/>
      <c r="CE27" s="974"/>
      <c r="CF27" s="974"/>
      <c r="CG27" s="974"/>
      <c r="CH27" s="974"/>
      <c r="CI27" s="974"/>
    </row>
    <row r="28" spans="2:87">
      <c r="D28" s="975" t="s">
        <v>305</v>
      </c>
      <c r="E28" s="974"/>
      <c r="F28" s="974"/>
      <c r="G28" s="974"/>
      <c r="H28" s="974"/>
      <c r="I28" s="974"/>
      <c r="J28" s="974"/>
      <c r="K28" s="974" t="s">
        <v>615</v>
      </c>
      <c r="L28" s="974"/>
      <c r="M28" s="974"/>
      <c r="N28" s="974"/>
      <c r="O28" s="974"/>
      <c r="P28" s="974"/>
      <c r="Q28" s="974"/>
      <c r="R28" s="975" t="s">
        <v>305</v>
      </c>
      <c r="S28" s="974"/>
      <c r="T28" s="974"/>
      <c r="U28" s="974"/>
      <c r="V28" s="974"/>
      <c r="W28" s="974"/>
      <c r="X28" s="974"/>
      <c r="Y28" s="975" t="s">
        <v>305</v>
      </c>
      <c r="Z28" s="974"/>
      <c r="AA28" s="974"/>
      <c r="AB28" s="974"/>
      <c r="AC28" s="974"/>
      <c r="AD28" s="974"/>
      <c r="AE28" s="974"/>
      <c r="AF28" s="975" t="s">
        <v>305</v>
      </c>
      <c r="AG28" s="974"/>
      <c r="AH28" s="974"/>
      <c r="AI28" s="974"/>
      <c r="AJ28" s="974"/>
      <c r="AK28" s="974"/>
      <c r="AL28" s="974"/>
      <c r="AM28" s="974" t="s">
        <v>616</v>
      </c>
      <c r="AN28" s="974"/>
      <c r="AO28" s="974"/>
      <c r="AP28" s="974"/>
      <c r="AQ28" s="974"/>
      <c r="AR28" s="974"/>
      <c r="AS28" s="974"/>
      <c r="AT28" s="976" t="s">
        <v>595</v>
      </c>
      <c r="AU28" s="976"/>
      <c r="AV28" s="976"/>
      <c r="AW28" s="976"/>
      <c r="AX28" s="976"/>
      <c r="AY28" s="976"/>
      <c r="AZ28" s="976"/>
      <c r="BA28" s="974" t="s">
        <v>596</v>
      </c>
      <c r="BB28" s="974"/>
      <c r="BC28" s="974"/>
      <c r="BD28" s="974"/>
      <c r="BE28" s="974"/>
      <c r="BF28" s="974"/>
      <c r="BG28" s="974"/>
      <c r="BH28" s="974" t="s">
        <v>606</v>
      </c>
      <c r="BI28" s="974"/>
      <c r="BJ28" s="974"/>
      <c r="BK28" s="974"/>
      <c r="BL28" s="974"/>
      <c r="BM28" s="974"/>
      <c r="BN28" s="974"/>
      <c r="BO28" s="974" t="s">
        <v>606</v>
      </c>
      <c r="BP28" s="974"/>
      <c r="BQ28" s="974"/>
      <c r="BR28" s="974"/>
      <c r="BS28" s="974"/>
      <c r="BT28" s="974"/>
      <c r="BU28" s="974"/>
      <c r="BV28" s="974" t="s">
        <v>606</v>
      </c>
      <c r="BW28" s="974"/>
      <c r="BX28" s="974"/>
      <c r="BY28" s="974"/>
      <c r="BZ28" s="974"/>
      <c r="CA28" s="974"/>
      <c r="CB28" s="974"/>
      <c r="CC28" s="974" t="s">
        <v>606</v>
      </c>
      <c r="CD28" s="974"/>
      <c r="CE28" s="974"/>
      <c r="CF28" s="974"/>
      <c r="CG28" s="974"/>
      <c r="CH28" s="974"/>
      <c r="CI28" s="974"/>
    </row>
    <row r="30" spans="2:87">
      <c r="B30" s="694" t="s">
        <v>619</v>
      </c>
      <c r="C30" s="694" t="s">
        <v>620</v>
      </c>
    </row>
    <row r="31" spans="2:87">
      <c r="C31" s="694" t="s">
        <v>621</v>
      </c>
    </row>
    <row r="32" spans="2:87">
      <c r="C32" s="694" t="s">
        <v>622</v>
      </c>
    </row>
    <row r="33" spans="3:3">
      <c r="C33" s="694" t="s">
        <v>623</v>
      </c>
    </row>
  </sheetData>
  <mergeCells count="191">
    <mergeCell ref="A1:M1"/>
    <mergeCell ref="A2:AC3"/>
    <mergeCell ref="D10:J10"/>
    <mergeCell ref="K10:Q10"/>
    <mergeCell ref="R10:X10"/>
    <mergeCell ref="Y10:AE10"/>
    <mergeCell ref="BV10:CB10"/>
    <mergeCell ref="CC10:CI10"/>
    <mergeCell ref="CJ10:CP10"/>
    <mergeCell ref="AM11:AS11"/>
    <mergeCell ref="AT11:AZ11"/>
    <mergeCell ref="BA11:BG11"/>
    <mergeCell ref="CQ10:CW10"/>
    <mergeCell ref="CX10:DD10"/>
    <mergeCell ref="D11:J11"/>
    <mergeCell ref="K11:Q11"/>
    <mergeCell ref="R11:X11"/>
    <mergeCell ref="Y11:AE11"/>
    <mergeCell ref="AF11:AL11"/>
    <mergeCell ref="AF10:AL10"/>
    <mergeCell ref="AM10:AS10"/>
    <mergeCell ref="AT10:AZ10"/>
    <mergeCell ref="BA10:BG10"/>
    <mergeCell ref="BH10:BN10"/>
    <mergeCell ref="BO10:BU10"/>
    <mergeCell ref="CC11:CI11"/>
    <mergeCell ref="CJ11:CP11"/>
    <mergeCell ref="CQ11:CW11"/>
    <mergeCell ref="CX11:DD11"/>
    <mergeCell ref="BH11:BN11"/>
    <mergeCell ref="BO11:BU11"/>
    <mergeCell ref="BV11:CB11"/>
    <mergeCell ref="CX12:DD12"/>
    <mergeCell ref="D13:J13"/>
    <mergeCell ref="K13:Q13"/>
    <mergeCell ref="R13:X13"/>
    <mergeCell ref="Y13:AE13"/>
    <mergeCell ref="AF13:AL13"/>
    <mergeCell ref="AM13:AS13"/>
    <mergeCell ref="AT13:AZ13"/>
    <mergeCell ref="AT12:AZ12"/>
    <mergeCell ref="BA12:BG12"/>
    <mergeCell ref="BH12:BN12"/>
    <mergeCell ref="BO12:BU12"/>
    <mergeCell ref="BV12:CB12"/>
    <mergeCell ref="CC12:CI12"/>
    <mergeCell ref="CQ13:CW13"/>
    <mergeCell ref="CX13:DD13"/>
    <mergeCell ref="BH13:BN13"/>
    <mergeCell ref="BO13:BU13"/>
    <mergeCell ref="BV13:CB13"/>
    <mergeCell ref="CC13:CI13"/>
    <mergeCell ref="CJ13:CP13"/>
    <mergeCell ref="D12:J12"/>
    <mergeCell ref="K12:Q12"/>
    <mergeCell ref="R12:X12"/>
    <mergeCell ref="R14:X14"/>
    <mergeCell ref="Y14:AE14"/>
    <mergeCell ref="AF14:AL14"/>
    <mergeCell ref="AM14:AS14"/>
    <mergeCell ref="AT14:AZ14"/>
    <mergeCell ref="BA14:BG14"/>
    <mergeCell ref="BA13:BG13"/>
    <mergeCell ref="CJ12:CP12"/>
    <mergeCell ref="CQ12:CW12"/>
    <mergeCell ref="Y12:AE12"/>
    <mergeCell ref="AF12:AL12"/>
    <mergeCell ref="AM12:AS12"/>
    <mergeCell ref="BO15:BU15"/>
    <mergeCell ref="BV15:CB15"/>
    <mergeCell ref="CC15:CI15"/>
    <mergeCell ref="CJ15:CP15"/>
    <mergeCell ref="CQ15:CW15"/>
    <mergeCell ref="CX15:DD15"/>
    <mergeCell ref="CX14:DD14"/>
    <mergeCell ref="D15:J15"/>
    <mergeCell ref="K15:Q15"/>
    <mergeCell ref="R15:X15"/>
    <mergeCell ref="Y15:AE15"/>
    <mergeCell ref="AF15:AL15"/>
    <mergeCell ref="AM15:AS15"/>
    <mergeCell ref="AT15:AZ15"/>
    <mergeCell ref="BA15:BG15"/>
    <mergeCell ref="BH15:BN15"/>
    <mergeCell ref="BH14:BN14"/>
    <mergeCell ref="BO14:BU14"/>
    <mergeCell ref="BV14:CB14"/>
    <mergeCell ref="CC14:CI14"/>
    <mergeCell ref="CJ14:CP14"/>
    <mergeCell ref="CQ14:CW14"/>
    <mergeCell ref="D14:J14"/>
    <mergeCell ref="K14:Q14"/>
    <mergeCell ref="CJ16:CP16"/>
    <mergeCell ref="CQ16:CW16"/>
    <mergeCell ref="CX16:DD16"/>
    <mergeCell ref="D22:J22"/>
    <mergeCell ref="K22:Q22"/>
    <mergeCell ref="R22:X22"/>
    <mergeCell ref="Y22:AE22"/>
    <mergeCell ref="AF22:AL22"/>
    <mergeCell ref="AM22:AS22"/>
    <mergeCell ref="AT22:AZ22"/>
    <mergeCell ref="AT16:AZ16"/>
    <mergeCell ref="BA16:BG16"/>
    <mergeCell ref="BH16:BN16"/>
    <mergeCell ref="BO16:BU16"/>
    <mergeCell ref="BV16:CB16"/>
    <mergeCell ref="CC16:CI16"/>
    <mergeCell ref="D16:J16"/>
    <mergeCell ref="K16:Q16"/>
    <mergeCell ref="R16:X16"/>
    <mergeCell ref="Y16:AE16"/>
    <mergeCell ref="AF16:AL16"/>
    <mergeCell ref="AM16:AS16"/>
    <mergeCell ref="BA22:BG22"/>
    <mergeCell ref="BH22:BN22"/>
    <mergeCell ref="BO22:BU22"/>
    <mergeCell ref="BV22:CB22"/>
    <mergeCell ref="CC22:CI22"/>
    <mergeCell ref="D23:J23"/>
    <mergeCell ref="K23:Q23"/>
    <mergeCell ref="R23:X23"/>
    <mergeCell ref="Y23:AE23"/>
    <mergeCell ref="AF23:AL23"/>
    <mergeCell ref="CC23:CI23"/>
    <mergeCell ref="AM23:AS23"/>
    <mergeCell ref="AT23:AZ23"/>
    <mergeCell ref="BA23:BG23"/>
    <mergeCell ref="BH23:BN23"/>
    <mergeCell ref="BO23:BU23"/>
    <mergeCell ref="BV23:CB23"/>
    <mergeCell ref="BO24:BU24"/>
    <mergeCell ref="BV24:CB24"/>
    <mergeCell ref="CC24:CI24"/>
    <mergeCell ref="D25:J25"/>
    <mergeCell ref="K25:Q25"/>
    <mergeCell ref="R25:X25"/>
    <mergeCell ref="Y25:AE25"/>
    <mergeCell ref="AF25:AL25"/>
    <mergeCell ref="AM25:AS25"/>
    <mergeCell ref="AT25:AZ25"/>
    <mergeCell ref="BA25:BG25"/>
    <mergeCell ref="BH25:BN25"/>
    <mergeCell ref="BO25:BU25"/>
    <mergeCell ref="BV25:CB25"/>
    <mergeCell ref="CC25:CI25"/>
    <mergeCell ref="D24:J24"/>
    <mergeCell ref="K24:Q24"/>
    <mergeCell ref="R24:X24"/>
    <mergeCell ref="Y24:AE24"/>
    <mergeCell ref="AF24:AL24"/>
    <mergeCell ref="AM24:AS24"/>
    <mergeCell ref="AT24:AZ24"/>
    <mergeCell ref="BA24:BG24"/>
    <mergeCell ref="BH24:BN24"/>
    <mergeCell ref="D26:J26"/>
    <mergeCell ref="K26:Q26"/>
    <mergeCell ref="R26:X26"/>
    <mergeCell ref="Y26:AE26"/>
    <mergeCell ref="AF26:AL26"/>
    <mergeCell ref="CC26:CI26"/>
    <mergeCell ref="D27:J27"/>
    <mergeCell ref="K27:Q27"/>
    <mergeCell ref="R27:X27"/>
    <mergeCell ref="Y27:AE27"/>
    <mergeCell ref="AF27:AL27"/>
    <mergeCell ref="AM27:AS27"/>
    <mergeCell ref="AT27:AZ27"/>
    <mergeCell ref="BA27:BG27"/>
    <mergeCell ref="BH27:BN27"/>
    <mergeCell ref="AM26:AS26"/>
    <mergeCell ref="AT26:AZ26"/>
    <mergeCell ref="BA26:BG26"/>
    <mergeCell ref="BH26:BN26"/>
    <mergeCell ref="BO26:BU26"/>
    <mergeCell ref="BV26:CB26"/>
    <mergeCell ref="BA28:BG28"/>
    <mergeCell ref="BH28:BN28"/>
    <mergeCell ref="BO28:BU28"/>
    <mergeCell ref="BV28:CB28"/>
    <mergeCell ref="CC28:CI28"/>
    <mergeCell ref="BO27:BU27"/>
    <mergeCell ref="BV27:CB27"/>
    <mergeCell ref="CC27:CI27"/>
    <mergeCell ref="D28:J28"/>
    <mergeCell ref="K28:Q28"/>
    <mergeCell ref="R28:X28"/>
    <mergeCell ref="Y28:AE28"/>
    <mergeCell ref="AF28:AL28"/>
    <mergeCell ref="AM28:AS28"/>
    <mergeCell ref="AT28:AZ28"/>
  </mergeCells>
  <phoneticPr fontId="57"/>
  <dataValidations count="1">
    <dataValidation type="list" allowBlank="1" showInputMessage="1" showErrorMessage="1" sqref="WVR982917:WVW982938 WLV982917:WMA982938 WBZ982917:WCE982938 VSD982917:VSI982938 VIH982917:VIM982938 UYL982917:UYQ982938 UOP982917:UOU982938 UET982917:UEY982938 TUX982917:TVC982938 TLB982917:TLG982938 TBF982917:TBK982938 SRJ982917:SRO982938 SHN982917:SHS982938 RXR982917:RXW982938 RNV982917:ROA982938 RDZ982917:REE982938 QUD982917:QUI982938 QKH982917:QKM982938 QAL982917:QAQ982938 PQP982917:PQU982938 PGT982917:PGY982938 OWX982917:OXC982938 ONB982917:ONG982938 ODF982917:ODK982938 NTJ982917:NTO982938 NJN982917:NJS982938 MZR982917:MZW982938 MPV982917:MQA982938 MFZ982917:MGE982938 LWD982917:LWI982938 LMH982917:LMM982938 LCL982917:LCQ982938 KSP982917:KSU982938 KIT982917:KIY982938 JYX982917:JZC982938 JPB982917:JPG982938 JFF982917:JFK982938 IVJ982917:IVO982938 ILN982917:ILS982938 IBR982917:IBW982938 HRV982917:HSA982938 HHZ982917:HIE982938 GYD982917:GYI982938 GOH982917:GOM982938 GEL982917:GEQ982938 FUP982917:FUU982938 FKT982917:FKY982938 FAX982917:FBC982938 ERB982917:ERG982938 EHF982917:EHK982938 DXJ982917:DXO982938 DNN982917:DNS982938 DDR982917:DDW982938 CTV982917:CUA982938 CJZ982917:CKE982938 CAD982917:CAI982938 BQH982917:BQM982938 BGL982917:BGQ982938 AWP982917:AWU982938 AMT982917:AMY982938 ACX982917:ADC982938 TB982917:TG982938 JF982917:JK982938 J982917:O982938 WVR917381:WVW917402 WLV917381:WMA917402 WBZ917381:WCE917402 VSD917381:VSI917402 VIH917381:VIM917402 UYL917381:UYQ917402 UOP917381:UOU917402 UET917381:UEY917402 TUX917381:TVC917402 TLB917381:TLG917402 TBF917381:TBK917402 SRJ917381:SRO917402 SHN917381:SHS917402 RXR917381:RXW917402 RNV917381:ROA917402 RDZ917381:REE917402 QUD917381:QUI917402 QKH917381:QKM917402 QAL917381:QAQ917402 PQP917381:PQU917402 PGT917381:PGY917402 OWX917381:OXC917402 ONB917381:ONG917402 ODF917381:ODK917402 NTJ917381:NTO917402 NJN917381:NJS917402 MZR917381:MZW917402 MPV917381:MQA917402 MFZ917381:MGE917402 LWD917381:LWI917402 LMH917381:LMM917402 LCL917381:LCQ917402 KSP917381:KSU917402 KIT917381:KIY917402 JYX917381:JZC917402 JPB917381:JPG917402 JFF917381:JFK917402 IVJ917381:IVO917402 ILN917381:ILS917402 IBR917381:IBW917402 HRV917381:HSA917402 HHZ917381:HIE917402 GYD917381:GYI917402 GOH917381:GOM917402 GEL917381:GEQ917402 FUP917381:FUU917402 FKT917381:FKY917402 FAX917381:FBC917402 ERB917381:ERG917402 EHF917381:EHK917402 DXJ917381:DXO917402 DNN917381:DNS917402 DDR917381:DDW917402 CTV917381:CUA917402 CJZ917381:CKE917402 CAD917381:CAI917402 BQH917381:BQM917402 BGL917381:BGQ917402 AWP917381:AWU917402 AMT917381:AMY917402 ACX917381:ADC917402 TB917381:TG917402 JF917381:JK917402 J917381:O917402 WVR851845:WVW851866 WLV851845:WMA851866 WBZ851845:WCE851866 VSD851845:VSI851866 VIH851845:VIM851866 UYL851845:UYQ851866 UOP851845:UOU851866 UET851845:UEY851866 TUX851845:TVC851866 TLB851845:TLG851866 TBF851845:TBK851866 SRJ851845:SRO851866 SHN851845:SHS851866 RXR851845:RXW851866 RNV851845:ROA851866 RDZ851845:REE851866 QUD851845:QUI851866 QKH851845:QKM851866 QAL851845:QAQ851866 PQP851845:PQU851866 PGT851845:PGY851866 OWX851845:OXC851866 ONB851845:ONG851866 ODF851845:ODK851866 NTJ851845:NTO851866 NJN851845:NJS851866 MZR851845:MZW851866 MPV851845:MQA851866 MFZ851845:MGE851866 LWD851845:LWI851866 LMH851845:LMM851866 LCL851845:LCQ851866 KSP851845:KSU851866 KIT851845:KIY851866 JYX851845:JZC851866 JPB851845:JPG851866 JFF851845:JFK851866 IVJ851845:IVO851866 ILN851845:ILS851866 IBR851845:IBW851866 HRV851845:HSA851866 HHZ851845:HIE851866 GYD851845:GYI851866 GOH851845:GOM851866 GEL851845:GEQ851866 FUP851845:FUU851866 FKT851845:FKY851866 FAX851845:FBC851866 ERB851845:ERG851866 EHF851845:EHK851866 DXJ851845:DXO851866 DNN851845:DNS851866 DDR851845:DDW851866 CTV851845:CUA851866 CJZ851845:CKE851866 CAD851845:CAI851866 BQH851845:BQM851866 BGL851845:BGQ851866 AWP851845:AWU851866 AMT851845:AMY851866 ACX851845:ADC851866 TB851845:TG851866 JF851845:JK851866 J851845:O851866 WVR786309:WVW786330 WLV786309:WMA786330 WBZ786309:WCE786330 VSD786309:VSI786330 VIH786309:VIM786330 UYL786309:UYQ786330 UOP786309:UOU786330 UET786309:UEY786330 TUX786309:TVC786330 TLB786309:TLG786330 TBF786309:TBK786330 SRJ786309:SRO786330 SHN786309:SHS786330 RXR786309:RXW786330 RNV786309:ROA786330 RDZ786309:REE786330 QUD786309:QUI786330 QKH786309:QKM786330 QAL786309:QAQ786330 PQP786309:PQU786330 PGT786309:PGY786330 OWX786309:OXC786330 ONB786309:ONG786330 ODF786309:ODK786330 NTJ786309:NTO786330 NJN786309:NJS786330 MZR786309:MZW786330 MPV786309:MQA786330 MFZ786309:MGE786330 LWD786309:LWI786330 LMH786309:LMM786330 LCL786309:LCQ786330 KSP786309:KSU786330 KIT786309:KIY786330 JYX786309:JZC786330 JPB786309:JPG786330 JFF786309:JFK786330 IVJ786309:IVO786330 ILN786309:ILS786330 IBR786309:IBW786330 HRV786309:HSA786330 HHZ786309:HIE786330 GYD786309:GYI786330 GOH786309:GOM786330 GEL786309:GEQ786330 FUP786309:FUU786330 FKT786309:FKY786330 FAX786309:FBC786330 ERB786309:ERG786330 EHF786309:EHK786330 DXJ786309:DXO786330 DNN786309:DNS786330 DDR786309:DDW786330 CTV786309:CUA786330 CJZ786309:CKE786330 CAD786309:CAI786330 BQH786309:BQM786330 BGL786309:BGQ786330 AWP786309:AWU786330 AMT786309:AMY786330 ACX786309:ADC786330 TB786309:TG786330 JF786309:JK786330 J786309:O786330 WVR720773:WVW720794 WLV720773:WMA720794 WBZ720773:WCE720794 VSD720773:VSI720794 VIH720773:VIM720794 UYL720773:UYQ720794 UOP720773:UOU720794 UET720773:UEY720794 TUX720773:TVC720794 TLB720773:TLG720794 TBF720773:TBK720794 SRJ720773:SRO720794 SHN720773:SHS720794 RXR720773:RXW720794 RNV720773:ROA720794 RDZ720773:REE720794 QUD720773:QUI720794 QKH720773:QKM720794 QAL720773:QAQ720794 PQP720773:PQU720794 PGT720773:PGY720794 OWX720773:OXC720794 ONB720773:ONG720794 ODF720773:ODK720794 NTJ720773:NTO720794 NJN720773:NJS720794 MZR720773:MZW720794 MPV720773:MQA720794 MFZ720773:MGE720794 LWD720773:LWI720794 LMH720773:LMM720794 LCL720773:LCQ720794 KSP720773:KSU720794 KIT720773:KIY720794 JYX720773:JZC720794 JPB720773:JPG720794 JFF720773:JFK720794 IVJ720773:IVO720794 ILN720773:ILS720794 IBR720773:IBW720794 HRV720773:HSA720794 HHZ720773:HIE720794 GYD720773:GYI720794 GOH720773:GOM720794 GEL720773:GEQ720794 FUP720773:FUU720794 FKT720773:FKY720794 FAX720773:FBC720794 ERB720773:ERG720794 EHF720773:EHK720794 DXJ720773:DXO720794 DNN720773:DNS720794 DDR720773:DDW720794 CTV720773:CUA720794 CJZ720773:CKE720794 CAD720773:CAI720794 BQH720773:BQM720794 BGL720773:BGQ720794 AWP720773:AWU720794 AMT720773:AMY720794 ACX720773:ADC720794 TB720773:TG720794 JF720773:JK720794 J720773:O720794 WVR655237:WVW655258 WLV655237:WMA655258 WBZ655237:WCE655258 VSD655237:VSI655258 VIH655237:VIM655258 UYL655237:UYQ655258 UOP655237:UOU655258 UET655237:UEY655258 TUX655237:TVC655258 TLB655237:TLG655258 TBF655237:TBK655258 SRJ655237:SRO655258 SHN655237:SHS655258 RXR655237:RXW655258 RNV655237:ROA655258 RDZ655237:REE655258 QUD655237:QUI655258 QKH655237:QKM655258 QAL655237:QAQ655258 PQP655237:PQU655258 PGT655237:PGY655258 OWX655237:OXC655258 ONB655237:ONG655258 ODF655237:ODK655258 NTJ655237:NTO655258 NJN655237:NJS655258 MZR655237:MZW655258 MPV655237:MQA655258 MFZ655237:MGE655258 LWD655237:LWI655258 LMH655237:LMM655258 LCL655237:LCQ655258 KSP655237:KSU655258 KIT655237:KIY655258 JYX655237:JZC655258 JPB655237:JPG655258 JFF655237:JFK655258 IVJ655237:IVO655258 ILN655237:ILS655258 IBR655237:IBW655258 HRV655237:HSA655258 HHZ655237:HIE655258 GYD655237:GYI655258 GOH655237:GOM655258 GEL655237:GEQ655258 FUP655237:FUU655258 FKT655237:FKY655258 FAX655237:FBC655258 ERB655237:ERG655258 EHF655237:EHK655258 DXJ655237:DXO655258 DNN655237:DNS655258 DDR655237:DDW655258 CTV655237:CUA655258 CJZ655237:CKE655258 CAD655237:CAI655258 BQH655237:BQM655258 BGL655237:BGQ655258 AWP655237:AWU655258 AMT655237:AMY655258 ACX655237:ADC655258 TB655237:TG655258 JF655237:JK655258 J655237:O655258 WVR589701:WVW589722 WLV589701:WMA589722 WBZ589701:WCE589722 VSD589701:VSI589722 VIH589701:VIM589722 UYL589701:UYQ589722 UOP589701:UOU589722 UET589701:UEY589722 TUX589701:TVC589722 TLB589701:TLG589722 TBF589701:TBK589722 SRJ589701:SRO589722 SHN589701:SHS589722 RXR589701:RXW589722 RNV589701:ROA589722 RDZ589701:REE589722 QUD589701:QUI589722 QKH589701:QKM589722 QAL589701:QAQ589722 PQP589701:PQU589722 PGT589701:PGY589722 OWX589701:OXC589722 ONB589701:ONG589722 ODF589701:ODK589722 NTJ589701:NTO589722 NJN589701:NJS589722 MZR589701:MZW589722 MPV589701:MQA589722 MFZ589701:MGE589722 LWD589701:LWI589722 LMH589701:LMM589722 LCL589701:LCQ589722 KSP589701:KSU589722 KIT589701:KIY589722 JYX589701:JZC589722 JPB589701:JPG589722 JFF589701:JFK589722 IVJ589701:IVO589722 ILN589701:ILS589722 IBR589701:IBW589722 HRV589701:HSA589722 HHZ589701:HIE589722 GYD589701:GYI589722 GOH589701:GOM589722 GEL589701:GEQ589722 FUP589701:FUU589722 FKT589701:FKY589722 FAX589701:FBC589722 ERB589701:ERG589722 EHF589701:EHK589722 DXJ589701:DXO589722 DNN589701:DNS589722 DDR589701:DDW589722 CTV589701:CUA589722 CJZ589701:CKE589722 CAD589701:CAI589722 BQH589701:BQM589722 BGL589701:BGQ589722 AWP589701:AWU589722 AMT589701:AMY589722 ACX589701:ADC589722 TB589701:TG589722 JF589701:JK589722 J589701:O589722 WVR524165:WVW524186 WLV524165:WMA524186 WBZ524165:WCE524186 VSD524165:VSI524186 VIH524165:VIM524186 UYL524165:UYQ524186 UOP524165:UOU524186 UET524165:UEY524186 TUX524165:TVC524186 TLB524165:TLG524186 TBF524165:TBK524186 SRJ524165:SRO524186 SHN524165:SHS524186 RXR524165:RXW524186 RNV524165:ROA524186 RDZ524165:REE524186 QUD524165:QUI524186 QKH524165:QKM524186 QAL524165:QAQ524186 PQP524165:PQU524186 PGT524165:PGY524186 OWX524165:OXC524186 ONB524165:ONG524186 ODF524165:ODK524186 NTJ524165:NTO524186 NJN524165:NJS524186 MZR524165:MZW524186 MPV524165:MQA524186 MFZ524165:MGE524186 LWD524165:LWI524186 LMH524165:LMM524186 LCL524165:LCQ524186 KSP524165:KSU524186 KIT524165:KIY524186 JYX524165:JZC524186 JPB524165:JPG524186 JFF524165:JFK524186 IVJ524165:IVO524186 ILN524165:ILS524186 IBR524165:IBW524186 HRV524165:HSA524186 HHZ524165:HIE524186 GYD524165:GYI524186 GOH524165:GOM524186 GEL524165:GEQ524186 FUP524165:FUU524186 FKT524165:FKY524186 FAX524165:FBC524186 ERB524165:ERG524186 EHF524165:EHK524186 DXJ524165:DXO524186 DNN524165:DNS524186 DDR524165:DDW524186 CTV524165:CUA524186 CJZ524165:CKE524186 CAD524165:CAI524186 BQH524165:BQM524186 BGL524165:BGQ524186 AWP524165:AWU524186 AMT524165:AMY524186 ACX524165:ADC524186 TB524165:TG524186 JF524165:JK524186 J524165:O524186 WVR458629:WVW458650 WLV458629:WMA458650 WBZ458629:WCE458650 VSD458629:VSI458650 VIH458629:VIM458650 UYL458629:UYQ458650 UOP458629:UOU458650 UET458629:UEY458650 TUX458629:TVC458650 TLB458629:TLG458650 TBF458629:TBK458650 SRJ458629:SRO458650 SHN458629:SHS458650 RXR458629:RXW458650 RNV458629:ROA458650 RDZ458629:REE458650 QUD458629:QUI458650 QKH458629:QKM458650 QAL458629:QAQ458650 PQP458629:PQU458650 PGT458629:PGY458650 OWX458629:OXC458650 ONB458629:ONG458650 ODF458629:ODK458650 NTJ458629:NTO458650 NJN458629:NJS458650 MZR458629:MZW458650 MPV458629:MQA458650 MFZ458629:MGE458650 LWD458629:LWI458650 LMH458629:LMM458650 LCL458629:LCQ458650 KSP458629:KSU458650 KIT458629:KIY458650 JYX458629:JZC458650 JPB458629:JPG458650 JFF458629:JFK458650 IVJ458629:IVO458650 ILN458629:ILS458650 IBR458629:IBW458650 HRV458629:HSA458650 HHZ458629:HIE458650 GYD458629:GYI458650 GOH458629:GOM458650 GEL458629:GEQ458650 FUP458629:FUU458650 FKT458629:FKY458650 FAX458629:FBC458650 ERB458629:ERG458650 EHF458629:EHK458650 DXJ458629:DXO458650 DNN458629:DNS458650 DDR458629:DDW458650 CTV458629:CUA458650 CJZ458629:CKE458650 CAD458629:CAI458650 BQH458629:BQM458650 BGL458629:BGQ458650 AWP458629:AWU458650 AMT458629:AMY458650 ACX458629:ADC458650 TB458629:TG458650 JF458629:JK458650 J458629:O458650 WVR393093:WVW393114 WLV393093:WMA393114 WBZ393093:WCE393114 VSD393093:VSI393114 VIH393093:VIM393114 UYL393093:UYQ393114 UOP393093:UOU393114 UET393093:UEY393114 TUX393093:TVC393114 TLB393093:TLG393114 TBF393093:TBK393114 SRJ393093:SRO393114 SHN393093:SHS393114 RXR393093:RXW393114 RNV393093:ROA393114 RDZ393093:REE393114 QUD393093:QUI393114 QKH393093:QKM393114 QAL393093:QAQ393114 PQP393093:PQU393114 PGT393093:PGY393114 OWX393093:OXC393114 ONB393093:ONG393114 ODF393093:ODK393114 NTJ393093:NTO393114 NJN393093:NJS393114 MZR393093:MZW393114 MPV393093:MQA393114 MFZ393093:MGE393114 LWD393093:LWI393114 LMH393093:LMM393114 LCL393093:LCQ393114 KSP393093:KSU393114 KIT393093:KIY393114 JYX393093:JZC393114 JPB393093:JPG393114 JFF393093:JFK393114 IVJ393093:IVO393114 ILN393093:ILS393114 IBR393093:IBW393114 HRV393093:HSA393114 HHZ393093:HIE393114 GYD393093:GYI393114 GOH393093:GOM393114 GEL393093:GEQ393114 FUP393093:FUU393114 FKT393093:FKY393114 FAX393093:FBC393114 ERB393093:ERG393114 EHF393093:EHK393114 DXJ393093:DXO393114 DNN393093:DNS393114 DDR393093:DDW393114 CTV393093:CUA393114 CJZ393093:CKE393114 CAD393093:CAI393114 BQH393093:BQM393114 BGL393093:BGQ393114 AWP393093:AWU393114 AMT393093:AMY393114 ACX393093:ADC393114 TB393093:TG393114 JF393093:JK393114 J393093:O393114 WVR327557:WVW327578 WLV327557:WMA327578 WBZ327557:WCE327578 VSD327557:VSI327578 VIH327557:VIM327578 UYL327557:UYQ327578 UOP327557:UOU327578 UET327557:UEY327578 TUX327557:TVC327578 TLB327557:TLG327578 TBF327557:TBK327578 SRJ327557:SRO327578 SHN327557:SHS327578 RXR327557:RXW327578 RNV327557:ROA327578 RDZ327557:REE327578 QUD327557:QUI327578 QKH327557:QKM327578 QAL327557:QAQ327578 PQP327557:PQU327578 PGT327557:PGY327578 OWX327557:OXC327578 ONB327557:ONG327578 ODF327557:ODK327578 NTJ327557:NTO327578 NJN327557:NJS327578 MZR327557:MZW327578 MPV327557:MQA327578 MFZ327557:MGE327578 LWD327557:LWI327578 LMH327557:LMM327578 LCL327557:LCQ327578 KSP327557:KSU327578 KIT327557:KIY327578 JYX327557:JZC327578 JPB327557:JPG327578 JFF327557:JFK327578 IVJ327557:IVO327578 ILN327557:ILS327578 IBR327557:IBW327578 HRV327557:HSA327578 HHZ327557:HIE327578 GYD327557:GYI327578 GOH327557:GOM327578 GEL327557:GEQ327578 FUP327557:FUU327578 FKT327557:FKY327578 FAX327557:FBC327578 ERB327557:ERG327578 EHF327557:EHK327578 DXJ327557:DXO327578 DNN327557:DNS327578 DDR327557:DDW327578 CTV327557:CUA327578 CJZ327557:CKE327578 CAD327557:CAI327578 BQH327557:BQM327578 BGL327557:BGQ327578 AWP327557:AWU327578 AMT327557:AMY327578 ACX327557:ADC327578 TB327557:TG327578 JF327557:JK327578 J327557:O327578 WVR262021:WVW262042 WLV262021:WMA262042 WBZ262021:WCE262042 VSD262021:VSI262042 VIH262021:VIM262042 UYL262021:UYQ262042 UOP262021:UOU262042 UET262021:UEY262042 TUX262021:TVC262042 TLB262021:TLG262042 TBF262021:TBK262042 SRJ262021:SRO262042 SHN262021:SHS262042 RXR262021:RXW262042 RNV262021:ROA262042 RDZ262021:REE262042 QUD262021:QUI262042 QKH262021:QKM262042 QAL262021:QAQ262042 PQP262021:PQU262042 PGT262021:PGY262042 OWX262021:OXC262042 ONB262021:ONG262042 ODF262021:ODK262042 NTJ262021:NTO262042 NJN262021:NJS262042 MZR262021:MZW262042 MPV262021:MQA262042 MFZ262021:MGE262042 LWD262021:LWI262042 LMH262021:LMM262042 LCL262021:LCQ262042 KSP262021:KSU262042 KIT262021:KIY262042 JYX262021:JZC262042 JPB262021:JPG262042 JFF262021:JFK262042 IVJ262021:IVO262042 ILN262021:ILS262042 IBR262021:IBW262042 HRV262021:HSA262042 HHZ262021:HIE262042 GYD262021:GYI262042 GOH262021:GOM262042 GEL262021:GEQ262042 FUP262021:FUU262042 FKT262021:FKY262042 FAX262021:FBC262042 ERB262021:ERG262042 EHF262021:EHK262042 DXJ262021:DXO262042 DNN262021:DNS262042 DDR262021:DDW262042 CTV262021:CUA262042 CJZ262021:CKE262042 CAD262021:CAI262042 BQH262021:BQM262042 BGL262021:BGQ262042 AWP262021:AWU262042 AMT262021:AMY262042 ACX262021:ADC262042 TB262021:TG262042 JF262021:JK262042 J262021:O262042 WVR196485:WVW196506 WLV196485:WMA196506 WBZ196485:WCE196506 VSD196485:VSI196506 VIH196485:VIM196506 UYL196485:UYQ196506 UOP196485:UOU196506 UET196485:UEY196506 TUX196485:TVC196506 TLB196485:TLG196506 TBF196485:TBK196506 SRJ196485:SRO196506 SHN196485:SHS196506 RXR196485:RXW196506 RNV196485:ROA196506 RDZ196485:REE196506 QUD196485:QUI196506 QKH196485:QKM196506 QAL196485:QAQ196506 PQP196485:PQU196506 PGT196485:PGY196506 OWX196485:OXC196506 ONB196485:ONG196506 ODF196485:ODK196506 NTJ196485:NTO196506 NJN196485:NJS196506 MZR196485:MZW196506 MPV196485:MQA196506 MFZ196485:MGE196506 LWD196485:LWI196506 LMH196485:LMM196506 LCL196485:LCQ196506 KSP196485:KSU196506 KIT196485:KIY196506 JYX196485:JZC196506 JPB196485:JPG196506 JFF196485:JFK196506 IVJ196485:IVO196506 ILN196485:ILS196506 IBR196485:IBW196506 HRV196485:HSA196506 HHZ196485:HIE196506 GYD196485:GYI196506 GOH196485:GOM196506 GEL196485:GEQ196506 FUP196485:FUU196506 FKT196485:FKY196506 FAX196485:FBC196506 ERB196485:ERG196506 EHF196485:EHK196506 DXJ196485:DXO196506 DNN196485:DNS196506 DDR196485:DDW196506 CTV196485:CUA196506 CJZ196485:CKE196506 CAD196485:CAI196506 BQH196485:BQM196506 BGL196485:BGQ196506 AWP196485:AWU196506 AMT196485:AMY196506 ACX196485:ADC196506 TB196485:TG196506 JF196485:JK196506 J196485:O196506 WVR130949:WVW130970 WLV130949:WMA130970 WBZ130949:WCE130970 VSD130949:VSI130970 VIH130949:VIM130970 UYL130949:UYQ130970 UOP130949:UOU130970 UET130949:UEY130970 TUX130949:TVC130970 TLB130949:TLG130970 TBF130949:TBK130970 SRJ130949:SRO130970 SHN130949:SHS130970 RXR130949:RXW130970 RNV130949:ROA130970 RDZ130949:REE130970 QUD130949:QUI130970 QKH130949:QKM130970 QAL130949:QAQ130970 PQP130949:PQU130970 PGT130949:PGY130970 OWX130949:OXC130970 ONB130949:ONG130970 ODF130949:ODK130970 NTJ130949:NTO130970 NJN130949:NJS130970 MZR130949:MZW130970 MPV130949:MQA130970 MFZ130949:MGE130970 LWD130949:LWI130970 LMH130949:LMM130970 LCL130949:LCQ130970 KSP130949:KSU130970 KIT130949:KIY130970 JYX130949:JZC130970 JPB130949:JPG130970 JFF130949:JFK130970 IVJ130949:IVO130970 ILN130949:ILS130970 IBR130949:IBW130970 HRV130949:HSA130970 HHZ130949:HIE130970 GYD130949:GYI130970 GOH130949:GOM130970 GEL130949:GEQ130970 FUP130949:FUU130970 FKT130949:FKY130970 FAX130949:FBC130970 ERB130949:ERG130970 EHF130949:EHK130970 DXJ130949:DXO130970 DNN130949:DNS130970 DDR130949:DDW130970 CTV130949:CUA130970 CJZ130949:CKE130970 CAD130949:CAI130970 BQH130949:BQM130970 BGL130949:BGQ130970 AWP130949:AWU130970 AMT130949:AMY130970 ACX130949:ADC130970 TB130949:TG130970 JF130949:JK130970 J130949:O130970 WVR65413:WVW65434 WLV65413:WMA65434 WBZ65413:WCE65434 VSD65413:VSI65434 VIH65413:VIM65434 UYL65413:UYQ65434 UOP65413:UOU65434 UET65413:UEY65434 TUX65413:TVC65434 TLB65413:TLG65434 TBF65413:TBK65434 SRJ65413:SRO65434 SHN65413:SHS65434 RXR65413:RXW65434 RNV65413:ROA65434 RDZ65413:REE65434 QUD65413:QUI65434 QKH65413:QKM65434 QAL65413:QAQ65434 PQP65413:PQU65434 PGT65413:PGY65434 OWX65413:OXC65434 ONB65413:ONG65434 ODF65413:ODK65434 NTJ65413:NTO65434 NJN65413:NJS65434 MZR65413:MZW65434 MPV65413:MQA65434 MFZ65413:MGE65434 LWD65413:LWI65434 LMH65413:LMM65434 LCL65413:LCQ65434 KSP65413:KSU65434 KIT65413:KIY65434 JYX65413:JZC65434 JPB65413:JPG65434 JFF65413:JFK65434 IVJ65413:IVO65434 ILN65413:ILS65434 IBR65413:IBW65434 HRV65413:HSA65434 HHZ65413:HIE65434 GYD65413:GYI65434 GOH65413:GOM65434 GEL65413:GEQ65434 FUP65413:FUU65434 FKT65413:FKY65434 FAX65413:FBC65434 ERB65413:ERG65434 EHF65413:EHK65434 DXJ65413:DXO65434 DNN65413:DNS65434 DDR65413:DDW65434 CTV65413:CUA65434 CJZ65413:CKE65434 CAD65413:CAI65434 BQH65413:BQM65434 BGL65413:BGQ65434 AWP65413:AWU65434 AMT65413:AMY65434 ACX65413:ADC65434 TB65413:TG65434 JF65413:JK65434 J65413:O65434 WWF982917:WWM982938 WMJ982917:WMQ982938 WCN982917:WCU982938 VSR982917:VSY982938 VIV982917:VJC982938 UYZ982917:UZG982938 UPD982917:UPK982938 UFH982917:UFO982938 TVL982917:TVS982938 TLP982917:TLW982938 TBT982917:TCA982938 SRX982917:SSE982938 SIB982917:SII982938 RYF982917:RYM982938 ROJ982917:ROQ982938 REN982917:REU982938 QUR982917:QUY982938 QKV982917:QLC982938 QAZ982917:QBG982938 PRD982917:PRK982938 PHH982917:PHO982938 OXL982917:OXS982938 ONP982917:ONW982938 ODT982917:OEA982938 NTX982917:NUE982938 NKB982917:NKI982938 NAF982917:NAM982938 MQJ982917:MQQ982938 MGN982917:MGU982938 LWR982917:LWY982938 LMV982917:LNC982938 LCZ982917:LDG982938 KTD982917:KTK982938 KJH982917:KJO982938 JZL982917:JZS982938 JPP982917:JPW982938 JFT982917:JGA982938 IVX982917:IWE982938 IMB982917:IMI982938 ICF982917:ICM982938 HSJ982917:HSQ982938 HIN982917:HIU982938 GYR982917:GYY982938 GOV982917:GPC982938 GEZ982917:GFG982938 FVD982917:FVK982938 FLH982917:FLO982938 FBL982917:FBS982938 ERP982917:ERW982938 EHT982917:EIA982938 DXX982917:DYE982938 DOB982917:DOI982938 DEF982917:DEM982938 CUJ982917:CUQ982938 CKN982917:CKU982938 CAR982917:CAY982938 BQV982917:BRC982938 BGZ982917:BHG982938 AXD982917:AXK982938 ANH982917:ANO982938 ADL982917:ADS982938 TP982917:TW982938 JT982917:KA982938 X982917:AE982938 WWF917381:WWM917402 WMJ917381:WMQ917402 WCN917381:WCU917402 VSR917381:VSY917402 VIV917381:VJC917402 UYZ917381:UZG917402 UPD917381:UPK917402 UFH917381:UFO917402 TVL917381:TVS917402 TLP917381:TLW917402 TBT917381:TCA917402 SRX917381:SSE917402 SIB917381:SII917402 RYF917381:RYM917402 ROJ917381:ROQ917402 REN917381:REU917402 QUR917381:QUY917402 QKV917381:QLC917402 QAZ917381:QBG917402 PRD917381:PRK917402 PHH917381:PHO917402 OXL917381:OXS917402 ONP917381:ONW917402 ODT917381:OEA917402 NTX917381:NUE917402 NKB917381:NKI917402 NAF917381:NAM917402 MQJ917381:MQQ917402 MGN917381:MGU917402 LWR917381:LWY917402 LMV917381:LNC917402 LCZ917381:LDG917402 KTD917381:KTK917402 KJH917381:KJO917402 JZL917381:JZS917402 JPP917381:JPW917402 JFT917381:JGA917402 IVX917381:IWE917402 IMB917381:IMI917402 ICF917381:ICM917402 HSJ917381:HSQ917402 HIN917381:HIU917402 GYR917381:GYY917402 GOV917381:GPC917402 GEZ917381:GFG917402 FVD917381:FVK917402 FLH917381:FLO917402 FBL917381:FBS917402 ERP917381:ERW917402 EHT917381:EIA917402 DXX917381:DYE917402 DOB917381:DOI917402 DEF917381:DEM917402 CUJ917381:CUQ917402 CKN917381:CKU917402 CAR917381:CAY917402 BQV917381:BRC917402 BGZ917381:BHG917402 AXD917381:AXK917402 ANH917381:ANO917402 ADL917381:ADS917402 TP917381:TW917402 JT917381:KA917402 X917381:AE917402 WWF851845:WWM851866 WMJ851845:WMQ851866 WCN851845:WCU851866 VSR851845:VSY851866 VIV851845:VJC851866 UYZ851845:UZG851866 UPD851845:UPK851866 UFH851845:UFO851866 TVL851845:TVS851866 TLP851845:TLW851866 TBT851845:TCA851866 SRX851845:SSE851866 SIB851845:SII851866 RYF851845:RYM851866 ROJ851845:ROQ851866 REN851845:REU851866 QUR851845:QUY851866 QKV851845:QLC851866 QAZ851845:QBG851866 PRD851845:PRK851866 PHH851845:PHO851866 OXL851845:OXS851866 ONP851845:ONW851866 ODT851845:OEA851866 NTX851845:NUE851866 NKB851845:NKI851866 NAF851845:NAM851866 MQJ851845:MQQ851866 MGN851845:MGU851866 LWR851845:LWY851866 LMV851845:LNC851866 LCZ851845:LDG851866 KTD851845:KTK851866 KJH851845:KJO851866 JZL851845:JZS851866 JPP851845:JPW851866 JFT851845:JGA851866 IVX851845:IWE851866 IMB851845:IMI851866 ICF851845:ICM851866 HSJ851845:HSQ851866 HIN851845:HIU851866 GYR851845:GYY851866 GOV851845:GPC851866 GEZ851845:GFG851866 FVD851845:FVK851866 FLH851845:FLO851866 FBL851845:FBS851866 ERP851845:ERW851866 EHT851845:EIA851866 DXX851845:DYE851866 DOB851845:DOI851866 DEF851845:DEM851866 CUJ851845:CUQ851866 CKN851845:CKU851866 CAR851845:CAY851866 BQV851845:BRC851866 BGZ851845:BHG851866 AXD851845:AXK851866 ANH851845:ANO851866 ADL851845:ADS851866 TP851845:TW851866 JT851845:KA851866 X851845:AE851866 WWF786309:WWM786330 WMJ786309:WMQ786330 WCN786309:WCU786330 VSR786309:VSY786330 VIV786309:VJC786330 UYZ786309:UZG786330 UPD786309:UPK786330 UFH786309:UFO786330 TVL786309:TVS786330 TLP786309:TLW786330 TBT786309:TCA786330 SRX786309:SSE786330 SIB786309:SII786330 RYF786309:RYM786330 ROJ786309:ROQ786330 REN786309:REU786330 QUR786309:QUY786330 QKV786309:QLC786330 QAZ786309:QBG786330 PRD786309:PRK786330 PHH786309:PHO786330 OXL786309:OXS786330 ONP786309:ONW786330 ODT786309:OEA786330 NTX786309:NUE786330 NKB786309:NKI786330 NAF786309:NAM786330 MQJ786309:MQQ786330 MGN786309:MGU786330 LWR786309:LWY786330 LMV786309:LNC786330 LCZ786309:LDG786330 KTD786309:KTK786330 KJH786309:KJO786330 JZL786309:JZS786330 JPP786309:JPW786330 JFT786309:JGA786330 IVX786309:IWE786330 IMB786309:IMI786330 ICF786309:ICM786330 HSJ786309:HSQ786330 HIN786309:HIU786330 GYR786309:GYY786330 GOV786309:GPC786330 GEZ786309:GFG786330 FVD786309:FVK786330 FLH786309:FLO786330 FBL786309:FBS786330 ERP786309:ERW786330 EHT786309:EIA786330 DXX786309:DYE786330 DOB786309:DOI786330 DEF786309:DEM786330 CUJ786309:CUQ786330 CKN786309:CKU786330 CAR786309:CAY786330 BQV786309:BRC786330 BGZ786309:BHG786330 AXD786309:AXK786330 ANH786309:ANO786330 ADL786309:ADS786330 TP786309:TW786330 JT786309:KA786330 X786309:AE786330 WWF720773:WWM720794 WMJ720773:WMQ720794 WCN720773:WCU720794 VSR720773:VSY720794 VIV720773:VJC720794 UYZ720773:UZG720794 UPD720773:UPK720794 UFH720773:UFO720794 TVL720773:TVS720794 TLP720773:TLW720794 TBT720773:TCA720794 SRX720773:SSE720794 SIB720773:SII720794 RYF720773:RYM720794 ROJ720773:ROQ720794 REN720773:REU720794 QUR720773:QUY720794 QKV720773:QLC720794 QAZ720773:QBG720794 PRD720773:PRK720794 PHH720773:PHO720794 OXL720773:OXS720794 ONP720773:ONW720794 ODT720773:OEA720794 NTX720773:NUE720794 NKB720773:NKI720794 NAF720773:NAM720794 MQJ720773:MQQ720794 MGN720773:MGU720794 LWR720773:LWY720794 LMV720773:LNC720794 LCZ720773:LDG720794 KTD720773:KTK720794 KJH720773:KJO720794 JZL720773:JZS720794 JPP720773:JPW720794 JFT720773:JGA720794 IVX720773:IWE720794 IMB720773:IMI720794 ICF720773:ICM720794 HSJ720773:HSQ720794 HIN720773:HIU720794 GYR720773:GYY720794 GOV720773:GPC720794 GEZ720773:GFG720794 FVD720773:FVK720794 FLH720773:FLO720794 FBL720773:FBS720794 ERP720773:ERW720794 EHT720773:EIA720794 DXX720773:DYE720794 DOB720773:DOI720794 DEF720773:DEM720794 CUJ720773:CUQ720794 CKN720773:CKU720794 CAR720773:CAY720794 BQV720773:BRC720794 BGZ720773:BHG720794 AXD720773:AXK720794 ANH720773:ANO720794 ADL720773:ADS720794 TP720773:TW720794 JT720773:KA720794 X720773:AE720794 WWF655237:WWM655258 WMJ655237:WMQ655258 WCN655237:WCU655258 VSR655237:VSY655258 VIV655237:VJC655258 UYZ655237:UZG655258 UPD655237:UPK655258 UFH655237:UFO655258 TVL655237:TVS655258 TLP655237:TLW655258 TBT655237:TCA655258 SRX655237:SSE655258 SIB655237:SII655258 RYF655237:RYM655258 ROJ655237:ROQ655258 REN655237:REU655258 QUR655237:QUY655258 QKV655237:QLC655258 QAZ655237:QBG655258 PRD655237:PRK655258 PHH655237:PHO655258 OXL655237:OXS655258 ONP655237:ONW655258 ODT655237:OEA655258 NTX655237:NUE655258 NKB655237:NKI655258 NAF655237:NAM655258 MQJ655237:MQQ655258 MGN655237:MGU655258 LWR655237:LWY655258 LMV655237:LNC655258 LCZ655237:LDG655258 KTD655237:KTK655258 KJH655237:KJO655258 JZL655237:JZS655258 JPP655237:JPW655258 JFT655237:JGA655258 IVX655237:IWE655258 IMB655237:IMI655258 ICF655237:ICM655258 HSJ655237:HSQ655258 HIN655237:HIU655258 GYR655237:GYY655258 GOV655237:GPC655258 GEZ655237:GFG655258 FVD655237:FVK655258 FLH655237:FLO655258 FBL655237:FBS655258 ERP655237:ERW655258 EHT655237:EIA655258 DXX655237:DYE655258 DOB655237:DOI655258 DEF655237:DEM655258 CUJ655237:CUQ655258 CKN655237:CKU655258 CAR655237:CAY655258 BQV655237:BRC655258 BGZ655237:BHG655258 AXD655237:AXK655258 ANH655237:ANO655258 ADL655237:ADS655258 TP655237:TW655258 JT655237:KA655258 X655237:AE655258 WWF589701:WWM589722 WMJ589701:WMQ589722 WCN589701:WCU589722 VSR589701:VSY589722 VIV589701:VJC589722 UYZ589701:UZG589722 UPD589701:UPK589722 UFH589701:UFO589722 TVL589701:TVS589722 TLP589701:TLW589722 TBT589701:TCA589722 SRX589701:SSE589722 SIB589701:SII589722 RYF589701:RYM589722 ROJ589701:ROQ589722 REN589701:REU589722 QUR589701:QUY589722 QKV589701:QLC589722 QAZ589701:QBG589722 PRD589701:PRK589722 PHH589701:PHO589722 OXL589701:OXS589722 ONP589701:ONW589722 ODT589701:OEA589722 NTX589701:NUE589722 NKB589701:NKI589722 NAF589701:NAM589722 MQJ589701:MQQ589722 MGN589701:MGU589722 LWR589701:LWY589722 LMV589701:LNC589722 LCZ589701:LDG589722 KTD589701:KTK589722 KJH589701:KJO589722 JZL589701:JZS589722 JPP589701:JPW589722 JFT589701:JGA589722 IVX589701:IWE589722 IMB589701:IMI589722 ICF589701:ICM589722 HSJ589701:HSQ589722 HIN589701:HIU589722 GYR589701:GYY589722 GOV589701:GPC589722 GEZ589701:GFG589722 FVD589701:FVK589722 FLH589701:FLO589722 FBL589701:FBS589722 ERP589701:ERW589722 EHT589701:EIA589722 DXX589701:DYE589722 DOB589701:DOI589722 DEF589701:DEM589722 CUJ589701:CUQ589722 CKN589701:CKU589722 CAR589701:CAY589722 BQV589701:BRC589722 BGZ589701:BHG589722 AXD589701:AXK589722 ANH589701:ANO589722 ADL589701:ADS589722 TP589701:TW589722 JT589701:KA589722 X589701:AE589722 WWF524165:WWM524186 WMJ524165:WMQ524186 WCN524165:WCU524186 VSR524165:VSY524186 VIV524165:VJC524186 UYZ524165:UZG524186 UPD524165:UPK524186 UFH524165:UFO524186 TVL524165:TVS524186 TLP524165:TLW524186 TBT524165:TCA524186 SRX524165:SSE524186 SIB524165:SII524186 RYF524165:RYM524186 ROJ524165:ROQ524186 REN524165:REU524186 QUR524165:QUY524186 QKV524165:QLC524186 QAZ524165:QBG524186 PRD524165:PRK524186 PHH524165:PHO524186 OXL524165:OXS524186 ONP524165:ONW524186 ODT524165:OEA524186 NTX524165:NUE524186 NKB524165:NKI524186 NAF524165:NAM524186 MQJ524165:MQQ524186 MGN524165:MGU524186 LWR524165:LWY524186 LMV524165:LNC524186 LCZ524165:LDG524186 KTD524165:KTK524186 KJH524165:KJO524186 JZL524165:JZS524186 JPP524165:JPW524186 JFT524165:JGA524186 IVX524165:IWE524186 IMB524165:IMI524186 ICF524165:ICM524186 HSJ524165:HSQ524186 HIN524165:HIU524186 GYR524165:GYY524186 GOV524165:GPC524186 GEZ524165:GFG524186 FVD524165:FVK524186 FLH524165:FLO524186 FBL524165:FBS524186 ERP524165:ERW524186 EHT524165:EIA524186 DXX524165:DYE524186 DOB524165:DOI524186 DEF524165:DEM524186 CUJ524165:CUQ524186 CKN524165:CKU524186 CAR524165:CAY524186 BQV524165:BRC524186 BGZ524165:BHG524186 AXD524165:AXK524186 ANH524165:ANO524186 ADL524165:ADS524186 TP524165:TW524186 JT524165:KA524186 X524165:AE524186 WWF458629:WWM458650 WMJ458629:WMQ458650 WCN458629:WCU458650 VSR458629:VSY458650 VIV458629:VJC458650 UYZ458629:UZG458650 UPD458629:UPK458650 UFH458629:UFO458650 TVL458629:TVS458650 TLP458629:TLW458650 TBT458629:TCA458650 SRX458629:SSE458650 SIB458629:SII458650 RYF458629:RYM458650 ROJ458629:ROQ458650 REN458629:REU458650 QUR458629:QUY458650 QKV458629:QLC458650 QAZ458629:QBG458650 PRD458629:PRK458650 PHH458629:PHO458650 OXL458629:OXS458650 ONP458629:ONW458650 ODT458629:OEA458650 NTX458629:NUE458650 NKB458629:NKI458650 NAF458629:NAM458650 MQJ458629:MQQ458650 MGN458629:MGU458650 LWR458629:LWY458650 LMV458629:LNC458650 LCZ458629:LDG458650 KTD458629:KTK458650 KJH458629:KJO458650 JZL458629:JZS458650 JPP458629:JPW458650 JFT458629:JGA458650 IVX458629:IWE458650 IMB458629:IMI458650 ICF458629:ICM458650 HSJ458629:HSQ458650 HIN458629:HIU458650 GYR458629:GYY458650 GOV458629:GPC458650 GEZ458629:GFG458650 FVD458629:FVK458650 FLH458629:FLO458650 FBL458629:FBS458650 ERP458629:ERW458650 EHT458629:EIA458650 DXX458629:DYE458650 DOB458629:DOI458650 DEF458629:DEM458650 CUJ458629:CUQ458650 CKN458629:CKU458650 CAR458629:CAY458650 BQV458629:BRC458650 BGZ458629:BHG458650 AXD458629:AXK458650 ANH458629:ANO458650 ADL458629:ADS458650 TP458629:TW458650 JT458629:KA458650 X458629:AE458650 WWF393093:WWM393114 WMJ393093:WMQ393114 WCN393093:WCU393114 VSR393093:VSY393114 VIV393093:VJC393114 UYZ393093:UZG393114 UPD393093:UPK393114 UFH393093:UFO393114 TVL393093:TVS393114 TLP393093:TLW393114 TBT393093:TCA393114 SRX393093:SSE393114 SIB393093:SII393114 RYF393093:RYM393114 ROJ393093:ROQ393114 REN393093:REU393114 QUR393093:QUY393114 QKV393093:QLC393114 QAZ393093:QBG393114 PRD393093:PRK393114 PHH393093:PHO393114 OXL393093:OXS393114 ONP393093:ONW393114 ODT393093:OEA393114 NTX393093:NUE393114 NKB393093:NKI393114 NAF393093:NAM393114 MQJ393093:MQQ393114 MGN393093:MGU393114 LWR393093:LWY393114 LMV393093:LNC393114 LCZ393093:LDG393114 KTD393093:KTK393114 KJH393093:KJO393114 JZL393093:JZS393114 JPP393093:JPW393114 JFT393093:JGA393114 IVX393093:IWE393114 IMB393093:IMI393114 ICF393093:ICM393114 HSJ393093:HSQ393114 HIN393093:HIU393114 GYR393093:GYY393114 GOV393093:GPC393114 GEZ393093:GFG393114 FVD393093:FVK393114 FLH393093:FLO393114 FBL393093:FBS393114 ERP393093:ERW393114 EHT393093:EIA393114 DXX393093:DYE393114 DOB393093:DOI393114 DEF393093:DEM393114 CUJ393093:CUQ393114 CKN393093:CKU393114 CAR393093:CAY393114 BQV393093:BRC393114 BGZ393093:BHG393114 AXD393093:AXK393114 ANH393093:ANO393114 ADL393093:ADS393114 TP393093:TW393114 JT393093:KA393114 X393093:AE393114 WWF327557:WWM327578 WMJ327557:WMQ327578 WCN327557:WCU327578 VSR327557:VSY327578 VIV327557:VJC327578 UYZ327557:UZG327578 UPD327557:UPK327578 UFH327557:UFO327578 TVL327557:TVS327578 TLP327557:TLW327578 TBT327557:TCA327578 SRX327557:SSE327578 SIB327557:SII327578 RYF327557:RYM327578 ROJ327557:ROQ327578 REN327557:REU327578 QUR327557:QUY327578 QKV327557:QLC327578 QAZ327557:QBG327578 PRD327557:PRK327578 PHH327557:PHO327578 OXL327557:OXS327578 ONP327557:ONW327578 ODT327557:OEA327578 NTX327557:NUE327578 NKB327557:NKI327578 NAF327557:NAM327578 MQJ327557:MQQ327578 MGN327557:MGU327578 LWR327557:LWY327578 LMV327557:LNC327578 LCZ327557:LDG327578 KTD327557:KTK327578 KJH327557:KJO327578 JZL327557:JZS327578 JPP327557:JPW327578 JFT327557:JGA327578 IVX327557:IWE327578 IMB327557:IMI327578 ICF327557:ICM327578 HSJ327557:HSQ327578 HIN327557:HIU327578 GYR327557:GYY327578 GOV327557:GPC327578 GEZ327557:GFG327578 FVD327557:FVK327578 FLH327557:FLO327578 FBL327557:FBS327578 ERP327557:ERW327578 EHT327557:EIA327578 DXX327557:DYE327578 DOB327557:DOI327578 DEF327557:DEM327578 CUJ327557:CUQ327578 CKN327557:CKU327578 CAR327557:CAY327578 BQV327557:BRC327578 BGZ327557:BHG327578 AXD327557:AXK327578 ANH327557:ANO327578 ADL327557:ADS327578 TP327557:TW327578 JT327557:KA327578 X327557:AE327578 WWF262021:WWM262042 WMJ262021:WMQ262042 WCN262021:WCU262042 VSR262021:VSY262042 VIV262021:VJC262042 UYZ262021:UZG262042 UPD262021:UPK262042 UFH262021:UFO262042 TVL262021:TVS262042 TLP262021:TLW262042 TBT262021:TCA262042 SRX262021:SSE262042 SIB262021:SII262042 RYF262021:RYM262042 ROJ262021:ROQ262042 REN262021:REU262042 QUR262021:QUY262042 QKV262021:QLC262042 QAZ262021:QBG262042 PRD262021:PRK262042 PHH262021:PHO262042 OXL262021:OXS262042 ONP262021:ONW262042 ODT262021:OEA262042 NTX262021:NUE262042 NKB262021:NKI262042 NAF262021:NAM262042 MQJ262021:MQQ262042 MGN262021:MGU262042 LWR262021:LWY262042 LMV262021:LNC262042 LCZ262021:LDG262042 KTD262021:KTK262042 KJH262021:KJO262042 JZL262021:JZS262042 JPP262021:JPW262042 JFT262021:JGA262042 IVX262021:IWE262042 IMB262021:IMI262042 ICF262021:ICM262042 HSJ262021:HSQ262042 HIN262021:HIU262042 GYR262021:GYY262042 GOV262021:GPC262042 GEZ262021:GFG262042 FVD262021:FVK262042 FLH262021:FLO262042 FBL262021:FBS262042 ERP262021:ERW262042 EHT262021:EIA262042 DXX262021:DYE262042 DOB262021:DOI262042 DEF262021:DEM262042 CUJ262021:CUQ262042 CKN262021:CKU262042 CAR262021:CAY262042 BQV262021:BRC262042 BGZ262021:BHG262042 AXD262021:AXK262042 ANH262021:ANO262042 ADL262021:ADS262042 TP262021:TW262042 JT262021:KA262042 X262021:AE262042 WWF196485:WWM196506 WMJ196485:WMQ196506 WCN196485:WCU196506 VSR196485:VSY196506 VIV196485:VJC196506 UYZ196485:UZG196506 UPD196485:UPK196506 UFH196485:UFO196506 TVL196485:TVS196506 TLP196485:TLW196506 TBT196485:TCA196506 SRX196485:SSE196506 SIB196485:SII196506 RYF196485:RYM196506 ROJ196485:ROQ196506 REN196485:REU196506 QUR196485:QUY196506 QKV196485:QLC196506 QAZ196485:QBG196506 PRD196485:PRK196506 PHH196485:PHO196506 OXL196485:OXS196506 ONP196485:ONW196506 ODT196485:OEA196506 NTX196485:NUE196506 NKB196485:NKI196506 NAF196485:NAM196506 MQJ196485:MQQ196506 MGN196485:MGU196506 LWR196485:LWY196506 LMV196485:LNC196506 LCZ196485:LDG196506 KTD196485:KTK196506 KJH196485:KJO196506 JZL196485:JZS196506 JPP196485:JPW196506 JFT196485:JGA196506 IVX196485:IWE196506 IMB196485:IMI196506 ICF196485:ICM196506 HSJ196485:HSQ196506 HIN196485:HIU196506 GYR196485:GYY196506 GOV196485:GPC196506 GEZ196485:GFG196506 FVD196485:FVK196506 FLH196485:FLO196506 FBL196485:FBS196506 ERP196485:ERW196506 EHT196485:EIA196506 DXX196485:DYE196506 DOB196485:DOI196506 DEF196485:DEM196506 CUJ196485:CUQ196506 CKN196485:CKU196506 CAR196485:CAY196506 BQV196485:BRC196506 BGZ196485:BHG196506 AXD196485:AXK196506 ANH196485:ANO196506 ADL196485:ADS196506 TP196485:TW196506 JT196485:KA196506 X196485:AE196506 WWF130949:WWM130970 WMJ130949:WMQ130970 WCN130949:WCU130970 VSR130949:VSY130970 VIV130949:VJC130970 UYZ130949:UZG130970 UPD130949:UPK130970 UFH130949:UFO130970 TVL130949:TVS130970 TLP130949:TLW130970 TBT130949:TCA130970 SRX130949:SSE130970 SIB130949:SII130970 RYF130949:RYM130970 ROJ130949:ROQ130970 REN130949:REU130970 QUR130949:QUY130970 QKV130949:QLC130970 QAZ130949:QBG130970 PRD130949:PRK130970 PHH130949:PHO130970 OXL130949:OXS130970 ONP130949:ONW130970 ODT130949:OEA130970 NTX130949:NUE130970 NKB130949:NKI130970 NAF130949:NAM130970 MQJ130949:MQQ130970 MGN130949:MGU130970 LWR130949:LWY130970 LMV130949:LNC130970 LCZ130949:LDG130970 KTD130949:KTK130970 KJH130949:KJO130970 JZL130949:JZS130970 JPP130949:JPW130970 JFT130949:JGA130970 IVX130949:IWE130970 IMB130949:IMI130970 ICF130949:ICM130970 HSJ130949:HSQ130970 HIN130949:HIU130970 GYR130949:GYY130970 GOV130949:GPC130970 GEZ130949:GFG130970 FVD130949:FVK130970 FLH130949:FLO130970 FBL130949:FBS130970 ERP130949:ERW130970 EHT130949:EIA130970 DXX130949:DYE130970 DOB130949:DOI130970 DEF130949:DEM130970 CUJ130949:CUQ130970 CKN130949:CKU130970 CAR130949:CAY130970 BQV130949:BRC130970 BGZ130949:BHG130970 AXD130949:AXK130970 ANH130949:ANO130970 ADL130949:ADS130970 TP130949:TW130970 JT130949:KA130970 X130949:AE130970 WWF65413:WWM65434 WMJ65413:WMQ65434 WCN65413:WCU65434 VSR65413:VSY65434 VIV65413:VJC65434 UYZ65413:UZG65434 UPD65413:UPK65434 UFH65413:UFO65434 TVL65413:TVS65434 TLP65413:TLW65434 TBT65413:TCA65434 SRX65413:SSE65434 SIB65413:SII65434 RYF65413:RYM65434 ROJ65413:ROQ65434 REN65413:REU65434 QUR65413:QUY65434 QKV65413:QLC65434 QAZ65413:QBG65434 PRD65413:PRK65434 PHH65413:PHO65434 OXL65413:OXS65434 ONP65413:ONW65434 ODT65413:OEA65434 NTX65413:NUE65434 NKB65413:NKI65434 NAF65413:NAM65434 MQJ65413:MQQ65434 MGN65413:MGU65434 LWR65413:LWY65434 LMV65413:LNC65434 LCZ65413:LDG65434 KTD65413:KTK65434 KJH65413:KJO65434 JZL65413:JZS65434 JPP65413:JPW65434 JFT65413:JGA65434 IVX65413:IWE65434 IMB65413:IMI65434 ICF65413:ICM65434 HSJ65413:HSQ65434 HIN65413:HIU65434 GYR65413:GYY65434 GOV65413:GPC65434 GEZ65413:GFG65434 FVD65413:FVK65434 FLH65413:FLO65434 FBL65413:FBS65434 ERP65413:ERW65434 EHT65413:EIA65434 DXX65413:DYE65434 DOB65413:DOI65434 DEF65413:DEM65434 CUJ65413:CUQ65434 CKN65413:CKU65434 CAR65413:CAY65434 BQV65413:BRC65434 BGZ65413:BHG65434 AXD65413:AXK65434 ANH65413:ANO65434 ADL65413:ADS65434 TP65413:TW65434 JT65413:KA65434 X65413:AE65434" xr:uid="{375E865F-471A-4ACB-9D0F-F56F60D97D62}">
      <formula1>#REF!</formula1>
    </dataValidation>
  </dataValidations>
  <pageMargins left="0.7" right="0.7" top="0.75" bottom="0.75" header="0.3" footer="0.3"/>
  <pageSetup paperSize="9" scale="20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77B27-89AA-43DA-B4DA-7677DD55DC2C}">
  <dimension ref="A1:BH41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46177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選択画面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r1.3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6" t="s">
        <v>24</v>
      </c>
      <c r="BC5" s="78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46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/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359" t="s">
        <v>165</v>
      </c>
      <c r="D10" s="359"/>
      <c r="E10" s="359"/>
      <c r="F10" s="31"/>
      <c r="G10" s="31"/>
      <c r="H10" s="127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5.15" customHeight="1">
      <c r="A11" s="22"/>
      <c r="B11" s="202"/>
      <c r="C11" s="204"/>
      <c r="D11" s="28"/>
      <c r="E11" s="28"/>
      <c r="F11" s="28"/>
      <c r="G11" s="28"/>
      <c r="H11" s="121"/>
      <c r="I11" s="62"/>
      <c r="J11" s="63"/>
      <c r="K11" s="62"/>
      <c r="L11" s="63"/>
      <c r="M11" s="69"/>
      <c r="N11" s="69"/>
      <c r="O11" s="65"/>
      <c r="P11" s="69"/>
      <c r="Q11" s="65"/>
      <c r="R11" s="69"/>
      <c r="S11" s="35"/>
      <c r="T11" s="28"/>
      <c r="U11" s="28"/>
      <c r="V11" s="28"/>
      <c r="W11" s="28"/>
      <c r="X11" s="28"/>
      <c r="Y11" s="121"/>
      <c r="Z11" s="62"/>
      <c r="AA11" s="63"/>
      <c r="AB11" s="62"/>
      <c r="AC11" s="63"/>
      <c r="AD11" s="69"/>
      <c r="AE11" s="69"/>
      <c r="AF11" s="65"/>
      <c r="AG11" s="69"/>
      <c r="AH11" s="69"/>
      <c r="AI11" s="64"/>
      <c r="AJ11" s="69"/>
      <c r="AK11" s="65"/>
      <c r="AL11" s="28"/>
      <c r="AM11" s="28"/>
      <c r="AN11" s="28"/>
      <c r="AO11" s="28"/>
      <c r="AP11" s="28"/>
      <c r="AQ11" s="28"/>
      <c r="AR11" s="28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28"/>
      <c r="D12" s="28" t="s">
        <v>36</v>
      </c>
      <c r="E12" s="28" t="s">
        <v>166</v>
      </c>
      <c r="G12" s="359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359" t="s">
        <v>167</v>
      </c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04"/>
      <c r="D15" s="28"/>
      <c r="E15" s="28"/>
      <c r="F15" s="28"/>
      <c r="G15" s="28"/>
      <c r="H15" s="121"/>
      <c r="I15" s="62"/>
      <c r="J15" s="63"/>
      <c r="K15" s="62"/>
      <c r="L15" s="63"/>
      <c r="M15" s="69"/>
      <c r="N15" s="69"/>
      <c r="O15" s="65"/>
      <c r="P15" s="69"/>
      <c r="Q15" s="65"/>
      <c r="R15" s="69"/>
      <c r="S15" s="35"/>
      <c r="T15" s="28"/>
      <c r="U15" s="28"/>
      <c r="V15" s="28"/>
      <c r="W15" s="28"/>
      <c r="X15" s="28"/>
      <c r="Y15" s="121"/>
      <c r="Z15" s="62"/>
      <c r="AA15" s="63"/>
      <c r="AB15" s="62"/>
      <c r="AC15" s="63"/>
      <c r="AD15" s="69"/>
      <c r="AE15" s="69"/>
      <c r="AF15" s="65"/>
      <c r="AG15" s="69"/>
      <c r="AH15" s="69"/>
      <c r="AI15" s="64"/>
      <c r="AJ15" s="69"/>
      <c r="AK15" s="65"/>
      <c r="AL15" s="28"/>
      <c r="AM15" s="28"/>
      <c r="AN15" s="28"/>
      <c r="AO15" s="28"/>
      <c r="AP15" s="28"/>
      <c r="AQ15" s="28"/>
      <c r="AR15" s="28"/>
      <c r="AS15" s="63"/>
      <c r="AT15" s="64"/>
      <c r="AU15" s="63"/>
      <c r="AV15" s="65"/>
      <c r="AW15" s="65"/>
      <c r="AX15" s="65"/>
      <c r="AY15" s="31"/>
      <c r="AZ15" s="33"/>
      <c r="BA15" s="46"/>
      <c r="BB15" s="78"/>
      <c r="BC15" s="34"/>
      <c r="BD15" s="28"/>
    </row>
    <row r="16" spans="1:59" ht="13.5" customHeight="1">
      <c r="A16" s="22"/>
      <c r="B16" s="45"/>
      <c r="C16" s="43"/>
      <c r="D16" s="28" t="s">
        <v>35</v>
      </c>
      <c r="E16" s="28" t="s">
        <v>132</v>
      </c>
      <c r="F16" s="28"/>
      <c r="G16" s="28"/>
      <c r="H16" s="113"/>
      <c r="I16" s="113"/>
      <c r="J16" s="113"/>
      <c r="K16" s="28"/>
      <c r="L16" s="28"/>
      <c r="M16" s="62"/>
      <c r="N16" s="63"/>
      <c r="O16" s="65"/>
      <c r="P16" s="65"/>
      <c r="Q16" s="64"/>
      <c r="R16" s="63"/>
      <c r="S16" s="63"/>
      <c r="T16" s="63"/>
      <c r="U16" s="65"/>
      <c r="V16" s="64"/>
      <c r="W16" s="63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31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43"/>
      <c r="D17" s="31"/>
      <c r="E17" s="31"/>
      <c r="F17" s="31"/>
      <c r="G17" s="31"/>
      <c r="H17" s="62"/>
      <c r="I17" s="63"/>
      <c r="J17" s="63"/>
      <c r="K17" s="63"/>
      <c r="L17" s="64"/>
      <c r="M17" s="63"/>
      <c r="N17" s="65"/>
      <c r="O17" s="65"/>
      <c r="P17" s="65"/>
      <c r="Q17" s="65"/>
      <c r="R17" s="65"/>
      <c r="S17" s="75"/>
      <c r="T17" s="63"/>
      <c r="U17" s="63"/>
      <c r="V17" s="63"/>
      <c r="W17" s="63"/>
      <c r="X17" s="62"/>
      <c r="Y17" s="63"/>
      <c r="Z17" s="63"/>
      <c r="AA17" s="63"/>
      <c r="AB17" s="64"/>
      <c r="AC17" s="63"/>
      <c r="AD17" s="65"/>
      <c r="AE17" s="65"/>
      <c r="AF17" s="65"/>
      <c r="AG17" s="65"/>
      <c r="AH17" s="65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31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43"/>
      <c r="D18" s="31" t="s">
        <v>35</v>
      </c>
      <c r="E18" s="31" t="s">
        <v>168</v>
      </c>
      <c r="F18" s="31"/>
      <c r="G18" s="31"/>
      <c r="H18" s="62"/>
      <c r="I18" s="63"/>
      <c r="J18" s="63"/>
      <c r="K18" s="63"/>
      <c r="L18" s="64"/>
      <c r="M18" s="63"/>
      <c r="N18" s="65"/>
      <c r="O18" s="65"/>
      <c r="P18" s="65"/>
      <c r="Q18" s="65"/>
      <c r="R18" s="65"/>
      <c r="S18" s="75"/>
      <c r="T18" s="43"/>
      <c r="U18" s="31"/>
      <c r="V18" s="31"/>
      <c r="W18" s="31"/>
      <c r="X18" s="31"/>
      <c r="Y18" s="62"/>
      <c r="Z18" s="63"/>
      <c r="AA18" s="63"/>
      <c r="AB18" s="63"/>
      <c r="AC18" s="64"/>
      <c r="AD18" s="63"/>
      <c r="AE18" s="65"/>
      <c r="AF18" s="65"/>
      <c r="AG18" s="65"/>
      <c r="AH18" s="65"/>
      <c r="AI18" s="75"/>
      <c r="AJ18" s="63"/>
      <c r="AK18" s="75"/>
      <c r="AL18" s="63"/>
      <c r="AM18" s="63"/>
      <c r="AN18" s="63"/>
      <c r="AO18" s="63"/>
      <c r="AP18" s="62"/>
      <c r="AQ18" s="63"/>
      <c r="AR18" s="63"/>
      <c r="AS18" s="63"/>
      <c r="AT18" s="64"/>
      <c r="AU18" s="63"/>
      <c r="AV18" s="65"/>
      <c r="AW18" s="65"/>
      <c r="AX18" s="65"/>
      <c r="AY18" s="31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43"/>
      <c r="D19" s="31"/>
      <c r="E19" s="31"/>
      <c r="F19" s="31"/>
      <c r="G19" s="31"/>
      <c r="H19" s="62"/>
      <c r="I19" s="63"/>
      <c r="J19" s="63"/>
      <c r="K19" s="63"/>
      <c r="L19" s="64"/>
      <c r="M19" s="63"/>
      <c r="N19" s="65"/>
      <c r="O19" s="65"/>
      <c r="P19" s="82"/>
      <c r="Q19" s="65"/>
      <c r="R19" s="65"/>
      <c r="S19" s="35"/>
      <c r="T19" s="43"/>
      <c r="U19" s="63"/>
      <c r="V19" s="63"/>
      <c r="W19" s="63"/>
      <c r="X19" s="63"/>
      <c r="Y19" s="360"/>
      <c r="Z19" s="63"/>
      <c r="AA19" s="63"/>
      <c r="AB19" s="63"/>
      <c r="AC19" s="64"/>
      <c r="AD19" s="63"/>
      <c r="AE19" s="65"/>
      <c r="AF19" s="65"/>
      <c r="AG19" s="65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31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359" t="s">
        <v>169</v>
      </c>
      <c r="D20" s="31"/>
      <c r="E20" s="31"/>
      <c r="F20" s="31"/>
      <c r="G20" s="31"/>
      <c r="H20" s="62"/>
      <c r="I20" s="63"/>
      <c r="J20" s="63"/>
      <c r="K20" s="63"/>
      <c r="L20" s="75"/>
      <c r="M20" s="63"/>
      <c r="N20" s="65"/>
      <c r="O20" s="65"/>
      <c r="P20" s="65"/>
      <c r="Q20" s="65"/>
      <c r="R20" s="65"/>
      <c r="S20" s="35"/>
      <c r="T20" s="35"/>
      <c r="U20" s="35"/>
      <c r="V20" s="63"/>
      <c r="W20" s="63"/>
      <c r="X20" s="63"/>
      <c r="Y20" s="62"/>
      <c r="Z20" s="63"/>
      <c r="AA20" s="63"/>
      <c r="AB20" s="63"/>
      <c r="AC20" s="64"/>
      <c r="AD20" s="63"/>
      <c r="AE20" s="65"/>
      <c r="AF20" s="65"/>
      <c r="AG20" s="65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31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43"/>
      <c r="D21" s="31"/>
      <c r="E21" s="31"/>
      <c r="F21" s="31"/>
      <c r="G21" s="31"/>
      <c r="H21" s="62"/>
      <c r="I21" s="63"/>
      <c r="J21" s="63"/>
      <c r="K21" s="63"/>
      <c r="L21" s="64"/>
      <c r="M21" s="63"/>
      <c r="N21" s="65"/>
      <c r="O21" s="65"/>
      <c r="P21" s="65"/>
      <c r="Q21" s="65"/>
      <c r="R21" s="65"/>
      <c r="S21" s="35"/>
      <c r="T21" s="75"/>
      <c r="U21" s="63"/>
      <c r="V21" s="63"/>
      <c r="W21" s="63"/>
      <c r="X21" s="63"/>
      <c r="Y21" s="62"/>
      <c r="Z21" s="63"/>
      <c r="AA21" s="63"/>
      <c r="AB21" s="63"/>
      <c r="AC21" s="64"/>
      <c r="AD21" s="63"/>
      <c r="AE21" s="65"/>
      <c r="AF21" s="65"/>
      <c r="AG21" s="65"/>
      <c r="AH21" s="65"/>
      <c r="AI21" s="75"/>
      <c r="AJ21" s="63"/>
      <c r="AK21" s="63"/>
      <c r="AL21" s="63"/>
      <c r="AM21" s="63"/>
      <c r="AN21" s="125"/>
      <c r="AO21" s="62"/>
      <c r="AP21" s="62"/>
      <c r="AQ21" s="63"/>
      <c r="AR21" s="63"/>
      <c r="AS21" s="63"/>
      <c r="AT21" s="64"/>
      <c r="AU21" s="63"/>
      <c r="AV21" s="65"/>
      <c r="AW21" s="65"/>
      <c r="AX21" s="65"/>
      <c r="AY21" s="31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28" t="s">
        <v>35</v>
      </c>
      <c r="E22" s="28" t="s">
        <v>133</v>
      </c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/>
      <c r="D23" s="31"/>
      <c r="E23" s="31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65"/>
      <c r="AQ23" s="65"/>
      <c r="AR23" s="65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13.5" customHeight="1">
      <c r="A24" s="22"/>
      <c r="B24" s="45"/>
      <c r="C24" s="43"/>
      <c r="D24" s="28" t="s">
        <v>35</v>
      </c>
      <c r="E24" s="28" t="s">
        <v>134</v>
      </c>
      <c r="F24" s="28"/>
      <c r="G24" s="28"/>
      <c r="H24" s="62"/>
      <c r="I24" s="63"/>
      <c r="J24" s="63"/>
      <c r="K24" s="63"/>
      <c r="L24" s="64"/>
      <c r="M24" s="63"/>
      <c r="N24" s="65"/>
      <c r="O24" s="65"/>
      <c r="Q24" s="64"/>
      <c r="R24" s="63"/>
      <c r="S24" s="35"/>
      <c r="T24" s="28"/>
      <c r="U24" s="28"/>
      <c r="V24" s="28"/>
      <c r="W24" s="28"/>
      <c r="Y24" s="62"/>
      <c r="Z24" s="63"/>
      <c r="AA24" s="63"/>
      <c r="AB24" s="63"/>
      <c r="AC24" s="64"/>
      <c r="AD24" s="63"/>
      <c r="AE24" s="65"/>
      <c r="AF24" s="65"/>
      <c r="AG24" s="65"/>
      <c r="AH24" s="28"/>
      <c r="AI24" s="28"/>
      <c r="AJ24" s="35"/>
      <c r="AK24" s="28"/>
      <c r="AL24" s="28"/>
      <c r="AM24" s="28"/>
      <c r="AN24" s="28"/>
      <c r="AO24" s="35"/>
      <c r="AP24" s="62"/>
      <c r="AQ24" s="63"/>
      <c r="AR24" s="63"/>
      <c r="AS24" s="63"/>
      <c r="AT24" s="64"/>
      <c r="AU24" s="63"/>
      <c r="AV24" s="65"/>
      <c r="AW24" s="65"/>
      <c r="AX24" s="65"/>
      <c r="AY24" s="63"/>
      <c r="AZ24" s="33"/>
      <c r="BA24" s="46"/>
      <c r="BB24" s="78"/>
      <c r="BC24" s="34"/>
      <c r="BD24" s="28"/>
      <c r="BE24" s="35"/>
      <c r="BF24" s="35"/>
      <c r="BG24" s="35"/>
    </row>
    <row r="25" spans="1:59" ht="13.5" customHeight="1">
      <c r="A25" s="22"/>
      <c r="B25" s="45"/>
      <c r="C25" s="28"/>
      <c r="D25" s="28"/>
      <c r="E25" s="28"/>
      <c r="F25" s="28"/>
      <c r="H25" s="62"/>
      <c r="I25" s="63"/>
      <c r="J25" s="63"/>
      <c r="K25" s="63"/>
      <c r="L25" s="64"/>
      <c r="M25" s="63"/>
      <c r="N25" s="65"/>
      <c r="O25" s="65"/>
      <c r="P25" s="65"/>
      <c r="Q25" s="64"/>
      <c r="R25" s="28"/>
      <c r="S25" s="35"/>
      <c r="T25" s="35"/>
      <c r="U25" s="28"/>
      <c r="V25" s="28"/>
      <c r="W25" s="28"/>
      <c r="Y25" s="62"/>
      <c r="Z25" s="63"/>
      <c r="AA25" s="63"/>
      <c r="AB25" s="63"/>
      <c r="AC25" s="64"/>
      <c r="AD25" s="63"/>
      <c r="AE25" s="65"/>
      <c r="AF25" s="65"/>
      <c r="AG25" s="65"/>
      <c r="AH25" s="28"/>
      <c r="AI25" s="28"/>
      <c r="AJ25" s="35"/>
      <c r="AK25" s="28"/>
      <c r="AL25" s="28"/>
      <c r="AM25" s="28"/>
      <c r="AN25" s="28"/>
      <c r="AO25" s="35"/>
      <c r="AP25" s="62"/>
      <c r="AQ25" s="63"/>
      <c r="AR25" s="63"/>
      <c r="AS25" s="63"/>
      <c r="AT25" s="62"/>
      <c r="AU25" s="64"/>
      <c r="AV25" s="62"/>
      <c r="AW25" s="63"/>
      <c r="AX25" s="63"/>
      <c r="AY25" s="63"/>
      <c r="AZ25" s="33"/>
      <c r="BA25" s="46"/>
      <c r="BB25" s="78"/>
      <c r="BC25" s="34"/>
      <c r="BD25" s="28"/>
      <c r="BE25" s="35"/>
      <c r="BF25" s="35"/>
      <c r="BG25" s="35"/>
    </row>
    <row r="26" spans="1:59" ht="14.15" customHeight="1">
      <c r="A26" s="22"/>
      <c r="B26" s="256"/>
      <c r="C26" s="361"/>
      <c r="F26" s="285"/>
      <c r="G26" s="285"/>
      <c r="H26" s="28"/>
      <c r="I26" s="147"/>
      <c r="J26" s="130"/>
      <c r="K26" s="130"/>
      <c r="L26" s="130"/>
      <c r="M26" s="146"/>
      <c r="N26" s="130"/>
      <c r="P26" s="362"/>
      <c r="R26" s="130"/>
      <c r="S26" s="35"/>
      <c r="T26" s="285"/>
      <c r="U26" s="35"/>
      <c r="V26" s="285"/>
      <c r="W26" s="285"/>
      <c r="X26" s="285"/>
      <c r="Y26" s="28"/>
      <c r="Z26" s="147"/>
      <c r="AA26" s="130"/>
      <c r="AB26" s="130"/>
      <c r="AC26" s="130"/>
      <c r="AD26" s="146"/>
      <c r="AE26" s="130"/>
      <c r="AF26" s="35"/>
      <c r="AG26" s="146"/>
      <c r="AH26" s="35"/>
      <c r="AI26" s="35"/>
      <c r="AJ26" s="35"/>
      <c r="AK26" s="285"/>
      <c r="AL26" s="35"/>
      <c r="AM26" s="285"/>
      <c r="AN26" s="35"/>
      <c r="AO26" s="35"/>
      <c r="AP26" s="28"/>
      <c r="AQ26" s="147"/>
      <c r="AR26" s="130"/>
      <c r="AS26" s="130"/>
      <c r="AT26" s="130"/>
      <c r="AU26" s="146"/>
      <c r="AV26" s="35"/>
      <c r="AW26" s="28"/>
      <c r="AX26" s="363"/>
      <c r="AY26" s="130"/>
      <c r="AZ26" s="33"/>
      <c r="BA26" s="46"/>
      <c r="BB26" s="78"/>
      <c r="BC26" s="34"/>
      <c r="BD26" s="35"/>
      <c r="BE26" s="35"/>
      <c r="BF26" s="35"/>
      <c r="BG26" s="35"/>
    </row>
    <row r="27" spans="1:59" ht="13.5" customHeight="1">
      <c r="A27" s="22"/>
      <c r="B27" s="45"/>
      <c r="C27" s="28"/>
      <c r="D27" s="28"/>
      <c r="E27" s="28"/>
      <c r="F27" s="28"/>
      <c r="H27" s="62"/>
      <c r="I27" s="63"/>
      <c r="J27" s="63"/>
      <c r="K27" s="63"/>
      <c r="L27" s="64"/>
      <c r="M27" s="63"/>
      <c r="N27" s="65"/>
      <c r="O27" s="65"/>
      <c r="P27" s="65"/>
      <c r="Q27" s="64"/>
      <c r="R27" s="28"/>
      <c r="S27" s="35"/>
      <c r="T27" s="28"/>
      <c r="U27" s="28"/>
      <c r="V27" s="28"/>
      <c r="W27" s="28"/>
      <c r="Y27" s="62"/>
      <c r="Z27" s="63"/>
      <c r="AA27" s="63"/>
      <c r="AB27" s="63"/>
      <c r="AC27" s="64"/>
      <c r="AD27" s="63"/>
      <c r="AE27" s="65"/>
      <c r="AF27" s="65"/>
      <c r="AG27" s="65"/>
      <c r="AH27" s="28"/>
      <c r="AI27" s="28"/>
      <c r="AJ27" s="35"/>
      <c r="AK27" s="28"/>
      <c r="AL27" s="28"/>
      <c r="AM27" s="28"/>
      <c r="AN27" s="28"/>
      <c r="AO27" s="35"/>
      <c r="AP27" s="62"/>
      <c r="AQ27" s="63"/>
      <c r="AR27" s="63"/>
      <c r="AS27" s="63"/>
      <c r="AT27" s="64"/>
      <c r="AU27" s="63"/>
      <c r="AV27" s="65"/>
      <c r="AW27" s="65"/>
      <c r="AX27" s="362"/>
      <c r="AY27" s="63"/>
      <c r="AZ27" s="33"/>
      <c r="BA27" s="46"/>
      <c r="BB27" s="78"/>
      <c r="BC27" s="34"/>
      <c r="BD27" s="28"/>
      <c r="BE27" s="35"/>
      <c r="BF27" s="35"/>
      <c r="BG27" s="35"/>
    </row>
    <row r="28" spans="1:59" ht="13.5" customHeight="1">
      <c r="A28" s="22"/>
      <c r="B28" s="32"/>
      <c r="C28" s="41"/>
      <c r="D28" s="41"/>
      <c r="E28" s="41"/>
      <c r="F28" s="41"/>
      <c r="G28" s="41"/>
      <c r="H28" s="193"/>
      <c r="I28" s="193"/>
      <c r="J28" s="194"/>
      <c r="K28" s="193"/>
      <c r="L28" s="194"/>
      <c r="M28" s="193"/>
      <c r="N28" s="195"/>
      <c r="O28" s="193"/>
      <c r="P28" s="194"/>
      <c r="Q28" s="194"/>
      <c r="R28" s="194"/>
      <c r="S28" s="196"/>
      <c r="T28" s="196"/>
      <c r="U28" s="196"/>
      <c r="V28" s="196"/>
      <c r="W28" s="196"/>
      <c r="X28" s="195"/>
      <c r="Y28" s="196"/>
      <c r="Z28" s="194"/>
      <c r="AA28" s="195"/>
      <c r="AB28" s="196"/>
      <c r="AC28" s="194"/>
      <c r="AD28" s="195"/>
      <c r="AE28" s="194"/>
      <c r="AF28" s="194"/>
      <c r="AG28" s="195"/>
      <c r="AH28" s="194"/>
      <c r="AI28" s="194"/>
      <c r="AJ28" s="197"/>
      <c r="AK28" s="194"/>
      <c r="AL28" s="194"/>
      <c r="AM28" s="194"/>
      <c r="AN28" s="194"/>
      <c r="AO28" s="194"/>
      <c r="AP28" s="194"/>
      <c r="AQ28" s="194"/>
      <c r="AR28" s="194"/>
      <c r="AS28" s="194"/>
      <c r="AT28" s="194"/>
      <c r="AU28" s="194"/>
      <c r="AV28" s="194"/>
      <c r="AW28" s="194"/>
      <c r="AX28" s="64"/>
      <c r="AY28" s="6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41"/>
      <c r="D29" s="41"/>
      <c r="E29" s="41"/>
      <c r="F29" s="41"/>
      <c r="G29" s="41"/>
      <c r="H29" s="193"/>
      <c r="I29" s="193"/>
      <c r="J29" s="194"/>
      <c r="K29" s="193"/>
      <c r="L29" s="194"/>
      <c r="M29" s="193"/>
      <c r="N29" s="195"/>
      <c r="O29" s="193"/>
      <c r="P29" s="194"/>
      <c r="Q29" s="194"/>
      <c r="R29" s="194"/>
      <c r="S29" s="196"/>
      <c r="T29" s="196"/>
      <c r="U29" s="196"/>
      <c r="V29" s="196"/>
      <c r="W29" s="196"/>
      <c r="X29" s="195"/>
      <c r="Y29" s="196"/>
      <c r="Z29" s="194"/>
      <c r="AA29" s="195"/>
      <c r="AB29" s="196"/>
      <c r="AC29" s="194"/>
      <c r="AD29" s="195"/>
      <c r="AE29" s="194"/>
      <c r="AF29" s="194"/>
      <c r="AG29" s="195"/>
      <c r="AH29" s="194"/>
      <c r="AI29" s="194"/>
      <c r="AJ29" s="197"/>
      <c r="AK29" s="194"/>
      <c r="AL29" s="194"/>
      <c r="AM29" s="194"/>
      <c r="AN29" s="194"/>
      <c r="AO29" s="194"/>
      <c r="AP29" s="194"/>
      <c r="AQ29" s="194"/>
      <c r="AR29" s="194"/>
      <c r="AS29" s="194"/>
      <c r="AT29" s="194"/>
      <c r="AU29" s="194"/>
      <c r="AV29" s="194"/>
      <c r="AW29" s="194"/>
      <c r="AX29" s="64"/>
      <c r="AY29" s="6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41"/>
      <c r="D30" s="41"/>
      <c r="E30" s="41"/>
      <c r="F30" s="41"/>
      <c r="G30" s="41"/>
      <c r="H30" s="193"/>
      <c r="I30" s="193"/>
      <c r="J30" s="194"/>
      <c r="K30" s="193"/>
      <c r="L30" s="194"/>
      <c r="M30" s="193"/>
      <c r="N30" s="195"/>
      <c r="O30" s="193"/>
      <c r="P30" s="194"/>
      <c r="Q30" s="194"/>
      <c r="R30" s="194"/>
      <c r="S30" s="196"/>
      <c r="T30" s="196"/>
      <c r="U30" s="196"/>
      <c r="V30" s="196"/>
      <c r="W30" s="196"/>
      <c r="X30" s="195"/>
      <c r="Y30" s="196"/>
      <c r="Z30" s="194"/>
      <c r="AA30" s="195"/>
      <c r="AB30" s="196"/>
      <c r="AC30" s="194"/>
      <c r="AD30" s="195"/>
      <c r="AE30" s="194"/>
      <c r="AF30" s="194"/>
      <c r="AG30" s="195"/>
      <c r="AH30" s="194"/>
      <c r="AI30" s="194"/>
      <c r="AJ30" s="197"/>
      <c r="AK30" s="194"/>
      <c r="AL30" s="194"/>
      <c r="AM30" s="194"/>
      <c r="AN30" s="194"/>
      <c r="AO30" s="194"/>
      <c r="AP30" s="194"/>
      <c r="AQ30" s="194"/>
      <c r="AR30" s="194"/>
      <c r="AS30" s="194"/>
      <c r="AT30" s="194"/>
      <c r="AU30" s="194"/>
      <c r="AV30" s="194"/>
      <c r="AW30" s="194"/>
      <c r="AX30" s="64"/>
      <c r="AY30" s="6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41"/>
      <c r="D31" s="41"/>
      <c r="E31" s="41"/>
      <c r="F31" s="41"/>
      <c r="G31" s="41"/>
      <c r="H31" s="193"/>
      <c r="I31" s="193"/>
      <c r="J31" s="194"/>
      <c r="K31" s="193"/>
      <c r="L31" s="194"/>
      <c r="M31" s="193"/>
      <c r="N31" s="195"/>
      <c r="O31" s="193"/>
      <c r="P31" s="194"/>
      <c r="Q31" s="194"/>
      <c r="R31" s="194"/>
      <c r="S31" s="196"/>
      <c r="T31" s="196"/>
      <c r="U31" s="196"/>
      <c r="V31" s="196"/>
      <c r="W31" s="196"/>
      <c r="X31" s="195"/>
      <c r="Y31" s="196"/>
      <c r="Z31" s="194"/>
      <c r="AA31" s="195"/>
      <c r="AB31" s="196"/>
      <c r="AC31" s="194"/>
      <c r="AD31" s="195"/>
      <c r="AE31" s="194"/>
      <c r="AF31" s="194"/>
      <c r="AG31" s="195"/>
      <c r="AH31" s="194"/>
      <c r="AI31" s="194"/>
      <c r="AJ31" s="197"/>
      <c r="AK31" s="194"/>
      <c r="AL31" s="194"/>
      <c r="AM31" s="194"/>
      <c r="AN31" s="194"/>
      <c r="AO31" s="194"/>
      <c r="AP31" s="194"/>
      <c r="AQ31" s="194"/>
      <c r="AR31" s="194"/>
      <c r="AS31" s="194"/>
      <c r="AT31" s="194"/>
      <c r="AU31" s="194"/>
      <c r="AV31" s="194"/>
      <c r="AW31" s="194"/>
      <c r="AX31" s="64"/>
      <c r="AY31" s="63"/>
      <c r="AZ31" s="33"/>
      <c r="BA31" s="46"/>
      <c r="BB31" s="78"/>
      <c r="BC31" s="34"/>
      <c r="BD31" s="28"/>
      <c r="BE31" s="35"/>
      <c r="BF31" s="35"/>
      <c r="BG31" s="35"/>
    </row>
    <row r="32" spans="1:59" ht="5.15" customHeight="1">
      <c r="A32" s="22"/>
      <c r="B32" s="32"/>
      <c r="C32" s="41"/>
      <c r="D32" s="41"/>
      <c r="E32" s="41"/>
      <c r="F32" s="41"/>
      <c r="G32" s="41"/>
      <c r="H32" s="193"/>
      <c r="I32" s="193"/>
      <c r="J32" s="194"/>
      <c r="K32" s="193"/>
      <c r="L32" s="194"/>
      <c r="M32" s="193"/>
      <c r="N32" s="195"/>
      <c r="O32" s="193"/>
      <c r="P32" s="194"/>
      <c r="Q32" s="194"/>
      <c r="R32" s="194"/>
      <c r="S32" s="196"/>
      <c r="T32" s="196"/>
      <c r="U32" s="196"/>
      <c r="V32" s="196"/>
      <c r="W32" s="196"/>
      <c r="X32" s="195"/>
      <c r="Y32" s="196"/>
      <c r="Z32" s="194"/>
      <c r="AA32" s="195"/>
      <c r="AB32" s="196"/>
      <c r="AC32" s="194"/>
      <c r="AD32" s="195"/>
      <c r="AE32" s="194"/>
      <c r="AF32" s="194"/>
      <c r="AG32" s="195"/>
      <c r="AH32" s="194"/>
      <c r="AI32" s="194"/>
      <c r="AJ32" s="197"/>
      <c r="AK32" s="194"/>
      <c r="AL32" s="194"/>
      <c r="AM32" s="194"/>
      <c r="AN32" s="194"/>
      <c r="AO32" s="194"/>
      <c r="AP32" s="194"/>
      <c r="AQ32" s="194"/>
      <c r="AR32" s="194"/>
      <c r="AS32" s="194"/>
      <c r="AT32" s="194"/>
      <c r="AU32" s="194"/>
      <c r="AV32" s="194"/>
      <c r="AW32" s="194"/>
      <c r="AX32" s="64"/>
      <c r="AY32" s="63"/>
      <c r="AZ32" s="33"/>
      <c r="BA32" s="46"/>
      <c r="BB32" s="78"/>
      <c r="BC32" s="34"/>
      <c r="BD32" s="28"/>
      <c r="BE32" s="35"/>
      <c r="BF32" s="35"/>
      <c r="BG32" s="35"/>
    </row>
    <row r="33" spans="1:60" ht="13.5" customHeight="1">
      <c r="A33" s="22"/>
      <c r="B33" s="32"/>
      <c r="C33" s="41"/>
      <c r="D33" s="41"/>
      <c r="E33" s="41"/>
      <c r="F33" s="41"/>
      <c r="G33" s="41"/>
      <c r="H33" s="193"/>
      <c r="I33" s="193"/>
      <c r="J33" s="194"/>
      <c r="K33" s="193"/>
      <c r="L33" s="194"/>
      <c r="M33" s="193"/>
      <c r="N33" s="195"/>
      <c r="O33" s="193"/>
      <c r="P33" s="194"/>
      <c r="Q33" s="194"/>
      <c r="R33" s="194"/>
      <c r="S33" s="196"/>
      <c r="T33" s="196"/>
      <c r="U33" s="196"/>
      <c r="V33" s="196"/>
      <c r="W33" s="196"/>
      <c r="X33" s="195"/>
      <c r="Y33" s="196"/>
      <c r="Z33" s="194"/>
      <c r="AA33" s="195"/>
      <c r="AB33" s="196"/>
      <c r="AC33" s="194"/>
      <c r="AD33" s="195"/>
      <c r="AE33" s="194"/>
      <c r="AF33" s="194"/>
      <c r="AG33" s="195"/>
      <c r="AH33" s="194"/>
      <c r="AI33" s="194"/>
      <c r="AJ33" s="197"/>
      <c r="AK33" s="194"/>
      <c r="AL33" s="194"/>
      <c r="AM33" s="194"/>
      <c r="AN33" s="194"/>
      <c r="AO33" s="194"/>
      <c r="AP33" s="194"/>
      <c r="AQ33" s="194"/>
      <c r="AR33" s="194"/>
      <c r="AS33" s="194"/>
      <c r="AT33" s="194"/>
      <c r="AU33" s="194"/>
      <c r="AV33" s="194"/>
      <c r="AW33" s="194"/>
      <c r="AX33" s="64"/>
      <c r="AY33" s="63"/>
      <c r="AZ33" s="33"/>
      <c r="BA33" s="46"/>
      <c r="BB33" s="78"/>
      <c r="BC33" s="34"/>
      <c r="BD33" s="28"/>
      <c r="BE33" s="35"/>
      <c r="BF33" s="35"/>
      <c r="BG33" s="35"/>
    </row>
    <row r="34" spans="1:60" ht="13.5" customHeight="1">
      <c r="A34" s="22"/>
      <c r="B34" s="32"/>
      <c r="C34" s="41"/>
      <c r="D34" s="41"/>
      <c r="E34" s="41"/>
      <c r="F34" s="41"/>
      <c r="G34" s="41"/>
      <c r="H34" s="193"/>
      <c r="I34" s="193"/>
      <c r="J34" s="194"/>
      <c r="K34" s="193"/>
      <c r="L34" s="194"/>
      <c r="M34" s="193"/>
      <c r="N34" s="195"/>
      <c r="O34" s="193"/>
      <c r="P34" s="194"/>
      <c r="Q34" s="194"/>
      <c r="R34" s="194"/>
      <c r="S34" s="196"/>
      <c r="T34" s="196"/>
      <c r="U34" s="196"/>
      <c r="V34" s="196"/>
      <c r="W34" s="196"/>
      <c r="X34" s="195"/>
      <c r="Y34" s="196"/>
      <c r="Z34" s="194"/>
      <c r="AA34" s="195"/>
      <c r="AB34" s="196"/>
      <c r="AC34" s="194"/>
      <c r="AD34" s="195"/>
      <c r="AE34" s="194"/>
      <c r="AF34" s="194"/>
      <c r="AG34" s="195"/>
      <c r="AH34" s="194"/>
      <c r="AI34" s="194"/>
      <c r="AJ34" s="197"/>
      <c r="AK34" s="194"/>
      <c r="AL34" s="194"/>
      <c r="AM34" s="194"/>
      <c r="AN34" s="194"/>
      <c r="AO34" s="194"/>
      <c r="AP34" s="194"/>
      <c r="AQ34" s="194"/>
      <c r="AR34" s="194"/>
      <c r="AS34" s="194"/>
      <c r="AT34" s="194"/>
      <c r="AU34" s="194"/>
      <c r="AV34" s="194"/>
      <c r="AW34" s="194"/>
      <c r="AX34" s="64"/>
      <c r="AY34" s="63"/>
      <c r="AZ34" s="33"/>
      <c r="BA34" s="46"/>
      <c r="BB34" s="78"/>
      <c r="BC34" s="34"/>
      <c r="BD34" s="28"/>
      <c r="BE34" s="35"/>
      <c r="BF34" s="35"/>
      <c r="BG34" s="35"/>
    </row>
    <row r="35" spans="1:60" ht="13.5" customHeight="1">
      <c r="A35" s="22"/>
      <c r="B35" s="32"/>
      <c r="C35" s="41"/>
      <c r="D35" s="41"/>
      <c r="E35" s="41"/>
      <c r="F35" s="41"/>
      <c r="G35" s="41"/>
      <c r="H35" s="193"/>
      <c r="I35" s="193"/>
      <c r="J35" s="194"/>
      <c r="K35" s="193"/>
      <c r="L35" s="194"/>
      <c r="M35" s="193"/>
      <c r="N35" s="195"/>
      <c r="O35" s="193"/>
      <c r="P35" s="194"/>
      <c r="Q35" s="194"/>
      <c r="R35" s="194"/>
      <c r="S35" s="196"/>
      <c r="T35" s="196"/>
      <c r="U35" s="196"/>
      <c r="V35" s="196"/>
      <c r="W35" s="196"/>
      <c r="X35" s="195"/>
      <c r="Y35" s="196"/>
      <c r="Z35" s="194"/>
      <c r="AA35" s="195"/>
      <c r="AB35" s="196"/>
      <c r="AC35" s="194"/>
      <c r="AD35" s="195"/>
      <c r="AE35" s="194"/>
      <c r="AF35" s="194"/>
      <c r="AG35" s="195"/>
      <c r="AH35" s="194"/>
      <c r="AI35" s="194"/>
      <c r="AJ35" s="197"/>
      <c r="AK35" s="194"/>
      <c r="AL35" s="194"/>
      <c r="AM35" s="194"/>
      <c r="AN35" s="194"/>
      <c r="AO35" s="194"/>
      <c r="AP35" s="194"/>
      <c r="AQ35" s="194"/>
      <c r="AR35" s="194"/>
      <c r="AS35" s="194"/>
      <c r="AT35" s="194"/>
      <c r="AU35" s="194"/>
      <c r="AV35" s="194"/>
      <c r="AW35" s="194"/>
      <c r="AX35" s="64"/>
      <c r="AY35" s="63"/>
      <c r="AZ35" s="33"/>
      <c r="BA35" s="46"/>
      <c r="BB35" s="78"/>
      <c r="BC35" s="34"/>
      <c r="BD35" s="28"/>
      <c r="BE35" s="35"/>
      <c r="BF35" s="35"/>
      <c r="BG35" s="35"/>
    </row>
    <row r="36" spans="1:60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0" ht="14.15" customHeight="1">
      <c r="A37" s="22"/>
      <c r="B37" s="202"/>
      <c r="C37" s="331"/>
      <c r="D37" s="332"/>
      <c r="E37" s="65"/>
      <c r="F37" s="65"/>
      <c r="G37" s="65"/>
      <c r="H37" s="65"/>
      <c r="I37" s="65"/>
      <c r="J37" s="354"/>
      <c r="K37" s="354"/>
      <c r="L37" s="354"/>
      <c r="M37" s="354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125"/>
      <c r="AU37" s="65"/>
      <c r="AV37" s="65"/>
      <c r="AW37" s="65"/>
      <c r="AX37" s="65"/>
      <c r="AY37" s="65"/>
      <c r="AZ37" s="33"/>
      <c r="BA37" s="46"/>
      <c r="BB37" s="335"/>
      <c r="BC37" s="336"/>
      <c r="BD37" s="28"/>
      <c r="BG37" s="24"/>
      <c r="BH37" s="28"/>
    </row>
    <row r="38" spans="1:60" ht="13.5" customHeight="1">
      <c r="A38" s="22"/>
      <c r="B38" s="202">
        <v>36</v>
      </c>
      <c r="C38" s="331"/>
      <c r="D38" s="332"/>
      <c r="E38" s="65"/>
      <c r="F38" s="65"/>
      <c r="G38" s="65"/>
      <c r="H38" s="65"/>
      <c r="I38" s="65"/>
      <c r="J38" s="986"/>
      <c r="K38" s="986"/>
      <c r="L38" s="986"/>
      <c r="M38" s="986"/>
      <c r="N38" s="63"/>
      <c r="O38" s="65"/>
      <c r="P38" s="65"/>
      <c r="Q38" s="65"/>
      <c r="R38" s="28"/>
      <c r="S38" s="28"/>
      <c r="T38" s="31"/>
      <c r="U38" s="31"/>
      <c r="V38" s="31"/>
      <c r="W38" s="31"/>
      <c r="X38" s="31"/>
      <c r="Y38" s="44"/>
      <c r="Z38" s="31"/>
      <c r="AA38" s="28"/>
      <c r="AB38" s="44"/>
      <c r="AC38" s="31"/>
      <c r="AD38" s="28"/>
      <c r="AE38" s="44"/>
      <c r="AF38" s="28"/>
      <c r="AG38" s="116"/>
      <c r="AH38" s="41"/>
      <c r="AI38" s="116"/>
      <c r="AJ38" s="116"/>
      <c r="AK38" s="116"/>
      <c r="AL38" s="116"/>
      <c r="AM38" s="116"/>
      <c r="AN38" s="116"/>
      <c r="AO38" s="116"/>
      <c r="AP38" s="116"/>
      <c r="AQ38" s="116"/>
      <c r="AR38" s="116"/>
      <c r="AS38" s="116"/>
      <c r="AT38" s="116"/>
      <c r="AU38" s="116"/>
      <c r="AV38" s="116"/>
      <c r="AW38" s="116"/>
      <c r="AX38" s="116"/>
      <c r="AY38" s="116"/>
      <c r="AZ38" s="33"/>
      <c r="BA38" s="46"/>
      <c r="BB38" s="335"/>
      <c r="BC38" s="336"/>
      <c r="BD38" s="28"/>
      <c r="BG38" s="24"/>
      <c r="BH38" s="28"/>
    </row>
    <row r="39" spans="1:60" ht="13.5" customHeight="1">
      <c r="A39" s="22"/>
      <c r="B39" s="202">
        <v>37</v>
      </c>
      <c r="C39" s="331"/>
      <c r="D39" s="332"/>
      <c r="E39" s="65"/>
      <c r="F39" s="65"/>
      <c r="G39" s="65"/>
      <c r="H39" s="65"/>
      <c r="I39" s="65"/>
      <c r="J39" s="986"/>
      <c r="K39" s="986"/>
      <c r="L39" s="986"/>
      <c r="M39" s="986"/>
      <c r="N39" s="193"/>
      <c r="O39" s="195"/>
      <c r="P39" s="193"/>
      <c r="Q39" s="194"/>
      <c r="R39" s="194"/>
      <c r="S39" s="194"/>
      <c r="T39" s="196"/>
      <c r="U39" s="196"/>
      <c r="V39" s="196"/>
      <c r="W39" s="196"/>
      <c r="X39" s="196"/>
      <c r="Y39" s="195"/>
      <c r="Z39" s="196"/>
      <c r="AA39" s="194"/>
      <c r="AB39" s="195"/>
      <c r="AC39" s="196"/>
      <c r="AD39" s="194"/>
      <c r="AE39" s="195"/>
      <c r="AF39" s="194"/>
      <c r="AG39" s="194"/>
      <c r="AH39" s="195"/>
      <c r="AI39" s="194"/>
      <c r="AJ39" s="194"/>
      <c r="AK39" s="197"/>
      <c r="AL39" s="194"/>
      <c r="AM39" s="194"/>
      <c r="AN39" s="194"/>
      <c r="AO39" s="194"/>
      <c r="AP39" s="194"/>
      <c r="AQ39" s="194"/>
      <c r="AR39" s="194"/>
      <c r="AS39" s="194"/>
      <c r="AT39" s="194"/>
      <c r="AU39" s="194"/>
      <c r="AV39" s="194"/>
      <c r="AW39" s="194"/>
      <c r="AX39" s="194"/>
      <c r="AY39" s="194"/>
      <c r="AZ39" s="33"/>
      <c r="BA39" s="46"/>
      <c r="BB39" s="335"/>
      <c r="BC39" s="336"/>
      <c r="BD39" s="28"/>
      <c r="BG39" s="24"/>
      <c r="BH39" s="28"/>
    </row>
    <row r="40" spans="1:60">
      <c r="A40" s="22"/>
      <c r="B40" s="32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81"/>
      <c r="T40" s="81"/>
      <c r="U40" s="81"/>
      <c r="V40" s="81"/>
      <c r="W40" s="28"/>
      <c r="X40" s="28"/>
      <c r="Y40" s="81"/>
      <c r="Z40" s="81"/>
      <c r="AA40" s="28"/>
      <c r="AB40" s="28"/>
      <c r="AC40" s="28"/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  <c r="AQ40" s="81"/>
      <c r="AR40" s="81"/>
      <c r="AS40" s="81"/>
      <c r="AT40" s="81"/>
      <c r="AU40" s="81"/>
      <c r="AV40" s="81"/>
      <c r="AW40" s="81"/>
      <c r="AX40" s="81"/>
      <c r="AY40" s="31"/>
      <c r="AZ40" s="33"/>
      <c r="BA40" s="46"/>
      <c r="BB40" s="335"/>
      <c r="BC40" s="336"/>
    </row>
    <row r="41" spans="1:60">
      <c r="A41" s="155"/>
      <c r="B41" s="95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56"/>
      <c r="T41" s="156"/>
      <c r="U41" s="156"/>
      <c r="V41" s="156"/>
      <c r="W41" s="110"/>
      <c r="X41" s="110"/>
      <c r="Y41" s="156"/>
      <c r="Z41" s="156"/>
      <c r="AA41" s="110"/>
      <c r="AB41" s="110"/>
      <c r="AC41" s="110"/>
      <c r="AD41" s="156"/>
      <c r="AE41" s="156"/>
      <c r="AF41" s="156"/>
      <c r="AG41" s="156"/>
      <c r="AH41" s="156"/>
      <c r="AI41" s="156"/>
      <c r="AJ41" s="156"/>
      <c r="AK41" s="156"/>
      <c r="AL41" s="156"/>
      <c r="AM41" s="156"/>
      <c r="AN41" s="156"/>
      <c r="AO41" s="156"/>
      <c r="AP41" s="156"/>
      <c r="AQ41" s="156"/>
      <c r="AR41" s="156"/>
      <c r="AS41" s="156"/>
      <c r="AT41" s="156"/>
      <c r="AU41" s="156"/>
      <c r="AV41" s="156"/>
      <c r="AW41" s="156"/>
      <c r="AX41" s="156"/>
      <c r="AY41" s="95"/>
      <c r="AZ41" s="95"/>
      <c r="BA41" s="157"/>
      <c r="BB41" s="355"/>
      <c r="BC41" s="356"/>
    </row>
  </sheetData>
  <mergeCells count="29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J38:M38"/>
    <mergeCell ref="J39:M39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</mergeCells>
  <phoneticPr fontId="57"/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6"/>
  <sheetViews>
    <sheetView showGridLines="0" topLeftCell="A5" zoomScaleNormal="100" zoomScaleSheetLayoutView="100" workbookViewId="0">
      <pane ySplit="2" topLeftCell="A83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46177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円(PPM)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r1.3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6" t="s">
        <v>24</v>
      </c>
      <c r="BC5" s="78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63"/>
      <c r="AZ33" s="490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63"/>
      <c r="AZ34" s="490"/>
      <c r="BA34" s="46"/>
      <c r="BB34" s="78"/>
      <c r="BC34" s="34"/>
      <c r="BD34" s="28"/>
      <c r="BE34" s="35"/>
      <c r="BF34" s="35"/>
      <c r="BG34" s="35"/>
    </row>
    <row r="35" spans="1:59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59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63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59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59" ht="13.5" customHeight="1">
      <c r="A39" s="22"/>
      <c r="B39" s="45"/>
      <c r="C39" s="527" t="s">
        <v>285</v>
      </c>
      <c r="D39" s="28"/>
      <c r="E39" s="28"/>
      <c r="F39" s="28"/>
      <c r="G39" s="28"/>
      <c r="H39" s="24"/>
      <c r="I39" s="24"/>
      <c r="J39" s="24"/>
      <c r="K39" s="24"/>
      <c r="L39" s="24"/>
      <c r="M39" s="127"/>
      <c r="N39" s="75"/>
      <c r="O39" s="84"/>
      <c r="P39" s="84"/>
      <c r="Q39" s="85"/>
      <c r="R39" s="75"/>
      <c r="S39" s="75"/>
      <c r="T39" s="75"/>
      <c r="U39" s="84"/>
      <c r="V39" s="85"/>
      <c r="W39" s="75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31"/>
      <c r="BA39" s="30"/>
      <c r="BB39" s="175"/>
      <c r="BC39" s="345"/>
      <c r="BD39" s="28"/>
      <c r="BE39" s="35"/>
      <c r="BF39" s="35"/>
      <c r="BG39" s="35"/>
    </row>
    <row r="40" spans="1:59" ht="13.5" customHeight="1">
      <c r="A40" s="22"/>
      <c r="B40" s="45"/>
      <c r="C40" s="266"/>
      <c r="D40" s="28" t="s">
        <v>288</v>
      </c>
      <c r="E40" s="28"/>
      <c r="F40" s="28"/>
      <c r="G40" s="28"/>
      <c r="H40" s="86" t="s">
        <v>139</v>
      </c>
      <c r="I40" s="86"/>
      <c r="J40" s="86"/>
      <c r="K40" s="86"/>
      <c r="L40" s="86"/>
      <c r="M40" s="322"/>
      <c r="N40" s="87"/>
      <c r="O40" s="88"/>
      <c r="P40" s="88"/>
      <c r="Q40" s="89"/>
      <c r="R40" s="87"/>
      <c r="S40" s="87"/>
      <c r="T40" s="87"/>
      <c r="U40" s="88"/>
      <c r="V40" s="89"/>
      <c r="W40" s="87"/>
      <c r="X40" s="65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65"/>
      <c r="AY40" s="31"/>
      <c r="AZ40" s="52"/>
      <c r="BA40" s="93"/>
      <c r="BB40" s="175"/>
      <c r="BC40" s="345"/>
      <c r="BD40" s="28"/>
      <c r="BE40" s="35"/>
      <c r="BF40" s="35"/>
      <c r="BG40" s="35"/>
    </row>
    <row r="41" spans="1:59" ht="13.5" customHeight="1">
      <c r="A41" s="22"/>
      <c r="B41" s="202">
        <v>6</v>
      </c>
      <c r="C41" s="304" t="s">
        <v>32</v>
      </c>
      <c r="D41" s="205" t="s">
        <v>64</v>
      </c>
      <c r="E41" s="206"/>
      <c r="F41" s="206"/>
      <c r="G41" s="207"/>
      <c r="H41" s="208" t="s">
        <v>73</v>
      </c>
      <c r="I41" s="209"/>
      <c r="J41" s="209"/>
      <c r="K41" s="209"/>
      <c r="L41" s="206"/>
      <c r="M41" s="207"/>
      <c r="N41" s="205" t="s">
        <v>74</v>
      </c>
      <c r="O41" s="206"/>
      <c r="P41" s="206"/>
      <c r="Q41" s="207"/>
      <c r="R41" s="205" t="s">
        <v>75</v>
      </c>
      <c r="S41" s="206"/>
      <c r="T41" s="206"/>
      <c r="U41" s="206"/>
      <c r="V41" s="210" t="s">
        <v>87</v>
      </c>
      <c r="W41" s="211"/>
      <c r="X41" s="211"/>
      <c r="Y41" s="212"/>
      <c r="Z41" s="211" t="s">
        <v>89</v>
      </c>
      <c r="AA41" s="211"/>
      <c r="AB41" s="211"/>
      <c r="AC41" s="212"/>
      <c r="AD41" s="211" t="s">
        <v>76</v>
      </c>
      <c r="AE41" s="211"/>
      <c r="AF41" s="211"/>
      <c r="AG41" s="212"/>
      <c r="AH41" s="210" t="s">
        <v>77</v>
      </c>
      <c r="AI41" s="211"/>
      <c r="AJ41" s="211"/>
      <c r="AK41" s="211"/>
      <c r="AL41" s="212"/>
      <c r="AM41" s="210" t="s">
        <v>83</v>
      </c>
      <c r="AN41" s="211"/>
      <c r="AO41" s="211"/>
      <c r="AP41" s="212"/>
      <c r="AQ41" s="211" t="s">
        <v>85</v>
      </c>
      <c r="AR41" s="211"/>
      <c r="AS41" s="212"/>
      <c r="AT41" s="305" t="s">
        <v>86</v>
      </c>
      <c r="AU41" s="211"/>
      <c r="AV41" s="211"/>
      <c r="AW41" s="212"/>
      <c r="AX41" s="211" t="s">
        <v>69</v>
      </c>
      <c r="AY41" s="211"/>
      <c r="AZ41" s="211"/>
      <c r="BA41" s="212"/>
      <c r="BB41" s="28"/>
      <c r="BC41" s="491"/>
      <c r="BD41" s="28"/>
      <c r="BG41" s="35"/>
    </row>
    <row r="42" spans="1:59" ht="13.5" customHeight="1">
      <c r="A42" s="22"/>
      <c r="B42" s="202">
        <v>7</v>
      </c>
      <c r="C42" s="306"/>
      <c r="D42" s="213" t="s">
        <v>30</v>
      </c>
      <c r="E42" s="216"/>
      <c r="F42" s="214"/>
      <c r="G42" s="215"/>
      <c r="H42" s="213" t="s">
        <v>30</v>
      </c>
      <c r="I42" s="216"/>
      <c r="J42" s="216"/>
      <c r="K42" s="216"/>
      <c r="L42" s="214"/>
      <c r="M42" s="215"/>
      <c r="N42" s="213" t="s">
        <v>30</v>
      </c>
      <c r="O42" s="214"/>
      <c r="P42" s="214"/>
      <c r="Q42" s="215"/>
      <c r="R42" s="213" t="s">
        <v>30</v>
      </c>
      <c r="S42" s="216"/>
      <c r="T42" s="214"/>
      <c r="U42" s="214"/>
      <c r="V42" s="217" t="s">
        <v>88</v>
      </c>
      <c r="W42" s="218"/>
      <c r="X42" s="219"/>
      <c r="Y42" s="220"/>
      <c r="Z42" s="218" t="s">
        <v>43</v>
      </c>
      <c r="AA42" s="218"/>
      <c r="AB42" s="219"/>
      <c r="AC42" s="220"/>
      <c r="AD42" s="218" t="s">
        <v>43</v>
      </c>
      <c r="AE42" s="218"/>
      <c r="AF42" s="219"/>
      <c r="AG42" s="220"/>
      <c r="AH42" s="217" t="s">
        <v>30</v>
      </c>
      <c r="AI42" s="218"/>
      <c r="AJ42" s="218"/>
      <c r="AK42" s="219"/>
      <c r="AL42" s="220"/>
      <c r="AM42" s="217" t="s">
        <v>43</v>
      </c>
      <c r="AN42" s="218"/>
      <c r="AO42" s="219"/>
      <c r="AP42" s="220"/>
      <c r="AQ42" s="218" t="s">
        <v>43</v>
      </c>
      <c r="AR42" s="218"/>
      <c r="AS42" s="220"/>
      <c r="AT42" s="307" t="s">
        <v>43</v>
      </c>
      <c r="AU42" s="218"/>
      <c r="AV42" s="219"/>
      <c r="AW42" s="220"/>
      <c r="AX42" s="218" t="s">
        <v>43</v>
      </c>
      <c r="AY42" s="218"/>
      <c r="AZ42" s="219"/>
      <c r="BA42" s="220"/>
      <c r="BB42" s="28"/>
      <c r="BC42" s="491"/>
      <c r="BD42" s="28"/>
      <c r="BG42" s="35"/>
    </row>
    <row r="43" spans="1:59" ht="13.5" customHeight="1">
      <c r="A43" s="22"/>
      <c r="B43" s="202">
        <v>8</v>
      </c>
      <c r="C43" s="308">
        <v>1</v>
      </c>
      <c r="D43" s="148" t="s">
        <v>90</v>
      </c>
      <c r="E43" s="149"/>
      <c r="F43" s="149"/>
      <c r="G43" s="151"/>
      <c r="H43" s="242" t="s">
        <v>91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1016">
        <v>5000</v>
      </c>
      <c r="S43" s="1017"/>
      <c r="T43" s="1017"/>
      <c r="U43" s="1018"/>
      <c r="V43" s="1005">
        <v>122.5</v>
      </c>
      <c r="W43" s="1014"/>
      <c r="X43" s="1014"/>
      <c r="Y43" s="1015"/>
      <c r="Z43" s="1005">
        <v>125</v>
      </c>
      <c r="AA43" s="1014"/>
      <c r="AB43" s="1014"/>
      <c r="AC43" s="1015"/>
      <c r="AD43" s="1005">
        <v>124</v>
      </c>
      <c r="AE43" s="1014"/>
      <c r="AF43" s="1014"/>
      <c r="AG43" s="1015"/>
      <c r="AH43" s="1005">
        <v>94.52</v>
      </c>
      <c r="AI43" s="1014"/>
      <c r="AJ43" s="1014"/>
      <c r="AK43" s="1014"/>
      <c r="AL43" s="1015"/>
      <c r="AM43" s="1005">
        <v>125</v>
      </c>
      <c r="AN43" s="1014"/>
      <c r="AO43" s="1014"/>
      <c r="AP43" s="1015"/>
      <c r="AQ43" s="1002">
        <v>10.3</v>
      </c>
      <c r="AR43" s="1003"/>
      <c r="AS43" s="1004"/>
      <c r="AT43" s="309" t="s">
        <v>96</v>
      </c>
      <c r="AU43" s="150"/>
      <c r="AV43" s="150"/>
      <c r="AW43" s="152"/>
      <c r="AX43" s="149" t="s">
        <v>30</v>
      </c>
      <c r="AY43" s="150"/>
      <c r="AZ43" s="150"/>
      <c r="BA43" s="152"/>
      <c r="BB43" s="28"/>
      <c r="BC43" s="491"/>
      <c r="BD43" s="28"/>
      <c r="BG43" s="35"/>
    </row>
    <row r="44" spans="1:59" ht="13.5" customHeight="1">
      <c r="A44" s="22"/>
      <c r="B44" s="202">
        <v>9</v>
      </c>
      <c r="C44" s="308">
        <v>2</v>
      </c>
      <c r="D44" s="148" t="s">
        <v>94</v>
      </c>
      <c r="E44" s="149"/>
      <c r="F44" s="149"/>
      <c r="G44" s="151"/>
      <c r="H44" s="242" t="s">
        <v>95</v>
      </c>
      <c r="I44" s="150"/>
      <c r="J44" s="150"/>
      <c r="K44" s="150"/>
      <c r="L44" s="161"/>
      <c r="M44" s="162"/>
      <c r="N44" s="242" t="s">
        <v>92</v>
      </c>
      <c r="O44" s="150"/>
      <c r="P44" s="150"/>
      <c r="Q44" s="99" t="s">
        <v>33</v>
      </c>
      <c r="R44" s="1016">
        <v>5000</v>
      </c>
      <c r="S44" s="1017"/>
      <c r="T44" s="1017"/>
      <c r="U44" s="1018"/>
      <c r="V44" s="1005">
        <v>39</v>
      </c>
      <c r="W44" s="1014"/>
      <c r="X44" s="1014"/>
      <c r="Y44" s="1015"/>
      <c r="Z44" s="1005">
        <v>40</v>
      </c>
      <c r="AA44" s="1014"/>
      <c r="AB44" s="1014"/>
      <c r="AC44" s="1015"/>
      <c r="AD44" s="1005">
        <v>40</v>
      </c>
      <c r="AE44" s="1014"/>
      <c r="AF44" s="1014"/>
      <c r="AG44" s="1015"/>
      <c r="AH44" s="1005">
        <v>36.89</v>
      </c>
      <c r="AI44" s="1014"/>
      <c r="AJ44" s="1014"/>
      <c r="AK44" s="1014"/>
      <c r="AL44" s="1015"/>
      <c r="AM44" s="1005">
        <v>41</v>
      </c>
      <c r="AN44" s="1014"/>
      <c r="AO44" s="1014"/>
      <c r="AP44" s="1015"/>
      <c r="AQ44" s="1002">
        <v>12.3</v>
      </c>
      <c r="AR44" s="1003"/>
      <c r="AS44" s="1004"/>
      <c r="AT44" s="309" t="s">
        <v>97</v>
      </c>
      <c r="AU44" s="150"/>
      <c r="AV44" s="150"/>
      <c r="AW44" s="152"/>
      <c r="AX44" s="149" t="s">
        <v>30</v>
      </c>
      <c r="AY44" s="150"/>
      <c r="AZ44" s="150"/>
      <c r="BA44" s="152"/>
      <c r="BB44" s="28"/>
      <c r="BC44" s="491"/>
      <c r="BD44" s="28"/>
      <c r="BG44" s="35"/>
    </row>
    <row r="45" spans="1:59" ht="13.5" customHeight="1">
      <c r="A45" s="22"/>
      <c r="B45" s="202">
        <v>10</v>
      </c>
      <c r="C45" s="310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1"/>
      <c r="BA45" s="35"/>
      <c r="BB45" s="35"/>
      <c r="BC45" s="153"/>
      <c r="BD45" s="28"/>
    </row>
    <row r="46" spans="1:59" ht="13.5" customHeight="1">
      <c r="A46" s="22"/>
      <c r="B46" s="202">
        <v>11</v>
      </c>
      <c r="C46" s="312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3"/>
      <c r="W46" s="63"/>
      <c r="X46" s="75"/>
      <c r="Y46" s="63"/>
      <c r="Z46" s="63"/>
      <c r="AA46" s="69"/>
      <c r="AB46" s="65"/>
      <c r="AC46" s="63"/>
      <c r="AD46" s="65"/>
      <c r="AE46" s="65"/>
      <c r="AF46" s="65"/>
      <c r="AG46" s="69"/>
      <c r="AH46" s="65"/>
      <c r="AI46" s="75"/>
      <c r="AJ46" s="63"/>
      <c r="AK46" s="63"/>
      <c r="AL46" s="63"/>
      <c r="AM46" s="63"/>
      <c r="AN46" s="125"/>
      <c r="AO46" s="62"/>
      <c r="AP46" s="62"/>
      <c r="AQ46" s="63"/>
      <c r="AR46" s="63"/>
      <c r="AS46" s="63"/>
      <c r="AT46" s="64"/>
      <c r="AU46" s="63"/>
      <c r="AV46" s="65"/>
      <c r="AW46" s="65"/>
      <c r="AX46" s="65"/>
      <c r="AY46" s="63"/>
      <c r="AZ46" s="31"/>
      <c r="BA46" s="35"/>
      <c r="BB46" s="35"/>
      <c r="BC46" s="153"/>
      <c r="BD46" s="28"/>
    </row>
    <row r="47" spans="1:59" ht="15.75" customHeight="1">
      <c r="A47" s="22"/>
      <c r="B47" s="202">
        <v>12</v>
      </c>
      <c r="C47" s="310"/>
      <c r="D47" s="65"/>
      <c r="E47" s="65"/>
      <c r="F47" s="65"/>
      <c r="G47" s="65"/>
      <c r="H47" s="65"/>
      <c r="I47" s="65"/>
      <c r="J47" s="65"/>
      <c r="K47" s="65"/>
      <c r="L47" s="65"/>
      <c r="M47" s="62"/>
      <c r="N47" s="65"/>
      <c r="O47" s="65"/>
      <c r="P47" s="63"/>
      <c r="Q47" s="64"/>
      <c r="R47" s="63"/>
      <c r="S47" s="63"/>
      <c r="T47" s="65"/>
      <c r="U47" s="63"/>
      <c r="V47" s="65"/>
      <c r="W47" s="63"/>
      <c r="X47" s="63"/>
      <c r="Y47" s="63"/>
      <c r="Z47" s="63"/>
      <c r="AA47" s="63"/>
      <c r="AB47" s="65"/>
      <c r="AC47" s="65"/>
      <c r="AD47" s="62"/>
      <c r="AE47" s="63"/>
      <c r="AF47" s="63"/>
      <c r="AG47" s="65"/>
      <c r="AH47" s="65"/>
      <c r="AI47" s="62"/>
      <c r="AJ47" s="63"/>
      <c r="AK47" s="65"/>
      <c r="AL47" s="63"/>
      <c r="AM47" s="63"/>
      <c r="AN47" s="126"/>
      <c r="AO47" s="65"/>
      <c r="AP47" s="65"/>
      <c r="AQ47" s="125"/>
      <c r="AR47" s="65"/>
      <c r="AS47" s="65"/>
      <c r="AT47" s="63"/>
      <c r="AU47" s="63"/>
      <c r="AV47" s="63"/>
      <c r="AW47" s="63"/>
      <c r="AX47" s="63"/>
      <c r="AY47" s="63"/>
      <c r="AZ47" s="31"/>
      <c r="BA47" s="35"/>
      <c r="BB47" s="35"/>
      <c r="BC47" s="311"/>
      <c r="BD47" s="28"/>
    </row>
    <row r="48" spans="1:59" ht="13.5" customHeight="1">
      <c r="A48" s="22"/>
      <c r="B48" s="202">
        <v>13</v>
      </c>
      <c r="C48" s="310"/>
      <c r="D48" s="65"/>
      <c r="E48" s="65"/>
      <c r="F48" s="65"/>
      <c r="G48" s="65"/>
      <c r="H48" s="84"/>
      <c r="I48" s="65"/>
      <c r="J48" s="65"/>
      <c r="K48" s="65"/>
      <c r="L48" s="65"/>
      <c r="M48" s="126"/>
      <c r="N48" s="65"/>
      <c r="O48" s="65"/>
      <c r="P48" s="65"/>
      <c r="Q48" s="198"/>
      <c r="R48" s="65"/>
      <c r="S48" s="63"/>
      <c r="T48" s="63"/>
      <c r="U48" s="63"/>
      <c r="V48" s="65"/>
      <c r="W48" s="84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126"/>
      <c r="AI48" s="65"/>
      <c r="AJ48" s="125"/>
      <c r="AK48" s="65"/>
      <c r="AL48" s="65"/>
      <c r="AM48" s="65"/>
      <c r="AN48" s="65"/>
      <c r="AO48" s="65"/>
      <c r="AP48" s="65"/>
      <c r="AQ48" s="125"/>
      <c r="AR48" s="65"/>
      <c r="AS48" s="125"/>
      <c r="AT48" s="64"/>
      <c r="AU48" s="63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14</v>
      </c>
      <c r="C49" s="312"/>
      <c r="D49" s="65"/>
      <c r="E49" s="65"/>
      <c r="F49" s="65"/>
      <c r="G49" s="65"/>
      <c r="H49" s="65"/>
      <c r="I49" s="65"/>
      <c r="J49" s="65"/>
      <c r="K49" s="198"/>
      <c r="L49" s="65"/>
      <c r="M49" s="65"/>
      <c r="N49" s="65"/>
      <c r="O49" s="65"/>
      <c r="P49" s="65"/>
      <c r="Q49" s="198"/>
      <c r="R49" s="65"/>
      <c r="S49" s="65"/>
      <c r="T49" s="65"/>
      <c r="U49" s="198"/>
      <c r="V49" s="65"/>
      <c r="W49" s="65"/>
      <c r="X49" s="65"/>
      <c r="Y49" s="65"/>
      <c r="Z49" s="65"/>
      <c r="AA49" s="65"/>
      <c r="AB49" s="65"/>
      <c r="AC49" s="65"/>
      <c r="AD49" s="65"/>
      <c r="AE49" s="65"/>
      <c r="AF49" s="65"/>
      <c r="AG49" s="65"/>
      <c r="AH49" s="65"/>
      <c r="AI49" s="65"/>
      <c r="AJ49" s="125"/>
      <c r="AK49" s="112"/>
      <c r="AL49" s="62"/>
      <c r="AM49" s="63"/>
      <c r="AN49" s="63"/>
      <c r="AO49" s="63"/>
      <c r="AP49" s="63"/>
      <c r="AQ49" s="64"/>
      <c r="AR49" s="63"/>
      <c r="AS49" s="65"/>
      <c r="AT49" s="65"/>
      <c r="AU49" s="65"/>
      <c r="AV49" s="65"/>
      <c r="AW49" s="65"/>
      <c r="AX49" s="65"/>
      <c r="AY49" s="63"/>
      <c r="AZ49" s="31"/>
      <c r="BA49" s="35"/>
      <c r="BB49" s="35"/>
      <c r="BC49" s="311"/>
      <c r="BD49" s="28"/>
    </row>
    <row r="50" spans="1:67" ht="13.5" customHeight="1">
      <c r="A50" s="22"/>
      <c r="B50" s="202">
        <v>15</v>
      </c>
      <c r="C50" s="475" t="s">
        <v>244</v>
      </c>
      <c r="D50" s="223"/>
      <c r="E50" s="224"/>
      <c r="F50" s="223"/>
      <c r="G50" s="224"/>
      <c r="H50" s="225"/>
      <c r="I50" s="226"/>
      <c r="J50" s="227"/>
      <c r="K50" s="227"/>
      <c r="L50" s="227"/>
      <c r="M50" s="228"/>
      <c r="N50" s="227"/>
      <c r="O50" s="227"/>
      <c r="P50" s="227"/>
      <c r="Q50" s="229"/>
      <c r="R50" s="227"/>
      <c r="S50" s="227"/>
      <c r="T50" s="227"/>
      <c r="U50" s="227"/>
      <c r="V50" s="227"/>
      <c r="W50" s="229"/>
      <c r="X50" s="227"/>
      <c r="Y50" s="227"/>
      <c r="Z50" s="227"/>
      <c r="AA50" s="229"/>
      <c r="AB50" s="227"/>
      <c r="AC50" s="227"/>
      <c r="AD50" s="227"/>
      <c r="AE50" s="227"/>
      <c r="AF50" s="227"/>
      <c r="AG50" s="232"/>
      <c r="AH50" s="227"/>
      <c r="AI50" s="227"/>
      <c r="AJ50" s="227"/>
      <c r="AK50" s="227"/>
      <c r="AL50" s="227"/>
      <c r="AM50" s="227"/>
      <c r="AN50" s="227"/>
      <c r="AO50" s="227"/>
      <c r="AP50" s="227"/>
      <c r="AQ50" s="230"/>
      <c r="AR50" s="227"/>
      <c r="AS50" s="230"/>
      <c r="AT50" s="227"/>
      <c r="AU50" s="227"/>
      <c r="AV50" s="227"/>
      <c r="AW50" s="227"/>
      <c r="AX50" s="227"/>
      <c r="AY50" s="224"/>
      <c r="AZ50" s="224"/>
      <c r="BA50" s="231"/>
      <c r="BB50" s="231"/>
      <c r="BC50" s="314"/>
      <c r="BD50" s="28"/>
    </row>
    <row r="51" spans="1:67" ht="13.5" customHeight="1">
      <c r="A51" s="22"/>
      <c r="B51" s="202">
        <v>16</v>
      </c>
      <c r="C51" s="310"/>
      <c r="D51" s="65"/>
      <c r="E51" s="65"/>
      <c r="F51" s="65"/>
      <c r="G51" s="65"/>
      <c r="H51" s="65"/>
      <c r="I51" s="65"/>
      <c r="J51" s="65"/>
      <c r="K51" s="65"/>
      <c r="L51" s="65"/>
      <c r="M51" s="62"/>
      <c r="N51" s="65"/>
      <c r="O51" s="65"/>
      <c r="P51" s="63"/>
      <c r="Q51" s="64"/>
      <c r="R51" s="63"/>
      <c r="S51" s="111"/>
      <c r="T51" s="112"/>
      <c r="U51" s="111"/>
      <c r="V51" s="112"/>
      <c r="W51" s="111"/>
      <c r="X51" s="111"/>
      <c r="Y51" s="111"/>
      <c r="Z51" s="111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53"/>
      <c r="BA51" s="323"/>
      <c r="BB51" s="324"/>
      <c r="BC51" s="325"/>
      <c r="BD51" s="28"/>
    </row>
    <row r="52" spans="1:67" ht="13.5" customHeight="1">
      <c r="A52" s="22"/>
      <c r="B52" s="202">
        <v>17</v>
      </c>
      <c r="C52" s="310"/>
      <c r="D52" s="65"/>
      <c r="E52" s="65"/>
      <c r="F52" s="65"/>
      <c r="G52" s="65"/>
      <c r="H52" s="126"/>
      <c r="I52" s="65"/>
      <c r="J52" s="65"/>
      <c r="K52" s="65"/>
      <c r="L52" s="198"/>
      <c r="M52" s="65"/>
      <c r="N52" s="65"/>
      <c r="O52" s="65"/>
      <c r="P52" s="198"/>
      <c r="Q52" s="65"/>
      <c r="R52" s="65"/>
      <c r="S52" s="65"/>
      <c r="T52" s="198"/>
      <c r="U52" s="65"/>
      <c r="V52" s="65"/>
      <c r="W52" s="65"/>
      <c r="X52" s="65"/>
      <c r="Y52" s="65"/>
      <c r="Z52" s="65"/>
      <c r="AA52" s="65"/>
      <c r="AB52" s="65"/>
      <c r="AC52" s="65"/>
      <c r="AD52" s="65"/>
      <c r="AE52" s="65"/>
      <c r="AF52" s="65"/>
      <c r="AG52" s="65"/>
      <c r="AH52" s="65"/>
      <c r="AI52" s="65"/>
      <c r="AJ52" s="65"/>
      <c r="AK52" s="12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3"/>
      <c r="AZ52" s="31"/>
      <c r="BA52" s="30"/>
      <c r="BB52" s="175"/>
      <c r="BC52" s="326"/>
      <c r="BD52" s="28"/>
    </row>
    <row r="53" spans="1:67" ht="5.15" customHeight="1">
      <c r="A53" s="22"/>
      <c r="B53" s="202"/>
      <c r="C53" s="315"/>
      <c r="D53" s="73"/>
      <c r="E53" s="73"/>
      <c r="F53" s="73"/>
      <c r="G53" s="73"/>
      <c r="H53" s="316"/>
      <c r="I53" s="275"/>
      <c r="J53" s="273"/>
      <c r="K53" s="275"/>
      <c r="L53" s="273"/>
      <c r="M53" s="317"/>
      <c r="N53" s="317"/>
      <c r="O53" s="270"/>
      <c r="P53" s="317"/>
      <c r="Q53" s="270"/>
      <c r="R53" s="317"/>
      <c r="S53" s="73"/>
      <c r="T53" s="73"/>
      <c r="U53" s="73"/>
      <c r="V53" s="73"/>
      <c r="W53" s="73"/>
      <c r="X53" s="316"/>
      <c r="Y53" s="275"/>
      <c r="Z53" s="273"/>
      <c r="AA53" s="275"/>
      <c r="AB53" s="273"/>
      <c r="AC53" s="317"/>
      <c r="AD53" s="317"/>
      <c r="AE53" s="270"/>
      <c r="AF53" s="317"/>
      <c r="AG53" s="270"/>
      <c r="AH53" s="317"/>
      <c r="AI53" s="276"/>
      <c r="AJ53" s="317"/>
      <c r="AK53" s="270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318"/>
      <c r="AW53" s="73"/>
      <c r="AX53" s="73"/>
      <c r="AY53" s="269"/>
      <c r="AZ53" s="269"/>
      <c r="BA53" s="319"/>
      <c r="BB53" s="320"/>
      <c r="BC53" s="321"/>
      <c r="BD53" s="28"/>
    </row>
    <row r="54" spans="1:67" ht="13.5" customHeight="1">
      <c r="A54" s="22"/>
      <c r="B54" s="202">
        <v>18</v>
      </c>
      <c r="C54" s="75"/>
      <c r="D54" s="63"/>
      <c r="E54" s="63"/>
      <c r="F54" s="63"/>
      <c r="G54" s="63"/>
      <c r="H54" s="69"/>
      <c r="I54" s="69"/>
      <c r="J54" s="65"/>
      <c r="K54" s="69"/>
      <c r="L54" s="65"/>
      <c r="M54" s="69"/>
      <c r="N54" s="64"/>
      <c r="O54" s="69"/>
      <c r="P54" s="65"/>
      <c r="Q54" s="65"/>
      <c r="R54" s="65"/>
      <c r="S54" s="63"/>
      <c r="T54" s="63"/>
      <c r="U54" s="63"/>
      <c r="V54" s="63"/>
      <c r="W54" s="63"/>
      <c r="X54" s="64"/>
      <c r="Y54" s="63"/>
      <c r="Z54" s="65"/>
      <c r="AA54" s="64"/>
      <c r="AB54" s="63"/>
      <c r="AC54" s="65"/>
      <c r="AD54" s="64"/>
      <c r="AE54" s="65"/>
      <c r="AF54" s="65"/>
      <c r="AG54" s="64"/>
      <c r="AH54" s="65"/>
      <c r="AI54" s="65"/>
      <c r="AJ54" s="126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3"/>
      <c r="AZ54" s="264"/>
      <c r="BA54" s="301"/>
      <c r="BB54" s="302"/>
      <c r="BC54" s="343"/>
      <c r="BD54" s="28"/>
    </row>
    <row r="55" spans="1:67" ht="13.5" customHeight="1">
      <c r="A55" s="22"/>
      <c r="B55" s="202">
        <v>20</v>
      </c>
      <c r="C55" s="204" t="s">
        <v>78</v>
      </c>
      <c r="D55" s="28"/>
      <c r="E55" s="28"/>
      <c r="F55" s="28"/>
      <c r="G55" s="28"/>
      <c r="H55" s="121"/>
      <c r="I55" s="62"/>
      <c r="J55" s="63"/>
      <c r="K55" s="62"/>
      <c r="L55" s="63"/>
      <c r="M55" s="69"/>
      <c r="N55" s="69"/>
      <c r="O55" s="65"/>
      <c r="P55" s="69"/>
      <c r="Q55" s="65"/>
      <c r="R55" s="69"/>
      <c r="S55" s="28"/>
      <c r="T55" s="28"/>
      <c r="U55" s="28"/>
      <c r="V55" s="28"/>
      <c r="W55" s="28"/>
      <c r="X55" s="121"/>
      <c r="Y55" s="62"/>
      <c r="Z55" s="63"/>
      <c r="AA55" s="62"/>
      <c r="AB55" s="63"/>
      <c r="AC55" s="69"/>
      <c r="AD55" s="69"/>
      <c r="AE55" s="65"/>
      <c r="AF55" s="69"/>
      <c r="AG55" s="65"/>
      <c r="AH55" s="69"/>
      <c r="AI55" s="64"/>
      <c r="AJ55" s="69"/>
      <c r="AK55" s="65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33" t="s">
        <v>72</v>
      </c>
      <c r="AW55" s="28"/>
      <c r="AX55" s="28"/>
      <c r="AY55" s="31"/>
      <c r="AZ55" s="269"/>
      <c r="BA55" s="319"/>
      <c r="BB55" s="320"/>
      <c r="BC55" s="344"/>
      <c r="BD55" s="28"/>
    </row>
    <row r="56" spans="1:67" ht="5.15" customHeight="1">
      <c r="A56" s="22"/>
      <c r="B56" s="202"/>
      <c r="C56" s="296"/>
      <c r="D56" s="72"/>
      <c r="E56" s="72"/>
      <c r="F56" s="72"/>
      <c r="G56" s="72"/>
      <c r="H56" s="297"/>
      <c r="I56" s="278"/>
      <c r="J56" s="279"/>
      <c r="K56" s="278"/>
      <c r="L56" s="279"/>
      <c r="M56" s="298"/>
      <c r="N56" s="298"/>
      <c r="O56" s="263"/>
      <c r="P56" s="298"/>
      <c r="Q56" s="263"/>
      <c r="R56" s="298"/>
      <c r="S56" s="72"/>
      <c r="T56" s="72"/>
      <c r="U56" s="72"/>
      <c r="V56" s="72"/>
      <c r="W56" s="72"/>
      <c r="X56" s="297"/>
      <c r="Y56" s="278"/>
      <c r="Z56" s="279"/>
      <c r="AA56" s="278"/>
      <c r="AB56" s="279"/>
      <c r="AC56" s="298"/>
      <c r="AD56" s="298"/>
      <c r="AE56" s="263"/>
      <c r="AF56" s="298"/>
      <c r="AG56" s="263"/>
      <c r="AH56" s="298"/>
      <c r="AI56" s="280"/>
      <c r="AJ56" s="298"/>
      <c r="AK56" s="263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300"/>
      <c r="AW56" s="72"/>
      <c r="AX56" s="72"/>
      <c r="AY56" s="264"/>
      <c r="AZ56" s="264"/>
      <c r="BA56" s="301"/>
      <c r="BB56" s="302"/>
      <c r="BC56" s="303"/>
      <c r="BD56" s="28"/>
    </row>
    <row r="57" spans="1:67" ht="13.5" customHeight="1">
      <c r="A57" s="22"/>
      <c r="B57" s="202">
        <v>21</v>
      </c>
      <c r="C57" s="304" t="s">
        <v>32</v>
      </c>
      <c r="D57" s="234" t="s">
        <v>260</v>
      </c>
      <c r="E57" s="235"/>
      <c r="F57" s="234" t="s">
        <v>64</v>
      </c>
      <c r="G57" s="235"/>
      <c r="H57" s="235"/>
      <c r="I57" s="236"/>
      <c r="J57" s="237" t="s">
        <v>34</v>
      </c>
      <c r="K57" s="238"/>
      <c r="L57" s="238"/>
      <c r="M57" s="238"/>
      <c r="N57" s="235"/>
      <c r="O57" s="236"/>
      <c r="P57" s="239" t="s">
        <v>67</v>
      </c>
      <c r="Q57" s="240"/>
      <c r="R57" s="240"/>
      <c r="S57" s="241"/>
      <c r="T57" s="234" t="s">
        <v>79</v>
      </c>
      <c r="U57" s="235"/>
      <c r="V57" s="235"/>
      <c r="W57" s="236"/>
      <c r="X57" s="234" t="s">
        <v>80</v>
      </c>
      <c r="Y57" s="235"/>
      <c r="Z57" s="235"/>
      <c r="AA57" s="235"/>
      <c r="AB57" s="239" t="s">
        <v>65</v>
      </c>
      <c r="AC57" s="240"/>
      <c r="AD57" s="240"/>
      <c r="AE57" s="240"/>
      <c r="AF57" s="241"/>
      <c r="AG57" s="240" t="s">
        <v>68</v>
      </c>
      <c r="AH57" s="240"/>
      <c r="AI57" s="240"/>
      <c r="AJ57" s="241"/>
      <c r="AK57" s="240" t="s">
        <v>66</v>
      </c>
      <c r="AL57" s="240"/>
      <c r="AM57" s="240"/>
      <c r="AN57" s="241"/>
      <c r="AO57" s="239" t="s">
        <v>81</v>
      </c>
      <c r="AP57" s="240"/>
      <c r="AQ57" s="240"/>
      <c r="AR57" s="241"/>
      <c r="AS57" s="239" t="s">
        <v>82</v>
      </c>
      <c r="AT57" s="240"/>
      <c r="AU57" s="240"/>
      <c r="AV57" s="240"/>
      <c r="AW57" s="239" t="s">
        <v>83</v>
      </c>
      <c r="AX57" s="240"/>
      <c r="AY57" s="240"/>
      <c r="AZ57" s="241"/>
      <c r="BA57" s="239" t="s">
        <v>84</v>
      </c>
      <c r="BB57" s="240"/>
      <c r="BC57" s="240"/>
      <c r="BD57" s="241"/>
      <c r="BE57" s="240" t="s">
        <v>85</v>
      </c>
      <c r="BF57" s="240"/>
      <c r="BG57" s="241"/>
      <c r="BH57" s="240" t="s">
        <v>86</v>
      </c>
      <c r="BI57" s="240"/>
      <c r="BJ57" s="240"/>
      <c r="BK57" s="241"/>
      <c r="BL57" s="240" t="s">
        <v>69</v>
      </c>
      <c r="BM57" s="240"/>
      <c r="BN57" s="240"/>
      <c r="BO57" s="241"/>
    </row>
    <row r="58" spans="1:67" ht="13.5" customHeight="1">
      <c r="A58" s="22"/>
      <c r="B58" s="202">
        <v>22</v>
      </c>
      <c r="C58" s="308">
        <v>1</v>
      </c>
      <c r="D58" s="148" t="str">
        <f>N43</f>
        <v>R</v>
      </c>
      <c r="E58" s="149"/>
      <c r="F58" s="148" t="str">
        <f>D43</f>
        <v>1130511471</v>
      </c>
      <c r="G58" s="149"/>
      <c r="H58" s="149"/>
      <c r="I58" s="151"/>
      <c r="J58" s="242" t="str">
        <f>H43</f>
        <v>RP17-13RA-12SD(71)</v>
      </c>
      <c r="K58" s="150"/>
      <c r="L58" s="150"/>
      <c r="M58" s="150"/>
      <c r="N58" s="161"/>
      <c r="O58" s="162"/>
      <c r="P58" s="148" t="s">
        <v>93</v>
      </c>
      <c r="Q58" s="150"/>
      <c r="R58" s="150"/>
      <c r="S58" s="162"/>
      <c r="T58" s="1016">
        <f>R43</f>
        <v>5000</v>
      </c>
      <c r="U58" s="1017"/>
      <c r="V58" s="1017"/>
      <c r="W58" s="1018"/>
      <c r="X58" s="990">
        <f>AH43</f>
        <v>94.52</v>
      </c>
      <c r="Y58" s="991"/>
      <c r="Z58" s="991"/>
      <c r="AA58" s="992"/>
      <c r="AB58" s="990">
        <f>V43</f>
        <v>122.5</v>
      </c>
      <c r="AC58" s="991"/>
      <c r="AD58" s="991"/>
      <c r="AE58" s="991"/>
      <c r="AF58" s="992"/>
      <c r="AG58" s="990">
        <f>Z43</f>
        <v>125</v>
      </c>
      <c r="AH58" s="991"/>
      <c r="AI58" s="991"/>
      <c r="AJ58" s="992"/>
      <c r="AK58" s="990">
        <f>AD43</f>
        <v>124</v>
      </c>
      <c r="AL58" s="991"/>
      <c r="AM58" s="991"/>
      <c r="AN58" s="992"/>
      <c r="AO58" s="996">
        <f>1-X58/AK58</f>
        <v>0.23774193548387101</v>
      </c>
      <c r="AP58" s="997"/>
      <c r="AQ58" s="997"/>
      <c r="AR58" s="998"/>
      <c r="AS58" s="1008">
        <f>(AK58-AG58)/AG58</f>
        <v>-8.0000000000000002E-3</v>
      </c>
      <c r="AT58" s="1009"/>
      <c r="AU58" s="1009"/>
      <c r="AV58" s="1010"/>
      <c r="AW58" s="148"/>
      <c r="AX58" s="150"/>
      <c r="AY58" s="150"/>
      <c r="AZ58" s="162"/>
      <c r="BA58" s="1011">
        <f>1-(AD43/AM43)</f>
        <v>8.0000000000000071E-3</v>
      </c>
      <c r="BB58" s="1012"/>
      <c r="BC58" s="1012"/>
      <c r="BD58" s="1013"/>
      <c r="BE58" s="1002">
        <f>AQ43</f>
        <v>10.3</v>
      </c>
      <c r="BF58" s="1003"/>
      <c r="BG58" s="1004"/>
      <c r="BH58" s="149" t="str">
        <f>AT43</f>
        <v>SMK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23</v>
      </c>
      <c r="C59" s="308">
        <v>2</v>
      </c>
      <c r="D59" s="148" t="str">
        <f>N44</f>
        <v>R</v>
      </c>
      <c r="E59" s="149"/>
      <c r="F59" s="148" t="str">
        <f>D44</f>
        <v>1135042200</v>
      </c>
      <c r="G59" s="149"/>
      <c r="H59" s="149"/>
      <c r="I59" s="151"/>
      <c r="J59" s="242" t="str">
        <f>H44</f>
        <v>RP34-8R-3PDL</v>
      </c>
      <c r="K59" s="150"/>
      <c r="L59" s="150"/>
      <c r="M59" s="150"/>
      <c r="N59" s="161"/>
      <c r="O59" s="162"/>
      <c r="P59" s="148" t="s">
        <v>93</v>
      </c>
      <c r="Q59" s="150"/>
      <c r="R59" s="150"/>
      <c r="S59" s="162"/>
      <c r="T59" s="1016">
        <f>R44</f>
        <v>5000</v>
      </c>
      <c r="U59" s="1017"/>
      <c r="V59" s="1017"/>
      <c r="W59" s="1018"/>
      <c r="X59" s="990">
        <f>AH44</f>
        <v>36.89</v>
      </c>
      <c r="Y59" s="991"/>
      <c r="Z59" s="991"/>
      <c r="AA59" s="992"/>
      <c r="AB59" s="990">
        <f>V44</f>
        <v>39</v>
      </c>
      <c r="AC59" s="991"/>
      <c r="AD59" s="991"/>
      <c r="AE59" s="991"/>
      <c r="AF59" s="992"/>
      <c r="AG59" s="990">
        <f>Z44</f>
        <v>40</v>
      </c>
      <c r="AH59" s="991"/>
      <c r="AI59" s="991"/>
      <c r="AJ59" s="992"/>
      <c r="AK59" s="990">
        <f>AD44</f>
        <v>40</v>
      </c>
      <c r="AL59" s="991"/>
      <c r="AM59" s="991"/>
      <c r="AN59" s="992"/>
      <c r="AO59" s="996">
        <f>1-X59/AK59</f>
        <v>7.7749999999999986E-2</v>
      </c>
      <c r="AP59" s="997"/>
      <c r="AQ59" s="997"/>
      <c r="AR59" s="998"/>
      <c r="AS59" s="1008">
        <f>(AK59-AG59)/AG59</f>
        <v>0</v>
      </c>
      <c r="AT59" s="1009"/>
      <c r="AU59" s="1009"/>
      <c r="AV59" s="1010"/>
      <c r="AW59" s="148"/>
      <c r="AX59" s="150"/>
      <c r="AY59" s="150"/>
      <c r="AZ59" s="162"/>
      <c r="BA59" s="1011">
        <f>1-(AD44/AM44)</f>
        <v>2.4390243902439046E-2</v>
      </c>
      <c r="BB59" s="1012"/>
      <c r="BC59" s="1012"/>
      <c r="BD59" s="1013"/>
      <c r="BE59" s="1002">
        <f>AQ44</f>
        <v>12.3</v>
      </c>
      <c r="BF59" s="1003"/>
      <c r="BG59" s="1004"/>
      <c r="BH59" s="149" t="str">
        <f>AT44</f>
        <v>中国</v>
      </c>
      <c r="BI59" s="150"/>
      <c r="BJ59" s="150"/>
      <c r="BK59" s="152"/>
      <c r="BL59" s="149" t="s">
        <v>30</v>
      </c>
      <c r="BM59" s="150"/>
      <c r="BN59" s="150"/>
      <c r="BO59" s="152"/>
    </row>
    <row r="60" spans="1:67" ht="13.5" customHeight="1">
      <c r="A60" s="22"/>
      <c r="B60" s="202">
        <v>20</v>
      </c>
      <c r="C60" s="337" t="s">
        <v>281</v>
      </c>
      <c r="D60" s="28"/>
      <c r="E60" s="28"/>
      <c r="F60" s="28"/>
      <c r="G60" s="28"/>
      <c r="H60" s="121"/>
      <c r="I60" s="62"/>
      <c r="J60" s="63"/>
      <c r="K60" s="62"/>
      <c r="L60" s="63"/>
      <c r="M60" s="69"/>
      <c r="N60" s="69"/>
      <c r="O60" s="65"/>
      <c r="P60" s="69"/>
      <c r="Q60" s="65"/>
      <c r="R60" s="69"/>
      <c r="S60" s="28"/>
      <c r="T60" s="28"/>
      <c r="U60" s="28"/>
      <c r="V60" s="28"/>
      <c r="W60" s="28"/>
      <c r="X60" s="121"/>
      <c r="Y60" s="62"/>
      <c r="Z60" s="63"/>
      <c r="AA60" s="62"/>
      <c r="AB60" s="63"/>
      <c r="AC60" s="69"/>
      <c r="AD60" s="69"/>
      <c r="AE60" s="65"/>
      <c r="AF60" s="69"/>
      <c r="AG60" s="65"/>
      <c r="AH60" s="69"/>
      <c r="AI60" s="64"/>
      <c r="AJ60" s="69"/>
      <c r="AK60" s="65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33"/>
      <c r="AW60" s="28"/>
      <c r="AX60" s="28"/>
      <c r="AY60" s="31"/>
      <c r="AZ60" s="95"/>
      <c r="BA60" s="92"/>
      <c r="BB60" s="329"/>
      <c r="BC60" s="338"/>
      <c r="BD60" s="37"/>
      <c r="BE60" s="37"/>
    </row>
    <row r="61" spans="1:67" ht="13.5" customHeight="1">
      <c r="A61" s="22"/>
      <c r="B61" s="202">
        <v>24</v>
      </c>
      <c r="C61" s="304"/>
      <c r="D61" s="502" t="s">
        <v>280</v>
      </c>
      <c r="E61" s="503"/>
      <c r="F61" s="504" t="s">
        <v>30</v>
      </c>
      <c r="G61" s="503"/>
      <c r="H61" s="503"/>
      <c r="I61" s="505"/>
      <c r="J61" s="504" t="s">
        <v>30</v>
      </c>
      <c r="K61" s="506"/>
      <c r="L61" s="506"/>
      <c r="M61" s="506"/>
      <c r="N61" s="503"/>
      <c r="O61" s="505"/>
      <c r="P61" s="507"/>
      <c r="Q61" s="508"/>
      <c r="R61" s="508"/>
      <c r="S61" s="509"/>
      <c r="T61" s="502"/>
      <c r="U61" s="503"/>
      <c r="V61" s="503"/>
      <c r="W61" s="505"/>
      <c r="X61" s="508"/>
      <c r="Y61" s="503"/>
      <c r="Z61" s="503"/>
      <c r="AA61" s="503"/>
      <c r="AB61" s="507" t="s">
        <v>98</v>
      </c>
      <c r="AC61" s="508"/>
      <c r="AD61" s="508"/>
      <c r="AE61" s="508"/>
      <c r="AF61" s="509"/>
      <c r="AG61" s="508" t="s">
        <v>259</v>
      </c>
      <c r="AH61" s="503"/>
      <c r="AI61" s="503"/>
      <c r="AJ61" s="503"/>
      <c r="AK61" s="510" t="s">
        <v>99</v>
      </c>
      <c r="AL61" s="508"/>
      <c r="AM61" s="508"/>
      <c r="AN61" s="509"/>
      <c r="AO61" s="507" t="s">
        <v>81</v>
      </c>
      <c r="AP61" s="508"/>
      <c r="AQ61" s="508"/>
      <c r="AR61" s="509"/>
      <c r="AS61" s="507" t="s">
        <v>82</v>
      </c>
      <c r="AT61" s="508"/>
      <c r="AU61" s="508"/>
      <c r="AV61" s="508"/>
      <c r="AW61" s="507" t="s">
        <v>100</v>
      </c>
      <c r="AX61" s="508"/>
      <c r="AY61" s="508"/>
      <c r="AZ61" s="509"/>
      <c r="BA61" s="507" t="s">
        <v>101</v>
      </c>
      <c r="BB61" s="508"/>
      <c r="BC61" s="508"/>
      <c r="BD61" s="509"/>
      <c r="BE61" s="511" t="s">
        <v>30</v>
      </c>
      <c r="BF61" s="508"/>
      <c r="BG61" s="508"/>
      <c r="BH61" s="509"/>
      <c r="BI61" s="508"/>
      <c r="BJ61" s="508"/>
      <c r="BK61" s="509"/>
      <c r="BL61" s="508"/>
      <c r="BM61" s="508"/>
      <c r="BN61" s="508"/>
      <c r="BO61" s="509"/>
    </row>
    <row r="62" spans="1:67" ht="13.5" customHeight="1">
      <c r="A62" s="22"/>
      <c r="B62" s="202">
        <v>25</v>
      </c>
      <c r="C62" s="308">
        <v>1</v>
      </c>
      <c r="D62" s="148" t="s">
        <v>92</v>
      </c>
      <c r="E62" s="149"/>
      <c r="F62" s="148" t="s">
        <v>30</v>
      </c>
      <c r="G62" s="149"/>
      <c r="H62" s="149"/>
      <c r="I62" s="151"/>
      <c r="J62" s="221" t="s">
        <v>30</v>
      </c>
      <c r="K62" s="222"/>
      <c r="L62" s="222"/>
      <c r="M62" s="222"/>
      <c r="N62" s="161"/>
      <c r="O62" s="162"/>
      <c r="P62" s="148"/>
      <c r="Q62" s="150"/>
      <c r="R62" s="150"/>
      <c r="S62" s="162"/>
      <c r="T62" s="119"/>
      <c r="U62" s="120"/>
      <c r="V62" s="120"/>
      <c r="W62" s="162"/>
      <c r="X62" s="1005"/>
      <c r="Y62" s="1006"/>
      <c r="Z62" s="1006"/>
      <c r="AA62" s="1007"/>
      <c r="AB62" s="1022">
        <f>SUMPRODUCT($T$58:$W$59,$AK$58:$AN$59)</f>
        <v>820000</v>
      </c>
      <c r="AC62" s="1023"/>
      <c r="AD62" s="1023"/>
      <c r="AE62" s="1023"/>
      <c r="AF62" s="1024"/>
      <c r="AG62" s="990">
        <f>SUM($X$58:$AA$59)</f>
        <v>131.41</v>
      </c>
      <c r="AH62" s="991"/>
      <c r="AI62" s="991"/>
      <c r="AJ62" s="992"/>
      <c r="AK62" s="993">
        <f>AB62-SUMPRODUCT($T$58:$W$59,$X$58:$AA$59)</f>
        <v>162950</v>
      </c>
      <c r="AL62" s="994"/>
      <c r="AM62" s="994"/>
      <c r="AN62" s="995"/>
      <c r="AO62" s="996">
        <f>$AK62/$AB62</f>
        <v>0.19871951219512196</v>
      </c>
      <c r="AP62" s="997"/>
      <c r="AQ62" s="997"/>
      <c r="AR62" s="998"/>
      <c r="AS62" s="996">
        <f>AW62/($AB62-AW62)</f>
        <v>-6.0606060606060606E-3</v>
      </c>
      <c r="AT62" s="997"/>
      <c r="AU62" s="997"/>
      <c r="AV62" s="998"/>
      <c r="AW62" s="999">
        <f>$T$58*($AK$58-$AG$58)+$T$59*($AK$59-$AG$59)</f>
        <v>-5000</v>
      </c>
      <c r="AX62" s="1000"/>
      <c r="AY62" s="1000"/>
      <c r="AZ62" s="1001"/>
      <c r="BA62" s="987">
        <f>SUMPRODUCT($T$58:$W$59,$AG$58:$AJ$59)</f>
        <v>825000</v>
      </c>
      <c r="BB62" s="988"/>
      <c r="BC62" s="988"/>
      <c r="BD62" s="989"/>
      <c r="BE62" s="148" t="s">
        <v>30</v>
      </c>
      <c r="BF62" s="150"/>
      <c r="BG62" s="150"/>
      <c r="BH62" s="152"/>
      <c r="BI62" s="149" t="s">
        <v>30</v>
      </c>
      <c r="BJ62" s="150"/>
      <c r="BK62" s="152"/>
      <c r="BL62" s="149" t="s">
        <v>30</v>
      </c>
      <c r="BM62" s="150"/>
      <c r="BN62" s="150"/>
      <c r="BO62" s="152"/>
    </row>
    <row r="63" spans="1:67" ht="13.5" customHeight="1">
      <c r="A63" s="22"/>
      <c r="B63" s="202">
        <v>20</v>
      </c>
      <c r="C63" s="337" t="s">
        <v>279</v>
      </c>
      <c r="D63" s="28"/>
      <c r="E63" s="28"/>
      <c r="F63" s="28"/>
      <c r="G63" s="28"/>
      <c r="H63" s="121"/>
      <c r="I63" s="62"/>
      <c r="J63" s="63"/>
      <c r="K63" s="62"/>
      <c r="L63" s="63"/>
      <c r="M63" s="69"/>
      <c r="N63" s="69"/>
      <c r="O63" s="65"/>
      <c r="P63" s="69"/>
      <c r="Q63" s="65"/>
      <c r="R63" s="69"/>
      <c r="S63" s="28"/>
      <c r="T63" s="28"/>
      <c r="U63" s="28"/>
      <c r="V63" s="28"/>
      <c r="W63" s="28"/>
      <c r="X63" s="121"/>
      <c r="Y63" s="62"/>
      <c r="Z63" s="63"/>
      <c r="AA63" s="62"/>
      <c r="AB63" s="63"/>
      <c r="AC63" s="69"/>
      <c r="AD63" s="69"/>
      <c r="AE63" s="65"/>
      <c r="AF63" s="69"/>
      <c r="AG63" s="65"/>
      <c r="AH63" s="69"/>
      <c r="AI63" s="64"/>
      <c r="AJ63" s="69"/>
      <c r="AK63" s="65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33"/>
      <c r="AW63" s="28"/>
      <c r="AX63" s="28"/>
      <c r="AY63" s="31"/>
      <c r="AZ63" s="95"/>
      <c r="BA63" s="92"/>
      <c r="BB63" s="329"/>
      <c r="BC63" s="338"/>
      <c r="BD63" s="37"/>
      <c r="BE63" s="37"/>
    </row>
    <row r="64" spans="1:67" ht="13.5" customHeight="1">
      <c r="A64" s="22"/>
      <c r="B64" s="202">
        <v>24</v>
      </c>
      <c r="C64" s="304"/>
      <c r="D64" s="243"/>
      <c r="E64" s="244"/>
      <c r="F64" s="246" t="s">
        <v>30</v>
      </c>
      <c r="G64" s="244"/>
      <c r="H64" s="244"/>
      <c r="I64" s="245"/>
      <c r="J64" s="246" t="s">
        <v>30</v>
      </c>
      <c r="K64" s="247"/>
      <c r="L64" s="247"/>
      <c r="M64" s="247"/>
      <c r="N64" s="244"/>
      <c r="O64" s="245"/>
      <c r="P64" s="248"/>
      <c r="Q64" s="249"/>
      <c r="R64" s="249"/>
      <c r="S64" s="250"/>
      <c r="T64" s="243"/>
      <c r="U64" s="244"/>
      <c r="V64" s="244"/>
      <c r="W64" s="245"/>
      <c r="X64" s="249"/>
      <c r="Y64" s="244"/>
      <c r="Z64" s="244"/>
      <c r="AA64" s="244"/>
      <c r="AB64" s="248" t="s">
        <v>98</v>
      </c>
      <c r="AC64" s="249"/>
      <c r="AD64" s="249"/>
      <c r="AE64" s="249"/>
      <c r="AF64" s="250"/>
      <c r="AG64" s="249" t="s">
        <v>259</v>
      </c>
      <c r="AH64" s="244"/>
      <c r="AI64" s="244"/>
      <c r="AJ64" s="244"/>
      <c r="AK64" s="330" t="s">
        <v>99</v>
      </c>
      <c r="AL64" s="249"/>
      <c r="AM64" s="249"/>
      <c r="AN64" s="250"/>
      <c r="AO64" s="248" t="s">
        <v>81</v>
      </c>
      <c r="AP64" s="249"/>
      <c r="AQ64" s="249"/>
      <c r="AR64" s="250"/>
      <c r="AS64" s="248" t="s">
        <v>82</v>
      </c>
      <c r="AT64" s="249"/>
      <c r="AU64" s="249"/>
      <c r="AV64" s="249"/>
      <c r="AW64" s="248" t="s">
        <v>100</v>
      </c>
      <c r="AX64" s="249"/>
      <c r="AY64" s="249"/>
      <c r="AZ64" s="250"/>
      <c r="BA64" s="248" t="s">
        <v>101</v>
      </c>
      <c r="BB64" s="249"/>
      <c r="BC64" s="249"/>
      <c r="BD64" s="250"/>
      <c r="BE64" s="253" t="s">
        <v>30</v>
      </c>
      <c r="BF64" s="249"/>
      <c r="BG64" s="249"/>
      <c r="BH64" s="250"/>
      <c r="BI64" s="249"/>
      <c r="BJ64" s="249"/>
      <c r="BK64" s="250"/>
      <c r="BL64" s="249"/>
      <c r="BM64" s="249"/>
      <c r="BN64" s="249"/>
      <c r="BO64" s="250"/>
    </row>
    <row r="65" spans="1:67" ht="13.5" customHeight="1">
      <c r="A65" s="22"/>
      <c r="B65" s="202">
        <v>25</v>
      </c>
      <c r="C65" s="308"/>
      <c r="D65" s="148"/>
      <c r="E65" s="149"/>
      <c r="F65" s="148"/>
      <c r="G65" s="149"/>
      <c r="H65" s="149"/>
      <c r="I65" s="151"/>
      <c r="J65" s="221"/>
      <c r="K65" s="222"/>
      <c r="L65" s="222"/>
      <c r="M65" s="222"/>
      <c r="N65" s="161"/>
      <c r="O65" s="162"/>
      <c r="P65" s="148"/>
      <c r="Q65" s="150"/>
      <c r="R65" s="150"/>
      <c r="S65" s="162"/>
      <c r="T65" s="119"/>
      <c r="U65" s="120"/>
      <c r="V65" s="120"/>
      <c r="W65" s="162"/>
      <c r="X65" s="1005"/>
      <c r="Y65" s="1006"/>
      <c r="Z65" s="1006"/>
      <c r="AA65" s="1007"/>
      <c r="AB65" s="1022">
        <f>SUMPRODUCT($T$58:$W$59,$AK$58:$AN$59)</f>
        <v>820000</v>
      </c>
      <c r="AC65" s="1023"/>
      <c r="AD65" s="1023"/>
      <c r="AE65" s="1023"/>
      <c r="AF65" s="1024"/>
      <c r="AG65" s="990">
        <f>SUM($X$58:$AA$59)</f>
        <v>131.41</v>
      </c>
      <c r="AH65" s="991"/>
      <c r="AI65" s="991"/>
      <c r="AJ65" s="992"/>
      <c r="AK65" s="993">
        <f>AB65-SUMPRODUCT($T$58:$W$59,$X$58:$AA$59)</f>
        <v>162950</v>
      </c>
      <c r="AL65" s="994"/>
      <c r="AM65" s="994"/>
      <c r="AN65" s="995"/>
      <c r="AO65" s="996">
        <f>$AK65/$AB65</f>
        <v>0.19871951219512196</v>
      </c>
      <c r="AP65" s="997"/>
      <c r="AQ65" s="997"/>
      <c r="AR65" s="998"/>
      <c r="AS65" s="996">
        <f>AW65/($AB65-AW65)</f>
        <v>-6.0606060606060606E-3</v>
      </c>
      <c r="AT65" s="997"/>
      <c r="AU65" s="997"/>
      <c r="AV65" s="998"/>
      <c r="AW65" s="999">
        <f>$T$58*($AK$58-$AG$58)+$T$59*($AK$59-$AG$59)</f>
        <v>-5000</v>
      </c>
      <c r="AX65" s="1000"/>
      <c r="AY65" s="1000"/>
      <c r="AZ65" s="1001"/>
      <c r="BA65" s="987">
        <f>SUMPRODUCT($T$58:$W$59,$AG$58:$AJ$59)</f>
        <v>825000</v>
      </c>
      <c r="BB65" s="988"/>
      <c r="BC65" s="988"/>
      <c r="BD65" s="989"/>
      <c r="BE65" s="148" t="s">
        <v>30</v>
      </c>
      <c r="BF65" s="150"/>
      <c r="BG65" s="150"/>
      <c r="BH65" s="152"/>
      <c r="BI65" s="149" t="s">
        <v>30</v>
      </c>
      <c r="BJ65" s="150"/>
      <c r="BK65" s="152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512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7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7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19"/>
      <c r="K68" s="1020"/>
      <c r="L68" s="1020"/>
      <c r="M68" s="1020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512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7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7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21"/>
      <c r="K70" s="1021"/>
      <c r="L70" s="1021"/>
      <c r="M70" s="1021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7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7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7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7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7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7" ht="14.15" customHeight="1">
      <c r="A77" s="22"/>
      <c r="B77" s="202">
        <v>35</v>
      </c>
      <c r="C77" s="331"/>
      <c r="D77" s="332"/>
      <c r="E77" s="65"/>
      <c r="F77" s="65"/>
      <c r="G77" s="65"/>
      <c r="H77" s="65"/>
      <c r="I77" s="65"/>
      <c r="J77" s="986"/>
      <c r="K77" s="986"/>
      <c r="L77" s="986"/>
      <c r="M77" s="986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 t="s">
        <v>297</v>
      </c>
      <c r="BC77" s="34"/>
      <c r="BD77" s="28"/>
      <c r="BG77" s="24"/>
      <c r="BH77" s="28"/>
    </row>
    <row r="78" spans="1:67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86"/>
      <c r="K78" s="986"/>
      <c r="L78" s="986"/>
      <c r="M78" s="986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78"/>
      <c r="BC78" s="34"/>
      <c r="BD78" s="28"/>
      <c r="BG78" s="24"/>
      <c r="BH78" s="28"/>
    </row>
    <row r="79" spans="1:67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78"/>
      <c r="BC79" s="34"/>
      <c r="BD79" s="28"/>
      <c r="BG79" s="24"/>
      <c r="BH79" s="28"/>
    </row>
    <row r="80" spans="1:67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25"/>
      <c r="K80" s="1025"/>
      <c r="L80" s="1025"/>
      <c r="M80" s="102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78"/>
      <c r="BC80" s="34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86"/>
      <c r="K86" s="986"/>
      <c r="L86" s="986"/>
      <c r="M86" s="986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78"/>
      <c r="BC86" s="34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78"/>
      <c r="BC91" s="34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78"/>
      <c r="BC92" s="34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86"/>
      <c r="K94" s="986"/>
      <c r="L94" s="986"/>
      <c r="M94" s="986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0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0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0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0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0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86"/>
      <c r="K103" s="986"/>
      <c r="L103" s="986"/>
      <c r="M103" s="986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335"/>
      <c r="BC103" s="336"/>
      <c r="BD103" s="28"/>
      <c r="BG103" s="24"/>
      <c r="BH103" s="28"/>
    </row>
    <row r="104" spans="1:60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86"/>
      <c r="K104" s="986"/>
      <c r="L104" s="986"/>
      <c r="M104" s="986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335"/>
      <c r="BC104" s="336"/>
      <c r="BD104" s="28"/>
      <c r="BG104" s="24"/>
      <c r="BH104" s="28"/>
    </row>
    <row r="105" spans="1:60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335"/>
      <c r="BC105" s="336"/>
    </row>
    <row r="106" spans="1:60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355"/>
      <c r="BC106" s="356"/>
    </row>
  </sheetData>
  <mergeCells count="84">
    <mergeCell ref="X62:AA62"/>
    <mergeCell ref="AB62:AF62"/>
    <mergeCell ref="AO59:AR59"/>
    <mergeCell ref="AB58:AF58"/>
    <mergeCell ref="AB59:AF59"/>
    <mergeCell ref="T58:W58"/>
    <mergeCell ref="T59:W59"/>
    <mergeCell ref="AG59:AJ59"/>
    <mergeCell ref="AK58:AN58"/>
    <mergeCell ref="AK59:AN59"/>
    <mergeCell ref="J103:M103"/>
    <mergeCell ref="J104:M104"/>
    <mergeCell ref="BA65:BD65"/>
    <mergeCell ref="J68:M68"/>
    <mergeCell ref="J70:M70"/>
    <mergeCell ref="AB65:AF65"/>
    <mergeCell ref="J94:M94"/>
    <mergeCell ref="J86:M86"/>
    <mergeCell ref="J77:M77"/>
    <mergeCell ref="J80:M80"/>
    <mergeCell ref="J78:M78"/>
    <mergeCell ref="A5:BA5"/>
    <mergeCell ref="BB5:BC5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R43:U43"/>
    <mergeCell ref="R44:U44"/>
    <mergeCell ref="V43:Y43"/>
    <mergeCell ref="V44:Y44"/>
    <mergeCell ref="Z43:AC43"/>
    <mergeCell ref="Z44:AC44"/>
    <mergeCell ref="AQ43:AS43"/>
    <mergeCell ref="AQ44:AS44"/>
    <mergeCell ref="AH43:AL43"/>
    <mergeCell ref="AH44:AL44"/>
    <mergeCell ref="AD43:AG43"/>
    <mergeCell ref="AD44:AG44"/>
    <mergeCell ref="AM43:AP43"/>
    <mergeCell ref="AM44:AP44"/>
    <mergeCell ref="BE58:BG58"/>
    <mergeCell ref="BE59:BG59"/>
    <mergeCell ref="X58:AA58"/>
    <mergeCell ref="X59:AA59"/>
    <mergeCell ref="X65:AA65"/>
    <mergeCell ref="AG65:AJ65"/>
    <mergeCell ref="AK65:AN65"/>
    <mergeCell ref="AS65:AV65"/>
    <mergeCell ref="AO65:AR65"/>
    <mergeCell ref="AW65:AZ65"/>
    <mergeCell ref="AS58:AV58"/>
    <mergeCell ref="AS59:AV59"/>
    <mergeCell ref="AG58:AJ58"/>
    <mergeCell ref="BA58:BD58"/>
    <mergeCell ref="BA59:BD59"/>
    <mergeCell ref="AO58:AR58"/>
    <mergeCell ref="BA62:BD62"/>
    <mergeCell ref="AG62:AJ62"/>
    <mergeCell ref="AK62:AN62"/>
    <mergeCell ref="AO62:AR62"/>
    <mergeCell ref="AS62:AV62"/>
    <mergeCell ref="AW62:AZ62"/>
  </mergeCells>
  <phoneticPr fontId="57"/>
  <conditionalFormatting sqref="AO58:AR59">
    <cfRule type="cellIs" dxfId="38" priority="12" operator="lessThan">
      <formula>30</formula>
    </cfRule>
    <cfRule type="expression" dxfId="37" priority="13">
      <formula>$AK$65&lt;30</formula>
    </cfRule>
  </conditionalFormatting>
  <conditionalFormatting sqref="AO62:AR62">
    <cfRule type="cellIs" dxfId="36" priority="4" operator="lessThan">
      <formula>30</formula>
    </cfRule>
  </conditionalFormatting>
  <conditionalFormatting sqref="AO65:AR65">
    <cfRule type="cellIs" dxfId="35" priority="10" operator="lessThan">
      <formula>30</formula>
    </cfRule>
  </conditionalFormatting>
  <conditionalFormatting sqref="AO62:AV62">
    <cfRule type="cellIs" dxfId="34" priority="5" operator="lessThan">
      <formula>0</formula>
    </cfRule>
    <cfRule type="expression" dxfId="33" priority="6">
      <formula>$AK$65&lt;30</formula>
    </cfRule>
  </conditionalFormatting>
  <conditionalFormatting sqref="AO65:AV65">
    <cfRule type="cellIs" dxfId="32" priority="11" operator="lessThan">
      <formula>0</formula>
    </cfRule>
    <cfRule type="expression" dxfId="31" priority="24">
      <formula>$AK$65&lt;30</formula>
    </cfRule>
  </conditionalFormatting>
  <conditionalFormatting sqref="AS58:AV59">
    <cfRule type="cellIs" dxfId="30" priority="20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48D3B5-A6BF-4DE0-AEB8-F26B7CC024AC}">
  <dimension ref="A1:BQ10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46177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円(技術原計)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r1.3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6" t="s">
        <v>24</v>
      </c>
      <c r="BC5" s="78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62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62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62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62" ht="13.5" customHeight="1">
      <c r="A36" s="22"/>
      <c r="B36" s="202">
        <v>4</v>
      </c>
      <c r="C36" s="43"/>
      <c r="D36" s="31"/>
      <c r="E36" s="31"/>
      <c r="F36" s="31"/>
      <c r="G36" s="31"/>
      <c r="H36" s="62"/>
      <c r="I36" s="63"/>
      <c r="J36" s="63"/>
      <c r="K36" s="63"/>
      <c r="L36" s="64"/>
      <c r="M36" s="63"/>
      <c r="N36" s="65"/>
      <c r="O36" s="65"/>
      <c r="P36" s="65"/>
      <c r="Q36" s="65"/>
      <c r="R36" s="65"/>
      <c r="S36" s="75"/>
      <c r="T36" s="63"/>
      <c r="U36" s="63"/>
      <c r="V36" s="63"/>
      <c r="W36" s="63"/>
      <c r="X36" s="62"/>
      <c r="Y36" s="63"/>
      <c r="Z36" s="63"/>
      <c r="AA36" s="63"/>
      <c r="AB36" s="64"/>
      <c r="AC36" s="63"/>
      <c r="AD36" s="65"/>
      <c r="AE36" s="65"/>
      <c r="AF36" s="65"/>
      <c r="AG36" s="65"/>
      <c r="AH36" s="65"/>
      <c r="AI36" s="75"/>
      <c r="AJ36" s="63"/>
      <c r="AK36" s="63"/>
      <c r="AL36" s="63"/>
      <c r="AM36" s="63"/>
      <c r="AN36" s="125"/>
      <c r="AO36" s="62"/>
      <c r="AP36" s="62"/>
      <c r="AQ36" s="63"/>
      <c r="AR36" s="63"/>
      <c r="AS36" s="63"/>
      <c r="AT36" s="64"/>
      <c r="AU36" s="63"/>
      <c r="AV36" s="65"/>
      <c r="AW36" s="65"/>
      <c r="AX36" s="65"/>
      <c r="AY36" s="31"/>
      <c r="AZ36" s="33"/>
      <c r="BA36" s="46"/>
      <c r="BB36" s="78"/>
      <c r="BC36" s="34"/>
      <c r="BD36" s="35"/>
      <c r="BE36" s="35"/>
      <c r="BF36" s="35"/>
      <c r="BG36" s="35"/>
    </row>
    <row r="37" spans="1:62" ht="13.5" customHeight="1">
      <c r="A37" s="22"/>
      <c r="B37" s="202">
        <v>5</v>
      </c>
      <c r="C37" s="204" t="s">
        <v>63</v>
      </c>
      <c r="D37" s="28"/>
      <c r="E37" s="28"/>
      <c r="F37" s="28"/>
      <c r="G37" s="28"/>
      <c r="H37" s="121"/>
      <c r="I37" s="62"/>
      <c r="J37" s="63"/>
      <c r="K37" s="62"/>
      <c r="L37" s="63"/>
      <c r="M37" s="69"/>
      <c r="N37" s="69"/>
      <c r="O37" s="65"/>
      <c r="P37" s="69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 t="s">
        <v>72</v>
      </c>
      <c r="AW37" s="28"/>
      <c r="AX37" s="28"/>
      <c r="AY37" s="31"/>
      <c r="AZ37" s="33"/>
      <c r="BA37" s="46"/>
      <c r="BB37" s="159"/>
      <c r="BC37" s="115"/>
      <c r="BD37" s="28"/>
    </row>
    <row r="38" spans="1:62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9"/>
      <c r="K38" s="278"/>
      <c r="L38" s="279"/>
      <c r="M38" s="298"/>
      <c r="N38" s="298"/>
      <c r="O38" s="263"/>
      <c r="P38" s="298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4"/>
      <c r="AZ38" s="264"/>
      <c r="BA38" s="301"/>
      <c r="BB38" s="302"/>
      <c r="BC38" s="303"/>
      <c r="BD38" s="28"/>
    </row>
    <row r="39" spans="1:62" ht="13.5" customHeight="1">
      <c r="A39" s="22"/>
      <c r="B39" s="45"/>
      <c r="C39" s="266"/>
      <c r="D39" s="28" t="s">
        <v>288</v>
      </c>
      <c r="E39" s="28"/>
      <c r="F39" s="28"/>
      <c r="G39" s="28"/>
      <c r="H39" s="86" t="s">
        <v>128</v>
      </c>
      <c r="I39" s="86"/>
      <c r="J39" s="86"/>
      <c r="K39" s="86"/>
      <c r="L39" s="86"/>
      <c r="M39" s="322"/>
      <c r="N39" s="87"/>
      <c r="O39" s="88"/>
      <c r="P39" s="88"/>
      <c r="Q39" s="89"/>
      <c r="R39" s="87"/>
      <c r="S39" s="87"/>
      <c r="T39" s="87"/>
      <c r="U39" s="88"/>
      <c r="V39" s="89"/>
      <c r="W39" s="87"/>
      <c r="X39" s="65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65"/>
      <c r="AY39" s="31"/>
      <c r="AZ39" s="52"/>
      <c r="BA39" s="93"/>
      <c r="BB39" s="327"/>
      <c r="BC39" s="328"/>
      <c r="BD39" s="28"/>
      <c r="BE39" s="35"/>
      <c r="BF39" s="35"/>
      <c r="BG39" s="35"/>
    </row>
    <row r="40" spans="1:62" ht="13.5" customHeight="1">
      <c r="A40" s="22"/>
      <c r="B40" s="202">
        <v>6</v>
      </c>
      <c r="C40" s="304" t="s">
        <v>32</v>
      </c>
      <c r="D40" s="205" t="s">
        <v>64</v>
      </c>
      <c r="E40" s="206"/>
      <c r="F40" s="206"/>
      <c r="G40" s="207"/>
      <c r="H40" s="208" t="s">
        <v>73</v>
      </c>
      <c r="I40" s="209"/>
      <c r="J40" s="209"/>
      <c r="K40" s="209"/>
      <c r="L40" s="206"/>
      <c r="M40" s="207"/>
      <c r="N40" s="205" t="s">
        <v>74</v>
      </c>
      <c r="O40" s="206"/>
      <c r="P40" s="206"/>
      <c r="Q40" s="207"/>
      <c r="R40" s="205" t="s">
        <v>75</v>
      </c>
      <c r="S40" s="206"/>
      <c r="T40" s="206"/>
      <c r="U40" s="206"/>
      <c r="V40" s="210" t="s">
        <v>87</v>
      </c>
      <c r="W40" s="211"/>
      <c r="X40" s="211"/>
      <c r="Y40" s="212"/>
      <c r="Z40" s="211" t="s">
        <v>89</v>
      </c>
      <c r="AA40" s="211"/>
      <c r="AB40" s="211"/>
      <c r="AC40" s="212"/>
      <c r="AD40" s="211" t="s">
        <v>76</v>
      </c>
      <c r="AE40" s="211"/>
      <c r="AF40" s="211"/>
      <c r="AG40" s="212"/>
      <c r="AH40" s="210" t="s">
        <v>278</v>
      </c>
      <c r="AI40" s="211"/>
      <c r="AJ40" s="211"/>
      <c r="AK40" s="211"/>
      <c r="AL40" s="212"/>
      <c r="AM40" s="210" t="s">
        <v>105</v>
      </c>
      <c r="AN40" s="211"/>
      <c r="AO40" s="211"/>
      <c r="AP40" s="211"/>
      <c r="AQ40" s="210" t="s">
        <v>83</v>
      </c>
      <c r="AR40" s="211"/>
      <c r="AS40" s="211"/>
      <c r="AT40" s="212"/>
      <c r="AU40" s="211" t="s">
        <v>85</v>
      </c>
      <c r="AV40" s="211"/>
      <c r="AW40" s="212"/>
      <c r="AX40" s="305" t="s">
        <v>86</v>
      </c>
      <c r="AY40" s="211"/>
      <c r="AZ40" s="211"/>
      <c r="BA40" s="212"/>
      <c r="BB40" s="211" t="s">
        <v>69</v>
      </c>
      <c r="BC40" s="211"/>
      <c r="BD40" s="211"/>
      <c r="BE40" s="212"/>
      <c r="BH40" s="28"/>
      <c r="BI40" s="28"/>
      <c r="BJ40" s="28"/>
    </row>
    <row r="41" spans="1:62" ht="13.5" customHeight="1">
      <c r="A41" s="22"/>
      <c r="B41" s="202">
        <v>7</v>
      </c>
      <c r="C41" s="306"/>
      <c r="D41" s="213" t="s">
        <v>30</v>
      </c>
      <c r="E41" s="216"/>
      <c r="F41" s="214"/>
      <c r="G41" s="215"/>
      <c r="H41" s="213" t="s">
        <v>30</v>
      </c>
      <c r="I41" s="216"/>
      <c r="J41" s="216"/>
      <c r="K41" s="216"/>
      <c r="L41" s="214"/>
      <c r="M41" s="215"/>
      <c r="N41" s="213"/>
      <c r="O41" s="214"/>
      <c r="P41" s="214"/>
      <c r="Q41" s="215"/>
      <c r="R41" s="213" t="s">
        <v>30</v>
      </c>
      <c r="S41" s="216"/>
      <c r="T41" s="214"/>
      <c r="U41" s="214"/>
      <c r="V41" s="217" t="s">
        <v>88</v>
      </c>
      <c r="W41" s="218"/>
      <c r="X41" s="219"/>
      <c r="Y41" s="220"/>
      <c r="Z41" s="218" t="s">
        <v>43</v>
      </c>
      <c r="AA41" s="218"/>
      <c r="AB41" s="219"/>
      <c r="AC41" s="220"/>
      <c r="AD41" s="218" t="s">
        <v>43</v>
      </c>
      <c r="AE41" s="218"/>
      <c r="AF41" s="219"/>
      <c r="AG41" s="220"/>
      <c r="AH41" s="217" t="s">
        <v>30</v>
      </c>
      <c r="AI41" s="218"/>
      <c r="AJ41" s="218"/>
      <c r="AK41" s="219"/>
      <c r="AL41" s="220"/>
      <c r="AM41" s="217" t="s">
        <v>43</v>
      </c>
      <c r="AN41" s="218"/>
      <c r="AO41" s="219"/>
      <c r="AP41" s="219"/>
      <c r="AQ41" s="217" t="s">
        <v>43</v>
      </c>
      <c r="AR41" s="218"/>
      <c r="AS41" s="219"/>
      <c r="AT41" s="220"/>
      <c r="AU41" s="218" t="s">
        <v>43</v>
      </c>
      <c r="AV41" s="218"/>
      <c r="AW41" s="220"/>
      <c r="AX41" s="307" t="s">
        <v>43</v>
      </c>
      <c r="AY41" s="218"/>
      <c r="AZ41" s="219"/>
      <c r="BA41" s="220"/>
      <c r="BB41" s="218" t="s">
        <v>43</v>
      </c>
      <c r="BC41" s="218"/>
      <c r="BD41" s="219"/>
      <c r="BE41" s="220"/>
      <c r="BH41" s="28"/>
      <c r="BI41" s="28"/>
      <c r="BJ41" s="28"/>
    </row>
    <row r="42" spans="1:62" ht="13.5" customHeight="1">
      <c r="A42" s="22"/>
      <c r="B42" s="202">
        <v>8</v>
      </c>
      <c r="C42" s="308">
        <v>1</v>
      </c>
      <c r="D42" s="148" t="s">
        <v>135</v>
      </c>
      <c r="E42" s="149"/>
      <c r="F42" s="149"/>
      <c r="G42" s="151"/>
      <c r="H42" s="242" t="s">
        <v>137</v>
      </c>
      <c r="I42" s="150"/>
      <c r="J42" s="150"/>
      <c r="K42" s="150"/>
      <c r="L42" s="161"/>
      <c r="M42" s="162"/>
      <c r="N42" s="242" t="s">
        <v>92</v>
      </c>
      <c r="O42" s="150"/>
      <c r="P42" s="150"/>
      <c r="Q42" s="99" t="s">
        <v>33</v>
      </c>
      <c r="R42" s="1016">
        <v>1000</v>
      </c>
      <c r="S42" s="1017"/>
      <c r="T42" s="1017"/>
      <c r="U42" s="1018"/>
      <c r="V42" s="1005">
        <v>980</v>
      </c>
      <c r="W42" s="1014"/>
      <c r="X42" s="1014"/>
      <c r="Y42" s="1015"/>
      <c r="Z42" s="1005">
        <v>1610</v>
      </c>
      <c r="AA42" s="1014"/>
      <c r="AB42" s="1014"/>
      <c r="AC42" s="1015"/>
      <c r="AD42" s="1005">
        <v>1035</v>
      </c>
      <c r="AE42" s="1014"/>
      <c r="AF42" s="1014"/>
      <c r="AG42" s="1015"/>
      <c r="AH42" s="1005">
        <v>510.27</v>
      </c>
      <c r="AI42" s="1014"/>
      <c r="AJ42" s="1014"/>
      <c r="AK42" s="1014"/>
      <c r="AL42" s="1015"/>
      <c r="AM42" s="1005">
        <v>796.03</v>
      </c>
      <c r="AN42" s="1014"/>
      <c r="AO42" s="1014"/>
      <c r="AP42" s="1015"/>
      <c r="AQ42" s="1005"/>
      <c r="AR42" s="1014"/>
      <c r="AS42" s="1014"/>
      <c r="AT42" s="1015"/>
      <c r="AU42" s="1002">
        <v>64.7</v>
      </c>
      <c r="AV42" s="1003"/>
      <c r="AW42" s="1004"/>
      <c r="AX42" s="309" t="s">
        <v>140</v>
      </c>
      <c r="AY42" s="150"/>
      <c r="AZ42" s="150"/>
      <c r="BA42" s="152"/>
      <c r="BB42" s="149" t="s">
        <v>30</v>
      </c>
      <c r="BC42" s="150"/>
      <c r="BD42" s="150"/>
      <c r="BE42" s="152"/>
      <c r="BH42" s="28"/>
      <c r="BI42" s="28"/>
      <c r="BJ42" s="28"/>
    </row>
    <row r="43" spans="1:62" ht="13.5" customHeight="1">
      <c r="A43" s="22"/>
      <c r="B43" s="202">
        <v>9</v>
      </c>
      <c r="C43" s="308">
        <v>2</v>
      </c>
      <c r="D43" s="148" t="s">
        <v>136</v>
      </c>
      <c r="E43" s="149"/>
      <c r="F43" s="149"/>
      <c r="G43" s="151"/>
      <c r="H43" s="242" t="s">
        <v>138</v>
      </c>
      <c r="I43" s="150"/>
      <c r="J43" s="150"/>
      <c r="K43" s="150"/>
      <c r="L43" s="161"/>
      <c r="M43" s="162"/>
      <c r="N43" s="242" t="s">
        <v>92</v>
      </c>
      <c r="O43" s="150"/>
      <c r="P43" s="150"/>
      <c r="Q43" s="99" t="s">
        <v>33</v>
      </c>
      <c r="R43" s="1016">
        <v>500</v>
      </c>
      <c r="S43" s="1017"/>
      <c r="T43" s="1017"/>
      <c r="U43" s="1018"/>
      <c r="V43" s="1005">
        <v>500</v>
      </c>
      <c r="W43" s="1014"/>
      <c r="X43" s="1014"/>
      <c r="Y43" s="1015"/>
      <c r="Z43" s="1005">
        <v>794</v>
      </c>
      <c r="AA43" s="1014"/>
      <c r="AB43" s="1014"/>
      <c r="AC43" s="1015"/>
      <c r="AD43" s="1005">
        <v>630</v>
      </c>
      <c r="AE43" s="1014"/>
      <c r="AF43" s="1014"/>
      <c r="AG43" s="1015"/>
      <c r="AH43" s="1005">
        <v>247.92</v>
      </c>
      <c r="AI43" s="1014"/>
      <c r="AJ43" s="1014"/>
      <c r="AK43" s="1014"/>
      <c r="AL43" s="1015"/>
      <c r="AM43" s="1005">
        <v>483.47</v>
      </c>
      <c r="AN43" s="1014"/>
      <c r="AO43" s="1014"/>
      <c r="AP43" s="1015"/>
      <c r="AQ43" s="1005"/>
      <c r="AR43" s="1014"/>
      <c r="AS43" s="1014"/>
      <c r="AT43" s="1015"/>
      <c r="AU43" s="1002">
        <v>39.4</v>
      </c>
      <c r="AV43" s="1003"/>
      <c r="AW43" s="1004"/>
      <c r="AX43" s="309" t="s">
        <v>140</v>
      </c>
      <c r="AY43" s="150"/>
      <c r="AZ43" s="150"/>
      <c r="BA43" s="152"/>
      <c r="BB43" s="149" t="s">
        <v>30</v>
      </c>
      <c r="BC43" s="150"/>
      <c r="BD43" s="150"/>
      <c r="BE43" s="152"/>
      <c r="BH43" s="28"/>
      <c r="BI43" s="28"/>
      <c r="BJ43" s="28"/>
    </row>
    <row r="44" spans="1:62" ht="13.5" customHeight="1">
      <c r="A44" s="22"/>
      <c r="B44" s="202">
        <v>10</v>
      </c>
      <c r="C44" s="310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1"/>
      <c r="BA44" s="35"/>
      <c r="BB44" s="35"/>
      <c r="BC44" s="311"/>
      <c r="BD44" s="28"/>
    </row>
    <row r="45" spans="1:62" ht="13.5" customHeight="1">
      <c r="A45" s="22"/>
      <c r="B45" s="202">
        <v>11</v>
      </c>
      <c r="C45" s="312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3"/>
      <c r="W45" s="63"/>
      <c r="X45" s="75"/>
      <c r="Y45" s="63"/>
      <c r="Z45" s="63"/>
      <c r="AA45" s="69"/>
      <c r="AB45" s="65"/>
      <c r="AC45" s="63"/>
      <c r="AD45" s="65"/>
      <c r="AE45" s="65"/>
      <c r="AF45" s="65"/>
      <c r="AG45" s="69"/>
      <c r="AH45" s="65"/>
      <c r="AI45" s="75"/>
      <c r="AJ45" s="63"/>
      <c r="AK45" s="63"/>
      <c r="AL45" s="63"/>
      <c r="AM45" s="63"/>
      <c r="AN45" s="125"/>
      <c r="AO45" s="62"/>
      <c r="AP45" s="62"/>
      <c r="AQ45" s="63"/>
      <c r="AR45" s="63"/>
      <c r="AS45" s="63"/>
      <c r="AT45" s="64"/>
      <c r="AU45" s="63"/>
      <c r="AV45" s="65"/>
      <c r="AW45" s="65"/>
      <c r="AX45" s="65"/>
      <c r="AY45" s="63"/>
      <c r="AZ45" s="31"/>
      <c r="BA45" s="35"/>
      <c r="BB45" s="35"/>
      <c r="BC45" s="311"/>
      <c r="BD45" s="28"/>
    </row>
    <row r="46" spans="1:62" ht="15.75" customHeight="1">
      <c r="A46" s="22"/>
      <c r="B46" s="202">
        <v>12</v>
      </c>
      <c r="C46" s="310"/>
      <c r="D46" s="65"/>
      <c r="E46" s="65"/>
      <c r="F46" s="65"/>
      <c r="G46" s="65"/>
      <c r="H46" s="65"/>
      <c r="I46" s="65"/>
      <c r="J46" s="65"/>
      <c r="K46" s="65"/>
      <c r="L46" s="65"/>
      <c r="M46" s="62"/>
      <c r="N46" s="65"/>
      <c r="O46" s="65"/>
      <c r="P46" s="63"/>
      <c r="Q46" s="64"/>
      <c r="R46" s="63"/>
      <c r="S46" s="63"/>
      <c r="T46" s="65"/>
      <c r="U46" s="63"/>
      <c r="V46" s="65"/>
      <c r="W46" s="63"/>
      <c r="X46" s="63"/>
      <c r="Y46" s="63"/>
      <c r="Z46" s="63"/>
      <c r="AA46" s="63"/>
      <c r="AB46" s="65"/>
      <c r="AC46" s="65"/>
      <c r="AD46" s="62"/>
      <c r="AE46" s="63"/>
      <c r="AF46" s="63"/>
      <c r="AG46" s="65"/>
      <c r="AH46" s="65"/>
      <c r="AI46" s="62"/>
      <c r="AJ46" s="63"/>
      <c r="AK46" s="65"/>
      <c r="AL46" s="63"/>
      <c r="AM46" s="63"/>
      <c r="AN46" s="126"/>
      <c r="AO46" s="65"/>
      <c r="AP46" s="65"/>
      <c r="AQ46" s="125"/>
      <c r="AR46" s="65"/>
      <c r="AS46" s="65"/>
      <c r="AT46" s="63"/>
      <c r="AU46" s="63"/>
      <c r="AV46" s="63"/>
      <c r="AW46" s="63"/>
      <c r="AX46" s="63"/>
      <c r="AY46" s="63"/>
      <c r="AZ46" s="31"/>
      <c r="BA46" s="35"/>
      <c r="BB46" s="35"/>
      <c r="BC46" s="311"/>
      <c r="BD46" s="28"/>
    </row>
    <row r="47" spans="1:62" ht="13.5" customHeight="1">
      <c r="A47" s="22"/>
      <c r="B47" s="202">
        <v>13</v>
      </c>
      <c r="C47" s="310"/>
      <c r="D47" s="65"/>
      <c r="E47" s="65"/>
      <c r="F47" s="65"/>
      <c r="G47" s="65"/>
      <c r="H47" s="84"/>
      <c r="I47" s="65"/>
      <c r="J47" s="65"/>
      <c r="K47" s="65"/>
      <c r="L47" s="65"/>
      <c r="M47" s="126"/>
      <c r="N47" s="65"/>
      <c r="O47" s="65"/>
      <c r="P47" s="65"/>
      <c r="Q47" s="198"/>
      <c r="R47" s="65"/>
      <c r="S47" s="63"/>
      <c r="T47" s="63"/>
      <c r="U47" s="63"/>
      <c r="V47" s="65"/>
      <c r="W47" s="84"/>
      <c r="X47" s="65"/>
      <c r="Y47" s="65"/>
      <c r="Z47" s="65"/>
      <c r="AA47" s="65"/>
      <c r="AB47" s="65"/>
      <c r="AC47" s="65"/>
      <c r="AD47" s="65"/>
      <c r="AE47" s="65"/>
      <c r="AF47" s="65"/>
      <c r="AG47" s="65"/>
      <c r="AH47" s="126"/>
      <c r="AI47" s="65"/>
      <c r="AJ47" s="125"/>
      <c r="AK47" s="65"/>
      <c r="AL47" s="65"/>
      <c r="AM47" s="65"/>
      <c r="AN47" s="65"/>
      <c r="AO47" s="65"/>
      <c r="AP47" s="65"/>
      <c r="AQ47" s="125"/>
      <c r="AR47" s="65"/>
      <c r="AS47" s="125"/>
      <c r="AT47" s="64"/>
      <c r="AU47" s="63"/>
      <c r="AV47" s="65"/>
      <c r="AW47" s="65"/>
      <c r="AX47" s="65"/>
      <c r="AY47" s="63"/>
      <c r="AZ47" s="31"/>
      <c r="BA47" s="35"/>
      <c r="BB47" s="35"/>
      <c r="BC47" s="311"/>
      <c r="BD47" s="28"/>
    </row>
    <row r="48" spans="1:62" ht="13.5" customHeight="1">
      <c r="A48" s="22"/>
      <c r="B48" s="202">
        <v>14</v>
      </c>
      <c r="C48" s="312"/>
      <c r="D48" s="65"/>
      <c r="E48" s="65"/>
      <c r="F48" s="65"/>
      <c r="G48" s="65"/>
      <c r="H48" s="65"/>
      <c r="I48" s="65"/>
      <c r="J48" s="65"/>
      <c r="K48" s="198"/>
      <c r="L48" s="65"/>
      <c r="M48" s="65"/>
      <c r="N48" s="65"/>
      <c r="O48" s="65"/>
      <c r="P48" s="65"/>
      <c r="Q48" s="198"/>
      <c r="R48" s="65"/>
      <c r="S48" s="65"/>
      <c r="T48" s="65"/>
      <c r="U48" s="198"/>
      <c r="V48" s="65"/>
      <c r="W48" s="65"/>
      <c r="X48" s="65"/>
      <c r="Y48" s="65"/>
      <c r="Z48" s="65"/>
      <c r="AA48" s="65"/>
      <c r="AB48" s="65"/>
      <c r="AC48" s="65"/>
      <c r="AD48" s="65"/>
      <c r="AE48" s="65"/>
      <c r="AF48" s="65"/>
      <c r="AG48" s="65"/>
      <c r="AH48" s="65"/>
      <c r="AI48" s="65"/>
      <c r="AJ48" s="125"/>
      <c r="AK48" s="112"/>
      <c r="AL48" s="62"/>
      <c r="AM48" s="63"/>
      <c r="AN48" s="63"/>
      <c r="AO48" s="63"/>
      <c r="AP48" s="63"/>
      <c r="AQ48" s="64"/>
      <c r="AR48" s="63"/>
      <c r="AS48" s="65"/>
      <c r="AT48" s="65"/>
      <c r="AU48" s="65"/>
      <c r="AV48" s="65"/>
      <c r="AW48" s="65"/>
      <c r="AX48" s="65"/>
      <c r="AY48" s="63"/>
      <c r="AZ48" s="31"/>
      <c r="BA48" s="35"/>
      <c r="BB48" s="35"/>
      <c r="BC48" s="311"/>
      <c r="BD48" s="28"/>
    </row>
    <row r="49" spans="1:67" ht="13.5" customHeight="1">
      <c r="A49" s="22"/>
      <c r="B49" s="202">
        <v>15</v>
      </c>
      <c r="C49" s="313" t="s">
        <v>71</v>
      </c>
      <c r="D49" s="223"/>
      <c r="E49" s="224"/>
      <c r="F49" s="223"/>
      <c r="G49" s="224"/>
      <c r="H49" s="225"/>
      <c r="I49" s="226"/>
      <c r="J49" s="227"/>
      <c r="K49" s="227"/>
      <c r="L49" s="227"/>
      <c r="M49" s="228"/>
      <c r="N49" s="227"/>
      <c r="O49" s="227"/>
      <c r="P49" s="227"/>
      <c r="Q49" s="229"/>
      <c r="R49" s="227"/>
      <c r="S49" s="227"/>
      <c r="T49" s="227"/>
      <c r="U49" s="227"/>
      <c r="V49" s="227"/>
      <c r="W49" s="229"/>
      <c r="X49" s="227"/>
      <c r="Y49" s="227"/>
      <c r="Z49" s="227"/>
      <c r="AA49" s="229"/>
      <c r="AB49" s="227"/>
      <c r="AC49" s="227"/>
      <c r="AD49" s="227"/>
      <c r="AE49" s="227"/>
      <c r="AF49" s="227"/>
      <c r="AG49" s="232"/>
      <c r="AH49" s="227"/>
      <c r="AI49" s="227"/>
      <c r="AJ49" s="227"/>
      <c r="AK49" s="227"/>
      <c r="AL49" s="227"/>
      <c r="AM49" s="227"/>
      <c r="AN49" s="227"/>
      <c r="AO49" s="227"/>
      <c r="AP49" s="227"/>
      <c r="AQ49" s="230"/>
      <c r="AR49" s="227"/>
      <c r="AS49" s="230"/>
      <c r="AT49" s="227"/>
      <c r="AU49" s="227"/>
      <c r="AV49" s="227"/>
      <c r="AW49" s="227"/>
      <c r="AX49" s="227"/>
      <c r="AY49" s="224"/>
      <c r="AZ49" s="224"/>
      <c r="BA49" s="231"/>
      <c r="BB49" s="231"/>
      <c r="BC49" s="314"/>
      <c r="BD49" s="28"/>
    </row>
    <row r="50" spans="1:67" ht="13.5" customHeight="1">
      <c r="A50" s="22"/>
      <c r="B50" s="202">
        <v>16</v>
      </c>
      <c r="C50" s="310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5"/>
      <c r="O50" s="65"/>
      <c r="P50" s="63"/>
      <c r="Q50" s="64"/>
      <c r="R50" s="63"/>
      <c r="S50" s="111"/>
      <c r="T50" s="112"/>
      <c r="U50" s="111"/>
      <c r="V50" s="112"/>
      <c r="W50" s="111"/>
      <c r="X50" s="111"/>
      <c r="Y50" s="111"/>
      <c r="Z50" s="111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3"/>
      <c r="AZ50" s="53"/>
      <c r="BA50" s="323"/>
      <c r="BB50" s="324"/>
      <c r="BC50" s="325"/>
      <c r="BD50" s="28"/>
    </row>
    <row r="51" spans="1:67" ht="13.5" customHeight="1">
      <c r="A51" s="22"/>
      <c r="B51" s="202">
        <v>17</v>
      </c>
      <c r="C51" s="310"/>
      <c r="D51" s="65"/>
      <c r="E51" s="65"/>
      <c r="F51" s="65"/>
      <c r="G51" s="65"/>
      <c r="H51" s="126"/>
      <c r="I51" s="65"/>
      <c r="J51" s="65"/>
      <c r="K51" s="65"/>
      <c r="L51" s="198"/>
      <c r="M51" s="65"/>
      <c r="N51" s="65"/>
      <c r="O51" s="65"/>
      <c r="P51" s="198"/>
      <c r="Q51" s="65"/>
      <c r="R51" s="65"/>
      <c r="S51" s="65"/>
      <c r="T51" s="198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12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3"/>
      <c r="AZ51" s="31"/>
      <c r="BA51" s="30"/>
      <c r="BB51" s="175"/>
      <c r="BC51" s="326"/>
      <c r="BD51" s="28"/>
    </row>
    <row r="52" spans="1:67" ht="5.15" customHeight="1">
      <c r="A52" s="22"/>
      <c r="B52" s="202"/>
      <c r="C52" s="315"/>
      <c r="D52" s="73"/>
      <c r="E52" s="73"/>
      <c r="F52" s="73"/>
      <c r="G52" s="73"/>
      <c r="H52" s="316"/>
      <c r="I52" s="275"/>
      <c r="J52" s="273"/>
      <c r="K52" s="275"/>
      <c r="L52" s="273"/>
      <c r="M52" s="317"/>
      <c r="N52" s="317"/>
      <c r="O52" s="270"/>
      <c r="P52" s="317"/>
      <c r="Q52" s="270"/>
      <c r="R52" s="317"/>
      <c r="S52" s="73"/>
      <c r="T52" s="73"/>
      <c r="U52" s="73"/>
      <c r="V52" s="73"/>
      <c r="W52" s="73"/>
      <c r="X52" s="316"/>
      <c r="Y52" s="275"/>
      <c r="Z52" s="273"/>
      <c r="AA52" s="275"/>
      <c r="AB52" s="273"/>
      <c r="AC52" s="317"/>
      <c r="AD52" s="317"/>
      <c r="AE52" s="270"/>
      <c r="AF52" s="317"/>
      <c r="AG52" s="270"/>
      <c r="AH52" s="317"/>
      <c r="AI52" s="276"/>
      <c r="AJ52" s="317"/>
      <c r="AK52" s="270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318"/>
      <c r="AW52" s="73"/>
      <c r="AX52" s="73"/>
      <c r="AY52" s="269"/>
      <c r="AZ52" s="269"/>
      <c r="BA52" s="319"/>
      <c r="BB52" s="320"/>
      <c r="BC52" s="321"/>
      <c r="BD52" s="28"/>
    </row>
    <row r="53" spans="1:67" ht="13.5" customHeight="1">
      <c r="A53" s="22"/>
      <c r="B53" s="202">
        <v>18</v>
      </c>
      <c r="C53" s="75"/>
      <c r="D53" s="63"/>
      <c r="E53" s="63"/>
      <c r="F53" s="63"/>
      <c r="G53" s="63"/>
      <c r="H53" s="69"/>
      <c r="I53" s="69"/>
      <c r="J53" s="65"/>
      <c r="K53" s="69"/>
      <c r="L53" s="65"/>
      <c r="M53" s="69"/>
      <c r="N53" s="64"/>
      <c r="O53" s="69"/>
      <c r="P53" s="65"/>
      <c r="Q53" s="65"/>
      <c r="R53" s="65"/>
      <c r="S53" s="63"/>
      <c r="T53" s="63"/>
      <c r="U53" s="63"/>
      <c r="V53" s="63"/>
      <c r="W53" s="63"/>
      <c r="X53" s="64"/>
      <c r="Y53" s="63"/>
      <c r="Z53" s="65"/>
      <c r="AA53" s="64"/>
      <c r="AB53" s="63"/>
      <c r="AC53" s="65"/>
      <c r="AD53" s="64"/>
      <c r="AE53" s="65"/>
      <c r="AF53" s="65"/>
      <c r="AG53" s="64"/>
      <c r="AH53" s="65"/>
      <c r="AI53" s="65"/>
      <c r="AJ53" s="126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3"/>
      <c r="AZ53" s="264"/>
      <c r="BA53" s="301"/>
      <c r="BB53" s="302"/>
      <c r="BC53" s="343"/>
      <c r="BD53" s="28"/>
    </row>
    <row r="54" spans="1:67" ht="13.5" customHeight="1">
      <c r="A54" s="22"/>
      <c r="B54" s="202">
        <v>20</v>
      </c>
      <c r="C54" s="204" t="s">
        <v>78</v>
      </c>
      <c r="D54" s="28"/>
      <c r="E54" s="28"/>
      <c r="F54" s="28"/>
      <c r="G54" s="28"/>
      <c r="H54" s="121"/>
      <c r="I54" s="62"/>
      <c r="J54" s="63"/>
      <c r="K54" s="62"/>
      <c r="L54" s="63"/>
      <c r="M54" s="69"/>
      <c r="N54" s="69"/>
      <c r="O54" s="65"/>
      <c r="P54" s="69"/>
      <c r="Q54" s="65"/>
      <c r="R54" s="69"/>
      <c r="S54" s="28"/>
      <c r="T54" s="28"/>
      <c r="U54" s="28"/>
      <c r="V54" s="28"/>
      <c r="W54" s="28"/>
      <c r="X54" s="121"/>
      <c r="Y54" s="62"/>
      <c r="Z54" s="63"/>
      <c r="AA54" s="62"/>
      <c r="AB54" s="63"/>
      <c r="AC54" s="69"/>
      <c r="AD54" s="69"/>
      <c r="AE54" s="65"/>
      <c r="AF54" s="69"/>
      <c r="AG54" s="65"/>
      <c r="AH54" s="69"/>
      <c r="AI54" s="64"/>
      <c r="AJ54" s="69"/>
      <c r="AK54" s="65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33" t="s">
        <v>72</v>
      </c>
      <c r="AW54" s="28"/>
      <c r="AX54" s="28"/>
      <c r="AY54" s="31"/>
      <c r="AZ54" s="269"/>
      <c r="BA54" s="319"/>
      <c r="BB54" s="320"/>
      <c r="BC54" s="344"/>
      <c r="BD54" s="28"/>
    </row>
    <row r="55" spans="1:67" ht="5.15" customHeight="1">
      <c r="A55" s="22"/>
      <c r="B55" s="202"/>
      <c r="C55" s="296"/>
      <c r="D55" s="72"/>
      <c r="E55" s="72"/>
      <c r="F55" s="72"/>
      <c r="G55" s="72"/>
      <c r="H55" s="297"/>
      <c r="I55" s="278"/>
      <c r="J55" s="279"/>
      <c r="K55" s="278"/>
      <c r="L55" s="279"/>
      <c r="M55" s="298"/>
      <c r="N55" s="298"/>
      <c r="O55" s="263"/>
      <c r="P55" s="298"/>
      <c r="Q55" s="263"/>
      <c r="R55" s="298"/>
      <c r="S55" s="72"/>
      <c r="T55" s="72"/>
      <c r="U55" s="72"/>
      <c r="V55" s="72"/>
      <c r="W55" s="72"/>
      <c r="X55" s="297"/>
      <c r="Y55" s="278"/>
      <c r="Z55" s="279"/>
      <c r="AA55" s="278"/>
      <c r="AB55" s="279"/>
      <c r="AC55" s="298"/>
      <c r="AD55" s="298"/>
      <c r="AE55" s="263"/>
      <c r="AF55" s="298"/>
      <c r="AG55" s="263"/>
      <c r="AH55" s="298"/>
      <c r="AI55" s="280"/>
      <c r="AJ55" s="298"/>
      <c r="AK55" s="263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300"/>
      <c r="AW55" s="72"/>
      <c r="AX55" s="72"/>
      <c r="AY55" s="264"/>
      <c r="AZ55" s="264"/>
      <c r="BA55" s="301"/>
      <c r="BB55" s="302"/>
      <c r="BC55" s="303"/>
      <c r="BD55" s="28"/>
    </row>
    <row r="56" spans="1:67" ht="13.5" customHeight="1">
      <c r="A56" s="22"/>
      <c r="B56" s="202">
        <v>21</v>
      </c>
      <c r="C56" s="304" t="s">
        <v>32</v>
      </c>
      <c r="D56" s="234" t="s">
        <v>260</v>
      </c>
      <c r="E56" s="235"/>
      <c r="F56" s="234" t="s">
        <v>64</v>
      </c>
      <c r="G56" s="235"/>
      <c r="H56" s="235"/>
      <c r="I56" s="236"/>
      <c r="J56" s="237" t="s">
        <v>34</v>
      </c>
      <c r="K56" s="238"/>
      <c r="L56" s="238"/>
      <c r="M56" s="238"/>
      <c r="N56" s="235"/>
      <c r="O56" s="236"/>
      <c r="P56" s="239" t="s">
        <v>67</v>
      </c>
      <c r="Q56" s="240"/>
      <c r="R56" s="240"/>
      <c r="S56" s="241"/>
      <c r="T56" s="234" t="s">
        <v>79</v>
      </c>
      <c r="U56" s="235"/>
      <c r="V56" s="235"/>
      <c r="W56" s="236"/>
      <c r="X56" s="234" t="s">
        <v>224</v>
      </c>
      <c r="Y56" s="235"/>
      <c r="Z56" s="235"/>
      <c r="AA56" s="235"/>
      <c r="AB56" s="239" t="s">
        <v>65</v>
      </c>
      <c r="AC56" s="240"/>
      <c r="AD56" s="240"/>
      <c r="AE56" s="240"/>
      <c r="AF56" s="241"/>
      <c r="AG56" s="240" t="s">
        <v>68</v>
      </c>
      <c r="AH56" s="240"/>
      <c r="AI56" s="240"/>
      <c r="AJ56" s="241"/>
      <c r="AK56" s="240" t="s">
        <v>66</v>
      </c>
      <c r="AL56" s="240"/>
      <c r="AM56" s="240"/>
      <c r="AN56" s="241"/>
      <c r="AO56" s="239" t="s">
        <v>141</v>
      </c>
      <c r="AP56" s="240"/>
      <c r="AQ56" s="240"/>
      <c r="AR56" s="241"/>
      <c r="AS56" s="239" t="s">
        <v>82</v>
      </c>
      <c r="AT56" s="240"/>
      <c r="AU56" s="240"/>
      <c r="AV56" s="240"/>
      <c r="AW56" s="239" t="s">
        <v>83</v>
      </c>
      <c r="AX56" s="240"/>
      <c r="AY56" s="240"/>
      <c r="AZ56" s="241"/>
      <c r="BA56" s="239" t="s">
        <v>84</v>
      </c>
      <c r="BB56" s="240"/>
      <c r="BC56" s="240"/>
      <c r="BD56" s="241"/>
      <c r="BE56" s="240" t="s">
        <v>85</v>
      </c>
      <c r="BF56" s="240"/>
      <c r="BG56" s="241"/>
      <c r="BH56" s="240" t="s">
        <v>86</v>
      </c>
      <c r="BI56" s="240"/>
      <c r="BJ56" s="240"/>
      <c r="BK56" s="241"/>
      <c r="BL56" s="240" t="s">
        <v>69</v>
      </c>
      <c r="BM56" s="240"/>
      <c r="BN56" s="240"/>
      <c r="BO56" s="241"/>
    </row>
    <row r="57" spans="1:67" ht="13.5" customHeight="1">
      <c r="A57" s="22"/>
      <c r="B57" s="202">
        <v>22</v>
      </c>
      <c r="C57" s="308">
        <v>1</v>
      </c>
      <c r="D57" s="148" t="str">
        <f>N42</f>
        <v>R</v>
      </c>
      <c r="E57" s="149"/>
      <c r="F57" s="148" t="str">
        <f>D42</f>
        <v>1250103874</v>
      </c>
      <c r="G57" s="149"/>
      <c r="H57" s="149"/>
      <c r="I57" s="151"/>
      <c r="J57" s="242" t="str">
        <f>H42</f>
        <v>HR25-9TP-16P(74)</v>
      </c>
      <c r="K57" s="150"/>
      <c r="L57" s="150"/>
      <c r="M57" s="150"/>
      <c r="N57" s="161"/>
      <c r="O57" s="162"/>
      <c r="P57" s="148" t="s">
        <v>144</v>
      </c>
      <c r="Q57" s="150"/>
      <c r="R57" s="150"/>
      <c r="S57" s="162"/>
      <c r="T57" s="1016">
        <f>R42</f>
        <v>1000</v>
      </c>
      <c r="U57" s="1017"/>
      <c r="V57" s="1017"/>
      <c r="W57" s="1018"/>
      <c r="X57" s="1026">
        <f>AH42</f>
        <v>510.27</v>
      </c>
      <c r="Y57" s="1027"/>
      <c r="Z57" s="1027"/>
      <c r="AA57" s="1028"/>
      <c r="AB57" s="1026">
        <f>V42</f>
        <v>980</v>
      </c>
      <c r="AC57" s="1027"/>
      <c r="AD57" s="1027"/>
      <c r="AE57" s="1027"/>
      <c r="AF57" s="1028"/>
      <c r="AG57" s="1026">
        <f>Z42</f>
        <v>1610</v>
      </c>
      <c r="AH57" s="1027"/>
      <c r="AI57" s="1027"/>
      <c r="AJ57" s="1028"/>
      <c r="AK57" s="1026">
        <f>AD42</f>
        <v>1035</v>
      </c>
      <c r="AL57" s="1027"/>
      <c r="AM57" s="1027"/>
      <c r="AN57" s="1028"/>
      <c r="AO57" s="1011">
        <f>AD42/AM42-1</f>
        <v>0.30020225368390641</v>
      </c>
      <c r="AP57" s="1012"/>
      <c r="AQ57" s="1012"/>
      <c r="AR57" s="1013"/>
      <c r="AS57" s="1008">
        <f>(AK57-AG57)/AG57</f>
        <v>-0.35714285714285715</v>
      </c>
      <c r="AT57" s="1009"/>
      <c r="AU57" s="1009"/>
      <c r="AV57" s="1010"/>
      <c r="AW57" s="148"/>
      <c r="AX57" s="150"/>
      <c r="AY57" s="150"/>
      <c r="AZ57" s="162"/>
      <c r="BA57" s="1011" t="str">
        <f>IFERROR(1-(AD42/AQ42),"")</f>
        <v/>
      </c>
      <c r="BB57" s="1012"/>
      <c r="BC57" s="1012"/>
      <c r="BD57" s="1013"/>
      <c r="BE57" s="1002">
        <f>AU42</f>
        <v>64.7</v>
      </c>
      <c r="BF57" s="1003"/>
      <c r="BG57" s="1004"/>
      <c r="BH57" s="149" t="str">
        <f>AX42</f>
        <v>サンウー</v>
      </c>
      <c r="BI57" s="150"/>
      <c r="BJ57" s="150"/>
      <c r="BK57" s="152"/>
      <c r="BL57" s="149" t="s">
        <v>30</v>
      </c>
      <c r="BM57" s="150"/>
      <c r="BN57" s="150"/>
      <c r="BO57" s="152"/>
    </row>
    <row r="58" spans="1:67" ht="13.5" customHeight="1">
      <c r="A58" s="22"/>
      <c r="B58" s="202">
        <v>23</v>
      </c>
      <c r="C58" s="308">
        <v>2</v>
      </c>
      <c r="D58" s="148" t="str">
        <f>N43</f>
        <v>R</v>
      </c>
      <c r="E58" s="149"/>
      <c r="F58" s="148" t="str">
        <f>D43</f>
        <v>1250109471</v>
      </c>
      <c r="G58" s="149"/>
      <c r="H58" s="149"/>
      <c r="I58" s="151"/>
      <c r="J58" s="242" t="str">
        <f>H43</f>
        <v>HR25-9TR-16S(71)</v>
      </c>
      <c r="K58" s="150"/>
      <c r="L58" s="150"/>
      <c r="M58" s="150"/>
      <c r="N58" s="161"/>
      <c r="O58" s="162"/>
      <c r="P58" s="148" t="s">
        <v>144</v>
      </c>
      <c r="Q58" s="150"/>
      <c r="R58" s="150"/>
      <c r="S58" s="162"/>
      <c r="T58" s="1016">
        <f>R43</f>
        <v>500</v>
      </c>
      <c r="U58" s="1017"/>
      <c r="V58" s="1017"/>
      <c r="W58" s="1018"/>
      <c r="X58" s="1026">
        <f>AH43</f>
        <v>247.92</v>
      </c>
      <c r="Y58" s="1027"/>
      <c r="Z58" s="1027"/>
      <c r="AA58" s="1028"/>
      <c r="AB58" s="1026">
        <f>V43</f>
        <v>500</v>
      </c>
      <c r="AC58" s="1027"/>
      <c r="AD58" s="1027"/>
      <c r="AE58" s="1027"/>
      <c r="AF58" s="1028"/>
      <c r="AG58" s="1026">
        <f>Z43</f>
        <v>794</v>
      </c>
      <c r="AH58" s="1027"/>
      <c r="AI58" s="1027"/>
      <c r="AJ58" s="1028"/>
      <c r="AK58" s="1026">
        <f>AD43</f>
        <v>630</v>
      </c>
      <c r="AL58" s="1027"/>
      <c r="AM58" s="1027"/>
      <c r="AN58" s="1028"/>
      <c r="AO58" s="1011">
        <f>AD43/AM43-1</f>
        <v>0.3030798188098538</v>
      </c>
      <c r="AP58" s="1012"/>
      <c r="AQ58" s="1012"/>
      <c r="AR58" s="1013"/>
      <c r="AS58" s="1008">
        <f>(AK58-AG58)/AG58</f>
        <v>-0.20654911838790932</v>
      </c>
      <c r="AT58" s="1009"/>
      <c r="AU58" s="1009"/>
      <c r="AV58" s="1010"/>
      <c r="AW58" s="148"/>
      <c r="AX58" s="150"/>
      <c r="AY58" s="150"/>
      <c r="AZ58" s="162"/>
      <c r="BA58" s="1011" t="str">
        <f>IFERROR(1-(AD43/AQ43),"")</f>
        <v/>
      </c>
      <c r="BB58" s="1012"/>
      <c r="BC58" s="1012"/>
      <c r="BD58" s="1013"/>
      <c r="BE58" s="1002">
        <f>AU43</f>
        <v>39.4</v>
      </c>
      <c r="BF58" s="1003"/>
      <c r="BG58" s="1004"/>
      <c r="BH58" s="149" t="str">
        <f>AX43</f>
        <v>サンウー</v>
      </c>
      <c r="BI58" s="150"/>
      <c r="BJ58" s="150"/>
      <c r="BK58" s="152"/>
      <c r="BL58" s="149" t="s">
        <v>30</v>
      </c>
      <c r="BM58" s="150"/>
      <c r="BN58" s="150"/>
      <c r="BO58" s="152"/>
    </row>
    <row r="59" spans="1:67" ht="13.5" customHeight="1">
      <c r="A59" s="22"/>
      <c r="B59" s="202">
        <v>20</v>
      </c>
      <c r="C59" s="337" t="s">
        <v>281</v>
      </c>
      <c r="D59" s="28"/>
      <c r="E59" s="28"/>
      <c r="F59" s="28"/>
      <c r="G59" s="28"/>
      <c r="H59" s="121"/>
      <c r="I59" s="62"/>
      <c r="J59" s="63"/>
      <c r="K59" s="62"/>
      <c r="L59" s="63"/>
      <c r="M59" s="69"/>
      <c r="N59" s="69"/>
      <c r="O59" s="65"/>
      <c r="P59" s="69"/>
      <c r="Q59" s="65"/>
      <c r="R59" s="69"/>
      <c r="S59" s="28"/>
      <c r="T59" s="28"/>
      <c r="U59" s="28"/>
      <c r="V59" s="28"/>
      <c r="W59" s="28"/>
      <c r="X59" s="121"/>
      <c r="Y59" s="62"/>
      <c r="Z59" s="63"/>
      <c r="AA59" s="62"/>
      <c r="AB59" s="63"/>
      <c r="AC59" s="69"/>
      <c r="AD59" s="69"/>
      <c r="AE59" s="65"/>
      <c r="AF59" s="69"/>
      <c r="AG59" s="65"/>
      <c r="AH59" s="69"/>
      <c r="AI59" s="64"/>
      <c r="AJ59" s="69"/>
      <c r="AK59" s="65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33"/>
      <c r="AW59" s="28"/>
      <c r="AX59" s="28"/>
      <c r="AY59" s="31"/>
      <c r="AZ59" s="95"/>
      <c r="BA59" s="92"/>
      <c r="BB59" s="329"/>
      <c r="BC59" s="338"/>
      <c r="BD59" s="37"/>
      <c r="BE59" s="37"/>
    </row>
    <row r="60" spans="1:67" ht="13.5" customHeight="1">
      <c r="A60" s="22"/>
      <c r="B60" s="202">
        <v>24</v>
      </c>
      <c r="C60" s="304"/>
      <c r="D60" s="502" t="s">
        <v>280</v>
      </c>
      <c r="E60" s="503"/>
      <c r="F60" s="504" t="s">
        <v>30</v>
      </c>
      <c r="G60" s="503"/>
      <c r="H60" s="503"/>
      <c r="I60" s="505"/>
      <c r="J60" s="504" t="s">
        <v>30</v>
      </c>
      <c r="K60" s="506"/>
      <c r="L60" s="506"/>
      <c r="M60" s="506"/>
      <c r="N60" s="503"/>
      <c r="O60" s="505"/>
      <c r="P60" s="507"/>
      <c r="Q60" s="508"/>
      <c r="R60" s="508"/>
      <c r="S60" s="509"/>
      <c r="T60" s="502"/>
      <c r="U60" s="503"/>
      <c r="V60" s="503"/>
      <c r="W60" s="505"/>
      <c r="X60" s="508"/>
      <c r="Y60" s="503"/>
      <c r="Z60" s="503"/>
      <c r="AA60" s="503"/>
      <c r="AB60" s="507" t="s">
        <v>98</v>
      </c>
      <c r="AC60" s="508"/>
      <c r="AD60" s="508"/>
      <c r="AE60" s="508"/>
      <c r="AF60" s="509"/>
      <c r="AG60" s="510" t="s">
        <v>145</v>
      </c>
      <c r="AH60" s="508"/>
      <c r="AI60" s="508"/>
      <c r="AJ60" s="509"/>
      <c r="AK60" s="510" t="s">
        <v>142</v>
      </c>
      <c r="AL60" s="508"/>
      <c r="AM60" s="508"/>
      <c r="AN60" s="509"/>
      <c r="AO60" s="507" t="s">
        <v>143</v>
      </c>
      <c r="AP60" s="508"/>
      <c r="AQ60" s="508"/>
      <c r="AR60" s="509"/>
      <c r="AS60" s="507" t="s">
        <v>82</v>
      </c>
      <c r="AT60" s="508"/>
      <c r="AU60" s="508"/>
      <c r="AV60" s="508"/>
      <c r="AW60" s="507" t="s">
        <v>100</v>
      </c>
      <c r="AX60" s="508"/>
      <c r="AY60" s="508"/>
      <c r="AZ60" s="509"/>
      <c r="BA60" s="507" t="s">
        <v>101</v>
      </c>
      <c r="BB60" s="508"/>
      <c r="BC60" s="508"/>
      <c r="BD60" s="509"/>
      <c r="BE60" s="513" t="s">
        <v>30</v>
      </c>
      <c r="BF60" s="508"/>
      <c r="BG60" s="509"/>
      <c r="BH60" s="508"/>
      <c r="BI60" s="508"/>
      <c r="BJ60" s="508"/>
      <c r="BK60" s="509"/>
      <c r="BL60" s="513" t="s">
        <v>30</v>
      </c>
      <c r="BM60" s="508"/>
      <c r="BN60" s="508"/>
      <c r="BO60" s="509"/>
    </row>
    <row r="61" spans="1:67" ht="13.5" customHeight="1">
      <c r="A61" s="22"/>
      <c r="B61" s="202">
        <v>25</v>
      </c>
      <c r="C61" s="308">
        <v>1</v>
      </c>
      <c r="D61" s="148" t="s">
        <v>92</v>
      </c>
      <c r="E61" s="149"/>
      <c r="F61" s="148" t="s">
        <v>30</v>
      </c>
      <c r="G61" s="149"/>
      <c r="H61" s="149"/>
      <c r="I61" s="151"/>
      <c r="J61" s="221" t="s">
        <v>30</v>
      </c>
      <c r="K61" s="222"/>
      <c r="L61" s="222"/>
      <c r="M61" s="222"/>
      <c r="N61" s="161"/>
      <c r="O61" s="162"/>
      <c r="P61" s="148"/>
      <c r="Q61" s="150"/>
      <c r="R61" s="150"/>
      <c r="S61" s="162"/>
      <c r="T61" s="119"/>
      <c r="U61" s="120"/>
      <c r="V61" s="120"/>
      <c r="W61" s="162"/>
      <c r="X61" s="1005"/>
      <c r="Y61" s="1006"/>
      <c r="Z61" s="1006"/>
      <c r="AA61" s="1007"/>
      <c r="AB61" s="1022">
        <f>SUMPRODUCT($T$57:$W$58,$AK$57:$AN$58)</f>
        <v>1350000</v>
      </c>
      <c r="AC61" s="1023"/>
      <c r="AD61" s="1023"/>
      <c r="AE61" s="1023"/>
      <c r="AF61" s="1024"/>
      <c r="AG61" s="993">
        <f>SUM(AM$42:AP$43)</f>
        <v>1279.5</v>
      </c>
      <c r="AH61" s="994"/>
      <c r="AI61" s="994"/>
      <c r="AJ61" s="995"/>
      <c r="AK61" s="993">
        <f>$AB61-SUMPRODUCT($R$42:$U$43,$AM$42:$AP$43)</f>
        <v>312235</v>
      </c>
      <c r="AL61" s="994"/>
      <c r="AM61" s="994"/>
      <c r="AN61" s="995"/>
      <c r="AO61" s="996">
        <f>$AK61/($AB61-$AK61)</f>
        <v>0.30087254821660009</v>
      </c>
      <c r="AP61" s="997"/>
      <c r="AQ61" s="997"/>
      <c r="AR61" s="998"/>
      <c r="AS61" s="996">
        <f>AW61/($AB61-AW61)</f>
        <v>-0.3273542600896861</v>
      </c>
      <c r="AT61" s="997"/>
      <c r="AU61" s="997"/>
      <c r="AV61" s="998"/>
      <c r="AW61" s="999">
        <f>$T$57*($AK$57-$AG$57)+$T$58*($AK$58-$AG$58)</f>
        <v>-657000</v>
      </c>
      <c r="AX61" s="1000"/>
      <c r="AY61" s="1000"/>
      <c r="AZ61" s="1001"/>
      <c r="BA61" s="987">
        <f>SUMPRODUCT($T$57:$W$58,$AG$57:$AJ$58)</f>
        <v>2007000</v>
      </c>
      <c r="BB61" s="988"/>
      <c r="BC61" s="988"/>
      <c r="BD61" s="989"/>
      <c r="BE61" s="149" t="s">
        <v>30</v>
      </c>
      <c r="BF61" s="150"/>
      <c r="BG61" s="152"/>
      <c r="BH61" s="149" t="s">
        <v>30</v>
      </c>
      <c r="BI61" s="150"/>
      <c r="BJ61" s="150"/>
      <c r="BK61" s="152"/>
      <c r="BL61" s="149" t="s">
        <v>30</v>
      </c>
      <c r="BM61" s="150"/>
      <c r="BN61" s="150"/>
      <c r="BO61" s="152"/>
    </row>
    <row r="62" spans="1:67" ht="13.5" customHeight="1">
      <c r="A62" s="22"/>
      <c r="B62" s="202">
        <v>20</v>
      </c>
      <c r="C62" s="337" t="s">
        <v>279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/>
      <c r="AW62" s="28"/>
      <c r="AX62" s="28"/>
      <c r="AY62" s="31"/>
      <c r="AZ62" s="95"/>
      <c r="BA62" s="92"/>
      <c r="BB62" s="329"/>
      <c r="BC62" s="338"/>
      <c r="BD62" s="37"/>
      <c r="BE62" s="37"/>
    </row>
    <row r="63" spans="1:67" ht="13.5" customHeight="1">
      <c r="A63" s="22"/>
      <c r="B63" s="202">
        <v>24</v>
      </c>
      <c r="C63" s="304"/>
      <c r="D63" s="243"/>
      <c r="E63" s="244"/>
      <c r="F63" s="243"/>
      <c r="G63" s="244"/>
      <c r="H63" s="244"/>
      <c r="I63" s="245"/>
      <c r="J63" s="246" t="s">
        <v>30</v>
      </c>
      <c r="K63" s="247"/>
      <c r="L63" s="247"/>
      <c r="M63" s="247"/>
      <c r="N63" s="244"/>
      <c r="O63" s="245"/>
      <c r="P63" s="248"/>
      <c r="Q63" s="249"/>
      <c r="R63" s="249"/>
      <c r="S63" s="250"/>
      <c r="T63" s="243"/>
      <c r="U63" s="244"/>
      <c r="V63" s="244"/>
      <c r="W63" s="245"/>
      <c r="X63" s="249"/>
      <c r="Y63" s="244"/>
      <c r="Z63" s="244"/>
      <c r="AA63" s="244"/>
      <c r="AB63" s="248" t="s">
        <v>98</v>
      </c>
      <c r="AC63" s="249"/>
      <c r="AD63" s="249"/>
      <c r="AE63" s="249"/>
      <c r="AF63" s="250"/>
      <c r="AG63" s="330" t="s">
        <v>145</v>
      </c>
      <c r="AH63" s="249"/>
      <c r="AI63" s="249"/>
      <c r="AJ63" s="250"/>
      <c r="AK63" s="330" t="s">
        <v>142</v>
      </c>
      <c r="AL63" s="249"/>
      <c r="AM63" s="249"/>
      <c r="AN63" s="250"/>
      <c r="AO63" s="248" t="s">
        <v>143</v>
      </c>
      <c r="AP63" s="249"/>
      <c r="AQ63" s="249"/>
      <c r="AR63" s="250"/>
      <c r="AS63" s="248" t="s">
        <v>82</v>
      </c>
      <c r="AT63" s="249"/>
      <c r="AU63" s="249"/>
      <c r="AV63" s="249"/>
      <c r="AW63" s="248" t="s">
        <v>100</v>
      </c>
      <c r="AX63" s="249"/>
      <c r="AY63" s="249"/>
      <c r="AZ63" s="250"/>
      <c r="BA63" s="248" t="s">
        <v>101</v>
      </c>
      <c r="BB63" s="249"/>
      <c r="BC63" s="249"/>
      <c r="BD63" s="250"/>
      <c r="BE63" s="251" t="s">
        <v>30</v>
      </c>
      <c r="BF63" s="249"/>
      <c r="BG63" s="250"/>
      <c r="BH63" s="249"/>
      <c r="BI63" s="249"/>
      <c r="BJ63" s="249"/>
      <c r="BK63" s="250"/>
      <c r="BL63" s="251" t="s">
        <v>30</v>
      </c>
      <c r="BM63" s="249"/>
      <c r="BN63" s="249"/>
      <c r="BO63" s="250"/>
    </row>
    <row r="64" spans="1:67" ht="13.5" customHeight="1">
      <c r="A64" s="22"/>
      <c r="B64" s="202">
        <v>25</v>
      </c>
      <c r="C64" s="308"/>
      <c r="D64" s="148"/>
      <c r="E64" s="149"/>
      <c r="F64" s="148"/>
      <c r="G64" s="149"/>
      <c r="H64" s="149"/>
      <c r="I64" s="151"/>
      <c r="J64" s="221"/>
      <c r="K64" s="222"/>
      <c r="L64" s="222"/>
      <c r="M64" s="222"/>
      <c r="N64" s="161"/>
      <c r="O64" s="162"/>
      <c r="P64" s="148"/>
      <c r="Q64" s="150"/>
      <c r="R64" s="150"/>
      <c r="S64" s="162"/>
      <c r="T64" s="119"/>
      <c r="U64" s="120"/>
      <c r="V64" s="120"/>
      <c r="W64" s="162"/>
      <c r="X64" s="1005"/>
      <c r="Y64" s="1006"/>
      <c r="Z64" s="1006"/>
      <c r="AA64" s="1007"/>
      <c r="AB64" s="1022">
        <f>SUMPRODUCT($T$57:$W$58,$AK$57:$AN$58)</f>
        <v>1350000</v>
      </c>
      <c r="AC64" s="1023"/>
      <c r="AD64" s="1023"/>
      <c r="AE64" s="1023"/>
      <c r="AF64" s="1024"/>
      <c r="AG64" s="993">
        <f>SUM(AM$42:AP$43)</f>
        <v>1279.5</v>
      </c>
      <c r="AH64" s="994"/>
      <c r="AI64" s="994"/>
      <c r="AJ64" s="995"/>
      <c r="AK64" s="993">
        <f>$AB64-SUMPRODUCT($R$42:$U$43,$AM$42:$AP$43)</f>
        <v>312235</v>
      </c>
      <c r="AL64" s="994"/>
      <c r="AM64" s="994"/>
      <c r="AN64" s="995"/>
      <c r="AO64" s="996">
        <f>$AK64/($AB64-$AK64)</f>
        <v>0.30087254821660009</v>
      </c>
      <c r="AP64" s="997"/>
      <c r="AQ64" s="997"/>
      <c r="AR64" s="998"/>
      <c r="AS64" s="996">
        <f>AW64/($AB64-AW64)</f>
        <v>-0.3273542600896861</v>
      </c>
      <c r="AT64" s="997"/>
      <c r="AU64" s="997"/>
      <c r="AV64" s="998"/>
      <c r="AW64" s="999">
        <f>$T$57*($AK$57-$AG$57)+$T$58*($AK$58-$AG$58)</f>
        <v>-657000</v>
      </c>
      <c r="AX64" s="1000"/>
      <c r="AY64" s="1000"/>
      <c r="AZ64" s="1001"/>
      <c r="BA64" s="987">
        <f>SUMPRODUCT($T$57:$W$58,$AG$57:$AJ$58)</f>
        <v>2007000</v>
      </c>
      <c r="BB64" s="988"/>
      <c r="BC64" s="988"/>
      <c r="BD64" s="989"/>
      <c r="BE64" s="149" t="s">
        <v>30</v>
      </c>
      <c r="BF64" s="150"/>
      <c r="BG64" s="152"/>
      <c r="BH64" s="149" t="s">
        <v>30</v>
      </c>
      <c r="BI64" s="150"/>
      <c r="BJ64" s="150"/>
      <c r="BK64" s="152"/>
      <c r="BL64" s="149" t="s">
        <v>30</v>
      </c>
      <c r="BM64" s="150"/>
      <c r="BN64" s="150"/>
      <c r="BO64" s="152"/>
    </row>
    <row r="65" spans="1:60" ht="13.5" customHeight="1">
      <c r="A65" s="22"/>
      <c r="B65" s="202">
        <v>26</v>
      </c>
      <c r="C65" s="339"/>
      <c r="D65" s="75"/>
      <c r="E65" s="75"/>
      <c r="F65" s="75"/>
      <c r="G65" s="75"/>
      <c r="H65" s="199"/>
      <c r="I65" s="199"/>
      <c r="J65" s="200"/>
      <c r="K65" s="199"/>
      <c r="L65" s="200"/>
      <c r="M65" s="199"/>
      <c r="N65" s="199"/>
      <c r="O65" s="83"/>
      <c r="P65" s="84"/>
      <c r="Q65" s="84"/>
      <c r="R65" s="84"/>
      <c r="S65" s="75"/>
      <c r="T65" s="75"/>
      <c r="U65" s="75"/>
      <c r="V65" s="75"/>
      <c r="W65" s="75"/>
      <c r="X65" s="85"/>
      <c r="Y65" s="75"/>
      <c r="Z65" s="84"/>
      <c r="AA65" s="85"/>
      <c r="AB65" s="75"/>
      <c r="AC65" s="84"/>
      <c r="AD65" s="85"/>
      <c r="AE65" s="84"/>
      <c r="AF65" s="84"/>
      <c r="AG65" s="85"/>
      <c r="AH65" s="84"/>
      <c r="AI65" s="84"/>
      <c r="AJ65" s="90"/>
      <c r="AK65" s="84"/>
      <c r="AL65" s="84"/>
      <c r="AM65" s="84"/>
      <c r="AN65" s="84"/>
      <c r="AO65" s="84"/>
      <c r="AP65" s="84"/>
      <c r="AQ65" s="84"/>
      <c r="AR65" s="84"/>
      <c r="AS65" s="65"/>
      <c r="AT65" s="65"/>
      <c r="AU65" s="65"/>
      <c r="AV65" s="65"/>
      <c r="AW65" s="65"/>
      <c r="AX65" s="65"/>
      <c r="AY65" s="63"/>
      <c r="AZ65" s="264"/>
      <c r="BA65" s="30"/>
      <c r="BB65" s="175"/>
      <c r="BC65" s="345"/>
      <c r="BD65" s="28"/>
    </row>
    <row r="66" spans="1:60" ht="13.5" customHeight="1">
      <c r="A66" s="22"/>
      <c r="B66" s="202">
        <v>27</v>
      </c>
      <c r="C66" s="340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S66" s="35"/>
      <c r="T66" s="35"/>
      <c r="U66" s="35"/>
      <c r="V66" s="35"/>
      <c r="Y66" s="35"/>
      <c r="Z66" s="35"/>
      <c r="AD66" s="35"/>
      <c r="AE66" s="35"/>
      <c r="AF66" s="35"/>
      <c r="AG66" s="35"/>
      <c r="AH66" s="35"/>
      <c r="AI66" s="35"/>
      <c r="AJ66" s="35"/>
      <c r="AK66" s="35"/>
      <c r="AL66" s="84"/>
      <c r="AM66" s="84"/>
      <c r="AN66" s="84"/>
      <c r="AO66" s="84"/>
      <c r="AP66" s="84"/>
      <c r="AQ66" s="84"/>
      <c r="AR66" s="84"/>
      <c r="AS66" s="254"/>
      <c r="AT66" s="35"/>
      <c r="AU66" s="35"/>
      <c r="AV66" s="65"/>
      <c r="AW66" s="65"/>
      <c r="AX66" s="65"/>
      <c r="AY66" s="63"/>
      <c r="AZ66" s="31"/>
      <c r="BA66" s="30"/>
      <c r="BB66" s="175"/>
      <c r="BC66" s="345"/>
      <c r="BD66" s="28"/>
    </row>
    <row r="67" spans="1:60" ht="13.5" customHeight="1">
      <c r="A67" s="22"/>
      <c r="B67" s="202">
        <v>28</v>
      </c>
      <c r="C67" s="341"/>
      <c r="D67" s="71"/>
      <c r="E67" s="71"/>
      <c r="F67" s="71"/>
      <c r="G67" s="71"/>
      <c r="H67" s="71"/>
      <c r="I67" s="71"/>
      <c r="J67" s="71"/>
      <c r="K67" s="68"/>
      <c r="L67" s="68"/>
      <c r="M67" s="68"/>
      <c r="N67" s="91"/>
      <c r="O67" s="68"/>
      <c r="P67" s="68"/>
      <c r="Q67" s="68"/>
      <c r="R67" s="68"/>
      <c r="S67" s="68"/>
      <c r="T67" s="68"/>
      <c r="U67" s="68"/>
      <c r="V67" s="68"/>
      <c r="W67" s="91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5"/>
      <c r="AN67" s="65"/>
      <c r="AO67" s="65"/>
      <c r="AP67" s="65"/>
      <c r="AQ67" s="65"/>
      <c r="AR67" s="65"/>
      <c r="AS67" s="65"/>
      <c r="AT67" s="35"/>
      <c r="AU67" s="65"/>
      <c r="AV67" s="65"/>
      <c r="AW67" s="65"/>
      <c r="AX67" s="65"/>
      <c r="AY67" s="65"/>
      <c r="AZ67" s="31"/>
      <c r="BA67" s="30"/>
      <c r="BB67" s="175"/>
      <c r="BC67" s="345"/>
      <c r="BD67" s="28"/>
      <c r="BG67" s="24"/>
      <c r="BH67" s="28"/>
    </row>
    <row r="68" spans="1:60" ht="13.5" customHeight="1">
      <c r="A68" s="22"/>
      <c r="B68" s="202">
        <v>29</v>
      </c>
      <c r="C68" s="342"/>
      <c r="D68" s="332"/>
      <c r="E68" s="65"/>
      <c r="F68" s="65"/>
      <c r="G68" s="65"/>
      <c r="H68" s="65"/>
      <c r="I68" s="65"/>
      <c r="J68" s="1019"/>
      <c r="K68" s="1020"/>
      <c r="L68" s="1020"/>
      <c r="M68" s="1020"/>
      <c r="N68"/>
      <c r="O68"/>
      <c r="P68"/>
      <c r="Q68"/>
      <c r="R68"/>
      <c r="S68"/>
      <c r="T68"/>
      <c r="U68"/>
      <c r="V68"/>
      <c r="W68" s="65"/>
      <c r="X68" s="65"/>
      <c r="Y68" s="65"/>
      <c r="Z68" s="65"/>
      <c r="AA68" s="65"/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198"/>
      <c r="AN68" s="198"/>
      <c r="AO68" s="198"/>
      <c r="AP68" s="198"/>
      <c r="AQ68" s="198"/>
      <c r="AR68" s="198"/>
      <c r="AS68" s="254"/>
      <c r="AT68" s="35"/>
      <c r="AU68" s="35"/>
      <c r="AV68" s="254"/>
      <c r="AW68" s="198"/>
      <c r="AX68" s="198"/>
      <c r="AY68" s="198"/>
      <c r="AZ68" s="31"/>
      <c r="BA68" s="30"/>
      <c r="BB68" s="175"/>
      <c r="BC68" s="345"/>
      <c r="BD68" s="28"/>
      <c r="BG68" s="24"/>
      <c r="BH68" s="28"/>
    </row>
    <row r="69" spans="1:60" ht="5.15" customHeight="1">
      <c r="A69" s="22"/>
      <c r="B69" s="202"/>
      <c r="C69" s="315"/>
      <c r="D69" s="73"/>
      <c r="E69" s="73"/>
      <c r="F69" s="73"/>
      <c r="G69" s="73"/>
      <c r="H69" s="316"/>
      <c r="I69" s="275"/>
      <c r="J69" s="273"/>
      <c r="K69" s="275"/>
      <c r="L69" s="273"/>
      <c r="M69" s="317"/>
      <c r="N69" s="317"/>
      <c r="O69" s="270"/>
      <c r="P69" s="317"/>
      <c r="Q69" s="270"/>
      <c r="R69" s="317"/>
      <c r="S69" s="73"/>
      <c r="T69" s="73"/>
      <c r="U69" s="73"/>
      <c r="V69" s="73"/>
      <c r="W69" s="73"/>
      <c r="X69" s="316"/>
      <c r="Y69" s="275"/>
      <c r="Z69" s="273"/>
      <c r="AA69" s="275"/>
      <c r="AB69" s="273"/>
      <c r="AC69" s="317"/>
      <c r="AD69" s="317"/>
      <c r="AE69" s="270"/>
      <c r="AF69" s="317"/>
      <c r="AG69" s="270"/>
      <c r="AH69" s="317"/>
      <c r="AI69" s="276"/>
      <c r="AJ69" s="317"/>
      <c r="AK69" s="270"/>
      <c r="AL69" s="73"/>
      <c r="AM69" s="73"/>
      <c r="AN69" s="73"/>
      <c r="AO69" s="73"/>
      <c r="AP69" s="73"/>
      <c r="AQ69" s="73"/>
      <c r="AR69" s="73"/>
      <c r="AS69" s="73"/>
      <c r="AT69" s="73"/>
      <c r="AU69" s="73"/>
      <c r="AV69" s="318"/>
      <c r="AW69" s="73"/>
      <c r="AX69" s="73"/>
      <c r="AY69" s="269"/>
      <c r="AZ69" s="269"/>
      <c r="BA69" s="319"/>
      <c r="BB69" s="320"/>
      <c r="BC69" s="344"/>
      <c r="BD69" s="28"/>
    </row>
    <row r="70" spans="1:60" ht="13.5" customHeight="1">
      <c r="A70" s="22"/>
      <c r="B70" s="202">
        <v>31</v>
      </c>
      <c r="C70" s="331"/>
      <c r="D70" s="332"/>
      <c r="E70" s="65"/>
      <c r="F70" s="65"/>
      <c r="G70" s="65"/>
      <c r="H70" s="65"/>
      <c r="I70" s="65"/>
      <c r="J70" s="1021"/>
      <c r="K70" s="1021"/>
      <c r="L70" s="1021"/>
      <c r="M70" s="1021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  <c r="AA70" s="65"/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198"/>
      <c r="AN70" s="198"/>
      <c r="AO70" s="198"/>
      <c r="AP70" s="198"/>
      <c r="AQ70" s="198"/>
      <c r="AR70" s="198"/>
      <c r="AS70" s="198"/>
      <c r="AT70" s="198"/>
      <c r="AU70" s="198"/>
      <c r="AV70" s="198"/>
      <c r="AW70" s="198"/>
      <c r="AX70" s="198"/>
      <c r="AY70" s="198"/>
      <c r="AZ70" s="33"/>
      <c r="BA70" s="46"/>
      <c r="BB70" s="78"/>
      <c r="BC70" s="34"/>
      <c r="BD70" s="28"/>
      <c r="BG70" s="24"/>
      <c r="BH70" s="28"/>
    </row>
    <row r="71" spans="1:60" ht="14.15" customHeight="1">
      <c r="A71" s="22"/>
      <c r="B71" s="129"/>
      <c r="C71" s="346" t="s">
        <v>131</v>
      </c>
      <c r="D71" s="28"/>
      <c r="E71" s="28"/>
      <c r="F71" s="28"/>
      <c r="G71" s="28"/>
      <c r="S71" s="35"/>
      <c r="T71" s="35"/>
      <c r="U71" s="35"/>
      <c r="V71" s="35"/>
      <c r="Y71" s="35"/>
      <c r="Z71" s="35"/>
      <c r="AD71" s="35"/>
      <c r="AE71" s="35"/>
      <c r="AF71" s="35"/>
      <c r="AG71" s="35"/>
      <c r="AH71" s="35"/>
      <c r="AI71" s="35"/>
      <c r="AJ71" s="28"/>
      <c r="AK71" s="28"/>
      <c r="AL71" s="28"/>
      <c r="AM71" s="130"/>
      <c r="AN71" s="130"/>
      <c r="AO71" s="35"/>
      <c r="AP71" s="35"/>
      <c r="AQ71" s="35"/>
      <c r="AR71" s="35"/>
      <c r="AS71" s="35"/>
      <c r="AT71" s="35"/>
      <c r="AU71" s="35"/>
      <c r="AV71" s="35"/>
      <c r="AW71" s="35"/>
      <c r="AX71" s="65"/>
      <c r="AY71" s="65"/>
      <c r="AZ71" s="33"/>
      <c r="BA71" s="46"/>
      <c r="BB71" s="78"/>
      <c r="BC71" s="34"/>
      <c r="BD71" s="28"/>
      <c r="BG71" s="35"/>
    </row>
    <row r="72" spans="1:60" ht="5.15" customHeight="1">
      <c r="A72" s="22"/>
      <c r="B72" s="202"/>
      <c r="C72" s="296"/>
      <c r="D72" s="72"/>
      <c r="E72" s="72"/>
      <c r="F72" s="72"/>
      <c r="G72" s="72"/>
      <c r="H72" s="297"/>
      <c r="I72" s="278"/>
      <c r="J72" s="279"/>
      <c r="K72" s="278"/>
      <c r="L72" s="279"/>
      <c r="M72" s="298"/>
      <c r="N72" s="298"/>
      <c r="O72" s="263"/>
      <c r="P72" s="298"/>
      <c r="Q72" s="263"/>
      <c r="R72" s="298"/>
      <c r="S72" s="72"/>
      <c r="T72" s="72"/>
      <c r="U72" s="72"/>
      <c r="V72" s="72"/>
      <c r="W72" s="72"/>
      <c r="X72" s="297"/>
      <c r="Y72" s="278"/>
      <c r="Z72" s="279"/>
      <c r="AA72" s="278"/>
      <c r="AB72" s="279"/>
      <c r="AC72" s="298"/>
      <c r="AD72" s="298"/>
      <c r="AE72" s="263"/>
      <c r="AF72" s="298"/>
      <c r="AG72" s="263"/>
      <c r="AH72" s="298"/>
      <c r="AI72" s="280"/>
      <c r="AJ72" s="298"/>
      <c r="AK72" s="263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300"/>
      <c r="AW72" s="72"/>
      <c r="AX72" s="72"/>
      <c r="AY72" s="265"/>
      <c r="AZ72" s="33"/>
      <c r="BA72" s="46"/>
      <c r="BB72" s="78"/>
      <c r="BC72" s="34"/>
      <c r="BD72" s="28"/>
    </row>
    <row r="73" spans="1:60" ht="14.15" customHeight="1">
      <c r="A73" s="23"/>
      <c r="B73" s="351"/>
      <c r="C73" s="282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5"/>
      <c r="S73" s="35"/>
      <c r="T73" s="28"/>
      <c r="U73" s="28"/>
      <c r="V73" s="28"/>
      <c r="W73" s="28"/>
      <c r="X73" s="28"/>
      <c r="Y73" s="28"/>
      <c r="Z73" s="28"/>
      <c r="AC73" s="28"/>
      <c r="AD73" s="28"/>
      <c r="AE73" s="35"/>
      <c r="AF73" s="35"/>
      <c r="AG73" s="35"/>
      <c r="AH73" s="35"/>
      <c r="AI73" s="35"/>
      <c r="AJ73" s="28"/>
      <c r="AK73" s="28"/>
      <c r="AL73" s="28"/>
      <c r="AM73" s="35"/>
      <c r="AN73" s="35"/>
      <c r="AO73" s="135"/>
      <c r="AP73" s="136"/>
      <c r="AQ73" s="130"/>
      <c r="AR73" s="130"/>
      <c r="AS73" s="130"/>
      <c r="AT73" s="130"/>
      <c r="AU73" s="81"/>
      <c r="AV73" s="35"/>
      <c r="AW73" s="35"/>
      <c r="AX73" s="65"/>
      <c r="AY73" s="347"/>
      <c r="AZ73" s="33"/>
      <c r="BA73" s="46"/>
      <c r="BB73" s="78"/>
      <c r="BC73" s="34"/>
      <c r="BD73" s="28"/>
      <c r="BG73" s="35"/>
    </row>
    <row r="74" spans="1:60" ht="14.15" customHeight="1">
      <c r="A74" s="23"/>
      <c r="B74" s="351"/>
      <c r="C74" s="352"/>
      <c r="D74" s="348" t="s">
        <v>38</v>
      </c>
      <c r="E74" s="131"/>
      <c r="F74" s="131"/>
      <c r="G74" s="131"/>
      <c r="H74" s="132"/>
      <c r="I74" s="132"/>
      <c r="J74" s="106"/>
      <c r="K74" s="133"/>
      <c r="L74" s="134"/>
      <c r="M74" s="144"/>
      <c r="N74" s="144"/>
      <c r="O74" s="131"/>
      <c r="P74" s="134"/>
      <c r="Q74" s="107"/>
      <c r="R74" s="133" t="s">
        <v>40</v>
      </c>
      <c r="S74" s="134"/>
      <c r="T74" s="107"/>
      <c r="U74" s="107"/>
      <c r="V74" s="133" t="s">
        <v>44</v>
      </c>
      <c r="W74" s="134"/>
      <c r="X74" s="107"/>
      <c r="Y74" s="35"/>
      <c r="Z74" s="35"/>
      <c r="AC74" s="28"/>
      <c r="AD74" s="28"/>
      <c r="AE74" s="28"/>
      <c r="AF74" s="35"/>
      <c r="AG74" s="35"/>
      <c r="AH74" s="28"/>
      <c r="AI74" s="28"/>
      <c r="AJ74" s="28"/>
      <c r="AK74" s="81"/>
      <c r="AL74" s="28"/>
      <c r="AM74" s="28"/>
      <c r="AN74" s="28"/>
      <c r="AO74" s="28"/>
      <c r="AP74" s="28"/>
      <c r="AQ74" s="65"/>
      <c r="AR74" s="65"/>
      <c r="AS74" s="65"/>
      <c r="AT74" s="125"/>
      <c r="AU74" s="65"/>
      <c r="AV74" s="65"/>
      <c r="AW74" s="65"/>
      <c r="AX74" s="65"/>
      <c r="AY74" s="347"/>
      <c r="AZ74" s="33"/>
      <c r="BA74" s="46"/>
      <c r="BB74" s="78"/>
      <c r="BC74" s="34"/>
      <c r="BD74" s="28"/>
      <c r="BE74" s="35"/>
      <c r="BF74" s="35"/>
      <c r="BG74" s="35"/>
    </row>
    <row r="75" spans="1:60" ht="13.5" customHeight="1">
      <c r="A75" s="22"/>
      <c r="B75" s="353"/>
      <c r="C75" s="352"/>
      <c r="D75" s="349" t="s">
        <v>45</v>
      </c>
      <c r="E75" s="137"/>
      <c r="F75" s="137"/>
      <c r="G75" s="137"/>
      <c r="H75" s="137"/>
      <c r="I75" s="137"/>
      <c r="J75" s="137"/>
      <c r="K75" s="350"/>
      <c r="L75" s="139"/>
      <c r="M75" s="108"/>
      <c r="N75" s="108"/>
      <c r="O75" s="145"/>
      <c r="P75" s="139"/>
      <c r="Q75" s="109"/>
      <c r="R75" s="138" t="s">
        <v>41</v>
      </c>
      <c r="S75" s="139"/>
      <c r="T75" s="108"/>
      <c r="U75" s="109"/>
      <c r="V75" s="140"/>
      <c r="W75" s="141"/>
      <c r="X75" s="142"/>
      <c r="Y75" s="116"/>
      <c r="Z75" s="41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16"/>
      <c r="AP75" s="116"/>
      <c r="AQ75" s="65"/>
      <c r="AR75" s="65"/>
      <c r="AS75" s="65"/>
      <c r="AT75" s="125"/>
      <c r="AU75" s="65"/>
      <c r="AV75" s="65"/>
      <c r="AW75" s="65"/>
      <c r="AX75" s="65"/>
      <c r="AY75" s="347"/>
      <c r="AZ75" s="33"/>
      <c r="BA75" s="46"/>
      <c r="BB75" s="78"/>
      <c r="BC75" s="34"/>
      <c r="BD75" s="28"/>
      <c r="BE75" s="35"/>
      <c r="BF75" s="35"/>
      <c r="BG75" s="35"/>
    </row>
    <row r="76" spans="1:60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77"/>
      <c r="AZ76" s="33"/>
      <c r="BA76" s="46"/>
      <c r="BB76" s="78"/>
      <c r="BC76" s="34"/>
      <c r="BD76" s="28"/>
    </row>
    <row r="77" spans="1:60" ht="14.15" customHeight="1">
      <c r="A77" s="22"/>
      <c r="B77" s="202">
        <v>34</v>
      </c>
      <c r="C77" s="331"/>
      <c r="D77" s="332"/>
      <c r="E77" s="65"/>
      <c r="F77" s="65"/>
      <c r="G77" s="65"/>
      <c r="H77" s="65"/>
      <c r="I77" s="65"/>
      <c r="J77" s="1029"/>
      <c r="K77" s="1029"/>
      <c r="L77" s="1029"/>
      <c r="M77" s="1029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135"/>
      <c r="AQ77" s="135"/>
      <c r="AR77" s="65"/>
      <c r="AS77" s="65"/>
      <c r="AT77" s="125"/>
      <c r="AU77" s="65"/>
      <c r="AV77" s="65"/>
      <c r="AW77" s="65"/>
      <c r="AX77" s="65"/>
      <c r="AY77" s="65"/>
      <c r="AZ77" s="33"/>
      <c r="BA77" s="46"/>
      <c r="BB77" s="78"/>
      <c r="BC77" s="34"/>
      <c r="BD77" s="28"/>
      <c r="BG77" s="24"/>
      <c r="BH77" s="28"/>
    </row>
    <row r="78" spans="1:60" ht="14.15" customHeight="1">
      <c r="A78" s="22"/>
      <c r="B78" s="202">
        <v>35</v>
      </c>
      <c r="C78" s="346" t="s">
        <v>247</v>
      </c>
      <c r="D78" s="332"/>
      <c r="E78" s="65"/>
      <c r="F78" s="65"/>
      <c r="G78" s="65"/>
      <c r="H78" s="65"/>
      <c r="I78" s="65"/>
      <c r="J78" s="986"/>
      <c r="K78" s="986"/>
      <c r="L78" s="986"/>
      <c r="M78" s="986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125"/>
      <c r="AU78" s="65"/>
      <c r="AV78" s="65"/>
      <c r="AW78" s="65"/>
      <c r="AX78" s="65"/>
      <c r="AY78" s="65"/>
      <c r="AZ78" s="33"/>
      <c r="BA78" s="46"/>
      <c r="BB78" s="335"/>
      <c r="BC78" s="336"/>
      <c r="BD78" s="28"/>
      <c r="BG78" s="24"/>
      <c r="BH78" s="28"/>
    </row>
    <row r="79" spans="1:60" ht="14.15" customHeight="1">
      <c r="A79" s="22"/>
      <c r="B79" s="202">
        <v>35</v>
      </c>
      <c r="C79" s="331"/>
      <c r="D79" s="478" t="s">
        <v>248</v>
      </c>
      <c r="E79" s="65"/>
      <c r="F79" s="65"/>
      <c r="G79" s="65"/>
      <c r="H79" s="65"/>
      <c r="I79" s="65"/>
      <c r="J79" s="477"/>
      <c r="K79" s="477"/>
      <c r="L79" s="477"/>
      <c r="M79" s="477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125"/>
      <c r="AU79" s="65"/>
      <c r="AV79" s="65"/>
      <c r="AW79" s="65"/>
      <c r="AX79" s="65"/>
      <c r="AY79" s="65"/>
      <c r="AZ79" s="33"/>
      <c r="BA79" s="46"/>
      <c r="BB79" s="335"/>
      <c r="BC79" s="336"/>
      <c r="BD79" s="28"/>
      <c r="BG79" s="24"/>
      <c r="BH79" s="28"/>
    </row>
    <row r="80" spans="1:60" ht="14.15" customHeight="1">
      <c r="A80" s="22"/>
      <c r="B80" s="202">
        <v>35</v>
      </c>
      <c r="C80" s="331"/>
      <c r="D80" s="332"/>
      <c r="E80" s="65"/>
      <c r="F80" s="65"/>
      <c r="G80" s="65"/>
      <c r="H80" s="65"/>
      <c r="I80" s="65"/>
      <c r="J80" s="1025"/>
      <c r="K80" s="1025"/>
      <c r="L80" s="1025"/>
      <c r="M80" s="102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125"/>
      <c r="AU80" s="65"/>
      <c r="AV80" s="65"/>
      <c r="AW80" s="65"/>
      <c r="AX80" s="65"/>
      <c r="AY80" s="65"/>
      <c r="AZ80" s="33"/>
      <c r="BA80" s="46"/>
      <c r="BB80" s="335"/>
      <c r="BC80" s="336"/>
      <c r="BD80" s="28"/>
      <c r="BG80" s="24"/>
      <c r="BH80" s="28"/>
    </row>
    <row r="81" spans="1:60" ht="5.15" customHeight="1">
      <c r="A81" s="22"/>
      <c r="B81" s="202"/>
      <c r="C81" s="296"/>
      <c r="D81" s="72"/>
      <c r="E81" s="72"/>
      <c r="F81" s="72"/>
      <c r="G81" s="72"/>
      <c r="H81" s="297"/>
      <c r="I81" s="278"/>
      <c r="J81" s="279"/>
      <c r="K81" s="278"/>
      <c r="L81" s="279"/>
      <c r="M81" s="298"/>
      <c r="N81" s="298"/>
      <c r="O81" s="263"/>
      <c r="P81" s="298"/>
      <c r="Q81" s="263"/>
      <c r="R81" s="298"/>
      <c r="S81" s="72"/>
      <c r="T81" s="72"/>
      <c r="U81" s="72"/>
      <c r="V81" s="72"/>
      <c r="W81" s="72"/>
      <c r="X81" s="297"/>
      <c r="Y81" s="278"/>
      <c r="Z81" s="279"/>
      <c r="AA81" s="278"/>
      <c r="AB81" s="279"/>
      <c r="AC81" s="298"/>
      <c r="AD81" s="298"/>
      <c r="AE81" s="263"/>
      <c r="AF81" s="298"/>
      <c r="AG81" s="263"/>
      <c r="AH81" s="298"/>
      <c r="AI81" s="280"/>
      <c r="AJ81" s="298"/>
      <c r="AK81" s="263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300"/>
      <c r="AW81" s="72"/>
      <c r="AX81" s="72"/>
      <c r="AY81" s="265"/>
      <c r="AZ81" s="33"/>
      <c r="BA81" s="46"/>
      <c r="BB81" s="78"/>
      <c r="BC81" s="34"/>
      <c r="BD81" s="28"/>
    </row>
    <row r="82" spans="1:60" ht="14.15" customHeight="1">
      <c r="A82" s="23"/>
      <c r="B82" s="351"/>
      <c r="C82" s="282"/>
      <c r="D82" s="28" t="s">
        <v>240</v>
      </c>
      <c r="E82" s="28"/>
      <c r="F82" s="28"/>
      <c r="G82" s="28"/>
      <c r="H82" s="468" t="s">
        <v>245</v>
      </c>
      <c r="I82" s="257"/>
      <c r="J82" s="258"/>
      <c r="K82" s="258"/>
      <c r="L82" s="258"/>
      <c r="M82" s="259"/>
      <c r="N82" s="258"/>
      <c r="O82" s="110"/>
      <c r="P82" s="261" t="s">
        <v>33</v>
      </c>
      <c r="Q82" s="25"/>
      <c r="R82" s="469" t="s">
        <v>246</v>
      </c>
      <c r="S82" s="470"/>
      <c r="T82" s="471"/>
      <c r="U82" s="471"/>
      <c r="V82" s="483"/>
      <c r="W82" s="472"/>
      <c r="X82" s="471"/>
      <c r="Y82" s="473"/>
      <c r="Z82" s="474"/>
      <c r="AB82" s="469" t="s">
        <v>289</v>
      </c>
      <c r="AC82" s="470"/>
      <c r="AD82" s="471"/>
      <c r="AE82" s="471"/>
      <c r="AF82" s="471"/>
      <c r="AG82" s="472"/>
      <c r="AH82" s="471"/>
      <c r="AI82" s="473"/>
      <c r="AJ82" s="472"/>
      <c r="AK82" s="479"/>
      <c r="AL82" s="479"/>
      <c r="AM82" s="473"/>
      <c r="AN82" s="473"/>
      <c r="AO82" s="471"/>
      <c r="AP82" s="480"/>
      <c r="AQ82" s="471"/>
      <c r="AR82" s="471"/>
      <c r="AS82" s="471"/>
      <c r="AT82" s="471"/>
      <c r="AU82" s="481"/>
      <c r="AV82" s="473"/>
      <c r="AW82" s="473"/>
      <c r="AX82" s="482"/>
      <c r="AY82" s="347"/>
      <c r="AZ82" s="33"/>
      <c r="BA82" s="46"/>
      <c r="BB82" s="78"/>
      <c r="BC82" s="34"/>
      <c r="BD82" s="28"/>
      <c r="BG82" s="35"/>
    </row>
    <row r="83" spans="1:60" ht="14.15" customHeight="1">
      <c r="A83" s="23"/>
      <c r="B83" s="351"/>
      <c r="C83" s="282"/>
      <c r="D83" s="28"/>
      <c r="E83" s="28"/>
      <c r="F83" s="28"/>
      <c r="G83" s="28"/>
      <c r="H83" s="469" t="s">
        <v>54</v>
      </c>
      <c r="I83" s="470"/>
      <c r="J83" s="471"/>
      <c r="K83" s="471"/>
      <c r="L83" s="471"/>
      <c r="M83" s="472"/>
      <c r="N83" s="471"/>
      <c r="O83" s="473"/>
      <c r="P83" s="472"/>
      <c r="Q83" s="479"/>
      <c r="R83" s="479"/>
      <c r="S83" s="473"/>
      <c r="T83" s="473"/>
      <c r="U83" s="471"/>
      <c r="V83" s="480"/>
      <c r="W83" s="471"/>
      <c r="X83" s="471"/>
      <c r="Y83" s="471"/>
      <c r="Z83" s="471"/>
      <c r="AA83" s="481"/>
      <c r="AB83" s="473"/>
      <c r="AC83" s="473"/>
      <c r="AD83" s="479"/>
      <c r="AE83" s="471"/>
      <c r="AF83" s="471"/>
      <c r="AG83" s="472"/>
      <c r="AH83" s="471"/>
      <c r="AI83" s="473"/>
      <c r="AJ83" s="472"/>
      <c r="AK83" s="479"/>
      <c r="AL83" s="479"/>
      <c r="AM83" s="473"/>
      <c r="AN83" s="473"/>
      <c r="AO83" s="471"/>
      <c r="AP83" s="480"/>
      <c r="AQ83" s="471"/>
      <c r="AR83" s="471"/>
      <c r="AS83" s="471"/>
      <c r="AT83" s="471"/>
      <c r="AU83" s="481"/>
      <c r="AV83" s="473"/>
      <c r="AW83" s="473"/>
      <c r="AX83" s="482"/>
      <c r="AY83" s="347"/>
      <c r="AZ83" s="33"/>
      <c r="BA83" s="46"/>
      <c r="BB83" s="78"/>
      <c r="BC83" s="34"/>
      <c r="BD83" s="28"/>
      <c r="BG83" s="35"/>
    </row>
    <row r="84" spans="1:60" ht="5.15" customHeight="1">
      <c r="A84" s="22"/>
      <c r="B84" s="202"/>
      <c r="C84" s="315"/>
      <c r="D84" s="73"/>
      <c r="E84" s="73"/>
      <c r="F84" s="73"/>
      <c r="G84" s="73"/>
      <c r="H84" s="316"/>
      <c r="I84" s="275"/>
      <c r="J84" s="273"/>
      <c r="K84" s="275"/>
      <c r="L84" s="273"/>
      <c r="M84" s="317"/>
      <c r="N84" s="317"/>
      <c r="O84" s="270"/>
      <c r="P84" s="317"/>
      <c r="Q84" s="270"/>
      <c r="R84" s="317"/>
      <c r="S84" s="73"/>
      <c r="T84" s="73"/>
      <c r="U84" s="73"/>
      <c r="V84" s="73"/>
      <c r="W84" s="73"/>
      <c r="X84" s="316"/>
      <c r="Y84" s="275"/>
      <c r="Z84" s="273"/>
      <c r="AA84" s="275"/>
      <c r="AB84" s="273"/>
      <c r="AC84" s="317"/>
      <c r="AD84" s="317"/>
      <c r="AE84" s="270"/>
      <c r="AF84" s="317"/>
      <c r="AG84" s="270"/>
      <c r="AH84" s="317"/>
      <c r="AI84" s="276"/>
      <c r="AJ84" s="317"/>
      <c r="AK84" s="270"/>
      <c r="AL84" s="73"/>
      <c r="AM84" s="73"/>
      <c r="AN84" s="73"/>
      <c r="AO84" s="73"/>
      <c r="AP84" s="73"/>
      <c r="AQ84" s="73"/>
      <c r="AR84" s="73"/>
      <c r="AS84" s="73"/>
      <c r="AT84" s="73"/>
      <c r="AU84" s="73"/>
      <c r="AV84" s="318"/>
      <c r="AW84" s="73"/>
      <c r="AX84" s="73"/>
      <c r="AY84" s="277"/>
      <c r="AZ84" s="33"/>
      <c r="BA84" s="46"/>
      <c r="BB84" s="78"/>
      <c r="BC84" s="34"/>
      <c r="BD84" s="28"/>
    </row>
    <row r="85" spans="1:60" ht="5.15" customHeight="1">
      <c r="A85" s="22"/>
      <c r="B85" s="202"/>
      <c r="C85" s="476"/>
      <c r="D85" s="72"/>
      <c r="E85" s="72"/>
      <c r="F85" s="72"/>
      <c r="G85" s="72"/>
      <c r="H85" s="297"/>
      <c r="I85" s="278"/>
      <c r="J85" s="279"/>
      <c r="K85" s="278"/>
      <c r="L85" s="279"/>
      <c r="M85" s="298"/>
      <c r="N85" s="298"/>
      <c r="O85" s="263"/>
      <c r="P85" s="298"/>
      <c r="Q85" s="263"/>
      <c r="R85" s="298"/>
      <c r="S85" s="72"/>
      <c r="T85" s="72"/>
      <c r="U85" s="72"/>
      <c r="V85" s="72"/>
      <c r="W85" s="72"/>
      <c r="X85" s="297"/>
      <c r="Y85" s="278"/>
      <c r="Z85" s="279"/>
      <c r="AA85" s="278"/>
      <c r="AB85" s="279"/>
      <c r="AC85" s="298"/>
      <c r="AD85" s="298"/>
      <c r="AE85" s="263"/>
      <c r="AF85" s="298"/>
      <c r="AG85" s="263"/>
      <c r="AH85" s="298"/>
      <c r="AI85" s="280"/>
      <c r="AJ85" s="298"/>
      <c r="AK85" s="263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300"/>
      <c r="AW85" s="72"/>
      <c r="AX85" s="72"/>
      <c r="AY85" s="264"/>
      <c r="AZ85" s="33"/>
      <c r="BA85" s="46"/>
      <c r="BB85" s="78"/>
      <c r="BC85" s="34"/>
      <c r="BD85" s="28"/>
    </row>
    <row r="86" spans="1:60" ht="14.15" customHeight="1">
      <c r="A86" s="22"/>
      <c r="B86" s="202">
        <v>35</v>
      </c>
      <c r="C86" s="62" t="s">
        <v>243</v>
      </c>
      <c r="D86" s="332"/>
      <c r="E86" s="65"/>
      <c r="F86" s="65"/>
      <c r="G86" s="65"/>
      <c r="H86" s="65"/>
      <c r="I86" s="65"/>
      <c r="J86" s="986"/>
      <c r="K86" s="986"/>
      <c r="L86" s="986"/>
      <c r="M86" s="986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5.15" customHeight="1">
      <c r="A87" s="22"/>
      <c r="B87" s="202"/>
      <c r="C87" s="296"/>
      <c r="D87" s="72"/>
      <c r="E87" s="72"/>
      <c r="F87" s="72"/>
      <c r="G87" s="72"/>
      <c r="H87" s="297"/>
      <c r="I87" s="278"/>
      <c r="J87" s="279"/>
      <c r="K87" s="278"/>
      <c r="L87" s="279"/>
      <c r="M87" s="298"/>
      <c r="N87" s="298"/>
      <c r="O87" s="263"/>
      <c r="P87" s="298"/>
      <c r="Q87" s="263"/>
      <c r="R87" s="298"/>
      <c r="S87" s="72"/>
      <c r="T87" s="72"/>
      <c r="U87" s="72"/>
      <c r="V87" s="72"/>
      <c r="W87" s="72"/>
      <c r="X87" s="297"/>
      <c r="Y87" s="278"/>
      <c r="Z87" s="279"/>
      <c r="AA87" s="278"/>
      <c r="AB87" s="279"/>
      <c r="AC87" s="298"/>
      <c r="AD87" s="298"/>
      <c r="AE87" s="263"/>
      <c r="AF87" s="298"/>
      <c r="AG87" s="263"/>
      <c r="AH87" s="298"/>
      <c r="AI87" s="280"/>
      <c r="AJ87" s="298"/>
      <c r="AK87" s="263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300"/>
      <c r="AW87" s="72"/>
      <c r="AX87" s="72"/>
      <c r="AY87" s="265"/>
      <c r="AZ87" s="33"/>
      <c r="BA87" s="46"/>
      <c r="BB87" s="78"/>
      <c r="BC87" s="34"/>
      <c r="BD87" s="28"/>
    </row>
    <row r="88" spans="1:60" ht="14.15" customHeight="1">
      <c r="A88" s="23"/>
      <c r="B88" s="351"/>
      <c r="C88" s="282"/>
      <c r="D88" s="28" t="s">
        <v>240</v>
      </c>
      <c r="E88" s="28"/>
      <c r="F88" s="28"/>
      <c r="G88" s="28"/>
      <c r="H88" s="468" t="s">
        <v>241</v>
      </c>
      <c r="I88" s="257"/>
      <c r="J88" s="258"/>
      <c r="K88" s="258"/>
      <c r="L88" s="258"/>
      <c r="M88" s="259"/>
      <c r="N88" s="258"/>
      <c r="O88" s="110"/>
      <c r="P88" s="261" t="s">
        <v>33</v>
      </c>
      <c r="Q88" s="25"/>
      <c r="R88" s="469" t="s">
        <v>242</v>
      </c>
      <c r="S88" s="470"/>
      <c r="T88" s="471"/>
      <c r="U88" s="471"/>
      <c r="V88" s="483"/>
      <c r="W88" s="484" t="s">
        <v>254</v>
      </c>
      <c r="X88" s="471"/>
      <c r="Y88" s="473"/>
      <c r="Z88" s="474"/>
      <c r="AB88" s="529" t="s">
        <v>290</v>
      </c>
      <c r="AC88" s="530"/>
      <c r="AD88" s="531"/>
      <c r="AE88" s="531"/>
      <c r="AF88" s="531"/>
      <c r="AG88" s="532"/>
      <c r="AH88" s="531"/>
      <c r="AI88" s="533"/>
      <c r="AJ88" s="532"/>
      <c r="AK88" s="61"/>
      <c r="AL88" s="61"/>
      <c r="AM88" s="533"/>
      <c r="AN88" s="533"/>
      <c r="AO88" s="531"/>
      <c r="AP88" s="534"/>
      <c r="AQ88" s="531"/>
      <c r="AR88" s="531"/>
      <c r="AS88" s="531"/>
      <c r="AT88" s="531"/>
      <c r="AU88" s="535"/>
      <c r="AV88" s="533"/>
      <c r="AW88" s="533"/>
      <c r="AX88" s="70"/>
      <c r="AY88" s="347"/>
      <c r="AZ88" s="33"/>
      <c r="BA88" s="46"/>
      <c r="BB88" s="78"/>
      <c r="BC88" s="34"/>
      <c r="BD88" s="28"/>
      <c r="BG88" s="35"/>
    </row>
    <row r="89" spans="1:60" ht="14.15" customHeight="1">
      <c r="A89" s="23"/>
      <c r="B89" s="351"/>
      <c r="C89" s="282"/>
      <c r="D89" s="28"/>
      <c r="E89" s="28"/>
      <c r="F89" s="28"/>
      <c r="G89" s="28"/>
      <c r="H89" s="469" t="s">
        <v>253</v>
      </c>
      <c r="I89" s="470"/>
      <c r="J89" s="471"/>
      <c r="K89" s="471"/>
      <c r="L89" s="471"/>
      <c r="M89" s="472"/>
      <c r="N89" s="471"/>
      <c r="O89" s="473"/>
      <c r="P89" s="472"/>
      <c r="Q89" s="479"/>
      <c r="R89" s="479"/>
      <c r="S89" s="473"/>
      <c r="T89" s="473"/>
      <c r="U89" s="471"/>
      <c r="V89" s="480"/>
      <c r="W89" s="471"/>
      <c r="X89" s="471"/>
      <c r="Y89" s="471"/>
      <c r="Z89" s="471"/>
      <c r="AA89" s="481"/>
      <c r="AB89" s="473"/>
      <c r="AC89" s="473"/>
      <c r="AD89" s="479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5.15" customHeight="1">
      <c r="A90" s="22"/>
      <c r="B90" s="202"/>
      <c r="C90" s="315"/>
      <c r="D90" s="73"/>
      <c r="E90" s="73"/>
      <c r="F90" s="73"/>
      <c r="G90" s="73"/>
      <c r="H90" s="316"/>
      <c r="I90" s="275"/>
      <c r="J90" s="273"/>
      <c r="K90" s="275"/>
      <c r="L90" s="273"/>
      <c r="M90" s="317"/>
      <c r="N90" s="317"/>
      <c r="O90" s="270"/>
      <c r="P90" s="317"/>
      <c r="Q90" s="270"/>
      <c r="R90" s="317"/>
      <c r="S90" s="73"/>
      <c r="T90" s="73"/>
      <c r="U90" s="73"/>
      <c r="V90" s="73"/>
      <c r="W90" s="73"/>
      <c r="X90" s="316"/>
      <c r="Y90" s="275"/>
      <c r="Z90" s="273"/>
      <c r="AA90" s="275"/>
      <c r="AB90" s="273"/>
      <c r="AC90" s="317"/>
      <c r="AD90" s="317"/>
      <c r="AE90" s="270"/>
      <c r="AF90" s="317"/>
      <c r="AG90" s="270"/>
      <c r="AH90" s="317"/>
      <c r="AI90" s="276"/>
      <c r="AJ90" s="317"/>
      <c r="AK90" s="270"/>
      <c r="AL90" s="73"/>
      <c r="AM90" s="73"/>
      <c r="AN90" s="73"/>
      <c r="AO90" s="73"/>
      <c r="AP90" s="73"/>
      <c r="AQ90" s="73"/>
      <c r="AR90" s="73"/>
      <c r="AS90" s="73"/>
      <c r="AT90" s="73"/>
      <c r="AU90" s="73"/>
      <c r="AV90" s="318"/>
      <c r="AW90" s="73"/>
      <c r="AX90" s="73"/>
      <c r="AY90" s="277"/>
      <c r="AZ90" s="33"/>
      <c r="BA90" s="46"/>
      <c r="BB90" s="78"/>
      <c r="BC90" s="34"/>
      <c r="BD90" s="28"/>
    </row>
    <row r="91" spans="1:60" ht="5.15" customHeight="1">
      <c r="A91" s="22"/>
      <c r="B91" s="202"/>
      <c r="C91" s="47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4"/>
      <c r="AZ91" s="33"/>
      <c r="BA91" s="46"/>
      <c r="BB91" s="335"/>
      <c r="BC91" s="336"/>
      <c r="BD91" s="28"/>
    </row>
    <row r="92" spans="1:60" ht="14.15" customHeight="1">
      <c r="A92" s="22"/>
      <c r="B92" s="202">
        <v>35</v>
      </c>
      <c r="C92" s="62" t="s">
        <v>243</v>
      </c>
      <c r="D92" s="332"/>
      <c r="E92" s="65"/>
      <c r="F92" s="65"/>
      <c r="G92" s="65"/>
      <c r="H92" s="65"/>
      <c r="I92" s="65"/>
      <c r="J92" s="477"/>
      <c r="K92" s="477"/>
      <c r="L92" s="477"/>
      <c r="M92" s="477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125"/>
      <c r="AU92" s="65"/>
      <c r="AV92" s="65"/>
      <c r="AW92" s="65"/>
      <c r="AX92" s="65"/>
      <c r="AY92" s="65"/>
      <c r="AZ92" s="33"/>
      <c r="BA92" s="46"/>
      <c r="BB92" s="335"/>
      <c r="BC92" s="336"/>
      <c r="BD92" s="28"/>
      <c r="BG92" s="24"/>
      <c r="BH92" s="28"/>
    </row>
    <row r="93" spans="1:60" ht="14.15" customHeight="1">
      <c r="A93" s="22"/>
      <c r="B93" s="202">
        <v>35</v>
      </c>
      <c r="C93" s="331"/>
      <c r="D93" s="332"/>
      <c r="E93" s="65"/>
      <c r="F93" s="65"/>
      <c r="G93" s="65"/>
      <c r="H93" s="65"/>
      <c r="I93" s="65"/>
      <c r="J93" s="477"/>
      <c r="K93" s="477"/>
      <c r="L93" s="477"/>
      <c r="M93" s="477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14.15" customHeight="1">
      <c r="A94" s="22"/>
      <c r="B94" s="202">
        <v>35</v>
      </c>
      <c r="C94" s="346" t="s">
        <v>249</v>
      </c>
      <c r="D94" s="332"/>
      <c r="E94" s="65"/>
      <c r="F94" s="65"/>
      <c r="G94" s="65"/>
      <c r="H94" s="65"/>
      <c r="I94" s="65"/>
      <c r="J94" s="986"/>
      <c r="K94" s="986"/>
      <c r="L94" s="986"/>
      <c r="M94" s="986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125"/>
      <c r="AU94" s="65"/>
      <c r="AV94" s="65"/>
      <c r="AW94" s="65"/>
      <c r="AX94" s="65"/>
      <c r="AY94" s="65"/>
      <c r="AZ94" s="33"/>
      <c r="BA94" s="46"/>
      <c r="BB94" s="335"/>
      <c r="BC94" s="336"/>
      <c r="BD94" s="28"/>
      <c r="BG94" s="24"/>
      <c r="BH94" s="28"/>
    </row>
    <row r="95" spans="1:60" ht="5.15" customHeight="1">
      <c r="A95" s="22"/>
      <c r="B95" s="202"/>
      <c r="C95" s="29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5"/>
      <c r="AZ95" s="33"/>
      <c r="BA95" s="46"/>
      <c r="BB95" s="335"/>
      <c r="BC95" s="336"/>
      <c r="BD95" s="28"/>
    </row>
    <row r="96" spans="1:60" ht="13.5" customHeight="1">
      <c r="A96" s="22"/>
      <c r="B96" s="45"/>
      <c r="C96" s="266"/>
      <c r="D96" s="28" t="s">
        <v>250</v>
      </c>
      <c r="E96" s="28"/>
      <c r="F96" s="28"/>
      <c r="G96" s="28"/>
      <c r="H96" s="24"/>
      <c r="I96" s="24"/>
      <c r="J96" s="24"/>
      <c r="K96" s="24"/>
      <c r="L96" s="24"/>
      <c r="M96" s="127"/>
      <c r="N96" s="75"/>
      <c r="O96" s="84"/>
      <c r="P96" s="84"/>
      <c r="Q96" s="85"/>
      <c r="R96" s="75"/>
      <c r="S96" s="75"/>
      <c r="T96" s="75"/>
      <c r="U96" s="84"/>
      <c r="V96" s="85"/>
      <c r="W96" s="75"/>
      <c r="X96" s="65"/>
      <c r="Y96" s="28"/>
      <c r="Z96" s="28"/>
      <c r="AA96" s="28"/>
      <c r="AB96" s="28"/>
      <c r="AC96" s="28"/>
      <c r="AD96" s="28"/>
      <c r="AE96" s="28"/>
      <c r="AF96" s="28"/>
      <c r="AG96" s="28"/>
      <c r="AH96" s="28"/>
      <c r="AI96" s="28"/>
      <c r="AJ96" s="28"/>
      <c r="AK96" s="28"/>
      <c r="AL96" s="28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65"/>
      <c r="AY96" s="267"/>
      <c r="AZ96" s="33"/>
      <c r="BA96" s="46"/>
      <c r="BB96" s="335"/>
      <c r="BC96" s="336"/>
      <c r="BD96" s="28"/>
      <c r="BE96" s="35"/>
      <c r="BF96" s="35"/>
      <c r="BG96" s="35"/>
    </row>
    <row r="97" spans="1:69" ht="13.5" customHeight="1">
      <c r="A97" s="22"/>
      <c r="B97" s="45"/>
      <c r="C97" s="266"/>
      <c r="D97" s="28"/>
      <c r="E97" s="28"/>
      <c r="F97" s="28"/>
      <c r="G97" s="28"/>
      <c r="H97" s="348" t="s">
        <v>252</v>
      </c>
      <c r="I97" s="131"/>
      <c r="J97" s="131"/>
      <c r="K97" s="131"/>
      <c r="L97" s="132"/>
      <c r="M97" s="132"/>
      <c r="N97" s="106"/>
      <c r="O97" s="133"/>
      <c r="P97" s="134"/>
      <c r="Q97" s="133" t="s">
        <v>251</v>
      </c>
      <c r="R97" s="134"/>
      <c r="S97" s="107"/>
      <c r="T97" s="107"/>
      <c r="U97" s="107"/>
      <c r="V97" s="107"/>
      <c r="W97" s="107"/>
      <c r="X97" s="107"/>
      <c r="Y97" s="107"/>
      <c r="Z97" s="107"/>
      <c r="AA97" s="107"/>
      <c r="AB97" s="107"/>
      <c r="AC97" s="107"/>
      <c r="AD97" s="107"/>
      <c r="AE97" s="107"/>
      <c r="AF97" s="107"/>
      <c r="AG97" s="107"/>
      <c r="AH97" s="107"/>
      <c r="AI97" s="107"/>
      <c r="AJ97" s="107"/>
      <c r="AK97" s="107"/>
      <c r="AL97" s="133" t="s">
        <v>44</v>
      </c>
      <c r="AM97" s="134"/>
      <c r="AN97" s="107"/>
      <c r="AO97" s="31"/>
      <c r="AP97" s="31"/>
      <c r="AQ97" s="31"/>
      <c r="AR97" s="31"/>
      <c r="AS97" s="31"/>
      <c r="AT97" s="31"/>
      <c r="AU97" s="31"/>
      <c r="AV97" s="31"/>
      <c r="AW97" s="31"/>
      <c r="AX97" s="65"/>
      <c r="AY97" s="267"/>
      <c r="AZ97" s="33"/>
      <c r="BA97" s="46"/>
      <c r="BB97" s="335"/>
      <c r="BC97" s="336"/>
      <c r="BD97" s="28"/>
      <c r="BE97" s="35"/>
      <c r="BF97" s="35"/>
      <c r="BG97" s="35"/>
    </row>
    <row r="98" spans="1:69" ht="13.5" customHeight="1">
      <c r="A98" s="22"/>
      <c r="B98" s="45"/>
      <c r="C98" s="266"/>
      <c r="D98" s="28"/>
      <c r="E98" s="28"/>
      <c r="F98" s="28"/>
      <c r="G98" s="28"/>
      <c r="H98" s="485" t="s">
        <v>255</v>
      </c>
      <c r="I98" s="137"/>
      <c r="J98" s="137"/>
      <c r="K98" s="137"/>
      <c r="L98" s="137"/>
      <c r="M98" s="137"/>
      <c r="N98" s="137"/>
      <c r="O98" s="350"/>
      <c r="P98" s="139"/>
      <c r="Q98" s="486" t="s">
        <v>54</v>
      </c>
      <c r="R98" s="139"/>
      <c r="S98" s="108"/>
      <c r="T98" s="108"/>
      <c r="U98" s="108"/>
      <c r="V98" s="156"/>
      <c r="W98" s="110"/>
      <c r="X98" s="110"/>
      <c r="Y98" s="156"/>
      <c r="Z98" s="156"/>
      <c r="AA98" s="110"/>
      <c r="AB98" s="110"/>
      <c r="AC98" s="37"/>
      <c r="AD98" s="37"/>
      <c r="AE98" s="37"/>
      <c r="AF98" s="37"/>
      <c r="AG98" s="37"/>
      <c r="AH98" s="37"/>
      <c r="AI98" s="37"/>
      <c r="AJ98" s="37"/>
      <c r="AK98" s="97"/>
      <c r="AL98" s="140"/>
      <c r="AM98" s="141"/>
      <c r="AN98" s="142"/>
      <c r="AO98" s="31"/>
      <c r="AP98" s="31"/>
      <c r="AQ98" s="31"/>
      <c r="AR98" s="31"/>
      <c r="AS98" s="31"/>
      <c r="AT98" s="31"/>
      <c r="AU98" s="31"/>
      <c r="AV98" s="31"/>
      <c r="AW98" s="31"/>
      <c r="AX98" s="65"/>
      <c r="AY98" s="267"/>
      <c r="AZ98" s="33"/>
      <c r="BA98" s="46"/>
      <c r="BB98" s="335"/>
      <c r="BC98" s="336"/>
      <c r="BD98" s="28"/>
      <c r="BE98" s="35"/>
      <c r="BF98" s="35"/>
      <c r="BG98" s="35"/>
    </row>
    <row r="99" spans="1:69" ht="13.5" customHeight="1">
      <c r="A99" s="22"/>
      <c r="B99" s="45"/>
      <c r="C99" s="266"/>
      <c r="D99" s="28"/>
      <c r="E99" s="28"/>
      <c r="F99" s="28"/>
      <c r="G99" s="28"/>
      <c r="H99" s="485" t="s">
        <v>256</v>
      </c>
      <c r="I99" s="137"/>
      <c r="J99" s="137"/>
      <c r="K99" s="137"/>
      <c r="L99" s="137"/>
      <c r="M99" s="137"/>
      <c r="N99" s="137"/>
      <c r="O99" s="350"/>
      <c r="P99" s="139"/>
      <c r="Q99" s="486" t="s">
        <v>54</v>
      </c>
      <c r="R99" s="139"/>
      <c r="S99" s="108"/>
      <c r="T99" s="108"/>
      <c r="U99" s="108"/>
      <c r="V99" s="156"/>
      <c r="W99" s="110"/>
      <c r="X99" s="110"/>
      <c r="Y99" s="156"/>
      <c r="Z99" s="156"/>
      <c r="AA99" s="110"/>
      <c r="AB99" s="110"/>
      <c r="AC99" s="37"/>
      <c r="AD99" s="37"/>
      <c r="AE99" s="37"/>
      <c r="AF99" s="37"/>
      <c r="AG99" s="37"/>
      <c r="AH99" s="37"/>
      <c r="AI99" s="37"/>
      <c r="AJ99" s="37"/>
      <c r="AK99" s="97"/>
      <c r="AL99" s="140"/>
      <c r="AM99" s="141"/>
      <c r="AN99" s="142"/>
      <c r="AO99" s="31"/>
      <c r="AP99" s="31"/>
      <c r="AQ99" s="31"/>
      <c r="AR99" s="31"/>
      <c r="AS99" s="31"/>
      <c r="AT99" s="31"/>
      <c r="AU99" s="31"/>
      <c r="AV99" s="31"/>
      <c r="AW99" s="31"/>
      <c r="AX99" s="65"/>
      <c r="AY99" s="267"/>
      <c r="AZ99" s="33"/>
      <c r="BA99" s="46"/>
      <c r="BB99" s="335"/>
      <c r="BC99" s="336"/>
      <c r="BD99" s="28"/>
      <c r="BE99" s="35"/>
      <c r="BF99" s="35"/>
      <c r="BG99" s="35"/>
    </row>
    <row r="100" spans="1:69" ht="13.5" customHeight="1">
      <c r="A100" s="22"/>
      <c r="B100" s="45"/>
      <c r="C100" s="266"/>
      <c r="D100" s="28"/>
      <c r="E100" s="28"/>
      <c r="F100" s="28"/>
      <c r="G100" s="28"/>
      <c r="H100" s="485" t="s">
        <v>257</v>
      </c>
      <c r="I100" s="137"/>
      <c r="J100" s="137"/>
      <c r="K100" s="137"/>
      <c r="L100" s="137"/>
      <c r="M100" s="137"/>
      <c r="N100" s="137"/>
      <c r="O100" s="350"/>
      <c r="P100" s="139"/>
      <c r="Q100" s="486" t="s">
        <v>54</v>
      </c>
      <c r="R100" s="139"/>
      <c r="S100" s="108"/>
      <c r="T100" s="108"/>
      <c r="U100" s="108"/>
      <c r="V100" s="156"/>
      <c r="W100" s="110"/>
      <c r="X100" s="110"/>
      <c r="Y100" s="156"/>
      <c r="Z100" s="156"/>
      <c r="AA100" s="110"/>
      <c r="AB100" s="110"/>
      <c r="AC100" s="37"/>
      <c r="AD100" s="37"/>
      <c r="AE100" s="37"/>
      <c r="AF100" s="37"/>
      <c r="AG100" s="37"/>
      <c r="AH100" s="37"/>
      <c r="AI100" s="37"/>
      <c r="AJ100" s="37"/>
      <c r="AK100" s="97"/>
      <c r="AL100" s="140"/>
      <c r="AM100" s="141"/>
      <c r="AN100" s="142"/>
      <c r="AO100" s="31"/>
      <c r="AP100" s="31"/>
      <c r="AQ100" s="31"/>
      <c r="AR100" s="31"/>
      <c r="AS100" s="31"/>
      <c r="AT100" s="31"/>
      <c r="AU100" s="31"/>
      <c r="AV100" s="31"/>
      <c r="AW100" s="31"/>
      <c r="AX100" s="65"/>
      <c r="AY100" s="267"/>
      <c r="AZ100" s="33"/>
      <c r="BA100" s="46"/>
      <c r="BB100" s="335"/>
      <c r="BC100" s="336"/>
      <c r="BD100" s="28"/>
      <c r="BE100" s="35"/>
      <c r="BF100" s="35"/>
      <c r="BG100" s="35"/>
    </row>
    <row r="101" spans="1:69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335"/>
      <c r="BC101" s="336"/>
      <c r="BD101" s="28"/>
    </row>
    <row r="102" spans="1:69" ht="14.15" customHeight="1">
      <c r="A102" s="22"/>
      <c r="B102" s="202"/>
      <c r="C102" s="331"/>
      <c r="D102" s="332"/>
      <c r="E102" s="65"/>
      <c r="F102" s="65"/>
      <c r="G102" s="65"/>
      <c r="H102" s="65"/>
      <c r="I102" s="65"/>
      <c r="J102" s="354"/>
      <c r="K102" s="354"/>
      <c r="L102" s="354"/>
      <c r="M102" s="354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9" ht="13.5" customHeight="1">
      <c r="A103" s="22"/>
      <c r="B103" s="202">
        <v>36</v>
      </c>
      <c r="C103" s="331"/>
      <c r="D103" s="332"/>
      <c r="E103" s="65"/>
      <c r="F103" s="65"/>
      <c r="G103" s="65"/>
      <c r="H103" s="65"/>
      <c r="I103" s="65"/>
      <c r="J103" s="986"/>
      <c r="K103" s="986"/>
      <c r="L103" s="986"/>
      <c r="M103" s="986"/>
      <c r="N103" s="63"/>
      <c r="O103" s="65"/>
      <c r="P103" s="65"/>
      <c r="Q103" s="65"/>
      <c r="R103" s="28"/>
      <c r="S103" s="28"/>
      <c r="T103" s="31"/>
      <c r="U103" s="31"/>
      <c r="V103" s="31"/>
      <c r="W103" s="31"/>
      <c r="X103" s="31"/>
      <c r="Y103" s="44"/>
      <c r="Z103" s="31"/>
      <c r="AA103" s="28"/>
      <c r="AB103" s="44"/>
      <c r="AC103" s="31"/>
      <c r="AD103" s="28"/>
      <c r="AE103" s="44"/>
      <c r="AF103" s="28"/>
      <c r="AG103" s="116"/>
      <c r="AH103" s="41"/>
      <c r="AI103" s="116"/>
      <c r="AJ103" s="116"/>
      <c r="AK103" s="116"/>
      <c r="AL103" s="116"/>
      <c r="AM103" s="116"/>
      <c r="AN103" s="116"/>
      <c r="AO103" s="116"/>
      <c r="AP103" s="116"/>
      <c r="AQ103" s="116"/>
      <c r="AR103" s="116"/>
      <c r="AS103" s="116"/>
      <c r="AT103" s="116"/>
      <c r="AU103" s="116"/>
      <c r="AV103" s="116"/>
      <c r="AW103" s="116"/>
      <c r="AX103" s="116"/>
      <c r="AY103" s="116"/>
      <c r="AZ103" s="33"/>
      <c r="BA103" s="46"/>
      <c r="BB103" s="78"/>
      <c r="BC103" s="34"/>
      <c r="BD103" s="28"/>
      <c r="BG103" s="24"/>
      <c r="BH103" s="28"/>
    </row>
    <row r="104" spans="1:69" ht="13.5" customHeight="1">
      <c r="A104" s="22"/>
      <c r="B104" s="202">
        <v>37</v>
      </c>
      <c r="C104" s="331"/>
      <c r="D104" s="332"/>
      <c r="E104" s="65"/>
      <c r="F104" s="65"/>
      <c r="G104" s="65"/>
      <c r="H104" s="65"/>
      <c r="I104" s="65"/>
      <c r="J104" s="986"/>
      <c r="K104" s="986"/>
      <c r="L104" s="986"/>
      <c r="M104" s="986"/>
      <c r="N104" s="193"/>
      <c r="O104" s="195"/>
      <c r="P104" s="193"/>
      <c r="Q104" s="194"/>
      <c r="R104" s="194"/>
      <c r="S104" s="194"/>
      <c r="T104" s="196"/>
      <c r="U104" s="196"/>
      <c r="V104" s="196"/>
      <c r="W104" s="196"/>
      <c r="X104" s="196"/>
      <c r="Y104" s="195"/>
      <c r="Z104" s="196"/>
      <c r="AA104" s="194"/>
      <c r="AB104" s="195"/>
      <c r="AC104" s="196"/>
      <c r="AD104" s="194"/>
      <c r="AE104" s="195"/>
      <c r="AF104" s="194"/>
      <c r="AG104" s="194"/>
      <c r="AH104" s="195"/>
      <c r="AI104" s="194"/>
      <c r="AJ104" s="194"/>
      <c r="AK104" s="197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33"/>
      <c r="BA104" s="46"/>
      <c r="BB104" s="78"/>
      <c r="BC104" s="34"/>
      <c r="BD104" s="28"/>
      <c r="BG104" s="24"/>
      <c r="BH104" s="28"/>
    </row>
    <row r="105" spans="1:69">
      <c r="A105" s="22"/>
      <c r="B105" s="32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81"/>
      <c r="T105" s="81"/>
      <c r="U105" s="81"/>
      <c r="V105" s="81"/>
      <c r="W105" s="28"/>
      <c r="X105" s="28"/>
      <c r="Y105" s="81"/>
      <c r="Z105" s="81"/>
      <c r="AA105" s="28"/>
      <c r="AB105" s="28"/>
      <c r="AC105" s="28"/>
      <c r="AD105" s="81"/>
      <c r="AE105" s="81"/>
      <c r="AF105" s="81"/>
      <c r="AG105" s="81"/>
      <c r="AH105" s="81"/>
      <c r="AI105" s="81"/>
      <c r="AJ105" s="81"/>
      <c r="AK105" s="81"/>
      <c r="AL105" s="81"/>
      <c r="AM105" s="81"/>
      <c r="AN105" s="81"/>
      <c r="AO105" s="81"/>
      <c r="AP105" s="81"/>
      <c r="AQ105" s="81"/>
      <c r="AR105" s="81"/>
      <c r="AS105" s="81"/>
      <c r="AT105" s="81"/>
      <c r="AU105" s="81"/>
      <c r="AV105" s="81"/>
      <c r="AW105" s="81"/>
      <c r="AX105" s="81"/>
      <c r="AY105" s="31"/>
      <c r="AZ105" s="33"/>
      <c r="BA105" s="46"/>
      <c r="BB105" s="78"/>
      <c r="BC105" s="34"/>
    </row>
    <row r="106" spans="1:69" s="81" customFormat="1">
      <c r="A106" s="155"/>
      <c r="B106" s="95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0"/>
      <c r="S106" s="156"/>
      <c r="T106" s="156"/>
      <c r="U106" s="156"/>
      <c r="V106" s="156"/>
      <c r="W106" s="110"/>
      <c r="X106" s="110"/>
      <c r="Y106" s="156"/>
      <c r="Z106" s="156"/>
      <c r="AA106" s="110"/>
      <c r="AB106" s="110"/>
      <c r="AC106" s="110"/>
      <c r="AD106" s="156"/>
      <c r="AE106" s="156"/>
      <c r="AF106" s="156"/>
      <c r="AG106" s="156"/>
      <c r="AH106" s="156"/>
      <c r="AI106" s="156"/>
      <c r="AJ106" s="156"/>
      <c r="AK106" s="156"/>
      <c r="AL106" s="156"/>
      <c r="AM106" s="156"/>
      <c r="AN106" s="156"/>
      <c r="AO106" s="156"/>
      <c r="AP106" s="156"/>
      <c r="AQ106" s="156"/>
      <c r="AR106" s="156"/>
      <c r="AS106" s="156"/>
      <c r="AT106" s="156"/>
      <c r="AU106" s="156"/>
      <c r="AV106" s="156"/>
      <c r="AW106" s="156"/>
      <c r="AX106" s="156"/>
      <c r="AY106" s="95"/>
      <c r="AZ106" s="95"/>
      <c r="BA106" s="157"/>
      <c r="BB106" s="79"/>
      <c r="BC106" s="40"/>
      <c r="BE106" s="28"/>
      <c r="BF106" s="28"/>
      <c r="BG106" s="28"/>
      <c r="BH106" s="35"/>
      <c r="BI106" s="35"/>
      <c r="BJ106" s="35"/>
      <c r="BK106" s="35"/>
      <c r="BL106" s="35"/>
      <c r="BM106" s="35"/>
      <c r="BN106" s="35"/>
      <c r="BO106" s="35"/>
      <c r="BP106" s="35"/>
      <c r="BQ106" s="35"/>
    </row>
  </sheetData>
  <mergeCells count="86">
    <mergeCell ref="J86:M86"/>
    <mergeCell ref="J94:M94"/>
    <mergeCell ref="J103:M103"/>
    <mergeCell ref="J104:M104"/>
    <mergeCell ref="AM42:AP42"/>
    <mergeCell ref="AM43:AP43"/>
    <mergeCell ref="AO57:AR57"/>
    <mergeCell ref="AO58:AR58"/>
    <mergeCell ref="J68:M68"/>
    <mergeCell ref="J70:M70"/>
    <mergeCell ref="J77:M77"/>
    <mergeCell ref="X64:AA64"/>
    <mergeCell ref="AB64:AF64"/>
    <mergeCell ref="AG64:AJ64"/>
    <mergeCell ref="J78:M78"/>
    <mergeCell ref="J80:M80"/>
    <mergeCell ref="AK64:AN64"/>
    <mergeCell ref="AO64:AR64"/>
    <mergeCell ref="AS64:AV64"/>
    <mergeCell ref="BE57:BG57"/>
    <mergeCell ref="T58:W58"/>
    <mergeCell ref="X58:AA58"/>
    <mergeCell ref="AB58:AF58"/>
    <mergeCell ref="AG58:AJ58"/>
    <mergeCell ref="AK58:AN58"/>
    <mergeCell ref="AS58:AV58"/>
    <mergeCell ref="BE58:BG58"/>
    <mergeCell ref="BA57:BD57"/>
    <mergeCell ref="BA58:BD58"/>
    <mergeCell ref="AW64:AZ64"/>
    <mergeCell ref="BA64:BD64"/>
    <mergeCell ref="AS61:AV61"/>
    <mergeCell ref="AQ43:AT43"/>
    <mergeCell ref="AU43:AW43"/>
    <mergeCell ref="T57:W57"/>
    <mergeCell ref="X57:AA57"/>
    <mergeCell ref="AB57:AF57"/>
    <mergeCell ref="AG57:AJ57"/>
    <mergeCell ref="AK57:AN57"/>
    <mergeCell ref="AS57:AV57"/>
    <mergeCell ref="R43:U43"/>
    <mergeCell ref="V43:Y43"/>
    <mergeCell ref="Z43:AC43"/>
    <mergeCell ref="AD43:AG43"/>
    <mergeCell ref="AH43:AL43"/>
    <mergeCell ref="A5:BA5"/>
    <mergeCell ref="BB5:BC5"/>
    <mergeCell ref="R42:U42"/>
    <mergeCell ref="V42:Y42"/>
    <mergeCell ref="Z42:AC42"/>
    <mergeCell ref="AD42:AG42"/>
    <mergeCell ref="AH42:AL42"/>
    <mergeCell ref="AQ42:AT42"/>
    <mergeCell ref="AU42:AW42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W61:AZ61"/>
    <mergeCell ref="BA61:BD61"/>
    <mergeCell ref="X61:AA61"/>
    <mergeCell ref="AB61:AF61"/>
    <mergeCell ref="AG61:AJ61"/>
    <mergeCell ref="AK61:AN61"/>
    <mergeCell ref="AO61:AR61"/>
  </mergeCells>
  <phoneticPr fontId="57"/>
  <conditionalFormatting sqref="AO61:AV61">
    <cfRule type="cellIs" dxfId="29" priority="1" operator="lessThan">
      <formula>0</formula>
    </cfRule>
    <cfRule type="expression" dxfId="28" priority="2">
      <formula>$AK$64&lt;30</formula>
    </cfRule>
  </conditionalFormatting>
  <conditionalFormatting sqref="AO64:AV64">
    <cfRule type="cellIs" dxfId="27" priority="6" operator="lessThan">
      <formula>0</formula>
    </cfRule>
    <cfRule type="expression" dxfId="26" priority="10">
      <formula>$AK$64&lt;30</formula>
    </cfRule>
  </conditionalFormatting>
  <conditionalFormatting sqref="AS57:AV58">
    <cfRule type="cellIs" dxfId="25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2DBC6-994B-4366-A549-4789C391367A}">
  <dimension ref="A1:BV116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46177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円(コリア原計)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r1.3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6" t="s">
        <v>24</v>
      </c>
      <c r="BC5" s="78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59"/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35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111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 t="s">
        <v>115</v>
      </c>
      <c r="S26" s="35"/>
      <c r="T26" s="35"/>
      <c r="U26" s="28"/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35"/>
      <c r="AK26" s="28"/>
      <c r="AL26" s="28"/>
      <c r="AM26" s="28"/>
      <c r="AN26" s="28"/>
      <c r="AO26" s="35"/>
      <c r="AP26" s="102"/>
      <c r="AQ26" s="103"/>
      <c r="AR26" s="103"/>
      <c r="AS26" s="103"/>
      <c r="AT26" s="102"/>
      <c r="AU26" s="104"/>
      <c r="AV26" s="102"/>
      <c r="AW26" s="103"/>
      <c r="AX26" s="63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284" t="s">
        <v>117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120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10"/>
      <c r="AG27" s="261" t="s">
        <v>33</v>
      </c>
      <c r="AH27" s="35"/>
      <c r="AI27" s="35"/>
      <c r="AJ27" s="35"/>
      <c r="AK27" s="285" t="s">
        <v>121</v>
      </c>
      <c r="AL27" s="35"/>
      <c r="AM27" s="285"/>
      <c r="AN27" s="35"/>
      <c r="AO27" s="35"/>
      <c r="AP27" s="98" t="s">
        <v>116</v>
      </c>
      <c r="AQ27" s="257"/>
      <c r="AR27" s="258"/>
      <c r="AS27" s="258"/>
      <c r="AT27" s="258"/>
      <c r="AU27" s="259"/>
      <c r="AV27" s="110"/>
      <c r="AW27" s="37"/>
      <c r="AX27" s="262" t="s">
        <v>33</v>
      </c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125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130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94" t="s">
        <v>129</v>
      </c>
      <c r="AH28" s="28"/>
      <c r="AI28" s="28"/>
      <c r="AJ28" s="35"/>
      <c r="AK28" s="28" t="s">
        <v>118</v>
      </c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260" t="s">
        <v>33</v>
      </c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32"/>
      <c r="C29" s="287" t="s">
        <v>124</v>
      </c>
      <c r="D29" s="41"/>
      <c r="E29" s="41"/>
      <c r="F29" s="41"/>
      <c r="G29" s="41"/>
      <c r="H29" s="163"/>
      <c r="I29" s="164"/>
      <c r="J29" s="165"/>
      <c r="K29" s="164"/>
      <c r="L29" s="165"/>
      <c r="M29" s="164"/>
      <c r="N29" s="166"/>
      <c r="O29" s="164"/>
      <c r="P29" s="165"/>
      <c r="Q29" s="165"/>
      <c r="R29" s="165"/>
      <c r="S29" s="167"/>
      <c r="T29" s="167"/>
      <c r="U29" s="167"/>
      <c r="V29" s="167"/>
      <c r="W29" s="167"/>
      <c r="X29" s="166"/>
      <c r="Y29" s="167"/>
      <c r="Z29" s="165"/>
      <c r="AA29" s="166"/>
      <c r="AB29" s="167"/>
      <c r="AC29" s="165"/>
      <c r="AD29" s="166"/>
      <c r="AE29" s="165"/>
      <c r="AF29" s="165"/>
      <c r="AG29" s="166"/>
      <c r="AH29" s="165"/>
      <c r="AI29" s="165"/>
      <c r="AJ29" s="168"/>
      <c r="AK29" s="165"/>
      <c r="AL29" s="165"/>
      <c r="AM29" s="165"/>
      <c r="AN29" s="165"/>
      <c r="AO29" s="165"/>
      <c r="AP29" s="165"/>
      <c r="AQ29" s="165"/>
      <c r="AR29" s="165"/>
      <c r="AS29" s="165"/>
      <c r="AT29" s="165"/>
      <c r="AU29" s="165"/>
      <c r="AV29" s="165"/>
      <c r="AW29" s="165"/>
      <c r="AX29" s="160" t="s">
        <v>37</v>
      </c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/>
      <c r="D30" s="41"/>
      <c r="E30" s="41"/>
      <c r="F30" s="41"/>
      <c r="G30" s="41"/>
      <c r="H30" s="169"/>
      <c r="I30" s="170"/>
      <c r="J30" s="171"/>
      <c r="K30" s="170"/>
      <c r="L30" s="171"/>
      <c r="M30" s="170"/>
      <c r="N30" s="172"/>
      <c r="O30" s="170"/>
      <c r="P30" s="171"/>
      <c r="Q30" s="171"/>
      <c r="R30" s="171"/>
      <c r="S30" s="173"/>
      <c r="T30" s="173"/>
      <c r="U30" s="173"/>
      <c r="V30" s="173"/>
      <c r="W30" s="173"/>
      <c r="X30" s="172"/>
      <c r="Y30" s="173"/>
      <c r="Z30" s="171"/>
      <c r="AA30" s="172"/>
      <c r="AB30" s="173"/>
      <c r="AC30" s="171"/>
      <c r="AD30" s="172"/>
      <c r="AE30" s="171"/>
      <c r="AF30" s="171"/>
      <c r="AG30" s="172"/>
      <c r="AH30" s="171"/>
      <c r="AI30" s="171"/>
      <c r="AJ30" s="174"/>
      <c r="AK30" s="171"/>
      <c r="AL30" s="171"/>
      <c r="AM30" s="171"/>
      <c r="AN30" s="171"/>
      <c r="AO30" s="171"/>
      <c r="AP30" s="171"/>
      <c r="AQ30" s="171"/>
      <c r="AR30" s="171"/>
      <c r="AS30" s="171"/>
      <c r="AT30" s="171"/>
      <c r="AU30" s="171"/>
      <c r="AV30" s="171"/>
      <c r="AW30" s="171"/>
      <c r="AX30" s="122" t="s">
        <v>33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 t="s">
        <v>126</v>
      </c>
      <c r="D31" s="41"/>
      <c r="E31" s="41"/>
      <c r="F31" s="41"/>
      <c r="G31" s="41"/>
      <c r="H31" s="163" t="s">
        <v>171</v>
      </c>
      <c r="I31" s="164"/>
      <c r="J31" s="165"/>
      <c r="K31" s="164"/>
      <c r="L31" s="165"/>
      <c r="M31" s="164"/>
      <c r="N31" s="166"/>
      <c r="O31" s="164"/>
      <c r="P31" s="165"/>
      <c r="Q31" s="165"/>
      <c r="R31" s="165"/>
      <c r="S31" s="167"/>
      <c r="T31" s="167"/>
      <c r="U31" s="167"/>
      <c r="V31" s="167"/>
      <c r="W31" s="167"/>
      <c r="X31" s="166"/>
      <c r="Y31" s="167"/>
      <c r="Z31" s="165"/>
      <c r="AA31" s="166"/>
      <c r="AB31" s="167"/>
      <c r="AC31" s="165"/>
      <c r="AD31" s="166"/>
      <c r="AE31" s="165"/>
      <c r="AF31" s="165"/>
      <c r="AG31" s="166"/>
      <c r="AH31" s="165"/>
      <c r="AI31" s="165"/>
      <c r="AJ31" s="168"/>
      <c r="AK31" s="165"/>
      <c r="AL31" s="165"/>
      <c r="AM31" s="165"/>
      <c r="AN31" s="165"/>
      <c r="AO31" s="165"/>
      <c r="AP31" s="165"/>
      <c r="AQ31" s="165"/>
      <c r="AR31" s="165"/>
      <c r="AS31" s="165"/>
      <c r="AT31" s="165"/>
      <c r="AU31" s="165"/>
      <c r="AV31" s="165"/>
      <c r="AW31" s="165"/>
      <c r="AX31" s="160" t="s">
        <v>37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/>
      <c r="D32" s="41"/>
      <c r="E32" s="41"/>
      <c r="F32" s="41"/>
      <c r="G32" s="41"/>
      <c r="H32" s="169"/>
      <c r="I32" s="170"/>
      <c r="J32" s="171"/>
      <c r="K32" s="170"/>
      <c r="L32" s="171"/>
      <c r="M32" s="170"/>
      <c r="N32" s="172"/>
      <c r="O32" s="170"/>
      <c r="P32" s="171"/>
      <c r="Q32" s="171"/>
      <c r="R32" s="171"/>
      <c r="S32" s="173"/>
      <c r="T32" s="173"/>
      <c r="U32" s="173"/>
      <c r="V32" s="173"/>
      <c r="W32" s="173"/>
      <c r="X32" s="172"/>
      <c r="Y32" s="173"/>
      <c r="Z32" s="171"/>
      <c r="AA32" s="172"/>
      <c r="AB32" s="173"/>
      <c r="AC32" s="171"/>
      <c r="AD32" s="172"/>
      <c r="AE32" s="171"/>
      <c r="AF32" s="171"/>
      <c r="AG32" s="172"/>
      <c r="AH32" s="171"/>
      <c r="AI32" s="171"/>
      <c r="AJ32" s="174"/>
      <c r="AK32" s="171"/>
      <c r="AL32" s="171"/>
      <c r="AM32" s="171"/>
      <c r="AN32" s="171"/>
      <c r="AO32" s="171"/>
      <c r="AP32" s="171"/>
      <c r="AQ32" s="171"/>
      <c r="AR32" s="171"/>
      <c r="AS32" s="171"/>
      <c r="AT32" s="171"/>
      <c r="AU32" s="171"/>
      <c r="AV32" s="171"/>
      <c r="AW32" s="171"/>
      <c r="AX32" s="122" t="s">
        <v>33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74" ht="13.5" customHeight="1">
      <c r="A33" s="22"/>
      <c r="B33" s="32"/>
      <c r="C33" s="287" t="s">
        <v>127</v>
      </c>
      <c r="D33" s="41"/>
      <c r="E33" s="41"/>
      <c r="F33" s="41"/>
      <c r="G33" s="41"/>
      <c r="H33" s="163"/>
      <c r="I33" s="164"/>
      <c r="J33" s="165"/>
      <c r="K33" s="164"/>
      <c r="L33" s="165"/>
      <c r="M33" s="164"/>
      <c r="N33" s="166"/>
      <c r="O33" s="164"/>
      <c r="P33" s="165"/>
      <c r="Q33" s="165"/>
      <c r="R33" s="165"/>
      <c r="S33" s="167"/>
      <c r="T33" s="167"/>
      <c r="U33" s="167"/>
      <c r="V33" s="167"/>
      <c r="W33" s="167"/>
      <c r="X33" s="166"/>
      <c r="Y33" s="167"/>
      <c r="Z33" s="165"/>
      <c r="AA33" s="166"/>
      <c r="AB33" s="167"/>
      <c r="AC33" s="165"/>
      <c r="AD33" s="166"/>
      <c r="AE33" s="165"/>
      <c r="AF33" s="165"/>
      <c r="AG33" s="166"/>
      <c r="AH33" s="165"/>
      <c r="AI33" s="165"/>
      <c r="AJ33" s="168"/>
      <c r="AK33" s="165"/>
      <c r="AL33" s="165"/>
      <c r="AM33" s="165"/>
      <c r="AN33" s="165"/>
      <c r="AO33" s="165"/>
      <c r="AP33" s="165"/>
      <c r="AQ33" s="165"/>
      <c r="AR33" s="165"/>
      <c r="AS33" s="165"/>
      <c r="AT33" s="165"/>
      <c r="AU33" s="165"/>
      <c r="AV33" s="165"/>
      <c r="AW33" s="165"/>
      <c r="AX33" s="160" t="s">
        <v>37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74" ht="13.5" customHeight="1">
      <c r="A34" s="22"/>
      <c r="B34" s="32"/>
      <c r="C34" s="287"/>
      <c r="D34" s="41"/>
      <c r="E34" s="41"/>
      <c r="F34" s="41"/>
      <c r="G34" s="41"/>
      <c r="H34" s="169"/>
      <c r="I34" s="170"/>
      <c r="J34" s="171"/>
      <c r="K34" s="170"/>
      <c r="L34" s="171"/>
      <c r="M34" s="170"/>
      <c r="N34" s="172"/>
      <c r="O34" s="170"/>
      <c r="P34" s="171"/>
      <c r="Q34" s="171"/>
      <c r="R34" s="171"/>
      <c r="S34" s="173"/>
      <c r="T34" s="173"/>
      <c r="U34" s="173"/>
      <c r="V34" s="173"/>
      <c r="W34" s="173"/>
      <c r="X34" s="172"/>
      <c r="Y34" s="173"/>
      <c r="Z34" s="171"/>
      <c r="AA34" s="172"/>
      <c r="AB34" s="173"/>
      <c r="AC34" s="171"/>
      <c r="AD34" s="172"/>
      <c r="AE34" s="171"/>
      <c r="AF34" s="171"/>
      <c r="AG34" s="172"/>
      <c r="AH34" s="171"/>
      <c r="AI34" s="171"/>
      <c r="AJ34" s="174"/>
      <c r="AK34" s="171"/>
      <c r="AL34" s="171"/>
      <c r="AM34" s="171"/>
      <c r="AN34" s="171"/>
      <c r="AO34" s="171"/>
      <c r="AP34" s="171"/>
      <c r="AQ34" s="171"/>
      <c r="AR34" s="171"/>
      <c r="AS34" s="171"/>
      <c r="AT34" s="171"/>
      <c r="AU34" s="171"/>
      <c r="AV34" s="171"/>
      <c r="AW34" s="171"/>
      <c r="AX34" s="122" t="s">
        <v>33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74" ht="5.15" customHeight="1">
      <c r="A35" s="22"/>
      <c r="B35" s="32"/>
      <c r="C35" s="288"/>
      <c r="D35" s="289"/>
      <c r="E35" s="289"/>
      <c r="F35" s="289"/>
      <c r="G35" s="289"/>
      <c r="H35" s="290"/>
      <c r="I35" s="290"/>
      <c r="J35" s="291"/>
      <c r="K35" s="290"/>
      <c r="L35" s="291"/>
      <c r="M35" s="290"/>
      <c r="N35" s="292"/>
      <c r="O35" s="290"/>
      <c r="P35" s="291"/>
      <c r="Q35" s="291"/>
      <c r="R35" s="291"/>
      <c r="S35" s="293"/>
      <c r="T35" s="293"/>
      <c r="U35" s="293"/>
      <c r="V35" s="293"/>
      <c r="W35" s="293"/>
      <c r="X35" s="292"/>
      <c r="Y35" s="293"/>
      <c r="Z35" s="291"/>
      <c r="AA35" s="292"/>
      <c r="AB35" s="293"/>
      <c r="AC35" s="291"/>
      <c r="AD35" s="292"/>
      <c r="AE35" s="291"/>
      <c r="AF35" s="291"/>
      <c r="AG35" s="292"/>
      <c r="AH35" s="291"/>
      <c r="AI35" s="291"/>
      <c r="AJ35" s="294"/>
      <c r="AK35" s="291"/>
      <c r="AL35" s="291"/>
      <c r="AM35" s="291"/>
      <c r="AN35" s="291"/>
      <c r="AO35" s="291"/>
      <c r="AP35" s="291"/>
      <c r="AQ35" s="291"/>
      <c r="AR35" s="291"/>
      <c r="AS35" s="291"/>
      <c r="AT35" s="291"/>
      <c r="AU35" s="291"/>
      <c r="AV35" s="291"/>
      <c r="AW35" s="291"/>
      <c r="AX35" s="276"/>
      <c r="AY35" s="295"/>
      <c r="AZ35" s="33"/>
      <c r="BA35" s="46"/>
      <c r="BB35" s="78"/>
      <c r="BC35" s="34"/>
      <c r="BD35" s="28"/>
      <c r="BE35" s="35"/>
      <c r="BF35" s="35"/>
      <c r="BG35" s="35"/>
    </row>
    <row r="36" spans="1:74" ht="13.5" customHeight="1">
      <c r="A36" s="22"/>
      <c r="B36" s="32"/>
      <c r="C36" s="41"/>
      <c r="D36" s="41"/>
      <c r="E36" s="41"/>
      <c r="F36" s="41"/>
      <c r="G36" s="41"/>
      <c r="H36" s="364"/>
      <c r="I36" s="364"/>
      <c r="J36" s="365"/>
      <c r="K36" s="364"/>
      <c r="L36" s="365"/>
      <c r="M36" s="364"/>
      <c r="N36" s="366"/>
      <c r="O36" s="364"/>
      <c r="P36" s="365"/>
      <c r="Q36" s="365"/>
      <c r="R36" s="365"/>
      <c r="S36" s="367"/>
      <c r="T36" s="367"/>
      <c r="U36" s="367"/>
      <c r="V36" s="367"/>
      <c r="W36" s="367"/>
      <c r="X36" s="366"/>
      <c r="Y36" s="367"/>
      <c r="Z36" s="365"/>
      <c r="AA36" s="366"/>
      <c r="AB36" s="367"/>
      <c r="AC36" s="365"/>
      <c r="AD36" s="366"/>
      <c r="AE36" s="365"/>
      <c r="AF36" s="365"/>
      <c r="AG36" s="366"/>
      <c r="AH36" s="365"/>
      <c r="AI36" s="365"/>
      <c r="AJ36" s="368"/>
      <c r="AK36" s="365"/>
      <c r="AL36" s="365"/>
      <c r="AM36" s="365"/>
      <c r="AN36" s="365"/>
      <c r="AO36" s="365"/>
      <c r="AP36" s="365"/>
      <c r="AQ36" s="365"/>
      <c r="AR36" s="365"/>
      <c r="AS36" s="365"/>
      <c r="AT36" s="365"/>
      <c r="AU36" s="365"/>
      <c r="AV36" s="365"/>
      <c r="AW36" s="365"/>
      <c r="AX36" s="280"/>
      <c r="AY36" s="279"/>
      <c r="AZ36" s="33"/>
      <c r="BA36" s="46"/>
      <c r="BB36" s="78"/>
      <c r="BC36" s="34"/>
      <c r="BD36" s="28"/>
      <c r="BE36" s="35"/>
      <c r="BF36" s="35"/>
      <c r="BG36" s="35"/>
    </row>
    <row r="37" spans="1:74" ht="13.5" customHeight="1">
      <c r="A37" s="22"/>
      <c r="B37" s="202">
        <v>5</v>
      </c>
      <c r="C37" s="204" t="s">
        <v>264</v>
      </c>
      <c r="D37" s="28"/>
      <c r="E37" s="28"/>
      <c r="F37" s="28"/>
      <c r="G37" s="28"/>
      <c r="H37" s="121"/>
      <c r="I37" s="62"/>
      <c r="J37" s="62"/>
      <c r="K37" s="63"/>
      <c r="L37" s="69"/>
      <c r="M37" s="69"/>
      <c r="N37" s="65"/>
      <c r="O37" s="69"/>
      <c r="P37" s="65"/>
      <c r="Q37" s="65"/>
      <c r="R37" s="69"/>
      <c r="S37" s="28"/>
      <c r="T37" s="28"/>
      <c r="U37" s="28"/>
      <c r="V37" s="28"/>
      <c r="W37" s="28"/>
      <c r="X37" s="121"/>
      <c r="Y37" s="62"/>
      <c r="Z37" s="63"/>
      <c r="AA37" s="62"/>
      <c r="AB37" s="63"/>
      <c r="AC37" s="69"/>
      <c r="AD37" s="69"/>
      <c r="AE37" s="65"/>
      <c r="AF37" s="69"/>
      <c r="AG37" s="65"/>
      <c r="AH37" s="69"/>
      <c r="AI37" s="64"/>
      <c r="AJ37" s="69"/>
      <c r="AK37" s="65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33"/>
      <c r="AW37" s="28"/>
      <c r="AX37" s="28"/>
      <c r="AY37" s="31"/>
      <c r="AZ37" s="33"/>
      <c r="BA37" s="46"/>
      <c r="BB37" s="159"/>
      <c r="BC37" s="115"/>
      <c r="BD37" s="28"/>
    </row>
    <row r="38" spans="1:74" ht="5.15" customHeight="1">
      <c r="A38" s="22"/>
      <c r="B38" s="202"/>
      <c r="C38" s="296"/>
      <c r="D38" s="72"/>
      <c r="E38" s="72"/>
      <c r="F38" s="72"/>
      <c r="G38" s="72"/>
      <c r="H38" s="297"/>
      <c r="I38" s="278"/>
      <c r="J38" s="278"/>
      <c r="K38" s="279"/>
      <c r="L38" s="298"/>
      <c r="M38" s="298"/>
      <c r="N38" s="263"/>
      <c r="O38" s="298"/>
      <c r="P38" s="263"/>
      <c r="Q38" s="263"/>
      <c r="R38" s="298"/>
      <c r="S38" s="72"/>
      <c r="T38" s="72"/>
      <c r="U38" s="72"/>
      <c r="V38" s="72"/>
      <c r="W38" s="72"/>
      <c r="X38" s="297"/>
      <c r="Y38" s="278"/>
      <c r="Z38" s="279"/>
      <c r="AA38" s="278"/>
      <c r="AB38" s="279"/>
      <c r="AC38" s="298"/>
      <c r="AD38" s="298"/>
      <c r="AE38" s="263"/>
      <c r="AF38" s="298"/>
      <c r="AG38" s="263"/>
      <c r="AH38" s="298"/>
      <c r="AI38" s="280"/>
      <c r="AJ38" s="298"/>
      <c r="AK38" s="263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300"/>
      <c r="AW38" s="72"/>
      <c r="AX38" s="72"/>
      <c r="AY38" s="265"/>
      <c r="AZ38" s="33"/>
      <c r="BA38" s="46"/>
      <c r="BB38" s="159"/>
      <c r="BC38" s="115"/>
      <c r="BD38" s="28"/>
    </row>
    <row r="39" spans="1:74" ht="13.9" customHeight="1">
      <c r="A39" s="22"/>
      <c r="B39" s="202"/>
      <c r="C39" s="501" t="s">
        <v>282</v>
      </c>
      <c r="D39" s="28"/>
      <c r="E39" s="28"/>
      <c r="F39" s="28"/>
      <c r="G39" s="86" t="s">
        <v>277</v>
      </c>
      <c r="H39" s="86"/>
      <c r="I39" s="86"/>
      <c r="J39" s="86"/>
      <c r="K39" s="86"/>
      <c r="L39" s="322"/>
      <c r="M39" s="75"/>
      <c r="N39" s="65"/>
      <c r="O39" s="69"/>
      <c r="P39" s="65"/>
      <c r="Q39" s="65"/>
      <c r="R39" s="69"/>
      <c r="S39" s="28"/>
      <c r="T39" s="28"/>
      <c r="U39" s="28"/>
      <c r="V39" s="28"/>
      <c r="W39" s="28"/>
      <c r="X39" s="121"/>
      <c r="Y39" s="62"/>
      <c r="Z39" s="63"/>
      <c r="AA39" s="62"/>
      <c r="AB39" s="63"/>
      <c r="AC39" s="69"/>
      <c r="AD39" s="69"/>
      <c r="AE39" s="65"/>
      <c r="AF39" s="69"/>
      <c r="AG39" s="65"/>
      <c r="AH39" s="69"/>
      <c r="AI39" s="64"/>
      <c r="AJ39" s="69"/>
      <c r="AK39" s="65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33"/>
      <c r="AW39" s="28"/>
      <c r="AX39" s="28"/>
      <c r="AY39" s="267"/>
      <c r="AZ39" s="33"/>
      <c r="BA39" s="46"/>
      <c r="BB39" s="159"/>
      <c r="BC39" s="115"/>
      <c r="BD39" s="28"/>
    </row>
    <row r="40" spans="1:74" ht="13.5" customHeight="1">
      <c r="A40" s="22"/>
      <c r="B40" s="202">
        <v>6</v>
      </c>
      <c r="C40" s="304" t="s">
        <v>32</v>
      </c>
      <c r="D40" s="205" t="s">
        <v>262</v>
      </c>
      <c r="E40" s="206"/>
      <c r="F40" s="206"/>
      <c r="G40" s="207"/>
      <c r="H40" s="208" t="s">
        <v>276</v>
      </c>
      <c r="I40" s="209"/>
      <c r="J40" s="209"/>
      <c r="K40" s="206"/>
      <c r="L40" s="207"/>
      <c r="M40" s="515"/>
      <c r="N40" s="28"/>
      <c r="O40" s="28"/>
      <c r="P40" s="28"/>
      <c r="Q40" s="28"/>
      <c r="R40" s="28"/>
      <c r="S40" s="35"/>
      <c r="T40" s="35"/>
      <c r="U40" s="35"/>
      <c r="V40" s="35"/>
      <c r="Y40" s="35"/>
      <c r="Z40" s="35"/>
      <c r="AD40" s="35"/>
      <c r="AE40" s="35"/>
      <c r="AF40" s="35"/>
      <c r="AG40" s="35"/>
      <c r="AH40" s="35"/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11"/>
      <c r="AZ40" s="33"/>
      <c r="BA40" s="46"/>
      <c r="BB40" s="159"/>
      <c r="BC40" s="115"/>
      <c r="BD40" s="35"/>
      <c r="BE40" s="35"/>
      <c r="BF40" s="35"/>
      <c r="BG40" s="35"/>
    </row>
    <row r="41" spans="1:74" ht="13.5" customHeight="1">
      <c r="A41" s="22"/>
      <c r="B41" s="202">
        <v>8</v>
      </c>
      <c r="C41" s="308">
        <v>1</v>
      </c>
      <c r="D41" s="148" t="s">
        <v>148</v>
      </c>
      <c r="E41" s="149"/>
      <c r="F41" s="149"/>
      <c r="G41" s="151"/>
      <c r="H41" s="1036">
        <v>110</v>
      </c>
      <c r="I41" s="1006"/>
      <c r="J41" s="1006"/>
      <c r="K41" s="1006"/>
      <c r="L41" s="10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74" ht="13.5" customHeight="1">
      <c r="A42" s="22"/>
      <c r="B42" s="202">
        <v>9</v>
      </c>
      <c r="C42" s="308">
        <v>2</v>
      </c>
      <c r="D42" s="148" t="s">
        <v>263</v>
      </c>
      <c r="E42" s="149"/>
      <c r="F42" s="149"/>
      <c r="G42" s="151"/>
      <c r="H42" s="1036">
        <v>125</v>
      </c>
      <c r="I42" s="1006"/>
      <c r="J42" s="1006"/>
      <c r="K42" s="1006"/>
      <c r="L42" s="1007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74" ht="5.15" customHeight="1">
      <c r="A43" s="22"/>
      <c r="B43" s="202"/>
      <c r="C43" s="315"/>
      <c r="D43" s="73"/>
      <c r="E43" s="73"/>
      <c r="F43" s="73"/>
      <c r="G43" s="73"/>
      <c r="H43" s="316"/>
      <c r="I43" s="275"/>
      <c r="J43" s="275"/>
      <c r="K43" s="273"/>
      <c r="L43" s="317"/>
      <c r="M43" s="317"/>
      <c r="N43" s="270"/>
      <c r="O43" s="317"/>
      <c r="P43" s="270"/>
      <c r="Q43" s="270"/>
      <c r="R43" s="317"/>
      <c r="S43" s="73"/>
      <c r="T43" s="73"/>
      <c r="U43" s="73"/>
      <c r="V43" s="73"/>
      <c r="W43" s="73"/>
      <c r="X43" s="316"/>
      <c r="Y43" s="275"/>
      <c r="Z43" s="273"/>
      <c r="AA43" s="275"/>
      <c r="AB43" s="273"/>
      <c r="AC43" s="317"/>
      <c r="AD43" s="317"/>
      <c r="AE43" s="270"/>
      <c r="AF43" s="317"/>
      <c r="AG43" s="270"/>
      <c r="AH43" s="317"/>
      <c r="AI43" s="276"/>
      <c r="AJ43" s="317"/>
      <c r="AK43" s="270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318"/>
      <c r="AW43" s="73"/>
      <c r="AX43" s="73"/>
      <c r="AY43" s="277"/>
      <c r="AZ43" s="33"/>
      <c r="BA43" s="46"/>
      <c r="BB43" s="159"/>
      <c r="BC43" s="115"/>
      <c r="BD43" s="28"/>
    </row>
    <row r="44" spans="1:74" ht="13.5" customHeight="1">
      <c r="A44" s="22"/>
      <c r="B44" s="202">
        <v>10</v>
      </c>
      <c r="C44" s="492"/>
      <c r="D44" s="65"/>
      <c r="E44" s="65"/>
      <c r="F44" s="65"/>
      <c r="G44" s="65"/>
      <c r="H44" s="65"/>
      <c r="I44" s="65"/>
      <c r="J44" s="65"/>
      <c r="K44" s="65"/>
      <c r="L44" s="65"/>
      <c r="M44" s="62"/>
      <c r="N44" s="63"/>
      <c r="O44" s="65"/>
      <c r="P44" s="65"/>
      <c r="Q44" s="64"/>
      <c r="R44" s="63"/>
      <c r="S44" s="190"/>
      <c r="T44" s="190"/>
      <c r="U44" s="191"/>
      <c r="V44" s="192"/>
      <c r="W44" s="190"/>
      <c r="X44" s="65"/>
      <c r="Y44" s="65"/>
      <c r="Z44" s="65"/>
      <c r="AA44" s="65"/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3"/>
      <c r="AN44" s="63"/>
      <c r="AO44" s="63"/>
      <c r="AP44" s="63"/>
      <c r="AQ44" s="63"/>
      <c r="AR44" s="63"/>
      <c r="AS44" s="63"/>
      <c r="AT44" s="63"/>
      <c r="AU44" s="63"/>
      <c r="AV44" s="63"/>
      <c r="AW44" s="63"/>
      <c r="AX44" s="63"/>
      <c r="AY44" s="63"/>
      <c r="AZ44" s="33"/>
      <c r="BA44" s="46"/>
      <c r="BB44" s="159"/>
      <c r="BC44" s="115"/>
      <c r="BD44" s="28"/>
    </row>
    <row r="45" spans="1:74" ht="13.5" customHeight="1">
      <c r="A45" s="22"/>
      <c r="B45" s="202">
        <v>5</v>
      </c>
      <c r="C45" s="204" t="s">
        <v>63</v>
      </c>
      <c r="D45" s="28"/>
      <c r="E45" s="28"/>
      <c r="F45" s="28"/>
      <c r="G45" s="28"/>
      <c r="H45" s="121"/>
      <c r="I45" s="62"/>
      <c r="J45" s="63"/>
      <c r="K45" s="62"/>
      <c r="L45" s="63"/>
      <c r="M45" s="69"/>
      <c r="N45" s="69"/>
      <c r="O45" s="65"/>
      <c r="P45" s="69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31"/>
      <c r="AZ45" s="33"/>
      <c r="BA45" s="46"/>
      <c r="BB45" s="159"/>
      <c r="BC45" s="115"/>
      <c r="BD45" s="28"/>
    </row>
    <row r="46" spans="1:74" ht="5.15" customHeight="1">
      <c r="A46" s="22"/>
      <c r="B46" s="202"/>
      <c r="C46" s="296"/>
      <c r="D46" s="72"/>
      <c r="E46" s="72"/>
      <c r="F46" s="72"/>
      <c r="G46" s="72"/>
      <c r="H46" s="297"/>
      <c r="I46" s="278"/>
      <c r="J46" s="279"/>
      <c r="K46" s="278"/>
      <c r="L46" s="279"/>
      <c r="M46" s="298"/>
      <c r="N46" s="298"/>
      <c r="O46" s="263"/>
      <c r="P46" s="298"/>
      <c r="Q46" s="263"/>
      <c r="R46" s="298"/>
      <c r="S46" s="72"/>
      <c r="T46" s="72"/>
      <c r="U46" s="72"/>
      <c r="V46" s="72"/>
      <c r="W46" s="72"/>
      <c r="X46" s="297"/>
      <c r="Y46" s="278"/>
      <c r="Z46" s="279"/>
      <c r="AA46" s="278"/>
      <c r="AB46" s="279"/>
      <c r="AC46" s="298"/>
      <c r="AD46" s="298"/>
      <c r="AE46" s="263"/>
      <c r="AF46" s="298"/>
      <c r="AG46" s="263"/>
      <c r="AH46" s="298"/>
      <c r="AI46" s="280"/>
      <c r="AJ46" s="298"/>
      <c r="AK46" s="263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300"/>
      <c r="AW46" s="72"/>
      <c r="AX46" s="72"/>
      <c r="AY46" s="264"/>
      <c r="AZ46" s="264"/>
      <c r="BA46" s="301"/>
      <c r="BB46" s="302"/>
      <c r="BC46" s="303"/>
      <c r="BD46" s="28"/>
    </row>
    <row r="47" spans="1:74" ht="13.5" customHeight="1">
      <c r="A47" s="22"/>
      <c r="B47" s="45"/>
      <c r="C47" s="266"/>
      <c r="D47" s="28" t="s">
        <v>288</v>
      </c>
      <c r="E47" s="28"/>
      <c r="F47" s="28"/>
      <c r="G47" s="28"/>
      <c r="H47" s="86" t="s">
        <v>146</v>
      </c>
      <c r="I47" s="86"/>
      <c r="J47" s="86"/>
      <c r="K47" s="86"/>
      <c r="L47" s="86"/>
      <c r="M47" s="322"/>
      <c r="N47" s="87"/>
      <c r="O47" s="88"/>
      <c r="P47" s="88"/>
      <c r="Q47" s="89"/>
      <c r="R47" s="87"/>
      <c r="S47" s="87"/>
      <c r="T47" s="87"/>
      <c r="U47" s="88"/>
      <c r="V47" s="89"/>
      <c r="W47" s="87"/>
      <c r="X47" s="65"/>
      <c r="Y47" s="28"/>
      <c r="Z47" s="28"/>
      <c r="AA47" s="28"/>
      <c r="AB47" s="28"/>
      <c r="AC47" s="28"/>
      <c r="AD47" s="28"/>
      <c r="AE47" s="28"/>
      <c r="AF47" s="28"/>
      <c r="AG47" s="28"/>
      <c r="AH47" s="28"/>
      <c r="AI47" s="28"/>
      <c r="AJ47" s="28"/>
      <c r="AK47" s="28"/>
      <c r="AL47" s="28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65"/>
      <c r="AY47" s="31"/>
      <c r="AZ47" s="52"/>
      <c r="BA47" s="93"/>
      <c r="BB47" s="327"/>
      <c r="BC47" s="328"/>
      <c r="BD47" s="28"/>
      <c r="BE47" s="35"/>
      <c r="BF47" s="35"/>
      <c r="BG47" s="35"/>
    </row>
    <row r="48" spans="1:74" ht="13.5" customHeight="1">
      <c r="A48" s="22"/>
      <c r="B48" s="202">
        <v>6</v>
      </c>
      <c r="C48" s="304" t="s">
        <v>32</v>
      </c>
      <c r="D48" s="205" t="s">
        <v>64</v>
      </c>
      <c r="E48" s="206"/>
      <c r="F48" s="206"/>
      <c r="G48" s="207"/>
      <c r="H48" s="208" t="s">
        <v>73</v>
      </c>
      <c r="I48" s="209"/>
      <c r="J48" s="209"/>
      <c r="K48" s="209"/>
      <c r="L48" s="206"/>
      <c r="M48" s="207"/>
      <c r="N48" s="205" t="s">
        <v>74</v>
      </c>
      <c r="O48" s="206"/>
      <c r="P48" s="206"/>
      <c r="Q48" s="207"/>
      <c r="R48" s="205" t="s">
        <v>75</v>
      </c>
      <c r="S48" s="206"/>
      <c r="T48" s="206"/>
      <c r="U48" s="206"/>
      <c r="V48" s="210" t="s">
        <v>292</v>
      </c>
      <c r="W48" s="211"/>
      <c r="X48" s="211"/>
      <c r="Y48" s="212"/>
      <c r="Z48" s="210" t="s">
        <v>150</v>
      </c>
      <c r="AA48" s="211"/>
      <c r="AB48" s="211"/>
      <c r="AC48" s="212"/>
      <c r="AD48" s="210" t="s">
        <v>293</v>
      </c>
      <c r="AE48" s="211"/>
      <c r="AF48" s="211"/>
      <c r="AG48" s="212"/>
      <c r="AH48" s="211" t="s">
        <v>76</v>
      </c>
      <c r="AI48" s="211"/>
      <c r="AJ48" s="211"/>
      <c r="AK48" s="212"/>
      <c r="AL48" s="211" t="s">
        <v>89</v>
      </c>
      <c r="AM48" s="211"/>
      <c r="AN48" s="211"/>
      <c r="AO48" s="212"/>
      <c r="AP48" s="210" t="s">
        <v>153</v>
      </c>
      <c r="AQ48" s="211"/>
      <c r="AR48" s="211"/>
      <c r="AS48" s="211"/>
      <c r="AT48" s="210" t="s">
        <v>154</v>
      </c>
      <c r="AU48" s="211"/>
      <c r="AV48" s="211"/>
      <c r="AW48" s="211"/>
      <c r="AX48" s="210" t="s">
        <v>83</v>
      </c>
      <c r="AY48" s="211"/>
      <c r="AZ48" s="211"/>
      <c r="BA48" s="212"/>
      <c r="BB48" s="210" t="s">
        <v>87</v>
      </c>
      <c r="BC48" s="211"/>
      <c r="BD48" s="211"/>
      <c r="BE48" s="212"/>
      <c r="BF48" s="210" t="s">
        <v>156</v>
      </c>
      <c r="BG48" s="211"/>
      <c r="BH48" s="211"/>
      <c r="BI48" s="212"/>
      <c r="BJ48" s="305" t="s">
        <v>86</v>
      </c>
      <c r="BK48" s="211"/>
      <c r="BL48" s="211"/>
      <c r="BM48" s="212"/>
      <c r="BN48" s="211" t="s">
        <v>69</v>
      </c>
      <c r="BO48" s="211"/>
      <c r="BP48" s="211"/>
      <c r="BQ48" s="212"/>
      <c r="BR48" s="28"/>
      <c r="BS48" s="28"/>
      <c r="BT48" s="28"/>
      <c r="BU48" s="28"/>
      <c r="BV48" s="28"/>
    </row>
    <row r="49" spans="1:74" ht="13.5" customHeight="1">
      <c r="A49" s="22"/>
      <c r="B49" s="202">
        <v>7</v>
      </c>
      <c r="C49" s="306"/>
      <c r="D49" s="213" t="s">
        <v>30</v>
      </c>
      <c r="E49" s="216"/>
      <c r="F49" s="214"/>
      <c r="G49" s="215"/>
      <c r="H49" s="213" t="s">
        <v>30</v>
      </c>
      <c r="I49" s="216"/>
      <c r="J49" s="216"/>
      <c r="K49" s="216"/>
      <c r="L49" s="214"/>
      <c r="M49" s="215"/>
      <c r="N49" s="213" t="s">
        <v>30</v>
      </c>
      <c r="O49" s="214"/>
      <c r="P49" s="214"/>
      <c r="Q49" s="215"/>
      <c r="R49" s="213" t="s">
        <v>30</v>
      </c>
      <c r="S49" s="216"/>
      <c r="T49" s="214"/>
      <c r="U49" s="214"/>
      <c r="V49" s="217" t="s">
        <v>43</v>
      </c>
      <c r="W49" s="218"/>
      <c r="X49" s="219"/>
      <c r="Y49" s="220"/>
      <c r="Z49" s="217" t="s">
        <v>30</v>
      </c>
      <c r="AA49" s="218"/>
      <c r="AB49" s="219"/>
      <c r="AC49" s="220"/>
      <c r="AD49" s="217" t="s">
        <v>43</v>
      </c>
      <c r="AE49" s="218"/>
      <c r="AF49" s="219"/>
      <c r="AG49" s="220"/>
      <c r="AH49" s="218" t="s">
        <v>30</v>
      </c>
      <c r="AI49" s="500"/>
      <c r="AJ49" s="219"/>
      <c r="AK49" s="220"/>
      <c r="AL49" s="500"/>
      <c r="AM49" s="218"/>
      <c r="AN49" s="219"/>
      <c r="AO49" s="220"/>
      <c r="AP49" s="217" t="s">
        <v>43</v>
      </c>
      <c r="AQ49" s="218"/>
      <c r="AR49" s="219"/>
      <c r="AS49" s="219"/>
      <c r="AT49" s="217" t="s">
        <v>155</v>
      </c>
      <c r="AU49" s="218"/>
      <c r="AV49" s="219"/>
      <c r="AW49" s="219"/>
      <c r="AX49" s="217" t="s">
        <v>155</v>
      </c>
      <c r="AY49" s="218"/>
      <c r="AZ49" s="219"/>
      <c r="BA49" s="220"/>
      <c r="BB49" s="217" t="s">
        <v>88</v>
      </c>
      <c r="BC49" s="218"/>
      <c r="BD49" s="219"/>
      <c r="BE49" s="220"/>
      <c r="BF49" s="217" t="s">
        <v>157</v>
      </c>
      <c r="BG49" s="218"/>
      <c r="BH49" s="219"/>
      <c r="BI49" s="220"/>
      <c r="BJ49" s="307" t="s">
        <v>43</v>
      </c>
      <c r="BK49" s="218"/>
      <c r="BL49" s="219"/>
      <c r="BM49" s="220"/>
      <c r="BN49" s="218" t="s">
        <v>43</v>
      </c>
      <c r="BO49" s="218"/>
      <c r="BP49" s="219"/>
      <c r="BQ49" s="220"/>
      <c r="BR49" s="28"/>
      <c r="BS49" s="28"/>
      <c r="BT49" s="28"/>
      <c r="BU49" s="28"/>
      <c r="BV49" s="28"/>
    </row>
    <row r="50" spans="1:74" ht="13.5" customHeight="1">
      <c r="A50" s="22"/>
      <c r="B50" s="202">
        <v>8</v>
      </c>
      <c r="C50" s="308">
        <v>1</v>
      </c>
      <c r="D50" s="148" t="s">
        <v>158</v>
      </c>
      <c r="E50" s="149"/>
      <c r="F50" s="149"/>
      <c r="G50" s="151"/>
      <c r="H50" s="242" t="s">
        <v>159</v>
      </c>
      <c r="I50" s="150"/>
      <c r="J50" s="150"/>
      <c r="K50" s="150"/>
      <c r="L50" s="161"/>
      <c r="M50" s="162"/>
      <c r="N50" s="242" t="s">
        <v>160</v>
      </c>
      <c r="O50" s="150"/>
      <c r="P50" s="150"/>
      <c r="Q50" s="99" t="s">
        <v>33</v>
      </c>
      <c r="R50" s="1016">
        <v>70000</v>
      </c>
      <c r="S50" s="1017"/>
      <c r="T50" s="1017"/>
      <c r="U50" s="1018"/>
      <c r="V50" s="148" t="s">
        <v>148</v>
      </c>
      <c r="W50" s="150"/>
      <c r="X50" s="150"/>
      <c r="Y50" s="99" t="s">
        <v>33</v>
      </c>
      <c r="Z50" s="1030">
        <v>6.7299999999999999E-2</v>
      </c>
      <c r="AA50" s="1031"/>
      <c r="AB50" s="1031"/>
      <c r="AC50" s="1032"/>
      <c r="AD50" s="148" t="s">
        <v>148</v>
      </c>
      <c r="AE50" s="150"/>
      <c r="AF50" s="150"/>
      <c r="AG50" s="99" t="s">
        <v>33</v>
      </c>
      <c r="AH50" s="1030">
        <v>0.1211</v>
      </c>
      <c r="AI50" s="1031"/>
      <c r="AJ50" s="1031"/>
      <c r="AK50" s="1032"/>
      <c r="AL50" s="1030"/>
      <c r="AM50" s="1031"/>
      <c r="AN50" s="1031"/>
      <c r="AO50" s="1032"/>
      <c r="AP50" s="1033">
        <v>0.01</v>
      </c>
      <c r="AQ50" s="1034"/>
      <c r="AR50" s="1034"/>
      <c r="AS50" s="1035"/>
      <c r="AT50" s="1030">
        <v>0.13589999999999999</v>
      </c>
      <c r="AU50" s="1031"/>
      <c r="AV50" s="1031"/>
      <c r="AW50" s="1032"/>
      <c r="AX50" s="1030">
        <v>0.151</v>
      </c>
      <c r="AY50" s="1031"/>
      <c r="AZ50" s="1031"/>
      <c r="BA50" s="1032"/>
      <c r="BB50" s="1030">
        <v>0.151</v>
      </c>
      <c r="BC50" s="1031"/>
      <c r="BD50" s="1031"/>
      <c r="BE50" s="1032"/>
      <c r="BF50" s="1030">
        <v>6.1000000000000004E-3</v>
      </c>
      <c r="BG50" s="1031"/>
      <c r="BH50" s="1031"/>
      <c r="BI50" s="1032"/>
      <c r="BJ50" s="1040"/>
      <c r="BK50" s="1041"/>
      <c r="BL50" s="1041"/>
      <c r="BM50" s="1042"/>
      <c r="BN50" s="149" t="s">
        <v>30</v>
      </c>
      <c r="BO50" s="150"/>
      <c r="BP50" s="150"/>
      <c r="BQ50" s="152"/>
      <c r="BR50" s="28"/>
      <c r="BS50" s="28"/>
      <c r="BT50" s="28"/>
      <c r="BU50" s="28"/>
      <c r="BV50" s="28"/>
    </row>
    <row r="51" spans="1:74" ht="13.5" customHeight="1">
      <c r="A51" s="22"/>
      <c r="B51" s="202">
        <v>9</v>
      </c>
      <c r="C51" s="308">
        <v>2</v>
      </c>
      <c r="D51" s="148"/>
      <c r="E51" s="149"/>
      <c r="F51" s="149"/>
      <c r="G51" s="151"/>
      <c r="H51" s="242"/>
      <c r="I51" s="150"/>
      <c r="J51" s="150"/>
      <c r="K51" s="150"/>
      <c r="L51" s="161"/>
      <c r="M51" s="162"/>
      <c r="N51" s="242"/>
      <c r="O51" s="150"/>
      <c r="P51" s="150"/>
      <c r="Q51" s="99" t="s">
        <v>33</v>
      </c>
      <c r="R51" s="1016"/>
      <c r="S51" s="1017"/>
      <c r="T51" s="1017"/>
      <c r="U51" s="1018"/>
      <c r="V51" s="148"/>
      <c r="W51" s="150"/>
      <c r="X51" s="150"/>
      <c r="Y51" s="99" t="s">
        <v>33</v>
      </c>
      <c r="Z51" s="1005"/>
      <c r="AA51" s="1014"/>
      <c r="AB51" s="1014"/>
      <c r="AC51" s="1015"/>
      <c r="AD51" s="148"/>
      <c r="AE51" s="150"/>
      <c r="AF51" s="150"/>
      <c r="AG51" s="99" t="s">
        <v>33</v>
      </c>
      <c r="AH51" s="1005"/>
      <c r="AI51" s="1014"/>
      <c r="AJ51" s="1014"/>
      <c r="AK51" s="1015"/>
      <c r="AL51" s="1005"/>
      <c r="AM51" s="1014"/>
      <c r="AN51" s="1014"/>
      <c r="AO51" s="1015"/>
      <c r="AP51" s="1005"/>
      <c r="AQ51" s="1014"/>
      <c r="AR51" s="1014"/>
      <c r="AS51" s="1015"/>
      <c r="AT51" s="1005"/>
      <c r="AU51" s="1014"/>
      <c r="AV51" s="1014"/>
      <c r="AW51" s="1015"/>
      <c r="AX51" s="1005"/>
      <c r="AY51" s="1014"/>
      <c r="AZ51" s="1014"/>
      <c r="BA51" s="1015"/>
      <c r="BB51" s="1005"/>
      <c r="BC51" s="1014"/>
      <c r="BD51" s="1014"/>
      <c r="BE51" s="1015"/>
      <c r="BF51" s="1005"/>
      <c r="BG51" s="1014"/>
      <c r="BH51" s="1014"/>
      <c r="BI51" s="1015"/>
      <c r="BJ51" s="148"/>
      <c r="BK51" s="150"/>
      <c r="BL51" s="150"/>
      <c r="BM51" s="152"/>
      <c r="BN51" s="149"/>
      <c r="BO51" s="150"/>
      <c r="BP51" s="150"/>
      <c r="BQ51" s="152"/>
      <c r="BR51" s="28"/>
      <c r="BS51" s="28"/>
      <c r="BT51" s="28"/>
      <c r="BU51" s="28"/>
      <c r="BV51" s="28"/>
    </row>
    <row r="52" spans="1:74" ht="13.5" customHeight="1">
      <c r="A52" s="22"/>
      <c r="B52" s="202">
        <v>10</v>
      </c>
      <c r="C52" s="310"/>
      <c r="D52" s="65"/>
      <c r="E52" s="65"/>
      <c r="F52" s="65"/>
      <c r="G52" s="65"/>
      <c r="H52" s="65"/>
      <c r="I52" s="65"/>
      <c r="J52" s="65"/>
      <c r="K52" s="65"/>
      <c r="L52" s="65"/>
      <c r="M52" s="62"/>
      <c r="N52" s="63"/>
      <c r="O52" s="65"/>
      <c r="P52" s="65"/>
      <c r="Q52" s="64"/>
      <c r="R52" s="63"/>
      <c r="S52" s="190"/>
      <c r="T52" s="190"/>
      <c r="U52" s="191"/>
      <c r="V52" s="192"/>
      <c r="W52" s="190"/>
      <c r="X52" s="65"/>
      <c r="Y52" s="65"/>
      <c r="Z52" s="65"/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3"/>
      <c r="AN52" s="63"/>
      <c r="AO52" s="63"/>
      <c r="AP52" s="63"/>
      <c r="AQ52" s="63"/>
      <c r="AR52" s="63"/>
      <c r="AS52" s="63"/>
      <c r="AT52" s="63"/>
      <c r="AU52" s="63"/>
      <c r="AV52" s="63"/>
      <c r="AW52" s="63"/>
      <c r="AX52" s="63"/>
      <c r="AY52" s="63"/>
      <c r="AZ52" s="31"/>
      <c r="BA52" s="35"/>
      <c r="BB52" s="35"/>
      <c r="BC52" s="311"/>
      <c r="BD52" s="28"/>
    </row>
    <row r="53" spans="1:74" ht="13.5" customHeight="1">
      <c r="A53" s="22"/>
      <c r="B53" s="202">
        <v>11</v>
      </c>
      <c r="C53" s="312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3"/>
      <c r="W53" s="63"/>
      <c r="X53" s="75"/>
      <c r="Y53" s="63"/>
      <c r="Z53" s="63"/>
      <c r="AA53" s="69"/>
      <c r="AB53" s="65"/>
      <c r="AC53" s="63"/>
      <c r="AD53" s="65"/>
      <c r="AE53" s="65"/>
      <c r="AF53" s="65"/>
      <c r="AG53" s="69"/>
      <c r="AH53" s="65"/>
      <c r="AI53" s="75"/>
      <c r="AJ53" s="63"/>
      <c r="AK53" s="63"/>
      <c r="AL53" s="63"/>
      <c r="AM53" s="63"/>
      <c r="AN53" s="125"/>
      <c r="AO53" s="62"/>
      <c r="AP53" s="62"/>
      <c r="AQ53" s="63"/>
      <c r="AR53" s="63"/>
      <c r="AS53" s="63"/>
      <c r="AT53" s="64"/>
      <c r="AU53" s="63"/>
      <c r="AV53" s="65"/>
      <c r="AW53" s="65"/>
      <c r="AX53" s="65"/>
      <c r="AY53" s="63"/>
      <c r="AZ53" s="31"/>
      <c r="BA53" s="35"/>
      <c r="BB53" s="35"/>
      <c r="BC53" s="311"/>
      <c r="BD53" s="28"/>
    </row>
    <row r="54" spans="1:74" ht="15.75" customHeight="1">
      <c r="A54" s="22"/>
      <c r="B54" s="202">
        <v>12</v>
      </c>
      <c r="C54" s="310"/>
      <c r="D54" s="65"/>
      <c r="E54" s="65"/>
      <c r="F54" s="65"/>
      <c r="G54" s="65"/>
      <c r="H54" s="65"/>
      <c r="I54" s="65"/>
      <c r="J54" s="65"/>
      <c r="K54" s="65"/>
      <c r="L54" s="65"/>
      <c r="M54" s="62"/>
      <c r="N54" s="65"/>
      <c r="O54" s="65"/>
      <c r="P54" s="63"/>
      <c r="Q54" s="64"/>
      <c r="R54" s="63"/>
      <c r="S54" s="63"/>
      <c r="T54" s="65"/>
      <c r="U54" s="63"/>
      <c r="V54" s="65"/>
      <c r="W54" s="63"/>
      <c r="X54" s="63"/>
      <c r="Y54" s="63"/>
      <c r="Z54" s="63"/>
      <c r="AA54" s="63"/>
      <c r="AB54" s="65"/>
      <c r="AC54" s="65"/>
      <c r="AD54" s="62"/>
      <c r="AE54" s="63"/>
      <c r="AF54" s="63"/>
      <c r="AG54" s="65"/>
      <c r="AH54" s="65"/>
      <c r="AI54" s="62"/>
      <c r="AJ54" s="63"/>
      <c r="AK54" s="65"/>
      <c r="AL54" s="63"/>
      <c r="AM54" s="63"/>
      <c r="AN54" s="126"/>
      <c r="AO54" s="65"/>
      <c r="AP54" s="65"/>
      <c r="AQ54" s="125"/>
      <c r="AR54" s="65"/>
      <c r="AS54" s="65"/>
      <c r="AT54" s="63"/>
      <c r="AU54" s="63"/>
      <c r="AV54" s="63"/>
      <c r="AW54" s="63"/>
      <c r="AX54" s="63"/>
      <c r="AY54" s="63"/>
      <c r="AZ54" s="31"/>
      <c r="BA54" s="35"/>
      <c r="BB54" s="35"/>
      <c r="BC54" s="311"/>
      <c r="BD54" s="28"/>
    </row>
    <row r="55" spans="1:74" ht="13.5" customHeight="1">
      <c r="A55" s="22"/>
      <c r="B55" s="202">
        <v>13</v>
      </c>
      <c r="C55" s="310"/>
      <c r="D55" s="65"/>
      <c r="E55" s="65"/>
      <c r="F55" s="65"/>
      <c r="G55" s="65"/>
      <c r="H55" s="84"/>
      <c r="I55" s="65"/>
      <c r="J55" s="65"/>
      <c r="K55" s="65"/>
      <c r="L55" s="65"/>
      <c r="M55" s="126"/>
      <c r="N55" s="65"/>
      <c r="O55" s="65"/>
      <c r="P55" s="65"/>
      <c r="Q55" s="198"/>
      <c r="R55" s="65"/>
      <c r="S55" s="63"/>
      <c r="T55" s="63"/>
      <c r="U55" s="63"/>
      <c r="V55" s="65"/>
      <c r="W55" s="84"/>
      <c r="X55" s="65"/>
      <c r="Y55" s="65"/>
      <c r="Z55" s="65"/>
      <c r="AA55" s="65"/>
      <c r="AB55" s="65"/>
      <c r="AC55" s="65"/>
      <c r="AD55" s="65"/>
      <c r="AE55" s="65"/>
      <c r="AF55" s="65"/>
      <c r="AG55" s="65"/>
      <c r="AH55" s="126"/>
      <c r="AI55" s="65"/>
      <c r="AJ55" s="125"/>
      <c r="AK55" s="65"/>
      <c r="AL55" s="65"/>
      <c r="AM55" s="65"/>
      <c r="AN55" s="65"/>
      <c r="AO55" s="65"/>
      <c r="AP55" s="65"/>
      <c r="AQ55" s="125"/>
      <c r="AR55" s="65"/>
      <c r="AS55" s="125"/>
      <c r="AT55" s="64"/>
      <c r="AU55" s="63"/>
      <c r="AV55" s="65"/>
      <c r="AW55" s="65"/>
      <c r="AX55" s="65"/>
      <c r="AY55" s="63"/>
      <c r="AZ55" s="31"/>
      <c r="BA55" s="35"/>
      <c r="BB55" s="35"/>
      <c r="BC55" s="311"/>
      <c r="BD55" s="28"/>
    </row>
    <row r="56" spans="1:74" ht="13.5" customHeight="1">
      <c r="A56" s="22"/>
      <c r="B56" s="202">
        <v>14</v>
      </c>
      <c r="C56" s="312"/>
      <c r="D56" s="65"/>
      <c r="E56" s="65"/>
      <c r="F56" s="65"/>
      <c r="G56" s="65"/>
      <c r="H56" s="65"/>
      <c r="I56" s="65"/>
      <c r="J56" s="65"/>
      <c r="K56" s="198"/>
      <c r="L56" s="65"/>
      <c r="M56" s="65"/>
      <c r="N56" s="65"/>
      <c r="O56" s="65"/>
      <c r="P56" s="65"/>
      <c r="Q56" s="198"/>
      <c r="R56" s="65"/>
      <c r="S56" s="65"/>
      <c r="T56" s="65"/>
      <c r="U56" s="198"/>
      <c r="V56" s="65"/>
      <c r="W56" s="65"/>
      <c r="X56" s="65"/>
      <c r="Y56" s="65"/>
      <c r="Z56" s="65"/>
      <c r="AA56" s="65"/>
      <c r="AB56" s="65"/>
      <c r="AC56" s="65"/>
      <c r="AD56" s="65"/>
      <c r="AE56" s="65"/>
      <c r="AF56" s="65"/>
      <c r="AG56" s="65"/>
      <c r="AH56" s="65"/>
      <c r="AI56" s="65"/>
      <c r="AJ56" s="125"/>
      <c r="AK56" s="112"/>
      <c r="AL56" s="62"/>
      <c r="AM56" s="63"/>
      <c r="AN56" s="63"/>
      <c r="AO56" s="63"/>
      <c r="AP56" s="63"/>
      <c r="AQ56" s="64"/>
      <c r="AR56" s="63"/>
      <c r="AS56" s="65"/>
      <c r="AT56" s="65"/>
      <c r="AU56" s="65"/>
      <c r="AV56" s="65"/>
      <c r="AW56" s="65"/>
      <c r="AX56" s="65"/>
      <c r="AY56" s="63"/>
      <c r="AZ56" s="31"/>
      <c r="BA56" s="35"/>
      <c r="BB56" s="35"/>
      <c r="BC56" s="311"/>
      <c r="BD56" s="28"/>
    </row>
    <row r="57" spans="1:74" ht="13.5" customHeight="1">
      <c r="A57" s="22"/>
      <c r="B57" s="202">
        <v>15</v>
      </c>
      <c r="C57" s="313" t="s">
        <v>71</v>
      </c>
      <c r="D57" s="223"/>
      <c r="E57" s="224"/>
      <c r="F57" s="223"/>
      <c r="G57" s="224"/>
      <c r="H57" s="225"/>
      <c r="I57" s="226"/>
      <c r="J57" s="227"/>
      <c r="K57" s="227"/>
      <c r="L57" s="227"/>
      <c r="M57" s="228"/>
      <c r="N57" s="227"/>
      <c r="O57" s="227"/>
      <c r="P57" s="227"/>
      <c r="Q57" s="229"/>
      <c r="R57" s="227"/>
      <c r="S57" s="227"/>
      <c r="T57" s="227"/>
      <c r="U57" s="227"/>
      <c r="V57" s="227"/>
      <c r="W57" s="229"/>
      <c r="X57" s="227"/>
      <c r="Y57" s="227"/>
      <c r="Z57" s="227"/>
      <c r="AA57" s="229"/>
      <c r="AB57" s="227"/>
      <c r="AC57" s="227"/>
      <c r="AD57" s="227"/>
      <c r="AE57" s="227"/>
      <c r="AF57" s="227"/>
      <c r="AG57" s="232"/>
      <c r="AH57" s="227"/>
      <c r="AI57" s="227"/>
      <c r="AJ57" s="227"/>
      <c r="AK57" s="227"/>
      <c r="AL57" s="227"/>
      <c r="AM57" s="227"/>
      <c r="AN57" s="227"/>
      <c r="AO57" s="227"/>
      <c r="AP57" s="227"/>
      <c r="AQ57" s="230"/>
      <c r="AR57" s="227"/>
      <c r="AS57" s="230"/>
      <c r="AT57" s="227"/>
      <c r="AU57" s="227"/>
      <c r="AV57" s="227"/>
      <c r="AW57" s="227"/>
      <c r="AX57" s="227"/>
      <c r="AY57" s="224"/>
      <c r="AZ57" s="224"/>
      <c r="BA57" s="231"/>
      <c r="BB57" s="231"/>
      <c r="BC57" s="314"/>
      <c r="BD57" s="28"/>
    </row>
    <row r="58" spans="1:74" ht="13.5" customHeight="1">
      <c r="A58" s="22"/>
      <c r="B58" s="202">
        <v>16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5"/>
      <c r="O58" s="65"/>
      <c r="P58" s="63"/>
      <c r="Q58" s="64"/>
      <c r="R58" s="63"/>
      <c r="S58" s="111"/>
      <c r="T58" s="112"/>
      <c r="U58" s="111"/>
      <c r="V58" s="112"/>
      <c r="W58" s="111"/>
      <c r="X58" s="111"/>
      <c r="Y58" s="111"/>
      <c r="Z58" s="111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53"/>
      <c r="BA58" s="323"/>
      <c r="BB58" s="324"/>
      <c r="BC58" s="325"/>
      <c r="BD58" s="28"/>
    </row>
    <row r="59" spans="1:74" ht="13.5" customHeight="1">
      <c r="A59" s="22"/>
      <c r="B59" s="202">
        <v>17</v>
      </c>
      <c r="C59" s="310"/>
      <c r="D59" s="65"/>
      <c r="E59" s="65"/>
      <c r="F59" s="65"/>
      <c r="G59" s="65"/>
      <c r="H59" s="126"/>
      <c r="I59" s="65"/>
      <c r="J59" s="65"/>
      <c r="K59" s="65"/>
      <c r="L59" s="198"/>
      <c r="M59" s="65"/>
      <c r="N59" s="65"/>
      <c r="O59" s="65"/>
      <c r="P59" s="198"/>
      <c r="Q59" s="65"/>
      <c r="R59" s="65"/>
      <c r="S59" s="65"/>
      <c r="T59" s="198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12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3"/>
      <c r="AZ59" s="31"/>
      <c r="BA59" s="30"/>
      <c r="BB59" s="175"/>
      <c r="BC59" s="326"/>
      <c r="BD59" s="28"/>
    </row>
    <row r="60" spans="1:74" ht="5.15" customHeight="1">
      <c r="A60" s="22"/>
      <c r="B60" s="202"/>
      <c r="C60" s="315"/>
      <c r="D60" s="73"/>
      <c r="E60" s="73"/>
      <c r="F60" s="73"/>
      <c r="G60" s="73"/>
      <c r="H60" s="316"/>
      <c r="I60" s="275"/>
      <c r="J60" s="273"/>
      <c r="K60" s="275"/>
      <c r="L60" s="273"/>
      <c r="M60" s="317"/>
      <c r="N60" s="317"/>
      <c r="O60" s="270"/>
      <c r="P60" s="317"/>
      <c r="Q60" s="270"/>
      <c r="R60" s="317"/>
      <c r="S60" s="73"/>
      <c r="T60" s="73"/>
      <c r="U60" s="73"/>
      <c r="V60" s="73"/>
      <c r="W60" s="73"/>
      <c r="X60" s="316"/>
      <c r="Y60" s="275"/>
      <c r="Z60" s="273"/>
      <c r="AA60" s="275"/>
      <c r="AB60" s="273"/>
      <c r="AC60" s="317"/>
      <c r="AD60" s="317"/>
      <c r="AE60" s="270"/>
      <c r="AF60" s="317"/>
      <c r="AG60" s="270"/>
      <c r="AH60" s="317"/>
      <c r="AI60" s="276"/>
      <c r="AJ60" s="317"/>
      <c r="AK60" s="270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318"/>
      <c r="AW60" s="73"/>
      <c r="AX60" s="73"/>
      <c r="AY60" s="269"/>
      <c r="AZ60" s="269"/>
      <c r="BA60" s="319"/>
      <c r="BB60" s="320"/>
      <c r="BC60" s="321"/>
      <c r="BD60" s="28"/>
    </row>
    <row r="61" spans="1:74" ht="13.5" customHeight="1">
      <c r="A61" s="22"/>
      <c r="B61" s="202">
        <v>18</v>
      </c>
      <c r="C61" s="75"/>
      <c r="D61" s="63"/>
      <c r="E61" s="63"/>
      <c r="F61" s="63"/>
      <c r="G61" s="63"/>
      <c r="H61" s="69"/>
      <c r="I61" s="69"/>
      <c r="J61" s="65"/>
      <c r="K61" s="69"/>
      <c r="L61" s="65"/>
      <c r="M61" s="69"/>
      <c r="N61" s="64"/>
      <c r="O61" s="69"/>
      <c r="P61" s="65"/>
      <c r="Q61" s="65"/>
      <c r="R61" s="65"/>
      <c r="S61" s="63"/>
      <c r="T61" s="63"/>
      <c r="U61" s="63"/>
      <c r="V61" s="63"/>
      <c r="W61" s="63"/>
      <c r="X61" s="64"/>
      <c r="Y61" s="63"/>
      <c r="Z61" s="65"/>
      <c r="AA61" s="64"/>
      <c r="AB61" s="63"/>
      <c r="AC61" s="65"/>
      <c r="AD61" s="64"/>
      <c r="AE61" s="65"/>
      <c r="AF61" s="65"/>
      <c r="AG61" s="64"/>
      <c r="AH61" s="65"/>
      <c r="AI61" s="65"/>
      <c r="AJ61" s="126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3"/>
      <c r="AZ61" s="264"/>
      <c r="BA61" s="301"/>
      <c r="BB61" s="302"/>
      <c r="BC61" s="343"/>
      <c r="BD61" s="28"/>
    </row>
    <row r="62" spans="1:74" ht="13.5" customHeight="1">
      <c r="A62" s="22"/>
      <c r="B62" s="202">
        <v>20</v>
      </c>
      <c r="C62" s="204" t="s">
        <v>78</v>
      </c>
      <c r="D62" s="28"/>
      <c r="E62" s="28"/>
      <c r="F62" s="28"/>
      <c r="G62" s="28"/>
      <c r="H62" s="121"/>
      <c r="I62" s="62"/>
      <c r="J62" s="63"/>
      <c r="K62" s="62"/>
      <c r="L62" s="63"/>
      <c r="M62" s="69"/>
      <c r="N62" s="69"/>
      <c r="O62" s="65"/>
      <c r="P62" s="69"/>
      <c r="Q62" s="65"/>
      <c r="R62" s="69"/>
      <c r="S62" s="28"/>
      <c r="T62" s="28"/>
      <c r="U62" s="28"/>
      <c r="V62" s="28"/>
      <c r="W62" s="28"/>
      <c r="X62" s="121"/>
      <c r="Y62" s="62"/>
      <c r="Z62" s="63"/>
      <c r="AA62" s="62"/>
      <c r="AB62" s="63"/>
      <c r="AC62" s="69"/>
      <c r="AD62" s="69"/>
      <c r="AE62" s="65"/>
      <c r="AF62" s="69"/>
      <c r="AG62" s="65"/>
      <c r="AH62" s="69"/>
      <c r="AI62" s="64"/>
      <c r="AJ62" s="69"/>
      <c r="AK62" s="65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33" t="s">
        <v>72</v>
      </c>
      <c r="AW62" s="28"/>
      <c r="AX62" s="28"/>
      <c r="AY62" s="31"/>
      <c r="AZ62" s="269"/>
      <c r="BA62" s="319"/>
      <c r="BB62" s="320"/>
      <c r="BC62" s="344"/>
      <c r="BD62" s="28"/>
    </row>
    <row r="63" spans="1:74" ht="5.15" customHeight="1">
      <c r="A63" s="22"/>
      <c r="B63" s="202"/>
      <c r="C63" s="296"/>
      <c r="D63" s="72"/>
      <c r="E63" s="72"/>
      <c r="F63" s="72"/>
      <c r="G63" s="72"/>
      <c r="H63" s="297"/>
      <c r="I63" s="278"/>
      <c r="J63" s="279"/>
      <c r="K63" s="278"/>
      <c r="L63" s="279"/>
      <c r="M63" s="298"/>
      <c r="N63" s="298"/>
      <c r="O63" s="263"/>
      <c r="P63" s="298"/>
      <c r="Q63" s="263"/>
      <c r="R63" s="298"/>
      <c r="S63" s="72"/>
      <c r="T63" s="72"/>
      <c r="U63" s="72"/>
      <c r="V63" s="72"/>
      <c r="W63" s="72"/>
      <c r="X63" s="297"/>
      <c r="Y63" s="278"/>
      <c r="Z63" s="279"/>
      <c r="AA63" s="278"/>
      <c r="AB63" s="279"/>
      <c r="AC63" s="298"/>
      <c r="AD63" s="298"/>
      <c r="AE63" s="263"/>
      <c r="AF63" s="298"/>
      <c r="AG63" s="263"/>
      <c r="AH63" s="298"/>
      <c r="AI63" s="280"/>
      <c r="AJ63" s="298"/>
      <c r="AK63" s="263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300"/>
      <c r="AW63" s="72"/>
      <c r="AX63" s="72"/>
      <c r="AY63" s="264"/>
      <c r="AZ63" s="264"/>
      <c r="BA63" s="301"/>
      <c r="BB63" s="302"/>
      <c r="BC63" s="303"/>
      <c r="BD63" s="28"/>
    </row>
    <row r="64" spans="1:74" ht="13.5" customHeight="1">
      <c r="A64" s="22"/>
      <c r="B64" s="202">
        <v>21</v>
      </c>
      <c r="C64" s="304" t="s">
        <v>32</v>
      </c>
      <c r="D64" s="234" t="s">
        <v>260</v>
      </c>
      <c r="E64" s="235"/>
      <c r="F64" s="234" t="s">
        <v>64</v>
      </c>
      <c r="G64" s="235"/>
      <c r="H64" s="235"/>
      <c r="I64" s="236"/>
      <c r="J64" s="237" t="s">
        <v>34</v>
      </c>
      <c r="K64" s="238"/>
      <c r="L64" s="238"/>
      <c r="M64" s="238"/>
      <c r="N64" s="235"/>
      <c r="O64" s="236"/>
      <c r="P64" s="239" t="s">
        <v>67</v>
      </c>
      <c r="Q64" s="240"/>
      <c r="R64" s="240"/>
      <c r="S64" s="241"/>
      <c r="T64" s="234" t="s">
        <v>79</v>
      </c>
      <c r="U64" s="235"/>
      <c r="V64" s="235"/>
      <c r="W64" s="236"/>
      <c r="X64" s="234" t="s">
        <v>150</v>
      </c>
      <c r="Y64" s="235"/>
      <c r="Z64" s="235"/>
      <c r="AA64" s="235"/>
      <c r="AB64" s="239" t="s">
        <v>65</v>
      </c>
      <c r="AC64" s="240"/>
      <c r="AD64" s="240"/>
      <c r="AE64" s="240"/>
      <c r="AF64" s="241"/>
      <c r="AG64" s="240" t="s">
        <v>68</v>
      </c>
      <c r="AH64" s="240"/>
      <c r="AI64" s="240"/>
      <c r="AJ64" s="241"/>
      <c r="AK64" s="240" t="s">
        <v>66</v>
      </c>
      <c r="AL64" s="240"/>
      <c r="AM64" s="240"/>
      <c r="AN64" s="241"/>
      <c r="AO64" s="239" t="s">
        <v>161</v>
      </c>
      <c r="AP64" s="240"/>
      <c r="AQ64" s="240"/>
      <c r="AR64" s="241"/>
      <c r="AS64" s="239" t="s">
        <v>82</v>
      </c>
      <c r="AT64" s="240"/>
      <c r="AU64" s="240"/>
      <c r="AV64" s="240"/>
      <c r="AW64" s="357" t="s">
        <v>83</v>
      </c>
      <c r="AX64" s="240"/>
      <c r="AY64" s="240"/>
      <c r="AZ64" s="241"/>
      <c r="BA64" s="239" t="s">
        <v>84</v>
      </c>
      <c r="BB64" s="240"/>
      <c r="BC64" s="240"/>
      <c r="BD64" s="241"/>
      <c r="BE64" s="240" t="s">
        <v>85</v>
      </c>
      <c r="BF64" s="240"/>
      <c r="BG64" s="241"/>
      <c r="BH64" s="240" t="s">
        <v>86</v>
      </c>
      <c r="BI64" s="240"/>
      <c r="BJ64" s="240"/>
      <c r="BK64" s="241"/>
      <c r="BL64" s="240" t="s">
        <v>69</v>
      </c>
      <c r="BM64" s="240"/>
      <c r="BN64" s="240"/>
      <c r="BO64" s="241"/>
    </row>
    <row r="65" spans="1:67" ht="13.5" customHeight="1">
      <c r="A65" s="22"/>
      <c r="B65" s="202">
        <v>22</v>
      </c>
      <c r="C65" s="308">
        <v>1</v>
      </c>
      <c r="D65" s="148" t="str">
        <f>N50</f>
        <v>KFH</v>
      </c>
      <c r="E65" s="149"/>
      <c r="F65" s="148" t="str">
        <f>D50</f>
        <v>4800215830</v>
      </c>
      <c r="G65" s="149"/>
      <c r="H65" s="149"/>
      <c r="I65" s="151"/>
      <c r="J65" s="242" t="str">
        <f>H50</f>
        <v>TF38-20S-0.5SV(830)</v>
      </c>
      <c r="K65" s="150"/>
      <c r="L65" s="150"/>
      <c r="M65" s="150"/>
      <c r="N65" s="161"/>
      <c r="O65" s="162"/>
      <c r="P65" s="148" t="s">
        <v>147</v>
      </c>
      <c r="Q65" s="150"/>
      <c r="R65" s="150"/>
      <c r="S65" s="162"/>
      <c r="T65" s="1016">
        <f>R50</f>
        <v>70000</v>
      </c>
      <c r="U65" s="1017"/>
      <c r="V65" s="1017"/>
      <c r="W65" s="1018"/>
      <c r="X65" s="1046">
        <f>SUM(Z50:AC51)</f>
        <v>6.7299999999999999E-2</v>
      </c>
      <c r="Y65" s="1047"/>
      <c r="Z65" s="1047"/>
      <c r="AA65" s="1048"/>
      <c r="AB65" s="1049">
        <f>BB50</f>
        <v>0.151</v>
      </c>
      <c r="AC65" s="1050"/>
      <c r="AD65" s="1050"/>
      <c r="AE65" s="1050"/>
      <c r="AF65" s="1051"/>
      <c r="AG65" s="1030">
        <f>AL50</f>
        <v>0</v>
      </c>
      <c r="AH65" s="1031"/>
      <c r="AI65" s="1031"/>
      <c r="AJ65" s="1032"/>
      <c r="AK65" s="1030">
        <f>AH50</f>
        <v>0.1211</v>
      </c>
      <c r="AL65" s="1031"/>
      <c r="AM65" s="1031"/>
      <c r="AN65" s="1032"/>
      <c r="AO65" s="1011">
        <f>1-Z50/AT50</f>
        <v>0.50478292862398821</v>
      </c>
      <c r="AP65" s="1012"/>
      <c r="AQ65" s="1012"/>
      <c r="AR65" s="1013"/>
      <c r="AS65" s="1008" t="str">
        <f>IFERROR((AK65-AG65)/AG65,"")</f>
        <v/>
      </c>
      <c r="AT65" s="1009"/>
      <c r="AU65" s="1009"/>
      <c r="AV65" s="1010"/>
      <c r="AW65" s="1030">
        <f>AX50</f>
        <v>0.151</v>
      </c>
      <c r="AX65" s="1031"/>
      <c r="AY65" s="1031"/>
      <c r="AZ65" s="1032"/>
      <c r="BA65" s="1011">
        <f>1-(AH50/AX50)</f>
        <v>0.19801324503311257</v>
      </c>
      <c r="BB65" s="1012"/>
      <c r="BC65" s="1012"/>
      <c r="BD65" s="1013"/>
      <c r="BE65" s="1046">
        <f>BF50</f>
        <v>6.1000000000000004E-3</v>
      </c>
      <c r="BF65" s="1047"/>
      <c r="BG65" s="1048"/>
      <c r="BH65" s="1040"/>
      <c r="BI65" s="1041"/>
      <c r="BJ65" s="1041"/>
      <c r="BK65" s="1042"/>
      <c r="BL65" s="149" t="s">
        <v>30</v>
      </c>
      <c r="BM65" s="150"/>
      <c r="BN65" s="150"/>
      <c r="BO65" s="152"/>
    </row>
    <row r="66" spans="1:67" ht="13.5" customHeight="1">
      <c r="A66" s="22"/>
      <c r="B66" s="202">
        <v>23</v>
      </c>
      <c r="C66" s="308">
        <v>2</v>
      </c>
      <c r="D66" s="148"/>
      <c r="E66" s="149"/>
      <c r="F66" s="148" t="s">
        <v>30</v>
      </c>
      <c r="G66" s="149"/>
      <c r="H66" s="149"/>
      <c r="I66" s="151"/>
      <c r="J66" s="242"/>
      <c r="K66" s="150"/>
      <c r="L66" s="150"/>
      <c r="M66" s="150"/>
      <c r="N66" s="161"/>
      <c r="O66" s="162"/>
      <c r="P66" s="148"/>
      <c r="Q66" s="150"/>
      <c r="R66" s="150"/>
      <c r="S66" s="162"/>
      <c r="T66" s="1016"/>
      <c r="U66" s="1017"/>
      <c r="V66" s="1017"/>
      <c r="W66" s="1018"/>
      <c r="X66" s="1005"/>
      <c r="Y66" s="1014"/>
      <c r="Z66" s="1014"/>
      <c r="AA66" s="1015"/>
      <c r="AB66" s="1043"/>
      <c r="AC66" s="1044"/>
      <c r="AD66" s="1044"/>
      <c r="AE66" s="1044"/>
      <c r="AF66" s="1045"/>
      <c r="AG66" s="1005"/>
      <c r="AH66" s="1014"/>
      <c r="AI66" s="1014"/>
      <c r="AJ66" s="1015"/>
      <c r="AK66" s="1005"/>
      <c r="AL66" s="1014"/>
      <c r="AM66" s="1014"/>
      <c r="AN66" s="1015"/>
      <c r="AO66" s="1011"/>
      <c r="AP66" s="1012"/>
      <c r="AQ66" s="1012"/>
      <c r="AR66" s="1013"/>
      <c r="AS66" s="1008"/>
      <c r="AT66" s="1009"/>
      <c r="AU66" s="1009"/>
      <c r="AV66" s="1010"/>
      <c r="AW66" s="1005"/>
      <c r="AX66" s="1014"/>
      <c r="AY66" s="1014"/>
      <c r="AZ66" s="1015"/>
      <c r="BA66" s="1011"/>
      <c r="BB66" s="1012"/>
      <c r="BC66" s="1012"/>
      <c r="BD66" s="1013"/>
      <c r="BE66" s="1002"/>
      <c r="BF66" s="1003"/>
      <c r="BG66" s="1004"/>
      <c r="BH66" s="149"/>
      <c r="BI66" s="150"/>
      <c r="BJ66" s="150"/>
      <c r="BK66" s="152"/>
      <c r="BL66" s="149"/>
      <c r="BM66" s="150"/>
      <c r="BN66" s="150"/>
      <c r="BO66" s="152"/>
    </row>
    <row r="67" spans="1:67" ht="13.5" customHeight="1">
      <c r="A67" s="22"/>
      <c r="B67" s="202">
        <v>20</v>
      </c>
      <c r="C67" s="337" t="s">
        <v>281</v>
      </c>
      <c r="D67" s="28"/>
      <c r="E67" s="28"/>
      <c r="F67" s="28"/>
      <c r="G67" s="28"/>
      <c r="H67" s="121"/>
      <c r="I67" s="62"/>
      <c r="J67" s="63"/>
      <c r="K67" s="62"/>
      <c r="L67" s="63"/>
      <c r="M67" s="69"/>
      <c r="N67" s="69"/>
      <c r="O67" s="65"/>
      <c r="P67" s="69"/>
      <c r="Q67" s="65"/>
      <c r="R67" s="69"/>
      <c r="S67" s="28"/>
      <c r="T67" s="28"/>
      <c r="U67" s="28"/>
      <c r="V67" s="28"/>
      <c r="W67" s="28"/>
      <c r="X67" s="121"/>
      <c r="Y67" s="62"/>
      <c r="Z67" s="63"/>
      <c r="AA67" s="62"/>
      <c r="AB67" s="63"/>
      <c r="AC67" s="69"/>
      <c r="AD67" s="69"/>
      <c r="AE67" s="65"/>
      <c r="AF67" s="69"/>
      <c r="AG67" s="65"/>
      <c r="AH67" s="69"/>
      <c r="AI67" s="64"/>
      <c r="AJ67" s="69"/>
      <c r="AK67" s="65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33"/>
      <c r="AW67" s="28"/>
      <c r="AX67" s="28"/>
      <c r="AY67" s="31"/>
      <c r="AZ67" s="95"/>
      <c r="BA67" s="92"/>
      <c r="BB67" s="329"/>
      <c r="BC67" s="338"/>
      <c r="BD67" s="37"/>
      <c r="BE67" s="37"/>
    </row>
    <row r="68" spans="1:67" ht="13.5" customHeight="1">
      <c r="A68" s="22"/>
      <c r="B68" s="202">
        <v>24</v>
      </c>
      <c r="C68" s="304"/>
      <c r="D68" s="502" t="s">
        <v>280</v>
      </c>
      <c r="E68" s="503"/>
      <c r="F68" s="504" t="s">
        <v>294</v>
      </c>
      <c r="G68" s="503"/>
      <c r="H68" s="503"/>
      <c r="I68" s="505"/>
      <c r="J68" s="504" t="s">
        <v>30</v>
      </c>
      <c r="K68" s="506"/>
      <c r="L68" s="506"/>
      <c r="M68" s="506"/>
      <c r="N68" s="503"/>
      <c r="O68" s="505"/>
      <c r="P68" s="507"/>
      <c r="Q68" s="508"/>
      <c r="R68" s="508"/>
      <c r="S68" s="509"/>
      <c r="T68" s="502" t="s">
        <v>102</v>
      </c>
      <c r="U68" s="503"/>
      <c r="V68" s="503"/>
      <c r="W68" s="509"/>
      <c r="X68" s="510" t="s">
        <v>234</v>
      </c>
      <c r="Y68" s="508"/>
      <c r="Z68" s="508"/>
      <c r="AA68" s="509"/>
      <c r="AB68" s="513" t="s">
        <v>30</v>
      </c>
      <c r="AC68" s="508"/>
      <c r="AD68" s="508"/>
      <c r="AE68" s="508"/>
      <c r="AF68" s="508"/>
      <c r="AG68" s="511" t="s">
        <v>163</v>
      </c>
      <c r="AH68" s="508"/>
      <c r="AI68" s="508"/>
      <c r="AJ68" s="509"/>
      <c r="AK68" s="514" t="s">
        <v>164</v>
      </c>
      <c r="AL68" s="508"/>
      <c r="AM68" s="508"/>
      <c r="AN68" s="509"/>
      <c r="AO68" s="507" t="s">
        <v>82</v>
      </c>
      <c r="AP68" s="508"/>
      <c r="AQ68" s="508"/>
      <c r="AR68" s="508"/>
      <c r="AS68" s="507" t="s">
        <v>100</v>
      </c>
      <c r="AT68" s="508"/>
      <c r="AU68" s="508"/>
      <c r="AV68" s="509"/>
      <c r="AW68" s="511" t="s">
        <v>30</v>
      </c>
      <c r="AX68" s="508"/>
      <c r="AY68" s="508"/>
      <c r="AZ68" s="509"/>
      <c r="BA68" s="511" t="s">
        <v>30</v>
      </c>
      <c r="BB68" s="508"/>
      <c r="BC68" s="508"/>
      <c r="BD68" s="509"/>
      <c r="BE68" s="508"/>
      <c r="BF68" s="508"/>
      <c r="BG68" s="509"/>
      <c r="BH68" s="508"/>
      <c r="BI68" s="508"/>
      <c r="BJ68" s="508"/>
      <c r="BK68" s="509"/>
      <c r="BL68" s="508"/>
      <c r="BM68" s="508"/>
      <c r="BN68" s="508"/>
      <c r="BO68" s="509"/>
    </row>
    <row r="69" spans="1:67" ht="13.5" customHeight="1">
      <c r="A69" s="22"/>
      <c r="B69" s="202">
        <v>25</v>
      </c>
      <c r="C69" s="308">
        <v>1</v>
      </c>
      <c r="D69" s="148" t="s">
        <v>160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016">
        <f>SUMPRODUCT($T$65:$W$66,$AK$65:$AN$66)</f>
        <v>8477</v>
      </c>
      <c r="U69" s="1017"/>
      <c r="V69" s="1017"/>
      <c r="W69" s="1018"/>
      <c r="X69" s="993">
        <f>SUMPRODUCT(R46:U47,Z46:AC47)</f>
        <v>0</v>
      </c>
      <c r="Y69" s="994"/>
      <c r="Z69" s="994"/>
      <c r="AA69" s="995"/>
      <c r="AB69" s="252"/>
      <c r="AC69" s="252"/>
      <c r="AD69" s="252"/>
      <c r="AE69" s="252"/>
      <c r="AF69" s="252"/>
      <c r="AG69" s="993">
        <f>$T69-$X69</f>
        <v>8477</v>
      </c>
      <c r="AH69" s="994"/>
      <c r="AI69" s="994"/>
      <c r="AJ69" s="995"/>
      <c r="AK69" s="1037">
        <f>AG69/T69</f>
        <v>1</v>
      </c>
      <c r="AL69" s="1038"/>
      <c r="AM69" s="1038"/>
      <c r="AN69" s="1039"/>
      <c r="AO69" s="996">
        <f>IFERROR(AS69/($T69-AS69),"")</f>
        <v>-0.5</v>
      </c>
      <c r="AP69" s="997"/>
      <c r="AQ69" s="997"/>
      <c r="AR69" s="998"/>
      <c r="AS69" s="999">
        <f>$T$65*($AG$65-$AK$65)+$T$66*($AG$66-$AK$66)</f>
        <v>-8477</v>
      </c>
      <c r="AT69" s="1000"/>
      <c r="AU69" s="1000"/>
      <c r="AV69" s="1001"/>
      <c r="AW69" s="987"/>
      <c r="AX69" s="988"/>
      <c r="AY69" s="988"/>
      <c r="AZ69" s="989"/>
      <c r="BA69" s="148" t="s">
        <v>30</v>
      </c>
      <c r="BB69" s="150"/>
      <c r="BC69" s="150"/>
      <c r="BD69" s="152"/>
      <c r="BE69" s="149" t="s">
        <v>30</v>
      </c>
      <c r="BF69" s="150"/>
      <c r="BG69" s="152"/>
      <c r="BH69" s="149" t="s">
        <v>30</v>
      </c>
      <c r="BI69" s="150"/>
      <c r="BJ69" s="150"/>
      <c r="BK69" s="152"/>
      <c r="BL69" s="149" t="s">
        <v>30</v>
      </c>
      <c r="BM69" s="150"/>
      <c r="BN69" s="150"/>
      <c r="BO69" s="152"/>
    </row>
    <row r="70" spans="1:67" ht="13.5" customHeight="1">
      <c r="A70" s="22"/>
      <c r="B70" s="202">
        <v>25</v>
      </c>
      <c r="C70" s="308">
        <v>2</v>
      </c>
      <c r="D70" s="148" t="s">
        <v>160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016">
        <f>SUMPRODUCT($T$65:$W$66,$AK$65:$AN$66)</f>
        <v>8477</v>
      </c>
      <c r="U70" s="1017"/>
      <c r="V70" s="1017"/>
      <c r="W70" s="1018"/>
      <c r="X70" s="993">
        <f>SUMPRODUCT(R47:U48,Z47:AC48)</f>
        <v>0</v>
      </c>
      <c r="Y70" s="994"/>
      <c r="Z70" s="994"/>
      <c r="AA70" s="995"/>
      <c r="AB70" s="252"/>
      <c r="AC70" s="252"/>
      <c r="AD70" s="252"/>
      <c r="AE70" s="252"/>
      <c r="AF70" s="252"/>
      <c r="AG70" s="993">
        <f>$T70-$X70</f>
        <v>8477</v>
      </c>
      <c r="AH70" s="994"/>
      <c r="AI70" s="994"/>
      <c r="AJ70" s="995"/>
      <c r="AK70" s="1037">
        <f>AG70/T70</f>
        <v>1</v>
      </c>
      <c r="AL70" s="1038"/>
      <c r="AM70" s="1038"/>
      <c r="AN70" s="1039"/>
      <c r="AO70" s="996">
        <f>IFERROR(AS70/($T70-AS70),"")</f>
        <v>-0.5</v>
      </c>
      <c r="AP70" s="997"/>
      <c r="AQ70" s="997"/>
      <c r="AR70" s="998"/>
      <c r="AS70" s="999">
        <f>$T$65*($AG$65-$AK$65)+$T$66*($AG$66-$AK$66)</f>
        <v>-8477</v>
      </c>
      <c r="AT70" s="1000"/>
      <c r="AU70" s="1000"/>
      <c r="AV70" s="1001"/>
      <c r="AW70" s="987"/>
      <c r="AX70" s="988"/>
      <c r="AY70" s="988"/>
      <c r="AZ70" s="989"/>
      <c r="BA70" s="148" t="s">
        <v>30</v>
      </c>
      <c r="BB70" s="150"/>
      <c r="BC70" s="150"/>
      <c r="BD70" s="152"/>
      <c r="BE70" s="149" t="s">
        <v>30</v>
      </c>
      <c r="BF70" s="150"/>
      <c r="BG70" s="152"/>
      <c r="BH70" s="149" t="s">
        <v>30</v>
      </c>
      <c r="BI70" s="150"/>
      <c r="BJ70" s="150"/>
      <c r="BK70" s="152"/>
      <c r="BL70" s="149" t="s">
        <v>30</v>
      </c>
      <c r="BM70" s="150"/>
      <c r="BN70" s="150"/>
      <c r="BO70" s="152"/>
    </row>
    <row r="71" spans="1:67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67" ht="13.5" customHeight="1">
      <c r="A72" s="22"/>
      <c r="B72" s="202">
        <v>24</v>
      </c>
      <c r="C72" s="304"/>
      <c r="D72" s="243"/>
      <c r="E72" s="244"/>
      <c r="F72" s="243" t="s">
        <v>296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48"/>
      <c r="Q72" s="249"/>
      <c r="R72" s="249"/>
      <c r="S72" s="250"/>
      <c r="T72" s="243" t="s">
        <v>102</v>
      </c>
      <c r="U72" s="244"/>
      <c r="V72" s="244"/>
      <c r="W72" s="250"/>
      <c r="X72" s="330" t="s">
        <v>234</v>
      </c>
      <c r="Y72" s="249"/>
      <c r="Z72" s="249"/>
      <c r="AA72" s="250"/>
      <c r="AB72" s="251" t="s">
        <v>30</v>
      </c>
      <c r="AC72" s="249"/>
      <c r="AD72" s="249"/>
      <c r="AE72" s="249"/>
      <c r="AF72" s="249"/>
      <c r="AG72" s="253" t="s">
        <v>163</v>
      </c>
      <c r="AH72" s="249"/>
      <c r="AI72" s="249"/>
      <c r="AJ72" s="250"/>
      <c r="AK72" s="358" t="s">
        <v>164</v>
      </c>
      <c r="AL72" s="249"/>
      <c r="AM72" s="249"/>
      <c r="AN72" s="250"/>
      <c r="AO72" s="248" t="s">
        <v>82</v>
      </c>
      <c r="AP72" s="249"/>
      <c r="AQ72" s="249"/>
      <c r="AR72" s="249"/>
      <c r="AS72" s="248" t="s">
        <v>100</v>
      </c>
      <c r="AT72" s="249"/>
      <c r="AU72" s="249"/>
      <c r="AV72" s="250"/>
      <c r="AW72" s="253" t="s">
        <v>30</v>
      </c>
      <c r="AX72" s="249"/>
      <c r="AY72" s="249"/>
      <c r="AZ72" s="250"/>
      <c r="BA72" s="253" t="s">
        <v>30</v>
      </c>
      <c r="BB72" s="249"/>
      <c r="BC72" s="249"/>
      <c r="BD72" s="250"/>
      <c r="BE72" s="249"/>
      <c r="BF72" s="249"/>
      <c r="BG72" s="250"/>
      <c r="BH72" s="249"/>
      <c r="BI72" s="249"/>
      <c r="BJ72" s="249"/>
      <c r="BK72" s="250"/>
      <c r="BL72" s="249"/>
      <c r="BM72" s="249"/>
      <c r="BN72" s="249"/>
      <c r="BO72" s="250"/>
    </row>
    <row r="73" spans="1:67" ht="13.5" customHeight="1">
      <c r="A73" s="22"/>
      <c r="B73" s="202">
        <v>25</v>
      </c>
      <c r="C73" s="308"/>
      <c r="D73" s="148"/>
      <c r="E73" s="149"/>
      <c r="F73" s="148" t="s">
        <v>148</v>
      </c>
      <c r="G73" s="149"/>
      <c r="H73" s="149"/>
      <c r="I73" s="151"/>
      <c r="J73" s="221"/>
      <c r="K73" s="222"/>
      <c r="L73" s="222"/>
      <c r="M73" s="222"/>
      <c r="N73" s="161"/>
      <c r="O73" s="162"/>
      <c r="P73" s="148"/>
      <c r="Q73" s="150"/>
      <c r="R73" s="150"/>
      <c r="S73" s="162"/>
      <c r="T73" s="1016">
        <f>SUMPRODUCT($T$65:$W$66,$AK$65:$AN$66)</f>
        <v>8477</v>
      </c>
      <c r="U73" s="1017"/>
      <c r="V73" s="1017"/>
      <c r="W73" s="1018"/>
      <c r="X73" s="993">
        <f>SUMPRODUCT(R49:U50,Z49:AC50)</f>
        <v>4711</v>
      </c>
      <c r="Y73" s="994"/>
      <c r="Z73" s="994"/>
      <c r="AA73" s="995"/>
      <c r="AB73" s="252"/>
      <c r="AC73" s="252"/>
      <c r="AD73" s="252"/>
      <c r="AE73" s="252"/>
      <c r="AF73" s="252"/>
      <c r="AG73" s="993">
        <f>$T73-$X73</f>
        <v>3766</v>
      </c>
      <c r="AH73" s="994"/>
      <c r="AI73" s="994"/>
      <c r="AJ73" s="995"/>
      <c r="AK73" s="1037">
        <f>AG73/T73</f>
        <v>0.44426094137076794</v>
      </c>
      <c r="AL73" s="1038"/>
      <c r="AM73" s="1038"/>
      <c r="AN73" s="1039"/>
      <c r="AO73" s="996">
        <f>IFERROR(AS73/($T73-AS73),"")</f>
        <v>-0.5</v>
      </c>
      <c r="AP73" s="997"/>
      <c r="AQ73" s="997"/>
      <c r="AR73" s="998"/>
      <c r="AS73" s="999">
        <f>$T$65*($AG$65-$AK$65)+$T$66*($AG$66-$AK$66)</f>
        <v>-8477</v>
      </c>
      <c r="AT73" s="1000"/>
      <c r="AU73" s="1000"/>
      <c r="AV73" s="1001"/>
      <c r="AW73" s="987"/>
      <c r="AX73" s="988"/>
      <c r="AY73" s="988"/>
      <c r="AZ73" s="989"/>
      <c r="BA73" s="148" t="s">
        <v>30</v>
      </c>
      <c r="BB73" s="150"/>
      <c r="BC73" s="150"/>
      <c r="BD73" s="152"/>
      <c r="BE73" s="149" t="s">
        <v>30</v>
      </c>
      <c r="BF73" s="150"/>
      <c r="BG73" s="152"/>
      <c r="BH73" s="149" t="s">
        <v>30</v>
      </c>
      <c r="BI73" s="150"/>
      <c r="BJ73" s="150"/>
      <c r="BK73" s="152"/>
      <c r="BL73" s="149" t="s">
        <v>30</v>
      </c>
      <c r="BM73" s="150"/>
      <c r="BN73" s="150"/>
      <c r="BO73" s="152"/>
    </row>
    <row r="74" spans="1:67" ht="13.5" customHeight="1">
      <c r="A74" s="22"/>
      <c r="B74" s="202">
        <v>25</v>
      </c>
      <c r="C74" s="308"/>
      <c r="D74" s="148"/>
      <c r="E74" s="149"/>
      <c r="F74" s="148" t="s">
        <v>207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016">
        <f>SUMPRODUCT($T$65:$W$66,$AK$65:$AN$66)</f>
        <v>8477</v>
      </c>
      <c r="U74" s="1017"/>
      <c r="V74" s="1017"/>
      <c r="W74" s="1018"/>
      <c r="X74" s="993">
        <f>SUMPRODUCT(R50:U51,Z50:AC51)</f>
        <v>4711</v>
      </c>
      <c r="Y74" s="994"/>
      <c r="Z74" s="994"/>
      <c r="AA74" s="995"/>
      <c r="AB74" s="252"/>
      <c r="AC74" s="252"/>
      <c r="AD74" s="252"/>
      <c r="AE74" s="252"/>
      <c r="AF74" s="252"/>
      <c r="AG74" s="993">
        <f>$T74-$X74</f>
        <v>3766</v>
      </c>
      <c r="AH74" s="994"/>
      <c r="AI74" s="994"/>
      <c r="AJ74" s="995"/>
      <c r="AK74" s="1037">
        <f>AG74/T74</f>
        <v>0.44426094137076794</v>
      </c>
      <c r="AL74" s="1038"/>
      <c r="AM74" s="1038"/>
      <c r="AN74" s="1039"/>
      <c r="AO74" s="996">
        <f>IFERROR(AS74/($T74-AS74),"")</f>
        <v>-0.5</v>
      </c>
      <c r="AP74" s="997"/>
      <c r="AQ74" s="997"/>
      <c r="AR74" s="998"/>
      <c r="AS74" s="999">
        <f>$T$65*($AG$65-$AK$65)+$T$66*($AG$66-$AK$66)</f>
        <v>-8477</v>
      </c>
      <c r="AT74" s="1000"/>
      <c r="AU74" s="1000"/>
      <c r="AV74" s="1001"/>
      <c r="AW74" s="987"/>
      <c r="AX74" s="988"/>
      <c r="AY74" s="988"/>
      <c r="AZ74" s="989"/>
      <c r="BA74" s="148" t="s">
        <v>30</v>
      </c>
      <c r="BB74" s="150"/>
      <c r="BC74" s="150"/>
      <c r="BD74" s="152"/>
      <c r="BE74" s="149" t="s">
        <v>30</v>
      </c>
      <c r="BF74" s="150"/>
      <c r="BG74" s="152"/>
      <c r="BH74" s="149" t="s">
        <v>30</v>
      </c>
      <c r="BI74" s="150"/>
      <c r="BJ74" s="150"/>
      <c r="BK74" s="152"/>
      <c r="BL74" s="149" t="s">
        <v>30</v>
      </c>
      <c r="BM74" s="150"/>
      <c r="BN74" s="150"/>
      <c r="BO74" s="152"/>
    </row>
    <row r="75" spans="1:67" ht="13.5" customHeight="1">
      <c r="A75" s="22"/>
      <c r="B75" s="202">
        <v>26</v>
      </c>
      <c r="C75" s="339"/>
      <c r="D75" s="75"/>
      <c r="E75" s="75"/>
      <c r="F75" s="75"/>
      <c r="G75" s="75"/>
      <c r="H75" s="199"/>
      <c r="I75" s="199"/>
      <c r="J75" s="200"/>
      <c r="K75" s="199"/>
      <c r="L75" s="200"/>
      <c r="M75" s="199"/>
      <c r="N75" s="199"/>
      <c r="O75" s="83"/>
      <c r="P75" s="84"/>
      <c r="Q75" s="84"/>
      <c r="R75" s="84"/>
      <c r="S75" s="75"/>
      <c r="T75" s="75"/>
      <c r="U75" s="75"/>
      <c r="V75" s="75"/>
      <c r="W75" s="75"/>
      <c r="X75" s="85"/>
      <c r="Y75" s="75"/>
      <c r="Z75" s="84"/>
      <c r="AA75" s="85"/>
      <c r="AB75" s="75"/>
      <c r="AC75" s="84"/>
      <c r="AD75" s="85"/>
      <c r="AE75" s="84"/>
      <c r="AF75" s="84"/>
      <c r="AG75" s="85"/>
      <c r="AH75" s="84"/>
      <c r="AI75" s="84"/>
      <c r="AJ75" s="90"/>
      <c r="AK75" s="84"/>
      <c r="AL75" s="84"/>
      <c r="AM75" s="84"/>
      <c r="AN75" s="84"/>
      <c r="AO75" s="84"/>
      <c r="AP75" s="84"/>
      <c r="AQ75" s="84"/>
      <c r="AR75" s="84"/>
      <c r="AS75" s="65"/>
      <c r="AT75" s="65"/>
      <c r="AU75" s="65"/>
      <c r="AV75" s="65"/>
      <c r="AW75" s="65"/>
      <c r="AX75" s="65"/>
      <c r="AY75" s="63"/>
      <c r="AZ75" s="264"/>
      <c r="BA75" s="301"/>
      <c r="BB75" s="302"/>
      <c r="BC75" s="343"/>
      <c r="BD75" s="28"/>
    </row>
    <row r="76" spans="1:67" ht="13.5" customHeight="1">
      <c r="A76" s="22"/>
      <c r="B76" s="202">
        <v>27</v>
      </c>
      <c r="C76" s="340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S76" s="35"/>
      <c r="T76" s="35"/>
      <c r="U76" s="35"/>
      <c r="V76" s="35"/>
      <c r="Y76" s="35"/>
      <c r="Z76" s="35"/>
      <c r="AD76" s="35"/>
      <c r="AE76" s="35"/>
      <c r="AF76" s="35"/>
      <c r="AG76" s="35"/>
      <c r="AH76" s="35"/>
      <c r="AI76" s="35"/>
      <c r="AJ76" s="35"/>
      <c r="AK76" s="35"/>
      <c r="AL76" s="84"/>
      <c r="AM76" s="84"/>
      <c r="AN76" s="84"/>
      <c r="AO76" s="84"/>
      <c r="AP76" s="84"/>
      <c r="AQ76" s="84"/>
      <c r="AR76" s="84"/>
      <c r="AS76" s="254"/>
      <c r="AT76" s="35"/>
      <c r="AU76" s="35"/>
      <c r="AV76" s="65"/>
      <c r="AW76" s="65"/>
      <c r="AX76" s="65"/>
      <c r="AY76" s="63"/>
      <c r="AZ76" s="31"/>
      <c r="BA76" s="30"/>
      <c r="BB76" s="175"/>
      <c r="BC76" s="345"/>
      <c r="BD76" s="28"/>
    </row>
    <row r="77" spans="1:67" ht="13.5" customHeight="1">
      <c r="A77" s="22"/>
      <c r="B77" s="202">
        <v>28</v>
      </c>
      <c r="C77" s="341"/>
      <c r="D77" s="71"/>
      <c r="E77" s="71"/>
      <c r="F77" s="71"/>
      <c r="G77" s="71"/>
      <c r="H77" s="71"/>
      <c r="I77" s="71"/>
      <c r="J77" s="71"/>
      <c r="K77" s="68"/>
      <c r="L77" s="68"/>
      <c r="M77" s="68"/>
      <c r="N77" s="91"/>
      <c r="O77" s="68"/>
      <c r="P77" s="68"/>
      <c r="Q77" s="68"/>
      <c r="R77" s="68"/>
      <c r="S77" s="68"/>
      <c r="T77" s="68"/>
      <c r="U77" s="68"/>
      <c r="V77" s="68"/>
      <c r="W77" s="91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5"/>
      <c r="AN77" s="65"/>
      <c r="AO77" s="65"/>
      <c r="AP77" s="65"/>
      <c r="AQ77" s="65"/>
      <c r="AR77" s="65"/>
      <c r="AS77" s="65"/>
      <c r="AT77" s="35"/>
      <c r="AU77" s="65"/>
      <c r="AV77" s="65"/>
      <c r="AW77" s="65"/>
      <c r="AX77" s="65"/>
      <c r="AY77" s="65"/>
      <c r="AZ77" s="31"/>
      <c r="BA77" s="30"/>
      <c r="BB77" s="175"/>
      <c r="BC77" s="345"/>
      <c r="BD77" s="28"/>
      <c r="BG77" s="24"/>
      <c r="BH77" s="28"/>
    </row>
    <row r="78" spans="1:67" ht="13.5" customHeight="1">
      <c r="A78" s="22"/>
      <c r="B78" s="202">
        <v>29</v>
      </c>
      <c r="C78" s="342"/>
      <c r="D78" s="332"/>
      <c r="E78" s="65"/>
      <c r="F78" s="65"/>
      <c r="G78" s="65"/>
      <c r="H78" s="65"/>
      <c r="I78" s="65"/>
      <c r="J78" s="1019"/>
      <c r="K78" s="1020"/>
      <c r="L78" s="1020"/>
      <c r="M78" s="1020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67" ht="5.15" customHeight="1">
      <c r="A79" s="22"/>
      <c r="B79" s="202"/>
      <c r="C79" s="315"/>
      <c r="D79" s="73"/>
      <c r="E79" s="73"/>
      <c r="F79" s="73"/>
      <c r="G79" s="73"/>
      <c r="H79" s="316"/>
      <c r="I79" s="275"/>
      <c r="J79" s="273"/>
      <c r="K79" s="275"/>
      <c r="L79" s="273"/>
      <c r="M79" s="317"/>
      <c r="N79" s="317"/>
      <c r="O79" s="270"/>
      <c r="P79" s="317"/>
      <c r="Q79" s="270"/>
      <c r="R79" s="317"/>
      <c r="S79" s="73"/>
      <c r="T79" s="73"/>
      <c r="U79" s="73"/>
      <c r="V79" s="73"/>
      <c r="W79" s="73"/>
      <c r="X79" s="316"/>
      <c r="Y79" s="275"/>
      <c r="Z79" s="273"/>
      <c r="AA79" s="275"/>
      <c r="AB79" s="273"/>
      <c r="AC79" s="317"/>
      <c r="AD79" s="317"/>
      <c r="AE79" s="270"/>
      <c r="AF79" s="317"/>
      <c r="AG79" s="270"/>
      <c r="AH79" s="317"/>
      <c r="AI79" s="276"/>
      <c r="AJ79" s="317"/>
      <c r="AK79" s="270"/>
      <c r="AL79" s="73"/>
      <c r="AM79" s="73"/>
      <c r="AN79" s="73"/>
      <c r="AO79" s="73"/>
      <c r="AP79" s="73"/>
      <c r="AQ79" s="73"/>
      <c r="AR79" s="73"/>
      <c r="AS79" s="73"/>
      <c r="AT79" s="73"/>
      <c r="AU79" s="73"/>
      <c r="AV79" s="318"/>
      <c r="AW79" s="73"/>
      <c r="AX79" s="73"/>
      <c r="AY79" s="269"/>
      <c r="AZ79" s="269"/>
      <c r="BA79" s="319"/>
      <c r="BB79" s="320"/>
      <c r="BC79" s="344"/>
      <c r="BD79" s="28"/>
    </row>
    <row r="80" spans="1:67" ht="13.5" customHeight="1">
      <c r="A80" s="22"/>
      <c r="B80" s="202">
        <v>31</v>
      </c>
      <c r="C80" s="331"/>
      <c r="D80" s="332"/>
      <c r="E80" s="65"/>
      <c r="F80" s="65"/>
      <c r="G80" s="65"/>
      <c r="H80" s="65"/>
      <c r="I80" s="65"/>
      <c r="J80" s="1021"/>
      <c r="K80" s="1021"/>
      <c r="L80" s="1021"/>
      <c r="M80" s="1021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198"/>
      <c r="AN80" s="198"/>
      <c r="AO80" s="198"/>
      <c r="AP80" s="198"/>
      <c r="AQ80" s="198"/>
      <c r="AR80" s="198"/>
      <c r="AS80" s="198"/>
      <c r="AT80" s="198"/>
      <c r="AU80" s="198"/>
      <c r="AV80" s="198"/>
      <c r="AW80" s="198"/>
      <c r="AX80" s="198"/>
      <c r="AY80" s="198"/>
      <c r="AZ80" s="33"/>
      <c r="BA80" s="46"/>
      <c r="BB80" s="78"/>
      <c r="BC80" s="34"/>
      <c r="BD80" s="28"/>
      <c r="BG80" s="24"/>
      <c r="BH80" s="28"/>
    </row>
    <row r="81" spans="1:60" ht="14.15" customHeight="1">
      <c r="A81" s="22"/>
      <c r="B81" s="129"/>
      <c r="C81" s="346" t="s">
        <v>131</v>
      </c>
      <c r="D81" s="28"/>
      <c r="E81" s="28"/>
      <c r="F81" s="28"/>
      <c r="G81" s="28"/>
      <c r="S81" s="35"/>
      <c r="T81" s="35"/>
      <c r="U81" s="35"/>
      <c r="V81" s="35"/>
      <c r="Y81" s="35"/>
      <c r="Z81" s="35"/>
      <c r="AD81" s="35"/>
      <c r="AE81" s="35"/>
      <c r="AF81" s="35"/>
      <c r="AG81" s="35"/>
      <c r="AH81" s="35"/>
      <c r="AI81" s="35"/>
      <c r="AJ81" s="28"/>
      <c r="AK81" s="28"/>
      <c r="AL81" s="28"/>
      <c r="AM81" s="130"/>
      <c r="AN81" s="130"/>
      <c r="AO81" s="35"/>
      <c r="AP81" s="35"/>
      <c r="AQ81" s="35"/>
      <c r="AR81" s="35"/>
      <c r="AS81" s="35"/>
      <c r="AT81" s="35"/>
      <c r="AU81" s="35"/>
      <c r="AV81" s="35"/>
      <c r="AW81" s="35"/>
      <c r="AX81" s="65"/>
      <c r="AY81" s="65"/>
      <c r="AZ81" s="33"/>
      <c r="BA81" s="46"/>
      <c r="BB81" s="78"/>
      <c r="BC81" s="34"/>
      <c r="BD81" s="28"/>
      <c r="BG81" s="35"/>
    </row>
    <row r="82" spans="1:60" ht="5.15" customHeight="1">
      <c r="A82" s="22"/>
      <c r="B82" s="202"/>
      <c r="C82" s="296"/>
      <c r="D82" s="72"/>
      <c r="E82" s="72"/>
      <c r="F82" s="72"/>
      <c r="G82" s="72"/>
      <c r="H82" s="297"/>
      <c r="I82" s="278"/>
      <c r="J82" s="279"/>
      <c r="K82" s="278"/>
      <c r="L82" s="279"/>
      <c r="M82" s="298"/>
      <c r="N82" s="298"/>
      <c r="O82" s="263"/>
      <c r="P82" s="298"/>
      <c r="Q82" s="263"/>
      <c r="R82" s="298"/>
      <c r="S82" s="72"/>
      <c r="T82" s="72"/>
      <c r="U82" s="72"/>
      <c r="V82" s="72"/>
      <c r="W82" s="72"/>
      <c r="X82" s="297"/>
      <c r="Y82" s="278"/>
      <c r="Z82" s="279"/>
      <c r="AA82" s="278"/>
      <c r="AB82" s="279"/>
      <c r="AC82" s="298"/>
      <c r="AD82" s="298"/>
      <c r="AE82" s="263"/>
      <c r="AF82" s="298"/>
      <c r="AG82" s="263"/>
      <c r="AH82" s="298"/>
      <c r="AI82" s="280"/>
      <c r="AJ82" s="298"/>
      <c r="AK82" s="263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300"/>
      <c r="AW82" s="72"/>
      <c r="AX82" s="72"/>
      <c r="AY82" s="265"/>
      <c r="AZ82" s="33"/>
      <c r="BA82" s="46"/>
      <c r="BB82" s="78"/>
      <c r="BC82" s="34"/>
      <c r="BD82" s="28"/>
    </row>
    <row r="83" spans="1:60" ht="14.15" customHeight="1">
      <c r="A83" s="23"/>
      <c r="B83" s="351"/>
      <c r="C83" s="282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5"/>
      <c r="S83" s="35"/>
      <c r="T83" s="28"/>
      <c r="U83" s="28"/>
      <c r="V83" s="28"/>
      <c r="W83" s="28"/>
      <c r="X83" s="28"/>
      <c r="Y83" s="28"/>
      <c r="Z83" s="28"/>
      <c r="AC83" s="28"/>
      <c r="AD83" s="28"/>
      <c r="AE83" s="35"/>
      <c r="AF83" s="35"/>
      <c r="AG83" s="35"/>
      <c r="AH83" s="35"/>
      <c r="AI83" s="35"/>
      <c r="AJ83" s="28"/>
      <c r="AK83" s="28"/>
      <c r="AL83" s="28"/>
      <c r="AM83" s="35"/>
      <c r="AN83" s="35"/>
      <c r="AO83" s="135"/>
      <c r="AP83" s="136"/>
      <c r="AQ83" s="130"/>
      <c r="AR83" s="130"/>
      <c r="AS83" s="130"/>
      <c r="AT83" s="130"/>
      <c r="AU83" s="81"/>
      <c r="AV83" s="35"/>
      <c r="AW83" s="35"/>
      <c r="AX83" s="65"/>
      <c r="AY83" s="347"/>
      <c r="AZ83" s="33"/>
      <c r="BA83" s="46"/>
      <c r="BB83" s="78"/>
      <c r="BC83" s="34"/>
      <c r="BD83" s="28"/>
      <c r="BG83" s="35"/>
    </row>
    <row r="84" spans="1:60" ht="14.15" customHeight="1">
      <c r="A84" s="23"/>
      <c r="B84" s="351"/>
      <c r="C84" s="352"/>
      <c r="D84" s="348" t="s">
        <v>38</v>
      </c>
      <c r="E84" s="131"/>
      <c r="F84" s="131"/>
      <c r="G84" s="131"/>
      <c r="H84" s="132"/>
      <c r="I84" s="132"/>
      <c r="J84" s="106"/>
      <c r="K84" s="133"/>
      <c r="L84" s="134"/>
      <c r="M84" s="144"/>
      <c r="N84" s="144"/>
      <c r="O84" s="131"/>
      <c r="P84" s="134"/>
      <c r="Q84" s="107"/>
      <c r="R84" s="133" t="s">
        <v>40</v>
      </c>
      <c r="S84" s="134"/>
      <c r="T84" s="107"/>
      <c r="U84" s="107"/>
      <c r="V84" s="133" t="s">
        <v>44</v>
      </c>
      <c r="W84" s="134"/>
      <c r="X84" s="107"/>
      <c r="Y84" s="35"/>
      <c r="Z84" s="35"/>
      <c r="AC84" s="28"/>
      <c r="AD84" s="28"/>
      <c r="AE84" s="28"/>
      <c r="AF84" s="35"/>
      <c r="AG84" s="35"/>
      <c r="AH84" s="28"/>
      <c r="AI84" s="28"/>
      <c r="AJ84" s="28"/>
      <c r="AK84" s="81"/>
      <c r="AL84" s="28"/>
      <c r="AM84" s="28"/>
      <c r="AN84" s="28"/>
      <c r="AO84" s="28"/>
      <c r="AP84" s="28"/>
      <c r="AQ84" s="65"/>
      <c r="AR84" s="65"/>
      <c r="AS84" s="65"/>
      <c r="AT84" s="125"/>
      <c r="AU84" s="65"/>
      <c r="AV84" s="65"/>
      <c r="AW84" s="65"/>
      <c r="AX84" s="65"/>
      <c r="AY84" s="347"/>
      <c r="AZ84" s="33"/>
      <c r="BA84" s="46"/>
      <c r="BB84" s="78"/>
      <c r="BC84" s="34"/>
      <c r="BD84" s="28"/>
      <c r="BE84" s="35"/>
      <c r="BF84" s="35"/>
      <c r="BG84" s="35"/>
    </row>
    <row r="85" spans="1:60" ht="13.5" customHeight="1">
      <c r="A85" s="22"/>
      <c r="B85" s="353"/>
      <c r="C85" s="352"/>
      <c r="D85" s="349" t="s">
        <v>45</v>
      </c>
      <c r="E85" s="137"/>
      <c r="F85" s="137"/>
      <c r="G85" s="137"/>
      <c r="H85" s="137"/>
      <c r="I85" s="137"/>
      <c r="J85" s="137"/>
      <c r="K85" s="350"/>
      <c r="L85" s="139"/>
      <c r="M85" s="108"/>
      <c r="N85" s="108"/>
      <c r="O85" s="145"/>
      <c r="P85" s="139"/>
      <c r="Q85" s="109"/>
      <c r="R85" s="138" t="s">
        <v>41</v>
      </c>
      <c r="S85" s="139"/>
      <c r="T85" s="108"/>
      <c r="U85" s="109"/>
      <c r="V85" s="140"/>
      <c r="W85" s="141"/>
      <c r="X85" s="142"/>
      <c r="Y85" s="116"/>
      <c r="Z85" s="41"/>
      <c r="AA85" s="116"/>
      <c r="AB85" s="116"/>
      <c r="AC85" s="116"/>
      <c r="AD85" s="116"/>
      <c r="AE85" s="116"/>
      <c r="AF85" s="116"/>
      <c r="AG85" s="116"/>
      <c r="AH85" s="116"/>
      <c r="AI85" s="116"/>
      <c r="AJ85" s="116"/>
      <c r="AK85" s="116"/>
      <c r="AL85" s="116"/>
      <c r="AM85" s="116"/>
      <c r="AN85" s="116"/>
      <c r="AO85" s="116"/>
      <c r="AP85" s="116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0" ht="5.15" customHeight="1">
      <c r="A86" s="22"/>
      <c r="B86" s="202"/>
      <c r="C86" s="315"/>
      <c r="D86" s="73"/>
      <c r="E86" s="73"/>
      <c r="F86" s="73"/>
      <c r="G86" s="73"/>
      <c r="H86" s="316"/>
      <c r="I86" s="275"/>
      <c r="J86" s="273"/>
      <c r="K86" s="275"/>
      <c r="L86" s="273"/>
      <c r="M86" s="317"/>
      <c r="N86" s="317"/>
      <c r="O86" s="270"/>
      <c r="P86" s="317"/>
      <c r="Q86" s="270"/>
      <c r="R86" s="317"/>
      <c r="S86" s="73"/>
      <c r="T86" s="73"/>
      <c r="U86" s="73"/>
      <c r="V86" s="73"/>
      <c r="W86" s="73"/>
      <c r="X86" s="316"/>
      <c r="Y86" s="275"/>
      <c r="Z86" s="273"/>
      <c r="AA86" s="275"/>
      <c r="AB86" s="273"/>
      <c r="AC86" s="317"/>
      <c r="AD86" s="317"/>
      <c r="AE86" s="270"/>
      <c r="AF86" s="317"/>
      <c r="AG86" s="270"/>
      <c r="AH86" s="317"/>
      <c r="AI86" s="276"/>
      <c r="AJ86" s="317"/>
      <c r="AK86" s="270"/>
      <c r="AL86" s="73"/>
      <c r="AM86" s="73"/>
      <c r="AN86" s="73"/>
      <c r="AO86" s="73"/>
      <c r="AP86" s="73"/>
      <c r="AQ86" s="73"/>
      <c r="AR86" s="73"/>
      <c r="AS86" s="73"/>
      <c r="AT86" s="73"/>
      <c r="AU86" s="73"/>
      <c r="AV86" s="318"/>
      <c r="AW86" s="73"/>
      <c r="AX86" s="73"/>
      <c r="AY86" s="277"/>
      <c r="AZ86" s="33"/>
      <c r="BA86" s="46"/>
      <c r="BB86" s="78"/>
      <c r="BC86" s="34"/>
      <c r="BD86" s="28"/>
    </row>
    <row r="87" spans="1:60" ht="14.15" customHeight="1">
      <c r="A87" s="22"/>
      <c r="B87" s="202">
        <v>34</v>
      </c>
      <c r="C87" s="331"/>
      <c r="D87" s="332"/>
      <c r="E87" s="65"/>
      <c r="F87" s="65"/>
      <c r="G87" s="65"/>
      <c r="H87" s="65"/>
      <c r="I87" s="65"/>
      <c r="J87" s="1029"/>
      <c r="K87" s="1029"/>
      <c r="L87" s="1029"/>
      <c r="M87" s="1029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135"/>
      <c r="AQ87" s="13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78"/>
      <c r="BC87" s="34"/>
      <c r="BD87" s="28"/>
      <c r="BG87" s="24"/>
      <c r="BH87" s="28"/>
    </row>
    <row r="88" spans="1:60" ht="14.15" customHeight="1">
      <c r="A88" s="22"/>
      <c r="B88" s="202">
        <v>35</v>
      </c>
      <c r="C88" s="346" t="s">
        <v>247</v>
      </c>
      <c r="D88" s="332"/>
      <c r="E88" s="65"/>
      <c r="F88" s="65"/>
      <c r="G88" s="65"/>
      <c r="H88" s="65"/>
      <c r="I88" s="65"/>
      <c r="J88" s="986"/>
      <c r="K88" s="986"/>
      <c r="L88" s="986"/>
      <c r="M88" s="986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0" ht="14.15" customHeight="1">
      <c r="A89" s="22"/>
      <c r="B89" s="202">
        <v>35</v>
      </c>
      <c r="C89" s="331"/>
      <c r="D89" s="478" t="s">
        <v>248</v>
      </c>
      <c r="E89" s="65"/>
      <c r="F89" s="65"/>
      <c r="G89" s="65"/>
      <c r="H89" s="65"/>
      <c r="I89" s="65"/>
      <c r="J89" s="477"/>
      <c r="K89" s="477"/>
      <c r="L89" s="477"/>
      <c r="M89" s="477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0" ht="14.15" customHeight="1">
      <c r="A90" s="22"/>
      <c r="B90" s="202">
        <v>35</v>
      </c>
      <c r="C90" s="331"/>
      <c r="D90" s="332"/>
      <c r="E90" s="65"/>
      <c r="F90" s="65"/>
      <c r="G90" s="65"/>
      <c r="H90" s="65"/>
      <c r="I90" s="65"/>
      <c r="J90" s="1025"/>
      <c r="K90" s="1025"/>
      <c r="L90" s="1025"/>
      <c r="M90" s="102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0" ht="5.15" customHeight="1">
      <c r="A91" s="22"/>
      <c r="B91" s="202"/>
      <c r="C91" s="296"/>
      <c r="D91" s="72"/>
      <c r="E91" s="72"/>
      <c r="F91" s="72"/>
      <c r="G91" s="72"/>
      <c r="H91" s="297"/>
      <c r="I91" s="278"/>
      <c r="J91" s="279"/>
      <c r="K91" s="278"/>
      <c r="L91" s="279"/>
      <c r="M91" s="298"/>
      <c r="N91" s="298"/>
      <c r="O91" s="263"/>
      <c r="P91" s="298"/>
      <c r="Q91" s="263"/>
      <c r="R91" s="298"/>
      <c r="S91" s="72"/>
      <c r="T91" s="72"/>
      <c r="U91" s="72"/>
      <c r="V91" s="72"/>
      <c r="W91" s="72"/>
      <c r="X91" s="297"/>
      <c r="Y91" s="278"/>
      <c r="Z91" s="279"/>
      <c r="AA91" s="278"/>
      <c r="AB91" s="279"/>
      <c r="AC91" s="298"/>
      <c r="AD91" s="298"/>
      <c r="AE91" s="263"/>
      <c r="AF91" s="298"/>
      <c r="AG91" s="263"/>
      <c r="AH91" s="298"/>
      <c r="AI91" s="280"/>
      <c r="AJ91" s="298"/>
      <c r="AK91" s="263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300"/>
      <c r="AW91" s="72"/>
      <c r="AX91" s="72"/>
      <c r="AY91" s="265"/>
      <c r="AZ91" s="33"/>
      <c r="BA91" s="46"/>
      <c r="BB91" s="78"/>
      <c r="BC91" s="34"/>
      <c r="BD91" s="28"/>
    </row>
    <row r="92" spans="1:60" ht="14.15" customHeight="1">
      <c r="A92" s="23"/>
      <c r="B92" s="351"/>
      <c r="C92" s="282"/>
      <c r="D92" s="28" t="s">
        <v>240</v>
      </c>
      <c r="E92" s="28"/>
      <c r="F92" s="28"/>
      <c r="G92" s="28"/>
      <c r="H92" s="468" t="s">
        <v>245</v>
      </c>
      <c r="I92" s="257"/>
      <c r="J92" s="258"/>
      <c r="K92" s="258"/>
      <c r="L92" s="258"/>
      <c r="M92" s="259"/>
      <c r="N92" s="258"/>
      <c r="O92" s="110"/>
      <c r="P92" s="261" t="s">
        <v>33</v>
      </c>
      <c r="Q92" s="25"/>
      <c r="R92" s="469" t="s">
        <v>246</v>
      </c>
      <c r="S92" s="470"/>
      <c r="T92" s="471"/>
      <c r="U92" s="471"/>
      <c r="V92" s="483"/>
      <c r="W92" s="472"/>
      <c r="X92" s="471"/>
      <c r="Y92" s="473"/>
      <c r="Z92" s="474"/>
      <c r="AB92" s="469" t="s">
        <v>289</v>
      </c>
      <c r="AC92" s="470"/>
      <c r="AD92" s="471"/>
      <c r="AE92" s="471"/>
      <c r="AF92" s="471"/>
      <c r="AG92" s="472"/>
      <c r="AH92" s="471"/>
      <c r="AI92" s="473"/>
      <c r="AJ92" s="472"/>
      <c r="AK92" s="479"/>
      <c r="AL92" s="479"/>
      <c r="AM92" s="473"/>
      <c r="AN92" s="473"/>
      <c r="AO92" s="471"/>
      <c r="AP92" s="480"/>
      <c r="AQ92" s="471"/>
      <c r="AR92" s="471"/>
      <c r="AS92" s="471"/>
      <c r="AT92" s="471"/>
      <c r="AU92" s="481"/>
      <c r="AV92" s="473"/>
      <c r="AW92" s="473"/>
      <c r="AX92" s="482"/>
      <c r="AY92" s="347"/>
      <c r="AZ92" s="33"/>
      <c r="BA92" s="46"/>
      <c r="BB92" s="78"/>
      <c r="BC92" s="34"/>
      <c r="BD92" s="28"/>
      <c r="BG92" s="35"/>
    </row>
    <row r="93" spans="1:60" ht="14.15" customHeight="1">
      <c r="A93" s="23"/>
      <c r="B93" s="351"/>
      <c r="C93" s="282"/>
      <c r="D93" s="28"/>
      <c r="E93" s="28"/>
      <c r="F93" s="28"/>
      <c r="G93" s="28"/>
      <c r="H93" s="469" t="s">
        <v>54</v>
      </c>
      <c r="I93" s="470"/>
      <c r="J93" s="471"/>
      <c r="K93" s="471"/>
      <c r="L93" s="471"/>
      <c r="M93" s="472"/>
      <c r="N93" s="471"/>
      <c r="O93" s="473"/>
      <c r="P93" s="472"/>
      <c r="Q93" s="479"/>
      <c r="R93" s="479"/>
      <c r="S93" s="473"/>
      <c r="T93" s="473"/>
      <c r="U93" s="471"/>
      <c r="V93" s="480"/>
      <c r="W93" s="471"/>
      <c r="X93" s="471"/>
      <c r="Y93" s="471"/>
      <c r="Z93" s="471"/>
      <c r="AA93" s="481"/>
      <c r="AB93" s="473"/>
      <c r="AC93" s="473"/>
      <c r="AD93" s="479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0" ht="5.15" customHeight="1">
      <c r="A94" s="22"/>
      <c r="B94" s="202"/>
      <c r="C94" s="315"/>
      <c r="D94" s="73"/>
      <c r="E94" s="73"/>
      <c r="F94" s="73"/>
      <c r="G94" s="73"/>
      <c r="H94" s="316"/>
      <c r="I94" s="275"/>
      <c r="J94" s="273"/>
      <c r="K94" s="275"/>
      <c r="L94" s="273"/>
      <c r="M94" s="317"/>
      <c r="N94" s="317"/>
      <c r="O94" s="270"/>
      <c r="P94" s="317"/>
      <c r="Q94" s="270"/>
      <c r="R94" s="317"/>
      <c r="S94" s="73"/>
      <c r="T94" s="73"/>
      <c r="U94" s="73"/>
      <c r="V94" s="73"/>
      <c r="W94" s="73"/>
      <c r="X94" s="316"/>
      <c r="Y94" s="275"/>
      <c r="Z94" s="273"/>
      <c r="AA94" s="275"/>
      <c r="AB94" s="273"/>
      <c r="AC94" s="317"/>
      <c r="AD94" s="317"/>
      <c r="AE94" s="270"/>
      <c r="AF94" s="317"/>
      <c r="AG94" s="270"/>
      <c r="AH94" s="317"/>
      <c r="AI94" s="276"/>
      <c r="AJ94" s="317"/>
      <c r="AK94" s="270"/>
      <c r="AL94" s="73"/>
      <c r="AM94" s="73"/>
      <c r="AN94" s="73"/>
      <c r="AO94" s="73"/>
      <c r="AP94" s="73"/>
      <c r="AQ94" s="73"/>
      <c r="AR94" s="73"/>
      <c r="AS94" s="73"/>
      <c r="AT94" s="73"/>
      <c r="AU94" s="73"/>
      <c r="AV94" s="318"/>
      <c r="AW94" s="73"/>
      <c r="AX94" s="73"/>
      <c r="AY94" s="277"/>
      <c r="AZ94" s="33"/>
      <c r="BA94" s="46"/>
      <c r="BB94" s="78"/>
      <c r="BC94" s="34"/>
      <c r="BD94" s="28"/>
    </row>
    <row r="95" spans="1:60" ht="5.15" customHeight="1">
      <c r="A95" s="22"/>
      <c r="B95" s="202"/>
      <c r="C95" s="476"/>
      <c r="D95" s="72"/>
      <c r="E95" s="72"/>
      <c r="F95" s="72"/>
      <c r="G95" s="72"/>
      <c r="H95" s="297"/>
      <c r="I95" s="278"/>
      <c r="J95" s="279"/>
      <c r="K95" s="278"/>
      <c r="L95" s="279"/>
      <c r="M95" s="298"/>
      <c r="N95" s="298"/>
      <c r="O95" s="263"/>
      <c r="P95" s="298"/>
      <c r="Q95" s="263"/>
      <c r="R95" s="298"/>
      <c r="S95" s="72"/>
      <c r="T95" s="72"/>
      <c r="U95" s="72"/>
      <c r="V95" s="72"/>
      <c r="W95" s="72"/>
      <c r="X95" s="297"/>
      <c r="Y95" s="278"/>
      <c r="Z95" s="279"/>
      <c r="AA95" s="278"/>
      <c r="AB95" s="279"/>
      <c r="AC95" s="298"/>
      <c r="AD95" s="298"/>
      <c r="AE95" s="263"/>
      <c r="AF95" s="298"/>
      <c r="AG95" s="263"/>
      <c r="AH95" s="298"/>
      <c r="AI95" s="280"/>
      <c r="AJ95" s="298"/>
      <c r="AK95" s="263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300"/>
      <c r="AW95" s="72"/>
      <c r="AX95" s="72"/>
      <c r="AY95" s="264"/>
      <c r="AZ95" s="33"/>
      <c r="BA95" s="46"/>
      <c r="BB95" s="78"/>
      <c r="BC95" s="34"/>
      <c r="BD95" s="28"/>
    </row>
    <row r="96" spans="1:60" ht="14.15" customHeight="1">
      <c r="A96" s="22"/>
      <c r="B96" s="202">
        <v>35</v>
      </c>
      <c r="C96" s="62" t="s">
        <v>243</v>
      </c>
      <c r="D96" s="332"/>
      <c r="E96" s="65"/>
      <c r="F96" s="65"/>
      <c r="G96" s="65"/>
      <c r="H96" s="65"/>
      <c r="I96" s="65"/>
      <c r="J96" s="986"/>
      <c r="K96" s="986"/>
      <c r="L96" s="986"/>
      <c r="M96" s="986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125"/>
      <c r="AU96" s="65"/>
      <c r="AV96" s="65"/>
      <c r="AW96" s="65"/>
      <c r="AX96" s="65"/>
      <c r="AY96" s="65"/>
      <c r="AZ96" s="33"/>
      <c r="BA96" s="46"/>
      <c r="BB96" s="335"/>
      <c r="BC96" s="336"/>
      <c r="BD96" s="28"/>
      <c r="BG96" s="24"/>
      <c r="BH96" s="28"/>
    </row>
    <row r="97" spans="1:60" ht="5.15" customHeight="1">
      <c r="A97" s="22"/>
      <c r="B97" s="202"/>
      <c r="C97" s="296"/>
      <c r="D97" s="72"/>
      <c r="E97" s="72"/>
      <c r="F97" s="72"/>
      <c r="G97" s="72"/>
      <c r="H97" s="297"/>
      <c r="I97" s="278"/>
      <c r="J97" s="279"/>
      <c r="K97" s="278"/>
      <c r="L97" s="279"/>
      <c r="M97" s="298"/>
      <c r="N97" s="298"/>
      <c r="O97" s="263"/>
      <c r="P97" s="298"/>
      <c r="Q97" s="263"/>
      <c r="R97" s="298"/>
      <c r="S97" s="72"/>
      <c r="T97" s="72"/>
      <c r="U97" s="72"/>
      <c r="V97" s="72"/>
      <c r="W97" s="72"/>
      <c r="X97" s="297"/>
      <c r="Y97" s="278"/>
      <c r="Z97" s="279"/>
      <c r="AA97" s="278"/>
      <c r="AB97" s="279"/>
      <c r="AC97" s="298"/>
      <c r="AD97" s="298"/>
      <c r="AE97" s="263"/>
      <c r="AF97" s="298"/>
      <c r="AG97" s="263"/>
      <c r="AH97" s="298"/>
      <c r="AI97" s="280"/>
      <c r="AJ97" s="298"/>
      <c r="AK97" s="263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300"/>
      <c r="AW97" s="72"/>
      <c r="AX97" s="72"/>
      <c r="AY97" s="265"/>
      <c r="AZ97" s="33"/>
      <c r="BA97" s="46"/>
      <c r="BB97" s="78"/>
      <c r="BC97" s="34"/>
      <c r="BD97" s="28"/>
    </row>
    <row r="98" spans="1:60" ht="14.15" customHeight="1">
      <c r="A98" s="23"/>
      <c r="B98" s="351"/>
      <c r="C98" s="282"/>
      <c r="D98" s="28" t="s">
        <v>240</v>
      </c>
      <c r="E98" s="28"/>
      <c r="F98" s="28"/>
      <c r="G98" s="28"/>
      <c r="H98" s="468" t="s">
        <v>241</v>
      </c>
      <c r="I98" s="257"/>
      <c r="J98" s="258"/>
      <c r="K98" s="258"/>
      <c r="L98" s="258"/>
      <c r="M98" s="259"/>
      <c r="N98" s="258"/>
      <c r="O98" s="110"/>
      <c r="P98" s="261" t="s">
        <v>33</v>
      </c>
      <c r="Q98" s="25"/>
      <c r="R98" s="469" t="s">
        <v>242</v>
      </c>
      <c r="S98" s="470"/>
      <c r="T98" s="471"/>
      <c r="U98" s="471"/>
      <c r="V98" s="483"/>
      <c r="W98" s="484" t="s">
        <v>254</v>
      </c>
      <c r="X98" s="471"/>
      <c r="Y98" s="473"/>
      <c r="Z98" s="474"/>
      <c r="AB98" s="529" t="s">
        <v>290</v>
      </c>
      <c r="AC98" s="530"/>
      <c r="AD98" s="531"/>
      <c r="AE98" s="531"/>
      <c r="AF98" s="531"/>
      <c r="AG98" s="532"/>
      <c r="AH98" s="531"/>
      <c r="AI98" s="533"/>
      <c r="AJ98" s="532"/>
      <c r="AK98" s="61"/>
      <c r="AL98" s="61"/>
      <c r="AM98" s="533"/>
      <c r="AN98" s="533"/>
      <c r="AO98" s="531"/>
      <c r="AP98" s="534"/>
      <c r="AQ98" s="531"/>
      <c r="AR98" s="531"/>
      <c r="AS98" s="531"/>
      <c r="AT98" s="531"/>
      <c r="AU98" s="535"/>
      <c r="AV98" s="533"/>
      <c r="AW98" s="533"/>
      <c r="AX98" s="70"/>
      <c r="AY98" s="347"/>
      <c r="AZ98" s="33"/>
      <c r="BA98" s="46"/>
      <c r="BB98" s="78"/>
      <c r="BC98" s="34"/>
      <c r="BD98" s="28"/>
      <c r="BG98" s="35"/>
    </row>
    <row r="99" spans="1:60" ht="14.15" customHeight="1">
      <c r="A99" s="23"/>
      <c r="B99" s="351"/>
      <c r="C99" s="282"/>
      <c r="D99" s="28"/>
      <c r="E99" s="28"/>
      <c r="F99" s="28"/>
      <c r="G99" s="28"/>
      <c r="H99" s="469" t="s">
        <v>253</v>
      </c>
      <c r="I99" s="470"/>
      <c r="J99" s="471"/>
      <c r="K99" s="471"/>
      <c r="L99" s="471"/>
      <c r="M99" s="472"/>
      <c r="N99" s="471"/>
      <c r="O99" s="473"/>
      <c r="P99" s="472"/>
      <c r="Q99" s="479"/>
      <c r="R99" s="479"/>
      <c r="S99" s="473"/>
      <c r="T99" s="473"/>
      <c r="U99" s="471"/>
      <c r="V99" s="480"/>
      <c r="W99" s="471"/>
      <c r="X99" s="471"/>
      <c r="Y99" s="471"/>
      <c r="Z99" s="471"/>
      <c r="AA99" s="481"/>
      <c r="AB99" s="473"/>
      <c r="AC99" s="473"/>
      <c r="AD99" s="479"/>
      <c r="AE99" s="471"/>
      <c r="AF99" s="471"/>
      <c r="AG99" s="472"/>
      <c r="AH99" s="471"/>
      <c r="AI99" s="473"/>
      <c r="AJ99" s="472"/>
      <c r="AK99" s="479"/>
      <c r="AL99" s="479"/>
      <c r="AM99" s="473"/>
      <c r="AN99" s="473"/>
      <c r="AO99" s="471"/>
      <c r="AP99" s="480"/>
      <c r="AQ99" s="471"/>
      <c r="AR99" s="471"/>
      <c r="AS99" s="471"/>
      <c r="AT99" s="471"/>
      <c r="AU99" s="481"/>
      <c r="AV99" s="473"/>
      <c r="AW99" s="473"/>
      <c r="AX99" s="482"/>
      <c r="AY99" s="347"/>
      <c r="AZ99" s="33"/>
      <c r="BA99" s="46"/>
      <c r="BB99" s="78"/>
      <c r="BC99" s="34"/>
      <c r="BD99" s="28"/>
      <c r="BG99" s="35"/>
    </row>
    <row r="100" spans="1:60" ht="5.15" customHeight="1">
      <c r="A100" s="22"/>
      <c r="B100" s="202"/>
      <c r="C100" s="315"/>
      <c r="D100" s="73"/>
      <c r="E100" s="73"/>
      <c r="F100" s="73"/>
      <c r="G100" s="73"/>
      <c r="H100" s="316"/>
      <c r="I100" s="275"/>
      <c r="J100" s="273"/>
      <c r="K100" s="275"/>
      <c r="L100" s="273"/>
      <c r="M100" s="317"/>
      <c r="N100" s="317"/>
      <c r="O100" s="270"/>
      <c r="P100" s="317"/>
      <c r="Q100" s="270"/>
      <c r="R100" s="317"/>
      <c r="S100" s="73"/>
      <c r="T100" s="73"/>
      <c r="U100" s="73"/>
      <c r="V100" s="73"/>
      <c r="W100" s="73"/>
      <c r="X100" s="316"/>
      <c r="Y100" s="275"/>
      <c r="Z100" s="273"/>
      <c r="AA100" s="275"/>
      <c r="AB100" s="273"/>
      <c r="AC100" s="317"/>
      <c r="AD100" s="317"/>
      <c r="AE100" s="270"/>
      <c r="AF100" s="317"/>
      <c r="AG100" s="270"/>
      <c r="AH100" s="317"/>
      <c r="AI100" s="276"/>
      <c r="AJ100" s="317"/>
      <c r="AK100" s="270"/>
      <c r="AL100" s="73"/>
      <c r="AM100" s="73"/>
      <c r="AN100" s="73"/>
      <c r="AO100" s="73"/>
      <c r="AP100" s="73"/>
      <c r="AQ100" s="73"/>
      <c r="AR100" s="73"/>
      <c r="AS100" s="73"/>
      <c r="AT100" s="73"/>
      <c r="AU100" s="73"/>
      <c r="AV100" s="318"/>
      <c r="AW100" s="73"/>
      <c r="AX100" s="73"/>
      <c r="AY100" s="277"/>
      <c r="AZ100" s="33"/>
      <c r="BA100" s="46"/>
      <c r="BB100" s="78"/>
      <c r="BC100" s="34"/>
      <c r="BD100" s="28"/>
    </row>
    <row r="101" spans="1:60" ht="5.15" customHeight="1">
      <c r="A101" s="22"/>
      <c r="B101" s="202"/>
      <c r="C101" s="476"/>
      <c r="D101" s="72"/>
      <c r="E101" s="72"/>
      <c r="F101" s="72"/>
      <c r="G101" s="72"/>
      <c r="H101" s="297"/>
      <c r="I101" s="278"/>
      <c r="J101" s="279"/>
      <c r="K101" s="278"/>
      <c r="L101" s="279"/>
      <c r="M101" s="298"/>
      <c r="N101" s="298"/>
      <c r="O101" s="263"/>
      <c r="P101" s="298"/>
      <c r="Q101" s="263"/>
      <c r="R101" s="298"/>
      <c r="S101" s="72"/>
      <c r="T101" s="72"/>
      <c r="U101" s="72"/>
      <c r="V101" s="72"/>
      <c r="W101" s="72"/>
      <c r="X101" s="297"/>
      <c r="Y101" s="278"/>
      <c r="Z101" s="279"/>
      <c r="AA101" s="278"/>
      <c r="AB101" s="279"/>
      <c r="AC101" s="298"/>
      <c r="AD101" s="298"/>
      <c r="AE101" s="263"/>
      <c r="AF101" s="298"/>
      <c r="AG101" s="263"/>
      <c r="AH101" s="298"/>
      <c r="AI101" s="280"/>
      <c r="AJ101" s="298"/>
      <c r="AK101" s="263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300"/>
      <c r="AW101" s="72"/>
      <c r="AX101" s="72"/>
      <c r="AY101" s="264"/>
      <c r="AZ101" s="33"/>
      <c r="BA101" s="46"/>
      <c r="BB101" s="78"/>
      <c r="BC101" s="34"/>
      <c r="BD101" s="28"/>
    </row>
    <row r="102" spans="1:60" ht="14.15" customHeight="1">
      <c r="A102" s="22"/>
      <c r="B102" s="202">
        <v>35</v>
      </c>
      <c r="C102" s="62" t="s">
        <v>243</v>
      </c>
      <c r="D102" s="332"/>
      <c r="E102" s="65"/>
      <c r="F102" s="65"/>
      <c r="G102" s="65"/>
      <c r="H102" s="65"/>
      <c r="I102" s="65"/>
      <c r="J102" s="477"/>
      <c r="K102" s="477"/>
      <c r="L102" s="477"/>
      <c r="M102" s="477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125"/>
      <c r="AU102" s="65"/>
      <c r="AV102" s="65"/>
      <c r="AW102" s="65"/>
      <c r="AX102" s="65"/>
      <c r="AY102" s="65"/>
      <c r="AZ102" s="33"/>
      <c r="BA102" s="46"/>
      <c r="BB102" s="335"/>
      <c r="BC102" s="336"/>
      <c r="BD102" s="28"/>
      <c r="BG102" s="24"/>
      <c r="BH102" s="28"/>
    </row>
    <row r="103" spans="1:60" ht="14.15" customHeight="1">
      <c r="A103" s="22"/>
      <c r="B103" s="202">
        <v>35</v>
      </c>
      <c r="C103" s="331"/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46" t="s">
        <v>249</v>
      </c>
      <c r="D104" s="332"/>
      <c r="E104" s="65"/>
      <c r="F104" s="65"/>
      <c r="G104" s="65"/>
      <c r="H104" s="65"/>
      <c r="I104" s="65"/>
      <c r="J104" s="986"/>
      <c r="K104" s="986"/>
      <c r="L104" s="986"/>
      <c r="M104" s="986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5.15" customHeight="1">
      <c r="A105" s="22"/>
      <c r="B105" s="202"/>
      <c r="C105" s="296"/>
      <c r="D105" s="72"/>
      <c r="E105" s="72"/>
      <c r="F105" s="72"/>
      <c r="G105" s="72"/>
      <c r="H105" s="297"/>
      <c r="I105" s="278"/>
      <c r="J105" s="279"/>
      <c r="K105" s="278"/>
      <c r="L105" s="279"/>
      <c r="M105" s="298"/>
      <c r="N105" s="298"/>
      <c r="O105" s="263"/>
      <c r="P105" s="298"/>
      <c r="Q105" s="263"/>
      <c r="R105" s="298"/>
      <c r="S105" s="72"/>
      <c r="T105" s="72"/>
      <c r="U105" s="72"/>
      <c r="V105" s="72"/>
      <c r="W105" s="72"/>
      <c r="X105" s="297"/>
      <c r="Y105" s="278"/>
      <c r="Z105" s="279"/>
      <c r="AA105" s="278"/>
      <c r="AB105" s="279"/>
      <c r="AC105" s="298"/>
      <c r="AD105" s="298"/>
      <c r="AE105" s="263"/>
      <c r="AF105" s="298"/>
      <c r="AG105" s="263"/>
      <c r="AH105" s="298"/>
      <c r="AI105" s="280"/>
      <c r="AJ105" s="298"/>
      <c r="AK105" s="263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300"/>
      <c r="AW105" s="72"/>
      <c r="AX105" s="72"/>
      <c r="AY105" s="265"/>
      <c r="AZ105" s="33"/>
      <c r="BA105" s="46"/>
      <c r="BB105" s="335"/>
      <c r="BC105" s="336"/>
      <c r="BD105" s="28"/>
    </row>
    <row r="106" spans="1:60" ht="13.5" customHeight="1">
      <c r="A106" s="22"/>
      <c r="B106" s="45"/>
      <c r="C106" s="266"/>
      <c r="D106" s="28" t="s">
        <v>250</v>
      </c>
      <c r="E106" s="28"/>
      <c r="F106" s="28"/>
      <c r="G106" s="28"/>
      <c r="H106" s="24"/>
      <c r="I106" s="24"/>
      <c r="J106" s="24"/>
      <c r="K106" s="24"/>
      <c r="L106" s="24"/>
      <c r="M106" s="127"/>
      <c r="N106" s="75"/>
      <c r="O106" s="84"/>
      <c r="P106" s="84"/>
      <c r="Q106" s="85"/>
      <c r="R106" s="75"/>
      <c r="S106" s="75"/>
      <c r="T106" s="75"/>
      <c r="U106" s="84"/>
      <c r="V106" s="85"/>
      <c r="W106" s="75"/>
      <c r="X106" s="65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348" t="s">
        <v>252</v>
      </c>
      <c r="I107" s="131"/>
      <c r="J107" s="131"/>
      <c r="K107" s="131"/>
      <c r="L107" s="132"/>
      <c r="M107" s="132"/>
      <c r="N107" s="106"/>
      <c r="O107" s="133"/>
      <c r="P107" s="134"/>
      <c r="Q107" s="133" t="s">
        <v>251</v>
      </c>
      <c r="R107" s="134"/>
      <c r="S107" s="107"/>
      <c r="T107" s="107"/>
      <c r="U107" s="107"/>
      <c r="V107" s="107"/>
      <c r="W107" s="107"/>
      <c r="X107" s="107"/>
      <c r="Y107" s="107"/>
      <c r="Z107" s="107"/>
      <c r="AA107" s="107"/>
      <c r="AB107" s="107"/>
      <c r="AC107" s="107"/>
      <c r="AD107" s="107"/>
      <c r="AE107" s="107"/>
      <c r="AF107" s="107"/>
      <c r="AG107" s="107"/>
      <c r="AH107" s="107"/>
      <c r="AI107" s="107"/>
      <c r="AJ107" s="107"/>
      <c r="AK107" s="107"/>
      <c r="AL107" s="133" t="s">
        <v>44</v>
      </c>
      <c r="AM107" s="134"/>
      <c r="AN107" s="107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485" t="s">
        <v>255</v>
      </c>
      <c r="I108" s="137"/>
      <c r="J108" s="137"/>
      <c r="K108" s="137"/>
      <c r="L108" s="137"/>
      <c r="M108" s="137"/>
      <c r="N108" s="137"/>
      <c r="O108" s="350"/>
      <c r="P108" s="139"/>
      <c r="Q108" s="486" t="s">
        <v>54</v>
      </c>
      <c r="R108" s="139"/>
      <c r="S108" s="108"/>
      <c r="T108" s="108"/>
      <c r="U108" s="108"/>
      <c r="V108" s="156"/>
      <c r="W108" s="110"/>
      <c r="X108" s="110"/>
      <c r="Y108" s="156"/>
      <c r="Z108" s="156"/>
      <c r="AA108" s="110"/>
      <c r="AB108" s="110"/>
      <c r="AC108" s="37"/>
      <c r="AD108" s="37"/>
      <c r="AE108" s="37"/>
      <c r="AF108" s="37"/>
      <c r="AG108" s="37"/>
      <c r="AH108" s="37"/>
      <c r="AI108" s="37"/>
      <c r="AJ108" s="37"/>
      <c r="AK108" s="97"/>
      <c r="AL108" s="140"/>
      <c r="AM108" s="141"/>
      <c r="AN108" s="142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256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257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5.15" customHeight="1">
      <c r="A111" s="22"/>
      <c r="B111" s="202"/>
      <c r="C111" s="315"/>
      <c r="D111" s="73"/>
      <c r="E111" s="73"/>
      <c r="F111" s="73"/>
      <c r="G111" s="73"/>
      <c r="H111" s="316"/>
      <c r="I111" s="275"/>
      <c r="J111" s="273"/>
      <c r="K111" s="275"/>
      <c r="L111" s="273"/>
      <c r="M111" s="317"/>
      <c r="N111" s="317"/>
      <c r="O111" s="270"/>
      <c r="P111" s="317"/>
      <c r="Q111" s="270"/>
      <c r="R111" s="317"/>
      <c r="S111" s="73"/>
      <c r="T111" s="73"/>
      <c r="U111" s="73"/>
      <c r="V111" s="73"/>
      <c r="W111" s="73"/>
      <c r="X111" s="316"/>
      <c r="Y111" s="275"/>
      <c r="Z111" s="273"/>
      <c r="AA111" s="275"/>
      <c r="AB111" s="273"/>
      <c r="AC111" s="317"/>
      <c r="AD111" s="317"/>
      <c r="AE111" s="270"/>
      <c r="AF111" s="317"/>
      <c r="AG111" s="270"/>
      <c r="AH111" s="317"/>
      <c r="AI111" s="276"/>
      <c r="AJ111" s="317"/>
      <c r="AK111" s="270"/>
      <c r="AL111" s="73"/>
      <c r="AM111" s="73"/>
      <c r="AN111" s="73"/>
      <c r="AO111" s="73"/>
      <c r="AP111" s="73"/>
      <c r="AQ111" s="73"/>
      <c r="AR111" s="73"/>
      <c r="AS111" s="73"/>
      <c r="AT111" s="73"/>
      <c r="AU111" s="73"/>
      <c r="AV111" s="318"/>
      <c r="AW111" s="73"/>
      <c r="AX111" s="73"/>
      <c r="AY111" s="277"/>
      <c r="AZ111" s="33"/>
      <c r="BA111" s="46"/>
      <c r="BB111" s="335"/>
      <c r="BC111" s="336"/>
      <c r="BD111" s="28"/>
    </row>
    <row r="112" spans="1:60" ht="14.15" customHeight="1">
      <c r="A112" s="22"/>
      <c r="B112" s="202">
        <v>35</v>
      </c>
      <c r="C112" s="331"/>
      <c r="D112" s="332"/>
      <c r="E112" s="65"/>
      <c r="F112" s="65"/>
      <c r="G112" s="65"/>
      <c r="H112" s="65"/>
      <c r="I112" s="65"/>
      <c r="J112" s="986"/>
      <c r="K112" s="986"/>
      <c r="L112" s="986"/>
      <c r="M112" s="986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125"/>
      <c r="AU112" s="65"/>
      <c r="AV112" s="65"/>
      <c r="AW112" s="65"/>
      <c r="AX112" s="65"/>
      <c r="AY112" s="65"/>
      <c r="AZ112" s="33"/>
      <c r="BA112" s="46"/>
      <c r="BB112" s="78"/>
      <c r="BC112" s="34"/>
      <c r="BD112" s="28"/>
      <c r="BG112" s="24"/>
      <c r="BH112" s="28"/>
    </row>
    <row r="113" spans="1:69" ht="13.5" customHeight="1">
      <c r="A113" s="22"/>
      <c r="B113" s="202">
        <v>36</v>
      </c>
      <c r="C113" s="331"/>
      <c r="D113" s="332"/>
      <c r="E113" s="65"/>
      <c r="F113" s="65"/>
      <c r="G113" s="65"/>
      <c r="H113" s="65"/>
      <c r="I113" s="65"/>
      <c r="J113" s="986"/>
      <c r="K113" s="986"/>
      <c r="L113" s="986"/>
      <c r="M113" s="986"/>
      <c r="N113" s="63"/>
      <c r="O113" s="65"/>
      <c r="P113" s="65"/>
      <c r="Q113" s="65"/>
      <c r="R113" s="28"/>
      <c r="S113" s="28"/>
      <c r="T113" s="31"/>
      <c r="U113" s="31"/>
      <c r="V113" s="31"/>
      <c r="W113" s="31"/>
      <c r="X113" s="31"/>
      <c r="Y113" s="44"/>
      <c r="Z113" s="31"/>
      <c r="AA113" s="28"/>
      <c r="AB113" s="44"/>
      <c r="AC113" s="31"/>
      <c r="AD113" s="28"/>
      <c r="AE113" s="44"/>
      <c r="AF113" s="28"/>
      <c r="AG113" s="116"/>
      <c r="AH113" s="41"/>
      <c r="AI113" s="116"/>
      <c r="AJ113" s="116"/>
      <c r="AK113" s="116"/>
      <c r="AL113" s="116"/>
      <c r="AM113" s="116"/>
      <c r="AN113" s="116"/>
      <c r="AO113" s="116"/>
      <c r="AP113" s="116"/>
      <c r="AQ113" s="116"/>
      <c r="AR113" s="116"/>
      <c r="AS113" s="116"/>
      <c r="AT113" s="116"/>
      <c r="AU113" s="116"/>
      <c r="AV113" s="116"/>
      <c r="AW113" s="116"/>
      <c r="AX113" s="116"/>
      <c r="AY113" s="116"/>
      <c r="AZ113" s="33"/>
      <c r="BA113" s="46"/>
      <c r="BB113" s="78"/>
      <c r="BC113" s="34"/>
      <c r="BD113" s="28"/>
      <c r="BG113" s="24"/>
      <c r="BH113" s="28"/>
    </row>
    <row r="114" spans="1:69" ht="13.5" customHeight="1">
      <c r="A114" s="22"/>
      <c r="B114" s="202">
        <v>37</v>
      </c>
      <c r="C114" s="331"/>
      <c r="D114" s="332"/>
      <c r="E114" s="65"/>
      <c r="F114" s="65"/>
      <c r="G114" s="65"/>
      <c r="H114" s="65"/>
      <c r="I114" s="65"/>
      <c r="J114" s="986"/>
      <c r="K114" s="986"/>
      <c r="L114" s="986"/>
      <c r="M114" s="986"/>
      <c r="N114" s="193"/>
      <c r="O114" s="195"/>
      <c r="P114" s="193"/>
      <c r="Q114" s="194"/>
      <c r="R114" s="194"/>
      <c r="S114" s="194"/>
      <c r="T114" s="196"/>
      <c r="U114" s="196"/>
      <c r="V114" s="196"/>
      <c r="W114" s="196"/>
      <c r="X114" s="196"/>
      <c r="Y114" s="195"/>
      <c r="Z114" s="196"/>
      <c r="AA114" s="194"/>
      <c r="AB114" s="195"/>
      <c r="AC114" s="196"/>
      <c r="AD114" s="194"/>
      <c r="AE114" s="195"/>
      <c r="AF114" s="194"/>
      <c r="AG114" s="194"/>
      <c r="AH114" s="195"/>
      <c r="AI114" s="194"/>
      <c r="AJ114" s="194"/>
      <c r="AK114" s="197"/>
      <c r="AL114" s="194"/>
      <c r="AM114" s="194"/>
      <c r="AN114" s="194"/>
      <c r="AO114" s="194"/>
      <c r="AP114" s="194"/>
      <c r="AQ114" s="194"/>
      <c r="AR114" s="194"/>
      <c r="AS114" s="194"/>
      <c r="AT114" s="194"/>
      <c r="AU114" s="194"/>
      <c r="AV114" s="194"/>
      <c r="AW114" s="194"/>
      <c r="AX114" s="194"/>
      <c r="AY114" s="194"/>
      <c r="AZ114" s="33"/>
      <c r="BA114" s="46"/>
      <c r="BB114" s="78"/>
      <c r="BC114" s="34"/>
      <c r="BD114" s="28"/>
      <c r="BG114" s="24"/>
      <c r="BH114" s="28"/>
    </row>
    <row r="115" spans="1:69">
      <c r="A115" s="22"/>
      <c r="B115" s="32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81"/>
      <c r="T115" s="81"/>
      <c r="U115" s="81"/>
      <c r="V115" s="81"/>
      <c r="W115" s="28"/>
      <c r="X115" s="28"/>
      <c r="Y115" s="81"/>
      <c r="Z115" s="81"/>
      <c r="AA115" s="28"/>
      <c r="AB115" s="28"/>
      <c r="AC115" s="28"/>
      <c r="AD115" s="81"/>
      <c r="AE115" s="81"/>
      <c r="AF115" s="81"/>
      <c r="AG115" s="81"/>
      <c r="AH115" s="81"/>
      <c r="AI115" s="81"/>
      <c r="AJ115" s="81"/>
      <c r="AK115" s="81"/>
      <c r="AL115" s="81"/>
      <c r="AM115" s="81"/>
      <c r="AN115" s="81"/>
      <c r="AO115" s="81"/>
      <c r="AP115" s="81"/>
      <c r="AQ115" s="81"/>
      <c r="AR115" s="81"/>
      <c r="AS115" s="81"/>
      <c r="AT115" s="81"/>
      <c r="AU115" s="81"/>
      <c r="AV115" s="81"/>
      <c r="AW115" s="81"/>
      <c r="AX115" s="81"/>
      <c r="AY115" s="31"/>
      <c r="AZ115" s="33"/>
      <c r="BA115" s="46"/>
      <c r="BB115" s="78"/>
      <c r="BC115" s="34"/>
    </row>
    <row r="116" spans="1:69" s="81" customFormat="1">
      <c r="A116" s="155"/>
      <c r="B116" s="95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  <c r="P116" s="110"/>
      <c r="Q116" s="110"/>
      <c r="R116" s="110"/>
      <c r="S116" s="156"/>
      <c r="T116" s="156"/>
      <c r="U116" s="156"/>
      <c r="V116" s="156"/>
      <c r="W116" s="110"/>
      <c r="X116" s="110"/>
      <c r="Y116" s="156"/>
      <c r="Z116" s="156"/>
      <c r="AA116" s="110"/>
      <c r="AB116" s="110"/>
      <c r="AC116" s="110"/>
      <c r="AD116" s="156"/>
      <c r="AE116" s="156"/>
      <c r="AF116" s="156"/>
      <c r="AG116" s="156"/>
      <c r="AH116" s="156"/>
      <c r="AI116" s="156"/>
      <c r="AJ116" s="156"/>
      <c r="AK116" s="156"/>
      <c r="AL116" s="156"/>
      <c r="AM116" s="156"/>
      <c r="AN116" s="156"/>
      <c r="AO116" s="156"/>
      <c r="AP116" s="156"/>
      <c r="AQ116" s="156"/>
      <c r="AR116" s="156"/>
      <c r="AS116" s="156"/>
      <c r="AT116" s="156"/>
      <c r="AU116" s="156"/>
      <c r="AV116" s="156"/>
      <c r="AW116" s="156"/>
      <c r="AX116" s="156"/>
      <c r="AY116" s="95"/>
      <c r="AZ116" s="95"/>
      <c r="BA116" s="157"/>
      <c r="BB116" s="79"/>
      <c r="BC116" s="40"/>
      <c r="BE116" s="28"/>
      <c r="BF116" s="28"/>
      <c r="BG116" s="28"/>
      <c r="BH116" s="35"/>
      <c r="BI116" s="35"/>
      <c r="BJ116" s="35"/>
      <c r="BK116" s="35"/>
      <c r="BL116" s="35"/>
      <c r="BM116" s="35"/>
      <c r="BN116" s="35"/>
      <c r="BO116" s="35"/>
      <c r="BP116" s="35"/>
      <c r="BQ116" s="35"/>
    </row>
  </sheetData>
  <mergeCells count="107">
    <mergeCell ref="AW69:AZ69"/>
    <mergeCell ref="T73:W73"/>
    <mergeCell ref="X73:AA73"/>
    <mergeCell ref="AG73:AJ73"/>
    <mergeCell ref="AK73:AN73"/>
    <mergeCell ref="AO73:AR73"/>
    <mergeCell ref="AS73:AV73"/>
    <mergeCell ref="AW73:AZ73"/>
    <mergeCell ref="T69:W69"/>
    <mergeCell ref="X69:AA69"/>
    <mergeCell ref="AG69:AJ69"/>
    <mergeCell ref="AK69:AN69"/>
    <mergeCell ref="AO69:AR69"/>
    <mergeCell ref="J104:M104"/>
    <mergeCell ref="AP51:AS51"/>
    <mergeCell ref="T74:W74"/>
    <mergeCell ref="BJ50:BM50"/>
    <mergeCell ref="BH65:BK65"/>
    <mergeCell ref="AG74:AJ74"/>
    <mergeCell ref="AO66:AR66"/>
    <mergeCell ref="AK66:AN66"/>
    <mergeCell ref="AG66:AJ66"/>
    <mergeCell ref="AB66:AF66"/>
    <mergeCell ref="X66:AA66"/>
    <mergeCell ref="T66:W66"/>
    <mergeCell ref="BB50:BE50"/>
    <mergeCell ref="BB51:BE51"/>
    <mergeCell ref="BF50:BI50"/>
    <mergeCell ref="BF51:BI51"/>
    <mergeCell ref="AW66:AZ66"/>
    <mergeCell ref="BA65:BD65"/>
    <mergeCell ref="BE65:BG65"/>
    <mergeCell ref="AX51:BA51"/>
    <mergeCell ref="T65:W65"/>
    <mergeCell ref="X65:AA65"/>
    <mergeCell ref="AB65:AF65"/>
    <mergeCell ref="AS69:AV69"/>
    <mergeCell ref="J114:M114"/>
    <mergeCell ref="BA66:BD66"/>
    <mergeCell ref="BE66:BG66"/>
    <mergeCell ref="X74:AA74"/>
    <mergeCell ref="AK74:AN74"/>
    <mergeCell ref="AO74:AR74"/>
    <mergeCell ref="AS74:AV74"/>
    <mergeCell ref="AW74:AZ74"/>
    <mergeCell ref="J78:M78"/>
    <mergeCell ref="J80:M80"/>
    <mergeCell ref="J87:M87"/>
    <mergeCell ref="J112:M112"/>
    <mergeCell ref="J113:M113"/>
    <mergeCell ref="AS66:AV66"/>
    <mergeCell ref="J88:M88"/>
    <mergeCell ref="J90:M90"/>
    <mergeCell ref="AS70:AV70"/>
    <mergeCell ref="AW70:AZ70"/>
    <mergeCell ref="T70:W70"/>
    <mergeCell ref="X70:AA70"/>
    <mergeCell ref="AG70:AJ70"/>
    <mergeCell ref="AK70:AN70"/>
    <mergeCell ref="AO70:AR70"/>
    <mergeCell ref="J96:M96"/>
    <mergeCell ref="AG65:AJ65"/>
    <mergeCell ref="AK65:AN65"/>
    <mergeCell ref="AO65:AR65"/>
    <mergeCell ref="AS65:AV65"/>
    <mergeCell ref="AW65:AZ65"/>
    <mergeCell ref="R51:U51"/>
    <mergeCell ref="Z51:AC51"/>
    <mergeCell ref="AT51:AW51"/>
    <mergeCell ref="AH51:AK51"/>
    <mergeCell ref="AL51:AO51"/>
    <mergeCell ref="AV3:AY3"/>
    <mergeCell ref="A5:BA5"/>
    <mergeCell ref="BB5:BC5"/>
    <mergeCell ref="R50:U50"/>
    <mergeCell ref="Z50:AC50"/>
    <mergeCell ref="AT50:AW50"/>
    <mergeCell ref="AX50:BA50"/>
    <mergeCell ref="AH50:AK50"/>
    <mergeCell ref="AL50:AO50"/>
    <mergeCell ref="AP50:AS50"/>
    <mergeCell ref="H41:L41"/>
    <mergeCell ref="H42:L42"/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</mergeCells>
  <phoneticPr fontId="57"/>
  <conditionalFormatting sqref="AO69:AR70">
    <cfRule type="cellIs" dxfId="24" priority="3" operator="lessThan">
      <formula>0</formula>
    </cfRule>
    <cfRule type="expression" dxfId="23" priority="4">
      <formula>#REF!&lt;30</formula>
    </cfRule>
  </conditionalFormatting>
  <conditionalFormatting sqref="AO73:AR74">
    <cfRule type="cellIs" dxfId="22" priority="1" operator="lessThan">
      <formula>0</formula>
    </cfRule>
    <cfRule type="expression" dxfId="21" priority="2">
      <formula>#REF!&lt;30</formula>
    </cfRule>
  </conditionalFormatting>
  <conditionalFormatting sqref="AS65:AV66">
    <cfRule type="cellIs" dxfId="20" priority="8" operator="lessThan">
      <formula>0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2C837-CC74-4F4E-AF36-58ED36486169}">
  <dimension ref="A1:CM150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46177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外貨(PPM)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r1.3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6" t="s">
        <v>24</v>
      </c>
      <c r="BC5" s="78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291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/>
      <c r="O7" s="48" t="s">
        <v>287</v>
      </c>
      <c r="P7" s="36"/>
      <c r="Q7" s="36"/>
      <c r="R7" s="36"/>
      <c r="S7" s="49" t="s">
        <v>286</v>
      </c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2</v>
      </c>
      <c r="C38" s="204" t="s">
        <v>172</v>
      </c>
      <c r="D38" s="28"/>
      <c r="E38" s="28"/>
      <c r="F38" s="28"/>
      <c r="G38" s="28"/>
      <c r="H38" s="316"/>
      <c r="I38" s="275"/>
      <c r="J38" s="273"/>
      <c r="K38" s="275"/>
      <c r="L38" s="273"/>
      <c r="M38" s="317"/>
      <c r="N38" s="317"/>
      <c r="O38" s="270"/>
      <c r="P38" s="317"/>
      <c r="Q38" s="270"/>
      <c r="R38" s="317"/>
      <c r="S38" s="271"/>
      <c r="T38" s="73"/>
      <c r="U38" s="73"/>
      <c r="V38" s="73"/>
      <c r="W38" s="73"/>
      <c r="X38" s="73"/>
      <c r="Y38" s="316"/>
      <c r="Z38" s="275"/>
      <c r="AA38" s="273"/>
      <c r="AB38" s="275"/>
      <c r="AC38" s="273"/>
      <c r="AD38" s="317"/>
      <c r="AE38" s="317"/>
      <c r="AF38" s="270"/>
      <c r="AG38" s="317"/>
      <c r="AH38" s="317"/>
      <c r="AI38" s="276"/>
      <c r="AJ38" s="317"/>
      <c r="AK38" s="270"/>
      <c r="AL38" s="73"/>
      <c r="AM38" s="73"/>
      <c r="AN38" s="73"/>
      <c r="AO38" s="73"/>
      <c r="AP38" s="73"/>
      <c r="AQ38" s="73"/>
      <c r="AR38" s="73"/>
      <c r="AS38" s="273"/>
      <c r="AT38" s="276"/>
      <c r="AU38" s="273"/>
      <c r="AV38" s="270"/>
      <c r="AW38" s="270"/>
      <c r="AX38" s="270"/>
      <c r="AY38" s="31"/>
      <c r="AZ38" s="33"/>
      <c r="BA38" s="46"/>
      <c r="BB38" s="78"/>
      <c r="BC38" s="34"/>
      <c r="BD38" s="28"/>
    </row>
    <row r="39" spans="1:59" ht="5.15" customHeight="1">
      <c r="A39" s="22"/>
      <c r="B39" s="202"/>
      <c r="C39" s="369"/>
      <c r="D39" s="370"/>
      <c r="E39" s="370"/>
      <c r="F39" s="370"/>
      <c r="G39" s="370"/>
      <c r="H39" s="371"/>
      <c r="I39" s="372"/>
      <c r="J39" s="373"/>
      <c r="K39" s="372"/>
      <c r="L39" s="373"/>
      <c r="M39" s="374"/>
      <c r="N39" s="374"/>
      <c r="O39" s="370"/>
      <c r="P39" s="374"/>
      <c r="Q39" s="370"/>
      <c r="R39" s="374"/>
      <c r="S39" s="375"/>
      <c r="T39" s="370"/>
      <c r="U39" s="370"/>
      <c r="V39" s="370"/>
      <c r="W39" s="370"/>
      <c r="X39" s="370"/>
      <c r="Y39" s="371"/>
      <c r="Z39" s="372"/>
      <c r="AA39" s="373"/>
      <c r="AB39" s="372"/>
      <c r="AC39" s="373"/>
      <c r="AD39" s="374"/>
      <c r="AE39" s="374"/>
      <c r="AF39" s="370"/>
      <c r="AG39" s="374"/>
      <c r="AH39" s="374"/>
      <c r="AI39" s="376"/>
      <c r="AJ39" s="374"/>
      <c r="AK39" s="370"/>
      <c r="AL39" s="370"/>
      <c r="AM39" s="370"/>
      <c r="AN39" s="370"/>
      <c r="AO39" s="370"/>
      <c r="AP39" s="370"/>
      <c r="AQ39" s="370"/>
      <c r="AR39" s="370"/>
      <c r="AS39" s="373"/>
      <c r="AT39" s="376"/>
      <c r="AU39" s="373"/>
      <c r="AV39" s="370"/>
      <c r="AW39" s="370"/>
      <c r="AX39" s="370"/>
      <c r="AY39" s="487"/>
      <c r="AZ39" s="33"/>
      <c r="BA39" s="46"/>
      <c r="BB39" s="78"/>
      <c r="BC39" s="34"/>
      <c r="BD39" s="28"/>
    </row>
    <row r="40" spans="1:59" ht="13.5" customHeight="1">
      <c r="A40" s="22"/>
      <c r="B40" s="45"/>
      <c r="C40" s="377" t="s">
        <v>173</v>
      </c>
      <c r="D40" s="378"/>
      <c r="E40" s="378"/>
      <c r="F40" s="378"/>
      <c r="G40" s="378"/>
      <c r="H40" s="392"/>
      <c r="I40" s="95"/>
      <c r="J40" s="95"/>
      <c r="K40" s="95"/>
      <c r="L40" s="96"/>
      <c r="M40" s="95"/>
      <c r="N40" s="97"/>
      <c r="O40" s="379" t="s">
        <v>112</v>
      </c>
      <c r="P40" s="380"/>
      <c r="Q40" s="381"/>
      <c r="R40" s="382"/>
      <c r="S40" s="380"/>
      <c r="T40" s="378"/>
      <c r="U40" s="378"/>
      <c r="V40" s="378"/>
      <c r="W40" s="378"/>
      <c r="X40" s="380"/>
      <c r="Y40" s="383"/>
      <c r="Z40" s="382"/>
      <c r="AA40" s="382"/>
      <c r="AB40" s="382"/>
      <c r="AC40" s="381"/>
      <c r="AD40" s="382"/>
      <c r="AE40" s="378"/>
      <c r="AF40" s="378"/>
      <c r="AG40" s="378"/>
      <c r="AH40" s="378"/>
      <c r="AI40" s="378"/>
      <c r="AJ40" s="380"/>
      <c r="AK40" s="378"/>
      <c r="AL40" s="378"/>
      <c r="AM40" s="378"/>
      <c r="AN40" s="378"/>
      <c r="AO40" s="380"/>
      <c r="AP40" s="383"/>
      <c r="AQ40" s="382"/>
      <c r="AR40" s="382"/>
      <c r="AS40" s="382"/>
      <c r="AT40" s="381"/>
      <c r="AU40" s="382"/>
      <c r="AV40" s="378"/>
      <c r="AW40" s="378"/>
      <c r="AX40" s="378"/>
      <c r="AY40" s="487"/>
      <c r="AZ40" s="33"/>
      <c r="BA40" s="46"/>
      <c r="BB40" s="78"/>
      <c r="BC40" s="34"/>
      <c r="BD40" s="28"/>
      <c r="BE40" s="35"/>
      <c r="BF40" s="35"/>
      <c r="BG40" s="35"/>
    </row>
    <row r="41" spans="1:59" ht="5.15" customHeight="1">
      <c r="A41" s="22"/>
      <c r="B41" s="32"/>
      <c r="C41" s="384"/>
      <c r="D41" s="385"/>
      <c r="E41" s="385"/>
      <c r="F41" s="385"/>
      <c r="G41" s="385"/>
      <c r="H41" s="386"/>
      <c r="I41" s="386"/>
      <c r="J41" s="387"/>
      <c r="K41" s="386"/>
      <c r="L41" s="387"/>
      <c r="M41" s="386"/>
      <c r="N41" s="388"/>
      <c r="O41" s="386"/>
      <c r="P41" s="387"/>
      <c r="Q41" s="387"/>
      <c r="R41" s="387"/>
      <c r="S41" s="389"/>
      <c r="T41" s="389"/>
      <c r="U41" s="389"/>
      <c r="V41" s="389"/>
      <c r="W41" s="389"/>
      <c r="X41" s="388"/>
      <c r="Y41" s="389"/>
      <c r="Z41" s="387"/>
      <c r="AA41" s="388"/>
      <c r="AB41" s="389"/>
      <c r="AC41" s="387"/>
      <c r="AD41" s="388"/>
      <c r="AE41" s="387"/>
      <c r="AF41" s="387"/>
      <c r="AG41" s="388"/>
      <c r="AH41" s="387"/>
      <c r="AI41" s="387"/>
      <c r="AJ41" s="390"/>
      <c r="AK41" s="387"/>
      <c r="AL41" s="387"/>
      <c r="AM41" s="387"/>
      <c r="AN41" s="387"/>
      <c r="AO41" s="387"/>
      <c r="AP41" s="387"/>
      <c r="AQ41" s="387"/>
      <c r="AR41" s="387"/>
      <c r="AS41" s="387"/>
      <c r="AT41" s="387"/>
      <c r="AU41" s="387"/>
      <c r="AV41" s="387"/>
      <c r="AW41" s="387"/>
      <c r="AX41" s="391"/>
      <c r="AY41" s="487"/>
      <c r="AZ41" s="33"/>
      <c r="BA41" s="46"/>
      <c r="BB41" s="78"/>
      <c r="BC41" s="34"/>
      <c r="BD41" s="28"/>
      <c r="BE41" s="35"/>
      <c r="BF41" s="35"/>
      <c r="BG41" s="35"/>
    </row>
    <row r="42" spans="1:59" ht="13.5" customHeight="1">
      <c r="A42" s="22"/>
      <c r="B42" s="202">
        <v>4</v>
      </c>
      <c r="C42" s="43"/>
      <c r="D42" s="31"/>
      <c r="E42" s="31"/>
      <c r="F42" s="31"/>
      <c r="G42" s="31"/>
      <c r="H42" s="62"/>
      <c r="I42" s="63"/>
      <c r="J42" s="63"/>
      <c r="K42" s="63"/>
      <c r="L42" s="64"/>
      <c r="M42" s="63"/>
      <c r="N42" s="65"/>
      <c r="O42" s="65"/>
      <c r="P42" s="65"/>
      <c r="Q42" s="65"/>
      <c r="R42" s="65"/>
      <c r="S42" s="75"/>
      <c r="T42" s="63"/>
      <c r="U42" s="63"/>
      <c r="V42" s="63"/>
      <c r="W42" s="63"/>
      <c r="X42" s="62"/>
      <c r="Y42" s="63"/>
      <c r="Z42" s="63"/>
      <c r="AA42" s="63"/>
      <c r="AB42" s="64"/>
      <c r="AC42" s="63"/>
      <c r="AD42" s="65"/>
      <c r="AE42" s="65"/>
      <c r="AF42" s="65"/>
      <c r="AG42" s="65"/>
      <c r="AH42" s="65"/>
      <c r="AI42" s="75"/>
      <c r="AJ42" s="63"/>
      <c r="AK42" s="63"/>
      <c r="AL42" s="63"/>
      <c r="AM42" s="63"/>
      <c r="AN42" s="125"/>
      <c r="AO42" s="62"/>
      <c r="AP42" s="62"/>
      <c r="AQ42" s="63"/>
      <c r="AR42" s="63"/>
      <c r="AS42" s="63"/>
      <c r="AT42" s="64"/>
      <c r="AU42" s="63"/>
      <c r="AV42" s="65"/>
      <c r="AW42" s="65"/>
      <c r="AX42" s="65"/>
      <c r="AY42" s="31"/>
      <c r="AZ42" s="33"/>
      <c r="BA42" s="46"/>
      <c r="BB42" s="78"/>
      <c r="BC42" s="34"/>
      <c r="BD42" s="35"/>
      <c r="BE42" s="35"/>
      <c r="BF42" s="35"/>
      <c r="BG42" s="35"/>
    </row>
    <row r="43" spans="1:59" ht="13.5" customHeight="1">
      <c r="A43" s="22"/>
      <c r="B43" s="202">
        <v>5</v>
      </c>
      <c r="C43" s="204" t="s">
        <v>264</v>
      </c>
      <c r="D43" s="28"/>
      <c r="E43" s="28"/>
      <c r="F43" s="28"/>
      <c r="G43" s="28"/>
      <c r="H43" s="121"/>
      <c r="I43" s="62"/>
      <c r="J43" s="62"/>
      <c r="K43" s="63"/>
      <c r="L43" s="69"/>
      <c r="M43" s="69"/>
      <c r="N43" s="65"/>
      <c r="O43" s="69"/>
      <c r="P43" s="65"/>
      <c r="Q43" s="65"/>
      <c r="R43" s="69"/>
      <c r="S43" s="28"/>
      <c r="T43" s="28"/>
      <c r="U43" s="28"/>
      <c r="V43" s="28"/>
      <c r="W43" s="28"/>
      <c r="X43" s="121"/>
      <c r="Y43" s="62"/>
      <c r="Z43" s="63"/>
      <c r="AA43" s="62"/>
      <c r="AB43" s="63"/>
      <c r="AC43" s="69"/>
      <c r="AD43" s="69"/>
      <c r="AE43" s="65"/>
      <c r="AF43" s="69"/>
      <c r="AG43" s="65"/>
      <c r="AH43" s="69"/>
      <c r="AI43" s="64"/>
      <c r="AJ43" s="69"/>
      <c r="AK43" s="65"/>
      <c r="AL43" s="28"/>
      <c r="AM43" s="28"/>
      <c r="AN43" s="28"/>
      <c r="AO43" s="28"/>
      <c r="AP43" s="28"/>
      <c r="AQ43" s="28"/>
      <c r="AR43" s="28"/>
      <c r="AS43" s="28"/>
      <c r="AT43" s="28"/>
      <c r="AU43" s="28"/>
      <c r="AV43" s="233"/>
      <c r="AW43" s="28"/>
      <c r="AX43" s="28"/>
      <c r="AY43" s="31"/>
      <c r="AZ43" s="33"/>
      <c r="BA43" s="46"/>
      <c r="BB43" s="159"/>
      <c r="BC43" s="115"/>
      <c r="BD43" s="28"/>
    </row>
    <row r="44" spans="1:59" ht="5.15" customHeight="1">
      <c r="A44" s="22"/>
      <c r="B44" s="202"/>
      <c r="C44" s="296"/>
      <c r="D44" s="72"/>
      <c r="E44" s="72"/>
      <c r="F44" s="72"/>
      <c r="G44" s="72"/>
      <c r="H44" s="297"/>
      <c r="I44" s="278"/>
      <c r="J44" s="278"/>
      <c r="K44" s="279"/>
      <c r="L44" s="298"/>
      <c r="M44" s="298"/>
      <c r="N44" s="263"/>
      <c r="O44" s="298"/>
      <c r="P44" s="263"/>
      <c r="Q44" s="263"/>
      <c r="R44" s="298"/>
      <c r="S44" s="72"/>
      <c r="T44" s="72"/>
      <c r="U44" s="72"/>
      <c r="V44" s="72"/>
      <c r="W44" s="72"/>
      <c r="X44" s="297"/>
      <c r="Y44" s="278"/>
      <c r="Z44" s="279"/>
      <c r="AA44" s="278"/>
      <c r="AB44" s="279"/>
      <c r="AC44" s="298"/>
      <c r="AD44" s="298"/>
      <c r="AE44" s="263"/>
      <c r="AF44" s="298"/>
      <c r="AG44" s="263"/>
      <c r="AH44" s="298"/>
      <c r="AI44" s="280"/>
      <c r="AJ44" s="298"/>
      <c r="AK44" s="263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300"/>
      <c r="AW44" s="72"/>
      <c r="AX44" s="72"/>
      <c r="AY44" s="265"/>
      <c r="AZ44" s="33"/>
      <c r="BA44" s="46"/>
      <c r="BB44" s="159"/>
      <c r="BC44" s="115"/>
      <c r="BD44" s="28"/>
    </row>
    <row r="45" spans="1:59" ht="13.9" customHeight="1">
      <c r="A45" s="22"/>
      <c r="B45" s="202"/>
      <c r="C45" s="501" t="s">
        <v>282</v>
      </c>
      <c r="D45" s="28"/>
      <c r="E45" s="28"/>
      <c r="F45" s="28"/>
      <c r="G45" s="86" t="s">
        <v>277</v>
      </c>
      <c r="H45" s="86"/>
      <c r="I45" s="86"/>
      <c r="J45" s="86"/>
      <c r="K45" s="86"/>
      <c r="L45" s="322"/>
      <c r="M45" s="75"/>
      <c r="N45" s="65"/>
      <c r="O45" s="69"/>
      <c r="P45" s="65"/>
      <c r="Q45" s="65"/>
      <c r="R45" s="69"/>
      <c r="S45" s="28"/>
      <c r="T45" s="28"/>
      <c r="U45" s="28"/>
      <c r="V45" s="28"/>
      <c r="W45" s="28"/>
      <c r="X45" s="121"/>
      <c r="Y45" s="62"/>
      <c r="Z45" s="63"/>
      <c r="AA45" s="62"/>
      <c r="AB45" s="63"/>
      <c r="AC45" s="69"/>
      <c r="AD45" s="69"/>
      <c r="AE45" s="65"/>
      <c r="AF45" s="69"/>
      <c r="AG45" s="65"/>
      <c r="AH45" s="69"/>
      <c r="AI45" s="64"/>
      <c r="AJ45" s="69"/>
      <c r="AK45" s="65"/>
      <c r="AL45" s="28"/>
      <c r="AM45" s="28"/>
      <c r="AN45" s="28"/>
      <c r="AO45" s="28"/>
      <c r="AP45" s="28"/>
      <c r="AQ45" s="28"/>
      <c r="AR45" s="28"/>
      <c r="AS45" s="28"/>
      <c r="AT45" s="28"/>
      <c r="AU45" s="28"/>
      <c r="AV45" s="233"/>
      <c r="AW45" s="28"/>
      <c r="AX45" s="28"/>
      <c r="AY45" s="267"/>
      <c r="AZ45" s="33"/>
      <c r="BA45" s="46"/>
      <c r="BB45" s="159"/>
      <c r="BC45" s="115"/>
      <c r="BD45" s="28"/>
    </row>
    <row r="46" spans="1:59" ht="13.5" customHeight="1">
      <c r="A46" s="22"/>
      <c r="B46" s="202">
        <v>6</v>
      </c>
      <c r="C46" s="304" t="s">
        <v>32</v>
      </c>
      <c r="D46" s="205" t="s">
        <v>262</v>
      </c>
      <c r="E46" s="206"/>
      <c r="F46" s="206"/>
      <c r="G46" s="207"/>
      <c r="H46" s="208" t="s">
        <v>276</v>
      </c>
      <c r="I46" s="209"/>
      <c r="J46" s="209"/>
      <c r="K46" s="206"/>
      <c r="L46" s="207"/>
      <c r="M46" s="515"/>
      <c r="N46" s="28"/>
      <c r="O46" s="28"/>
      <c r="P46" s="28"/>
      <c r="Q46" s="28"/>
      <c r="R46" s="28"/>
      <c r="S46" s="35"/>
      <c r="T46" s="35"/>
      <c r="U46" s="35"/>
      <c r="V46" s="35"/>
      <c r="Y46" s="35"/>
      <c r="Z46" s="35"/>
      <c r="AD46" s="35"/>
      <c r="AE46" s="35"/>
      <c r="AF46" s="35"/>
      <c r="AG46" s="35"/>
      <c r="AH46" s="35"/>
      <c r="AI46" s="35"/>
      <c r="AJ46" s="35"/>
      <c r="AK46" s="35"/>
      <c r="AL46" s="35"/>
      <c r="AM46" s="35"/>
      <c r="AN46" s="35"/>
      <c r="AO46" s="35"/>
      <c r="AP46" s="35"/>
      <c r="AQ46" s="35"/>
      <c r="AR46" s="35"/>
      <c r="AS46" s="35"/>
      <c r="AT46" s="35"/>
      <c r="AU46" s="35"/>
      <c r="AV46" s="35"/>
      <c r="AW46" s="35"/>
      <c r="AX46" s="35"/>
      <c r="AY46" s="311"/>
      <c r="AZ46" s="33"/>
      <c r="BA46" s="46"/>
      <c r="BB46" s="159"/>
      <c r="BC46" s="115"/>
      <c r="BD46" s="35"/>
      <c r="BE46" s="35"/>
      <c r="BF46" s="35"/>
      <c r="BG46" s="35"/>
    </row>
    <row r="47" spans="1:59" ht="13.5" customHeight="1">
      <c r="A47" s="22"/>
      <c r="B47" s="202">
        <v>8</v>
      </c>
      <c r="C47" s="308">
        <v>1</v>
      </c>
      <c r="D47" s="148" t="s">
        <v>148</v>
      </c>
      <c r="E47" s="149"/>
      <c r="F47" s="149"/>
      <c r="G47" s="151"/>
      <c r="H47" s="1036">
        <v>110</v>
      </c>
      <c r="I47" s="1006"/>
      <c r="J47" s="1006"/>
      <c r="K47" s="1006"/>
      <c r="L47" s="1007"/>
      <c r="M47" s="28"/>
      <c r="N47" s="28"/>
      <c r="O47" s="28"/>
      <c r="P47" s="28"/>
      <c r="Q47" s="28"/>
      <c r="R47" s="28"/>
      <c r="S47" s="35"/>
      <c r="T47" s="35"/>
      <c r="U47" s="35"/>
      <c r="V47" s="35"/>
      <c r="Y47" s="35"/>
      <c r="Z47" s="35"/>
      <c r="AD47" s="35"/>
      <c r="AE47" s="35"/>
      <c r="AF47" s="35"/>
      <c r="AG47" s="35"/>
      <c r="AH47" s="35"/>
      <c r="AI47" s="35"/>
      <c r="AJ47" s="35"/>
      <c r="AK47" s="35"/>
      <c r="AL47" s="35"/>
      <c r="AM47" s="35"/>
      <c r="AN47" s="35"/>
      <c r="AO47" s="35"/>
      <c r="AP47" s="35"/>
      <c r="AQ47" s="35"/>
      <c r="AR47" s="35"/>
      <c r="AS47" s="35"/>
      <c r="AT47" s="35"/>
      <c r="AU47" s="35"/>
      <c r="AV47" s="35"/>
      <c r="AW47" s="35"/>
      <c r="AX47" s="35"/>
      <c r="AY47" s="311"/>
      <c r="AZ47" s="33"/>
      <c r="BA47" s="46"/>
      <c r="BB47" s="159"/>
      <c r="BC47" s="115"/>
      <c r="BD47" s="35"/>
      <c r="BE47" s="35"/>
      <c r="BF47" s="35"/>
      <c r="BG47" s="35"/>
    </row>
    <row r="48" spans="1:59" ht="13.5" customHeight="1">
      <c r="A48" s="22"/>
      <c r="B48" s="202">
        <v>9</v>
      </c>
      <c r="C48" s="308">
        <v>2</v>
      </c>
      <c r="D48" s="148" t="s">
        <v>263</v>
      </c>
      <c r="E48" s="149"/>
      <c r="F48" s="149"/>
      <c r="G48" s="151"/>
      <c r="H48" s="1036">
        <v>125</v>
      </c>
      <c r="I48" s="1006"/>
      <c r="J48" s="1006"/>
      <c r="K48" s="1006"/>
      <c r="L48" s="1007"/>
      <c r="M48" s="28"/>
      <c r="N48" s="28"/>
      <c r="O48" s="28"/>
      <c r="P48" s="28"/>
      <c r="Q48" s="28"/>
      <c r="R48" s="28"/>
      <c r="S48" s="35"/>
      <c r="T48" s="35"/>
      <c r="U48" s="35"/>
      <c r="V48" s="35"/>
      <c r="Y48" s="35"/>
      <c r="Z48" s="35"/>
      <c r="AD48" s="35"/>
      <c r="AE48" s="35"/>
      <c r="AF48" s="35"/>
      <c r="AG48" s="35"/>
      <c r="AH48" s="35"/>
      <c r="AI48" s="35"/>
      <c r="AJ48" s="35"/>
      <c r="AK48" s="35"/>
      <c r="AL48" s="35"/>
      <c r="AM48" s="35"/>
      <c r="AN48" s="35"/>
      <c r="AO48" s="35"/>
      <c r="AP48" s="35"/>
      <c r="AQ48" s="35"/>
      <c r="AR48" s="35"/>
      <c r="AS48" s="35"/>
      <c r="AT48" s="35"/>
      <c r="AU48" s="35"/>
      <c r="AV48" s="35"/>
      <c r="AW48" s="35"/>
      <c r="AX48" s="35"/>
      <c r="AY48" s="311"/>
      <c r="AZ48" s="33"/>
      <c r="BA48" s="46"/>
      <c r="BB48" s="159"/>
      <c r="BC48" s="115"/>
      <c r="BD48" s="35"/>
      <c r="BE48" s="35"/>
      <c r="BF48" s="35"/>
      <c r="BG48" s="35"/>
    </row>
    <row r="49" spans="1:74" ht="5.15" customHeight="1">
      <c r="A49" s="22"/>
      <c r="B49" s="202"/>
      <c r="C49" s="315"/>
      <c r="D49" s="73"/>
      <c r="E49" s="73"/>
      <c r="F49" s="73"/>
      <c r="G49" s="73"/>
      <c r="H49" s="316"/>
      <c r="I49" s="275"/>
      <c r="J49" s="275"/>
      <c r="K49" s="273"/>
      <c r="L49" s="317"/>
      <c r="M49" s="317"/>
      <c r="N49" s="270"/>
      <c r="O49" s="317"/>
      <c r="P49" s="270"/>
      <c r="Q49" s="270"/>
      <c r="R49" s="317"/>
      <c r="S49" s="73"/>
      <c r="T49" s="73"/>
      <c r="U49" s="73"/>
      <c r="V49" s="73"/>
      <c r="W49" s="73"/>
      <c r="X49" s="316"/>
      <c r="Y49" s="275"/>
      <c r="Z49" s="273"/>
      <c r="AA49" s="275"/>
      <c r="AB49" s="273"/>
      <c r="AC49" s="317"/>
      <c r="AD49" s="317"/>
      <c r="AE49" s="270"/>
      <c r="AF49" s="317"/>
      <c r="AG49" s="270"/>
      <c r="AH49" s="317"/>
      <c r="AI49" s="276"/>
      <c r="AJ49" s="317"/>
      <c r="AK49" s="270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318"/>
      <c r="AW49" s="73"/>
      <c r="AX49" s="73"/>
      <c r="AY49" s="277"/>
      <c r="AZ49" s="33"/>
      <c r="BA49" s="46"/>
      <c r="BB49" s="159"/>
      <c r="BC49" s="115"/>
      <c r="BD49" s="28"/>
    </row>
    <row r="50" spans="1:74" ht="13.5" customHeight="1">
      <c r="A50" s="22"/>
      <c r="B50" s="202">
        <v>10</v>
      </c>
      <c r="C50" s="492"/>
      <c r="D50" s="65"/>
      <c r="E50" s="65"/>
      <c r="F50" s="65"/>
      <c r="G50" s="65"/>
      <c r="H50" s="65"/>
      <c r="I50" s="65"/>
      <c r="J50" s="65"/>
      <c r="K50" s="65"/>
      <c r="L50" s="65"/>
      <c r="M50" s="62"/>
      <c r="N50" s="63"/>
      <c r="O50" s="65"/>
      <c r="P50" s="65"/>
      <c r="Q50" s="64"/>
      <c r="R50" s="63"/>
      <c r="S50" s="190"/>
      <c r="T50" s="190"/>
      <c r="U50" s="191"/>
      <c r="V50" s="192"/>
      <c r="W50" s="190"/>
      <c r="X50" s="65"/>
      <c r="Y50" s="65"/>
      <c r="Z50" s="65"/>
      <c r="AA50" s="65"/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3"/>
      <c r="AN50" s="63"/>
      <c r="AO50" s="63"/>
      <c r="AP50" s="63"/>
      <c r="AQ50" s="63"/>
      <c r="AR50" s="63"/>
      <c r="AS50" s="63"/>
      <c r="AT50" s="63"/>
      <c r="AU50" s="63"/>
      <c r="AV50" s="63"/>
      <c r="AW50" s="63"/>
      <c r="AX50" s="63"/>
      <c r="AY50" s="63"/>
      <c r="AZ50" s="33"/>
      <c r="BA50" s="46"/>
      <c r="BB50" s="159"/>
      <c r="BC50" s="115"/>
      <c r="BD50" s="28"/>
    </row>
    <row r="51" spans="1:74" ht="13.5" customHeight="1">
      <c r="A51" s="22"/>
      <c r="B51" s="202">
        <v>5</v>
      </c>
      <c r="C51" s="204" t="s">
        <v>63</v>
      </c>
      <c r="D51" s="28"/>
      <c r="E51" s="28"/>
      <c r="F51" s="28"/>
      <c r="G51" s="28"/>
      <c r="H51" s="121"/>
      <c r="I51" s="62"/>
      <c r="J51" s="63"/>
      <c r="K51" s="62"/>
      <c r="L51" s="63"/>
      <c r="M51" s="69"/>
      <c r="N51" s="69"/>
      <c r="O51" s="65"/>
      <c r="P51" s="69"/>
      <c r="Q51" s="65"/>
      <c r="R51" s="69"/>
      <c r="S51" s="28"/>
      <c r="T51" s="28"/>
      <c r="U51" s="28"/>
      <c r="V51" s="28"/>
      <c r="W51" s="28"/>
      <c r="X51" s="121"/>
      <c r="Y51" s="62"/>
      <c r="Z51" s="63"/>
      <c r="AA51" s="62"/>
      <c r="AB51" s="63"/>
      <c r="AC51" s="69"/>
      <c r="AD51" s="69"/>
      <c r="AE51" s="65"/>
      <c r="AF51" s="69"/>
      <c r="AG51" s="65"/>
      <c r="AH51" s="69"/>
      <c r="AI51" s="64"/>
      <c r="AJ51" s="69"/>
      <c r="AK51" s="65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33"/>
      <c r="AW51" s="28"/>
      <c r="AX51" s="28"/>
      <c r="AY51" s="31"/>
      <c r="AZ51" s="33"/>
      <c r="BA51" s="46"/>
      <c r="BB51" s="159"/>
      <c r="BC51" s="115"/>
      <c r="BD51" s="28"/>
    </row>
    <row r="52" spans="1:74" ht="5.15" customHeight="1">
      <c r="A52" s="22"/>
      <c r="B52" s="202"/>
      <c r="C52" s="296"/>
      <c r="D52" s="72"/>
      <c r="E52" s="72"/>
      <c r="F52" s="72"/>
      <c r="G52" s="72"/>
      <c r="H52" s="297"/>
      <c r="I52" s="278"/>
      <c r="J52" s="279"/>
      <c r="K52" s="278"/>
      <c r="L52" s="279"/>
      <c r="M52" s="298"/>
      <c r="N52" s="298"/>
      <c r="O52" s="263"/>
      <c r="P52" s="298"/>
      <c r="Q52" s="263"/>
      <c r="R52" s="298"/>
      <c r="S52" s="72"/>
      <c r="T52" s="72"/>
      <c r="U52" s="72"/>
      <c r="V52" s="72"/>
      <c r="W52" s="72"/>
      <c r="X52" s="297"/>
      <c r="Y52" s="278"/>
      <c r="Z52" s="279"/>
      <c r="AA52" s="278"/>
      <c r="AB52" s="279"/>
      <c r="AC52" s="298"/>
      <c r="AD52" s="298"/>
      <c r="AE52" s="263"/>
      <c r="AF52" s="298"/>
      <c r="AG52" s="263"/>
      <c r="AH52" s="298"/>
      <c r="AI52" s="280"/>
      <c r="AJ52" s="298"/>
      <c r="AK52" s="263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300"/>
      <c r="AW52" s="72"/>
      <c r="AX52" s="72"/>
      <c r="AY52" s="264"/>
      <c r="AZ52" s="264"/>
      <c r="BA52" s="301"/>
      <c r="BB52" s="302"/>
      <c r="BC52" s="303"/>
      <c r="BD52" s="28"/>
    </row>
    <row r="53" spans="1:74" ht="13.5" customHeight="1">
      <c r="A53" s="22"/>
      <c r="B53" s="45"/>
      <c r="C53" s="266"/>
      <c r="D53" s="28" t="s">
        <v>288</v>
      </c>
      <c r="E53" s="28"/>
      <c r="F53" s="28"/>
      <c r="G53" s="28"/>
      <c r="H53" s="86" t="s">
        <v>139</v>
      </c>
      <c r="I53" s="86"/>
      <c r="J53" s="86"/>
      <c r="K53" s="86"/>
      <c r="L53" s="86"/>
      <c r="M53" s="322"/>
      <c r="N53" s="87"/>
      <c r="O53" s="88"/>
      <c r="P53" s="88"/>
      <c r="Q53" s="89"/>
      <c r="R53" s="87"/>
      <c r="S53" s="87"/>
      <c r="T53" s="87"/>
      <c r="U53" s="88"/>
      <c r="V53" s="89"/>
      <c r="W53" s="87"/>
      <c r="X53" s="65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65"/>
      <c r="AY53" s="31"/>
      <c r="AZ53" s="52"/>
      <c r="BA53" s="93"/>
      <c r="BB53" s="327"/>
      <c r="BC53" s="328"/>
      <c r="BD53" s="28"/>
      <c r="BE53" s="35"/>
      <c r="BF53" s="35"/>
      <c r="BG53" s="35"/>
    </row>
    <row r="54" spans="1:74" ht="13.5" customHeight="1">
      <c r="A54" s="22"/>
      <c r="B54" s="202">
        <v>6</v>
      </c>
      <c r="C54" s="304" t="s">
        <v>32</v>
      </c>
      <c r="D54" s="205" t="s">
        <v>64</v>
      </c>
      <c r="E54" s="206"/>
      <c r="F54" s="206"/>
      <c r="G54" s="207"/>
      <c r="H54" s="208" t="s">
        <v>73</v>
      </c>
      <c r="I54" s="209"/>
      <c r="J54" s="209"/>
      <c r="K54" s="209"/>
      <c r="L54" s="206"/>
      <c r="M54" s="207"/>
      <c r="N54" s="205" t="s">
        <v>74</v>
      </c>
      <c r="O54" s="206"/>
      <c r="P54" s="206"/>
      <c r="Q54" s="207"/>
      <c r="R54" s="205" t="s">
        <v>75</v>
      </c>
      <c r="S54" s="206"/>
      <c r="T54" s="206"/>
      <c r="U54" s="206"/>
      <c r="V54" s="210" t="s">
        <v>292</v>
      </c>
      <c r="W54" s="211"/>
      <c r="X54" s="211"/>
      <c r="Y54" s="212"/>
      <c r="Z54" s="528" t="s">
        <v>77</v>
      </c>
      <c r="AA54" s="211"/>
      <c r="AB54" s="211"/>
      <c r="AC54" s="211"/>
      <c r="AD54" s="212"/>
      <c r="AE54" s="210" t="s">
        <v>293</v>
      </c>
      <c r="AF54" s="211"/>
      <c r="AG54" s="211"/>
      <c r="AH54" s="212"/>
      <c r="AI54" s="210" t="s">
        <v>162</v>
      </c>
      <c r="AJ54" s="211"/>
      <c r="AK54" s="211"/>
      <c r="AL54" s="212"/>
      <c r="AM54" s="211" t="s">
        <v>152</v>
      </c>
      <c r="AN54" s="211"/>
      <c r="AO54" s="211"/>
      <c r="AP54" s="212"/>
      <c r="AQ54" s="211" t="s">
        <v>197</v>
      </c>
      <c r="AR54" s="211"/>
      <c r="AS54" s="211"/>
      <c r="AT54" s="212"/>
      <c r="AU54" s="210" t="s">
        <v>199</v>
      </c>
      <c r="AV54" s="211"/>
      <c r="AW54" s="211"/>
      <c r="AX54" s="212"/>
      <c r="AY54" s="210" t="s">
        <v>83</v>
      </c>
      <c r="AZ54" s="211"/>
      <c r="BA54" s="211"/>
      <c r="BB54" s="212"/>
      <c r="BC54" s="210" t="s">
        <v>42</v>
      </c>
      <c r="BD54" s="211"/>
      <c r="BE54" s="211"/>
      <c r="BF54" s="212"/>
      <c r="BG54" s="211" t="s">
        <v>156</v>
      </c>
      <c r="BH54" s="211"/>
      <c r="BI54" s="212"/>
      <c r="BJ54" s="305" t="s">
        <v>86</v>
      </c>
      <c r="BK54" s="211"/>
      <c r="BL54" s="211"/>
      <c r="BM54" s="212"/>
      <c r="BN54" s="211" t="s">
        <v>69</v>
      </c>
      <c r="BO54" s="211"/>
      <c r="BP54" s="211"/>
      <c r="BQ54" s="212"/>
      <c r="BR54" s="28"/>
      <c r="BS54" s="28"/>
      <c r="BT54" s="28"/>
      <c r="BU54" s="28"/>
      <c r="BV54" s="28"/>
    </row>
    <row r="55" spans="1:74" ht="13.5" customHeight="1">
      <c r="A55" s="22"/>
      <c r="B55" s="202">
        <v>7</v>
      </c>
      <c r="C55" s="306"/>
      <c r="D55" s="213" t="s">
        <v>30</v>
      </c>
      <c r="E55" s="216"/>
      <c r="F55" s="214"/>
      <c r="G55" s="215"/>
      <c r="H55" s="213" t="s">
        <v>30</v>
      </c>
      <c r="I55" s="216"/>
      <c r="J55" s="216"/>
      <c r="K55" s="216"/>
      <c r="L55" s="214"/>
      <c r="M55" s="215"/>
      <c r="N55" s="213" t="s">
        <v>30</v>
      </c>
      <c r="O55" s="214"/>
      <c r="P55" s="214"/>
      <c r="Q55" s="215"/>
      <c r="R55" s="213"/>
      <c r="S55" s="216"/>
      <c r="T55" s="214"/>
      <c r="U55" s="214"/>
      <c r="V55" s="217" t="s">
        <v>43</v>
      </c>
      <c r="W55" s="218"/>
      <c r="X55" s="219"/>
      <c r="Y55" s="220"/>
      <c r="Z55" s="217" t="s">
        <v>30</v>
      </c>
      <c r="AA55" s="218"/>
      <c r="AB55" s="218"/>
      <c r="AC55" s="219"/>
      <c r="AD55" s="220"/>
      <c r="AE55" s="217" t="s">
        <v>43</v>
      </c>
      <c r="AF55" s="218"/>
      <c r="AG55" s="219"/>
      <c r="AH55" s="220"/>
      <c r="AI55" s="217" t="s">
        <v>30</v>
      </c>
      <c r="AJ55" s="218"/>
      <c r="AK55" s="219"/>
      <c r="AL55" s="220"/>
      <c r="AM55" s="218" t="s">
        <v>43</v>
      </c>
      <c r="AN55" s="218"/>
      <c r="AO55" s="219"/>
      <c r="AP55" s="220"/>
      <c r="AQ55" s="218" t="s">
        <v>198</v>
      </c>
      <c r="AR55" s="218"/>
      <c r="AS55" s="219"/>
      <c r="AT55" s="220"/>
      <c r="AU55" s="217" t="s">
        <v>155</v>
      </c>
      <c r="AV55" s="218"/>
      <c r="AW55" s="219"/>
      <c r="AX55" s="220"/>
      <c r="AY55" s="217" t="s">
        <v>155</v>
      </c>
      <c r="AZ55" s="218"/>
      <c r="BA55" s="219"/>
      <c r="BB55" s="220"/>
      <c r="BC55" s="217" t="s">
        <v>200</v>
      </c>
      <c r="BD55" s="218"/>
      <c r="BE55" s="219"/>
      <c r="BF55" s="220"/>
      <c r="BG55" s="218" t="s">
        <v>201</v>
      </c>
      <c r="BH55" s="218"/>
      <c r="BI55" s="220"/>
      <c r="BJ55" s="307" t="s">
        <v>43</v>
      </c>
      <c r="BK55" s="218"/>
      <c r="BL55" s="219"/>
      <c r="BM55" s="220"/>
      <c r="BN55" s="218" t="s">
        <v>43</v>
      </c>
      <c r="BO55" s="218"/>
      <c r="BP55" s="219"/>
      <c r="BQ55" s="220"/>
      <c r="BR55" s="28"/>
      <c r="BS55" s="28"/>
      <c r="BT55" s="28"/>
      <c r="BU55" s="28"/>
      <c r="BV55" s="28"/>
    </row>
    <row r="56" spans="1:74" ht="13.5" customHeight="1">
      <c r="A56" s="22"/>
      <c r="B56" s="202">
        <v>8</v>
      </c>
      <c r="C56" s="308">
        <v>1</v>
      </c>
      <c r="D56" s="148" t="s">
        <v>202</v>
      </c>
      <c r="E56" s="149"/>
      <c r="F56" s="149"/>
      <c r="G56" s="151"/>
      <c r="H56" s="242" t="s">
        <v>204</v>
      </c>
      <c r="I56" s="150"/>
      <c r="J56" s="150"/>
      <c r="K56" s="150"/>
      <c r="L56" s="161"/>
      <c r="M56" s="162"/>
      <c r="N56" s="242" t="s">
        <v>206</v>
      </c>
      <c r="O56" s="150"/>
      <c r="P56" s="150"/>
      <c r="Q56" s="99" t="s">
        <v>33</v>
      </c>
      <c r="R56" s="1016">
        <v>2000000</v>
      </c>
      <c r="S56" s="1017"/>
      <c r="T56" s="1017"/>
      <c r="U56" s="1018"/>
      <c r="V56" s="148" t="s">
        <v>207</v>
      </c>
      <c r="W56" s="150"/>
      <c r="X56" s="150"/>
      <c r="Y56" s="99" t="s">
        <v>33</v>
      </c>
      <c r="Z56" s="1005">
        <v>5.29</v>
      </c>
      <c r="AA56" s="1014"/>
      <c r="AB56" s="1014"/>
      <c r="AC56" s="1014"/>
      <c r="AD56" s="1015"/>
      <c r="AE56" s="148" t="s">
        <v>148</v>
      </c>
      <c r="AF56" s="150"/>
      <c r="AG56" s="150"/>
      <c r="AH56" s="99" t="s">
        <v>33</v>
      </c>
      <c r="AI56" s="1030">
        <v>9.2200000000000004E-2</v>
      </c>
      <c r="AJ56" s="1031"/>
      <c r="AK56" s="1031"/>
      <c r="AL56" s="1032"/>
      <c r="AM56" s="1030">
        <v>9.4E-2</v>
      </c>
      <c r="AN56" s="1031"/>
      <c r="AO56" s="1031"/>
      <c r="AP56" s="1032"/>
      <c r="AQ56" s="1033">
        <v>0.01</v>
      </c>
      <c r="AR56" s="1034"/>
      <c r="AS56" s="1034"/>
      <c r="AT56" s="1035"/>
      <c r="AU56" s="1030">
        <v>0.1012</v>
      </c>
      <c r="AV56" s="1031"/>
      <c r="AW56" s="1031"/>
      <c r="AX56" s="1032"/>
      <c r="AY56" s="1030">
        <v>0.11</v>
      </c>
      <c r="AZ56" s="1031"/>
      <c r="BA56" s="1031"/>
      <c r="BB56" s="1032"/>
      <c r="BC56" s="1030">
        <v>0.11</v>
      </c>
      <c r="BD56" s="1031"/>
      <c r="BE56" s="1031"/>
      <c r="BF56" s="1032"/>
      <c r="BG56" s="1046">
        <f>AI56/21</f>
        <v>4.3904761904761903E-3</v>
      </c>
      <c r="BH56" s="1047"/>
      <c r="BI56" s="1048"/>
      <c r="BJ56" s="309" t="s">
        <v>208</v>
      </c>
      <c r="BK56" s="150"/>
      <c r="BL56" s="150"/>
      <c r="BM56" s="152"/>
      <c r="BN56" s="149" t="s">
        <v>30</v>
      </c>
      <c r="BO56" s="150"/>
      <c r="BP56" s="150"/>
      <c r="BQ56" s="152"/>
      <c r="BR56" s="28"/>
      <c r="BS56" s="28"/>
      <c r="BT56" s="28"/>
      <c r="BU56" s="28"/>
      <c r="BV56" s="28"/>
    </row>
    <row r="57" spans="1:74" ht="13.5" customHeight="1">
      <c r="A57" s="22"/>
      <c r="B57" s="202">
        <v>9</v>
      </c>
      <c r="C57" s="308">
        <v>2</v>
      </c>
      <c r="D57" s="148" t="s">
        <v>203</v>
      </c>
      <c r="E57" s="149"/>
      <c r="F57" s="149"/>
      <c r="G57" s="151"/>
      <c r="H57" s="242" t="s">
        <v>205</v>
      </c>
      <c r="I57" s="150"/>
      <c r="J57" s="150"/>
      <c r="K57" s="150"/>
      <c r="L57" s="161"/>
      <c r="M57" s="162"/>
      <c r="N57" s="242" t="s">
        <v>206</v>
      </c>
      <c r="O57" s="150"/>
      <c r="P57" s="150"/>
      <c r="Q57" s="99" t="s">
        <v>33</v>
      </c>
      <c r="R57" s="1016">
        <v>20000</v>
      </c>
      <c r="S57" s="1017"/>
      <c r="T57" s="1017"/>
      <c r="U57" s="1018"/>
      <c r="V57" s="148" t="s">
        <v>207</v>
      </c>
      <c r="W57" s="150"/>
      <c r="X57" s="150"/>
      <c r="Y57" s="99" t="s">
        <v>33</v>
      </c>
      <c r="Z57" s="1005">
        <v>11</v>
      </c>
      <c r="AA57" s="1014"/>
      <c r="AB57" s="1014"/>
      <c r="AC57" s="1014"/>
      <c r="AD57" s="1015"/>
      <c r="AE57" s="148" t="s">
        <v>148</v>
      </c>
      <c r="AF57" s="150"/>
      <c r="AG57" s="150"/>
      <c r="AH57" s="99" t="s">
        <v>33</v>
      </c>
      <c r="AI57" s="1030">
        <v>0.12970000000000001</v>
      </c>
      <c r="AJ57" s="1031"/>
      <c r="AK57" s="1031"/>
      <c r="AL57" s="1032"/>
      <c r="AM57" s="1030">
        <v>0.13</v>
      </c>
      <c r="AN57" s="1031"/>
      <c r="AO57" s="1031"/>
      <c r="AP57" s="1032"/>
      <c r="AQ57" s="1033">
        <v>0.01</v>
      </c>
      <c r="AR57" s="1034"/>
      <c r="AS57" s="1034"/>
      <c r="AT57" s="1035"/>
      <c r="AU57" s="1030">
        <v>0.13600000000000001</v>
      </c>
      <c r="AV57" s="1031"/>
      <c r="AW57" s="1031"/>
      <c r="AX57" s="1032"/>
      <c r="AY57" s="1030">
        <v>0.156</v>
      </c>
      <c r="AZ57" s="1031"/>
      <c r="BA57" s="1031"/>
      <c r="BB57" s="1032"/>
      <c r="BC57" s="1030">
        <v>0.156</v>
      </c>
      <c r="BD57" s="1031"/>
      <c r="BE57" s="1031"/>
      <c r="BF57" s="1032"/>
      <c r="BG57" s="1046">
        <f>AI57/21</f>
        <v>6.1761904761904766E-3</v>
      </c>
      <c r="BH57" s="1047"/>
      <c r="BI57" s="1048"/>
      <c r="BJ57" s="309" t="s">
        <v>209</v>
      </c>
      <c r="BK57" s="150"/>
      <c r="BL57" s="150"/>
      <c r="BM57" s="152"/>
      <c r="BN57" s="149" t="s">
        <v>30</v>
      </c>
      <c r="BO57" s="150"/>
      <c r="BP57" s="150"/>
      <c r="BQ57" s="152"/>
      <c r="BR57" s="28"/>
      <c r="BS57" s="28"/>
      <c r="BT57" s="28"/>
      <c r="BU57" s="28"/>
      <c r="BV57" s="28"/>
    </row>
    <row r="58" spans="1:74" ht="13.5" customHeight="1">
      <c r="A58" s="22"/>
      <c r="B58" s="202">
        <v>10</v>
      </c>
      <c r="C58" s="310"/>
      <c r="D58" s="65"/>
      <c r="E58" s="65"/>
      <c r="F58" s="65"/>
      <c r="G58" s="65"/>
      <c r="H58" s="65"/>
      <c r="I58" s="65"/>
      <c r="J58" s="65"/>
      <c r="K58" s="65"/>
      <c r="L58" s="65"/>
      <c r="M58" s="62"/>
      <c r="N58" s="63"/>
      <c r="O58" s="65"/>
      <c r="P58" s="65"/>
      <c r="Q58" s="64"/>
      <c r="R58" s="63"/>
      <c r="S58" s="190"/>
      <c r="T58" s="190"/>
      <c r="U58" s="191"/>
      <c r="V58" s="192"/>
      <c r="W58" s="190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3"/>
      <c r="AN58" s="63"/>
      <c r="AO58" s="63"/>
      <c r="AP58" s="63"/>
      <c r="AQ58" s="63"/>
      <c r="AR58" s="63"/>
      <c r="AS58" s="63"/>
      <c r="AT58" s="63"/>
      <c r="AU58" s="63"/>
      <c r="AV58" s="63"/>
      <c r="AW58" s="63"/>
      <c r="AX58" s="63"/>
      <c r="AY58" s="63"/>
      <c r="AZ58" s="31"/>
      <c r="BA58" s="35"/>
      <c r="BB58" s="35"/>
      <c r="BC58" s="311"/>
      <c r="BD58" s="28"/>
    </row>
    <row r="59" spans="1:74" ht="13.5" customHeight="1">
      <c r="A59" s="22"/>
      <c r="B59" s="202">
        <v>14</v>
      </c>
      <c r="C59" s="312"/>
      <c r="D59" s="65"/>
      <c r="E59" s="65"/>
      <c r="F59" s="65"/>
      <c r="G59" s="65"/>
      <c r="H59" s="65"/>
      <c r="I59" s="65"/>
      <c r="J59" s="65"/>
      <c r="K59" s="198"/>
      <c r="L59" s="65"/>
      <c r="M59" s="65"/>
      <c r="N59" s="65"/>
      <c r="O59" s="65"/>
      <c r="P59" s="65"/>
      <c r="Q59" s="198"/>
      <c r="R59" s="65"/>
      <c r="S59" s="65"/>
      <c r="T59" s="65"/>
      <c r="U59" s="198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125"/>
      <c r="AK59" s="112"/>
      <c r="AL59" s="62"/>
      <c r="AM59" s="63"/>
      <c r="AN59" s="63"/>
      <c r="AO59" s="63"/>
      <c r="AP59" s="63"/>
      <c r="AQ59" s="64"/>
      <c r="AR59" s="63"/>
      <c r="AS59" s="65"/>
      <c r="AT59" s="65"/>
      <c r="AU59" s="65"/>
      <c r="AV59" s="65"/>
      <c r="AW59" s="65"/>
      <c r="AX59" s="65"/>
      <c r="AY59" s="63"/>
      <c r="AZ59" s="31"/>
      <c r="BA59" s="35"/>
      <c r="BB59" s="35"/>
      <c r="BC59" s="311"/>
      <c r="BD59" s="28"/>
    </row>
    <row r="60" spans="1:74" ht="13.5" customHeight="1">
      <c r="A60" s="22"/>
      <c r="B60" s="202">
        <v>15</v>
      </c>
      <c r="C60" s="313" t="s">
        <v>71</v>
      </c>
      <c r="D60" s="223"/>
      <c r="E60" s="224"/>
      <c r="F60" s="223"/>
      <c r="G60" s="224"/>
      <c r="H60" s="225"/>
      <c r="I60" s="226"/>
      <c r="J60" s="227"/>
      <c r="K60" s="227"/>
      <c r="L60" s="227"/>
      <c r="M60" s="228"/>
      <c r="N60" s="227"/>
      <c r="O60" s="227"/>
      <c r="P60" s="227"/>
      <c r="Q60" s="229"/>
      <c r="R60" s="227"/>
      <c r="S60" s="227"/>
      <c r="T60" s="227"/>
      <c r="U60" s="227"/>
      <c r="V60" s="227"/>
      <c r="W60" s="229"/>
      <c r="X60" s="227"/>
      <c r="Y60" s="227"/>
      <c r="Z60" s="227"/>
      <c r="AA60" s="229"/>
      <c r="AB60" s="227"/>
      <c r="AC60" s="227"/>
      <c r="AD60" s="227"/>
      <c r="AE60" s="227"/>
      <c r="AF60" s="227"/>
      <c r="AG60" s="232"/>
      <c r="AH60" s="227"/>
      <c r="AI60" s="227"/>
      <c r="AJ60" s="227"/>
      <c r="AK60" s="227"/>
      <c r="AL60" s="227"/>
      <c r="AM60" s="227"/>
      <c r="AN60" s="227"/>
      <c r="AO60" s="227"/>
      <c r="AP60" s="227"/>
      <c r="AQ60" s="230"/>
      <c r="AR60" s="227"/>
      <c r="AS60" s="230"/>
      <c r="AT60" s="227"/>
      <c r="AU60" s="227"/>
      <c r="AV60" s="227"/>
      <c r="AW60" s="227"/>
      <c r="AX60" s="227"/>
      <c r="AY60" s="224"/>
      <c r="AZ60" s="224"/>
      <c r="BA60" s="231"/>
      <c r="BB60" s="231"/>
      <c r="BC60" s="314"/>
      <c r="BD60" s="28"/>
    </row>
    <row r="61" spans="1:74" ht="13.5" customHeight="1">
      <c r="A61" s="22"/>
      <c r="B61" s="202"/>
      <c r="C61" s="394"/>
      <c r="D61" s="62"/>
      <c r="E61" s="63"/>
      <c r="F61" s="62"/>
      <c r="G61" s="63"/>
      <c r="H61" s="398"/>
      <c r="I61" s="399"/>
      <c r="J61" s="74"/>
      <c r="K61" s="74"/>
      <c r="L61" s="74"/>
      <c r="M61" s="400"/>
      <c r="N61" s="74"/>
      <c r="O61" s="74"/>
      <c r="P61" s="74"/>
      <c r="Q61" s="401"/>
      <c r="R61" s="74"/>
      <c r="S61" s="74"/>
      <c r="T61" s="74"/>
      <c r="U61" s="74"/>
      <c r="V61" s="74"/>
      <c r="W61" s="401"/>
      <c r="X61" s="65"/>
      <c r="Y61" s="65"/>
      <c r="Z61" s="65"/>
      <c r="AA61" s="198"/>
      <c r="AB61" s="65"/>
      <c r="AC61" s="65"/>
      <c r="AD61" s="65"/>
      <c r="AE61" s="65"/>
      <c r="AF61" s="65"/>
      <c r="AG61" s="158"/>
      <c r="AH61" s="65"/>
      <c r="AI61" s="65"/>
      <c r="AJ61" s="65"/>
      <c r="AK61" s="65"/>
      <c r="AL61" s="65"/>
      <c r="AM61" s="65"/>
      <c r="AN61" s="65"/>
      <c r="AO61" s="65"/>
      <c r="AP61" s="65"/>
      <c r="AQ61" s="125"/>
      <c r="AR61" s="65"/>
      <c r="AS61" s="125"/>
      <c r="AT61" s="65"/>
      <c r="AU61" s="65"/>
      <c r="AV61" s="65"/>
      <c r="AW61" s="65"/>
      <c r="AX61" s="65"/>
      <c r="AY61" s="63"/>
      <c r="AZ61" s="103"/>
      <c r="BA61" s="396"/>
      <c r="BB61"/>
      <c r="BC61" s="397"/>
      <c r="BD61" s="28"/>
    </row>
    <row r="62" spans="1:74" ht="13.5" customHeight="1">
      <c r="A62" s="22"/>
      <c r="B62" s="45"/>
      <c r="C62" s="393" t="s">
        <v>174</v>
      </c>
      <c r="D62" s="28"/>
      <c r="E62" s="28"/>
      <c r="F62" s="28"/>
      <c r="G62" s="28"/>
      <c r="H62" s="24"/>
      <c r="I62" s="24"/>
      <c r="J62" s="24"/>
      <c r="K62" s="24"/>
      <c r="L62" s="24"/>
      <c r="M62" s="127"/>
      <c r="N62" s="75"/>
      <c r="O62" s="84"/>
      <c r="P62" s="84"/>
      <c r="Q62" s="85"/>
      <c r="R62" s="75"/>
      <c r="S62" s="75"/>
      <c r="T62" s="75"/>
      <c r="U62" s="84"/>
      <c r="V62" s="85"/>
      <c r="W62" s="75"/>
      <c r="X62" s="65"/>
      <c r="Y62" s="28"/>
      <c r="Z62" s="233" t="s">
        <v>72</v>
      </c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65"/>
      <c r="AY62" s="31"/>
      <c r="AZ62" s="31"/>
      <c r="BA62" s="30"/>
      <c r="BB62" s="35"/>
      <c r="BC62" s="326"/>
      <c r="BD62" s="28"/>
      <c r="BF62" s="35"/>
      <c r="BG62" s="35"/>
    </row>
    <row r="63" spans="1:74" ht="13.5" customHeight="1">
      <c r="A63" s="22"/>
      <c r="B63" s="202">
        <v>6</v>
      </c>
      <c r="C63" s="431" t="s">
        <v>32</v>
      </c>
      <c r="D63" s="432" t="s">
        <v>182</v>
      </c>
      <c r="E63" s="433"/>
      <c r="F63" s="433"/>
      <c r="G63" s="434"/>
      <c r="H63" s="435" t="s">
        <v>183</v>
      </c>
      <c r="I63" s="436"/>
      <c r="J63" s="436"/>
      <c r="K63" s="436"/>
      <c r="L63" s="433"/>
      <c r="M63" s="434"/>
      <c r="N63" s="432" t="s">
        <v>184</v>
      </c>
      <c r="O63" s="433"/>
      <c r="P63" s="433"/>
      <c r="Q63" s="433"/>
      <c r="R63" s="433"/>
      <c r="S63" s="434"/>
      <c r="T63" s="432" t="s">
        <v>185</v>
      </c>
      <c r="U63" s="433"/>
      <c r="V63" s="433"/>
      <c r="W63" s="433"/>
      <c r="X63" s="433"/>
      <c r="Y63" s="433"/>
      <c r="Z63" s="437" t="s">
        <v>179</v>
      </c>
      <c r="AA63" s="438"/>
      <c r="AB63" s="438"/>
      <c r="AC63" s="439"/>
      <c r="AD63" s="39"/>
      <c r="AE63" s="39"/>
      <c r="AF63" s="39"/>
      <c r="AG63" s="39"/>
      <c r="AH63" s="39"/>
      <c r="AI63" s="118"/>
      <c r="AJ63" s="118"/>
      <c r="AK63" s="118"/>
      <c r="AL63" s="118"/>
      <c r="AM63" s="118"/>
      <c r="AN63" s="118"/>
      <c r="AO63" s="118"/>
      <c r="AP63" s="118"/>
      <c r="AQ63" s="118"/>
      <c r="AR63" s="118"/>
      <c r="AS63" s="118"/>
      <c r="AT63" s="118"/>
      <c r="AU63" s="118"/>
      <c r="AV63" s="118"/>
      <c r="AW63" s="118"/>
      <c r="AX63" s="118"/>
      <c r="AY63" s="118"/>
      <c r="AZ63" s="118"/>
      <c r="BA63" s="118"/>
      <c r="BB63" s="440"/>
      <c r="BC63" s="326"/>
      <c r="BD63" s="28"/>
      <c r="BF63" s="35"/>
      <c r="BG63" s="35"/>
      <c r="BH63" s="28"/>
    </row>
    <row r="64" spans="1:74" ht="13.5" customHeight="1">
      <c r="A64" s="22"/>
      <c r="B64" s="202">
        <v>8</v>
      </c>
      <c r="C64" s="441">
        <v>1</v>
      </c>
      <c r="D64" s="148" t="s">
        <v>180</v>
      </c>
      <c r="E64" s="149"/>
      <c r="F64" s="149"/>
      <c r="G64" s="99" t="s">
        <v>33</v>
      </c>
      <c r="H64" s="242" t="s">
        <v>192</v>
      </c>
      <c r="I64" s="150"/>
      <c r="J64" s="150"/>
      <c r="K64" s="150"/>
      <c r="L64" s="161"/>
      <c r="M64" s="162"/>
      <c r="N64" s="1068">
        <v>5000</v>
      </c>
      <c r="O64" s="1069"/>
      <c r="P64" s="1069"/>
      <c r="Q64" s="1069"/>
      <c r="R64" s="1069"/>
      <c r="S64" s="1070"/>
      <c r="T64" s="1068">
        <v>5000</v>
      </c>
      <c r="U64" s="1063"/>
      <c r="V64" s="1063"/>
      <c r="W64" s="1063"/>
      <c r="X64" s="1063"/>
      <c r="Y64" s="1064"/>
      <c r="Z64" s="1071">
        <v>10</v>
      </c>
      <c r="AA64" s="1072"/>
      <c r="AB64" s="1072"/>
      <c r="AC64" s="1073"/>
      <c r="AD64" s="28"/>
      <c r="AE64" s="28"/>
      <c r="AF64" s="28"/>
      <c r="AG64" s="28"/>
      <c r="AH64" s="28"/>
      <c r="AI64" s="35"/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5"/>
      <c r="AV64" s="35"/>
      <c r="AW64" s="35"/>
      <c r="AX64" s="35"/>
      <c r="AY64" s="35"/>
      <c r="AZ64" s="35"/>
      <c r="BA64" s="35"/>
      <c r="BB64" s="153"/>
      <c r="BC64" s="326"/>
      <c r="BD64" s="28"/>
      <c r="BF64" s="35"/>
      <c r="BG64" s="35"/>
      <c r="BH64" s="28"/>
    </row>
    <row r="65" spans="1:91" ht="13.5" customHeight="1">
      <c r="A65" s="22"/>
      <c r="B65" s="202">
        <v>14</v>
      </c>
      <c r="C65" s="94"/>
      <c r="D65" s="65"/>
      <c r="E65" s="65"/>
      <c r="F65" s="65"/>
      <c r="G65" s="65"/>
      <c r="H65" s="65"/>
      <c r="I65" s="65"/>
      <c r="J65" s="65"/>
      <c r="K65" s="198"/>
      <c r="L65" s="65"/>
      <c r="M65" s="65"/>
      <c r="N65" s="65"/>
      <c r="O65" s="65"/>
      <c r="P65" s="65"/>
      <c r="Q65" s="65"/>
      <c r="R65" s="65"/>
      <c r="S65" s="198"/>
      <c r="T65" s="65"/>
      <c r="U65" s="65"/>
      <c r="V65" s="65"/>
      <c r="W65" s="65"/>
      <c r="X65" s="65"/>
      <c r="Y65" s="198"/>
      <c r="Z65" s="65"/>
      <c r="AA65" s="65"/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125"/>
      <c r="AO65" s="112"/>
      <c r="AP65" s="62"/>
      <c r="AQ65" s="63"/>
      <c r="AR65" s="63"/>
      <c r="AS65" s="63"/>
      <c r="AT65" s="63"/>
      <c r="AU65" s="64"/>
      <c r="AV65" s="63"/>
      <c r="AW65" s="65"/>
      <c r="AX65" s="65"/>
      <c r="AY65" s="65"/>
      <c r="AZ65" s="65"/>
      <c r="BA65" s="65"/>
      <c r="BB65" s="442"/>
      <c r="BC65" s="326"/>
      <c r="BD65" s="28"/>
      <c r="BF65" s="35"/>
      <c r="BG65" s="35"/>
      <c r="BH65" s="28"/>
      <c r="BI65" s="28"/>
      <c r="BJ65" s="28"/>
      <c r="BK65" s="28"/>
    </row>
    <row r="66" spans="1:91" ht="13.5" customHeight="1">
      <c r="A66" s="22"/>
      <c r="B66" s="202">
        <v>15</v>
      </c>
      <c r="C66" s="443" t="s">
        <v>71</v>
      </c>
      <c r="D66" s="223"/>
      <c r="E66" s="224"/>
      <c r="F66" s="223"/>
      <c r="G66" s="224"/>
      <c r="H66" s="225"/>
      <c r="I66" s="226"/>
      <c r="J66" s="227"/>
      <c r="K66" s="227"/>
      <c r="L66" s="227"/>
      <c r="M66" s="228"/>
      <c r="N66" s="227"/>
      <c r="O66" s="227"/>
      <c r="P66" s="227"/>
      <c r="Q66" s="229"/>
      <c r="R66" s="227"/>
      <c r="S66" s="227"/>
      <c r="T66" s="227"/>
      <c r="U66" s="227"/>
      <c r="V66" s="227"/>
      <c r="W66" s="229"/>
      <c r="X66" s="227"/>
      <c r="Y66" s="227"/>
      <c r="Z66" s="227"/>
      <c r="AA66" s="229"/>
      <c r="AB66" s="227"/>
      <c r="AC66" s="227"/>
      <c r="AD66" s="227"/>
      <c r="AE66" s="227"/>
      <c r="AF66" s="227"/>
      <c r="AG66" s="232"/>
      <c r="AH66" s="227"/>
      <c r="AI66" s="227"/>
      <c r="AJ66" s="227"/>
      <c r="AK66" s="227"/>
      <c r="AL66" s="227"/>
      <c r="AM66" s="227"/>
      <c r="AN66" s="227"/>
      <c r="AO66" s="227"/>
      <c r="AP66" s="227"/>
      <c r="AQ66" s="230"/>
      <c r="AR66" s="227"/>
      <c r="AS66" s="230"/>
      <c r="AT66" s="227"/>
      <c r="AU66" s="227"/>
      <c r="AV66" s="227"/>
      <c r="AW66" s="227"/>
      <c r="AX66" s="227"/>
      <c r="AY66" s="224"/>
      <c r="AZ66" s="224"/>
      <c r="BA66" s="231"/>
      <c r="BB66" s="444"/>
      <c r="BC66" s="326"/>
      <c r="BD66" s="28"/>
      <c r="BH66" s="28"/>
      <c r="BI66" s="28"/>
      <c r="BJ66" s="28"/>
      <c r="BK66" s="28"/>
    </row>
    <row r="67" spans="1:91" ht="13.5" customHeight="1">
      <c r="A67" s="22"/>
      <c r="B67" s="202"/>
      <c r="C67" s="394"/>
      <c r="D67" s="62"/>
      <c r="E67" s="63"/>
      <c r="F67" s="62"/>
      <c r="G67" s="63"/>
      <c r="H67" s="398"/>
      <c r="I67" s="399"/>
      <c r="J67" s="74"/>
      <c r="K67" s="74"/>
      <c r="L67" s="74"/>
      <c r="M67" s="400"/>
      <c r="N67" s="74"/>
      <c r="O67" s="74"/>
      <c r="P67" s="74"/>
      <c r="Q67" s="74"/>
      <c r="R67" s="74"/>
      <c r="S67" s="401"/>
      <c r="T67" s="74"/>
      <c r="U67" s="74"/>
      <c r="V67" s="74"/>
      <c r="W67" s="74"/>
      <c r="X67" s="74"/>
      <c r="Y67" s="74"/>
      <c r="Z67" s="74"/>
      <c r="AA67" s="401"/>
      <c r="AB67" s="65"/>
      <c r="AC67" s="65"/>
      <c r="AD67" s="65"/>
      <c r="AE67" s="198"/>
      <c r="AF67" s="65"/>
      <c r="AG67" s="65"/>
      <c r="AH67" s="65"/>
      <c r="AI67" s="65"/>
      <c r="AJ67" s="65"/>
      <c r="AK67" s="158"/>
      <c r="AL67" s="65"/>
      <c r="AM67" s="65"/>
      <c r="AN67" s="65"/>
      <c r="AO67" s="65"/>
      <c r="AP67" s="65"/>
      <c r="AQ67" s="65"/>
      <c r="AR67" s="65"/>
      <c r="AS67" s="65"/>
      <c r="AT67" s="65"/>
      <c r="AU67" s="125"/>
      <c r="AV67" s="65"/>
      <c r="AW67" s="125"/>
      <c r="AX67" s="65"/>
      <c r="AY67" s="65"/>
      <c r="AZ67" s="65"/>
      <c r="BA67" s="65"/>
      <c r="BB67" s="65"/>
      <c r="BC67" s="326"/>
      <c r="BD67" s="28"/>
      <c r="BF67"/>
      <c r="BG67"/>
      <c r="BH67" s="28"/>
      <c r="BI67" s="28"/>
      <c r="BJ67" s="28"/>
      <c r="BK67" s="28"/>
    </row>
    <row r="68" spans="1:91" ht="13.5" customHeight="1">
      <c r="A68" s="22"/>
      <c r="B68" s="45"/>
      <c r="C68" s="393" t="s">
        <v>181</v>
      </c>
      <c r="D68" s="28"/>
      <c r="E68" s="28"/>
      <c r="F68" s="28"/>
      <c r="G68" s="28"/>
      <c r="H68" s="24"/>
      <c r="I68" s="24"/>
      <c r="J68" s="24"/>
      <c r="K68" s="24"/>
      <c r="L68" s="24"/>
      <c r="M68" s="127"/>
      <c r="N68" s="75"/>
      <c r="O68" s="84"/>
      <c r="P68" s="84"/>
      <c r="Q68" s="84"/>
      <c r="R68" s="84"/>
      <c r="S68" s="85"/>
      <c r="T68" s="75"/>
      <c r="U68" s="75"/>
      <c r="V68" s="75"/>
      <c r="W68" s="75"/>
      <c r="X68" s="75"/>
      <c r="Y68" s="84"/>
      <c r="Z68" s="233" t="s">
        <v>72</v>
      </c>
      <c r="AA68" s="75"/>
      <c r="AB68" s="65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31"/>
      <c r="AR68" s="31"/>
      <c r="AS68" s="31"/>
      <c r="AT68" s="31"/>
      <c r="AU68" s="31"/>
      <c r="AV68" s="31"/>
      <c r="AW68" s="31"/>
      <c r="AX68" s="31"/>
      <c r="AY68" s="31"/>
      <c r="AZ68" s="31"/>
      <c r="BA68" s="31"/>
      <c r="BB68" s="65"/>
      <c r="BC68" s="326"/>
      <c r="BD68" s="28"/>
      <c r="BF68" s="35"/>
      <c r="BG68" s="35"/>
      <c r="BH68" s="28"/>
    </row>
    <row r="69" spans="1:91" ht="13.5" customHeight="1">
      <c r="A69" s="22"/>
      <c r="B69" s="202">
        <v>6</v>
      </c>
      <c r="C69" s="431" t="s">
        <v>32</v>
      </c>
      <c r="D69" s="432" t="s">
        <v>182</v>
      </c>
      <c r="E69" s="445"/>
      <c r="F69" s="445"/>
      <c r="G69" s="446"/>
      <c r="H69" s="447" t="s">
        <v>189</v>
      </c>
      <c r="I69" s="448"/>
      <c r="J69" s="448"/>
      <c r="K69" s="448"/>
      <c r="L69" s="445"/>
      <c r="M69" s="446"/>
      <c r="N69" s="449" t="s">
        <v>190</v>
      </c>
      <c r="O69" s="445"/>
      <c r="P69" s="445"/>
      <c r="Q69" s="445"/>
      <c r="R69" s="445"/>
      <c r="S69" s="446"/>
      <c r="T69" s="449" t="s">
        <v>191</v>
      </c>
      <c r="U69" s="445"/>
      <c r="V69" s="445"/>
      <c r="W69" s="445"/>
      <c r="X69" s="445"/>
      <c r="Y69" s="445"/>
      <c r="Z69" s="450" t="s">
        <v>179</v>
      </c>
      <c r="AA69" s="451"/>
      <c r="AB69" s="451"/>
      <c r="AC69" s="452"/>
      <c r="AD69" s="39"/>
      <c r="AE69" s="39"/>
      <c r="AF69" s="39"/>
      <c r="AG69" s="39"/>
      <c r="AH69" s="39"/>
      <c r="AI69" s="118"/>
      <c r="AJ69" s="118"/>
      <c r="AK69" s="118"/>
      <c r="AL69" s="118"/>
      <c r="AM69" s="118"/>
      <c r="AN69" s="118"/>
      <c r="AO69" s="118"/>
      <c r="AP69" s="118"/>
      <c r="AQ69" s="118"/>
      <c r="AR69" s="118"/>
      <c r="AS69" s="118"/>
      <c r="AT69" s="118"/>
      <c r="AU69" s="118"/>
      <c r="AV69" s="118"/>
      <c r="AW69" s="118"/>
      <c r="AX69" s="118"/>
      <c r="AY69" s="118"/>
      <c r="AZ69" s="118"/>
      <c r="BA69" s="118"/>
      <c r="BB69" s="440"/>
      <c r="BC69" s="326"/>
      <c r="BD69" s="28"/>
      <c r="BF69" s="35"/>
      <c r="BG69" s="35"/>
      <c r="BH69" s="28"/>
    </row>
    <row r="70" spans="1:91" ht="13.5" customHeight="1">
      <c r="A70" s="22"/>
      <c r="B70" s="202">
        <v>8</v>
      </c>
      <c r="C70" s="441">
        <v>1</v>
      </c>
      <c r="D70" s="148" t="s">
        <v>180</v>
      </c>
      <c r="E70" s="149"/>
      <c r="F70" s="149"/>
      <c r="G70" s="99" t="s">
        <v>33</v>
      </c>
      <c r="H70" s="242"/>
      <c r="I70" s="150"/>
      <c r="J70" s="150"/>
      <c r="K70" s="150"/>
      <c r="L70" s="161"/>
      <c r="M70" s="162"/>
      <c r="N70" s="1062">
        <v>5000</v>
      </c>
      <c r="O70" s="1063"/>
      <c r="P70" s="1063"/>
      <c r="Q70" s="1063"/>
      <c r="R70" s="1063"/>
      <c r="S70" s="1064"/>
      <c r="T70" s="1062">
        <v>5000</v>
      </c>
      <c r="U70" s="1063"/>
      <c r="V70" s="1063"/>
      <c r="W70" s="1063"/>
      <c r="X70" s="1063"/>
      <c r="Y70" s="1064"/>
      <c r="Z70" s="1065">
        <v>10</v>
      </c>
      <c r="AA70" s="1066"/>
      <c r="AB70" s="1066"/>
      <c r="AC70" s="1067"/>
      <c r="AD70" s="28"/>
      <c r="AE70" s="28"/>
      <c r="AF70" s="28"/>
      <c r="AG70" s="28"/>
      <c r="AH70" s="28"/>
      <c r="AI70" s="35"/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5"/>
      <c r="AV70" s="35"/>
      <c r="AW70" s="35"/>
      <c r="AX70" s="35"/>
      <c r="AY70" s="35"/>
      <c r="AZ70" s="35"/>
      <c r="BA70" s="35"/>
      <c r="BB70" s="153"/>
      <c r="BC70" s="326"/>
      <c r="BD70" s="28"/>
      <c r="BF70" s="35"/>
      <c r="BG70" s="35"/>
      <c r="BH70" s="28"/>
    </row>
    <row r="71" spans="1:91" ht="13.5" customHeight="1">
      <c r="A71" s="22"/>
      <c r="B71" s="202">
        <v>14</v>
      </c>
      <c r="C71" s="453"/>
      <c r="D71" s="67"/>
      <c r="E71" s="67"/>
      <c r="F71" s="67"/>
      <c r="G71" s="67"/>
      <c r="H71" s="67"/>
      <c r="I71" s="67"/>
      <c r="J71" s="67"/>
      <c r="K71" s="395"/>
      <c r="L71" s="67"/>
      <c r="M71" s="67"/>
      <c r="N71" s="67"/>
      <c r="O71" s="67"/>
      <c r="P71" s="67"/>
      <c r="Q71" s="395"/>
      <c r="R71" s="67"/>
      <c r="S71" s="67"/>
      <c r="T71" s="67"/>
      <c r="U71" s="395"/>
      <c r="V71" s="67"/>
      <c r="W71" s="67"/>
      <c r="X71" s="67"/>
      <c r="Y71" s="67"/>
      <c r="Z71" s="67"/>
      <c r="AA71" s="67"/>
      <c r="AB71" s="67"/>
      <c r="AC71" s="67"/>
      <c r="AD71" s="67"/>
      <c r="AE71" s="67"/>
      <c r="AF71" s="67"/>
      <c r="AG71" s="67"/>
      <c r="AH71" s="67"/>
      <c r="AI71" s="67"/>
      <c r="AJ71" s="454"/>
      <c r="AK71" s="455"/>
      <c r="AL71" s="105"/>
      <c r="AM71" s="100"/>
      <c r="AN71" s="100"/>
      <c r="AO71" s="100"/>
      <c r="AP71" s="100"/>
      <c r="AQ71" s="101"/>
      <c r="AR71" s="100"/>
      <c r="AS71" s="67"/>
      <c r="AT71" s="67"/>
      <c r="AU71" s="67"/>
      <c r="AV71" s="67"/>
      <c r="AW71" s="67"/>
      <c r="AX71" s="67"/>
      <c r="AY71" s="100"/>
      <c r="AZ71" s="52"/>
      <c r="BA71" s="38"/>
      <c r="BB71" s="154"/>
      <c r="BC71" s="326"/>
      <c r="BD71" s="28"/>
    </row>
    <row r="72" spans="1:91" ht="13.5" customHeight="1">
      <c r="A72" s="22"/>
      <c r="B72" s="202">
        <v>15</v>
      </c>
      <c r="C72" s="313" t="s">
        <v>71</v>
      </c>
      <c r="D72" s="223"/>
      <c r="E72" s="224"/>
      <c r="F72" s="223"/>
      <c r="G72" s="224"/>
      <c r="H72" s="225"/>
      <c r="I72" s="226"/>
      <c r="J72" s="227"/>
      <c r="K72" s="227"/>
      <c r="L72" s="227"/>
      <c r="M72" s="228"/>
      <c r="N72" s="227"/>
      <c r="O72" s="227"/>
      <c r="P72" s="227"/>
      <c r="Q72" s="229"/>
      <c r="R72" s="227"/>
      <c r="S72" s="227"/>
      <c r="T72" s="227"/>
      <c r="U72" s="227"/>
      <c r="V72" s="227"/>
      <c r="W72" s="229"/>
      <c r="X72" s="227"/>
      <c r="Y72" s="227"/>
      <c r="Z72" s="227"/>
      <c r="AA72" s="229"/>
      <c r="AB72" s="227"/>
      <c r="AC72" s="227"/>
      <c r="AD72" s="227"/>
      <c r="AE72" s="227"/>
      <c r="AF72" s="227"/>
      <c r="AG72" s="232"/>
      <c r="AH72" s="227"/>
      <c r="AI72" s="227"/>
      <c r="AJ72" s="227"/>
      <c r="AK72" s="227"/>
      <c r="AL72" s="227"/>
      <c r="AM72" s="227"/>
      <c r="AN72" s="227"/>
      <c r="AO72" s="227"/>
      <c r="AP72" s="227"/>
      <c r="AQ72" s="230"/>
      <c r="AR72" s="227"/>
      <c r="AS72" s="230"/>
      <c r="AT72" s="227"/>
      <c r="AU72" s="227"/>
      <c r="AV72" s="227"/>
      <c r="AW72" s="227"/>
      <c r="AX72" s="227"/>
      <c r="AY72" s="224"/>
      <c r="AZ72" s="224"/>
      <c r="BA72" s="231"/>
      <c r="BB72" s="231"/>
      <c r="BC72" s="326"/>
      <c r="BD72" s="28"/>
    </row>
    <row r="73" spans="1:91" ht="13.5" customHeight="1">
      <c r="A73" s="22"/>
      <c r="B73" s="202">
        <v>16</v>
      </c>
      <c r="C73" s="310"/>
      <c r="D73" s="65"/>
      <c r="E73" s="65"/>
      <c r="F73" s="65"/>
      <c r="G73" s="65"/>
      <c r="H73" s="65"/>
      <c r="I73" s="65"/>
      <c r="J73" s="65"/>
      <c r="K73" s="65"/>
      <c r="L73" s="65"/>
      <c r="M73" s="62"/>
      <c r="N73" s="65"/>
      <c r="O73" s="65"/>
      <c r="P73" s="63"/>
      <c r="Q73" s="64"/>
      <c r="R73" s="63"/>
      <c r="S73" s="111"/>
      <c r="T73" s="112"/>
      <c r="U73" s="111"/>
      <c r="V73" s="112"/>
      <c r="W73" s="111"/>
      <c r="X73" s="111"/>
      <c r="Y73" s="111"/>
      <c r="Z73" s="111"/>
      <c r="AA73" s="65"/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3"/>
      <c r="AZ73" s="53"/>
      <c r="BA73" s="323"/>
      <c r="BB73" s="324"/>
      <c r="BC73" s="326"/>
      <c r="BD73" s="28"/>
    </row>
    <row r="74" spans="1:91" ht="13.5" customHeight="1">
      <c r="A74" s="22"/>
      <c r="B74" s="202">
        <v>17</v>
      </c>
      <c r="C74" s="310"/>
      <c r="D74" s="65"/>
      <c r="E74" s="65"/>
      <c r="F74" s="65"/>
      <c r="G74" s="65"/>
      <c r="H74" s="126"/>
      <c r="I74" s="65"/>
      <c r="J74" s="65"/>
      <c r="K74" s="65"/>
      <c r="L74" s="198"/>
      <c r="M74" s="65"/>
      <c r="N74" s="65"/>
      <c r="O74" s="65"/>
      <c r="P74" s="198"/>
      <c r="Q74" s="65"/>
      <c r="R74" s="65"/>
      <c r="S74" s="65"/>
      <c r="T74" s="198"/>
      <c r="U74" s="65"/>
      <c r="V74" s="65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12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3"/>
      <c r="AZ74" s="31"/>
      <c r="BA74" s="30"/>
      <c r="BB74" s="175"/>
      <c r="BC74" s="326"/>
      <c r="BD74" s="28"/>
    </row>
    <row r="75" spans="1:91" ht="5.15" customHeight="1">
      <c r="A75" s="22"/>
      <c r="B75" s="202"/>
      <c r="C75" s="315"/>
      <c r="D75" s="73"/>
      <c r="E75" s="73"/>
      <c r="F75" s="73"/>
      <c r="G75" s="73"/>
      <c r="H75" s="316"/>
      <c r="I75" s="275"/>
      <c r="J75" s="273"/>
      <c r="K75" s="275"/>
      <c r="L75" s="273"/>
      <c r="M75" s="317"/>
      <c r="N75" s="317"/>
      <c r="O75" s="270"/>
      <c r="P75" s="317"/>
      <c r="Q75" s="270"/>
      <c r="R75" s="317"/>
      <c r="S75" s="73"/>
      <c r="T75" s="73"/>
      <c r="U75" s="73"/>
      <c r="V75" s="73"/>
      <c r="W75" s="73"/>
      <c r="X75" s="316"/>
      <c r="Y75" s="275"/>
      <c r="Z75" s="273"/>
      <c r="AA75" s="275"/>
      <c r="AB75" s="273"/>
      <c r="AC75" s="317"/>
      <c r="AD75" s="317"/>
      <c r="AE75" s="270"/>
      <c r="AF75" s="317"/>
      <c r="AG75" s="270"/>
      <c r="AH75" s="317"/>
      <c r="AI75" s="276"/>
      <c r="AJ75" s="317"/>
      <c r="AK75" s="270"/>
      <c r="AL75" s="73"/>
      <c r="AM75" s="73"/>
      <c r="AN75" s="73"/>
      <c r="AO75" s="73"/>
      <c r="AP75" s="73"/>
      <c r="AQ75" s="73"/>
      <c r="AR75" s="73"/>
      <c r="AS75" s="73"/>
      <c r="AT75" s="73"/>
      <c r="AU75" s="73"/>
      <c r="AV75" s="318"/>
      <c r="AW75" s="73"/>
      <c r="AX75" s="73"/>
      <c r="AY75" s="269"/>
      <c r="AZ75" s="269"/>
      <c r="BA75" s="319"/>
      <c r="BB75" s="320"/>
      <c r="BC75" s="321"/>
      <c r="BD75" s="28"/>
    </row>
    <row r="76" spans="1:91" ht="13.5" customHeight="1">
      <c r="A76" s="22"/>
      <c r="B76" s="202">
        <v>18</v>
      </c>
      <c r="C76" s="75"/>
      <c r="D76" s="63"/>
      <c r="E76" s="63"/>
      <c r="F76" s="63"/>
      <c r="G76" s="63"/>
      <c r="H76" s="69"/>
      <c r="I76" s="69"/>
      <c r="J76" s="65"/>
      <c r="K76" s="69"/>
      <c r="L76" s="65"/>
      <c r="M76" s="69"/>
      <c r="N76" s="64"/>
      <c r="O76" s="69"/>
      <c r="P76" s="65"/>
      <c r="Q76" s="65"/>
      <c r="R76" s="65"/>
      <c r="S76" s="63"/>
      <c r="T76" s="63"/>
      <c r="U76" s="63"/>
      <c r="V76" s="63"/>
      <c r="W76" s="63"/>
      <c r="X76" s="64"/>
      <c r="Y76" s="63"/>
      <c r="Z76" s="65"/>
      <c r="AA76" s="64"/>
      <c r="AB76" s="63"/>
      <c r="AC76" s="65"/>
      <c r="AD76" s="64"/>
      <c r="AE76" s="65"/>
      <c r="AF76" s="65"/>
      <c r="AG76" s="64"/>
      <c r="AH76" s="65"/>
      <c r="AI76" s="65"/>
      <c r="AJ76" s="126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3"/>
      <c r="AZ76" s="264"/>
      <c r="BA76" s="301"/>
      <c r="BB76" s="302"/>
      <c r="BC76" s="343"/>
      <c r="BD76" s="28"/>
    </row>
    <row r="77" spans="1:91" ht="13.5" customHeight="1">
      <c r="A77" s="22"/>
      <c r="B77" s="202">
        <v>20</v>
      </c>
      <c r="C77" s="204" t="s">
        <v>78</v>
      </c>
      <c r="D77" s="28"/>
      <c r="E77" s="28"/>
      <c r="F77" s="28"/>
      <c r="G77" s="28"/>
      <c r="H77" s="121"/>
      <c r="I77" s="62"/>
      <c r="J77" s="63"/>
      <c r="K77" s="62"/>
      <c r="L77" s="63"/>
      <c r="M77" s="69"/>
      <c r="N77" s="69"/>
      <c r="O77" s="65"/>
      <c r="P77" s="69"/>
      <c r="Q77" s="65"/>
      <c r="R77" s="69"/>
      <c r="S77" s="28"/>
      <c r="T77" s="28"/>
      <c r="U77" s="28"/>
      <c r="V77" s="28"/>
      <c r="W77" s="28"/>
      <c r="X77" s="121"/>
      <c r="Y77" s="62"/>
      <c r="Z77" s="63"/>
      <c r="AA77" s="62"/>
      <c r="AB77" s="63"/>
      <c r="AC77" s="69"/>
      <c r="AD77" s="69"/>
      <c r="AE77" s="65"/>
      <c r="AF77" s="69"/>
      <c r="AG77" s="65"/>
      <c r="AH77" s="69"/>
      <c r="AI77" s="64"/>
      <c r="AJ77" s="69"/>
      <c r="AK77" s="65"/>
      <c r="AL77" s="28"/>
      <c r="AM77" s="28"/>
      <c r="AN77" s="28"/>
      <c r="AO77" s="28"/>
      <c r="AP77" s="28"/>
      <c r="AQ77" s="28"/>
      <c r="AR77" s="28"/>
      <c r="AS77" s="28"/>
      <c r="AT77" s="28"/>
      <c r="AU77" s="28"/>
      <c r="AV77" s="233"/>
      <c r="AW77" s="28"/>
      <c r="AX77" s="28"/>
      <c r="AY77" s="31"/>
      <c r="AZ77" s="269"/>
      <c r="BA77" s="319"/>
      <c r="BB77" s="320"/>
      <c r="BC77" s="344"/>
      <c r="BD77" s="28"/>
    </row>
    <row r="78" spans="1:91" ht="5.15" customHeight="1">
      <c r="A78" s="22"/>
      <c r="B78" s="202"/>
      <c r="C78" s="296"/>
      <c r="D78" s="72"/>
      <c r="E78" s="72"/>
      <c r="F78" s="72"/>
      <c r="G78" s="72"/>
      <c r="H78" s="297"/>
      <c r="I78" s="278"/>
      <c r="J78" s="279"/>
      <c r="K78" s="278"/>
      <c r="L78" s="279"/>
      <c r="M78" s="298"/>
      <c r="N78" s="298"/>
      <c r="O78" s="263"/>
      <c r="P78" s="298"/>
      <c r="Q78" s="263"/>
      <c r="R78" s="298"/>
      <c r="S78" s="72"/>
      <c r="T78" s="72"/>
      <c r="U78" s="72"/>
      <c r="V78" s="72"/>
      <c r="W78" s="72"/>
      <c r="X78" s="297"/>
      <c r="Y78" s="278"/>
      <c r="Z78" s="279"/>
      <c r="AA78" s="278"/>
      <c r="AB78" s="279"/>
      <c r="AC78" s="298"/>
      <c r="AD78" s="298"/>
      <c r="AE78" s="263"/>
      <c r="AF78" s="298"/>
      <c r="AG78" s="263"/>
      <c r="AH78" s="298"/>
      <c r="AI78" s="280"/>
      <c r="AJ78" s="298"/>
      <c r="AK78" s="263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300"/>
      <c r="AW78" s="72"/>
      <c r="AX78" s="72"/>
      <c r="AY78" s="264"/>
      <c r="AZ78" s="264"/>
      <c r="BA78" s="301"/>
      <c r="BB78" s="302"/>
      <c r="BC78" s="303"/>
      <c r="BD78" s="28"/>
    </row>
    <row r="79" spans="1:91" ht="13.5" customHeight="1">
      <c r="A79" s="22"/>
      <c r="B79" s="202">
        <v>21</v>
      </c>
      <c r="C79" s="304" t="s">
        <v>32</v>
      </c>
      <c r="D79" s="234" t="s">
        <v>260</v>
      </c>
      <c r="E79" s="235"/>
      <c r="F79" s="234" t="s">
        <v>64</v>
      </c>
      <c r="G79" s="235"/>
      <c r="H79" s="235"/>
      <c r="I79" s="236"/>
      <c r="J79" s="237" t="s">
        <v>34</v>
      </c>
      <c r="K79" s="238"/>
      <c r="L79" s="238"/>
      <c r="M79" s="238"/>
      <c r="N79" s="235"/>
      <c r="O79" s="236"/>
      <c r="P79" s="239" t="s">
        <v>67</v>
      </c>
      <c r="Q79" s="240"/>
      <c r="R79" s="240"/>
      <c r="S79" s="241"/>
      <c r="T79" s="239" t="s">
        <v>151</v>
      </c>
      <c r="U79" s="240"/>
      <c r="V79" s="240"/>
      <c r="W79" s="241"/>
      <c r="X79" s="234" t="s">
        <v>79</v>
      </c>
      <c r="Y79" s="235"/>
      <c r="Z79" s="235"/>
      <c r="AA79" s="236"/>
      <c r="AB79" s="234" t="s">
        <v>80</v>
      </c>
      <c r="AC79" s="235"/>
      <c r="AD79" s="235"/>
      <c r="AE79" s="235"/>
      <c r="AF79" s="239" t="s">
        <v>65</v>
      </c>
      <c r="AG79" s="240"/>
      <c r="AH79" s="240"/>
      <c r="AI79" s="240"/>
      <c r="AJ79" s="241"/>
      <c r="AK79" s="240" t="s">
        <v>210</v>
      </c>
      <c r="AL79" s="240"/>
      <c r="AM79" s="240"/>
      <c r="AN79" s="241"/>
      <c r="AO79" s="240" t="s">
        <v>162</v>
      </c>
      <c r="AP79" s="240"/>
      <c r="AQ79" s="240"/>
      <c r="AR79" s="241"/>
      <c r="AS79" s="240" t="s">
        <v>211</v>
      </c>
      <c r="AT79" s="240"/>
      <c r="AU79" s="240"/>
      <c r="AV79" s="241"/>
      <c r="AW79" s="240" t="s">
        <v>66</v>
      </c>
      <c r="AX79" s="240"/>
      <c r="AY79" s="240"/>
      <c r="AZ79" s="241"/>
      <c r="BA79" s="239" t="s">
        <v>212</v>
      </c>
      <c r="BB79" s="240"/>
      <c r="BC79" s="240"/>
      <c r="BD79" s="241"/>
      <c r="BE79" s="239" t="s">
        <v>213</v>
      </c>
      <c r="BF79" s="240"/>
      <c r="BG79" s="240"/>
      <c r="BH79" s="240"/>
      <c r="BI79" s="239" t="s">
        <v>199</v>
      </c>
      <c r="BJ79" s="240"/>
      <c r="BK79" s="240"/>
      <c r="BL79" s="241"/>
      <c r="BM79" s="239" t="s">
        <v>214</v>
      </c>
      <c r="BN79" s="240"/>
      <c r="BO79" s="240"/>
      <c r="BP79" s="241"/>
      <c r="BQ79" s="239" t="s">
        <v>215</v>
      </c>
      <c r="BR79" s="240"/>
      <c r="BS79" s="240"/>
      <c r="BT79" s="241"/>
      <c r="BU79" s="239" t="s">
        <v>83</v>
      </c>
      <c r="BV79" s="240"/>
      <c r="BW79" s="240"/>
      <c r="BX79" s="241"/>
      <c r="BY79" s="239" t="s">
        <v>84</v>
      </c>
      <c r="BZ79" s="240"/>
      <c r="CA79" s="240"/>
      <c r="CB79" s="241"/>
      <c r="CC79" s="240" t="s">
        <v>85</v>
      </c>
      <c r="CD79" s="240"/>
      <c r="CE79" s="241"/>
      <c r="CF79" s="240" t="s">
        <v>86</v>
      </c>
      <c r="CG79" s="240"/>
      <c r="CH79" s="240"/>
      <c r="CI79" s="241"/>
      <c r="CJ79" s="240" t="s">
        <v>69</v>
      </c>
      <c r="CK79" s="240"/>
      <c r="CL79" s="240"/>
      <c r="CM79" s="241"/>
    </row>
    <row r="80" spans="1:91" ht="13.5" customHeight="1">
      <c r="A80" s="22"/>
      <c r="B80" s="202">
        <v>22</v>
      </c>
      <c r="C80" s="308">
        <v>1</v>
      </c>
      <c r="D80" s="148" t="str">
        <f>N56</f>
        <v>FH</v>
      </c>
      <c r="E80" s="149"/>
      <c r="F80" s="148" t="str">
        <f>D56</f>
        <v>5802922450</v>
      </c>
      <c r="G80" s="149"/>
      <c r="H80" s="149"/>
      <c r="I80" s="151"/>
      <c r="J80" s="242" t="str">
        <f>H56</f>
        <v>FH35C-21S-0.3SHW(50)</v>
      </c>
      <c r="K80" s="150"/>
      <c r="L80" s="150"/>
      <c r="M80" s="150"/>
      <c r="N80" s="161"/>
      <c r="O80" s="162"/>
      <c r="P80" s="148" t="s">
        <v>93</v>
      </c>
      <c r="Q80" s="150"/>
      <c r="R80" s="150"/>
      <c r="S80" s="162"/>
      <c r="T80" s="148" t="str">
        <f>AE56</f>
        <v>USD</v>
      </c>
      <c r="U80" s="150"/>
      <c r="V80" s="150"/>
      <c r="W80" s="162"/>
      <c r="X80" s="1016">
        <f>R56</f>
        <v>2000000</v>
      </c>
      <c r="Y80" s="1017"/>
      <c r="Z80" s="1017"/>
      <c r="AA80" s="1018"/>
      <c r="AB80" s="1030">
        <f>Z56/111</f>
        <v>4.7657657657657657E-2</v>
      </c>
      <c r="AC80" s="1031"/>
      <c r="AD80" s="1031"/>
      <c r="AE80" s="1032"/>
      <c r="AF80" s="1030">
        <f>BC56</f>
        <v>0.11</v>
      </c>
      <c r="AG80" s="1031"/>
      <c r="AH80" s="1031"/>
      <c r="AI80" s="1031"/>
      <c r="AJ80" s="1032"/>
      <c r="AK80" s="1030">
        <f>AM56</f>
        <v>9.4E-2</v>
      </c>
      <c r="AL80" s="1031"/>
      <c r="AM80" s="1031"/>
      <c r="AN80" s="1032"/>
      <c r="AO80" s="1030">
        <f>AI56</f>
        <v>9.2200000000000004E-2</v>
      </c>
      <c r="AP80" s="1031"/>
      <c r="AQ80" s="1031"/>
      <c r="AR80" s="1032"/>
      <c r="AS80" s="1030">
        <f>AI56/(1-AQ56)</f>
        <v>9.3131313131313134E-2</v>
      </c>
      <c r="AT80" s="1031"/>
      <c r="AU80" s="1031"/>
      <c r="AV80" s="1032"/>
      <c r="AW80" s="1030">
        <f>AO80-(AS80*$K$20)</f>
        <v>8.7543434343434354E-2</v>
      </c>
      <c r="AX80" s="1031"/>
      <c r="AY80" s="1031"/>
      <c r="AZ80" s="1032"/>
      <c r="BA80" s="996">
        <f>1-Z56/111/AW80</f>
        <v>0.4556112858138982</v>
      </c>
      <c r="BB80" s="997"/>
      <c r="BC80" s="997"/>
      <c r="BD80" s="998"/>
      <c r="BE80" s="1008">
        <f>(AI56-AM56)/AM56</f>
        <v>-1.9148936170212724E-2</v>
      </c>
      <c r="BF80" s="1009"/>
      <c r="BG80" s="1009"/>
      <c r="BH80" s="1010"/>
      <c r="BI80" s="1058">
        <f>AU56</f>
        <v>0.1012</v>
      </c>
      <c r="BJ80" s="1059"/>
      <c r="BK80" s="1059"/>
      <c r="BL80" s="1060"/>
      <c r="BM80" s="1011">
        <f>1-AI56/(1-AQ56)/AU56</f>
        <v>7.9730107398091499E-2</v>
      </c>
      <c r="BN80" s="1012"/>
      <c r="BO80" s="1012"/>
      <c r="BP80" s="1013"/>
      <c r="BQ80" s="1011">
        <f>1-(Z56/111+AI56*AQ56+AS80*$K$20)/AU56</f>
        <v>0.47395036250767475</v>
      </c>
      <c r="BR80" s="1012"/>
      <c r="BS80" s="1012"/>
      <c r="BT80" s="1013"/>
      <c r="BU80" s="1046">
        <f>AY56</f>
        <v>0.11</v>
      </c>
      <c r="BV80" s="1047"/>
      <c r="BW80" s="1047"/>
      <c r="BX80" s="1048"/>
      <c r="BY80" s="1011">
        <f>1-AU56/AY56</f>
        <v>8.0000000000000071E-2</v>
      </c>
      <c r="BZ80" s="1012"/>
      <c r="CA80" s="1012"/>
      <c r="CB80" s="1013"/>
      <c r="CC80" s="1002">
        <f>BG56</f>
        <v>4.3904761904761903E-3</v>
      </c>
      <c r="CD80" s="1003"/>
      <c r="CE80" s="1004"/>
      <c r="CF80" s="149" t="str">
        <f>BJ56</f>
        <v>JAE</v>
      </c>
      <c r="CG80" s="150"/>
      <c r="CH80" s="150"/>
      <c r="CI80" s="152"/>
      <c r="CJ80" s="149" t="s">
        <v>30</v>
      </c>
      <c r="CK80" s="150"/>
      <c r="CL80" s="150"/>
      <c r="CM80" s="152"/>
    </row>
    <row r="81" spans="1:91" ht="13.5" customHeight="1">
      <c r="A81" s="22"/>
      <c r="B81" s="202">
        <v>23</v>
      </c>
      <c r="C81" s="308">
        <v>2</v>
      </c>
      <c r="D81" s="148" t="str">
        <f>N57</f>
        <v>FH</v>
      </c>
      <c r="E81" s="149"/>
      <c r="F81" s="148" t="str">
        <f>D57</f>
        <v>5801232050</v>
      </c>
      <c r="G81" s="149"/>
      <c r="H81" s="149"/>
      <c r="I81" s="151"/>
      <c r="J81" s="242" t="str">
        <f>H57</f>
        <v>FH34SRJ-30S-0.5SH(50)</v>
      </c>
      <c r="K81" s="150"/>
      <c r="L81" s="150"/>
      <c r="M81" s="150"/>
      <c r="N81" s="161"/>
      <c r="O81" s="162"/>
      <c r="P81" s="148" t="s">
        <v>93</v>
      </c>
      <c r="Q81" s="150"/>
      <c r="R81" s="150"/>
      <c r="S81" s="162"/>
      <c r="T81" s="148" t="str">
        <f>AE57</f>
        <v>USD</v>
      </c>
      <c r="U81" s="150"/>
      <c r="V81" s="150"/>
      <c r="W81" s="162"/>
      <c r="X81" s="1016">
        <f>R57</f>
        <v>20000</v>
      </c>
      <c r="Y81" s="1017"/>
      <c r="Z81" s="1017"/>
      <c r="AA81" s="1018"/>
      <c r="AB81" s="1030">
        <f>Z57/111</f>
        <v>9.90990990990991E-2</v>
      </c>
      <c r="AC81" s="1031"/>
      <c r="AD81" s="1031"/>
      <c r="AE81" s="1032"/>
      <c r="AF81" s="1030">
        <f>BC57</f>
        <v>0.156</v>
      </c>
      <c r="AG81" s="1031"/>
      <c r="AH81" s="1031"/>
      <c r="AI81" s="1031"/>
      <c r="AJ81" s="1032"/>
      <c r="AK81" s="1030">
        <f>AM57</f>
        <v>0.13</v>
      </c>
      <c r="AL81" s="1031"/>
      <c r="AM81" s="1031"/>
      <c r="AN81" s="1032"/>
      <c r="AO81" s="1030">
        <f>AI57</f>
        <v>0.12970000000000001</v>
      </c>
      <c r="AP81" s="1031"/>
      <c r="AQ81" s="1031"/>
      <c r="AR81" s="1032"/>
      <c r="AS81" s="1030">
        <f>AI57/(1-AQ57)</f>
        <v>0.13101010101010102</v>
      </c>
      <c r="AT81" s="1031"/>
      <c r="AU81" s="1031"/>
      <c r="AV81" s="1032"/>
      <c r="AW81" s="1030">
        <f>AO81-(AS81*$K$20)</f>
        <v>0.12314949494949495</v>
      </c>
      <c r="AX81" s="1031"/>
      <c r="AY81" s="1031"/>
      <c r="AZ81" s="1032"/>
      <c r="BA81" s="996">
        <f>1-Z57/111/AW81</f>
        <v>0.19529431168401623</v>
      </c>
      <c r="BB81" s="997"/>
      <c r="BC81" s="997"/>
      <c r="BD81" s="998"/>
      <c r="BE81" s="1008">
        <f>(AI57-AM57)/AM57</f>
        <v>-2.3076923076922671E-3</v>
      </c>
      <c r="BF81" s="1009"/>
      <c r="BG81" s="1009"/>
      <c r="BH81" s="1010"/>
      <c r="BI81" s="1058">
        <f>AU57</f>
        <v>0.13600000000000001</v>
      </c>
      <c r="BJ81" s="1059"/>
      <c r="BK81" s="1059"/>
      <c r="BL81" s="1060"/>
      <c r="BM81" s="1011">
        <f>1-AI57/(1-AQ57)/AU57</f>
        <v>3.669043374925729E-2</v>
      </c>
      <c r="BN81" s="1012"/>
      <c r="BO81" s="1012"/>
      <c r="BP81" s="1013"/>
      <c r="BQ81" s="1011">
        <f>1-(Z57/111+AI57*AQ57+AS81*$K$20)/AU57</f>
        <v>0.21362791066467535</v>
      </c>
      <c r="BR81" s="1012"/>
      <c r="BS81" s="1012"/>
      <c r="BT81" s="1013"/>
      <c r="BU81" s="1046">
        <f>AY57</f>
        <v>0.156</v>
      </c>
      <c r="BV81" s="1047"/>
      <c r="BW81" s="1047"/>
      <c r="BX81" s="1048"/>
      <c r="BY81" s="1011">
        <f>1-AU57/AY57</f>
        <v>0.12820512820512819</v>
      </c>
      <c r="BZ81" s="1012"/>
      <c r="CA81" s="1012"/>
      <c r="CB81" s="1013"/>
      <c r="CC81" s="1002">
        <f>BG57</f>
        <v>6.1761904761904766E-3</v>
      </c>
      <c r="CD81" s="1003"/>
      <c r="CE81" s="1004"/>
      <c r="CF81" s="149" t="str">
        <f>BJ57</f>
        <v>TE</v>
      </c>
      <c r="CG81" s="150"/>
      <c r="CH81" s="150"/>
      <c r="CI81" s="152"/>
      <c r="CJ81" s="149" t="s">
        <v>30</v>
      </c>
      <c r="CK81" s="150"/>
      <c r="CL81" s="150"/>
      <c r="CM81" s="152"/>
    </row>
    <row r="82" spans="1:91" ht="13.5" customHeight="1">
      <c r="A82" s="22"/>
      <c r="B82" s="202">
        <v>20</v>
      </c>
      <c r="C82" s="337" t="s">
        <v>281</v>
      </c>
      <c r="D82" s="28"/>
      <c r="E82" s="28"/>
      <c r="F82" s="28"/>
      <c r="G82" s="28"/>
      <c r="H82" s="121"/>
      <c r="I82" s="62"/>
      <c r="J82" s="63"/>
      <c r="K82" s="62"/>
      <c r="L82" s="63"/>
      <c r="M82" s="69"/>
      <c r="N82" s="69"/>
      <c r="O82" s="65"/>
      <c r="P82" s="69"/>
      <c r="Q82" s="65"/>
      <c r="R82" s="69"/>
      <c r="S82" s="28"/>
      <c r="T82" s="28"/>
      <c r="U82" s="28"/>
      <c r="V82" s="28"/>
      <c r="W82" s="28"/>
      <c r="X82" s="121"/>
      <c r="Y82" s="62"/>
      <c r="Z82" s="63"/>
      <c r="AA82" s="62"/>
      <c r="AB82" s="63"/>
      <c r="AC82" s="69"/>
      <c r="AD82" s="69"/>
      <c r="AE82" s="65"/>
      <c r="AF82" s="69"/>
      <c r="AG82" s="65"/>
      <c r="AH82" s="69"/>
      <c r="AI82" s="64"/>
      <c r="AJ82" s="69"/>
      <c r="AK82" s="65"/>
      <c r="AL82" s="28"/>
      <c r="AM82" s="28"/>
      <c r="AN82" s="28"/>
      <c r="AO82" s="28"/>
      <c r="AP82" s="28"/>
      <c r="AQ82" s="28"/>
      <c r="AR82" s="28"/>
      <c r="AS82" s="28"/>
      <c r="AT82" s="28"/>
      <c r="AU82" s="28"/>
      <c r="AV82" s="233"/>
      <c r="AW82" s="28"/>
      <c r="AX82" s="28"/>
      <c r="AY82" s="31"/>
      <c r="AZ82" s="95"/>
      <c r="BA82" s="92"/>
      <c r="BB82" s="329"/>
      <c r="BC82" s="338"/>
      <c r="BD82" s="37"/>
      <c r="BE82" s="37"/>
    </row>
    <row r="83" spans="1:91" ht="13.5" customHeight="1">
      <c r="A83" s="22"/>
      <c r="B83" s="202">
        <v>24</v>
      </c>
      <c r="C83" s="304"/>
      <c r="D83" s="502" t="s">
        <v>280</v>
      </c>
      <c r="E83" s="503"/>
      <c r="F83" s="504" t="s">
        <v>294</v>
      </c>
      <c r="G83" s="503"/>
      <c r="H83" s="503"/>
      <c r="I83" s="505"/>
      <c r="J83" s="504" t="s">
        <v>30</v>
      </c>
      <c r="K83" s="506"/>
      <c r="L83" s="506"/>
      <c r="M83" s="506"/>
      <c r="N83" s="503"/>
      <c r="O83" s="505"/>
      <c r="P83" s="511" t="s">
        <v>30</v>
      </c>
      <c r="Q83" s="508"/>
      <c r="R83" s="508"/>
      <c r="S83" s="509"/>
      <c r="T83" s="504" t="s">
        <v>30</v>
      </c>
      <c r="U83" s="503"/>
      <c r="V83" s="503"/>
      <c r="W83" s="505"/>
      <c r="X83" s="508" t="s">
        <v>216</v>
      </c>
      <c r="Y83" s="503"/>
      <c r="Z83" s="503"/>
      <c r="AA83" s="503"/>
      <c r="AB83" s="507" t="s">
        <v>217</v>
      </c>
      <c r="AC83" s="503"/>
      <c r="AD83" s="503"/>
      <c r="AE83" s="503"/>
      <c r="AF83" s="507" t="s">
        <v>218</v>
      </c>
      <c r="AG83" s="508"/>
      <c r="AH83" s="508"/>
      <c r="AI83" s="508"/>
      <c r="AJ83" s="509"/>
      <c r="AK83" s="507" t="s">
        <v>219</v>
      </c>
      <c r="AL83" s="508"/>
      <c r="AM83" s="508"/>
      <c r="AN83" s="509"/>
      <c r="AO83" s="507" t="s">
        <v>220</v>
      </c>
      <c r="AP83" s="508"/>
      <c r="AQ83" s="508"/>
      <c r="AR83" s="509"/>
      <c r="AS83" s="507" t="s">
        <v>221</v>
      </c>
      <c r="AT83" s="508"/>
      <c r="AU83" s="508"/>
      <c r="AV83" s="508"/>
      <c r="AW83" s="507" t="s">
        <v>101</v>
      </c>
      <c r="AX83" s="508"/>
      <c r="AY83" s="508"/>
      <c r="AZ83" s="509"/>
      <c r="BA83" s="511" t="s">
        <v>222</v>
      </c>
      <c r="BB83" s="508"/>
      <c r="BC83" s="508"/>
      <c r="BD83" s="509"/>
      <c r="BE83" s="513" t="s">
        <v>223</v>
      </c>
      <c r="BF83" s="508"/>
      <c r="BG83" s="508"/>
      <c r="BH83" s="509"/>
      <c r="BI83" s="513" t="s">
        <v>30</v>
      </c>
      <c r="BJ83" s="508"/>
      <c r="BK83" s="508"/>
      <c r="BL83" s="509"/>
      <c r="BM83" s="513" t="s">
        <v>30</v>
      </c>
      <c r="BN83" s="508"/>
      <c r="BO83" s="508"/>
      <c r="BP83" s="509"/>
      <c r="BQ83" s="513" t="s">
        <v>30</v>
      </c>
      <c r="BR83" s="508"/>
      <c r="BS83" s="508"/>
      <c r="BT83" s="509"/>
      <c r="BU83" s="513" t="s">
        <v>30</v>
      </c>
      <c r="BV83" s="508"/>
      <c r="BW83" s="508"/>
      <c r="BX83" s="509"/>
      <c r="BY83" s="508"/>
      <c r="BZ83" s="508"/>
      <c r="CA83" s="508"/>
      <c r="CB83" s="509"/>
      <c r="CC83" s="513" t="s">
        <v>30</v>
      </c>
      <c r="CD83" s="508"/>
      <c r="CE83" s="509"/>
      <c r="CF83" s="508"/>
      <c r="CG83" s="508"/>
      <c r="CH83" s="508"/>
      <c r="CI83" s="509"/>
      <c r="CJ83" s="508"/>
      <c r="CK83" s="508"/>
      <c r="CL83" s="508"/>
      <c r="CM83" s="509"/>
    </row>
    <row r="84" spans="1:91" ht="13.5" customHeight="1">
      <c r="A84" s="22"/>
      <c r="B84" s="202">
        <v>24</v>
      </c>
      <c r="C84" s="461"/>
      <c r="D84" s="517"/>
      <c r="E84" s="518"/>
      <c r="F84" s="517"/>
      <c r="G84" s="518"/>
      <c r="H84" s="518"/>
      <c r="I84" s="519"/>
      <c r="J84" s="520"/>
      <c r="K84" s="521"/>
      <c r="L84" s="521"/>
      <c r="M84" s="521"/>
      <c r="N84" s="518"/>
      <c r="O84" s="519"/>
      <c r="P84" s="522"/>
      <c r="Q84" s="523"/>
      <c r="R84" s="523"/>
      <c r="S84" s="524"/>
      <c r="T84" s="517"/>
      <c r="U84" s="518"/>
      <c r="V84" s="518"/>
      <c r="W84" s="519"/>
      <c r="X84" s="523"/>
      <c r="Y84" s="518"/>
      <c r="Z84" s="518"/>
      <c r="AA84" s="518"/>
      <c r="AB84" s="522"/>
      <c r="AC84" s="518"/>
      <c r="AD84" s="518"/>
      <c r="AE84" s="518"/>
      <c r="AF84" s="522"/>
      <c r="AG84" s="523"/>
      <c r="AH84" s="523"/>
      <c r="AI84" s="523"/>
      <c r="AJ84" s="524"/>
      <c r="AK84" s="522"/>
      <c r="AL84" s="523"/>
      <c r="AM84" s="523"/>
      <c r="AN84" s="524"/>
      <c r="AO84" s="522"/>
      <c r="AP84" s="523"/>
      <c r="AQ84" s="523"/>
      <c r="AR84" s="524"/>
      <c r="AS84" s="522"/>
      <c r="AT84" s="523"/>
      <c r="AU84" s="523"/>
      <c r="AV84" s="523"/>
      <c r="AW84" s="522" t="s">
        <v>233</v>
      </c>
      <c r="AX84" s="523"/>
      <c r="AY84" s="523"/>
      <c r="AZ84" s="524"/>
      <c r="BA84" s="525" t="s">
        <v>30</v>
      </c>
      <c r="BB84" s="523"/>
      <c r="BC84" s="523"/>
      <c r="BD84" s="524"/>
      <c r="BE84" s="526" t="s">
        <v>30</v>
      </c>
      <c r="BF84" s="523"/>
      <c r="BG84" s="523"/>
      <c r="BH84" s="524"/>
      <c r="BI84" s="526" t="s">
        <v>30</v>
      </c>
      <c r="BJ84" s="523"/>
      <c r="BK84" s="523"/>
      <c r="BL84" s="524"/>
      <c r="BM84" s="526" t="s">
        <v>30</v>
      </c>
      <c r="BN84" s="523"/>
      <c r="BO84" s="523"/>
      <c r="BP84" s="524"/>
      <c r="BQ84" s="526" t="s">
        <v>30</v>
      </c>
      <c r="BR84" s="523"/>
      <c r="BS84" s="523"/>
      <c r="BT84" s="524"/>
      <c r="BU84" s="526" t="s">
        <v>30</v>
      </c>
      <c r="BV84" s="523"/>
      <c r="BW84" s="523"/>
      <c r="BX84" s="524"/>
      <c r="BY84" s="523"/>
      <c r="BZ84" s="523"/>
      <c r="CA84" s="523"/>
      <c r="CB84" s="524"/>
      <c r="CC84" s="526" t="s">
        <v>30</v>
      </c>
      <c r="CD84" s="523"/>
      <c r="CE84" s="524"/>
      <c r="CF84" s="523"/>
      <c r="CG84" s="523"/>
      <c r="CH84" s="523"/>
      <c r="CI84" s="524"/>
      <c r="CJ84" s="523"/>
      <c r="CK84" s="523"/>
      <c r="CL84" s="523"/>
      <c r="CM84" s="524"/>
    </row>
    <row r="85" spans="1:91" ht="13.5" customHeight="1">
      <c r="A85" s="22"/>
      <c r="B85" s="202">
        <v>25</v>
      </c>
      <c r="C85" s="308">
        <v>1</v>
      </c>
      <c r="D85" s="148" t="s">
        <v>206</v>
      </c>
      <c r="E85" s="149"/>
      <c r="F85" s="148" t="s">
        <v>148</v>
      </c>
      <c r="G85" s="149"/>
      <c r="H85" s="149"/>
      <c r="I85" s="151"/>
      <c r="J85" s="221"/>
      <c r="K85" s="222"/>
      <c r="L85" s="222"/>
      <c r="M85" s="222"/>
      <c r="N85" s="161"/>
      <c r="O85" s="162"/>
      <c r="P85" s="148"/>
      <c r="Q85" s="150"/>
      <c r="R85" s="150"/>
      <c r="S85" s="162"/>
      <c r="T85" s="119"/>
      <c r="U85" s="120"/>
      <c r="V85" s="120"/>
      <c r="W85" s="162"/>
      <c r="X85" s="993">
        <f>SUMPRODUCT(X$80:AA$81,AO$80:AR$81)</f>
        <v>186994</v>
      </c>
      <c r="Y85" s="994"/>
      <c r="Z85" s="994"/>
      <c r="AA85" s="995"/>
      <c r="AB85" s="993">
        <f>SUMPRODUCT(X$80:AA$81,AB$80:AE$81)</f>
        <v>97297.297297297293</v>
      </c>
      <c r="AC85" s="994"/>
      <c r="AD85" s="994"/>
      <c r="AE85" s="995"/>
      <c r="AF85" s="1022">
        <f>X$86-AB$86</f>
        <v>89696.702702702707</v>
      </c>
      <c r="AG85" s="1023"/>
      <c r="AH85" s="1023"/>
      <c r="AI85" s="1023"/>
      <c r="AJ85" s="1024"/>
      <c r="AK85" s="996">
        <f>AF85/X85</f>
        <v>0.4796769024819123</v>
      </c>
      <c r="AL85" s="997"/>
      <c r="AM85" s="997"/>
      <c r="AN85" s="998"/>
      <c r="AO85" s="996">
        <f>AS85/AW85</f>
        <v>-1.8919202518363022E-2</v>
      </c>
      <c r="AP85" s="997"/>
      <c r="AQ85" s="997"/>
      <c r="AR85" s="998"/>
      <c r="AS85" s="1052">
        <f>X$80*(AO$80-AK$80)+X$81*(AO$81-AK$81)</f>
        <v>-3605.9999999999923</v>
      </c>
      <c r="AT85" s="1053"/>
      <c r="AU85" s="1053"/>
      <c r="AV85" s="1054"/>
      <c r="AW85" s="1055">
        <f>SUMPRODUCT(X$80:AA$81,AK$80:AN$81)</f>
        <v>190600</v>
      </c>
      <c r="AX85" s="1056"/>
      <c r="AY85" s="1056"/>
      <c r="AZ85" s="1057"/>
      <c r="BA85" s="993">
        <f>SUMPRODUCT(X$80:AA$81,BI$80:BL$81)</f>
        <v>205120</v>
      </c>
      <c r="BB85" s="994"/>
      <c r="BC85" s="994"/>
      <c r="BD85" s="995"/>
      <c r="BE85" s="1011">
        <f>1-(AB$91+X$80*(AO$80*AQ$56+AS$80*$K$20)+X$81*(AO$81*AQ$57+AS$81*$K$20))/BA$91</f>
        <v>0.47049834871568497</v>
      </c>
      <c r="BF85" s="1012"/>
      <c r="BG85" s="1012"/>
      <c r="BH85" s="1013"/>
      <c r="BI85" s="149" t="s">
        <v>30</v>
      </c>
      <c r="BJ85" s="150"/>
      <c r="BK85" s="150"/>
      <c r="BL85" s="152"/>
      <c r="BM85" s="149" t="s">
        <v>30</v>
      </c>
      <c r="BN85" s="150"/>
      <c r="BO85" s="150"/>
      <c r="BP85" s="152"/>
      <c r="BQ85" s="149" t="s">
        <v>30</v>
      </c>
      <c r="BR85" s="150"/>
      <c r="BS85" s="150"/>
      <c r="BT85" s="152"/>
      <c r="BU85" s="149" t="s">
        <v>30</v>
      </c>
      <c r="BV85" s="150"/>
      <c r="BW85" s="150"/>
      <c r="BX85" s="152"/>
      <c r="BY85" s="149" t="s">
        <v>30</v>
      </c>
      <c r="BZ85" s="150"/>
      <c r="CA85" s="150"/>
      <c r="CB85" s="152"/>
      <c r="CC85" s="149" t="s">
        <v>30</v>
      </c>
      <c r="CD85" s="150"/>
      <c r="CE85" s="152"/>
      <c r="CF85" s="149" t="s">
        <v>30</v>
      </c>
      <c r="CG85" s="150"/>
      <c r="CH85" s="150"/>
      <c r="CI85" s="152"/>
      <c r="CJ85" s="149" t="s">
        <v>30</v>
      </c>
      <c r="CK85" s="150"/>
      <c r="CL85" s="150"/>
      <c r="CM85" s="152"/>
    </row>
    <row r="86" spans="1:91" ht="13.5" customHeight="1">
      <c r="A86" s="22"/>
      <c r="B86" s="202">
        <v>25</v>
      </c>
      <c r="C86" s="308">
        <v>2</v>
      </c>
      <c r="D86" s="148" t="s">
        <v>206</v>
      </c>
      <c r="E86" s="149"/>
      <c r="F86" s="148" t="s">
        <v>207</v>
      </c>
      <c r="G86" s="149"/>
      <c r="H86" s="149"/>
      <c r="I86" s="151"/>
      <c r="J86" s="221"/>
      <c r="K86" s="222"/>
      <c r="L86" s="222"/>
      <c r="M86" s="222"/>
      <c r="N86" s="161"/>
      <c r="O86" s="162"/>
      <c r="P86" s="148"/>
      <c r="Q86" s="150"/>
      <c r="R86" s="150"/>
      <c r="S86" s="162"/>
      <c r="T86" s="119"/>
      <c r="U86" s="120"/>
      <c r="V86" s="120"/>
      <c r="W86" s="162"/>
      <c r="X86" s="993">
        <f>SUMPRODUCT(X$80:AA$81,AO$80:AR$81)</f>
        <v>186994</v>
      </c>
      <c r="Y86" s="994"/>
      <c r="Z86" s="994"/>
      <c r="AA86" s="995"/>
      <c r="AB86" s="993">
        <f>SUMPRODUCT(X$80:AA$81,AB$80:AE$81)</f>
        <v>97297.297297297293</v>
      </c>
      <c r="AC86" s="994"/>
      <c r="AD86" s="994"/>
      <c r="AE86" s="995"/>
      <c r="AF86" s="1022">
        <f>X$86-AB$86</f>
        <v>89696.702702702707</v>
      </c>
      <c r="AG86" s="1023"/>
      <c r="AH86" s="1023"/>
      <c r="AI86" s="1023"/>
      <c r="AJ86" s="1024"/>
      <c r="AK86" s="996">
        <f>AF86/X86</f>
        <v>0.4796769024819123</v>
      </c>
      <c r="AL86" s="997"/>
      <c r="AM86" s="997"/>
      <c r="AN86" s="998"/>
      <c r="AO86" s="996">
        <f>AS86/AW86</f>
        <v>-1.8919202518363022E-2</v>
      </c>
      <c r="AP86" s="997"/>
      <c r="AQ86" s="997"/>
      <c r="AR86" s="998"/>
      <c r="AS86" s="1052">
        <f>X$80*(AO$80-AK$80)+X$81*(AO$81-AK$81)</f>
        <v>-3605.9999999999923</v>
      </c>
      <c r="AT86" s="1053"/>
      <c r="AU86" s="1053"/>
      <c r="AV86" s="1054"/>
      <c r="AW86" s="1055">
        <f>SUMPRODUCT(X$80:AA$81,AK$80:AN$81)</f>
        <v>190600</v>
      </c>
      <c r="AX86" s="1056"/>
      <c r="AY86" s="1056"/>
      <c r="AZ86" s="1057"/>
      <c r="BA86" s="993">
        <f>SUMPRODUCT(X$80:AA$81,BI$80:BL$81)</f>
        <v>205120</v>
      </c>
      <c r="BB86" s="994"/>
      <c r="BC86" s="994"/>
      <c r="BD86" s="995"/>
      <c r="BE86" s="1011">
        <f>1-(AB$91+X$80*(AO$80*AQ$56+AS$80*$K$20)+X$81*(AO$81*AQ$57+AS$81*$K$20))/BA$91</f>
        <v>0.47049834871568497</v>
      </c>
      <c r="BF86" s="1012"/>
      <c r="BG86" s="1012"/>
      <c r="BH86" s="1013"/>
      <c r="BI86" s="149" t="s">
        <v>30</v>
      </c>
      <c r="BJ86" s="150"/>
      <c r="BK86" s="150"/>
      <c r="BL86" s="152"/>
      <c r="BM86" s="149" t="s">
        <v>30</v>
      </c>
      <c r="BN86" s="150"/>
      <c r="BO86" s="150"/>
      <c r="BP86" s="152"/>
      <c r="BQ86" s="149" t="s">
        <v>30</v>
      </c>
      <c r="BR86" s="150"/>
      <c r="BS86" s="150"/>
      <c r="BT86" s="152"/>
      <c r="BU86" s="149" t="s">
        <v>30</v>
      </c>
      <c r="BV86" s="150"/>
      <c r="BW86" s="150"/>
      <c r="BX86" s="152"/>
      <c r="BY86" s="149" t="s">
        <v>30</v>
      </c>
      <c r="BZ86" s="150"/>
      <c r="CA86" s="150"/>
      <c r="CB86" s="152"/>
      <c r="CC86" s="149" t="s">
        <v>30</v>
      </c>
      <c r="CD86" s="150"/>
      <c r="CE86" s="152"/>
      <c r="CF86" s="149" t="s">
        <v>30</v>
      </c>
      <c r="CG86" s="150"/>
      <c r="CH86" s="150"/>
      <c r="CI86" s="152"/>
      <c r="CJ86" s="149" t="s">
        <v>30</v>
      </c>
      <c r="CK86" s="150"/>
      <c r="CL86" s="150"/>
      <c r="CM86" s="152"/>
    </row>
    <row r="87" spans="1:91" ht="13.5" customHeight="1">
      <c r="A87" s="22"/>
      <c r="B87" s="202">
        <v>20</v>
      </c>
      <c r="C87" s="337" t="s">
        <v>279</v>
      </c>
      <c r="D87" s="28"/>
      <c r="E87" s="28"/>
      <c r="F87" s="28"/>
      <c r="G87" s="28"/>
      <c r="H87" s="121"/>
      <c r="I87" s="62"/>
      <c r="J87" s="63"/>
      <c r="K87" s="62"/>
      <c r="L87" s="63"/>
      <c r="M87" s="69"/>
      <c r="N87" s="69"/>
      <c r="O87" s="65"/>
      <c r="P87" s="69"/>
      <c r="Q87" s="65"/>
      <c r="R87" s="69"/>
      <c r="S87" s="28"/>
      <c r="T87" s="28"/>
      <c r="U87" s="28"/>
      <c r="V87" s="28"/>
      <c r="W87" s="28"/>
      <c r="X87" s="121"/>
      <c r="Y87" s="62"/>
      <c r="Z87" s="63"/>
      <c r="AA87" s="62"/>
      <c r="AB87" s="63"/>
      <c r="AC87" s="69"/>
      <c r="AD87" s="69"/>
      <c r="AE87" s="65"/>
      <c r="AF87" s="69"/>
      <c r="AG87" s="65"/>
      <c r="AH87" s="69"/>
      <c r="AI87" s="64"/>
      <c r="AJ87" s="69"/>
      <c r="AK87" s="65"/>
      <c r="AL87" s="28"/>
      <c r="AM87" s="28"/>
      <c r="AN87" s="28"/>
      <c r="AO87" s="28"/>
      <c r="AP87" s="28"/>
      <c r="AQ87" s="28"/>
      <c r="AR87" s="28"/>
      <c r="AS87" s="28"/>
      <c r="AT87" s="28"/>
      <c r="AU87" s="28"/>
      <c r="AV87" s="233"/>
      <c r="AW87" s="28"/>
      <c r="AX87" s="28"/>
      <c r="AY87" s="31"/>
      <c r="AZ87" s="95"/>
      <c r="BA87" s="92"/>
      <c r="BB87" s="329"/>
      <c r="BC87" s="338"/>
      <c r="BD87" s="37"/>
      <c r="BE87" s="37"/>
    </row>
    <row r="88" spans="1:91" ht="13.5" customHeight="1">
      <c r="A88" s="22"/>
      <c r="B88" s="202">
        <v>24</v>
      </c>
      <c r="C88" s="304"/>
      <c r="D88" s="243"/>
      <c r="E88" s="244"/>
      <c r="F88" s="243" t="s">
        <v>295</v>
      </c>
      <c r="G88" s="244"/>
      <c r="H88" s="244"/>
      <c r="I88" s="245"/>
      <c r="J88" s="246" t="s">
        <v>30</v>
      </c>
      <c r="K88" s="247"/>
      <c r="L88" s="247"/>
      <c r="M88" s="247"/>
      <c r="N88" s="244"/>
      <c r="O88" s="245"/>
      <c r="P88" s="253" t="s">
        <v>30</v>
      </c>
      <c r="Q88" s="249"/>
      <c r="R88" s="249"/>
      <c r="S88" s="250"/>
      <c r="T88" s="243"/>
      <c r="U88" s="244"/>
      <c r="V88" s="244"/>
      <c r="W88" s="245"/>
      <c r="X88" s="249" t="s">
        <v>216</v>
      </c>
      <c r="Y88" s="244"/>
      <c r="Z88" s="244"/>
      <c r="AA88" s="244"/>
      <c r="AB88" s="248" t="s">
        <v>217</v>
      </c>
      <c r="AC88" s="244"/>
      <c r="AD88" s="244"/>
      <c r="AE88" s="244"/>
      <c r="AF88" s="248" t="s">
        <v>218</v>
      </c>
      <c r="AG88" s="249"/>
      <c r="AH88" s="249"/>
      <c r="AI88" s="249"/>
      <c r="AJ88" s="250"/>
      <c r="AK88" s="248" t="s">
        <v>219</v>
      </c>
      <c r="AL88" s="249"/>
      <c r="AM88" s="249"/>
      <c r="AN88" s="250"/>
      <c r="AO88" s="248" t="s">
        <v>220</v>
      </c>
      <c r="AP88" s="249"/>
      <c r="AQ88" s="249"/>
      <c r="AR88" s="250"/>
      <c r="AS88" s="248" t="s">
        <v>221</v>
      </c>
      <c r="AT88" s="249"/>
      <c r="AU88" s="249"/>
      <c r="AV88" s="249"/>
      <c r="AW88" s="248" t="s">
        <v>101</v>
      </c>
      <c r="AX88" s="249"/>
      <c r="AY88" s="249"/>
      <c r="AZ88" s="250"/>
      <c r="BA88" s="253" t="s">
        <v>222</v>
      </c>
      <c r="BB88" s="249"/>
      <c r="BC88" s="249"/>
      <c r="BD88" s="250"/>
      <c r="BE88" s="251" t="s">
        <v>223</v>
      </c>
      <c r="BF88" s="249"/>
      <c r="BG88" s="249"/>
      <c r="BH88" s="250"/>
      <c r="BI88" s="251" t="s">
        <v>30</v>
      </c>
      <c r="BJ88" s="249"/>
      <c r="BK88" s="249"/>
      <c r="BL88" s="250"/>
      <c r="BM88" s="251" t="s">
        <v>30</v>
      </c>
      <c r="BN88" s="249"/>
      <c r="BO88" s="249"/>
      <c r="BP88" s="250"/>
      <c r="BQ88" s="251" t="s">
        <v>30</v>
      </c>
      <c r="BR88" s="249"/>
      <c r="BS88" s="249"/>
      <c r="BT88" s="250"/>
      <c r="BU88" s="251" t="s">
        <v>30</v>
      </c>
      <c r="BV88" s="249"/>
      <c r="BW88" s="249"/>
      <c r="BX88" s="250"/>
      <c r="BY88" s="249"/>
      <c r="BZ88" s="249"/>
      <c r="CA88" s="249"/>
      <c r="CB88" s="250"/>
      <c r="CC88" s="251" t="s">
        <v>30</v>
      </c>
      <c r="CD88" s="249"/>
      <c r="CE88" s="250"/>
      <c r="CF88" s="249"/>
      <c r="CG88" s="249"/>
      <c r="CH88" s="249"/>
      <c r="CI88" s="250"/>
      <c r="CJ88" s="249"/>
      <c r="CK88" s="249"/>
      <c r="CL88" s="249"/>
      <c r="CM88" s="250"/>
    </row>
    <row r="89" spans="1:91" ht="13.5" customHeight="1">
      <c r="A89" s="22"/>
      <c r="B89" s="202">
        <v>24</v>
      </c>
      <c r="C89" s="461"/>
      <c r="D89" s="462"/>
      <c r="E89" s="463"/>
      <c r="F89" s="462"/>
      <c r="G89" s="463"/>
      <c r="H89" s="463"/>
      <c r="I89" s="464"/>
      <c r="J89" s="465"/>
      <c r="K89" s="466"/>
      <c r="L89" s="466"/>
      <c r="M89" s="466"/>
      <c r="N89" s="463"/>
      <c r="O89" s="464"/>
      <c r="P89" s="467"/>
      <c r="Q89" s="458"/>
      <c r="R89" s="458"/>
      <c r="S89" s="459"/>
      <c r="T89" s="462"/>
      <c r="U89" s="463"/>
      <c r="V89" s="463"/>
      <c r="W89" s="464"/>
      <c r="X89" s="458"/>
      <c r="Y89" s="463"/>
      <c r="Z89" s="463"/>
      <c r="AA89" s="463"/>
      <c r="AB89" s="467"/>
      <c r="AC89" s="463"/>
      <c r="AD89" s="463"/>
      <c r="AE89" s="463"/>
      <c r="AF89" s="467"/>
      <c r="AG89" s="458"/>
      <c r="AH89" s="458"/>
      <c r="AI89" s="458"/>
      <c r="AJ89" s="459"/>
      <c r="AK89" s="467"/>
      <c r="AL89" s="458"/>
      <c r="AM89" s="458"/>
      <c r="AN89" s="459"/>
      <c r="AO89" s="467"/>
      <c r="AP89" s="458"/>
      <c r="AQ89" s="458"/>
      <c r="AR89" s="459"/>
      <c r="AS89" s="467"/>
      <c r="AT89" s="458"/>
      <c r="AU89" s="458"/>
      <c r="AV89" s="458"/>
      <c r="AW89" s="467" t="s">
        <v>233</v>
      </c>
      <c r="AX89" s="458"/>
      <c r="AY89" s="458"/>
      <c r="AZ89" s="459"/>
      <c r="BA89" s="457" t="s">
        <v>30</v>
      </c>
      <c r="BB89" s="458"/>
      <c r="BC89" s="458"/>
      <c r="BD89" s="459"/>
      <c r="BE89" s="460" t="s">
        <v>30</v>
      </c>
      <c r="BF89" s="458"/>
      <c r="BG89" s="458"/>
      <c r="BH89" s="459"/>
      <c r="BI89" s="460" t="s">
        <v>30</v>
      </c>
      <c r="BJ89" s="458"/>
      <c r="BK89" s="458"/>
      <c r="BL89" s="459"/>
      <c r="BM89" s="460" t="s">
        <v>30</v>
      </c>
      <c r="BN89" s="458"/>
      <c r="BO89" s="458"/>
      <c r="BP89" s="459"/>
      <c r="BQ89" s="460" t="s">
        <v>30</v>
      </c>
      <c r="BR89" s="458"/>
      <c r="BS89" s="458"/>
      <c r="BT89" s="459"/>
      <c r="BU89" s="460" t="s">
        <v>30</v>
      </c>
      <c r="BV89" s="458"/>
      <c r="BW89" s="458"/>
      <c r="BX89" s="459"/>
      <c r="BY89" s="458"/>
      <c r="BZ89" s="458"/>
      <c r="CA89" s="458"/>
      <c r="CB89" s="459"/>
      <c r="CC89" s="460" t="s">
        <v>30</v>
      </c>
      <c r="CD89" s="458"/>
      <c r="CE89" s="459"/>
      <c r="CF89" s="458"/>
      <c r="CG89" s="458"/>
      <c r="CH89" s="458"/>
      <c r="CI89" s="459"/>
      <c r="CJ89" s="458"/>
      <c r="CK89" s="458"/>
      <c r="CL89" s="458"/>
      <c r="CM89" s="459"/>
    </row>
    <row r="90" spans="1:91" ht="13.5" customHeight="1">
      <c r="A90" s="22"/>
      <c r="B90" s="202">
        <v>25</v>
      </c>
      <c r="C90" s="308"/>
      <c r="D90" s="148"/>
      <c r="E90" s="149"/>
      <c r="F90" s="148" t="s">
        <v>148</v>
      </c>
      <c r="G90" s="149"/>
      <c r="H90" s="149"/>
      <c r="I90" s="151"/>
      <c r="J90" s="221"/>
      <c r="K90" s="222"/>
      <c r="L90" s="222"/>
      <c r="M90" s="222"/>
      <c r="N90" s="161"/>
      <c r="O90" s="162"/>
      <c r="P90" s="148"/>
      <c r="Q90" s="150"/>
      <c r="R90" s="150"/>
      <c r="S90" s="162"/>
      <c r="T90" s="119"/>
      <c r="U90" s="120"/>
      <c r="V90" s="120"/>
      <c r="W90" s="162"/>
      <c r="X90" s="993">
        <f>SUMPRODUCT(X$80:AA$81,AO$80:AR$81)</f>
        <v>186994</v>
      </c>
      <c r="Y90" s="994"/>
      <c r="Z90" s="994"/>
      <c r="AA90" s="995"/>
      <c r="AB90" s="993">
        <f>SUMPRODUCT(X$80:AA$81,AB$80:AE$81)</f>
        <v>97297.297297297293</v>
      </c>
      <c r="AC90" s="994"/>
      <c r="AD90" s="994"/>
      <c r="AE90" s="995"/>
      <c r="AF90" s="1022">
        <f>X$91-AB$91</f>
        <v>89696.702702702707</v>
      </c>
      <c r="AG90" s="1023"/>
      <c r="AH90" s="1023"/>
      <c r="AI90" s="1023"/>
      <c r="AJ90" s="1024"/>
      <c r="AK90" s="996">
        <f>AF90/X90</f>
        <v>0.4796769024819123</v>
      </c>
      <c r="AL90" s="997"/>
      <c r="AM90" s="997"/>
      <c r="AN90" s="998"/>
      <c r="AO90" s="996">
        <f>AS90/AW90</f>
        <v>-1.8919202518363022E-2</v>
      </c>
      <c r="AP90" s="997"/>
      <c r="AQ90" s="997"/>
      <c r="AR90" s="998"/>
      <c r="AS90" s="1052">
        <f>X$80*(AO$80-AK$80)+X$81*(AO$81-AK$81)</f>
        <v>-3605.9999999999923</v>
      </c>
      <c r="AT90" s="1053"/>
      <c r="AU90" s="1053"/>
      <c r="AV90" s="1054"/>
      <c r="AW90" s="1055">
        <f>SUMPRODUCT(X$80:AA$81,AK$80:AN$81)</f>
        <v>190600</v>
      </c>
      <c r="AX90" s="1056"/>
      <c r="AY90" s="1056"/>
      <c r="AZ90" s="1057"/>
      <c r="BA90" s="993">
        <f>SUMPRODUCT(X$80:AA$81,BI$80:BL$81)</f>
        <v>205120</v>
      </c>
      <c r="BB90" s="994"/>
      <c r="BC90" s="994"/>
      <c r="BD90" s="995"/>
      <c r="BE90" s="1011">
        <f>1-(AB$91+X$80*(AO$80*AQ$56+AS$80*$K$20)+X$81*(AO$81*AQ$57+AS$81*$K$20))/BA$91</f>
        <v>0.47049834871568497</v>
      </c>
      <c r="BF90" s="1012"/>
      <c r="BG90" s="1012"/>
      <c r="BH90" s="1013"/>
      <c r="BI90" s="149" t="s">
        <v>30</v>
      </c>
      <c r="BJ90" s="150"/>
      <c r="BK90" s="150"/>
      <c r="BL90" s="152"/>
      <c r="BM90" s="149" t="s">
        <v>30</v>
      </c>
      <c r="BN90" s="150"/>
      <c r="BO90" s="150"/>
      <c r="BP90" s="152"/>
      <c r="BQ90" s="149" t="s">
        <v>30</v>
      </c>
      <c r="BR90" s="150"/>
      <c r="BS90" s="150"/>
      <c r="BT90" s="152"/>
      <c r="BU90" s="149" t="s">
        <v>30</v>
      </c>
      <c r="BV90" s="150"/>
      <c r="BW90" s="150"/>
      <c r="BX90" s="152"/>
      <c r="BY90" s="149" t="s">
        <v>30</v>
      </c>
      <c r="BZ90" s="150"/>
      <c r="CA90" s="150"/>
      <c r="CB90" s="152"/>
      <c r="CC90" s="149" t="s">
        <v>30</v>
      </c>
      <c r="CD90" s="150"/>
      <c r="CE90" s="152"/>
      <c r="CF90" s="149" t="s">
        <v>30</v>
      </c>
      <c r="CG90" s="150"/>
      <c r="CH90" s="150"/>
      <c r="CI90" s="152"/>
      <c r="CJ90" s="149" t="s">
        <v>30</v>
      </c>
      <c r="CK90" s="150"/>
      <c r="CL90" s="150"/>
      <c r="CM90" s="152"/>
    </row>
    <row r="91" spans="1:91" ht="13.5" customHeight="1">
      <c r="A91" s="22"/>
      <c r="B91" s="202">
        <v>25</v>
      </c>
      <c r="C91" s="308"/>
      <c r="D91" s="148"/>
      <c r="E91" s="149"/>
      <c r="F91" s="148" t="s">
        <v>207</v>
      </c>
      <c r="G91" s="149"/>
      <c r="H91" s="149"/>
      <c r="I91" s="151"/>
      <c r="J91" s="221"/>
      <c r="K91" s="222"/>
      <c r="L91" s="222"/>
      <c r="M91" s="222"/>
      <c r="N91" s="161"/>
      <c r="O91" s="162"/>
      <c r="P91" s="148"/>
      <c r="Q91" s="150"/>
      <c r="R91" s="150"/>
      <c r="S91" s="162"/>
      <c r="T91" s="119"/>
      <c r="U91" s="120"/>
      <c r="V91" s="120"/>
      <c r="W91" s="162"/>
      <c r="X91" s="993">
        <f>SUMPRODUCT(X$80:AA$81,AO$80:AR$81)</f>
        <v>186994</v>
      </c>
      <c r="Y91" s="994"/>
      <c r="Z91" s="994"/>
      <c r="AA91" s="995"/>
      <c r="AB91" s="993">
        <f>SUMPRODUCT(X$80:AA$81,AB$80:AE$81)</f>
        <v>97297.297297297293</v>
      </c>
      <c r="AC91" s="994"/>
      <c r="AD91" s="994"/>
      <c r="AE91" s="995"/>
      <c r="AF91" s="1022">
        <f>X$91-AB$91</f>
        <v>89696.702702702707</v>
      </c>
      <c r="AG91" s="1023"/>
      <c r="AH91" s="1023"/>
      <c r="AI91" s="1023"/>
      <c r="AJ91" s="1024"/>
      <c r="AK91" s="996">
        <f>AF91/X91</f>
        <v>0.4796769024819123</v>
      </c>
      <c r="AL91" s="997"/>
      <c r="AM91" s="997"/>
      <c r="AN91" s="998"/>
      <c r="AO91" s="996">
        <f>AS91/AW91</f>
        <v>-1.8919202518363022E-2</v>
      </c>
      <c r="AP91" s="997"/>
      <c r="AQ91" s="997"/>
      <c r="AR91" s="998"/>
      <c r="AS91" s="1052">
        <f>X$80*(AO$80-AK$80)+X$81*(AO$81-AK$81)</f>
        <v>-3605.9999999999923</v>
      </c>
      <c r="AT91" s="1053"/>
      <c r="AU91" s="1053"/>
      <c r="AV91" s="1054"/>
      <c r="AW91" s="1055">
        <f>SUMPRODUCT(X$80:AA$81,AK$80:AN$81)</f>
        <v>190600</v>
      </c>
      <c r="AX91" s="1056"/>
      <c r="AY91" s="1056"/>
      <c r="AZ91" s="1057"/>
      <c r="BA91" s="993">
        <f>SUMPRODUCT(X$80:AA$81,BI$80:BL$81)</f>
        <v>205120</v>
      </c>
      <c r="BB91" s="994"/>
      <c r="BC91" s="994"/>
      <c r="BD91" s="995"/>
      <c r="BE91" s="1011">
        <f>1-(AB$91+X$80*(AO$80*AQ$56+AS$80*$K$20)+X$81*(AO$81*AQ$57+AS$81*$K$20))/BA$91</f>
        <v>0.47049834871568497</v>
      </c>
      <c r="BF91" s="1012"/>
      <c r="BG91" s="1012"/>
      <c r="BH91" s="1013"/>
      <c r="BI91" s="149" t="s">
        <v>30</v>
      </c>
      <c r="BJ91" s="150"/>
      <c r="BK91" s="150"/>
      <c r="BL91" s="152"/>
      <c r="BM91" s="149" t="s">
        <v>30</v>
      </c>
      <c r="BN91" s="150"/>
      <c r="BO91" s="150"/>
      <c r="BP91" s="152"/>
      <c r="BQ91" s="149" t="s">
        <v>30</v>
      </c>
      <c r="BR91" s="150"/>
      <c r="BS91" s="150"/>
      <c r="BT91" s="152"/>
      <c r="BU91" s="149" t="s">
        <v>30</v>
      </c>
      <c r="BV91" s="150"/>
      <c r="BW91" s="150"/>
      <c r="BX91" s="152"/>
      <c r="BY91" s="149" t="s">
        <v>30</v>
      </c>
      <c r="BZ91" s="150"/>
      <c r="CA91" s="150"/>
      <c r="CB91" s="152"/>
      <c r="CC91" s="149" t="s">
        <v>30</v>
      </c>
      <c r="CD91" s="150"/>
      <c r="CE91" s="152"/>
      <c r="CF91" s="149" t="s">
        <v>30</v>
      </c>
      <c r="CG91" s="150"/>
      <c r="CH91" s="150"/>
      <c r="CI91" s="152"/>
      <c r="CJ91" s="149" t="s">
        <v>30</v>
      </c>
      <c r="CK91" s="150"/>
      <c r="CL91" s="150"/>
      <c r="CM91" s="152"/>
    </row>
    <row r="92" spans="1:91" ht="13.5" customHeight="1">
      <c r="A92" s="22"/>
      <c r="B92" s="202">
        <v>28</v>
      </c>
      <c r="C92" s="341"/>
      <c r="D92" s="71"/>
      <c r="E92" s="71"/>
      <c r="F92" s="71"/>
      <c r="G92" s="71"/>
      <c r="H92" s="71"/>
      <c r="I92" s="71"/>
      <c r="J92" s="71"/>
      <c r="K92" s="68"/>
      <c r="L92" s="68"/>
      <c r="M92" s="68"/>
      <c r="N92" s="91"/>
      <c r="O92" s="68"/>
      <c r="P92" s="68"/>
      <c r="Q92" s="68"/>
      <c r="R92" s="68"/>
      <c r="S92" s="68"/>
      <c r="T92" s="68"/>
      <c r="U92" s="68"/>
      <c r="V92" s="68"/>
      <c r="W92" s="91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5"/>
      <c r="AN92" s="65"/>
      <c r="AO92" s="65"/>
      <c r="AP92" s="65"/>
      <c r="AQ92" s="65"/>
      <c r="AR92" s="65"/>
      <c r="AS92" s="65"/>
      <c r="AT92" s="35"/>
      <c r="AU92" s="65"/>
      <c r="AV92" s="65"/>
      <c r="AW92" s="65"/>
      <c r="AX92" s="65"/>
      <c r="AY92" s="65"/>
      <c r="AZ92" s="31"/>
      <c r="BA92" s="30"/>
      <c r="BB92" s="175"/>
      <c r="BC92" s="345"/>
      <c r="BD92" s="28"/>
      <c r="BG92" s="24"/>
      <c r="BH92" s="28"/>
    </row>
    <row r="93" spans="1:91" ht="13.5" customHeight="1">
      <c r="A93" s="22"/>
      <c r="B93" s="202">
        <v>29</v>
      </c>
      <c r="C93" s="342"/>
      <c r="D93" s="332"/>
      <c r="E93" s="65"/>
      <c r="F93" s="65"/>
      <c r="G93" s="65"/>
      <c r="H93" s="65"/>
      <c r="I93" s="65"/>
      <c r="J93" s="1019"/>
      <c r="K93" s="1020"/>
      <c r="L93" s="1020"/>
      <c r="M93" s="1020"/>
      <c r="N93"/>
      <c r="O93"/>
      <c r="P93"/>
      <c r="Q93"/>
      <c r="R93"/>
      <c r="S93"/>
      <c r="T93"/>
      <c r="U93"/>
      <c r="V93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198"/>
      <c r="AN93" s="198"/>
      <c r="AO93" s="198"/>
      <c r="AP93" s="198"/>
      <c r="AQ93" s="198"/>
      <c r="AR93" s="198"/>
      <c r="AS93" s="254"/>
      <c r="AT93" s="35"/>
      <c r="AU93" s="35"/>
      <c r="AV93" s="254"/>
      <c r="AW93" s="198"/>
      <c r="AX93" s="198"/>
      <c r="AY93" s="198"/>
      <c r="AZ93" s="31"/>
      <c r="BA93" s="30"/>
      <c r="BB93" s="175"/>
      <c r="BC93" s="345"/>
      <c r="BD93" s="28"/>
      <c r="BG93" s="24"/>
      <c r="BH93" s="28"/>
    </row>
    <row r="94" spans="1:91" ht="13.5" customHeight="1">
      <c r="A94" s="22"/>
      <c r="B94" s="202"/>
      <c r="C94" s="393" t="s">
        <v>174</v>
      </c>
      <c r="D94" s="28"/>
      <c r="E94" s="28"/>
      <c r="F94" s="28"/>
      <c r="G94" s="28"/>
      <c r="H94" s="24"/>
      <c r="I94" s="24"/>
      <c r="J94" s="24"/>
      <c r="K94" s="24"/>
      <c r="L94" s="24"/>
      <c r="M94" s="127"/>
      <c r="N94" s="75"/>
      <c r="O94" s="84"/>
      <c r="P94" s="84"/>
      <c r="Q94" s="85"/>
      <c r="R94" s="75"/>
      <c r="S94" s="75"/>
      <c r="T94" s="75"/>
      <c r="U94" s="84"/>
      <c r="V94" s="85"/>
      <c r="W94" s="75"/>
      <c r="X94" s="65"/>
      <c r="Y94" s="28"/>
      <c r="Z94" s="233" t="s">
        <v>72</v>
      </c>
      <c r="AA94" s="65"/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198"/>
      <c r="AN94" s="198"/>
      <c r="AO94" s="198"/>
      <c r="AP94" s="198"/>
      <c r="AQ94" s="198"/>
      <c r="AR94" s="198"/>
      <c r="AS94" s="254"/>
      <c r="AT94" s="35"/>
      <c r="AU94" s="35"/>
      <c r="AV94" s="254"/>
      <c r="AW94" s="198"/>
      <c r="AX94" s="198"/>
      <c r="AY94" s="198"/>
      <c r="AZ94" s="31"/>
      <c r="BA94" s="30"/>
      <c r="BB94" s="175"/>
      <c r="BC94" s="345"/>
      <c r="BD94" s="28"/>
      <c r="BG94" s="24"/>
      <c r="BH94" s="28"/>
    </row>
    <row r="95" spans="1:91" ht="13.5" customHeight="1">
      <c r="A95" s="22"/>
      <c r="B95" s="202"/>
      <c r="C95" s="402" t="s">
        <v>32</v>
      </c>
      <c r="D95" s="403" t="s">
        <v>175</v>
      </c>
      <c r="E95" s="404"/>
      <c r="F95" s="404"/>
      <c r="G95" s="405"/>
      <c r="H95" s="406" t="s">
        <v>176</v>
      </c>
      <c r="I95" s="407"/>
      <c r="J95" s="407"/>
      <c r="K95" s="407"/>
      <c r="L95" s="404"/>
      <c r="M95" s="405"/>
      <c r="N95" s="403" t="s">
        <v>177</v>
      </c>
      <c r="O95" s="404"/>
      <c r="P95" s="404"/>
      <c r="Q95" s="404"/>
      <c r="R95" s="404"/>
      <c r="S95" s="405"/>
      <c r="T95" s="403" t="s">
        <v>178</v>
      </c>
      <c r="U95" s="404"/>
      <c r="V95" s="404"/>
      <c r="W95" s="404"/>
      <c r="X95" s="404"/>
      <c r="Y95" s="404"/>
      <c r="Z95" s="408" t="s">
        <v>179</v>
      </c>
      <c r="AA95" s="409"/>
      <c r="AB95" s="409"/>
      <c r="AC95" s="410"/>
      <c r="AD95" s="65"/>
      <c r="AE95" s="65"/>
      <c r="AF95" s="65"/>
      <c r="AG95" s="65"/>
      <c r="AH95" s="65"/>
      <c r="AI95" s="65"/>
      <c r="AJ95" s="65"/>
      <c r="AK95" s="65"/>
      <c r="AL95" s="65"/>
      <c r="AM95" s="198"/>
      <c r="AN95" s="198"/>
      <c r="AO95" s="198"/>
      <c r="AP95" s="198"/>
      <c r="AQ95" s="198"/>
      <c r="AR95" s="198"/>
      <c r="AS95" s="254"/>
      <c r="AT95" s="35"/>
      <c r="AU95" s="35"/>
      <c r="AV95" s="254"/>
      <c r="AW95" s="198"/>
      <c r="AX95" s="198"/>
      <c r="AY95" s="198"/>
      <c r="AZ95" s="31"/>
      <c r="BA95" s="30"/>
      <c r="BB95" s="175"/>
      <c r="BC95" s="345"/>
      <c r="BD95" s="28"/>
      <c r="BG95" s="24"/>
      <c r="BH95" s="28"/>
    </row>
    <row r="96" spans="1:91" ht="13.5" customHeight="1">
      <c r="A96" s="22"/>
      <c r="B96" s="202"/>
      <c r="C96" s="419">
        <v>1</v>
      </c>
      <c r="D96" s="427" t="s">
        <v>261</v>
      </c>
      <c r="E96" s="428"/>
      <c r="F96" s="428"/>
      <c r="G96" s="429"/>
      <c r="H96" s="420" t="s">
        <v>192</v>
      </c>
      <c r="I96" s="117"/>
      <c r="J96" s="117"/>
      <c r="K96" s="117"/>
      <c r="L96" s="421"/>
      <c r="M96" s="422"/>
      <c r="N96" s="1068">
        <v>5000</v>
      </c>
      <c r="O96" s="1069"/>
      <c r="P96" s="1069"/>
      <c r="Q96" s="1069"/>
      <c r="R96" s="1069"/>
      <c r="S96" s="1070"/>
      <c r="T96" s="1068">
        <v>5000</v>
      </c>
      <c r="U96" s="1063"/>
      <c r="V96" s="1063"/>
      <c r="W96" s="1063"/>
      <c r="X96" s="1063"/>
      <c r="Y96" s="1064"/>
      <c r="Z96" s="1071">
        <v>10</v>
      </c>
      <c r="AA96" s="1072"/>
      <c r="AB96" s="1072"/>
      <c r="AC96" s="1073"/>
      <c r="AD96" s="65"/>
      <c r="AE96" s="65"/>
      <c r="AF96" s="65"/>
      <c r="AG96" s="65"/>
      <c r="AH96" s="65"/>
      <c r="AI96" s="65"/>
      <c r="AJ96" s="65"/>
      <c r="AK96" s="65"/>
      <c r="AL96" s="65"/>
      <c r="AM96" s="198"/>
      <c r="AN96" s="198"/>
      <c r="AO96" s="198"/>
      <c r="AP96" s="198"/>
      <c r="AQ96" s="198"/>
      <c r="AR96" s="198"/>
      <c r="AS96" s="254"/>
      <c r="AT96" s="35"/>
      <c r="AU96" s="35"/>
      <c r="AV96" s="254"/>
      <c r="AW96" s="198"/>
      <c r="AX96" s="198"/>
      <c r="AY96" s="198"/>
      <c r="AZ96" s="31"/>
      <c r="BA96" s="30"/>
      <c r="BB96" s="175"/>
      <c r="BC96" s="345"/>
      <c r="BD96" s="28"/>
      <c r="BG96" s="24"/>
      <c r="BH96" s="28"/>
    </row>
    <row r="97" spans="1:60" ht="13.5" customHeight="1">
      <c r="A97" s="22"/>
      <c r="B97" s="202"/>
      <c r="C97" s="419"/>
      <c r="D97" s="427"/>
      <c r="E97" s="428"/>
      <c r="F97" s="428"/>
      <c r="G97" s="429"/>
      <c r="H97" s="420"/>
      <c r="I97" s="117"/>
      <c r="J97" s="117"/>
      <c r="K97" s="117"/>
      <c r="L97" s="421"/>
      <c r="M97" s="422"/>
      <c r="N97" s="1068">
        <v>5000</v>
      </c>
      <c r="O97" s="1069"/>
      <c r="P97" s="1069"/>
      <c r="Q97" s="1069"/>
      <c r="R97" s="1069"/>
      <c r="S97" s="1070"/>
      <c r="T97" s="1068">
        <v>5000</v>
      </c>
      <c r="U97" s="1063"/>
      <c r="V97" s="1063"/>
      <c r="W97" s="1063"/>
      <c r="X97" s="1063"/>
      <c r="Y97" s="1064"/>
      <c r="Z97" s="1071"/>
      <c r="AA97" s="1072"/>
      <c r="AB97" s="1072"/>
      <c r="AC97" s="1073"/>
      <c r="AD97" s="65"/>
      <c r="AE97" s="65"/>
      <c r="AF97" s="65"/>
      <c r="AG97" s="65"/>
      <c r="AH97" s="65"/>
      <c r="AI97" s="65"/>
      <c r="AJ97" s="65"/>
      <c r="AK97" s="65"/>
      <c r="AL97" s="65"/>
      <c r="AM97" s="198"/>
      <c r="AN97" s="198"/>
      <c r="AO97" s="198"/>
      <c r="AP97" s="198"/>
      <c r="AQ97" s="198"/>
      <c r="AR97" s="198"/>
      <c r="AS97" s="254"/>
      <c r="AT97" s="35"/>
      <c r="AU97" s="35"/>
      <c r="AV97" s="254"/>
      <c r="AW97" s="198"/>
      <c r="AX97" s="198"/>
      <c r="AY97" s="198"/>
      <c r="AZ97" s="31"/>
      <c r="BA97" s="30"/>
      <c r="BB97" s="175"/>
      <c r="BC97" s="345"/>
      <c r="BD97" s="28"/>
      <c r="BG97" s="24"/>
      <c r="BH97" s="28"/>
    </row>
    <row r="98" spans="1:60" ht="13.5" customHeight="1">
      <c r="A98" s="22"/>
      <c r="B98" s="202"/>
      <c r="C98" s="430"/>
      <c r="D98" s="423"/>
      <c r="E98" s="423"/>
      <c r="F98" s="423"/>
      <c r="G98" s="424"/>
      <c r="H98" s="424"/>
      <c r="I98" s="424"/>
      <c r="J98" s="424"/>
      <c r="K98" s="424"/>
      <c r="L98" s="425"/>
      <c r="M98" s="425"/>
      <c r="N98" s="424"/>
      <c r="O98" s="424"/>
      <c r="P98" s="424"/>
      <c r="Q98" s="426"/>
      <c r="R98" s="1061"/>
      <c r="S98" s="1061"/>
      <c r="T98" s="1061"/>
      <c r="U98" s="1061"/>
      <c r="V98" s="423"/>
      <c r="W98" s="424"/>
      <c r="X98" s="424"/>
      <c r="Y98" s="426"/>
      <c r="Z98" s="6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198"/>
      <c r="AN98" s="198"/>
      <c r="AO98" s="198"/>
      <c r="AP98" s="198"/>
      <c r="AQ98" s="198"/>
      <c r="AR98" s="198"/>
      <c r="AS98" s="254"/>
      <c r="AT98" s="35"/>
      <c r="AU98" s="35"/>
      <c r="AV98" s="254"/>
      <c r="AW98" s="198"/>
      <c r="AX98" s="198"/>
      <c r="AY98" s="198"/>
      <c r="AZ98" s="31"/>
      <c r="BA98" s="30"/>
      <c r="BB98" s="175"/>
      <c r="BC98" s="345"/>
      <c r="BD98" s="28"/>
      <c r="BG98" s="24"/>
      <c r="BH98" s="28"/>
    </row>
    <row r="99" spans="1:60" ht="13.5" customHeight="1">
      <c r="A99" s="22"/>
      <c r="B99" s="202"/>
      <c r="C99" s="393" t="s">
        <v>181</v>
      </c>
      <c r="D99" s="28"/>
      <c r="E99" s="28"/>
      <c r="F99" s="28"/>
      <c r="G99" s="28"/>
      <c r="H99" s="24"/>
      <c r="I99" s="24"/>
      <c r="J99" s="24"/>
      <c r="K99" s="24"/>
      <c r="L99" s="24"/>
      <c r="M99" s="127"/>
      <c r="N99" s="75"/>
      <c r="O99" s="84"/>
      <c r="P99" s="84"/>
      <c r="Q99" s="84"/>
      <c r="R99" s="84"/>
      <c r="S99" s="85"/>
      <c r="T99" s="75"/>
      <c r="U99" s="75"/>
      <c r="V99" s="75"/>
      <c r="W99" s="75"/>
      <c r="X99" s="75"/>
      <c r="Y99" s="84"/>
      <c r="Z99" s="233" t="s">
        <v>72</v>
      </c>
      <c r="AA99" s="75"/>
      <c r="AB99" s="65"/>
      <c r="AC99" s="28"/>
      <c r="AD99" s="65"/>
      <c r="AE99" s="65"/>
      <c r="AF99" s="65"/>
      <c r="AG99" s="65"/>
      <c r="AH99" s="65"/>
      <c r="AI99" s="65"/>
      <c r="AJ99" s="65"/>
      <c r="AK99" s="65"/>
      <c r="AL99" s="65"/>
      <c r="AM99" s="198"/>
      <c r="AN99" s="198"/>
      <c r="AO99" s="198"/>
      <c r="AP99" s="198"/>
      <c r="AQ99" s="198"/>
      <c r="AR99" s="198"/>
      <c r="AS99" s="254"/>
      <c r="AT99" s="35"/>
      <c r="AU99" s="35"/>
      <c r="AV99" s="254"/>
      <c r="AW99" s="198"/>
      <c r="AX99" s="198"/>
      <c r="AY99" s="198"/>
      <c r="AZ99" s="31"/>
      <c r="BA99" s="30"/>
      <c r="BB99" s="175"/>
      <c r="BC99" s="345"/>
      <c r="BD99" s="28"/>
      <c r="BG99" s="24"/>
      <c r="BH99" s="28"/>
    </row>
    <row r="100" spans="1:60" ht="13.5" customHeight="1">
      <c r="A100" s="22"/>
      <c r="B100" s="202"/>
      <c r="C100" s="402" t="s">
        <v>32</v>
      </c>
      <c r="D100" s="403" t="s">
        <v>175</v>
      </c>
      <c r="E100" s="412"/>
      <c r="F100" s="412"/>
      <c r="G100" s="413"/>
      <c r="H100" s="414" t="s">
        <v>186</v>
      </c>
      <c r="I100" s="415"/>
      <c r="J100" s="415"/>
      <c r="K100" s="415"/>
      <c r="L100" s="412"/>
      <c r="M100" s="413"/>
      <c r="N100" s="411" t="s">
        <v>187</v>
      </c>
      <c r="O100" s="412"/>
      <c r="P100" s="412"/>
      <c r="Q100" s="412"/>
      <c r="R100" s="412"/>
      <c r="S100" s="413"/>
      <c r="T100" s="411" t="s">
        <v>188</v>
      </c>
      <c r="U100" s="412"/>
      <c r="V100" s="412"/>
      <c r="W100" s="412"/>
      <c r="X100" s="412"/>
      <c r="Y100" s="412"/>
      <c r="Z100" s="416" t="s">
        <v>179</v>
      </c>
      <c r="AA100" s="417"/>
      <c r="AB100" s="417"/>
      <c r="AC100" s="418"/>
      <c r="AD100" s="65"/>
      <c r="AE100" s="65"/>
      <c r="AF100" s="65"/>
      <c r="AG100" s="65"/>
      <c r="AH100" s="65"/>
      <c r="AI100" s="65"/>
      <c r="AJ100" s="65"/>
      <c r="AK100" s="65"/>
      <c r="AL100" s="65"/>
      <c r="AM100" s="198"/>
      <c r="AN100" s="198"/>
      <c r="AO100" s="198"/>
      <c r="AP100" s="198"/>
      <c r="AQ100" s="198"/>
      <c r="AR100" s="198"/>
      <c r="AS100" s="254"/>
      <c r="AT100" s="35"/>
      <c r="AU100" s="35"/>
      <c r="AV100" s="254"/>
      <c r="AW100" s="198"/>
      <c r="AX100" s="198"/>
      <c r="AY100" s="198"/>
      <c r="AZ100" s="31"/>
      <c r="BA100" s="30"/>
      <c r="BB100" s="175"/>
      <c r="BC100" s="345"/>
      <c r="BD100" s="28"/>
      <c r="BG100" s="24"/>
      <c r="BH100" s="28"/>
    </row>
    <row r="101" spans="1:60" ht="13.5" customHeight="1">
      <c r="A101" s="22"/>
      <c r="B101" s="202"/>
      <c r="C101" s="308">
        <v>1</v>
      </c>
      <c r="D101" s="427" t="s">
        <v>261</v>
      </c>
      <c r="E101" s="428"/>
      <c r="F101" s="428"/>
      <c r="G101" s="429"/>
      <c r="H101" s="242" t="s">
        <v>30</v>
      </c>
      <c r="I101" s="150"/>
      <c r="J101" s="150"/>
      <c r="K101" s="150"/>
      <c r="L101" s="161"/>
      <c r="M101" s="162"/>
      <c r="N101" s="1062">
        <v>5000</v>
      </c>
      <c r="O101" s="1063"/>
      <c r="P101" s="1063"/>
      <c r="Q101" s="1063"/>
      <c r="R101" s="1063"/>
      <c r="S101" s="1064"/>
      <c r="T101" s="1062">
        <v>5000</v>
      </c>
      <c r="U101" s="1063"/>
      <c r="V101" s="1063"/>
      <c r="W101" s="1063"/>
      <c r="X101" s="1063"/>
      <c r="Y101" s="1064"/>
      <c r="Z101" s="1065">
        <v>10</v>
      </c>
      <c r="AA101" s="1066"/>
      <c r="AB101" s="1066"/>
      <c r="AC101" s="1067"/>
      <c r="AD101" s="65"/>
      <c r="AE101" s="65"/>
      <c r="AF101" s="65"/>
      <c r="AG101" s="65"/>
      <c r="AH101" s="65"/>
      <c r="AI101" s="65"/>
      <c r="AJ101" s="65"/>
      <c r="AK101" s="65"/>
      <c r="AL101" s="65"/>
      <c r="AM101" s="198"/>
      <c r="AN101" s="198"/>
      <c r="AO101" s="198"/>
      <c r="AP101" s="198"/>
      <c r="AQ101" s="198"/>
      <c r="AR101" s="198"/>
      <c r="AS101" s="254"/>
      <c r="AT101" s="35"/>
      <c r="AU101" s="35"/>
      <c r="AV101" s="254"/>
      <c r="AW101" s="198"/>
      <c r="AX101" s="198"/>
      <c r="AY101" s="198"/>
      <c r="AZ101" s="31"/>
      <c r="BA101" s="30"/>
      <c r="BB101" s="175"/>
      <c r="BC101" s="345"/>
      <c r="BD101" s="28"/>
      <c r="BG101" s="24"/>
      <c r="BH101" s="28"/>
    </row>
    <row r="102" spans="1:60" ht="13.5" customHeight="1">
      <c r="A102" s="22"/>
      <c r="B102" s="202"/>
      <c r="C102" s="308"/>
      <c r="D102" s="427"/>
      <c r="E102" s="428"/>
      <c r="F102" s="428"/>
      <c r="G102" s="429"/>
      <c r="H102" s="242" t="s">
        <v>30</v>
      </c>
      <c r="I102" s="150"/>
      <c r="J102" s="150"/>
      <c r="K102" s="150"/>
      <c r="L102" s="161"/>
      <c r="M102" s="162"/>
      <c r="N102" s="1062">
        <v>5000</v>
      </c>
      <c r="O102" s="1063"/>
      <c r="P102" s="1063"/>
      <c r="Q102" s="1063"/>
      <c r="R102" s="1063"/>
      <c r="S102" s="1064"/>
      <c r="T102" s="1062">
        <v>5000</v>
      </c>
      <c r="U102" s="1063"/>
      <c r="V102" s="1063"/>
      <c r="W102" s="1063"/>
      <c r="X102" s="1063"/>
      <c r="Y102" s="1064"/>
      <c r="Z102" s="1065"/>
      <c r="AA102" s="1066"/>
      <c r="AB102" s="1066"/>
      <c r="AC102" s="1067"/>
      <c r="AD102" s="65"/>
      <c r="AE102" s="65"/>
      <c r="AF102" s="65"/>
      <c r="AG102" s="65"/>
      <c r="AH102" s="65"/>
      <c r="AI102" s="65"/>
      <c r="AJ102" s="65"/>
      <c r="AK102" s="65"/>
      <c r="AL102" s="65"/>
      <c r="AM102" s="198"/>
      <c r="AN102" s="198"/>
      <c r="AO102" s="198"/>
      <c r="AP102" s="198"/>
      <c r="AQ102" s="198"/>
      <c r="AR102" s="198"/>
      <c r="AS102" s="254"/>
      <c r="AT102" s="35"/>
      <c r="AU102" s="35"/>
      <c r="AV102" s="254"/>
      <c r="AW102" s="198"/>
      <c r="AX102" s="198"/>
      <c r="AY102" s="198"/>
      <c r="AZ102" s="31"/>
      <c r="BA102" s="30"/>
      <c r="BB102" s="175"/>
      <c r="BC102" s="345"/>
      <c r="BD102" s="28"/>
      <c r="BG102" s="24"/>
      <c r="BH102" s="28"/>
    </row>
    <row r="103" spans="1:60" ht="13.5" customHeight="1">
      <c r="A103" s="22"/>
      <c r="B103" s="202"/>
      <c r="C103" s="342"/>
      <c r="D103" s="332"/>
      <c r="E103" s="65"/>
      <c r="F103" s="65"/>
      <c r="G103" s="65"/>
      <c r="H103" s="65"/>
      <c r="I103" s="65"/>
      <c r="J103" s="333"/>
      <c r="K103" s="334"/>
      <c r="L103" s="334"/>
      <c r="M103" s="334"/>
      <c r="N103"/>
      <c r="O103"/>
      <c r="P103"/>
      <c r="Q103"/>
      <c r="R103"/>
      <c r="S103"/>
      <c r="T103"/>
      <c r="U103"/>
      <c r="V103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W103" s="198"/>
      <c r="AX103" s="198"/>
      <c r="AY103" s="198"/>
      <c r="AZ103" s="31"/>
      <c r="BA103" s="30"/>
      <c r="BB103" s="175"/>
      <c r="BC103" s="345"/>
      <c r="BD103" s="28"/>
      <c r="BG103" s="24"/>
      <c r="BH103" s="28"/>
    </row>
    <row r="104" spans="1:60" ht="13.5" customHeight="1">
      <c r="A104" s="22"/>
      <c r="B104" s="202"/>
      <c r="C104" s="282" t="s">
        <v>193</v>
      </c>
      <c r="D104" s="28"/>
      <c r="E104" s="28"/>
      <c r="F104" s="28"/>
      <c r="H104" s="58"/>
      <c r="I104" s="59"/>
      <c r="J104" s="59"/>
      <c r="K104" s="59"/>
      <c r="L104" s="60"/>
      <c r="M104" s="59"/>
      <c r="N104" s="61"/>
      <c r="O104" s="61"/>
      <c r="P104" s="70"/>
      <c r="Q104" s="64"/>
      <c r="R104"/>
      <c r="S104"/>
      <c r="T104"/>
      <c r="U104"/>
      <c r="V104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W104" s="198"/>
      <c r="AX104" s="198"/>
      <c r="AY104" s="198"/>
      <c r="AZ104" s="31"/>
      <c r="BA104" s="30"/>
      <c r="BB104" s="175"/>
      <c r="BC104" s="345"/>
      <c r="BD104" s="28"/>
      <c r="BG104" s="24"/>
      <c r="BH104" s="28"/>
    </row>
    <row r="105" spans="1:60" ht="13.5" customHeight="1">
      <c r="A105" s="22"/>
      <c r="B105" s="202"/>
      <c r="C105" s="282" t="s">
        <v>194</v>
      </c>
      <c r="D105" s="28"/>
      <c r="E105" s="28"/>
      <c r="F105" s="28"/>
      <c r="H105" s="58"/>
      <c r="I105" s="59"/>
      <c r="J105" s="59"/>
      <c r="K105" s="59"/>
      <c r="L105" s="60"/>
      <c r="M105" s="59"/>
      <c r="N105" s="61"/>
      <c r="O105" s="61"/>
      <c r="P105" s="70"/>
      <c r="Q105"/>
      <c r="R105" s="488" t="s">
        <v>196</v>
      </c>
      <c r="S105" s="488"/>
      <c r="T105"/>
      <c r="U105"/>
      <c r="V10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W105" s="198"/>
      <c r="AX105" s="198"/>
      <c r="AY105" s="198"/>
      <c r="AZ105" s="31"/>
      <c r="BA105" s="30"/>
      <c r="BB105" s="175"/>
      <c r="BC105" s="345"/>
      <c r="BD105" s="28"/>
      <c r="BG105" s="24"/>
      <c r="BH105" s="28"/>
    </row>
    <row r="106" spans="1:60" ht="13.5" customHeight="1">
      <c r="A106" s="22"/>
      <c r="B106" s="202"/>
      <c r="C106" s="282" t="s">
        <v>195</v>
      </c>
      <c r="D106" s="28"/>
      <c r="E106" s="28"/>
      <c r="F106" s="28"/>
      <c r="H106" s="516" t="s">
        <v>283</v>
      </c>
      <c r="I106" s="59"/>
      <c r="J106" s="59"/>
      <c r="K106" s="59"/>
      <c r="L106" s="60"/>
      <c r="M106" s="59"/>
      <c r="N106" s="61"/>
      <c r="O106" s="61"/>
      <c r="P106" s="99" t="s">
        <v>33</v>
      </c>
      <c r="Q106"/>
      <c r="R106"/>
      <c r="S106"/>
      <c r="T106"/>
      <c r="U106"/>
      <c r="V106"/>
      <c r="W106" s="65"/>
      <c r="X106" s="65"/>
      <c r="Y106" s="65"/>
      <c r="Z106" s="65"/>
      <c r="AA106" s="65"/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W106" s="198"/>
      <c r="AX106" s="198"/>
      <c r="AY106" s="198"/>
      <c r="AZ106" s="31"/>
      <c r="BA106" s="30"/>
      <c r="BB106" s="175"/>
      <c r="BC106" s="345"/>
      <c r="BD106" s="28"/>
      <c r="BG106" s="24"/>
      <c r="BH106" s="28"/>
    </row>
    <row r="107" spans="1:60" ht="13.5" customHeight="1">
      <c r="A107" s="22"/>
      <c r="B107" s="202"/>
      <c r="C107" s="282"/>
      <c r="D107" s="28"/>
      <c r="E107" s="28"/>
      <c r="F107" s="28"/>
      <c r="H107" s="62"/>
      <c r="I107" s="63"/>
      <c r="J107" s="63"/>
      <c r="K107" s="63"/>
      <c r="L107" s="64"/>
      <c r="M107" s="63"/>
      <c r="N107" s="65"/>
      <c r="O107" s="65"/>
      <c r="P107" s="82"/>
      <c r="Q107"/>
      <c r="R107"/>
      <c r="S107"/>
      <c r="T107"/>
      <c r="U107"/>
      <c r="V107"/>
      <c r="W107" s="65"/>
      <c r="X107" s="65"/>
      <c r="Y107" s="65"/>
      <c r="Z107" s="65"/>
      <c r="AA107" s="65"/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W107" s="198"/>
      <c r="AX107" s="198"/>
      <c r="AY107" s="198"/>
      <c r="AZ107" s="31"/>
      <c r="BA107" s="30"/>
      <c r="BB107" s="175"/>
      <c r="BC107" s="345"/>
      <c r="BD107" s="28"/>
      <c r="BG107" s="24"/>
      <c r="BH107" s="28"/>
    </row>
    <row r="108" spans="1:60" ht="13.5" customHeight="1">
      <c r="A108" s="22"/>
      <c r="B108" s="202"/>
      <c r="C108" s="282" t="s">
        <v>284</v>
      </c>
      <c r="D108" s="28"/>
      <c r="E108" s="28"/>
      <c r="F108" s="28"/>
      <c r="H108" s="163"/>
      <c r="I108" s="164"/>
      <c r="J108" s="165"/>
      <c r="K108" s="164"/>
      <c r="L108" s="165"/>
      <c r="M108" s="164"/>
      <c r="N108" s="166"/>
      <c r="O108" s="164"/>
      <c r="P108" s="165"/>
      <c r="Q108" s="165"/>
      <c r="R108" s="165"/>
      <c r="S108" s="167"/>
      <c r="T108" s="167"/>
      <c r="U108" s="167"/>
      <c r="V108" s="167"/>
      <c r="W108" s="167"/>
      <c r="X108" s="166"/>
      <c r="Y108" s="167"/>
      <c r="Z108" s="165"/>
      <c r="AA108" s="166"/>
      <c r="AB108" s="167"/>
      <c r="AC108" s="165"/>
      <c r="AD108" s="166"/>
      <c r="AE108" s="165"/>
      <c r="AF108" s="165"/>
      <c r="AG108" s="166"/>
      <c r="AH108" s="165"/>
      <c r="AI108" s="165"/>
      <c r="AJ108" s="168"/>
      <c r="AK108" s="165"/>
      <c r="AL108" s="165"/>
      <c r="AM108" s="165"/>
      <c r="AN108" s="165"/>
      <c r="AO108" s="165"/>
      <c r="AP108" s="165"/>
      <c r="AQ108" s="165"/>
      <c r="AR108" s="165"/>
      <c r="AS108" s="165"/>
      <c r="AT108" s="165"/>
      <c r="AU108" s="165"/>
      <c r="AV108" s="165"/>
      <c r="AW108" s="165"/>
      <c r="AX108" s="160" t="s">
        <v>37</v>
      </c>
      <c r="AY108" s="198"/>
      <c r="AZ108" s="31"/>
      <c r="BA108" s="30"/>
      <c r="BB108" s="175"/>
      <c r="BC108" s="345"/>
      <c r="BD108" s="28"/>
      <c r="BG108" s="24"/>
      <c r="BH108" s="28"/>
    </row>
    <row r="109" spans="1:60" ht="13.5" customHeight="1">
      <c r="A109" s="22"/>
      <c r="B109" s="202"/>
      <c r="C109" s="282"/>
      <c r="D109" s="28"/>
      <c r="E109" s="28"/>
      <c r="F109" s="28"/>
      <c r="H109" s="169"/>
      <c r="I109" s="170"/>
      <c r="J109" s="171"/>
      <c r="K109" s="170"/>
      <c r="L109" s="171"/>
      <c r="M109" s="170"/>
      <c r="N109" s="172"/>
      <c r="O109" s="170"/>
      <c r="P109" s="171"/>
      <c r="Q109" s="171"/>
      <c r="R109" s="171"/>
      <c r="S109" s="173"/>
      <c r="T109" s="173"/>
      <c r="U109" s="173"/>
      <c r="V109" s="173"/>
      <c r="W109" s="173"/>
      <c r="X109" s="172"/>
      <c r="Y109" s="173"/>
      <c r="Z109" s="171"/>
      <c r="AA109" s="172"/>
      <c r="AB109" s="173"/>
      <c r="AC109" s="171"/>
      <c r="AD109" s="172"/>
      <c r="AE109" s="171"/>
      <c r="AF109" s="171"/>
      <c r="AG109" s="172"/>
      <c r="AH109" s="171"/>
      <c r="AI109" s="171"/>
      <c r="AJ109" s="174"/>
      <c r="AK109" s="171"/>
      <c r="AL109" s="171"/>
      <c r="AM109" s="171"/>
      <c r="AN109" s="171"/>
      <c r="AO109" s="171"/>
      <c r="AP109" s="171"/>
      <c r="AQ109" s="171"/>
      <c r="AR109" s="171"/>
      <c r="AS109" s="171"/>
      <c r="AT109" s="171"/>
      <c r="AU109" s="171"/>
      <c r="AV109" s="171"/>
      <c r="AW109" s="171"/>
      <c r="AX109" s="122" t="s">
        <v>33</v>
      </c>
      <c r="AY109" s="198"/>
      <c r="AZ109" s="31"/>
      <c r="BA109" s="30"/>
      <c r="BB109" s="175"/>
      <c r="BC109" s="345"/>
      <c r="BD109" s="28"/>
      <c r="BG109" s="24"/>
      <c r="BH109" s="28"/>
    </row>
    <row r="110" spans="1:60" ht="13.5" customHeight="1">
      <c r="A110" s="22"/>
      <c r="B110" s="202"/>
      <c r="C110" s="282"/>
      <c r="D110" s="28"/>
      <c r="E110" s="28"/>
      <c r="F110" s="28"/>
      <c r="H110" s="62"/>
      <c r="I110" s="63"/>
      <c r="J110" s="63"/>
      <c r="K110" s="63"/>
      <c r="L110" s="64"/>
      <c r="M110" s="63"/>
      <c r="N110" s="65"/>
      <c r="O110" s="65"/>
      <c r="P110" s="82"/>
      <c r="Q110"/>
      <c r="R110"/>
      <c r="S110"/>
      <c r="T110"/>
      <c r="U110"/>
      <c r="V110"/>
      <c r="W110" s="65"/>
      <c r="X110" s="65"/>
      <c r="Y110" s="65"/>
      <c r="Z110" s="65"/>
      <c r="AA110" s="65"/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W110" s="198"/>
      <c r="AX110" s="198"/>
      <c r="AY110" s="198"/>
      <c r="AZ110" s="31"/>
      <c r="BA110" s="30"/>
      <c r="BB110" s="175"/>
      <c r="BC110" s="345"/>
      <c r="BD110" s="28"/>
      <c r="BG110" s="24"/>
      <c r="BH110" s="28"/>
    </row>
    <row r="111" spans="1:60" ht="13.5" customHeight="1">
      <c r="A111" s="22"/>
      <c r="B111" s="202"/>
      <c r="C111" s="342"/>
      <c r="D111" s="332"/>
      <c r="E111" s="65"/>
      <c r="F111" s="65"/>
      <c r="G111" s="65"/>
      <c r="H111" s="65"/>
      <c r="I111" s="65"/>
      <c r="J111" s="333"/>
      <c r="K111" s="334"/>
      <c r="L111" s="334"/>
      <c r="M111" s="334"/>
      <c r="N111"/>
      <c r="O111"/>
      <c r="P111"/>
      <c r="Q111"/>
      <c r="R111"/>
      <c r="S111"/>
      <c r="T111"/>
      <c r="U111"/>
      <c r="V111"/>
      <c r="W111" s="65"/>
      <c r="X111" s="65"/>
      <c r="Y111" s="65"/>
      <c r="Z111" s="65"/>
      <c r="AA111" s="65"/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198"/>
      <c r="AN111" s="198"/>
      <c r="AO111" s="198"/>
      <c r="AP111" s="198"/>
      <c r="AQ111" s="198"/>
      <c r="AR111" s="198"/>
      <c r="AS111" s="254"/>
      <c r="AT111" s="35"/>
      <c r="AU111" s="35"/>
      <c r="AV111" s="254"/>
      <c r="AW111" s="198"/>
      <c r="AX111" s="198"/>
      <c r="AY111" s="198"/>
      <c r="AZ111" s="31"/>
      <c r="BA111" s="30"/>
      <c r="BB111" s="175"/>
      <c r="BC111" s="345"/>
      <c r="BD111" s="28"/>
      <c r="BG111" s="24"/>
      <c r="BH111" s="28"/>
    </row>
    <row r="112" spans="1:60" ht="13.5" customHeight="1">
      <c r="A112" s="22"/>
      <c r="B112" s="202"/>
      <c r="C112" s="342"/>
      <c r="D112" s="332"/>
      <c r="E112" s="65"/>
      <c r="F112" s="65"/>
      <c r="G112" s="65"/>
      <c r="H112" s="65"/>
      <c r="I112" s="65"/>
      <c r="J112" s="333"/>
      <c r="K112" s="334"/>
      <c r="L112" s="334"/>
      <c r="M112" s="334"/>
      <c r="N112"/>
      <c r="O112"/>
      <c r="P112"/>
      <c r="Q112"/>
      <c r="R112"/>
      <c r="S112"/>
      <c r="T112"/>
      <c r="U112"/>
      <c r="V112"/>
      <c r="W112" s="65"/>
      <c r="X112" s="65"/>
      <c r="Y112" s="65"/>
      <c r="Z112" s="65"/>
      <c r="AA112" s="65"/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198"/>
      <c r="AN112" s="198"/>
      <c r="AO112" s="198"/>
      <c r="AP112" s="198"/>
      <c r="AQ112" s="198"/>
      <c r="AR112" s="198"/>
      <c r="AS112" s="254"/>
      <c r="AT112" s="35"/>
      <c r="AU112" s="35"/>
      <c r="AV112" s="254"/>
      <c r="AW112" s="198"/>
      <c r="AX112" s="198"/>
      <c r="AY112" s="198"/>
      <c r="AZ112" s="31"/>
      <c r="BA112" s="30"/>
      <c r="BB112" s="175"/>
      <c r="BC112" s="345"/>
      <c r="BD112" s="28"/>
      <c r="BG112" s="24"/>
      <c r="BH112" s="28"/>
    </row>
    <row r="113" spans="1:60" ht="5.15" customHeight="1">
      <c r="A113" s="22"/>
      <c r="B113" s="202"/>
      <c r="C113" s="315"/>
      <c r="D113" s="73"/>
      <c r="E113" s="73"/>
      <c r="F113" s="73"/>
      <c r="G113" s="73"/>
      <c r="H113" s="316"/>
      <c r="I113" s="275"/>
      <c r="J113" s="273"/>
      <c r="K113" s="275"/>
      <c r="L113" s="273"/>
      <c r="M113" s="317"/>
      <c r="N113" s="317"/>
      <c r="O113" s="270"/>
      <c r="P113" s="317"/>
      <c r="Q113" s="270"/>
      <c r="R113" s="317"/>
      <c r="S113" s="73"/>
      <c r="T113" s="73"/>
      <c r="U113" s="73"/>
      <c r="V113" s="73"/>
      <c r="W113" s="73"/>
      <c r="X113" s="316"/>
      <c r="Y113" s="275"/>
      <c r="Z113" s="273"/>
      <c r="AA113" s="275"/>
      <c r="AB113" s="273"/>
      <c r="AC113" s="317"/>
      <c r="AD113" s="317"/>
      <c r="AE113" s="270"/>
      <c r="AF113" s="317"/>
      <c r="AG113" s="270"/>
      <c r="AH113" s="317"/>
      <c r="AI113" s="276"/>
      <c r="AJ113" s="317"/>
      <c r="AK113" s="270"/>
      <c r="AL113" s="73"/>
      <c r="AM113" s="73"/>
      <c r="AN113" s="73"/>
      <c r="AO113" s="73"/>
      <c r="AP113" s="73"/>
      <c r="AQ113" s="73"/>
      <c r="AR113" s="73"/>
      <c r="AS113" s="73"/>
      <c r="AT113" s="73"/>
      <c r="AU113" s="73"/>
      <c r="AV113" s="318"/>
      <c r="AW113" s="73"/>
      <c r="AX113" s="73"/>
      <c r="AY113" s="269"/>
      <c r="AZ113" s="269"/>
      <c r="BA113" s="319"/>
      <c r="BB113" s="320"/>
      <c r="BC113" s="344"/>
      <c r="BD113" s="28"/>
    </row>
    <row r="114" spans="1:60" ht="13.5" customHeight="1">
      <c r="A114" s="22"/>
      <c r="B114" s="202">
        <v>31</v>
      </c>
      <c r="C114" s="331"/>
      <c r="D114" s="332"/>
      <c r="E114" s="65"/>
      <c r="F114" s="65"/>
      <c r="G114" s="65"/>
      <c r="H114" s="65"/>
      <c r="I114" s="65"/>
      <c r="J114" s="1021"/>
      <c r="K114" s="1021"/>
      <c r="L114" s="1021"/>
      <c r="M114" s="1021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198"/>
      <c r="AN114" s="198"/>
      <c r="AO114" s="198"/>
      <c r="AP114" s="198"/>
      <c r="AQ114" s="198"/>
      <c r="AR114" s="198"/>
      <c r="AS114" s="198"/>
      <c r="AT114" s="198"/>
      <c r="AU114" s="198"/>
      <c r="AV114" s="198"/>
      <c r="AW114" s="198"/>
      <c r="AX114" s="198"/>
      <c r="AY114" s="198"/>
      <c r="AZ114" s="33"/>
      <c r="BA114" s="46"/>
      <c r="BB114" s="78"/>
      <c r="BC114" s="34"/>
      <c r="BD114" s="28"/>
      <c r="BG114" s="24"/>
      <c r="BH114" s="28"/>
    </row>
    <row r="115" spans="1:60" ht="14.15" customHeight="1">
      <c r="A115" s="22"/>
      <c r="B115" s="129"/>
      <c r="C115" s="346" t="s">
        <v>131</v>
      </c>
      <c r="D115" s="28"/>
      <c r="E115" s="28"/>
      <c r="F115" s="28"/>
      <c r="G115" s="28"/>
      <c r="S115" s="35"/>
      <c r="T115" s="35"/>
      <c r="U115" s="35"/>
      <c r="V115" s="35"/>
      <c r="Y115" s="35"/>
      <c r="Z115" s="35"/>
      <c r="AD115" s="35"/>
      <c r="AE115" s="35"/>
      <c r="AF115" s="35"/>
      <c r="AG115" s="35"/>
      <c r="AH115" s="35"/>
      <c r="AI115" s="35"/>
      <c r="AJ115" s="28"/>
      <c r="AK115" s="28"/>
      <c r="AL115" s="28"/>
      <c r="AM115" s="130"/>
      <c r="AN115" s="130"/>
      <c r="AO115" s="35"/>
      <c r="AP115" s="35"/>
      <c r="AQ115" s="35"/>
      <c r="AR115" s="35"/>
      <c r="AS115" s="35"/>
      <c r="AT115" s="35"/>
      <c r="AU115" s="35"/>
      <c r="AV115" s="35"/>
      <c r="AW115" s="35"/>
      <c r="AX115" s="65"/>
      <c r="AY115" s="65"/>
      <c r="AZ115" s="33"/>
      <c r="BA115" s="46"/>
      <c r="BB115" s="78"/>
      <c r="BC115" s="34"/>
      <c r="BD115" s="28"/>
      <c r="BG115" s="35"/>
    </row>
    <row r="116" spans="1:60" ht="5.15" customHeight="1">
      <c r="A116" s="22"/>
      <c r="B116" s="202"/>
      <c r="C116" s="296"/>
      <c r="D116" s="72"/>
      <c r="E116" s="72"/>
      <c r="F116" s="72"/>
      <c r="G116" s="72"/>
      <c r="H116" s="297"/>
      <c r="I116" s="278"/>
      <c r="J116" s="279"/>
      <c r="K116" s="278"/>
      <c r="L116" s="279"/>
      <c r="M116" s="298"/>
      <c r="N116" s="298"/>
      <c r="O116" s="263"/>
      <c r="P116" s="298"/>
      <c r="Q116" s="263"/>
      <c r="R116" s="298"/>
      <c r="S116" s="72"/>
      <c r="T116" s="72"/>
      <c r="U116" s="72"/>
      <c r="V116" s="72"/>
      <c r="W116" s="72"/>
      <c r="X116" s="297"/>
      <c r="Y116" s="278"/>
      <c r="Z116" s="279"/>
      <c r="AA116" s="278"/>
      <c r="AB116" s="279"/>
      <c r="AC116" s="298"/>
      <c r="AD116" s="298"/>
      <c r="AE116" s="263"/>
      <c r="AF116" s="298"/>
      <c r="AG116" s="263"/>
      <c r="AH116" s="298"/>
      <c r="AI116" s="280"/>
      <c r="AJ116" s="298"/>
      <c r="AK116" s="263"/>
      <c r="AL116" s="72"/>
      <c r="AM116" s="72"/>
      <c r="AN116" s="72"/>
      <c r="AO116" s="72"/>
      <c r="AP116" s="72"/>
      <c r="AQ116" s="72"/>
      <c r="AR116" s="72"/>
      <c r="AS116" s="72"/>
      <c r="AT116" s="72"/>
      <c r="AU116" s="72"/>
      <c r="AV116" s="300"/>
      <c r="AW116" s="72"/>
      <c r="AX116" s="72"/>
      <c r="AY116" s="265"/>
      <c r="AZ116" s="33"/>
      <c r="BA116" s="46"/>
      <c r="BB116" s="78"/>
      <c r="BC116" s="34"/>
      <c r="BD116" s="28"/>
    </row>
    <row r="117" spans="1:60" ht="14.15" customHeight="1">
      <c r="A117" s="23"/>
      <c r="B117" s="351"/>
      <c r="C117" s="282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5"/>
      <c r="S117" s="35"/>
      <c r="T117" s="28"/>
      <c r="U117" s="28"/>
      <c r="V117" s="28"/>
      <c r="W117" s="28"/>
      <c r="X117" s="28"/>
      <c r="Y117" s="28"/>
      <c r="Z117" s="28"/>
      <c r="AC117" s="28"/>
      <c r="AD117" s="28"/>
      <c r="AE117" s="35"/>
      <c r="AF117" s="35"/>
      <c r="AG117" s="35"/>
      <c r="AH117" s="35"/>
      <c r="AI117" s="35"/>
      <c r="AJ117" s="28"/>
      <c r="AK117" s="28"/>
      <c r="AL117" s="28"/>
      <c r="AM117" s="35"/>
      <c r="AN117" s="35"/>
      <c r="AO117" s="135"/>
      <c r="AP117" s="136"/>
      <c r="AQ117" s="130"/>
      <c r="AR117" s="130"/>
      <c r="AS117" s="130"/>
      <c r="AT117" s="130"/>
      <c r="AU117" s="81"/>
      <c r="AV117" s="35"/>
      <c r="AW117" s="35"/>
      <c r="AX117" s="65"/>
      <c r="AY117" s="347"/>
      <c r="AZ117" s="33"/>
      <c r="BA117" s="46"/>
      <c r="BB117" s="78"/>
      <c r="BC117" s="34"/>
      <c r="BD117" s="28"/>
      <c r="BG117" s="35"/>
    </row>
    <row r="118" spans="1:60" ht="14.15" customHeight="1">
      <c r="A118" s="23"/>
      <c r="B118" s="351"/>
      <c r="C118" s="352"/>
      <c r="D118" s="348" t="s">
        <v>38</v>
      </c>
      <c r="E118" s="131"/>
      <c r="F118" s="131"/>
      <c r="G118" s="131"/>
      <c r="H118" s="132"/>
      <c r="I118" s="132"/>
      <c r="J118" s="106"/>
      <c r="K118" s="133"/>
      <c r="L118" s="134"/>
      <c r="M118" s="144"/>
      <c r="N118" s="144"/>
      <c r="O118" s="131"/>
      <c r="P118" s="134"/>
      <c r="Q118" s="107"/>
      <c r="R118" s="133" t="s">
        <v>40</v>
      </c>
      <c r="S118" s="134"/>
      <c r="T118" s="107"/>
      <c r="U118" s="107"/>
      <c r="V118" s="133" t="s">
        <v>44</v>
      </c>
      <c r="W118" s="134"/>
      <c r="X118" s="107"/>
      <c r="Y118" s="35"/>
      <c r="Z118" s="35"/>
      <c r="AC118" s="28"/>
      <c r="AD118" s="28"/>
      <c r="AE118" s="28"/>
      <c r="AF118" s="35"/>
      <c r="AG118" s="35"/>
      <c r="AH118" s="28"/>
      <c r="AI118" s="28"/>
      <c r="AJ118" s="28"/>
      <c r="AK118" s="81"/>
      <c r="AL118" s="28"/>
      <c r="AM118" s="28"/>
      <c r="AN118" s="28"/>
      <c r="AO118" s="28"/>
      <c r="AP118" s="28"/>
      <c r="AQ118" s="65"/>
      <c r="AR118" s="65"/>
      <c r="AS118" s="65"/>
      <c r="AT118" s="125"/>
      <c r="AU118" s="65"/>
      <c r="AV118" s="65"/>
      <c r="AW118" s="65"/>
      <c r="AX118" s="65"/>
      <c r="AY118" s="347"/>
      <c r="AZ118" s="33"/>
      <c r="BA118" s="46"/>
      <c r="BB118" s="78"/>
      <c r="BC118" s="34"/>
      <c r="BD118" s="28"/>
      <c r="BE118" s="35"/>
      <c r="BF118" s="35"/>
      <c r="BG118" s="35"/>
    </row>
    <row r="119" spans="1:60" ht="13.5" customHeight="1">
      <c r="A119" s="22"/>
      <c r="B119" s="353"/>
      <c r="C119" s="352"/>
      <c r="D119" s="349" t="s">
        <v>45</v>
      </c>
      <c r="E119" s="137"/>
      <c r="F119" s="137"/>
      <c r="G119" s="137"/>
      <c r="H119" s="137"/>
      <c r="I119" s="137"/>
      <c r="J119" s="137"/>
      <c r="K119" s="350"/>
      <c r="L119" s="139"/>
      <c r="M119" s="108"/>
      <c r="N119" s="108"/>
      <c r="O119" s="145"/>
      <c r="P119" s="139"/>
      <c r="Q119" s="109"/>
      <c r="R119" s="138" t="s">
        <v>41</v>
      </c>
      <c r="S119" s="139"/>
      <c r="T119" s="108"/>
      <c r="U119" s="109"/>
      <c r="V119" s="140"/>
      <c r="W119" s="141"/>
      <c r="X119" s="142"/>
      <c r="Y119" s="116"/>
      <c r="Z119" s="41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  <c r="AK119" s="116"/>
      <c r="AL119" s="116"/>
      <c r="AM119" s="116"/>
      <c r="AN119" s="116"/>
      <c r="AO119" s="116"/>
      <c r="AP119" s="116"/>
      <c r="AQ119" s="65"/>
      <c r="AR119" s="65"/>
      <c r="AS119" s="65"/>
      <c r="AT119" s="125"/>
      <c r="AU119" s="65"/>
      <c r="AV119" s="65"/>
      <c r="AW119" s="65"/>
      <c r="AX119" s="65"/>
      <c r="AY119" s="347"/>
      <c r="AZ119" s="33"/>
      <c r="BA119" s="46"/>
      <c r="BB119" s="78"/>
      <c r="BC119" s="34"/>
      <c r="BD119" s="28"/>
      <c r="BE119" s="35"/>
      <c r="BF119" s="35"/>
      <c r="BG119" s="35"/>
    </row>
    <row r="120" spans="1:60" ht="5.15" customHeight="1">
      <c r="A120" s="22"/>
      <c r="B120" s="202"/>
      <c r="C120" s="315"/>
      <c r="D120" s="73"/>
      <c r="E120" s="73"/>
      <c r="F120" s="73"/>
      <c r="G120" s="73"/>
      <c r="H120" s="316"/>
      <c r="I120" s="275"/>
      <c r="J120" s="273"/>
      <c r="K120" s="275"/>
      <c r="L120" s="273"/>
      <c r="M120" s="317"/>
      <c r="N120" s="317"/>
      <c r="O120" s="270"/>
      <c r="P120" s="317"/>
      <c r="Q120" s="270"/>
      <c r="R120" s="317"/>
      <c r="S120" s="73"/>
      <c r="T120" s="73"/>
      <c r="U120" s="73"/>
      <c r="V120" s="73"/>
      <c r="W120" s="73"/>
      <c r="X120" s="316"/>
      <c r="Y120" s="275"/>
      <c r="Z120" s="273"/>
      <c r="AA120" s="275"/>
      <c r="AB120" s="273"/>
      <c r="AC120" s="317"/>
      <c r="AD120" s="317"/>
      <c r="AE120" s="270"/>
      <c r="AF120" s="317"/>
      <c r="AG120" s="270"/>
      <c r="AH120" s="317"/>
      <c r="AI120" s="276"/>
      <c r="AJ120" s="317"/>
      <c r="AK120" s="270"/>
      <c r="AL120" s="73"/>
      <c r="AM120" s="73"/>
      <c r="AN120" s="73"/>
      <c r="AO120" s="73"/>
      <c r="AP120" s="73"/>
      <c r="AQ120" s="73"/>
      <c r="AR120" s="73"/>
      <c r="AS120" s="73"/>
      <c r="AT120" s="73"/>
      <c r="AU120" s="73"/>
      <c r="AV120" s="318"/>
      <c r="AW120" s="73"/>
      <c r="AX120" s="73"/>
      <c r="AY120" s="277"/>
      <c r="AZ120" s="33"/>
      <c r="BA120" s="46"/>
      <c r="BB120" s="78"/>
      <c r="BC120" s="34"/>
      <c r="BD120" s="28"/>
    </row>
    <row r="121" spans="1:60" ht="14.15" customHeight="1">
      <c r="A121" s="22"/>
      <c r="B121" s="202">
        <v>35</v>
      </c>
      <c r="C121" s="331"/>
      <c r="D121" s="332"/>
      <c r="E121" s="65"/>
      <c r="F121" s="65"/>
      <c r="G121" s="65"/>
      <c r="H121" s="65"/>
      <c r="I121" s="65"/>
      <c r="J121" s="986"/>
      <c r="K121" s="986"/>
      <c r="L121" s="986"/>
      <c r="M121" s="986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125"/>
      <c r="AU121" s="65"/>
      <c r="AV121" s="65"/>
      <c r="AW121" s="65"/>
      <c r="AX121" s="65"/>
      <c r="AY121" s="65"/>
      <c r="AZ121" s="33"/>
      <c r="BA121" s="46"/>
      <c r="BB121" s="335"/>
      <c r="BC121" s="336"/>
      <c r="BD121" s="28"/>
      <c r="BG121" s="24"/>
      <c r="BH121" s="28"/>
    </row>
    <row r="122" spans="1:60" ht="14.15" customHeight="1">
      <c r="A122" s="22"/>
      <c r="B122" s="202">
        <v>35</v>
      </c>
      <c r="C122" s="346" t="s">
        <v>247</v>
      </c>
      <c r="D122" s="332"/>
      <c r="E122" s="65"/>
      <c r="F122" s="65"/>
      <c r="G122" s="65"/>
      <c r="H122" s="65"/>
      <c r="I122" s="65"/>
      <c r="J122" s="986"/>
      <c r="K122" s="986"/>
      <c r="L122" s="986"/>
      <c r="M122" s="986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125"/>
      <c r="AU122" s="65"/>
      <c r="AV122" s="65"/>
      <c r="AW122" s="65"/>
      <c r="AX122" s="65"/>
      <c r="AY122" s="65"/>
      <c r="AZ122" s="33"/>
      <c r="BA122" s="46"/>
      <c r="BB122" s="335"/>
      <c r="BC122" s="336"/>
      <c r="BD122" s="28"/>
      <c r="BG122" s="24"/>
      <c r="BH122" s="28"/>
    </row>
    <row r="123" spans="1:60" ht="14.15" customHeight="1">
      <c r="A123" s="22"/>
      <c r="B123" s="202">
        <v>35</v>
      </c>
      <c r="C123" s="331"/>
      <c r="D123" s="478" t="s">
        <v>248</v>
      </c>
      <c r="E123" s="65"/>
      <c r="F123" s="65"/>
      <c r="G123" s="65"/>
      <c r="H123" s="65"/>
      <c r="I123" s="65"/>
      <c r="J123" s="477"/>
      <c r="K123" s="477"/>
      <c r="L123" s="477"/>
      <c r="M123" s="477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125"/>
      <c r="AU123" s="65"/>
      <c r="AV123" s="65"/>
      <c r="AW123" s="65"/>
      <c r="AX123" s="65"/>
      <c r="AY123" s="65"/>
      <c r="AZ123" s="33"/>
      <c r="BA123" s="46"/>
      <c r="BB123" s="335"/>
      <c r="BC123" s="336"/>
      <c r="BD123" s="28"/>
      <c r="BG123" s="24"/>
      <c r="BH123" s="28"/>
    </row>
    <row r="124" spans="1:60" ht="14.15" customHeight="1">
      <c r="A124" s="22"/>
      <c r="B124" s="202">
        <v>35</v>
      </c>
      <c r="C124" s="331"/>
      <c r="D124" s="332"/>
      <c r="E124" s="65"/>
      <c r="F124" s="65"/>
      <c r="G124" s="65"/>
      <c r="H124" s="65"/>
      <c r="I124" s="65"/>
      <c r="J124" s="1025"/>
      <c r="K124" s="1025"/>
      <c r="L124" s="1025"/>
      <c r="M124" s="102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125"/>
      <c r="AU124" s="65"/>
      <c r="AV124" s="65"/>
      <c r="AW124" s="65"/>
      <c r="AX124" s="65"/>
      <c r="AY124" s="65"/>
      <c r="AZ124" s="33"/>
      <c r="BA124" s="46"/>
      <c r="BB124" s="335"/>
      <c r="BC124" s="336"/>
      <c r="BD124" s="28"/>
      <c r="BG124" s="24"/>
      <c r="BH124" s="28"/>
    </row>
    <row r="125" spans="1:60" ht="5.15" customHeight="1">
      <c r="A125" s="22"/>
      <c r="B125" s="202"/>
      <c r="C125" s="296"/>
      <c r="D125" s="72"/>
      <c r="E125" s="72"/>
      <c r="F125" s="72"/>
      <c r="G125" s="72"/>
      <c r="H125" s="297"/>
      <c r="I125" s="278"/>
      <c r="J125" s="279"/>
      <c r="K125" s="278"/>
      <c r="L125" s="279"/>
      <c r="M125" s="298"/>
      <c r="N125" s="298"/>
      <c r="O125" s="263"/>
      <c r="P125" s="298"/>
      <c r="Q125" s="263"/>
      <c r="R125" s="298"/>
      <c r="S125" s="72"/>
      <c r="T125" s="72"/>
      <c r="U125" s="72"/>
      <c r="V125" s="72"/>
      <c r="W125" s="72"/>
      <c r="X125" s="297"/>
      <c r="Y125" s="278"/>
      <c r="Z125" s="279"/>
      <c r="AA125" s="278"/>
      <c r="AB125" s="279"/>
      <c r="AC125" s="298"/>
      <c r="AD125" s="298"/>
      <c r="AE125" s="263"/>
      <c r="AF125" s="298"/>
      <c r="AG125" s="263"/>
      <c r="AH125" s="298"/>
      <c r="AI125" s="280"/>
      <c r="AJ125" s="298"/>
      <c r="AK125" s="263"/>
      <c r="AL125" s="72"/>
      <c r="AM125" s="72"/>
      <c r="AN125" s="72"/>
      <c r="AO125" s="72"/>
      <c r="AP125" s="72"/>
      <c r="AQ125" s="72"/>
      <c r="AR125" s="72"/>
      <c r="AS125" s="72"/>
      <c r="AT125" s="72"/>
      <c r="AU125" s="72"/>
      <c r="AV125" s="300"/>
      <c r="AW125" s="72"/>
      <c r="AX125" s="72"/>
      <c r="AY125" s="265"/>
      <c r="AZ125" s="33"/>
      <c r="BA125" s="46"/>
      <c r="BB125" s="78"/>
      <c r="BC125" s="34"/>
      <c r="BD125" s="28"/>
    </row>
    <row r="126" spans="1:60" ht="14.15" customHeight="1">
      <c r="A126" s="23"/>
      <c r="B126" s="351"/>
      <c r="C126" s="282"/>
      <c r="D126" s="28" t="s">
        <v>240</v>
      </c>
      <c r="E126" s="28"/>
      <c r="F126" s="28"/>
      <c r="G126" s="28"/>
      <c r="H126" s="468" t="s">
        <v>245</v>
      </c>
      <c r="I126" s="257"/>
      <c r="J126" s="258"/>
      <c r="K126" s="258"/>
      <c r="L126" s="258"/>
      <c r="M126" s="259"/>
      <c r="N126" s="258"/>
      <c r="O126" s="110"/>
      <c r="P126" s="261" t="s">
        <v>33</v>
      </c>
      <c r="Q126" s="25"/>
      <c r="R126" s="469" t="s">
        <v>246</v>
      </c>
      <c r="S126" s="470"/>
      <c r="T126" s="471"/>
      <c r="U126" s="471"/>
      <c r="V126" s="483"/>
      <c r="W126" s="472"/>
      <c r="X126" s="471"/>
      <c r="Y126" s="473"/>
      <c r="Z126" s="474"/>
      <c r="AB126" s="469" t="s">
        <v>289</v>
      </c>
      <c r="AC126" s="470"/>
      <c r="AD126" s="471"/>
      <c r="AE126" s="471"/>
      <c r="AF126" s="471"/>
      <c r="AG126" s="472"/>
      <c r="AH126" s="471"/>
      <c r="AI126" s="473"/>
      <c r="AJ126" s="472"/>
      <c r="AK126" s="479"/>
      <c r="AL126" s="479"/>
      <c r="AM126" s="473"/>
      <c r="AN126" s="473"/>
      <c r="AO126" s="471"/>
      <c r="AP126" s="480"/>
      <c r="AQ126" s="471"/>
      <c r="AR126" s="471"/>
      <c r="AS126" s="471"/>
      <c r="AT126" s="471"/>
      <c r="AU126" s="481"/>
      <c r="AV126" s="473"/>
      <c r="AW126" s="473"/>
      <c r="AX126" s="482"/>
      <c r="AY126" s="347"/>
      <c r="AZ126" s="33"/>
      <c r="BA126" s="46"/>
      <c r="BB126" s="78"/>
      <c r="BC126" s="34"/>
      <c r="BD126" s="28"/>
      <c r="BG126" s="35"/>
    </row>
    <row r="127" spans="1:60" ht="14.15" customHeight="1">
      <c r="A127" s="23"/>
      <c r="B127" s="351"/>
      <c r="C127" s="282"/>
      <c r="D127" s="28"/>
      <c r="E127" s="28"/>
      <c r="F127" s="28"/>
      <c r="G127" s="28"/>
      <c r="H127" s="469" t="s">
        <v>54</v>
      </c>
      <c r="I127" s="470"/>
      <c r="J127" s="471"/>
      <c r="K127" s="471"/>
      <c r="L127" s="471"/>
      <c r="M127" s="472"/>
      <c r="N127" s="471"/>
      <c r="O127" s="473"/>
      <c r="P127" s="472"/>
      <c r="Q127" s="479"/>
      <c r="R127" s="479"/>
      <c r="S127" s="473"/>
      <c r="T127" s="473"/>
      <c r="U127" s="471"/>
      <c r="V127" s="480"/>
      <c r="W127" s="471"/>
      <c r="X127" s="471"/>
      <c r="Y127" s="471"/>
      <c r="Z127" s="471"/>
      <c r="AA127" s="481"/>
      <c r="AB127" s="473"/>
      <c r="AC127" s="473"/>
      <c r="AD127" s="479"/>
      <c r="AE127" s="471"/>
      <c r="AF127" s="471"/>
      <c r="AG127" s="472"/>
      <c r="AH127" s="471"/>
      <c r="AI127" s="473"/>
      <c r="AJ127" s="472"/>
      <c r="AK127" s="479"/>
      <c r="AL127" s="479"/>
      <c r="AM127" s="473"/>
      <c r="AN127" s="473"/>
      <c r="AO127" s="471"/>
      <c r="AP127" s="480"/>
      <c r="AQ127" s="471"/>
      <c r="AR127" s="471"/>
      <c r="AS127" s="471"/>
      <c r="AT127" s="471"/>
      <c r="AU127" s="481"/>
      <c r="AV127" s="473"/>
      <c r="AW127" s="473"/>
      <c r="AX127" s="482"/>
      <c r="AY127" s="347"/>
      <c r="AZ127" s="33"/>
      <c r="BA127" s="46"/>
      <c r="BB127" s="78"/>
      <c r="BC127" s="34"/>
      <c r="BD127" s="28"/>
      <c r="BG127" s="35"/>
    </row>
    <row r="128" spans="1:60" ht="5.15" customHeight="1">
      <c r="A128" s="22"/>
      <c r="B128" s="202"/>
      <c r="C128" s="315"/>
      <c r="D128" s="73"/>
      <c r="E128" s="73"/>
      <c r="F128" s="73"/>
      <c r="G128" s="73"/>
      <c r="H128" s="316"/>
      <c r="I128" s="275"/>
      <c r="J128" s="273"/>
      <c r="K128" s="275"/>
      <c r="L128" s="273"/>
      <c r="M128" s="317"/>
      <c r="N128" s="317"/>
      <c r="O128" s="270"/>
      <c r="P128" s="317"/>
      <c r="Q128" s="270"/>
      <c r="R128" s="317"/>
      <c r="S128" s="73"/>
      <c r="T128" s="73"/>
      <c r="U128" s="73"/>
      <c r="V128" s="73"/>
      <c r="W128" s="73"/>
      <c r="X128" s="316"/>
      <c r="Y128" s="275"/>
      <c r="Z128" s="273"/>
      <c r="AA128" s="275"/>
      <c r="AB128" s="273"/>
      <c r="AC128" s="317"/>
      <c r="AD128" s="317"/>
      <c r="AE128" s="270"/>
      <c r="AF128" s="317"/>
      <c r="AG128" s="270"/>
      <c r="AH128" s="317"/>
      <c r="AI128" s="276"/>
      <c r="AJ128" s="317"/>
      <c r="AK128" s="270"/>
      <c r="AL128" s="73"/>
      <c r="AM128" s="73"/>
      <c r="AN128" s="73"/>
      <c r="AO128" s="73"/>
      <c r="AP128" s="73"/>
      <c r="AQ128" s="73"/>
      <c r="AR128" s="73"/>
      <c r="AS128" s="73"/>
      <c r="AT128" s="73"/>
      <c r="AU128" s="73"/>
      <c r="AV128" s="318"/>
      <c r="AW128" s="73"/>
      <c r="AX128" s="73"/>
      <c r="AY128" s="277"/>
      <c r="AZ128" s="33"/>
      <c r="BA128" s="46"/>
      <c r="BB128" s="78"/>
      <c r="BC128" s="34"/>
      <c r="BD128" s="28"/>
    </row>
    <row r="129" spans="1:60" ht="5.15" customHeight="1">
      <c r="A129" s="22"/>
      <c r="B129" s="202"/>
      <c r="C129" s="476"/>
      <c r="D129" s="72"/>
      <c r="E129" s="72"/>
      <c r="F129" s="72"/>
      <c r="G129" s="72"/>
      <c r="H129" s="297"/>
      <c r="I129" s="278"/>
      <c r="J129" s="279"/>
      <c r="K129" s="278"/>
      <c r="L129" s="279"/>
      <c r="M129" s="298"/>
      <c r="N129" s="298"/>
      <c r="O129" s="263"/>
      <c r="P129" s="298"/>
      <c r="Q129" s="263"/>
      <c r="R129" s="298"/>
      <c r="S129" s="72"/>
      <c r="T129" s="72"/>
      <c r="U129" s="72"/>
      <c r="V129" s="72"/>
      <c r="W129" s="72"/>
      <c r="X129" s="297"/>
      <c r="Y129" s="278"/>
      <c r="Z129" s="279"/>
      <c r="AA129" s="278"/>
      <c r="AB129" s="279"/>
      <c r="AC129" s="298"/>
      <c r="AD129" s="298"/>
      <c r="AE129" s="263"/>
      <c r="AF129" s="298"/>
      <c r="AG129" s="263"/>
      <c r="AH129" s="298"/>
      <c r="AI129" s="280"/>
      <c r="AJ129" s="298"/>
      <c r="AK129" s="263"/>
      <c r="AL129" s="72"/>
      <c r="AM129" s="72"/>
      <c r="AN129" s="72"/>
      <c r="AO129" s="72"/>
      <c r="AP129" s="72"/>
      <c r="AQ129" s="72"/>
      <c r="AR129" s="72"/>
      <c r="AS129" s="72"/>
      <c r="AT129" s="72"/>
      <c r="AU129" s="72"/>
      <c r="AV129" s="300"/>
      <c r="AW129" s="72"/>
      <c r="AX129" s="72"/>
      <c r="AY129" s="264"/>
      <c r="AZ129" s="33"/>
      <c r="BA129" s="46"/>
      <c r="BB129" s="78"/>
      <c r="BC129" s="34"/>
      <c r="BD129" s="28"/>
    </row>
    <row r="130" spans="1:60" ht="14.15" customHeight="1">
      <c r="A130" s="22"/>
      <c r="B130" s="202">
        <v>35</v>
      </c>
      <c r="C130" s="62" t="s">
        <v>243</v>
      </c>
      <c r="D130" s="332"/>
      <c r="E130" s="65"/>
      <c r="F130" s="65"/>
      <c r="G130" s="65"/>
      <c r="H130" s="65"/>
      <c r="I130" s="65"/>
      <c r="J130" s="986"/>
      <c r="K130" s="986"/>
      <c r="L130" s="986"/>
      <c r="M130" s="986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125"/>
      <c r="AU130" s="65"/>
      <c r="AV130" s="65"/>
      <c r="AW130" s="65"/>
      <c r="AX130" s="65"/>
      <c r="AY130" s="65"/>
      <c r="AZ130" s="33"/>
      <c r="BA130" s="46"/>
      <c r="BB130" s="335"/>
      <c r="BC130" s="336"/>
      <c r="BD130" s="28"/>
      <c r="BG130" s="24"/>
      <c r="BH130" s="28"/>
    </row>
    <row r="131" spans="1:60" ht="5.15" customHeight="1">
      <c r="A131" s="22"/>
      <c r="B131" s="202"/>
      <c r="C131" s="296"/>
      <c r="D131" s="72"/>
      <c r="E131" s="72"/>
      <c r="F131" s="72"/>
      <c r="G131" s="72"/>
      <c r="H131" s="297"/>
      <c r="I131" s="278"/>
      <c r="J131" s="279"/>
      <c r="K131" s="278"/>
      <c r="L131" s="279"/>
      <c r="M131" s="298"/>
      <c r="N131" s="298"/>
      <c r="O131" s="263"/>
      <c r="P131" s="298"/>
      <c r="Q131" s="263"/>
      <c r="R131" s="298"/>
      <c r="S131" s="72"/>
      <c r="T131" s="72"/>
      <c r="U131" s="72"/>
      <c r="V131" s="72"/>
      <c r="W131" s="72"/>
      <c r="X131" s="297"/>
      <c r="Y131" s="278"/>
      <c r="Z131" s="279"/>
      <c r="AA131" s="278"/>
      <c r="AB131" s="279"/>
      <c r="AC131" s="298"/>
      <c r="AD131" s="298"/>
      <c r="AE131" s="263"/>
      <c r="AF131" s="298"/>
      <c r="AG131" s="263"/>
      <c r="AH131" s="298"/>
      <c r="AI131" s="280"/>
      <c r="AJ131" s="298"/>
      <c r="AK131" s="263"/>
      <c r="AL131" s="72"/>
      <c r="AM131" s="72"/>
      <c r="AN131" s="72"/>
      <c r="AO131" s="72"/>
      <c r="AP131" s="72"/>
      <c r="AQ131" s="72"/>
      <c r="AR131" s="72"/>
      <c r="AS131" s="72"/>
      <c r="AT131" s="72"/>
      <c r="AU131" s="72"/>
      <c r="AV131" s="300"/>
      <c r="AW131" s="72"/>
      <c r="AX131" s="72"/>
      <c r="AY131" s="265"/>
      <c r="AZ131" s="33"/>
      <c r="BA131" s="46"/>
      <c r="BB131" s="78"/>
      <c r="BC131" s="34"/>
      <c r="BD131" s="28"/>
    </row>
    <row r="132" spans="1:60" ht="14.15" customHeight="1">
      <c r="A132" s="23"/>
      <c r="B132" s="351"/>
      <c r="C132" s="282"/>
      <c r="D132" s="28" t="s">
        <v>240</v>
      </c>
      <c r="E132" s="28"/>
      <c r="F132" s="28"/>
      <c r="G132" s="28"/>
      <c r="H132" s="468" t="s">
        <v>241</v>
      </c>
      <c r="I132" s="257"/>
      <c r="J132" s="258"/>
      <c r="K132" s="258"/>
      <c r="L132" s="258"/>
      <c r="M132" s="259"/>
      <c r="N132" s="258"/>
      <c r="O132" s="110"/>
      <c r="P132" s="261" t="s">
        <v>33</v>
      </c>
      <c r="Q132" s="25"/>
      <c r="R132" s="469" t="s">
        <v>242</v>
      </c>
      <c r="S132" s="470"/>
      <c r="T132" s="471"/>
      <c r="U132" s="471"/>
      <c r="V132" s="483"/>
      <c r="W132" s="484" t="s">
        <v>254</v>
      </c>
      <c r="X132" s="471"/>
      <c r="Y132" s="473"/>
      <c r="Z132" s="474"/>
      <c r="AB132" s="529" t="s">
        <v>290</v>
      </c>
      <c r="AC132" s="530"/>
      <c r="AD132" s="531"/>
      <c r="AE132" s="531"/>
      <c r="AF132" s="531"/>
      <c r="AG132" s="532"/>
      <c r="AH132" s="531"/>
      <c r="AI132" s="533"/>
      <c r="AJ132" s="532"/>
      <c r="AK132" s="61"/>
      <c r="AL132" s="61"/>
      <c r="AM132" s="533"/>
      <c r="AN132" s="533"/>
      <c r="AO132" s="531"/>
      <c r="AP132" s="534"/>
      <c r="AQ132" s="531"/>
      <c r="AR132" s="531"/>
      <c r="AS132" s="531"/>
      <c r="AT132" s="531"/>
      <c r="AU132" s="535"/>
      <c r="AV132" s="533"/>
      <c r="AW132" s="533"/>
      <c r="AX132" s="70"/>
      <c r="AY132" s="347"/>
      <c r="AZ132" s="33"/>
      <c r="BA132" s="46"/>
      <c r="BB132" s="78"/>
      <c r="BC132" s="34"/>
      <c r="BD132" s="28"/>
      <c r="BG132" s="35"/>
    </row>
    <row r="133" spans="1:60" ht="14.15" customHeight="1">
      <c r="A133" s="23"/>
      <c r="B133" s="351"/>
      <c r="C133" s="282"/>
      <c r="D133" s="28"/>
      <c r="E133" s="28"/>
      <c r="F133" s="28"/>
      <c r="G133" s="28"/>
      <c r="H133" s="469" t="s">
        <v>253</v>
      </c>
      <c r="I133" s="470"/>
      <c r="J133" s="471"/>
      <c r="K133" s="471"/>
      <c r="L133" s="471"/>
      <c r="M133" s="472"/>
      <c r="N133" s="471"/>
      <c r="O133" s="473"/>
      <c r="P133" s="472"/>
      <c r="Q133" s="479"/>
      <c r="R133" s="479"/>
      <c r="S133" s="473"/>
      <c r="T133" s="473"/>
      <c r="U133" s="471"/>
      <c r="V133" s="480"/>
      <c r="W133" s="471"/>
      <c r="X133" s="471"/>
      <c r="Y133" s="471"/>
      <c r="Z133" s="471"/>
      <c r="AA133" s="481"/>
      <c r="AB133" s="473"/>
      <c r="AC133" s="473"/>
      <c r="AD133" s="479"/>
      <c r="AE133" s="471"/>
      <c r="AF133" s="471"/>
      <c r="AG133" s="472"/>
      <c r="AH133" s="471"/>
      <c r="AI133" s="473"/>
      <c r="AJ133" s="472"/>
      <c r="AK133" s="479"/>
      <c r="AL133" s="479"/>
      <c r="AM133" s="473"/>
      <c r="AN133" s="473"/>
      <c r="AO133" s="471"/>
      <c r="AP133" s="480"/>
      <c r="AQ133" s="471"/>
      <c r="AR133" s="471"/>
      <c r="AS133" s="471"/>
      <c r="AT133" s="471"/>
      <c r="AU133" s="481"/>
      <c r="AV133" s="473"/>
      <c r="AW133" s="473"/>
      <c r="AX133" s="482"/>
      <c r="AY133" s="347"/>
      <c r="AZ133" s="33"/>
      <c r="BA133" s="46"/>
      <c r="BB133" s="78"/>
      <c r="BC133" s="34"/>
      <c r="BD133" s="28"/>
      <c r="BG133" s="35"/>
    </row>
    <row r="134" spans="1:60" ht="5.15" customHeight="1">
      <c r="A134" s="22"/>
      <c r="B134" s="202"/>
      <c r="C134" s="315"/>
      <c r="D134" s="73"/>
      <c r="E134" s="73"/>
      <c r="F134" s="73"/>
      <c r="G134" s="73"/>
      <c r="H134" s="316"/>
      <c r="I134" s="275"/>
      <c r="J134" s="273"/>
      <c r="K134" s="275"/>
      <c r="L134" s="273"/>
      <c r="M134" s="317"/>
      <c r="N134" s="317"/>
      <c r="O134" s="270"/>
      <c r="P134" s="317"/>
      <c r="Q134" s="270"/>
      <c r="R134" s="317"/>
      <c r="S134" s="73"/>
      <c r="T134" s="73"/>
      <c r="U134" s="73"/>
      <c r="V134" s="73"/>
      <c r="W134" s="73"/>
      <c r="X134" s="316"/>
      <c r="Y134" s="275"/>
      <c r="Z134" s="273"/>
      <c r="AA134" s="275"/>
      <c r="AB134" s="273"/>
      <c r="AC134" s="317"/>
      <c r="AD134" s="317"/>
      <c r="AE134" s="270"/>
      <c r="AF134" s="317"/>
      <c r="AG134" s="270"/>
      <c r="AH134" s="317"/>
      <c r="AI134" s="276"/>
      <c r="AJ134" s="317"/>
      <c r="AK134" s="270"/>
      <c r="AL134" s="73"/>
      <c r="AM134" s="73"/>
      <c r="AN134" s="73"/>
      <c r="AO134" s="73"/>
      <c r="AP134" s="73"/>
      <c r="AQ134" s="73"/>
      <c r="AR134" s="73"/>
      <c r="AS134" s="73"/>
      <c r="AT134" s="73"/>
      <c r="AU134" s="73"/>
      <c r="AV134" s="318"/>
      <c r="AW134" s="73"/>
      <c r="AX134" s="73"/>
      <c r="AY134" s="277"/>
      <c r="AZ134" s="33"/>
      <c r="BA134" s="46"/>
      <c r="BB134" s="78"/>
      <c r="BC134" s="34"/>
      <c r="BD134" s="28"/>
    </row>
    <row r="135" spans="1:60" ht="5.15" customHeight="1">
      <c r="A135" s="22"/>
      <c r="B135" s="202"/>
      <c r="C135" s="476"/>
      <c r="D135" s="72"/>
      <c r="E135" s="72"/>
      <c r="F135" s="72"/>
      <c r="G135" s="72"/>
      <c r="H135" s="297"/>
      <c r="I135" s="278"/>
      <c r="J135" s="279"/>
      <c r="K135" s="278"/>
      <c r="L135" s="279"/>
      <c r="M135" s="298"/>
      <c r="N135" s="298"/>
      <c r="O135" s="263"/>
      <c r="P135" s="298"/>
      <c r="Q135" s="263"/>
      <c r="R135" s="298"/>
      <c r="S135" s="72"/>
      <c r="T135" s="72"/>
      <c r="U135" s="72"/>
      <c r="V135" s="72"/>
      <c r="W135" s="72"/>
      <c r="X135" s="297"/>
      <c r="Y135" s="278"/>
      <c r="Z135" s="279"/>
      <c r="AA135" s="278"/>
      <c r="AB135" s="279"/>
      <c r="AC135" s="298"/>
      <c r="AD135" s="298"/>
      <c r="AE135" s="263"/>
      <c r="AF135" s="298"/>
      <c r="AG135" s="263"/>
      <c r="AH135" s="298"/>
      <c r="AI135" s="280"/>
      <c r="AJ135" s="298"/>
      <c r="AK135" s="263"/>
      <c r="AL135" s="72"/>
      <c r="AM135" s="72"/>
      <c r="AN135" s="72"/>
      <c r="AO135" s="72"/>
      <c r="AP135" s="72"/>
      <c r="AQ135" s="72"/>
      <c r="AR135" s="72"/>
      <c r="AS135" s="72"/>
      <c r="AT135" s="72"/>
      <c r="AU135" s="72"/>
      <c r="AV135" s="300"/>
      <c r="AW135" s="72"/>
      <c r="AX135" s="72"/>
      <c r="AY135" s="264"/>
      <c r="AZ135" s="33"/>
      <c r="BA135" s="46"/>
      <c r="BB135" s="78"/>
      <c r="BC135" s="34"/>
      <c r="BD135" s="28"/>
    </row>
    <row r="136" spans="1:60" ht="14.15" customHeight="1">
      <c r="A136" s="22"/>
      <c r="B136" s="202">
        <v>35</v>
      </c>
      <c r="C136" s="62" t="s">
        <v>243</v>
      </c>
      <c r="D136" s="332"/>
      <c r="E136" s="65"/>
      <c r="F136" s="65"/>
      <c r="G136" s="65"/>
      <c r="H136" s="65"/>
      <c r="I136" s="65"/>
      <c r="J136" s="477"/>
      <c r="K136" s="477"/>
      <c r="L136" s="477"/>
      <c r="M136" s="477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125"/>
      <c r="AU136" s="65"/>
      <c r="AV136" s="65"/>
      <c r="AW136" s="65"/>
      <c r="AX136" s="65"/>
      <c r="AY136" s="65"/>
      <c r="AZ136" s="33"/>
      <c r="BA136" s="46"/>
      <c r="BB136" s="335"/>
      <c r="BC136" s="336"/>
      <c r="BD136" s="28"/>
      <c r="BG136" s="24"/>
      <c r="BH136" s="28"/>
    </row>
    <row r="137" spans="1:60" ht="14.15" customHeight="1">
      <c r="A137" s="22"/>
      <c r="B137" s="202">
        <v>35</v>
      </c>
      <c r="C137" s="331"/>
      <c r="D137" s="332"/>
      <c r="E137" s="65"/>
      <c r="F137" s="65"/>
      <c r="G137" s="65"/>
      <c r="H137" s="65"/>
      <c r="I137" s="65"/>
      <c r="J137" s="477"/>
      <c r="K137" s="477"/>
      <c r="L137" s="477"/>
      <c r="M137" s="477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125"/>
      <c r="AU137" s="65"/>
      <c r="AV137" s="65"/>
      <c r="AW137" s="65"/>
      <c r="AX137" s="65"/>
      <c r="AY137" s="65"/>
      <c r="AZ137" s="33"/>
      <c r="BA137" s="46"/>
      <c r="BB137" s="335"/>
      <c r="BC137" s="336"/>
      <c r="BD137" s="28"/>
      <c r="BG137" s="24"/>
      <c r="BH137" s="28"/>
    </row>
    <row r="138" spans="1:60" ht="14.15" customHeight="1">
      <c r="A138" s="22"/>
      <c r="B138" s="202">
        <v>35</v>
      </c>
      <c r="C138" s="346" t="s">
        <v>249</v>
      </c>
      <c r="D138" s="332"/>
      <c r="E138" s="65"/>
      <c r="F138" s="65"/>
      <c r="G138" s="65"/>
      <c r="H138" s="65"/>
      <c r="I138" s="65"/>
      <c r="J138" s="986"/>
      <c r="K138" s="986"/>
      <c r="L138" s="986"/>
      <c r="M138" s="986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125"/>
      <c r="AU138" s="65"/>
      <c r="AV138" s="65"/>
      <c r="AW138" s="65"/>
      <c r="AX138" s="65"/>
      <c r="AY138" s="65"/>
      <c r="AZ138" s="33"/>
      <c r="BA138" s="46"/>
      <c r="BB138" s="335"/>
      <c r="BC138" s="336"/>
      <c r="BD138" s="28"/>
      <c r="BG138" s="24"/>
      <c r="BH138" s="28"/>
    </row>
    <row r="139" spans="1:60" ht="5.15" customHeight="1">
      <c r="A139" s="22"/>
      <c r="B139" s="202"/>
      <c r="C139" s="296"/>
      <c r="D139" s="72"/>
      <c r="E139" s="72"/>
      <c r="F139" s="72"/>
      <c r="G139" s="72"/>
      <c r="H139" s="297"/>
      <c r="I139" s="278"/>
      <c r="J139" s="279"/>
      <c r="K139" s="278"/>
      <c r="L139" s="279"/>
      <c r="M139" s="298"/>
      <c r="N139" s="298"/>
      <c r="O139" s="263"/>
      <c r="P139" s="298"/>
      <c r="Q139" s="263"/>
      <c r="R139" s="298"/>
      <c r="S139" s="72"/>
      <c r="T139" s="72"/>
      <c r="U139" s="72"/>
      <c r="V139" s="72"/>
      <c r="W139" s="72"/>
      <c r="X139" s="297"/>
      <c r="Y139" s="278"/>
      <c r="Z139" s="279"/>
      <c r="AA139" s="278"/>
      <c r="AB139" s="279"/>
      <c r="AC139" s="298"/>
      <c r="AD139" s="298"/>
      <c r="AE139" s="263"/>
      <c r="AF139" s="298"/>
      <c r="AG139" s="263"/>
      <c r="AH139" s="298"/>
      <c r="AI139" s="280"/>
      <c r="AJ139" s="298"/>
      <c r="AK139" s="263"/>
      <c r="AL139" s="72"/>
      <c r="AM139" s="72"/>
      <c r="AN139" s="72"/>
      <c r="AO139" s="72"/>
      <c r="AP139" s="72"/>
      <c r="AQ139" s="72"/>
      <c r="AR139" s="72"/>
      <c r="AS139" s="72"/>
      <c r="AT139" s="72"/>
      <c r="AU139" s="72"/>
      <c r="AV139" s="300"/>
      <c r="AW139" s="72"/>
      <c r="AX139" s="72"/>
      <c r="AY139" s="265"/>
      <c r="AZ139" s="33"/>
      <c r="BA139" s="46"/>
      <c r="BB139" s="335"/>
      <c r="BC139" s="336"/>
      <c r="BD139" s="28"/>
    </row>
    <row r="140" spans="1:60" ht="13.5" customHeight="1">
      <c r="A140" s="22"/>
      <c r="B140" s="45"/>
      <c r="C140" s="266"/>
      <c r="D140" s="28" t="s">
        <v>250</v>
      </c>
      <c r="E140" s="28"/>
      <c r="F140" s="28"/>
      <c r="G140" s="28"/>
      <c r="H140" s="24"/>
      <c r="I140" s="24"/>
      <c r="J140" s="24"/>
      <c r="K140" s="24"/>
      <c r="L140" s="24"/>
      <c r="M140" s="127"/>
      <c r="N140" s="75"/>
      <c r="O140" s="84"/>
      <c r="P140" s="84"/>
      <c r="Q140" s="85"/>
      <c r="R140" s="75"/>
      <c r="S140" s="75"/>
      <c r="T140" s="75"/>
      <c r="U140" s="84"/>
      <c r="V140" s="85"/>
      <c r="W140" s="75"/>
      <c r="X140" s="65"/>
      <c r="Y140" s="28"/>
      <c r="Z140" s="28"/>
      <c r="AA140" s="28"/>
      <c r="AB140" s="28"/>
      <c r="AC140" s="28"/>
      <c r="AD140" s="28"/>
      <c r="AE140" s="28"/>
      <c r="AF140" s="28"/>
      <c r="AG140" s="28"/>
      <c r="AH140" s="28"/>
      <c r="AI140" s="28"/>
      <c r="AJ140" s="28"/>
      <c r="AK140" s="28"/>
      <c r="AL140" s="28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65"/>
      <c r="AY140" s="267"/>
      <c r="AZ140" s="33"/>
      <c r="BA140" s="46"/>
      <c r="BB140" s="335"/>
      <c r="BC140" s="336"/>
      <c r="BD140" s="28"/>
      <c r="BE140" s="35"/>
      <c r="BF140" s="35"/>
      <c r="BG140" s="35"/>
    </row>
    <row r="141" spans="1:60" ht="13.5" customHeight="1">
      <c r="A141" s="22"/>
      <c r="B141" s="45"/>
      <c r="C141" s="266"/>
      <c r="D141" s="28"/>
      <c r="E141" s="28"/>
      <c r="F141" s="28"/>
      <c r="G141" s="28"/>
      <c r="H141" s="348" t="s">
        <v>252</v>
      </c>
      <c r="I141" s="131"/>
      <c r="J141" s="131"/>
      <c r="K141" s="131"/>
      <c r="L141" s="132"/>
      <c r="M141" s="132"/>
      <c r="N141" s="106"/>
      <c r="O141" s="133"/>
      <c r="P141" s="134"/>
      <c r="Q141" s="133" t="s">
        <v>251</v>
      </c>
      <c r="R141" s="134"/>
      <c r="S141" s="107"/>
      <c r="T141" s="107"/>
      <c r="U141" s="107"/>
      <c r="V141" s="107"/>
      <c r="W141" s="107"/>
      <c r="X141" s="107"/>
      <c r="Y141" s="107"/>
      <c r="Z141" s="107"/>
      <c r="AA141" s="107"/>
      <c r="AB141" s="107"/>
      <c r="AC141" s="107"/>
      <c r="AD141" s="107"/>
      <c r="AE141" s="107"/>
      <c r="AF141" s="107"/>
      <c r="AG141" s="107"/>
      <c r="AH141" s="107"/>
      <c r="AI141" s="107"/>
      <c r="AJ141" s="107"/>
      <c r="AK141" s="107"/>
      <c r="AL141" s="133" t="s">
        <v>44</v>
      </c>
      <c r="AM141" s="134"/>
      <c r="AN141" s="107"/>
      <c r="AO141" s="31"/>
      <c r="AP141" s="31"/>
      <c r="AQ141" s="31"/>
      <c r="AR141" s="31"/>
      <c r="AS141" s="31"/>
      <c r="AT141" s="31"/>
      <c r="AU141" s="31"/>
      <c r="AV141" s="31"/>
      <c r="AW141" s="31"/>
      <c r="AX141" s="65"/>
      <c r="AY141" s="267"/>
      <c r="AZ141" s="33"/>
      <c r="BA141" s="46"/>
      <c r="BB141" s="335"/>
      <c r="BC141" s="336"/>
      <c r="BD141" s="28"/>
      <c r="BE141" s="35"/>
      <c r="BF141" s="35"/>
      <c r="BG141" s="35"/>
    </row>
    <row r="142" spans="1:60" ht="13.5" customHeight="1">
      <c r="A142" s="22"/>
      <c r="B142" s="45"/>
      <c r="C142" s="266"/>
      <c r="D142" s="28"/>
      <c r="E142" s="28"/>
      <c r="F142" s="28"/>
      <c r="G142" s="28"/>
      <c r="H142" s="485" t="s">
        <v>255</v>
      </c>
      <c r="I142" s="137"/>
      <c r="J142" s="137"/>
      <c r="K142" s="137"/>
      <c r="L142" s="137"/>
      <c r="M142" s="137"/>
      <c r="N142" s="137"/>
      <c r="O142" s="350"/>
      <c r="P142" s="139"/>
      <c r="Q142" s="486" t="s">
        <v>54</v>
      </c>
      <c r="R142" s="139"/>
      <c r="S142" s="108"/>
      <c r="T142" s="108"/>
      <c r="U142" s="108"/>
      <c r="V142" s="156"/>
      <c r="W142" s="110"/>
      <c r="X142" s="110"/>
      <c r="Y142" s="156"/>
      <c r="Z142" s="156"/>
      <c r="AA142" s="110"/>
      <c r="AB142" s="110"/>
      <c r="AC142" s="37"/>
      <c r="AD142" s="37"/>
      <c r="AE142" s="37"/>
      <c r="AF142" s="37"/>
      <c r="AG142" s="37"/>
      <c r="AH142" s="37"/>
      <c r="AI142" s="37"/>
      <c r="AJ142" s="37"/>
      <c r="AK142" s="97"/>
      <c r="AL142" s="140"/>
      <c r="AM142" s="141"/>
      <c r="AN142" s="142"/>
      <c r="AO142" s="31"/>
      <c r="AP142" s="31"/>
      <c r="AQ142" s="31"/>
      <c r="AR142" s="31"/>
      <c r="AS142" s="31"/>
      <c r="AT142" s="31"/>
      <c r="AU142" s="31"/>
      <c r="AV142" s="31"/>
      <c r="AW142" s="31"/>
      <c r="AX142" s="65"/>
      <c r="AY142" s="267"/>
      <c r="AZ142" s="33"/>
      <c r="BA142" s="46"/>
      <c r="BB142" s="335"/>
      <c r="BC142" s="336"/>
      <c r="BD142" s="28"/>
      <c r="BE142" s="35"/>
      <c r="BF142" s="35"/>
      <c r="BG142" s="35"/>
    </row>
    <row r="143" spans="1:60" ht="13.5" customHeight="1">
      <c r="A143" s="22"/>
      <c r="B143" s="45"/>
      <c r="C143" s="266"/>
      <c r="D143" s="28"/>
      <c r="E143" s="28"/>
      <c r="F143" s="28"/>
      <c r="G143" s="28"/>
      <c r="H143" s="485" t="s">
        <v>256</v>
      </c>
      <c r="I143" s="137"/>
      <c r="J143" s="137"/>
      <c r="K143" s="137"/>
      <c r="L143" s="137"/>
      <c r="M143" s="137"/>
      <c r="N143" s="137"/>
      <c r="O143" s="350"/>
      <c r="P143" s="139"/>
      <c r="Q143" s="486" t="s">
        <v>54</v>
      </c>
      <c r="R143" s="139"/>
      <c r="S143" s="108"/>
      <c r="T143" s="108"/>
      <c r="U143" s="108"/>
      <c r="V143" s="156"/>
      <c r="W143" s="110"/>
      <c r="X143" s="110"/>
      <c r="Y143" s="156"/>
      <c r="Z143" s="156"/>
      <c r="AA143" s="110"/>
      <c r="AB143" s="110"/>
      <c r="AC143" s="37"/>
      <c r="AD143" s="37"/>
      <c r="AE143" s="37"/>
      <c r="AF143" s="37"/>
      <c r="AG143" s="37"/>
      <c r="AH143" s="37"/>
      <c r="AI143" s="37"/>
      <c r="AJ143" s="37"/>
      <c r="AK143" s="97"/>
      <c r="AL143" s="140"/>
      <c r="AM143" s="141"/>
      <c r="AN143" s="142"/>
      <c r="AO143" s="31"/>
      <c r="AP143" s="31"/>
      <c r="AQ143" s="31"/>
      <c r="AR143" s="31"/>
      <c r="AS143" s="31"/>
      <c r="AT143" s="31"/>
      <c r="AU143" s="31"/>
      <c r="AV143" s="31"/>
      <c r="AW143" s="31"/>
      <c r="AX143" s="65"/>
      <c r="AY143" s="267"/>
      <c r="AZ143" s="33"/>
      <c r="BA143" s="46"/>
      <c r="BB143" s="335"/>
      <c r="BC143" s="336"/>
      <c r="BD143" s="28"/>
      <c r="BE143" s="35"/>
      <c r="BF143" s="35"/>
      <c r="BG143" s="35"/>
    </row>
    <row r="144" spans="1:60" ht="13.5" customHeight="1">
      <c r="A144" s="22"/>
      <c r="B144" s="45"/>
      <c r="C144" s="266"/>
      <c r="D144" s="28"/>
      <c r="E144" s="28"/>
      <c r="F144" s="28"/>
      <c r="G144" s="28"/>
      <c r="H144" s="485" t="s">
        <v>257</v>
      </c>
      <c r="I144" s="137"/>
      <c r="J144" s="137"/>
      <c r="K144" s="137"/>
      <c r="L144" s="137"/>
      <c r="M144" s="137"/>
      <c r="N144" s="137"/>
      <c r="O144" s="350"/>
      <c r="P144" s="139"/>
      <c r="Q144" s="486" t="s">
        <v>54</v>
      </c>
      <c r="R144" s="139"/>
      <c r="S144" s="108"/>
      <c r="T144" s="108"/>
      <c r="U144" s="108"/>
      <c r="V144" s="156"/>
      <c r="W144" s="110"/>
      <c r="X144" s="110"/>
      <c r="Y144" s="156"/>
      <c r="Z144" s="156"/>
      <c r="AA144" s="110"/>
      <c r="AB144" s="110"/>
      <c r="AC144" s="37"/>
      <c r="AD144" s="37"/>
      <c r="AE144" s="37"/>
      <c r="AF144" s="37"/>
      <c r="AG144" s="37"/>
      <c r="AH144" s="37"/>
      <c r="AI144" s="37"/>
      <c r="AJ144" s="37"/>
      <c r="AK144" s="97"/>
      <c r="AL144" s="140"/>
      <c r="AM144" s="141"/>
      <c r="AN144" s="142"/>
      <c r="AO144" s="31"/>
      <c r="AP144" s="31"/>
      <c r="AQ144" s="31"/>
      <c r="AR144" s="31"/>
      <c r="AS144" s="31"/>
      <c r="AT144" s="31"/>
      <c r="AU144" s="31"/>
      <c r="AV144" s="31"/>
      <c r="AW144" s="31"/>
      <c r="AX144" s="65"/>
      <c r="AY144" s="267"/>
      <c r="AZ144" s="33"/>
      <c r="BA144" s="46"/>
      <c r="BB144" s="335"/>
      <c r="BC144" s="336"/>
      <c r="BD144" s="28"/>
      <c r="BE144" s="35"/>
      <c r="BF144" s="35"/>
      <c r="BG144" s="35"/>
    </row>
    <row r="145" spans="1:60" ht="5.15" customHeight="1">
      <c r="A145" s="22"/>
      <c r="B145" s="202"/>
      <c r="C145" s="315"/>
      <c r="D145" s="73"/>
      <c r="E145" s="73"/>
      <c r="F145" s="73"/>
      <c r="G145" s="73"/>
      <c r="H145" s="316"/>
      <c r="I145" s="275"/>
      <c r="J145" s="273"/>
      <c r="K145" s="275"/>
      <c r="L145" s="273"/>
      <c r="M145" s="317"/>
      <c r="N145" s="317"/>
      <c r="O145" s="270"/>
      <c r="P145" s="317"/>
      <c r="Q145" s="270"/>
      <c r="R145" s="317"/>
      <c r="S145" s="73"/>
      <c r="T145" s="73"/>
      <c r="U145" s="73"/>
      <c r="V145" s="73"/>
      <c r="W145" s="73"/>
      <c r="X145" s="316"/>
      <c r="Y145" s="275"/>
      <c r="Z145" s="273"/>
      <c r="AA145" s="275"/>
      <c r="AB145" s="273"/>
      <c r="AC145" s="317"/>
      <c r="AD145" s="317"/>
      <c r="AE145" s="270"/>
      <c r="AF145" s="317"/>
      <c r="AG145" s="270"/>
      <c r="AH145" s="317"/>
      <c r="AI145" s="276"/>
      <c r="AJ145" s="317"/>
      <c r="AK145" s="270"/>
      <c r="AL145" s="73"/>
      <c r="AM145" s="73"/>
      <c r="AN145" s="73"/>
      <c r="AO145" s="73"/>
      <c r="AP145" s="73"/>
      <c r="AQ145" s="73"/>
      <c r="AR145" s="73"/>
      <c r="AS145" s="73"/>
      <c r="AT145" s="73"/>
      <c r="AU145" s="73"/>
      <c r="AV145" s="318"/>
      <c r="AW145" s="73"/>
      <c r="AX145" s="73"/>
      <c r="AY145" s="277"/>
      <c r="AZ145" s="33"/>
      <c r="BA145" s="46"/>
      <c r="BB145" s="335"/>
      <c r="BC145" s="336"/>
      <c r="BD145" s="28"/>
    </row>
    <row r="146" spans="1:60" ht="14.15" customHeight="1">
      <c r="A146" s="22"/>
      <c r="B146" s="202">
        <v>35</v>
      </c>
      <c r="C146" s="331"/>
      <c r="D146" s="332"/>
      <c r="E146" s="65"/>
      <c r="F146" s="65"/>
      <c r="G146" s="65"/>
      <c r="H146" s="65"/>
      <c r="I146" s="65"/>
      <c r="J146" s="986"/>
      <c r="K146" s="986"/>
      <c r="L146" s="986"/>
      <c r="M146" s="986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125"/>
      <c r="AU146" s="65"/>
      <c r="AV146" s="65"/>
      <c r="AW146" s="65"/>
      <c r="AX146" s="65"/>
      <c r="AY146" s="65"/>
      <c r="AZ146" s="33"/>
      <c r="BA146" s="46"/>
      <c r="BB146" s="78"/>
      <c r="BC146" s="34"/>
      <c r="BD146" s="28"/>
      <c r="BG146" s="24"/>
      <c r="BH146" s="28"/>
    </row>
    <row r="147" spans="1:60" ht="13.5" customHeight="1">
      <c r="A147" s="22"/>
      <c r="B147" s="202">
        <v>36</v>
      </c>
      <c r="C147" s="331"/>
      <c r="D147" s="332"/>
      <c r="E147" s="65"/>
      <c r="F147" s="65"/>
      <c r="G147" s="65"/>
      <c r="H147" s="65"/>
      <c r="I147" s="65"/>
      <c r="J147" s="986"/>
      <c r="K147" s="986"/>
      <c r="L147" s="986"/>
      <c r="M147" s="986"/>
      <c r="N147" s="63"/>
      <c r="O147" s="65"/>
      <c r="P147" s="65"/>
      <c r="Q147" s="65"/>
      <c r="R147" s="28"/>
      <c r="S147" s="28"/>
      <c r="T147" s="31"/>
      <c r="U147" s="31"/>
      <c r="V147" s="31"/>
      <c r="W147" s="31"/>
      <c r="X147" s="31"/>
      <c r="Y147" s="44"/>
      <c r="Z147" s="31"/>
      <c r="AA147" s="28"/>
      <c r="AB147" s="44"/>
      <c r="AC147" s="31"/>
      <c r="AD147" s="28"/>
      <c r="AE147" s="44"/>
      <c r="AF147" s="28"/>
      <c r="AG147" s="116"/>
      <c r="AH147" s="41"/>
      <c r="AI147" s="116"/>
      <c r="AJ147" s="116"/>
      <c r="AK147" s="116"/>
      <c r="AL147" s="116"/>
      <c r="AM147" s="116"/>
      <c r="AN147" s="116"/>
      <c r="AO147" s="116"/>
      <c r="AP147" s="116"/>
      <c r="AQ147" s="116"/>
      <c r="AR147" s="116"/>
      <c r="AS147" s="116"/>
      <c r="AT147" s="116"/>
      <c r="AU147" s="116"/>
      <c r="AV147" s="116"/>
      <c r="AW147" s="116"/>
      <c r="AX147" s="116"/>
      <c r="AY147" s="116"/>
      <c r="AZ147" s="33"/>
      <c r="BA147" s="46"/>
      <c r="BB147" s="335"/>
      <c r="BC147" s="336"/>
      <c r="BD147" s="28"/>
      <c r="BG147" s="24"/>
      <c r="BH147" s="28"/>
    </row>
    <row r="148" spans="1:60" ht="13.5" customHeight="1">
      <c r="A148" s="22"/>
      <c r="B148" s="202">
        <v>37</v>
      </c>
      <c r="C148" s="331"/>
      <c r="D148" s="332"/>
      <c r="E148" s="65"/>
      <c r="F148" s="65"/>
      <c r="G148" s="65"/>
      <c r="H148" s="65"/>
      <c r="I148" s="65"/>
      <c r="J148" s="986"/>
      <c r="K148" s="986"/>
      <c r="L148" s="986"/>
      <c r="M148" s="986"/>
      <c r="N148" s="193"/>
      <c r="O148" s="195"/>
      <c r="P148" s="193"/>
      <c r="Q148" s="194"/>
      <c r="R148" s="194"/>
      <c r="S148" s="194"/>
      <c r="T148" s="196"/>
      <c r="U148" s="196"/>
      <c r="V148" s="196"/>
      <c r="W148" s="196"/>
      <c r="X148" s="196"/>
      <c r="Y148" s="195"/>
      <c r="Z148" s="196"/>
      <c r="AA148" s="194"/>
      <c r="AB148" s="195"/>
      <c r="AC148" s="196"/>
      <c r="AD148" s="194"/>
      <c r="AE148" s="195"/>
      <c r="AF148" s="194"/>
      <c r="AG148" s="194"/>
      <c r="AH148" s="195"/>
      <c r="AI148" s="194"/>
      <c r="AJ148" s="194"/>
      <c r="AK148" s="197"/>
      <c r="AL148" s="194"/>
      <c r="AM148" s="194"/>
      <c r="AN148" s="194"/>
      <c r="AO148" s="194"/>
      <c r="AP148" s="194"/>
      <c r="AQ148" s="194"/>
      <c r="AR148" s="194"/>
      <c r="AS148" s="194"/>
      <c r="AT148" s="194"/>
      <c r="AU148" s="194"/>
      <c r="AV148" s="194"/>
      <c r="AW148" s="194"/>
      <c r="AX148" s="194"/>
      <c r="AY148" s="194"/>
      <c r="AZ148" s="33"/>
      <c r="BA148" s="46"/>
      <c r="BB148" s="335"/>
      <c r="BC148" s="336"/>
      <c r="BD148" s="28"/>
      <c r="BG148" s="24"/>
      <c r="BH148" s="28"/>
    </row>
    <row r="149" spans="1:60">
      <c r="A149" s="22"/>
      <c r="B149" s="32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81"/>
      <c r="T149" s="81"/>
      <c r="U149" s="81"/>
      <c r="V149" s="81"/>
      <c r="W149" s="28"/>
      <c r="X149" s="28"/>
      <c r="Y149" s="81"/>
      <c r="Z149" s="81"/>
      <c r="AA149" s="28"/>
      <c r="AB149" s="28"/>
      <c r="AC149" s="28"/>
      <c r="AD149" s="81"/>
      <c r="AE149" s="81"/>
      <c r="AF149" s="81"/>
      <c r="AG149" s="81"/>
      <c r="AH149" s="81"/>
      <c r="AI149" s="81"/>
      <c r="AJ149" s="81"/>
      <c r="AK149" s="81"/>
      <c r="AL149" s="81"/>
      <c r="AM149" s="81"/>
      <c r="AN149" s="81"/>
      <c r="AO149" s="81"/>
      <c r="AP149" s="81"/>
      <c r="AQ149" s="81"/>
      <c r="AR149" s="81"/>
      <c r="AS149" s="81"/>
      <c r="AT149" s="81"/>
      <c r="AU149" s="81"/>
      <c r="AV149" s="81"/>
      <c r="AW149" s="81"/>
      <c r="AX149" s="81"/>
      <c r="AY149" s="31"/>
      <c r="AZ149" s="33"/>
      <c r="BA149" s="46"/>
      <c r="BB149" s="335"/>
      <c r="BC149" s="336"/>
    </row>
    <row r="150" spans="1:60">
      <c r="A150" s="155"/>
      <c r="B150" s="95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  <c r="P150" s="110"/>
      <c r="Q150" s="110"/>
      <c r="R150" s="110"/>
      <c r="S150" s="156"/>
      <c r="T150" s="156"/>
      <c r="U150" s="156"/>
      <c r="V150" s="156"/>
      <c r="W150" s="110"/>
      <c r="X150" s="110"/>
      <c r="Y150" s="156"/>
      <c r="Z150" s="156"/>
      <c r="AA150" s="110"/>
      <c r="AB150" s="110"/>
      <c r="AC150" s="110"/>
      <c r="AD150" s="156"/>
      <c r="AE150" s="156"/>
      <c r="AF150" s="156"/>
      <c r="AG150" s="156"/>
      <c r="AH150" s="156"/>
      <c r="AI150" s="156"/>
      <c r="AJ150" s="156"/>
      <c r="AK150" s="156"/>
      <c r="AL150" s="156"/>
      <c r="AM150" s="156"/>
      <c r="AN150" s="156"/>
      <c r="AO150" s="156"/>
      <c r="AP150" s="156"/>
      <c r="AQ150" s="156"/>
      <c r="AR150" s="156"/>
      <c r="AS150" s="156"/>
      <c r="AT150" s="156"/>
      <c r="AU150" s="156"/>
      <c r="AV150" s="156"/>
      <c r="AW150" s="156"/>
      <c r="AX150" s="156"/>
      <c r="AY150" s="95"/>
      <c r="AZ150" s="95"/>
      <c r="BA150" s="157"/>
      <c r="BB150" s="355"/>
      <c r="BC150" s="356"/>
    </row>
  </sheetData>
  <mergeCells count="142">
    <mergeCell ref="AN1:AR1"/>
    <mergeCell ref="AS1:AU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BB5:BC5"/>
    <mergeCell ref="R56:U56"/>
    <mergeCell ref="AI56:AL56"/>
    <mergeCell ref="AM56:AP56"/>
    <mergeCell ref="AQ56:AT56"/>
    <mergeCell ref="Z56:AD56"/>
    <mergeCell ref="AU56:AX56"/>
    <mergeCell ref="AV1:AY1"/>
    <mergeCell ref="A5:BA5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H47:L47"/>
    <mergeCell ref="H48:L48"/>
    <mergeCell ref="AA1:AJ2"/>
    <mergeCell ref="AK1:AM1"/>
    <mergeCell ref="BG56:BI56"/>
    <mergeCell ref="AY56:BB56"/>
    <mergeCell ref="BG57:BI57"/>
    <mergeCell ref="X80:AA80"/>
    <mergeCell ref="AB80:AE80"/>
    <mergeCell ref="AF80:AJ80"/>
    <mergeCell ref="AK80:AN80"/>
    <mergeCell ref="AO80:AR80"/>
    <mergeCell ref="BA80:BD80"/>
    <mergeCell ref="BE80:BH80"/>
    <mergeCell ref="AY57:BB57"/>
    <mergeCell ref="BC56:BF56"/>
    <mergeCell ref="BC57:BF57"/>
    <mergeCell ref="AI57:AL57"/>
    <mergeCell ref="AM57:AP57"/>
    <mergeCell ref="AQ57:AT57"/>
    <mergeCell ref="Z57:AD57"/>
    <mergeCell ref="AU57:AX57"/>
    <mergeCell ref="Z64:AC64"/>
    <mergeCell ref="R57:U57"/>
    <mergeCell ref="J114:M114"/>
    <mergeCell ref="N64:S64"/>
    <mergeCell ref="T64:Y64"/>
    <mergeCell ref="N70:S70"/>
    <mergeCell ref="T70:Y70"/>
    <mergeCell ref="Z70:AC70"/>
    <mergeCell ref="T97:Y97"/>
    <mergeCell ref="Z97:AC97"/>
    <mergeCell ref="AW91:AZ91"/>
    <mergeCell ref="AK85:AN85"/>
    <mergeCell ref="AO85:AR85"/>
    <mergeCell ref="AS85:AV85"/>
    <mergeCell ref="AW85:AZ85"/>
    <mergeCell ref="N96:S96"/>
    <mergeCell ref="T96:Y96"/>
    <mergeCell ref="Z96:AC96"/>
    <mergeCell ref="N101:S101"/>
    <mergeCell ref="T101:Y101"/>
    <mergeCell ref="Z101:AC101"/>
    <mergeCell ref="J147:M147"/>
    <mergeCell ref="R98:U98"/>
    <mergeCell ref="J148:M148"/>
    <mergeCell ref="BM81:BP81"/>
    <mergeCell ref="CC81:CE81"/>
    <mergeCell ref="X91:AA91"/>
    <mergeCell ref="AF91:AJ91"/>
    <mergeCell ref="AB91:AE91"/>
    <mergeCell ref="AK91:AN91"/>
    <mergeCell ref="AO91:AR91"/>
    <mergeCell ref="AS91:AV91"/>
    <mergeCell ref="BQ81:BT81"/>
    <mergeCell ref="J124:M124"/>
    <mergeCell ref="J130:M130"/>
    <mergeCell ref="J138:M138"/>
    <mergeCell ref="J146:M146"/>
    <mergeCell ref="J122:M122"/>
    <mergeCell ref="AS81:AV81"/>
    <mergeCell ref="AW81:AZ81"/>
    <mergeCell ref="BI81:BL81"/>
    <mergeCell ref="N102:S102"/>
    <mergeCell ref="T102:Y102"/>
    <mergeCell ref="Z102:AC102"/>
    <mergeCell ref="N97:S97"/>
    <mergeCell ref="J121:M121"/>
    <mergeCell ref="BY80:CB80"/>
    <mergeCell ref="BY81:CB81"/>
    <mergeCell ref="BU80:BX80"/>
    <mergeCell ref="BU81:BX81"/>
    <mergeCell ref="BA91:BD91"/>
    <mergeCell ref="BE91:BH91"/>
    <mergeCell ref="BI80:BL80"/>
    <mergeCell ref="J93:M93"/>
    <mergeCell ref="BM80:BP80"/>
    <mergeCell ref="AS80:AV80"/>
    <mergeCell ref="AW80:AZ80"/>
    <mergeCell ref="X86:AA86"/>
    <mergeCell ref="AB86:AE86"/>
    <mergeCell ref="AF86:AJ86"/>
    <mergeCell ref="AK86:AN86"/>
    <mergeCell ref="AO86:AR86"/>
    <mergeCell ref="AS86:AV86"/>
    <mergeCell ref="AW86:AZ86"/>
    <mergeCell ref="BA86:BD86"/>
    <mergeCell ref="BE86:BH86"/>
    <mergeCell ref="X85:AA85"/>
    <mergeCell ref="AB85:AE85"/>
    <mergeCell ref="AF85:AJ85"/>
    <mergeCell ref="CC80:CE80"/>
    <mergeCell ref="X81:AA81"/>
    <mergeCell ref="AB81:AE81"/>
    <mergeCell ref="AF81:AJ81"/>
    <mergeCell ref="AK81:AN81"/>
    <mergeCell ref="AO81:AR81"/>
    <mergeCell ref="BA81:BD81"/>
    <mergeCell ref="BE81:BH81"/>
    <mergeCell ref="BQ80:BT80"/>
    <mergeCell ref="BE85:BH85"/>
    <mergeCell ref="X90:AA90"/>
    <mergeCell ref="AB90:AE90"/>
    <mergeCell ref="AF90:AJ90"/>
    <mergeCell ref="AK90:AN90"/>
    <mergeCell ref="AO90:AR90"/>
    <mergeCell ref="AS90:AV90"/>
    <mergeCell ref="AW90:AZ90"/>
    <mergeCell ref="BA90:BD90"/>
    <mergeCell ref="BE90:BH90"/>
    <mergeCell ref="BA85:BD85"/>
  </mergeCells>
  <phoneticPr fontId="57"/>
  <conditionalFormatting sqref="AK85:AV86">
    <cfRule type="cellIs" dxfId="19" priority="4" operator="lessThan">
      <formula>0</formula>
    </cfRule>
  </conditionalFormatting>
  <conditionalFormatting sqref="AK90:AV91">
    <cfRule type="cellIs" dxfId="18" priority="2" operator="lessThan">
      <formula>0</formula>
    </cfRule>
  </conditionalFormatting>
  <conditionalFormatting sqref="BA80:BD81">
    <cfRule type="cellIs" dxfId="17" priority="14" operator="lessThan">
      <formula>0.3</formula>
    </cfRule>
  </conditionalFormatting>
  <conditionalFormatting sqref="BE80:BH81">
    <cfRule type="cellIs" dxfId="16" priority="13" operator="lessThan">
      <formula>0</formula>
    </cfRule>
  </conditionalFormatting>
  <conditionalFormatting sqref="BE85:BH86">
    <cfRule type="cellIs" dxfId="15" priority="3" operator="lessThan">
      <formula>0.3</formula>
    </cfRule>
  </conditionalFormatting>
  <conditionalFormatting sqref="BE90:BH91">
    <cfRule type="cellIs" dxfId="14" priority="1" operator="lessThan">
      <formula>0.3</formula>
    </cfRule>
  </conditionalFormatting>
  <conditionalFormatting sqref="BQ80:BT81">
    <cfRule type="cellIs" dxfId="13" priority="11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74EBD-1876-4CED-B80F-E839595C5CAB}">
  <dimension ref="A1:CM117"/>
  <sheetViews>
    <sheetView showGridLines="0" zoomScaleNormal="100" zoomScaleSheetLayoutView="100" workbookViewId="0">
      <selection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46177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外貨(技術原計)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r1.3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6" t="s">
        <v>24</v>
      </c>
      <c r="BC5" s="78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63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36">
        <v>110</v>
      </c>
      <c r="I42" s="1006"/>
      <c r="J42" s="1006"/>
      <c r="K42" s="1006"/>
      <c r="L42" s="1007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36">
        <v>125</v>
      </c>
      <c r="I43" s="1006"/>
      <c r="J43" s="1006"/>
      <c r="K43" s="1006"/>
      <c r="L43" s="1007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128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91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278</v>
      </c>
      <c r="AA49" s="211"/>
      <c r="AB49" s="211"/>
      <c r="AC49" s="211"/>
      <c r="AD49" s="212"/>
      <c r="AE49" s="210" t="s">
        <v>224</v>
      </c>
      <c r="AF49" s="211"/>
      <c r="AG49" s="211"/>
      <c r="AH49" s="211"/>
      <c r="AI49" s="212"/>
      <c r="AJ49" s="210" t="s">
        <v>293</v>
      </c>
      <c r="AK49" s="211"/>
      <c r="AL49" s="211"/>
      <c r="AM49" s="212"/>
      <c r="AN49" s="210" t="s">
        <v>162</v>
      </c>
      <c r="AO49" s="211"/>
      <c r="AP49" s="211"/>
      <c r="AQ49" s="212"/>
      <c r="AR49" s="211" t="s">
        <v>152</v>
      </c>
      <c r="AS49" s="211"/>
      <c r="AT49" s="211"/>
      <c r="AU49" s="212"/>
      <c r="AV49" s="211" t="s">
        <v>197</v>
      </c>
      <c r="AW49" s="211"/>
      <c r="AX49" s="211"/>
      <c r="AY49" s="212"/>
      <c r="AZ49" s="210" t="s">
        <v>199</v>
      </c>
      <c r="BA49" s="211"/>
      <c r="BB49" s="211"/>
      <c r="BC49" s="212"/>
      <c r="BD49" s="210" t="s">
        <v>83</v>
      </c>
      <c r="BE49" s="211"/>
      <c r="BF49" s="211"/>
      <c r="BG49" s="212"/>
      <c r="BH49" s="210" t="s">
        <v>42</v>
      </c>
      <c r="BI49" s="211"/>
      <c r="BJ49" s="211"/>
      <c r="BK49" s="212"/>
      <c r="BL49" s="211" t="s">
        <v>156</v>
      </c>
      <c r="BM49" s="211"/>
      <c r="BN49" s="212"/>
      <c r="BO49" s="305" t="s">
        <v>86</v>
      </c>
      <c r="BP49" s="211"/>
      <c r="BQ49" s="211"/>
      <c r="BR49" s="212"/>
      <c r="BS49" s="211" t="s">
        <v>69</v>
      </c>
      <c r="BT49" s="211"/>
      <c r="BU49" s="211"/>
      <c r="BV49" s="212"/>
      <c r="BW49" s="28"/>
      <c r="BX49" s="28"/>
      <c r="BY49" s="28"/>
      <c r="BZ49" s="28"/>
      <c r="CA49" s="28"/>
    </row>
    <row r="50" spans="1:91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30</v>
      </c>
      <c r="AF50" s="218"/>
      <c r="AG50" s="218"/>
      <c r="AH50" s="219"/>
      <c r="AI50" s="220"/>
      <c r="AJ50" s="217" t="s">
        <v>43</v>
      </c>
      <c r="AK50" s="218"/>
      <c r="AL50" s="219"/>
      <c r="AM50" s="220"/>
      <c r="AN50" s="217" t="s">
        <v>30</v>
      </c>
      <c r="AO50" s="218"/>
      <c r="AP50" s="219"/>
      <c r="AQ50" s="220"/>
      <c r="AR50" s="218" t="s">
        <v>43</v>
      </c>
      <c r="AS50" s="218"/>
      <c r="AT50" s="219"/>
      <c r="AU50" s="220"/>
      <c r="AV50" s="218" t="s">
        <v>198</v>
      </c>
      <c r="AW50" s="218"/>
      <c r="AX50" s="219"/>
      <c r="AY50" s="220"/>
      <c r="AZ50" s="217" t="s">
        <v>155</v>
      </c>
      <c r="BA50" s="218"/>
      <c r="BB50" s="219"/>
      <c r="BC50" s="220"/>
      <c r="BD50" s="217" t="s">
        <v>155</v>
      </c>
      <c r="BE50" s="218"/>
      <c r="BF50" s="219"/>
      <c r="BG50" s="220"/>
      <c r="BH50" s="217" t="s">
        <v>200</v>
      </c>
      <c r="BI50" s="218"/>
      <c r="BJ50" s="219"/>
      <c r="BK50" s="220"/>
      <c r="BL50" s="218" t="s">
        <v>201</v>
      </c>
      <c r="BM50" s="218"/>
      <c r="BN50" s="220"/>
      <c r="BO50" s="307" t="s">
        <v>43</v>
      </c>
      <c r="BP50" s="218"/>
      <c r="BQ50" s="219"/>
      <c r="BR50" s="220"/>
      <c r="BS50" s="218" t="s">
        <v>43</v>
      </c>
      <c r="BT50" s="218"/>
      <c r="BU50" s="219"/>
      <c r="BV50" s="220"/>
      <c r="BW50" s="28"/>
      <c r="BX50" s="28"/>
      <c r="BY50" s="28"/>
      <c r="BZ50" s="28"/>
      <c r="CA50" s="28"/>
    </row>
    <row r="51" spans="1:91" ht="13.5" customHeight="1">
      <c r="A51" s="22"/>
      <c r="B51" s="202">
        <v>8</v>
      </c>
      <c r="C51" s="308">
        <v>1</v>
      </c>
      <c r="D51" s="148" t="s">
        <v>225</v>
      </c>
      <c r="E51" s="149"/>
      <c r="F51" s="149"/>
      <c r="G51" s="151"/>
      <c r="H51" s="242" t="s">
        <v>227</v>
      </c>
      <c r="I51" s="150"/>
      <c r="J51" s="150"/>
      <c r="K51" s="150"/>
      <c r="L51" s="161"/>
      <c r="M51" s="162"/>
      <c r="N51" s="242" t="s">
        <v>229</v>
      </c>
      <c r="O51" s="150"/>
      <c r="P51" s="150"/>
      <c r="Q51" s="99" t="s">
        <v>33</v>
      </c>
      <c r="R51" s="1016">
        <v>200</v>
      </c>
      <c r="S51" s="1017"/>
      <c r="T51" s="1017"/>
      <c r="U51" s="1018"/>
      <c r="V51" s="148" t="s">
        <v>207</v>
      </c>
      <c r="W51" s="150"/>
      <c r="X51" s="150"/>
      <c r="Y51" s="99" t="s">
        <v>33</v>
      </c>
      <c r="Z51" s="1005">
        <v>34690.32</v>
      </c>
      <c r="AA51" s="1014"/>
      <c r="AB51" s="1014"/>
      <c r="AC51" s="1014"/>
      <c r="AD51" s="1015"/>
      <c r="AE51" s="1005">
        <v>46831.94</v>
      </c>
      <c r="AF51" s="1014"/>
      <c r="AG51" s="1014"/>
      <c r="AH51" s="1014"/>
      <c r="AI51" s="1015"/>
      <c r="AJ51" s="148" t="s">
        <v>148</v>
      </c>
      <c r="AK51" s="150"/>
      <c r="AL51" s="150"/>
      <c r="AM51" s="99" t="s">
        <v>33</v>
      </c>
      <c r="AN51" s="1030">
        <v>547.11950000000002</v>
      </c>
      <c r="AO51" s="1031"/>
      <c r="AP51" s="1031"/>
      <c r="AQ51" s="1032"/>
      <c r="AR51" s="1030">
        <v>560</v>
      </c>
      <c r="AS51" s="1031"/>
      <c r="AT51" s="1031"/>
      <c r="AU51" s="1032"/>
      <c r="AV51" s="1033">
        <v>4.4999999999999998E-2</v>
      </c>
      <c r="AW51" s="1034"/>
      <c r="AX51" s="1034"/>
      <c r="AY51" s="1035"/>
      <c r="AZ51" s="1030">
        <v>674</v>
      </c>
      <c r="BA51" s="1031"/>
      <c r="BB51" s="1031"/>
      <c r="BC51" s="1032"/>
      <c r="BD51" s="1030"/>
      <c r="BE51" s="1031"/>
      <c r="BF51" s="1031"/>
      <c r="BG51" s="1032"/>
      <c r="BH51" s="1030"/>
      <c r="BI51" s="1031"/>
      <c r="BJ51" s="1031"/>
      <c r="BK51" s="1032"/>
      <c r="BL51" s="1046"/>
      <c r="BM51" s="1047"/>
      <c r="BN51" s="1048"/>
      <c r="BO51" s="242"/>
      <c r="BP51" s="150"/>
      <c r="BQ51" s="150"/>
      <c r="BR51" s="152"/>
      <c r="BS51" s="149" t="s">
        <v>30</v>
      </c>
      <c r="BT51" s="150"/>
      <c r="BU51" s="150"/>
      <c r="BV51" s="152"/>
      <c r="BW51" s="28"/>
      <c r="BX51" s="28"/>
      <c r="BY51" s="28"/>
      <c r="BZ51" s="28"/>
      <c r="CA51" s="28"/>
    </row>
    <row r="52" spans="1:91" ht="13.5" customHeight="1">
      <c r="A52" s="22"/>
      <c r="B52" s="202">
        <v>9</v>
      </c>
      <c r="C52" s="308">
        <v>2</v>
      </c>
      <c r="D52" s="148" t="s">
        <v>226</v>
      </c>
      <c r="E52" s="149"/>
      <c r="F52" s="149"/>
      <c r="G52" s="151"/>
      <c r="H52" s="242" t="s">
        <v>228</v>
      </c>
      <c r="I52" s="150"/>
      <c r="J52" s="150"/>
      <c r="K52" s="150"/>
      <c r="L52" s="161"/>
      <c r="M52" s="162"/>
      <c r="N52" s="242" t="s">
        <v>229</v>
      </c>
      <c r="O52" s="150"/>
      <c r="P52" s="150"/>
      <c r="Q52" s="99" t="s">
        <v>33</v>
      </c>
      <c r="R52" s="1016">
        <v>200</v>
      </c>
      <c r="S52" s="1017"/>
      <c r="T52" s="1017"/>
      <c r="U52" s="1018"/>
      <c r="V52" s="148" t="s">
        <v>207</v>
      </c>
      <c r="W52" s="150"/>
      <c r="X52" s="150"/>
      <c r="Y52" s="99" t="s">
        <v>33</v>
      </c>
      <c r="Z52" s="1005">
        <v>11230.49</v>
      </c>
      <c r="AA52" s="1014"/>
      <c r="AB52" s="1014"/>
      <c r="AC52" s="1014"/>
      <c r="AD52" s="1015"/>
      <c r="AE52" s="1005">
        <v>15161.17</v>
      </c>
      <c r="AF52" s="1014"/>
      <c r="AG52" s="1014"/>
      <c r="AH52" s="1014"/>
      <c r="AI52" s="1015"/>
      <c r="AJ52" s="148" t="s">
        <v>148</v>
      </c>
      <c r="AK52" s="150"/>
      <c r="AL52" s="150"/>
      <c r="AM52" s="99" t="s">
        <v>33</v>
      </c>
      <c r="AN52" s="1030">
        <v>177.12389999999999</v>
      </c>
      <c r="AO52" s="1031"/>
      <c r="AP52" s="1031"/>
      <c r="AQ52" s="1032"/>
      <c r="AR52" s="1030">
        <v>180</v>
      </c>
      <c r="AS52" s="1031"/>
      <c r="AT52" s="1031"/>
      <c r="AU52" s="1032"/>
      <c r="AV52" s="1033">
        <v>4.4999999999999998E-2</v>
      </c>
      <c r="AW52" s="1034"/>
      <c r="AX52" s="1034"/>
      <c r="AY52" s="1035"/>
      <c r="AZ52" s="1030">
        <v>218.2</v>
      </c>
      <c r="BA52" s="1031"/>
      <c r="BB52" s="1031"/>
      <c r="BC52" s="1032"/>
      <c r="BD52" s="1030"/>
      <c r="BE52" s="1031"/>
      <c r="BF52" s="1031"/>
      <c r="BG52" s="1032"/>
      <c r="BH52" s="1030"/>
      <c r="BI52" s="1031"/>
      <c r="BJ52" s="1031"/>
      <c r="BK52" s="1032"/>
      <c r="BL52" s="1046"/>
      <c r="BM52" s="1047"/>
      <c r="BN52" s="1048"/>
      <c r="BO52" s="242"/>
      <c r="BP52" s="150"/>
      <c r="BQ52" s="150"/>
      <c r="BR52" s="152"/>
      <c r="BS52" s="149" t="s">
        <v>30</v>
      </c>
      <c r="BT52" s="150"/>
      <c r="BU52" s="150"/>
      <c r="BV52" s="152"/>
      <c r="BW52" s="28"/>
      <c r="BX52" s="28"/>
      <c r="BY52" s="28"/>
      <c r="BZ52" s="28"/>
      <c r="CA52" s="28"/>
    </row>
    <row r="53" spans="1:91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91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91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91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 s="396"/>
      <c r="BC56" s="397"/>
      <c r="BD56" s="28"/>
    </row>
    <row r="57" spans="1:91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31"/>
      <c r="BA57" s="30"/>
      <c r="BB57" s="175"/>
      <c r="BC57" s="326"/>
    </row>
    <row r="58" spans="1:91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</row>
    <row r="59" spans="1:91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91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91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91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91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80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212</v>
      </c>
      <c r="BB63" s="240"/>
      <c r="BC63" s="240"/>
      <c r="BD63" s="241"/>
      <c r="BE63" s="239" t="s">
        <v>213</v>
      </c>
      <c r="BF63" s="240"/>
      <c r="BG63" s="240"/>
      <c r="BH63" s="240"/>
      <c r="BI63" s="239" t="s">
        <v>199</v>
      </c>
      <c r="BJ63" s="240"/>
      <c r="BK63" s="240"/>
      <c r="BL63" s="241"/>
      <c r="BM63" s="239" t="s">
        <v>214</v>
      </c>
      <c r="BN63" s="240"/>
      <c r="BO63" s="240"/>
      <c r="BP63" s="241"/>
      <c r="BQ63" s="239" t="s">
        <v>215</v>
      </c>
      <c r="BR63" s="240"/>
      <c r="BS63" s="240"/>
      <c r="BT63" s="241"/>
      <c r="BU63" s="239" t="s">
        <v>83</v>
      </c>
      <c r="BV63" s="240"/>
      <c r="BW63" s="240"/>
      <c r="BX63" s="241"/>
      <c r="BY63" s="239" t="s">
        <v>84</v>
      </c>
      <c r="BZ63" s="240"/>
      <c r="CA63" s="240"/>
      <c r="CB63" s="241"/>
      <c r="CC63" s="240" t="s">
        <v>85</v>
      </c>
      <c r="CD63" s="240"/>
      <c r="CE63" s="241"/>
      <c r="CF63" s="240" t="s">
        <v>86</v>
      </c>
      <c r="CG63" s="240"/>
      <c r="CH63" s="240"/>
      <c r="CI63" s="241"/>
      <c r="CJ63" s="240" t="s">
        <v>69</v>
      </c>
      <c r="CK63" s="240"/>
      <c r="CL63" s="240"/>
      <c r="CM63" s="241"/>
    </row>
    <row r="64" spans="1:91" ht="13.5" customHeight="1">
      <c r="A64" s="22"/>
      <c r="B64" s="202">
        <v>22</v>
      </c>
      <c r="C64" s="308">
        <v>1</v>
      </c>
      <c r="D64" s="148" t="str">
        <f>N51</f>
        <v>OPT</v>
      </c>
      <c r="E64" s="149"/>
      <c r="F64" s="148" t="str">
        <f>D51</f>
        <v>8311308000</v>
      </c>
      <c r="G64" s="149"/>
      <c r="H64" s="149"/>
      <c r="I64" s="151"/>
      <c r="J64" s="242" t="str">
        <f>H51</f>
        <v>BF4MC-(375161-01)</v>
      </c>
      <c r="K64" s="150"/>
      <c r="L64" s="150"/>
      <c r="M64" s="150"/>
      <c r="N64" s="161"/>
      <c r="O64" s="162"/>
      <c r="P64" s="148" t="s">
        <v>275</v>
      </c>
      <c r="Q64" s="150"/>
      <c r="R64" s="150"/>
      <c r="S64" s="162"/>
      <c r="T64" s="148" t="str">
        <f>AJ51</f>
        <v>USD</v>
      </c>
      <c r="U64" s="150"/>
      <c r="V64" s="150"/>
      <c r="W64" s="162"/>
      <c r="X64" s="1016">
        <f>R51</f>
        <v>200</v>
      </c>
      <c r="Y64" s="1017"/>
      <c r="Z64" s="1017"/>
      <c r="AA64" s="1018"/>
      <c r="AB64" s="1030">
        <f>Z51/H42</f>
        <v>315.36654545454547</v>
      </c>
      <c r="AC64" s="1031"/>
      <c r="AD64" s="1031"/>
      <c r="AE64" s="1032"/>
      <c r="AF64" s="1030">
        <f>BH51</f>
        <v>0</v>
      </c>
      <c r="AG64" s="1031"/>
      <c r="AH64" s="1031"/>
      <c r="AI64" s="1031"/>
      <c r="AJ64" s="1032"/>
      <c r="AK64" s="1030">
        <f>AR51</f>
        <v>560</v>
      </c>
      <c r="AL64" s="1031"/>
      <c r="AM64" s="1031"/>
      <c r="AN64" s="1032"/>
      <c r="AO64" s="1030">
        <f>AN51</f>
        <v>547.11950000000002</v>
      </c>
      <c r="AP64" s="1031"/>
      <c r="AQ64" s="1031"/>
      <c r="AR64" s="1032"/>
      <c r="AS64" s="1030">
        <f>AN51/(1-AV51)</f>
        <v>572.90000000000009</v>
      </c>
      <c r="AT64" s="1031"/>
      <c r="AU64" s="1031"/>
      <c r="AV64" s="1032"/>
      <c r="AW64" s="1030">
        <f>AN51-(AS64*$K$20)</f>
        <v>518.47450000000003</v>
      </c>
      <c r="AX64" s="1031"/>
      <c r="AY64" s="1031"/>
      <c r="AZ64" s="1032"/>
      <c r="BA64" s="996">
        <f>(AO64-AS64*$K$20-AE51/H42)/(AE51/H42)</f>
        <v>0.21780551905387649</v>
      </c>
      <c r="BB64" s="997"/>
      <c r="BC64" s="997"/>
      <c r="BD64" s="998"/>
      <c r="BE64" s="1008">
        <f>(AN51-AR51)/AR51</f>
        <v>-2.3000892857142827E-2</v>
      </c>
      <c r="BF64" s="1009"/>
      <c r="BG64" s="1009"/>
      <c r="BH64" s="1010"/>
      <c r="BI64" s="1058">
        <f>AZ51</f>
        <v>674</v>
      </c>
      <c r="BJ64" s="1059"/>
      <c r="BK64" s="1059"/>
      <c r="BL64" s="1060"/>
      <c r="BM64" s="1011">
        <f>1-AN51/(1-AV51)/AZ51</f>
        <v>0.14999999999999991</v>
      </c>
      <c r="BN64" s="1012"/>
      <c r="BO64" s="1012"/>
      <c r="BP64" s="1013"/>
      <c r="BQ64" s="1011">
        <f>1-(Z51/H42+AN51*AV51+AS64*$K$20)/AZ51</f>
        <v>0.45306836356892366</v>
      </c>
      <c r="BR64" s="1012"/>
      <c r="BS64" s="1012"/>
      <c r="BT64" s="1013"/>
      <c r="BU64" s="1046">
        <f>BD51</f>
        <v>0</v>
      </c>
      <c r="BV64" s="1047"/>
      <c r="BW64" s="1047"/>
      <c r="BX64" s="1048"/>
      <c r="BY64" s="1011" t="str">
        <f>IFERROR(1-AZ51/BD51,"")</f>
        <v/>
      </c>
      <c r="BZ64" s="1012"/>
      <c r="CA64" s="1012"/>
      <c r="CB64" s="1013"/>
      <c r="CC64" s="1002">
        <f>BL51</f>
        <v>0</v>
      </c>
      <c r="CD64" s="1003"/>
      <c r="CE64" s="1004"/>
      <c r="CF64" s="150"/>
      <c r="CG64" s="150"/>
      <c r="CH64" s="150"/>
      <c r="CI64" s="152"/>
      <c r="CJ64" s="149" t="s">
        <v>30</v>
      </c>
      <c r="CK64" s="150"/>
      <c r="CL64" s="150"/>
      <c r="CM64" s="152"/>
    </row>
    <row r="65" spans="1:91" ht="13.5" customHeight="1">
      <c r="A65" s="22"/>
      <c r="B65" s="202">
        <v>23</v>
      </c>
      <c r="C65" s="308">
        <v>2</v>
      </c>
      <c r="D65" s="148" t="str">
        <f>N52</f>
        <v>OPT</v>
      </c>
      <c r="E65" s="149"/>
      <c r="F65" s="148" t="str">
        <f>D52</f>
        <v>8311309000</v>
      </c>
      <c r="G65" s="149"/>
      <c r="H65" s="149"/>
      <c r="I65" s="151"/>
      <c r="J65" s="242" t="str">
        <f>H52</f>
        <v>BF4MC-(375168-01)</v>
      </c>
      <c r="K65" s="150"/>
      <c r="L65" s="150"/>
      <c r="M65" s="150"/>
      <c r="N65" s="161"/>
      <c r="O65" s="162"/>
      <c r="P65" s="148" t="s">
        <v>275</v>
      </c>
      <c r="Q65" s="150"/>
      <c r="R65" s="150"/>
      <c r="S65" s="162"/>
      <c r="T65" s="148" t="str">
        <f>AJ52</f>
        <v>USD</v>
      </c>
      <c r="U65" s="150"/>
      <c r="V65" s="150"/>
      <c r="W65" s="162"/>
      <c r="X65" s="1016">
        <f>R52</f>
        <v>200</v>
      </c>
      <c r="Y65" s="1017"/>
      <c r="Z65" s="1017"/>
      <c r="AA65" s="1018"/>
      <c r="AB65" s="1030">
        <f>Z52/H42</f>
        <v>102.09536363636363</v>
      </c>
      <c r="AC65" s="1031"/>
      <c r="AD65" s="1031"/>
      <c r="AE65" s="1032"/>
      <c r="AF65" s="1030">
        <f>BH52</f>
        <v>0</v>
      </c>
      <c r="AG65" s="1031"/>
      <c r="AH65" s="1031"/>
      <c r="AI65" s="1031"/>
      <c r="AJ65" s="1032"/>
      <c r="AK65" s="1030">
        <f>AR52</f>
        <v>180</v>
      </c>
      <c r="AL65" s="1031"/>
      <c r="AM65" s="1031"/>
      <c r="AN65" s="1032"/>
      <c r="AO65" s="1030">
        <f>AN52</f>
        <v>177.12389999999999</v>
      </c>
      <c r="AP65" s="1031"/>
      <c r="AQ65" s="1031"/>
      <c r="AR65" s="1032"/>
      <c r="AS65" s="1030">
        <f>AN52/(1-AV52)</f>
        <v>185.47005235602094</v>
      </c>
      <c r="AT65" s="1031"/>
      <c r="AU65" s="1031"/>
      <c r="AV65" s="1032"/>
      <c r="AW65" s="1030">
        <f>AN52-(AS65*$K$20)</f>
        <v>167.85039738219893</v>
      </c>
      <c r="AX65" s="1031"/>
      <c r="AY65" s="1031"/>
      <c r="AZ65" s="1032"/>
      <c r="BA65" s="996">
        <f>(AO65-AS65*$K$20-AE52/H42)/(AE52/H42)</f>
        <v>0.21781786709349499</v>
      </c>
      <c r="BB65" s="997"/>
      <c r="BC65" s="997"/>
      <c r="BD65" s="998"/>
      <c r="BE65" s="1008">
        <f>(AN52-AR52)/AR52</f>
        <v>-1.5978333333333379E-2</v>
      </c>
      <c r="BF65" s="1009"/>
      <c r="BG65" s="1009"/>
      <c r="BH65" s="1010"/>
      <c r="BI65" s="1058">
        <f>AZ52</f>
        <v>218.2</v>
      </c>
      <c r="BJ65" s="1059"/>
      <c r="BK65" s="1059"/>
      <c r="BL65" s="1060"/>
      <c r="BM65" s="1011">
        <f>1-AN52/(1-AV52)/AZ52</f>
        <v>0.14999976005489934</v>
      </c>
      <c r="BN65" s="1012"/>
      <c r="BO65" s="1012"/>
      <c r="BP65" s="1013"/>
      <c r="BQ65" s="1011">
        <f>1-(Z52/H42+AN52*AV52+AS65*$K$20)/AZ52</f>
        <v>0.45307313586542308</v>
      </c>
      <c r="BR65" s="1012"/>
      <c r="BS65" s="1012"/>
      <c r="BT65" s="1013"/>
      <c r="BU65" s="1046">
        <f>BD52</f>
        <v>0</v>
      </c>
      <c r="BV65" s="1047"/>
      <c r="BW65" s="1047"/>
      <c r="BX65" s="1048"/>
      <c r="BY65" s="1011" t="str">
        <f>IFERROR(1-AZ52/BD52,"")</f>
        <v/>
      </c>
      <c r="BZ65" s="1012"/>
      <c r="CA65" s="1012"/>
      <c r="CB65" s="1013"/>
      <c r="CC65" s="1002">
        <f>BL52</f>
        <v>0</v>
      </c>
      <c r="CD65" s="1003"/>
      <c r="CE65" s="1004"/>
      <c r="CF65" s="150"/>
      <c r="CG65" s="150"/>
      <c r="CH65" s="150"/>
      <c r="CI65" s="152"/>
      <c r="CJ65" s="149" t="s">
        <v>30</v>
      </c>
      <c r="CK65" s="150"/>
      <c r="CL65" s="150"/>
      <c r="CM65" s="152"/>
    </row>
    <row r="66" spans="1:91" ht="13.5" customHeight="1">
      <c r="A66" s="22"/>
      <c r="B66" s="202">
        <v>20</v>
      </c>
      <c r="C66" s="337" t="s">
        <v>281</v>
      </c>
      <c r="D66" s="28"/>
      <c r="E66" s="28"/>
      <c r="F66" s="28"/>
      <c r="G66" s="28"/>
      <c r="H66" s="121"/>
      <c r="I66" s="62"/>
      <c r="J66" s="63"/>
      <c r="K66" s="62"/>
      <c r="L66" s="63"/>
      <c r="M66" s="69"/>
      <c r="N66" s="69"/>
      <c r="O66" s="65"/>
      <c r="P66" s="69"/>
      <c r="Q66" s="65"/>
      <c r="R66" s="69"/>
      <c r="S66" s="28"/>
      <c r="T66" s="28"/>
      <c r="U66" s="28"/>
      <c r="V66" s="28"/>
      <c r="W66" s="28"/>
      <c r="X66" s="121"/>
      <c r="Y66" s="62"/>
      <c r="Z66" s="63"/>
      <c r="AA66" s="62"/>
      <c r="AB66" s="63"/>
      <c r="AC66" s="69"/>
      <c r="AD66" s="69"/>
      <c r="AE66" s="65"/>
      <c r="AF66" s="69"/>
      <c r="AG66" s="65"/>
      <c r="AH66" s="69"/>
      <c r="AI66" s="64"/>
      <c r="AJ66" s="69"/>
      <c r="AK66" s="65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33"/>
      <c r="AW66" s="28"/>
      <c r="AX66" s="28"/>
      <c r="AY66" s="31"/>
      <c r="AZ66" s="95"/>
      <c r="BA66" s="92"/>
      <c r="BB66" s="329"/>
      <c r="BC66" s="338"/>
      <c r="BD66" s="37"/>
      <c r="BE66" s="37"/>
    </row>
    <row r="67" spans="1:91" ht="13.5" customHeight="1">
      <c r="A67" s="22"/>
      <c r="B67" s="202">
        <v>24</v>
      </c>
      <c r="C67" s="304"/>
      <c r="D67" s="502" t="s">
        <v>280</v>
      </c>
      <c r="E67" s="503"/>
      <c r="F67" s="504" t="s">
        <v>294</v>
      </c>
      <c r="G67" s="503"/>
      <c r="H67" s="503"/>
      <c r="I67" s="505"/>
      <c r="J67" s="504" t="s">
        <v>30</v>
      </c>
      <c r="K67" s="506"/>
      <c r="L67" s="506"/>
      <c r="M67" s="506"/>
      <c r="N67" s="503"/>
      <c r="O67" s="505"/>
      <c r="P67" s="511" t="s">
        <v>30</v>
      </c>
      <c r="Q67" s="508"/>
      <c r="R67" s="508"/>
      <c r="S67" s="509"/>
      <c r="T67" s="504" t="s">
        <v>30</v>
      </c>
      <c r="U67" s="503"/>
      <c r="V67" s="503"/>
      <c r="W67" s="505"/>
      <c r="X67" s="508" t="s">
        <v>216</v>
      </c>
      <c r="Y67" s="503"/>
      <c r="Z67" s="503"/>
      <c r="AA67" s="503"/>
      <c r="AB67" s="507" t="s">
        <v>145</v>
      </c>
      <c r="AC67" s="503"/>
      <c r="AD67" s="503"/>
      <c r="AE67" s="503"/>
      <c r="AF67" s="507" t="s">
        <v>230</v>
      </c>
      <c r="AG67" s="508"/>
      <c r="AH67" s="508"/>
      <c r="AI67" s="508"/>
      <c r="AJ67" s="509"/>
      <c r="AK67" s="507" t="s">
        <v>219</v>
      </c>
      <c r="AL67" s="508"/>
      <c r="AM67" s="508"/>
      <c r="AN67" s="509"/>
      <c r="AO67" s="507" t="s">
        <v>220</v>
      </c>
      <c r="AP67" s="508"/>
      <c r="AQ67" s="508"/>
      <c r="AR67" s="509"/>
      <c r="AS67" s="507" t="s">
        <v>221</v>
      </c>
      <c r="AT67" s="508"/>
      <c r="AU67" s="508"/>
      <c r="AV67" s="508"/>
      <c r="AW67" s="507" t="s">
        <v>101</v>
      </c>
      <c r="AX67" s="508"/>
      <c r="AY67" s="508"/>
      <c r="AZ67" s="509"/>
      <c r="BA67" s="511" t="s">
        <v>222</v>
      </c>
      <c r="BB67" s="508"/>
      <c r="BC67" s="508"/>
      <c r="BD67" s="509"/>
      <c r="BE67" s="513" t="s">
        <v>223</v>
      </c>
      <c r="BF67" s="508"/>
      <c r="BG67" s="508"/>
      <c r="BH67" s="509"/>
      <c r="BI67" s="511" t="s">
        <v>30</v>
      </c>
      <c r="BJ67" s="508"/>
      <c r="BK67" s="508"/>
      <c r="BL67" s="509"/>
      <c r="BM67" s="513" t="s">
        <v>30</v>
      </c>
      <c r="BN67" s="508"/>
      <c r="BO67" s="508"/>
      <c r="BP67" s="509"/>
      <c r="BQ67" s="508"/>
      <c r="BR67" s="508"/>
      <c r="BS67" s="508"/>
      <c r="BT67" s="509"/>
      <c r="BU67" s="508"/>
      <c r="BV67" s="508"/>
      <c r="BW67" s="508"/>
      <c r="BX67" s="509"/>
      <c r="BY67" s="508"/>
      <c r="BZ67" s="508"/>
      <c r="CA67" s="508"/>
      <c r="CB67" s="509"/>
      <c r="CC67" s="513" t="s">
        <v>30</v>
      </c>
      <c r="CD67" s="508"/>
      <c r="CE67" s="509"/>
      <c r="CF67" s="508"/>
      <c r="CG67" s="508"/>
      <c r="CH67" s="508"/>
      <c r="CI67" s="509"/>
      <c r="CJ67" s="508"/>
      <c r="CK67" s="508"/>
      <c r="CL67" s="508"/>
      <c r="CM67" s="509"/>
    </row>
    <row r="68" spans="1:91" ht="13.5" customHeight="1">
      <c r="A68" s="22"/>
      <c r="B68" s="202">
        <v>24</v>
      </c>
      <c r="C68" s="461"/>
      <c r="D68" s="517"/>
      <c r="E68" s="518"/>
      <c r="F68" s="517"/>
      <c r="G68" s="518"/>
      <c r="H68" s="518"/>
      <c r="I68" s="519"/>
      <c r="J68" s="520"/>
      <c r="K68" s="521"/>
      <c r="L68" s="521"/>
      <c r="M68" s="521"/>
      <c r="N68" s="518"/>
      <c r="O68" s="519"/>
      <c r="P68" s="522"/>
      <c r="Q68" s="523"/>
      <c r="R68" s="523"/>
      <c r="S68" s="524"/>
      <c r="T68" s="517"/>
      <c r="U68" s="518"/>
      <c r="V68" s="518"/>
      <c r="W68" s="519"/>
      <c r="X68" s="523"/>
      <c r="Y68" s="518"/>
      <c r="Z68" s="518"/>
      <c r="AA68" s="518"/>
      <c r="AB68" s="522"/>
      <c r="AC68" s="518"/>
      <c r="AD68" s="518"/>
      <c r="AE68" s="518"/>
      <c r="AF68" s="522"/>
      <c r="AG68" s="523"/>
      <c r="AH68" s="523"/>
      <c r="AI68" s="523"/>
      <c r="AJ68" s="524"/>
      <c r="AK68" s="522"/>
      <c r="AL68" s="523"/>
      <c r="AM68" s="523"/>
      <c r="AN68" s="524"/>
      <c r="AO68" s="522"/>
      <c r="AP68" s="523"/>
      <c r="AQ68" s="523"/>
      <c r="AR68" s="524"/>
      <c r="AS68" s="522"/>
      <c r="AT68" s="523"/>
      <c r="AU68" s="523"/>
      <c r="AV68" s="523"/>
      <c r="AW68" s="522" t="s">
        <v>231</v>
      </c>
      <c r="AX68" s="523"/>
      <c r="AY68" s="523"/>
      <c r="AZ68" s="524"/>
      <c r="BA68" s="525" t="s">
        <v>30</v>
      </c>
      <c r="BB68" s="523"/>
      <c r="BC68" s="523"/>
      <c r="BD68" s="524"/>
      <c r="BE68" s="526" t="s">
        <v>232</v>
      </c>
      <c r="BF68" s="523"/>
      <c r="BG68" s="523"/>
      <c r="BH68" s="524"/>
      <c r="BI68" s="525" t="s">
        <v>30</v>
      </c>
      <c r="BJ68" s="523"/>
      <c r="BK68" s="523"/>
      <c r="BL68" s="524"/>
      <c r="BM68" s="526" t="s">
        <v>30</v>
      </c>
      <c r="BN68" s="523"/>
      <c r="BO68" s="523"/>
      <c r="BP68" s="524"/>
      <c r="BQ68" s="523"/>
      <c r="BR68" s="523"/>
      <c r="BS68" s="523"/>
      <c r="BT68" s="524"/>
      <c r="BU68" s="523"/>
      <c r="BV68" s="523"/>
      <c r="BW68" s="523"/>
      <c r="BX68" s="524"/>
      <c r="BY68" s="523"/>
      <c r="BZ68" s="523"/>
      <c r="CA68" s="523"/>
      <c r="CB68" s="524"/>
      <c r="CC68" s="526" t="s">
        <v>30</v>
      </c>
      <c r="CD68" s="523"/>
      <c r="CE68" s="524"/>
      <c r="CF68" s="523"/>
      <c r="CG68" s="523"/>
      <c r="CH68" s="523"/>
      <c r="CI68" s="524"/>
      <c r="CJ68" s="523"/>
      <c r="CK68" s="523"/>
      <c r="CL68" s="523"/>
      <c r="CM68" s="524"/>
    </row>
    <row r="69" spans="1:91" ht="13.5" customHeight="1">
      <c r="A69" s="22"/>
      <c r="B69" s="202">
        <v>25</v>
      </c>
      <c r="C69" s="308">
        <v>1</v>
      </c>
      <c r="D69" s="148" t="s">
        <v>229</v>
      </c>
      <c r="E69" s="149"/>
      <c r="F69" s="148" t="s">
        <v>148</v>
      </c>
      <c r="G69" s="149"/>
      <c r="H69" s="149"/>
      <c r="I69" s="151"/>
      <c r="J69" s="221"/>
      <c r="K69" s="222"/>
      <c r="L69" s="222"/>
      <c r="M69" s="222"/>
      <c r="N69" s="161"/>
      <c r="O69" s="162"/>
      <c r="P69" s="148"/>
      <c r="Q69" s="150"/>
      <c r="R69" s="150"/>
      <c r="S69" s="162"/>
      <c r="T69" s="119"/>
      <c r="U69" s="120"/>
      <c r="V69" s="120"/>
      <c r="W69" s="162"/>
      <c r="X69" s="1005">
        <f>SUMPRODUCT(X$64:AA$65,AO$64:AR$65)</f>
        <v>144848.68</v>
      </c>
      <c r="Y69" s="1014"/>
      <c r="Z69" s="1014"/>
      <c r="AA69" s="1015"/>
      <c r="AB69" s="1005">
        <f>SUMPRODUCT(R$51:R$52,AE$51:AE$52)/H42</f>
        <v>112714.74545454545</v>
      </c>
      <c r="AC69" s="1014"/>
      <c r="AD69" s="1014"/>
      <c r="AE69" s="1015"/>
      <c r="AF69" s="1022">
        <f>X69-AB69</f>
        <v>32133.93454545454</v>
      </c>
      <c r="AG69" s="1023"/>
      <c r="AH69" s="1023"/>
      <c r="AI69" s="1023"/>
      <c r="AJ69" s="1024"/>
      <c r="AK69" s="1075">
        <f>AF69/AB69</f>
        <v>0.2850907786365291</v>
      </c>
      <c r="AL69" s="1076"/>
      <c r="AM69" s="1076"/>
      <c r="AN69" s="1077"/>
      <c r="AO69" s="996">
        <f>AS69/(X69-AS69)</f>
        <v>-2.1292702702702691E-2</v>
      </c>
      <c r="AP69" s="997"/>
      <c r="AQ69" s="997"/>
      <c r="AR69" s="998"/>
      <c r="AS69" s="1078">
        <f>X$64*(AO$64-AK$64)+X$65*(AO$65-AK$65)</f>
        <v>-3151.3199999999983</v>
      </c>
      <c r="AT69" s="1079"/>
      <c r="AU69" s="1079"/>
      <c r="AV69" s="1080"/>
      <c r="AW69" s="1081">
        <f>SUMPRODUCT(X$64:AA$65,AK$64:AN$65)</f>
        <v>148000</v>
      </c>
      <c r="AX69" s="1082"/>
      <c r="AY69" s="1082"/>
      <c r="AZ69" s="1083"/>
      <c r="BA69" s="1005">
        <f>SUMPRODUCT(X$64:AA$65,BI$64:BL$65)</f>
        <v>178440</v>
      </c>
      <c r="BB69" s="1014"/>
      <c r="BC69" s="1014"/>
      <c r="BD69" s="1015"/>
      <c r="BE69" s="1011">
        <f>1-(SUMPRODUCT(R$51:R$52,Z$51:Z$52)/107+(AN$51*AV$51+AN$51/(1-AV$51)*$K$20)*R$51+(AN$52*AV$52+AN$52/(1-AV$52)*$K$20)*R$52)/BA$75</f>
        <v>0.43995079106037671</v>
      </c>
      <c r="BF69" s="1012"/>
      <c r="BG69" s="1012"/>
      <c r="BH69" s="1013"/>
      <c r="BI69" s="149" t="s">
        <v>30</v>
      </c>
      <c r="BJ69" s="150"/>
      <c r="BK69" s="150"/>
      <c r="BL69" s="152"/>
      <c r="BM69" s="149" t="s">
        <v>30</v>
      </c>
      <c r="BN69" s="150"/>
      <c r="BO69" s="150"/>
      <c r="BP69" s="152"/>
      <c r="BQ69" s="149" t="s">
        <v>30</v>
      </c>
      <c r="BR69" s="150"/>
      <c r="BS69" s="150"/>
      <c r="BT69" s="152"/>
      <c r="BU69" s="149" t="s">
        <v>30</v>
      </c>
      <c r="BV69" s="150"/>
      <c r="BW69" s="150"/>
      <c r="BX69" s="152"/>
      <c r="BY69" s="149" t="s">
        <v>30</v>
      </c>
      <c r="BZ69" s="150"/>
      <c r="CA69" s="150"/>
      <c r="CB69" s="152"/>
      <c r="CC69" s="149" t="s">
        <v>30</v>
      </c>
      <c r="CD69" s="150"/>
      <c r="CE69" s="152"/>
      <c r="CF69" s="149" t="s">
        <v>30</v>
      </c>
      <c r="CG69" s="150"/>
      <c r="CH69" s="150"/>
      <c r="CI69" s="152"/>
      <c r="CJ69" s="149" t="s">
        <v>30</v>
      </c>
      <c r="CK69" s="150"/>
      <c r="CL69" s="150"/>
      <c r="CM69" s="152"/>
    </row>
    <row r="70" spans="1:91" ht="13.5" customHeight="1">
      <c r="A70" s="22"/>
      <c r="B70" s="202">
        <v>25</v>
      </c>
      <c r="C70" s="308">
        <v>2</v>
      </c>
      <c r="D70" s="148" t="s">
        <v>229</v>
      </c>
      <c r="E70" s="149"/>
      <c r="F70" s="148" t="s">
        <v>207</v>
      </c>
      <c r="G70" s="149"/>
      <c r="H70" s="149"/>
      <c r="I70" s="151"/>
      <c r="J70" s="221"/>
      <c r="K70" s="222"/>
      <c r="L70" s="222"/>
      <c r="M70" s="222"/>
      <c r="N70" s="161"/>
      <c r="O70" s="162"/>
      <c r="P70" s="148"/>
      <c r="Q70" s="150"/>
      <c r="R70" s="150"/>
      <c r="S70" s="162"/>
      <c r="T70" s="119"/>
      <c r="U70" s="120"/>
      <c r="V70" s="120"/>
      <c r="W70" s="162"/>
      <c r="X70" s="993">
        <f>SUMPRODUCT(X$64:AA$65,AO$64:AR$65)*H42</f>
        <v>15933354.799999999</v>
      </c>
      <c r="Y70" s="994"/>
      <c r="Z70" s="994"/>
      <c r="AA70" s="995"/>
      <c r="AB70" s="993">
        <f>SUMPRODUCT(R$51:R$52,AE$51:AE$52)</f>
        <v>12398622</v>
      </c>
      <c r="AC70" s="994"/>
      <c r="AD70" s="994"/>
      <c r="AE70" s="995"/>
      <c r="AF70" s="1022">
        <f>X70-AB70</f>
        <v>3534732.7999999989</v>
      </c>
      <c r="AG70" s="1023"/>
      <c r="AH70" s="1023"/>
      <c r="AI70" s="1023"/>
      <c r="AJ70" s="1024"/>
      <c r="AK70" s="1075">
        <f>AF70/AB70</f>
        <v>0.28509077863652904</v>
      </c>
      <c r="AL70" s="1076"/>
      <c r="AM70" s="1076"/>
      <c r="AN70" s="1077"/>
      <c r="AO70" s="996">
        <f>AS70/(X70-AS70)</f>
        <v>-1.9774221377452075E-4</v>
      </c>
      <c r="AP70" s="997"/>
      <c r="AQ70" s="997"/>
      <c r="AR70" s="998"/>
      <c r="AS70" s="1052">
        <f>X$64*(AO$64-AK$64)+X$65*(AO$65-AK$65)</f>
        <v>-3151.3199999999983</v>
      </c>
      <c r="AT70" s="1053"/>
      <c r="AU70" s="1053"/>
      <c r="AV70" s="1054"/>
      <c r="AW70" s="1055">
        <f>SUMPRODUCT(X$64:AA$65,AK$64:AN$65)</f>
        <v>148000</v>
      </c>
      <c r="AX70" s="1056"/>
      <c r="AY70" s="1056"/>
      <c r="AZ70" s="1057"/>
      <c r="BA70" s="993">
        <f>SUMPRODUCT(X$64:AA$65,BI$64:BL$65)</f>
        <v>178440</v>
      </c>
      <c r="BB70" s="994"/>
      <c r="BC70" s="994"/>
      <c r="BD70" s="995"/>
      <c r="BE70" s="1011">
        <f>1-(SUMPRODUCT(R$51:R$52,Z$51:Z$52)/107+(AN$51*AV$51+AN$51/(1-AV$51)*$K$20)*R$51+(AN$52*AV$52+AN$52/(1-AV$52)*$K$20)*R$52)/BA$75</f>
        <v>0.43995079106037671</v>
      </c>
      <c r="BF70" s="1012"/>
      <c r="BG70" s="1012"/>
      <c r="BH70" s="1013"/>
      <c r="BI70" s="149" t="s">
        <v>30</v>
      </c>
      <c r="BJ70" s="150"/>
      <c r="BK70" s="150"/>
      <c r="BL70" s="152"/>
      <c r="BM70" s="149" t="s">
        <v>30</v>
      </c>
      <c r="BN70" s="150"/>
      <c r="BO70" s="150"/>
      <c r="BP70" s="152"/>
      <c r="BQ70" s="149" t="s">
        <v>30</v>
      </c>
      <c r="BR70" s="150"/>
      <c r="BS70" s="150"/>
      <c r="BT70" s="152"/>
      <c r="BU70" s="149" t="s">
        <v>30</v>
      </c>
      <c r="BV70" s="150"/>
      <c r="BW70" s="150"/>
      <c r="BX70" s="152"/>
      <c r="BY70" s="149" t="s">
        <v>30</v>
      </c>
      <c r="BZ70" s="150"/>
      <c r="CA70" s="150"/>
      <c r="CB70" s="152"/>
      <c r="CC70" s="149" t="s">
        <v>30</v>
      </c>
      <c r="CD70" s="150"/>
      <c r="CE70" s="152"/>
      <c r="CF70" s="149" t="s">
        <v>30</v>
      </c>
      <c r="CG70" s="150"/>
      <c r="CH70" s="150"/>
      <c r="CI70" s="152"/>
      <c r="CJ70" s="149" t="s">
        <v>30</v>
      </c>
      <c r="CK70" s="150"/>
      <c r="CL70" s="150"/>
      <c r="CM70" s="152"/>
    </row>
    <row r="71" spans="1:91" ht="13.5" customHeight="1">
      <c r="A71" s="22"/>
      <c r="B71" s="202">
        <v>20</v>
      </c>
      <c r="C71" s="337" t="s">
        <v>279</v>
      </c>
      <c r="D71" s="28"/>
      <c r="E71" s="28"/>
      <c r="F71" s="28"/>
      <c r="G71" s="28"/>
      <c r="H71" s="121"/>
      <c r="I71" s="62"/>
      <c r="J71" s="63"/>
      <c r="K71" s="62"/>
      <c r="L71" s="63"/>
      <c r="M71" s="69"/>
      <c r="N71" s="69"/>
      <c r="O71" s="65"/>
      <c r="P71" s="69"/>
      <c r="Q71" s="65"/>
      <c r="R71" s="69"/>
      <c r="S71" s="28"/>
      <c r="T71" s="28"/>
      <c r="U71" s="28"/>
      <c r="V71" s="28"/>
      <c r="W71" s="28"/>
      <c r="X71" s="121"/>
      <c r="Y71" s="62"/>
      <c r="Z71" s="63"/>
      <c r="AA71" s="62"/>
      <c r="AB71" s="63"/>
      <c r="AC71" s="69"/>
      <c r="AD71" s="69"/>
      <c r="AE71" s="65"/>
      <c r="AF71" s="69"/>
      <c r="AG71" s="65"/>
      <c r="AH71" s="69"/>
      <c r="AI71" s="64"/>
      <c r="AJ71" s="69"/>
      <c r="AK71" s="65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33"/>
      <c r="AW71" s="28"/>
      <c r="AX71" s="28"/>
      <c r="AY71" s="31"/>
      <c r="AZ71" s="95"/>
      <c r="BA71" s="92"/>
      <c r="BB71" s="329"/>
      <c r="BC71" s="338"/>
      <c r="BD71" s="37"/>
      <c r="BE71" s="37"/>
    </row>
    <row r="72" spans="1:91" ht="13.5" customHeight="1">
      <c r="A72" s="22"/>
      <c r="B72" s="202">
        <v>24</v>
      </c>
      <c r="C72" s="304"/>
      <c r="D72" s="243"/>
      <c r="E72" s="244"/>
      <c r="F72" s="243" t="s">
        <v>295</v>
      </c>
      <c r="G72" s="244"/>
      <c r="H72" s="244"/>
      <c r="I72" s="245"/>
      <c r="J72" s="246" t="s">
        <v>30</v>
      </c>
      <c r="K72" s="247"/>
      <c r="L72" s="247"/>
      <c r="M72" s="247"/>
      <c r="N72" s="244"/>
      <c r="O72" s="245"/>
      <c r="P72" s="253" t="s">
        <v>30</v>
      </c>
      <c r="Q72" s="249"/>
      <c r="R72" s="249"/>
      <c r="S72" s="250"/>
      <c r="T72" s="246" t="s">
        <v>30</v>
      </c>
      <c r="U72" s="244"/>
      <c r="V72" s="244"/>
      <c r="W72" s="245"/>
      <c r="X72" s="249" t="s">
        <v>216</v>
      </c>
      <c r="Y72" s="244"/>
      <c r="Z72" s="244"/>
      <c r="AA72" s="244"/>
      <c r="AB72" s="248" t="s">
        <v>145</v>
      </c>
      <c r="AC72" s="244"/>
      <c r="AD72" s="244"/>
      <c r="AE72" s="244"/>
      <c r="AF72" s="248" t="s">
        <v>230</v>
      </c>
      <c r="AG72" s="249"/>
      <c r="AH72" s="249"/>
      <c r="AI72" s="249"/>
      <c r="AJ72" s="250"/>
      <c r="AK72" s="248" t="s">
        <v>219</v>
      </c>
      <c r="AL72" s="249"/>
      <c r="AM72" s="249"/>
      <c r="AN72" s="250"/>
      <c r="AO72" s="248" t="s">
        <v>220</v>
      </c>
      <c r="AP72" s="249"/>
      <c r="AQ72" s="249"/>
      <c r="AR72" s="250"/>
      <c r="AS72" s="248" t="s">
        <v>221</v>
      </c>
      <c r="AT72" s="249"/>
      <c r="AU72" s="249"/>
      <c r="AV72" s="249"/>
      <c r="AW72" s="248" t="s">
        <v>101</v>
      </c>
      <c r="AX72" s="249"/>
      <c r="AY72" s="249"/>
      <c r="AZ72" s="250"/>
      <c r="BA72" s="253" t="s">
        <v>222</v>
      </c>
      <c r="BB72" s="249"/>
      <c r="BC72" s="249"/>
      <c r="BD72" s="250"/>
      <c r="BE72" s="251" t="s">
        <v>223</v>
      </c>
      <c r="BF72" s="249"/>
      <c r="BG72" s="249"/>
      <c r="BH72" s="250"/>
      <c r="BI72" s="253" t="s">
        <v>30</v>
      </c>
      <c r="BJ72" s="249"/>
      <c r="BK72" s="249"/>
      <c r="BL72" s="250"/>
      <c r="BM72" s="251" t="s">
        <v>30</v>
      </c>
      <c r="BN72" s="249"/>
      <c r="BO72" s="249"/>
      <c r="BP72" s="250"/>
      <c r="BQ72" s="249"/>
      <c r="BR72" s="249"/>
      <c r="BS72" s="249"/>
      <c r="BT72" s="250"/>
      <c r="BU72" s="249"/>
      <c r="BV72" s="249"/>
      <c r="BW72" s="249"/>
      <c r="BX72" s="250"/>
      <c r="BY72" s="249"/>
      <c r="BZ72" s="249"/>
      <c r="CA72" s="249"/>
      <c r="CB72" s="250"/>
      <c r="CC72" s="251" t="s">
        <v>30</v>
      </c>
      <c r="CD72" s="249"/>
      <c r="CE72" s="250"/>
      <c r="CF72" s="249"/>
      <c r="CG72" s="249"/>
      <c r="CH72" s="249"/>
      <c r="CI72" s="250"/>
      <c r="CJ72" s="249"/>
      <c r="CK72" s="249"/>
      <c r="CL72" s="249"/>
      <c r="CM72" s="250"/>
    </row>
    <row r="73" spans="1:91" ht="13.5" customHeight="1">
      <c r="A73" s="22"/>
      <c r="B73" s="202">
        <v>24</v>
      </c>
      <c r="C73" s="461"/>
      <c r="D73" s="462"/>
      <c r="E73" s="463"/>
      <c r="F73" s="462"/>
      <c r="G73" s="463"/>
      <c r="H73" s="463"/>
      <c r="I73" s="464"/>
      <c r="J73" s="465"/>
      <c r="K73" s="466"/>
      <c r="L73" s="466"/>
      <c r="M73" s="466"/>
      <c r="N73" s="463"/>
      <c r="O73" s="464"/>
      <c r="P73" s="467"/>
      <c r="Q73" s="458"/>
      <c r="R73" s="458"/>
      <c r="S73" s="459"/>
      <c r="T73" s="462"/>
      <c r="U73" s="463"/>
      <c r="V73" s="463"/>
      <c r="W73" s="464"/>
      <c r="X73" s="458"/>
      <c r="Y73" s="463"/>
      <c r="Z73" s="463"/>
      <c r="AA73" s="463"/>
      <c r="AB73" s="467"/>
      <c r="AC73" s="463"/>
      <c r="AD73" s="463"/>
      <c r="AE73" s="463"/>
      <c r="AF73" s="467"/>
      <c r="AG73" s="458"/>
      <c r="AH73" s="458"/>
      <c r="AI73" s="458"/>
      <c r="AJ73" s="459"/>
      <c r="AK73" s="467"/>
      <c r="AL73" s="458"/>
      <c r="AM73" s="458"/>
      <c r="AN73" s="459"/>
      <c r="AO73" s="467"/>
      <c r="AP73" s="458"/>
      <c r="AQ73" s="458"/>
      <c r="AR73" s="459"/>
      <c r="AS73" s="467"/>
      <c r="AT73" s="458"/>
      <c r="AU73" s="458"/>
      <c r="AV73" s="458"/>
      <c r="AW73" s="467" t="s">
        <v>231</v>
      </c>
      <c r="AX73" s="458"/>
      <c r="AY73" s="458"/>
      <c r="AZ73" s="459"/>
      <c r="BA73" s="457" t="s">
        <v>30</v>
      </c>
      <c r="BB73" s="458"/>
      <c r="BC73" s="458"/>
      <c r="BD73" s="459"/>
      <c r="BE73" s="460" t="s">
        <v>232</v>
      </c>
      <c r="BF73" s="458"/>
      <c r="BG73" s="458"/>
      <c r="BH73" s="459"/>
      <c r="BI73" s="457" t="s">
        <v>30</v>
      </c>
      <c r="BJ73" s="458"/>
      <c r="BK73" s="458"/>
      <c r="BL73" s="459"/>
      <c r="BM73" s="460" t="s">
        <v>30</v>
      </c>
      <c r="BN73" s="458"/>
      <c r="BO73" s="458"/>
      <c r="BP73" s="459"/>
      <c r="BQ73" s="458"/>
      <c r="BR73" s="458"/>
      <c r="BS73" s="458"/>
      <c r="BT73" s="459"/>
      <c r="BU73" s="458"/>
      <c r="BV73" s="458"/>
      <c r="BW73" s="458"/>
      <c r="BX73" s="459"/>
      <c r="BY73" s="458"/>
      <c r="BZ73" s="458"/>
      <c r="CA73" s="458"/>
      <c r="CB73" s="459"/>
      <c r="CC73" s="460" t="s">
        <v>30</v>
      </c>
      <c r="CD73" s="458"/>
      <c r="CE73" s="459"/>
      <c r="CF73" s="458"/>
      <c r="CG73" s="458"/>
      <c r="CH73" s="458"/>
      <c r="CI73" s="459"/>
      <c r="CJ73" s="458"/>
      <c r="CK73" s="458"/>
      <c r="CL73" s="458"/>
      <c r="CM73" s="459"/>
    </row>
    <row r="74" spans="1:91" ht="13.5" customHeight="1">
      <c r="A74" s="22"/>
      <c r="B74" s="202">
        <v>25</v>
      </c>
      <c r="C74" s="308"/>
      <c r="D74" s="148"/>
      <c r="E74" s="149"/>
      <c r="F74" s="148" t="s">
        <v>148</v>
      </c>
      <c r="G74" s="149"/>
      <c r="H74" s="149"/>
      <c r="I74" s="151"/>
      <c r="J74" s="221"/>
      <c r="K74" s="222"/>
      <c r="L74" s="222"/>
      <c r="M74" s="222"/>
      <c r="N74" s="161"/>
      <c r="O74" s="162"/>
      <c r="P74" s="148"/>
      <c r="Q74" s="150"/>
      <c r="R74" s="150"/>
      <c r="S74" s="162"/>
      <c r="T74" s="119"/>
      <c r="U74" s="120"/>
      <c r="V74" s="120"/>
      <c r="W74" s="162"/>
      <c r="X74" s="1005">
        <f>SUMPRODUCT(X$64:AA$65,AO$64:AR$65)</f>
        <v>144848.68</v>
      </c>
      <c r="Y74" s="1014"/>
      <c r="Z74" s="1014"/>
      <c r="AA74" s="1015"/>
      <c r="AB74" s="1005">
        <f>SUMPRODUCT(R$51:R$52,AE$51:AE$52)/107</f>
        <v>115874.97196261682</v>
      </c>
      <c r="AC74" s="1014"/>
      <c r="AD74" s="1014"/>
      <c r="AE74" s="1015"/>
      <c r="AF74" s="1022">
        <f>X74-AB74</f>
        <v>28973.70803738317</v>
      </c>
      <c r="AG74" s="1023"/>
      <c r="AH74" s="1023"/>
      <c r="AI74" s="1023"/>
      <c r="AJ74" s="1024"/>
      <c r="AK74" s="1075">
        <f>AF74/AB74</f>
        <v>0.25004284831007828</v>
      </c>
      <c r="AL74" s="1076"/>
      <c r="AM74" s="1076"/>
      <c r="AN74" s="1077"/>
      <c r="AO74" s="996">
        <f>AS74/(X74-AS74)</f>
        <v>-2.1292702702702691E-2</v>
      </c>
      <c r="AP74" s="997"/>
      <c r="AQ74" s="997"/>
      <c r="AR74" s="998"/>
      <c r="AS74" s="1078">
        <f>X$64*(AO$64-AK$64)+X$65*(AO$65-AK$65)</f>
        <v>-3151.3199999999983</v>
      </c>
      <c r="AT74" s="1079"/>
      <c r="AU74" s="1079"/>
      <c r="AV74" s="1080"/>
      <c r="AW74" s="1081">
        <f>SUMPRODUCT(X$64:AA$65,AK$64:AN$65)</f>
        <v>148000</v>
      </c>
      <c r="AX74" s="1082"/>
      <c r="AY74" s="1082"/>
      <c r="AZ74" s="1083"/>
      <c r="BA74" s="1005">
        <f>SUMPRODUCT(X$64:AA$65,BI$64:BL$65)</f>
        <v>178440</v>
      </c>
      <c r="BB74" s="1014"/>
      <c r="BC74" s="1014"/>
      <c r="BD74" s="1015"/>
      <c r="BE74" s="1011">
        <f>1-(SUMPRODUCT(R$51:R$52,Z$51:Z$52)/107+(AN$51*AV$51+AN$51/(1-AV$51)*$K$20)*R$51+(AN$52*AV$52+AN$52/(1-AV$52)*$K$20)*R$52)/BA$75</f>
        <v>0.43995079106037671</v>
      </c>
      <c r="BF74" s="1012"/>
      <c r="BG74" s="1012"/>
      <c r="BH74" s="1013"/>
      <c r="BI74" s="149" t="s">
        <v>30</v>
      </c>
      <c r="BJ74" s="150"/>
      <c r="BK74" s="150"/>
      <c r="BL74" s="152"/>
      <c r="BM74" s="149" t="s">
        <v>30</v>
      </c>
      <c r="BN74" s="150"/>
      <c r="BO74" s="150"/>
      <c r="BP74" s="152"/>
      <c r="BQ74" s="149" t="s">
        <v>30</v>
      </c>
      <c r="BR74" s="150"/>
      <c r="BS74" s="150"/>
      <c r="BT74" s="152"/>
      <c r="BU74" s="149" t="s">
        <v>30</v>
      </c>
      <c r="BV74" s="150"/>
      <c r="BW74" s="150"/>
      <c r="BX74" s="152"/>
      <c r="BY74" s="149" t="s">
        <v>30</v>
      </c>
      <c r="BZ74" s="150"/>
      <c r="CA74" s="150"/>
      <c r="CB74" s="152"/>
      <c r="CC74" s="149" t="s">
        <v>30</v>
      </c>
      <c r="CD74" s="150"/>
      <c r="CE74" s="152"/>
      <c r="CF74" s="149" t="s">
        <v>30</v>
      </c>
      <c r="CG74" s="150"/>
      <c r="CH74" s="150"/>
      <c r="CI74" s="152"/>
      <c r="CJ74" s="149" t="s">
        <v>30</v>
      </c>
      <c r="CK74" s="150"/>
      <c r="CL74" s="150"/>
      <c r="CM74" s="152"/>
    </row>
    <row r="75" spans="1:91" ht="13.5" customHeight="1">
      <c r="A75" s="22"/>
      <c r="B75" s="202">
        <v>25</v>
      </c>
      <c r="C75" s="308"/>
      <c r="D75" s="148"/>
      <c r="E75" s="149"/>
      <c r="F75" s="148" t="s">
        <v>207</v>
      </c>
      <c r="G75" s="149"/>
      <c r="H75" s="149"/>
      <c r="I75" s="151"/>
      <c r="J75" s="221"/>
      <c r="K75" s="222"/>
      <c r="L75" s="222"/>
      <c r="M75" s="222"/>
      <c r="N75" s="161"/>
      <c r="O75" s="162"/>
      <c r="P75" s="148"/>
      <c r="Q75" s="150"/>
      <c r="R75" s="150"/>
      <c r="S75" s="162"/>
      <c r="T75" s="119"/>
      <c r="U75" s="120"/>
      <c r="V75" s="120"/>
      <c r="W75" s="162"/>
      <c r="X75" s="993">
        <f>SUMPRODUCT(X$64:AA$65,AO$64:AR$65)</f>
        <v>144848.68</v>
      </c>
      <c r="Y75" s="994"/>
      <c r="Z75" s="994"/>
      <c r="AA75" s="995"/>
      <c r="AB75" s="993">
        <f>SUMPRODUCT(R$51:R$52,AE$51:AE$52)/107</f>
        <v>115874.97196261682</v>
      </c>
      <c r="AC75" s="994"/>
      <c r="AD75" s="994"/>
      <c r="AE75" s="995"/>
      <c r="AF75" s="1022">
        <f>X75-AB75</f>
        <v>28973.70803738317</v>
      </c>
      <c r="AG75" s="1023"/>
      <c r="AH75" s="1023"/>
      <c r="AI75" s="1023"/>
      <c r="AJ75" s="1024"/>
      <c r="AK75" s="1075">
        <f>AF75/AB75</f>
        <v>0.25004284831007828</v>
      </c>
      <c r="AL75" s="1076"/>
      <c r="AM75" s="1076"/>
      <c r="AN75" s="1077"/>
      <c r="AO75" s="996">
        <f>AS75/(X75-AS75)</f>
        <v>-2.1292702702702691E-2</v>
      </c>
      <c r="AP75" s="997"/>
      <c r="AQ75" s="997"/>
      <c r="AR75" s="998"/>
      <c r="AS75" s="1052">
        <f>X$64*(AO$64-AK$64)+X$65*(AO$65-AK$65)</f>
        <v>-3151.3199999999983</v>
      </c>
      <c r="AT75" s="1053"/>
      <c r="AU75" s="1053"/>
      <c r="AV75" s="1054"/>
      <c r="AW75" s="1055">
        <f>SUMPRODUCT(X$64:AA$65,AK$64:AN$65)</f>
        <v>148000</v>
      </c>
      <c r="AX75" s="1056"/>
      <c r="AY75" s="1056"/>
      <c r="AZ75" s="1057"/>
      <c r="BA75" s="993">
        <f>SUMPRODUCT(X$64:AA$65,BI$64:BL$65)</f>
        <v>178440</v>
      </c>
      <c r="BB75" s="994"/>
      <c r="BC75" s="994"/>
      <c r="BD75" s="995"/>
      <c r="BE75" s="1011">
        <f>1-(SUMPRODUCT(R$51:R$52,Z$51:Z$52)/107+(AN$51*AV$51+AN$51/(1-AV$51)*$K$20)*R$51+(AN$52*AV$52+AN$52/(1-AV$52)*$K$20)*R$52)/BA$75</f>
        <v>0.43995079106037671</v>
      </c>
      <c r="BF75" s="1012"/>
      <c r="BG75" s="1012"/>
      <c r="BH75" s="1013"/>
      <c r="BI75" s="149" t="s">
        <v>30</v>
      </c>
      <c r="BJ75" s="150"/>
      <c r="BK75" s="150"/>
      <c r="BL75" s="152"/>
      <c r="BM75" s="149" t="s">
        <v>30</v>
      </c>
      <c r="BN75" s="150"/>
      <c r="BO75" s="150"/>
      <c r="BP75" s="152"/>
      <c r="BQ75" s="149" t="s">
        <v>30</v>
      </c>
      <c r="BR75" s="150"/>
      <c r="BS75" s="150"/>
      <c r="BT75" s="152"/>
      <c r="BU75" s="149" t="s">
        <v>30</v>
      </c>
      <c r="BV75" s="150"/>
      <c r="BW75" s="150"/>
      <c r="BX75" s="152"/>
      <c r="BY75" s="149" t="s">
        <v>30</v>
      </c>
      <c r="BZ75" s="150"/>
      <c r="CA75" s="150"/>
      <c r="CB75" s="152"/>
      <c r="CC75" s="149" t="s">
        <v>30</v>
      </c>
      <c r="CD75" s="150"/>
      <c r="CE75" s="152"/>
      <c r="CF75" s="149" t="s">
        <v>30</v>
      </c>
      <c r="CG75" s="150"/>
      <c r="CH75" s="150"/>
      <c r="CI75" s="152"/>
      <c r="CJ75" s="149" t="s">
        <v>30</v>
      </c>
      <c r="CK75" s="150"/>
      <c r="CL75" s="150"/>
      <c r="CM75" s="152"/>
    </row>
    <row r="76" spans="1:91" ht="13.5" customHeight="1">
      <c r="A76" s="22"/>
      <c r="B76" s="202">
        <v>26</v>
      </c>
      <c r="C76" s="339"/>
      <c r="D76" s="75"/>
      <c r="E76" s="75"/>
      <c r="F76" s="75"/>
      <c r="G76" s="75"/>
      <c r="H76" s="199"/>
      <c r="I76" s="199"/>
      <c r="J76" s="200"/>
      <c r="K76" s="199"/>
      <c r="L76" s="200"/>
      <c r="M76" s="199"/>
      <c r="N76" s="199"/>
      <c r="O76" s="83"/>
      <c r="P76" s="84"/>
      <c r="Q76" s="84"/>
      <c r="R76" s="84"/>
      <c r="S76" s="75"/>
      <c r="T76" s="75"/>
      <c r="U76" s="75"/>
      <c r="V76" s="75"/>
      <c r="W76" s="75"/>
      <c r="X76" s="85"/>
      <c r="Y76" s="75"/>
      <c r="Z76" s="84"/>
      <c r="AA76" s="85"/>
      <c r="AB76" s="75"/>
      <c r="AC76" s="84"/>
      <c r="AD76" s="85"/>
      <c r="AE76" s="84"/>
      <c r="AF76" s="84"/>
      <c r="AG76" s="85"/>
      <c r="AH76" s="84"/>
      <c r="AI76" s="84"/>
      <c r="AJ76" s="90"/>
      <c r="AK76" s="84"/>
      <c r="AL76" s="84"/>
      <c r="AM76" s="84"/>
      <c r="AN76" s="84"/>
      <c r="AO76" s="84"/>
      <c r="AP76" s="84"/>
      <c r="AQ76" s="84"/>
      <c r="AR76" s="84"/>
      <c r="AS76" s="65"/>
      <c r="AT76" s="65"/>
      <c r="AU76" s="65"/>
      <c r="AV76" s="65"/>
      <c r="AW76" s="65"/>
      <c r="AX76" s="65"/>
      <c r="AY76" s="63"/>
      <c r="AZ76" s="31"/>
      <c r="BA76" s="30"/>
      <c r="BB76" s="175"/>
      <c r="BC76" s="343"/>
      <c r="BD76" s="1085"/>
      <c r="BE76" s="1086"/>
      <c r="BF76" s="1086"/>
    </row>
    <row r="77" spans="1:91" ht="13.5" customHeight="1">
      <c r="A77" s="22"/>
      <c r="B77" s="202">
        <v>29</v>
      </c>
      <c r="C77" s="342"/>
      <c r="D77" s="332"/>
      <c r="E77" s="65"/>
      <c r="F77" s="65"/>
      <c r="G77" s="65"/>
      <c r="H77" s="65"/>
      <c r="I77" s="65"/>
      <c r="J77" s="1019"/>
      <c r="K77" s="1020"/>
      <c r="L77" s="1020"/>
      <c r="M77" s="1020"/>
      <c r="N77"/>
      <c r="O77"/>
      <c r="P77"/>
      <c r="Q77"/>
      <c r="R77"/>
      <c r="S77"/>
      <c r="T77"/>
      <c r="U77"/>
      <c r="V77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254"/>
      <c r="AT77" s="35"/>
      <c r="AU77" s="35"/>
      <c r="AV77" s="254"/>
      <c r="AW77" s="198"/>
      <c r="AX77" s="198"/>
      <c r="AY77" s="198"/>
      <c r="AZ77" s="31"/>
      <c r="BA77" s="30"/>
      <c r="BB77" s="175"/>
      <c r="BC77" s="345"/>
      <c r="BD77" s="28"/>
      <c r="BG77" s="24"/>
      <c r="BH77" s="28"/>
    </row>
    <row r="78" spans="1:91" ht="13.5" customHeight="1">
      <c r="A78" s="22"/>
      <c r="B78" s="202"/>
      <c r="C78" s="342"/>
      <c r="D78" s="332"/>
      <c r="E78" s="65"/>
      <c r="F78" s="65"/>
      <c r="G78" s="65"/>
      <c r="H78" s="65"/>
      <c r="I78" s="65"/>
      <c r="J78" s="333"/>
      <c r="K78" s="334"/>
      <c r="L78" s="334"/>
      <c r="M78" s="334"/>
      <c r="N78"/>
      <c r="O78"/>
      <c r="P78"/>
      <c r="Q78"/>
      <c r="R78"/>
      <c r="S78"/>
      <c r="T78"/>
      <c r="U78"/>
      <c r="V78"/>
      <c r="W78" s="65"/>
      <c r="X78" s="65"/>
      <c r="Y78" s="65"/>
      <c r="Z78" s="65"/>
      <c r="AA78" s="65"/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198"/>
      <c r="AN78" s="198"/>
      <c r="AO78" s="198"/>
      <c r="AP78" s="198"/>
      <c r="AQ78" s="198"/>
      <c r="AR78" s="198"/>
      <c r="AS78" s="254"/>
      <c r="AT78" s="35"/>
      <c r="AU78" s="35"/>
      <c r="AV78" s="254"/>
      <c r="AW78" s="198"/>
      <c r="AX78" s="198"/>
      <c r="AY78" s="198"/>
      <c r="AZ78" s="31"/>
      <c r="BA78" s="30"/>
      <c r="BB78" s="175"/>
      <c r="BC78" s="345"/>
      <c r="BD78" s="28"/>
      <c r="BG78" s="24"/>
      <c r="BH78" s="28"/>
    </row>
    <row r="79" spans="1:91" ht="13.5" customHeight="1">
      <c r="A79" s="22"/>
      <c r="B79" s="202"/>
      <c r="C79" s="342"/>
      <c r="D79" s="332"/>
      <c r="E79" s="65"/>
      <c r="F79" s="65"/>
      <c r="G79" s="65"/>
      <c r="H79" s="65"/>
      <c r="I79" s="65"/>
      <c r="J79" s="333"/>
      <c r="K79" s="334"/>
      <c r="L79" s="334"/>
      <c r="M79" s="334"/>
      <c r="N79"/>
      <c r="O79"/>
      <c r="P79"/>
      <c r="Q79"/>
      <c r="R79"/>
      <c r="S79"/>
      <c r="T79"/>
      <c r="U79"/>
      <c r="V79"/>
      <c r="W79" s="65"/>
      <c r="X79" s="65"/>
      <c r="Y79" s="65"/>
      <c r="Z79" s="65"/>
      <c r="AA79" s="65"/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198"/>
      <c r="AN79" s="198"/>
      <c r="AO79" s="198"/>
      <c r="AP79" s="198"/>
      <c r="AQ79" s="198"/>
      <c r="AR79" s="198"/>
      <c r="AS79" s="254"/>
      <c r="AT79" s="35"/>
      <c r="AU79" s="35"/>
      <c r="AV79" s="254"/>
      <c r="AW79" s="198"/>
      <c r="AX79" s="198"/>
      <c r="AY79" s="198"/>
      <c r="AZ79" s="31"/>
      <c r="BA79" s="30"/>
      <c r="BB79" s="175"/>
      <c r="BC79" s="345"/>
      <c r="BD79" s="28"/>
      <c r="BG79" s="24"/>
      <c r="BH79" s="28"/>
    </row>
    <row r="80" spans="1:91" ht="5.15" customHeight="1">
      <c r="A80" s="22"/>
      <c r="B80" s="202"/>
      <c r="C80" s="315"/>
      <c r="D80" s="73"/>
      <c r="E80" s="73"/>
      <c r="F80" s="73"/>
      <c r="G80" s="73"/>
      <c r="H80" s="316"/>
      <c r="I80" s="275"/>
      <c r="J80" s="273"/>
      <c r="K80" s="275"/>
      <c r="L80" s="273"/>
      <c r="M80" s="317"/>
      <c r="N80" s="317"/>
      <c r="O80" s="270"/>
      <c r="P80" s="317"/>
      <c r="Q80" s="270"/>
      <c r="R80" s="317"/>
      <c r="S80" s="73"/>
      <c r="T80" s="73"/>
      <c r="U80" s="73"/>
      <c r="V80" s="73"/>
      <c r="W80" s="73"/>
      <c r="X80" s="316"/>
      <c r="Y80" s="275"/>
      <c r="Z80" s="273"/>
      <c r="AA80" s="275"/>
      <c r="AB80" s="273"/>
      <c r="AC80" s="317"/>
      <c r="AD80" s="317"/>
      <c r="AE80" s="270"/>
      <c r="AF80" s="317"/>
      <c r="AG80" s="270"/>
      <c r="AH80" s="317"/>
      <c r="AI80" s="276"/>
      <c r="AJ80" s="317"/>
      <c r="AK80" s="270"/>
      <c r="AL80" s="73"/>
      <c r="AM80" s="73"/>
      <c r="AN80" s="73"/>
      <c r="AO80" s="73"/>
      <c r="AP80" s="73"/>
      <c r="AQ80" s="73"/>
      <c r="AR80" s="73"/>
      <c r="AS80" s="73"/>
      <c r="AT80" s="73"/>
      <c r="AU80" s="73"/>
      <c r="AV80" s="318"/>
      <c r="AW80" s="73"/>
      <c r="AX80" s="73"/>
      <c r="AY80" s="269"/>
      <c r="AZ80" s="269"/>
      <c r="BA80" s="319"/>
      <c r="BB80" s="320"/>
      <c r="BC80" s="344"/>
      <c r="BD80" s="28"/>
    </row>
    <row r="81" spans="1:67" ht="13.5" customHeight="1">
      <c r="A81" s="22"/>
      <c r="B81" s="202">
        <v>31</v>
      </c>
      <c r="C81" s="331"/>
      <c r="D81" s="332"/>
      <c r="E81" s="65"/>
      <c r="F81" s="65"/>
      <c r="G81" s="65"/>
      <c r="H81" s="65"/>
      <c r="I81" s="65"/>
      <c r="J81" s="1021"/>
      <c r="K81" s="1021"/>
      <c r="L81" s="1021"/>
      <c r="M81" s="1021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198"/>
      <c r="AN81" s="198"/>
      <c r="AO81" s="198"/>
      <c r="AP81" s="198"/>
      <c r="AQ81" s="198"/>
      <c r="AR81" s="198"/>
      <c r="AS81" s="198"/>
      <c r="AT81" s="198"/>
      <c r="AU81" s="198"/>
      <c r="AV81" s="198"/>
      <c r="AW81" s="198"/>
      <c r="AX81" s="198"/>
      <c r="AY81" s="198"/>
      <c r="AZ81" s="33"/>
      <c r="BA81" s="46"/>
      <c r="BB81" s="78"/>
      <c r="BC81" s="34"/>
      <c r="BD81" s="28"/>
      <c r="BK81" s="1084"/>
      <c r="BL81" s="1084"/>
      <c r="BM81" s="1084"/>
      <c r="BN81" s="1084"/>
      <c r="BO81" s="1084"/>
    </row>
    <row r="82" spans="1:67" ht="14.15" customHeight="1">
      <c r="A82" s="22"/>
      <c r="B82" s="129"/>
      <c r="C82" s="346" t="s">
        <v>131</v>
      </c>
      <c r="D82" s="28"/>
      <c r="E82" s="28"/>
      <c r="F82" s="28"/>
      <c r="G82" s="28"/>
      <c r="S82" s="35"/>
      <c r="T82" s="35"/>
      <c r="U82" s="35"/>
      <c r="V82" s="35"/>
      <c r="Y82" s="35"/>
      <c r="Z82" s="35"/>
      <c r="AD82" s="35"/>
      <c r="AE82" s="35"/>
      <c r="AF82" s="35"/>
      <c r="AG82" s="35"/>
      <c r="AH82" s="35"/>
      <c r="AI82" s="35"/>
      <c r="AJ82" s="28"/>
      <c r="AK82" s="28"/>
      <c r="AL82" s="28"/>
      <c r="AM82" s="130"/>
      <c r="AN82" s="130"/>
      <c r="AO82" s="35"/>
      <c r="AP82" s="35"/>
      <c r="AQ82" s="35"/>
      <c r="AR82" s="35"/>
      <c r="AS82" s="35"/>
      <c r="AT82" s="35"/>
      <c r="AU82" s="35"/>
      <c r="AV82" s="35"/>
      <c r="AW82" s="35"/>
      <c r="AX82" s="65"/>
      <c r="AY82" s="65"/>
      <c r="AZ82" s="33"/>
      <c r="BA82" s="46"/>
      <c r="BB82" s="78"/>
      <c r="BC82" s="34"/>
      <c r="BD82" s="28"/>
      <c r="BE82" s="1074"/>
      <c r="BF82" s="1074"/>
      <c r="BG82" s="1074"/>
      <c r="BH82" s="1074"/>
    </row>
    <row r="83" spans="1:67" ht="5.15" customHeight="1">
      <c r="A83" s="22"/>
      <c r="B83" s="202"/>
      <c r="C83" s="296"/>
      <c r="D83" s="72"/>
      <c r="E83" s="72"/>
      <c r="F83" s="72"/>
      <c r="G83" s="72"/>
      <c r="H83" s="297"/>
      <c r="I83" s="278"/>
      <c r="J83" s="279"/>
      <c r="K83" s="278"/>
      <c r="L83" s="279"/>
      <c r="M83" s="298"/>
      <c r="N83" s="298"/>
      <c r="O83" s="263"/>
      <c r="P83" s="298"/>
      <c r="Q83" s="263"/>
      <c r="R83" s="298"/>
      <c r="S83" s="72"/>
      <c r="T83" s="72"/>
      <c r="U83" s="72"/>
      <c r="V83" s="72"/>
      <c r="W83" s="72"/>
      <c r="X83" s="297"/>
      <c r="Y83" s="278"/>
      <c r="Z83" s="279"/>
      <c r="AA83" s="278"/>
      <c r="AB83" s="279"/>
      <c r="AC83" s="298"/>
      <c r="AD83" s="298"/>
      <c r="AE83" s="263"/>
      <c r="AF83" s="298"/>
      <c r="AG83" s="263"/>
      <c r="AH83" s="298"/>
      <c r="AI83" s="280"/>
      <c r="AJ83" s="298"/>
      <c r="AK83" s="263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300"/>
      <c r="AW83" s="72"/>
      <c r="AX83" s="72"/>
      <c r="AY83" s="265"/>
      <c r="AZ83" s="33"/>
      <c r="BA83" s="46"/>
      <c r="BB83" s="78"/>
      <c r="BC83" s="34"/>
      <c r="BD83" s="28"/>
    </row>
    <row r="84" spans="1:67" ht="14.15" customHeight="1">
      <c r="A84" s="23"/>
      <c r="B84" s="351"/>
      <c r="C84" s="282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5"/>
      <c r="S84" s="35"/>
      <c r="T84" s="28"/>
      <c r="U84" s="28"/>
      <c r="V84" s="28"/>
      <c r="W84" s="28"/>
      <c r="X84" s="28"/>
      <c r="Y84" s="28"/>
      <c r="Z84" s="28"/>
      <c r="AC84" s="28"/>
      <c r="AD84" s="28"/>
      <c r="AE84" s="35"/>
      <c r="AF84" s="35"/>
      <c r="AG84" s="35"/>
      <c r="AH84" s="35"/>
      <c r="AI84" s="35"/>
      <c r="AJ84" s="28"/>
      <c r="AK84" s="28"/>
      <c r="AL84" s="28"/>
      <c r="AM84" s="35"/>
      <c r="AN84" s="35"/>
      <c r="AO84" s="135"/>
      <c r="AP84" s="136"/>
      <c r="AQ84" s="130"/>
      <c r="AR84" s="130"/>
      <c r="AS84" s="130"/>
      <c r="AT84" s="130"/>
      <c r="AU84" s="81"/>
      <c r="AV84" s="35"/>
      <c r="AW84" s="35"/>
      <c r="AX84" s="65"/>
      <c r="AY84" s="347"/>
      <c r="AZ84" s="33"/>
      <c r="BA84" s="46"/>
      <c r="BB84" s="78"/>
      <c r="BC84" s="34"/>
      <c r="BD84" s="28"/>
      <c r="BG84" s="35"/>
    </row>
    <row r="85" spans="1:67" ht="14.15" customHeight="1">
      <c r="A85" s="23"/>
      <c r="B85" s="351"/>
      <c r="C85" s="352"/>
      <c r="D85" s="348" t="s">
        <v>38</v>
      </c>
      <c r="E85" s="131"/>
      <c r="F85" s="131"/>
      <c r="G85" s="131"/>
      <c r="H85" s="132"/>
      <c r="I85" s="132"/>
      <c r="J85" s="106"/>
      <c r="K85" s="133"/>
      <c r="L85" s="134"/>
      <c r="M85" s="144"/>
      <c r="N85" s="144"/>
      <c r="O85" s="131"/>
      <c r="P85" s="134"/>
      <c r="Q85" s="107"/>
      <c r="R85" s="133" t="s">
        <v>40</v>
      </c>
      <c r="S85" s="134"/>
      <c r="T85" s="107"/>
      <c r="U85" s="107"/>
      <c r="V85" s="133" t="s">
        <v>44</v>
      </c>
      <c r="W85" s="134"/>
      <c r="X85" s="107"/>
      <c r="Y85" s="35"/>
      <c r="Z85" s="35"/>
      <c r="AC85" s="28"/>
      <c r="AD85" s="28"/>
      <c r="AE85" s="28"/>
      <c r="AF85" s="35"/>
      <c r="AG85" s="35"/>
      <c r="AH85" s="28"/>
      <c r="AI85" s="28"/>
      <c r="AJ85" s="28"/>
      <c r="AK85" s="81"/>
      <c r="AL85" s="28"/>
      <c r="AM85" s="28"/>
      <c r="AN85" s="28"/>
      <c r="AO85" s="28"/>
      <c r="AP85" s="28"/>
      <c r="AQ85" s="65"/>
      <c r="AR85" s="65"/>
      <c r="AS85" s="65"/>
      <c r="AT85" s="125"/>
      <c r="AU85" s="65"/>
      <c r="AV85" s="65"/>
      <c r="AW85" s="65"/>
      <c r="AX85" s="65"/>
      <c r="AY85" s="347"/>
      <c r="AZ85" s="33"/>
      <c r="BA85" s="46"/>
      <c r="BB85" s="78"/>
      <c r="BC85" s="34"/>
      <c r="BD85" s="28"/>
      <c r="BE85" s="35"/>
      <c r="BF85" s="35"/>
      <c r="BG85" s="35"/>
    </row>
    <row r="86" spans="1:67" ht="13.5" customHeight="1">
      <c r="A86" s="22"/>
      <c r="B86" s="353"/>
      <c r="C86" s="352"/>
      <c r="D86" s="349" t="s">
        <v>45</v>
      </c>
      <c r="E86" s="137"/>
      <c r="F86" s="137"/>
      <c r="G86" s="137"/>
      <c r="H86" s="137"/>
      <c r="I86" s="137"/>
      <c r="J86" s="137"/>
      <c r="K86" s="350"/>
      <c r="L86" s="139"/>
      <c r="M86" s="108"/>
      <c r="N86" s="108"/>
      <c r="O86" s="145"/>
      <c r="P86" s="139"/>
      <c r="Q86" s="109"/>
      <c r="R86" s="138" t="s">
        <v>41</v>
      </c>
      <c r="S86" s="139"/>
      <c r="T86" s="108"/>
      <c r="U86" s="109"/>
      <c r="V86" s="140"/>
      <c r="W86" s="141"/>
      <c r="X86" s="142"/>
      <c r="Y86" s="116"/>
      <c r="Z86" s="41"/>
      <c r="AA86" s="116"/>
      <c r="AB86" s="116"/>
      <c r="AC86" s="116"/>
      <c r="AD86" s="116"/>
      <c r="AE86" s="116"/>
      <c r="AF86" s="116"/>
      <c r="AG86" s="116"/>
      <c r="AH86" s="116"/>
      <c r="AI86" s="116"/>
      <c r="AJ86" s="116"/>
      <c r="AK86" s="116"/>
      <c r="AL86" s="116"/>
      <c r="AM86" s="116"/>
      <c r="AN86" s="116"/>
      <c r="AO86" s="116"/>
      <c r="AP86" s="116"/>
      <c r="AQ86" s="65"/>
      <c r="AR86" s="65"/>
      <c r="AS86" s="65"/>
      <c r="AT86" s="125"/>
      <c r="AU86" s="65"/>
      <c r="AV86" s="65"/>
      <c r="AW86" s="65"/>
      <c r="AX86" s="65"/>
      <c r="AY86" s="347"/>
      <c r="AZ86" s="33"/>
      <c r="BA86" s="46"/>
      <c r="BB86" s="78"/>
      <c r="BC86" s="34"/>
      <c r="BD86" s="28"/>
      <c r="BE86" s="35"/>
      <c r="BF86" s="35"/>
      <c r="BG86" s="35"/>
    </row>
    <row r="87" spans="1:67" ht="5.15" customHeight="1">
      <c r="A87" s="22"/>
      <c r="B87" s="202"/>
      <c r="C87" s="315"/>
      <c r="D87" s="73"/>
      <c r="E87" s="73"/>
      <c r="F87" s="73"/>
      <c r="G87" s="73"/>
      <c r="H87" s="316"/>
      <c r="I87" s="275"/>
      <c r="J87" s="273"/>
      <c r="K87" s="275"/>
      <c r="L87" s="273"/>
      <c r="M87" s="317"/>
      <c r="N87" s="317"/>
      <c r="O87" s="270"/>
      <c r="P87" s="317"/>
      <c r="Q87" s="270"/>
      <c r="R87" s="317"/>
      <c r="S87" s="73"/>
      <c r="T87" s="73"/>
      <c r="U87" s="73"/>
      <c r="V87" s="73"/>
      <c r="W87" s="73"/>
      <c r="X87" s="316"/>
      <c r="Y87" s="275"/>
      <c r="Z87" s="273"/>
      <c r="AA87" s="275"/>
      <c r="AB87" s="273"/>
      <c r="AC87" s="317"/>
      <c r="AD87" s="317"/>
      <c r="AE87" s="270"/>
      <c r="AF87" s="317"/>
      <c r="AG87" s="270"/>
      <c r="AH87" s="317"/>
      <c r="AI87" s="276"/>
      <c r="AJ87" s="317"/>
      <c r="AK87" s="270"/>
      <c r="AL87" s="73"/>
      <c r="AM87" s="73"/>
      <c r="AN87" s="73"/>
      <c r="AO87" s="73"/>
      <c r="AP87" s="73"/>
      <c r="AQ87" s="73"/>
      <c r="AR87" s="73"/>
      <c r="AS87" s="73"/>
      <c r="AT87" s="73"/>
      <c r="AU87" s="73"/>
      <c r="AV87" s="318"/>
      <c r="AW87" s="73"/>
      <c r="AX87" s="73"/>
      <c r="AY87" s="277"/>
      <c r="AZ87" s="33"/>
      <c r="BA87" s="46"/>
      <c r="BB87" s="78"/>
      <c r="BC87" s="34"/>
      <c r="BD87" s="28"/>
    </row>
    <row r="88" spans="1:67" ht="14.15" customHeight="1">
      <c r="A88" s="22"/>
      <c r="B88" s="202">
        <v>35</v>
      </c>
      <c r="C88" s="331"/>
      <c r="D88" s="332"/>
      <c r="E88" s="65"/>
      <c r="F88" s="65"/>
      <c r="G88" s="65"/>
      <c r="H88" s="65"/>
      <c r="I88" s="65"/>
      <c r="J88" s="986"/>
      <c r="K88" s="986"/>
      <c r="L88" s="986"/>
      <c r="M88" s="986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125"/>
      <c r="AU88" s="65"/>
      <c r="AV88" s="65"/>
      <c r="AW88" s="65"/>
      <c r="AX88" s="65"/>
      <c r="AY88" s="65"/>
      <c r="AZ88" s="33"/>
      <c r="BA88" s="46"/>
      <c r="BB88" s="335"/>
      <c r="BC88" s="336"/>
      <c r="BD88" s="28"/>
      <c r="BG88" s="24"/>
      <c r="BH88" s="28"/>
    </row>
    <row r="89" spans="1:67" ht="14.15" customHeight="1">
      <c r="A89" s="22"/>
      <c r="B89" s="202">
        <v>35</v>
      </c>
      <c r="C89" s="346" t="s">
        <v>247</v>
      </c>
      <c r="D89" s="332"/>
      <c r="E89" s="65"/>
      <c r="F89" s="65"/>
      <c r="G89" s="65"/>
      <c r="H89" s="65"/>
      <c r="I89" s="65"/>
      <c r="J89" s="986"/>
      <c r="K89" s="986"/>
      <c r="L89" s="986"/>
      <c r="M89" s="986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125"/>
      <c r="AU89" s="65"/>
      <c r="AV89" s="65"/>
      <c r="AW89" s="65"/>
      <c r="AX89" s="65"/>
      <c r="AY89" s="65"/>
      <c r="AZ89" s="33"/>
      <c r="BA89" s="46"/>
      <c r="BB89" s="335"/>
      <c r="BC89" s="336"/>
      <c r="BD89" s="28"/>
      <c r="BG89" s="24"/>
      <c r="BH89" s="28"/>
    </row>
    <row r="90" spans="1:67" ht="14.15" customHeight="1">
      <c r="A90" s="22"/>
      <c r="B90" s="202">
        <v>35</v>
      </c>
      <c r="C90" s="331"/>
      <c r="D90" s="478" t="s">
        <v>248</v>
      </c>
      <c r="E90" s="65"/>
      <c r="F90" s="65"/>
      <c r="G90" s="65"/>
      <c r="H90" s="65"/>
      <c r="I90" s="65"/>
      <c r="J90" s="477"/>
      <c r="K90" s="477"/>
      <c r="L90" s="477"/>
      <c r="M90" s="477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125"/>
      <c r="AU90" s="65"/>
      <c r="AV90" s="65"/>
      <c r="AW90" s="65"/>
      <c r="AX90" s="65"/>
      <c r="AY90" s="65"/>
      <c r="AZ90" s="33"/>
      <c r="BA90" s="46"/>
      <c r="BB90" s="335"/>
      <c r="BC90" s="336"/>
      <c r="BD90" s="28"/>
      <c r="BG90" s="24"/>
      <c r="BH90" s="28"/>
    </row>
    <row r="91" spans="1:67" ht="14.15" customHeight="1">
      <c r="A91" s="22"/>
      <c r="B91" s="202">
        <v>35</v>
      </c>
      <c r="C91" s="331"/>
      <c r="D91" s="332"/>
      <c r="E91" s="65"/>
      <c r="F91" s="65"/>
      <c r="G91" s="65"/>
      <c r="H91" s="65"/>
      <c r="I91" s="65"/>
      <c r="J91" s="1025"/>
      <c r="K91" s="1025"/>
      <c r="L91" s="1025"/>
      <c r="M91" s="102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125"/>
      <c r="AU91" s="65"/>
      <c r="AV91" s="65"/>
      <c r="AW91" s="65"/>
      <c r="AX91" s="65"/>
      <c r="AY91" s="65"/>
      <c r="AZ91" s="33"/>
      <c r="BA91" s="46"/>
      <c r="BB91" s="335"/>
      <c r="BC91" s="336"/>
      <c r="BD91" s="28"/>
      <c r="BG91" s="24"/>
      <c r="BH91" s="28"/>
    </row>
    <row r="92" spans="1:67" ht="5.15" customHeight="1">
      <c r="A92" s="22"/>
      <c r="B92" s="202"/>
      <c r="C92" s="29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5"/>
      <c r="AZ92" s="33"/>
      <c r="BA92" s="46"/>
      <c r="BB92" s="78"/>
      <c r="BC92" s="34"/>
      <c r="BD92" s="28"/>
    </row>
    <row r="93" spans="1:67" ht="14.15" customHeight="1">
      <c r="A93" s="23"/>
      <c r="B93" s="351"/>
      <c r="C93" s="282"/>
      <c r="D93" s="28" t="s">
        <v>240</v>
      </c>
      <c r="E93" s="28"/>
      <c r="F93" s="28"/>
      <c r="G93" s="28"/>
      <c r="H93" s="468" t="s">
        <v>245</v>
      </c>
      <c r="I93" s="257"/>
      <c r="J93" s="258"/>
      <c r="K93" s="258"/>
      <c r="L93" s="258"/>
      <c r="M93" s="259"/>
      <c r="N93" s="258"/>
      <c r="O93" s="110"/>
      <c r="P93" s="261" t="s">
        <v>33</v>
      </c>
      <c r="Q93" s="25"/>
      <c r="R93" s="469" t="s">
        <v>246</v>
      </c>
      <c r="S93" s="470"/>
      <c r="T93" s="471"/>
      <c r="U93" s="471"/>
      <c r="V93" s="483"/>
      <c r="W93" s="472"/>
      <c r="X93" s="471"/>
      <c r="Y93" s="473"/>
      <c r="Z93" s="474"/>
      <c r="AB93" s="469" t="s">
        <v>289</v>
      </c>
      <c r="AC93" s="470"/>
      <c r="AD93" s="471"/>
      <c r="AE93" s="471"/>
      <c r="AF93" s="471"/>
      <c r="AG93" s="472"/>
      <c r="AH93" s="471"/>
      <c r="AI93" s="473"/>
      <c r="AJ93" s="472"/>
      <c r="AK93" s="479"/>
      <c r="AL93" s="479"/>
      <c r="AM93" s="473"/>
      <c r="AN93" s="473"/>
      <c r="AO93" s="471"/>
      <c r="AP93" s="480"/>
      <c r="AQ93" s="471"/>
      <c r="AR93" s="471"/>
      <c r="AS93" s="471"/>
      <c r="AT93" s="471"/>
      <c r="AU93" s="481"/>
      <c r="AV93" s="473"/>
      <c r="AW93" s="473"/>
      <c r="AX93" s="482"/>
      <c r="AY93" s="347"/>
      <c r="AZ93" s="33"/>
      <c r="BA93" s="46"/>
      <c r="BB93" s="78"/>
      <c r="BC93" s="34"/>
      <c r="BD93" s="28"/>
      <c r="BG93" s="35"/>
    </row>
    <row r="94" spans="1:67" ht="14.15" customHeight="1">
      <c r="A94" s="23"/>
      <c r="B94" s="351"/>
      <c r="C94" s="282"/>
      <c r="D94" s="28"/>
      <c r="E94" s="28"/>
      <c r="F94" s="28"/>
      <c r="G94" s="28"/>
      <c r="H94" s="469" t="s">
        <v>54</v>
      </c>
      <c r="I94" s="470"/>
      <c r="J94" s="471"/>
      <c r="K94" s="471"/>
      <c r="L94" s="471"/>
      <c r="M94" s="472"/>
      <c r="N94" s="471"/>
      <c r="O94" s="473"/>
      <c r="P94" s="472"/>
      <c r="Q94" s="479"/>
      <c r="R94" s="479"/>
      <c r="S94" s="473"/>
      <c r="T94" s="473"/>
      <c r="U94" s="471"/>
      <c r="V94" s="480"/>
      <c r="W94" s="471"/>
      <c r="X94" s="471"/>
      <c r="Y94" s="471"/>
      <c r="Z94" s="471"/>
      <c r="AA94" s="481"/>
      <c r="AB94" s="473"/>
      <c r="AC94" s="473"/>
      <c r="AD94" s="479"/>
      <c r="AE94" s="471"/>
      <c r="AF94" s="471"/>
      <c r="AG94" s="472"/>
      <c r="AH94" s="471"/>
      <c r="AI94" s="473"/>
      <c r="AJ94" s="472"/>
      <c r="AK94" s="479"/>
      <c r="AL94" s="479"/>
      <c r="AM94" s="473"/>
      <c r="AN94" s="473"/>
      <c r="AO94" s="471"/>
      <c r="AP94" s="480"/>
      <c r="AQ94" s="471"/>
      <c r="AR94" s="471"/>
      <c r="AS94" s="471"/>
      <c r="AT94" s="471"/>
      <c r="AU94" s="481"/>
      <c r="AV94" s="473"/>
      <c r="AW94" s="473"/>
      <c r="AX94" s="482"/>
      <c r="AY94" s="347"/>
      <c r="AZ94" s="33"/>
      <c r="BA94" s="46"/>
      <c r="BB94" s="78"/>
      <c r="BC94" s="34"/>
      <c r="BD94" s="28"/>
      <c r="BG94" s="35"/>
    </row>
    <row r="95" spans="1:67" ht="5.15" customHeight="1">
      <c r="A95" s="22"/>
      <c r="B95" s="202"/>
      <c r="C95" s="315"/>
      <c r="D95" s="73"/>
      <c r="E95" s="73"/>
      <c r="F95" s="73"/>
      <c r="G95" s="73"/>
      <c r="H95" s="316"/>
      <c r="I95" s="275"/>
      <c r="J95" s="273"/>
      <c r="K95" s="275"/>
      <c r="L95" s="273"/>
      <c r="M95" s="317"/>
      <c r="N95" s="317"/>
      <c r="O95" s="270"/>
      <c r="P95" s="317"/>
      <c r="Q95" s="270"/>
      <c r="R95" s="317"/>
      <c r="S95" s="73"/>
      <c r="T95" s="73"/>
      <c r="U95" s="73"/>
      <c r="V95" s="73"/>
      <c r="W95" s="73"/>
      <c r="X95" s="316"/>
      <c r="Y95" s="275"/>
      <c r="Z95" s="273"/>
      <c r="AA95" s="275"/>
      <c r="AB95" s="273"/>
      <c r="AC95" s="317"/>
      <c r="AD95" s="317"/>
      <c r="AE95" s="270"/>
      <c r="AF95" s="317"/>
      <c r="AG95" s="270"/>
      <c r="AH95" s="317"/>
      <c r="AI95" s="276"/>
      <c r="AJ95" s="317"/>
      <c r="AK95" s="270"/>
      <c r="AL95" s="73"/>
      <c r="AM95" s="73"/>
      <c r="AN95" s="73"/>
      <c r="AO95" s="73"/>
      <c r="AP95" s="73"/>
      <c r="AQ95" s="73"/>
      <c r="AR95" s="73"/>
      <c r="AS95" s="73"/>
      <c r="AT95" s="73"/>
      <c r="AU95" s="73"/>
      <c r="AV95" s="318"/>
      <c r="AW95" s="73"/>
      <c r="AX95" s="73"/>
      <c r="AY95" s="277"/>
      <c r="AZ95" s="33"/>
      <c r="BA95" s="46"/>
      <c r="BB95" s="78"/>
      <c r="BC95" s="34"/>
      <c r="BD95" s="28"/>
    </row>
    <row r="96" spans="1:67" ht="5.15" customHeight="1">
      <c r="A96" s="22"/>
      <c r="B96" s="202"/>
      <c r="C96" s="476"/>
      <c r="D96" s="72"/>
      <c r="E96" s="72"/>
      <c r="F96" s="72"/>
      <c r="G96" s="72"/>
      <c r="H96" s="297"/>
      <c r="I96" s="278"/>
      <c r="J96" s="279"/>
      <c r="K96" s="278"/>
      <c r="L96" s="279"/>
      <c r="M96" s="298"/>
      <c r="N96" s="298"/>
      <c r="O96" s="263"/>
      <c r="P96" s="298"/>
      <c r="Q96" s="263"/>
      <c r="R96" s="298"/>
      <c r="S96" s="72"/>
      <c r="T96" s="72"/>
      <c r="U96" s="72"/>
      <c r="V96" s="72"/>
      <c r="W96" s="72"/>
      <c r="X96" s="297"/>
      <c r="Y96" s="278"/>
      <c r="Z96" s="279"/>
      <c r="AA96" s="278"/>
      <c r="AB96" s="279"/>
      <c r="AC96" s="298"/>
      <c r="AD96" s="298"/>
      <c r="AE96" s="263"/>
      <c r="AF96" s="298"/>
      <c r="AG96" s="263"/>
      <c r="AH96" s="298"/>
      <c r="AI96" s="280"/>
      <c r="AJ96" s="298"/>
      <c r="AK96" s="263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300"/>
      <c r="AW96" s="72"/>
      <c r="AX96" s="72"/>
      <c r="AY96" s="264"/>
      <c r="AZ96" s="33"/>
      <c r="BA96" s="46"/>
      <c r="BB96" s="78"/>
      <c r="BC96" s="34"/>
      <c r="BD96" s="28"/>
    </row>
    <row r="97" spans="1:60" ht="14.15" customHeight="1">
      <c r="A97" s="22"/>
      <c r="B97" s="202">
        <v>35</v>
      </c>
      <c r="C97" s="62" t="s">
        <v>243</v>
      </c>
      <c r="D97" s="332"/>
      <c r="E97" s="65"/>
      <c r="F97" s="65"/>
      <c r="G97" s="65"/>
      <c r="H97" s="65"/>
      <c r="I97" s="65"/>
      <c r="J97" s="986"/>
      <c r="K97" s="986"/>
      <c r="L97" s="986"/>
      <c r="M97" s="986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125"/>
      <c r="AU97" s="65"/>
      <c r="AV97" s="65"/>
      <c r="AW97" s="65"/>
      <c r="AX97" s="65"/>
      <c r="AY97" s="65"/>
      <c r="AZ97" s="33"/>
      <c r="BA97" s="46"/>
      <c r="BB97" s="335"/>
      <c r="BC97" s="336"/>
      <c r="BD97" s="28"/>
      <c r="BG97" s="24"/>
      <c r="BH97" s="28"/>
    </row>
    <row r="98" spans="1:60" ht="5.15" customHeight="1">
      <c r="A98" s="22"/>
      <c r="B98" s="202"/>
      <c r="C98" s="29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5"/>
      <c r="AZ98" s="33"/>
      <c r="BA98" s="46"/>
      <c r="BB98" s="78"/>
      <c r="BC98" s="34"/>
      <c r="BD98" s="28"/>
    </row>
    <row r="99" spans="1:60" ht="14.15" customHeight="1">
      <c r="A99" s="23"/>
      <c r="B99" s="351"/>
      <c r="C99" s="282"/>
      <c r="D99" s="28" t="s">
        <v>240</v>
      </c>
      <c r="E99" s="28"/>
      <c r="F99" s="28"/>
      <c r="G99" s="28"/>
      <c r="H99" s="468" t="s">
        <v>241</v>
      </c>
      <c r="I99" s="257"/>
      <c r="J99" s="258"/>
      <c r="K99" s="258"/>
      <c r="L99" s="258"/>
      <c r="M99" s="259"/>
      <c r="N99" s="258"/>
      <c r="O99" s="110"/>
      <c r="P99" s="261" t="s">
        <v>33</v>
      </c>
      <c r="Q99" s="25"/>
      <c r="R99" s="469" t="s">
        <v>242</v>
      </c>
      <c r="S99" s="470"/>
      <c r="T99" s="471"/>
      <c r="U99" s="471"/>
      <c r="V99" s="483"/>
      <c r="W99" s="484" t="s">
        <v>254</v>
      </c>
      <c r="X99" s="471"/>
      <c r="Y99" s="473"/>
      <c r="Z99" s="474"/>
      <c r="AB99" s="529" t="s">
        <v>290</v>
      </c>
      <c r="AC99" s="530"/>
      <c r="AD99" s="531"/>
      <c r="AE99" s="531"/>
      <c r="AF99" s="531"/>
      <c r="AG99" s="532"/>
      <c r="AH99" s="531"/>
      <c r="AI99" s="533"/>
      <c r="AJ99" s="532"/>
      <c r="AK99" s="61"/>
      <c r="AL99" s="61"/>
      <c r="AM99" s="533"/>
      <c r="AN99" s="533"/>
      <c r="AO99" s="531"/>
      <c r="AP99" s="534"/>
      <c r="AQ99" s="531"/>
      <c r="AR99" s="531"/>
      <c r="AS99" s="531"/>
      <c r="AT99" s="531"/>
      <c r="AU99" s="535"/>
      <c r="AV99" s="533"/>
      <c r="AW99" s="533"/>
      <c r="AX99" s="70"/>
      <c r="AY99" s="347"/>
      <c r="AZ99" s="33"/>
      <c r="BA99" s="46"/>
      <c r="BB99" s="78"/>
      <c r="BC99" s="34"/>
      <c r="BD99" s="28"/>
      <c r="BG99" s="35"/>
    </row>
    <row r="100" spans="1:60" ht="14.15" customHeight="1">
      <c r="A100" s="23"/>
      <c r="B100" s="351"/>
      <c r="C100" s="282"/>
      <c r="D100" s="28"/>
      <c r="E100" s="28"/>
      <c r="F100" s="28"/>
      <c r="G100" s="28"/>
      <c r="H100" s="469" t="s">
        <v>253</v>
      </c>
      <c r="I100" s="470"/>
      <c r="J100" s="471"/>
      <c r="K100" s="471"/>
      <c r="L100" s="471"/>
      <c r="M100" s="472"/>
      <c r="N100" s="471"/>
      <c r="O100" s="473"/>
      <c r="P100" s="472"/>
      <c r="Q100" s="479"/>
      <c r="R100" s="479"/>
      <c r="S100" s="473"/>
      <c r="T100" s="473"/>
      <c r="U100" s="471"/>
      <c r="V100" s="480"/>
      <c r="W100" s="471"/>
      <c r="X100" s="471"/>
      <c r="Y100" s="471"/>
      <c r="Z100" s="471"/>
      <c r="AA100" s="481"/>
      <c r="AB100" s="473"/>
      <c r="AC100" s="473"/>
      <c r="AD100" s="479"/>
      <c r="AE100" s="471"/>
      <c r="AF100" s="471"/>
      <c r="AG100" s="472"/>
      <c r="AH100" s="471"/>
      <c r="AI100" s="473"/>
      <c r="AJ100" s="472"/>
      <c r="AK100" s="479"/>
      <c r="AL100" s="479"/>
      <c r="AM100" s="473"/>
      <c r="AN100" s="473"/>
      <c r="AO100" s="471"/>
      <c r="AP100" s="480"/>
      <c r="AQ100" s="471"/>
      <c r="AR100" s="471"/>
      <c r="AS100" s="471"/>
      <c r="AT100" s="471"/>
      <c r="AU100" s="481"/>
      <c r="AV100" s="473"/>
      <c r="AW100" s="473"/>
      <c r="AX100" s="482"/>
      <c r="AY100" s="347"/>
      <c r="AZ100" s="33"/>
      <c r="BA100" s="46"/>
      <c r="BB100" s="78"/>
      <c r="BC100" s="34"/>
      <c r="BD100" s="28"/>
      <c r="BG100" s="35"/>
    </row>
    <row r="101" spans="1:60" ht="5.15" customHeight="1">
      <c r="A101" s="22"/>
      <c r="B101" s="202"/>
      <c r="C101" s="315"/>
      <c r="D101" s="73"/>
      <c r="E101" s="73"/>
      <c r="F101" s="73"/>
      <c r="G101" s="73"/>
      <c r="H101" s="316"/>
      <c r="I101" s="275"/>
      <c r="J101" s="273"/>
      <c r="K101" s="275"/>
      <c r="L101" s="273"/>
      <c r="M101" s="317"/>
      <c r="N101" s="317"/>
      <c r="O101" s="270"/>
      <c r="P101" s="317"/>
      <c r="Q101" s="270"/>
      <c r="R101" s="317"/>
      <c r="S101" s="73"/>
      <c r="T101" s="73"/>
      <c r="U101" s="73"/>
      <c r="V101" s="73"/>
      <c r="W101" s="73"/>
      <c r="X101" s="316"/>
      <c r="Y101" s="275"/>
      <c r="Z101" s="273"/>
      <c r="AA101" s="275"/>
      <c r="AB101" s="273"/>
      <c r="AC101" s="317"/>
      <c r="AD101" s="317"/>
      <c r="AE101" s="270"/>
      <c r="AF101" s="317"/>
      <c r="AG101" s="270"/>
      <c r="AH101" s="317"/>
      <c r="AI101" s="276"/>
      <c r="AJ101" s="317"/>
      <c r="AK101" s="270"/>
      <c r="AL101" s="73"/>
      <c r="AM101" s="73"/>
      <c r="AN101" s="73"/>
      <c r="AO101" s="73"/>
      <c r="AP101" s="73"/>
      <c r="AQ101" s="73"/>
      <c r="AR101" s="73"/>
      <c r="AS101" s="73"/>
      <c r="AT101" s="73"/>
      <c r="AU101" s="73"/>
      <c r="AV101" s="318"/>
      <c r="AW101" s="73"/>
      <c r="AX101" s="73"/>
      <c r="AY101" s="277"/>
      <c r="AZ101" s="33"/>
      <c r="BA101" s="46"/>
      <c r="BB101" s="78"/>
      <c r="BC101" s="34"/>
      <c r="BD101" s="28"/>
    </row>
    <row r="102" spans="1:60" ht="5.15" customHeight="1">
      <c r="A102" s="22"/>
      <c r="B102" s="202"/>
      <c r="C102" s="47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4"/>
      <c r="AZ102" s="33"/>
      <c r="BA102" s="46"/>
      <c r="BB102" s="78"/>
      <c r="BC102" s="34"/>
      <c r="BD102" s="28"/>
    </row>
    <row r="103" spans="1:60" ht="14.15" customHeight="1">
      <c r="A103" s="22"/>
      <c r="B103" s="202">
        <v>35</v>
      </c>
      <c r="C103" s="62" t="s">
        <v>243</v>
      </c>
      <c r="D103" s="332"/>
      <c r="E103" s="65"/>
      <c r="F103" s="65"/>
      <c r="G103" s="65"/>
      <c r="H103" s="65"/>
      <c r="I103" s="65"/>
      <c r="J103" s="477"/>
      <c r="K103" s="477"/>
      <c r="L103" s="477"/>
      <c r="M103" s="477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125"/>
      <c r="AU103" s="65"/>
      <c r="AV103" s="65"/>
      <c r="AW103" s="65"/>
      <c r="AX103" s="65"/>
      <c r="AY103" s="65"/>
      <c r="AZ103" s="33"/>
      <c r="BA103" s="46"/>
      <c r="BB103" s="335"/>
      <c r="BC103" s="336"/>
      <c r="BD103" s="28"/>
      <c r="BG103" s="24"/>
      <c r="BH103" s="28"/>
    </row>
    <row r="104" spans="1:60" ht="14.15" customHeight="1">
      <c r="A104" s="22"/>
      <c r="B104" s="202">
        <v>35</v>
      </c>
      <c r="C104" s="331"/>
      <c r="D104" s="332"/>
      <c r="E104" s="65"/>
      <c r="F104" s="65"/>
      <c r="G104" s="65"/>
      <c r="H104" s="65"/>
      <c r="I104" s="65"/>
      <c r="J104" s="477"/>
      <c r="K104" s="477"/>
      <c r="L104" s="477"/>
      <c r="M104" s="477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125"/>
      <c r="AU104" s="65"/>
      <c r="AV104" s="65"/>
      <c r="AW104" s="65"/>
      <c r="AX104" s="65"/>
      <c r="AY104" s="65"/>
      <c r="AZ104" s="33"/>
      <c r="BA104" s="46"/>
      <c r="BB104" s="335"/>
      <c r="BC104" s="336"/>
      <c r="BD104" s="28"/>
      <c r="BG104" s="24"/>
      <c r="BH104" s="28"/>
    </row>
    <row r="105" spans="1:60" ht="14.15" customHeight="1">
      <c r="A105" s="22"/>
      <c r="B105" s="202">
        <v>35</v>
      </c>
      <c r="C105" s="346" t="s">
        <v>249</v>
      </c>
      <c r="D105" s="332"/>
      <c r="E105" s="65"/>
      <c r="F105" s="65"/>
      <c r="G105" s="65"/>
      <c r="H105" s="65"/>
      <c r="I105" s="65"/>
      <c r="J105" s="986"/>
      <c r="K105" s="986"/>
      <c r="L105" s="986"/>
      <c r="M105" s="986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125"/>
      <c r="AU105" s="65"/>
      <c r="AV105" s="65"/>
      <c r="AW105" s="65"/>
      <c r="AX105" s="65"/>
      <c r="AY105" s="65"/>
      <c r="AZ105" s="33"/>
      <c r="BA105" s="46"/>
      <c r="BB105" s="335"/>
      <c r="BC105" s="336"/>
      <c r="BD105" s="28"/>
      <c r="BG105" s="24"/>
      <c r="BH105" s="28"/>
    </row>
    <row r="106" spans="1:60" ht="5.15" customHeight="1">
      <c r="A106" s="22"/>
      <c r="B106" s="202"/>
      <c r="C106" s="296"/>
      <c r="D106" s="72"/>
      <c r="E106" s="72"/>
      <c r="F106" s="72"/>
      <c r="G106" s="72"/>
      <c r="H106" s="297"/>
      <c r="I106" s="278"/>
      <c r="J106" s="279"/>
      <c r="K106" s="278"/>
      <c r="L106" s="279"/>
      <c r="M106" s="298"/>
      <c r="N106" s="298"/>
      <c r="O106" s="263"/>
      <c r="P106" s="298"/>
      <c r="Q106" s="263"/>
      <c r="R106" s="298"/>
      <c r="S106" s="72"/>
      <c r="T106" s="72"/>
      <c r="U106" s="72"/>
      <c r="V106" s="72"/>
      <c r="W106" s="72"/>
      <c r="X106" s="297"/>
      <c r="Y106" s="278"/>
      <c r="Z106" s="279"/>
      <c r="AA106" s="278"/>
      <c r="AB106" s="279"/>
      <c r="AC106" s="298"/>
      <c r="AD106" s="298"/>
      <c r="AE106" s="263"/>
      <c r="AF106" s="298"/>
      <c r="AG106" s="263"/>
      <c r="AH106" s="298"/>
      <c r="AI106" s="280"/>
      <c r="AJ106" s="298"/>
      <c r="AK106" s="263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300"/>
      <c r="AW106" s="72"/>
      <c r="AX106" s="72"/>
      <c r="AY106" s="265"/>
      <c r="AZ106" s="33"/>
      <c r="BA106" s="46"/>
      <c r="BB106" s="335"/>
      <c r="BC106" s="336"/>
      <c r="BD106" s="28"/>
    </row>
    <row r="107" spans="1:60" ht="13.5" customHeight="1">
      <c r="A107" s="22"/>
      <c r="B107" s="45"/>
      <c r="C107" s="266"/>
      <c r="D107" s="28" t="s">
        <v>250</v>
      </c>
      <c r="E107" s="28"/>
      <c r="F107" s="28"/>
      <c r="G107" s="28"/>
      <c r="H107" s="24"/>
      <c r="I107" s="24"/>
      <c r="J107" s="24"/>
      <c r="K107" s="24"/>
      <c r="L107" s="24"/>
      <c r="M107" s="127"/>
      <c r="N107" s="75"/>
      <c r="O107" s="84"/>
      <c r="P107" s="84"/>
      <c r="Q107" s="85"/>
      <c r="R107" s="75"/>
      <c r="S107" s="75"/>
      <c r="T107" s="75"/>
      <c r="U107" s="84"/>
      <c r="V107" s="85"/>
      <c r="W107" s="75"/>
      <c r="X107" s="65"/>
      <c r="Y107" s="28"/>
      <c r="Z107" s="28"/>
      <c r="AA107" s="28"/>
      <c r="AB107" s="28"/>
      <c r="AC107" s="28"/>
      <c r="AD107" s="28"/>
      <c r="AE107" s="28"/>
      <c r="AF107" s="28"/>
      <c r="AG107" s="28"/>
      <c r="AH107" s="28"/>
      <c r="AI107" s="28"/>
      <c r="AJ107" s="28"/>
      <c r="AK107" s="28"/>
      <c r="AL107" s="28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13.5" customHeight="1">
      <c r="A108" s="22"/>
      <c r="B108" s="45"/>
      <c r="C108" s="266"/>
      <c r="D108" s="28"/>
      <c r="E108" s="28"/>
      <c r="F108" s="28"/>
      <c r="G108" s="28"/>
      <c r="H108" s="348" t="s">
        <v>252</v>
      </c>
      <c r="I108" s="131"/>
      <c r="J108" s="131"/>
      <c r="K108" s="131"/>
      <c r="L108" s="132"/>
      <c r="M108" s="132"/>
      <c r="N108" s="106"/>
      <c r="O108" s="133"/>
      <c r="P108" s="134"/>
      <c r="Q108" s="133" t="s">
        <v>251</v>
      </c>
      <c r="R108" s="134"/>
      <c r="S108" s="107"/>
      <c r="T108" s="107"/>
      <c r="U108" s="107"/>
      <c r="V108" s="107"/>
      <c r="W108" s="107"/>
      <c r="X108" s="107"/>
      <c r="Y108" s="107"/>
      <c r="Z108" s="107"/>
      <c r="AA108" s="107"/>
      <c r="AB108" s="107"/>
      <c r="AC108" s="107"/>
      <c r="AD108" s="107"/>
      <c r="AE108" s="107"/>
      <c r="AF108" s="107"/>
      <c r="AG108" s="107"/>
      <c r="AH108" s="107"/>
      <c r="AI108" s="107"/>
      <c r="AJ108" s="107"/>
      <c r="AK108" s="107"/>
      <c r="AL108" s="133" t="s">
        <v>44</v>
      </c>
      <c r="AM108" s="134"/>
      <c r="AN108" s="107"/>
      <c r="AO108" s="31"/>
      <c r="AP108" s="31"/>
      <c r="AQ108" s="31"/>
      <c r="AR108" s="31"/>
      <c r="AS108" s="31"/>
      <c r="AT108" s="31"/>
      <c r="AU108" s="31"/>
      <c r="AV108" s="31"/>
      <c r="AW108" s="31"/>
      <c r="AX108" s="65"/>
      <c r="AY108" s="267"/>
      <c r="AZ108" s="33"/>
      <c r="BA108" s="46"/>
      <c r="BB108" s="335"/>
      <c r="BC108" s="336"/>
      <c r="BD108" s="28"/>
      <c r="BE108" s="35"/>
      <c r="BF108" s="35"/>
      <c r="BG108" s="35"/>
    </row>
    <row r="109" spans="1:60" ht="13.5" customHeight="1">
      <c r="A109" s="22"/>
      <c r="B109" s="45"/>
      <c r="C109" s="266"/>
      <c r="D109" s="28"/>
      <c r="E109" s="28"/>
      <c r="F109" s="28"/>
      <c r="G109" s="28"/>
      <c r="H109" s="485" t="s">
        <v>255</v>
      </c>
      <c r="I109" s="137"/>
      <c r="J109" s="137"/>
      <c r="K109" s="137"/>
      <c r="L109" s="137"/>
      <c r="M109" s="137"/>
      <c r="N109" s="137"/>
      <c r="O109" s="350"/>
      <c r="P109" s="139"/>
      <c r="Q109" s="486" t="s">
        <v>54</v>
      </c>
      <c r="R109" s="139"/>
      <c r="S109" s="108"/>
      <c r="T109" s="108"/>
      <c r="U109" s="108"/>
      <c r="V109" s="156"/>
      <c r="W109" s="110"/>
      <c r="X109" s="110"/>
      <c r="Y109" s="156"/>
      <c r="Z109" s="156"/>
      <c r="AA109" s="110"/>
      <c r="AB109" s="110"/>
      <c r="AC109" s="37"/>
      <c r="AD109" s="37"/>
      <c r="AE109" s="37"/>
      <c r="AF109" s="37"/>
      <c r="AG109" s="37"/>
      <c r="AH109" s="37"/>
      <c r="AI109" s="37"/>
      <c r="AJ109" s="37"/>
      <c r="AK109" s="97"/>
      <c r="AL109" s="140"/>
      <c r="AM109" s="141"/>
      <c r="AN109" s="142"/>
      <c r="AO109" s="31"/>
      <c r="AP109" s="31"/>
      <c r="AQ109" s="31"/>
      <c r="AR109" s="31"/>
      <c r="AS109" s="31"/>
      <c r="AT109" s="31"/>
      <c r="AU109" s="31"/>
      <c r="AV109" s="31"/>
      <c r="AW109" s="31"/>
      <c r="AX109" s="65"/>
      <c r="AY109" s="267"/>
      <c r="AZ109" s="33"/>
      <c r="BA109" s="46"/>
      <c r="BB109" s="335"/>
      <c r="BC109" s="336"/>
      <c r="BD109" s="28"/>
      <c r="BE109" s="35"/>
      <c r="BF109" s="35"/>
      <c r="BG109" s="35"/>
    </row>
    <row r="110" spans="1:60" ht="13.5" customHeight="1">
      <c r="A110" s="22"/>
      <c r="B110" s="45"/>
      <c r="C110" s="266"/>
      <c r="D110" s="28"/>
      <c r="E110" s="28"/>
      <c r="F110" s="28"/>
      <c r="G110" s="28"/>
      <c r="H110" s="485" t="s">
        <v>256</v>
      </c>
      <c r="I110" s="137"/>
      <c r="J110" s="137"/>
      <c r="K110" s="137"/>
      <c r="L110" s="137"/>
      <c r="M110" s="137"/>
      <c r="N110" s="137"/>
      <c r="O110" s="350"/>
      <c r="P110" s="139"/>
      <c r="Q110" s="486" t="s">
        <v>54</v>
      </c>
      <c r="R110" s="139"/>
      <c r="S110" s="108"/>
      <c r="T110" s="108"/>
      <c r="U110" s="108"/>
      <c r="V110" s="156"/>
      <c r="W110" s="110"/>
      <c r="X110" s="110"/>
      <c r="Y110" s="156"/>
      <c r="Z110" s="156"/>
      <c r="AA110" s="110"/>
      <c r="AB110" s="110"/>
      <c r="AC110" s="37"/>
      <c r="AD110" s="37"/>
      <c r="AE110" s="37"/>
      <c r="AF110" s="37"/>
      <c r="AG110" s="37"/>
      <c r="AH110" s="37"/>
      <c r="AI110" s="37"/>
      <c r="AJ110" s="37"/>
      <c r="AK110" s="97"/>
      <c r="AL110" s="140"/>
      <c r="AM110" s="141"/>
      <c r="AN110" s="142"/>
      <c r="AO110" s="31"/>
      <c r="AP110" s="31"/>
      <c r="AQ110" s="31"/>
      <c r="AR110" s="31"/>
      <c r="AS110" s="31"/>
      <c r="AT110" s="31"/>
      <c r="AU110" s="31"/>
      <c r="AV110" s="31"/>
      <c r="AW110" s="31"/>
      <c r="AX110" s="65"/>
      <c r="AY110" s="267"/>
      <c r="AZ110" s="33"/>
      <c r="BA110" s="46"/>
      <c r="BB110" s="335"/>
      <c r="BC110" s="336"/>
      <c r="BD110" s="28"/>
      <c r="BE110" s="35"/>
      <c r="BF110" s="35"/>
      <c r="BG110" s="35"/>
    </row>
    <row r="111" spans="1:60" ht="13.5" customHeight="1">
      <c r="A111" s="22"/>
      <c r="B111" s="45"/>
      <c r="C111" s="266"/>
      <c r="D111" s="28"/>
      <c r="E111" s="28"/>
      <c r="F111" s="28"/>
      <c r="G111" s="28"/>
      <c r="H111" s="485" t="s">
        <v>257</v>
      </c>
      <c r="I111" s="137"/>
      <c r="J111" s="137"/>
      <c r="K111" s="137"/>
      <c r="L111" s="137"/>
      <c r="M111" s="137"/>
      <c r="N111" s="137"/>
      <c r="O111" s="350"/>
      <c r="P111" s="139"/>
      <c r="Q111" s="486" t="s">
        <v>54</v>
      </c>
      <c r="R111" s="139"/>
      <c r="S111" s="108"/>
      <c r="T111" s="108"/>
      <c r="U111" s="108"/>
      <c r="V111" s="156"/>
      <c r="W111" s="110"/>
      <c r="X111" s="110"/>
      <c r="Y111" s="156"/>
      <c r="Z111" s="156"/>
      <c r="AA111" s="110"/>
      <c r="AB111" s="110"/>
      <c r="AC111" s="37"/>
      <c r="AD111" s="37"/>
      <c r="AE111" s="37"/>
      <c r="AF111" s="37"/>
      <c r="AG111" s="37"/>
      <c r="AH111" s="37"/>
      <c r="AI111" s="37"/>
      <c r="AJ111" s="37"/>
      <c r="AK111" s="97"/>
      <c r="AL111" s="140"/>
      <c r="AM111" s="141"/>
      <c r="AN111" s="142"/>
      <c r="AO111" s="31"/>
      <c r="AP111" s="31"/>
      <c r="AQ111" s="31"/>
      <c r="AR111" s="31"/>
      <c r="AS111" s="31"/>
      <c r="AT111" s="31"/>
      <c r="AU111" s="31"/>
      <c r="AV111" s="31"/>
      <c r="AW111" s="31"/>
      <c r="AX111" s="65"/>
      <c r="AY111" s="267"/>
      <c r="AZ111" s="33"/>
      <c r="BA111" s="46"/>
      <c r="BB111" s="335"/>
      <c r="BC111" s="336"/>
      <c r="BD111" s="28"/>
      <c r="BE111" s="35"/>
      <c r="BF111" s="35"/>
      <c r="BG111" s="35"/>
    </row>
    <row r="112" spans="1:60" ht="5.15" customHeight="1">
      <c r="A112" s="22"/>
      <c r="B112" s="202"/>
      <c r="C112" s="315"/>
      <c r="D112" s="73"/>
      <c r="E112" s="73"/>
      <c r="F112" s="73"/>
      <c r="G112" s="73"/>
      <c r="H112" s="316"/>
      <c r="I112" s="275"/>
      <c r="J112" s="273"/>
      <c r="K112" s="275"/>
      <c r="L112" s="273"/>
      <c r="M112" s="317"/>
      <c r="N112" s="317"/>
      <c r="O112" s="270"/>
      <c r="P112" s="317"/>
      <c r="Q112" s="270"/>
      <c r="R112" s="317"/>
      <c r="S112" s="73"/>
      <c r="T112" s="73"/>
      <c r="U112" s="73"/>
      <c r="V112" s="73"/>
      <c r="W112" s="73"/>
      <c r="X112" s="316"/>
      <c r="Y112" s="275"/>
      <c r="Z112" s="273"/>
      <c r="AA112" s="275"/>
      <c r="AB112" s="273"/>
      <c r="AC112" s="317"/>
      <c r="AD112" s="317"/>
      <c r="AE112" s="270"/>
      <c r="AF112" s="317"/>
      <c r="AG112" s="270"/>
      <c r="AH112" s="317"/>
      <c r="AI112" s="276"/>
      <c r="AJ112" s="317"/>
      <c r="AK112" s="270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318"/>
      <c r="AW112" s="73"/>
      <c r="AX112" s="73"/>
      <c r="AY112" s="277"/>
      <c r="AZ112" s="33"/>
      <c r="BA112" s="46"/>
      <c r="BB112" s="335"/>
      <c r="BC112" s="336"/>
      <c r="BD112" s="28"/>
    </row>
    <row r="113" spans="1:60" ht="14.15" customHeight="1">
      <c r="A113" s="22"/>
      <c r="B113" s="202"/>
      <c r="C113" s="331"/>
      <c r="D113" s="332"/>
      <c r="E113" s="65"/>
      <c r="F113" s="65"/>
      <c r="G113" s="65"/>
      <c r="H113" s="65"/>
      <c r="I113" s="65"/>
      <c r="J113" s="354"/>
      <c r="K113" s="354"/>
      <c r="L113" s="354"/>
      <c r="M113" s="354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125"/>
      <c r="AU113" s="65"/>
      <c r="AV113" s="65"/>
      <c r="AW113" s="65"/>
      <c r="AX113" s="65"/>
      <c r="AY113" s="65"/>
      <c r="AZ113" s="33"/>
      <c r="BA113" s="46"/>
      <c r="BB113" s="335"/>
      <c r="BC113" s="336"/>
      <c r="BD113" s="28"/>
      <c r="BG113" s="24"/>
      <c r="BH113" s="28"/>
    </row>
    <row r="114" spans="1:60" ht="13.5" customHeight="1">
      <c r="A114" s="22"/>
      <c r="B114" s="202">
        <v>36</v>
      </c>
      <c r="C114" s="331"/>
      <c r="D114" s="332"/>
      <c r="E114" s="65"/>
      <c r="F114" s="65"/>
      <c r="G114" s="65"/>
      <c r="H114" s="65"/>
      <c r="I114" s="65"/>
      <c r="J114" s="986"/>
      <c r="K114" s="986"/>
      <c r="L114" s="986"/>
      <c r="M114" s="986"/>
      <c r="N114" s="63"/>
      <c r="O114" s="65"/>
      <c r="P114" s="65"/>
      <c r="Q114" s="65"/>
      <c r="R114" s="28"/>
      <c r="S114" s="28"/>
      <c r="T114" s="31"/>
      <c r="U114" s="31"/>
      <c r="V114" s="31"/>
      <c r="W114" s="31"/>
      <c r="X114" s="31"/>
      <c r="Y114" s="44"/>
      <c r="Z114" s="31"/>
      <c r="AA114" s="28"/>
      <c r="AB114" s="44"/>
      <c r="AC114" s="31"/>
      <c r="AD114" s="28"/>
      <c r="AE114" s="44"/>
      <c r="AF114" s="28"/>
      <c r="AG114" s="116"/>
      <c r="AH114" s="41"/>
      <c r="AI114" s="116"/>
      <c r="AJ114" s="116"/>
      <c r="AK114" s="116"/>
      <c r="AL114" s="116"/>
      <c r="AM114" s="116"/>
      <c r="AN114" s="116"/>
      <c r="AO114" s="116"/>
      <c r="AP114" s="116"/>
      <c r="AQ114" s="116"/>
      <c r="AR114" s="116"/>
      <c r="AS114" s="116"/>
      <c r="AT114" s="116"/>
      <c r="AU114" s="116"/>
      <c r="AV114" s="116"/>
      <c r="AW114" s="116"/>
      <c r="AX114" s="116"/>
      <c r="AY114" s="116"/>
      <c r="AZ114" s="33"/>
      <c r="BA114" s="46"/>
      <c r="BB114" s="335"/>
      <c r="BC114" s="336"/>
      <c r="BD114" s="28"/>
      <c r="BG114" s="24"/>
      <c r="BH114" s="28"/>
    </row>
    <row r="115" spans="1:60" ht="13.5" customHeight="1">
      <c r="A115" s="22"/>
      <c r="B115" s="202">
        <v>37</v>
      </c>
      <c r="C115" s="331"/>
      <c r="D115" s="332"/>
      <c r="E115" s="65"/>
      <c r="F115" s="65"/>
      <c r="G115" s="65"/>
      <c r="H115" s="65"/>
      <c r="I115" s="65"/>
      <c r="J115" s="986"/>
      <c r="K115" s="986"/>
      <c r="L115" s="986"/>
      <c r="M115" s="986"/>
      <c r="N115" s="193"/>
      <c r="O115" s="195"/>
      <c r="P115" s="193"/>
      <c r="Q115" s="194"/>
      <c r="R115" s="194"/>
      <c r="S115" s="194"/>
      <c r="T115" s="196"/>
      <c r="U115" s="196"/>
      <c r="V115" s="196"/>
      <c r="W115" s="196"/>
      <c r="X115" s="196"/>
      <c r="Y115" s="195"/>
      <c r="Z115" s="196"/>
      <c r="AA115" s="194"/>
      <c r="AB115" s="195"/>
      <c r="AC115" s="196"/>
      <c r="AD115" s="194"/>
      <c r="AE115" s="195"/>
      <c r="AF115" s="194"/>
      <c r="AG115" s="194"/>
      <c r="AH115" s="195"/>
      <c r="AI115" s="194"/>
      <c r="AJ115" s="194"/>
      <c r="AK115" s="197"/>
      <c r="AL115" s="194"/>
      <c r="AM115" s="194"/>
      <c r="AN115" s="194"/>
      <c r="AO115" s="194"/>
      <c r="AP115" s="194"/>
      <c r="AQ115" s="194"/>
      <c r="AR115" s="194"/>
      <c r="AS115" s="194"/>
      <c r="AT115" s="194"/>
      <c r="AU115" s="194"/>
      <c r="AV115" s="194"/>
      <c r="AW115" s="194"/>
      <c r="AX115" s="194"/>
      <c r="AY115" s="194"/>
      <c r="AZ115" s="33"/>
      <c r="BA115" s="46"/>
      <c r="BB115" s="335"/>
      <c r="BC115" s="336"/>
      <c r="BD115" s="28"/>
      <c r="BG115" s="24"/>
      <c r="BH115" s="28"/>
    </row>
    <row r="116" spans="1:60">
      <c r="A116" s="22"/>
      <c r="B116" s="32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81"/>
      <c r="T116" s="81"/>
      <c r="U116" s="81"/>
      <c r="V116" s="81"/>
      <c r="W116" s="28"/>
      <c r="X116" s="28"/>
      <c r="Y116" s="81"/>
      <c r="Z116" s="81"/>
      <c r="AA116" s="28"/>
      <c r="AB116" s="28"/>
      <c r="AC116" s="28"/>
      <c r="AD116" s="81"/>
      <c r="AE116" s="81"/>
      <c r="AF116" s="81"/>
      <c r="AG116" s="81"/>
      <c r="AH116" s="81"/>
      <c r="AI116" s="81"/>
      <c r="AJ116" s="81"/>
      <c r="AK116" s="81"/>
      <c r="AL116" s="81"/>
      <c r="AM116" s="81"/>
      <c r="AN116" s="81"/>
      <c r="AO116" s="81"/>
      <c r="AP116" s="81"/>
      <c r="AQ116" s="81"/>
      <c r="AR116" s="81"/>
      <c r="AS116" s="81"/>
      <c r="AT116" s="81"/>
      <c r="AU116" s="81"/>
      <c r="AV116" s="81"/>
      <c r="AW116" s="81"/>
      <c r="AX116" s="81"/>
      <c r="AY116" s="31"/>
      <c r="AZ116" s="33"/>
      <c r="BA116" s="46"/>
      <c r="BB116" s="335"/>
      <c r="BC116" s="336"/>
    </row>
    <row r="117" spans="1:60">
      <c r="A117" s="155"/>
      <c r="B117" s="95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  <c r="P117" s="110"/>
      <c r="Q117" s="110"/>
      <c r="R117" s="110"/>
      <c r="S117" s="156"/>
      <c r="T117" s="156"/>
      <c r="U117" s="156"/>
      <c r="V117" s="156"/>
      <c r="W117" s="110"/>
      <c r="X117" s="110"/>
      <c r="Y117" s="156"/>
      <c r="Z117" s="156"/>
      <c r="AA117" s="110"/>
      <c r="AB117" s="110"/>
      <c r="AC117" s="110"/>
      <c r="AD117" s="156"/>
      <c r="AE117" s="156"/>
      <c r="AF117" s="156"/>
      <c r="AG117" s="156"/>
      <c r="AH117" s="156"/>
      <c r="AI117" s="156"/>
      <c r="AJ117" s="156"/>
      <c r="AK117" s="156"/>
      <c r="AL117" s="156"/>
      <c r="AM117" s="156"/>
      <c r="AN117" s="156"/>
      <c r="AO117" s="156"/>
      <c r="AP117" s="156"/>
      <c r="AQ117" s="156"/>
      <c r="AR117" s="156"/>
      <c r="AS117" s="156"/>
      <c r="AT117" s="156"/>
      <c r="AU117" s="156"/>
      <c r="AV117" s="156"/>
      <c r="AW117" s="156"/>
      <c r="AX117" s="156"/>
      <c r="AY117" s="95"/>
      <c r="AZ117" s="95"/>
      <c r="BA117" s="157"/>
      <c r="BB117" s="355"/>
      <c r="BC117" s="356"/>
    </row>
  </sheetData>
  <mergeCells count="127">
    <mergeCell ref="BK81:BO81"/>
    <mergeCell ref="I3:L3"/>
    <mergeCell ref="BB5:BC5"/>
    <mergeCell ref="R51:U51"/>
    <mergeCell ref="Z51:AD51"/>
    <mergeCell ref="AN51:AQ51"/>
    <mergeCell ref="AR51:AU51"/>
    <mergeCell ref="AV51:AY51"/>
    <mergeCell ref="AZ51:BC51"/>
    <mergeCell ref="BD51:BG51"/>
    <mergeCell ref="A5:BA5"/>
    <mergeCell ref="A3:H3"/>
    <mergeCell ref="BL52:BN52"/>
    <mergeCell ref="BH51:BK51"/>
    <mergeCell ref="BL51:BN51"/>
    <mergeCell ref="R52:U52"/>
    <mergeCell ref="Z52:AD52"/>
    <mergeCell ref="AN52:AQ52"/>
    <mergeCell ref="AR52:AU52"/>
    <mergeCell ref="AV52:AY52"/>
    <mergeCell ref="AZ52:BC52"/>
    <mergeCell ref="BD52:BG52"/>
    <mergeCell ref="BH52:BK52"/>
    <mergeCell ref="BD76:BF76"/>
    <mergeCell ref="AV2:AY2"/>
    <mergeCell ref="AZ2:BC3"/>
    <mergeCell ref="M3:W3"/>
    <mergeCell ref="X3:Z3"/>
    <mergeCell ref="AA3:AR3"/>
    <mergeCell ref="AS3:AU3"/>
    <mergeCell ref="AV3:AY3"/>
    <mergeCell ref="AN2:AR2"/>
    <mergeCell ref="AN1:AR1"/>
    <mergeCell ref="AS1:AU1"/>
    <mergeCell ref="AV1:AY1"/>
    <mergeCell ref="AZ1:BC1"/>
    <mergeCell ref="AS2:AU2"/>
    <mergeCell ref="A1:H1"/>
    <mergeCell ref="I1:L1"/>
    <mergeCell ref="M1:W1"/>
    <mergeCell ref="X1:Z2"/>
    <mergeCell ref="AA1:AJ2"/>
    <mergeCell ref="A2:H2"/>
    <mergeCell ref="I2:L2"/>
    <mergeCell ref="M2:W2"/>
    <mergeCell ref="AK2:AM2"/>
    <mergeCell ref="AK1:AM1"/>
    <mergeCell ref="BU64:BX64"/>
    <mergeCell ref="BY64:CB64"/>
    <mergeCell ref="CC64:CE64"/>
    <mergeCell ref="X65:AA65"/>
    <mergeCell ref="AB65:AE65"/>
    <mergeCell ref="AF65:AJ65"/>
    <mergeCell ref="AK65:AN65"/>
    <mergeCell ref="AO65:AR65"/>
    <mergeCell ref="AS65:AV65"/>
    <mergeCell ref="AW65:AZ65"/>
    <mergeCell ref="AW64:AZ64"/>
    <mergeCell ref="BA64:BD64"/>
    <mergeCell ref="BE64:BH64"/>
    <mergeCell ref="BI64:BL64"/>
    <mergeCell ref="BM64:BP64"/>
    <mergeCell ref="BQ64:BT64"/>
    <mergeCell ref="X64:AA64"/>
    <mergeCell ref="AB64:AE64"/>
    <mergeCell ref="CC65:CE65"/>
    <mergeCell ref="BI65:BL65"/>
    <mergeCell ref="BM65:BP65"/>
    <mergeCell ref="BQ65:BT65"/>
    <mergeCell ref="BU65:BX65"/>
    <mergeCell ref="BY65:CB65"/>
    <mergeCell ref="J115:M115"/>
    <mergeCell ref="AE51:AI51"/>
    <mergeCell ref="AE52:AI52"/>
    <mergeCell ref="AW75:AZ75"/>
    <mergeCell ref="J81:M81"/>
    <mergeCell ref="J88:M88"/>
    <mergeCell ref="J89:M89"/>
    <mergeCell ref="J91:M91"/>
    <mergeCell ref="J97:M97"/>
    <mergeCell ref="J105:M105"/>
    <mergeCell ref="AF64:AJ64"/>
    <mergeCell ref="AK64:AN64"/>
    <mergeCell ref="AO64:AR64"/>
    <mergeCell ref="AS64:AV64"/>
    <mergeCell ref="X75:AA75"/>
    <mergeCell ref="AB75:AE75"/>
    <mergeCell ref="AF75:AJ75"/>
    <mergeCell ref="AK75:AN75"/>
    <mergeCell ref="AO75:AR75"/>
    <mergeCell ref="AS75:AV75"/>
    <mergeCell ref="AS69:AV69"/>
    <mergeCell ref="AW69:AZ69"/>
    <mergeCell ref="J77:M77"/>
    <mergeCell ref="AW70:AZ70"/>
    <mergeCell ref="H42:L42"/>
    <mergeCell ref="H43:L43"/>
    <mergeCell ref="J114:M114"/>
    <mergeCell ref="X70:AA70"/>
    <mergeCell ref="AB70:AE70"/>
    <mergeCell ref="AF70:AJ70"/>
    <mergeCell ref="AK70:AN70"/>
    <mergeCell ref="AO70:AR70"/>
    <mergeCell ref="AS70:AV70"/>
    <mergeCell ref="BA70:BD70"/>
    <mergeCell ref="BE70:BH70"/>
    <mergeCell ref="BE82:BH82"/>
    <mergeCell ref="BA75:BD75"/>
    <mergeCell ref="BA65:BD65"/>
    <mergeCell ref="BE65:BH65"/>
    <mergeCell ref="BE75:BH75"/>
    <mergeCell ref="X69:AA69"/>
    <mergeCell ref="AB69:AE69"/>
    <mergeCell ref="AF69:AJ69"/>
    <mergeCell ref="AK69:AN69"/>
    <mergeCell ref="AO69:AR69"/>
    <mergeCell ref="BA69:BD69"/>
    <mergeCell ref="BE69:BH69"/>
    <mergeCell ref="X74:AA74"/>
    <mergeCell ref="AB74:AE74"/>
    <mergeCell ref="AF74:AJ74"/>
    <mergeCell ref="AK74:AN74"/>
    <mergeCell ref="AO74:AR74"/>
    <mergeCell ref="AS74:AV74"/>
    <mergeCell ref="AW74:AZ74"/>
    <mergeCell ref="BA74:BD74"/>
    <mergeCell ref="BE74:BH74"/>
  </mergeCells>
  <phoneticPr fontId="57"/>
  <conditionalFormatting sqref="AK69:AV70">
    <cfRule type="cellIs" dxfId="12" priority="4" operator="lessThan">
      <formula>0</formula>
    </cfRule>
  </conditionalFormatting>
  <conditionalFormatting sqref="AK74:AV75">
    <cfRule type="cellIs" dxfId="11" priority="2" operator="lessThan">
      <formula>0</formula>
    </cfRule>
  </conditionalFormatting>
  <conditionalFormatting sqref="BA64:BD65">
    <cfRule type="cellIs" dxfId="10" priority="10" operator="lessThan">
      <formula>0.3</formula>
    </cfRule>
  </conditionalFormatting>
  <conditionalFormatting sqref="BE64:BH65">
    <cfRule type="cellIs" dxfId="9" priority="14" operator="lessThan">
      <formula>0</formula>
    </cfRule>
  </conditionalFormatting>
  <conditionalFormatting sqref="BE69:BH70">
    <cfRule type="cellIs" dxfId="8" priority="3" operator="lessThan">
      <formula>0.3</formula>
    </cfRule>
  </conditionalFormatting>
  <conditionalFormatting sqref="BE74:BH75">
    <cfRule type="cellIs" dxfId="7" priority="1" operator="lessThan">
      <formula>0.3</formula>
    </cfRule>
  </conditionalFormatting>
  <conditionalFormatting sqref="BQ64:BT65">
    <cfRule type="cellIs" dxfId="6" priority="12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8F4CE-E231-4DB9-9A50-8A11224C626C}">
  <dimension ref="A1:CI113"/>
  <sheetViews>
    <sheetView showGridLines="0" topLeftCell="A5" zoomScaleNormal="100" zoomScaleSheetLayoutView="100" workbookViewId="0">
      <pane ySplit="2" topLeftCell="A7" activePane="bottomLeft" state="frozen"/>
      <selection activeCell="Z20" sqref="Z20"/>
      <selection pane="bottomLeft" activeCell="Z20" sqref="Z20"/>
    </sheetView>
  </sheetViews>
  <sheetFormatPr defaultColWidth="9" defaultRowHeight="13"/>
  <cols>
    <col min="1" max="18" width="2.6328125" style="35" customWidth="1"/>
    <col min="19" max="22" width="2.6328125" style="25" customWidth="1"/>
    <col min="23" max="24" width="2.6328125" style="35" customWidth="1"/>
    <col min="25" max="26" width="2.6328125" style="25" customWidth="1"/>
    <col min="27" max="29" width="2.6328125" style="35" customWidth="1"/>
    <col min="30" max="55" width="2.6328125" style="25" customWidth="1"/>
    <col min="56" max="56" width="2.6328125" style="81" customWidth="1"/>
    <col min="57" max="59" width="2.6328125" style="28" customWidth="1"/>
    <col min="60" max="128" width="2.6328125" style="35" customWidth="1"/>
    <col min="129" max="16384" width="9" style="35"/>
  </cols>
  <sheetData>
    <row r="1" spans="1:59" ht="12" customHeight="1">
      <c r="A1" s="758" t="s">
        <v>4</v>
      </c>
      <c r="B1" s="758"/>
      <c r="C1" s="758"/>
      <c r="D1" s="758"/>
      <c r="E1" s="758"/>
      <c r="F1" s="758"/>
      <c r="G1" s="758"/>
      <c r="H1" s="758"/>
      <c r="I1" s="741" t="s">
        <v>5</v>
      </c>
      <c r="J1" s="741"/>
      <c r="K1" s="741"/>
      <c r="L1" s="741"/>
      <c r="M1" s="756" t="str">
        <f>変更来歴!M1</f>
        <v>ヒロセ電機株式会社</v>
      </c>
      <c r="N1" s="756"/>
      <c r="O1" s="756"/>
      <c r="P1" s="756"/>
      <c r="Q1" s="756"/>
      <c r="R1" s="756"/>
      <c r="S1" s="756"/>
      <c r="T1" s="756"/>
      <c r="U1" s="756"/>
      <c r="V1" s="756"/>
      <c r="W1" s="756"/>
      <c r="X1" s="741" t="s">
        <v>7</v>
      </c>
      <c r="Y1" s="741"/>
      <c r="Z1" s="741"/>
      <c r="AA1" s="760" t="str">
        <f>変更来歴!AA1</f>
        <v>化学物質データ申請</v>
      </c>
      <c r="AB1" s="760"/>
      <c r="AC1" s="760"/>
      <c r="AD1" s="760"/>
      <c r="AE1" s="760"/>
      <c r="AF1" s="760"/>
      <c r="AG1" s="760"/>
      <c r="AH1" s="760"/>
      <c r="AI1" s="760"/>
      <c r="AJ1" s="760"/>
      <c r="AK1" s="745" t="s">
        <v>8</v>
      </c>
      <c r="AL1" s="745"/>
      <c r="AM1" s="745"/>
      <c r="AN1" s="746" t="str">
        <f>変更来歴!AP7</f>
        <v>古竹</v>
      </c>
      <c r="AO1" s="746"/>
      <c r="AP1" s="746"/>
      <c r="AQ1" s="746"/>
      <c r="AR1" s="746"/>
      <c r="AS1" s="745" t="s">
        <v>9</v>
      </c>
      <c r="AT1" s="745"/>
      <c r="AU1" s="745"/>
      <c r="AV1" s="748">
        <f>変更来歴!AL7</f>
        <v>46125</v>
      </c>
      <c r="AW1" s="761"/>
      <c r="AX1" s="761"/>
      <c r="AY1" s="761"/>
      <c r="AZ1" s="737" t="s">
        <v>10</v>
      </c>
      <c r="BA1" s="738"/>
      <c r="BB1" s="738"/>
      <c r="BC1" s="739"/>
    </row>
    <row r="2" spans="1:59">
      <c r="A2" s="740" t="s">
        <v>16</v>
      </c>
      <c r="B2" s="740"/>
      <c r="C2" s="740"/>
      <c r="D2" s="740"/>
      <c r="E2" s="740"/>
      <c r="F2" s="740"/>
      <c r="G2" s="740"/>
      <c r="H2" s="740"/>
      <c r="I2" s="741" t="s">
        <v>11</v>
      </c>
      <c r="J2" s="741"/>
      <c r="K2" s="741"/>
      <c r="L2" s="741"/>
      <c r="M2" s="793" t="str">
        <f>変更来歴!M2</f>
        <v>　</v>
      </c>
      <c r="N2" s="793"/>
      <c r="O2" s="793"/>
      <c r="P2" s="793"/>
      <c r="Q2" s="793"/>
      <c r="R2" s="793"/>
      <c r="S2" s="793"/>
      <c r="T2" s="793"/>
      <c r="U2" s="793"/>
      <c r="V2" s="793"/>
      <c r="W2" s="793"/>
      <c r="X2" s="741"/>
      <c r="Y2" s="741"/>
      <c r="Z2" s="741"/>
      <c r="AA2" s="760"/>
      <c r="AB2" s="760"/>
      <c r="AC2" s="760"/>
      <c r="AD2" s="760"/>
      <c r="AE2" s="760"/>
      <c r="AF2" s="760"/>
      <c r="AG2" s="760"/>
      <c r="AH2" s="760"/>
      <c r="AI2" s="760"/>
      <c r="AJ2" s="760"/>
      <c r="AK2" s="745" t="s">
        <v>12</v>
      </c>
      <c r="AL2" s="745"/>
      <c r="AM2" s="745"/>
      <c r="AN2" s="746" t="str">
        <f ca="1">INDIRECT("変更来歴!AP" &amp; COUNTA(変更来歴!AP7:'変更来歴'!AP39) + 6)</f>
        <v>古竹</v>
      </c>
      <c r="AO2" s="746"/>
      <c r="AP2" s="746"/>
      <c r="AQ2" s="746"/>
      <c r="AR2" s="746"/>
      <c r="AS2" s="745" t="s">
        <v>13</v>
      </c>
      <c r="AT2" s="745"/>
      <c r="AU2" s="745"/>
      <c r="AV2" s="748">
        <f ca="1">INDIRECT("変更来歴!AL" &amp; COUNTA(変更来歴!AL7:'変更来歴'!AL39) + 6)</f>
        <v>46177</v>
      </c>
      <c r="AW2" s="761"/>
      <c r="AX2" s="761"/>
      <c r="AY2" s="761"/>
      <c r="AZ2" s="749" t="str">
        <f>変更来歴!AX2</f>
        <v>IMWF-53</v>
      </c>
      <c r="BA2" s="750"/>
      <c r="BB2" s="750"/>
      <c r="BC2" s="751"/>
    </row>
    <row r="3" spans="1:59" ht="12" customHeight="1">
      <c r="A3" s="755" t="str">
        <f>変更来歴!A3</f>
        <v>画面設計書</v>
      </c>
      <c r="B3" s="755"/>
      <c r="C3" s="755"/>
      <c r="D3" s="755"/>
      <c r="E3" s="755"/>
      <c r="F3" s="755"/>
      <c r="G3" s="755"/>
      <c r="H3" s="755"/>
      <c r="I3" s="741" t="s">
        <v>14</v>
      </c>
      <c r="J3" s="741"/>
      <c r="K3" s="741"/>
      <c r="L3" s="741"/>
      <c r="M3" s="756" t="str">
        <f ca="1">RIGHT(CELL("filename",A1),LEN(CELL("filename",A1))-FIND("]",CELL("filename",A1)))</f>
        <v>外貨(コリア原計)</v>
      </c>
      <c r="N3" s="756"/>
      <c r="O3" s="756"/>
      <c r="P3" s="756"/>
      <c r="Q3" s="756"/>
      <c r="R3" s="756"/>
      <c r="S3" s="756"/>
      <c r="T3" s="756"/>
      <c r="U3" s="756"/>
      <c r="V3" s="756"/>
      <c r="W3" s="756"/>
      <c r="X3" s="741" t="s">
        <v>27</v>
      </c>
      <c r="Y3" s="741"/>
      <c r="Z3" s="741"/>
      <c r="AA3" s="757" t="str">
        <f ca="1">MID(CELL("filename"),FIND("]",CELL("filename"))+1,LEN(CELL("filename"))) &amp; "画面"</f>
        <v>変更来歴画面</v>
      </c>
      <c r="AB3" s="757"/>
      <c r="AC3" s="757"/>
      <c r="AD3" s="757"/>
      <c r="AE3" s="757"/>
      <c r="AF3" s="757"/>
      <c r="AG3" s="757"/>
      <c r="AH3" s="757"/>
      <c r="AI3" s="757"/>
      <c r="AJ3" s="757"/>
      <c r="AK3" s="757"/>
      <c r="AL3" s="757"/>
      <c r="AM3" s="757"/>
      <c r="AN3" s="757"/>
      <c r="AO3" s="757"/>
      <c r="AP3" s="757"/>
      <c r="AQ3" s="757"/>
      <c r="AR3" s="757"/>
      <c r="AS3" s="745" t="s">
        <v>15</v>
      </c>
      <c r="AT3" s="745"/>
      <c r="AU3" s="745"/>
      <c r="AV3" s="761" t="str">
        <f ca="1">INDIRECT("変更来歴!A" &amp; COUNTA(変更来歴!A7:'変更来歴'!A39) + 6)</f>
        <v>r1.3</v>
      </c>
      <c r="AW3" s="761"/>
      <c r="AX3" s="761"/>
      <c r="AY3" s="761"/>
      <c r="AZ3" s="752"/>
      <c r="BA3" s="753"/>
      <c r="BB3" s="753"/>
      <c r="BC3" s="754"/>
    </row>
    <row r="4" spans="1:59" ht="5.9" customHeight="1"/>
    <row r="5" spans="1:59" ht="13.5" customHeight="1">
      <c r="A5" s="794" t="str">
        <f ca="1">"画面レイアウト"&amp;"("&amp;MID(CELL("filename"),FIND("]",CELL("filename"))+1,LEN(CELL("filename")))&amp;")"</f>
        <v>画面レイアウト(変更来歴)</v>
      </c>
      <c r="B5" s="795"/>
      <c r="C5" s="795"/>
      <c r="D5" s="795"/>
      <c r="E5" s="795"/>
      <c r="F5" s="795"/>
      <c r="G5" s="795"/>
      <c r="H5" s="795"/>
      <c r="I5" s="795"/>
      <c r="J5" s="795"/>
      <c r="K5" s="795"/>
      <c r="L5" s="795"/>
      <c r="M5" s="795"/>
      <c r="N5" s="795"/>
      <c r="O5" s="795"/>
      <c r="P5" s="795"/>
      <c r="Q5" s="795"/>
      <c r="R5" s="795"/>
      <c r="S5" s="795"/>
      <c r="T5" s="795"/>
      <c r="U5" s="795"/>
      <c r="V5" s="795"/>
      <c r="W5" s="795"/>
      <c r="X5" s="795"/>
      <c r="Y5" s="795"/>
      <c r="Z5" s="795"/>
      <c r="AA5" s="795"/>
      <c r="AB5" s="795"/>
      <c r="AC5" s="795"/>
      <c r="AD5" s="795"/>
      <c r="AE5" s="795"/>
      <c r="AF5" s="795"/>
      <c r="AG5" s="795"/>
      <c r="AH5" s="795"/>
      <c r="AI5" s="795"/>
      <c r="AJ5" s="795"/>
      <c r="AK5" s="795"/>
      <c r="AL5" s="795"/>
      <c r="AM5" s="795"/>
      <c r="AN5" s="795"/>
      <c r="AO5" s="795"/>
      <c r="AP5" s="795"/>
      <c r="AQ5" s="795"/>
      <c r="AR5" s="795"/>
      <c r="AS5" s="795"/>
      <c r="AT5" s="795"/>
      <c r="AU5" s="795"/>
      <c r="AV5" s="795"/>
      <c r="AW5" s="795"/>
      <c r="AX5" s="795"/>
      <c r="AY5" s="795"/>
      <c r="AZ5" s="795"/>
      <c r="BA5" s="796"/>
      <c r="BB5" s="786" t="s">
        <v>24</v>
      </c>
      <c r="BC5" s="787"/>
      <c r="BD5" s="28"/>
    </row>
    <row r="6" spans="1:59" ht="13.5" customHeight="1">
      <c r="A6" s="27"/>
      <c r="B6" s="186">
        <v>1</v>
      </c>
      <c r="C6" s="186">
        <v>2</v>
      </c>
      <c r="D6" s="186">
        <v>3</v>
      </c>
      <c r="E6" s="186">
        <v>4</v>
      </c>
      <c r="F6" s="186">
        <v>5</v>
      </c>
      <c r="G6" s="186">
        <v>6</v>
      </c>
      <c r="H6" s="186">
        <v>7</v>
      </c>
      <c r="I6" s="186">
        <v>8</v>
      </c>
      <c r="J6" s="186">
        <v>9</v>
      </c>
      <c r="K6" s="186">
        <v>10</v>
      </c>
      <c r="L6" s="186">
        <v>11</v>
      </c>
      <c r="M6" s="186">
        <v>12</v>
      </c>
      <c r="N6" s="186">
        <v>13</v>
      </c>
      <c r="O6" s="186">
        <v>14</v>
      </c>
      <c r="P6" s="186">
        <v>15</v>
      </c>
      <c r="Q6" s="186">
        <v>16</v>
      </c>
      <c r="R6" s="186">
        <v>17</v>
      </c>
      <c r="S6" s="188">
        <v>18</v>
      </c>
      <c r="T6" s="188">
        <v>19</v>
      </c>
      <c r="U6" s="188">
        <v>20</v>
      </c>
      <c r="V6" s="188">
        <v>21</v>
      </c>
      <c r="W6" s="188">
        <v>22</v>
      </c>
      <c r="X6" s="188">
        <v>23</v>
      </c>
      <c r="Y6" s="188">
        <v>24</v>
      </c>
      <c r="Z6" s="188">
        <v>25</v>
      </c>
      <c r="AA6" s="188">
        <v>26</v>
      </c>
      <c r="AB6" s="188">
        <v>27</v>
      </c>
      <c r="AC6" s="188">
        <v>28</v>
      </c>
      <c r="AD6" s="188">
        <v>29</v>
      </c>
      <c r="AE6" s="188">
        <v>30</v>
      </c>
      <c r="AF6" s="188">
        <v>31</v>
      </c>
      <c r="AG6" s="188">
        <v>32</v>
      </c>
      <c r="AH6" s="188">
        <v>33</v>
      </c>
      <c r="AI6" s="188">
        <v>34</v>
      </c>
      <c r="AJ6" s="187">
        <v>35</v>
      </c>
      <c r="AK6" s="187">
        <v>36</v>
      </c>
      <c r="AL6" s="187">
        <v>37</v>
      </c>
      <c r="AM6" s="187">
        <v>38</v>
      </c>
      <c r="AN6" s="187">
        <v>39</v>
      </c>
      <c r="AO6" s="187">
        <v>40</v>
      </c>
      <c r="AP6" s="187">
        <v>41</v>
      </c>
      <c r="AQ6" s="187">
        <v>42</v>
      </c>
      <c r="AR6" s="187">
        <v>43</v>
      </c>
      <c r="AS6" s="187">
        <v>44</v>
      </c>
      <c r="AT6" s="187">
        <v>45</v>
      </c>
      <c r="AU6" s="187">
        <v>46</v>
      </c>
      <c r="AV6" s="187">
        <v>47</v>
      </c>
      <c r="AW6" s="187">
        <v>48</v>
      </c>
      <c r="AX6" s="187">
        <v>49</v>
      </c>
      <c r="AY6" s="187">
        <v>50</v>
      </c>
      <c r="AZ6" s="187">
        <v>51</v>
      </c>
      <c r="BA6" s="21"/>
      <c r="BB6" s="77"/>
      <c r="BC6" s="42"/>
      <c r="BD6" s="28"/>
    </row>
    <row r="7" spans="1:59" ht="18.75" customHeight="1">
      <c r="A7" s="29"/>
      <c r="B7" s="47" t="s">
        <v>47</v>
      </c>
      <c r="C7" s="36"/>
      <c r="D7" s="36"/>
      <c r="E7" s="36"/>
      <c r="F7" s="36"/>
      <c r="G7" s="36"/>
      <c r="H7" s="48"/>
      <c r="I7" s="36"/>
      <c r="J7" s="48"/>
      <c r="K7" s="36"/>
      <c r="L7" s="36"/>
      <c r="M7" s="36"/>
      <c r="N7" s="48" t="s">
        <v>287</v>
      </c>
      <c r="O7" s="36"/>
      <c r="P7" s="36"/>
      <c r="Q7" s="36"/>
      <c r="R7" s="49" t="s">
        <v>286</v>
      </c>
      <c r="S7" s="36"/>
      <c r="T7" s="36"/>
      <c r="U7" s="36"/>
      <c r="V7" s="36"/>
      <c r="W7" s="36"/>
      <c r="X7" s="36"/>
      <c r="Y7" s="49"/>
      <c r="Z7" s="36"/>
      <c r="AA7" s="36"/>
      <c r="AB7" s="36"/>
      <c r="AC7" s="36"/>
      <c r="AD7" s="36"/>
      <c r="AE7" s="49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50"/>
      <c r="AX7" s="50"/>
      <c r="AY7" s="50"/>
      <c r="AZ7" s="51"/>
      <c r="BA7" s="80" t="s">
        <v>30</v>
      </c>
      <c r="BB7" s="78"/>
      <c r="BC7" s="34"/>
      <c r="BD7" s="28"/>
    </row>
    <row r="8" spans="1:59" ht="18" customHeight="1">
      <c r="A8" s="29"/>
      <c r="B8" s="176"/>
      <c r="C8" s="177"/>
      <c r="D8" s="177"/>
      <c r="E8" s="177" t="s">
        <v>48</v>
      </c>
      <c r="F8" s="177"/>
      <c r="G8" s="177"/>
      <c r="H8" s="178"/>
      <c r="I8" s="178"/>
      <c r="J8" s="178"/>
      <c r="K8" s="178"/>
      <c r="L8" s="179"/>
      <c r="M8" s="178"/>
      <c r="N8" s="57"/>
      <c r="O8" s="57"/>
      <c r="P8" s="179"/>
      <c r="Q8" s="57"/>
      <c r="R8" s="57"/>
      <c r="S8" s="57"/>
      <c r="T8" s="180"/>
      <c r="U8" s="180"/>
      <c r="V8" s="180"/>
      <c r="W8" s="180"/>
      <c r="X8" s="181"/>
      <c r="Y8" s="178"/>
      <c r="Z8" s="178"/>
      <c r="AA8" s="178"/>
      <c r="AB8" s="179"/>
      <c r="AC8" s="178"/>
      <c r="AD8" s="57"/>
      <c r="AE8" s="57"/>
      <c r="AF8" s="179"/>
      <c r="AG8" s="177"/>
      <c r="AH8" s="177"/>
      <c r="AI8" s="182"/>
      <c r="AJ8" s="55"/>
      <c r="AK8" s="55"/>
      <c r="AL8" s="55"/>
      <c r="AM8" s="55"/>
      <c r="AN8" s="183"/>
      <c r="AO8" s="184"/>
      <c r="AP8" s="184"/>
      <c r="AQ8" s="55"/>
      <c r="AR8" s="55"/>
      <c r="AS8" s="55"/>
      <c r="AT8" s="56"/>
      <c r="AU8" s="55"/>
      <c r="AV8" s="57"/>
      <c r="AW8" s="57"/>
      <c r="AX8" s="57"/>
      <c r="AY8" s="177"/>
      <c r="AZ8" s="185"/>
      <c r="BA8" s="143"/>
      <c r="BB8" s="78"/>
      <c r="BC8" s="34"/>
      <c r="BD8" s="28"/>
    </row>
    <row r="9" spans="1:59" ht="13.5" customHeight="1">
      <c r="A9" s="22"/>
      <c r="B9" s="201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3"/>
      <c r="BA9" s="46"/>
      <c r="BB9" s="78"/>
      <c r="BC9" s="34"/>
      <c r="BD9" s="28"/>
    </row>
    <row r="10" spans="1:59" ht="13.5" customHeight="1">
      <c r="A10" s="22"/>
      <c r="B10" s="201"/>
      <c r="C10" s="43" t="s">
        <v>49</v>
      </c>
      <c r="D10" s="31"/>
      <c r="E10" s="31"/>
      <c r="F10" s="31" t="s">
        <v>53</v>
      </c>
      <c r="G10" s="31"/>
      <c r="H10" s="127" t="s">
        <v>52</v>
      </c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63"/>
      <c r="U10" s="63"/>
      <c r="V10" s="63"/>
      <c r="W10" s="63"/>
      <c r="X10" s="62"/>
      <c r="Y10" s="63"/>
      <c r="Z10" s="63"/>
      <c r="AA10" s="63"/>
      <c r="AB10" s="64"/>
      <c r="AC10" s="63"/>
      <c r="AD10" s="65"/>
      <c r="AE10" s="65"/>
      <c r="AF10" s="65"/>
      <c r="AG10" s="65"/>
      <c r="AH10" s="65"/>
      <c r="AI10" s="75"/>
      <c r="AJ10" s="63"/>
      <c r="AK10" s="63"/>
      <c r="AL10" s="63"/>
      <c r="AM10" s="63"/>
      <c r="AN10" s="125"/>
      <c r="AO10" s="62"/>
      <c r="AP10" s="62"/>
      <c r="AQ10" s="63"/>
      <c r="AR10" s="63"/>
      <c r="AS10" s="63"/>
      <c r="AT10" s="64"/>
      <c r="AU10" s="63"/>
      <c r="AV10" s="65"/>
      <c r="AW10" s="65"/>
      <c r="AX10" s="65"/>
      <c r="AY10" s="31"/>
      <c r="AZ10" s="33"/>
      <c r="BA10" s="46"/>
      <c r="BB10" s="78"/>
      <c r="BC10" s="34"/>
      <c r="BD10" s="28"/>
    </row>
    <row r="11" spans="1:59" ht="13.5" customHeight="1">
      <c r="A11" s="22"/>
      <c r="B11" s="201"/>
      <c r="C11" s="43" t="s">
        <v>50</v>
      </c>
      <c r="D11" s="31"/>
      <c r="E11" s="31"/>
      <c r="F11" s="31" t="s">
        <v>53</v>
      </c>
      <c r="G11" s="31"/>
      <c r="H11" s="75" t="s">
        <v>54</v>
      </c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63"/>
      <c r="U11" s="63"/>
      <c r="V11" s="63"/>
      <c r="W11" s="63"/>
      <c r="X11" s="62"/>
      <c r="Y11" s="63"/>
      <c r="Z11" s="63"/>
      <c r="AA11" s="63"/>
      <c r="AB11" s="64"/>
      <c r="AC11" s="63"/>
      <c r="AD11" s="65"/>
      <c r="AE11" s="65"/>
      <c r="AF11" s="65"/>
      <c r="AG11" s="65"/>
      <c r="AH11" s="65"/>
      <c r="AI11" s="75"/>
      <c r="AJ11" s="63"/>
      <c r="AK11" s="63"/>
      <c r="AL11" s="63"/>
      <c r="AM11" s="63"/>
      <c r="AN11" s="125"/>
      <c r="AO11" s="62"/>
      <c r="AP11" s="62"/>
      <c r="AQ11" s="63"/>
      <c r="AR11" s="63"/>
      <c r="AS11" s="63"/>
      <c r="AT11" s="64"/>
      <c r="AU11" s="63"/>
      <c r="AV11" s="65"/>
      <c r="AW11" s="65"/>
      <c r="AX11" s="65"/>
      <c r="AY11" s="31"/>
      <c r="AZ11" s="33"/>
      <c r="BA11" s="46"/>
      <c r="BB11" s="78"/>
      <c r="BC11" s="34"/>
      <c r="BD11" s="28"/>
    </row>
    <row r="12" spans="1:59" ht="13.5" customHeight="1">
      <c r="A12" s="22"/>
      <c r="B12" s="201"/>
      <c r="C12" s="43" t="s">
        <v>51</v>
      </c>
      <c r="D12" s="31"/>
      <c r="E12" s="31"/>
      <c r="F12" s="31" t="s">
        <v>53</v>
      </c>
      <c r="G12" s="31"/>
      <c r="H12" s="75" t="s">
        <v>55</v>
      </c>
      <c r="I12" s="75"/>
      <c r="J12" s="75"/>
      <c r="K12" s="75"/>
      <c r="L12" s="75" t="s">
        <v>56</v>
      </c>
      <c r="M12" s="75"/>
      <c r="N12" s="75"/>
      <c r="O12" s="75" t="s">
        <v>57</v>
      </c>
      <c r="P12" s="75"/>
      <c r="Q12" s="75"/>
      <c r="R12" s="75"/>
      <c r="S12" s="75"/>
      <c r="T12" s="63"/>
      <c r="U12" s="63"/>
      <c r="V12" s="63"/>
      <c r="W12" s="63"/>
      <c r="X12" s="62"/>
      <c r="Y12" s="63"/>
      <c r="Z12" s="63"/>
      <c r="AA12" s="63"/>
      <c r="AB12" s="64"/>
      <c r="AC12" s="63"/>
      <c r="AD12" s="65"/>
      <c r="AE12" s="65"/>
      <c r="AF12" s="65"/>
      <c r="AG12" s="65"/>
      <c r="AH12" s="65"/>
      <c r="AI12" s="75"/>
      <c r="AJ12" s="63"/>
      <c r="AK12" s="63"/>
      <c r="AL12" s="63"/>
      <c r="AM12" s="63"/>
      <c r="AN12" s="125"/>
      <c r="AO12" s="62"/>
      <c r="AP12" s="62"/>
      <c r="AQ12" s="63"/>
      <c r="AR12" s="63"/>
      <c r="AS12" s="63"/>
      <c r="AT12" s="64"/>
      <c r="AU12" s="63"/>
      <c r="AV12" s="65"/>
      <c r="AW12" s="65"/>
      <c r="AX12" s="65"/>
      <c r="AY12" s="31"/>
      <c r="AZ12" s="33"/>
      <c r="BA12" s="46"/>
      <c r="BB12" s="78"/>
      <c r="BC12" s="34"/>
      <c r="BD12" s="28"/>
    </row>
    <row r="13" spans="1:59" ht="13.5" customHeight="1">
      <c r="A13" s="22"/>
      <c r="B13" s="202">
        <v>1</v>
      </c>
      <c r="C13" s="203">
        <v>2</v>
      </c>
      <c r="D13" s="203">
        <v>3</v>
      </c>
      <c r="E13" s="203">
        <v>4</v>
      </c>
      <c r="F13" s="203">
        <v>5</v>
      </c>
      <c r="G13" s="203">
        <v>6</v>
      </c>
      <c r="H13" s="203">
        <v>7</v>
      </c>
      <c r="I13" s="203">
        <v>8</v>
      </c>
      <c r="J13" s="203">
        <v>9</v>
      </c>
      <c r="K13" s="203">
        <v>10</v>
      </c>
      <c r="L13" s="203">
        <v>11</v>
      </c>
      <c r="M13" s="203">
        <v>12</v>
      </c>
      <c r="N13" s="203">
        <v>13</v>
      </c>
      <c r="O13" s="203">
        <v>14</v>
      </c>
      <c r="P13" s="203">
        <v>15</v>
      </c>
      <c r="Q13" s="203">
        <v>16</v>
      </c>
      <c r="R13" s="203">
        <v>17</v>
      </c>
      <c r="S13" s="203">
        <v>18</v>
      </c>
      <c r="T13" s="203">
        <v>19</v>
      </c>
      <c r="U13" s="203">
        <v>20</v>
      </c>
      <c r="V13" s="203">
        <v>21</v>
      </c>
      <c r="W13" s="203">
        <v>22</v>
      </c>
      <c r="X13" s="203">
        <v>23</v>
      </c>
      <c r="Y13" s="203">
        <v>24</v>
      </c>
      <c r="Z13" s="203">
        <v>25</v>
      </c>
      <c r="AA13" s="203">
        <v>26</v>
      </c>
      <c r="AB13" s="203">
        <v>27</v>
      </c>
      <c r="AC13" s="203">
        <v>28</v>
      </c>
      <c r="AD13" s="203">
        <v>29</v>
      </c>
      <c r="AE13" s="203">
        <v>30</v>
      </c>
      <c r="AF13" s="203">
        <v>31</v>
      </c>
      <c r="AG13" s="203">
        <v>32</v>
      </c>
      <c r="AH13" s="203">
        <v>33</v>
      </c>
      <c r="AI13" s="203">
        <v>34</v>
      </c>
      <c r="AJ13" s="203">
        <v>35</v>
      </c>
      <c r="AK13" s="203">
        <v>36</v>
      </c>
      <c r="AL13" s="203">
        <v>37</v>
      </c>
      <c r="AM13" s="203">
        <v>38</v>
      </c>
      <c r="AN13" s="203">
        <v>39</v>
      </c>
      <c r="AO13" s="203">
        <v>40</v>
      </c>
      <c r="AP13" s="203"/>
      <c r="AQ13" s="203">
        <v>41</v>
      </c>
      <c r="AR13" s="203">
        <v>42</v>
      </c>
      <c r="AS13" s="203">
        <v>43</v>
      </c>
      <c r="AT13" s="203">
        <v>44</v>
      </c>
      <c r="AU13" s="203">
        <v>45</v>
      </c>
      <c r="AV13" s="203">
        <v>46</v>
      </c>
      <c r="AW13" s="203">
        <v>47</v>
      </c>
      <c r="AX13" s="65"/>
      <c r="AY13" s="31"/>
      <c r="AZ13" s="33"/>
      <c r="BA13" s="46"/>
      <c r="BB13" s="78"/>
      <c r="BC13" s="34"/>
      <c r="BD13" s="28"/>
      <c r="BE13" s="24"/>
      <c r="BF13" s="24"/>
    </row>
    <row r="14" spans="1:59" ht="13.5" customHeight="1">
      <c r="A14" s="22"/>
      <c r="B14" s="202">
        <v>2</v>
      </c>
      <c r="C14" s="204" t="s">
        <v>103</v>
      </c>
      <c r="D14" s="28"/>
      <c r="E14" s="28"/>
      <c r="F14" s="28"/>
      <c r="G14" s="28"/>
      <c r="H14" s="121"/>
      <c r="I14" s="62"/>
      <c r="J14" s="63"/>
      <c r="K14" s="62"/>
      <c r="L14" s="63"/>
      <c r="M14" s="69"/>
      <c r="N14" s="69"/>
      <c r="O14" s="65"/>
      <c r="P14" s="69"/>
      <c r="Q14" s="65"/>
      <c r="R14" s="69"/>
      <c r="S14" s="28"/>
      <c r="T14" s="28"/>
      <c r="U14" s="28"/>
      <c r="V14" s="28"/>
      <c r="W14" s="28"/>
      <c r="X14" s="121"/>
      <c r="Y14" s="62"/>
      <c r="Z14" s="63"/>
      <c r="AA14" s="62"/>
      <c r="AB14" s="63"/>
      <c r="AC14" s="69"/>
      <c r="AD14" s="69"/>
      <c r="AE14" s="65"/>
      <c r="AF14" s="69"/>
      <c r="AG14" s="65"/>
      <c r="AH14" s="69"/>
      <c r="AI14" s="64"/>
      <c r="AJ14" s="69"/>
      <c r="AK14" s="65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33"/>
      <c r="AW14" s="28"/>
      <c r="AX14" s="65"/>
      <c r="AY14" s="31"/>
      <c r="AZ14" s="33"/>
      <c r="BA14" s="46"/>
      <c r="BB14" s="78"/>
      <c r="BC14" s="34"/>
      <c r="BD14" s="28"/>
    </row>
    <row r="15" spans="1:59" ht="5.15" customHeight="1">
      <c r="A15" s="22"/>
      <c r="B15" s="202"/>
      <c r="C15" s="296"/>
      <c r="D15" s="72"/>
      <c r="E15" s="72"/>
      <c r="F15" s="72"/>
      <c r="G15" s="72"/>
      <c r="H15" s="297"/>
      <c r="I15" s="278"/>
      <c r="J15" s="279"/>
      <c r="K15" s="278"/>
      <c r="L15" s="279"/>
      <c r="M15" s="298"/>
      <c r="N15" s="298"/>
      <c r="O15" s="263"/>
      <c r="P15" s="298"/>
      <c r="Q15" s="263"/>
      <c r="R15" s="298"/>
      <c r="S15" s="281"/>
      <c r="T15" s="72"/>
      <c r="U15" s="72"/>
      <c r="V15" s="72"/>
      <c r="W15" s="72"/>
      <c r="X15" s="72"/>
      <c r="Y15" s="297"/>
      <c r="Z15" s="278"/>
      <c r="AA15" s="279"/>
      <c r="AB15" s="278"/>
      <c r="AC15" s="279"/>
      <c r="AD15" s="298"/>
      <c r="AE15" s="298"/>
      <c r="AF15" s="263"/>
      <c r="AG15" s="298"/>
      <c r="AH15" s="298"/>
      <c r="AI15" s="280"/>
      <c r="AJ15" s="298"/>
      <c r="AK15" s="263"/>
      <c r="AL15" s="72"/>
      <c r="AM15" s="72"/>
      <c r="AN15" s="72"/>
      <c r="AO15" s="72"/>
      <c r="AP15" s="72"/>
      <c r="AQ15" s="72"/>
      <c r="AR15" s="72"/>
      <c r="AS15" s="279"/>
      <c r="AT15" s="280"/>
      <c r="AU15" s="279"/>
      <c r="AV15" s="263"/>
      <c r="AW15" s="263"/>
      <c r="AX15" s="263"/>
      <c r="AY15" s="265"/>
      <c r="AZ15" s="33"/>
      <c r="BA15" s="46"/>
      <c r="BB15" s="78"/>
      <c r="BC15" s="34"/>
      <c r="BD15" s="28"/>
    </row>
    <row r="16" spans="1:59" ht="13.5" customHeight="1">
      <c r="A16" s="22"/>
      <c r="B16" s="45"/>
      <c r="C16" s="266" t="s">
        <v>104</v>
      </c>
      <c r="D16" s="28"/>
      <c r="E16" s="28"/>
      <c r="F16" s="28"/>
      <c r="G16" s="28"/>
      <c r="H16" s="255" t="s">
        <v>170</v>
      </c>
      <c r="I16" s="255"/>
      <c r="J16" s="255"/>
      <c r="K16" s="26"/>
      <c r="L16" s="26"/>
      <c r="M16" s="105"/>
      <c r="N16" s="100"/>
      <c r="O16" s="67"/>
      <c r="P16" s="67"/>
      <c r="Q16" s="101"/>
      <c r="R16" s="100"/>
      <c r="S16" s="100"/>
      <c r="T16" s="100"/>
      <c r="U16" s="67"/>
      <c r="V16" s="101"/>
      <c r="W16" s="100"/>
      <c r="X16" s="65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65"/>
      <c r="AY16" s="267"/>
      <c r="AZ16" s="33"/>
      <c r="BA16" s="46"/>
      <c r="BB16" s="78"/>
      <c r="BC16" s="34"/>
      <c r="BD16" s="28"/>
      <c r="BE16" s="35"/>
      <c r="BF16" s="35"/>
      <c r="BG16" s="35"/>
    </row>
    <row r="17" spans="1:59" ht="13.5" customHeight="1">
      <c r="A17" s="22"/>
      <c r="B17" s="202">
        <v>3</v>
      </c>
      <c r="C17" s="266" t="s">
        <v>58</v>
      </c>
      <c r="D17" s="31"/>
      <c r="E17" s="31"/>
      <c r="F17" s="31"/>
      <c r="G17" s="31"/>
      <c r="H17" s="58"/>
      <c r="I17" s="59"/>
      <c r="J17" s="59"/>
      <c r="K17" s="59"/>
      <c r="L17" s="60"/>
      <c r="M17" s="59"/>
      <c r="N17" s="61"/>
      <c r="O17" s="61"/>
      <c r="P17" s="61"/>
      <c r="Q17" s="61"/>
      <c r="R17" s="61"/>
      <c r="S17" s="128"/>
      <c r="T17" s="59"/>
      <c r="U17" s="59"/>
      <c r="V17" s="59"/>
      <c r="W17" s="59"/>
      <c r="X17" s="123"/>
      <c r="Y17" s="59"/>
      <c r="Z17" s="59"/>
      <c r="AA17" s="59"/>
      <c r="AB17" s="60"/>
      <c r="AC17" s="59"/>
      <c r="AD17" s="61"/>
      <c r="AE17" s="61"/>
      <c r="AF17" s="61"/>
      <c r="AG17" s="61"/>
      <c r="AH17" s="94"/>
      <c r="AI17" s="75"/>
      <c r="AJ17" s="63"/>
      <c r="AK17" s="63"/>
      <c r="AL17" s="63"/>
      <c r="AM17" s="63"/>
      <c r="AN17" s="125"/>
      <c r="AO17" s="62"/>
      <c r="AP17" s="62"/>
      <c r="AQ17" s="63"/>
      <c r="AR17" s="63"/>
      <c r="AS17" s="63"/>
      <c r="AT17" s="64"/>
      <c r="AU17" s="63"/>
      <c r="AV17" s="65"/>
      <c r="AW17" s="65"/>
      <c r="AX17" s="65"/>
      <c r="AY17" s="267"/>
      <c r="AZ17" s="33"/>
      <c r="BA17" s="46"/>
      <c r="BB17" s="78"/>
      <c r="BC17" s="34"/>
      <c r="BD17" s="28"/>
      <c r="BE17" s="35"/>
      <c r="BF17" s="35"/>
      <c r="BG17" s="35"/>
    </row>
    <row r="18" spans="1:59" ht="13.5" customHeight="1">
      <c r="A18" s="22"/>
      <c r="B18" s="201"/>
      <c r="C18" s="266" t="s">
        <v>39</v>
      </c>
      <c r="D18" s="31"/>
      <c r="E18" s="31"/>
      <c r="F18" s="31"/>
      <c r="G18" s="31"/>
      <c r="H18" s="58"/>
      <c r="I18" s="59"/>
      <c r="J18" s="59"/>
      <c r="K18" s="59"/>
      <c r="L18" s="60"/>
      <c r="M18" s="59"/>
      <c r="N18" s="61"/>
      <c r="O18" s="61"/>
      <c r="P18" s="61"/>
      <c r="Q18" s="189"/>
      <c r="R18" s="74"/>
      <c r="S18" s="75"/>
      <c r="T18" s="114" t="s">
        <v>59</v>
      </c>
      <c r="U18" s="31"/>
      <c r="V18" s="31"/>
      <c r="W18" s="31"/>
      <c r="X18" s="31"/>
      <c r="Y18" s="58"/>
      <c r="Z18" s="59"/>
      <c r="AA18" s="59"/>
      <c r="AB18" s="59"/>
      <c r="AC18" s="60"/>
      <c r="AD18" s="59"/>
      <c r="AE18" s="61"/>
      <c r="AF18" s="61"/>
      <c r="AG18" s="70"/>
      <c r="AH18" s="65"/>
      <c r="AI18" s="75"/>
      <c r="AJ18" s="63"/>
      <c r="AK18" s="75" t="s">
        <v>60</v>
      </c>
      <c r="AL18" s="63"/>
      <c r="AM18" s="63"/>
      <c r="AN18" s="63"/>
      <c r="AO18" s="63"/>
      <c r="AP18" s="58"/>
      <c r="AQ18" s="59"/>
      <c r="AR18" s="59"/>
      <c r="AS18" s="59"/>
      <c r="AT18" s="60"/>
      <c r="AU18" s="59"/>
      <c r="AV18" s="61"/>
      <c r="AW18" s="61"/>
      <c r="AX18" s="70"/>
      <c r="AY18" s="267"/>
      <c r="AZ18" s="33"/>
      <c r="BA18" s="46"/>
      <c r="BB18" s="78"/>
      <c r="BC18" s="34"/>
      <c r="BD18" s="28"/>
      <c r="BE18" s="35"/>
      <c r="BF18" s="35"/>
      <c r="BG18" s="35"/>
    </row>
    <row r="19" spans="1:59" ht="13.5" customHeight="1">
      <c r="A19" s="22"/>
      <c r="B19" s="201"/>
      <c r="C19" s="266" t="s">
        <v>61</v>
      </c>
      <c r="D19" s="31"/>
      <c r="E19" s="31"/>
      <c r="F19" s="31"/>
      <c r="G19" s="31"/>
      <c r="H19" s="58"/>
      <c r="I19" s="59"/>
      <c r="J19" s="59"/>
      <c r="K19" s="59"/>
      <c r="L19" s="60"/>
      <c r="M19" s="59"/>
      <c r="N19" s="61"/>
      <c r="O19" s="61"/>
      <c r="P19" s="99" t="s">
        <v>33</v>
      </c>
      <c r="Q19" s="94"/>
      <c r="R19" s="65"/>
      <c r="S19" s="35"/>
      <c r="T19" s="43" t="s">
        <v>62</v>
      </c>
      <c r="U19" s="63"/>
      <c r="V19" s="63"/>
      <c r="W19" s="63"/>
      <c r="X19" s="63"/>
      <c r="Y19" s="124" t="s">
        <v>70</v>
      </c>
      <c r="Z19" s="59"/>
      <c r="AA19" s="59"/>
      <c r="AB19" s="59"/>
      <c r="AC19" s="60"/>
      <c r="AD19" s="59"/>
      <c r="AE19" s="61"/>
      <c r="AF19" s="61"/>
      <c r="AG19" s="70"/>
      <c r="AH19" s="65"/>
      <c r="AI19" s="75"/>
      <c r="AJ19" s="63"/>
      <c r="AK19" s="63"/>
      <c r="AL19" s="63"/>
      <c r="AM19" s="63"/>
      <c r="AN19" s="125"/>
      <c r="AO19" s="62"/>
      <c r="AP19" s="62"/>
      <c r="AQ19" s="63"/>
      <c r="AR19" s="63"/>
      <c r="AS19" s="63"/>
      <c r="AT19" s="64"/>
      <c r="AU19" s="63"/>
      <c r="AV19" s="65"/>
      <c r="AW19" s="65"/>
      <c r="AX19" s="65"/>
      <c r="AY19" s="267"/>
      <c r="AZ19" s="33"/>
      <c r="BA19" s="46"/>
      <c r="BB19" s="78"/>
      <c r="BC19" s="34"/>
      <c r="BD19" s="28"/>
      <c r="BE19" s="35"/>
      <c r="BF19" s="35"/>
      <c r="BG19" s="35"/>
    </row>
    <row r="20" spans="1:59" ht="13.5" customHeight="1">
      <c r="A20" s="22"/>
      <c r="B20" s="201"/>
      <c r="C20" s="266" t="s">
        <v>106</v>
      </c>
      <c r="D20" s="31"/>
      <c r="E20" s="31"/>
      <c r="F20" s="31"/>
      <c r="G20" s="31"/>
      <c r="H20" s="58"/>
      <c r="I20" s="59"/>
      <c r="J20" s="59"/>
      <c r="K20" s="456">
        <v>0.05</v>
      </c>
      <c r="L20" s="299" t="s">
        <v>107</v>
      </c>
      <c r="M20" s="103"/>
      <c r="N20" s="74"/>
      <c r="O20" s="74"/>
      <c r="P20" s="74"/>
      <c r="Q20" s="65"/>
      <c r="R20" s="65"/>
      <c r="S20" s="35"/>
      <c r="T20" s="35"/>
      <c r="U20" s="35"/>
      <c r="V20" s="63"/>
      <c r="W20" s="63"/>
      <c r="X20" s="63"/>
      <c r="Y20" s="102"/>
      <c r="Z20" s="103"/>
      <c r="AA20" s="103"/>
      <c r="AB20" s="103"/>
      <c r="AC20" s="104"/>
      <c r="AD20" s="103"/>
      <c r="AE20" s="74"/>
      <c r="AF20" s="74"/>
      <c r="AG20" s="74"/>
      <c r="AH20" s="65"/>
      <c r="AI20" s="75"/>
      <c r="AJ20" s="63"/>
      <c r="AK20" s="63"/>
      <c r="AL20" s="63"/>
      <c r="AM20" s="63"/>
      <c r="AN20" s="125"/>
      <c r="AO20" s="62"/>
      <c r="AP20" s="62"/>
      <c r="AQ20" s="63"/>
      <c r="AR20" s="63"/>
      <c r="AS20" s="63"/>
      <c r="AT20" s="64"/>
      <c r="AU20" s="63"/>
      <c r="AV20" s="65"/>
      <c r="AW20" s="65"/>
      <c r="AX20" s="65"/>
      <c r="AY20" s="267"/>
      <c r="AZ20" s="33"/>
      <c r="BA20" s="46"/>
      <c r="BB20" s="78"/>
      <c r="BC20" s="34"/>
      <c r="BD20" s="28"/>
      <c r="BE20" s="35"/>
      <c r="BF20" s="35"/>
      <c r="BG20" s="35"/>
    </row>
    <row r="21" spans="1:59" ht="5.15" customHeight="1">
      <c r="A21" s="22"/>
      <c r="B21" s="201"/>
      <c r="C21" s="268"/>
      <c r="D21" s="269"/>
      <c r="E21" s="269"/>
      <c r="F21" s="269"/>
      <c r="G21" s="269"/>
      <c r="H21" s="275"/>
      <c r="I21" s="273"/>
      <c r="J21" s="273"/>
      <c r="K21" s="273"/>
      <c r="L21" s="276"/>
      <c r="M21" s="273"/>
      <c r="N21" s="270"/>
      <c r="O21" s="270"/>
      <c r="P21" s="270"/>
      <c r="Q21" s="270"/>
      <c r="R21" s="270"/>
      <c r="S21" s="271"/>
      <c r="T21" s="272"/>
      <c r="U21" s="273"/>
      <c r="V21" s="273"/>
      <c r="W21" s="273"/>
      <c r="X21" s="273"/>
      <c r="Y21" s="275"/>
      <c r="Z21" s="273"/>
      <c r="AA21" s="273"/>
      <c r="AB21" s="273"/>
      <c r="AC21" s="276"/>
      <c r="AD21" s="273"/>
      <c r="AE21" s="270"/>
      <c r="AF21" s="270"/>
      <c r="AG21" s="270"/>
      <c r="AH21" s="270"/>
      <c r="AI21" s="272"/>
      <c r="AJ21" s="273"/>
      <c r="AK21" s="273"/>
      <c r="AL21" s="273"/>
      <c r="AM21" s="273"/>
      <c r="AN21" s="274"/>
      <c r="AO21" s="275"/>
      <c r="AP21" s="275"/>
      <c r="AQ21" s="273"/>
      <c r="AR21" s="273"/>
      <c r="AS21" s="273"/>
      <c r="AT21" s="276"/>
      <c r="AU21" s="273"/>
      <c r="AV21" s="270"/>
      <c r="AW21" s="270"/>
      <c r="AX21" s="270"/>
      <c r="AY21" s="277"/>
      <c r="AZ21" s="33"/>
      <c r="BA21" s="46"/>
      <c r="BB21" s="78"/>
      <c r="BC21" s="34"/>
      <c r="BD21" s="28"/>
      <c r="BE21" s="35"/>
      <c r="BF21" s="35"/>
      <c r="BG21" s="35"/>
    </row>
    <row r="22" spans="1:59" ht="13.5" customHeight="1">
      <c r="A22" s="22"/>
      <c r="B22" s="32"/>
      <c r="C22" s="64"/>
      <c r="D22" s="62"/>
      <c r="E22" s="63"/>
      <c r="F22" s="63"/>
      <c r="G22" s="63"/>
      <c r="H22" s="69"/>
      <c r="I22" s="69"/>
      <c r="J22" s="65"/>
      <c r="K22" s="69"/>
      <c r="L22" s="65"/>
      <c r="M22" s="69"/>
      <c r="N22" s="64"/>
      <c r="O22" s="69"/>
      <c r="P22" s="65"/>
      <c r="Q22" s="28"/>
      <c r="R22" s="28"/>
      <c r="T22" s="31"/>
      <c r="U22" s="31"/>
      <c r="V22" s="31"/>
      <c r="W22" s="31"/>
      <c r="X22" s="31"/>
      <c r="Y22" s="44"/>
      <c r="Z22" s="31"/>
      <c r="AA22" s="28"/>
      <c r="AB22" s="44"/>
      <c r="AC22" s="31"/>
      <c r="AD22" s="28"/>
      <c r="AE22" s="44"/>
      <c r="AF22" s="28"/>
      <c r="AG22" s="28"/>
      <c r="AH22" s="28"/>
      <c r="AI22" s="28"/>
      <c r="AJ22" s="76"/>
      <c r="AK22" s="28"/>
      <c r="AL22" s="28"/>
      <c r="AM22" s="28"/>
      <c r="AN22" s="28"/>
      <c r="AO22" s="28"/>
      <c r="AP22" s="28"/>
      <c r="AQ22" s="28"/>
      <c r="AR22" s="28"/>
      <c r="AS22" s="63"/>
      <c r="AT22" s="64"/>
      <c r="AU22" s="63"/>
      <c r="AV22" s="65"/>
      <c r="AW22" s="65"/>
      <c r="AX22" s="65"/>
      <c r="AY22" s="31"/>
      <c r="AZ22" s="33"/>
      <c r="BA22" s="46"/>
      <c r="BB22" s="78"/>
      <c r="BC22" s="34"/>
      <c r="BD22" s="28"/>
    </row>
    <row r="23" spans="1:59" ht="13.5" customHeight="1">
      <c r="A23" s="22"/>
      <c r="B23" s="202">
        <v>2</v>
      </c>
      <c r="C23" s="204" t="s">
        <v>108</v>
      </c>
      <c r="D23" s="28"/>
      <c r="E23" s="28"/>
      <c r="F23" s="28"/>
      <c r="G23" s="28"/>
      <c r="H23" s="121"/>
      <c r="I23" s="62"/>
      <c r="J23" s="63"/>
      <c r="K23" s="62"/>
      <c r="L23" s="63"/>
      <c r="M23" s="69"/>
      <c r="N23" s="69"/>
      <c r="O23" s="65"/>
      <c r="P23" s="69"/>
      <c r="Q23" s="65"/>
      <c r="R23" s="69"/>
      <c r="S23" s="35"/>
      <c r="T23" s="28"/>
      <c r="U23" s="28"/>
      <c r="V23" s="28"/>
      <c r="W23" s="28"/>
      <c r="X23" s="28"/>
      <c r="Y23" s="121"/>
      <c r="Z23" s="62"/>
      <c r="AA23" s="63"/>
      <c r="AB23" s="62"/>
      <c r="AC23" s="63"/>
      <c r="AD23" s="69"/>
      <c r="AE23" s="69"/>
      <c r="AF23" s="65"/>
      <c r="AG23" s="69"/>
      <c r="AH23" s="69"/>
      <c r="AI23" s="64"/>
      <c r="AJ23" s="69"/>
      <c r="AK23" s="65"/>
      <c r="AL23" s="28"/>
      <c r="AM23" s="28"/>
      <c r="AN23" s="28"/>
      <c r="AO23" s="28"/>
      <c r="AP23" s="28"/>
      <c r="AQ23" s="28"/>
      <c r="AR23" s="28"/>
      <c r="AS23" s="63"/>
      <c r="AT23" s="64"/>
      <c r="AU23" s="63"/>
      <c r="AV23" s="65"/>
      <c r="AW23" s="65"/>
      <c r="AX23" s="65"/>
      <c r="AY23" s="31"/>
      <c r="AZ23" s="33"/>
      <c r="BA23" s="46"/>
      <c r="BB23" s="78"/>
      <c r="BC23" s="34"/>
      <c r="BD23" s="28"/>
    </row>
    <row r="24" spans="1:59" ht="5.15" customHeight="1">
      <c r="A24" s="22"/>
      <c r="B24" s="202"/>
      <c r="C24" s="296"/>
      <c r="D24" s="72"/>
      <c r="E24" s="72"/>
      <c r="F24" s="72"/>
      <c r="G24" s="72"/>
      <c r="H24" s="297"/>
      <c r="I24" s="278"/>
      <c r="J24" s="279"/>
      <c r="K24" s="278"/>
      <c r="L24" s="279"/>
      <c r="M24" s="298"/>
      <c r="N24" s="298"/>
      <c r="O24" s="263"/>
      <c r="P24" s="298"/>
      <c r="Q24" s="263"/>
      <c r="R24" s="298"/>
      <c r="S24" s="281"/>
      <c r="T24" s="72"/>
      <c r="U24" s="72"/>
      <c r="V24" s="72"/>
      <c r="W24" s="72"/>
      <c r="X24" s="72"/>
      <c r="Y24" s="297"/>
      <c r="Z24" s="278"/>
      <c r="AA24" s="279"/>
      <c r="AB24" s="278"/>
      <c r="AC24" s="279"/>
      <c r="AD24" s="298"/>
      <c r="AE24" s="298"/>
      <c r="AF24" s="263"/>
      <c r="AG24" s="298"/>
      <c r="AH24" s="298"/>
      <c r="AI24" s="280"/>
      <c r="AJ24" s="298"/>
      <c r="AK24" s="263"/>
      <c r="AL24" s="72"/>
      <c r="AM24" s="72"/>
      <c r="AN24" s="72"/>
      <c r="AO24" s="72"/>
      <c r="AP24" s="72"/>
      <c r="AQ24" s="72"/>
      <c r="AR24" s="72"/>
      <c r="AS24" s="279"/>
      <c r="AT24" s="280"/>
      <c r="AU24" s="279"/>
      <c r="AV24" s="263"/>
      <c r="AW24" s="263"/>
      <c r="AX24" s="263"/>
      <c r="AY24" s="265"/>
      <c r="AZ24" s="33"/>
      <c r="BA24" s="46"/>
      <c r="BB24" s="78"/>
      <c r="BC24" s="34"/>
      <c r="BD24" s="28"/>
    </row>
    <row r="25" spans="1:59" ht="13.5" customHeight="1">
      <c r="A25" s="22"/>
      <c r="B25" s="45"/>
      <c r="C25" s="266" t="s">
        <v>109</v>
      </c>
      <c r="D25" s="28"/>
      <c r="E25" s="28"/>
      <c r="F25" s="28"/>
      <c r="G25" s="28"/>
      <c r="H25" s="58"/>
      <c r="I25" s="59"/>
      <c r="J25" s="59"/>
      <c r="K25" s="59"/>
      <c r="L25" s="60"/>
      <c r="M25" s="59"/>
      <c r="N25" s="70"/>
      <c r="O25" s="94" t="s">
        <v>110</v>
      </c>
      <c r="Q25" s="64"/>
      <c r="R25" s="63"/>
      <c r="S25" s="35"/>
      <c r="T25" s="28" t="s">
        <v>119</v>
      </c>
      <c r="U25" s="28"/>
      <c r="V25" s="28"/>
      <c r="W25" s="28"/>
      <c r="Y25" s="58"/>
      <c r="Z25" s="59"/>
      <c r="AA25" s="59"/>
      <c r="AB25" s="59"/>
      <c r="AC25" s="60"/>
      <c r="AD25" s="59"/>
      <c r="AE25" s="61"/>
      <c r="AF25" s="70"/>
      <c r="AG25" s="94" t="s">
        <v>112</v>
      </c>
      <c r="AH25" s="28"/>
      <c r="AI25" s="28"/>
      <c r="AJ25" s="28"/>
      <c r="AK25" s="28" t="s">
        <v>113</v>
      </c>
      <c r="AL25" s="28"/>
      <c r="AM25" s="28"/>
      <c r="AN25" s="28"/>
      <c r="AO25" s="35"/>
      <c r="AP25" s="54"/>
      <c r="AQ25" s="55"/>
      <c r="AR25" s="55"/>
      <c r="AS25" s="55"/>
      <c r="AT25" s="56"/>
      <c r="AU25" s="55"/>
      <c r="AV25" s="57"/>
      <c r="AW25" s="66"/>
      <c r="AX25" s="94" t="s">
        <v>114</v>
      </c>
      <c r="AY25" s="283"/>
      <c r="AZ25" s="33"/>
      <c r="BA25" s="46"/>
      <c r="BB25" s="78"/>
      <c r="BC25" s="34"/>
      <c r="BD25" s="28"/>
      <c r="BE25" s="35"/>
      <c r="BF25" s="35"/>
      <c r="BG25" s="35"/>
    </row>
    <row r="26" spans="1:59" ht="13.5" customHeight="1">
      <c r="A26" s="22"/>
      <c r="B26" s="45"/>
      <c r="C26" s="282" t="s">
        <v>267</v>
      </c>
      <c r="D26" s="28"/>
      <c r="E26" s="28"/>
      <c r="F26" s="28"/>
      <c r="H26" s="58"/>
      <c r="I26" s="59"/>
      <c r="J26" s="59"/>
      <c r="K26" s="59"/>
      <c r="L26" s="60"/>
      <c r="M26" s="59"/>
      <c r="N26" s="61"/>
      <c r="O26" s="61"/>
      <c r="P26" s="70"/>
      <c r="Q26" s="64"/>
      <c r="R26" s="28"/>
      <c r="S26" s="35"/>
      <c r="T26" s="28" t="s">
        <v>265</v>
      </c>
      <c r="V26" s="28"/>
      <c r="W26" s="28"/>
      <c r="Y26" s="58"/>
      <c r="Z26" s="59"/>
      <c r="AA26" s="59"/>
      <c r="AB26" s="59"/>
      <c r="AC26" s="60"/>
      <c r="AD26" s="59"/>
      <c r="AE26" s="61"/>
      <c r="AF26" s="61"/>
      <c r="AG26" s="70"/>
      <c r="AH26" s="28"/>
      <c r="AI26" s="28"/>
      <c r="AJ26" s="28"/>
      <c r="AL26" s="28"/>
      <c r="AM26" s="28"/>
      <c r="AN26" s="28"/>
      <c r="AO26" s="35"/>
      <c r="AP26" s="62"/>
      <c r="AQ26" s="63"/>
      <c r="AR26" s="63"/>
      <c r="AS26" s="63"/>
      <c r="AT26" s="64"/>
      <c r="AU26" s="63"/>
      <c r="AV26" s="65"/>
      <c r="AW26" s="65"/>
      <c r="AX26" s="65"/>
      <c r="AY26" s="283"/>
      <c r="AZ26" s="33"/>
      <c r="BA26" s="46"/>
      <c r="BB26" s="78"/>
      <c r="BC26" s="34"/>
      <c r="BD26" s="28"/>
      <c r="BE26" s="35"/>
      <c r="BF26" s="35"/>
      <c r="BG26" s="35"/>
    </row>
    <row r="27" spans="1:59" ht="14.15" customHeight="1">
      <c r="A27" s="22"/>
      <c r="B27" s="256"/>
      <c r="C27" s="497" t="s">
        <v>273</v>
      </c>
      <c r="F27" s="285"/>
      <c r="G27" s="285"/>
      <c r="H27" s="98" t="s">
        <v>122</v>
      </c>
      <c r="I27" s="257"/>
      <c r="J27" s="258"/>
      <c r="K27" s="258"/>
      <c r="L27" s="258"/>
      <c r="M27" s="259"/>
      <c r="N27" s="258"/>
      <c r="O27" s="110"/>
      <c r="P27" s="260" t="s">
        <v>33</v>
      </c>
      <c r="R27" s="130"/>
      <c r="S27" s="35"/>
      <c r="T27" s="285" t="s">
        <v>274</v>
      </c>
      <c r="U27" s="35"/>
      <c r="V27" s="285"/>
      <c r="W27" s="285"/>
      <c r="X27" s="285"/>
      <c r="Y27" s="98" t="s">
        <v>123</v>
      </c>
      <c r="Z27" s="257"/>
      <c r="AA27" s="258"/>
      <c r="AB27" s="258"/>
      <c r="AC27" s="258"/>
      <c r="AD27" s="259"/>
      <c r="AE27" s="258"/>
      <c r="AF27" s="142"/>
      <c r="AG27" s="496" t="s">
        <v>33</v>
      </c>
      <c r="AH27" s="35"/>
      <c r="AI27" s="35"/>
      <c r="AJ27" s="285"/>
      <c r="AL27" s="35"/>
      <c r="AM27" s="285"/>
      <c r="AN27" s="35"/>
      <c r="AO27" s="35"/>
      <c r="AP27" s="26"/>
      <c r="AQ27" s="493"/>
      <c r="AR27" s="494"/>
      <c r="AS27" s="494"/>
      <c r="AT27" s="494"/>
      <c r="AU27" s="495"/>
      <c r="AV27" s="38"/>
      <c r="AW27" s="26"/>
      <c r="AX27" s="499"/>
      <c r="AY27" s="286"/>
      <c r="AZ27" s="33"/>
      <c r="BA27" s="46"/>
      <c r="BB27" s="78"/>
      <c r="BC27" s="34"/>
      <c r="BD27" s="35"/>
      <c r="BE27" s="35"/>
      <c r="BF27" s="35"/>
      <c r="BG27" s="35"/>
    </row>
    <row r="28" spans="1:59" ht="13.5" customHeight="1">
      <c r="A28" s="22"/>
      <c r="B28" s="45"/>
      <c r="C28" s="282" t="s">
        <v>268</v>
      </c>
      <c r="D28" s="28"/>
      <c r="E28" s="28"/>
      <c r="F28" s="28"/>
      <c r="H28" s="58"/>
      <c r="I28" s="59"/>
      <c r="J28" s="59"/>
      <c r="K28" s="59"/>
      <c r="L28" s="60"/>
      <c r="M28" s="59"/>
      <c r="N28" s="61"/>
      <c r="O28" s="61"/>
      <c r="P28" s="70"/>
      <c r="Q28" s="64"/>
      <c r="R28" s="28"/>
      <c r="S28" s="35"/>
      <c r="T28" s="28" t="s">
        <v>269</v>
      </c>
      <c r="U28" s="28"/>
      <c r="V28" s="28"/>
      <c r="W28" s="28"/>
      <c r="Y28" s="58"/>
      <c r="Z28" s="59"/>
      <c r="AA28" s="59"/>
      <c r="AB28" s="59"/>
      <c r="AC28" s="60"/>
      <c r="AD28" s="59"/>
      <c r="AE28" s="61"/>
      <c r="AF28" s="61"/>
      <c r="AG28" s="70"/>
      <c r="AH28" s="28"/>
      <c r="AI28" s="28"/>
      <c r="AJ28" s="28" t="s">
        <v>270</v>
      </c>
      <c r="AK28" s="28"/>
      <c r="AL28" s="28"/>
      <c r="AM28" s="28"/>
      <c r="AN28" s="28"/>
      <c r="AO28" s="35"/>
      <c r="AP28" s="58"/>
      <c r="AQ28" s="59"/>
      <c r="AR28" s="59"/>
      <c r="AS28" s="59"/>
      <c r="AT28" s="60"/>
      <c r="AU28" s="59"/>
      <c r="AV28" s="61"/>
      <c r="AW28" s="61"/>
      <c r="AX28" s="498"/>
      <c r="AY28" s="283"/>
      <c r="AZ28" s="33"/>
      <c r="BA28" s="46"/>
      <c r="BB28" s="78"/>
      <c r="BC28" s="34"/>
      <c r="BD28" s="28"/>
      <c r="BE28" s="35"/>
      <c r="BF28" s="35"/>
      <c r="BG28" s="35"/>
    </row>
    <row r="29" spans="1:59" ht="13.5" customHeight="1">
      <c r="A29" s="22"/>
      <c r="B29" s="45"/>
      <c r="C29" s="282" t="s">
        <v>118</v>
      </c>
      <c r="D29" s="28"/>
      <c r="E29" s="28"/>
      <c r="F29" s="28"/>
      <c r="H29" s="58"/>
      <c r="I29" s="59"/>
      <c r="J29" s="59"/>
      <c r="K29" s="59"/>
      <c r="L29" s="60"/>
      <c r="M29" s="59"/>
      <c r="N29" s="61"/>
      <c r="O29" s="61"/>
      <c r="P29" s="260" t="s">
        <v>33</v>
      </c>
      <c r="Q29" s="64"/>
      <c r="R29" s="28"/>
      <c r="S29" s="35"/>
      <c r="T29" s="26" t="s">
        <v>271</v>
      </c>
      <c r="U29" s="28"/>
      <c r="V29" s="28"/>
      <c r="W29" s="28"/>
      <c r="Y29" s="58"/>
      <c r="Z29" s="59"/>
      <c r="AA29" s="59"/>
      <c r="AB29" s="59"/>
      <c r="AC29" s="60"/>
      <c r="AD29" s="59"/>
      <c r="AE29" s="61"/>
      <c r="AF29" s="61"/>
      <c r="AG29" s="70"/>
      <c r="AH29" s="28"/>
      <c r="AI29" s="28"/>
      <c r="AJ29" s="28" t="s">
        <v>272</v>
      </c>
      <c r="AK29" s="28"/>
      <c r="AL29" s="28"/>
      <c r="AM29" s="28"/>
      <c r="AN29" s="28"/>
      <c r="AO29" s="35"/>
      <c r="AP29" s="58"/>
      <c r="AQ29" s="59"/>
      <c r="AR29" s="59"/>
      <c r="AS29" s="59"/>
      <c r="AT29" s="60"/>
      <c r="AU29" s="59"/>
      <c r="AV29" s="70"/>
      <c r="AW29" s="94" t="s">
        <v>266</v>
      </c>
      <c r="AX29" s="35"/>
      <c r="AY29" s="283"/>
      <c r="AZ29" s="33"/>
      <c r="BA29" s="46"/>
      <c r="BB29" s="78"/>
      <c r="BC29" s="34"/>
      <c r="BD29" s="28"/>
      <c r="BE29" s="35"/>
      <c r="BF29" s="35"/>
      <c r="BG29" s="35"/>
    </row>
    <row r="30" spans="1:59" ht="13.5" customHeight="1">
      <c r="A30" s="22"/>
      <c r="B30" s="32"/>
      <c r="C30" s="287" t="s">
        <v>124</v>
      </c>
      <c r="D30" s="41"/>
      <c r="E30" s="41"/>
      <c r="F30" s="41"/>
      <c r="G30" s="41"/>
      <c r="H30" s="163"/>
      <c r="I30" s="164"/>
      <c r="J30" s="165"/>
      <c r="K30" s="164"/>
      <c r="L30" s="165"/>
      <c r="M30" s="164"/>
      <c r="N30" s="166"/>
      <c r="O30" s="164"/>
      <c r="P30" s="165"/>
      <c r="Q30" s="165"/>
      <c r="R30" s="165"/>
      <c r="S30" s="167"/>
      <c r="T30" s="167"/>
      <c r="U30" s="167"/>
      <c r="V30" s="167"/>
      <c r="W30" s="167"/>
      <c r="X30" s="166"/>
      <c r="Y30" s="167"/>
      <c r="Z30" s="165"/>
      <c r="AA30" s="166"/>
      <c r="AB30" s="167"/>
      <c r="AC30" s="165"/>
      <c r="AD30" s="166"/>
      <c r="AE30" s="165"/>
      <c r="AF30" s="165"/>
      <c r="AG30" s="166"/>
      <c r="AH30" s="165"/>
      <c r="AI30" s="165"/>
      <c r="AJ30" s="168"/>
      <c r="AK30" s="165"/>
      <c r="AL30" s="165"/>
      <c r="AM30" s="165"/>
      <c r="AN30" s="165"/>
      <c r="AO30" s="165"/>
      <c r="AP30" s="165"/>
      <c r="AQ30" s="165"/>
      <c r="AR30" s="165"/>
      <c r="AS30" s="165"/>
      <c r="AT30" s="165"/>
      <c r="AU30" s="165"/>
      <c r="AV30" s="165"/>
      <c r="AW30" s="165"/>
      <c r="AX30" s="160" t="s">
        <v>37</v>
      </c>
      <c r="AY30" s="283"/>
      <c r="AZ30" s="33"/>
      <c r="BA30" s="46"/>
      <c r="BB30" s="78"/>
      <c r="BC30" s="34"/>
      <c r="BD30" s="28"/>
      <c r="BE30" s="35"/>
      <c r="BF30" s="35"/>
      <c r="BG30" s="35"/>
    </row>
    <row r="31" spans="1:59" ht="13.5" customHeight="1">
      <c r="A31" s="22"/>
      <c r="B31" s="32"/>
      <c r="C31" s="287"/>
      <c r="D31" s="41"/>
      <c r="E31" s="41"/>
      <c r="F31" s="41"/>
      <c r="G31" s="41"/>
      <c r="H31" s="169"/>
      <c r="I31" s="170"/>
      <c r="J31" s="171"/>
      <c r="K31" s="170"/>
      <c r="L31" s="171"/>
      <c r="M31" s="170"/>
      <c r="N31" s="172"/>
      <c r="O31" s="170"/>
      <c r="P31" s="171"/>
      <c r="Q31" s="171"/>
      <c r="R31" s="171"/>
      <c r="S31" s="173"/>
      <c r="T31" s="173"/>
      <c r="U31" s="173"/>
      <c r="V31" s="173"/>
      <c r="W31" s="173"/>
      <c r="X31" s="172"/>
      <c r="Y31" s="173"/>
      <c r="Z31" s="171"/>
      <c r="AA31" s="172"/>
      <c r="AB31" s="173"/>
      <c r="AC31" s="171"/>
      <c r="AD31" s="172"/>
      <c r="AE31" s="171"/>
      <c r="AF31" s="171"/>
      <c r="AG31" s="172"/>
      <c r="AH31" s="171"/>
      <c r="AI31" s="171"/>
      <c r="AJ31" s="174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22" t="s">
        <v>33</v>
      </c>
      <c r="AY31" s="283"/>
      <c r="AZ31" s="33"/>
      <c r="BA31" s="46"/>
      <c r="BB31" s="78"/>
      <c r="BC31" s="34"/>
      <c r="BD31" s="28"/>
      <c r="BE31" s="35"/>
      <c r="BF31" s="35"/>
      <c r="BG31" s="35"/>
    </row>
    <row r="32" spans="1:59" ht="13.5" customHeight="1">
      <c r="A32" s="22"/>
      <c r="B32" s="32"/>
      <c r="C32" s="287" t="s">
        <v>126</v>
      </c>
      <c r="D32" s="41"/>
      <c r="E32" s="41"/>
      <c r="F32" s="41"/>
      <c r="G32" s="41"/>
      <c r="H32" s="163" t="s">
        <v>171</v>
      </c>
      <c r="I32" s="164"/>
      <c r="J32" s="165"/>
      <c r="K32" s="164"/>
      <c r="L32" s="165"/>
      <c r="M32" s="164"/>
      <c r="N32" s="166"/>
      <c r="O32" s="164"/>
      <c r="P32" s="165"/>
      <c r="Q32" s="165"/>
      <c r="R32" s="165"/>
      <c r="S32" s="167"/>
      <c r="T32" s="167"/>
      <c r="U32" s="167"/>
      <c r="V32" s="167"/>
      <c r="W32" s="167"/>
      <c r="X32" s="166"/>
      <c r="Y32" s="167"/>
      <c r="Z32" s="165"/>
      <c r="AA32" s="166"/>
      <c r="AB32" s="167"/>
      <c r="AC32" s="165"/>
      <c r="AD32" s="166"/>
      <c r="AE32" s="165"/>
      <c r="AF32" s="165"/>
      <c r="AG32" s="166"/>
      <c r="AH32" s="165"/>
      <c r="AI32" s="165"/>
      <c r="AJ32" s="168"/>
      <c r="AK32" s="165"/>
      <c r="AL32" s="165"/>
      <c r="AM32" s="165"/>
      <c r="AN32" s="165"/>
      <c r="AO32" s="165"/>
      <c r="AP32" s="165"/>
      <c r="AQ32" s="165"/>
      <c r="AR32" s="165"/>
      <c r="AS32" s="165"/>
      <c r="AT32" s="165"/>
      <c r="AU32" s="165"/>
      <c r="AV32" s="165"/>
      <c r="AW32" s="165"/>
      <c r="AX32" s="160" t="s">
        <v>37</v>
      </c>
      <c r="AY32" s="283"/>
      <c r="AZ32" s="33"/>
      <c r="BA32" s="46"/>
      <c r="BB32" s="78"/>
      <c r="BC32" s="34"/>
      <c r="BD32" s="28"/>
      <c r="BE32" s="35"/>
      <c r="BF32" s="35"/>
      <c r="BG32" s="35"/>
    </row>
    <row r="33" spans="1:59" ht="13.5" customHeight="1">
      <c r="A33" s="22"/>
      <c r="B33" s="32"/>
      <c r="C33" s="287"/>
      <c r="D33" s="41"/>
      <c r="E33" s="41"/>
      <c r="F33" s="41"/>
      <c r="G33" s="41"/>
      <c r="H33" s="169"/>
      <c r="I33" s="170"/>
      <c r="J33" s="171"/>
      <c r="K33" s="170"/>
      <c r="L33" s="171"/>
      <c r="M33" s="170"/>
      <c r="N33" s="172"/>
      <c r="O33" s="170"/>
      <c r="P33" s="171"/>
      <c r="Q33" s="171"/>
      <c r="R33" s="171"/>
      <c r="S33" s="173"/>
      <c r="T33" s="173"/>
      <c r="U33" s="173"/>
      <c r="V33" s="173"/>
      <c r="W33" s="173"/>
      <c r="X33" s="172"/>
      <c r="Y33" s="173"/>
      <c r="Z33" s="171"/>
      <c r="AA33" s="172"/>
      <c r="AB33" s="173"/>
      <c r="AC33" s="171"/>
      <c r="AD33" s="172"/>
      <c r="AE33" s="171"/>
      <c r="AF33" s="171"/>
      <c r="AG33" s="172"/>
      <c r="AH33" s="171"/>
      <c r="AI33" s="171"/>
      <c r="AJ33" s="174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22" t="s">
        <v>33</v>
      </c>
      <c r="AY33" s="283"/>
      <c r="AZ33" s="33"/>
      <c r="BA33" s="46"/>
      <c r="BB33" s="78"/>
      <c r="BC33" s="34"/>
      <c r="BD33" s="28"/>
      <c r="BE33" s="35"/>
      <c r="BF33" s="35"/>
      <c r="BG33" s="35"/>
    </row>
    <row r="34" spans="1:59" ht="13.5" customHeight="1">
      <c r="A34" s="22"/>
      <c r="B34" s="32"/>
      <c r="C34" s="287" t="s">
        <v>127</v>
      </c>
      <c r="D34" s="41"/>
      <c r="E34" s="41"/>
      <c r="F34" s="41"/>
      <c r="G34" s="41"/>
      <c r="H34" s="163"/>
      <c r="I34" s="164"/>
      <c r="J34" s="165"/>
      <c r="K34" s="164"/>
      <c r="L34" s="165"/>
      <c r="M34" s="164"/>
      <c r="N34" s="166"/>
      <c r="O34" s="164"/>
      <c r="P34" s="165"/>
      <c r="Q34" s="165"/>
      <c r="R34" s="165"/>
      <c r="S34" s="167"/>
      <c r="T34" s="167"/>
      <c r="U34" s="167"/>
      <c r="V34" s="167"/>
      <c r="W34" s="167"/>
      <c r="X34" s="166"/>
      <c r="Y34" s="167"/>
      <c r="Z34" s="165"/>
      <c r="AA34" s="166"/>
      <c r="AB34" s="167"/>
      <c r="AC34" s="165"/>
      <c r="AD34" s="166"/>
      <c r="AE34" s="165"/>
      <c r="AF34" s="165"/>
      <c r="AG34" s="166"/>
      <c r="AH34" s="165"/>
      <c r="AI34" s="165"/>
      <c r="AJ34" s="168"/>
      <c r="AK34" s="165"/>
      <c r="AL34" s="165"/>
      <c r="AM34" s="165"/>
      <c r="AN34" s="165"/>
      <c r="AO34" s="165"/>
      <c r="AP34" s="165"/>
      <c r="AQ34" s="165"/>
      <c r="AR34" s="165"/>
      <c r="AS34" s="165"/>
      <c r="AT34" s="165"/>
      <c r="AU34" s="165"/>
      <c r="AV34" s="165"/>
      <c r="AW34" s="165"/>
      <c r="AX34" s="160" t="s">
        <v>37</v>
      </c>
      <c r="AY34" s="283"/>
      <c r="AZ34" s="33"/>
      <c r="BA34" s="46"/>
      <c r="BB34" s="78"/>
      <c r="BC34" s="34"/>
      <c r="BD34" s="28"/>
      <c r="BE34" s="35"/>
      <c r="BF34" s="35"/>
      <c r="BG34" s="35"/>
    </row>
    <row r="35" spans="1:59" ht="13.5" customHeight="1">
      <c r="A35" s="22"/>
      <c r="B35" s="32"/>
      <c r="C35" s="287"/>
      <c r="D35" s="41"/>
      <c r="E35" s="41"/>
      <c r="F35" s="41"/>
      <c r="G35" s="41"/>
      <c r="H35" s="169"/>
      <c r="I35" s="170"/>
      <c r="J35" s="171"/>
      <c r="K35" s="170"/>
      <c r="L35" s="171"/>
      <c r="M35" s="170"/>
      <c r="N35" s="172"/>
      <c r="O35" s="170"/>
      <c r="P35" s="171"/>
      <c r="Q35" s="171"/>
      <c r="R35" s="171"/>
      <c r="S35" s="173"/>
      <c r="T35" s="173"/>
      <c r="U35" s="173"/>
      <c r="V35" s="173"/>
      <c r="W35" s="173"/>
      <c r="X35" s="172"/>
      <c r="Y35" s="173"/>
      <c r="Z35" s="171"/>
      <c r="AA35" s="172"/>
      <c r="AB35" s="173"/>
      <c r="AC35" s="171"/>
      <c r="AD35" s="172"/>
      <c r="AE35" s="171"/>
      <c r="AF35" s="171"/>
      <c r="AG35" s="172"/>
      <c r="AH35" s="171"/>
      <c r="AI35" s="171"/>
      <c r="AJ35" s="174"/>
      <c r="AK35" s="171"/>
      <c r="AL35" s="171"/>
      <c r="AM35" s="171"/>
      <c r="AN35" s="171"/>
      <c r="AO35" s="171"/>
      <c r="AP35" s="171"/>
      <c r="AQ35" s="171"/>
      <c r="AR35" s="171"/>
      <c r="AS35" s="171"/>
      <c r="AT35" s="171"/>
      <c r="AU35" s="171"/>
      <c r="AV35" s="171"/>
      <c r="AW35" s="171"/>
      <c r="AX35" s="122" t="s">
        <v>33</v>
      </c>
      <c r="AY35" s="283"/>
      <c r="AZ35" s="33"/>
      <c r="BA35" s="46"/>
      <c r="BB35" s="78"/>
      <c r="BC35" s="34"/>
      <c r="BD35" s="28"/>
      <c r="BE35" s="35"/>
      <c r="BF35" s="35"/>
      <c r="BG35" s="35"/>
    </row>
    <row r="36" spans="1:59" ht="5.15" customHeight="1">
      <c r="A36" s="22"/>
      <c r="B36" s="32"/>
      <c r="C36" s="288"/>
      <c r="D36" s="289"/>
      <c r="E36" s="289"/>
      <c r="F36" s="289"/>
      <c r="G36" s="289"/>
      <c r="H36" s="290"/>
      <c r="I36" s="290"/>
      <c r="J36" s="291"/>
      <c r="K36" s="290"/>
      <c r="L36" s="291"/>
      <c r="M36" s="290"/>
      <c r="N36" s="292"/>
      <c r="O36" s="290"/>
      <c r="P36" s="291"/>
      <c r="Q36" s="291"/>
      <c r="R36" s="291"/>
      <c r="S36" s="293"/>
      <c r="T36" s="293"/>
      <c r="U36" s="293"/>
      <c r="V36" s="293"/>
      <c r="W36" s="293"/>
      <c r="X36" s="292"/>
      <c r="Y36" s="293"/>
      <c r="Z36" s="291"/>
      <c r="AA36" s="292"/>
      <c r="AB36" s="293"/>
      <c r="AC36" s="291"/>
      <c r="AD36" s="292"/>
      <c r="AE36" s="291"/>
      <c r="AF36" s="291"/>
      <c r="AG36" s="292"/>
      <c r="AH36" s="291"/>
      <c r="AI36" s="291"/>
      <c r="AJ36" s="294"/>
      <c r="AK36" s="291"/>
      <c r="AL36" s="291"/>
      <c r="AM36" s="291"/>
      <c r="AN36" s="291"/>
      <c r="AO36" s="291"/>
      <c r="AP36" s="291"/>
      <c r="AQ36" s="291"/>
      <c r="AR36" s="291"/>
      <c r="AS36" s="291"/>
      <c r="AT36" s="291"/>
      <c r="AU36" s="291"/>
      <c r="AV36" s="291"/>
      <c r="AW36" s="291"/>
      <c r="AX36" s="276"/>
      <c r="AY36" s="295"/>
      <c r="AZ36" s="33"/>
      <c r="BA36" s="46"/>
      <c r="BB36" s="78"/>
      <c r="BC36" s="34"/>
      <c r="BD36" s="28"/>
      <c r="BE36" s="35"/>
      <c r="BF36" s="35"/>
      <c r="BG36" s="35"/>
    </row>
    <row r="37" spans="1:59" ht="13.5" customHeight="1">
      <c r="A37" s="22"/>
      <c r="B37" s="32"/>
      <c r="C37" s="41"/>
      <c r="D37" s="41"/>
      <c r="E37" s="41"/>
      <c r="F37" s="41"/>
      <c r="G37" s="41"/>
      <c r="H37" s="364"/>
      <c r="I37" s="364"/>
      <c r="J37" s="365"/>
      <c r="K37" s="364"/>
      <c r="L37" s="365"/>
      <c r="M37" s="364"/>
      <c r="N37" s="366"/>
      <c r="O37" s="364"/>
      <c r="P37" s="365"/>
      <c r="Q37" s="365"/>
      <c r="R37" s="365"/>
      <c r="S37" s="367"/>
      <c r="T37" s="367"/>
      <c r="U37" s="367"/>
      <c r="V37" s="367"/>
      <c r="W37" s="367"/>
      <c r="X37" s="366"/>
      <c r="Y37" s="367"/>
      <c r="Z37" s="365"/>
      <c r="AA37" s="366"/>
      <c r="AB37" s="367"/>
      <c r="AC37" s="365"/>
      <c r="AD37" s="366"/>
      <c r="AE37" s="365"/>
      <c r="AF37" s="365"/>
      <c r="AG37" s="366"/>
      <c r="AH37" s="365"/>
      <c r="AI37" s="365"/>
      <c r="AJ37" s="368"/>
      <c r="AK37" s="365"/>
      <c r="AL37" s="365"/>
      <c r="AM37" s="365"/>
      <c r="AN37" s="365"/>
      <c r="AO37" s="365"/>
      <c r="AP37" s="365"/>
      <c r="AQ37" s="365"/>
      <c r="AR37" s="365"/>
      <c r="AS37" s="365"/>
      <c r="AT37" s="365"/>
      <c r="AU37" s="365"/>
      <c r="AV37" s="365"/>
      <c r="AW37" s="365"/>
      <c r="AX37" s="280"/>
      <c r="AY37" s="279"/>
      <c r="AZ37" s="33"/>
      <c r="BA37" s="46"/>
      <c r="BB37" s="78"/>
      <c r="BC37" s="34"/>
      <c r="BD37" s="28"/>
      <c r="BE37" s="35"/>
      <c r="BF37" s="35"/>
      <c r="BG37" s="35"/>
    </row>
    <row r="38" spans="1:59" ht="13.5" customHeight="1">
      <c r="A38" s="22"/>
      <c r="B38" s="202">
        <v>5</v>
      </c>
      <c r="C38" s="204" t="s">
        <v>264</v>
      </c>
      <c r="D38" s="28"/>
      <c r="E38" s="28"/>
      <c r="F38" s="28"/>
      <c r="G38" s="28"/>
      <c r="H38" s="121"/>
      <c r="I38" s="62"/>
      <c r="J38" s="62"/>
      <c r="K38" s="63"/>
      <c r="L38" s="69"/>
      <c r="M38" s="69"/>
      <c r="N38" s="65"/>
      <c r="O38" s="69"/>
      <c r="P38" s="65"/>
      <c r="Q38" s="65"/>
      <c r="R38" s="69"/>
      <c r="S38" s="28"/>
      <c r="T38" s="28"/>
      <c r="U38" s="28"/>
      <c r="V38" s="28"/>
      <c r="W38" s="28"/>
      <c r="X38" s="121"/>
      <c r="Y38" s="62"/>
      <c r="Z38" s="63"/>
      <c r="AA38" s="62"/>
      <c r="AB38" s="63"/>
      <c r="AC38" s="69"/>
      <c r="AD38" s="69"/>
      <c r="AE38" s="65"/>
      <c r="AF38" s="69"/>
      <c r="AG38" s="65"/>
      <c r="AH38" s="69"/>
      <c r="AI38" s="64"/>
      <c r="AJ38" s="69"/>
      <c r="AK38" s="65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33"/>
      <c r="AW38" s="28"/>
      <c r="AX38" s="28"/>
      <c r="AY38" s="31"/>
      <c r="AZ38" s="33"/>
      <c r="BA38" s="46"/>
      <c r="BB38" s="159"/>
      <c r="BC38" s="115"/>
      <c r="BD38" s="28"/>
    </row>
    <row r="39" spans="1:59" ht="5.15" customHeight="1">
      <c r="A39" s="22"/>
      <c r="B39" s="202"/>
      <c r="C39" s="296"/>
      <c r="D39" s="72"/>
      <c r="E39" s="72"/>
      <c r="F39" s="72"/>
      <c r="G39" s="72"/>
      <c r="H39" s="297"/>
      <c r="I39" s="278"/>
      <c r="J39" s="278"/>
      <c r="K39" s="279"/>
      <c r="L39" s="298"/>
      <c r="M39" s="298"/>
      <c r="N39" s="263"/>
      <c r="O39" s="298"/>
      <c r="P39" s="263"/>
      <c r="Q39" s="263"/>
      <c r="R39" s="298"/>
      <c r="S39" s="72"/>
      <c r="T39" s="72"/>
      <c r="U39" s="72"/>
      <c r="V39" s="72"/>
      <c r="W39" s="72"/>
      <c r="X39" s="297"/>
      <c r="Y39" s="278"/>
      <c r="Z39" s="279"/>
      <c r="AA39" s="278"/>
      <c r="AB39" s="279"/>
      <c r="AC39" s="298"/>
      <c r="AD39" s="298"/>
      <c r="AE39" s="263"/>
      <c r="AF39" s="298"/>
      <c r="AG39" s="263"/>
      <c r="AH39" s="298"/>
      <c r="AI39" s="280"/>
      <c r="AJ39" s="298"/>
      <c r="AK39" s="263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300"/>
      <c r="AW39" s="72"/>
      <c r="AX39" s="72"/>
      <c r="AY39" s="265"/>
      <c r="AZ39" s="33"/>
      <c r="BA39" s="46"/>
      <c r="BB39" s="159"/>
      <c r="BC39" s="115"/>
      <c r="BD39" s="28"/>
    </row>
    <row r="40" spans="1:59" ht="13.9" customHeight="1">
      <c r="A40" s="22"/>
      <c r="B40" s="202"/>
      <c r="C40" s="501" t="s">
        <v>282</v>
      </c>
      <c r="D40" s="28"/>
      <c r="E40" s="28"/>
      <c r="F40" s="28"/>
      <c r="G40" s="86" t="s">
        <v>277</v>
      </c>
      <c r="H40" s="86"/>
      <c r="I40" s="86"/>
      <c r="J40" s="86"/>
      <c r="K40" s="86"/>
      <c r="L40" s="322"/>
      <c r="M40" s="75"/>
      <c r="N40" s="65"/>
      <c r="O40" s="69"/>
      <c r="P40" s="65"/>
      <c r="Q40" s="65"/>
      <c r="R40" s="69"/>
      <c r="S40" s="28"/>
      <c r="T40" s="28"/>
      <c r="U40" s="28"/>
      <c r="V40" s="28"/>
      <c r="W40" s="28"/>
      <c r="X40" s="121"/>
      <c r="Y40" s="62"/>
      <c r="Z40" s="63"/>
      <c r="AA40" s="62"/>
      <c r="AB40" s="63"/>
      <c r="AC40" s="69"/>
      <c r="AD40" s="69"/>
      <c r="AE40" s="65"/>
      <c r="AF40" s="69"/>
      <c r="AG40" s="65"/>
      <c r="AH40" s="69"/>
      <c r="AI40" s="64"/>
      <c r="AJ40" s="69"/>
      <c r="AK40" s="65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33"/>
      <c r="AW40" s="28"/>
      <c r="AX40" s="28"/>
      <c r="AY40" s="267"/>
      <c r="AZ40" s="33"/>
      <c r="BA40" s="46"/>
      <c r="BB40" s="159"/>
      <c r="BC40" s="115"/>
      <c r="BD40" s="28"/>
    </row>
    <row r="41" spans="1:59" ht="13.5" customHeight="1">
      <c r="A41" s="22"/>
      <c r="B41" s="202">
        <v>6</v>
      </c>
      <c r="C41" s="304" t="s">
        <v>32</v>
      </c>
      <c r="D41" s="205" t="s">
        <v>262</v>
      </c>
      <c r="E41" s="206"/>
      <c r="F41" s="206"/>
      <c r="G41" s="207"/>
      <c r="H41" s="208" t="s">
        <v>276</v>
      </c>
      <c r="I41" s="209"/>
      <c r="J41" s="209"/>
      <c r="K41" s="206"/>
      <c r="L41" s="207"/>
      <c r="M41" s="28"/>
      <c r="N41" s="28"/>
      <c r="O41" s="28"/>
      <c r="P41" s="28"/>
      <c r="Q41" s="28"/>
      <c r="R41" s="28"/>
      <c r="S41" s="35"/>
      <c r="T41" s="35"/>
      <c r="U41" s="35"/>
      <c r="V41" s="35"/>
      <c r="Y41" s="35"/>
      <c r="Z41" s="35"/>
      <c r="AD41" s="35"/>
      <c r="AE41" s="35"/>
      <c r="AF41" s="35"/>
      <c r="AG41" s="35"/>
      <c r="AH41" s="35"/>
      <c r="AI41" s="35"/>
      <c r="AJ41" s="35"/>
      <c r="AK41" s="35"/>
      <c r="AL41" s="35"/>
      <c r="AM41" s="35"/>
      <c r="AN41" s="35"/>
      <c r="AO41" s="35"/>
      <c r="AP41" s="35"/>
      <c r="AQ41" s="35"/>
      <c r="AR41" s="35"/>
      <c r="AS41" s="35"/>
      <c r="AT41" s="35"/>
      <c r="AU41" s="35"/>
      <c r="AV41" s="35"/>
      <c r="AW41" s="35"/>
      <c r="AX41" s="35"/>
      <c r="AY41" s="311"/>
      <c r="AZ41" s="33"/>
      <c r="BA41" s="46"/>
      <c r="BB41" s="159"/>
      <c r="BC41" s="115"/>
      <c r="BD41" s="35"/>
      <c r="BE41" s="35"/>
      <c r="BF41" s="35"/>
      <c r="BG41" s="35"/>
    </row>
    <row r="42" spans="1:59" ht="13.5" customHeight="1">
      <c r="A42" s="22"/>
      <c r="B42" s="202">
        <v>8</v>
      </c>
      <c r="C42" s="308">
        <v>1</v>
      </c>
      <c r="D42" s="148" t="s">
        <v>148</v>
      </c>
      <c r="E42" s="149"/>
      <c r="F42" s="149"/>
      <c r="G42" s="151"/>
      <c r="H42" s="1036">
        <v>110</v>
      </c>
      <c r="I42" s="1006"/>
      <c r="J42" s="1006"/>
      <c r="K42" s="1006"/>
      <c r="L42" s="1007"/>
      <c r="M42" s="28"/>
      <c r="N42" s="28"/>
      <c r="O42" s="28"/>
      <c r="P42" s="28"/>
      <c r="Q42" s="28"/>
      <c r="R42" s="28"/>
      <c r="S42" s="35"/>
      <c r="T42" s="35"/>
      <c r="U42" s="35"/>
      <c r="V42" s="35"/>
      <c r="Y42" s="35"/>
      <c r="Z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5"/>
      <c r="AP42" s="35"/>
      <c r="AQ42" s="35"/>
      <c r="AR42" s="35"/>
      <c r="AS42" s="35"/>
      <c r="AT42" s="35"/>
      <c r="AU42" s="35"/>
      <c r="AV42" s="35"/>
      <c r="AW42" s="35"/>
      <c r="AX42" s="35"/>
      <c r="AY42" s="311"/>
      <c r="AZ42" s="33"/>
      <c r="BA42" s="46"/>
      <c r="BB42" s="159"/>
      <c r="BC42" s="115"/>
      <c r="BD42" s="35"/>
      <c r="BE42" s="35"/>
      <c r="BF42" s="35"/>
      <c r="BG42" s="35"/>
    </row>
    <row r="43" spans="1:59" ht="13.5" customHeight="1">
      <c r="A43" s="22"/>
      <c r="B43" s="202">
        <v>9</v>
      </c>
      <c r="C43" s="308">
        <v>2</v>
      </c>
      <c r="D43" s="148" t="s">
        <v>263</v>
      </c>
      <c r="E43" s="149"/>
      <c r="F43" s="149"/>
      <c r="G43" s="151"/>
      <c r="H43" s="1036">
        <v>125</v>
      </c>
      <c r="I43" s="1006"/>
      <c r="J43" s="1006"/>
      <c r="K43" s="1006"/>
      <c r="L43" s="1007"/>
      <c r="M43" s="28"/>
      <c r="N43" s="28"/>
      <c r="O43" s="28"/>
      <c r="P43" s="28"/>
      <c r="Q43" s="28"/>
      <c r="R43" s="28"/>
      <c r="S43" s="35"/>
      <c r="T43" s="35"/>
      <c r="U43" s="35"/>
      <c r="V43" s="35"/>
      <c r="Y43" s="35"/>
      <c r="Z43" s="35"/>
      <c r="AD43" s="35"/>
      <c r="AE43" s="35"/>
      <c r="AF43" s="35"/>
      <c r="AG43" s="35"/>
      <c r="AH43" s="35"/>
      <c r="AI43" s="35"/>
      <c r="AJ43" s="35"/>
      <c r="AK43" s="35"/>
      <c r="AL43" s="35"/>
      <c r="AM43" s="35"/>
      <c r="AN43" s="35"/>
      <c r="AO43" s="35"/>
      <c r="AP43" s="35"/>
      <c r="AQ43" s="35"/>
      <c r="AR43" s="35"/>
      <c r="AS43" s="35"/>
      <c r="AT43" s="35"/>
      <c r="AU43" s="35"/>
      <c r="AV43" s="35"/>
      <c r="AW43" s="35"/>
      <c r="AX43" s="35"/>
      <c r="AY43" s="311"/>
      <c r="AZ43" s="33"/>
      <c r="BA43" s="46"/>
      <c r="BB43" s="159"/>
      <c r="BC43" s="115"/>
      <c r="BD43" s="35"/>
      <c r="BE43" s="35"/>
      <c r="BF43" s="35"/>
      <c r="BG43" s="35"/>
    </row>
    <row r="44" spans="1:59" ht="5.15" customHeight="1">
      <c r="A44" s="22"/>
      <c r="B44" s="202"/>
      <c r="C44" s="315"/>
      <c r="D44" s="73"/>
      <c r="E44" s="73"/>
      <c r="F44" s="73"/>
      <c r="G44" s="73"/>
      <c r="H44" s="316"/>
      <c r="I44" s="275"/>
      <c r="J44" s="275"/>
      <c r="K44" s="273"/>
      <c r="L44" s="317"/>
      <c r="M44" s="317"/>
      <c r="N44" s="270"/>
      <c r="O44" s="317"/>
      <c r="P44" s="270"/>
      <c r="Q44" s="270"/>
      <c r="R44" s="317"/>
      <c r="S44" s="73"/>
      <c r="T44" s="73"/>
      <c r="U44" s="73"/>
      <c r="V44" s="73"/>
      <c r="W44" s="73"/>
      <c r="X44" s="316"/>
      <c r="Y44" s="275"/>
      <c r="Z44" s="273"/>
      <c r="AA44" s="275"/>
      <c r="AB44" s="273"/>
      <c r="AC44" s="317"/>
      <c r="AD44" s="317"/>
      <c r="AE44" s="270"/>
      <c r="AF44" s="317"/>
      <c r="AG44" s="270"/>
      <c r="AH44" s="317"/>
      <c r="AI44" s="276"/>
      <c r="AJ44" s="317"/>
      <c r="AK44" s="270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318"/>
      <c r="AW44" s="73"/>
      <c r="AX44" s="73"/>
      <c r="AY44" s="277"/>
      <c r="AZ44" s="33"/>
      <c r="BA44" s="46"/>
      <c r="BB44" s="159"/>
      <c r="BC44" s="115"/>
      <c r="BD44" s="28"/>
    </row>
    <row r="45" spans="1:59" ht="13.5" customHeight="1">
      <c r="A45" s="22"/>
      <c r="B45" s="202">
        <v>10</v>
      </c>
      <c r="C45" s="492"/>
      <c r="D45" s="65"/>
      <c r="E45" s="65"/>
      <c r="F45" s="65"/>
      <c r="G45" s="65"/>
      <c r="H45" s="65"/>
      <c r="I45" s="65"/>
      <c r="J45" s="65"/>
      <c r="K45" s="65"/>
      <c r="L45" s="65"/>
      <c r="M45" s="62"/>
      <c r="N45" s="63"/>
      <c r="O45" s="65"/>
      <c r="P45" s="65"/>
      <c r="Q45" s="64"/>
      <c r="R45" s="63"/>
      <c r="S45" s="190"/>
      <c r="T45" s="190"/>
      <c r="U45" s="191"/>
      <c r="V45" s="192"/>
      <c r="W45" s="190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3"/>
      <c r="AN45" s="63"/>
      <c r="AO45" s="63"/>
      <c r="AP45" s="63"/>
      <c r="AQ45" s="63"/>
      <c r="AR45" s="63"/>
      <c r="AS45" s="63"/>
      <c r="AT45" s="63"/>
      <c r="AU45" s="63"/>
      <c r="AV45" s="63"/>
      <c r="AW45" s="63"/>
      <c r="AX45" s="63"/>
      <c r="AY45" s="63"/>
      <c r="AZ45" s="33"/>
      <c r="BA45" s="46"/>
      <c r="BB45" s="159"/>
      <c r="BC45" s="115"/>
      <c r="BD45" s="28"/>
    </row>
    <row r="46" spans="1:59" ht="13.5" customHeight="1">
      <c r="A46" s="22"/>
      <c r="B46" s="202">
        <v>5</v>
      </c>
      <c r="C46" s="204" t="s">
        <v>63</v>
      </c>
      <c r="D46" s="28"/>
      <c r="E46" s="28"/>
      <c r="F46" s="28"/>
      <c r="G46" s="28"/>
      <c r="H46" s="121"/>
      <c r="I46" s="62"/>
      <c r="J46" s="63"/>
      <c r="K46" s="62"/>
      <c r="L46" s="63"/>
      <c r="M46" s="69"/>
      <c r="N46" s="69"/>
      <c r="O46" s="65"/>
      <c r="P46" s="69"/>
      <c r="Q46" s="65"/>
      <c r="R46" s="69"/>
      <c r="S46" s="28"/>
      <c r="T46" s="28"/>
      <c r="U46" s="28"/>
      <c r="V46" s="28"/>
      <c r="W46" s="28"/>
      <c r="X46" s="121"/>
      <c r="Y46" s="62"/>
      <c r="Z46" s="63"/>
      <c r="AA46" s="62"/>
      <c r="AB46" s="63"/>
      <c r="AC46" s="69"/>
      <c r="AD46" s="69"/>
      <c r="AE46" s="65"/>
      <c r="AF46" s="69"/>
      <c r="AG46" s="65"/>
      <c r="AH46" s="69"/>
      <c r="AI46" s="64"/>
      <c r="AJ46" s="69"/>
      <c r="AK46" s="65"/>
      <c r="AL46" s="28"/>
      <c r="AM46" s="28"/>
      <c r="AN46" s="28"/>
      <c r="AO46" s="28"/>
      <c r="AP46" s="28"/>
      <c r="AQ46" s="28"/>
      <c r="AR46" s="28"/>
      <c r="AS46" s="28"/>
      <c r="AT46" s="28"/>
      <c r="AU46" s="28"/>
      <c r="AV46" s="233"/>
      <c r="AW46" s="28"/>
      <c r="AX46" s="28"/>
      <c r="AY46" s="31"/>
      <c r="AZ46" s="33"/>
      <c r="BA46" s="46"/>
      <c r="BB46" s="159"/>
      <c r="BC46" s="115"/>
      <c r="BD46" s="28"/>
    </row>
    <row r="47" spans="1:59" ht="5.15" customHeight="1">
      <c r="A47" s="22"/>
      <c r="B47" s="202"/>
      <c r="C47" s="296"/>
      <c r="D47" s="72"/>
      <c r="E47" s="72"/>
      <c r="F47" s="72"/>
      <c r="G47" s="72"/>
      <c r="H47" s="297"/>
      <c r="I47" s="278"/>
      <c r="J47" s="279"/>
      <c r="K47" s="278"/>
      <c r="L47" s="279"/>
      <c r="M47" s="298"/>
      <c r="N47" s="298"/>
      <c r="O47" s="263"/>
      <c r="P47" s="298"/>
      <c r="Q47" s="263"/>
      <c r="R47" s="298"/>
      <c r="S47" s="72"/>
      <c r="T47" s="72"/>
      <c r="U47" s="72"/>
      <c r="V47" s="72"/>
      <c r="W47" s="72"/>
      <c r="X47" s="297"/>
      <c r="Y47" s="278"/>
      <c r="Z47" s="279"/>
      <c r="AA47" s="278"/>
      <c r="AB47" s="279"/>
      <c r="AC47" s="298"/>
      <c r="AD47" s="298"/>
      <c r="AE47" s="263"/>
      <c r="AF47" s="298"/>
      <c r="AG47" s="263"/>
      <c r="AH47" s="298"/>
      <c r="AI47" s="280"/>
      <c r="AJ47" s="298"/>
      <c r="AK47" s="263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300"/>
      <c r="AW47" s="72"/>
      <c r="AX47" s="72"/>
      <c r="AY47" s="264"/>
      <c r="AZ47" s="264"/>
      <c r="BA47" s="301"/>
      <c r="BB47" s="302"/>
      <c r="BC47" s="303"/>
      <c r="BD47" s="28"/>
    </row>
    <row r="48" spans="1:59" ht="13.5" customHeight="1">
      <c r="A48" s="22"/>
      <c r="B48" s="45"/>
      <c r="C48" s="266"/>
      <c r="D48" s="28" t="s">
        <v>288</v>
      </c>
      <c r="E48" s="28"/>
      <c r="F48" s="28"/>
      <c r="G48" s="28"/>
      <c r="H48" s="86" t="s">
        <v>146</v>
      </c>
      <c r="I48" s="86"/>
      <c r="J48" s="86"/>
      <c r="K48" s="86"/>
      <c r="L48" s="86"/>
      <c r="M48" s="322"/>
      <c r="N48" s="87"/>
      <c r="O48" s="88"/>
      <c r="P48" s="88"/>
      <c r="Q48" s="89"/>
      <c r="R48" s="87"/>
      <c r="S48" s="87"/>
      <c r="T48" s="87"/>
      <c r="U48" s="88"/>
      <c r="V48" s="89"/>
      <c r="W48" s="87"/>
      <c r="X48" s="65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65"/>
      <c r="AY48" s="31"/>
      <c r="AZ48" s="52"/>
      <c r="BA48" s="93"/>
      <c r="BB48" s="327"/>
      <c r="BC48" s="328"/>
      <c r="BD48" s="28"/>
      <c r="BE48" s="35"/>
      <c r="BF48" s="35"/>
      <c r="BG48" s="35"/>
    </row>
    <row r="49" spans="1:87" ht="13.5" customHeight="1">
      <c r="A49" s="22"/>
      <c r="B49" s="202">
        <v>6</v>
      </c>
      <c r="C49" s="304" t="s">
        <v>32</v>
      </c>
      <c r="D49" s="205" t="s">
        <v>64</v>
      </c>
      <c r="E49" s="206"/>
      <c r="F49" s="206"/>
      <c r="G49" s="207"/>
      <c r="H49" s="208" t="s">
        <v>73</v>
      </c>
      <c r="I49" s="209"/>
      <c r="J49" s="209"/>
      <c r="K49" s="209"/>
      <c r="L49" s="206"/>
      <c r="M49" s="207"/>
      <c r="N49" s="205" t="s">
        <v>74</v>
      </c>
      <c r="O49" s="206"/>
      <c r="P49" s="206"/>
      <c r="Q49" s="207"/>
      <c r="R49" s="205" t="s">
        <v>75</v>
      </c>
      <c r="S49" s="206"/>
      <c r="T49" s="206"/>
      <c r="U49" s="206"/>
      <c r="V49" s="210" t="s">
        <v>292</v>
      </c>
      <c r="W49" s="211"/>
      <c r="X49" s="211"/>
      <c r="Y49" s="212"/>
      <c r="Z49" s="210" t="s">
        <v>150</v>
      </c>
      <c r="AA49" s="211"/>
      <c r="AB49" s="211"/>
      <c r="AC49" s="211"/>
      <c r="AD49" s="212"/>
      <c r="AE49" s="210" t="s">
        <v>293</v>
      </c>
      <c r="AF49" s="211"/>
      <c r="AG49" s="211"/>
      <c r="AH49" s="212"/>
      <c r="AI49" s="210" t="s">
        <v>162</v>
      </c>
      <c r="AJ49" s="211"/>
      <c r="AK49" s="211"/>
      <c r="AL49" s="212"/>
      <c r="AM49" s="211" t="s">
        <v>152</v>
      </c>
      <c r="AN49" s="211"/>
      <c r="AO49" s="211"/>
      <c r="AP49" s="212"/>
      <c r="AQ49" s="211" t="s">
        <v>197</v>
      </c>
      <c r="AR49" s="211"/>
      <c r="AS49" s="211"/>
      <c r="AT49" s="212"/>
      <c r="AU49" s="210" t="s">
        <v>199</v>
      </c>
      <c r="AV49" s="211"/>
      <c r="AW49" s="211"/>
      <c r="AX49" s="212"/>
      <c r="AY49" s="210" t="s">
        <v>83</v>
      </c>
      <c r="AZ49" s="211"/>
      <c r="BA49" s="211"/>
      <c r="BB49" s="212"/>
      <c r="BC49" s="210" t="s">
        <v>42</v>
      </c>
      <c r="BD49" s="211"/>
      <c r="BE49" s="211"/>
      <c r="BF49" s="212"/>
      <c r="BG49" s="211" t="s">
        <v>156</v>
      </c>
      <c r="BH49" s="211"/>
      <c r="BI49" s="212"/>
      <c r="BJ49" s="305" t="s">
        <v>86</v>
      </c>
      <c r="BK49" s="211"/>
      <c r="BL49" s="211"/>
      <c r="BM49" s="212"/>
      <c r="BN49" s="211" t="s">
        <v>69</v>
      </c>
      <c r="BO49" s="211"/>
      <c r="BP49" s="211"/>
      <c r="BQ49" s="212"/>
      <c r="BR49" s="28"/>
      <c r="BS49" s="28"/>
      <c r="BT49" s="28"/>
      <c r="BU49" s="28"/>
      <c r="BV49" s="28"/>
    </row>
    <row r="50" spans="1:87" ht="13.5" customHeight="1">
      <c r="A50" s="22"/>
      <c r="B50" s="202">
        <v>7</v>
      </c>
      <c r="C50" s="306"/>
      <c r="D50" s="213" t="s">
        <v>30</v>
      </c>
      <c r="E50" s="216"/>
      <c r="F50" s="214"/>
      <c r="G50" s="215"/>
      <c r="H50" s="213" t="s">
        <v>30</v>
      </c>
      <c r="I50" s="216"/>
      <c r="J50" s="216"/>
      <c r="K50" s="216"/>
      <c r="L50" s="214"/>
      <c r="M50" s="215"/>
      <c r="N50" s="213" t="s">
        <v>30</v>
      </c>
      <c r="O50" s="214"/>
      <c r="P50" s="214"/>
      <c r="Q50" s="215"/>
      <c r="R50" s="213" t="s">
        <v>30</v>
      </c>
      <c r="S50" s="216"/>
      <c r="T50" s="214"/>
      <c r="U50" s="214"/>
      <c r="V50" s="217" t="s">
        <v>43</v>
      </c>
      <c r="W50" s="218"/>
      <c r="X50" s="219"/>
      <c r="Y50" s="220"/>
      <c r="Z50" s="217" t="s">
        <v>30</v>
      </c>
      <c r="AA50" s="218"/>
      <c r="AB50" s="218"/>
      <c r="AC50" s="219"/>
      <c r="AD50" s="220"/>
      <c r="AE50" s="217" t="s">
        <v>43</v>
      </c>
      <c r="AF50" s="218"/>
      <c r="AG50" s="219"/>
      <c r="AH50" s="220"/>
      <c r="AI50" s="217" t="s">
        <v>30</v>
      </c>
      <c r="AJ50" s="218"/>
      <c r="AK50" s="219"/>
      <c r="AL50" s="220"/>
      <c r="AM50" s="218" t="s">
        <v>43</v>
      </c>
      <c r="AN50" s="218"/>
      <c r="AO50" s="219"/>
      <c r="AP50" s="220"/>
      <c r="AQ50" s="218" t="s">
        <v>198</v>
      </c>
      <c r="AR50" s="218"/>
      <c r="AS50" s="219"/>
      <c r="AT50" s="220"/>
      <c r="AU50" s="217" t="s">
        <v>155</v>
      </c>
      <c r="AV50" s="218"/>
      <c r="AW50" s="219"/>
      <c r="AX50" s="220"/>
      <c r="AY50" s="217" t="s">
        <v>155</v>
      </c>
      <c r="AZ50" s="218"/>
      <c r="BA50" s="219"/>
      <c r="BB50" s="220"/>
      <c r="BC50" s="217" t="s">
        <v>200</v>
      </c>
      <c r="BD50" s="218"/>
      <c r="BE50" s="219"/>
      <c r="BF50" s="220"/>
      <c r="BG50" s="218" t="s">
        <v>201</v>
      </c>
      <c r="BH50" s="218"/>
      <c r="BI50" s="220"/>
      <c r="BJ50" s="307" t="s">
        <v>43</v>
      </c>
      <c r="BK50" s="218"/>
      <c r="BL50" s="219"/>
      <c r="BM50" s="220"/>
      <c r="BN50" s="218" t="s">
        <v>43</v>
      </c>
      <c r="BO50" s="218"/>
      <c r="BP50" s="219"/>
      <c r="BQ50" s="220"/>
      <c r="BR50" s="28"/>
      <c r="BS50" s="28"/>
      <c r="BT50" s="28"/>
      <c r="BU50" s="28"/>
      <c r="BV50" s="28"/>
    </row>
    <row r="51" spans="1:87" ht="13.5" customHeight="1">
      <c r="A51" s="22"/>
      <c r="B51" s="202">
        <v>8</v>
      </c>
      <c r="C51" s="308">
        <v>1</v>
      </c>
      <c r="D51" s="148" t="s">
        <v>158</v>
      </c>
      <c r="E51" s="149"/>
      <c r="F51" s="149"/>
      <c r="G51" s="151"/>
      <c r="H51" s="242" t="s">
        <v>159</v>
      </c>
      <c r="I51" s="150"/>
      <c r="J51" s="150"/>
      <c r="K51" s="150"/>
      <c r="L51" s="161"/>
      <c r="M51" s="162"/>
      <c r="N51" s="242" t="s">
        <v>160</v>
      </c>
      <c r="O51" s="150"/>
      <c r="P51" s="150"/>
      <c r="Q51" s="99" t="s">
        <v>33</v>
      </c>
      <c r="R51" s="1016">
        <v>70000</v>
      </c>
      <c r="S51" s="1017"/>
      <c r="T51" s="1017"/>
      <c r="U51" s="1018"/>
      <c r="V51" s="148" t="s">
        <v>148</v>
      </c>
      <c r="W51" s="150"/>
      <c r="X51" s="150"/>
      <c r="Y51" s="99" t="s">
        <v>33</v>
      </c>
      <c r="Z51" s="1030">
        <v>6.7299999999999999E-2</v>
      </c>
      <c r="AA51" s="1031"/>
      <c r="AB51" s="1031"/>
      <c r="AC51" s="1031"/>
      <c r="AD51" s="1032"/>
      <c r="AE51" s="148" t="s">
        <v>148</v>
      </c>
      <c r="AF51" s="150"/>
      <c r="AG51" s="150"/>
      <c r="AH51" s="99" t="s">
        <v>33</v>
      </c>
      <c r="AI51" s="1030">
        <v>0.1211</v>
      </c>
      <c r="AJ51" s="1031"/>
      <c r="AK51" s="1031"/>
      <c r="AL51" s="1032"/>
      <c r="AM51" s="1030">
        <v>0.12</v>
      </c>
      <c r="AN51" s="1031"/>
      <c r="AO51" s="1031"/>
      <c r="AP51" s="1032"/>
      <c r="AQ51" s="1033">
        <v>0.01</v>
      </c>
      <c r="AR51" s="1034"/>
      <c r="AS51" s="1034"/>
      <c r="AT51" s="1035"/>
      <c r="AU51" s="1030">
        <v>0.13589999999999999</v>
      </c>
      <c r="AV51" s="1031"/>
      <c r="AW51" s="1031"/>
      <c r="AX51" s="1032"/>
      <c r="AY51" s="1030">
        <v>0.151</v>
      </c>
      <c r="AZ51" s="1031"/>
      <c r="BA51" s="1031"/>
      <c r="BB51" s="1032"/>
      <c r="BC51" s="1030">
        <v>0.151</v>
      </c>
      <c r="BD51" s="1031"/>
      <c r="BE51" s="1031"/>
      <c r="BF51" s="1032"/>
      <c r="BG51" s="1046">
        <v>6.1000000000000004E-3</v>
      </c>
      <c r="BH51" s="1047"/>
      <c r="BI51" s="1048"/>
      <c r="BJ51" s="309" t="s">
        <v>208</v>
      </c>
      <c r="BK51" s="150"/>
      <c r="BL51" s="150"/>
      <c r="BM51" s="152"/>
      <c r="BN51" s="149" t="s">
        <v>30</v>
      </c>
      <c r="BO51" s="150"/>
      <c r="BP51" s="150"/>
      <c r="BQ51" s="152"/>
      <c r="BR51" s="28"/>
      <c r="BS51" s="28"/>
      <c r="BT51" s="28"/>
      <c r="BU51" s="28"/>
      <c r="BV51" s="28"/>
    </row>
    <row r="52" spans="1:87" ht="13.5" customHeight="1">
      <c r="A52" s="22"/>
      <c r="B52" s="202">
        <v>9</v>
      </c>
      <c r="C52" s="308">
        <v>2</v>
      </c>
      <c r="D52" s="148"/>
      <c r="E52" s="149"/>
      <c r="F52" s="149"/>
      <c r="G52" s="151"/>
      <c r="H52" s="242"/>
      <c r="I52" s="150"/>
      <c r="J52" s="150"/>
      <c r="K52" s="150"/>
      <c r="L52" s="161"/>
      <c r="M52" s="162"/>
      <c r="N52" s="242"/>
      <c r="O52" s="150"/>
      <c r="P52" s="150"/>
      <c r="Q52" s="99" t="s">
        <v>33</v>
      </c>
      <c r="R52" s="1016"/>
      <c r="S52" s="1017"/>
      <c r="T52" s="1017"/>
      <c r="U52" s="1018"/>
      <c r="V52" s="148"/>
      <c r="W52" s="150"/>
      <c r="X52" s="150"/>
      <c r="Y52" s="99" t="s">
        <v>33</v>
      </c>
      <c r="Z52" s="1005"/>
      <c r="AA52" s="1014"/>
      <c r="AB52" s="1014"/>
      <c r="AC52" s="1014"/>
      <c r="AD52" s="1015"/>
      <c r="AE52" s="148"/>
      <c r="AF52" s="150"/>
      <c r="AG52" s="150"/>
      <c r="AH52" s="99" t="s">
        <v>33</v>
      </c>
      <c r="AI52" s="1030"/>
      <c r="AJ52" s="1031"/>
      <c r="AK52" s="1031"/>
      <c r="AL52" s="1032"/>
      <c r="AM52" s="1030"/>
      <c r="AN52" s="1031"/>
      <c r="AO52" s="1031"/>
      <c r="AP52" s="1032"/>
      <c r="AQ52" s="1033"/>
      <c r="AR52" s="1034"/>
      <c r="AS52" s="1034"/>
      <c r="AT52" s="1035"/>
      <c r="AU52" s="1030"/>
      <c r="AV52" s="1031"/>
      <c r="AW52" s="1031"/>
      <c r="AX52" s="1032"/>
      <c r="AY52" s="1030"/>
      <c r="AZ52" s="1031"/>
      <c r="BA52" s="1031"/>
      <c r="BB52" s="1032"/>
      <c r="BC52" s="1030"/>
      <c r="BD52" s="1031"/>
      <c r="BE52" s="1031"/>
      <c r="BF52" s="1032"/>
      <c r="BG52" s="1046"/>
      <c r="BH52" s="1047"/>
      <c r="BI52" s="1048"/>
      <c r="BJ52" s="148"/>
      <c r="BK52" s="150"/>
      <c r="BL52" s="150"/>
      <c r="BM52" s="152"/>
      <c r="BN52" s="149"/>
      <c r="BO52" s="150"/>
      <c r="BP52" s="150"/>
      <c r="BQ52" s="152"/>
      <c r="BR52" s="28"/>
      <c r="BS52" s="28"/>
      <c r="BT52" s="28"/>
      <c r="BU52" s="28"/>
      <c r="BV52" s="28"/>
    </row>
    <row r="53" spans="1:87" ht="13.5" customHeight="1">
      <c r="A53" s="22"/>
      <c r="B53" s="202">
        <v>10</v>
      </c>
      <c r="C53" s="310"/>
      <c r="D53" s="65"/>
      <c r="E53" s="65"/>
      <c r="F53" s="65"/>
      <c r="G53" s="65"/>
      <c r="H53" s="65"/>
      <c r="I53" s="65"/>
      <c r="J53" s="65"/>
      <c r="K53" s="65"/>
      <c r="L53" s="65"/>
      <c r="M53" s="62"/>
      <c r="N53" s="63"/>
      <c r="O53" s="65"/>
      <c r="P53" s="65"/>
      <c r="Q53" s="64"/>
      <c r="R53" s="63"/>
      <c r="S53" s="190"/>
      <c r="T53" s="190"/>
      <c r="U53" s="191"/>
      <c r="V53" s="192"/>
      <c r="W53" s="190"/>
      <c r="X53" s="65"/>
      <c r="Y53" s="65"/>
      <c r="Z53" s="65"/>
      <c r="AA53" s="65"/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3"/>
      <c r="AN53" s="63"/>
      <c r="AO53" s="63"/>
      <c r="AP53" s="63"/>
      <c r="AQ53" s="63"/>
      <c r="AR53" s="63"/>
      <c r="AS53" s="63"/>
      <c r="AT53" s="63"/>
      <c r="AU53" s="63"/>
      <c r="AV53" s="63"/>
      <c r="AW53" s="63"/>
      <c r="AX53" s="63"/>
      <c r="AY53" s="63"/>
      <c r="AZ53" s="31"/>
      <c r="BA53" s="35"/>
      <c r="BB53" s="35"/>
      <c r="BC53" s="311"/>
      <c r="BD53" s="28"/>
    </row>
    <row r="54" spans="1:87" ht="13.5" customHeight="1">
      <c r="A54" s="22"/>
      <c r="B54" s="202">
        <v>14</v>
      </c>
      <c r="C54" s="312"/>
      <c r="D54" s="65"/>
      <c r="E54" s="65"/>
      <c r="F54" s="65"/>
      <c r="G54" s="65"/>
      <c r="H54" s="65"/>
      <c r="I54" s="65"/>
      <c r="J54" s="65"/>
      <c r="K54" s="198"/>
      <c r="L54" s="65"/>
      <c r="M54" s="65"/>
      <c r="N54" s="65"/>
      <c r="O54" s="65"/>
      <c r="P54" s="65"/>
      <c r="Q54" s="198"/>
      <c r="R54" s="65"/>
      <c r="S54" s="65"/>
      <c r="T54" s="65"/>
      <c r="U54" s="198"/>
      <c r="V54" s="65"/>
      <c r="W54" s="65"/>
      <c r="X54" s="65"/>
      <c r="Y54" s="65"/>
      <c r="Z54" s="65"/>
      <c r="AA54" s="65"/>
      <c r="AB54" s="65"/>
      <c r="AC54" s="65"/>
      <c r="AD54" s="65"/>
      <c r="AE54" s="65"/>
      <c r="AF54" s="65"/>
      <c r="AG54" s="65"/>
      <c r="AH54" s="65"/>
      <c r="AI54" s="65"/>
      <c r="AJ54" s="125"/>
      <c r="AK54" s="112"/>
      <c r="AL54" s="62"/>
      <c r="AM54" s="63"/>
      <c r="AN54" s="63"/>
      <c r="AO54" s="63"/>
      <c r="AP54" s="63"/>
      <c r="AQ54" s="64"/>
      <c r="AR54" s="63"/>
      <c r="AS54" s="65"/>
      <c r="AT54" s="65"/>
      <c r="AU54" s="65"/>
      <c r="AV54" s="65"/>
      <c r="AW54" s="65"/>
      <c r="AX54" s="65"/>
      <c r="AY54" s="63"/>
      <c r="AZ54" s="31"/>
      <c r="BA54" s="35"/>
      <c r="BB54" s="35"/>
      <c r="BC54" s="311"/>
      <c r="BD54" s="28"/>
    </row>
    <row r="55" spans="1:87" ht="13.5" customHeight="1">
      <c r="A55" s="22"/>
      <c r="B55" s="202">
        <v>15</v>
      </c>
      <c r="C55" s="313" t="s">
        <v>71</v>
      </c>
      <c r="D55" s="223"/>
      <c r="E55" s="224"/>
      <c r="F55" s="223"/>
      <c r="G55" s="224"/>
      <c r="H55" s="225"/>
      <c r="I55" s="226"/>
      <c r="J55" s="227"/>
      <c r="K55" s="227"/>
      <c r="L55" s="227"/>
      <c r="M55" s="228"/>
      <c r="N55" s="227"/>
      <c r="O55" s="227"/>
      <c r="P55" s="227"/>
      <c r="Q55" s="229"/>
      <c r="R55" s="227"/>
      <c r="S55" s="227"/>
      <c r="T55" s="227"/>
      <c r="U55" s="227"/>
      <c r="V55" s="227"/>
      <c r="W55" s="229"/>
      <c r="X55" s="227"/>
      <c r="Y55" s="227"/>
      <c r="Z55" s="227"/>
      <c r="AA55" s="229"/>
      <c r="AB55" s="227"/>
      <c r="AC55" s="227"/>
      <c r="AD55" s="227"/>
      <c r="AE55" s="227"/>
      <c r="AF55" s="227"/>
      <c r="AG55" s="232"/>
      <c r="AH55" s="227"/>
      <c r="AI55" s="227"/>
      <c r="AJ55" s="227"/>
      <c r="AK55" s="227"/>
      <c r="AL55" s="227"/>
      <c r="AM55" s="227"/>
      <c r="AN55" s="227"/>
      <c r="AO55" s="227"/>
      <c r="AP55" s="227"/>
      <c r="AQ55" s="230"/>
      <c r="AR55" s="227"/>
      <c r="AS55" s="230"/>
      <c r="AT55" s="227"/>
      <c r="AU55" s="227"/>
      <c r="AV55" s="227"/>
      <c r="AW55" s="227"/>
      <c r="AX55" s="227"/>
      <c r="AY55" s="224"/>
      <c r="AZ55" s="224"/>
      <c r="BA55" s="231"/>
      <c r="BB55" s="231"/>
      <c r="BC55" s="314"/>
      <c r="BD55" s="28"/>
    </row>
    <row r="56" spans="1:87" ht="13.5" customHeight="1">
      <c r="A56" s="22"/>
      <c r="B56" s="202"/>
      <c r="C56" s="394"/>
      <c r="D56" s="62"/>
      <c r="E56" s="63"/>
      <c r="F56" s="62"/>
      <c r="G56" s="63"/>
      <c r="H56" s="398"/>
      <c r="I56" s="399"/>
      <c r="J56" s="74"/>
      <c r="K56" s="74"/>
      <c r="L56" s="74"/>
      <c r="M56" s="400"/>
      <c r="N56" s="74"/>
      <c r="O56" s="74"/>
      <c r="P56" s="74"/>
      <c r="Q56" s="401"/>
      <c r="R56" s="74"/>
      <c r="S56" s="74"/>
      <c r="T56" s="74"/>
      <c r="U56" s="74"/>
      <c r="V56" s="74"/>
      <c r="W56" s="401"/>
      <c r="X56" s="65"/>
      <c r="Y56" s="65"/>
      <c r="Z56" s="65"/>
      <c r="AA56" s="198"/>
      <c r="AB56" s="65"/>
      <c r="AC56" s="65"/>
      <c r="AD56" s="65"/>
      <c r="AE56" s="65"/>
      <c r="AF56" s="65"/>
      <c r="AG56" s="158"/>
      <c r="AH56" s="65"/>
      <c r="AI56" s="65"/>
      <c r="AJ56" s="65"/>
      <c r="AK56" s="65"/>
      <c r="AL56" s="65"/>
      <c r="AM56" s="65"/>
      <c r="AN56" s="65"/>
      <c r="AO56" s="65"/>
      <c r="AP56" s="65"/>
      <c r="AQ56" s="125"/>
      <c r="AR56" s="65"/>
      <c r="AS56" s="125"/>
      <c r="AT56" s="65"/>
      <c r="AU56" s="65"/>
      <c r="AV56" s="65"/>
      <c r="AW56" s="65"/>
      <c r="AX56" s="65"/>
      <c r="AY56" s="63"/>
      <c r="AZ56" s="103"/>
      <c r="BA56" s="396"/>
      <c r="BB56"/>
      <c r="BC56" s="397"/>
      <c r="BD56" s="28"/>
    </row>
    <row r="57" spans="1:87" ht="13.5" customHeight="1">
      <c r="A57" s="22"/>
      <c r="B57" s="202">
        <v>16</v>
      </c>
      <c r="C57" s="310"/>
      <c r="D57" s="65"/>
      <c r="E57" s="65"/>
      <c r="F57" s="65"/>
      <c r="G57" s="65"/>
      <c r="H57" s="65"/>
      <c r="I57" s="65"/>
      <c r="J57" s="65"/>
      <c r="K57" s="65"/>
      <c r="L57" s="65"/>
      <c r="M57" s="62"/>
      <c r="N57" s="65"/>
      <c r="O57" s="65"/>
      <c r="P57" s="63"/>
      <c r="Q57" s="64"/>
      <c r="R57" s="63"/>
      <c r="S57" s="111"/>
      <c r="T57" s="112"/>
      <c r="U57" s="111"/>
      <c r="V57" s="112"/>
      <c r="W57" s="111"/>
      <c r="X57" s="111"/>
      <c r="Y57" s="111"/>
      <c r="Z57" s="111"/>
      <c r="AA57" s="65"/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3"/>
      <c r="AZ57" s="53"/>
      <c r="BA57" s="323"/>
      <c r="BB57" s="324"/>
      <c r="BC57" s="326"/>
      <c r="BD57" s="28"/>
    </row>
    <row r="58" spans="1:87" ht="13.5" customHeight="1">
      <c r="A58" s="22"/>
      <c r="B58" s="202">
        <v>17</v>
      </c>
      <c r="C58" s="310"/>
      <c r="D58" s="65"/>
      <c r="E58" s="65"/>
      <c r="F58" s="65"/>
      <c r="G58" s="65"/>
      <c r="H58" s="126"/>
      <c r="I58" s="65"/>
      <c r="J58" s="65"/>
      <c r="K58" s="65"/>
      <c r="L58" s="198"/>
      <c r="M58" s="65"/>
      <c r="N58" s="65"/>
      <c r="O58" s="65"/>
      <c r="P58" s="198"/>
      <c r="Q58" s="65"/>
      <c r="R58" s="65"/>
      <c r="S58" s="65"/>
      <c r="T58" s="198"/>
      <c r="U58" s="65"/>
      <c r="V58" s="65"/>
      <c r="W58" s="65"/>
      <c r="X58" s="65"/>
      <c r="Y58" s="65"/>
      <c r="Z58" s="65"/>
      <c r="AA58" s="65"/>
      <c r="AB58" s="65"/>
      <c r="AC58" s="65"/>
      <c r="AD58" s="65"/>
      <c r="AE58" s="65"/>
      <c r="AF58" s="65"/>
      <c r="AG58" s="65"/>
      <c r="AH58" s="65"/>
      <c r="AI58" s="65"/>
      <c r="AJ58" s="65"/>
      <c r="AK58" s="12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3"/>
      <c r="AZ58" s="31"/>
      <c r="BA58" s="30"/>
      <c r="BB58" s="175"/>
      <c r="BC58" s="326"/>
      <c r="BD58" s="28"/>
      <c r="BM58" s="1090">
        <f>1-(0.0673/0.1359)</f>
        <v>0.50478292862398821</v>
      </c>
      <c r="BN58" s="1090"/>
      <c r="BO58" s="1090"/>
      <c r="BP58" s="1090"/>
    </row>
    <row r="59" spans="1:87" ht="5.15" customHeight="1">
      <c r="A59" s="22"/>
      <c r="B59" s="202"/>
      <c r="C59" s="315"/>
      <c r="D59" s="73"/>
      <c r="E59" s="73"/>
      <c r="F59" s="73"/>
      <c r="G59" s="73"/>
      <c r="H59" s="316"/>
      <c r="I59" s="275"/>
      <c r="J59" s="273"/>
      <c r="K59" s="275"/>
      <c r="L59" s="273"/>
      <c r="M59" s="317"/>
      <c r="N59" s="317"/>
      <c r="O59" s="270"/>
      <c r="P59" s="317"/>
      <c r="Q59" s="270"/>
      <c r="R59" s="317"/>
      <c r="S59" s="73"/>
      <c r="T59" s="73"/>
      <c r="U59" s="73"/>
      <c r="V59" s="73"/>
      <c r="W59" s="73"/>
      <c r="X59" s="316"/>
      <c r="Y59" s="275"/>
      <c r="Z59" s="273"/>
      <c r="AA59" s="275"/>
      <c r="AB59" s="273"/>
      <c r="AC59" s="317"/>
      <c r="AD59" s="317"/>
      <c r="AE59" s="270"/>
      <c r="AF59" s="317"/>
      <c r="AG59" s="270"/>
      <c r="AH59" s="317"/>
      <c r="AI59" s="276"/>
      <c r="AJ59" s="317"/>
      <c r="AK59" s="270"/>
      <c r="AL59" s="73"/>
      <c r="AM59" s="73"/>
      <c r="AN59" s="73"/>
      <c r="AO59" s="73"/>
      <c r="AP59" s="73"/>
      <c r="AQ59" s="73"/>
      <c r="AR59" s="73"/>
      <c r="AS59" s="73"/>
      <c r="AT59" s="73"/>
      <c r="AU59" s="73"/>
      <c r="AV59" s="318"/>
      <c r="AW59" s="73"/>
      <c r="AX59" s="73"/>
      <c r="AY59" s="269"/>
      <c r="AZ59" s="269"/>
      <c r="BA59" s="319"/>
      <c r="BB59" s="320"/>
      <c r="BC59" s="321"/>
      <c r="BD59" s="28"/>
    </row>
    <row r="60" spans="1:87" ht="13.5" customHeight="1">
      <c r="A60" s="22"/>
      <c r="B60" s="202">
        <v>18</v>
      </c>
      <c r="C60" s="75"/>
      <c r="D60" s="63"/>
      <c r="E60" s="63"/>
      <c r="F60" s="63"/>
      <c r="G60" s="63"/>
      <c r="H60" s="69"/>
      <c r="I60" s="69"/>
      <c r="J60" s="65"/>
      <c r="K60" s="69"/>
      <c r="L60" s="65"/>
      <c r="M60" s="69"/>
      <c r="N60" s="64"/>
      <c r="O60" s="69"/>
      <c r="P60" s="65"/>
      <c r="Q60" s="65"/>
      <c r="R60" s="65"/>
      <c r="S60" s="63"/>
      <c r="T60" s="63"/>
      <c r="U60" s="63"/>
      <c r="V60" s="63"/>
      <c r="W60" s="63"/>
      <c r="X60" s="64"/>
      <c r="Y60" s="63"/>
      <c r="Z60" s="65"/>
      <c r="AA60" s="64"/>
      <c r="AB60" s="63"/>
      <c r="AC60" s="65"/>
      <c r="AD60" s="64"/>
      <c r="AE60" s="65"/>
      <c r="AF60" s="65"/>
      <c r="AG60" s="64"/>
      <c r="AH60" s="65"/>
      <c r="AI60" s="65"/>
      <c r="AJ60" s="126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3"/>
      <c r="AZ60" s="264"/>
      <c r="BA60" s="301"/>
      <c r="BB60" s="302"/>
      <c r="BC60" s="343"/>
      <c r="BD60" s="28"/>
    </row>
    <row r="61" spans="1:87" ht="13.5" customHeight="1">
      <c r="A61" s="22"/>
      <c r="B61" s="202">
        <v>20</v>
      </c>
      <c r="C61" s="204" t="s">
        <v>78</v>
      </c>
      <c r="D61" s="28"/>
      <c r="E61" s="28"/>
      <c r="F61" s="28"/>
      <c r="G61" s="28"/>
      <c r="H61" s="121"/>
      <c r="I61" s="62"/>
      <c r="J61" s="63"/>
      <c r="K61" s="62"/>
      <c r="L61" s="63"/>
      <c r="M61" s="69"/>
      <c r="N61" s="69"/>
      <c r="O61" s="65"/>
      <c r="P61" s="69"/>
      <c r="Q61" s="65"/>
      <c r="R61" s="69"/>
      <c r="S61" s="28"/>
      <c r="T61" s="28"/>
      <c r="U61" s="28"/>
      <c r="V61" s="28"/>
      <c r="W61" s="28"/>
      <c r="X61" s="121"/>
      <c r="Y61" s="62"/>
      <c r="Z61" s="63"/>
      <c r="AA61" s="62"/>
      <c r="AB61" s="63"/>
      <c r="AC61" s="69"/>
      <c r="AD61" s="69"/>
      <c r="AE61" s="65"/>
      <c r="AF61" s="69"/>
      <c r="AG61" s="65"/>
      <c r="AH61" s="69"/>
      <c r="AI61" s="64"/>
      <c r="AJ61" s="69"/>
      <c r="AK61" s="65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33"/>
      <c r="AW61" s="28"/>
      <c r="AX61" s="28"/>
      <c r="AY61" s="31"/>
      <c r="AZ61" s="269"/>
      <c r="BA61" s="319"/>
      <c r="BB61" s="320"/>
      <c r="BC61" s="344"/>
      <c r="BD61" s="28"/>
    </row>
    <row r="62" spans="1:87" ht="5.15" customHeight="1">
      <c r="A62" s="22"/>
      <c r="B62" s="202"/>
      <c r="C62" s="296"/>
      <c r="D62" s="72"/>
      <c r="E62" s="72"/>
      <c r="F62" s="72"/>
      <c r="G62" s="72"/>
      <c r="H62" s="297"/>
      <c r="I62" s="278"/>
      <c r="J62" s="279"/>
      <c r="K62" s="278"/>
      <c r="L62" s="279"/>
      <c r="M62" s="298"/>
      <c r="N62" s="298"/>
      <c r="O62" s="263"/>
      <c r="P62" s="298"/>
      <c r="Q62" s="263"/>
      <c r="R62" s="298"/>
      <c r="S62" s="72"/>
      <c r="T62" s="72"/>
      <c r="U62" s="72"/>
      <c r="V62" s="72"/>
      <c r="W62" s="72"/>
      <c r="X62" s="297"/>
      <c r="Y62" s="278"/>
      <c r="Z62" s="279"/>
      <c r="AA62" s="278"/>
      <c r="AB62" s="279"/>
      <c r="AC62" s="298"/>
      <c r="AD62" s="298"/>
      <c r="AE62" s="263"/>
      <c r="AF62" s="298"/>
      <c r="AG62" s="263"/>
      <c r="AH62" s="298"/>
      <c r="AI62" s="280"/>
      <c r="AJ62" s="298"/>
      <c r="AK62" s="263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300"/>
      <c r="AW62" s="72"/>
      <c r="AX62" s="72"/>
      <c r="AY62" s="264"/>
      <c r="AZ62" s="264"/>
      <c r="BA62" s="301"/>
      <c r="BB62" s="302"/>
      <c r="BC62" s="303"/>
      <c r="BD62" s="28"/>
    </row>
    <row r="63" spans="1:87" ht="13.5" customHeight="1">
      <c r="A63" s="22"/>
      <c r="B63" s="202">
        <v>21</v>
      </c>
      <c r="C63" s="304" t="s">
        <v>32</v>
      </c>
      <c r="D63" s="234" t="s">
        <v>260</v>
      </c>
      <c r="E63" s="235"/>
      <c r="F63" s="234" t="s">
        <v>64</v>
      </c>
      <c r="G63" s="235"/>
      <c r="H63" s="235"/>
      <c r="I63" s="236"/>
      <c r="J63" s="237" t="s">
        <v>34</v>
      </c>
      <c r="K63" s="238"/>
      <c r="L63" s="238"/>
      <c r="M63" s="238"/>
      <c r="N63" s="235"/>
      <c r="O63" s="236"/>
      <c r="P63" s="239" t="s">
        <v>67</v>
      </c>
      <c r="Q63" s="240"/>
      <c r="R63" s="240"/>
      <c r="S63" s="241"/>
      <c r="T63" s="239" t="s">
        <v>151</v>
      </c>
      <c r="U63" s="240"/>
      <c r="V63" s="240"/>
      <c r="W63" s="241"/>
      <c r="X63" s="234" t="s">
        <v>79</v>
      </c>
      <c r="Y63" s="235"/>
      <c r="Z63" s="235"/>
      <c r="AA63" s="236"/>
      <c r="AB63" s="234" t="s">
        <v>150</v>
      </c>
      <c r="AC63" s="235"/>
      <c r="AD63" s="235"/>
      <c r="AE63" s="235"/>
      <c r="AF63" s="239" t="s">
        <v>65</v>
      </c>
      <c r="AG63" s="240"/>
      <c r="AH63" s="240"/>
      <c r="AI63" s="240"/>
      <c r="AJ63" s="241"/>
      <c r="AK63" s="240" t="s">
        <v>210</v>
      </c>
      <c r="AL63" s="240"/>
      <c r="AM63" s="240"/>
      <c r="AN63" s="241"/>
      <c r="AO63" s="240" t="s">
        <v>162</v>
      </c>
      <c r="AP63" s="240"/>
      <c r="AQ63" s="240"/>
      <c r="AR63" s="241"/>
      <c r="AS63" s="240" t="s">
        <v>211</v>
      </c>
      <c r="AT63" s="240"/>
      <c r="AU63" s="240"/>
      <c r="AV63" s="241"/>
      <c r="AW63" s="240" t="s">
        <v>66</v>
      </c>
      <c r="AX63" s="240"/>
      <c r="AY63" s="240"/>
      <c r="AZ63" s="241"/>
      <c r="BA63" s="239" t="s">
        <v>213</v>
      </c>
      <c r="BB63" s="240"/>
      <c r="BC63" s="240"/>
      <c r="BD63" s="240"/>
      <c r="BE63" s="239" t="s">
        <v>199</v>
      </c>
      <c r="BF63" s="240"/>
      <c r="BG63" s="240"/>
      <c r="BH63" s="241"/>
      <c r="BI63" s="239" t="s">
        <v>214</v>
      </c>
      <c r="BJ63" s="240"/>
      <c r="BK63" s="240"/>
      <c r="BL63" s="241"/>
      <c r="BM63" s="239" t="s">
        <v>236</v>
      </c>
      <c r="BN63" s="240"/>
      <c r="BO63" s="240"/>
      <c r="BP63" s="241"/>
      <c r="BQ63" s="239" t="s">
        <v>83</v>
      </c>
      <c r="BR63" s="240"/>
      <c r="BS63" s="240"/>
      <c r="BT63" s="241"/>
      <c r="BU63" s="239" t="s">
        <v>84</v>
      </c>
      <c r="BV63" s="240"/>
      <c r="BW63" s="240"/>
      <c r="BX63" s="241"/>
      <c r="BY63" s="240" t="s">
        <v>85</v>
      </c>
      <c r="BZ63" s="240"/>
      <c r="CA63" s="241"/>
      <c r="CB63" s="240" t="s">
        <v>86</v>
      </c>
      <c r="CC63" s="240"/>
      <c r="CD63" s="240"/>
      <c r="CE63" s="241"/>
      <c r="CF63" s="240" t="s">
        <v>69</v>
      </c>
      <c r="CG63" s="240"/>
      <c r="CH63" s="240"/>
      <c r="CI63" s="241"/>
    </row>
    <row r="64" spans="1:87" ht="13.5" customHeight="1">
      <c r="A64" s="22"/>
      <c r="B64" s="202">
        <v>22</v>
      </c>
      <c r="C64" s="308">
        <v>1</v>
      </c>
      <c r="D64" s="148" t="str">
        <f>N51</f>
        <v>KFH</v>
      </c>
      <c r="E64" s="149"/>
      <c r="F64" s="148" t="str">
        <f>D51</f>
        <v>4800215830</v>
      </c>
      <c r="G64" s="149"/>
      <c r="H64" s="149"/>
      <c r="I64" s="151"/>
      <c r="J64" s="242" t="str">
        <f>H51</f>
        <v>TF38-20S-0.5SV(830)</v>
      </c>
      <c r="K64" s="150"/>
      <c r="L64" s="150"/>
      <c r="M64" s="150"/>
      <c r="N64" s="161"/>
      <c r="O64" s="162"/>
      <c r="P64" s="148" t="s">
        <v>149</v>
      </c>
      <c r="Q64" s="150"/>
      <c r="R64" s="150"/>
      <c r="S64" s="162"/>
      <c r="T64" s="148" t="str">
        <f>AE51</f>
        <v>USD</v>
      </c>
      <c r="U64" s="150"/>
      <c r="V64" s="150"/>
      <c r="W64" s="162"/>
      <c r="X64" s="1016">
        <f>R51</f>
        <v>70000</v>
      </c>
      <c r="Y64" s="1017"/>
      <c r="Z64" s="1017"/>
      <c r="AA64" s="1018"/>
      <c r="AB64" s="1030">
        <f>Z51</f>
        <v>6.7299999999999999E-2</v>
      </c>
      <c r="AC64" s="1031"/>
      <c r="AD64" s="1031"/>
      <c r="AE64" s="1032"/>
      <c r="AF64" s="1030">
        <f>BC51</f>
        <v>0.151</v>
      </c>
      <c r="AG64" s="1031"/>
      <c r="AH64" s="1031"/>
      <c r="AI64" s="1031"/>
      <c r="AJ64" s="1032"/>
      <c r="AK64" s="1030">
        <f>AM51</f>
        <v>0.12</v>
      </c>
      <c r="AL64" s="1031"/>
      <c r="AM64" s="1031"/>
      <c r="AN64" s="1032"/>
      <c r="AO64" s="1030">
        <f>AI51</f>
        <v>0.1211</v>
      </c>
      <c r="AP64" s="1031"/>
      <c r="AQ64" s="1031"/>
      <c r="AR64" s="1032"/>
      <c r="AS64" s="1030">
        <f>AI51/(1-AQ51)</f>
        <v>0.12232323232323232</v>
      </c>
      <c r="AT64" s="1031"/>
      <c r="AU64" s="1031"/>
      <c r="AV64" s="1032"/>
      <c r="AW64" s="1030">
        <f>AO64-(AS64*$K$20)</f>
        <v>0.11498383838383838</v>
      </c>
      <c r="AX64" s="1031"/>
      <c r="AY64" s="1031"/>
      <c r="AZ64" s="1032"/>
      <c r="BA64" s="1008">
        <f>IFERROR((AI51-AM51)/AM51,"")</f>
        <v>9.1666666666666979E-3</v>
      </c>
      <c r="BB64" s="1009"/>
      <c r="BC64" s="1009"/>
      <c r="BD64" s="1010"/>
      <c r="BE64" s="1058">
        <f>AU51</f>
        <v>0.13589999999999999</v>
      </c>
      <c r="BF64" s="1059"/>
      <c r="BG64" s="1059"/>
      <c r="BH64" s="1060"/>
      <c r="BI64" s="1011">
        <f>1-AI51/(1-AQ51)/AU51</f>
        <v>9.990263191146187E-2</v>
      </c>
      <c r="BJ64" s="1012"/>
      <c r="BK64" s="1012"/>
      <c r="BL64" s="1013"/>
      <c r="BM64" s="1011">
        <f>1-AB64/BE64</f>
        <v>0.50478292862398821</v>
      </c>
      <c r="BN64" s="1012"/>
      <c r="BO64" s="1012"/>
      <c r="BP64" s="1013"/>
      <c r="BQ64" s="1046">
        <f>AY51</f>
        <v>0.151</v>
      </c>
      <c r="BR64" s="1047"/>
      <c r="BS64" s="1047"/>
      <c r="BT64" s="1048"/>
      <c r="BU64" s="1011">
        <f>1-AU51/AY51</f>
        <v>9.9999999999999978E-2</v>
      </c>
      <c r="BV64" s="1012"/>
      <c r="BW64" s="1012"/>
      <c r="BX64" s="1013"/>
      <c r="BY64" s="1030">
        <f>BG51</f>
        <v>6.1000000000000004E-3</v>
      </c>
      <c r="BZ64" s="1031"/>
      <c r="CA64" s="1032"/>
      <c r="CB64" s="149" t="str">
        <f>BJ51</f>
        <v>JAE</v>
      </c>
      <c r="CC64" s="150"/>
      <c r="CD64" s="150"/>
      <c r="CE64" s="152"/>
      <c r="CF64" s="149" t="s">
        <v>30</v>
      </c>
      <c r="CG64" s="150"/>
      <c r="CH64" s="150"/>
      <c r="CI64" s="152"/>
    </row>
    <row r="65" spans="1:87" ht="13.5" customHeight="1">
      <c r="A65" s="22"/>
      <c r="B65" s="489">
        <v>20</v>
      </c>
      <c r="C65" s="204" t="s">
        <v>281</v>
      </c>
      <c r="D65" s="28"/>
      <c r="E65" s="28"/>
      <c r="F65" s="28"/>
      <c r="G65" s="28"/>
      <c r="H65" s="121"/>
      <c r="I65" s="62"/>
      <c r="J65" s="63"/>
      <c r="K65" s="62"/>
      <c r="L65" s="63"/>
      <c r="M65" s="69"/>
      <c r="N65" s="69"/>
      <c r="O65" s="65"/>
      <c r="P65" s="69"/>
      <c r="Q65" s="65"/>
      <c r="R65" s="69"/>
      <c r="S65" s="28"/>
      <c r="T65" s="28"/>
      <c r="U65" s="28"/>
      <c r="V65" s="28"/>
      <c r="W65" s="28"/>
      <c r="X65" s="121"/>
      <c r="Y65" s="62"/>
      <c r="Z65" s="63"/>
      <c r="AA65" s="62"/>
      <c r="AB65" s="63"/>
      <c r="AC65" s="69"/>
      <c r="AD65" s="69"/>
      <c r="AE65" s="65"/>
      <c r="AF65" s="69"/>
      <c r="AG65" s="65"/>
      <c r="AH65" s="69"/>
      <c r="AI65" s="64"/>
      <c r="AJ65" s="69"/>
      <c r="AK65" s="65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33"/>
      <c r="AW65" s="28"/>
      <c r="AX65" s="28"/>
      <c r="AY65" s="31"/>
      <c r="AZ65" s="52"/>
      <c r="BA65" s="93"/>
      <c r="BB65" s="327"/>
      <c r="BC65" s="328"/>
      <c r="BD65" s="26"/>
      <c r="BE65" s="26"/>
      <c r="BF65" s="26"/>
    </row>
    <row r="66" spans="1:87" ht="13.5" customHeight="1">
      <c r="A66" s="22"/>
      <c r="B66" s="202">
        <v>24</v>
      </c>
      <c r="C66" s="304"/>
      <c r="D66" s="502" t="s">
        <v>280</v>
      </c>
      <c r="E66" s="503"/>
      <c r="F66" s="504" t="s">
        <v>294</v>
      </c>
      <c r="G66" s="503"/>
      <c r="H66" s="503"/>
      <c r="I66" s="505"/>
      <c r="J66" s="504" t="s">
        <v>30</v>
      </c>
      <c r="K66" s="506"/>
      <c r="L66" s="506"/>
      <c r="M66" s="506"/>
      <c r="N66" s="503"/>
      <c r="O66" s="505"/>
      <c r="P66" s="511" t="s">
        <v>30</v>
      </c>
      <c r="Q66" s="508"/>
      <c r="R66" s="508"/>
      <c r="S66" s="509"/>
      <c r="T66" s="502"/>
      <c r="U66" s="503"/>
      <c r="V66" s="503"/>
      <c r="W66" s="505"/>
      <c r="X66" s="508" t="s">
        <v>239</v>
      </c>
      <c r="Y66" s="503"/>
      <c r="Z66" s="503"/>
      <c r="AA66" s="503"/>
      <c r="AB66" s="507" t="s">
        <v>234</v>
      </c>
      <c r="AC66" s="503"/>
      <c r="AD66" s="503"/>
      <c r="AE66" s="503"/>
      <c r="AF66" s="507" t="s">
        <v>235</v>
      </c>
      <c r="AG66" s="508"/>
      <c r="AH66" s="508"/>
      <c r="AI66" s="508"/>
      <c r="AJ66" s="509"/>
      <c r="AK66" s="507" t="s">
        <v>236</v>
      </c>
      <c r="AL66" s="508"/>
      <c r="AM66" s="508"/>
      <c r="AN66" s="509"/>
      <c r="AO66" s="507" t="s">
        <v>237</v>
      </c>
      <c r="AP66" s="508"/>
      <c r="AQ66" s="508"/>
      <c r="AR66" s="509"/>
      <c r="AS66" s="507" t="s">
        <v>238</v>
      </c>
      <c r="AT66" s="508"/>
      <c r="AU66" s="508"/>
      <c r="AV66" s="508"/>
      <c r="AW66" s="511" t="s">
        <v>30</v>
      </c>
      <c r="AX66" s="508"/>
      <c r="AY66" s="508"/>
      <c r="AZ66" s="509"/>
      <c r="BA66" s="511"/>
      <c r="BB66" s="508"/>
      <c r="BC66" s="508"/>
      <c r="BD66" s="509"/>
      <c r="BE66" s="513"/>
      <c r="BF66" s="508"/>
      <c r="BG66" s="508"/>
      <c r="BH66" s="509"/>
      <c r="BI66" s="513" t="s">
        <v>30</v>
      </c>
      <c r="BJ66" s="508"/>
      <c r="BK66" s="508"/>
      <c r="BL66" s="509"/>
      <c r="BM66" s="513" t="s">
        <v>30</v>
      </c>
      <c r="BN66" s="508"/>
      <c r="BO66" s="508"/>
      <c r="BP66" s="509"/>
      <c r="BQ66" s="513" t="s">
        <v>30</v>
      </c>
      <c r="BR66" s="508"/>
      <c r="BS66" s="508"/>
      <c r="BT66" s="509"/>
      <c r="BU66" s="508"/>
      <c r="BV66" s="508"/>
      <c r="BW66" s="508"/>
      <c r="BX66" s="509"/>
      <c r="BY66" s="513" t="s">
        <v>30</v>
      </c>
      <c r="BZ66" s="508"/>
      <c r="CA66" s="509"/>
      <c r="CB66" s="508"/>
      <c r="CC66" s="508"/>
      <c r="CD66" s="508"/>
      <c r="CE66" s="509"/>
      <c r="CF66" s="508"/>
      <c r="CG66" s="508"/>
      <c r="CH66" s="508"/>
      <c r="CI66" s="509"/>
    </row>
    <row r="67" spans="1:87" ht="13.5" customHeight="1">
      <c r="A67" s="22"/>
      <c r="B67" s="202">
        <v>25</v>
      </c>
      <c r="C67" s="308">
        <v>1</v>
      </c>
      <c r="D67" s="148" t="s">
        <v>160</v>
      </c>
      <c r="E67" s="149"/>
      <c r="F67" s="148" t="s">
        <v>148</v>
      </c>
      <c r="G67" s="149"/>
      <c r="H67" s="149"/>
      <c r="I67" s="151"/>
      <c r="J67" s="221"/>
      <c r="K67" s="222"/>
      <c r="L67" s="222"/>
      <c r="M67" s="222"/>
      <c r="N67" s="161"/>
      <c r="O67" s="162"/>
      <c r="P67" s="148"/>
      <c r="Q67" s="150"/>
      <c r="R67" s="150"/>
      <c r="S67" s="162"/>
      <c r="T67" s="119"/>
      <c r="U67" s="120"/>
      <c r="V67" s="120"/>
      <c r="W67" s="162"/>
      <c r="X67" s="1005">
        <f>SUMPRODUCT(X$64:AA$64,BE$64:BH$64)</f>
        <v>9513</v>
      </c>
      <c r="Y67" s="1014"/>
      <c r="Z67" s="1014"/>
      <c r="AA67" s="1015"/>
      <c r="AB67" s="1005">
        <f>SUMPRODUCT(X$64:AA$64,AB$64:AE$64)</f>
        <v>4711</v>
      </c>
      <c r="AC67" s="1014"/>
      <c r="AD67" s="1014"/>
      <c r="AE67" s="1015"/>
      <c r="AF67" s="1005">
        <f>X67-AB67</f>
        <v>4802</v>
      </c>
      <c r="AG67" s="1014"/>
      <c r="AH67" s="1014"/>
      <c r="AI67" s="1014"/>
      <c r="AJ67" s="1015"/>
      <c r="AK67" s="996">
        <f>AF67/X67</f>
        <v>0.50478292862398821</v>
      </c>
      <c r="AL67" s="997"/>
      <c r="AM67" s="997"/>
      <c r="AN67" s="998"/>
      <c r="AO67" s="996">
        <f>IFERROR(AS67/(X67-AS67),"")</f>
        <v>0.13249999999999998</v>
      </c>
      <c r="AP67" s="997"/>
      <c r="AQ67" s="997"/>
      <c r="AR67" s="998"/>
      <c r="AS67" s="1087">
        <f>X$64*(BE$64-AK$64)</f>
        <v>1112.9999999999998</v>
      </c>
      <c r="AT67" s="1088"/>
      <c r="AU67" s="1088"/>
      <c r="AV67" s="1089"/>
      <c r="AW67" s="1055"/>
      <c r="AX67" s="1056"/>
      <c r="AY67" s="1056"/>
      <c r="AZ67" s="1057"/>
      <c r="BA67" s="993"/>
      <c r="BB67" s="994"/>
      <c r="BC67" s="994"/>
      <c r="BD67" s="995"/>
      <c r="BE67" s="1011"/>
      <c r="BF67" s="1012"/>
      <c r="BG67" s="1012"/>
      <c r="BH67" s="1013"/>
      <c r="BI67" s="149" t="s">
        <v>30</v>
      </c>
      <c r="BJ67" s="150"/>
      <c r="BK67" s="150"/>
      <c r="BL67" s="152"/>
      <c r="BM67" s="149" t="s">
        <v>30</v>
      </c>
      <c r="BN67" s="150"/>
      <c r="BO67" s="150"/>
      <c r="BP67" s="152"/>
      <c r="BQ67" s="149" t="s">
        <v>30</v>
      </c>
      <c r="BR67" s="150"/>
      <c r="BS67" s="150"/>
      <c r="BT67" s="152"/>
      <c r="BU67" s="149" t="s">
        <v>30</v>
      </c>
      <c r="BV67" s="150"/>
      <c r="BW67" s="150"/>
      <c r="BX67" s="152"/>
      <c r="BY67" s="149" t="s">
        <v>30</v>
      </c>
      <c r="BZ67" s="150"/>
      <c r="CA67" s="152"/>
      <c r="CB67" s="149" t="s">
        <v>30</v>
      </c>
      <c r="CC67" s="150"/>
      <c r="CD67" s="150"/>
      <c r="CE67" s="152"/>
      <c r="CF67" s="149" t="s">
        <v>30</v>
      </c>
      <c r="CG67" s="150"/>
      <c r="CH67" s="150"/>
      <c r="CI67" s="152"/>
    </row>
    <row r="68" spans="1:87" ht="13.5" customHeight="1">
      <c r="A68" s="22"/>
      <c r="B68" s="202">
        <v>25</v>
      </c>
      <c r="C68" s="308">
        <v>2</v>
      </c>
      <c r="D68" s="148" t="s">
        <v>160</v>
      </c>
      <c r="E68" s="149"/>
      <c r="F68" s="148" t="s">
        <v>207</v>
      </c>
      <c r="G68" s="149"/>
      <c r="H68" s="149"/>
      <c r="I68" s="151"/>
      <c r="J68" s="221"/>
      <c r="K68" s="222"/>
      <c r="L68" s="222"/>
      <c r="M68" s="222"/>
      <c r="N68" s="161"/>
      <c r="O68" s="162"/>
      <c r="P68" s="148"/>
      <c r="Q68" s="150"/>
      <c r="R68" s="150"/>
      <c r="S68" s="162"/>
      <c r="T68" s="119"/>
      <c r="U68" s="120"/>
      <c r="V68" s="120"/>
      <c r="W68" s="162"/>
      <c r="X68" s="993">
        <f>SUMPRODUCT(X$64:AA$64,BE$64:BH$64)</f>
        <v>9513</v>
      </c>
      <c r="Y68" s="994"/>
      <c r="Z68" s="994"/>
      <c r="AA68" s="995"/>
      <c r="AB68" s="993">
        <f>SUMPRODUCT(X$64:AA$64,AB$64:AE$64)</f>
        <v>4711</v>
      </c>
      <c r="AC68" s="994"/>
      <c r="AD68" s="994"/>
      <c r="AE68" s="995"/>
      <c r="AF68" s="993">
        <f>X68-AB68</f>
        <v>4802</v>
      </c>
      <c r="AG68" s="994"/>
      <c r="AH68" s="994"/>
      <c r="AI68" s="994"/>
      <c r="AJ68" s="995"/>
      <c r="AK68" s="996">
        <f>AF68/X68</f>
        <v>0.50478292862398821</v>
      </c>
      <c r="AL68" s="997"/>
      <c r="AM68" s="997"/>
      <c r="AN68" s="998"/>
      <c r="AO68" s="996">
        <f>IFERROR(AS68/(X68-AS68),"")</f>
        <v>0.13249999999999998</v>
      </c>
      <c r="AP68" s="997"/>
      <c r="AQ68" s="997"/>
      <c r="AR68" s="998"/>
      <c r="AS68" s="1052">
        <f>X$64*(BE$64-AK$64)</f>
        <v>1112.9999999999998</v>
      </c>
      <c r="AT68" s="1053"/>
      <c r="AU68" s="1053"/>
      <c r="AV68" s="1054"/>
      <c r="AW68" s="1055"/>
      <c r="AX68" s="1056"/>
      <c r="AY68" s="1056"/>
      <c r="AZ68" s="1057"/>
      <c r="BA68" s="993"/>
      <c r="BB68" s="994"/>
      <c r="BC68" s="994"/>
      <c r="BD68" s="995"/>
      <c r="BE68" s="1011"/>
      <c r="BF68" s="1012"/>
      <c r="BG68" s="1012"/>
      <c r="BH68" s="1013"/>
      <c r="BI68" s="149" t="s">
        <v>30</v>
      </c>
      <c r="BJ68" s="150"/>
      <c r="BK68" s="150"/>
      <c r="BL68" s="152"/>
      <c r="BM68" s="149" t="s">
        <v>30</v>
      </c>
      <c r="BN68" s="150"/>
      <c r="BO68" s="150"/>
      <c r="BP68" s="152"/>
      <c r="BQ68" s="149" t="s">
        <v>30</v>
      </c>
      <c r="BR68" s="150"/>
      <c r="BS68" s="150"/>
      <c r="BT68" s="152"/>
      <c r="BU68" s="149" t="s">
        <v>30</v>
      </c>
      <c r="BV68" s="150"/>
      <c r="BW68" s="150"/>
      <c r="BX68" s="152"/>
      <c r="BY68" s="149" t="s">
        <v>30</v>
      </c>
      <c r="BZ68" s="150"/>
      <c r="CA68" s="152"/>
      <c r="CB68" s="149" t="s">
        <v>30</v>
      </c>
      <c r="CC68" s="150"/>
      <c r="CD68" s="150"/>
      <c r="CE68" s="152"/>
      <c r="CF68" s="149" t="s">
        <v>30</v>
      </c>
      <c r="CG68" s="150"/>
      <c r="CH68" s="150"/>
      <c r="CI68" s="152"/>
    </row>
    <row r="69" spans="1:87" ht="13.5" customHeight="1">
      <c r="A69" s="22"/>
      <c r="B69" s="489">
        <v>20</v>
      </c>
      <c r="C69" s="204" t="s">
        <v>279</v>
      </c>
      <c r="D69" s="28"/>
      <c r="E69" s="28"/>
      <c r="F69" s="28"/>
      <c r="G69" s="28"/>
      <c r="H69" s="121"/>
      <c r="I69" s="62"/>
      <c r="J69" s="63"/>
      <c r="K69" s="62"/>
      <c r="L69" s="63"/>
      <c r="M69" s="69"/>
      <c r="N69" s="69"/>
      <c r="O69" s="65"/>
      <c r="P69" s="69"/>
      <c r="Q69" s="65"/>
      <c r="R69" s="69"/>
      <c r="S69" s="28"/>
      <c r="T69" s="28"/>
      <c r="U69" s="28"/>
      <c r="V69" s="28"/>
      <c r="W69" s="28"/>
      <c r="X69" s="121"/>
      <c r="Y69" s="62"/>
      <c r="Z69" s="63"/>
      <c r="AA69" s="62"/>
      <c r="AB69" s="63"/>
      <c r="AC69" s="69"/>
      <c r="AD69" s="69"/>
      <c r="AE69" s="65"/>
      <c r="AF69" s="69"/>
      <c r="AG69" s="65"/>
      <c r="AH69" s="69"/>
      <c r="AI69" s="64"/>
      <c r="AJ69" s="69"/>
      <c r="AK69" s="65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33"/>
      <c r="AW69" s="28"/>
      <c r="AX69" s="28"/>
      <c r="AY69" s="31"/>
      <c r="AZ69" s="52"/>
      <c r="BA69" s="93"/>
      <c r="BB69" s="327"/>
      <c r="BC69" s="328"/>
      <c r="BD69" s="26"/>
      <c r="BE69" s="26"/>
      <c r="BF69" s="26"/>
    </row>
    <row r="70" spans="1:87" ht="13.5" customHeight="1">
      <c r="A70" s="22"/>
      <c r="B70" s="202">
        <v>24</v>
      </c>
      <c r="C70" s="304"/>
      <c r="D70" s="243"/>
      <c r="E70" s="244"/>
      <c r="F70" s="243" t="s">
        <v>295</v>
      </c>
      <c r="G70" s="244"/>
      <c r="H70" s="244"/>
      <c r="I70" s="245"/>
      <c r="J70" s="246" t="s">
        <v>30</v>
      </c>
      <c r="K70" s="247"/>
      <c r="L70" s="247"/>
      <c r="M70" s="247"/>
      <c r="N70" s="244"/>
      <c r="O70" s="245"/>
      <c r="P70" s="248"/>
      <c r="Q70" s="249"/>
      <c r="R70" s="249"/>
      <c r="S70" s="250"/>
      <c r="T70" s="243"/>
      <c r="U70" s="244"/>
      <c r="V70" s="244"/>
      <c r="W70" s="245"/>
      <c r="X70" s="249" t="s">
        <v>239</v>
      </c>
      <c r="Y70" s="244"/>
      <c r="Z70" s="244"/>
      <c r="AA70" s="244"/>
      <c r="AB70" s="248" t="s">
        <v>234</v>
      </c>
      <c r="AC70" s="244"/>
      <c r="AD70" s="244"/>
      <c r="AE70" s="244"/>
      <c r="AF70" s="248" t="s">
        <v>235</v>
      </c>
      <c r="AG70" s="249"/>
      <c r="AH70" s="249"/>
      <c r="AI70" s="249"/>
      <c r="AJ70" s="250"/>
      <c r="AK70" s="248" t="s">
        <v>236</v>
      </c>
      <c r="AL70" s="249"/>
      <c r="AM70" s="249"/>
      <c r="AN70" s="250"/>
      <c r="AO70" s="248" t="s">
        <v>237</v>
      </c>
      <c r="AP70" s="249"/>
      <c r="AQ70" s="249"/>
      <c r="AR70" s="250"/>
      <c r="AS70" s="248" t="s">
        <v>238</v>
      </c>
      <c r="AT70" s="249"/>
      <c r="AU70" s="249"/>
      <c r="AV70" s="249"/>
      <c r="AW70" s="253" t="s">
        <v>30</v>
      </c>
      <c r="AX70" s="249"/>
      <c r="AY70" s="249"/>
      <c r="AZ70" s="250"/>
      <c r="BA70" s="253"/>
      <c r="BB70" s="249"/>
      <c r="BC70" s="249"/>
      <c r="BD70" s="250"/>
      <c r="BE70" s="251"/>
      <c r="BF70" s="249"/>
      <c r="BG70" s="249"/>
      <c r="BH70" s="250"/>
      <c r="BI70" s="251" t="s">
        <v>30</v>
      </c>
      <c r="BJ70" s="249"/>
      <c r="BK70" s="249"/>
      <c r="BL70" s="250"/>
      <c r="BM70" s="251" t="s">
        <v>30</v>
      </c>
      <c r="BN70" s="249"/>
      <c r="BO70" s="249"/>
      <c r="BP70" s="250"/>
      <c r="BQ70" s="251" t="s">
        <v>30</v>
      </c>
      <c r="BR70" s="249"/>
      <c r="BS70" s="249"/>
      <c r="BT70" s="250"/>
      <c r="BU70" s="249"/>
      <c r="BV70" s="249"/>
      <c r="BW70" s="249"/>
      <c r="BX70" s="250"/>
      <c r="BY70" s="251" t="s">
        <v>30</v>
      </c>
      <c r="BZ70" s="249"/>
      <c r="CA70" s="250"/>
      <c r="CB70" s="249"/>
      <c r="CC70" s="249"/>
      <c r="CD70" s="249"/>
      <c r="CE70" s="250"/>
      <c r="CF70" s="249"/>
      <c r="CG70" s="249"/>
      <c r="CH70" s="249"/>
      <c r="CI70" s="250"/>
    </row>
    <row r="71" spans="1:87" ht="13.5" customHeight="1">
      <c r="A71" s="22"/>
      <c r="B71" s="202">
        <v>25</v>
      </c>
      <c r="C71" s="308"/>
      <c r="D71" s="148"/>
      <c r="E71" s="149"/>
      <c r="F71" s="148" t="s">
        <v>148</v>
      </c>
      <c r="G71" s="149"/>
      <c r="H71" s="149"/>
      <c r="I71" s="151"/>
      <c r="J71" s="221"/>
      <c r="K71" s="222"/>
      <c r="L71" s="222"/>
      <c r="M71" s="222"/>
      <c r="N71" s="161"/>
      <c r="O71" s="162"/>
      <c r="P71" s="148"/>
      <c r="Q71" s="150"/>
      <c r="R71" s="150"/>
      <c r="S71" s="162"/>
      <c r="T71" s="119"/>
      <c r="U71" s="120"/>
      <c r="V71" s="120"/>
      <c r="W71" s="162"/>
      <c r="X71" s="1005">
        <f>SUMPRODUCT(X$64:AA$64,BE$64:BH$64)</f>
        <v>9513</v>
      </c>
      <c r="Y71" s="1014"/>
      <c r="Z71" s="1014"/>
      <c r="AA71" s="1015"/>
      <c r="AB71" s="1005">
        <f>SUMPRODUCT(X$64:AA$64,AB$64:AE$64)</f>
        <v>4711</v>
      </c>
      <c r="AC71" s="1014"/>
      <c r="AD71" s="1014"/>
      <c r="AE71" s="1015"/>
      <c r="AF71" s="1005">
        <f>X71-AB71</f>
        <v>4802</v>
      </c>
      <c r="AG71" s="1014"/>
      <c r="AH71" s="1014"/>
      <c r="AI71" s="1014"/>
      <c r="AJ71" s="1015"/>
      <c r="AK71" s="996">
        <f>AF71/X71</f>
        <v>0.50478292862398821</v>
      </c>
      <c r="AL71" s="997"/>
      <c r="AM71" s="997"/>
      <c r="AN71" s="998"/>
      <c r="AO71" s="996">
        <f>IFERROR(AS71/(X71-AS71),"")</f>
        <v>0.13249999999999998</v>
      </c>
      <c r="AP71" s="997"/>
      <c r="AQ71" s="997"/>
      <c r="AR71" s="998"/>
      <c r="AS71" s="1087">
        <f>X$64*(BE$64-AK$64)</f>
        <v>1112.9999999999998</v>
      </c>
      <c r="AT71" s="1088"/>
      <c r="AU71" s="1088"/>
      <c r="AV71" s="1089"/>
      <c r="AW71" s="1055"/>
      <c r="AX71" s="1056"/>
      <c r="AY71" s="1056"/>
      <c r="AZ71" s="1057"/>
      <c r="BA71" s="993"/>
      <c r="BB71" s="994"/>
      <c r="BC71" s="994"/>
      <c r="BD71" s="995"/>
      <c r="BE71" s="1011"/>
      <c r="BF71" s="1012"/>
      <c r="BG71" s="1012"/>
      <c r="BH71" s="1013"/>
      <c r="BI71" s="149" t="s">
        <v>30</v>
      </c>
      <c r="BJ71" s="150"/>
      <c r="BK71" s="150"/>
      <c r="BL71" s="152"/>
      <c r="BM71" s="149" t="s">
        <v>30</v>
      </c>
      <c r="BN71" s="150"/>
      <c r="BO71" s="150"/>
      <c r="BP71" s="152"/>
      <c r="BQ71" s="149" t="s">
        <v>30</v>
      </c>
      <c r="BR71" s="150"/>
      <c r="BS71" s="150"/>
      <c r="BT71" s="152"/>
      <c r="BU71" s="149" t="s">
        <v>30</v>
      </c>
      <c r="BV71" s="150"/>
      <c r="BW71" s="150"/>
      <c r="BX71" s="152"/>
      <c r="BY71" s="149" t="s">
        <v>30</v>
      </c>
      <c r="BZ71" s="150"/>
      <c r="CA71" s="152"/>
      <c r="CB71" s="149" t="s">
        <v>30</v>
      </c>
      <c r="CC71" s="150"/>
      <c r="CD71" s="150"/>
      <c r="CE71" s="152"/>
      <c r="CF71" s="149" t="s">
        <v>30</v>
      </c>
      <c r="CG71" s="150"/>
      <c r="CH71" s="150"/>
      <c r="CI71" s="152"/>
    </row>
    <row r="72" spans="1:87" ht="13.5" customHeight="1">
      <c r="A72" s="22"/>
      <c r="B72" s="202">
        <v>25</v>
      </c>
      <c r="C72" s="308"/>
      <c r="D72" s="148"/>
      <c r="E72" s="149"/>
      <c r="F72" s="148" t="s">
        <v>207</v>
      </c>
      <c r="G72" s="149"/>
      <c r="H72" s="149"/>
      <c r="I72" s="151"/>
      <c r="J72" s="221"/>
      <c r="K72" s="222"/>
      <c r="L72" s="222"/>
      <c r="M72" s="222"/>
      <c r="N72" s="161"/>
      <c r="O72" s="162"/>
      <c r="P72" s="148"/>
      <c r="Q72" s="150"/>
      <c r="R72" s="150"/>
      <c r="S72" s="162"/>
      <c r="T72" s="119"/>
      <c r="U72" s="120"/>
      <c r="V72" s="120"/>
      <c r="W72" s="162"/>
      <c r="X72" s="993">
        <f>SUMPRODUCT(X$64:AA$64,BE$64:BH$64)</f>
        <v>9513</v>
      </c>
      <c r="Y72" s="994"/>
      <c r="Z72" s="994"/>
      <c r="AA72" s="995"/>
      <c r="AB72" s="993">
        <f>SUMPRODUCT(X$64:AA$64,AB$64:AE$64)</f>
        <v>4711</v>
      </c>
      <c r="AC72" s="994"/>
      <c r="AD72" s="994"/>
      <c r="AE72" s="995"/>
      <c r="AF72" s="993">
        <f>X72-AB72</f>
        <v>4802</v>
      </c>
      <c r="AG72" s="994"/>
      <c r="AH72" s="994"/>
      <c r="AI72" s="994"/>
      <c r="AJ72" s="995"/>
      <c r="AK72" s="996">
        <f>AF72/X72</f>
        <v>0.50478292862398821</v>
      </c>
      <c r="AL72" s="997"/>
      <c r="AM72" s="997"/>
      <c r="AN72" s="998"/>
      <c r="AO72" s="996">
        <f>IFERROR(AS72/(X72-AS72),"")</f>
        <v>0.13249999999999998</v>
      </c>
      <c r="AP72" s="997"/>
      <c r="AQ72" s="997"/>
      <c r="AR72" s="998"/>
      <c r="AS72" s="1052">
        <f>X$64*(BE$64-AK$64)</f>
        <v>1112.9999999999998</v>
      </c>
      <c r="AT72" s="1053"/>
      <c r="AU72" s="1053"/>
      <c r="AV72" s="1054"/>
      <c r="AW72" s="1055"/>
      <c r="AX72" s="1056"/>
      <c r="AY72" s="1056"/>
      <c r="AZ72" s="1057"/>
      <c r="BA72" s="993"/>
      <c r="BB72" s="994"/>
      <c r="BC72" s="994"/>
      <c r="BD72" s="995"/>
      <c r="BE72" s="1011"/>
      <c r="BF72" s="1012"/>
      <c r="BG72" s="1012"/>
      <c r="BH72" s="1013"/>
      <c r="BI72" s="149" t="s">
        <v>30</v>
      </c>
      <c r="BJ72" s="150"/>
      <c r="BK72" s="150"/>
      <c r="BL72" s="152"/>
      <c r="BM72" s="149" t="s">
        <v>30</v>
      </c>
      <c r="BN72" s="150"/>
      <c r="BO72" s="150"/>
      <c r="BP72" s="152"/>
      <c r="BQ72" s="149" t="s">
        <v>30</v>
      </c>
      <c r="BR72" s="150"/>
      <c r="BS72" s="150"/>
      <c r="BT72" s="152"/>
      <c r="BU72" s="149" t="s">
        <v>30</v>
      </c>
      <c r="BV72" s="150"/>
      <c r="BW72" s="150"/>
      <c r="BX72" s="152"/>
      <c r="BY72" s="149" t="s">
        <v>30</v>
      </c>
      <c r="BZ72" s="150"/>
      <c r="CA72" s="152"/>
      <c r="CB72" s="149" t="s">
        <v>30</v>
      </c>
      <c r="CC72" s="150"/>
      <c r="CD72" s="150"/>
      <c r="CE72" s="152"/>
      <c r="CF72" s="149" t="s">
        <v>30</v>
      </c>
      <c r="CG72" s="150"/>
      <c r="CH72" s="150"/>
      <c r="CI72" s="152"/>
    </row>
    <row r="73" spans="1:87" ht="13.5" customHeight="1">
      <c r="A73" s="22"/>
      <c r="B73" s="202">
        <v>26</v>
      </c>
      <c r="C73" s="339"/>
      <c r="D73" s="75"/>
      <c r="E73" s="75"/>
      <c r="F73" s="75"/>
      <c r="G73" s="75"/>
      <c r="H73" s="199"/>
      <c r="I73" s="199"/>
      <c r="J73" s="200"/>
      <c r="K73" s="199"/>
      <c r="L73" s="200"/>
      <c r="M73" s="199"/>
      <c r="N73" s="199"/>
      <c r="O73" s="83"/>
      <c r="P73" s="84"/>
      <c r="Q73" s="84"/>
      <c r="R73" s="84"/>
      <c r="S73" s="75"/>
      <c r="T73" s="75"/>
      <c r="U73" s="75"/>
      <c r="V73" s="75"/>
      <c r="W73" s="75"/>
      <c r="X73" s="85"/>
      <c r="Y73" s="75"/>
      <c r="Z73" s="84"/>
      <c r="AA73" s="85"/>
      <c r="AB73" s="75"/>
      <c r="AC73" s="84"/>
      <c r="AD73" s="85"/>
      <c r="AE73" s="84"/>
      <c r="AF73" s="84"/>
      <c r="AG73" s="85"/>
      <c r="AH73" s="84"/>
      <c r="AI73" s="84"/>
      <c r="AJ73" s="90"/>
      <c r="AK73" s="84"/>
      <c r="AL73" s="84"/>
      <c r="AM73" s="84"/>
      <c r="AN73" s="84"/>
      <c r="AO73" s="84"/>
      <c r="AP73" s="84"/>
      <c r="AQ73" s="84"/>
      <c r="AR73" s="84"/>
      <c r="AS73" s="65"/>
      <c r="AT73" s="65"/>
      <c r="AU73" s="65"/>
      <c r="AV73" s="65"/>
      <c r="AW73" s="65"/>
      <c r="AX73" s="65"/>
      <c r="AY73" s="63"/>
      <c r="AZ73" s="31"/>
      <c r="BA73" s="30"/>
      <c r="BB73" s="175"/>
      <c r="BC73" s="343"/>
      <c r="BD73" s="1085"/>
      <c r="BE73" s="1086"/>
      <c r="BF73" s="1086"/>
    </row>
    <row r="74" spans="1:87" ht="13.5" customHeight="1">
      <c r="A74" s="22"/>
      <c r="B74" s="202"/>
      <c r="C74" s="342"/>
      <c r="D74" s="332"/>
      <c r="E74" s="65"/>
      <c r="F74" s="65"/>
      <c r="G74" s="65"/>
      <c r="H74" s="65"/>
      <c r="I74" s="65"/>
      <c r="J74" s="333"/>
      <c r="K74" s="334"/>
      <c r="L74" s="334"/>
      <c r="M74" s="334"/>
      <c r="N74"/>
      <c r="O74"/>
      <c r="P74"/>
      <c r="Q74"/>
      <c r="R74"/>
      <c r="S74"/>
      <c r="T74"/>
      <c r="U74"/>
      <c r="V74"/>
      <c r="W74" s="65"/>
      <c r="X74" s="65"/>
      <c r="Y74" s="65"/>
      <c r="Z74" s="65"/>
      <c r="AA74" s="65"/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198"/>
      <c r="AN74" s="198"/>
      <c r="AO74" s="198"/>
      <c r="AP74" s="198"/>
      <c r="AQ74" s="198"/>
      <c r="AR74" s="198"/>
      <c r="AS74" s="254"/>
      <c r="AT74" s="35"/>
      <c r="AU74" s="35"/>
      <c r="AV74" s="254"/>
      <c r="AW74" s="198"/>
      <c r="AX74" s="198"/>
      <c r="AY74" s="198"/>
      <c r="AZ74" s="31"/>
      <c r="BA74" s="30"/>
      <c r="BB74" s="175"/>
      <c r="BC74" s="345"/>
      <c r="BD74" s="28"/>
      <c r="BG74" s="24"/>
      <c r="BH74" s="28"/>
    </row>
    <row r="75" spans="1:87" ht="13.5" customHeight="1">
      <c r="A75" s="22"/>
      <c r="B75" s="202"/>
      <c r="C75" s="342"/>
      <c r="D75" s="332"/>
      <c r="E75" s="65"/>
      <c r="F75" s="65"/>
      <c r="G75" s="65"/>
      <c r="H75" s="65"/>
      <c r="I75" s="65"/>
      <c r="J75" s="333"/>
      <c r="K75" s="334"/>
      <c r="L75" s="334"/>
      <c r="M75" s="334"/>
      <c r="N75"/>
      <c r="O75"/>
      <c r="P75"/>
      <c r="Q75"/>
      <c r="R75"/>
      <c r="S75"/>
      <c r="T75"/>
      <c r="U75"/>
      <c r="V75"/>
      <c r="W75" s="65"/>
      <c r="X75" s="65"/>
      <c r="Y75" s="65"/>
      <c r="Z75" s="65"/>
      <c r="AA75" s="65"/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198"/>
      <c r="AN75" s="198"/>
      <c r="AO75" s="198"/>
      <c r="AP75" s="198"/>
      <c r="AQ75" s="198"/>
      <c r="AR75" s="198"/>
      <c r="AS75" s="254"/>
      <c r="AT75" s="35"/>
      <c r="AU75" s="35"/>
      <c r="AV75" s="254"/>
      <c r="AW75" s="198"/>
      <c r="AX75" s="198"/>
      <c r="AY75" s="198"/>
      <c r="AZ75" s="31"/>
      <c r="BA75" s="30"/>
      <c r="BB75" s="175"/>
      <c r="BC75" s="345"/>
      <c r="BD75" s="28"/>
      <c r="BG75" s="24"/>
      <c r="BH75" s="28"/>
    </row>
    <row r="76" spans="1:87" ht="5.15" customHeight="1">
      <c r="A76" s="22"/>
      <c r="B76" s="202"/>
      <c r="C76" s="315"/>
      <c r="D76" s="73"/>
      <c r="E76" s="73"/>
      <c r="F76" s="73"/>
      <c r="G76" s="73"/>
      <c r="H76" s="316"/>
      <c r="I76" s="275"/>
      <c r="J76" s="273"/>
      <c r="K76" s="275"/>
      <c r="L76" s="273"/>
      <c r="M76" s="317"/>
      <c r="N76" s="317"/>
      <c r="O76" s="270"/>
      <c r="P76" s="317"/>
      <c r="Q76" s="270"/>
      <c r="R76" s="317"/>
      <c r="S76" s="73"/>
      <c r="T76" s="73"/>
      <c r="U76" s="73"/>
      <c r="V76" s="73"/>
      <c r="W76" s="73"/>
      <c r="X76" s="316"/>
      <c r="Y76" s="275"/>
      <c r="Z76" s="273"/>
      <c r="AA76" s="275"/>
      <c r="AB76" s="273"/>
      <c r="AC76" s="317"/>
      <c r="AD76" s="317"/>
      <c r="AE76" s="270"/>
      <c r="AF76" s="317"/>
      <c r="AG76" s="270"/>
      <c r="AH76" s="317"/>
      <c r="AI76" s="276"/>
      <c r="AJ76" s="317"/>
      <c r="AK76" s="270"/>
      <c r="AL76" s="73"/>
      <c r="AM76" s="73"/>
      <c r="AN76" s="73"/>
      <c r="AO76" s="73"/>
      <c r="AP76" s="73"/>
      <c r="AQ76" s="73"/>
      <c r="AR76" s="73"/>
      <c r="AS76" s="73"/>
      <c r="AT76" s="73"/>
      <c r="AU76" s="73"/>
      <c r="AV76" s="318"/>
      <c r="AW76" s="73"/>
      <c r="AX76" s="73"/>
      <c r="AY76" s="269"/>
      <c r="AZ76" s="269"/>
      <c r="BA76" s="319"/>
      <c r="BB76" s="320"/>
      <c r="BC76" s="344"/>
      <c r="BD76" s="28"/>
    </row>
    <row r="77" spans="1:87" ht="13.5" customHeight="1">
      <c r="A77" s="22"/>
      <c r="B77" s="202">
        <v>31</v>
      </c>
      <c r="C77" s="331"/>
      <c r="D77" s="332"/>
      <c r="E77" s="65"/>
      <c r="F77" s="65"/>
      <c r="G77" s="65"/>
      <c r="H77" s="65"/>
      <c r="I77" s="65"/>
      <c r="J77" s="1021"/>
      <c r="K77" s="1021"/>
      <c r="L77" s="1021"/>
      <c r="M77" s="1021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198"/>
      <c r="AN77" s="198"/>
      <c r="AO77" s="198"/>
      <c r="AP77" s="198"/>
      <c r="AQ77" s="198"/>
      <c r="AR77" s="198"/>
      <c r="AS77" s="198"/>
      <c r="AT77" s="198"/>
      <c r="AU77" s="198"/>
      <c r="AV77" s="198"/>
      <c r="AW77" s="198"/>
      <c r="AX77" s="198"/>
      <c r="AY77" s="198"/>
      <c r="AZ77" s="33"/>
      <c r="BA77" s="46"/>
      <c r="BB77" s="78"/>
      <c r="BC77" s="34"/>
      <c r="BD77" s="28"/>
      <c r="BG77" s="24"/>
      <c r="BH77" s="28"/>
    </row>
    <row r="78" spans="1:87" ht="14.15" customHeight="1">
      <c r="A78" s="22"/>
      <c r="B78" s="129"/>
      <c r="C78" s="346" t="s">
        <v>131</v>
      </c>
      <c r="D78" s="28"/>
      <c r="E78" s="28"/>
      <c r="F78" s="28"/>
      <c r="G78" s="28"/>
      <c r="S78" s="35"/>
      <c r="T78" s="35"/>
      <c r="U78" s="35"/>
      <c r="V78" s="35"/>
      <c r="Y78" s="35"/>
      <c r="Z78" s="35"/>
      <c r="AD78" s="35"/>
      <c r="AE78" s="35"/>
      <c r="AF78" s="35"/>
      <c r="AG78" s="35"/>
      <c r="AH78" s="35"/>
      <c r="AI78" s="35"/>
      <c r="AJ78" s="28"/>
      <c r="AK78" s="28"/>
      <c r="AL78" s="28"/>
      <c r="AM78" s="130"/>
      <c r="AN78" s="130"/>
      <c r="AO78" s="35"/>
      <c r="AP78" s="35"/>
      <c r="AQ78" s="35"/>
      <c r="AR78" s="35"/>
      <c r="AS78" s="35"/>
      <c r="AT78" s="35"/>
      <c r="AU78" s="35"/>
      <c r="AV78" s="35"/>
      <c r="AW78" s="35"/>
      <c r="AX78" s="65"/>
      <c r="AY78" s="65"/>
      <c r="AZ78" s="33"/>
      <c r="BA78" s="46"/>
      <c r="BB78" s="78"/>
      <c r="BC78" s="34"/>
      <c r="BD78" s="28"/>
      <c r="BG78" s="35"/>
    </row>
    <row r="79" spans="1:87" ht="5.15" customHeight="1">
      <c r="A79" s="22"/>
      <c r="B79" s="202"/>
      <c r="C79" s="296"/>
      <c r="D79" s="72"/>
      <c r="E79" s="72"/>
      <c r="F79" s="72"/>
      <c r="G79" s="72"/>
      <c r="H79" s="297"/>
      <c r="I79" s="278"/>
      <c r="J79" s="279"/>
      <c r="K79" s="278"/>
      <c r="L79" s="279"/>
      <c r="M79" s="298"/>
      <c r="N79" s="298"/>
      <c r="O79" s="263"/>
      <c r="P79" s="298"/>
      <c r="Q79" s="263"/>
      <c r="R79" s="298"/>
      <c r="S79" s="72"/>
      <c r="T79" s="72"/>
      <c r="U79" s="72"/>
      <c r="V79" s="72"/>
      <c r="W79" s="72"/>
      <c r="X79" s="297"/>
      <c r="Y79" s="278"/>
      <c r="Z79" s="279"/>
      <c r="AA79" s="278"/>
      <c r="AB79" s="279"/>
      <c r="AC79" s="298"/>
      <c r="AD79" s="298"/>
      <c r="AE79" s="263"/>
      <c r="AF79" s="298"/>
      <c r="AG79" s="263"/>
      <c r="AH79" s="298"/>
      <c r="AI79" s="280"/>
      <c r="AJ79" s="298"/>
      <c r="AK79" s="263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300"/>
      <c r="AW79" s="72"/>
      <c r="AX79" s="72"/>
      <c r="AY79" s="265"/>
      <c r="AZ79" s="33"/>
      <c r="BA79" s="46"/>
      <c r="BB79" s="78"/>
      <c r="BC79" s="34"/>
      <c r="BD79" s="28"/>
    </row>
    <row r="80" spans="1:87" ht="14.15" customHeight="1">
      <c r="A80" s="23"/>
      <c r="B80" s="351"/>
      <c r="C80" s="282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5"/>
      <c r="S80" s="35"/>
      <c r="T80" s="28"/>
      <c r="U80" s="28"/>
      <c r="V80" s="28"/>
      <c r="W80" s="28"/>
      <c r="X80" s="28"/>
      <c r="Y80" s="28"/>
      <c r="Z80" s="28"/>
      <c r="AC80" s="28"/>
      <c r="AD80" s="28"/>
      <c r="AE80" s="35"/>
      <c r="AF80" s="35"/>
      <c r="AG80" s="35"/>
      <c r="AH80" s="35"/>
      <c r="AI80" s="35"/>
      <c r="AJ80" s="28"/>
      <c r="AK80" s="28"/>
      <c r="AL80" s="28"/>
      <c r="AM80" s="35"/>
      <c r="AN80" s="35"/>
      <c r="AO80" s="135"/>
      <c r="AP80" s="136"/>
      <c r="AQ80" s="130"/>
      <c r="AR80" s="130"/>
      <c r="AS80" s="130"/>
      <c r="AT80" s="130"/>
      <c r="AU80" s="81"/>
      <c r="AV80" s="35"/>
      <c r="AW80" s="35"/>
      <c r="AX80" s="65"/>
      <c r="AY80" s="347"/>
      <c r="AZ80" s="33"/>
      <c r="BA80" s="46"/>
      <c r="BB80" s="78"/>
      <c r="BC80" s="34"/>
      <c r="BD80" s="28"/>
      <c r="BG80" s="35"/>
    </row>
    <row r="81" spans="1:60" ht="14.15" customHeight="1">
      <c r="A81" s="23"/>
      <c r="B81" s="351"/>
      <c r="C81" s="352"/>
      <c r="D81" s="348" t="s">
        <v>38</v>
      </c>
      <c r="E81" s="131"/>
      <c r="F81" s="131"/>
      <c r="G81" s="131"/>
      <c r="H81" s="132"/>
      <c r="I81" s="132"/>
      <c r="J81" s="106"/>
      <c r="K81" s="133"/>
      <c r="L81" s="134"/>
      <c r="M81" s="144"/>
      <c r="N81" s="144"/>
      <c r="O81" s="131"/>
      <c r="P81" s="134"/>
      <c r="Q81" s="107"/>
      <c r="R81" s="133" t="s">
        <v>40</v>
      </c>
      <c r="S81" s="134"/>
      <c r="T81" s="107"/>
      <c r="U81" s="107"/>
      <c r="V81" s="133" t="s">
        <v>44</v>
      </c>
      <c r="W81" s="134"/>
      <c r="X81" s="107"/>
      <c r="Y81" s="35"/>
      <c r="Z81" s="35"/>
      <c r="AC81" s="28"/>
      <c r="AD81" s="28"/>
      <c r="AE81" s="28"/>
      <c r="AF81" s="35"/>
      <c r="AG81" s="35"/>
      <c r="AH81" s="28"/>
      <c r="AI81" s="28"/>
      <c r="AJ81" s="28"/>
      <c r="AK81" s="81"/>
      <c r="AL81" s="28"/>
      <c r="AM81" s="28"/>
      <c r="AN81" s="28"/>
      <c r="AO81" s="28"/>
      <c r="AP81" s="28"/>
      <c r="AQ81" s="65"/>
      <c r="AR81" s="65"/>
      <c r="AS81" s="65"/>
      <c r="AT81" s="125"/>
      <c r="AU81" s="65"/>
      <c r="AV81" s="65"/>
      <c r="AW81" s="65"/>
      <c r="AX81" s="65"/>
      <c r="AY81" s="347"/>
      <c r="AZ81" s="33"/>
      <c r="BA81" s="46"/>
      <c r="BB81" s="78"/>
      <c r="BC81" s="34"/>
      <c r="BD81" s="28"/>
      <c r="BE81" s="35"/>
      <c r="BF81" s="35"/>
      <c r="BG81" s="35"/>
    </row>
    <row r="82" spans="1:60" ht="13.5" customHeight="1">
      <c r="A82" s="22"/>
      <c r="B82" s="353"/>
      <c r="C82" s="352"/>
      <c r="D82" s="349" t="s">
        <v>45</v>
      </c>
      <c r="E82" s="137"/>
      <c r="F82" s="137"/>
      <c r="G82" s="137"/>
      <c r="H82" s="137"/>
      <c r="I82" s="137"/>
      <c r="J82" s="137"/>
      <c r="K82" s="350"/>
      <c r="L82" s="139"/>
      <c r="M82" s="108"/>
      <c r="N82" s="108"/>
      <c r="O82" s="145"/>
      <c r="P82" s="139"/>
      <c r="Q82" s="109"/>
      <c r="R82" s="138" t="s">
        <v>41</v>
      </c>
      <c r="S82" s="139"/>
      <c r="T82" s="108"/>
      <c r="U82" s="109"/>
      <c r="V82" s="140"/>
      <c r="W82" s="141"/>
      <c r="X82" s="142"/>
      <c r="Y82" s="116"/>
      <c r="Z82" s="41"/>
      <c r="AA82" s="116"/>
      <c r="AB82" s="116"/>
      <c r="AC82" s="116"/>
      <c r="AD82" s="116"/>
      <c r="AE82" s="116"/>
      <c r="AF82" s="116"/>
      <c r="AG82" s="116"/>
      <c r="AH82" s="116"/>
      <c r="AI82" s="116"/>
      <c r="AJ82" s="116"/>
      <c r="AK82" s="116"/>
      <c r="AL82" s="116"/>
      <c r="AM82" s="116"/>
      <c r="AN82" s="116"/>
      <c r="AO82" s="116"/>
      <c r="AP82" s="116"/>
      <c r="AQ82" s="65"/>
      <c r="AR82" s="65"/>
      <c r="AS82" s="65"/>
      <c r="AT82" s="125"/>
      <c r="AU82" s="65"/>
      <c r="AV82" s="65"/>
      <c r="AW82" s="65"/>
      <c r="AX82" s="65"/>
      <c r="AY82" s="347"/>
      <c r="AZ82" s="33"/>
      <c r="BA82" s="46"/>
      <c r="BB82" s="78"/>
      <c r="BC82" s="34"/>
      <c r="BD82" s="28"/>
      <c r="BE82" s="35"/>
      <c r="BF82" s="35"/>
      <c r="BG82" s="35"/>
    </row>
    <row r="83" spans="1:60" ht="5.15" customHeight="1">
      <c r="A83" s="22"/>
      <c r="B83" s="202"/>
      <c r="C83" s="315"/>
      <c r="D83" s="73"/>
      <c r="E83" s="73"/>
      <c r="F83" s="73"/>
      <c r="G83" s="73"/>
      <c r="H83" s="316"/>
      <c r="I83" s="275"/>
      <c r="J83" s="273"/>
      <c r="K83" s="275"/>
      <c r="L83" s="273"/>
      <c r="M83" s="317"/>
      <c r="N83" s="317"/>
      <c r="O83" s="270"/>
      <c r="P83" s="317"/>
      <c r="Q83" s="270"/>
      <c r="R83" s="317"/>
      <c r="S83" s="73"/>
      <c r="T83" s="73"/>
      <c r="U83" s="73"/>
      <c r="V83" s="73"/>
      <c r="W83" s="73"/>
      <c r="X83" s="316"/>
      <c r="Y83" s="275"/>
      <c r="Z83" s="273"/>
      <c r="AA83" s="275"/>
      <c r="AB83" s="273"/>
      <c r="AC83" s="317"/>
      <c r="AD83" s="317"/>
      <c r="AE83" s="270"/>
      <c r="AF83" s="317"/>
      <c r="AG83" s="270"/>
      <c r="AH83" s="317"/>
      <c r="AI83" s="276"/>
      <c r="AJ83" s="317"/>
      <c r="AK83" s="270"/>
      <c r="AL83" s="73"/>
      <c r="AM83" s="73"/>
      <c r="AN83" s="73"/>
      <c r="AO83" s="73"/>
      <c r="AP83" s="73"/>
      <c r="AQ83" s="73"/>
      <c r="AR83" s="73"/>
      <c r="AS83" s="73"/>
      <c r="AT83" s="73"/>
      <c r="AU83" s="73"/>
      <c r="AV83" s="318"/>
      <c r="AW83" s="73"/>
      <c r="AX83" s="73"/>
      <c r="AY83" s="277"/>
      <c r="AZ83" s="33"/>
      <c r="BA83" s="46"/>
      <c r="BB83" s="78"/>
      <c r="BC83" s="34"/>
      <c r="BD83" s="28"/>
    </row>
    <row r="84" spans="1:60" ht="14.15" customHeight="1">
      <c r="A84" s="22"/>
      <c r="B84" s="202">
        <v>35</v>
      </c>
      <c r="C84" s="331"/>
      <c r="D84" s="332"/>
      <c r="E84" s="65"/>
      <c r="F84" s="65"/>
      <c r="G84" s="65"/>
      <c r="H84" s="65"/>
      <c r="I84" s="65"/>
      <c r="J84" s="986"/>
      <c r="K84" s="986"/>
      <c r="L84" s="986"/>
      <c r="M84" s="986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125"/>
      <c r="AU84" s="65"/>
      <c r="AV84" s="65"/>
      <c r="AW84" s="65"/>
      <c r="AX84" s="65"/>
      <c r="AY84" s="65"/>
      <c r="AZ84" s="33"/>
      <c r="BA84" s="46"/>
      <c r="BB84" s="335"/>
      <c r="BC84" s="336"/>
      <c r="BD84" s="28"/>
      <c r="BG84" s="24"/>
      <c r="BH84" s="28"/>
    </row>
    <row r="85" spans="1:60" ht="14.15" customHeight="1">
      <c r="A85" s="22"/>
      <c r="B85" s="202">
        <v>35</v>
      </c>
      <c r="C85" s="346" t="s">
        <v>247</v>
      </c>
      <c r="D85" s="332"/>
      <c r="E85" s="65"/>
      <c r="F85" s="65"/>
      <c r="G85" s="65"/>
      <c r="H85" s="65"/>
      <c r="I85" s="65"/>
      <c r="J85" s="986"/>
      <c r="K85" s="986"/>
      <c r="L85" s="986"/>
      <c r="M85" s="986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125"/>
      <c r="AU85" s="65"/>
      <c r="AV85" s="65"/>
      <c r="AW85" s="65"/>
      <c r="AX85" s="65"/>
      <c r="AY85" s="65"/>
      <c r="AZ85" s="33"/>
      <c r="BA85" s="46"/>
      <c r="BB85" s="335"/>
      <c r="BC85" s="336"/>
      <c r="BD85" s="28"/>
      <c r="BG85" s="24"/>
      <c r="BH85" s="28"/>
    </row>
    <row r="86" spans="1:60" ht="14.15" customHeight="1">
      <c r="A86" s="22"/>
      <c r="B86" s="202">
        <v>35</v>
      </c>
      <c r="C86" s="331"/>
      <c r="D86" s="478" t="s">
        <v>248</v>
      </c>
      <c r="E86" s="65"/>
      <c r="F86" s="65"/>
      <c r="G86" s="65"/>
      <c r="H86" s="65"/>
      <c r="I86" s="65"/>
      <c r="J86" s="477"/>
      <c r="K86" s="477"/>
      <c r="L86" s="477"/>
      <c r="M86" s="477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125"/>
      <c r="AU86" s="65"/>
      <c r="AV86" s="65"/>
      <c r="AW86" s="65"/>
      <c r="AX86" s="65"/>
      <c r="AY86" s="65"/>
      <c r="AZ86" s="33"/>
      <c r="BA86" s="46"/>
      <c r="BB86" s="335"/>
      <c r="BC86" s="336"/>
      <c r="BD86" s="28"/>
      <c r="BG86" s="24"/>
      <c r="BH86" s="28"/>
    </row>
    <row r="87" spans="1:60" ht="14.15" customHeight="1">
      <c r="A87" s="22"/>
      <c r="B87" s="202">
        <v>35</v>
      </c>
      <c r="C87" s="331"/>
      <c r="D87" s="332"/>
      <c r="E87" s="65"/>
      <c r="F87" s="65"/>
      <c r="G87" s="65"/>
      <c r="H87" s="65"/>
      <c r="I87" s="65"/>
      <c r="J87" s="1025"/>
      <c r="K87" s="1025"/>
      <c r="L87" s="1025"/>
      <c r="M87" s="102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125"/>
      <c r="AU87" s="65"/>
      <c r="AV87" s="65"/>
      <c r="AW87" s="65"/>
      <c r="AX87" s="65"/>
      <c r="AY87" s="65"/>
      <c r="AZ87" s="33"/>
      <c r="BA87" s="46"/>
      <c r="BB87" s="335"/>
      <c r="BC87" s="336"/>
      <c r="BD87" s="28"/>
      <c r="BG87" s="24"/>
      <c r="BH87" s="28"/>
    </row>
    <row r="88" spans="1:60" ht="5.15" customHeight="1">
      <c r="A88" s="22"/>
      <c r="B88" s="202"/>
      <c r="C88" s="296"/>
      <c r="D88" s="72"/>
      <c r="E88" s="72"/>
      <c r="F88" s="72"/>
      <c r="G88" s="72"/>
      <c r="H88" s="297"/>
      <c r="I88" s="278"/>
      <c r="J88" s="279"/>
      <c r="K88" s="278"/>
      <c r="L88" s="279"/>
      <c r="M88" s="298"/>
      <c r="N88" s="298"/>
      <c r="O88" s="263"/>
      <c r="P88" s="298"/>
      <c r="Q88" s="263"/>
      <c r="R88" s="298"/>
      <c r="S88" s="72"/>
      <c r="T88" s="72"/>
      <c r="U88" s="72"/>
      <c r="V88" s="72"/>
      <c r="W88" s="72"/>
      <c r="X88" s="297"/>
      <c r="Y88" s="278"/>
      <c r="Z88" s="279"/>
      <c r="AA88" s="278"/>
      <c r="AB88" s="279"/>
      <c r="AC88" s="298"/>
      <c r="AD88" s="298"/>
      <c r="AE88" s="263"/>
      <c r="AF88" s="298"/>
      <c r="AG88" s="263"/>
      <c r="AH88" s="298"/>
      <c r="AI88" s="280"/>
      <c r="AJ88" s="298"/>
      <c r="AK88" s="263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300"/>
      <c r="AW88" s="72"/>
      <c r="AX88" s="72"/>
      <c r="AY88" s="265"/>
      <c r="AZ88" s="33"/>
      <c r="BA88" s="46"/>
      <c r="BB88" s="78"/>
      <c r="BC88" s="34"/>
      <c r="BD88" s="28"/>
    </row>
    <row r="89" spans="1:60" ht="14.15" customHeight="1">
      <c r="A89" s="23"/>
      <c r="B89" s="351"/>
      <c r="C89" s="282"/>
      <c r="D89" s="28" t="s">
        <v>240</v>
      </c>
      <c r="E89" s="28"/>
      <c r="F89" s="28"/>
      <c r="G89" s="28"/>
      <c r="H89" s="468" t="s">
        <v>245</v>
      </c>
      <c r="I89" s="257"/>
      <c r="J89" s="258"/>
      <c r="K89" s="258"/>
      <c r="L89" s="258"/>
      <c r="M89" s="259"/>
      <c r="N89" s="258"/>
      <c r="O89" s="110"/>
      <c r="P89" s="261" t="s">
        <v>33</v>
      </c>
      <c r="Q89" s="25"/>
      <c r="R89" s="469" t="s">
        <v>246</v>
      </c>
      <c r="S89" s="470"/>
      <c r="T89" s="471"/>
      <c r="U89" s="471"/>
      <c r="V89" s="483"/>
      <c r="W89" s="472"/>
      <c r="X89" s="471"/>
      <c r="Y89" s="473"/>
      <c r="Z89" s="474"/>
      <c r="AB89" s="469" t="s">
        <v>289</v>
      </c>
      <c r="AC89" s="470"/>
      <c r="AD89" s="471"/>
      <c r="AE89" s="471"/>
      <c r="AF89" s="471"/>
      <c r="AG89" s="472"/>
      <c r="AH89" s="471"/>
      <c r="AI89" s="473"/>
      <c r="AJ89" s="472"/>
      <c r="AK89" s="479"/>
      <c r="AL89" s="479"/>
      <c r="AM89" s="473"/>
      <c r="AN89" s="473"/>
      <c r="AO89" s="471"/>
      <c r="AP89" s="480"/>
      <c r="AQ89" s="471"/>
      <c r="AR89" s="471"/>
      <c r="AS89" s="471"/>
      <c r="AT89" s="471"/>
      <c r="AU89" s="481"/>
      <c r="AV89" s="473"/>
      <c r="AW89" s="473"/>
      <c r="AX89" s="482"/>
      <c r="AY89" s="347"/>
      <c r="AZ89" s="33"/>
      <c r="BA89" s="46"/>
      <c r="BB89" s="78"/>
      <c r="BC89" s="34"/>
      <c r="BD89" s="28"/>
      <c r="BG89" s="35"/>
    </row>
    <row r="90" spans="1:60" ht="14.15" customHeight="1">
      <c r="A90" s="23"/>
      <c r="B90" s="351"/>
      <c r="C90" s="282"/>
      <c r="D90" s="28"/>
      <c r="E90" s="28"/>
      <c r="F90" s="28"/>
      <c r="G90" s="28"/>
      <c r="H90" s="469" t="s">
        <v>54</v>
      </c>
      <c r="I90" s="470"/>
      <c r="J90" s="471"/>
      <c r="K90" s="471"/>
      <c r="L90" s="471"/>
      <c r="M90" s="472"/>
      <c r="N90" s="471"/>
      <c r="O90" s="473"/>
      <c r="P90" s="472"/>
      <c r="Q90" s="479"/>
      <c r="R90" s="479"/>
      <c r="S90" s="473"/>
      <c r="T90" s="473"/>
      <c r="U90" s="471"/>
      <c r="V90" s="480"/>
      <c r="W90" s="471"/>
      <c r="X90" s="471"/>
      <c r="Y90" s="471"/>
      <c r="Z90" s="471"/>
      <c r="AA90" s="481"/>
      <c r="AB90" s="473"/>
      <c r="AC90" s="473"/>
      <c r="AD90" s="479"/>
      <c r="AE90" s="471"/>
      <c r="AF90" s="471"/>
      <c r="AG90" s="472"/>
      <c r="AH90" s="471"/>
      <c r="AI90" s="473"/>
      <c r="AJ90" s="472"/>
      <c r="AK90" s="479"/>
      <c r="AL90" s="479"/>
      <c r="AM90" s="473"/>
      <c r="AN90" s="473"/>
      <c r="AO90" s="471"/>
      <c r="AP90" s="480"/>
      <c r="AQ90" s="471"/>
      <c r="AR90" s="471"/>
      <c r="AS90" s="471"/>
      <c r="AT90" s="471"/>
      <c r="AU90" s="481"/>
      <c r="AV90" s="473"/>
      <c r="AW90" s="473"/>
      <c r="AX90" s="482"/>
      <c r="AY90" s="347"/>
      <c r="AZ90" s="33"/>
      <c r="BA90" s="46"/>
      <c r="BB90" s="78"/>
      <c r="BC90" s="34"/>
      <c r="BD90" s="28"/>
      <c r="BG90" s="35"/>
    </row>
    <row r="91" spans="1:60" ht="5.15" customHeight="1">
      <c r="A91" s="22"/>
      <c r="B91" s="202"/>
      <c r="C91" s="315"/>
      <c r="D91" s="73"/>
      <c r="E91" s="73"/>
      <c r="F91" s="73"/>
      <c r="G91" s="73"/>
      <c r="H91" s="316"/>
      <c r="I91" s="275"/>
      <c r="J91" s="273"/>
      <c r="K91" s="275"/>
      <c r="L91" s="273"/>
      <c r="M91" s="317"/>
      <c r="N91" s="317"/>
      <c r="O91" s="270"/>
      <c r="P91" s="317"/>
      <c r="Q91" s="270"/>
      <c r="R91" s="317"/>
      <c r="S91" s="73"/>
      <c r="T91" s="73"/>
      <c r="U91" s="73"/>
      <c r="V91" s="73"/>
      <c r="W91" s="73"/>
      <c r="X91" s="316"/>
      <c r="Y91" s="275"/>
      <c r="Z91" s="273"/>
      <c r="AA91" s="275"/>
      <c r="AB91" s="273"/>
      <c r="AC91" s="317"/>
      <c r="AD91" s="317"/>
      <c r="AE91" s="270"/>
      <c r="AF91" s="317"/>
      <c r="AG91" s="270"/>
      <c r="AH91" s="317"/>
      <c r="AI91" s="276"/>
      <c r="AJ91" s="317"/>
      <c r="AK91" s="270"/>
      <c r="AL91" s="73"/>
      <c r="AM91" s="73"/>
      <c r="AN91" s="73"/>
      <c r="AO91" s="73"/>
      <c r="AP91" s="73"/>
      <c r="AQ91" s="73"/>
      <c r="AR91" s="73"/>
      <c r="AS91" s="73"/>
      <c r="AT91" s="73"/>
      <c r="AU91" s="73"/>
      <c r="AV91" s="318"/>
      <c r="AW91" s="73"/>
      <c r="AX91" s="73"/>
      <c r="AY91" s="277"/>
      <c r="AZ91" s="33"/>
      <c r="BA91" s="46"/>
      <c r="BB91" s="78"/>
      <c r="BC91" s="34"/>
      <c r="BD91" s="28"/>
    </row>
    <row r="92" spans="1:60" ht="5.15" customHeight="1">
      <c r="A92" s="22"/>
      <c r="B92" s="202"/>
      <c r="C92" s="476"/>
      <c r="D92" s="72"/>
      <c r="E92" s="72"/>
      <c r="F92" s="72"/>
      <c r="G92" s="72"/>
      <c r="H92" s="297"/>
      <c r="I92" s="278"/>
      <c r="J92" s="279"/>
      <c r="K92" s="278"/>
      <c r="L92" s="279"/>
      <c r="M92" s="298"/>
      <c r="N92" s="298"/>
      <c r="O92" s="263"/>
      <c r="P92" s="298"/>
      <c r="Q92" s="263"/>
      <c r="R92" s="298"/>
      <c r="S92" s="72"/>
      <c r="T92" s="72"/>
      <c r="U92" s="72"/>
      <c r="V92" s="72"/>
      <c r="W92" s="72"/>
      <c r="X92" s="297"/>
      <c r="Y92" s="278"/>
      <c r="Z92" s="279"/>
      <c r="AA92" s="278"/>
      <c r="AB92" s="279"/>
      <c r="AC92" s="298"/>
      <c r="AD92" s="298"/>
      <c r="AE92" s="263"/>
      <c r="AF92" s="298"/>
      <c r="AG92" s="263"/>
      <c r="AH92" s="298"/>
      <c r="AI92" s="280"/>
      <c r="AJ92" s="298"/>
      <c r="AK92" s="263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300"/>
      <c r="AW92" s="72"/>
      <c r="AX92" s="72"/>
      <c r="AY92" s="264"/>
      <c r="AZ92" s="33"/>
      <c r="BA92" s="46"/>
      <c r="BB92" s="78"/>
      <c r="BC92" s="34"/>
      <c r="BD92" s="28"/>
    </row>
    <row r="93" spans="1:60" ht="14.15" customHeight="1">
      <c r="A93" s="22"/>
      <c r="B93" s="202">
        <v>35</v>
      </c>
      <c r="C93" s="62" t="s">
        <v>243</v>
      </c>
      <c r="D93" s="332"/>
      <c r="E93" s="65"/>
      <c r="F93" s="65"/>
      <c r="G93" s="65"/>
      <c r="H93" s="65"/>
      <c r="I93" s="65"/>
      <c r="J93" s="986"/>
      <c r="K93" s="986"/>
      <c r="L93" s="986"/>
      <c r="M93" s="986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125"/>
      <c r="AU93" s="65"/>
      <c r="AV93" s="65"/>
      <c r="AW93" s="65"/>
      <c r="AX93" s="65"/>
      <c r="AY93" s="65"/>
      <c r="AZ93" s="33"/>
      <c r="BA93" s="46"/>
      <c r="BB93" s="335"/>
      <c r="BC93" s="336"/>
      <c r="BD93" s="28"/>
      <c r="BG93" s="24"/>
      <c r="BH93" s="28"/>
    </row>
    <row r="94" spans="1:60" ht="5.15" customHeight="1">
      <c r="A94" s="22"/>
      <c r="B94" s="202"/>
      <c r="C94" s="296"/>
      <c r="D94" s="72"/>
      <c r="E94" s="72"/>
      <c r="F94" s="72"/>
      <c r="G94" s="72"/>
      <c r="H94" s="297"/>
      <c r="I94" s="278"/>
      <c r="J94" s="279"/>
      <c r="K94" s="278"/>
      <c r="L94" s="279"/>
      <c r="M94" s="298"/>
      <c r="N94" s="298"/>
      <c r="O94" s="263"/>
      <c r="P94" s="298"/>
      <c r="Q94" s="263"/>
      <c r="R94" s="298"/>
      <c r="S94" s="72"/>
      <c r="T94" s="72"/>
      <c r="U94" s="72"/>
      <c r="V94" s="72"/>
      <c r="W94" s="72"/>
      <c r="X94" s="297"/>
      <c r="Y94" s="278"/>
      <c r="Z94" s="279"/>
      <c r="AA94" s="278"/>
      <c r="AB94" s="279"/>
      <c r="AC94" s="298"/>
      <c r="AD94" s="298"/>
      <c r="AE94" s="263"/>
      <c r="AF94" s="298"/>
      <c r="AG94" s="263"/>
      <c r="AH94" s="298"/>
      <c r="AI94" s="280"/>
      <c r="AJ94" s="298"/>
      <c r="AK94" s="263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300"/>
      <c r="AW94" s="72"/>
      <c r="AX94" s="72"/>
      <c r="AY94" s="265"/>
      <c r="AZ94" s="33"/>
      <c r="BA94" s="46"/>
      <c r="BB94" s="78"/>
      <c r="BC94" s="34"/>
      <c r="BD94" s="28"/>
    </row>
    <row r="95" spans="1:60" ht="14.15" customHeight="1">
      <c r="A95" s="23"/>
      <c r="B95" s="351"/>
      <c r="C95" s="282"/>
      <c r="D95" s="28" t="s">
        <v>240</v>
      </c>
      <c r="E95" s="28"/>
      <c r="F95" s="28"/>
      <c r="G95" s="28"/>
      <c r="H95" s="468" t="s">
        <v>241</v>
      </c>
      <c r="I95" s="257"/>
      <c r="J95" s="258"/>
      <c r="K95" s="258"/>
      <c r="L95" s="258"/>
      <c r="M95" s="259"/>
      <c r="N95" s="258"/>
      <c r="O95" s="110"/>
      <c r="P95" s="261" t="s">
        <v>33</v>
      </c>
      <c r="Q95" s="25"/>
      <c r="R95" s="469" t="s">
        <v>242</v>
      </c>
      <c r="S95" s="470"/>
      <c r="T95" s="471"/>
      <c r="U95" s="471"/>
      <c r="V95" s="483"/>
      <c r="W95" s="484" t="s">
        <v>254</v>
      </c>
      <c r="X95" s="471"/>
      <c r="Y95" s="473"/>
      <c r="Z95" s="474"/>
      <c r="AB95" s="529" t="s">
        <v>290</v>
      </c>
      <c r="AC95" s="530"/>
      <c r="AD95" s="531"/>
      <c r="AE95" s="531"/>
      <c r="AF95" s="531"/>
      <c r="AG95" s="532"/>
      <c r="AH95" s="531"/>
      <c r="AI95" s="533"/>
      <c r="AJ95" s="532"/>
      <c r="AK95" s="61"/>
      <c r="AL95" s="61"/>
      <c r="AM95" s="533"/>
      <c r="AN95" s="533"/>
      <c r="AO95" s="531"/>
      <c r="AP95" s="534"/>
      <c r="AQ95" s="531"/>
      <c r="AR95" s="531"/>
      <c r="AS95" s="531"/>
      <c r="AT95" s="531"/>
      <c r="AU95" s="535"/>
      <c r="AV95" s="533"/>
      <c r="AW95" s="533"/>
      <c r="AX95" s="70"/>
      <c r="AY95" s="347"/>
      <c r="AZ95" s="33"/>
      <c r="BA95" s="46"/>
      <c r="BB95" s="78"/>
      <c r="BC95" s="34"/>
      <c r="BD95" s="28"/>
      <c r="BG95" s="35"/>
    </row>
    <row r="96" spans="1:60" ht="14.15" customHeight="1">
      <c r="A96" s="23"/>
      <c r="B96" s="351"/>
      <c r="C96" s="282"/>
      <c r="D96" s="28"/>
      <c r="E96" s="28"/>
      <c r="F96" s="28"/>
      <c r="G96" s="28"/>
      <c r="H96" s="469" t="s">
        <v>253</v>
      </c>
      <c r="I96" s="470"/>
      <c r="J96" s="471"/>
      <c r="K96" s="471"/>
      <c r="L96" s="471"/>
      <c r="M96" s="472"/>
      <c r="N96" s="471"/>
      <c r="O96" s="473"/>
      <c r="P96" s="472"/>
      <c r="Q96" s="479"/>
      <c r="R96" s="479"/>
      <c r="S96" s="473"/>
      <c r="T96" s="473"/>
      <c r="U96" s="471"/>
      <c r="V96" s="480"/>
      <c r="W96" s="471"/>
      <c r="X96" s="471"/>
      <c r="Y96" s="471"/>
      <c r="Z96" s="471"/>
      <c r="AA96" s="481"/>
      <c r="AB96" s="473"/>
      <c r="AC96" s="473"/>
      <c r="AD96" s="479"/>
      <c r="AE96" s="471"/>
      <c r="AF96" s="471"/>
      <c r="AG96" s="472"/>
      <c r="AH96" s="471"/>
      <c r="AI96" s="473"/>
      <c r="AJ96" s="472"/>
      <c r="AK96" s="479"/>
      <c r="AL96" s="479"/>
      <c r="AM96" s="473"/>
      <c r="AN96" s="473"/>
      <c r="AO96" s="471"/>
      <c r="AP96" s="480"/>
      <c r="AQ96" s="471"/>
      <c r="AR96" s="471"/>
      <c r="AS96" s="471"/>
      <c r="AT96" s="471"/>
      <c r="AU96" s="481"/>
      <c r="AV96" s="473"/>
      <c r="AW96" s="473"/>
      <c r="AX96" s="482"/>
      <c r="AY96" s="347"/>
      <c r="AZ96" s="33"/>
      <c r="BA96" s="46"/>
      <c r="BB96" s="78"/>
      <c r="BC96" s="34"/>
      <c r="BD96" s="28"/>
      <c r="BG96" s="35"/>
    </row>
    <row r="97" spans="1:60" ht="5.15" customHeight="1">
      <c r="A97" s="22"/>
      <c r="B97" s="202"/>
      <c r="C97" s="315"/>
      <c r="D97" s="73"/>
      <c r="E97" s="73"/>
      <c r="F97" s="73"/>
      <c r="G97" s="73"/>
      <c r="H97" s="316"/>
      <c r="I97" s="275"/>
      <c r="J97" s="273"/>
      <c r="K97" s="275"/>
      <c r="L97" s="273"/>
      <c r="M97" s="317"/>
      <c r="N97" s="317"/>
      <c r="O97" s="270"/>
      <c r="P97" s="317"/>
      <c r="Q97" s="270"/>
      <c r="R97" s="317"/>
      <c r="S97" s="73"/>
      <c r="T97" s="73"/>
      <c r="U97" s="73"/>
      <c r="V97" s="73"/>
      <c r="W97" s="73"/>
      <c r="X97" s="316"/>
      <c r="Y97" s="275"/>
      <c r="Z97" s="273"/>
      <c r="AA97" s="275"/>
      <c r="AB97" s="273"/>
      <c r="AC97" s="317"/>
      <c r="AD97" s="317"/>
      <c r="AE97" s="270"/>
      <c r="AF97" s="317"/>
      <c r="AG97" s="270"/>
      <c r="AH97" s="317"/>
      <c r="AI97" s="276"/>
      <c r="AJ97" s="317"/>
      <c r="AK97" s="270"/>
      <c r="AL97" s="73"/>
      <c r="AM97" s="73"/>
      <c r="AN97" s="73"/>
      <c r="AO97" s="73"/>
      <c r="AP97" s="73"/>
      <c r="AQ97" s="73"/>
      <c r="AR97" s="73"/>
      <c r="AS97" s="73"/>
      <c r="AT97" s="73"/>
      <c r="AU97" s="73"/>
      <c r="AV97" s="318"/>
      <c r="AW97" s="73"/>
      <c r="AX97" s="73"/>
      <c r="AY97" s="277"/>
      <c r="AZ97" s="33"/>
      <c r="BA97" s="46"/>
      <c r="BB97" s="78"/>
      <c r="BC97" s="34"/>
      <c r="BD97" s="28"/>
    </row>
    <row r="98" spans="1:60" ht="5.15" customHeight="1">
      <c r="A98" s="22"/>
      <c r="B98" s="202"/>
      <c r="C98" s="476"/>
      <c r="D98" s="72"/>
      <c r="E98" s="72"/>
      <c r="F98" s="72"/>
      <c r="G98" s="72"/>
      <c r="H98" s="297"/>
      <c r="I98" s="278"/>
      <c r="J98" s="279"/>
      <c r="K98" s="278"/>
      <c r="L98" s="279"/>
      <c r="M98" s="298"/>
      <c r="N98" s="298"/>
      <c r="O98" s="263"/>
      <c r="P98" s="298"/>
      <c r="Q98" s="263"/>
      <c r="R98" s="298"/>
      <c r="S98" s="72"/>
      <c r="T98" s="72"/>
      <c r="U98" s="72"/>
      <c r="V98" s="72"/>
      <c r="W98" s="72"/>
      <c r="X98" s="297"/>
      <c r="Y98" s="278"/>
      <c r="Z98" s="279"/>
      <c r="AA98" s="278"/>
      <c r="AB98" s="279"/>
      <c r="AC98" s="298"/>
      <c r="AD98" s="298"/>
      <c r="AE98" s="263"/>
      <c r="AF98" s="298"/>
      <c r="AG98" s="263"/>
      <c r="AH98" s="298"/>
      <c r="AI98" s="280"/>
      <c r="AJ98" s="298"/>
      <c r="AK98" s="263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300"/>
      <c r="AW98" s="72"/>
      <c r="AX98" s="72"/>
      <c r="AY98" s="264"/>
      <c r="AZ98" s="33"/>
      <c r="BA98" s="46"/>
      <c r="BB98" s="78"/>
      <c r="BC98" s="34"/>
      <c r="BD98" s="28"/>
    </row>
    <row r="99" spans="1:60" ht="14.15" customHeight="1">
      <c r="A99" s="22"/>
      <c r="B99" s="202">
        <v>35</v>
      </c>
      <c r="C99" s="62" t="s">
        <v>243</v>
      </c>
      <c r="D99" s="332"/>
      <c r="E99" s="65"/>
      <c r="F99" s="65"/>
      <c r="G99" s="65"/>
      <c r="H99" s="65"/>
      <c r="I99" s="65"/>
      <c r="J99" s="477"/>
      <c r="K99" s="477"/>
      <c r="L99" s="477"/>
      <c r="M99" s="477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125"/>
      <c r="AU99" s="65"/>
      <c r="AV99" s="65"/>
      <c r="AW99" s="65"/>
      <c r="AX99" s="65"/>
      <c r="AY99" s="65"/>
      <c r="AZ99" s="33"/>
      <c r="BA99" s="46"/>
      <c r="BB99" s="335"/>
      <c r="BC99" s="336"/>
      <c r="BD99" s="28"/>
      <c r="BG99" s="24"/>
      <c r="BH99" s="28"/>
    </row>
    <row r="100" spans="1:60" ht="14.15" customHeight="1">
      <c r="A100" s="22"/>
      <c r="B100" s="202">
        <v>35</v>
      </c>
      <c r="C100" s="331"/>
      <c r="D100" s="332"/>
      <c r="E100" s="65"/>
      <c r="F100" s="65"/>
      <c r="G100" s="65"/>
      <c r="H100" s="65"/>
      <c r="I100" s="65"/>
      <c r="J100" s="477"/>
      <c r="K100" s="477"/>
      <c r="L100" s="477"/>
      <c r="M100" s="477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125"/>
      <c r="AU100" s="65"/>
      <c r="AV100" s="65"/>
      <c r="AW100" s="65"/>
      <c r="AX100" s="65"/>
      <c r="AY100" s="65"/>
      <c r="AZ100" s="33"/>
      <c r="BA100" s="46"/>
      <c r="BB100" s="335"/>
      <c r="BC100" s="336"/>
      <c r="BD100" s="28"/>
      <c r="BG100" s="24"/>
      <c r="BH100" s="28"/>
    </row>
    <row r="101" spans="1:60" ht="14.15" customHeight="1">
      <c r="A101" s="22"/>
      <c r="B101" s="202">
        <v>35</v>
      </c>
      <c r="C101" s="346" t="s">
        <v>249</v>
      </c>
      <c r="D101" s="332"/>
      <c r="E101" s="65"/>
      <c r="F101" s="65"/>
      <c r="G101" s="65"/>
      <c r="H101" s="65"/>
      <c r="I101" s="65"/>
      <c r="J101" s="986"/>
      <c r="K101" s="986"/>
      <c r="L101" s="986"/>
      <c r="M101" s="986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125"/>
      <c r="AU101" s="65"/>
      <c r="AV101" s="65"/>
      <c r="AW101" s="65"/>
      <c r="AX101" s="65"/>
      <c r="AY101" s="65"/>
      <c r="AZ101" s="33"/>
      <c r="BA101" s="46"/>
      <c r="BB101" s="335"/>
      <c r="BC101" s="336"/>
      <c r="BD101" s="28"/>
      <c r="BG101" s="24"/>
      <c r="BH101" s="28"/>
    </row>
    <row r="102" spans="1:60" ht="5.15" customHeight="1">
      <c r="A102" s="22"/>
      <c r="B102" s="202"/>
      <c r="C102" s="296"/>
      <c r="D102" s="72"/>
      <c r="E102" s="72"/>
      <c r="F102" s="72"/>
      <c r="G102" s="72"/>
      <c r="H102" s="297"/>
      <c r="I102" s="278"/>
      <c r="J102" s="279"/>
      <c r="K102" s="278"/>
      <c r="L102" s="279"/>
      <c r="M102" s="298"/>
      <c r="N102" s="298"/>
      <c r="O102" s="263"/>
      <c r="P102" s="298"/>
      <c r="Q102" s="263"/>
      <c r="R102" s="298"/>
      <c r="S102" s="72"/>
      <c r="T102" s="72"/>
      <c r="U102" s="72"/>
      <c r="V102" s="72"/>
      <c r="W102" s="72"/>
      <c r="X102" s="297"/>
      <c r="Y102" s="278"/>
      <c r="Z102" s="279"/>
      <c r="AA102" s="278"/>
      <c r="AB102" s="279"/>
      <c r="AC102" s="298"/>
      <c r="AD102" s="298"/>
      <c r="AE102" s="263"/>
      <c r="AF102" s="298"/>
      <c r="AG102" s="263"/>
      <c r="AH102" s="298"/>
      <c r="AI102" s="280"/>
      <c r="AJ102" s="298"/>
      <c r="AK102" s="263"/>
      <c r="AL102" s="72"/>
      <c r="AM102" s="72"/>
      <c r="AN102" s="72"/>
      <c r="AO102" s="72"/>
      <c r="AP102" s="72"/>
      <c r="AQ102" s="72"/>
      <c r="AR102" s="72"/>
      <c r="AS102" s="72"/>
      <c r="AT102" s="72"/>
      <c r="AU102" s="72"/>
      <c r="AV102" s="300"/>
      <c r="AW102" s="72"/>
      <c r="AX102" s="72"/>
      <c r="AY102" s="265"/>
      <c r="AZ102" s="33"/>
      <c r="BA102" s="46"/>
      <c r="BB102" s="335"/>
      <c r="BC102" s="336"/>
      <c r="BD102" s="28"/>
    </row>
    <row r="103" spans="1:60" ht="13.5" customHeight="1">
      <c r="A103" s="22"/>
      <c r="B103" s="45"/>
      <c r="C103" s="266"/>
      <c r="D103" s="28" t="s">
        <v>250</v>
      </c>
      <c r="E103" s="28"/>
      <c r="F103" s="28"/>
      <c r="G103" s="28"/>
      <c r="H103" s="24"/>
      <c r="I103" s="24"/>
      <c r="J103" s="24"/>
      <c r="K103" s="24"/>
      <c r="L103" s="24"/>
      <c r="M103" s="127"/>
      <c r="N103" s="75"/>
      <c r="O103" s="84"/>
      <c r="P103" s="84"/>
      <c r="Q103" s="85"/>
      <c r="R103" s="75"/>
      <c r="S103" s="75"/>
      <c r="T103" s="75"/>
      <c r="U103" s="84"/>
      <c r="V103" s="85"/>
      <c r="W103" s="75"/>
      <c r="X103" s="65"/>
      <c r="Y103" s="28"/>
      <c r="Z103" s="28"/>
      <c r="AA103" s="28"/>
      <c r="AB103" s="28"/>
      <c r="AC103" s="28"/>
      <c r="AD103" s="28"/>
      <c r="AE103" s="28"/>
      <c r="AF103" s="28"/>
      <c r="AG103" s="28"/>
      <c r="AH103" s="28"/>
      <c r="AI103" s="28"/>
      <c r="AJ103" s="28"/>
      <c r="AK103" s="28"/>
      <c r="AL103" s="28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65"/>
      <c r="AY103" s="267"/>
      <c r="AZ103" s="33"/>
      <c r="BA103" s="46"/>
      <c r="BB103" s="335"/>
      <c r="BC103" s="336"/>
      <c r="BD103" s="28"/>
      <c r="BE103" s="35"/>
      <c r="BF103" s="35"/>
      <c r="BG103" s="35"/>
    </row>
    <row r="104" spans="1:60" ht="13.5" customHeight="1">
      <c r="A104" s="22"/>
      <c r="B104" s="45"/>
      <c r="C104" s="266"/>
      <c r="D104" s="28"/>
      <c r="E104" s="28"/>
      <c r="F104" s="28"/>
      <c r="G104" s="28"/>
      <c r="H104" s="348" t="s">
        <v>252</v>
      </c>
      <c r="I104" s="131"/>
      <c r="J104" s="131"/>
      <c r="K104" s="131"/>
      <c r="L104" s="132"/>
      <c r="M104" s="132"/>
      <c r="N104" s="106"/>
      <c r="O104" s="133"/>
      <c r="P104" s="134"/>
      <c r="Q104" s="133" t="s">
        <v>251</v>
      </c>
      <c r="R104" s="134"/>
      <c r="S104" s="107"/>
      <c r="T104" s="107"/>
      <c r="U104" s="107"/>
      <c r="V104" s="107"/>
      <c r="W104" s="107"/>
      <c r="X104" s="107"/>
      <c r="Y104" s="107"/>
      <c r="Z104" s="107"/>
      <c r="AA104" s="107"/>
      <c r="AB104" s="107"/>
      <c r="AC104" s="107"/>
      <c r="AD104" s="107"/>
      <c r="AE104" s="107"/>
      <c r="AF104" s="107"/>
      <c r="AG104" s="107"/>
      <c r="AH104" s="107"/>
      <c r="AI104" s="107"/>
      <c r="AJ104" s="107"/>
      <c r="AK104" s="107"/>
      <c r="AL104" s="133" t="s">
        <v>44</v>
      </c>
      <c r="AM104" s="134"/>
      <c r="AN104" s="107"/>
      <c r="AO104" s="31"/>
      <c r="AP104" s="31"/>
      <c r="AQ104" s="31"/>
      <c r="AR104" s="31"/>
      <c r="AS104" s="31"/>
      <c r="AT104" s="31"/>
      <c r="AU104" s="31"/>
      <c r="AV104" s="31"/>
      <c r="AW104" s="31"/>
      <c r="AX104" s="65"/>
      <c r="AY104" s="267"/>
      <c r="AZ104" s="33"/>
      <c r="BA104" s="46"/>
      <c r="BB104" s="335"/>
      <c r="BC104" s="336"/>
      <c r="BD104" s="28"/>
      <c r="BE104" s="35"/>
      <c r="BF104" s="35"/>
      <c r="BG104" s="35"/>
    </row>
    <row r="105" spans="1:60" ht="13.5" customHeight="1">
      <c r="A105" s="22"/>
      <c r="B105" s="45"/>
      <c r="C105" s="266"/>
      <c r="D105" s="28"/>
      <c r="E105" s="28"/>
      <c r="F105" s="28"/>
      <c r="G105" s="28"/>
      <c r="H105" s="485" t="s">
        <v>255</v>
      </c>
      <c r="I105" s="137"/>
      <c r="J105" s="137"/>
      <c r="K105" s="137"/>
      <c r="L105" s="137"/>
      <c r="M105" s="137"/>
      <c r="N105" s="137"/>
      <c r="O105" s="350"/>
      <c r="P105" s="139"/>
      <c r="Q105" s="486" t="s">
        <v>54</v>
      </c>
      <c r="R105" s="139"/>
      <c r="S105" s="108"/>
      <c r="T105" s="108"/>
      <c r="U105" s="108"/>
      <c r="V105" s="156"/>
      <c r="W105" s="110"/>
      <c r="X105" s="110"/>
      <c r="Y105" s="156"/>
      <c r="Z105" s="156"/>
      <c r="AA105" s="110"/>
      <c r="AB105" s="110"/>
      <c r="AC105" s="37"/>
      <c r="AD105" s="37"/>
      <c r="AE105" s="37"/>
      <c r="AF105" s="37"/>
      <c r="AG105" s="37"/>
      <c r="AH105" s="37"/>
      <c r="AI105" s="37"/>
      <c r="AJ105" s="37"/>
      <c r="AK105" s="97"/>
      <c r="AL105" s="140"/>
      <c r="AM105" s="141"/>
      <c r="AN105" s="142"/>
      <c r="AO105" s="31"/>
      <c r="AP105" s="31"/>
      <c r="AQ105" s="31"/>
      <c r="AR105" s="31"/>
      <c r="AS105" s="31"/>
      <c r="AT105" s="31"/>
      <c r="AU105" s="31"/>
      <c r="AV105" s="31"/>
      <c r="AW105" s="31"/>
      <c r="AX105" s="65"/>
      <c r="AY105" s="267"/>
      <c r="AZ105" s="33"/>
      <c r="BA105" s="46"/>
      <c r="BB105" s="335"/>
      <c r="BC105" s="336"/>
      <c r="BD105" s="28"/>
      <c r="BE105" s="35"/>
      <c r="BF105" s="35"/>
      <c r="BG105" s="35"/>
    </row>
    <row r="106" spans="1:60" ht="13.5" customHeight="1">
      <c r="A106" s="22"/>
      <c r="B106" s="45"/>
      <c r="C106" s="266"/>
      <c r="D106" s="28"/>
      <c r="E106" s="28"/>
      <c r="F106" s="28"/>
      <c r="G106" s="28"/>
      <c r="H106" s="485" t="s">
        <v>256</v>
      </c>
      <c r="I106" s="137"/>
      <c r="J106" s="137"/>
      <c r="K106" s="137"/>
      <c r="L106" s="137"/>
      <c r="M106" s="137"/>
      <c r="N106" s="137"/>
      <c r="O106" s="350"/>
      <c r="P106" s="139"/>
      <c r="Q106" s="486" t="s">
        <v>54</v>
      </c>
      <c r="R106" s="139"/>
      <c r="S106" s="108"/>
      <c r="T106" s="108"/>
      <c r="U106" s="108"/>
      <c r="V106" s="156"/>
      <c r="W106" s="110"/>
      <c r="X106" s="110"/>
      <c r="Y106" s="156"/>
      <c r="Z106" s="156"/>
      <c r="AA106" s="110"/>
      <c r="AB106" s="110"/>
      <c r="AC106" s="37"/>
      <c r="AD106" s="37"/>
      <c r="AE106" s="37"/>
      <c r="AF106" s="37"/>
      <c r="AG106" s="37"/>
      <c r="AH106" s="37"/>
      <c r="AI106" s="37"/>
      <c r="AJ106" s="37"/>
      <c r="AK106" s="97"/>
      <c r="AL106" s="140"/>
      <c r="AM106" s="141"/>
      <c r="AN106" s="142"/>
      <c r="AO106" s="31"/>
      <c r="AP106" s="31"/>
      <c r="AQ106" s="31"/>
      <c r="AR106" s="31"/>
      <c r="AS106" s="31"/>
      <c r="AT106" s="31"/>
      <c r="AU106" s="31"/>
      <c r="AV106" s="31"/>
      <c r="AW106" s="31"/>
      <c r="AX106" s="65"/>
      <c r="AY106" s="267"/>
      <c r="AZ106" s="33"/>
      <c r="BA106" s="46"/>
      <c r="BB106" s="335"/>
      <c r="BC106" s="336"/>
      <c r="BD106" s="28"/>
      <c r="BE106" s="35"/>
      <c r="BF106" s="35"/>
      <c r="BG106" s="35"/>
    </row>
    <row r="107" spans="1:60" ht="13.5" customHeight="1">
      <c r="A107" s="22"/>
      <c r="B107" s="45"/>
      <c r="C107" s="266"/>
      <c r="D107" s="28"/>
      <c r="E107" s="28"/>
      <c r="F107" s="28"/>
      <c r="G107" s="28"/>
      <c r="H107" s="485" t="s">
        <v>257</v>
      </c>
      <c r="I107" s="137"/>
      <c r="J107" s="137"/>
      <c r="K107" s="137"/>
      <c r="L107" s="137"/>
      <c r="M107" s="137"/>
      <c r="N107" s="137"/>
      <c r="O107" s="350"/>
      <c r="P107" s="139"/>
      <c r="Q107" s="486" t="s">
        <v>54</v>
      </c>
      <c r="R107" s="139"/>
      <c r="S107" s="108"/>
      <c r="T107" s="108"/>
      <c r="U107" s="108"/>
      <c r="V107" s="156"/>
      <c r="W107" s="110"/>
      <c r="X107" s="110"/>
      <c r="Y107" s="156"/>
      <c r="Z107" s="156"/>
      <c r="AA107" s="110"/>
      <c r="AB107" s="110"/>
      <c r="AC107" s="37"/>
      <c r="AD107" s="37"/>
      <c r="AE107" s="37"/>
      <c r="AF107" s="37"/>
      <c r="AG107" s="37"/>
      <c r="AH107" s="37"/>
      <c r="AI107" s="37"/>
      <c r="AJ107" s="37"/>
      <c r="AK107" s="97"/>
      <c r="AL107" s="140"/>
      <c r="AM107" s="141"/>
      <c r="AN107" s="142"/>
      <c r="AO107" s="31"/>
      <c r="AP107" s="31"/>
      <c r="AQ107" s="31"/>
      <c r="AR107" s="31"/>
      <c r="AS107" s="31"/>
      <c r="AT107" s="31"/>
      <c r="AU107" s="31"/>
      <c r="AV107" s="31"/>
      <c r="AW107" s="31"/>
      <c r="AX107" s="65"/>
      <c r="AY107" s="267"/>
      <c r="AZ107" s="33"/>
      <c r="BA107" s="46"/>
      <c r="BB107" s="335"/>
      <c r="BC107" s="336"/>
      <c r="BD107" s="28"/>
      <c r="BE107" s="35"/>
      <c r="BF107" s="35"/>
      <c r="BG107" s="35"/>
    </row>
    <row r="108" spans="1:60" ht="5.15" customHeight="1">
      <c r="A108" s="22"/>
      <c r="B108" s="202"/>
      <c r="C108" s="315"/>
      <c r="D108" s="73"/>
      <c r="E108" s="73"/>
      <c r="F108" s="73"/>
      <c r="G108" s="73"/>
      <c r="H108" s="316"/>
      <c r="I108" s="275"/>
      <c r="J108" s="273"/>
      <c r="K108" s="275"/>
      <c r="L108" s="273"/>
      <c r="M108" s="317"/>
      <c r="N108" s="317"/>
      <c r="O108" s="270"/>
      <c r="P108" s="317"/>
      <c r="Q108" s="270"/>
      <c r="R108" s="317"/>
      <c r="S108" s="73"/>
      <c r="T108" s="73"/>
      <c r="U108" s="73"/>
      <c r="V108" s="73"/>
      <c r="W108" s="73"/>
      <c r="X108" s="316"/>
      <c r="Y108" s="275"/>
      <c r="Z108" s="273"/>
      <c r="AA108" s="275"/>
      <c r="AB108" s="273"/>
      <c r="AC108" s="317"/>
      <c r="AD108" s="317"/>
      <c r="AE108" s="270"/>
      <c r="AF108" s="317"/>
      <c r="AG108" s="270"/>
      <c r="AH108" s="317"/>
      <c r="AI108" s="276"/>
      <c r="AJ108" s="317"/>
      <c r="AK108" s="270"/>
      <c r="AL108" s="73"/>
      <c r="AM108" s="73"/>
      <c r="AN108" s="73"/>
      <c r="AO108" s="73"/>
      <c r="AP108" s="73"/>
      <c r="AQ108" s="73"/>
      <c r="AR108" s="73"/>
      <c r="AS108" s="73"/>
      <c r="AT108" s="73"/>
      <c r="AU108" s="73"/>
      <c r="AV108" s="318"/>
      <c r="AW108" s="73"/>
      <c r="AX108" s="73"/>
      <c r="AY108" s="277"/>
      <c r="AZ108" s="33"/>
      <c r="BA108" s="46"/>
      <c r="BB108" s="335"/>
      <c r="BC108" s="336"/>
      <c r="BD108" s="28"/>
    </row>
    <row r="109" spans="1:60" ht="14.15" customHeight="1">
      <c r="A109" s="22"/>
      <c r="B109" s="202"/>
      <c r="C109" s="331"/>
      <c r="D109" s="332"/>
      <c r="E109" s="65"/>
      <c r="F109" s="65"/>
      <c r="G109" s="65"/>
      <c r="H109" s="65"/>
      <c r="I109" s="65"/>
      <c r="J109" s="354"/>
      <c r="K109" s="354"/>
      <c r="L109" s="354"/>
      <c r="M109" s="354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125"/>
      <c r="AU109" s="65"/>
      <c r="AV109" s="65"/>
      <c r="AW109" s="65"/>
      <c r="AX109" s="65"/>
      <c r="AY109" s="65"/>
      <c r="AZ109" s="33"/>
      <c r="BA109" s="46"/>
      <c r="BB109" s="335"/>
      <c r="BC109" s="336"/>
      <c r="BD109" s="28"/>
      <c r="BG109" s="24"/>
      <c r="BH109" s="28"/>
    </row>
    <row r="110" spans="1:60" ht="13.5" customHeight="1">
      <c r="A110" s="22"/>
      <c r="B110" s="202">
        <v>36</v>
      </c>
      <c r="C110" s="331"/>
      <c r="D110" s="332"/>
      <c r="E110" s="65"/>
      <c r="F110" s="65"/>
      <c r="G110" s="65"/>
      <c r="H110" s="65"/>
      <c r="I110" s="65"/>
      <c r="J110" s="986"/>
      <c r="K110" s="986"/>
      <c r="L110" s="986"/>
      <c r="M110" s="986"/>
      <c r="N110" s="63"/>
      <c r="O110" s="65"/>
      <c r="P110" s="65"/>
      <c r="Q110" s="65"/>
      <c r="R110" s="28"/>
      <c r="S110" s="28"/>
      <c r="T110" s="31"/>
      <c r="U110" s="31"/>
      <c r="V110" s="31"/>
      <c r="W110" s="31"/>
      <c r="X110" s="31"/>
      <c r="Y110" s="44"/>
      <c r="Z110" s="31"/>
      <c r="AA110" s="28"/>
      <c r="AB110" s="44"/>
      <c r="AC110" s="31"/>
      <c r="AD110" s="28"/>
      <c r="AE110" s="44"/>
      <c r="AF110" s="28"/>
      <c r="AG110" s="116"/>
      <c r="AH110" s="41"/>
      <c r="AI110" s="116"/>
      <c r="AJ110" s="116"/>
      <c r="AK110" s="116"/>
      <c r="AL110" s="116"/>
      <c r="AM110" s="116"/>
      <c r="AN110" s="116"/>
      <c r="AO110" s="116"/>
      <c r="AP110" s="116"/>
      <c r="AQ110" s="116"/>
      <c r="AR110" s="116"/>
      <c r="AS110" s="116"/>
      <c r="AT110" s="116"/>
      <c r="AU110" s="116"/>
      <c r="AV110" s="116"/>
      <c r="AW110" s="116"/>
      <c r="AX110" s="116"/>
      <c r="AY110" s="116"/>
      <c r="AZ110" s="33"/>
      <c r="BA110" s="46"/>
      <c r="BB110" s="335"/>
      <c r="BC110" s="336"/>
      <c r="BD110" s="28"/>
      <c r="BG110" s="24"/>
      <c r="BH110" s="28"/>
    </row>
    <row r="111" spans="1:60" ht="13.5" customHeight="1">
      <c r="A111" s="22"/>
      <c r="B111" s="202">
        <v>37</v>
      </c>
      <c r="C111" s="331"/>
      <c r="D111" s="332"/>
      <c r="E111" s="65"/>
      <c r="F111" s="65"/>
      <c r="G111" s="65"/>
      <c r="H111" s="65"/>
      <c r="I111" s="65"/>
      <c r="J111" s="986"/>
      <c r="K111" s="986"/>
      <c r="L111" s="986"/>
      <c r="M111" s="986"/>
      <c r="N111" s="193"/>
      <c r="O111" s="195"/>
      <c r="P111" s="193"/>
      <c r="Q111" s="194"/>
      <c r="R111" s="194"/>
      <c r="S111" s="194"/>
      <c r="T111" s="196"/>
      <c r="U111" s="196"/>
      <c r="V111" s="196"/>
      <c r="W111" s="196"/>
      <c r="X111" s="196"/>
      <c r="Y111" s="195"/>
      <c r="Z111" s="196"/>
      <c r="AA111" s="194"/>
      <c r="AB111" s="195"/>
      <c r="AC111" s="196"/>
      <c r="AD111" s="194"/>
      <c r="AE111" s="195"/>
      <c r="AF111" s="194"/>
      <c r="AG111" s="194"/>
      <c r="AH111" s="195"/>
      <c r="AI111" s="194"/>
      <c r="AJ111" s="194"/>
      <c r="AK111" s="197"/>
      <c r="AL111" s="194"/>
      <c r="AM111" s="194"/>
      <c r="AN111" s="194"/>
      <c r="AO111" s="194"/>
      <c r="AP111" s="194"/>
      <c r="AQ111" s="194"/>
      <c r="AR111" s="194"/>
      <c r="AS111" s="194"/>
      <c r="AT111" s="194"/>
      <c r="AU111" s="194"/>
      <c r="AV111" s="194"/>
      <c r="AW111" s="194"/>
      <c r="AX111" s="194"/>
      <c r="AY111" s="194"/>
      <c r="AZ111" s="33"/>
      <c r="BA111" s="46"/>
      <c r="BB111" s="335"/>
      <c r="BC111" s="336"/>
      <c r="BD111" s="28"/>
      <c r="BG111" s="24"/>
      <c r="BH111" s="28"/>
    </row>
    <row r="112" spans="1:60">
      <c r="A112" s="22"/>
      <c r="B112" s="32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81"/>
      <c r="T112" s="81"/>
      <c r="U112" s="81"/>
      <c r="V112" s="81"/>
      <c r="W112" s="28"/>
      <c r="X112" s="28"/>
      <c r="Y112" s="81"/>
      <c r="Z112" s="81"/>
      <c r="AA112" s="28"/>
      <c r="AB112" s="28"/>
      <c r="AC112" s="28"/>
      <c r="AD112" s="81"/>
      <c r="AE112" s="81"/>
      <c r="AF112" s="81"/>
      <c r="AG112" s="81"/>
      <c r="AH112" s="81"/>
      <c r="AI112" s="81"/>
      <c r="AJ112" s="81"/>
      <c r="AK112" s="81"/>
      <c r="AL112" s="81"/>
      <c r="AM112" s="81"/>
      <c r="AN112" s="81"/>
      <c r="AO112" s="81"/>
      <c r="AP112" s="81"/>
      <c r="AQ112" s="81"/>
      <c r="AR112" s="81"/>
      <c r="AS112" s="81"/>
      <c r="AT112" s="81"/>
      <c r="AU112" s="81"/>
      <c r="AV112" s="81"/>
      <c r="AW112" s="81"/>
      <c r="AX112" s="81"/>
      <c r="AY112" s="31"/>
      <c r="AZ112" s="33"/>
      <c r="BA112" s="46"/>
      <c r="BB112" s="335"/>
      <c r="BC112" s="336"/>
    </row>
    <row r="113" spans="1:55">
      <c r="A113" s="155"/>
      <c r="B113" s="95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  <c r="P113" s="110"/>
      <c r="Q113" s="110"/>
      <c r="R113" s="110"/>
      <c r="S113" s="156"/>
      <c r="T113" s="156"/>
      <c r="U113" s="156"/>
      <c r="V113" s="156"/>
      <c r="W113" s="110"/>
      <c r="X113" s="110"/>
      <c r="Y113" s="156"/>
      <c r="Z113" s="156"/>
      <c r="AA113" s="110"/>
      <c r="AB113" s="110"/>
      <c r="AC113" s="110"/>
      <c r="AD113" s="156"/>
      <c r="AE113" s="156"/>
      <c r="AF113" s="156"/>
      <c r="AG113" s="156"/>
      <c r="AH113" s="156"/>
      <c r="AI113" s="156"/>
      <c r="AJ113" s="156"/>
      <c r="AK113" s="156"/>
      <c r="AL113" s="156"/>
      <c r="AM113" s="156"/>
      <c r="AN113" s="156"/>
      <c r="AO113" s="156"/>
      <c r="AP113" s="156"/>
      <c r="AQ113" s="156"/>
      <c r="AR113" s="156"/>
      <c r="AS113" s="156"/>
      <c r="AT113" s="156"/>
      <c r="AU113" s="156"/>
      <c r="AV113" s="156"/>
      <c r="AW113" s="156"/>
      <c r="AX113" s="156"/>
      <c r="AY113" s="95"/>
      <c r="AZ113" s="95"/>
      <c r="BA113" s="157"/>
      <c r="BB113" s="355"/>
      <c r="BC113" s="356"/>
    </row>
  </sheetData>
  <mergeCells count="107">
    <mergeCell ref="AN1:AR1"/>
    <mergeCell ref="AS1:AU1"/>
    <mergeCell ref="AV1:AY1"/>
    <mergeCell ref="AZ1:BC1"/>
    <mergeCell ref="A2:H2"/>
    <mergeCell ref="I2:L2"/>
    <mergeCell ref="M2:W2"/>
    <mergeCell ref="AK2:AM2"/>
    <mergeCell ref="AN2:AR2"/>
    <mergeCell ref="AS2:AU2"/>
    <mergeCell ref="A1:H1"/>
    <mergeCell ref="I1:L1"/>
    <mergeCell ref="M1:W1"/>
    <mergeCell ref="X1:Z2"/>
    <mergeCell ref="AA1:AJ2"/>
    <mergeCell ref="AK1:AM1"/>
    <mergeCell ref="AV2:AY2"/>
    <mergeCell ref="AZ2:BC3"/>
    <mergeCell ref="A3:H3"/>
    <mergeCell ref="I3:L3"/>
    <mergeCell ref="M3:W3"/>
    <mergeCell ref="X3:Z3"/>
    <mergeCell ref="AA3:AR3"/>
    <mergeCell ref="AS3:AU3"/>
    <mergeCell ref="AV3:AY3"/>
    <mergeCell ref="A5:BA5"/>
    <mergeCell ref="BB5:BC5"/>
    <mergeCell ref="R51:U51"/>
    <mergeCell ref="Z51:AD51"/>
    <mergeCell ref="AI51:AL51"/>
    <mergeCell ref="AM51:AP51"/>
    <mergeCell ref="AQ51:AT51"/>
    <mergeCell ref="AU51:AX51"/>
    <mergeCell ref="AY51:BB51"/>
    <mergeCell ref="H42:L42"/>
    <mergeCell ref="H43:L43"/>
    <mergeCell ref="BC51:BF51"/>
    <mergeCell ref="BG51:BI51"/>
    <mergeCell ref="R52:U52"/>
    <mergeCell ref="Z52:AD52"/>
    <mergeCell ref="AI52:AL52"/>
    <mergeCell ref="AM52:AP52"/>
    <mergeCell ref="AQ52:AT52"/>
    <mergeCell ref="AU52:AX52"/>
    <mergeCell ref="AY52:BB52"/>
    <mergeCell ref="BC52:BF52"/>
    <mergeCell ref="BQ64:BT64"/>
    <mergeCell ref="BU64:BX64"/>
    <mergeCell ref="BY64:CA64"/>
    <mergeCell ref="AW64:AZ64"/>
    <mergeCell ref="BA64:BD64"/>
    <mergeCell ref="BE64:BH64"/>
    <mergeCell ref="BI64:BL64"/>
    <mergeCell ref="BM64:BP64"/>
    <mergeCell ref="BG52:BI52"/>
    <mergeCell ref="BM58:BP58"/>
    <mergeCell ref="AS64:AV64"/>
    <mergeCell ref="AS72:AV72"/>
    <mergeCell ref="AW72:AZ72"/>
    <mergeCell ref="BA72:BD72"/>
    <mergeCell ref="X68:AA68"/>
    <mergeCell ref="AB68:AE68"/>
    <mergeCell ref="BA68:BD68"/>
    <mergeCell ref="X64:AA64"/>
    <mergeCell ref="AB64:AE64"/>
    <mergeCell ref="AF64:AJ64"/>
    <mergeCell ref="AK64:AN64"/>
    <mergeCell ref="AO64:AR64"/>
    <mergeCell ref="X67:AA67"/>
    <mergeCell ref="AB67:AE67"/>
    <mergeCell ref="AF67:AJ67"/>
    <mergeCell ref="AK67:AN67"/>
    <mergeCell ref="AO67:AR67"/>
    <mergeCell ref="AS67:AV67"/>
    <mergeCell ref="AW67:AZ67"/>
    <mergeCell ref="BA67:BD67"/>
    <mergeCell ref="X71:AA71"/>
    <mergeCell ref="AB71:AE71"/>
    <mergeCell ref="J110:M110"/>
    <mergeCell ref="J111:M111"/>
    <mergeCell ref="J77:M77"/>
    <mergeCell ref="J84:M84"/>
    <mergeCell ref="BE72:BH72"/>
    <mergeCell ref="BD73:BF73"/>
    <mergeCell ref="J85:M85"/>
    <mergeCell ref="J87:M87"/>
    <mergeCell ref="J93:M93"/>
    <mergeCell ref="J101:M101"/>
    <mergeCell ref="X72:AA72"/>
    <mergeCell ref="AB72:AE72"/>
    <mergeCell ref="AF72:AJ72"/>
    <mergeCell ref="AK72:AN72"/>
    <mergeCell ref="AO72:AR72"/>
    <mergeCell ref="BE67:BH67"/>
    <mergeCell ref="BE68:BH68"/>
    <mergeCell ref="AF68:AJ68"/>
    <mergeCell ref="AK68:AN68"/>
    <mergeCell ref="AO68:AR68"/>
    <mergeCell ref="AS68:AV68"/>
    <mergeCell ref="AW68:AZ68"/>
    <mergeCell ref="AS71:AV71"/>
    <mergeCell ref="AW71:AZ71"/>
    <mergeCell ref="BA71:BD71"/>
    <mergeCell ref="BE71:BH71"/>
    <mergeCell ref="AF71:AJ71"/>
    <mergeCell ref="AK71:AN71"/>
    <mergeCell ref="AO71:AR71"/>
  </mergeCells>
  <phoneticPr fontId="57"/>
  <conditionalFormatting sqref="AK67:AV68">
    <cfRule type="cellIs" dxfId="5" priority="3" operator="lessThan">
      <formula>0</formula>
    </cfRule>
  </conditionalFormatting>
  <conditionalFormatting sqref="AK71:AV72">
    <cfRule type="cellIs" dxfId="4" priority="2" operator="lessThan">
      <formula>0</formula>
    </cfRule>
  </conditionalFormatting>
  <conditionalFormatting sqref="BA64:BD64">
    <cfRule type="cellIs" dxfId="3" priority="15" operator="lessThan">
      <formula>0</formula>
    </cfRule>
  </conditionalFormatting>
  <conditionalFormatting sqref="BE67:BH68">
    <cfRule type="cellIs" dxfId="2" priority="4" operator="lessThan">
      <formula>0.3</formula>
    </cfRule>
  </conditionalFormatting>
  <conditionalFormatting sqref="BE71:BH72">
    <cfRule type="cellIs" dxfId="1" priority="1" operator="lessThan">
      <formula>0.3</formula>
    </cfRule>
  </conditionalFormatting>
  <conditionalFormatting sqref="BM64:BP64">
    <cfRule type="cellIs" dxfId="0" priority="10" operator="lessThan">
      <formula>0.3</formula>
    </cfRule>
  </conditionalFormatting>
  <pageMargins left="0.39370078740157483" right="0.39370078740157483" top="0.39370078740157483" bottom="0.19685039370078741" header="0.19685039370078741" footer="0.19685039370078741"/>
  <pageSetup paperSize="9" scale="68" fitToHeight="6" orientation="portrait" r:id="rId1"/>
  <headerFooter>
    <oddFooter>&amp;L&amp;"-,太字"&amp;12©2016 Amazing-Activity Corporation All Rights Reserved&amp;C- &amp;P &amp; -&amp;R&amp;F_&amp;A</oddFooter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13</vt:i4>
      </vt:variant>
    </vt:vector>
  </HeadingPairs>
  <TitlesOfParts>
    <vt:vector size="27" baseType="lpstr">
      <vt:lpstr>表紙</vt:lpstr>
      <vt:lpstr>変更来歴</vt:lpstr>
      <vt:lpstr>化学物質データ申請確認画面</vt:lpstr>
      <vt:lpstr>画面項目</vt:lpstr>
      <vt:lpstr>処理詳細</vt:lpstr>
      <vt:lpstr>出力編集仕様</vt:lpstr>
      <vt:lpstr>ダウンロードCSVファイルについて</vt:lpstr>
      <vt:lpstr>選択画面</vt:lpstr>
      <vt:lpstr>円(PPM)</vt:lpstr>
      <vt:lpstr>円(技術原計)</vt:lpstr>
      <vt:lpstr>円(コリア原計)</vt:lpstr>
      <vt:lpstr>外貨(PPM)</vt:lpstr>
      <vt:lpstr>外貨(技術原計)</vt:lpstr>
      <vt:lpstr>外貨(コリア原計)</vt:lpstr>
      <vt:lpstr>ダウンロードCSVファイルについて!Print_Area</vt:lpstr>
      <vt:lpstr>'円(PPM)'!Print_Area</vt:lpstr>
      <vt:lpstr>'円(コリア原計)'!Print_Area</vt:lpstr>
      <vt:lpstr>'円(技術原計)'!Print_Area</vt:lpstr>
      <vt:lpstr>化学物質データ申請確認画面!Print_Area</vt:lpstr>
      <vt:lpstr>画面項目!Print_Area</vt:lpstr>
      <vt:lpstr>'外貨(PPM)'!Print_Area</vt:lpstr>
      <vt:lpstr>'外貨(コリア原計)'!Print_Area</vt:lpstr>
      <vt:lpstr>'外貨(技術原計)'!Print_Area</vt:lpstr>
      <vt:lpstr>出力編集仕様!Print_Area</vt:lpstr>
      <vt:lpstr>処理詳細!Print_Area</vt:lpstr>
      <vt:lpstr>選択画面!Print_Area</vt:lpstr>
      <vt:lpstr>表紙!Print_Area</vt:lpstr>
    </vt:vector>
  </TitlesOfParts>
  <Company>Toshiba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kenmotsu</dc:creator>
  <cp:lastModifiedBy>アクティビティ アメージング</cp:lastModifiedBy>
  <cp:lastPrinted>2021-03-22T08:18:14Z</cp:lastPrinted>
  <dcterms:created xsi:type="dcterms:W3CDTF">2016-02-08T08:47:20Z</dcterms:created>
  <dcterms:modified xsi:type="dcterms:W3CDTF">2026-06-04T07:39:25Z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a0e77a3f-1e47-464d-ae6f-7268240382e6</vt:lpwstr>
  </property>
</Properties>
</file>